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queryTables/queryTable1.xml" ContentType="application/vnd.openxmlformats-officedocument.spreadsheetml.query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pivotTables/pivotTable3.xml" ContentType="application/vnd.openxmlformats-officedocument.spreadsheetml.pivotTable+xml"/>
  <Override PartName="/xl/tables/table26.xml" ContentType="application/vnd.openxmlformats-officedocument.spreadsheetml.table+xml"/>
  <Override PartName="/xl/pivotTables/pivotTable4.xml" ContentType="application/vnd.openxmlformats-officedocument.spreadsheetml.pivot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pivotTables/pivotTable5.xml" ContentType="application/vnd.openxmlformats-officedocument.spreadsheetml.pivotTable+xml"/>
  <Override PartName="/xl/tables/table30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guirrebi-my.sharepoint.com/personal/alvaro_aguirrebi_onmicrosoft_com/Documents/Golf/Cuartillos/Liga Cuartilla/Liga/"/>
    </mc:Choice>
  </mc:AlternateContent>
  <xr:revisionPtr revIDLastSave="1293" documentId="8_{78DFD466-E0B5-40A5-8C6A-2C91986E571C}" xr6:coauthVersionLast="47" xr6:coauthVersionMax="47" xr10:uidLastSave="{63D2135A-EAEC-4F2F-8CB9-A5D2CCE05052}"/>
  <bookViews>
    <workbookView xWindow="-120" yWindow="-120" windowWidth="29040" windowHeight="15720" tabRatio="646" xr2:uid="{46679736-0AB3-714F-BAE2-A69175FCFB3C}"/>
  </bookViews>
  <sheets>
    <sheet name="Jugadores" sheetId="1" r:id="rId1"/>
    <sheet name="Calendario" sheetId="4" r:id="rId2"/>
    <sheet name="Puntos Equipos" sheetId="32" r:id="rId3"/>
    <sheet name="dTipoCalculo" sheetId="35" r:id="rId4"/>
    <sheet name="Descalificados" sheetId="11" r:id="rId5"/>
    <sheet name="dHandicapActual" sheetId="40" r:id="rId6"/>
    <sheet name="Handicaps" sheetId="2" r:id="rId7"/>
    <sheet name="Equipos LIV-Tillos" sheetId="29" r:id="rId8"/>
    <sheet name="Jugadores por EquipoAño" sheetId="30" r:id="rId9"/>
    <sheet name="Jugadores por Liga CSC" sheetId="37" r:id="rId10"/>
    <sheet name="Ligas CSC" sheetId="38" r:id="rId11"/>
    <sheet name="Transferibles 2025" sheetId="34" r:id="rId12"/>
    <sheet name="Tipo Torneos" sheetId="6" r:id="rId13"/>
    <sheet name="Puntos Torneo" sheetId="5" r:id="rId14"/>
    <sheet name="Hoyos Vuelta" sheetId="12" r:id="rId15"/>
    <sheet name="Puntos Acumulados" sheetId="33" r:id="rId16"/>
    <sheet name="Hoja2" sheetId="27" r:id="rId17"/>
    <sheet name="Asistentes Torneos" sheetId="17" r:id="rId18"/>
    <sheet name="Invitados Torneos" sheetId="18" r:id="rId19"/>
    <sheet name="DetallePartidos" sheetId="31" r:id="rId20"/>
    <sheet name="Partidos por Jugadores" sheetId="19" r:id="rId21"/>
    <sheet name="dKPI" sheetId="23" r:id="rId22"/>
    <sheet name="Inscritos 2023 - Categorías" sheetId="24" r:id="rId23"/>
    <sheet name="Nuevos Puntos" sheetId="25" r:id="rId24"/>
    <sheet name="Grupos MP2022" sheetId="21" r:id="rId25"/>
    <sheet name="MatchPlay2022" sheetId="20" r:id="rId26"/>
    <sheet name="Participaciones CSC" sheetId="15" r:id="rId27"/>
    <sheet name="Clubes Sin Campo" sheetId="14" r:id="rId28"/>
    <sheet name="Categoría Hdcap" sheetId="3" r:id="rId29"/>
    <sheet name="Calendario CSC 2023" sheetId="26" r:id="rId30"/>
    <sheet name="TD Partidos" sheetId="22" r:id="rId31"/>
    <sheet name="Hoja1" sheetId="16" r:id="rId32"/>
    <sheet name="Puntos Reseteo" sheetId="28" r:id="rId33"/>
  </sheets>
  <externalReferences>
    <externalReference r:id="rId34"/>
    <externalReference r:id="rId35"/>
  </externalReferences>
  <definedNames>
    <definedName name="_xlnm._FilterDatabase" localSheetId="17" hidden="1">'Asistentes Torneos'!$P$4:$U$46</definedName>
    <definedName name="BBDD">'[1]Centro Nacional'!$AB$4:$AW$90</definedName>
    <definedName name="DatosExternos_2" localSheetId="5" hidden="1">dHandicapActual!$A$1:$H$662</definedName>
    <definedName name="tabla_baj_hdp">'[2]TABLA HANDICAPS'!$E$4:$V$9</definedName>
  </definedNames>
  <calcPr calcId="191028"/>
  <pivotCaches>
    <pivotCache cacheId="0" r:id="rId36"/>
    <pivotCache cacheId="1" r:id="rId37"/>
    <pivotCache cacheId="2" r:id="rId38"/>
    <pivotCache cacheId="3" r:id="rId39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Jugador_1ef551c9-b3bd-4369-9fed-8c763f26ef8f" name="dJugador" connection="Consulta - dJugador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4" i="32" l="1"/>
  <c r="C25" i="32"/>
  <c r="C26" i="32"/>
  <c r="C27" i="32"/>
  <c r="C28" i="32"/>
  <c r="E114" i="30"/>
  <c r="G114" i="30"/>
  <c r="F114" i="30" s="1"/>
  <c r="E113" i="30"/>
  <c r="G113" i="30"/>
  <c r="E112" i="30"/>
  <c r="G112" i="30"/>
  <c r="H112" i="30" s="1"/>
  <c r="F112" i="30"/>
  <c r="D26" i="29"/>
  <c r="E109" i="30"/>
  <c r="E77" i="30"/>
  <c r="E82" i="30"/>
  <c r="E78" i="30"/>
  <c r="E83" i="30"/>
  <c r="E92" i="30"/>
  <c r="E97" i="30"/>
  <c r="E93" i="30"/>
  <c r="E84" i="30"/>
  <c r="E98" i="30"/>
  <c r="E85" i="30"/>
  <c r="E94" i="30"/>
  <c r="E79" i="30"/>
  <c r="E80" i="30"/>
  <c r="E95" i="30"/>
  <c r="E99" i="30"/>
  <c r="E103" i="30"/>
  <c r="E81" i="30"/>
  <c r="E74" i="30"/>
  <c r="E104" i="30"/>
  <c r="E86" i="30"/>
  <c r="E100" i="30"/>
  <c r="E105" i="30"/>
  <c r="E106" i="30"/>
  <c r="E101" i="30"/>
  <c r="E87" i="30"/>
  <c r="E88" i="30"/>
  <c r="E110" i="30"/>
  <c r="E102" i="30"/>
  <c r="E89" i="30"/>
  <c r="E107" i="30"/>
  <c r="E90" i="30"/>
  <c r="E91" i="30"/>
  <c r="E75" i="30"/>
  <c r="E96" i="30"/>
  <c r="E111" i="30"/>
  <c r="E108" i="30"/>
  <c r="E76" i="30"/>
  <c r="G109" i="30"/>
  <c r="F109" i="30" s="1"/>
  <c r="G77" i="30"/>
  <c r="H77" i="30" s="1"/>
  <c r="G82" i="30"/>
  <c r="F82" i="30" s="1"/>
  <c r="G78" i="30"/>
  <c r="F78" i="30" s="1"/>
  <c r="G83" i="30"/>
  <c r="F83" i="30" s="1"/>
  <c r="G92" i="30"/>
  <c r="H92" i="30" s="1"/>
  <c r="G97" i="30"/>
  <c r="F97" i="30" s="1"/>
  <c r="G93" i="30"/>
  <c r="F93" i="30" s="1"/>
  <c r="G84" i="30"/>
  <c r="F84" i="30" s="1"/>
  <c r="G98" i="30"/>
  <c r="H98" i="30" s="1"/>
  <c r="G85" i="30"/>
  <c r="H85" i="30" s="1"/>
  <c r="G94" i="30"/>
  <c r="F94" i="30" s="1"/>
  <c r="G79" i="30"/>
  <c r="G80" i="30"/>
  <c r="G95" i="30"/>
  <c r="G99" i="30"/>
  <c r="G103" i="30"/>
  <c r="G81" i="30"/>
  <c r="F81" i="30" s="1"/>
  <c r="G74" i="30"/>
  <c r="G104" i="30"/>
  <c r="G86" i="30"/>
  <c r="F86" i="30" s="1"/>
  <c r="G100" i="30"/>
  <c r="G105" i="30"/>
  <c r="H105" i="30" s="1"/>
  <c r="G106" i="30"/>
  <c r="G101" i="30"/>
  <c r="H101" i="30" s="1"/>
  <c r="G87" i="30"/>
  <c r="F87" i="30" s="1"/>
  <c r="G88" i="30"/>
  <c r="G110" i="30"/>
  <c r="F110" i="30" s="1"/>
  <c r="G102" i="30"/>
  <c r="F102" i="30" s="1"/>
  <c r="G89" i="30"/>
  <c r="F89" i="30" s="1"/>
  <c r="G107" i="30"/>
  <c r="G90" i="30"/>
  <c r="F90" i="30" s="1"/>
  <c r="G91" i="30"/>
  <c r="G75" i="30"/>
  <c r="G96" i="30"/>
  <c r="G111" i="30"/>
  <c r="G108" i="30"/>
  <c r="G76" i="30"/>
  <c r="D25" i="29"/>
  <c r="H114" i="30" s="1"/>
  <c r="D24" i="29"/>
  <c r="D23" i="29"/>
  <c r="D22" i="29"/>
  <c r="D21" i="29"/>
  <c r="D20" i="29"/>
  <c r="I35" i="4"/>
  <c r="J35" i="4"/>
  <c r="M35" i="4"/>
  <c r="S35" i="4"/>
  <c r="I34" i="4"/>
  <c r="J34" i="4"/>
  <c r="M34" i="4"/>
  <c r="S34" i="4"/>
  <c r="I33" i="4"/>
  <c r="J33" i="4"/>
  <c r="M33" i="4"/>
  <c r="S33" i="4"/>
  <c r="I32" i="4"/>
  <c r="J32" i="4"/>
  <c r="M32" i="4"/>
  <c r="S32" i="4"/>
  <c r="I31" i="4"/>
  <c r="J31" i="4"/>
  <c r="M31" i="4"/>
  <c r="S31" i="4"/>
  <c r="I30" i="4"/>
  <c r="J30" i="4"/>
  <c r="M30" i="4"/>
  <c r="S30" i="4"/>
  <c r="I29" i="4"/>
  <c r="J29" i="4"/>
  <c r="M29" i="4"/>
  <c r="S29" i="4"/>
  <c r="I28" i="4"/>
  <c r="J28" i="4"/>
  <c r="M28" i="4"/>
  <c r="S28" i="4"/>
  <c r="I27" i="4"/>
  <c r="J27" i="4"/>
  <c r="M27" i="4"/>
  <c r="S27" i="4"/>
  <c r="I26" i="4"/>
  <c r="J26" i="4"/>
  <c r="M26" i="4"/>
  <c r="S26" i="4"/>
  <c r="I25" i="4"/>
  <c r="J25" i="4"/>
  <c r="M25" i="4"/>
  <c r="S25" i="4"/>
  <c r="I24" i="4"/>
  <c r="J24" i="4"/>
  <c r="M24" i="4"/>
  <c r="S24" i="4"/>
  <c r="D2803" i="2"/>
  <c r="D2802" i="2"/>
  <c r="D2801" i="2"/>
  <c r="D2800" i="2"/>
  <c r="D2799" i="2"/>
  <c r="D2798" i="2"/>
  <c r="D2797" i="2"/>
  <c r="D2796" i="2"/>
  <c r="D2795" i="2"/>
  <c r="D2794" i="2"/>
  <c r="D2793" i="2"/>
  <c r="D2792" i="2"/>
  <c r="D2791" i="2"/>
  <c r="D2790" i="2"/>
  <c r="D2789" i="2"/>
  <c r="D2788" i="2"/>
  <c r="D2787" i="2"/>
  <c r="D2786" i="2"/>
  <c r="D2785" i="2"/>
  <c r="D2784" i="2"/>
  <c r="D2783" i="2"/>
  <c r="D2782" i="2"/>
  <c r="D2781" i="2"/>
  <c r="D2780" i="2"/>
  <c r="D2779" i="2"/>
  <c r="D2778" i="2"/>
  <c r="D2777" i="2"/>
  <c r="D2776" i="2"/>
  <c r="D2775" i="2"/>
  <c r="D2774" i="2"/>
  <c r="D2773" i="2"/>
  <c r="D2772" i="2"/>
  <c r="D2771" i="2"/>
  <c r="D2770" i="2"/>
  <c r="D2769" i="2"/>
  <c r="D2768" i="2"/>
  <c r="D2767" i="2"/>
  <c r="D2766" i="2"/>
  <c r="D2765" i="2"/>
  <c r="G2765" i="2"/>
  <c r="H2765" i="2"/>
  <c r="G2766" i="2"/>
  <c r="H2766" i="2"/>
  <c r="G2767" i="2"/>
  <c r="G2768" i="2"/>
  <c r="G2769" i="2"/>
  <c r="J2769" i="2"/>
  <c r="G2770" i="2"/>
  <c r="H2770" i="2"/>
  <c r="G2771" i="2"/>
  <c r="H2771" i="2"/>
  <c r="G2772" i="2"/>
  <c r="J2772" i="2"/>
  <c r="G2773" i="2"/>
  <c r="J2773" i="2"/>
  <c r="G2774" i="2"/>
  <c r="J2774" i="2"/>
  <c r="G2775" i="2"/>
  <c r="I2775" i="2"/>
  <c r="G2776" i="2"/>
  <c r="J2776" i="2"/>
  <c r="G2777" i="2"/>
  <c r="J2777" i="2"/>
  <c r="G2778" i="2"/>
  <c r="J2778" i="2"/>
  <c r="G2779" i="2"/>
  <c r="J2779" i="2"/>
  <c r="G2780" i="2"/>
  <c r="J2780" i="2"/>
  <c r="G2781" i="2"/>
  <c r="J2781" i="2"/>
  <c r="G2782" i="2"/>
  <c r="J2782" i="2"/>
  <c r="G2783" i="2"/>
  <c r="I2783" i="2"/>
  <c r="G2784" i="2"/>
  <c r="I2784" i="2"/>
  <c r="G2785" i="2"/>
  <c r="I2785" i="2"/>
  <c r="G2786" i="2"/>
  <c r="I2786" i="2"/>
  <c r="G2787" i="2"/>
  <c r="J2787" i="2"/>
  <c r="G2788" i="2"/>
  <c r="I2788" i="2"/>
  <c r="G2789" i="2"/>
  <c r="I2789" i="2"/>
  <c r="G2790" i="2"/>
  <c r="H2790" i="2"/>
  <c r="G2791" i="2"/>
  <c r="H2791" i="2"/>
  <c r="G2792" i="2"/>
  <c r="H2792" i="2"/>
  <c r="G2793" i="2"/>
  <c r="J2793" i="2"/>
  <c r="G2794" i="2"/>
  <c r="H2794" i="2"/>
  <c r="G2795" i="2"/>
  <c r="H2795" i="2"/>
  <c r="G2796" i="2"/>
  <c r="H2796" i="2"/>
  <c r="G2797" i="2"/>
  <c r="J2797" i="2"/>
  <c r="G2798" i="2"/>
  <c r="H2798" i="2"/>
  <c r="G2799" i="2"/>
  <c r="G2800" i="2"/>
  <c r="G2801" i="2"/>
  <c r="G2802" i="2"/>
  <c r="I2802" i="2"/>
  <c r="G2803" i="2"/>
  <c r="H2803" i="2"/>
  <c r="H2767" i="2"/>
  <c r="H2768" i="2"/>
  <c r="H2773" i="2"/>
  <c r="H2774" i="2"/>
  <c r="H2778" i="2"/>
  <c r="H2781" i="2"/>
  <c r="H2799" i="2"/>
  <c r="H2800" i="2"/>
  <c r="H2801" i="2"/>
  <c r="H2802" i="2"/>
  <c r="I2766" i="2"/>
  <c r="I2767" i="2"/>
  <c r="I2768" i="2"/>
  <c r="I2770" i="2"/>
  <c r="I2771" i="2"/>
  <c r="I2773" i="2"/>
  <c r="I2774" i="2"/>
  <c r="I2799" i="2"/>
  <c r="I2800" i="2"/>
  <c r="I2801" i="2"/>
  <c r="J2766" i="2"/>
  <c r="J2767" i="2"/>
  <c r="J2768" i="2"/>
  <c r="J2770" i="2"/>
  <c r="J2771" i="2"/>
  <c r="J2798" i="2"/>
  <c r="J2799" i="2"/>
  <c r="J2800" i="2"/>
  <c r="J2801" i="2"/>
  <c r="J2802" i="2"/>
  <c r="J2803" i="2"/>
  <c r="M2765" i="2"/>
  <c r="M2766" i="2"/>
  <c r="M2767" i="2"/>
  <c r="M2768" i="2"/>
  <c r="M2769" i="2"/>
  <c r="M2770" i="2"/>
  <c r="M2771" i="2"/>
  <c r="M2772" i="2"/>
  <c r="M2773" i="2"/>
  <c r="M2774" i="2"/>
  <c r="M2775" i="2"/>
  <c r="M2776" i="2"/>
  <c r="M2777" i="2"/>
  <c r="M2778" i="2"/>
  <c r="M2779" i="2"/>
  <c r="M2780" i="2"/>
  <c r="M2781" i="2"/>
  <c r="M2782" i="2"/>
  <c r="M2783" i="2"/>
  <c r="M2784" i="2"/>
  <c r="M2785" i="2"/>
  <c r="M2786" i="2"/>
  <c r="M2787" i="2"/>
  <c r="M2788" i="2"/>
  <c r="M2789" i="2"/>
  <c r="M2790" i="2"/>
  <c r="M2791" i="2"/>
  <c r="M2792" i="2"/>
  <c r="M2793" i="2"/>
  <c r="M2794" i="2"/>
  <c r="M2795" i="2"/>
  <c r="M2796" i="2"/>
  <c r="M2797" i="2"/>
  <c r="M2798" i="2"/>
  <c r="M2799" i="2"/>
  <c r="M2800" i="2"/>
  <c r="M2801" i="2"/>
  <c r="M2802" i="2"/>
  <c r="M2803" i="2"/>
  <c r="H2797" i="2"/>
  <c r="H2782" i="2"/>
  <c r="I2765" i="2"/>
  <c r="I2769" i="2"/>
  <c r="H2769" i="2"/>
  <c r="I2803" i="2"/>
  <c r="J2765" i="2"/>
  <c r="I2798" i="2"/>
  <c r="I2797" i="2"/>
  <c r="I2782" i="2"/>
  <c r="H2775" i="2"/>
  <c r="I2781" i="2"/>
  <c r="H2787" i="2"/>
  <c r="H2785" i="2"/>
  <c r="H2786" i="2"/>
  <c r="H2783" i="2"/>
  <c r="H2779" i="2"/>
  <c r="I2780" i="2"/>
  <c r="I2779" i="2"/>
  <c r="H2772" i="2"/>
  <c r="J2783" i="2"/>
  <c r="I2777" i="2"/>
  <c r="I2776" i="2"/>
  <c r="I2772" i="2"/>
  <c r="J2775" i="2"/>
  <c r="I2778" i="2"/>
  <c r="I2787" i="2"/>
  <c r="H2788" i="2"/>
  <c r="H2784" i="2"/>
  <c r="H2789" i="2"/>
  <c r="H2780" i="2"/>
  <c r="J2795" i="2"/>
  <c r="H2777" i="2"/>
  <c r="J2794" i="2"/>
  <c r="H2776" i="2"/>
  <c r="J2796" i="2"/>
  <c r="J2785" i="2"/>
  <c r="I2792" i="2"/>
  <c r="I2794" i="2"/>
  <c r="J2784" i="2"/>
  <c r="I2791" i="2"/>
  <c r="I2790" i="2"/>
  <c r="J2786" i="2"/>
  <c r="J2790" i="2"/>
  <c r="J2792" i="2"/>
  <c r="H2793" i="2"/>
  <c r="J2791" i="2"/>
  <c r="J2789" i="2"/>
  <c r="I2795" i="2"/>
  <c r="I2793" i="2"/>
  <c r="I2796" i="2"/>
  <c r="J2788" i="2"/>
  <c r="D2764" i="2"/>
  <c r="G2764" i="2"/>
  <c r="H2764" i="2"/>
  <c r="M2764" i="2"/>
  <c r="D2763" i="2"/>
  <c r="D2762" i="2"/>
  <c r="D2761" i="2"/>
  <c r="D2760" i="2"/>
  <c r="D2759" i="2"/>
  <c r="D2758" i="2"/>
  <c r="D2757" i="2"/>
  <c r="D2756" i="2"/>
  <c r="D2755" i="2"/>
  <c r="D2754" i="2"/>
  <c r="D2753" i="2"/>
  <c r="D2752" i="2"/>
  <c r="D2751" i="2"/>
  <c r="D2750" i="2"/>
  <c r="D2749" i="2"/>
  <c r="D2748" i="2"/>
  <c r="D2747" i="2"/>
  <c r="D2746" i="2"/>
  <c r="D2745" i="2"/>
  <c r="D2744" i="2"/>
  <c r="D2743" i="2"/>
  <c r="D2742" i="2"/>
  <c r="D2741" i="2"/>
  <c r="D2740" i="2"/>
  <c r="D2739" i="2"/>
  <c r="D2738" i="2"/>
  <c r="D2737" i="2"/>
  <c r="D2736" i="2"/>
  <c r="D2735" i="2"/>
  <c r="D2734" i="2"/>
  <c r="D2733" i="2"/>
  <c r="D2732" i="2"/>
  <c r="D2731" i="2"/>
  <c r="D2730" i="2"/>
  <c r="D2729" i="2"/>
  <c r="D2728" i="2"/>
  <c r="D2727" i="2"/>
  <c r="D2726" i="2"/>
  <c r="D2725" i="2"/>
  <c r="G2725" i="2"/>
  <c r="I2725" i="2"/>
  <c r="G2726" i="2"/>
  <c r="J2726" i="2"/>
  <c r="G2727" i="2"/>
  <c r="H2727" i="2"/>
  <c r="G2728" i="2"/>
  <c r="I2728" i="2"/>
  <c r="G2729" i="2"/>
  <c r="I2729" i="2"/>
  <c r="G2730" i="2"/>
  <c r="I2730" i="2"/>
  <c r="G2731" i="2"/>
  <c r="I2731" i="2"/>
  <c r="G2732" i="2"/>
  <c r="I2732" i="2"/>
  <c r="G2733" i="2"/>
  <c r="I2733" i="2"/>
  <c r="G2734" i="2"/>
  <c r="J2734" i="2"/>
  <c r="G2735" i="2"/>
  <c r="I2735" i="2"/>
  <c r="G2736" i="2"/>
  <c r="J2736" i="2"/>
  <c r="G2737" i="2"/>
  <c r="J2737" i="2"/>
  <c r="G2738" i="2"/>
  <c r="J2738" i="2"/>
  <c r="G2739" i="2"/>
  <c r="J2739" i="2"/>
  <c r="G2740" i="2"/>
  <c r="J2740" i="2"/>
  <c r="G2741" i="2"/>
  <c r="J2741" i="2"/>
  <c r="G2742" i="2"/>
  <c r="J2742" i="2"/>
  <c r="G2743" i="2"/>
  <c r="I2743" i="2"/>
  <c r="G2744" i="2"/>
  <c r="I2744" i="2"/>
  <c r="G2745" i="2"/>
  <c r="I2745" i="2"/>
  <c r="G2746" i="2"/>
  <c r="I2746" i="2"/>
  <c r="G2747" i="2"/>
  <c r="J2747" i="2"/>
  <c r="G2748" i="2"/>
  <c r="I2748" i="2"/>
  <c r="G2749" i="2"/>
  <c r="J2749" i="2"/>
  <c r="G2750" i="2"/>
  <c r="H2750" i="2"/>
  <c r="G2751" i="2"/>
  <c r="H2751" i="2"/>
  <c r="G2752" i="2"/>
  <c r="I2752" i="2"/>
  <c r="G2753" i="2"/>
  <c r="H2753" i="2"/>
  <c r="G2754" i="2"/>
  <c r="I2754" i="2"/>
  <c r="G2755" i="2"/>
  <c r="H2755" i="2"/>
  <c r="G2756" i="2"/>
  <c r="I2756" i="2"/>
  <c r="G2757" i="2"/>
  <c r="J2757" i="2"/>
  <c r="G2758" i="2"/>
  <c r="J2758" i="2"/>
  <c r="G2759" i="2"/>
  <c r="J2759" i="2"/>
  <c r="G2760" i="2"/>
  <c r="H2760" i="2"/>
  <c r="G2761" i="2"/>
  <c r="I2761" i="2"/>
  <c r="G2762" i="2"/>
  <c r="I2762" i="2"/>
  <c r="G2763" i="2"/>
  <c r="I2763" i="2"/>
  <c r="M2725" i="2"/>
  <c r="M2726" i="2"/>
  <c r="M2727" i="2"/>
  <c r="M2728" i="2"/>
  <c r="M2729" i="2"/>
  <c r="M2730" i="2"/>
  <c r="M2731" i="2"/>
  <c r="M2732" i="2"/>
  <c r="M2733" i="2"/>
  <c r="M2734" i="2"/>
  <c r="M2735" i="2"/>
  <c r="M2736" i="2"/>
  <c r="M2737" i="2"/>
  <c r="M2738" i="2"/>
  <c r="M2739" i="2"/>
  <c r="M2740" i="2"/>
  <c r="M2741" i="2"/>
  <c r="M2742" i="2"/>
  <c r="M2743" i="2"/>
  <c r="M2744" i="2"/>
  <c r="M2745" i="2"/>
  <c r="M2746" i="2"/>
  <c r="M2747" i="2"/>
  <c r="M2748" i="2"/>
  <c r="M2749" i="2"/>
  <c r="M2750" i="2"/>
  <c r="M2751" i="2"/>
  <c r="M2752" i="2"/>
  <c r="M2753" i="2"/>
  <c r="M2754" i="2"/>
  <c r="M2755" i="2"/>
  <c r="M2756" i="2"/>
  <c r="M2757" i="2"/>
  <c r="M2758" i="2"/>
  <c r="M2759" i="2"/>
  <c r="M2760" i="2"/>
  <c r="M2761" i="2"/>
  <c r="M2762" i="2"/>
  <c r="M2763" i="2"/>
  <c r="D2686" i="2"/>
  <c r="D2687" i="2"/>
  <c r="D2688" i="2"/>
  <c r="D2689" i="2"/>
  <c r="D2690" i="2"/>
  <c r="D2691" i="2"/>
  <c r="D2692" i="2"/>
  <c r="D2693" i="2"/>
  <c r="D2694" i="2"/>
  <c r="D2695" i="2"/>
  <c r="D2696" i="2"/>
  <c r="D2697" i="2"/>
  <c r="D2698" i="2"/>
  <c r="D2699" i="2"/>
  <c r="D2700" i="2"/>
  <c r="D2701" i="2"/>
  <c r="D2702" i="2"/>
  <c r="D2703" i="2"/>
  <c r="D2704" i="2"/>
  <c r="D2705" i="2"/>
  <c r="D2706" i="2"/>
  <c r="D2707" i="2"/>
  <c r="D2708" i="2"/>
  <c r="D2709" i="2"/>
  <c r="D2710" i="2"/>
  <c r="D2711" i="2"/>
  <c r="D2712" i="2"/>
  <c r="D2713" i="2"/>
  <c r="D2714" i="2"/>
  <c r="D2715" i="2"/>
  <c r="D2716" i="2"/>
  <c r="D2717" i="2"/>
  <c r="D2718" i="2"/>
  <c r="D2719" i="2"/>
  <c r="D2720" i="2"/>
  <c r="D2721" i="2"/>
  <c r="D2722" i="2"/>
  <c r="D2723" i="2"/>
  <c r="D2724" i="2"/>
  <c r="G2686" i="2"/>
  <c r="I2686" i="2"/>
  <c r="G2687" i="2"/>
  <c r="I2687" i="2"/>
  <c r="G2688" i="2"/>
  <c r="I2688" i="2"/>
  <c r="G2689" i="2"/>
  <c r="I2689" i="2"/>
  <c r="G2690" i="2"/>
  <c r="H2690" i="2"/>
  <c r="G2691" i="2"/>
  <c r="H2691" i="2"/>
  <c r="G2692" i="2"/>
  <c r="J2692" i="2"/>
  <c r="G2693" i="2"/>
  <c r="J2693" i="2"/>
  <c r="G2694" i="2"/>
  <c r="I2694" i="2"/>
  <c r="G2695" i="2"/>
  <c r="I2695" i="2"/>
  <c r="G2696" i="2"/>
  <c r="J2696" i="2"/>
  <c r="G2697" i="2"/>
  <c r="J2697" i="2"/>
  <c r="G2698" i="2"/>
  <c r="J2698" i="2"/>
  <c r="G2699" i="2"/>
  <c r="J2699" i="2"/>
  <c r="G2700" i="2"/>
  <c r="J2700" i="2"/>
  <c r="G2701" i="2"/>
  <c r="J2701" i="2"/>
  <c r="G2702" i="2"/>
  <c r="J2702" i="2"/>
  <c r="G2703" i="2"/>
  <c r="J2703" i="2"/>
  <c r="G2704" i="2"/>
  <c r="J2704" i="2"/>
  <c r="G2705" i="2"/>
  <c r="I2705" i="2"/>
  <c r="G2706" i="2"/>
  <c r="I2706" i="2"/>
  <c r="G2707" i="2"/>
  <c r="I2707" i="2"/>
  <c r="G2708" i="2"/>
  <c r="J2708" i="2"/>
  <c r="G2709" i="2"/>
  <c r="I2709" i="2"/>
  <c r="G2710" i="2"/>
  <c r="J2710" i="2"/>
  <c r="G2711" i="2"/>
  <c r="H2711" i="2"/>
  <c r="G2712" i="2"/>
  <c r="H2712" i="2"/>
  <c r="G2713" i="2"/>
  <c r="H2713" i="2"/>
  <c r="G2714" i="2"/>
  <c r="I2714" i="2"/>
  <c r="G2715" i="2"/>
  <c r="H2715" i="2"/>
  <c r="G2716" i="2"/>
  <c r="H2716" i="2"/>
  <c r="G2717" i="2"/>
  <c r="I2717" i="2"/>
  <c r="G2718" i="2"/>
  <c r="H2718" i="2"/>
  <c r="G2719" i="2"/>
  <c r="J2719" i="2"/>
  <c r="G2720" i="2"/>
  <c r="J2720" i="2"/>
  <c r="G2721" i="2"/>
  <c r="J2721" i="2"/>
  <c r="G2722" i="2"/>
  <c r="I2722" i="2"/>
  <c r="G2723" i="2"/>
  <c r="I2723" i="2"/>
  <c r="G2724" i="2"/>
  <c r="I2724" i="2"/>
  <c r="M2686" i="2"/>
  <c r="M2687" i="2"/>
  <c r="M2688" i="2"/>
  <c r="M2689" i="2"/>
  <c r="M2690" i="2"/>
  <c r="M2691" i="2"/>
  <c r="M2692" i="2"/>
  <c r="M2693" i="2"/>
  <c r="M2694" i="2"/>
  <c r="M2695" i="2"/>
  <c r="M2696" i="2"/>
  <c r="M2697" i="2"/>
  <c r="M2698" i="2"/>
  <c r="M2699" i="2"/>
  <c r="M2700" i="2"/>
  <c r="M2701" i="2"/>
  <c r="M2702" i="2"/>
  <c r="M2703" i="2"/>
  <c r="M2704" i="2"/>
  <c r="M2705" i="2"/>
  <c r="M2706" i="2"/>
  <c r="M2707" i="2"/>
  <c r="M2708" i="2"/>
  <c r="M2709" i="2"/>
  <c r="M2710" i="2"/>
  <c r="M2711" i="2"/>
  <c r="M2712" i="2"/>
  <c r="M2713" i="2"/>
  <c r="M2714" i="2"/>
  <c r="M2715" i="2"/>
  <c r="M2716" i="2"/>
  <c r="M2717" i="2"/>
  <c r="M2718" i="2"/>
  <c r="M2719" i="2"/>
  <c r="M2720" i="2"/>
  <c r="M2721" i="2"/>
  <c r="M2722" i="2"/>
  <c r="M2723" i="2"/>
  <c r="M2724" i="2"/>
  <c r="J2730" i="2"/>
  <c r="J2729" i="2"/>
  <c r="J2731" i="2"/>
  <c r="H2730" i="2"/>
  <c r="H2726" i="2"/>
  <c r="H2729" i="2"/>
  <c r="H2735" i="2"/>
  <c r="H2732" i="2"/>
  <c r="H2731" i="2"/>
  <c r="H2734" i="2"/>
  <c r="J2743" i="2"/>
  <c r="H2733" i="2"/>
  <c r="H2743" i="2"/>
  <c r="H2744" i="2"/>
  <c r="J2763" i="2"/>
  <c r="J2760" i="2"/>
  <c r="H2725" i="2"/>
  <c r="J2746" i="2"/>
  <c r="J2744" i="2"/>
  <c r="J2745" i="2"/>
  <c r="J2735" i="2"/>
  <c r="J2733" i="2"/>
  <c r="J2732" i="2"/>
  <c r="I2760" i="2"/>
  <c r="I2734" i="2"/>
  <c r="I2727" i="2"/>
  <c r="I2726" i="2"/>
  <c r="J2764" i="2"/>
  <c r="I2764" i="2"/>
  <c r="J2728" i="2"/>
  <c r="J2725" i="2"/>
  <c r="H2763" i="2"/>
  <c r="H2762" i="2"/>
  <c r="H2759" i="2"/>
  <c r="H2758" i="2"/>
  <c r="I2737" i="2"/>
  <c r="H2757" i="2"/>
  <c r="H2747" i="2"/>
  <c r="H2746" i="2"/>
  <c r="I2698" i="2"/>
  <c r="J2727" i="2"/>
  <c r="I2697" i="2"/>
  <c r="H2761" i="2"/>
  <c r="H2745" i="2"/>
  <c r="I2759" i="2"/>
  <c r="I2758" i="2"/>
  <c r="H2742" i="2"/>
  <c r="I2757" i="2"/>
  <c r="H2741" i="2"/>
  <c r="H2748" i="2"/>
  <c r="I2742" i="2"/>
  <c r="I2738" i="2"/>
  <c r="J2762" i="2"/>
  <c r="I2736" i="2"/>
  <c r="H2728" i="2"/>
  <c r="J2761" i="2"/>
  <c r="I2740" i="2"/>
  <c r="I2739" i="2"/>
  <c r="I2701" i="2"/>
  <c r="I2741" i="2"/>
  <c r="H2749" i="2"/>
  <c r="H2694" i="2"/>
  <c r="H2688" i="2"/>
  <c r="H2740" i="2"/>
  <c r="H2739" i="2"/>
  <c r="J2756" i="2"/>
  <c r="H2738" i="2"/>
  <c r="J2755" i="2"/>
  <c r="H2737" i="2"/>
  <c r="J2754" i="2"/>
  <c r="H2736" i="2"/>
  <c r="J2753" i="2"/>
  <c r="J2751" i="2"/>
  <c r="J2686" i="2"/>
  <c r="I2753" i="2"/>
  <c r="I2749" i="2"/>
  <c r="H2756" i="2"/>
  <c r="H2720" i="2"/>
  <c r="J2752" i="2"/>
  <c r="I2751" i="2"/>
  <c r="I2747" i="2"/>
  <c r="H2754" i="2"/>
  <c r="H2752" i="2"/>
  <c r="J2750" i="2"/>
  <c r="I2721" i="2"/>
  <c r="J2748" i="2"/>
  <c r="I2755" i="2"/>
  <c r="I2719" i="2"/>
  <c r="I2718" i="2"/>
  <c r="I2750" i="2"/>
  <c r="H2721" i="2"/>
  <c r="I2720" i="2"/>
  <c r="I2693" i="2"/>
  <c r="H2719" i="2"/>
  <c r="H2693" i="2"/>
  <c r="I2702" i="2"/>
  <c r="H2689" i="2"/>
  <c r="H2700" i="2"/>
  <c r="J2718" i="2"/>
  <c r="J2723" i="2"/>
  <c r="J2722" i="2"/>
  <c r="J2688" i="2"/>
  <c r="J2694" i="2"/>
  <c r="J2691" i="2"/>
  <c r="J2690" i="2"/>
  <c r="J2689" i="2"/>
  <c r="J2687" i="2"/>
  <c r="H2705" i="2"/>
  <c r="H2696" i="2"/>
  <c r="H2695" i="2"/>
  <c r="I2708" i="2"/>
  <c r="I2704" i="2"/>
  <c r="I2703" i="2"/>
  <c r="H2692" i="2"/>
  <c r="H2708" i="2"/>
  <c r="I2700" i="2"/>
  <c r="H2687" i="2"/>
  <c r="J2724" i="2"/>
  <c r="I2699" i="2"/>
  <c r="H2686" i="2"/>
  <c r="H2704" i="2"/>
  <c r="H2710" i="2"/>
  <c r="I2696" i="2"/>
  <c r="H2707" i="2"/>
  <c r="I2692" i="2"/>
  <c r="H2724" i="2"/>
  <c r="H2706" i="2"/>
  <c r="J2709" i="2"/>
  <c r="J2695" i="2"/>
  <c r="H2723" i="2"/>
  <c r="H2722" i="2"/>
  <c r="H2709" i="2"/>
  <c r="H2703" i="2"/>
  <c r="H2702" i="2"/>
  <c r="H2701" i="2"/>
  <c r="J2717" i="2"/>
  <c r="H2699" i="2"/>
  <c r="J2716" i="2"/>
  <c r="I2691" i="2"/>
  <c r="H2698" i="2"/>
  <c r="J2715" i="2"/>
  <c r="I2690" i="2"/>
  <c r="H2697" i="2"/>
  <c r="J2707" i="2"/>
  <c r="I2711" i="2"/>
  <c r="J2712" i="2"/>
  <c r="I2716" i="2"/>
  <c r="J2705" i="2"/>
  <c r="I2712" i="2"/>
  <c r="I2710" i="2"/>
  <c r="H2717" i="2"/>
  <c r="J2713" i="2"/>
  <c r="J2711" i="2"/>
  <c r="J2706" i="2"/>
  <c r="H2714" i="2"/>
  <c r="J2714" i="2"/>
  <c r="I2715" i="2"/>
  <c r="I2713" i="2"/>
  <c r="D2685" i="2"/>
  <c r="D2684" i="2"/>
  <c r="D2683" i="2"/>
  <c r="D2682" i="2"/>
  <c r="D2681" i="2"/>
  <c r="D2680" i="2"/>
  <c r="D2679" i="2"/>
  <c r="D2678" i="2"/>
  <c r="D2677" i="2"/>
  <c r="D2676" i="2"/>
  <c r="D2675" i="2"/>
  <c r="D2674" i="2"/>
  <c r="D2673" i="2"/>
  <c r="D2672" i="2"/>
  <c r="D2671" i="2"/>
  <c r="D2670" i="2"/>
  <c r="D2669" i="2"/>
  <c r="D2668" i="2"/>
  <c r="D2667" i="2"/>
  <c r="D2666" i="2"/>
  <c r="D2665" i="2"/>
  <c r="D2664" i="2"/>
  <c r="D2663" i="2"/>
  <c r="D2662" i="2"/>
  <c r="D2661" i="2"/>
  <c r="D2660" i="2"/>
  <c r="D2659" i="2"/>
  <c r="D2658" i="2"/>
  <c r="D2657" i="2"/>
  <c r="D2656" i="2"/>
  <c r="D2655" i="2"/>
  <c r="D2654" i="2"/>
  <c r="D2653" i="2"/>
  <c r="D2652" i="2"/>
  <c r="D2651" i="2"/>
  <c r="D2650" i="2"/>
  <c r="D2649" i="2"/>
  <c r="D2648" i="2"/>
  <c r="D2647" i="2"/>
  <c r="G2647" i="2"/>
  <c r="H2647" i="2"/>
  <c r="G2648" i="2"/>
  <c r="H2648" i="2"/>
  <c r="G2649" i="2"/>
  <c r="J2649" i="2"/>
  <c r="G2650" i="2"/>
  <c r="G2651" i="2"/>
  <c r="G2652" i="2"/>
  <c r="I2652" i="2"/>
  <c r="G2653" i="2"/>
  <c r="G2654" i="2"/>
  <c r="G2655" i="2"/>
  <c r="J2655" i="2"/>
  <c r="G2656" i="2"/>
  <c r="J2656" i="2"/>
  <c r="G2657" i="2"/>
  <c r="I2657" i="2"/>
  <c r="G2658" i="2"/>
  <c r="G2659" i="2"/>
  <c r="G2660" i="2"/>
  <c r="J2660" i="2"/>
  <c r="G2661" i="2"/>
  <c r="G2662" i="2"/>
  <c r="G2663" i="2"/>
  <c r="I2663" i="2"/>
  <c r="G2664" i="2"/>
  <c r="G2665" i="2"/>
  <c r="G2666" i="2"/>
  <c r="G2667" i="2"/>
  <c r="I2667" i="2"/>
  <c r="G2668" i="2"/>
  <c r="J2668" i="2"/>
  <c r="G2669" i="2"/>
  <c r="J2669" i="2"/>
  <c r="G2670" i="2"/>
  <c r="I2670" i="2"/>
  <c r="G2671" i="2"/>
  <c r="G2672" i="2"/>
  <c r="G2673" i="2"/>
  <c r="G2674" i="2"/>
  <c r="H2674" i="2"/>
  <c r="G2675" i="2"/>
  <c r="I2675" i="2"/>
  <c r="G2676" i="2"/>
  <c r="I2676" i="2"/>
  <c r="G2677" i="2"/>
  <c r="H2677" i="2"/>
  <c r="G2678" i="2"/>
  <c r="I2678" i="2"/>
  <c r="G2679" i="2"/>
  <c r="G2680" i="2"/>
  <c r="J2680" i="2"/>
  <c r="G2681" i="2"/>
  <c r="I2681" i="2"/>
  <c r="G2682" i="2"/>
  <c r="G2683" i="2"/>
  <c r="J2683" i="2"/>
  <c r="G2684" i="2"/>
  <c r="I2684" i="2"/>
  <c r="G2685" i="2"/>
  <c r="M2647" i="2"/>
  <c r="M2648" i="2"/>
  <c r="M2649" i="2"/>
  <c r="M2650" i="2"/>
  <c r="M2651" i="2"/>
  <c r="M2652" i="2"/>
  <c r="M2653" i="2"/>
  <c r="M2654" i="2"/>
  <c r="M2655" i="2"/>
  <c r="M2656" i="2"/>
  <c r="M2657" i="2"/>
  <c r="M2658" i="2"/>
  <c r="M2659" i="2"/>
  <c r="M2660" i="2"/>
  <c r="M2661" i="2"/>
  <c r="M2662" i="2"/>
  <c r="M2663" i="2"/>
  <c r="M2664" i="2"/>
  <c r="M2665" i="2"/>
  <c r="M2666" i="2"/>
  <c r="M2667" i="2"/>
  <c r="M2668" i="2"/>
  <c r="M2669" i="2"/>
  <c r="M2670" i="2"/>
  <c r="M2671" i="2"/>
  <c r="M2672" i="2"/>
  <c r="M2673" i="2"/>
  <c r="M2674" i="2"/>
  <c r="M2675" i="2"/>
  <c r="M2676" i="2"/>
  <c r="M2677" i="2"/>
  <c r="M2678" i="2"/>
  <c r="M2679" i="2"/>
  <c r="M2680" i="2"/>
  <c r="M2681" i="2"/>
  <c r="M2682" i="2"/>
  <c r="M2683" i="2"/>
  <c r="M2684" i="2"/>
  <c r="M2685" i="2"/>
  <c r="D2646" i="2"/>
  <c r="D2645" i="2"/>
  <c r="D2644" i="2"/>
  <c r="D2643" i="2"/>
  <c r="D2642" i="2"/>
  <c r="D2641" i="2"/>
  <c r="D2640" i="2"/>
  <c r="D2639" i="2"/>
  <c r="D2638" i="2"/>
  <c r="D2637" i="2"/>
  <c r="D2636" i="2"/>
  <c r="D2635" i="2"/>
  <c r="D2634" i="2"/>
  <c r="D2633" i="2"/>
  <c r="D2632" i="2"/>
  <c r="D2631" i="2"/>
  <c r="D2630" i="2"/>
  <c r="D2629" i="2"/>
  <c r="D2628" i="2"/>
  <c r="D2627" i="2"/>
  <c r="D2626" i="2"/>
  <c r="D2625" i="2"/>
  <c r="D2624" i="2"/>
  <c r="D2623" i="2"/>
  <c r="D2622" i="2"/>
  <c r="D2621" i="2"/>
  <c r="D2620" i="2"/>
  <c r="D2619" i="2"/>
  <c r="D2618" i="2"/>
  <c r="D2617" i="2"/>
  <c r="D2616" i="2"/>
  <c r="D2615" i="2"/>
  <c r="D2614" i="2"/>
  <c r="D2613" i="2"/>
  <c r="D2612" i="2"/>
  <c r="D2611" i="2"/>
  <c r="D2610" i="2"/>
  <c r="D2609" i="2"/>
  <c r="D2608" i="2"/>
  <c r="G2608" i="2"/>
  <c r="G2609" i="2"/>
  <c r="G2610" i="2"/>
  <c r="J2610" i="2"/>
  <c r="K2610" i="2"/>
  <c r="G2611" i="2"/>
  <c r="G2612" i="2"/>
  <c r="J2612" i="2"/>
  <c r="K2612" i="2"/>
  <c r="G2613" i="2"/>
  <c r="H2613" i="2"/>
  <c r="G2614" i="2"/>
  <c r="H2614" i="2"/>
  <c r="G2615" i="2"/>
  <c r="I2615" i="2"/>
  <c r="G2616" i="2"/>
  <c r="G2617" i="2"/>
  <c r="I2617" i="2"/>
  <c r="G2618" i="2"/>
  <c r="G2619" i="2"/>
  <c r="I2619" i="2"/>
  <c r="G2620" i="2"/>
  <c r="G2621" i="2"/>
  <c r="I2621" i="2"/>
  <c r="G2622" i="2"/>
  <c r="H2622" i="2"/>
  <c r="G2623" i="2"/>
  <c r="I2623" i="2"/>
  <c r="G2624" i="2"/>
  <c r="I2624" i="2"/>
  <c r="G2625" i="2"/>
  <c r="J2625" i="2"/>
  <c r="K2625" i="2"/>
  <c r="G2626" i="2"/>
  <c r="I2626" i="2"/>
  <c r="G2627" i="2"/>
  <c r="J2627" i="2"/>
  <c r="K2627" i="2"/>
  <c r="G2628" i="2"/>
  <c r="I2628" i="2"/>
  <c r="G2629" i="2"/>
  <c r="I2629" i="2"/>
  <c r="G2630" i="2"/>
  <c r="I2630" i="2"/>
  <c r="G2631" i="2"/>
  <c r="I2631" i="2"/>
  <c r="G2632" i="2"/>
  <c r="I2632" i="2"/>
  <c r="G2633" i="2"/>
  <c r="I2633" i="2"/>
  <c r="G2634" i="2"/>
  <c r="J2634" i="2"/>
  <c r="K2634" i="2"/>
  <c r="G2635" i="2"/>
  <c r="G2636" i="2"/>
  <c r="H2636" i="2"/>
  <c r="G2637" i="2"/>
  <c r="H2637" i="2"/>
  <c r="G2638" i="2"/>
  <c r="I2638" i="2"/>
  <c r="G2639" i="2"/>
  <c r="I2639" i="2"/>
  <c r="G2640" i="2"/>
  <c r="G2641" i="2"/>
  <c r="G2642" i="2"/>
  <c r="H2642" i="2"/>
  <c r="G2643" i="2"/>
  <c r="J2643" i="2"/>
  <c r="G2644" i="2"/>
  <c r="I2644" i="2"/>
  <c r="G2645" i="2"/>
  <c r="G2646" i="2"/>
  <c r="J2646" i="2"/>
  <c r="K2646" i="2"/>
  <c r="M2608" i="2"/>
  <c r="M2609" i="2"/>
  <c r="M2610" i="2"/>
  <c r="M2611" i="2"/>
  <c r="M2612" i="2"/>
  <c r="M2613" i="2"/>
  <c r="M2614" i="2"/>
  <c r="M2615" i="2"/>
  <c r="M2616" i="2"/>
  <c r="M2617" i="2"/>
  <c r="M2618" i="2"/>
  <c r="M2619" i="2"/>
  <c r="M2620" i="2"/>
  <c r="M2621" i="2"/>
  <c r="M2622" i="2"/>
  <c r="M2623" i="2"/>
  <c r="M2624" i="2"/>
  <c r="M2625" i="2"/>
  <c r="M2626" i="2"/>
  <c r="M2627" i="2"/>
  <c r="M2628" i="2"/>
  <c r="M2629" i="2"/>
  <c r="M2630" i="2"/>
  <c r="M2631" i="2"/>
  <c r="M2632" i="2"/>
  <c r="M2633" i="2"/>
  <c r="M2634" i="2"/>
  <c r="M2635" i="2"/>
  <c r="M2636" i="2"/>
  <c r="M2637" i="2"/>
  <c r="M2638" i="2"/>
  <c r="M2639" i="2"/>
  <c r="M2640" i="2"/>
  <c r="M2641" i="2"/>
  <c r="M2642" i="2"/>
  <c r="M2643" i="2"/>
  <c r="M2644" i="2"/>
  <c r="M2645" i="2"/>
  <c r="M2646" i="2"/>
  <c r="D2601" i="2"/>
  <c r="D2607" i="2"/>
  <c r="D2606" i="2"/>
  <c r="D2605" i="2"/>
  <c r="D2580" i="2"/>
  <c r="D2602" i="2"/>
  <c r="D2600" i="2"/>
  <c r="D2586" i="2"/>
  <c r="D2599" i="2"/>
  <c r="D2584" i="2"/>
  <c r="D2598" i="2"/>
  <c r="D2597" i="2"/>
  <c r="D2596" i="2"/>
  <c r="D2595" i="2"/>
  <c r="D2594" i="2"/>
  <c r="D2593" i="2"/>
  <c r="D2590" i="2"/>
  <c r="D2589" i="2"/>
  <c r="D2588" i="2"/>
  <c r="D2587" i="2"/>
  <c r="D2604" i="2"/>
  <c r="D2603" i="2"/>
  <c r="D2585" i="2"/>
  <c r="D2583" i="2"/>
  <c r="D2592" i="2"/>
  <c r="D2591" i="2"/>
  <c r="D2582" i="2"/>
  <c r="D2581" i="2"/>
  <c r="D2579" i="2"/>
  <c r="D2578" i="2"/>
  <c r="D2577" i="2"/>
  <c r="D2576" i="2"/>
  <c r="D2575" i="2"/>
  <c r="D2574" i="2"/>
  <c r="D2573" i="2"/>
  <c r="D2572" i="2"/>
  <c r="D2571" i="2"/>
  <c r="D2570" i="2"/>
  <c r="D2569" i="2"/>
  <c r="G2569" i="2"/>
  <c r="G2570" i="2"/>
  <c r="I2570" i="2"/>
  <c r="G2571" i="2"/>
  <c r="H2571" i="2"/>
  <c r="G2572" i="2"/>
  <c r="J2572" i="2"/>
  <c r="K2572" i="2"/>
  <c r="G2573" i="2"/>
  <c r="G2574" i="2"/>
  <c r="G2575" i="2"/>
  <c r="G2576" i="2"/>
  <c r="J2576" i="2"/>
  <c r="K2576" i="2"/>
  <c r="G2577" i="2"/>
  <c r="G2578" i="2"/>
  <c r="G2579" i="2"/>
  <c r="J2579" i="2"/>
  <c r="K2579" i="2"/>
  <c r="G2581" i="2"/>
  <c r="G2582" i="2"/>
  <c r="G2591" i="2"/>
  <c r="H2591" i="2"/>
  <c r="G2592" i="2"/>
  <c r="J2592" i="2"/>
  <c r="K2592" i="2"/>
  <c r="G2583" i="2"/>
  <c r="J2583" i="2"/>
  <c r="K2583" i="2"/>
  <c r="G2585" i="2"/>
  <c r="J2585" i="2"/>
  <c r="K2585" i="2"/>
  <c r="G2603" i="2"/>
  <c r="J2603" i="2"/>
  <c r="K2603" i="2"/>
  <c r="G2604" i="2"/>
  <c r="J2604" i="2"/>
  <c r="K2604" i="2"/>
  <c r="G2587" i="2"/>
  <c r="J2587" i="2"/>
  <c r="K2587" i="2"/>
  <c r="G2588" i="2"/>
  <c r="J2588" i="2"/>
  <c r="K2588" i="2"/>
  <c r="G2589" i="2"/>
  <c r="G2590" i="2"/>
  <c r="G2593" i="2"/>
  <c r="G2594" i="2"/>
  <c r="I2594" i="2"/>
  <c r="G2595" i="2"/>
  <c r="G2596" i="2"/>
  <c r="J2596" i="2"/>
  <c r="K2596" i="2"/>
  <c r="G2597" i="2"/>
  <c r="J2597" i="2"/>
  <c r="K2597" i="2"/>
  <c r="G2598" i="2"/>
  <c r="G2584" i="2"/>
  <c r="J2584" i="2"/>
  <c r="K2584" i="2"/>
  <c r="G2599" i="2"/>
  <c r="H2599" i="2"/>
  <c r="G2586" i="2"/>
  <c r="I2586" i="2"/>
  <c r="G2600" i="2"/>
  <c r="H2600" i="2"/>
  <c r="G2602" i="2"/>
  <c r="H2602" i="2"/>
  <c r="G2580" i="2"/>
  <c r="I2580" i="2"/>
  <c r="G2605" i="2"/>
  <c r="H2605" i="2"/>
  <c r="G2606" i="2"/>
  <c r="H2606" i="2"/>
  <c r="G2607" i="2"/>
  <c r="J2607" i="2"/>
  <c r="K2607" i="2"/>
  <c r="G2601" i="2"/>
  <c r="J2601" i="2"/>
  <c r="K2601" i="2"/>
  <c r="M2569" i="2"/>
  <c r="M2570" i="2"/>
  <c r="M2571" i="2"/>
  <c r="M2572" i="2"/>
  <c r="M2573" i="2"/>
  <c r="M2574" i="2"/>
  <c r="M2575" i="2"/>
  <c r="M2576" i="2"/>
  <c r="M2577" i="2"/>
  <c r="M2578" i="2"/>
  <c r="M2579" i="2"/>
  <c r="M2581" i="2"/>
  <c r="M2582" i="2"/>
  <c r="M2591" i="2"/>
  <c r="M2592" i="2"/>
  <c r="M2583" i="2"/>
  <c r="M2585" i="2"/>
  <c r="M2603" i="2"/>
  <c r="M2604" i="2"/>
  <c r="M2587" i="2"/>
  <c r="M2588" i="2"/>
  <c r="M2589" i="2"/>
  <c r="M2590" i="2"/>
  <c r="M2593" i="2"/>
  <c r="M2594" i="2"/>
  <c r="M2595" i="2"/>
  <c r="M2596" i="2"/>
  <c r="M2597" i="2"/>
  <c r="M2598" i="2"/>
  <c r="M2584" i="2"/>
  <c r="M2599" i="2"/>
  <c r="M2586" i="2"/>
  <c r="M2600" i="2"/>
  <c r="M2602" i="2"/>
  <c r="M2580" i="2"/>
  <c r="M2605" i="2"/>
  <c r="M2606" i="2"/>
  <c r="M2607" i="2"/>
  <c r="M2601" i="2"/>
  <c r="D2530" i="2"/>
  <c r="D2531" i="2"/>
  <c r="D2532" i="2"/>
  <c r="D2533" i="2"/>
  <c r="D2534" i="2"/>
  <c r="D2535" i="2"/>
  <c r="D2536" i="2"/>
  <c r="D2537" i="2"/>
  <c r="D2538" i="2"/>
  <c r="D2539" i="2"/>
  <c r="D2540" i="2"/>
  <c r="D2542" i="2"/>
  <c r="D2543" i="2"/>
  <c r="D2552" i="2"/>
  <c r="D2553" i="2"/>
  <c r="D2544" i="2"/>
  <c r="D2546" i="2"/>
  <c r="D2564" i="2"/>
  <c r="D2565" i="2"/>
  <c r="D2548" i="2"/>
  <c r="D2549" i="2"/>
  <c r="D2550" i="2"/>
  <c r="D2551" i="2"/>
  <c r="D2554" i="2"/>
  <c r="D2555" i="2"/>
  <c r="D2556" i="2"/>
  <c r="D2557" i="2"/>
  <c r="D2558" i="2"/>
  <c r="D2559" i="2"/>
  <c r="D2545" i="2"/>
  <c r="D2560" i="2"/>
  <c r="D2547" i="2"/>
  <c r="D2561" i="2"/>
  <c r="D2563" i="2"/>
  <c r="D2541" i="2"/>
  <c r="D2566" i="2"/>
  <c r="D2567" i="2"/>
  <c r="D2568" i="2"/>
  <c r="D2562" i="2"/>
  <c r="G2530" i="2"/>
  <c r="G2531" i="2"/>
  <c r="I2531" i="2"/>
  <c r="G2532" i="2"/>
  <c r="G2533" i="2"/>
  <c r="I2533" i="2"/>
  <c r="G2534" i="2"/>
  <c r="J2534" i="2"/>
  <c r="K2534" i="2"/>
  <c r="G2535" i="2"/>
  <c r="G2536" i="2"/>
  <c r="G2537" i="2"/>
  <c r="G2538" i="2"/>
  <c r="G2539" i="2"/>
  <c r="G2540" i="2"/>
  <c r="I2540" i="2"/>
  <c r="G2542" i="2"/>
  <c r="J2542" i="2"/>
  <c r="K2542" i="2"/>
  <c r="G2543" i="2"/>
  <c r="J2543" i="2"/>
  <c r="K2543" i="2"/>
  <c r="G2552" i="2"/>
  <c r="J2552" i="2"/>
  <c r="K2552" i="2"/>
  <c r="G2553" i="2"/>
  <c r="I2553" i="2"/>
  <c r="G2544" i="2"/>
  <c r="I2544" i="2"/>
  <c r="G2546" i="2"/>
  <c r="I2546" i="2"/>
  <c r="G2564" i="2"/>
  <c r="H2564" i="2"/>
  <c r="G2565" i="2"/>
  <c r="H2565" i="2"/>
  <c r="G2548" i="2"/>
  <c r="J2548" i="2"/>
  <c r="K2548" i="2"/>
  <c r="G2549" i="2"/>
  <c r="H2549" i="2"/>
  <c r="G2550" i="2"/>
  <c r="J2550" i="2"/>
  <c r="K2550" i="2"/>
  <c r="G2551" i="2"/>
  <c r="I2551" i="2"/>
  <c r="G2554" i="2"/>
  <c r="J2554" i="2"/>
  <c r="K2554" i="2"/>
  <c r="G2555" i="2"/>
  <c r="G2556" i="2"/>
  <c r="J2556" i="2"/>
  <c r="K2556" i="2"/>
  <c r="G2557" i="2"/>
  <c r="I2557" i="2"/>
  <c r="G2558" i="2"/>
  <c r="G2559" i="2"/>
  <c r="G2545" i="2"/>
  <c r="I2545" i="2"/>
  <c r="G2560" i="2"/>
  <c r="G2547" i="2"/>
  <c r="G2561" i="2"/>
  <c r="H2561" i="2"/>
  <c r="G2563" i="2"/>
  <c r="I2563" i="2"/>
  <c r="G2541" i="2"/>
  <c r="I2541" i="2"/>
  <c r="G2566" i="2"/>
  <c r="G2567" i="2"/>
  <c r="G2568" i="2"/>
  <c r="G2562" i="2"/>
  <c r="J2562" i="2"/>
  <c r="K2562" i="2"/>
  <c r="M2530" i="2"/>
  <c r="M2531" i="2"/>
  <c r="M2532" i="2"/>
  <c r="M2533" i="2"/>
  <c r="M2534" i="2"/>
  <c r="M2535" i="2"/>
  <c r="M2536" i="2"/>
  <c r="M2537" i="2"/>
  <c r="M2538" i="2"/>
  <c r="M2539" i="2"/>
  <c r="M2540" i="2"/>
  <c r="M2542" i="2"/>
  <c r="M2543" i="2"/>
  <c r="M2552" i="2"/>
  <c r="M2553" i="2"/>
  <c r="M2544" i="2"/>
  <c r="M2546" i="2"/>
  <c r="M2564" i="2"/>
  <c r="M2565" i="2"/>
  <c r="M2548" i="2"/>
  <c r="M2549" i="2"/>
  <c r="M2550" i="2"/>
  <c r="M2551" i="2"/>
  <c r="M2554" i="2"/>
  <c r="M2555" i="2"/>
  <c r="M2556" i="2"/>
  <c r="M2557" i="2"/>
  <c r="M2558" i="2"/>
  <c r="M2559" i="2"/>
  <c r="M2545" i="2"/>
  <c r="M2560" i="2"/>
  <c r="M2547" i="2"/>
  <c r="M2561" i="2"/>
  <c r="M2563" i="2"/>
  <c r="M2541" i="2"/>
  <c r="M2566" i="2"/>
  <c r="M2567" i="2"/>
  <c r="M2568" i="2"/>
  <c r="M2562" i="2"/>
  <c r="D2508" i="2"/>
  <c r="D2529" i="2"/>
  <c r="G2529" i="2"/>
  <c r="I2529" i="2"/>
  <c r="G2508" i="2"/>
  <c r="J2508" i="2"/>
  <c r="K2508" i="2"/>
  <c r="M2529" i="2"/>
  <c r="M2508" i="2"/>
  <c r="D2522" i="2"/>
  <c r="D2528" i="2"/>
  <c r="D2527" i="2"/>
  <c r="D2526" i="2"/>
  <c r="D2500" i="2"/>
  <c r="D2523" i="2"/>
  <c r="D2521" i="2"/>
  <c r="D2506" i="2"/>
  <c r="D2520" i="2"/>
  <c r="D2504" i="2"/>
  <c r="D2519" i="2"/>
  <c r="D2518" i="2"/>
  <c r="D2517" i="2"/>
  <c r="D2516" i="2"/>
  <c r="D2515" i="2"/>
  <c r="D2514" i="2"/>
  <c r="D2511" i="2"/>
  <c r="D2510" i="2"/>
  <c r="D2509" i="2"/>
  <c r="D2507" i="2"/>
  <c r="D2525" i="2"/>
  <c r="D2524" i="2"/>
  <c r="D2505" i="2"/>
  <c r="D2503" i="2"/>
  <c r="D2513" i="2"/>
  <c r="D2512" i="2"/>
  <c r="D2502" i="2"/>
  <c r="D2501" i="2"/>
  <c r="D2499" i="2"/>
  <c r="D2498" i="2"/>
  <c r="D2497" i="2"/>
  <c r="D2496" i="2"/>
  <c r="D2495" i="2"/>
  <c r="D2494" i="2"/>
  <c r="D2493" i="2"/>
  <c r="D2492" i="2"/>
  <c r="D2491" i="2"/>
  <c r="D2490" i="2"/>
  <c r="D2489" i="2"/>
  <c r="G2489" i="2"/>
  <c r="G2490" i="2"/>
  <c r="G2491" i="2"/>
  <c r="H2491" i="2"/>
  <c r="G2492" i="2"/>
  <c r="I2492" i="2"/>
  <c r="G2493" i="2"/>
  <c r="G2494" i="2"/>
  <c r="H2494" i="2"/>
  <c r="G2495" i="2"/>
  <c r="G2496" i="2"/>
  <c r="I2496" i="2"/>
  <c r="G2497" i="2"/>
  <c r="G2498" i="2"/>
  <c r="J2498" i="2"/>
  <c r="K2498" i="2"/>
  <c r="G2499" i="2"/>
  <c r="J2499" i="2"/>
  <c r="K2499" i="2"/>
  <c r="G2501" i="2"/>
  <c r="J2501" i="2"/>
  <c r="K2501" i="2"/>
  <c r="G2502" i="2"/>
  <c r="G2512" i="2"/>
  <c r="J2512" i="2"/>
  <c r="K2512" i="2"/>
  <c r="G2513" i="2"/>
  <c r="I2513" i="2"/>
  <c r="G2503" i="2"/>
  <c r="I2503" i="2"/>
  <c r="G2505" i="2"/>
  <c r="I2505" i="2"/>
  <c r="G2524" i="2"/>
  <c r="J2524" i="2"/>
  <c r="K2524" i="2"/>
  <c r="G2525" i="2"/>
  <c r="J2525" i="2"/>
  <c r="K2525" i="2"/>
  <c r="G2507" i="2"/>
  <c r="J2507" i="2"/>
  <c r="K2507" i="2"/>
  <c r="G2509" i="2"/>
  <c r="I2509" i="2"/>
  <c r="G2510" i="2"/>
  <c r="I2510" i="2"/>
  <c r="G2511" i="2"/>
  <c r="I2511" i="2"/>
  <c r="G2514" i="2"/>
  <c r="G2515" i="2"/>
  <c r="I2515" i="2"/>
  <c r="G2516" i="2"/>
  <c r="I2516" i="2"/>
  <c r="G2517" i="2"/>
  <c r="I2517" i="2"/>
  <c r="G2518" i="2"/>
  <c r="J2518" i="2"/>
  <c r="K2518" i="2"/>
  <c r="G2519" i="2"/>
  <c r="G2504" i="2"/>
  <c r="G2520" i="2"/>
  <c r="G2506" i="2"/>
  <c r="G2521" i="2"/>
  <c r="I2521" i="2"/>
  <c r="G2523" i="2"/>
  <c r="H2523" i="2"/>
  <c r="G2500" i="2"/>
  <c r="G2526" i="2"/>
  <c r="G2527" i="2"/>
  <c r="H2527" i="2"/>
  <c r="G2528" i="2"/>
  <c r="G2522" i="2"/>
  <c r="J2522" i="2"/>
  <c r="K2522" i="2"/>
  <c r="M2489" i="2"/>
  <c r="M2490" i="2"/>
  <c r="M2491" i="2"/>
  <c r="M2492" i="2"/>
  <c r="M2493" i="2"/>
  <c r="M2494" i="2"/>
  <c r="M2495" i="2"/>
  <c r="M2496" i="2"/>
  <c r="M2497" i="2"/>
  <c r="M2498" i="2"/>
  <c r="M2499" i="2"/>
  <c r="M2501" i="2"/>
  <c r="M2502" i="2"/>
  <c r="M2512" i="2"/>
  <c r="M2513" i="2"/>
  <c r="M2503" i="2"/>
  <c r="M2505" i="2"/>
  <c r="M2524" i="2"/>
  <c r="M2525" i="2"/>
  <c r="M2507" i="2"/>
  <c r="M2509" i="2"/>
  <c r="M2510" i="2"/>
  <c r="M2511" i="2"/>
  <c r="M2514" i="2"/>
  <c r="M2515" i="2"/>
  <c r="M2516" i="2"/>
  <c r="M2517" i="2"/>
  <c r="M2518" i="2"/>
  <c r="M2519" i="2"/>
  <c r="M2504" i="2"/>
  <c r="M2520" i="2"/>
  <c r="M2506" i="2"/>
  <c r="M2521" i="2"/>
  <c r="M2523" i="2"/>
  <c r="M2500" i="2"/>
  <c r="M2526" i="2"/>
  <c r="M2527" i="2"/>
  <c r="M2528" i="2"/>
  <c r="M2522" i="2"/>
  <c r="D2482" i="2"/>
  <c r="D2488" i="2"/>
  <c r="D2487" i="2"/>
  <c r="D2486" i="2"/>
  <c r="D2461" i="2"/>
  <c r="D2483" i="2"/>
  <c r="D2481" i="2"/>
  <c r="D2467" i="2"/>
  <c r="D2480" i="2"/>
  <c r="D2465" i="2"/>
  <c r="D2479" i="2"/>
  <c r="D2478" i="2"/>
  <c r="D2477" i="2"/>
  <c r="D2476" i="2"/>
  <c r="D2475" i="2"/>
  <c r="D2474" i="2"/>
  <c r="D2471" i="2"/>
  <c r="D2470" i="2"/>
  <c r="D2469" i="2"/>
  <c r="D2468" i="2"/>
  <c r="D2485" i="2"/>
  <c r="D2484" i="2"/>
  <c r="D2466" i="2"/>
  <c r="D2464" i="2"/>
  <c r="D2473" i="2"/>
  <c r="D2472" i="2"/>
  <c r="D2463" i="2"/>
  <c r="D2462" i="2"/>
  <c r="D2460" i="2"/>
  <c r="D2459" i="2"/>
  <c r="D2458" i="2"/>
  <c r="D2457" i="2"/>
  <c r="D2456" i="2"/>
  <c r="D2455" i="2"/>
  <c r="D2454" i="2"/>
  <c r="D2453" i="2"/>
  <c r="D2452" i="2"/>
  <c r="D2451" i="2"/>
  <c r="D2450" i="2"/>
  <c r="G2450" i="2"/>
  <c r="G2451" i="2"/>
  <c r="H2451" i="2"/>
  <c r="G2452" i="2"/>
  <c r="J2452" i="2"/>
  <c r="K2452" i="2"/>
  <c r="G2453" i="2"/>
  <c r="G2454" i="2"/>
  <c r="H2454" i="2"/>
  <c r="G2455" i="2"/>
  <c r="H2455" i="2"/>
  <c r="G2456" i="2"/>
  <c r="G2457" i="2"/>
  <c r="J2457" i="2"/>
  <c r="K2457" i="2"/>
  <c r="G2458" i="2"/>
  <c r="G2459" i="2"/>
  <c r="J2459" i="2"/>
  <c r="G2460" i="2"/>
  <c r="G2462" i="2"/>
  <c r="H2462" i="2"/>
  <c r="G2463" i="2"/>
  <c r="G2472" i="2"/>
  <c r="G2473" i="2"/>
  <c r="H2473" i="2"/>
  <c r="G2464" i="2"/>
  <c r="H2464" i="2"/>
  <c r="G2466" i="2"/>
  <c r="I2466" i="2"/>
  <c r="G2484" i="2"/>
  <c r="H2484" i="2"/>
  <c r="G2485" i="2"/>
  <c r="I2485" i="2"/>
  <c r="G2468" i="2"/>
  <c r="J2468" i="2"/>
  <c r="K2468" i="2"/>
  <c r="G2469" i="2"/>
  <c r="G2470" i="2"/>
  <c r="H2470" i="2"/>
  <c r="G2471" i="2"/>
  <c r="J2471" i="2"/>
  <c r="K2471" i="2"/>
  <c r="G2474" i="2"/>
  <c r="G2475" i="2"/>
  <c r="H2475" i="2"/>
  <c r="G2476" i="2"/>
  <c r="H2476" i="2"/>
  <c r="G2477" i="2"/>
  <c r="J2477" i="2"/>
  <c r="K2477" i="2"/>
  <c r="G2478" i="2"/>
  <c r="J2478" i="2"/>
  <c r="K2478" i="2"/>
  <c r="G2479" i="2"/>
  <c r="I2479" i="2"/>
  <c r="G2465" i="2"/>
  <c r="J2465" i="2"/>
  <c r="K2465" i="2"/>
  <c r="G2480" i="2"/>
  <c r="I2480" i="2"/>
  <c r="G2467" i="2"/>
  <c r="I2467" i="2"/>
  <c r="G2481" i="2"/>
  <c r="G2483" i="2"/>
  <c r="G2461" i="2"/>
  <c r="G2486" i="2"/>
  <c r="G2487" i="2"/>
  <c r="I2487" i="2"/>
  <c r="G2488" i="2"/>
  <c r="G2482" i="2"/>
  <c r="M2450" i="2"/>
  <c r="M2451" i="2"/>
  <c r="M2452" i="2"/>
  <c r="M2453" i="2"/>
  <c r="M2454" i="2"/>
  <c r="M2455" i="2"/>
  <c r="M2456" i="2"/>
  <c r="M2457" i="2"/>
  <c r="M2458" i="2"/>
  <c r="M2459" i="2"/>
  <c r="M2460" i="2"/>
  <c r="M2462" i="2"/>
  <c r="M2463" i="2"/>
  <c r="M2472" i="2"/>
  <c r="M2473" i="2"/>
  <c r="M2464" i="2"/>
  <c r="M2466" i="2"/>
  <c r="M2484" i="2"/>
  <c r="M2485" i="2"/>
  <c r="M2468" i="2"/>
  <c r="M2469" i="2"/>
  <c r="M2470" i="2"/>
  <c r="M2471" i="2"/>
  <c r="M2474" i="2"/>
  <c r="M2475" i="2"/>
  <c r="M2476" i="2"/>
  <c r="M2477" i="2"/>
  <c r="M2478" i="2"/>
  <c r="M2479" i="2"/>
  <c r="M2465" i="2"/>
  <c r="M2480" i="2"/>
  <c r="M2467" i="2"/>
  <c r="M2481" i="2"/>
  <c r="M2483" i="2"/>
  <c r="M2461" i="2"/>
  <c r="M2486" i="2"/>
  <c r="M2487" i="2"/>
  <c r="M2488" i="2"/>
  <c r="M2482" i="2"/>
  <c r="F20" i="37"/>
  <c r="E20" i="37"/>
  <c r="E57" i="30"/>
  <c r="G57" i="30"/>
  <c r="D2" i="29"/>
  <c r="D3" i="29"/>
  <c r="D4" i="29"/>
  <c r="D5" i="29"/>
  <c r="D6" i="29"/>
  <c r="D7" i="29"/>
  <c r="D8" i="29"/>
  <c r="D9" i="29"/>
  <c r="D10" i="29"/>
  <c r="D11" i="29"/>
  <c r="D12" i="29"/>
  <c r="D13" i="29"/>
  <c r="D14" i="29"/>
  <c r="D15" i="29"/>
  <c r="D16" i="29"/>
  <c r="D17" i="29"/>
  <c r="D18" i="29"/>
  <c r="D19" i="29"/>
  <c r="H57" i="30"/>
  <c r="F8" i="37"/>
  <c r="E8" i="37"/>
  <c r="F3" i="37"/>
  <c r="E3" i="37"/>
  <c r="F16" i="37"/>
  <c r="E16" i="37"/>
  <c r="F34" i="37"/>
  <c r="E34" i="37"/>
  <c r="F33" i="37"/>
  <c r="E33" i="37"/>
  <c r="F6" i="37"/>
  <c r="E6" i="37"/>
  <c r="F17" i="37"/>
  <c r="E17" i="37"/>
  <c r="F25" i="37"/>
  <c r="E25" i="37"/>
  <c r="F32" i="37"/>
  <c r="E32" i="37"/>
  <c r="F30" i="37"/>
  <c r="E30" i="37"/>
  <c r="F9" i="37"/>
  <c r="E9" i="37"/>
  <c r="F4" i="37"/>
  <c r="E4" i="37"/>
  <c r="F11" i="37"/>
  <c r="E11" i="37"/>
  <c r="F19" i="37"/>
  <c r="E19" i="37"/>
  <c r="F14" i="37"/>
  <c r="E14" i="37"/>
  <c r="F13" i="37"/>
  <c r="E13" i="37"/>
  <c r="F5" i="37"/>
  <c r="E5" i="37"/>
  <c r="F12" i="37"/>
  <c r="E12" i="37"/>
  <c r="F15" i="37"/>
  <c r="E15" i="37"/>
  <c r="F35" i="37"/>
  <c r="E35" i="37"/>
  <c r="F36" i="37"/>
  <c r="E36" i="37"/>
  <c r="F39" i="37"/>
  <c r="E39" i="37"/>
  <c r="F21" i="37"/>
  <c r="E21" i="37"/>
  <c r="F29" i="37"/>
  <c r="E29" i="37"/>
  <c r="F31" i="37"/>
  <c r="E31" i="37"/>
  <c r="F7" i="37"/>
  <c r="E7" i="37"/>
  <c r="F27" i="37"/>
  <c r="E27" i="37"/>
  <c r="F26" i="37"/>
  <c r="E26" i="37"/>
  <c r="F10" i="37"/>
  <c r="E10" i="37"/>
  <c r="F24" i="37"/>
  <c r="E24" i="37"/>
  <c r="F22" i="37"/>
  <c r="E22" i="37"/>
  <c r="F18" i="37"/>
  <c r="E18" i="37"/>
  <c r="F2" i="37"/>
  <c r="E2" i="37"/>
  <c r="F28" i="37"/>
  <c r="E28" i="37"/>
  <c r="F37" i="37"/>
  <c r="E37" i="37"/>
  <c r="F38" i="37"/>
  <c r="E38" i="37"/>
  <c r="F23" i="37"/>
  <c r="E23" i="37"/>
  <c r="D3" i="38"/>
  <c r="D2" i="38"/>
  <c r="D2443" i="2"/>
  <c r="D2449" i="2"/>
  <c r="D2448" i="2"/>
  <c r="D2447" i="2"/>
  <c r="D2422" i="2"/>
  <c r="D2444" i="2"/>
  <c r="D2442" i="2"/>
  <c r="D2428" i="2"/>
  <c r="D2441" i="2"/>
  <c r="D2426" i="2"/>
  <c r="D2440" i="2"/>
  <c r="D2439" i="2"/>
  <c r="D2438" i="2"/>
  <c r="D2437" i="2"/>
  <c r="D2436" i="2"/>
  <c r="D2435" i="2"/>
  <c r="D2432" i="2"/>
  <c r="D2431" i="2"/>
  <c r="D2430" i="2"/>
  <c r="D2429" i="2"/>
  <c r="D2446" i="2"/>
  <c r="D2445" i="2"/>
  <c r="D2427" i="2"/>
  <c r="D2425" i="2"/>
  <c r="D2434" i="2"/>
  <c r="D2433" i="2"/>
  <c r="D2424" i="2"/>
  <c r="D2423" i="2"/>
  <c r="D2421" i="2"/>
  <c r="D2420" i="2"/>
  <c r="D2419" i="2"/>
  <c r="D2418" i="2"/>
  <c r="D2417" i="2"/>
  <c r="D2416" i="2"/>
  <c r="D2415" i="2"/>
  <c r="D2414" i="2"/>
  <c r="D2413" i="2"/>
  <c r="D2412" i="2"/>
  <c r="D2411" i="2"/>
  <c r="G2411" i="2"/>
  <c r="G2412" i="2"/>
  <c r="H2412" i="2"/>
  <c r="G2413" i="2"/>
  <c r="G2414" i="2"/>
  <c r="G2415" i="2"/>
  <c r="H2415" i="2"/>
  <c r="G2416" i="2"/>
  <c r="H2416" i="2"/>
  <c r="G2417" i="2"/>
  <c r="I2417" i="2"/>
  <c r="G2418" i="2"/>
  <c r="G2419" i="2"/>
  <c r="J2419" i="2"/>
  <c r="K2419" i="2"/>
  <c r="G2420" i="2"/>
  <c r="H2420" i="2"/>
  <c r="G2421" i="2"/>
  <c r="G2423" i="2"/>
  <c r="I2423" i="2"/>
  <c r="G2424" i="2"/>
  <c r="G2433" i="2"/>
  <c r="J2433" i="2"/>
  <c r="K2433" i="2"/>
  <c r="G2434" i="2"/>
  <c r="H2434" i="2"/>
  <c r="G2425" i="2"/>
  <c r="I2425" i="2"/>
  <c r="G2427" i="2"/>
  <c r="J2427" i="2"/>
  <c r="K2427" i="2"/>
  <c r="G2445" i="2"/>
  <c r="H2445" i="2"/>
  <c r="G2446" i="2"/>
  <c r="I2446" i="2"/>
  <c r="G2429" i="2"/>
  <c r="H2429" i="2"/>
  <c r="G2430" i="2"/>
  <c r="H2430" i="2"/>
  <c r="G2431" i="2"/>
  <c r="H2431" i="2"/>
  <c r="G2432" i="2"/>
  <c r="G2435" i="2"/>
  <c r="J2435" i="2"/>
  <c r="K2435" i="2"/>
  <c r="G2436" i="2"/>
  <c r="H2436" i="2"/>
  <c r="G2437" i="2"/>
  <c r="G2438" i="2"/>
  <c r="J2438" i="2"/>
  <c r="K2438" i="2"/>
  <c r="G2439" i="2"/>
  <c r="G2440" i="2"/>
  <c r="J2440" i="2"/>
  <c r="K2440" i="2"/>
  <c r="G2426" i="2"/>
  <c r="I2426" i="2"/>
  <c r="G2441" i="2"/>
  <c r="J2441" i="2"/>
  <c r="K2441" i="2"/>
  <c r="G2428" i="2"/>
  <c r="J2428" i="2"/>
  <c r="K2428" i="2"/>
  <c r="G2442" i="2"/>
  <c r="G2444" i="2"/>
  <c r="I2444" i="2"/>
  <c r="G2422" i="2"/>
  <c r="G2447" i="2"/>
  <c r="I2447" i="2"/>
  <c r="G2448" i="2"/>
  <c r="G2449" i="2"/>
  <c r="G2443" i="2"/>
  <c r="M2411" i="2"/>
  <c r="M2412" i="2"/>
  <c r="M2413" i="2"/>
  <c r="M2414" i="2"/>
  <c r="M2415" i="2"/>
  <c r="M2416" i="2"/>
  <c r="M2417" i="2"/>
  <c r="M2418" i="2"/>
  <c r="M2419" i="2"/>
  <c r="M2420" i="2"/>
  <c r="M2421" i="2"/>
  <c r="M2423" i="2"/>
  <c r="M2424" i="2"/>
  <c r="M2433" i="2"/>
  <c r="M2434" i="2"/>
  <c r="M2425" i="2"/>
  <c r="M2427" i="2"/>
  <c r="M2445" i="2"/>
  <c r="M2446" i="2"/>
  <c r="M2429" i="2"/>
  <c r="M2430" i="2"/>
  <c r="M2431" i="2"/>
  <c r="M2432" i="2"/>
  <c r="M2435" i="2"/>
  <c r="M2436" i="2"/>
  <c r="M2437" i="2"/>
  <c r="M2438" i="2"/>
  <c r="M2439" i="2"/>
  <c r="M2440" i="2"/>
  <c r="M2426" i="2"/>
  <c r="M2441" i="2"/>
  <c r="M2428" i="2"/>
  <c r="M2442" i="2"/>
  <c r="M2444" i="2"/>
  <c r="M2422" i="2"/>
  <c r="M2447" i="2"/>
  <c r="M2448" i="2"/>
  <c r="M2449" i="2"/>
  <c r="M2443" i="2"/>
  <c r="M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1002" i="2"/>
  <c r="M1003" i="2"/>
  <c r="M1004" i="2"/>
  <c r="M1005" i="2"/>
  <c r="M1006" i="2"/>
  <c r="M1007" i="2"/>
  <c r="M1008" i="2"/>
  <c r="M1009" i="2"/>
  <c r="M1010" i="2"/>
  <c r="M1011" i="2"/>
  <c r="M1012" i="2"/>
  <c r="M1013" i="2"/>
  <c r="M1014" i="2"/>
  <c r="M1015" i="2"/>
  <c r="M1016" i="2"/>
  <c r="M1017" i="2"/>
  <c r="M1018" i="2"/>
  <c r="M1019" i="2"/>
  <c r="M1020" i="2"/>
  <c r="M1021" i="2"/>
  <c r="M1022" i="2"/>
  <c r="M1023" i="2"/>
  <c r="M1024" i="2"/>
  <c r="M1025" i="2"/>
  <c r="M1026" i="2"/>
  <c r="M1027" i="2"/>
  <c r="M1028" i="2"/>
  <c r="M1029" i="2"/>
  <c r="M1030" i="2"/>
  <c r="M1031" i="2"/>
  <c r="M1032" i="2"/>
  <c r="M1033" i="2"/>
  <c r="M1034" i="2"/>
  <c r="M1035" i="2"/>
  <c r="M1036" i="2"/>
  <c r="M1037" i="2"/>
  <c r="M1038" i="2"/>
  <c r="M1039" i="2"/>
  <c r="M1040" i="2"/>
  <c r="M1041" i="2"/>
  <c r="M1042" i="2"/>
  <c r="M1043" i="2"/>
  <c r="M1044" i="2"/>
  <c r="M1045" i="2"/>
  <c r="M1046" i="2"/>
  <c r="M1047" i="2"/>
  <c r="M1048" i="2"/>
  <c r="M1049" i="2"/>
  <c r="M1050" i="2"/>
  <c r="M1051" i="2"/>
  <c r="M1052" i="2"/>
  <c r="M1053" i="2"/>
  <c r="M1054" i="2"/>
  <c r="M1055" i="2"/>
  <c r="M1056" i="2"/>
  <c r="M1057" i="2"/>
  <c r="M1058" i="2"/>
  <c r="M1059" i="2"/>
  <c r="M1060" i="2"/>
  <c r="M1061" i="2"/>
  <c r="M1062" i="2"/>
  <c r="M1063" i="2"/>
  <c r="M1064" i="2"/>
  <c r="M1065" i="2"/>
  <c r="M1066" i="2"/>
  <c r="M1067" i="2"/>
  <c r="M1068" i="2"/>
  <c r="M1069" i="2"/>
  <c r="M1070" i="2"/>
  <c r="M1071" i="2"/>
  <c r="M1072" i="2"/>
  <c r="M1073" i="2"/>
  <c r="M1074" i="2"/>
  <c r="M1075" i="2"/>
  <c r="M1076" i="2"/>
  <c r="M1077" i="2"/>
  <c r="M1078" i="2"/>
  <c r="M1079" i="2"/>
  <c r="M1080" i="2"/>
  <c r="M1081" i="2"/>
  <c r="M1082" i="2"/>
  <c r="M1083" i="2"/>
  <c r="M1084" i="2"/>
  <c r="M1085" i="2"/>
  <c r="M1086" i="2"/>
  <c r="M1087" i="2"/>
  <c r="M1088" i="2"/>
  <c r="M1089" i="2"/>
  <c r="M1090" i="2"/>
  <c r="M1091" i="2"/>
  <c r="M1092" i="2"/>
  <c r="M1093" i="2"/>
  <c r="M1094" i="2"/>
  <c r="M1095" i="2"/>
  <c r="M1096" i="2"/>
  <c r="M1097" i="2"/>
  <c r="M1098" i="2"/>
  <c r="M1099" i="2"/>
  <c r="M1100" i="2"/>
  <c r="M1101" i="2"/>
  <c r="M1102" i="2"/>
  <c r="M1103" i="2"/>
  <c r="M1104" i="2"/>
  <c r="M1105" i="2"/>
  <c r="M1106" i="2"/>
  <c r="M1107" i="2"/>
  <c r="M1108" i="2"/>
  <c r="M1109" i="2"/>
  <c r="M1110" i="2"/>
  <c r="M1111" i="2"/>
  <c r="M1112" i="2"/>
  <c r="M1113" i="2"/>
  <c r="M1114" i="2"/>
  <c r="M1115" i="2"/>
  <c r="M1116" i="2"/>
  <c r="M1117" i="2"/>
  <c r="M1118" i="2"/>
  <c r="M1119" i="2"/>
  <c r="M1120" i="2"/>
  <c r="M1121" i="2"/>
  <c r="M1122" i="2"/>
  <c r="M1123" i="2"/>
  <c r="M1124" i="2"/>
  <c r="M1125" i="2"/>
  <c r="M1126" i="2"/>
  <c r="M1127" i="2"/>
  <c r="M1128" i="2"/>
  <c r="M1129" i="2"/>
  <c r="M1130" i="2"/>
  <c r="M1131" i="2"/>
  <c r="M1132" i="2"/>
  <c r="M1133" i="2"/>
  <c r="M1134" i="2"/>
  <c r="M1135" i="2"/>
  <c r="M1136" i="2"/>
  <c r="M1137" i="2"/>
  <c r="M1138" i="2"/>
  <c r="M1139" i="2"/>
  <c r="M1140" i="2"/>
  <c r="M1141" i="2"/>
  <c r="M1142" i="2"/>
  <c r="M1143" i="2"/>
  <c r="M1144" i="2"/>
  <c r="M1145" i="2"/>
  <c r="M1146" i="2"/>
  <c r="M1147" i="2"/>
  <c r="M1148" i="2"/>
  <c r="M1149" i="2"/>
  <c r="M1150" i="2"/>
  <c r="M1151" i="2"/>
  <c r="M1152" i="2"/>
  <c r="M1153" i="2"/>
  <c r="M1154" i="2"/>
  <c r="M1155" i="2"/>
  <c r="M1156" i="2"/>
  <c r="M1157" i="2"/>
  <c r="M1158" i="2"/>
  <c r="M1159" i="2"/>
  <c r="M1160" i="2"/>
  <c r="M1161" i="2"/>
  <c r="M1162" i="2"/>
  <c r="M1163" i="2"/>
  <c r="M1164" i="2"/>
  <c r="M1165" i="2"/>
  <c r="M1166" i="2"/>
  <c r="M1167" i="2"/>
  <c r="M1168" i="2"/>
  <c r="M1169" i="2"/>
  <c r="M1170" i="2"/>
  <c r="M1171" i="2"/>
  <c r="M1172" i="2"/>
  <c r="M1173" i="2"/>
  <c r="M1174" i="2"/>
  <c r="M1175" i="2"/>
  <c r="M1176" i="2"/>
  <c r="M1177" i="2"/>
  <c r="M1178" i="2"/>
  <c r="M1179" i="2"/>
  <c r="M1180" i="2"/>
  <c r="M1181" i="2"/>
  <c r="M1182" i="2"/>
  <c r="M1183" i="2"/>
  <c r="M1184" i="2"/>
  <c r="M1185" i="2"/>
  <c r="M1186" i="2"/>
  <c r="M1187" i="2"/>
  <c r="M1188" i="2"/>
  <c r="M1189" i="2"/>
  <c r="M1190" i="2"/>
  <c r="M1191" i="2"/>
  <c r="M1192" i="2"/>
  <c r="M1193" i="2"/>
  <c r="M1194" i="2"/>
  <c r="M1195" i="2"/>
  <c r="M1196" i="2"/>
  <c r="M1197" i="2"/>
  <c r="M1198" i="2"/>
  <c r="M1199" i="2"/>
  <c r="M1200" i="2"/>
  <c r="M1201" i="2"/>
  <c r="M1202" i="2"/>
  <c r="M1203" i="2"/>
  <c r="M1204" i="2"/>
  <c r="M1205" i="2"/>
  <c r="M1206" i="2"/>
  <c r="M1207" i="2"/>
  <c r="M1208" i="2"/>
  <c r="M1209" i="2"/>
  <c r="M1210" i="2"/>
  <c r="M1211" i="2"/>
  <c r="M1212" i="2"/>
  <c r="M1213" i="2"/>
  <c r="M1214" i="2"/>
  <c r="M1215" i="2"/>
  <c r="M1216" i="2"/>
  <c r="M1217" i="2"/>
  <c r="M1218" i="2"/>
  <c r="M1219" i="2"/>
  <c r="M1220" i="2"/>
  <c r="M1221" i="2"/>
  <c r="M1222" i="2"/>
  <c r="M1223" i="2"/>
  <c r="M1224" i="2"/>
  <c r="M1225" i="2"/>
  <c r="M1226" i="2"/>
  <c r="M1227" i="2"/>
  <c r="M1228" i="2"/>
  <c r="M1229" i="2"/>
  <c r="M1230" i="2"/>
  <c r="M1231" i="2"/>
  <c r="M1232" i="2"/>
  <c r="M1233" i="2"/>
  <c r="M1234" i="2"/>
  <c r="M1235" i="2"/>
  <c r="M1236" i="2"/>
  <c r="M1237" i="2"/>
  <c r="M1238" i="2"/>
  <c r="M1239" i="2"/>
  <c r="M1240" i="2"/>
  <c r="M1241" i="2"/>
  <c r="M1242" i="2"/>
  <c r="M1243" i="2"/>
  <c r="M1244" i="2"/>
  <c r="M1245" i="2"/>
  <c r="M1246" i="2"/>
  <c r="M1247" i="2"/>
  <c r="M1248" i="2"/>
  <c r="M1249" i="2"/>
  <c r="M1250" i="2"/>
  <c r="M1251" i="2"/>
  <c r="M1252" i="2"/>
  <c r="M1253" i="2"/>
  <c r="M1254" i="2"/>
  <c r="M1255" i="2"/>
  <c r="M1256" i="2"/>
  <c r="M1257" i="2"/>
  <c r="M1258" i="2"/>
  <c r="M1259" i="2"/>
  <c r="M1260" i="2"/>
  <c r="M1261" i="2"/>
  <c r="M1262" i="2"/>
  <c r="M1263" i="2"/>
  <c r="M1264" i="2"/>
  <c r="M1265" i="2"/>
  <c r="M1266" i="2"/>
  <c r="M1267" i="2"/>
  <c r="M1268" i="2"/>
  <c r="M1269" i="2"/>
  <c r="M1270" i="2"/>
  <c r="M1271" i="2"/>
  <c r="M1272" i="2"/>
  <c r="M1273" i="2"/>
  <c r="M1274" i="2"/>
  <c r="M1275" i="2"/>
  <c r="M1276" i="2"/>
  <c r="M1277" i="2"/>
  <c r="M1278" i="2"/>
  <c r="M1279" i="2"/>
  <c r="M1280" i="2"/>
  <c r="M1281" i="2"/>
  <c r="M1282" i="2"/>
  <c r="M1283" i="2"/>
  <c r="M1284" i="2"/>
  <c r="M1285" i="2"/>
  <c r="M1286" i="2"/>
  <c r="M1287" i="2"/>
  <c r="M1288" i="2"/>
  <c r="M1289" i="2"/>
  <c r="M1290" i="2"/>
  <c r="M1291" i="2"/>
  <c r="M1292" i="2"/>
  <c r="M1293" i="2"/>
  <c r="M1294" i="2"/>
  <c r="M1295" i="2"/>
  <c r="M1296" i="2"/>
  <c r="M1297" i="2"/>
  <c r="M1298" i="2"/>
  <c r="M1299" i="2"/>
  <c r="M1300" i="2"/>
  <c r="M1301" i="2"/>
  <c r="M1302" i="2"/>
  <c r="M1303" i="2"/>
  <c r="M1304" i="2"/>
  <c r="M1305" i="2"/>
  <c r="M1306" i="2"/>
  <c r="M1307" i="2"/>
  <c r="M1308" i="2"/>
  <c r="M1309" i="2"/>
  <c r="M1310" i="2"/>
  <c r="M1311" i="2"/>
  <c r="M1312" i="2"/>
  <c r="M1313" i="2"/>
  <c r="M1314" i="2"/>
  <c r="M1315" i="2"/>
  <c r="M1316" i="2"/>
  <c r="M1317" i="2"/>
  <c r="M1318" i="2"/>
  <c r="M1319" i="2"/>
  <c r="M1320" i="2"/>
  <c r="M1321" i="2"/>
  <c r="M1322" i="2"/>
  <c r="M1323" i="2"/>
  <c r="M1324" i="2"/>
  <c r="M1325" i="2"/>
  <c r="M1326" i="2"/>
  <c r="M1327" i="2"/>
  <c r="M1328" i="2"/>
  <c r="M1329" i="2"/>
  <c r="M1330" i="2"/>
  <c r="M1331" i="2"/>
  <c r="M1332" i="2"/>
  <c r="M1333" i="2"/>
  <c r="M1334" i="2"/>
  <c r="M1335" i="2"/>
  <c r="M1336" i="2"/>
  <c r="M1337" i="2"/>
  <c r="M1338" i="2"/>
  <c r="M1339" i="2"/>
  <c r="M1340" i="2"/>
  <c r="M1341" i="2"/>
  <c r="M1342" i="2"/>
  <c r="M1343" i="2"/>
  <c r="M1344" i="2"/>
  <c r="M1345" i="2"/>
  <c r="M1346" i="2"/>
  <c r="M1347" i="2"/>
  <c r="M1348" i="2"/>
  <c r="M1349" i="2"/>
  <c r="M1350" i="2"/>
  <c r="M1351" i="2"/>
  <c r="M1352" i="2"/>
  <c r="M1353" i="2"/>
  <c r="M1354" i="2"/>
  <c r="M1355" i="2"/>
  <c r="M1356" i="2"/>
  <c r="M1357" i="2"/>
  <c r="M1358" i="2"/>
  <c r="M1359" i="2"/>
  <c r="M1360" i="2"/>
  <c r="M1361" i="2"/>
  <c r="M1362" i="2"/>
  <c r="M1363" i="2"/>
  <c r="M1364" i="2"/>
  <c r="M1365" i="2"/>
  <c r="M1366" i="2"/>
  <c r="M1367" i="2"/>
  <c r="M1368" i="2"/>
  <c r="M1369" i="2"/>
  <c r="M1370" i="2"/>
  <c r="M1371" i="2"/>
  <c r="M1372" i="2"/>
  <c r="M1373" i="2"/>
  <c r="M1374" i="2"/>
  <c r="M1375" i="2"/>
  <c r="M1376" i="2"/>
  <c r="M1377" i="2"/>
  <c r="M1378" i="2"/>
  <c r="M1379" i="2"/>
  <c r="M1380" i="2"/>
  <c r="M1381" i="2"/>
  <c r="M1382" i="2"/>
  <c r="M1383" i="2"/>
  <c r="M1384" i="2"/>
  <c r="M1385" i="2"/>
  <c r="M1386" i="2"/>
  <c r="M1387" i="2"/>
  <c r="M1388" i="2"/>
  <c r="M1389" i="2"/>
  <c r="M1390" i="2"/>
  <c r="M1391" i="2"/>
  <c r="M1392" i="2"/>
  <c r="M1393" i="2"/>
  <c r="M1394" i="2"/>
  <c r="M1395" i="2"/>
  <c r="M1396" i="2"/>
  <c r="M1397" i="2"/>
  <c r="M1398" i="2"/>
  <c r="M1399" i="2"/>
  <c r="M1400" i="2"/>
  <c r="M1401" i="2"/>
  <c r="M1402" i="2"/>
  <c r="M1403" i="2"/>
  <c r="M1404" i="2"/>
  <c r="M1405" i="2"/>
  <c r="M1406" i="2"/>
  <c r="M1407" i="2"/>
  <c r="M1408" i="2"/>
  <c r="M1409" i="2"/>
  <c r="M1410" i="2"/>
  <c r="M1411" i="2"/>
  <c r="M1412" i="2"/>
  <c r="M1413" i="2"/>
  <c r="M1414" i="2"/>
  <c r="M1415" i="2"/>
  <c r="M1416" i="2"/>
  <c r="M1417" i="2"/>
  <c r="M1418" i="2"/>
  <c r="M1419" i="2"/>
  <c r="M1420" i="2"/>
  <c r="M1421" i="2"/>
  <c r="M1422" i="2"/>
  <c r="M1423" i="2"/>
  <c r="M1424" i="2"/>
  <c r="M1425" i="2"/>
  <c r="M1426" i="2"/>
  <c r="M1427" i="2"/>
  <c r="M1428" i="2"/>
  <c r="M1429" i="2"/>
  <c r="M1430" i="2"/>
  <c r="M1431" i="2"/>
  <c r="M1432" i="2"/>
  <c r="M1433" i="2"/>
  <c r="M1434" i="2"/>
  <c r="M1435" i="2"/>
  <c r="M1436" i="2"/>
  <c r="M1437" i="2"/>
  <c r="M1438" i="2"/>
  <c r="M1439" i="2"/>
  <c r="M1440" i="2"/>
  <c r="M1441" i="2"/>
  <c r="M1442" i="2"/>
  <c r="M1443" i="2"/>
  <c r="M1444" i="2"/>
  <c r="M1445" i="2"/>
  <c r="M1446" i="2"/>
  <c r="M1447" i="2"/>
  <c r="M1448" i="2"/>
  <c r="M1449" i="2"/>
  <c r="M1450" i="2"/>
  <c r="M1451" i="2"/>
  <c r="M1452" i="2"/>
  <c r="M1453" i="2"/>
  <c r="M1454" i="2"/>
  <c r="M1455" i="2"/>
  <c r="M1456" i="2"/>
  <c r="M1457" i="2"/>
  <c r="M1458" i="2"/>
  <c r="M1459" i="2"/>
  <c r="M1460" i="2"/>
  <c r="M1461" i="2"/>
  <c r="M1462" i="2"/>
  <c r="M1463" i="2"/>
  <c r="M1464" i="2"/>
  <c r="M1465" i="2"/>
  <c r="M1466" i="2"/>
  <c r="M1467" i="2"/>
  <c r="M1468" i="2"/>
  <c r="M1469" i="2"/>
  <c r="M1470" i="2"/>
  <c r="M1471" i="2"/>
  <c r="M1472" i="2"/>
  <c r="M1473" i="2"/>
  <c r="M1474" i="2"/>
  <c r="M1475" i="2"/>
  <c r="M1476" i="2"/>
  <c r="M1477" i="2"/>
  <c r="M1478" i="2"/>
  <c r="M1479" i="2"/>
  <c r="M1480" i="2"/>
  <c r="M1481" i="2"/>
  <c r="M1482" i="2"/>
  <c r="M1483" i="2"/>
  <c r="M1484" i="2"/>
  <c r="M1485" i="2"/>
  <c r="M1486" i="2"/>
  <c r="M1487" i="2"/>
  <c r="M1488" i="2"/>
  <c r="M1489" i="2"/>
  <c r="M1490" i="2"/>
  <c r="M1491" i="2"/>
  <c r="M1492" i="2"/>
  <c r="M1493" i="2"/>
  <c r="M1494" i="2"/>
  <c r="M1495" i="2"/>
  <c r="M1496" i="2"/>
  <c r="M1497" i="2"/>
  <c r="M1498" i="2"/>
  <c r="M1499" i="2"/>
  <c r="M1500" i="2"/>
  <c r="M1501" i="2"/>
  <c r="M1502" i="2"/>
  <c r="M1503" i="2"/>
  <c r="M1504" i="2"/>
  <c r="M1505" i="2"/>
  <c r="M1506" i="2"/>
  <c r="M1507" i="2"/>
  <c r="M1508" i="2"/>
  <c r="M1509" i="2"/>
  <c r="M1510" i="2"/>
  <c r="M1511" i="2"/>
  <c r="M1512" i="2"/>
  <c r="M1513" i="2"/>
  <c r="M1514" i="2"/>
  <c r="M1515" i="2"/>
  <c r="M1516" i="2"/>
  <c r="M1517" i="2"/>
  <c r="M1518" i="2"/>
  <c r="M1519" i="2"/>
  <c r="M1520" i="2"/>
  <c r="M1521" i="2"/>
  <c r="M1522" i="2"/>
  <c r="M1523" i="2"/>
  <c r="M1524" i="2"/>
  <c r="M1525" i="2"/>
  <c r="M1526" i="2"/>
  <c r="M1527" i="2"/>
  <c r="M1528" i="2"/>
  <c r="M1529" i="2"/>
  <c r="M1530" i="2"/>
  <c r="M1531" i="2"/>
  <c r="M1532" i="2"/>
  <c r="M1533" i="2"/>
  <c r="M1534" i="2"/>
  <c r="M1535" i="2"/>
  <c r="M1536" i="2"/>
  <c r="M1537" i="2"/>
  <c r="M1538" i="2"/>
  <c r="M1539" i="2"/>
  <c r="M1540" i="2"/>
  <c r="M1541" i="2"/>
  <c r="M1542" i="2"/>
  <c r="M1543" i="2"/>
  <c r="M1544" i="2"/>
  <c r="M1545" i="2"/>
  <c r="M1546" i="2"/>
  <c r="M1547" i="2"/>
  <c r="M1548" i="2"/>
  <c r="M1549" i="2"/>
  <c r="M1550" i="2"/>
  <c r="M1551" i="2"/>
  <c r="M1552" i="2"/>
  <c r="M1553" i="2"/>
  <c r="M1554" i="2"/>
  <c r="M1555" i="2"/>
  <c r="M1556" i="2"/>
  <c r="M1557" i="2"/>
  <c r="M1558" i="2"/>
  <c r="M1559" i="2"/>
  <c r="M1560" i="2"/>
  <c r="M1561" i="2"/>
  <c r="M1562" i="2"/>
  <c r="M1563" i="2"/>
  <c r="M1564" i="2"/>
  <c r="M1565" i="2"/>
  <c r="M1566" i="2"/>
  <c r="M1567" i="2"/>
  <c r="M1568" i="2"/>
  <c r="M1569" i="2"/>
  <c r="M1570" i="2"/>
  <c r="M1571" i="2"/>
  <c r="M1572" i="2"/>
  <c r="M1573" i="2"/>
  <c r="M1574" i="2"/>
  <c r="M1575" i="2"/>
  <c r="M1576" i="2"/>
  <c r="M1577" i="2"/>
  <c r="M1578" i="2"/>
  <c r="M1579" i="2"/>
  <c r="M1580" i="2"/>
  <c r="M1581" i="2"/>
  <c r="M1582" i="2"/>
  <c r="M1583" i="2"/>
  <c r="M1584" i="2"/>
  <c r="M1585" i="2"/>
  <c r="M1586" i="2"/>
  <c r="M1587" i="2"/>
  <c r="M1588" i="2"/>
  <c r="M1589" i="2"/>
  <c r="M1590" i="2"/>
  <c r="M1591" i="2"/>
  <c r="M1592" i="2"/>
  <c r="M1593" i="2"/>
  <c r="M1594" i="2"/>
  <c r="M1595" i="2"/>
  <c r="M1596" i="2"/>
  <c r="M1597" i="2"/>
  <c r="M1598" i="2"/>
  <c r="M1599" i="2"/>
  <c r="M1600" i="2"/>
  <c r="M1601" i="2"/>
  <c r="M1602" i="2"/>
  <c r="M1603" i="2"/>
  <c r="M1604" i="2"/>
  <c r="M1605" i="2"/>
  <c r="M1606" i="2"/>
  <c r="M1607" i="2"/>
  <c r="M1608" i="2"/>
  <c r="M1609" i="2"/>
  <c r="M1610" i="2"/>
  <c r="M1611" i="2"/>
  <c r="M1612" i="2"/>
  <c r="M1613" i="2"/>
  <c r="M1614" i="2"/>
  <c r="M1615" i="2"/>
  <c r="M1616" i="2"/>
  <c r="M1617" i="2"/>
  <c r="M1618" i="2"/>
  <c r="M1619" i="2"/>
  <c r="M1620" i="2"/>
  <c r="M1621" i="2"/>
  <c r="M1622" i="2"/>
  <c r="M1623" i="2"/>
  <c r="M1624" i="2"/>
  <c r="M1625" i="2"/>
  <c r="M1626" i="2"/>
  <c r="M1627" i="2"/>
  <c r="M1628" i="2"/>
  <c r="M1629" i="2"/>
  <c r="M1630" i="2"/>
  <c r="M1631" i="2"/>
  <c r="M1632" i="2"/>
  <c r="M1633" i="2"/>
  <c r="M1634" i="2"/>
  <c r="M1635" i="2"/>
  <c r="M1636" i="2"/>
  <c r="M1637" i="2"/>
  <c r="M1638" i="2"/>
  <c r="M1639" i="2"/>
  <c r="M1640" i="2"/>
  <c r="M1641" i="2"/>
  <c r="M1642" i="2"/>
  <c r="M1643" i="2"/>
  <c r="M1644" i="2"/>
  <c r="M1645" i="2"/>
  <c r="M1646" i="2"/>
  <c r="M1647" i="2"/>
  <c r="M1648" i="2"/>
  <c r="M1649" i="2"/>
  <c r="M1650" i="2"/>
  <c r="M1651" i="2"/>
  <c r="M1652" i="2"/>
  <c r="M1653" i="2"/>
  <c r="M1654" i="2"/>
  <c r="M1655" i="2"/>
  <c r="M1656" i="2"/>
  <c r="M1657" i="2"/>
  <c r="M1658" i="2"/>
  <c r="M1659" i="2"/>
  <c r="M1660" i="2"/>
  <c r="M1661" i="2"/>
  <c r="M1662" i="2"/>
  <c r="M1663" i="2"/>
  <c r="M1664" i="2"/>
  <c r="M1665" i="2"/>
  <c r="M1666" i="2"/>
  <c r="M1667" i="2"/>
  <c r="M1668" i="2"/>
  <c r="M1669" i="2"/>
  <c r="M1670" i="2"/>
  <c r="M1671" i="2"/>
  <c r="M1672" i="2"/>
  <c r="M1673" i="2"/>
  <c r="M1674" i="2"/>
  <c r="M1675" i="2"/>
  <c r="M1676" i="2"/>
  <c r="M1677" i="2"/>
  <c r="M1678" i="2"/>
  <c r="M1679" i="2"/>
  <c r="M1680" i="2"/>
  <c r="M1681" i="2"/>
  <c r="M1682" i="2"/>
  <c r="M1683" i="2"/>
  <c r="M1684" i="2"/>
  <c r="M1685" i="2"/>
  <c r="M1686" i="2"/>
  <c r="M1687" i="2"/>
  <c r="M1688" i="2"/>
  <c r="M1689" i="2"/>
  <c r="M1690" i="2"/>
  <c r="M1691" i="2"/>
  <c r="M1692" i="2"/>
  <c r="M1693" i="2"/>
  <c r="M1694" i="2"/>
  <c r="M1695" i="2"/>
  <c r="M1696" i="2"/>
  <c r="M1697" i="2"/>
  <c r="M1698" i="2"/>
  <c r="M1699" i="2"/>
  <c r="M1700" i="2"/>
  <c r="M1701" i="2"/>
  <c r="M1702" i="2"/>
  <c r="M1703" i="2"/>
  <c r="M1704" i="2"/>
  <c r="M1705" i="2"/>
  <c r="M1706" i="2"/>
  <c r="M1707" i="2"/>
  <c r="M1708" i="2"/>
  <c r="M1709" i="2"/>
  <c r="M1710" i="2"/>
  <c r="M1711" i="2"/>
  <c r="M1712" i="2"/>
  <c r="M1713" i="2"/>
  <c r="M1714" i="2"/>
  <c r="M1715" i="2"/>
  <c r="M1716" i="2"/>
  <c r="M1717" i="2"/>
  <c r="M1718" i="2"/>
  <c r="M1719" i="2"/>
  <c r="M1720" i="2"/>
  <c r="M1721" i="2"/>
  <c r="M1722" i="2"/>
  <c r="M1723" i="2"/>
  <c r="M1724" i="2"/>
  <c r="M1725" i="2"/>
  <c r="M1726" i="2"/>
  <c r="M1727" i="2"/>
  <c r="M1728" i="2"/>
  <c r="M1729" i="2"/>
  <c r="M1730" i="2"/>
  <c r="M1731" i="2"/>
  <c r="M1732" i="2"/>
  <c r="M1733" i="2"/>
  <c r="M1734" i="2"/>
  <c r="M1735" i="2"/>
  <c r="M1736" i="2"/>
  <c r="M1737" i="2"/>
  <c r="M1738" i="2"/>
  <c r="M1739" i="2"/>
  <c r="M1740" i="2"/>
  <c r="M1741" i="2"/>
  <c r="M1742" i="2"/>
  <c r="M1743" i="2"/>
  <c r="M1744" i="2"/>
  <c r="M1745" i="2"/>
  <c r="M1746" i="2"/>
  <c r="M1747" i="2"/>
  <c r="M1748" i="2"/>
  <c r="M1749" i="2"/>
  <c r="M1750" i="2"/>
  <c r="M1751" i="2"/>
  <c r="M1752" i="2"/>
  <c r="M1753" i="2"/>
  <c r="M1754" i="2"/>
  <c r="M1755" i="2"/>
  <c r="M1756" i="2"/>
  <c r="M1757" i="2"/>
  <c r="M1758" i="2"/>
  <c r="M1759" i="2"/>
  <c r="M1760" i="2"/>
  <c r="M1761" i="2"/>
  <c r="M1762" i="2"/>
  <c r="M1763" i="2"/>
  <c r="M1764" i="2"/>
  <c r="M1765" i="2"/>
  <c r="M1766" i="2"/>
  <c r="M1767" i="2"/>
  <c r="M1768" i="2"/>
  <c r="M1769" i="2"/>
  <c r="M1770" i="2"/>
  <c r="M1771" i="2"/>
  <c r="M1772" i="2"/>
  <c r="M1773" i="2"/>
  <c r="M1774" i="2"/>
  <c r="M1775" i="2"/>
  <c r="M1776" i="2"/>
  <c r="M1777" i="2"/>
  <c r="M1778" i="2"/>
  <c r="M1779" i="2"/>
  <c r="M1780" i="2"/>
  <c r="M1781" i="2"/>
  <c r="M1782" i="2"/>
  <c r="M1783" i="2"/>
  <c r="M1784" i="2"/>
  <c r="M1785" i="2"/>
  <c r="M1786" i="2"/>
  <c r="M1787" i="2"/>
  <c r="M1788" i="2"/>
  <c r="M1789" i="2"/>
  <c r="M1790" i="2"/>
  <c r="M1791" i="2"/>
  <c r="M1792" i="2"/>
  <c r="M1793" i="2"/>
  <c r="M1794" i="2"/>
  <c r="M1795" i="2"/>
  <c r="M1796" i="2"/>
  <c r="M1797" i="2"/>
  <c r="M1798" i="2"/>
  <c r="M1799" i="2"/>
  <c r="M1800" i="2"/>
  <c r="M1801" i="2"/>
  <c r="M1802" i="2"/>
  <c r="M1803" i="2"/>
  <c r="M1804" i="2"/>
  <c r="M1805" i="2"/>
  <c r="M1806" i="2"/>
  <c r="M1807" i="2"/>
  <c r="M1808" i="2"/>
  <c r="M1809" i="2"/>
  <c r="M1810" i="2"/>
  <c r="M1811" i="2"/>
  <c r="M1812" i="2"/>
  <c r="M1813" i="2"/>
  <c r="M1814" i="2"/>
  <c r="M1815" i="2"/>
  <c r="M1816" i="2"/>
  <c r="M1817" i="2"/>
  <c r="M1818" i="2"/>
  <c r="M1819" i="2"/>
  <c r="M1820" i="2"/>
  <c r="M1821" i="2"/>
  <c r="M1822" i="2"/>
  <c r="M1823" i="2"/>
  <c r="M1824" i="2"/>
  <c r="M1825" i="2"/>
  <c r="M1826" i="2"/>
  <c r="M1827" i="2"/>
  <c r="M1828" i="2"/>
  <c r="M1829" i="2"/>
  <c r="M1830" i="2"/>
  <c r="M1831" i="2"/>
  <c r="M1832" i="2"/>
  <c r="M1833" i="2"/>
  <c r="M1834" i="2"/>
  <c r="M1835" i="2"/>
  <c r="M1836" i="2"/>
  <c r="M1837" i="2"/>
  <c r="M1838" i="2"/>
  <c r="M1839" i="2"/>
  <c r="M1840" i="2"/>
  <c r="M1841" i="2"/>
  <c r="M1842" i="2"/>
  <c r="M1843" i="2"/>
  <c r="M1844" i="2"/>
  <c r="M1845" i="2"/>
  <c r="M1846" i="2"/>
  <c r="M1847" i="2"/>
  <c r="M1848" i="2"/>
  <c r="M1849" i="2"/>
  <c r="M1850" i="2"/>
  <c r="M1851" i="2"/>
  <c r="M1852" i="2"/>
  <c r="M1853" i="2"/>
  <c r="M1854" i="2"/>
  <c r="M1855" i="2"/>
  <c r="M1856" i="2"/>
  <c r="M1857" i="2"/>
  <c r="M1858" i="2"/>
  <c r="M1859" i="2"/>
  <c r="M1860" i="2"/>
  <c r="M1861" i="2"/>
  <c r="M1862" i="2"/>
  <c r="M1863" i="2"/>
  <c r="M1864" i="2"/>
  <c r="M1865" i="2"/>
  <c r="M1866" i="2"/>
  <c r="M1867" i="2"/>
  <c r="M1868" i="2"/>
  <c r="M1869" i="2"/>
  <c r="M1870" i="2"/>
  <c r="M1871" i="2"/>
  <c r="M1872" i="2"/>
  <c r="M1873" i="2"/>
  <c r="M1874" i="2"/>
  <c r="M1875" i="2"/>
  <c r="M1876" i="2"/>
  <c r="M1877" i="2"/>
  <c r="M1878" i="2"/>
  <c r="M1879" i="2"/>
  <c r="M1880" i="2"/>
  <c r="M1881" i="2"/>
  <c r="M1882" i="2"/>
  <c r="M1883" i="2"/>
  <c r="M1884" i="2"/>
  <c r="M1885" i="2"/>
  <c r="M1886" i="2"/>
  <c r="M1887" i="2"/>
  <c r="M1888" i="2"/>
  <c r="M1889" i="2"/>
  <c r="M1890" i="2"/>
  <c r="M1891" i="2"/>
  <c r="M1892" i="2"/>
  <c r="M1893" i="2"/>
  <c r="M1894" i="2"/>
  <c r="M1895" i="2"/>
  <c r="M1896" i="2"/>
  <c r="M1897" i="2"/>
  <c r="M1898" i="2"/>
  <c r="M1899" i="2"/>
  <c r="M1900" i="2"/>
  <c r="M1901" i="2"/>
  <c r="M1902" i="2"/>
  <c r="M1903" i="2"/>
  <c r="M1904" i="2"/>
  <c r="M1905" i="2"/>
  <c r="M1906" i="2"/>
  <c r="M1907" i="2"/>
  <c r="M1908" i="2"/>
  <c r="M1909" i="2"/>
  <c r="M1910" i="2"/>
  <c r="M1911" i="2"/>
  <c r="M1912" i="2"/>
  <c r="M1913" i="2"/>
  <c r="M1914" i="2"/>
  <c r="M1915" i="2"/>
  <c r="M1916" i="2"/>
  <c r="M1917" i="2"/>
  <c r="M1918" i="2"/>
  <c r="M1919" i="2"/>
  <c r="M1920" i="2"/>
  <c r="M1921" i="2"/>
  <c r="M1922" i="2"/>
  <c r="M1923" i="2"/>
  <c r="M1924" i="2"/>
  <c r="M1925" i="2"/>
  <c r="M1926" i="2"/>
  <c r="M1927" i="2"/>
  <c r="M1928" i="2"/>
  <c r="M1929" i="2"/>
  <c r="M1930" i="2"/>
  <c r="M1931" i="2"/>
  <c r="M1932" i="2"/>
  <c r="M1933" i="2"/>
  <c r="M1934" i="2"/>
  <c r="M1935" i="2"/>
  <c r="M1936" i="2"/>
  <c r="M1937" i="2"/>
  <c r="M1938" i="2"/>
  <c r="M1939" i="2"/>
  <c r="M1940" i="2"/>
  <c r="M1941" i="2"/>
  <c r="M1942" i="2"/>
  <c r="M1943" i="2"/>
  <c r="M1944" i="2"/>
  <c r="M1945" i="2"/>
  <c r="M1946" i="2"/>
  <c r="M1947" i="2"/>
  <c r="M1948" i="2"/>
  <c r="M1949" i="2"/>
  <c r="M1950" i="2"/>
  <c r="M1951" i="2"/>
  <c r="M1952" i="2"/>
  <c r="M1953" i="2"/>
  <c r="M1954" i="2"/>
  <c r="M1955" i="2"/>
  <c r="M1956" i="2"/>
  <c r="M1957" i="2"/>
  <c r="M1958" i="2"/>
  <c r="M1959" i="2"/>
  <c r="M1960" i="2"/>
  <c r="M1961" i="2"/>
  <c r="M1962" i="2"/>
  <c r="M1963" i="2"/>
  <c r="M1964" i="2"/>
  <c r="M1965" i="2"/>
  <c r="M1966" i="2"/>
  <c r="M1967" i="2"/>
  <c r="M1968" i="2"/>
  <c r="M1969" i="2"/>
  <c r="M1970" i="2"/>
  <c r="M1971" i="2"/>
  <c r="M1972" i="2"/>
  <c r="M1973" i="2"/>
  <c r="M1974" i="2"/>
  <c r="M1975" i="2"/>
  <c r="M1976" i="2"/>
  <c r="M1977" i="2"/>
  <c r="M1978" i="2"/>
  <c r="M1979" i="2"/>
  <c r="M1981" i="2"/>
  <c r="M1982" i="2"/>
  <c r="M1983" i="2"/>
  <c r="M1984" i="2"/>
  <c r="M1985" i="2"/>
  <c r="M1986" i="2"/>
  <c r="M1987" i="2"/>
  <c r="M1988" i="2"/>
  <c r="M1989" i="2"/>
  <c r="M1990" i="2"/>
  <c r="M1991" i="2"/>
  <c r="M1992" i="2"/>
  <c r="M1993" i="2"/>
  <c r="M1980" i="2"/>
  <c r="M1994" i="2"/>
  <c r="M1995" i="2"/>
  <c r="M1996" i="2"/>
  <c r="M1997" i="2"/>
  <c r="M1998" i="2"/>
  <c r="M1999" i="2"/>
  <c r="M2000" i="2"/>
  <c r="M2002" i="2"/>
  <c r="M2003" i="2"/>
  <c r="M2004" i="2"/>
  <c r="M2005" i="2"/>
  <c r="M2006" i="2"/>
  <c r="M2007" i="2"/>
  <c r="M2008" i="2"/>
  <c r="M2009" i="2"/>
  <c r="M2010" i="2"/>
  <c r="M2011" i="2"/>
  <c r="M2012" i="2"/>
  <c r="M2013" i="2"/>
  <c r="M2014" i="2"/>
  <c r="M2015" i="2"/>
  <c r="M2016" i="2"/>
  <c r="M2017" i="2"/>
  <c r="M2018" i="2"/>
  <c r="M2020" i="2"/>
  <c r="M2021" i="2"/>
  <c r="M2022" i="2"/>
  <c r="M2023" i="2"/>
  <c r="M2024" i="2"/>
  <c r="M2025" i="2"/>
  <c r="M2026" i="2"/>
  <c r="M2027" i="2"/>
  <c r="M2028" i="2"/>
  <c r="M2029" i="2"/>
  <c r="M2030" i="2"/>
  <c r="M2031" i="2"/>
  <c r="M2032" i="2"/>
  <c r="M2019" i="2"/>
  <c r="M2001" i="2"/>
  <c r="M2033" i="2"/>
  <c r="M2034" i="2"/>
  <c r="M2035" i="2"/>
  <c r="M2036" i="2"/>
  <c r="M2037" i="2"/>
  <c r="M2038" i="2"/>
  <c r="M2040" i="2"/>
  <c r="M2039" i="2"/>
  <c r="M2041" i="2"/>
  <c r="M2042" i="2"/>
  <c r="M2043" i="2"/>
  <c r="M2044" i="2"/>
  <c r="M2046" i="2"/>
  <c r="M2047" i="2"/>
  <c r="M2060" i="2"/>
  <c r="M2059" i="2"/>
  <c r="M2048" i="2"/>
  <c r="M2050" i="2"/>
  <c r="M2069" i="2"/>
  <c r="M2070" i="2"/>
  <c r="M2051" i="2"/>
  <c r="M2053" i="2"/>
  <c r="M2057" i="2"/>
  <c r="M2054" i="2"/>
  <c r="M2055" i="2"/>
  <c r="M2056" i="2"/>
  <c r="M2058" i="2"/>
  <c r="M2061" i="2"/>
  <c r="M2062" i="2"/>
  <c r="M2063" i="2"/>
  <c r="M2064" i="2"/>
  <c r="M2049" i="2"/>
  <c r="M2065" i="2"/>
  <c r="M2066" i="2"/>
  <c r="M2052" i="2"/>
  <c r="M2067" i="2"/>
  <c r="M2045" i="2"/>
  <c r="M2071" i="2"/>
  <c r="M2072" i="2"/>
  <c r="M2073" i="2"/>
  <c r="M2068" i="2"/>
  <c r="M2074" i="2"/>
  <c r="M2075" i="2"/>
  <c r="M2076" i="2"/>
  <c r="M2077" i="2"/>
  <c r="M2078" i="2"/>
  <c r="M2079" i="2"/>
  <c r="M2081" i="2"/>
  <c r="M2080" i="2"/>
  <c r="M2082" i="2"/>
  <c r="M2083" i="2"/>
  <c r="M2084" i="2"/>
  <c r="M2085" i="2"/>
  <c r="M2087" i="2"/>
  <c r="M2088" i="2"/>
  <c r="M2101" i="2"/>
  <c r="M2100" i="2"/>
  <c r="M2089" i="2"/>
  <c r="M2091" i="2"/>
  <c r="M2110" i="2"/>
  <c r="M2111" i="2"/>
  <c r="M2092" i="2"/>
  <c r="M2094" i="2"/>
  <c r="M2098" i="2"/>
  <c r="M2095" i="2"/>
  <c r="M2096" i="2"/>
  <c r="M2097" i="2"/>
  <c r="M2099" i="2"/>
  <c r="M2102" i="2"/>
  <c r="M2103" i="2"/>
  <c r="M2104" i="2"/>
  <c r="M2105" i="2"/>
  <c r="M2090" i="2"/>
  <c r="M2106" i="2"/>
  <c r="M2107" i="2"/>
  <c r="M2093" i="2"/>
  <c r="M2108" i="2"/>
  <c r="M2086" i="2"/>
  <c r="M2112" i="2"/>
  <c r="M2113" i="2"/>
  <c r="M2114" i="2"/>
  <c r="M2109" i="2"/>
  <c r="M2115" i="2"/>
  <c r="M2116" i="2"/>
  <c r="M2117" i="2"/>
  <c r="M2118" i="2"/>
  <c r="M2119" i="2"/>
  <c r="M2120" i="2"/>
  <c r="M2122" i="2"/>
  <c r="M2121" i="2"/>
  <c r="M2123" i="2"/>
  <c r="M2124" i="2"/>
  <c r="M2125" i="2"/>
  <c r="M2126" i="2"/>
  <c r="M2128" i="2"/>
  <c r="M2129" i="2"/>
  <c r="M2142" i="2"/>
  <c r="M2141" i="2"/>
  <c r="M2130" i="2"/>
  <c r="M2132" i="2"/>
  <c r="M2151" i="2"/>
  <c r="M2152" i="2"/>
  <c r="M2133" i="2"/>
  <c r="M2135" i="2"/>
  <c r="M2139" i="2"/>
  <c r="M2136" i="2"/>
  <c r="M2137" i="2"/>
  <c r="M2138" i="2"/>
  <c r="M2140" i="2"/>
  <c r="M2143" i="2"/>
  <c r="M2144" i="2"/>
  <c r="M2145" i="2"/>
  <c r="M2146" i="2"/>
  <c r="M2131" i="2"/>
  <c r="M2147" i="2"/>
  <c r="M2148" i="2"/>
  <c r="M2134" i="2"/>
  <c r="M2149" i="2"/>
  <c r="M2127" i="2"/>
  <c r="M2153" i="2"/>
  <c r="M2154" i="2"/>
  <c r="M2155" i="2"/>
  <c r="M2150" i="2"/>
  <c r="M2156" i="2"/>
  <c r="M2157" i="2"/>
  <c r="M2158" i="2"/>
  <c r="M2159" i="2"/>
  <c r="M2160" i="2"/>
  <c r="M2161" i="2"/>
  <c r="M2163" i="2"/>
  <c r="M2162" i="2"/>
  <c r="M2164" i="2"/>
  <c r="M2165" i="2"/>
  <c r="M2166" i="2"/>
  <c r="M2167" i="2"/>
  <c r="M2169" i="2"/>
  <c r="M2170" i="2"/>
  <c r="M2183" i="2"/>
  <c r="M2182" i="2"/>
  <c r="M2171" i="2"/>
  <c r="M2173" i="2"/>
  <c r="M2193" i="2"/>
  <c r="M2194" i="2"/>
  <c r="M2174" i="2"/>
  <c r="M2176" i="2"/>
  <c r="M2180" i="2"/>
  <c r="M2177" i="2"/>
  <c r="M2178" i="2"/>
  <c r="M2179" i="2"/>
  <c r="M2181" i="2"/>
  <c r="M2184" i="2"/>
  <c r="M2185" i="2"/>
  <c r="M2187" i="2"/>
  <c r="M2188" i="2"/>
  <c r="M2172" i="2"/>
  <c r="M2189" i="2"/>
  <c r="M2190" i="2"/>
  <c r="M2175" i="2"/>
  <c r="M2191" i="2"/>
  <c r="M2168" i="2"/>
  <c r="M2195" i="2"/>
  <c r="M2196" i="2"/>
  <c r="M2197" i="2"/>
  <c r="M2192" i="2"/>
  <c r="M2186" i="2"/>
  <c r="M2198" i="2"/>
  <c r="M2199" i="2"/>
  <c r="M2200" i="2"/>
  <c r="M2201" i="2"/>
  <c r="M2202" i="2"/>
  <c r="M2203" i="2"/>
  <c r="M2205" i="2"/>
  <c r="M2204" i="2"/>
  <c r="M2206" i="2"/>
  <c r="M2207" i="2"/>
  <c r="M2208" i="2"/>
  <c r="M2209" i="2"/>
  <c r="M2211" i="2"/>
  <c r="M2212" i="2"/>
  <c r="M2225" i="2"/>
  <c r="M2224" i="2"/>
  <c r="M2213" i="2"/>
  <c r="M2215" i="2"/>
  <c r="M2235" i="2"/>
  <c r="M2236" i="2"/>
  <c r="M2216" i="2"/>
  <c r="M2218" i="2"/>
  <c r="M2222" i="2"/>
  <c r="M2219" i="2"/>
  <c r="M2220" i="2"/>
  <c r="M2221" i="2"/>
  <c r="M2223" i="2"/>
  <c r="M2226" i="2"/>
  <c r="M2227" i="2"/>
  <c r="M2229" i="2"/>
  <c r="M2230" i="2"/>
  <c r="M2214" i="2"/>
  <c r="M2231" i="2"/>
  <c r="M2232" i="2"/>
  <c r="M2217" i="2"/>
  <c r="M2233" i="2"/>
  <c r="M2210" i="2"/>
  <c r="M2237" i="2"/>
  <c r="M2238" i="2"/>
  <c r="M2239" i="2"/>
  <c r="M2234" i="2"/>
  <c r="M2228" i="2"/>
  <c r="M2240" i="2"/>
  <c r="M2241" i="2"/>
  <c r="M2242" i="2"/>
  <c r="M2243" i="2"/>
  <c r="M2244" i="2"/>
  <c r="M2245" i="2"/>
  <c r="M2247" i="2"/>
  <c r="M2246" i="2"/>
  <c r="M2248" i="2"/>
  <c r="M2249" i="2"/>
  <c r="M2250" i="2"/>
  <c r="M2251" i="2"/>
  <c r="M2253" i="2"/>
  <c r="M2254" i="2"/>
  <c r="M2267" i="2"/>
  <c r="M2266" i="2"/>
  <c r="M2255" i="2"/>
  <c r="M2257" i="2"/>
  <c r="M2277" i="2"/>
  <c r="M2278" i="2"/>
  <c r="M2258" i="2"/>
  <c r="M2260" i="2"/>
  <c r="M2264" i="2"/>
  <c r="M2261" i="2"/>
  <c r="M2262" i="2"/>
  <c r="M2263" i="2"/>
  <c r="M2265" i="2"/>
  <c r="M2268" i="2"/>
  <c r="M2269" i="2"/>
  <c r="M2271" i="2"/>
  <c r="M2272" i="2"/>
  <c r="M2256" i="2"/>
  <c r="M2273" i="2"/>
  <c r="M2274" i="2"/>
  <c r="M2259" i="2"/>
  <c r="M2275" i="2"/>
  <c r="M2252" i="2"/>
  <c r="M2279" i="2"/>
  <c r="M2280" i="2"/>
  <c r="M2281" i="2"/>
  <c r="M2276" i="2"/>
  <c r="M2270" i="2"/>
  <c r="M2282" i="2"/>
  <c r="M2283" i="2"/>
  <c r="M2284" i="2"/>
  <c r="M2285" i="2"/>
  <c r="M2286" i="2"/>
  <c r="M2287" i="2"/>
  <c r="M2289" i="2"/>
  <c r="M2288" i="2"/>
  <c r="M2290" i="2"/>
  <c r="M2291" i="2"/>
  <c r="M2292" i="2"/>
  <c r="M2293" i="2"/>
  <c r="M2295" i="2"/>
  <c r="M2296" i="2"/>
  <c r="M2309" i="2"/>
  <c r="M2308" i="2"/>
  <c r="M2297" i="2"/>
  <c r="M2299" i="2"/>
  <c r="M2319" i="2"/>
  <c r="M2320" i="2"/>
  <c r="M2300" i="2"/>
  <c r="M2302" i="2"/>
  <c r="M2306" i="2"/>
  <c r="M2303" i="2"/>
  <c r="M2304" i="2"/>
  <c r="M2305" i="2"/>
  <c r="M2307" i="2"/>
  <c r="M2310" i="2"/>
  <c r="M2311" i="2"/>
  <c r="M2313" i="2"/>
  <c r="M2314" i="2"/>
  <c r="M2298" i="2"/>
  <c r="M2315" i="2"/>
  <c r="M2316" i="2"/>
  <c r="M2301" i="2"/>
  <c r="M2317" i="2"/>
  <c r="M2294" i="2"/>
  <c r="M2321" i="2"/>
  <c r="M2322" i="2"/>
  <c r="M2323" i="2"/>
  <c r="M2318" i="2"/>
  <c r="M2312" i="2"/>
  <c r="M2324" i="2"/>
  <c r="M2325" i="2"/>
  <c r="M2326" i="2"/>
  <c r="M2327" i="2"/>
  <c r="M2328" i="2"/>
  <c r="M2329" i="2"/>
  <c r="M2331" i="2"/>
  <c r="M2330" i="2"/>
  <c r="M2332" i="2"/>
  <c r="M2333" i="2"/>
  <c r="M2334" i="2"/>
  <c r="M2335" i="2"/>
  <c r="M2337" i="2"/>
  <c r="M2338" i="2"/>
  <c r="M2351" i="2"/>
  <c r="M2350" i="2"/>
  <c r="M2339" i="2"/>
  <c r="M2341" i="2"/>
  <c r="M2362" i="2"/>
  <c r="M2363" i="2"/>
  <c r="M2342" i="2"/>
  <c r="M2344" i="2"/>
  <c r="M2348" i="2"/>
  <c r="M2345" i="2"/>
  <c r="M2346" i="2"/>
  <c r="M2347" i="2"/>
  <c r="M2349" i="2"/>
  <c r="M2353" i="2"/>
  <c r="M2354" i="2"/>
  <c r="M2356" i="2"/>
  <c r="M2357" i="2"/>
  <c r="M2340" i="2"/>
  <c r="M2358" i="2"/>
  <c r="M2359" i="2"/>
  <c r="M2343" i="2"/>
  <c r="M2360" i="2"/>
  <c r="M2336" i="2"/>
  <c r="M2364" i="2"/>
  <c r="M2365" i="2"/>
  <c r="M2366" i="2"/>
  <c r="M2361" i="2"/>
  <c r="M2355" i="2"/>
  <c r="M2352" i="2"/>
  <c r="M2367" i="2"/>
  <c r="M2368" i="2"/>
  <c r="M2369" i="2"/>
  <c r="M2370" i="2"/>
  <c r="M2371" i="2"/>
  <c r="M2372" i="2"/>
  <c r="M2374" i="2"/>
  <c r="M2373" i="2"/>
  <c r="M2375" i="2"/>
  <c r="M2376" i="2"/>
  <c r="M2377" i="2"/>
  <c r="M2378" i="2"/>
  <c r="M2380" i="2"/>
  <c r="M2381" i="2"/>
  <c r="M2394" i="2"/>
  <c r="M2393" i="2"/>
  <c r="M2382" i="2"/>
  <c r="M2384" i="2"/>
  <c r="M2406" i="2"/>
  <c r="M2407" i="2"/>
  <c r="M2385" i="2"/>
  <c r="M2387" i="2"/>
  <c r="M2391" i="2"/>
  <c r="M2388" i="2"/>
  <c r="M2389" i="2"/>
  <c r="M2390" i="2"/>
  <c r="M2392" i="2"/>
  <c r="M2396" i="2"/>
  <c r="M2397" i="2"/>
  <c r="M2399" i="2"/>
  <c r="M2398" i="2"/>
  <c r="M2400" i="2"/>
  <c r="M2401" i="2"/>
  <c r="M2383" i="2"/>
  <c r="M2402" i="2"/>
  <c r="M2403" i="2"/>
  <c r="M2386" i="2"/>
  <c r="M2404" i="2"/>
  <c r="M2379" i="2"/>
  <c r="M2408" i="2"/>
  <c r="M2409" i="2"/>
  <c r="M2410" i="2"/>
  <c r="M2405" i="2"/>
  <c r="M2395" i="2"/>
  <c r="C15" i="32"/>
  <c r="C16" i="32"/>
  <c r="C17" i="32"/>
  <c r="C18" i="32"/>
  <c r="C19" i="32"/>
  <c r="C10" i="32"/>
  <c r="E69" i="30"/>
  <c r="G69" i="30"/>
  <c r="H69" i="30"/>
  <c r="E52" i="30"/>
  <c r="G52" i="30"/>
  <c r="H52" i="30" s="1"/>
  <c r="E73" i="30"/>
  <c r="G73" i="30"/>
  <c r="H73" i="30" s="1"/>
  <c r="E36" i="30"/>
  <c r="E40" i="30"/>
  <c r="E53" i="30"/>
  <c r="E58" i="30"/>
  <c r="E66" i="30"/>
  <c r="E45" i="30"/>
  <c r="E62" i="30"/>
  <c r="E37" i="30"/>
  <c r="E54" i="30"/>
  <c r="E59" i="30"/>
  <c r="E55" i="30"/>
  <c r="E60" i="30"/>
  <c r="E70" i="30"/>
  <c r="E71" i="30"/>
  <c r="E46" i="30"/>
  <c r="E41" i="30"/>
  <c r="E49" i="30"/>
  <c r="E47" i="30"/>
  <c r="E42" i="30"/>
  <c r="E63" i="30"/>
  <c r="E67" i="30"/>
  <c r="E64" i="30"/>
  <c r="E38" i="30"/>
  <c r="E43" i="30"/>
  <c r="E39" i="30"/>
  <c r="E56" i="30"/>
  <c r="E65" i="30"/>
  <c r="E68" i="30"/>
  <c r="E44" i="30"/>
  <c r="E48" i="30"/>
  <c r="E72" i="30"/>
  <c r="E61" i="30"/>
  <c r="E50" i="30"/>
  <c r="E51" i="30"/>
  <c r="G36" i="30"/>
  <c r="G40" i="30"/>
  <c r="H40" i="30" s="1"/>
  <c r="G53" i="30"/>
  <c r="G58" i="30"/>
  <c r="G66" i="30"/>
  <c r="G45" i="30"/>
  <c r="G62" i="30"/>
  <c r="G37" i="30"/>
  <c r="F37" i="30" s="1"/>
  <c r="G54" i="30"/>
  <c r="G59" i="30"/>
  <c r="F59" i="30" s="1"/>
  <c r="G55" i="30"/>
  <c r="F55" i="30" s="1"/>
  <c r="H55" i="30"/>
  <c r="G60" i="30"/>
  <c r="F60" i="30" s="1"/>
  <c r="G70" i="30"/>
  <c r="F70" i="30" s="1"/>
  <c r="G71" i="30"/>
  <c r="G46" i="30"/>
  <c r="G41" i="30"/>
  <c r="G49" i="30"/>
  <c r="G47" i="30"/>
  <c r="G42" i="30"/>
  <c r="G63" i="30"/>
  <c r="G67" i="30"/>
  <c r="G64" i="30"/>
  <c r="G38" i="30"/>
  <c r="H38" i="30" s="1"/>
  <c r="G43" i="30"/>
  <c r="H43" i="30" s="1"/>
  <c r="G39" i="30"/>
  <c r="G56" i="30"/>
  <c r="G65" i="30"/>
  <c r="G68" i="30"/>
  <c r="F68" i="30" s="1"/>
  <c r="G44" i="30"/>
  <c r="G48" i="30"/>
  <c r="G72" i="30"/>
  <c r="H72" i="30" s="1"/>
  <c r="G61" i="30"/>
  <c r="G50" i="30"/>
  <c r="G51" i="30"/>
  <c r="I23" i="4"/>
  <c r="J23" i="4"/>
  <c r="M23" i="4"/>
  <c r="S23" i="4"/>
  <c r="I22" i="4"/>
  <c r="J22" i="4"/>
  <c r="M22" i="4"/>
  <c r="S22" i="4"/>
  <c r="I21" i="4"/>
  <c r="J21" i="4"/>
  <c r="M21" i="4"/>
  <c r="S21" i="4"/>
  <c r="I20" i="4"/>
  <c r="J20" i="4"/>
  <c r="M20" i="4"/>
  <c r="S20" i="4"/>
  <c r="I19" i="4"/>
  <c r="J19" i="4"/>
  <c r="M19" i="4"/>
  <c r="S19" i="4"/>
  <c r="I18" i="4"/>
  <c r="J18" i="4"/>
  <c r="M18" i="4"/>
  <c r="S18" i="4"/>
  <c r="I17" i="4"/>
  <c r="J17" i="4"/>
  <c r="M17" i="4"/>
  <c r="S17" i="4"/>
  <c r="I16" i="4"/>
  <c r="J16" i="4"/>
  <c r="M16" i="4"/>
  <c r="S16" i="4"/>
  <c r="I15" i="4"/>
  <c r="J15" i="4"/>
  <c r="M15" i="4"/>
  <c r="S15" i="4"/>
  <c r="I14" i="4"/>
  <c r="J14" i="4"/>
  <c r="M14" i="4"/>
  <c r="S14" i="4"/>
  <c r="I13" i="4"/>
  <c r="J13" i="4"/>
  <c r="M13" i="4"/>
  <c r="S13" i="4"/>
  <c r="X1" i="34"/>
  <c r="G38" i="34"/>
  <c r="H38" i="34"/>
  <c r="M38" i="34"/>
  <c r="G37" i="34"/>
  <c r="H37" i="34"/>
  <c r="M37" i="34"/>
  <c r="G36" i="34"/>
  <c r="H36" i="34"/>
  <c r="M36" i="34"/>
  <c r="G35" i="34"/>
  <c r="H35" i="34"/>
  <c r="M35" i="34"/>
  <c r="G34" i="34"/>
  <c r="H34" i="34"/>
  <c r="M34" i="34"/>
  <c r="G33" i="34"/>
  <c r="H33" i="34"/>
  <c r="M33" i="34"/>
  <c r="G32" i="34"/>
  <c r="H32" i="34"/>
  <c r="M32" i="34"/>
  <c r="G31" i="34"/>
  <c r="H31" i="34"/>
  <c r="M31" i="34"/>
  <c r="G30" i="34"/>
  <c r="H30" i="34"/>
  <c r="M30" i="34"/>
  <c r="G29" i="34"/>
  <c r="H29" i="34"/>
  <c r="M29" i="34"/>
  <c r="G28" i="34"/>
  <c r="H28" i="34"/>
  <c r="M28" i="34"/>
  <c r="G27" i="34"/>
  <c r="H27" i="34"/>
  <c r="M27" i="34"/>
  <c r="G26" i="34"/>
  <c r="H26" i="34"/>
  <c r="M26" i="34"/>
  <c r="G25" i="34"/>
  <c r="H25" i="34"/>
  <c r="M25" i="34"/>
  <c r="G24" i="34"/>
  <c r="H24" i="34"/>
  <c r="M24" i="34"/>
  <c r="G23" i="34"/>
  <c r="H23" i="34"/>
  <c r="M23" i="34"/>
  <c r="G22" i="34"/>
  <c r="H22" i="34"/>
  <c r="M22" i="34"/>
  <c r="G21" i="34"/>
  <c r="H21" i="34"/>
  <c r="M21" i="34"/>
  <c r="G20" i="34"/>
  <c r="H20" i="34"/>
  <c r="M20" i="34"/>
  <c r="T11" i="34"/>
  <c r="T17" i="34"/>
  <c r="T16" i="34"/>
  <c r="T5" i="34"/>
  <c r="T15" i="34"/>
  <c r="T10" i="34"/>
  <c r="T21" i="34"/>
  <c r="T14" i="34"/>
  <c r="T13" i="34"/>
  <c r="T9" i="34"/>
  <c r="T20" i="34"/>
  <c r="T4" i="34"/>
  <c r="T8" i="34"/>
  <c r="T12" i="34"/>
  <c r="T3" i="34"/>
  <c r="U3" i="34"/>
  <c r="T7" i="34"/>
  <c r="T6" i="34"/>
  <c r="T19" i="34"/>
  <c r="T18" i="34"/>
  <c r="N2" i="34"/>
  <c r="N3" i="34"/>
  <c r="N4" i="34"/>
  <c r="N5" i="34"/>
  <c r="N6" i="34"/>
  <c r="N7" i="34"/>
  <c r="N8" i="34"/>
  <c r="N9" i="34"/>
  <c r="N10" i="34"/>
  <c r="N11" i="34"/>
  <c r="N12" i="34"/>
  <c r="N13" i="34"/>
  <c r="N14" i="34"/>
  <c r="N15" i="34"/>
  <c r="N16" i="34"/>
  <c r="N17" i="34"/>
  <c r="N18" i="34"/>
  <c r="N19" i="34"/>
  <c r="G2" i="30"/>
  <c r="G10" i="30"/>
  <c r="G26" i="30"/>
  <c r="G30" i="30"/>
  <c r="G6" i="30"/>
  <c r="H6" i="30"/>
  <c r="G14" i="30"/>
  <c r="G22" i="30"/>
  <c r="G18" i="30"/>
  <c r="G15" i="30"/>
  <c r="G7" i="30"/>
  <c r="G23" i="30"/>
  <c r="G3" i="30"/>
  <c r="G19" i="30"/>
  <c r="F19" i="30" s="1"/>
  <c r="G11" i="30"/>
  <c r="G27" i="30"/>
  <c r="G31" i="30"/>
  <c r="F31" i="30" s="1"/>
  <c r="G12" i="30"/>
  <c r="G16" i="30"/>
  <c r="G24" i="30"/>
  <c r="G28" i="30"/>
  <c r="G8" i="30"/>
  <c r="H8" i="30"/>
  <c r="G4" i="30"/>
  <c r="G20" i="30"/>
  <c r="F20" i="30" s="1"/>
  <c r="G32" i="30"/>
  <c r="F32" i="30" s="1"/>
  <c r="G21" i="30"/>
  <c r="F21" i="30" s="1"/>
  <c r="G29" i="30"/>
  <c r="H29" i="30" s="1"/>
  <c r="G25" i="30"/>
  <c r="F25" i="30" s="1"/>
  <c r="G9" i="30"/>
  <c r="G33" i="30"/>
  <c r="G17" i="30"/>
  <c r="G13" i="30"/>
  <c r="G5" i="30"/>
  <c r="G34" i="30"/>
  <c r="G35" i="30"/>
  <c r="S2" i="4"/>
  <c r="S3" i="4"/>
  <c r="S4" i="4"/>
  <c r="S5" i="4"/>
  <c r="S6" i="4"/>
  <c r="S7" i="4"/>
  <c r="S8" i="4"/>
  <c r="S9" i="4"/>
  <c r="S10" i="4"/>
  <c r="S11" i="4"/>
  <c r="S12" i="4"/>
  <c r="G2399" i="2"/>
  <c r="D2399" i="2"/>
  <c r="D2397" i="2"/>
  <c r="G2397" i="2"/>
  <c r="I2397" i="2"/>
  <c r="G2367" i="2"/>
  <c r="J2367" i="2"/>
  <c r="K2367" i="2"/>
  <c r="G2368" i="2"/>
  <c r="H2368" i="2"/>
  <c r="G2369" i="2"/>
  <c r="H2369" i="2"/>
  <c r="G2370" i="2"/>
  <c r="I2370" i="2"/>
  <c r="G2371" i="2"/>
  <c r="H2371" i="2"/>
  <c r="G2372" i="2"/>
  <c r="H2372" i="2"/>
  <c r="G2374" i="2"/>
  <c r="H2374" i="2"/>
  <c r="G2373" i="2"/>
  <c r="I2373" i="2"/>
  <c r="G2375" i="2"/>
  <c r="G2376" i="2"/>
  <c r="G2377" i="2"/>
  <c r="H2377" i="2"/>
  <c r="G2378" i="2"/>
  <c r="H2378" i="2"/>
  <c r="G2380" i="2"/>
  <c r="G2381" i="2"/>
  <c r="I2381" i="2"/>
  <c r="G2394" i="2"/>
  <c r="G2393" i="2"/>
  <c r="J2393" i="2"/>
  <c r="K2393" i="2"/>
  <c r="G2382" i="2"/>
  <c r="H2382" i="2"/>
  <c r="G2384" i="2"/>
  <c r="I2384" i="2"/>
  <c r="G2406" i="2"/>
  <c r="J2406" i="2"/>
  <c r="K2406" i="2"/>
  <c r="G2407" i="2"/>
  <c r="I2407" i="2"/>
  <c r="G2385" i="2"/>
  <c r="H2385" i="2"/>
  <c r="G2387" i="2"/>
  <c r="J2387" i="2"/>
  <c r="K2387" i="2"/>
  <c r="G2391" i="2"/>
  <c r="J2391" i="2"/>
  <c r="K2391" i="2"/>
  <c r="G2388" i="2"/>
  <c r="G2389" i="2"/>
  <c r="J2389" i="2"/>
  <c r="K2389" i="2"/>
  <c r="G2390" i="2"/>
  <c r="I2390" i="2"/>
  <c r="G2392" i="2"/>
  <c r="H2392" i="2"/>
  <c r="G2396" i="2"/>
  <c r="I2396" i="2"/>
  <c r="G2398" i="2"/>
  <c r="I2398" i="2"/>
  <c r="G2400" i="2"/>
  <c r="G2401" i="2"/>
  <c r="G2383" i="2"/>
  <c r="J2383" i="2"/>
  <c r="K2383" i="2"/>
  <c r="G2402" i="2"/>
  <c r="H2402" i="2"/>
  <c r="G2403" i="2"/>
  <c r="H2403" i="2"/>
  <c r="G2386" i="2"/>
  <c r="H2386" i="2"/>
  <c r="G2404" i="2"/>
  <c r="I2404" i="2"/>
  <c r="G2379" i="2"/>
  <c r="H2379" i="2"/>
  <c r="G2408" i="2"/>
  <c r="I2408" i="2"/>
  <c r="G2409" i="2"/>
  <c r="H2409" i="2"/>
  <c r="G2410" i="2"/>
  <c r="G2405" i="2"/>
  <c r="G2395" i="2"/>
  <c r="D2395" i="2"/>
  <c r="D2405" i="2"/>
  <c r="D2410" i="2"/>
  <c r="D2409" i="2"/>
  <c r="D2408" i="2"/>
  <c r="D2379" i="2"/>
  <c r="D2404" i="2"/>
  <c r="D2386" i="2"/>
  <c r="D2403" i="2"/>
  <c r="D2402" i="2"/>
  <c r="D2383" i="2"/>
  <c r="D2401" i="2"/>
  <c r="D2400" i="2"/>
  <c r="D2398" i="2"/>
  <c r="D2396" i="2"/>
  <c r="D2392" i="2"/>
  <c r="D2390" i="2"/>
  <c r="D2389" i="2"/>
  <c r="D2388" i="2"/>
  <c r="D2391" i="2"/>
  <c r="D2387" i="2"/>
  <c r="D2385" i="2"/>
  <c r="D2407" i="2"/>
  <c r="D2406" i="2"/>
  <c r="D2384" i="2"/>
  <c r="D2382" i="2"/>
  <c r="D2393" i="2"/>
  <c r="D2394" i="2"/>
  <c r="D2381" i="2"/>
  <c r="D2380" i="2"/>
  <c r="D2378" i="2"/>
  <c r="D2377" i="2"/>
  <c r="D2376" i="2"/>
  <c r="D2375" i="2"/>
  <c r="D2373" i="2"/>
  <c r="D2374" i="2"/>
  <c r="D2372" i="2"/>
  <c r="D2371" i="2"/>
  <c r="D2370" i="2"/>
  <c r="D2369" i="2"/>
  <c r="D2368" i="2"/>
  <c r="D2367" i="2"/>
  <c r="E290" i="33"/>
  <c r="F290" i="33"/>
  <c r="D2352" i="2"/>
  <c r="G2352" i="2"/>
  <c r="E289" i="33"/>
  <c r="F289" i="33"/>
  <c r="G2324" i="2"/>
  <c r="H2324" i="2"/>
  <c r="G2325" i="2"/>
  <c r="I2325" i="2"/>
  <c r="G2326" i="2"/>
  <c r="G2327" i="2"/>
  <c r="H2327" i="2"/>
  <c r="G2328" i="2"/>
  <c r="G2329" i="2"/>
  <c r="I2329" i="2"/>
  <c r="G2331" i="2"/>
  <c r="J2331" i="2"/>
  <c r="K2331" i="2"/>
  <c r="G2330" i="2"/>
  <c r="J2330" i="2"/>
  <c r="K2330" i="2"/>
  <c r="G2332" i="2"/>
  <c r="I2332" i="2"/>
  <c r="G2333" i="2"/>
  <c r="J2333" i="2"/>
  <c r="K2333" i="2"/>
  <c r="G2334" i="2"/>
  <c r="I2334" i="2"/>
  <c r="G2335" i="2"/>
  <c r="G2337" i="2"/>
  <c r="J2337" i="2"/>
  <c r="K2337" i="2"/>
  <c r="G2338" i="2"/>
  <c r="G2351" i="2"/>
  <c r="G2350" i="2"/>
  <c r="H2350" i="2"/>
  <c r="G2339" i="2"/>
  <c r="H2339" i="2"/>
  <c r="G2341" i="2"/>
  <c r="I2341" i="2"/>
  <c r="G2362" i="2"/>
  <c r="G2363" i="2"/>
  <c r="G2342" i="2"/>
  <c r="I2342" i="2"/>
  <c r="G2344" i="2"/>
  <c r="G2348" i="2"/>
  <c r="G2345" i="2"/>
  <c r="H2345" i="2"/>
  <c r="G2346" i="2"/>
  <c r="I2346" i="2"/>
  <c r="G2347" i="2"/>
  <c r="H2347" i="2"/>
  <c r="G2349" i="2"/>
  <c r="G2353" i="2"/>
  <c r="G2354" i="2"/>
  <c r="H2354" i="2"/>
  <c r="G2356" i="2"/>
  <c r="I2356" i="2"/>
  <c r="G2357" i="2"/>
  <c r="I2357" i="2"/>
  <c r="G2340" i="2"/>
  <c r="G2358" i="2"/>
  <c r="J2358" i="2"/>
  <c r="K2358" i="2"/>
  <c r="G2359" i="2"/>
  <c r="G2343" i="2"/>
  <c r="H2343" i="2"/>
  <c r="G2360" i="2"/>
  <c r="J2360" i="2"/>
  <c r="K2360" i="2"/>
  <c r="G2336" i="2"/>
  <c r="H2336" i="2"/>
  <c r="G2364" i="2"/>
  <c r="J2364" i="2"/>
  <c r="K2364" i="2"/>
  <c r="G2365" i="2"/>
  <c r="J2365" i="2"/>
  <c r="K2365" i="2"/>
  <c r="G2366" i="2"/>
  <c r="I2366" i="2"/>
  <c r="G2361" i="2"/>
  <c r="G2355" i="2"/>
  <c r="D2355" i="2"/>
  <c r="D2361" i="2"/>
  <c r="D2366" i="2"/>
  <c r="D2365" i="2"/>
  <c r="D2364" i="2"/>
  <c r="D2336" i="2"/>
  <c r="D2360" i="2"/>
  <c r="D2343" i="2"/>
  <c r="D2359" i="2"/>
  <c r="D2358" i="2"/>
  <c r="D2340" i="2"/>
  <c r="D2357" i="2"/>
  <c r="D2356" i="2"/>
  <c r="D2354" i="2"/>
  <c r="D2353" i="2"/>
  <c r="D2349" i="2"/>
  <c r="D2347" i="2"/>
  <c r="D2346" i="2"/>
  <c r="D2345" i="2"/>
  <c r="D2348" i="2"/>
  <c r="D2344" i="2"/>
  <c r="D2342" i="2"/>
  <c r="D2363" i="2"/>
  <c r="D2362" i="2"/>
  <c r="D2341" i="2"/>
  <c r="D2339" i="2"/>
  <c r="D2350" i="2"/>
  <c r="D2351" i="2"/>
  <c r="D2338" i="2"/>
  <c r="D2337" i="2"/>
  <c r="D2335" i="2"/>
  <c r="D2334" i="2"/>
  <c r="D2333" i="2"/>
  <c r="D2332" i="2"/>
  <c r="D2330" i="2"/>
  <c r="D2331" i="2"/>
  <c r="D2329" i="2"/>
  <c r="D2328" i="2"/>
  <c r="D2327" i="2"/>
  <c r="D2326" i="2"/>
  <c r="D2325" i="2"/>
  <c r="D2324" i="2"/>
  <c r="P247" i="33"/>
  <c r="Q247" i="33"/>
  <c r="R247" i="33"/>
  <c r="S247" i="33"/>
  <c r="T247" i="33"/>
  <c r="U247" i="33"/>
  <c r="V247" i="33"/>
  <c r="W247" i="33"/>
  <c r="X247" i="33"/>
  <c r="Y247" i="33"/>
  <c r="Z247" i="33"/>
  <c r="AA247" i="33"/>
  <c r="AB247" i="33"/>
  <c r="AC247" i="33"/>
  <c r="AD247" i="33"/>
  <c r="AE247" i="33"/>
  <c r="AF247" i="33"/>
  <c r="J249" i="33"/>
  <c r="J250" i="33"/>
  <c r="J251" i="33"/>
  <c r="J252" i="33"/>
  <c r="J253" i="33"/>
  <c r="J254" i="33"/>
  <c r="J255" i="33"/>
  <c r="J256" i="33"/>
  <c r="J257" i="33"/>
  <c r="J258" i="33"/>
  <c r="J259" i="33"/>
  <c r="J260" i="33"/>
  <c r="J261" i="33"/>
  <c r="J262" i="33"/>
  <c r="J263" i="33"/>
  <c r="J264" i="33"/>
  <c r="J265" i="33"/>
  <c r="J266" i="33"/>
  <c r="J267" i="33"/>
  <c r="J268" i="33"/>
  <c r="J269" i="33"/>
  <c r="J270" i="33"/>
  <c r="J271" i="33"/>
  <c r="J272" i="33"/>
  <c r="J273" i="33"/>
  <c r="J274" i="33"/>
  <c r="J275" i="33"/>
  <c r="J276" i="33"/>
  <c r="J277" i="33"/>
  <c r="J278" i="33"/>
  <c r="J279" i="33"/>
  <c r="J280" i="33"/>
  <c r="J281" i="33"/>
  <c r="J248" i="33"/>
  <c r="I249" i="33"/>
  <c r="I250" i="33"/>
  <c r="I251" i="33"/>
  <c r="I252" i="33"/>
  <c r="I253" i="33"/>
  <c r="I254" i="33"/>
  <c r="I255" i="33"/>
  <c r="I256" i="33"/>
  <c r="I257" i="33"/>
  <c r="I258" i="33"/>
  <c r="I259" i="33"/>
  <c r="I260" i="33"/>
  <c r="I261" i="33"/>
  <c r="I262" i="33"/>
  <c r="I263" i="33"/>
  <c r="I264" i="33"/>
  <c r="I265" i="33"/>
  <c r="I266" i="33"/>
  <c r="I267" i="33"/>
  <c r="I268" i="33"/>
  <c r="I269" i="33"/>
  <c r="I270" i="33"/>
  <c r="I271" i="33"/>
  <c r="I272" i="33"/>
  <c r="I273" i="33"/>
  <c r="I274" i="33"/>
  <c r="I275" i="33"/>
  <c r="I276" i="33"/>
  <c r="I277" i="33"/>
  <c r="I278" i="33"/>
  <c r="I279" i="33"/>
  <c r="I280" i="33"/>
  <c r="I281" i="33"/>
  <c r="I248" i="33"/>
  <c r="K281" i="33"/>
  <c r="K280" i="33"/>
  <c r="K279" i="33"/>
  <c r="K278" i="33"/>
  <c r="K277" i="33"/>
  <c r="K276" i="33"/>
  <c r="K275" i="33"/>
  <c r="K274" i="33"/>
  <c r="K273" i="33"/>
  <c r="K272" i="33"/>
  <c r="K271" i="33"/>
  <c r="K270" i="33"/>
  <c r="K269" i="33"/>
  <c r="K268" i="33"/>
  <c r="K267" i="33"/>
  <c r="K266" i="33"/>
  <c r="K265" i="33"/>
  <c r="K264" i="33"/>
  <c r="K263" i="33"/>
  <c r="K262" i="33"/>
  <c r="K261" i="33"/>
  <c r="K260" i="33"/>
  <c r="K259" i="33"/>
  <c r="K258" i="33"/>
  <c r="K257" i="33"/>
  <c r="K256" i="33"/>
  <c r="K255" i="33"/>
  <c r="K254" i="33"/>
  <c r="K253" i="33"/>
  <c r="K252" i="33"/>
  <c r="K251" i="33"/>
  <c r="K250" i="33"/>
  <c r="K249" i="33"/>
  <c r="K248" i="33"/>
  <c r="E284" i="33"/>
  <c r="F284" i="33"/>
  <c r="E285" i="33"/>
  <c r="F285" i="33"/>
  <c r="E286" i="33"/>
  <c r="F286" i="33"/>
  <c r="E287" i="33"/>
  <c r="F287" i="33"/>
  <c r="E288" i="33"/>
  <c r="F288" i="33"/>
  <c r="E283" i="33"/>
  <c r="F283" i="33"/>
  <c r="E281" i="33"/>
  <c r="F281" i="33"/>
  <c r="E282" i="33"/>
  <c r="F282" i="33"/>
  <c r="E248" i="33"/>
  <c r="F248" i="33"/>
  <c r="E249" i="33"/>
  <c r="F249" i="33"/>
  <c r="E250" i="33"/>
  <c r="F250" i="33"/>
  <c r="E251" i="33"/>
  <c r="F251" i="33"/>
  <c r="E252" i="33"/>
  <c r="F252" i="33"/>
  <c r="E253" i="33"/>
  <c r="F253" i="33"/>
  <c r="E254" i="33"/>
  <c r="F254" i="33"/>
  <c r="E255" i="33"/>
  <c r="F255" i="33"/>
  <c r="E256" i="33"/>
  <c r="F256" i="33"/>
  <c r="E257" i="33"/>
  <c r="F257" i="33"/>
  <c r="E258" i="33"/>
  <c r="F258" i="33"/>
  <c r="E259" i="33"/>
  <c r="F259" i="33"/>
  <c r="E260" i="33"/>
  <c r="F260" i="33"/>
  <c r="E261" i="33"/>
  <c r="F261" i="33"/>
  <c r="E262" i="33"/>
  <c r="F262" i="33"/>
  <c r="E263" i="33"/>
  <c r="F263" i="33"/>
  <c r="E264" i="33"/>
  <c r="F264" i="33"/>
  <c r="E265" i="33"/>
  <c r="F265" i="33"/>
  <c r="E266" i="33"/>
  <c r="F266" i="33"/>
  <c r="E267" i="33"/>
  <c r="F267" i="33"/>
  <c r="E268" i="33"/>
  <c r="F268" i="33"/>
  <c r="E269" i="33"/>
  <c r="F269" i="33"/>
  <c r="E270" i="33"/>
  <c r="F270" i="33"/>
  <c r="E271" i="33"/>
  <c r="F271" i="33"/>
  <c r="E272" i="33"/>
  <c r="F272" i="33"/>
  <c r="E273" i="33"/>
  <c r="F273" i="33"/>
  <c r="E274" i="33"/>
  <c r="F274" i="33"/>
  <c r="E275" i="33"/>
  <c r="F275" i="33"/>
  <c r="E276" i="33"/>
  <c r="F276" i="33"/>
  <c r="E277" i="33"/>
  <c r="F277" i="33"/>
  <c r="E278" i="33"/>
  <c r="F278" i="33"/>
  <c r="E279" i="33"/>
  <c r="F279" i="33"/>
  <c r="E280" i="33"/>
  <c r="F280" i="33"/>
  <c r="E241" i="33"/>
  <c r="F241" i="33"/>
  <c r="E242" i="33"/>
  <c r="F242" i="33"/>
  <c r="E243" i="33"/>
  <c r="F243" i="33"/>
  <c r="E244" i="33"/>
  <c r="F244" i="33"/>
  <c r="E245" i="33"/>
  <c r="F245" i="33"/>
  <c r="E246" i="33"/>
  <c r="F246" i="33"/>
  <c r="E247" i="33"/>
  <c r="F247" i="33"/>
  <c r="E239" i="33"/>
  <c r="F239" i="33"/>
  <c r="E240" i="33"/>
  <c r="F240" i="33"/>
  <c r="E207" i="33"/>
  <c r="F207" i="33"/>
  <c r="E208" i="33"/>
  <c r="F208" i="33"/>
  <c r="E209" i="33"/>
  <c r="F209" i="33"/>
  <c r="E210" i="33"/>
  <c r="F210" i="33"/>
  <c r="E211" i="33"/>
  <c r="F211" i="33"/>
  <c r="E212" i="33"/>
  <c r="F212" i="33"/>
  <c r="E213" i="33"/>
  <c r="F213" i="33"/>
  <c r="E214" i="33"/>
  <c r="F214" i="33"/>
  <c r="E215" i="33"/>
  <c r="F215" i="33"/>
  <c r="E216" i="33"/>
  <c r="F216" i="33"/>
  <c r="E217" i="33"/>
  <c r="F217" i="33"/>
  <c r="E218" i="33"/>
  <c r="F218" i="33"/>
  <c r="E219" i="33"/>
  <c r="F219" i="33"/>
  <c r="E220" i="33"/>
  <c r="F220" i="33"/>
  <c r="E221" i="33"/>
  <c r="F221" i="33"/>
  <c r="E222" i="33"/>
  <c r="F222" i="33"/>
  <c r="E223" i="33"/>
  <c r="F223" i="33"/>
  <c r="E224" i="33"/>
  <c r="F224" i="33"/>
  <c r="E225" i="33"/>
  <c r="F225" i="33"/>
  <c r="E226" i="33"/>
  <c r="F226" i="33"/>
  <c r="E227" i="33"/>
  <c r="F227" i="33"/>
  <c r="E228" i="33"/>
  <c r="F228" i="33"/>
  <c r="E229" i="33"/>
  <c r="F229" i="33"/>
  <c r="E230" i="33"/>
  <c r="F230" i="33"/>
  <c r="E231" i="33"/>
  <c r="F231" i="33"/>
  <c r="E232" i="33"/>
  <c r="F232" i="33"/>
  <c r="E233" i="33"/>
  <c r="F233" i="33"/>
  <c r="E234" i="33"/>
  <c r="F234" i="33"/>
  <c r="E235" i="33"/>
  <c r="F235" i="33"/>
  <c r="E236" i="33"/>
  <c r="F236" i="33"/>
  <c r="E237" i="33"/>
  <c r="F237" i="33"/>
  <c r="E238" i="33"/>
  <c r="F238" i="33"/>
  <c r="G2282" i="2"/>
  <c r="G2283" i="2"/>
  <c r="G2284" i="2"/>
  <c r="I2284" i="2"/>
  <c r="G2285" i="2"/>
  <c r="I2285" i="2"/>
  <c r="G2286" i="2"/>
  <c r="I2286" i="2"/>
  <c r="G2287" i="2"/>
  <c r="G2289" i="2"/>
  <c r="G2288" i="2"/>
  <c r="J2288" i="2"/>
  <c r="K2288" i="2"/>
  <c r="G2290" i="2"/>
  <c r="G2291" i="2"/>
  <c r="J2291" i="2"/>
  <c r="K2291" i="2"/>
  <c r="G2292" i="2"/>
  <c r="J2292" i="2"/>
  <c r="K2292" i="2"/>
  <c r="G2293" i="2"/>
  <c r="H2293" i="2"/>
  <c r="G2295" i="2"/>
  <c r="J2295" i="2"/>
  <c r="K2295" i="2"/>
  <c r="G2296" i="2"/>
  <c r="I2296" i="2"/>
  <c r="G2309" i="2"/>
  <c r="G2308" i="2"/>
  <c r="J2308" i="2"/>
  <c r="K2308" i="2"/>
  <c r="G2297" i="2"/>
  <c r="G2299" i="2"/>
  <c r="I2299" i="2"/>
  <c r="G2319" i="2"/>
  <c r="I2319" i="2"/>
  <c r="G2320" i="2"/>
  <c r="I2320" i="2"/>
  <c r="G2300" i="2"/>
  <c r="G2302" i="2"/>
  <c r="G2306" i="2"/>
  <c r="G2303" i="2"/>
  <c r="I2303" i="2"/>
  <c r="G2304" i="2"/>
  <c r="I2304" i="2"/>
  <c r="G2305" i="2"/>
  <c r="G2307" i="2"/>
  <c r="G2310" i="2"/>
  <c r="G2311" i="2"/>
  <c r="I2311" i="2"/>
  <c r="G2313" i="2"/>
  <c r="H2313" i="2"/>
  <c r="G2314" i="2"/>
  <c r="H2314" i="2"/>
  <c r="G2298" i="2"/>
  <c r="G2315" i="2"/>
  <c r="G2316" i="2"/>
  <c r="G2301" i="2"/>
  <c r="G2317" i="2"/>
  <c r="J2317" i="2"/>
  <c r="K2317" i="2"/>
  <c r="G2294" i="2"/>
  <c r="J2294" i="2"/>
  <c r="K2294" i="2"/>
  <c r="G2321" i="2"/>
  <c r="G2322" i="2"/>
  <c r="I2322" i="2"/>
  <c r="G2323" i="2"/>
  <c r="I2323" i="2"/>
  <c r="G2318" i="2"/>
  <c r="J2318" i="2"/>
  <c r="K2318" i="2"/>
  <c r="G2312" i="2"/>
  <c r="H2312" i="2"/>
  <c r="D2312" i="2"/>
  <c r="D2318" i="2"/>
  <c r="D2323" i="2"/>
  <c r="D2322" i="2"/>
  <c r="D2321" i="2"/>
  <c r="D2294" i="2"/>
  <c r="D2317" i="2"/>
  <c r="D2301" i="2"/>
  <c r="D2316" i="2"/>
  <c r="D2315" i="2"/>
  <c r="D2298" i="2"/>
  <c r="D2314" i="2"/>
  <c r="D2313" i="2"/>
  <c r="D2311" i="2"/>
  <c r="D2310" i="2"/>
  <c r="D2307" i="2"/>
  <c r="D2305" i="2"/>
  <c r="D2304" i="2"/>
  <c r="D2303" i="2"/>
  <c r="D2306" i="2"/>
  <c r="D2302" i="2"/>
  <c r="D2300" i="2"/>
  <c r="D2320" i="2"/>
  <c r="D2319" i="2"/>
  <c r="D2299" i="2"/>
  <c r="D2297" i="2"/>
  <c r="D2308" i="2"/>
  <c r="D2309" i="2"/>
  <c r="D2296" i="2"/>
  <c r="D2295" i="2"/>
  <c r="D2293" i="2"/>
  <c r="D2292" i="2"/>
  <c r="D2291" i="2"/>
  <c r="D2290" i="2"/>
  <c r="D2288" i="2"/>
  <c r="D2289" i="2"/>
  <c r="D2287" i="2"/>
  <c r="D2286" i="2"/>
  <c r="D2285" i="2"/>
  <c r="D2284" i="2"/>
  <c r="D2283" i="2"/>
  <c r="D2282" i="2"/>
  <c r="G2240" i="2"/>
  <c r="H2240" i="2"/>
  <c r="G2241" i="2"/>
  <c r="G2242" i="2"/>
  <c r="G2243" i="2"/>
  <c r="H2243" i="2"/>
  <c r="G2244" i="2"/>
  <c r="J2244" i="2"/>
  <c r="K2244" i="2"/>
  <c r="G2245" i="2"/>
  <c r="G2247" i="2"/>
  <c r="H2247" i="2"/>
  <c r="G2246" i="2"/>
  <c r="I2246" i="2"/>
  <c r="G2248" i="2"/>
  <c r="G2249" i="2"/>
  <c r="I2249" i="2"/>
  <c r="G2250" i="2"/>
  <c r="G2251" i="2"/>
  <c r="H2251" i="2"/>
  <c r="G2253" i="2"/>
  <c r="G2254" i="2"/>
  <c r="G2267" i="2"/>
  <c r="I2267" i="2"/>
  <c r="G2266" i="2"/>
  <c r="G2255" i="2"/>
  <c r="H2255" i="2"/>
  <c r="G2257" i="2"/>
  <c r="H2257" i="2"/>
  <c r="G2277" i="2"/>
  <c r="I2277" i="2"/>
  <c r="G2278" i="2"/>
  <c r="G2258" i="2"/>
  <c r="J2258" i="2"/>
  <c r="K2258" i="2"/>
  <c r="G2260" i="2"/>
  <c r="I2260" i="2"/>
  <c r="G2264" i="2"/>
  <c r="I2264" i="2"/>
  <c r="G2261" i="2"/>
  <c r="H2261" i="2"/>
  <c r="G2262" i="2"/>
  <c r="H2262" i="2"/>
  <c r="G2263" i="2"/>
  <c r="J2263" i="2"/>
  <c r="K2263" i="2"/>
  <c r="G2265" i="2"/>
  <c r="I2265" i="2"/>
  <c r="G2268" i="2"/>
  <c r="I2268" i="2"/>
  <c r="G2269" i="2"/>
  <c r="G2271" i="2"/>
  <c r="I2271" i="2"/>
  <c r="G2272" i="2"/>
  <c r="H2272" i="2"/>
  <c r="G2256" i="2"/>
  <c r="J2256" i="2"/>
  <c r="K2256" i="2"/>
  <c r="G2273" i="2"/>
  <c r="G2274" i="2"/>
  <c r="H2274" i="2"/>
  <c r="G2259" i="2"/>
  <c r="J2259" i="2"/>
  <c r="K2259" i="2"/>
  <c r="G2275" i="2"/>
  <c r="J2275" i="2"/>
  <c r="K2275" i="2"/>
  <c r="G2252" i="2"/>
  <c r="G2279" i="2"/>
  <c r="J2279" i="2"/>
  <c r="K2279" i="2"/>
  <c r="G2280" i="2"/>
  <c r="J2280" i="2"/>
  <c r="K2280" i="2"/>
  <c r="G2281" i="2"/>
  <c r="J2281" i="2"/>
  <c r="K2281" i="2"/>
  <c r="G2276" i="2"/>
  <c r="J2276" i="2"/>
  <c r="K2276" i="2"/>
  <c r="G2270" i="2"/>
  <c r="J2270" i="2"/>
  <c r="K2270" i="2"/>
  <c r="D2270" i="2"/>
  <c r="D2276" i="2"/>
  <c r="D2281" i="2"/>
  <c r="D2280" i="2"/>
  <c r="D2279" i="2"/>
  <c r="D2252" i="2"/>
  <c r="D2275" i="2"/>
  <c r="D2259" i="2"/>
  <c r="D2274" i="2"/>
  <c r="D2273" i="2"/>
  <c r="D2256" i="2"/>
  <c r="D2272" i="2"/>
  <c r="D2271" i="2"/>
  <c r="D2269" i="2"/>
  <c r="D2268" i="2"/>
  <c r="D2265" i="2"/>
  <c r="D2263" i="2"/>
  <c r="D2262" i="2"/>
  <c r="D2261" i="2"/>
  <c r="D2264" i="2"/>
  <c r="D2260" i="2"/>
  <c r="D2258" i="2"/>
  <c r="D2278" i="2"/>
  <c r="D2277" i="2"/>
  <c r="D2257" i="2"/>
  <c r="D2255" i="2"/>
  <c r="D2266" i="2"/>
  <c r="D2267" i="2"/>
  <c r="D2254" i="2"/>
  <c r="D2253" i="2"/>
  <c r="D2251" i="2"/>
  <c r="D2250" i="2"/>
  <c r="D2249" i="2"/>
  <c r="D2248" i="2"/>
  <c r="D2246" i="2"/>
  <c r="D2247" i="2"/>
  <c r="D2245" i="2"/>
  <c r="D2244" i="2"/>
  <c r="D2243" i="2"/>
  <c r="D2242" i="2"/>
  <c r="D2241" i="2"/>
  <c r="D2240" i="2"/>
  <c r="E200" i="33"/>
  <c r="F200" i="33"/>
  <c r="E201" i="33"/>
  <c r="F201" i="33"/>
  <c r="E202" i="33"/>
  <c r="F202" i="33"/>
  <c r="E203" i="33"/>
  <c r="F203" i="33"/>
  <c r="E204" i="33"/>
  <c r="F204" i="33"/>
  <c r="E205" i="33"/>
  <c r="F205" i="33"/>
  <c r="E206" i="33"/>
  <c r="F206" i="33"/>
  <c r="E199" i="33"/>
  <c r="F199" i="33"/>
  <c r="E198" i="33"/>
  <c r="F198" i="33"/>
  <c r="E166" i="33"/>
  <c r="F166" i="33"/>
  <c r="E167" i="33"/>
  <c r="F167" i="33"/>
  <c r="E168" i="33"/>
  <c r="F168" i="33"/>
  <c r="E169" i="33"/>
  <c r="F169" i="33"/>
  <c r="E170" i="33"/>
  <c r="F170" i="33"/>
  <c r="E171" i="33"/>
  <c r="F171" i="33"/>
  <c r="E172" i="33"/>
  <c r="F172" i="33"/>
  <c r="E173" i="33"/>
  <c r="F173" i="33"/>
  <c r="E174" i="33"/>
  <c r="F174" i="33"/>
  <c r="E175" i="33"/>
  <c r="F175" i="33"/>
  <c r="E176" i="33"/>
  <c r="F176" i="33"/>
  <c r="E177" i="33"/>
  <c r="F177" i="33"/>
  <c r="E178" i="33"/>
  <c r="F178" i="33"/>
  <c r="E179" i="33"/>
  <c r="F179" i="33"/>
  <c r="E180" i="33"/>
  <c r="F180" i="33"/>
  <c r="E181" i="33"/>
  <c r="F181" i="33"/>
  <c r="E182" i="33"/>
  <c r="F182" i="33"/>
  <c r="E183" i="33"/>
  <c r="F183" i="33"/>
  <c r="E184" i="33"/>
  <c r="F184" i="33"/>
  <c r="E185" i="33"/>
  <c r="F185" i="33"/>
  <c r="E186" i="33"/>
  <c r="F186" i="33"/>
  <c r="E187" i="33"/>
  <c r="F187" i="33"/>
  <c r="E188" i="33"/>
  <c r="F188" i="33"/>
  <c r="E189" i="33"/>
  <c r="F189" i="33"/>
  <c r="E190" i="33"/>
  <c r="F190" i="33"/>
  <c r="E191" i="33"/>
  <c r="F191" i="33"/>
  <c r="E192" i="33"/>
  <c r="F192" i="33"/>
  <c r="E193" i="33"/>
  <c r="F193" i="33"/>
  <c r="E194" i="33"/>
  <c r="F194" i="33"/>
  <c r="E195" i="33"/>
  <c r="F195" i="33"/>
  <c r="E196" i="33"/>
  <c r="F196" i="33"/>
  <c r="E197" i="33"/>
  <c r="F197" i="33"/>
  <c r="E122" i="33"/>
  <c r="F122" i="33"/>
  <c r="E123" i="33"/>
  <c r="F123" i="33"/>
  <c r="E124" i="33"/>
  <c r="F124" i="33"/>
  <c r="E125" i="33"/>
  <c r="F125" i="33"/>
  <c r="E126" i="33"/>
  <c r="F126" i="33"/>
  <c r="E127" i="33"/>
  <c r="F127" i="33"/>
  <c r="E128" i="33"/>
  <c r="F128" i="33"/>
  <c r="E129" i="33"/>
  <c r="F129" i="33"/>
  <c r="E130" i="33"/>
  <c r="F130" i="33"/>
  <c r="E131" i="33"/>
  <c r="F131" i="33"/>
  <c r="E132" i="33"/>
  <c r="F132" i="33"/>
  <c r="E133" i="33"/>
  <c r="F133" i="33"/>
  <c r="E134" i="33"/>
  <c r="F134" i="33"/>
  <c r="E135" i="33"/>
  <c r="F135" i="33"/>
  <c r="E136" i="33"/>
  <c r="F136" i="33"/>
  <c r="E137" i="33"/>
  <c r="F137" i="33"/>
  <c r="E138" i="33"/>
  <c r="F138" i="33"/>
  <c r="E139" i="33"/>
  <c r="F139" i="33"/>
  <c r="E140" i="33"/>
  <c r="F140" i="33"/>
  <c r="E141" i="33"/>
  <c r="F141" i="33"/>
  <c r="E142" i="33"/>
  <c r="F142" i="33"/>
  <c r="E143" i="33"/>
  <c r="F143" i="33"/>
  <c r="E144" i="33"/>
  <c r="F144" i="33"/>
  <c r="E145" i="33"/>
  <c r="F145" i="33"/>
  <c r="E146" i="33"/>
  <c r="F146" i="33"/>
  <c r="E147" i="33"/>
  <c r="F147" i="33"/>
  <c r="E148" i="33"/>
  <c r="F148" i="33"/>
  <c r="E149" i="33"/>
  <c r="F149" i="33"/>
  <c r="E150" i="33"/>
  <c r="F150" i="33"/>
  <c r="E151" i="33"/>
  <c r="F151" i="33"/>
  <c r="E152" i="33"/>
  <c r="F152" i="33"/>
  <c r="E153" i="33"/>
  <c r="F153" i="33"/>
  <c r="E154" i="33"/>
  <c r="F154" i="33"/>
  <c r="E155" i="33"/>
  <c r="F155" i="33"/>
  <c r="E156" i="33"/>
  <c r="F156" i="33"/>
  <c r="E157" i="33"/>
  <c r="F157" i="33"/>
  <c r="E158" i="33"/>
  <c r="F158" i="33"/>
  <c r="E159" i="33"/>
  <c r="F159" i="33"/>
  <c r="E160" i="33"/>
  <c r="F160" i="33"/>
  <c r="E161" i="33"/>
  <c r="F161" i="33"/>
  <c r="E162" i="33"/>
  <c r="F162" i="33"/>
  <c r="E163" i="33"/>
  <c r="F163" i="33"/>
  <c r="E164" i="33"/>
  <c r="F164" i="33"/>
  <c r="E165" i="33"/>
  <c r="F165" i="33"/>
  <c r="G2198" i="2"/>
  <c r="G2199" i="2"/>
  <c r="G2200" i="2"/>
  <c r="I2200" i="2"/>
  <c r="G2201" i="2"/>
  <c r="J2201" i="2"/>
  <c r="K2201" i="2"/>
  <c r="G2202" i="2"/>
  <c r="G2203" i="2"/>
  <c r="H2203" i="2"/>
  <c r="G2205" i="2"/>
  <c r="J2205" i="2"/>
  <c r="K2205" i="2"/>
  <c r="G2204" i="2"/>
  <c r="H2204" i="2"/>
  <c r="G2206" i="2"/>
  <c r="G2207" i="2"/>
  <c r="G2208" i="2"/>
  <c r="H2208" i="2"/>
  <c r="G2209" i="2"/>
  <c r="G2211" i="2"/>
  <c r="G2212" i="2"/>
  <c r="H2212" i="2"/>
  <c r="G2225" i="2"/>
  <c r="G2224" i="2"/>
  <c r="G2213" i="2"/>
  <c r="J2213" i="2"/>
  <c r="K2213" i="2"/>
  <c r="G2215" i="2"/>
  <c r="G2235" i="2"/>
  <c r="J2235" i="2"/>
  <c r="K2235" i="2"/>
  <c r="G2236" i="2"/>
  <c r="G2216" i="2"/>
  <c r="J2216" i="2"/>
  <c r="K2216" i="2"/>
  <c r="G2218" i="2"/>
  <c r="I2218" i="2"/>
  <c r="G2222" i="2"/>
  <c r="G2219" i="2"/>
  <c r="I2219" i="2"/>
  <c r="G2220" i="2"/>
  <c r="G2221" i="2"/>
  <c r="H2221" i="2"/>
  <c r="G2223" i="2"/>
  <c r="I2223" i="2"/>
  <c r="G2226" i="2"/>
  <c r="J2226" i="2"/>
  <c r="K2226" i="2"/>
  <c r="G2227" i="2"/>
  <c r="G2229" i="2"/>
  <c r="J2229" i="2"/>
  <c r="K2229" i="2"/>
  <c r="G2230" i="2"/>
  <c r="G2214" i="2"/>
  <c r="G2231" i="2"/>
  <c r="H2231" i="2"/>
  <c r="G2232" i="2"/>
  <c r="G2217" i="2"/>
  <c r="J2217" i="2"/>
  <c r="K2217" i="2"/>
  <c r="G2233" i="2"/>
  <c r="H2233" i="2"/>
  <c r="G2210" i="2"/>
  <c r="H2210" i="2"/>
  <c r="G2237" i="2"/>
  <c r="H2237" i="2"/>
  <c r="G2238" i="2"/>
  <c r="H2238" i="2"/>
  <c r="G2239" i="2"/>
  <c r="G2234" i="2"/>
  <c r="I2234" i="2"/>
  <c r="G2228" i="2"/>
  <c r="D2228" i="2"/>
  <c r="D2234" i="2"/>
  <c r="D2239" i="2"/>
  <c r="D2238" i="2"/>
  <c r="D2237" i="2"/>
  <c r="D2210" i="2"/>
  <c r="D2233" i="2"/>
  <c r="D2217" i="2"/>
  <c r="D2232" i="2"/>
  <c r="D2231" i="2"/>
  <c r="D2214" i="2"/>
  <c r="D2230" i="2"/>
  <c r="D2229" i="2"/>
  <c r="D2227" i="2"/>
  <c r="D2226" i="2"/>
  <c r="D2223" i="2"/>
  <c r="D2221" i="2"/>
  <c r="D2220" i="2"/>
  <c r="D2219" i="2"/>
  <c r="D2222" i="2"/>
  <c r="D2218" i="2"/>
  <c r="D2216" i="2"/>
  <c r="D2236" i="2"/>
  <c r="D2235" i="2"/>
  <c r="D2215" i="2"/>
  <c r="D2213" i="2"/>
  <c r="D2224" i="2"/>
  <c r="D2225" i="2"/>
  <c r="D2212" i="2"/>
  <c r="D2211" i="2"/>
  <c r="D2209" i="2"/>
  <c r="D2208" i="2"/>
  <c r="D2207" i="2"/>
  <c r="D2206" i="2"/>
  <c r="D2204" i="2"/>
  <c r="D2205" i="2"/>
  <c r="D2203" i="2"/>
  <c r="D2202" i="2"/>
  <c r="D2201" i="2"/>
  <c r="D2200" i="2"/>
  <c r="D2199" i="2"/>
  <c r="D2198" i="2"/>
  <c r="E35" i="30"/>
  <c r="E34" i="30"/>
  <c r="E121" i="33"/>
  <c r="F121" i="33"/>
  <c r="D2186" i="2"/>
  <c r="G2186" i="2"/>
  <c r="J2186" i="2"/>
  <c r="K2186" i="2"/>
  <c r="E111" i="33"/>
  <c r="F111" i="33"/>
  <c r="E112" i="33"/>
  <c r="F112" i="33"/>
  <c r="E113" i="33"/>
  <c r="F113" i="33"/>
  <c r="E114" i="33"/>
  <c r="F114" i="33"/>
  <c r="E115" i="33"/>
  <c r="F115" i="33"/>
  <c r="E116" i="33"/>
  <c r="F116" i="33"/>
  <c r="E117" i="33"/>
  <c r="F117" i="33"/>
  <c r="E118" i="33"/>
  <c r="F118" i="33"/>
  <c r="E119" i="33"/>
  <c r="F119" i="33"/>
  <c r="E120" i="33"/>
  <c r="F120" i="33"/>
  <c r="E81" i="33"/>
  <c r="F81" i="33"/>
  <c r="E82" i="33"/>
  <c r="F82" i="33"/>
  <c r="E83" i="33"/>
  <c r="F83" i="33"/>
  <c r="E84" i="33"/>
  <c r="F84" i="33"/>
  <c r="E85" i="33"/>
  <c r="F85" i="33"/>
  <c r="E86" i="33"/>
  <c r="F86" i="33"/>
  <c r="E87" i="33"/>
  <c r="F87" i="33"/>
  <c r="E88" i="33"/>
  <c r="F88" i="33"/>
  <c r="E89" i="33"/>
  <c r="F89" i="33"/>
  <c r="E90" i="33"/>
  <c r="F90" i="33"/>
  <c r="E91" i="33"/>
  <c r="F91" i="33"/>
  <c r="E92" i="33"/>
  <c r="F92" i="33"/>
  <c r="E93" i="33"/>
  <c r="F93" i="33"/>
  <c r="E94" i="33"/>
  <c r="F94" i="33"/>
  <c r="E95" i="33"/>
  <c r="F95" i="33"/>
  <c r="E96" i="33"/>
  <c r="F96" i="33"/>
  <c r="E97" i="33"/>
  <c r="F97" i="33"/>
  <c r="E98" i="33"/>
  <c r="F98" i="33"/>
  <c r="E99" i="33"/>
  <c r="F99" i="33"/>
  <c r="E100" i="33"/>
  <c r="F100" i="33"/>
  <c r="E101" i="33"/>
  <c r="F101" i="33"/>
  <c r="E102" i="33"/>
  <c r="F102" i="33"/>
  <c r="E103" i="33"/>
  <c r="F103" i="33"/>
  <c r="E104" i="33"/>
  <c r="F104" i="33"/>
  <c r="E105" i="33"/>
  <c r="F105" i="33"/>
  <c r="E106" i="33"/>
  <c r="F106" i="33"/>
  <c r="E107" i="33"/>
  <c r="F107" i="33"/>
  <c r="E108" i="33"/>
  <c r="F108" i="33"/>
  <c r="E109" i="33"/>
  <c r="F109" i="33"/>
  <c r="E110" i="33"/>
  <c r="F110" i="33"/>
  <c r="G2156" i="2"/>
  <c r="G2157" i="2"/>
  <c r="I2157" i="2"/>
  <c r="G2158" i="2"/>
  <c r="H2158" i="2"/>
  <c r="G2159" i="2"/>
  <c r="H2159" i="2"/>
  <c r="G2160" i="2"/>
  <c r="G2161" i="2"/>
  <c r="G2163" i="2"/>
  <c r="G2162" i="2"/>
  <c r="G2164" i="2"/>
  <c r="H2164" i="2"/>
  <c r="G2165" i="2"/>
  <c r="H2165" i="2"/>
  <c r="G2166" i="2"/>
  <c r="I2166" i="2"/>
  <c r="G2167" i="2"/>
  <c r="J2167" i="2"/>
  <c r="K2167" i="2"/>
  <c r="G2169" i="2"/>
  <c r="J2169" i="2"/>
  <c r="K2169" i="2"/>
  <c r="G2170" i="2"/>
  <c r="I2170" i="2"/>
  <c r="G2183" i="2"/>
  <c r="H2183" i="2"/>
  <c r="G2182" i="2"/>
  <c r="H2182" i="2"/>
  <c r="G2171" i="2"/>
  <c r="G2173" i="2"/>
  <c r="H2173" i="2"/>
  <c r="G2193" i="2"/>
  <c r="G2194" i="2"/>
  <c r="J2194" i="2"/>
  <c r="K2194" i="2"/>
  <c r="G2174" i="2"/>
  <c r="H2174" i="2"/>
  <c r="G2176" i="2"/>
  <c r="H2176" i="2"/>
  <c r="G2180" i="2"/>
  <c r="I2180" i="2"/>
  <c r="G2177" i="2"/>
  <c r="G2178" i="2"/>
  <c r="I2178" i="2"/>
  <c r="G2179" i="2"/>
  <c r="J2179" i="2"/>
  <c r="K2179" i="2"/>
  <c r="G2181" i="2"/>
  <c r="J2181" i="2"/>
  <c r="K2181" i="2"/>
  <c r="G2184" i="2"/>
  <c r="H2184" i="2"/>
  <c r="G2185" i="2"/>
  <c r="G2187" i="2"/>
  <c r="I2187" i="2"/>
  <c r="G2188" i="2"/>
  <c r="J2188" i="2"/>
  <c r="K2188" i="2"/>
  <c r="G2172" i="2"/>
  <c r="H2172" i="2"/>
  <c r="G2189" i="2"/>
  <c r="G2190" i="2"/>
  <c r="I2190" i="2"/>
  <c r="G2175" i="2"/>
  <c r="I2175" i="2"/>
  <c r="G2191" i="2"/>
  <c r="G2168" i="2"/>
  <c r="H2168" i="2"/>
  <c r="G2195" i="2"/>
  <c r="I2195" i="2"/>
  <c r="G2196" i="2"/>
  <c r="I2196" i="2"/>
  <c r="G2197" i="2"/>
  <c r="H2197" i="2"/>
  <c r="G2192" i="2"/>
  <c r="D2192" i="2"/>
  <c r="D2197" i="2"/>
  <c r="D2196" i="2"/>
  <c r="D2195" i="2"/>
  <c r="D2168" i="2"/>
  <c r="D2191" i="2"/>
  <c r="D2175" i="2"/>
  <c r="D2190" i="2"/>
  <c r="D2189" i="2"/>
  <c r="D2172" i="2"/>
  <c r="D2188" i="2"/>
  <c r="D2187" i="2"/>
  <c r="D2185" i="2"/>
  <c r="D2184" i="2"/>
  <c r="D2181" i="2"/>
  <c r="D2179" i="2"/>
  <c r="D2178" i="2"/>
  <c r="D2177" i="2"/>
  <c r="D2180" i="2"/>
  <c r="D2176" i="2"/>
  <c r="D2174" i="2"/>
  <c r="D2194" i="2"/>
  <c r="D2193" i="2"/>
  <c r="D2173" i="2"/>
  <c r="D2171" i="2"/>
  <c r="D2182" i="2"/>
  <c r="D2183" i="2"/>
  <c r="D2170" i="2"/>
  <c r="D2169" i="2"/>
  <c r="D2167" i="2"/>
  <c r="D2166" i="2"/>
  <c r="D2165" i="2"/>
  <c r="D2164" i="2"/>
  <c r="D2162" i="2"/>
  <c r="D2163" i="2"/>
  <c r="D2161" i="2"/>
  <c r="D2160" i="2"/>
  <c r="D2159" i="2"/>
  <c r="D2158" i="2"/>
  <c r="D2157" i="2"/>
  <c r="D2156" i="2"/>
  <c r="E2" i="33"/>
  <c r="F2" i="33"/>
  <c r="E3" i="33"/>
  <c r="F3" i="33"/>
  <c r="E4" i="33"/>
  <c r="F4" i="33"/>
  <c r="E5" i="33"/>
  <c r="F5" i="33"/>
  <c r="E6" i="33"/>
  <c r="F6" i="33"/>
  <c r="E7" i="33"/>
  <c r="F7" i="33"/>
  <c r="E8" i="33"/>
  <c r="F8" i="33"/>
  <c r="E9" i="33"/>
  <c r="F9" i="33"/>
  <c r="E10" i="33"/>
  <c r="F10" i="33"/>
  <c r="E11" i="33"/>
  <c r="F11" i="33"/>
  <c r="E12" i="33"/>
  <c r="F12" i="33"/>
  <c r="E13" i="33"/>
  <c r="F13" i="33"/>
  <c r="E14" i="33"/>
  <c r="F14" i="33"/>
  <c r="E15" i="33"/>
  <c r="F15" i="33"/>
  <c r="E16" i="33"/>
  <c r="F16" i="33"/>
  <c r="E17" i="33"/>
  <c r="F17" i="33"/>
  <c r="E18" i="33"/>
  <c r="F18" i="33"/>
  <c r="E19" i="33"/>
  <c r="F19" i="33"/>
  <c r="E20" i="33"/>
  <c r="F20" i="33"/>
  <c r="E21" i="33"/>
  <c r="F21" i="33"/>
  <c r="E22" i="33"/>
  <c r="F22" i="33"/>
  <c r="E23" i="33"/>
  <c r="F23" i="33"/>
  <c r="E24" i="33"/>
  <c r="F24" i="33"/>
  <c r="E25" i="33"/>
  <c r="F25" i="33"/>
  <c r="E26" i="33"/>
  <c r="F26" i="33"/>
  <c r="E27" i="33"/>
  <c r="F27" i="33"/>
  <c r="E28" i="33"/>
  <c r="F28" i="33"/>
  <c r="E29" i="33"/>
  <c r="F29" i="33"/>
  <c r="E30" i="33"/>
  <c r="F30" i="33"/>
  <c r="E31" i="33"/>
  <c r="F31" i="33"/>
  <c r="E32" i="33"/>
  <c r="F32" i="33"/>
  <c r="E33" i="33"/>
  <c r="F33" i="33"/>
  <c r="E34" i="33"/>
  <c r="F34" i="33"/>
  <c r="E35" i="33"/>
  <c r="F35" i="33"/>
  <c r="E36" i="33"/>
  <c r="F36" i="33"/>
  <c r="E37" i="33"/>
  <c r="F37" i="33"/>
  <c r="E38" i="33"/>
  <c r="F38" i="33"/>
  <c r="E39" i="33"/>
  <c r="F39" i="33"/>
  <c r="E40" i="33"/>
  <c r="F40" i="33"/>
  <c r="E41" i="33"/>
  <c r="F41" i="33"/>
  <c r="E42" i="33"/>
  <c r="F42" i="33"/>
  <c r="E43" i="33"/>
  <c r="F43" i="33"/>
  <c r="E44" i="33"/>
  <c r="F44" i="33"/>
  <c r="E45" i="33"/>
  <c r="F45" i="33"/>
  <c r="E46" i="33"/>
  <c r="F46" i="33"/>
  <c r="E47" i="33"/>
  <c r="F47" i="33"/>
  <c r="E48" i="33"/>
  <c r="F48" i="33"/>
  <c r="E49" i="33"/>
  <c r="F49" i="33"/>
  <c r="E50" i="33"/>
  <c r="F50" i="33"/>
  <c r="E51" i="33"/>
  <c r="F51" i="33"/>
  <c r="E52" i="33"/>
  <c r="F52" i="33"/>
  <c r="E53" i="33"/>
  <c r="F53" i="33"/>
  <c r="E54" i="33"/>
  <c r="F54" i="33"/>
  <c r="E55" i="33"/>
  <c r="F55" i="33"/>
  <c r="E56" i="33"/>
  <c r="F56" i="33"/>
  <c r="E57" i="33"/>
  <c r="F57" i="33"/>
  <c r="E58" i="33"/>
  <c r="F58" i="33"/>
  <c r="E59" i="33"/>
  <c r="F59" i="33"/>
  <c r="E60" i="33"/>
  <c r="F60" i="33"/>
  <c r="E61" i="33"/>
  <c r="F61" i="33"/>
  <c r="E62" i="33"/>
  <c r="F62" i="33"/>
  <c r="E63" i="33"/>
  <c r="F63" i="33"/>
  <c r="E64" i="33"/>
  <c r="F64" i="33"/>
  <c r="E65" i="33"/>
  <c r="F65" i="33"/>
  <c r="E66" i="33"/>
  <c r="F66" i="33"/>
  <c r="E67" i="33"/>
  <c r="F67" i="33"/>
  <c r="E68" i="33"/>
  <c r="F68" i="33"/>
  <c r="E69" i="33"/>
  <c r="F69" i="33"/>
  <c r="E70" i="33"/>
  <c r="F70" i="33"/>
  <c r="E71" i="33"/>
  <c r="F71" i="33"/>
  <c r="E72" i="33"/>
  <c r="F72" i="33"/>
  <c r="E73" i="33"/>
  <c r="F73" i="33"/>
  <c r="E74" i="33"/>
  <c r="F74" i="33"/>
  <c r="E75" i="33"/>
  <c r="F75" i="33"/>
  <c r="E76" i="33"/>
  <c r="F76" i="33"/>
  <c r="E77" i="33"/>
  <c r="F77" i="33"/>
  <c r="E78" i="33"/>
  <c r="F78" i="33"/>
  <c r="E79" i="33"/>
  <c r="F79" i="33"/>
  <c r="E80" i="33"/>
  <c r="F80" i="33"/>
  <c r="G2115" i="2"/>
  <c r="J2115" i="2"/>
  <c r="K2115" i="2"/>
  <c r="G2116" i="2"/>
  <c r="G2117" i="2"/>
  <c r="H2117" i="2"/>
  <c r="G2118" i="2"/>
  <c r="J2118" i="2"/>
  <c r="K2118" i="2"/>
  <c r="G2119" i="2"/>
  <c r="G2120" i="2"/>
  <c r="G2122" i="2"/>
  <c r="I2122" i="2"/>
  <c r="G2121" i="2"/>
  <c r="G2123" i="2"/>
  <c r="G2124" i="2"/>
  <c r="G2125" i="2"/>
  <c r="I2125" i="2"/>
  <c r="G2126" i="2"/>
  <c r="J2126" i="2"/>
  <c r="K2126" i="2"/>
  <c r="G2128" i="2"/>
  <c r="J2128" i="2"/>
  <c r="K2128" i="2"/>
  <c r="G2129" i="2"/>
  <c r="G2142" i="2"/>
  <c r="J2142" i="2"/>
  <c r="K2142" i="2"/>
  <c r="G2141" i="2"/>
  <c r="J2141" i="2"/>
  <c r="K2141" i="2"/>
  <c r="G2130" i="2"/>
  <c r="J2130" i="2"/>
  <c r="K2130" i="2"/>
  <c r="G2132" i="2"/>
  <c r="H2132" i="2"/>
  <c r="G2151" i="2"/>
  <c r="G2152" i="2"/>
  <c r="G2133" i="2"/>
  <c r="G2135" i="2"/>
  <c r="G2139" i="2"/>
  <c r="G2136" i="2"/>
  <c r="H2136" i="2"/>
  <c r="G2137" i="2"/>
  <c r="G2138" i="2"/>
  <c r="J2138" i="2"/>
  <c r="K2138" i="2"/>
  <c r="G2140" i="2"/>
  <c r="G2143" i="2"/>
  <c r="H2143" i="2"/>
  <c r="G2144" i="2"/>
  <c r="I2144" i="2"/>
  <c r="G2145" i="2"/>
  <c r="J2145" i="2"/>
  <c r="K2145" i="2"/>
  <c r="G2146" i="2"/>
  <c r="H2146" i="2"/>
  <c r="G2131" i="2"/>
  <c r="J2131" i="2"/>
  <c r="K2131" i="2"/>
  <c r="G2147" i="2"/>
  <c r="G2148" i="2"/>
  <c r="G2134" i="2"/>
  <c r="I2134" i="2"/>
  <c r="G2149" i="2"/>
  <c r="G2127" i="2"/>
  <c r="J2127" i="2"/>
  <c r="K2127" i="2"/>
  <c r="G2153" i="2"/>
  <c r="H2153" i="2"/>
  <c r="G2154" i="2"/>
  <c r="I2154" i="2"/>
  <c r="G2155" i="2"/>
  <c r="G2150" i="2"/>
  <c r="I2150" i="2"/>
  <c r="D2150" i="2"/>
  <c r="D2155" i="2"/>
  <c r="D2154" i="2"/>
  <c r="D2153" i="2"/>
  <c r="D2127" i="2"/>
  <c r="D2149" i="2"/>
  <c r="D2134" i="2"/>
  <c r="D2148" i="2"/>
  <c r="D2147" i="2"/>
  <c r="D2131" i="2"/>
  <c r="D2146" i="2"/>
  <c r="D2145" i="2"/>
  <c r="D2144" i="2"/>
  <c r="D2143" i="2"/>
  <c r="D2140" i="2"/>
  <c r="D2138" i="2"/>
  <c r="D2137" i="2"/>
  <c r="D2136" i="2"/>
  <c r="D2139" i="2"/>
  <c r="D2135" i="2"/>
  <c r="D2133" i="2"/>
  <c r="D2152" i="2"/>
  <c r="D2151" i="2"/>
  <c r="D2132" i="2"/>
  <c r="D2130" i="2"/>
  <c r="D2141" i="2"/>
  <c r="D2142" i="2"/>
  <c r="D2129" i="2"/>
  <c r="D2128" i="2"/>
  <c r="D2126" i="2"/>
  <c r="D2125" i="2"/>
  <c r="D2124" i="2"/>
  <c r="D2123" i="2"/>
  <c r="D2121" i="2"/>
  <c r="D2122" i="2"/>
  <c r="D2120" i="2"/>
  <c r="D2119" i="2"/>
  <c r="D2118" i="2"/>
  <c r="D2117" i="2"/>
  <c r="D2116" i="2"/>
  <c r="D2115" i="2"/>
  <c r="G2074" i="2"/>
  <c r="I2074" i="2"/>
  <c r="G2075" i="2"/>
  <c r="G2076" i="2"/>
  <c r="H2076" i="2"/>
  <c r="G2077" i="2"/>
  <c r="G2078" i="2"/>
  <c r="J2078" i="2"/>
  <c r="K2078" i="2"/>
  <c r="G2079" i="2"/>
  <c r="H2079" i="2"/>
  <c r="G2081" i="2"/>
  <c r="G2080" i="2"/>
  <c r="J2080" i="2"/>
  <c r="K2080" i="2"/>
  <c r="G2082" i="2"/>
  <c r="J2082" i="2"/>
  <c r="K2082" i="2"/>
  <c r="G2083" i="2"/>
  <c r="H2083" i="2"/>
  <c r="G2084" i="2"/>
  <c r="I2084" i="2"/>
  <c r="G2085" i="2"/>
  <c r="J2085" i="2"/>
  <c r="K2085" i="2"/>
  <c r="G2087" i="2"/>
  <c r="I2087" i="2"/>
  <c r="G2088" i="2"/>
  <c r="J2088" i="2"/>
  <c r="K2088" i="2"/>
  <c r="G2101" i="2"/>
  <c r="G2100" i="2"/>
  <c r="G2089" i="2"/>
  <c r="I2089" i="2"/>
  <c r="G2091" i="2"/>
  <c r="H2091" i="2"/>
  <c r="G2110" i="2"/>
  <c r="H2110" i="2"/>
  <c r="G2111" i="2"/>
  <c r="G2092" i="2"/>
  <c r="J2092" i="2"/>
  <c r="K2092" i="2"/>
  <c r="G2094" i="2"/>
  <c r="I2094" i="2"/>
  <c r="G2098" i="2"/>
  <c r="I2098" i="2"/>
  <c r="G2095" i="2"/>
  <c r="H2095" i="2"/>
  <c r="J2095" i="2"/>
  <c r="K2095" i="2"/>
  <c r="G2096" i="2"/>
  <c r="G2097" i="2"/>
  <c r="H2097" i="2"/>
  <c r="G2099" i="2"/>
  <c r="H2099" i="2"/>
  <c r="G2102" i="2"/>
  <c r="I2102" i="2"/>
  <c r="G2103" i="2"/>
  <c r="H2103" i="2"/>
  <c r="G2104" i="2"/>
  <c r="I2104" i="2"/>
  <c r="G2105" i="2"/>
  <c r="J2105" i="2"/>
  <c r="K2105" i="2"/>
  <c r="G2090" i="2"/>
  <c r="G2106" i="2"/>
  <c r="G2107" i="2"/>
  <c r="H2107" i="2"/>
  <c r="G2093" i="2"/>
  <c r="J2093" i="2"/>
  <c r="K2093" i="2"/>
  <c r="G2108" i="2"/>
  <c r="I2108" i="2"/>
  <c r="G2086" i="2"/>
  <c r="G2112" i="2"/>
  <c r="H2112" i="2"/>
  <c r="G2113" i="2"/>
  <c r="H2113" i="2"/>
  <c r="G2114" i="2"/>
  <c r="H2114" i="2"/>
  <c r="G2109" i="2"/>
  <c r="I2109" i="2"/>
  <c r="G2" i="2"/>
  <c r="G3" i="2"/>
  <c r="G4" i="2"/>
  <c r="I4" i="2"/>
  <c r="G5" i="2"/>
  <c r="J5" i="2"/>
  <c r="K5" i="2"/>
  <c r="G6" i="2"/>
  <c r="I6" i="2"/>
  <c r="G7" i="2"/>
  <c r="G8" i="2"/>
  <c r="J8" i="2"/>
  <c r="K8" i="2"/>
  <c r="G9" i="2"/>
  <c r="I9" i="2"/>
  <c r="G10" i="2"/>
  <c r="G11" i="2"/>
  <c r="G12" i="2"/>
  <c r="H12" i="2"/>
  <c r="G13" i="2"/>
  <c r="H13" i="2"/>
  <c r="G14" i="2"/>
  <c r="G15" i="2"/>
  <c r="I15" i="2"/>
  <c r="G16" i="2"/>
  <c r="G17" i="2"/>
  <c r="H17" i="2"/>
  <c r="G18" i="2"/>
  <c r="H18" i="2"/>
  <c r="G19" i="2"/>
  <c r="J19" i="2"/>
  <c r="K19" i="2"/>
  <c r="G20" i="2"/>
  <c r="I20" i="2"/>
  <c r="G21" i="2"/>
  <c r="I21" i="2"/>
  <c r="G22" i="2"/>
  <c r="I22" i="2"/>
  <c r="G23" i="2"/>
  <c r="J23" i="2"/>
  <c r="K23" i="2"/>
  <c r="G24" i="2"/>
  <c r="H24" i="2"/>
  <c r="G25" i="2"/>
  <c r="H25" i="2"/>
  <c r="G26" i="2"/>
  <c r="G27" i="2"/>
  <c r="J27" i="2"/>
  <c r="K27" i="2"/>
  <c r="G28" i="2"/>
  <c r="G29" i="2"/>
  <c r="G30" i="2"/>
  <c r="H30" i="2"/>
  <c r="G31" i="2"/>
  <c r="I31" i="2"/>
  <c r="G32" i="2"/>
  <c r="G33" i="2"/>
  <c r="G34" i="2"/>
  <c r="G35" i="2"/>
  <c r="G36" i="2"/>
  <c r="G37" i="2"/>
  <c r="G38" i="2"/>
  <c r="G39" i="2"/>
  <c r="I39" i="2"/>
  <c r="G40" i="2"/>
  <c r="H40" i="2"/>
  <c r="G41" i="2"/>
  <c r="G42" i="2"/>
  <c r="G43" i="2"/>
  <c r="I43" i="2"/>
  <c r="G44" i="2"/>
  <c r="G45" i="2"/>
  <c r="I45" i="2"/>
  <c r="G46" i="2"/>
  <c r="J46" i="2"/>
  <c r="K46" i="2"/>
  <c r="G47" i="2"/>
  <c r="I47" i="2"/>
  <c r="G48" i="2"/>
  <c r="J48" i="2"/>
  <c r="K48" i="2"/>
  <c r="G49" i="2"/>
  <c r="H49" i="2"/>
  <c r="G50" i="2"/>
  <c r="J50" i="2"/>
  <c r="K50" i="2"/>
  <c r="G51" i="2"/>
  <c r="I51" i="2"/>
  <c r="G52" i="2"/>
  <c r="H52" i="2"/>
  <c r="G53" i="2"/>
  <c r="G54" i="2"/>
  <c r="I54" i="2"/>
  <c r="G55" i="2"/>
  <c r="I55" i="2"/>
  <c r="G56" i="2"/>
  <c r="I56" i="2"/>
  <c r="G57" i="2"/>
  <c r="I57" i="2"/>
  <c r="G58" i="2"/>
  <c r="G59" i="2"/>
  <c r="I59" i="2"/>
  <c r="G60" i="2"/>
  <c r="I60" i="2"/>
  <c r="G61" i="2"/>
  <c r="J61" i="2"/>
  <c r="K61" i="2"/>
  <c r="G62" i="2"/>
  <c r="H62" i="2"/>
  <c r="G63" i="2"/>
  <c r="I63" i="2"/>
  <c r="G64" i="2"/>
  <c r="I64" i="2"/>
  <c r="G65" i="2"/>
  <c r="G66" i="2"/>
  <c r="I66" i="2"/>
  <c r="G67" i="2"/>
  <c r="H67" i="2"/>
  <c r="G68" i="2"/>
  <c r="G69" i="2"/>
  <c r="G70" i="2"/>
  <c r="G71" i="2"/>
  <c r="I71" i="2"/>
  <c r="G72" i="2"/>
  <c r="G73" i="2"/>
  <c r="I73" i="2"/>
  <c r="G74" i="2"/>
  <c r="H74" i="2"/>
  <c r="G75" i="2"/>
  <c r="I75" i="2"/>
  <c r="G76" i="2"/>
  <c r="J76" i="2"/>
  <c r="K76" i="2"/>
  <c r="G77" i="2"/>
  <c r="G78" i="2"/>
  <c r="G79" i="2"/>
  <c r="G80" i="2"/>
  <c r="I80" i="2"/>
  <c r="G81" i="2"/>
  <c r="J81" i="2"/>
  <c r="K81" i="2"/>
  <c r="G82" i="2"/>
  <c r="G83" i="2"/>
  <c r="G84" i="2"/>
  <c r="J84" i="2"/>
  <c r="K84" i="2"/>
  <c r="G85" i="2"/>
  <c r="H85" i="2"/>
  <c r="G86" i="2"/>
  <c r="G87" i="2"/>
  <c r="G88" i="2"/>
  <c r="G89" i="2"/>
  <c r="J89" i="2"/>
  <c r="K89" i="2"/>
  <c r="G90" i="2"/>
  <c r="G91" i="2"/>
  <c r="I91" i="2"/>
  <c r="G92" i="2"/>
  <c r="I92" i="2"/>
  <c r="G93" i="2"/>
  <c r="I93" i="2"/>
  <c r="G94" i="2"/>
  <c r="I94" i="2"/>
  <c r="G95" i="2"/>
  <c r="G96" i="2"/>
  <c r="I96" i="2"/>
  <c r="G97" i="2"/>
  <c r="G98" i="2"/>
  <c r="H98" i="2"/>
  <c r="G99" i="2"/>
  <c r="I99" i="2"/>
  <c r="G100" i="2"/>
  <c r="G101" i="2"/>
  <c r="I101" i="2"/>
  <c r="G102" i="2"/>
  <c r="G103" i="2"/>
  <c r="G104" i="2"/>
  <c r="G105" i="2"/>
  <c r="H105" i="2"/>
  <c r="G106" i="2"/>
  <c r="J106" i="2"/>
  <c r="K106" i="2"/>
  <c r="G107" i="2"/>
  <c r="J107" i="2"/>
  <c r="K107" i="2"/>
  <c r="G108" i="2"/>
  <c r="J108" i="2"/>
  <c r="K108" i="2"/>
  <c r="G109" i="2"/>
  <c r="H109" i="2"/>
  <c r="G110" i="2"/>
  <c r="J110" i="2"/>
  <c r="K110" i="2"/>
  <c r="G111" i="2"/>
  <c r="H111" i="2"/>
  <c r="G112" i="2"/>
  <c r="J112" i="2"/>
  <c r="K112" i="2"/>
  <c r="G113" i="2"/>
  <c r="J113" i="2"/>
  <c r="K113" i="2"/>
  <c r="G114" i="2"/>
  <c r="G115" i="2"/>
  <c r="J115" i="2"/>
  <c r="K115" i="2"/>
  <c r="G116" i="2"/>
  <c r="J116" i="2"/>
  <c r="K116" i="2"/>
  <c r="G117" i="2"/>
  <c r="J117" i="2"/>
  <c r="K117" i="2"/>
  <c r="G118" i="2"/>
  <c r="G119" i="2"/>
  <c r="G120" i="2"/>
  <c r="G121" i="2"/>
  <c r="G122" i="2"/>
  <c r="H122" i="2"/>
  <c r="G123" i="2"/>
  <c r="J123" i="2"/>
  <c r="K123" i="2"/>
  <c r="G124" i="2"/>
  <c r="H124" i="2"/>
  <c r="G125" i="2"/>
  <c r="G126" i="2"/>
  <c r="G127" i="2"/>
  <c r="I127" i="2"/>
  <c r="G128" i="2"/>
  <c r="J128" i="2"/>
  <c r="K128" i="2"/>
  <c r="G129" i="2"/>
  <c r="G130" i="2"/>
  <c r="J130" i="2"/>
  <c r="K130" i="2"/>
  <c r="G131" i="2"/>
  <c r="I131" i="2"/>
  <c r="G132" i="2"/>
  <c r="H132" i="2"/>
  <c r="G133" i="2"/>
  <c r="G134" i="2"/>
  <c r="G135" i="2"/>
  <c r="I135" i="2"/>
  <c r="G136" i="2"/>
  <c r="G137" i="2"/>
  <c r="I137" i="2"/>
  <c r="G138" i="2"/>
  <c r="J138" i="2"/>
  <c r="K138" i="2"/>
  <c r="G139" i="2"/>
  <c r="I139" i="2"/>
  <c r="G140" i="2"/>
  <c r="H140" i="2"/>
  <c r="G141" i="2"/>
  <c r="H141" i="2"/>
  <c r="G142" i="2"/>
  <c r="I142" i="2"/>
  <c r="G143" i="2"/>
  <c r="G144" i="2"/>
  <c r="I144" i="2"/>
  <c r="G145" i="2"/>
  <c r="G146" i="2"/>
  <c r="J146" i="2"/>
  <c r="K146" i="2"/>
  <c r="G147" i="2"/>
  <c r="I147" i="2"/>
  <c r="G148" i="2"/>
  <c r="J148" i="2"/>
  <c r="K148" i="2"/>
  <c r="G149" i="2"/>
  <c r="J149" i="2"/>
  <c r="K149" i="2"/>
  <c r="G150" i="2"/>
  <c r="I150" i="2"/>
  <c r="G151" i="2"/>
  <c r="H151" i="2"/>
  <c r="G152" i="2"/>
  <c r="G153" i="2"/>
  <c r="J153" i="2"/>
  <c r="K153" i="2"/>
  <c r="G154" i="2"/>
  <c r="J154" i="2"/>
  <c r="K154" i="2"/>
  <c r="G155" i="2"/>
  <c r="H155" i="2"/>
  <c r="G156" i="2"/>
  <c r="I156" i="2"/>
  <c r="G157" i="2"/>
  <c r="I157" i="2"/>
  <c r="G158" i="2"/>
  <c r="H158" i="2"/>
  <c r="G159" i="2"/>
  <c r="J159" i="2"/>
  <c r="K159" i="2"/>
  <c r="G160" i="2"/>
  <c r="H160" i="2"/>
  <c r="G161" i="2"/>
  <c r="J161" i="2"/>
  <c r="K161" i="2"/>
  <c r="G162" i="2"/>
  <c r="G163" i="2"/>
  <c r="G164" i="2"/>
  <c r="H164" i="2"/>
  <c r="G165" i="2"/>
  <c r="J165" i="2"/>
  <c r="K165" i="2"/>
  <c r="G166" i="2"/>
  <c r="G167" i="2"/>
  <c r="G168" i="2"/>
  <c r="J168" i="2"/>
  <c r="K168" i="2"/>
  <c r="G169" i="2"/>
  <c r="I169" i="2"/>
  <c r="G170" i="2"/>
  <c r="G171" i="2"/>
  <c r="G172" i="2"/>
  <c r="H172" i="2"/>
  <c r="G173" i="2"/>
  <c r="J173" i="2"/>
  <c r="K173" i="2"/>
  <c r="G174" i="2"/>
  <c r="H174" i="2"/>
  <c r="G175" i="2"/>
  <c r="I175" i="2"/>
  <c r="G176" i="2"/>
  <c r="I176" i="2"/>
  <c r="G177" i="2"/>
  <c r="G178" i="2"/>
  <c r="J178" i="2"/>
  <c r="K178" i="2"/>
  <c r="G179" i="2"/>
  <c r="J179" i="2"/>
  <c r="K179" i="2"/>
  <c r="G180" i="2"/>
  <c r="G181" i="2"/>
  <c r="G182" i="2"/>
  <c r="G183" i="2"/>
  <c r="J183" i="2"/>
  <c r="K183" i="2"/>
  <c r="G184" i="2"/>
  <c r="G185" i="2"/>
  <c r="H185" i="2"/>
  <c r="G186" i="2"/>
  <c r="J186" i="2"/>
  <c r="K186" i="2"/>
  <c r="G187" i="2"/>
  <c r="H187" i="2"/>
  <c r="G188" i="2"/>
  <c r="J188" i="2"/>
  <c r="K188" i="2"/>
  <c r="G189" i="2"/>
  <c r="G190" i="2"/>
  <c r="G191" i="2"/>
  <c r="I191" i="2"/>
  <c r="G192" i="2"/>
  <c r="G193" i="2"/>
  <c r="G194" i="2"/>
  <c r="G195" i="2"/>
  <c r="H195" i="2"/>
  <c r="G196" i="2"/>
  <c r="J196" i="2"/>
  <c r="K196" i="2"/>
  <c r="G197" i="2"/>
  <c r="H197" i="2"/>
  <c r="G198" i="2"/>
  <c r="I198" i="2"/>
  <c r="G199" i="2"/>
  <c r="G200" i="2"/>
  <c r="I200" i="2"/>
  <c r="G201" i="2"/>
  <c r="J201" i="2"/>
  <c r="K201" i="2"/>
  <c r="G202" i="2"/>
  <c r="J202" i="2"/>
  <c r="K202" i="2"/>
  <c r="G203" i="2"/>
  <c r="J203" i="2"/>
  <c r="K203" i="2"/>
  <c r="G204" i="2"/>
  <c r="I204" i="2"/>
  <c r="G205" i="2"/>
  <c r="J205" i="2"/>
  <c r="K205" i="2"/>
  <c r="G206" i="2"/>
  <c r="G207" i="2"/>
  <c r="J207" i="2"/>
  <c r="K207" i="2"/>
  <c r="G208" i="2"/>
  <c r="J208" i="2"/>
  <c r="K208" i="2"/>
  <c r="G209" i="2"/>
  <c r="G210" i="2"/>
  <c r="G211" i="2"/>
  <c r="I211" i="2"/>
  <c r="G212" i="2"/>
  <c r="J212" i="2"/>
  <c r="K212" i="2"/>
  <c r="G213" i="2"/>
  <c r="J213" i="2"/>
  <c r="K213" i="2"/>
  <c r="G214" i="2"/>
  <c r="I214" i="2"/>
  <c r="G215" i="2"/>
  <c r="H215" i="2"/>
  <c r="G216" i="2"/>
  <c r="H216" i="2"/>
  <c r="G217" i="2"/>
  <c r="G218" i="2"/>
  <c r="J218" i="2"/>
  <c r="K218" i="2"/>
  <c r="G219" i="2"/>
  <c r="I219" i="2"/>
  <c r="G220" i="2"/>
  <c r="H220" i="2"/>
  <c r="G221" i="2"/>
  <c r="H221" i="2"/>
  <c r="G222" i="2"/>
  <c r="G223" i="2"/>
  <c r="G224" i="2"/>
  <c r="J224" i="2"/>
  <c r="K224" i="2"/>
  <c r="G225" i="2"/>
  <c r="I225" i="2"/>
  <c r="G226" i="2"/>
  <c r="J226" i="2"/>
  <c r="K226" i="2"/>
  <c r="G227" i="2"/>
  <c r="G228" i="2"/>
  <c r="I228" i="2"/>
  <c r="G229" i="2"/>
  <c r="I229" i="2"/>
  <c r="G230" i="2"/>
  <c r="I230" i="2"/>
  <c r="G231" i="2"/>
  <c r="I231" i="2"/>
  <c r="G232" i="2"/>
  <c r="H232" i="2"/>
  <c r="G233" i="2"/>
  <c r="I233" i="2"/>
  <c r="G234" i="2"/>
  <c r="G235" i="2"/>
  <c r="I235" i="2"/>
  <c r="G236" i="2"/>
  <c r="G237" i="2"/>
  <c r="H237" i="2"/>
  <c r="G238" i="2"/>
  <c r="G239" i="2"/>
  <c r="G240" i="2"/>
  <c r="I240" i="2"/>
  <c r="G241" i="2"/>
  <c r="H241" i="2"/>
  <c r="G242" i="2"/>
  <c r="J242" i="2"/>
  <c r="K242" i="2"/>
  <c r="G243" i="2"/>
  <c r="J243" i="2"/>
  <c r="K243" i="2"/>
  <c r="G244" i="2"/>
  <c r="G245" i="2"/>
  <c r="I245" i="2"/>
  <c r="G246" i="2"/>
  <c r="G247" i="2"/>
  <c r="J247" i="2"/>
  <c r="K247" i="2"/>
  <c r="G248" i="2"/>
  <c r="H248" i="2"/>
  <c r="G249" i="2"/>
  <c r="G250" i="2"/>
  <c r="H250" i="2"/>
  <c r="G251" i="2"/>
  <c r="H251" i="2"/>
  <c r="G252" i="2"/>
  <c r="G253" i="2"/>
  <c r="J253" i="2"/>
  <c r="K253" i="2"/>
  <c r="G254" i="2"/>
  <c r="G255" i="2"/>
  <c r="G256" i="2"/>
  <c r="G257" i="2"/>
  <c r="G258" i="2"/>
  <c r="J258" i="2"/>
  <c r="K258" i="2"/>
  <c r="G259" i="2"/>
  <c r="I259" i="2"/>
  <c r="G260" i="2"/>
  <c r="I260" i="2"/>
  <c r="G261" i="2"/>
  <c r="H261" i="2"/>
  <c r="G262" i="2"/>
  <c r="I262" i="2"/>
  <c r="G263" i="2"/>
  <c r="J263" i="2"/>
  <c r="K263" i="2"/>
  <c r="G264" i="2"/>
  <c r="I264" i="2"/>
  <c r="G265" i="2"/>
  <c r="G266" i="2"/>
  <c r="J266" i="2"/>
  <c r="K266" i="2"/>
  <c r="G267" i="2"/>
  <c r="I267" i="2"/>
  <c r="G268" i="2"/>
  <c r="G269" i="2"/>
  <c r="G270" i="2"/>
  <c r="J270" i="2"/>
  <c r="K270" i="2"/>
  <c r="G271" i="2"/>
  <c r="I271" i="2"/>
  <c r="G272" i="2"/>
  <c r="G273" i="2"/>
  <c r="H273" i="2"/>
  <c r="G274" i="2"/>
  <c r="H274" i="2"/>
  <c r="G275" i="2"/>
  <c r="J275" i="2"/>
  <c r="K275" i="2"/>
  <c r="G276" i="2"/>
  <c r="I276" i="2"/>
  <c r="G277" i="2"/>
  <c r="I277" i="2"/>
  <c r="G278" i="2"/>
  <c r="I278" i="2"/>
  <c r="G279" i="2"/>
  <c r="I279" i="2"/>
  <c r="G280" i="2"/>
  <c r="G281" i="2"/>
  <c r="G282" i="2"/>
  <c r="H282" i="2"/>
  <c r="G283" i="2"/>
  <c r="G284" i="2"/>
  <c r="G285" i="2"/>
  <c r="G286" i="2"/>
  <c r="G287" i="2"/>
  <c r="G288" i="2"/>
  <c r="I288" i="2"/>
  <c r="G289" i="2"/>
  <c r="G290" i="2"/>
  <c r="G291" i="2"/>
  <c r="H291" i="2"/>
  <c r="G292" i="2"/>
  <c r="I292" i="2"/>
  <c r="G293" i="2"/>
  <c r="J293" i="2"/>
  <c r="K293" i="2"/>
  <c r="G294" i="2"/>
  <c r="G295" i="2"/>
  <c r="I295" i="2"/>
  <c r="G296" i="2"/>
  <c r="G297" i="2"/>
  <c r="G298" i="2"/>
  <c r="G299" i="2"/>
  <c r="G300" i="2"/>
  <c r="H300" i="2"/>
  <c r="G301" i="2"/>
  <c r="I301" i="2"/>
  <c r="G302" i="2"/>
  <c r="G303" i="2"/>
  <c r="H303" i="2"/>
  <c r="G304" i="2"/>
  <c r="I304" i="2"/>
  <c r="G305" i="2"/>
  <c r="G306" i="2"/>
  <c r="G307" i="2"/>
  <c r="H307" i="2"/>
  <c r="G308" i="2"/>
  <c r="G309" i="2"/>
  <c r="I309" i="2"/>
  <c r="G310" i="2"/>
  <c r="H310" i="2"/>
  <c r="G311" i="2"/>
  <c r="I311" i="2"/>
  <c r="G312" i="2"/>
  <c r="G313" i="2"/>
  <c r="J313" i="2"/>
  <c r="K313" i="2"/>
  <c r="G314" i="2"/>
  <c r="G315" i="2"/>
  <c r="J315" i="2"/>
  <c r="K315" i="2"/>
  <c r="G316" i="2"/>
  <c r="G317" i="2"/>
  <c r="J317" i="2"/>
  <c r="K317" i="2"/>
  <c r="G318" i="2"/>
  <c r="H318" i="2"/>
  <c r="G319" i="2"/>
  <c r="G320" i="2"/>
  <c r="I320" i="2"/>
  <c r="G321" i="2"/>
  <c r="H321" i="2"/>
  <c r="G322" i="2"/>
  <c r="H322" i="2"/>
  <c r="G323" i="2"/>
  <c r="G324" i="2"/>
  <c r="J324" i="2"/>
  <c r="K324" i="2"/>
  <c r="G325" i="2"/>
  <c r="H325" i="2"/>
  <c r="G326" i="2"/>
  <c r="G327" i="2"/>
  <c r="G328" i="2"/>
  <c r="G329" i="2"/>
  <c r="G330" i="2"/>
  <c r="G331" i="2"/>
  <c r="H331" i="2"/>
  <c r="G332" i="2"/>
  <c r="H332" i="2"/>
  <c r="G333" i="2"/>
  <c r="I333" i="2"/>
  <c r="G334" i="2"/>
  <c r="G335" i="2"/>
  <c r="I335" i="2"/>
  <c r="G336" i="2"/>
  <c r="J336" i="2"/>
  <c r="K336" i="2"/>
  <c r="G337" i="2"/>
  <c r="G338" i="2"/>
  <c r="G339" i="2"/>
  <c r="H339" i="2"/>
  <c r="G340" i="2"/>
  <c r="J340" i="2"/>
  <c r="K340" i="2"/>
  <c r="G341" i="2"/>
  <c r="I341" i="2"/>
  <c r="G342" i="2"/>
  <c r="G343" i="2"/>
  <c r="H343" i="2"/>
  <c r="G344" i="2"/>
  <c r="G345" i="2"/>
  <c r="J345" i="2"/>
  <c r="K345" i="2"/>
  <c r="G346" i="2"/>
  <c r="G347" i="2"/>
  <c r="G348" i="2"/>
  <c r="G349" i="2"/>
  <c r="I349" i="2"/>
  <c r="G350" i="2"/>
  <c r="G351" i="2"/>
  <c r="G352" i="2"/>
  <c r="I352" i="2"/>
  <c r="G353" i="2"/>
  <c r="G354" i="2"/>
  <c r="G355" i="2"/>
  <c r="H355" i="2"/>
  <c r="G356" i="2"/>
  <c r="G357" i="2"/>
  <c r="G358" i="2"/>
  <c r="I358" i="2"/>
  <c r="G359" i="2"/>
  <c r="I359" i="2"/>
  <c r="G360" i="2"/>
  <c r="G361" i="2"/>
  <c r="G362" i="2"/>
  <c r="G363" i="2"/>
  <c r="J363" i="2"/>
  <c r="K363" i="2"/>
  <c r="G364" i="2"/>
  <c r="J364" i="2"/>
  <c r="K364" i="2"/>
  <c r="G365" i="2"/>
  <c r="H365" i="2"/>
  <c r="G366" i="2"/>
  <c r="G367" i="2"/>
  <c r="H367" i="2"/>
  <c r="G368" i="2"/>
  <c r="I368" i="2"/>
  <c r="G369" i="2"/>
  <c r="H369" i="2"/>
  <c r="G370" i="2"/>
  <c r="J370" i="2"/>
  <c r="K370" i="2"/>
  <c r="G371" i="2"/>
  <c r="G372" i="2"/>
  <c r="J372" i="2"/>
  <c r="K372" i="2"/>
  <c r="G373" i="2"/>
  <c r="G374" i="2"/>
  <c r="H374" i="2"/>
  <c r="G375" i="2"/>
  <c r="H375" i="2"/>
  <c r="G376" i="2"/>
  <c r="G377" i="2"/>
  <c r="I377" i="2"/>
  <c r="G378" i="2"/>
  <c r="G379" i="2"/>
  <c r="J379" i="2"/>
  <c r="K379" i="2"/>
  <c r="G380" i="2"/>
  <c r="G381" i="2"/>
  <c r="I381" i="2"/>
  <c r="G382" i="2"/>
  <c r="H382" i="2"/>
  <c r="G383" i="2"/>
  <c r="J383" i="2"/>
  <c r="K383" i="2"/>
  <c r="G384" i="2"/>
  <c r="G385" i="2"/>
  <c r="J385" i="2"/>
  <c r="K385" i="2"/>
  <c r="G386" i="2"/>
  <c r="G387" i="2"/>
  <c r="J387" i="2"/>
  <c r="K387" i="2"/>
  <c r="G388" i="2"/>
  <c r="I388" i="2"/>
  <c r="G389" i="2"/>
  <c r="J389" i="2"/>
  <c r="K389" i="2"/>
  <c r="G390" i="2"/>
  <c r="G391" i="2"/>
  <c r="J391" i="2"/>
  <c r="K391" i="2"/>
  <c r="G392" i="2"/>
  <c r="G393" i="2"/>
  <c r="J393" i="2"/>
  <c r="K393" i="2"/>
  <c r="G394" i="2"/>
  <c r="I394" i="2"/>
  <c r="G395" i="2"/>
  <c r="J395" i="2"/>
  <c r="K395" i="2"/>
  <c r="G396" i="2"/>
  <c r="I396" i="2"/>
  <c r="G397" i="2"/>
  <c r="G398" i="2"/>
  <c r="I398" i="2"/>
  <c r="G399" i="2"/>
  <c r="H399" i="2"/>
  <c r="G400" i="2"/>
  <c r="G401" i="2"/>
  <c r="H401" i="2"/>
  <c r="G402" i="2"/>
  <c r="I402" i="2"/>
  <c r="G403" i="2"/>
  <c r="G404" i="2"/>
  <c r="J404" i="2"/>
  <c r="K404" i="2"/>
  <c r="G405" i="2"/>
  <c r="G406" i="2"/>
  <c r="I406" i="2"/>
  <c r="G407" i="2"/>
  <c r="G408" i="2"/>
  <c r="G409" i="2"/>
  <c r="G410" i="2"/>
  <c r="I410" i="2"/>
  <c r="G411" i="2"/>
  <c r="I411" i="2"/>
  <c r="G412" i="2"/>
  <c r="G413" i="2"/>
  <c r="H413" i="2"/>
  <c r="G414" i="2"/>
  <c r="H414" i="2"/>
  <c r="G415" i="2"/>
  <c r="J415" i="2"/>
  <c r="K415" i="2"/>
  <c r="G416" i="2"/>
  <c r="G417" i="2"/>
  <c r="G418" i="2"/>
  <c r="J418" i="2"/>
  <c r="K418" i="2"/>
  <c r="G419" i="2"/>
  <c r="G420" i="2"/>
  <c r="I420" i="2"/>
  <c r="G421" i="2"/>
  <c r="G422" i="2"/>
  <c r="I422" i="2"/>
  <c r="G423" i="2"/>
  <c r="I423" i="2"/>
  <c r="G424" i="2"/>
  <c r="H424" i="2"/>
  <c r="G425" i="2"/>
  <c r="H425" i="2"/>
  <c r="G426" i="2"/>
  <c r="G427" i="2"/>
  <c r="G428" i="2"/>
  <c r="I428" i="2"/>
  <c r="G429" i="2"/>
  <c r="J429" i="2"/>
  <c r="K429" i="2"/>
  <c r="G430" i="2"/>
  <c r="H430" i="2"/>
  <c r="G431" i="2"/>
  <c r="H431" i="2"/>
  <c r="G432" i="2"/>
  <c r="H432" i="2"/>
  <c r="G433" i="2"/>
  <c r="G434" i="2"/>
  <c r="I434" i="2"/>
  <c r="G435" i="2"/>
  <c r="G436" i="2"/>
  <c r="J436" i="2"/>
  <c r="K436" i="2"/>
  <c r="G437" i="2"/>
  <c r="G438" i="2"/>
  <c r="G439" i="2"/>
  <c r="G440" i="2"/>
  <c r="H440" i="2"/>
  <c r="G441" i="2"/>
  <c r="I441" i="2"/>
  <c r="G442" i="2"/>
  <c r="I442" i="2"/>
  <c r="G443" i="2"/>
  <c r="G444" i="2"/>
  <c r="J444" i="2"/>
  <c r="K444" i="2"/>
  <c r="G445" i="2"/>
  <c r="G446" i="2"/>
  <c r="J446" i="2"/>
  <c r="K446" i="2"/>
  <c r="G447" i="2"/>
  <c r="G448" i="2"/>
  <c r="G449" i="2"/>
  <c r="J449" i="2"/>
  <c r="K449" i="2"/>
  <c r="G450" i="2"/>
  <c r="I450" i="2"/>
  <c r="G451" i="2"/>
  <c r="J451" i="2"/>
  <c r="K451" i="2"/>
  <c r="G452" i="2"/>
  <c r="H452" i="2"/>
  <c r="G453" i="2"/>
  <c r="G454" i="2"/>
  <c r="I454" i="2"/>
  <c r="G455" i="2"/>
  <c r="G456" i="2"/>
  <c r="H456" i="2"/>
  <c r="G457" i="2"/>
  <c r="H457" i="2"/>
  <c r="G458" i="2"/>
  <c r="G459" i="2"/>
  <c r="G460" i="2"/>
  <c r="J460" i="2"/>
  <c r="K460" i="2"/>
  <c r="G461" i="2"/>
  <c r="G462" i="2"/>
  <c r="G463" i="2"/>
  <c r="G464" i="2"/>
  <c r="I464" i="2"/>
  <c r="G465" i="2"/>
  <c r="G466" i="2"/>
  <c r="G467" i="2"/>
  <c r="G468" i="2"/>
  <c r="G469" i="2"/>
  <c r="G470" i="2"/>
  <c r="G471" i="2"/>
  <c r="H471" i="2"/>
  <c r="G472" i="2"/>
  <c r="H472" i="2"/>
  <c r="G473" i="2"/>
  <c r="G474" i="2"/>
  <c r="G475" i="2"/>
  <c r="G476" i="2"/>
  <c r="G477" i="2"/>
  <c r="G478" i="2"/>
  <c r="G479" i="2"/>
  <c r="I479" i="2"/>
  <c r="G480" i="2"/>
  <c r="H480" i="2"/>
  <c r="G481" i="2"/>
  <c r="J481" i="2"/>
  <c r="K481" i="2"/>
  <c r="G482" i="2"/>
  <c r="H482" i="2"/>
  <c r="G483" i="2"/>
  <c r="I483" i="2"/>
  <c r="G484" i="2"/>
  <c r="G485" i="2"/>
  <c r="I485" i="2"/>
  <c r="G486" i="2"/>
  <c r="J486" i="2"/>
  <c r="K486" i="2"/>
  <c r="G487" i="2"/>
  <c r="G488" i="2"/>
  <c r="H488" i="2"/>
  <c r="G489" i="2"/>
  <c r="H489" i="2"/>
  <c r="I489" i="2"/>
  <c r="G490" i="2"/>
  <c r="J490" i="2"/>
  <c r="K490" i="2"/>
  <c r="G491" i="2"/>
  <c r="H491" i="2"/>
  <c r="G492" i="2"/>
  <c r="G493" i="2"/>
  <c r="G494" i="2"/>
  <c r="I494" i="2"/>
  <c r="G495" i="2"/>
  <c r="H495" i="2"/>
  <c r="G496" i="2"/>
  <c r="G497" i="2"/>
  <c r="J497" i="2"/>
  <c r="K497" i="2"/>
  <c r="G498" i="2"/>
  <c r="G499" i="2"/>
  <c r="J499" i="2"/>
  <c r="K499" i="2"/>
  <c r="G500" i="2"/>
  <c r="G501" i="2"/>
  <c r="J501" i="2"/>
  <c r="K501" i="2"/>
  <c r="G502" i="2"/>
  <c r="H502" i="2"/>
  <c r="G503" i="2"/>
  <c r="G504" i="2"/>
  <c r="I504" i="2"/>
  <c r="G505" i="2"/>
  <c r="G506" i="2"/>
  <c r="G507" i="2"/>
  <c r="J507" i="2"/>
  <c r="K507" i="2"/>
  <c r="G508" i="2"/>
  <c r="J508" i="2"/>
  <c r="K508" i="2"/>
  <c r="G509" i="2"/>
  <c r="H509" i="2"/>
  <c r="G510" i="2"/>
  <c r="J510" i="2"/>
  <c r="K510" i="2"/>
  <c r="G511" i="2"/>
  <c r="J511" i="2"/>
  <c r="K511" i="2"/>
  <c r="G512" i="2"/>
  <c r="J512" i="2"/>
  <c r="K512" i="2"/>
  <c r="G513" i="2"/>
  <c r="H513" i="2"/>
  <c r="G514" i="2"/>
  <c r="I514" i="2"/>
  <c r="G515" i="2"/>
  <c r="G516" i="2"/>
  <c r="I516" i="2"/>
  <c r="G517" i="2"/>
  <c r="J517" i="2"/>
  <c r="K517" i="2"/>
  <c r="G518" i="2"/>
  <c r="H518" i="2"/>
  <c r="G519" i="2"/>
  <c r="H519" i="2"/>
  <c r="G520" i="2"/>
  <c r="J520" i="2"/>
  <c r="K520" i="2"/>
  <c r="G521" i="2"/>
  <c r="I521" i="2"/>
  <c r="G522" i="2"/>
  <c r="J522" i="2"/>
  <c r="K522" i="2"/>
  <c r="G523" i="2"/>
  <c r="J523" i="2"/>
  <c r="K523" i="2"/>
  <c r="G524" i="2"/>
  <c r="G525" i="2"/>
  <c r="J525" i="2"/>
  <c r="K525" i="2"/>
  <c r="G526" i="2"/>
  <c r="G527" i="2"/>
  <c r="G528" i="2"/>
  <c r="I528" i="2"/>
  <c r="G529" i="2"/>
  <c r="J529" i="2"/>
  <c r="K529" i="2"/>
  <c r="G530" i="2"/>
  <c r="G531" i="2"/>
  <c r="J531" i="2"/>
  <c r="K531" i="2"/>
  <c r="G532" i="2"/>
  <c r="J532" i="2"/>
  <c r="K532" i="2"/>
  <c r="G533" i="2"/>
  <c r="H533" i="2"/>
  <c r="G534" i="2"/>
  <c r="H534" i="2"/>
  <c r="G535" i="2"/>
  <c r="G536" i="2"/>
  <c r="H536" i="2"/>
  <c r="G537" i="2"/>
  <c r="G538" i="2"/>
  <c r="G539" i="2"/>
  <c r="H539" i="2"/>
  <c r="G540" i="2"/>
  <c r="H540" i="2"/>
  <c r="G541" i="2"/>
  <c r="H541" i="2"/>
  <c r="G542" i="2"/>
  <c r="I542" i="2"/>
  <c r="G543" i="2"/>
  <c r="I543" i="2"/>
  <c r="G544" i="2"/>
  <c r="I544" i="2"/>
  <c r="G545" i="2"/>
  <c r="G546" i="2"/>
  <c r="G547" i="2"/>
  <c r="H547" i="2"/>
  <c r="G548" i="2"/>
  <c r="G549" i="2"/>
  <c r="G550" i="2"/>
  <c r="G551" i="2"/>
  <c r="I551" i="2"/>
  <c r="G552" i="2"/>
  <c r="J552" i="2"/>
  <c r="K552" i="2"/>
  <c r="G553" i="2"/>
  <c r="J553" i="2"/>
  <c r="K553" i="2"/>
  <c r="G554" i="2"/>
  <c r="I554" i="2"/>
  <c r="G555" i="2"/>
  <c r="J555" i="2"/>
  <c r="K555" i="2"/>
  <c r="G556" i="2"/>
  <c r="G557" i="2"/>
  <c r="G558" i="2"/>
  <c r="I558" i="2"/>
  <c r="G559" i="2"/>
  <c r="I559" i="2"/>
  <c r="G560" i="2"/>
  <c r="G561" i="2"/>
  <c r="J561" i="2"/>
  <c r="K561" i="2"/>
  <c r="G562" i="2"/>
  <c r="J562" i="2"/>
  <c r="K562" i="2"/>
  <c r="G563" i="2"/>
  <c r="J563" i="2"/>
  <c r="K563" i="2"/>
  <c r="G564" i="2"/>
  <c r="H564" i="2"/>
  <c r="G565" i="2"/>
  <c r="I565" i="2"/>
  <c r="G566" i="2"/>
  <c r="H566" i="2"/>
  <c r="G567" i="2"/>
  <c r="G568" i="2"/>
  <c r="G569" i="2"/>
  <c r="I569" i="2"/>
  <c r="G570" i="2"/>
  <c r="G571" i="2"/>
  <c r="G572" i="2"/>
  <c r="J572" i="2"/>
  <c r="K572" i="2"/>
  <c r="G573" i="2"/>
  <c r="J573" i="2"/>
  <c r="K573" i="2"/>
  <c r="G574" i="2"/>
  <c r="G575" i="2"/>
  <c r="G576" i="2"/>
  <c r="J576" i="2"/>
  <c r="K576" i="2"/>
  <c r="G577" i="2"/>
  <c r="G578" i="2"/>
  <c r="H578" i="2"/>
  <c r="G579" i="2"/>
  <c r="J579" i="2"/>
  <c r="K579" i="2"/>
  <c r="G580" i="2"/>
  <c r="G581" i="2"/>
  <c r="J581" i="2"/>
  <c r="K581" i="2"/>
  <c r="G582" i="2"/>
  <c r="I582" i="2"/>
  <c r="G583" i="2"/>
  <c r="G584" i="2"/>
  <c r="I584" i="2"/>
  <c r="G585" i="2"/>
  <c r="J585" i="2"/>
  <c r="K585" i="2"/>
  <c r="G586" i="2"/>
  <c r="H586" i="2"/>
  <c r="G587" i="2"/>
  <c r="G588" i="2"/>
  <c r="G589" i="2"/>
  <c r="G590" i="2"/>
  <c r="H590" i="2"/>
  <c r="G591" i="2"/>
  <c r="J591" i="2"/>
  <c r="K591" i="2"/>
  <c r="G592" i="2"/>
  <c r="G593" i="2"/>
  <c r="J593" i="2"/>
  <c r="K593" i="2"/>
  <c r="G594" i="2"/>
  <c r="H594" i="2"/>
  <c r="G595" i="2"/>
  <c r="G596" i="2"/>
  <c r="H596" i="2"/>
  <c r="G597" i="2"/>
  <c r="G598" i="2"/>
  <c r="I598" i="2"/>
  <c r="G599" i="2"/>
  <c r="G600" i="2"/>
  <c r="G601" i="2"/>
  <c r="H601" i="2"/>
  <c r="G602" i="2"/>
  <c r="I602" i="2"/>
  <c r="G603" i="2"/>
  <c r="H603" i="2"/>
  <c r="G604" i="2"/>
  <c r="G605" i="2"/>
  <c r="I605" i="2"/>
  <c r="G606" i="2"/>
  <c r="G607" i="2"/>
  <c r="H607" i="2"/>
  <c r="G608" i="2"/>
  <c r="G609" i="2"/>
  <c r="G610" i="2"/>
  <c r="H610" i="2"/>
  <c r="G611" i="2"/>
  <c r="J611" i="2"/>
  <c r="K611" i="2"/>
  <c r="G612" i="2"/>
  <c r="J612" i="2"/>
  <c r="K612" i="2"/>
  <c r="G613" i="2"/>
  <c r="G614" i="2"/>
  <c r="H614" i="2"/>
  <c r="G615" i="2"/>
  <c r="G616" i="2"/>
  <c r="G617" i="2"/>
  <c r="H617" i="2"/>
  <c r="G618" i="2"/>
  <c r="G619" i="2"/>
  <c r="G620" i="2"/>
  <c r="G621" i="2"/>
  <c r="G622" i="2"/>
  <c r="G623" i="2"/>
  <c r="J623" i="2"/>
  <c r="K623" i="2"/>
  <c r="G624" i="2"/>
  <c r="I624" i="2"/>
  <c r="G625" i="2"/>
  <c r="I625" i="2"/>
  <c r="G626" i="2"/>
  <c r="G627" i="2"/>
  <c r="J627" i="2"/>
  <c r="K627" i="2"/>
  <c r="G628" i="2"/>
  <c r="H628" i="2"/>
  <c r="G629" i="2"/>
  <c r="G630" i="2"/>
  <c r="G631" i="2"/>
  <c r="I631" i="2"/>
  <c r="G632" i="2"/>
  <c r="G633" i="2"/>
  <c r="H633" i="2"/>
  <c r="G634" i="2"/>
  <c r="H634" i="2"/>
  <c r="G635" i="2"/>
  <c r="H635" i="2"/>
  <c r="G636" i="2"/>
  <c r="H636" i="2"/>
  <c r="G637" i="2"/>
  <c r="H637" i="2"/>
  <c r="G638" i="2"/>
  <c r="H638" i="2"/>
  <c r="G639" i="2"/>
  <c r="G640" i="2"/>
  <c r="J640" i="2"/>
  <c r="K640" i="2"/>
  <c r="G641" i="2"/>
  <c r="G642" i="2"/>
  <c r="H642" i="2"/>
  <c r="G643" i="2"/>
  <c r="I643" i="2"/>
  <c r="G644" i="2"/>
  <c r="I644" i="2"/>
  <c r="G645" i="2"/>
  <c r="G646" i="2"/>
  <c r="G647" i="2"/>
  <c r="H647" i="2"/>
  <c r="G648" i="2"/>
  <c r="G649" i="2"/>
  <c r="G650" i="2"/>
  <c r="G651" i="2"/>
  <c r="H651" i="2"/>
  <c r="G652" i="2"/>
  <c r="G653" i="2"/>
  <c r="G654" i="2"/>
  <c r="I654" i="2"/>
  <c r="G655" i="2"/>
  <c r="H655" i="2"/>
  <c r="G656" i="2"/>
  <c r="J656" i="2"/>
  <c r="K656" i="2"/>
  <c r="G657" i="2"/>
  <c r="I657" i="2"/>
  <c r="G658" i="2"/>
  <c r="G659" i="2"/>
  <c r="G660" i="2"/>
  <c r="J660" i="2"/>
  <c r="K660" i="2"/>
  <c r="G661" i="2"/>
  <c r="J661" i="2"/>
  <c r="K661" i="2"/>
  <c r="G662" i="2"/>
  <c r="G663" i="2"/>
  <c r="G664" i="2"/>
  <c r="H664" i="2"/>
  <c r="G665" i="2"/>
  <c r="I665" i="2"/>
  <c r="G666" i="2"/>
  <c r="I666" i="2"/>
  <c r="G667" i="2"/>
  <c r="H667" i="2"/>
  <c r="G668" i="2"/>
  <c r="H668" i="2"/>
  <c r="G669" i="2"/>
  <c r="G670" i="2"/>
  <c r="H670" i="2"/>
  <c r="G671" i="2"/>
  <c r="G672" i="2"/>
  <c r="H672" i="2"/>
  <c r="G673" i="2"/>
  <c r="H673" i="2"/>
  <c r="G674" i="2"/>
  <c r="J674" i="2"/>
  <c r="K674" i="2"/>
  <c r="G675" i="2"/>
  <c r="G676" i="2"/>
  <c r="H676" i="2"/>
  <c r="G677" i="2"/>
  <c r="G678" i="2"/>
  <c r="H678" i="2"/>
  <c r="G679" i="2"/>
  <c r="G680" i="2"/>
  <c r="G681" i="2"/>
  <c r="G682" i="2"/>
  <c r="J682" i="2"/>
  <c r="K682" i="2"/>
  <c r="G683" i="2"/>
  <c r="G684" i="2"/>
  <c r="G685" i="2"/>
  <c r="J685" i="2"/>
  <c r="K685" i="2"/>
  <c r="G686" i="2"/>
  <c r="J686" i="2"/>
  <c r="K686" i="2"/>
  <c r="G687" i="2"/>
  <c r="J687" i="2"/>
  <c r="K687" i="2"/>
  <c r="G688" i="2"/>
  <c r="J688" i="2"/>
  <c r="K688" i="2"/>
  <c r="G689" i="2"/>
  <c r="H689" i="2"/>
  <c r="G690" i="2"/>
  <c r="I690" i="2"/>
  <c r="G691" i="2"/>
  <c r="G692" i="2"/>
  <c r="I692" i="2"/>
  <c r="G693" i="2"/>
  <c r="I693" i="2"/>
  <c r="G694" i="2"/>
  <c r="J694" i="2"/>
  <c r="K694" i="2"/>
  <c r="G695" i="2"/>
  <c r="H695" i="2"/>
  <c r="G696" i="2"/>
  <c r="G697" i="2"/>
  <c r="G698" i="2"/>
  <c r="G699" i="2"/>
  <c r="I699" i="2"/>
  <c r="G700" i="2"/>
  <c r="H700" i="2"/>
  <c r="G701" i="2"/>
  <c r="G702" i="2"/>
  <c r="J702" i="2"/>
  <c r="K702" i="2"/>
  <c r="G703" i="2"/>
  <c r="J703" i="2"/>
  <c r="K703" i="2"/>
  <c r="G704" i="2"/>
  <c r="J704" i="2"/>
  <c r="K704" i="2"/>
  <c r="G705" i="2"/>
  <c r="J705" i="2"/>
  <c r="K705" i="2"/>
  <c r="G706" i="2"/>
  <c r="G707" i="2"/>
  <c r="G708" i="2"/>
  <c r="J708" i="2"/>
  <c r="K708" i="2"/>
  <c r="G709" i="2"/>
  <c r="H709" i="2"/>
  <c r="G710" i="2"/>
  <c r="G711" i="2"/>
  <c r="G712" i="2"/>
  <c r="J712" i="2"/>
  <c r="K712" i="2"/>
  <c r="G713" i="2"/>
  <c r="G714" i="2"/>
  <c r="I714" i="2"/>
  <c r="G715" i="2"/>
  <c r="I715" i="2"/>
  <c r="G716" i="2"/>
  <c r="H716" i="2"/>
  <c r="G717" i="2"/>
  <c r="G718" i="2"/>
  <c r="G719" i="2"/>
  <c r="I719" i="2"/>
  <c r="G720" i="2"/>
  <c r="G721" i="2"/>
  <c r="J721" i="2"/>
  <c r="K721" i="2"/>
  <c r="G722" i="2"/>
  <c r="G723" i="2"/>
  <c r="J723" i="2"/>
  <c r="K723" i="2"/>
  <c r="G724" i="2"/>
  <c r="I724" i="2"/>
  <c r="G725" i="2"/>
  <c r="G726" i="2"/>
  <c r="J726" i="2"/>
  <c r="K726" i="2"/>
  <c r="G727" i="2"/>
  <c r="G728" i="2"/>
  <c r="G729" i="2"/>
  <c r="G730" i="2"/>
  <c r="H730" i="2"/>
  <c r="G731" i="2"/>
  <c r="J731" i="2"/>
  <c r="K731" i="2"/>
  <c r="G732" i="2"/>
  <c r="G733" i="2"/>
  <c r="G734" i="2"/>
  <c r="H734" i="2"/>
  <c r="G735" i="2"/>
  <c r="H735" i="2"/>
  <c r="G736" i="2"/>
  <c r="J736" i="2"/>
  <c r="K736" i="2"/>
  <c r="G737" i="2"/>
  <c r="J737" i="2"/>
  <c r="K737" i="2"/>
  <c r="G738" i="2"/>
  <c r="J738" i="2"/>
  <c r="K738" i="2"/>
  <c r="G739" i="2"/>
  <c r="I739" i="2"/>
  <c r="G740" i="2"/>
  <c r="G741" i="2"/>
  <c r="J741" i="2"/>
  <c r="K741" i="2"/>
  <c r="G742" i="2"/>
  <c r="G743" i="2"/>
  <c r="J743" i="2"/>
  <c r="K743" i="2"/>
  <c r="G744" i="2"/>
  <c r="G745" i="2"/>
  <c r="I745" i="2"/>
  <c r="G746" i="2"/>
  <c r="G747" i="2"/>
  <c r="G748" i="2"/>
  <c r="G749" i="2"/>
  <c r="G750" i="2"/>
  <c r="G751" i="2"/>
  <c r="G752" i="2"/>
  <c r="H752" i="2"/>
  <c r="G753" i="2"/>
  <c r="J753" i="2"/>
  <c r="K753" i="2"/>
  <c r="G754" i="2"/>
  <c r="G755" i="2"/>
  <c r="H755" i="2"/>
  <c r="G756" i="2"/>
  <c r="H756" i="2"/>
  <c r="G757" i="2"/>
  <c r="J757" i="2"/>
  <c r="K757" i="2"/>
  <c r="G758" i="2"/>
  <c r="G759" i="2"/>
  <c r="J759" i="2"/>
  <c r="K759" i="2"/>
  <c r="G760" i="2"/>
  <c r="J760" i="2"/>
  <c r="K760" i="2"/>
  <c r="G761" i="2"/>
  <c r="G762" i="2"/>
  <c r="G763" i="2"/>
  <c r="G764" i="2"/>
  <c r="H764" i="2"/>
  <c r="G765" i="2"/>
  <c r="I765" i="2"/>
  <c r="G766" i="2"/>
  <c r="J766" i="2"/>
  <c r="K766" i="2"/>
  <c r="G767" i="2"/>
  <c r="I767" i="2"/>
  <c r="G768" i="2"/>
  <c r="I768" i="2"/>
  <c r="G769" i="2"/>
  <c r="G770" i="2"/>
  <c r="I770" i="2"/>
  <c r="G771" i="2"/>
  <c r="I771" i="2"/>
  <c r="G772" i="2"/>
  <c r="I772" i="2"/>
  <c r="G773" i="2"/>
  <c r="G774" i="2"/>
  <c r="G775" i="2"/>
  <c r="J775" i="2"/>
  <c r="K775" i="2"/>
  <c r="G776" i="2"/>
  <c r="J776" i="2"/>
  <c r="K776" i="2"/>
  <c r="G777" i="2"/>
  <c r="J777" i="2"/>
  <c r="K777" i="2"/>
  <c r="G778" i="2"/>
  <c r="H778" i="2"/>
  <c r="G779" i="2"/>
  <c r="G780" i="2"/>
  <c r="H780" i="2"/>
  <c r="G781" i="2"/>
  <c r="G782" i="2"/>
  <c r="H782" i="2"/>
  <c r="G783" i="2"/>
  <c r="G784" i="2"/>
  <c r="G785" i="2"/>
  <c r="I785" i="2"/>
  <c r="G786" i="2"/>
  <c r="G787" i="2"/>
  <c r="G788" i="2"/>
  <c r="G789" i="2"/>
  <c r="I789" i="2"/>
  <c r="G790" i="2"/>
  <c r="H790" i="2"/>
  <c r="G791" i="2"/>
  <c r="J791" i="2"/>
  <c r="K791" i="2"/>
  <c r="G792" i="2"/>
  <c r="G793" i="2"/>
  <c r="H793" i="2"/>
  <c r="G794" i="2"/>
  <c r="H794" i="2"/>
  <c r="G795" i="2"/>
  <c r="J795" i="2"/>
  <c r="K795" i="2"/>
  <c r="G796" i="2"/>
  <c r="H796" i="2"/>
  <c r="G797" i="2"/>
  <c r="J797" i="2"/>
  <c r="K797" i="2"/>
  <c r="G798" i="2"/>
  <c r="I798" i="2"/>
  <c r="G799" i="2"/>
  <c r="H799" i="2"/>
  <c r="G800" i="2"/>
  <c r="G801" i="2"/>
  <c r="I801" i="2"/>
  <c r="G802" i="2"/>
  <c r="I802" i="2"/>
  <c r="G803" i="2"/>
  <c r="G804" i="2"/>
  <c r="G805" i="2"/>
  <c r="G806" i="2"/>
  <c r="G807" i="2"/>
  <c r="I807" i="2"/>
  <c r="G808" i="2"/>
  <c r="G809" i="2"/>
  <c r="J809" i="2"/>
  <c r="K809" i="2"/>
  <c r="G810" i="2"/>
  <c r="H810" i="2"/>
  <c r="G811" i="2"/>
  <c r="J811" i="2"/>
  <c r="K811" i="2"/>
  <c r="G812" i="2"/>
  <c r="G813" i="2"/>
  <c r="J813" i="2"/>
  <c r="K813" i="2"/>
  <c r="G814" i="2"/>
  <c r="G815" i="2"/>
  <c r="G816" i="2"/>
  <c r="I816" i="2"/>
  <c r="G817" i="2"/>
  <c r="J817" i="2"/>
  <c r="K817" i="2"/>
  <c r="G818" i="2"/>
  <c r="G819" i="2"/>
  <c r="J819" i="2"/>
  <c r="K819" i="2"/>
  <c r="G820" i="2"/>
  <c r="I820" i="2"/>
  <c r="G821" i="2"/>
  <c r="G822" i="2"/>
  <c r="I822" i="2"/>
  <c r="G823" i="2"/>
  <c r="G824" i="2"/>
  <c r="G825" i="2"/>
  <c r="J825" i="2"/>
  <c r="K825" i="2"/>
  <c r="G826" i="2"/>
  <c r="H826" i="2"/>
  <c r="G827" i="2"/>
  <c r="G828" i="2"/>
  <c r="J828" i="2"/>
  <c r="K828" i="2"/>
  <c r="G829" i="2"/>
  <c r="H829" i="2"/>
  <c r="G830" i="2"/>
  <c r="G831" i="2"/>
  <c r="I831" i="2"/>
  <c r="G832" i="2"/>
  <c r="I832" i="2"/>
  <c r="G833" i="2"/>
  <c r="I833" i="2"/>
  <c r="G834" i="2"/>
  <c r="G835" i="2"/>
  <c r="I835" i="2"/>
  <c r="G836" i="2"/>
  <c r="G837" i="2"/>
  <c r="H837" i="2"/>
  <c r="G838" i="2"/>
  <c r="G839" i="2"/>
  <c r="G840" i="2"/>
  <c r="I840" i="2"/>
  <c r="G841" i="2"/>
  <c r="H841" i="2"/>
  <c r="G842" i="2"/>
  <c r="H842" i="2"/>
  <c r="G843" i="2"/>
  <c r="H843" i="2"/>
  <c r="G844" i="2"/>
  <c r="H844" i="2"/>
  <c r="G845" i="2"/>
  <c r="I845" i="2"/>
  <c r="G846" i="2"/>
  <c r="G847" i="2"/>
  <c r="J847" i="2"/>
  <c r="K847" i="2"/>
  <c r="G848" i="2"/>
  <c r="H848" i="2"/>
  <c r="G849" i="2"/>
  <c r="I849" i="2"/>
  <c r="G850" i="2"/>
  <c r="I850" i="2"/>
  <c r="G851" i="2"/>
  <c r="J851" i="2"/>
  <c r="K851" i="2"/>
  <c r="G852" i="2"/>
  <c r="J852" i="2"/>
  <c r="K852" i="2"/>
  <c r="G853" i="2"/>
  <c r="G854" i="2"/>
  <c r="I854" i="2"/>
  <c r="G855" i="2"/>
  <c r="G856" i="2"/>
  <c r="G857" i="2"/>
  <c r="I857" i="2"/>
  <c r="G858" i="2"/>
  <c r="G859" i="2"/>
  <c r="G860" i="2"/>
  <c r="I860" i="2"/>
  <c r="G861" i="2"/>
  <c r="J861" i="2"/>
  <c r="K861" i="2"/>
  <c r="G862" i="2"/>
  <c r="J862" i="2"/>
  <c r="K862" i="2"/>
  <c r="G863" i="2"/>
  <c r="G864" i="2"/>
  <c r="G865" i="2"/>
  <c r="G866" i="2"/>
  <c r="J866" i="2"/>
  <c r="K866" i="2"/>
  <c r="G867" i="2"/>
  <c r="J867" i="2"/>
  <c r="K867" i="2"/>
  <c r="G868" i="2"/>
  <c r="H868" i="2"/>
  <c r="G869" i="2"/>
  <c r="G870" i="2"/>
  <c r="G871" i="2"/>
  <c r="G872" i="2"/>
  <c r="J872" i="2"/>
  <c r="K872" i="2"/>
  <c r="G873" i="2"/>
  <c r="I873" i="2"/>
  <c r="G874" i="2"/>
  <c r="H874" i="2"/>
  <c r="G875" i="2"/>
  <c r="I875" i="2"/>
  <c r="G876" i="2"/>
  <c r="J876" i="2"/>
  <c r="K876" i="2"/>
  <c r="G877" i="2"/>
  <c r="G878" i="2"/>
  <c r="H878" i="2"/>
  <c r="G879" i="2"/>
  <c r="I879" i="2"/>
  <c r="G880" i="2"/>
  <c r="G881" i="2"/>
  <c r="H881" i="2"/>
  <c r="G882" i="2"/>
  <c r="G883" i="2"/>
  <c r="H883" i="2"/>
  <c r="G884" i="2"/>
  <c r="G885" i="2"/>
  <c r="J885" i="2"/>
  <c r="K885" i="2"/>
  <c r="G886" i="2"/>
  <c r="G887" i="2"/>
  <c r="I887" i="2"/>
  <c r="G888" i="2"/>
  <c r="H888" i="2"/>
  <c r="G889" i="2"/>
  <c r="G890" i="2"/>
  <c r="H890" i="2"/>
  <c r="G891" i="2"/>
  <c r="G892" i="2"/>
  <c r="G893" i="2"/>
  <c r="G894" i="2"/>
  <c r="I894" i="2"/>
  <c r="G895" i="2"/>
  <c r="G896" i="2"/>
  <c r="I896" i="2"/>
  <c r="G897" i="2"/>
  <c r="G898" i="2"/>
  <c r="G899" i="2"/>
  <c r="H899" i="2"/>
  <c r="G900" i="2"/>
  <c r="I900" i="2"/>
  <c r="G901" i="2"/>
  <c r="I901" i="2"/>
  <c r="G902" i="2"/>
  <c r="H902" i="2"/>
  <c r="G903" i="2"/>
  <c r="G904" i="2"/>
  <c r="G905" i="2"/>
  <c r="G906" i="2"/>
  <c r="H906" i="2"/>
  <c r="G907" i="2"/>
  <c r="H907" i="2"/>
  <c r="G908" i="2"/>
  <c r="H908" i="2"/>
  <c r="G909" i="2"/>
  <c r="I909" i="2"/>
  <c r="G910" i="2"/>
  <c r="G911" i="2"/>
  <c r="G912" i="2"/>
  <c r="G913" i="2"/>
  <c r="J913" i="2"/>
  <c r="K913" i="2"/>
  <c r="G914" i="2"/>
  <c r="G915" i="2"/>
  <c r="G916" i="2"/>
  <c r="G917" i="2"/>
  <c r="I917" i="2"/>
  <c r="G918" i="2"/>
  <c r="I918" i="2"/>
  <c r="G919" i="2"/>
  <c r="I919" i="2"/>
  <c r="G920" i="2"/>
  <c r="I920" i="2"/>
  <c r="G921" i="2"/>
  <c r="G922" i="2"/>
  <c r="J922" i="2"/>
  <c r="K922" i="2"/>
  <c r="G923" i="2"/>
  <c r="G924" i="2"/>
  <c r="G925" i="2"/>
  <c r="J925" i="2"/>
  <c r="K925" i="2"/>
  <c r="G926" i="2"/>
  <c r="H926" i="2"/>
  <c r="G927" i="2"/>
  <c r="J927" i="2"/>
  <c r="K927" i="2"/>
  <c r="G928" i="2"/>
  <c r="G929" i="2"/>
  <c r="H929" i="2"/>
  <c r="G930" i="2"/>
  <c r="G931" i="2"/>
  <c r="G932" i="2"/>
  <c r="G933" i="2"/>
  <c r="H933" i="2"/>
  <c r="G934" i="2"/>
  <c r="G935" i="2"/>
  <c r="G936" i="2"/>
  <c r="G937" i="2"/>
  <c r="J937" i="2"/>
  <c r="K937" i="2"/>
  <c r="G938" i="2"/>
  <c r="H938" i="2"/>
  <c r="G939" i="2"/>
  <c r="G940" i="2"/>
  <c r="G941" i="2"/>
  <c r="G942" i="2"/>
  <c r="G943" i="2"/>
  <c r="H943" i="2"/>
  <c r="G944" i="2"/>
  <c r="H944" i="2"/>
  <c r="G945" i="2"/>
  <c r="J945" i="2"/>
  <c r="K945" i="2"/>
  <c r="G946" i="2"/>
  <c r="H946" i="2"/>
  <c r="G947" i="2"/>
  <c r="I947" i="2"/>
  <c r="G948" i="2"/>
  <c r="H948" i="2"/>
  <c r="G949" i="2"/>
  <c r="I949" i="2"/>
  <c r="G950" i="2"/>
  <c r="I950" i="2"/>
  <c r="G951" i="2"/>
  <c r="G952" i="2"/>
  <c r="H952" i="2"/>
  <c r="G953" i="2"/>
  <c r="H953" i="2"/>
  <c r="G954" i="2"/>
  <c r="H954" i="2"/>
  <c r="G955" i="2"/>
  <c r="H955" i="2"/>
  <c r="G956" i="2"/>
  <c r="J956" i="2"/>
  <c r="K956" i="2"/>
  <c r="G957" i="2"/>
  <c r="H957" i="2"/>
  <c r="G958" i="2"/>
  <c r="J958" i="2"/>
  <c r="K958" i="2"/>
  <c r="G959" i="2"/>
  <c r="I959" i="2"/>
  <c r="G960" i="2"/>
  <c r="G961" i="2"/>
  <c r="G962" i="2"/>
  <c r="G963" i="2"/>
  <c r="I963" i="2"/>
  <c r="G964" i="2"/>
  <c r="H964" i="2"/>
  <c r="G965" i="2"/>
  <c r="G966" i="2"/>
  <c r="G967" i="2"/>
  <c r="I967" i="2"/>
  <c r="G968" i="2"/>
  <c r="I968" i="2"/>
  <c r="G969" i="2"/>
  <c r="H969" i="2"/>
  <c r="G970" i="2"/>
  <c r="J970" i="2"/>
  <c r="K970" i="2"/>
  <c r="G971" i="2"/>
  <c r="J971" i="2"/>
  <c r="K971" i="2"/>
  <c r="G972" i="2"/>
  <c r="J972" i="2"/>
  <c r="K972" i="2"/>
  <c r="G973" i="2"/>
  <c r="G974" i="2"/>
  <c r="G975" i="2"/>
  <c r="G976" i="2"/>
  <c r="J976" i="2"/>
  <c r="K976" i="2"/>
  <c r="G977" i="2"/>
  <c r="I977" i="2"/>
  <c r="G978" i="2"/>
  <c r="J978" i="2"/>
  <c r="K978" i="2"/>
  <c r="G979" i="2"/>
  <c r="G980" i="2"/>
  <c r="H980" i="2"/>
  <c r="G981" i="2"/>
  <c r="J981" i="2"/>
  <c r="K981" i="2"/>
  <c r="G982" i="2"/>
  <c r="G983" i="2"/>
  <c r="I983" i="2"/>
  <c r="G984" i="2"/>
  <c r="I984" i="2"/>
  <c r="G985" i="2"/>
  <c r="H985" i="2"/>
  <c r="G986" i="2"/>
  <c r="G987" i="2"/>
  <c r="I987" i="2"/>
  <c r="G988" i="2"/>
  <c r="I988" i="2"/>
  <c r="G989" i="2"/>
  <c r="H989" i="2"/>
  <c r="G990" i="2"/>
  <c r="G991" i="2"/>
  <c r="H991" i="2"/>
  <c r="G992" i="2"/>
  <c r="I992" i="2"/>
  <c r="G993" i="2"/>
  <c r="I993" i="2"/>
  <c r="G994" i="2"/>
  <c r="H994" i="2"/>
  <c r="G995" i="2"/>
  <c r="J995" i="2"/>
  <c r="K995" i="2"/>
  <c r="G996" i="2"/>
  <c r="G997" i="2"/>
  <c r="I997" i="2"/>
  <c r="G998" i="2"/>
  <c r="J998" i="2"/>
  <c r="K998" i="2"/>
  <c r="G999" i="2"/>
  <c r="J999" i="2"/>
  <c r="K999" i="2"/>
  <c r="G1000" i="2"/>
  <c r="H1000" i="2"/>
  <c r="G1001" i="2"/>
  <c r="G1002" i="2"/>
  <c r="I1002" i="2"/>
  <c r="G1003" i="2"/>
  <c r="G1004" i="2"/>
  <c r="H1004" i="2"/>
  <c r="G1005" i="2"/>
  <c r="H1005" i="2"/>
  <c r="G1006" i="2"/>
  <c r="G1007" i="2"/>
  <c r="G1008" i="2"/>
  <c r="H1008" i="2"/>
  <c r="G1009" i="2"/>
  <c r="J1009" i="2"/>
  <c r="K1009" i="2"/>
  <c r="G1010" i="2"/>
  <c r="H1010" i="2"/>
  <c r="G1011" i="2"/>
  <c r="G1012" i="2"/>
  <c r="G1013" i="2"/>
  <c r="G1014" i="2"/>
  <c r="G1015" i="2"/>
  <c r="J1015" i="2"/>
  <c r="K1015" i="2"/>
  <c r="G1016" i="2"/>
  <c r="I1016" i="2"/>
  <c r="G1017" i="2"/>
  <c r="I1017" i="2"/>
  <c r="G1018" i="2"/>
  <c r="H1018" i="2"/>
  <c r="G1019" i="2"/>
  <c r="J1019" i="2"/>
  <c r="K1019" i="2"/>
  <c r="G1020" i="2"/>
  <c r="H1020" i="2"/>
  <c r="G1021" i="2"/>
  <c r="G1022" i="2"/>
  <c r="J1022" i="2"/>
  <c r="K1022" i="2"/>
  <c r="G1023" i="2"/>
  <c r="G1024" i="2"/>
  <c r="H1024" i="2"/>
  <c r="G1025" i="2"/>
  <c r="J1025" i="2"/>
  <c r="K1025" i="2"/>
  <c r="G1026" i="2"/>
  <c r="H1026" i="2"/>
  <c r="G1027" i="2"/>
  <c r="G1028" i="2"/>
  <c r="G1029" i="2"/>
  <c r="G1030" i="2"/>
  <c r="I1030" i="2"/>
  <c r="G1031" i="2"/>
  <c r="G1032" i="2"/>
  <c r="I1032" i="2"/>
  <c r="G1033" i="2"/>
  <c r="H1033" i="2"/>
  <c r="G1034" i="2"/>
  <c r="G1035" i="2"/>
  <c r="G1036" i="2"/>
  <c r="G1037" i="2"/>
  <c r="J1037" i="2"/>
  <c r="K1037" i="2"/>
  <c r="G1038" i="2"/>
  <c r="G1039" i="2"/>
  <c r="I1039" i="2"/>
  <c r="G1040" i="2"/>
  <c r="G1041" i="2"/>
  <c r="J1041" i="2"/>
  <c r="K1041" i="2"/>
  <c r="G1042" i="2"/>
  <c r="G1043" i="2"/>
  <c r="G1044" i="2"/>
  <c r="I1044" i="2"/>
  <c r="G1045" i="2"/>
  <c r="G1046" i="2"/>
  <c r="G1047" i="2"/>
  <c r="H1047" i="2"/>
  <c r="G1048" i="2"/>
  <c r="H1048" i="2"/>
  <c r="G1049" i="2"/>
  <c r="G1050" i="2"/>
  <c r="G1051" i="2"/>
  <c r="J1051" i="2"/>
  <c r="K1051" i="2"/>
  <c r="G1052" i="2"/>
  <c r="H1052" i="2"/>
  <c r="G1053" i="2"/>
  <c r="G1054" i="2"/>
  <c r="J1054" i="2"/>
  <c r="K1054" i="2"/>
  <c r="G1055" i="2"/>
  <c r="G1056" i="2"/>
  <c r="G1057" i="2"/>
  <c r="G1058" i="2"/>
  <c r="I1058" i="2"/>
  <c r="G1059" i="2"/>
  <c r="G1060" i="2"/>
  <c r="G1061" i="2"/>
  <c r="G1062" i="2"/>
  <c r="G1063" i="2"/>
  <c r="J1063" i="2"/>
  <c r="K1063" i="2"/>
  <c r="G1064" i="2"/>
  <c r="J1064" i="2"/>
  <c r="K1064" i="2"/>
  <c r="G1065" i="2"/>
  <c r="G1066" i="2"/>
  <c r="I1066" i="2"/>
  <c r="G1067" i="2"/>
  <c r="G1068" i="2"/>
  <c r="I1068" i="2"/>
  <c r="G1069" i="2"/>
  <c r="I1069" i="2"/>
  <c r="G1070" i="2"/>
  <c r="G1071" i="2"/>
  <c r="G1072" i="2"/>
  <c r="G1073" i="2"/>
  <c r="G1074" i="2"/>
  <c r="I1074" i="2"/>
  <c r="G1075" i="2"/>
  <c r="J1075" i="2"/>
  <c r="K1075" i="2"/>
  <c r="G1076" i="2"/>
  <c r="H1076" i="2"/>
  <c r="G1077" i="2"/>
  <c r="G1078" i="2"/>
  <c r="G1079" i="2"/>
  <c r="G1080" i="2"/>
  <c r="J1080" i="2"/>
  <c r="K1080" i="2"/>
  <c r="G1081" i="2"/>
  <c r="J1081" i="2"/>
  <c r="K1081" i="2"/>
  <c r="G1082" i="2"/>
  <c r="J1082" i="2"/>
  <c r="K1082" i="2"/>
  <c r="G1083" i="2"/>
  <c r="G1084" i="2"/>
  <c r="H1084" i="2"/>
  <c r="G1085" i="2"/>
  <c r="I1085" i="2"/>
  <c r="G1086" i="2"/>
  <c r="J1086" i="2"/>
  <c r="K1086" i="2"/>
  <c r="G1087" i="2"/>
  <c r="I1087" i="2"/>
  <c r="G1088" i="2"/>
  <c r="G1089" i="2"/>
  <c r="I1089" i="2"/>
  <c r="G1090" i="2"/>
  <c r="G1091" i="2"/>
  <c r="H1091" i="2"/>
  <c r="G1092" i="2"/>
  <c r="H1092" i="2"/>
  <c r="G1093" i="2"/>
  <c r="G1094" i="2"/>
  <c r="G1095" i="2"/>
  <c r="H1095" i="2"/>
  <c r="G1096" i="2"/>
  <c r="J1096" i="2"/>
  <c r="K1096" i="2"/>
  <c r="G1097" i="2"/>
  <c r="H1097" i="2"/>
  <c r="G1098" i="2"/>
  <c r="J1098" i="2"/>
  <c r="K1098" i="2"/>
  <c r="G1099" i="2"/>
  <c r="I1099" i="2"/>
  <c r="G1100" i="2"/>
  <c r="G1101" i="2"/>
  <c r="I1101" i="2"/>
  <c r="G1102" i="2"/>
  <c r="G1103" i="2"/>
  <c r="H1103" i="2"/>
  <c r="G1104" i="2"/>
  <c r="G1105" i="2"/>
  <c r="I1105" i="2"/>
  <c r="G1106" i="2"/>
  <c r="G1107" i="2"/>
  <c r="G1108" i="2"/>
  <c r="I1108" i="2"/>
  <c r="G1109" i="2"/>
  <c r="J1109" i="2"/>
  <c r="K1109" i="2"/>
  <c r="G1110" i="2"/>
  <c r="G1111" i="2"/>
  <c r="I1111" i="2"/>
  <c r="G1112" i="2"/>
  <c r="J1112" i="2"/>
  <c r="K1112" i="2"/>
  <c r="G1113" i="2"/>
  <c r="G1114" i="2"/>
  <c r="H1114" i="2"/>
  <c r="G1115" i="2"/>
  <c r="H1115" i="2"/>
  <c r="G1116" i="2"/>
  <c r="G1117" i="2"/>
  <c r="I1117" i="2"/>
  <c r="G1118" i="2"/>
  <c r="J1118" i="2"/>
  <c r="K1118" i="2"/>
  <c r="G1119" i="2"/>
  <c r="G1120" i="2"/>
  <c r="G1121" i="2"/>
  <c r="G1122" i="2"/>
  <c r="G1123" i="2"/>
  <c r="G1124" i="2"/>
  <c r="G1125" i="2"/>
  <c r="G1126" i="2"/>
  <c r="G1127" i="2"/>
  <c r="I1127" i="2"/>
  <c r="G1128" i="2"/>
  <c r="H1128" i="2"/>
  <c r="G1129" i="2"/>
  <c r="I1129" i="2"/>
  <c r="G1130" i="2"/>
  <c r="G1131" i="2"/>
  <c r="G1132" i="2"/>
  <c r="I1132" i="2"/>
  <c r="G1133" i="2"/>
  <c r="H1133" i="2"/>
  <c r="G1134" i="2"/>
  <c r="I1134" i="2"/>
  <c r="G1135" i="2"/>
  <c r="H1135" i="2"/>
  <c r="G1136" i="2"/>
  <c r="H1136" i="2"/>
  <c r="G1137" i="2"/>
  <c r="H1137" i="2"/>
  <c r="G1138" i="2"/>
  <c r="H1138" i="2"/>
  <c r="G1139" i="2"/>
  <c r="I1139" i="2"/>
  <c r="G1140" i="2"/>
  <c r="G1141" i="2"/>
  <c r="G1142" i="2"/>
  <c r="G1143" i="2"/>
  <c r="G1144" i="2"/>
  <c r="G1145" i="2"/>
  <c r="H1145" i="2"/>
  <c r="G1146" i="2"/>
  <c r="G1147" i="2"/>
  <c r="I1147" i="2"/>
  <c r="G1148" i="2"/>
  <c r="J1148" i="2"/>
  <c r="K1148" i="2"/>
  <c r="G1149" i="2"/>
  <c r="J1149" i="2"/>
  <c r="K1149" i="2"/>
  <c r="G1150" i="2"/>
  <c r="G1151" i="2"/>
  <c r="G1152" i="2"/>
  <c r="H1152" i="2"/>
  <c r="G1153" i="2"/>
  <c r="G1154" i="2"/>
  <c r="J1154" i="2"/>
  <c r="K1154" i="2"/>
  <c r="G1155" i="2"/>
  <c r="H1155" i="2"/>
  <c r="G1156" i="2"/>
  <c r="G1157" i="2"/>
  <c r="J1157" i="2"/>
  <c r="K1157" i="2"/>
  <c r="G1158" i="2"/>
  <c r="I1158" i="2"/>
  <c r="G1159" i="2"/>
  <c r="G1160" i="2"/>
  <c r="J1160" i="2"/>
  <c r="K1160" i="2"/>
  <c r="G1161" i="2"/>
  <c r="G1162" i="2"/>
  <c r="G1163" i="2"/>
  <c r="G1164" i="2"/>
  <c r="G1165" i="2"/>
  <c r="I1165" i="2"/>
  <c r="G1166" i="2"/>
  <c r="G1167" i="2"/>
  <c r="G1168" i="2"/>
  <c r="J1168" i="2"/>
  <c r="K1168" i="2"/>
  <c r="G1169" i="2"/>
  <c r="G1170" i="2"/>
  <c r="I1170" i="2"/>
  <c r="G1171" i="2"/>
  <c r="G1172" i="2"/>
  <c r="J1172" i="2"/>
  <c r="K1172" i="2"/>
  <c r="G1173" i="2"/>
  <c r="H1173" i="2"/>
  <c r="G1174" i="2"/>
  <c r="G1175" i="2"/>
  <c r="I1175" i="2"/>
  <c r="G1176" i="2"/>
  <c r="G1177" i="2"/>
  <c r="G1178" i="2"/>
  <c r="J1178" i="2"/>
  <c r="K1178" i="2"/>
  <c r="G1179" i="2"/>
  <c r="G1180" i="2"/>
  <c r="I1180" i="2"/>
  <c r="G1181" i="2"/>
  <c r="G1182" i="2"/>
  <c r="G1183" i="2"/>
  <c r="I1183" i="2"/>
  <c r="G1184" i="2"/>
  <c r="H1184" i="2"/>
  <c r="G1185" i="2"/>
  <c r="H1185" i="2"/>
  <c r="G1186" i="2"/>
  <c r="G1187" i="2"/>
  <c r="G1188" i="2"/>
  <c r="G1189" i="2"/>
  <c r="G1190" i="2"/>
  <c r="I1190" i="2"/>
  <c r="G1191" i="2"/>
  <c r="J1191" i="2"/>
  <c r="K1191" i="2"/>
  <c r="G1192" i="2"/>
  <c r="I1192" i="2"/>
  <c r="G1193" i="2"/>
  <c r="H1193" i="2"/>
  <c r="G1194" i="2"/>
  <c r="H1194" i="2"/>
  <c r="G1195" i="2"/>
  <c r="J1195" i="2"/>
  <c r="K1195" i="2"/>
  <c r="G1196" i="2"/>
  <c r="H1196" i="2"/>
  <c r="G1197" i="2"/>
  <c r="I1197" i="2"/>
  <c r="G1198" i="2"/>
  <c r="H1198" i="2"/>
  <c r="G1199" i="2"/>
  <c r="G1200" i="2"/>
  <c r="J1200" i="2"/>
  <c r="K1200" i="2"/>
  <c r="G1201" i="2"/>
  <c r="G1202" i="2"/>
  <c r="H1202" i="2"/>
  <c r="G1203" i="2"/>
  <c r="G1204" i="2"/>
  <c r="H1204" i="2"/>
  <c r="G1205" i="2"/>
  <c r="G1206" i="2"/>
  <c r="J1206" i="2"/>
  <c r="K1206" i="2"/>
  <c r="G1207" i="2"/>
  <c r="H1207" i="2"/>
  <c r="G1208" i="2"/>
  <c r="H1208" i="2"/>
  <c r="G1209" i="2"/>
  <c r="J1209" i="2"/>
  <c r="K1209" i="2"/>
  <c r="G1210" i="2"/>
  <c r="G1211" i="2"/>
  <c r="G1212" i="2"/>
  <c r="H1212" i="2"/>
  <c r="G1213" i="2"/>
  <c r="G1214" i="2"/>
  <c r="I1214" i="2"/>
  <c r="G1215" i="2"/>
  <c r="J1215" i="2"/>
  <c r="K1215" i="2"/>
  <c r="G1216" i="2"/>
  <c r="I1216" i="2"/>
  <c r="G1217" i="2"/>
  <c r="I1217" i="2"/>
  <c r="G1218" i="2"/>
  <c r="G1219" i="2"/>
  <c r="H1219" i="2"/>
  <c r="G1220" i="2"/>
  <c r="I1220" i="2"/>
  <c r="G1221" i="2"/>
  <c r="I1221" i="2"/>
  <c r="G1222" i="2"/>
  <c r="G1223" i="2"/>
  <c r="H1223" i="2"/>
  <c r="G1224" i="2"/>
  <c r="G1225" i="2"/>
  <c r="H1225" i="2"/>
  <c r="G1226" i="2"/>
  <c r="H1226" i="2"/>
  <c r="G1227" i="2"/>
  <c r="G1228" i="2"/>
  <c r="J1228" i="2"/>
  <c r="K1228" i="2"/>
  <c r="G1229" i="2"/>
  <c r="J1229" i="2"/>
  <c r="K1229" i="2"/>
  <c r="G1230" i="2"/>
  <c r="I1230" i="2"/>
  <c r="G1231" i="2"/>
  <c r="G1232" i="2"/>
  <c r="G1233" i="2"/>
  <c r="H1233" i="2"/>
  <c r="G1234" i="2"/>
  <c r="H1234" i="2"/>
  <c r="G1235" i="2"/>
  <c r="G1236" i="2"/>
  <c r="H1236" i="2"/>
  <c r="G1237" i="2"/>
  <c r="I1237" i="2"/>
  <c r="G1238" i="2"/>
  <c r="J1238" i="2"/>
  <c r="K1238" i="2"/>
  <c r="G1239" i="2"/>
  <c r="G1240" i="2"/>
  <c r="H1240" i="2"/>
  <c r="G1241" i="2"/>
  <c r="I1241" i="2"/>
  <c r="G1242" i="2"/>
  <c r="G1243" i="2"/>
  <c r="G1244" i="2"/>
  <c r="J1244" i="2"/>
  <c r="K1244" i="2"/>
  <c r="G1245" i="2"/>
  <c r="J1245" i="2"/>
  <c r="K1245" i="2"/>
  <c r="G1246" i="2"/>
  <c r="J1246" i="2"/>
  <c r="K1246" i="2"/>
  <c r="G1247" i="2"/>
  <c r="H1247" i="2"/>
  <c r="G1248" i="2"/>
  <c r="G1249" i="2"/>
  <c r="J1249" i="2"/>
  <c r="K1249" i="2"/>
  <c r="G1250" i="2"/>
  <c r="I1250" i="2"/>
  <c r="G1251" i="2"/>
  <c r="G1252" i="2"/>
  <c r="H1252" i="2"/>
  <c r="G1253" i="2"/>
  <c r="I1253" i="2"/>
  <c r="G1254" i="2"/>
  <c r="G1255" i="2"/>
  <c r="H1255" i="2"/>
  <c r="G1256" i="2"/>
  <c r="G1257" i="2"/>
  <c r="G1258" i="2"/>
  <c r="G1259" i="2"/>
  <c r="H1259" i="2"/>
  <c r="G1260" i="2"/>
  <c r="G1261" i="2"/>
  <c r="G1262" i="2"/>
  <c r="I1262" i="2"/>
  <c r="G1263" i="2"/>
  <c r="J1263" i="2"/>
  <c r="K1263" i="2"/>
  <c r="G1264" i="2"/>
  <c r="J1264" i="2"/>
  <c r="K1264" i="2"/>
  <c r="G1265" i="2"/>
  <c r="H1265" i="2"/>
  <c r="G1266" i="2"/>
  <c r="J1266" i="2"/>
  <c r="K1266" i="2"/>
  <c r="G1267" i="2"/>
  <c r="G1268" i="2"/>
  <c r="G1269" i="2"/>
  <c r="I1269" i="2"/>
  <c r="G1270" i="2"/>
  <c r="J1270" i="2"/>
  <c r="K1270" i="2"/>
  <c r="G1271" i="2"/>
  <c r="G1272" i="2"/>
  <c r="I1272" i="2"/>
  <c r="G1273" i="2"/>
  <c r="I1273" i="2"/>
  <c r="G1274" i="2"/>
  <c r="G1275" i="2"/>
  <c r="J1275" i="2"/>
  <c r="K1275" i="2"/>
  <c r="G1276" i="2"/>
  <c r="G1277" i="2"/>
  <c r="G1278" i="2"/>
  <c r="I1278" i="2"/>
  <c r="G1279" i="2"/>
  <c r="J1279" i="2"/>
  <c r="K1279" i="2"/>
  <c r="G1280" i="2"/>
  <c r="G1281" i="2"/>
  <c r="I1281" i="2"/>
  <c r="G1282" i="2"/>
  <c r="J1282" i="2"/>
  <c r="K1282" i="2"/>
  <c r="G1283" i="2"/>
  <c r="J1283" i="2"/>
  <c r="K1283" i="2"/>
  <c r="G1284" i="2"/>
  <c r="I1284" i="2"/>
  <c r="G1285" i="2"/>
  <c r="H1285" i="2"/>
  <c r="G1286" i="2"/>
  <c r="J1286" i="2"/>
  <c r="K1286" i="2"/>
  <c r="G1287" i="2"/>
  <c r="I1287" i="2"/>
  <c r="G1288" i="2"/>
  <c r="G1289" i="2"/>
  <c r="G1290" i="2"/>
  <c r="H1290" i="2"/>
  <c r="G1291" i="2"/>
  <c r="J1291" i="2"/>
  <c r="K1291" i="2"/>
  <c r="G1292" i="2"/>
  <c r="I1292" i="2"/>
  <c r="G1293" i="2"/>
  <c r="I1293" i="2"/>
  <c r="G1294" i="2"/>
  <c r="J1294" i="2"/>
  <c r="K1294" i="2"/>
  <c r="G1295" i="2"/>
  <c r="G1296" i="2"/>
  <c r="H1296" i="2"/>
  <c r="G1297" i="2"/>
  <c r="G1298" i="2"/>
  <c r="J1298" i="2"/>
  <c r="K1298" i="2"/>
  <c r="G1299" i="2"/>
  <c r="G1300" i="2"/>
  <c r="G1301" i="2"/>
  <c r="G1302" i="2"/>
  <c r="J1302" i="2"/>
  <c r="K1302" i="2"/>
  <c r="G1303" i="2"/>
  <c r="J1303" i="2"/>
  <c r="K1303" i="2"/>
  <c r="G1304" i="2"/>
  <c r="G1305" i="2"/>
  <c r="H1305" i="2"/>
  <c r="G1306" i="2"/>
  <c r="G1307" i="2"/>
  <c r="H1307" i="2"/>
  <c r="G1308" i="2"/>
  <c r="J1308" i="2"/>
  <c r="K1308" i="2"/>
  <c r="G1309" i="2"/>
  <c r="G1310" i="2"/>
  <c r="G1311" i="2"/>
  <c r="J1311" i="2"/>
  <c r="K1311" i="2"/>
  <c r="G1312" i="2"/>
  <c r="J1312" i="2"/>
  <c r="K1312" i="2"/>
  <c r="G1313" i="2"/>
  <c r="G1314" i="2"/>
  <c r="G1315" i="2"/>
  <c r="J1315" i="2"/>
  <c r="K1315" i="2"/>
  <c r="G1316" i="2"/>
  <c r="H1316" i="2"/>
  <c r="G1317" i="2"/>
  <c r="G1318" i="2"/>
  <c r="H1318" i="2"/>
  <c r="G1319" i="2"/>
  <c r="G1320" i="2"/>
  <c r="J1320" i="2"/>
  <c r="K1320" i="2"/>
  <c r="G1321" i="2"/>
  <c r="G1322" i="2"/>
  <c r="J1322" i="2"/>
  <c r="K1322" i="2"/>
  <c r="G1323" i="2"/>
  <c r="I1323" i="2"/>
  <c r="G1324" i="2"/>
  <c r="G1325" i="2"/>
  <c r="G1326" i="2"/>
  <c r="H1326" i="2"/>
  <c r="G1327" i="2"/>
  <c r="G1328" i="2"/>
  <c r="I1328" i="2"/>
  <c r="G1329" i="2"/>
  <c r="J1329" i="2"/>
  <c r="K1329" i="2"/>
  <c r="G1330" i="2"/>
  <c r="G1331" i="2"/>
  <c r="G1332" i="2"/>
  <c r="G1333" i="2"/>
  <c r="G1334" i="2"/>
  <c r="G1335" i="2"/>
  <c r="G1336" i="2"/>
  <c r="G1337" i="2"/>
  <c r="G1338" i="2"/>
  <c r="J1338" i="2"/>
  <c r="K1338" i="2"/>
  <c r="G1339" i="2"/>
  <c r="H1339" i="2"/>
  <c r="G1340" i="2"/>
  <c r="J1340" i="2"/>
  <c r="K1340" i="2"/>
  <c r="G1341" i="2"/>
  <c r="H1341" i="2"/>
  <c r="G1342" i="2"/>
  <c r="G1343" i="2"/>
  <c r="G1344" i="2"/>
  <c r="G1345" i="2"/>
  <c r="H1345" i="2"/>
  <c r="G1346" i="2"/>
  <c r="J1346" i="2"/>
  <c r="K1346" i="2"/>
  <c r="G1347" i="2"/>
  <c r="G1348" i="2"/>
  <c r="G1349" i="2"/>
  <c r="G1350" i="2"/>
  <c r="G1351" i="2"/>
  <c r="J1351" i="2"/>
  <c r="K1351" i="2"/>
  <c r="G1352" i="2"/>
  <c r="J1352" i="2"/>
  <c r="K1352" i="2"/>
  <c r="G1353" i="2"/>
  <c r="H1353" i="2"/>
  <c r="G1354" i="2"/>
  <c r="J1354" i="2"/>
  <c r="K1354" i="2"/>
  <c r="G1355" i="2"/>
  <c r="I1355" i="2"/>
  <c r="G1356" i="2"/>
  <c r="J1356" i="2"/>
  <c r="K1356" i="2"/>
  <c r="G1357" i="2"/>
  <c r="J1357" i="2"/>
  <c r="K1357" i="2"/>
  <c r="G1358" i="2"/>
  <c r="G1359" i="2"/>
  <c r="J1359" i="2"/>
  <c r="K1359" i="2"/>
  <c r="G1360" i="2"/>
  <c r="G1361" i="2"/>
  <c r="G1362" i="2"/>
  <c r="G1363" i="2"/>
  <c r="G1364" i="2"/>
  <c r="G1365" i="2"/>
  <c r="I1365" i="2"/>
  <c r="G1366" i="2"/>
  <c r="G1367" i="2"/>
  <c r="J1367" i="2"/>
  <c r="K1367" i="2"/>
  <c r="G1368" i="2"/>
  <c r="J1368" i="2"/>
  <c r="K1368" i="2"/>
  <c r="G1369" i="2"/>
  <c r="I1369" i="2"/>
  <c r="G1370" i="2"/>
  <c r="G1371" i="2"/>
  <c r="I1371" i="2"/>
  <c r="G1372" i="2"/>
  <c r="H1372" i="2"/>
  <c r="G1373" i="2"/>
  <c r="I1373" i="2"/>
  <c r="G1374" i="2"/>
  <c r="J1374" i="2"/>
  <c r="K1374" i="2"/>
  <c r="G1375" i="2"/>
  <c r="H1375" i="2"/>
  <c r="G1376" i="2"/>
  <c r="J1376" i="2"/>
  <c r="K1376" i="2"/>
  <c r="G1377" i="2"/>
  <c r="J1377" i="2"/>
  <c r="K1377" i="2"/>
  <c r="G1378" i="2"/>
  <c r="H1378" i="2"/>
  <c r="G1379" i="2"/>
  <c r="I1379" i="2"/>
  <c r="G1380" i="2"/>
  <c r="H1380" i="2"/>
  <c r="G1381" i="2"/>
  <c r="I1381" i="2"/>
  <c r="G1382" i="2"/>
  <c r="H1382" i="2"/>
  <c r="G1383" i="2"/>
  <c r="G1384" i="2"/>
  <c r="I1384" i="2"/>
  <c r="G1385" i="2"/>
  <c r="J1385" i="2"/>
  <c r="K1385" i="2"/>
  <c r="G1386" i="2"/>
  <c r="G1387" i="2"/>
  <c r="J1387" i="2"/>
  <c r="K1387" i="2"/>
  <c r="G1388" i="2"/>
  <c r="J1388" i="2"/>
  <c r="K1388" i="2"/>
  <c r="G1389" i="2"/>
  <c r="J1389" i="2"/>
  <c r="K1389" i="2"/>
  <c r="G1390" i="2"/>
  <c r="H1390" i="2"/>
  <c r="G1391" i="2"/>
  <c r="G1392" i="2"/>
  <c r="G1393" i="2"/>
  <c r="G1394" i="2"/>
  <c r="G1395" i="2"/>
  <c r="J1395" i="2"/>
  <c r="K1395" i="2"/>
  <c r="G1396" i="2"/>
  <c r="J1396" i="2"/>
  <c r="K1396" i="2"/>
  <c r="G1397" i="2"/>
  <c r="G1398" i="2"/>
  <c r="I1398" i="2"/>
  <c r="G1399" i="2"/>
  <c r="I1399" i="2"/>
  <c r="G1400" i="2"/>
  <c r="J1400" i="2"/>
  <c r="K1400" i="2"/>
  <c r="G1401" i="2"/>
  <c r="I1401" i="2"/>
  <c r="G1402" i="2"/>
  <c r="G1403" i="2"/>
  <c r="I1403" i="2"/>
  <c r="G1404" i="2"/>
  <c r="G1405" i="2"/>
  <c r="G1406" i="2"/>
  <c r="H1406" i="2"/>
  <c r="G1407" i="2"/>
  <c r="I1407" i="2"/>
  <c r="G1408" i="2"/>
  <c r="I1408" i="2"/>
  <c r="G1409" i="2"/>
  <c r="G1410" i="2"/>
  <c r="I1410" i="2"/>
  <c r="G1411" i="2"/>
  <c r="I1411" i="2"/>
  <c r="G1412" i="2"/>
  <c r="J1412" i="2"/>
  <c r="K1412" i="2"/>
  <c r="G1413" i="2"/>
  <c r="G1414" i="2"/>
  <c r="J1414" i="2"/>
  <c r="K1414" i="2"/>
  <c r="G1415" i="2"/>
  <c r="G1416" i="2"/>
  <c r="I1416" i="2"/>
  <c r="G1417" i="2"/>
  <c r="J1417" i="2"/>
  <c r="K1417" i="2"/>
  <c r="G1418" i="2"/>
  <c r="G1419" i="2"/>
  <c r="H1419" i="2"/>
  <c r="G1420" i="2"/>
  <c r="I1420" i="2"/>
  <c r="G1421" i="2"/>
  <c r="H1421" i="2"/>
  <c r="G1422" i="2"/>
  <c r="G1423" i="2"/>
  <c r="J1423" i="2"/>
  <c r="K1423" i="2"/>
  <c r="G1424" i="2"/>
  <c r="G1425" i="2"/>
  <c r="G1426" i="2"/>
  <c r="G1427" i="2"/>
  <c r="J1427" i="2"/>
  <c r="K1427" i="2"/>
  <c r="G1428" i="2"/>
  <c r="G1429" i="2"/>
  <c r="G1430" i="2"/>
  <c r="I1430" i="2"/>
  <c r="G1431" i="2"/>
  <c r="G1432" i="2"/>
  <c r="I1432" i="2"/>
  <c r="G1433" i="2"/>
  <c r="J1433" i="2"/>
  <c r="K1433" i="2"/>
  <c r="G1434" i="2"/>
  <c r="J1434" i="2"/>
  <c r="K1434" i="2"/>
  <c r="G1435" i="2"/>
  <c r="H1435" i="2"/>
  <c r="G1436" i="2"/>
  <c r="I1436" i="2"/>
  <c r="G1437" i="2"/>
  <c r="G1438" i="2"/>
  <c r="G1439" i="2"/>
  <c r="G1440" i="2"/>
  <c r="J1440" i="2"/>
  <c r="K1440" i="2"/>
  <c r="G1441" i="2"/>
  <c r="G1442" i="2"/>
  <c r="H1442" i="2"/>
  <c r="G1443" i="2"/>
  <c r="G1444" i="2"/>
  <c r="G1445" i="2"/>
  <c r="G1446" i="2"/>
  <c r="H1446" i="2"/>
  <c r="G1447" i="2"/>
  <c r="J1447" i="2"/>
  <c r="K1447" i="2"/>
  <c r="G1448" i="2"/>
  <c r="I1448" i="2"/>
  <c r="G1449" i="2"/>
  <c r="H1449" i="2"/>
  <c r="G1450" i="2"/>
  <c r="I1450" i="2"/>
  <c r="G1451" i="2"/>
  <c r="G1452" i="2"/>
  <c r="G1453" i="2"/>
  <c r="I1453" i="2"/>
  <c r="G1454" i="2"/>
  <c r="H1454" i="2"/>
  <c r="G1455" i="2"/>
  <c r="G1456" i="2"/>
  <c r="J1456" i="2"/>
  <c r="K1456" i="2"/>
  <c r="G1457" i="2"/>
  <c r="I1457" i="2"/>
  <c r="G1458" i="2"/>
  <c r="G1459" i="2"/>
  <c r="J1459" i="2"/>
  <c r="K1459" i="2"/>
  <c r="G1460" i="2"/>
  <c r="J1460" i="2"/>
  <c r="K1460" i="2"/>
  <c r="G1461" i="2"/>
  <c r="J1461" i="2"/>
  <c r="K1461" i="2"/>
  <c r="G1462" i="2"/>
  <c r="G1463" i="2"/>
  <c r="J1463" i="2"/>
  <c r="K1463" i="2"/>
  <c r="G1464" i="2"/>
  <c r="I1464" i="2"/>
  <c r="G1465" i="2"/>
  <c r="H1465" i="2"/>
  <c r="G1466" i="2"/>
  <c r="I1466" i="2"/>
  <c r="G1467" i="2"/>
  <c r="G1468" i="2"/>
  <c r="G1469" i="2"/>
  <c r="H1469" i="2"/>
  <c r="G1470" i="2"/>
  <c r="J1470" i="2"/>
  <c r="K1470" i="2"/>
  <c r="G1471" i="2"/>
  <c r="H1471" i="2"/>
  <c r="G1472" i="2"/>
  <c r="G1473" i="2"/>
  <c r="G1474" i="2"/>
  <c r="I1474" i="2"/>
  <c r="G1475" i="2"/>
  <c r="J1475" i="2"/>
  <c r="K1475" i="2"/>
  <c r="G1476" i="2"/>
  <c r="H1476" i="2"/>
  <c r="G1477" i="2"/>
  <c r="H1477" i="2"/>
  <c r="G1478" i="2"/>
  <c r="J1478" i="2"/>
  <c r="K1478" i="2"/>
  <c r="G1479" i="2"/>
  <c r="G1480" i="2"/>
  <c r="J1480" i="2"/>
  <c r="K1480" i="2"/>
  <c r="G1481" i="2"/>
  <c r="J1481" i="2"/>
  <c r="K1481" i="2"/>
  <c r="G1482" i="2"/>
  <c r="G1483" i="2"/>
  <c r="J1483" i="2"/>
  <c r="K1483" i="2"/>
  <c r="G1484" i="2"/>
  <c r="H1484" i="2"/>
  <c r="G1485" i="2"/>
  <c r="H1485" i="2"/>
  <c r="G1486" i="2"/>
  <c r="I1486" i="2"/>
  <c r="G1487" i="2"/>
  <c r="J1487" i="2"/>
  <c r="K1487" i="2"/>
  <c r="G1488" i="2"/>
  <c r="J1488" i="2"/>
  <c r="K1488" i="2"/>
  <c r="G1489" i="2"/>
  <c r="J1489" i="2"/>
  <c r="K1489" i="2"/>
  <c r="G1490" i="2"/>
  <c r="I1490" i="2"/>
  <c r="G1491" i="2"/>
  <c r="J1491" i="2"/>
  <c r="K1491" i="2"/>
  <c r="G1492" i="2"/>
  <c r="H1492" i="2"/>
  <c r="G1493" i="2"/>
  <c r="G1494" i="2"/>
  <c r="J1494" i="2"/>
  <c r="K1494" i="2"/>
  <c r="G1495" i="2"/>
  <c r="G1496" i="2"/>
  <c r="H1496" i="2"/>
  <c r="G1497" i="2"/>
  <c r="G1498" i="2"/>
  <c r="H1498" i="2"/>
  <c r="G1499" i="2"/>
  <c r="G1500" i="2"/>
  <c r="H1500" i="2"/>
  <c r="G1501" i="2"/>
  <c r="G1502" i="2"/>
  <c r="G1503" i="2"/>
  <c r="I1503" i="2"/>
  <c r="G1504" i="2"/>
  <c r="G1505" i="2"/>
  <c r="G1506" i="2"/>
  <c r="H1506" i="2"/>
  <c r="G1507" i="2"/>
  <c r="G1508" i="2"/>
  <c r="I1508" i="2"/>
  <c r="G1509" i="2"/>
  <c r="J1509" i="2"/>
  <c r="K1509" i="2"/>
  <c r="G1510" i="2"/>
  <c r="G1511" i="2"/>
  <c r="I1511" i="2"/>
  <c r="G1512" i="2"/>
  <c r="G1513" i="2"/>
  <c r="G1514" i="2"/>
  <c r="G1515" i="2"/>
  <c r="G1516" i="2"/>
  <c r="I1516" i="2"/>
  <c r="G1517" i="2"/>
  <c r="G1518" i="2"/>
  <c r="I1518" i="2"/>
  <c r="G1519" i="2"/>
  <c r="G1520" i="2"/>
  <c r="G1521" i="2"/>
  <c r="G1522" i="2"/>
  <c r="G1523" i="2"/>
  <c r="J1523" i="2"/>
  <c r="K1523" i="2"/>
  <c r="G1524" i="2"/>
  <c r="G1525" i="2"/>
  <c r="J1525" i="2"/>
  <c r="K1525" i="2"/>
  <c r="G1526" i="2"/>
  <c r="H1526" i="2"/>
  <c r="G1527" i="2"/>
  <c r="G1528" i="2"/>
  <c r="G1529" i="2"/>
  <c r="G1530" i="2"/>
  <c r="G1531" i="2"/>
  <c r="I1531" i="2"/>
  <c r="G1532" i="2"/>
  <c r="G1533" i="2"/>
  <c r="G1534" i="2"/>
  <c r="G1535" i="2"/>
  <c r="I1535" i="2"/>
  <c r="G1536" i="2"/>
  <c r="G1537" i="2"/>
  <c r="I1537" i="2"/>
  <c r="G1538" i="2"/>
  <c r="J1538" i="2"/>
  <c r="K1538" i="2"/>
  <c r="G1539" i="2"/>
  <c r="G1540" i="2"/>
  <c r="G1541" i="2"/>
  <c r="G1542" i="2"/>
  <c r="J1542" i="2"/>
  <c r="K1542" i="2"/>
  <c r="G1543" i="2"/>
  <c r="H1543" i="2"/>
  <c r="G1544" i="2"/>
  <c r="G1545" i="2"/>
  <c r="I1545" i="2"/>
  <c r="G1546" i="2"/>
  <c r="G1547" i="2"/>
  <c r="H1547" i="2"/>
  <c r="G1548" i="2"/>
  <c r="G1549" i="2"/>
  <c r="G1550" i="2"/>
  <c r="G1551" i="2"/>
  <c r="G1552" i="2"/>
  <c r="J1552" i="2"/>
  <c r="K1552" i="2"/>
  <c r="G1553" i="2"/>
  <c r="J1553" i="2"/>
  <c r="K1553" i="2"/>
  <c r="G1554" i="2"/>
  <c r="I1554" i="2"/>
  <c r="G1555" i="2"/>
  <c r="J1555" i="2"/>
  <c r="K1555" i="2"/>
  <c r="G1556" i="2"/>
  <c r="J1556" i="2"/>
  <c r="K1556" i="2"/>
  <c r="G1557" i="2"/>
  <c r="J1557" i="2"/>
  <c r="K1557" i="2"/>
  <c r="G1558" i="2"/>
  <c r="G1559" i="2"/>
  <c r="H1559" i="2"/>
  <c r="G1560" i="2"/>
  <c r="H1560" i="2"/>
  <c r="G1561" i="2"/>
  <c r="J1561" i="2"/>
  <c r="K1561" i="2"/>
  <c r="G1562" i="2"/>
  <c r="G1563" i="2"/>
  <c r="G1564" i="2"/>
  <c r="G1565" i="2"/>
  <c r="I1565" i="2"/>
  <c r="G1566" i="2"/>
  <c r="I1566" i="2"/>
  <c r="G1567" i="2"/>
  <c r="H1567" i="2"/>
  <c r="G1568" i="2"/>
  <c r="H1568" i="2"/>
  <c r="G1569" i="2"/>
  <c r="G1570" i="2"/>
  <c r="H1570" i="2"/>
  <c r="G1571" i="2"/>
  <c r="J1571" i="2"/>
  <c r="K1571" i="2"/>
  <c r="G1572" i="2"/>
  <c r="I1572" i="2"/>
  <c r="G1573" i="2"/>
  <c r="G1574" i="2"/>
  <c r="G1575" i="2"/>
  <c r="H1575" i="2"/>
  <c r="G1576" i="2"/>
  <c r="I1576" i="2"/>
  <c r="G1577" i="2"/>
  <c r="G1578" i="2"/>
  <c r="G1579" i="2"/>
  <c r="I1579" i="2"/>
  <c r="G1580" i="2"/>
  <c r="H1580" i="2"/>
  <c r="G1581" i="2"/>
  <c r="I1581" i="2"/>
  <c r="G1582" i="2"/>
  <c r="G1583" i="2"/>
  <c r="H1583" i="2"/>
  <c r="G1584" i="2"/>
  <c r="G1585" i="2"/>
  <c r="I1585" i="2"/>
  <c r="G1586" i="2"/>
  <c r="J1586" i="2"/>
  <c r="K1586" i="2"/>
  <c r="G1587" i="2"/>
  <c r="G1588" i="2"/>
  <c r="G1589" i="2"/>
  <c r="I1589" i="2"/>
  <c r="G1590" i="2"/>
  <c r="H1590" i="2"/>
  <c r="G1591" i="2"/>
  <c r="H1591" i="2"/>
  <c r="G1592" i="2"/>
  <c r="H1592" i="2"/>
  <c r="G1593" i="2"/>
  <c r="J1593" i="2"/>
  <c r="K1593" i="2"/>
  <c r="G1594" i="2"/>
  <c r="G1595" i="2"/>
  <c r="G1596" i="2"/>
  <c r="J1596" i="2"/>
  <c r="K1596" i="2"/>
  <c r="G1597" i="2"/>
  <c r="G1598" i="2"/>
  <c r="H1598" i="2"/>
  <c r="G1599" i="2"/>
  <c r="J1599" i="2"/>
  <c r="K1599" i="2"/>
  <c r="G1600" i="2"/>
  <c r="J1600" i="2"/>
  <c r="K1600" i="2"/>
  <c r="G1601" i="2"/>
  <c r="J1601" i="2"/>
  <c r="K1601" i="2"/>
  <c r="G1602" i="2"/>
  <c r="H1602" i="2"/>
  <c r="G1603" i="2"/>
  <c r="G1604" i="2"/>
  <c r="G1605" i="2"/>
  <c r="I1605" i="2"/>
  <c r="G1606" i="2"/>
  <c r="I1606" i="2"/>
  <c r="G1607" i="2"/>
  <c r="H1607" i="2"/>
  <c r="G1608" i="2"/>
  <c r="J1608" i="2"/>
  <c r="K1608" i="2"/>
  <c r="G1609" i="2"/>
  <c r="J1609" i="2"/>
  <c r="K1609" i="2"/>
  <c r="G1610" i="2"/>
  <c r="J1610" i="2"/>
  <c r="K1610" i="2"/>
  <c r="G1611" i="2"/>
  <c r="G1612" i="2"/>
  <c r="G1613" i="2"/>
  <c r="J1613" i="2"/>
  <c r="K1613" i="2"/>
  <c r="G1614" i="2"/>
  <c r="H1614" i="2"/>
  <c r="G1615" i="2"/>
  <c r="H1615" i="2"/>
  <c r="G1616" i="2"/>
  <c r="G1617" i="2"/>
  <c r="J1617" i="2"/>
  <c r="K1617" i="2"/>
  <c r="G1618" i="2"/>
  <c r="G1619" i="2"/>
  <c r="H1619" i="2"/>
  <c r="G1620" i="2"/>
  <c r="I1620" i="2"/>
  <c r="G1621" i="2"/>
  <c r="G1622" i="2"/>
  <c r="I1622" i="2"/>
  <c r="G1623" i="2"/>
  <c r="G1624" i="2"/>
  <c r="H1624" i="2"/>
  <c r="G1625" i="2"/>
  <c r="G1626" i="2"/>
  <c r="G1627" i="2"/>
  <c r="G1628" i="2"/>
  <c r="G1629" i="2"/>
  <c r="I1629" i="2"/>
  <c r="G1630" i="2"/>
  <c r="H1630" i="2"/>
  <c r="G1631" i="2"/>
  <c r="G1632" i="2"/>
  <c r="I1632" i="2"/>
  <c r="G1633" i="2"/>
  <c r="H1633" i="2"/>
  <c r="G1634" i="2"/>
  <c r="H1634" i="2"/>
  <c r="G1635" i="2"/>
  <c r="G1636" i="2"/>
  <c r="G1637" i="2"/>
  <c r="H1637" i="2"/>
  <c r="G1638" i="2"/>
  <c r="H1638" i="2"/>
  <c r="G1639" i="2"/>
  <c r="H1639" i="2"/>
  <c r="G1640" i="2"/>
  <c r="H1640" i="2"/>
  <c r="G1641" i="2"/>
  <c r="G1642" i="2"/>
  <c r="G1643" i="2"/>
  <c r="J1643" i="2"/>
  <c r="K1643" i="2"/>
  <c r="G1644" i="2"/>
  <c r="J1644" i="2"/>
  <c r="K1644" i="2"/>
  <c r="G1645" i="2"/>
  <c r="H1645" i="2"/>
  <c r="G1646" i="2"/>
  <c r="G1647" i="2"/>
  <c r="H1647" i="2"/>
  <c r="G1648" i="2"/>
  <c r="J1648" i="2"/>
  <c r="K1648" i="2"/>
  <c r="G1649" i="2"/>
  <c r="G1650" i="2"/>
  <c r="H1650" i="2"/>
  <c r="G1651" i="2"/>
  <c r="G1652" i="2"/>
  <c r="G1653" i="2"/>
  <c r="J1653" i="2"/>
  <c r="K1653" i="2"/>
  <c r="G1654" i="2"/>
  <c r="I1654" i="2"/>
  <c r="G1655" i="2"/>
  <c r="G1656" i="2"/>
  <c r="G1657" i="2"/>
  <c r="I1657" i="2"/>
  <c r="G1658" i="2"/>
  <c r="G1659" i="2"/>
  <c r="I1659" i="2"/>
  <c r="G1660" i="2"/>
  <c r="G1661" i="2"/>
  <c r="J1661" i="2"/>
  <c r="K1661" i="2"/>
  <c r="G1662" i="2"/>
  <c r="G1663" i="2"/>
  <c r="J1663" i="2"/>
  <c r="K1663" i="2"/>
  <c r="G1664" i="2"/>
  <c r="G1665" i="2"/>
  <c r="G1666" i="2"/>
  <c r="G1667" i="2"/>
  <c r="J1667" i="2"/>
  <c r="K1667" i="2"/>
  <c r="G1668" i="2"/>
  <c r="J1668" i="2"/>
  <c r="K1668" i="2"/>
  <c r="G1669" i="2"/>
  <c r="G1670" i="2"/>
  <c r="G1671" i="2"/>
  <c r="H1671" i="2"/>
  <c r="G1672" i="2"/>
  <c r="J1672" i="2"/>
  <c r="K1672" i="2"/>
  <c r="G1673" i="2"/>
  <c r="G1674" i="2"/>
  <c r="I1674" i="2"/>
  <c r="G1675" i="2"/>
  <c r="I1675" i="2"/>
  <c r="G1676" i="2"/>
  <c r="I1676" i="2"/>
  <c r="G1677" i="2"/>
  <c r="J1677" i="2"/>
  <c r="K1677" i="2"/>
  <c r="G1678" i="2"/>
  <c r="J1678" i="2"/>
  <c r="K1678" i="2"/>
  <c r="G1679" i="2"/>
  <c r="I1679" i="2"/>
  <c r="G1680" i="2"/>
  <c r="H1680" i="2"/>
  <c r="G1681" i="2"/>
  <c r="G1682" i="2"/>
  <c r="J1682" i="2"/>
  <c r="K1682" i="2"/>
  <c r="G1683" i="2"/>
  <c r="J1683" i="2"/>
  <c r="K1683" i="2"/>
  <c r="G1684" i="2"/>
  <c r="I1684" i="2"/>
  <c r="G1685" i="2"/>
  <c r="I1685" i="2"/>
  <c r="G1686" i="2"/>
  <c r="H1686" i="2"/>
  <c r="G1687" i="2"/>
  <c r="H1687" i="2"/>
  <c r="G1688" i="2"/>
  <c r="G1689" i="2"/>
  <c r="G1690" i="2"/>
  <c r="G1691" i="2"/>
  <c r="J1691" i="2"/>
  <c r="K1691" i="2"/>
  <c r="G1692" i="2"/>
  <c r="I1692" i="2"/>
  <c r="G1693" i="2"/>
  <c r="H1693" i="2"/>
  <c r="G1694" i="2"/>
  <c r="H1694" i="2"/>
  <c r="G1695" i="2"/>
  <c r="G1696" i="2"/>
  <c r="I1696" i="2"/>
  <c r="G1697" i="2"/>
  <c r="J1697" i="2"/>
  <c r="K1697" i="2"/>
  <c r="G1698" i="2"/>
  <c r="I1698" i="2"/>
  <c r="G1699" i="2"/>
  <c r="H1699" i="2"/>
  <c r="G1700" i="2"/>
  <c r="H1700" i="2"/>
  <c r="G1701" i="2"/>
  <c r="H1701" i="2"/>
  <c r="G1702" i="2"/>
  <c r="G1703" i="2"/>
  <c r="I1703" i="2"/>
  <c r="G1704" i="2"/>
  <c r="J1704" i="2"/>
  <c r="K1704" i="2"/>
  <c r="G1705" i="2"/>
  <c r="G1706" i="2"/>
  <c r="H1706" i="2"/>
  <c r="G1707" i="2"/>
  <c r="G1708" i="2"/>
  <c r="H1708" i="2"/>
  <c r="G1709" i="2"/>
  <c r="G1710" i="2"/>
  <c r="I1710" i="2"/>
  <c r="G1711" i="2"/>
  <c r="G1712" i="2"/>
  <c r="H1712" i="2"/>
  <c r="G1713" i="2"/>
  <c r="H1713" i="2"/>
  <c r="G1714" i="2"/>
  <c r="J1714" i="2"/>
  <c r="K1714" i="2"/>
  <c r="G1715" i="2"/>
  <c r="G1716" i="2"/>
  <c r="J1716" i="2"/>
  <c r="K1716" i="2"/>
  <c r="G1717" i="2"/>
  <c r="I1717" i="2"/>
  <c r="G1718" i="2"/>
  <c r="G1719" i="2"/>
  <c r="I1719" i="2"/>
  <c r="G1720" i="2"/>
  <c r="I1720" i="2"/>
  <c r="G1721" i="2"/>
  <c r="G1722" i="2"/>
  <c r="I1722" i="2"/>
  <c r="G1723" i="2"/>
  <c r="J1723" i="2"/>
  <c r="K1723" i="2"/>
  <c r="G1724" i="2"/>
  <c r="I1724" i="2"/>
  <c r="G1725" i="2"/>
  <c r="I1725" i="2"/>
  <c r="G1726" i="2"/>
  <c r="J1726" i="2"/>
  <c r="K1726" i="2"/>
  <c r="G1727" i="2"/>
  <c r="I1727" i="2"/>
  <c r="G1728" i="2"/>
  <c r="I1728" i="2"/>
  <c r="G1729" i="2"/>
  <c r="J1729" i="2"/>
  <c r="K1729" i="2"/>
  <c r="G1730" i="2"/>
  <c r="J1730" i="2"/>
  <c r="K1730" i="2"/>
  <c r="G1731" i="2"/>
  <c r="G1732" i="2"/>
  <c r="G1733" i="2"/>
  <c r="I1733" i="2"/>
  <c r="G1734" i="2"/>
  <c r="J1734" i="2"/>
  <c r="K1734" i="2"/>
  <c r="G1735" i="2"/>
  <c r="G1736" i="2"/>
  <c r="J1736" i="2"/>
  <c r="K1736" i="2"/>
  <c r="G1737" i="2"/>
  <c r="G1738" i="2"/>
  <c r="G1739" i="2"/>
  <c r="H1739" i="2"/>
  <c r="G1740" i="2"/>
  <c r="J1740" i="2"/>
  <c r="K1740" i="2"/>
  <c r="G1741" i="2"/>
  <c r="I1741" i="2"/>
  <c r="G1742" i="2"/>
  <c r="J1742" i="2"/>
  <c r="K1742" i="2"/>
  <c r="G1743" i="2"/>
  <c r="I1743" i="2"/>
  <c r="G1744" i="2"/>
  <c r="I1744" i="2"/>
  <c r="G1745" i="2"/>
  <c r="J1745" i="2"/>
  <c r="K1745" i="2"/>
  <c r="G1746" i="2"/>
  <c r="H1746" i="2"/>
  <c r="G1747" i="2"/>
  <c r="G1748" i="2"/>
  <c r="G1749" i="2"/>
  <c r="H1749" i="2"/>
  <c r="G1750" i="2"/>
  <c r="G1751" i="2"/>
  <c r="G1752" i="2"/>
  <c r="G1753" i="2"/>
  <c r="I1753" i="2"/>
  <c r="G1754" i="2"/>
  <c r="H1754" i="2"/>
  <c r="G1755" i="2"/>
  <c r="J1755" i="2"/>
  <c r="K1755" i="2"/>
  <c r="G1756" i="2"/>
  <c r="G1757" i="2"/>
  <c r="J1757" i="2"/>
  <c r="K1757" i="2"/>
  <c r="G1758" i="2"/>
  <c r="I1758" i="2"/>
  <c r="G1759" i="2"/>
  <c r="J1759" i="2"/>
  <c r="K1759" i="2"/>
  <c r="G1760" i="2"/>
  <c r="J1760" i="2"/>
  <c r="K1760" i="2"/>
  <c r="G1761" i="2"/>
  <c r="H1761" i="2"/>
  <c r="G1762" i="2"/>
  <c r="I1762" i="2"/>
  <c r="G1763" i="2"/>
  <c r="G1764" i="2"/>
  <c r="G1765" i="2"/>
  <c r="I1765" i="2"/>
  <c r="G1766" i="2"/>
  <c r="G1767" i="2"/>
  <c r="G1768" i="2"/>
  <c r="I1768" i="2"/>
  <c r="G1769" i="2"/>
  <c r="J1769" i="2"/>
  <c r="K1769" i="2"/>
  <c r="G1770" i="2"/>
  <c r="G1771" i="2"/>
  <c r="G1772" i="2"/>
  <c r="H1772" i="2"/>
  <c r="G1773" i="2"/>
  <c r="H1773" i="2"/>
  <c r="G1774" i="2"/>
  <c r="J1774" i="2"/>
  <c r="K1774" i="2"/>
  <c r="G1775" i="2"/>
  <c r="H1775" i="2"/>
  <c r="G1776" i="2"/>
  <c r="G1777" i="2"/>
  <c r="J1777" i="2"/>
  <c r="K1777" i="2"/>
  <c r="G1778" i="2"/>
  <c r="G1779" i="2"/>
  <c r="G1780" i="2"/>
  <c r="H1780" i="2"/>
  <c r="G1781" i="2"/>
  <c r="H1781" i="2"/>
  <c r="G1782" i="2"/>
  <c r="H1782" i="2"/>
  <c r="G1783" i="2"/>
  <c r="H1783" i="2"/>
  <c r="G1784" i="2"/>
  <c r="G1785" i="2"/>
  <c r="I1785" i="2"/>
  <c r="G1786" i="2"/>
  <c r="G1787" i="2"/>
  <c r="H1787" i="2"/>
  <c r="G1788" i="2"/>
  <c r="J1788" i="2"/>
  <c r="K1788" i="2"/>
  <c r="G1789" i="2"/>
  <c r="I1789" i="2"/>
  <c r="G1790" i="2"/>
  <c r="H1790" i="2"/>
  <c r="G1791" i="2"/>
  <c r="J1791" i="2"/>
  <c r="K1791" i="2"/>
  <c r="G1792" i="2"/>
  <c r="I1792" i="2"/>
  <c r="G1793" i="2"/>
  <c r="I1793" i="2"/>
  <c r="G1794" i="2"/>
  <c r="J1794" i="2"/>
  <c r="K1794" i="2"/>
  <c r="G1795" i="2"/>
  <c r="G1796" i="2"/>
  <c r="I1796" i="2"/>
  <c r="G1797" i="2"/>
  <c r="G1798" i="2"/>
  <c r="H1798" i="2"/>
  <c r="G1799" i="2"/>
  <c r="I1799" i="2"/>
  <c r="G1800" i="2"/>
  <c r="I1800" i="2"/>
  <c r="G1801" i="2"/>
  <c r="G1802" i="2"/>
  <c r="G1803" i="2"/>
  <c r="G1804" i="2"/>
  <c r="I1804" i="2"/>
  <c r="G1805" i="2"/>
  <c r="G1806" i="2"/>
  <c r="H1806" i="2"/>
  <c r="G1807" i="2"/>
  <c r="G1808" i="2"/>
  <c r="J1808" i="2"/>
  <c r="K1808" i="2"/>
  <c r="G1809" i="2"/>
  <c r="H1809" i="2"/>
  <c r="G1810" i="2"/>
  <c r="J1810" i="2"/>
  <c r="K1810" i="2"/>
  <c r="G1811" i="2"/>
  <c r="J1811" i="2"/>
  <c r="K1811" i="2"/>
  <c r="G1812" i="2"/>
  <c r="J1812" i="2"/>
  <c r="K1812" i="2"/>
  <c r="G1813" i="2"/>
  <c r="H1813" i="2"/>
  <c r="G1814" i="2"/>
  <c r="J1814" i="2"/>
  <c r="K1814" i="2"/>
  <c r="G1815" i="2"/>
  <c r="G1816" i="2"/>
  <c r="I1816" i="2"/>
  <c r="G1817" i="2"/>
  <c r="I1817" i="2"/>
  <c r="G1818" i="2"/>
  <c r="J1818" i="2"/>
  <c r="K1818" i="2"/>
  <c r="G1819" i="2"/>
  <c r="I1819" i="2"/>
  <c r="G1820" i="2"/>
  <c r="G1821" i="2"/>
  <c r="H1821" i="2"/>
  <c r="G1822" i="2"/>
  <c r="J1822" i="2"/>
  <c r="K1822" i="2"/>
  <c r="G1823" i="2"/>
  <c r="J1823" i="2"/>
  <c r="K1823" i="2"/>
  <c r="G1824" i="2"/>
  <c r="H1824" i="2"/>
  <c r="G1825" i="2"/>
  <c r="H1825" i="2"/>
  <c r="G1826" i="2"/>
  <c r="G1827" i="2"/>
  <c r="G1828" i="2"/>
  <c r="G1829" i="2"/>
  <c r="G1830" i="2"/>
  <c r="G1831" i="2"/>
  <c r="G1832" i="2"/>
  <c r="G1833" i="2"/>
  <c r="G1834" i="2"/>
  <c r="G1835" i="2"/>
  <c r="G1836" i="2"/>
  <c r="J1836" i="2"/>
  <c r="K1836" i="2"/>
  <c r="G1837" i="2"/>
  <c r="I1837" i="2"/>
  <c r="G1838" i="2"/>
  <c r="G1839" i="2"/>
  <c r="G1840" i="2"/>
  <c r="G1841" i="2"/>
  <c r="G1842" i="2"/>
  <c r="G1843" i="2"/>
  <c r="J1843" i="2"/>
  <c r="K1843" i="2"/>
  <c r="G1844" i="2"/>
  <c r="J1844" i="2"/>
  <c r="K1844" i="2"/>
  <c r="G1845" i="2"/>
  <c r="G1846" i="2"/>
  <c r="H1846" i="2"/>
  <c r="G1847" i="2"/>
  <c r="G1848" i="2"/>
  <c r="J1848" i="2"/>
  <c r="K1848" i="2"/>
  <c r="G1849" i="2"/>
  <c r="I1849" i="2"/>
  <c r="G1850" i="2"/>
  <c r="H1850" i="2"/>
  <c r="G1851" i="2"/>
  <c r="H1851" i="2"/>
  <c r="G1852" i="2"/>
  <c r="J1852" i="2"/>
  <c r="K1852" i="2"/>
  <c r="G1853" i="2"/>
  <c r="H1853" i="2"/>
  <c r="G1854" i="2"/>
  <c r="I1854" i="2"/>
  <c r="G1855" i="2"/>
  <c r="I1855" i="2"/>
  <c r="G1856" i="2"/>
  <c r="G1857" i="2"/>
  <c r="G1858" i="2"/>
  <c r="I1858" i="2"/>
  <c r="G1859" i="2"/>
  <c r="G1860" i="2"/>
  <c r="G1861" i="2"/>
  <c r="H1861" i="2"/>
  <c r="G1862" i="2"/>
  <c r="I1862" i="2"/>
  <c r="G1863" i="2"/>
  <c r="H1863" i="2"/>
  <c r="G1864" i="2"/>
  <c r="H1864" i="2"/>
  <c r="G1865" i="2"/>
  <c r="G1866" i="2"/>
  <c r="H1866" i="2"/>
  <c r="G1867" i="2"/>
  <c r="I1867" i="2"/>
  <c r="G1868" i="2"/>
  <c r="H1868" i="2"/>
  <c r="G1869" i="2"/>
  <c r="G1870" i="2"/>
  <c r="G1871" i="2"/>
  <c r="G1872" i="2"/>
  <c r="I1872" i="2"/>
  <c r="G1873" i="2"/>
  <c r="I1873" i="2"/>
  <c r="G1874" i="2"/>
  <c r="H1874" i="2"/>
  <c r="G1875" i="2"/>
  <c r="I1875" i="2"/>
  <c r="G1876" i="2"/>
  <c r="G1877" i="2"/>
  <c r="G1878" i="2"/>
  <c r="G1879" i="2"/>
  <c r="J1879" i="2"/>
  <c r="K1879" i="2"/>
  <c r="G1880" i="2"/>
  <c r="G1881" i="2"/>
  <c r="H1881" i="2"/>
  <c r="G1882" i="2"/>
  <c r="G1883" i="2"/>
  <c r="G1884" i="2"/>
  <c r="J1884" i="2"/>
  <c r="K1884" i="2"/>
  <c r="G1885" i="2"/>
  <c r="H1885" i="2"/>
  <c r="G1886" i="2"/>
  <c r="H1886" i="2"/>
  <c r="G1887" i="2"/>
  <c r="G1888" i="2"/>
  <c r="J1888" i="2"/>
  <c r="K1888" i="2"/>
  <c r="G1889" i="2"/>
  <c r="J1889" i="2"/>
  <c r="K1889" i="2"/>
  <c r="G1890" i="2"/>
  <c r="I1890" i="2"/>
  <c r="G1891" i="2"/>
  <c r="H1891" i="2"/>
  <c r="G1892" i="2"/>
  <c r="G1893" i="2"/>
  <c r="J1893" i="2"/>
  <c r="K1893" i="2"/>
  <c r="G1894" i="2"/>
  <c r="J1894" i="2"/>
  <c r="K1894" i="2"/>
  <c r="G1895" i="2"/>
  <c r="I1895" i="2"/>
  <c r="G1896" i="2"/>
  <c r="H1896" i="2"/>
  <c r="G1897" i="2"/>
  <c r="J1897" i="2"/>
  <c r="K1897" i="2"/>
  <c r="G1898" i="2"/>
  <c r="G1899" i="2"/>
  <c r="J1899" i="2"/>
  <c r="K1899" i="2"/>
  <c r="G1900" i="2"/>
  <c r="I1900" i="2"/>
  <c r="G1901" i="2"/>
  <c r="H1901" i="2"/>
  <c r="G1902" i="2"/>
  <c r="G1903" i="2"/>
  <c r="H1903" i="2"/>
  <c r="G1904" i="2"/>
  <c r="G1905" i="2"/>
  <c r="H1905" i="2"/>
  <c r="G1906" i="2"/>
  <c r="G1907" i="2"/>
  <c r="H1907" i="2"/>
  <c r="G1908" i="2"/>
  <c r="G1909" i="2"/>
  <c r="G1910" i="2"/>
  <c r="H1910" i="2"/>
  <c r="G1911" i="2"/>
  <c r="I1911" i="2"/>
  <c r="G1912" i="2"/>
  <c r="G1913" i="2"/>
  <c r="H1913" i="2"/>
  <c r="G1914" i="2"/>
  <c r="J1914" i="2"/>
  <c r="K1914" i="2"/>
  <c r="G1915" i="2"/>
  <c r="I1915" i="2"/>
  <c r="G1916" i="2"/>
  <c r="G1917" i="2"/>
  <c r="G1918" i="2"/>
  <c r="G1919" i="2"/>
  <c r="H1919" i="2"/>
  <c r="G1920" i="2"/>
  <c r="G1921" i="2"/>
  <c r="G1922" i="2"/>
  <c r="H1922" i="2"/>
  <c r="G1923" i="2"/>
  <c r="G1924" i="2"/>
  <c r="J1924" i="2"/>
  <c r="K1924" i="2"/>
  <c r="G1925" i="2"/>
  <c r="G1926" i="2"/>
  <c r="I1926" i="2"/>
  <c r="G1927" i="2"/>
  <c r="G1928" i="2"/>
  <c r="I1928" i="2"/>
  <c r="G1929" i="2"/>
  <c r="J1929" i="2"/>
  <c r="K1929" i="2"/>
  <c r="G1930" i="2"/>
  <c r="I1930" i="2"/>
  <c r="G1931" i="2"/>
  <c r="G1932" i="2"/>
  <c r="I1932" i="2"/>
  <c r="G1933" i="2"/>
  <c r="G1934" i="2"/>
  <c r="G1935" i="2"/>
  <c r="H1935" i="2"/>
  <c r="G1936" i="2"/>
  <c r="I1936" i="2"/>
  <c r="G1937" i="2"/>
  <c r="G1938" i="2"/>
  <c r="I1938" i="2"/>
  <c r="G1939" i="2"/>
  <c r="J1939" i="2"/>
  <c r="K1939" i="2"/>
  <c r="G1940" i="2"/>
  <c r="G1941" i="2"/>
  <c r="G1942" i="2"/>
  <c r="G1943" i="2"/>
  <c r="G1944" i="2"/>
  <c r="G1945" i="2"/>
  <c r="I1945" i="2"/>
  <c r="G1946" i="2"/>
  <c r="H1946" i="2"/>
  <c r="G1947" i="2"/>
  <c r="J1947" i="2"/>
  <c r="K1947" i="2"/>
  <c r="G1948" i="2"/>
  <c r="G1949" i="2"/>
  <c r="I1949" i="2"/>
  <c r="G1950" i="2"/>
  <c r="G1951" i="2"/>
  <c r="I1951" i="2"/>
  <c r="G1952" i="2"/>
  <c r="J1952" i="2"/>
  <c r="K1952" i="2"/>
  <c r="G1953" i="2"/>
  <c r="H1953" i="2"/>
  <c r="G1954" i="2"/>
  <c r="G1955" i="2"/>
  <c r="G1956" i="2"/>
  <c r="G1957" i="2"/>
  <c r="I1957" i="2"/>
  <c r="G1958" i="2"/>
  <c r="H1958" i="2"/>
  <c r="G1959" i="2"/>
  <c r="J1959" i="2"/>
  <c r="K1959" i="2"/>
  <c r="G1960" i="2"/>
  <c r="H1960" i="2"/>
  <c r="G1961" i="2"/>
  <c r="H1961" i="2"/>
  <c r="J1961" i="2"/>
  <c r="K1961" i="2"/>
  <c r="G1962" i="2"/>
  <c r="I1962" i="2"/>
  <c r="G1963" i="2"/>
  <c r="H1963" i="2"/>
  <c r="G1964" i="2"/>
  <c r="H1964" i="2"/>
  <c r="G1965" i="2"/>
  <c r="J1965" i="2"/>
  <c r="K1965" i="2"/>
  <c r="G1966" i="2"/>
  <c r="J1966" i="2"/>
  <c r="K1966" i="2"/>
  <c r="G1967" i="2"/>
  <c r="G1968" i="2"/>
  <c r="J1968" i="2"/>
  <c r="K1968" i="2"/>
  <c r="G1969" i="2"/>
  <c r="G1970" i="2"/>
  <c r="G1971" i="2"/>
  <c r="G1972" i="2"/>
  <c r="I1972" i="2"/>
  <c r="G1973" i="2"/>
  <c r="J1973" i="2"/>
  <c r="K1973" i="2"/>
  <c r="G1974" i="2"/>
  <c r="G1975" i="2"/>
  <c r="I1975" i="2"/>
  <c r="G1976" i="2"/>
  <c r="I1976" i="2"/>
  <c r="G1977" i="2"/>
  <c r="I1977" i="2"/>
  <c r="G1978" i="2"/>
  <c r="J1978" i="2"/>
  <c r="K1978" i="2"/>
  <c r="G1979" i="2"/>
  <c r="G1981" i="2"/>
  <c r="I1981" i="2"/>
  <c r="G1982" i="2"/>
  <c r="G1983" i="2"/>
  <c r="I1983" i="2"/>
  <c r="G1984" i="2"/>
  <c r="H1984" i="2"/>
  <c r="G1985" i="2"/>
  <c r="G1986" i="2"/>
  <c r="J1986" i="2"/>
  <c r="K1986" i="2"/>
  <c r="G1987" i="2"/>
  <c r="I1987" i="2"/>
  <c r="G1988" i="2"/>
  <c r="H1988" i="2"/>
  <c r="G1989" i="2"/>
  <c r="J1989" i="2"/>
  <c r="K1989" i="2"/>
  <c r="G1990" i="2"/>
  <c r="I1990" i="2"/>
  <c r="G1991" i="2"/>
  <c r="H1991" i="2"/>
  <c r="G1992" i="2"/>
  <c r="G1993" i="2"/>
  <c r="G1980" i="2"/>
  <c r="G1994" i="2"/>
  <c r="G1995" i="2"/>
  <c r="G1996" i="2"/>
  <c r="H1996" i="2"/>
  <c r="G1997" i="2"/>
  <c r="G1998" i="2"/>
  <c r="H1998" i="2"/>
  <c r="G1999" i="2"/>
  <c r="H1999" i="2"/>
  <c r="G2000" i="2"/>
  <c r="H2000" i="2"/>
  <c r="G2002" i="2"/>
  <c r="I2002" i="2"/>
  <c r="G2003" i="2"/>
  <c r="G2004" i="2"/>
  <c r="J2004" i="2"/>
  <c r="K2004" i="2"/>
  <c r="G2005" i="2"/>
  <c r="H2005" i="2"/>
  <c r="G2006" i="2"/>
  <c r="H2006" i="2"/>
  <c r="G2007" i="2"/>
  <c r="H2007" i="2"/>
  <c r="G2008" i="2"/>
  <c r="J2008" i="2"/>
  <c r="K2008" i="2"/>
  <c r="G2009" i="2"/>
  <c r="I2009" i="2"/>
  <c r="G2010" i="2"/>
  <c r="G2011" i="2"/>
  <c r="I2011" i="2"/>
  <c r="G2012" i="2"/>
  <c r="J2012" i="2"/>
  <c r="K2012" i="2"/>
  <c r="G2013" i="2"/>
  <c r="G2014" i="2"/>
  <c r="H2014" i="2"/>
  <c r="G2015" i="2"/>
  <c r="I2015" i="2"/>
  <c r="G2016" i="2"/>
  <c r="J2016" i="2"/>
  <c r="K2016" i="2"/>
  <c r="G2017" i="2"/>
  <c r="H2017" i="2"/>
  <c r="G2018" i="2"/>
  <c r="G2020" i="2"/>
  <c r="J2020" i="2"/>
  <c r="K2020" i="2"/>
  <c r="G2021" i="2"/>
  <c r="I2021" i="2"/>
  <c r="G2022" i="2"/>
  <c r="G2023" i="2"/>
  <c r="G2024" i="2"/>
  <c r="G2025" i="2"/>
  <c r="I2025" i="2"/>
  <c r="G2026" i="2"/>
  <c r="G2027" i="2"/>
  <c r="G2028" i="2"/>
  <c r="G2029" i="2"/>
  <c r="G2030" i="2"/>
  <c r="I2030" i="2"/>
  <c r="G2031" i="2"/>
  <c r="J2031" i="2"/>
  <c r="K2031" i="2"/>
  <c r="G2032" i="2"/>
  <c r="G2019" i="2"/>
  <c r="H2019" i="2"/>
  <c r="G2001" i="2"/>
  <c r="G2033" i="2"/>
  <c r="H2033" i="2"/>
  <c r="G2034" i="2"/>
  <c r="G2035" i="2"/>
  <c r="I2035" i="2"/>
  <c r="G2036" i="2"/>
  <c r="J2036" i="2"/>
  <c r="K2036" i="2"/>
  <c r="G2037" i="2"/>
  <c r="G2038" i="2"/>
  <c r="G2040" i="2"/>
  <c r="J2040" i="2"/>
  <c r="K2040" i="2"/>
  <c r="G2039" i="2"/>
  <c r="J2039" i="2"/>
  <c r="K2039" i="2"/>
  <c r="G2041" i="2"/>
  <c r="H2041" i="2"/>
  <c r="G2042" i="2"/>
  <c r="G2043" i="2"/>
  <c r="I2043" i="2"/>
  <c r="G2044" i="2"/>
  <c r="J2044" i="2"/>
  <c r="K2044" i="2"/>
  <c r="G2046" i="2"/>
  <c r="G2047" i="2"/>
  <c r="G2060" i="2"/>
  <c r="I2060" i="2"/>
  <c r="G2059" i="2"/>
  <c r="G2048" i="2"/>
  <c r="J2048" i="2"/>
  <c r="K2048" i="2"/>
  <c r="G2050" i="2"/>
  <c r="J2050" i="2"/>
  <c r="K2050" i="2"/>
  <c r="G2069" i="2"/>
  <c r="I2069" i="2"/>
  <c r="G2070" i="2"/>
  <c r="I2070" i="2"/>
  <c r="G2051" i="2"/>
  <c r="H2051" i="2"/>
  <c r="G2053" i="2"/>
  <c r="J2053" i="2"/>
  <c r="K2053" i="2"/>
  <c r="G2057" i="2"/>
  <c r="H2057" i="2"/>
  <c r="G2054" i="2"/>
  <c r="J2054" i="2"/>
  <c r="K2054" i="2"/>
  <c r="G2055" i="2"/>
  <c r="G2056" i="2"/>
  <c r="G2058" i="2"/>
  <c r="J2058" i="2"/>
  <c r="K2058" i="2"/>
  <c r="G2061" i="2"/>
  <c r="H2061" i="2"/>
  <c r="G2062" i="2"/>
  <c r="G2063" i="2"/>
  <c r="H2063" i="2"/>
  <c r="G2064" i="2"/>
  <c r="H2064" i="2"/>
  <c r="G2049" i="2"/>
  <c r="H2049" i="2"/>
  <c r="G2065" i="2"/>
  <c r="J2065" i="2"/>
  <c r="K2065" i="2"/>
  <c r="G2066" i="2"/>
  <c r="H2066" i="2"/>
  <c r="G2052" i="2"/>
  <c r="H2052" i="2"/>
  <c r="G2067" i="2"/>
  <c r="G2045" i="2"/>
  <c r="G2071" i="2"/>
  <c r="H2071" i="2"/>
  <c r="G2072" i="2"/>
  <c r="G2073" i="2"/>
  <c r="H2073" i="2"/>
  <c r="G2068" i="2"/>
  <c r="D2109" i="2"/>
  <c r="D2114" i="2"/>
  <c r="D2113" i="2"/>
  <c r="D2112" i="2"/>
  <c r="D2086" i="2"/>
  <c r="D2108" i="2"/>
  <c r="D2093" i="2"/>
  <c r="D2107" i="2"/>
  <c r="D2106" i="2"/>
  <c r="D2090" i="2"/>
  <c r="D2105" i="2"/>
  <c r="D2104" i="2"/>
  <c r="D2103" i="2"/>
  <c r="D2102" i="2"/>
  <c r="D2099" i="2"/>
  <c r="D2097" i="2"/>
  <c r="D2096" i="2"/>
  <c r="D2095" i="2"/>
  <c r="D2098" i="2"/>
  <c r="D2094" i="2"/>
  <c r="D2092" i="2"/>
  <c r="D2111" i="2"/>
  <c r="D2110" i="2"/>
  <c r="D2091" i="2"/>
  <c r="D2089" i="2"/>
  <c r="D2100" i="2"/>
  <c r="D2101" i="2"/>
  <c r="D2088" i="2"/>
  <c r="D2087" i="2"/>
  <c r="D2085" i="2"/>
  <c r="D2084" i="2"/>
  <c r="D2083" i="2"/>
  <c r="D2082" i="2"/>
  <c r="D2080" i="2"/>
  <c r="D2081" i="2"/>
  <c r="D2079" i="2"/>
  <c r="D2078" i="2"/>
  <c r="D2077" i="2"/>
  <c r="D2076" i="2"/>
  <c r="D2075" i="2"/>
  <c r="D2074" i="2"/>
  <c r="D2066" i="2"/>
  <c r="D2073" i="2"/>
  <c r="D2040" i="2"/>
  <c r="D2058" i="2"/>
  <c r="D2072" i="2"/>
  <c r="D2071" i="2"/>
  <c r="D2070" i="2"/>
  <c r="D2069" i="2"/>
  <c r="D2068" i="2"/>
  <c r="D2067" i="2"/>
  <c r="D2065" i="2"/>
  <c r="D2064" i="2"/>
  <c r="D2063" i="2"/>
  <c r="D2062" i="2"/>
  <c r="D2061" i="2"/>
  <c r="D2060" i="2"/>
  <c r="D2059" i="2"/>
  <c r="D2057" i="2"/>
  <c r="D2056" i="2"/>
  <c r="D2055" i="2"/>
  <c r="D2054" i="2"/>
  <c r="D2053" i="2"/>
  <c r="D2052" i="2"/>
  <c r="D2051" i="2"/>
  <c r="D2050" i="2"/>
  <c r="D2049" i="2"/>
  <c r="D2048" i="2"/>
  <c r="D2047" i="2"/>
  <c r="D2046" i="2"/>
  <c r="D2045" i="2"/>
  <c r="D2044" i="2"/>
  <c r="D2043" i="2"/>
  <c r="D2042" i="2"/>
  <c r="D2041" i="2"/>
  <c r="D2039" i="2"/>
  <c r="D2038" i="2"/>
  <c r="D2037" i="2"/>
  <c r="D2036" i="2"/>
  <c r="D2035" i="2"/>
  <c r="D2034" i="2"/>
  <c r="D2033" i="2"/>
  <c r="D2001" i="2"/>
  <c r="D2019" i="2"/>
  <c r="D2032" i="2"/>
  <c r="D2031" i="2"/>
  <c r="D2030" i="2"/>
  <c r="D2029" i="2"/>
  <c r="D2028" i="2"/>
  <c r="D2027" i="2"/>
  <c r="D2026" i="2"/>
  <c r="D2025" i="2"/>
  <c r="D2024" i="2"/>
  <c r="D2023" i="2"/>
  <c r="D2022" i="2"/>
  <c r="D2021" i="2"/>
  <c r="D2020" i="2"/>
  <c r="D2018" i="2"/>
  <c r="D2017" i="2"/>
  <c r="D2016" i="2"/>
  <c r="D2015" i="2"/>
  <c r="D2014" i="2"/>
  <c r="D2013" i="2"/>
  <c r="D2012" i="2"/>
  <c r="D2011" i="2"/>
  <c r="D2010" i="2"/>
  <c r="D2009" i="2"/>
  <c r="D2008" i="2"/>
  <c r="D2007" i="2"/>
  <c r="D2006" i="2"/>
  <c r="D2005" i="2"/>
  <c r="D2004" i="2"/>
  <c r="D2003" i="2"/>
  <c r="D2002" i="2"/>
  <c r="D2000" i="2"/>
  <c r="D1999" i="2"/>
  <c r="D1998" i="2"/>
  <c r="D1997" i="2"/>
  <c r="D1996" i="2"/>
  <c r="D1995" i="2"/>
  <c r="D1994" i="2"/>
  <c r="D1980" i="2"/>
  <c r="D1993" i="2"/>
  <c r="D1992" i="2"/>
  <c r="D1991" i="2"/>
  <c r="D1990" i="2"/>
  <c r="D1989" i="2"/>
  <c r="D1988" i="2"/>
  <c r="D1987" i="2"/>
  <c r="D1986" i="2"/>
  <c r="D1985" i="2"/>
  <c r="D1984" i="2"/>
  <c r="D1983" i="2"/>
  <c r="D1982" i="2"/>
  <c r="D1981" i="2"/>
  <c r="D1979" i="2"/>
  <c r="D1978" i="2"/>
  <c r="D1977" i="2"/>
  <c r="D1976" i="2"/>
  <c r="D1975" i="2"/>
  <c r="D1974" i="2"/>
  <c r="D1973" i="2"/>
  <c r="D1972" i="2"/>
  <c r="D1971" i="2"/>
  <c r="D1970" i="2"/>
  <c r="D1969" i="2"/>
  <c r="D1968" i="2"/>
  <c r="D1967" i="2"/>
  <c r="D1966" i="2"/>
  <c r="D1965" i="2"/>
  <c r="D1964" i="2"/>
  <c r="D1963" i="2"/>
  <c r="D1962" i="2"/>
  <c r="D1961" i="2"/>
  <c r="D1960" i="2"/>
  <c r="D1959" i="2"/>
  <c r="D1958" i="2"/>
  <c r="D1957" i="2"/>
  <c r="D1956" i="2"/>
  <c r="C6" i="32"/>
  <c r="C7" i="32"/>
  <c r="C8" i="32"/>
  <c r="C9" i="32"/>
  <c r="A2" i="31"/>
  <c r="K2" i="31"/>
  <c r="E2" i="31"/>
  <c r="E2" i="30"/>
  <c r="E10" i="30"/>
  <c r="E26" i="30"/>
  <c r="E30" i="30"/>
  <c r="E6" i="30"/>
  <c r="E14" i="30"/>
  <c r="E22" i="30"/>
  <c r="E18" i="30"/>
  <c r="E15" i="30"/>
  <c r="E7" i="30"/>
  <c r="E23" i="30"/>
  <c r="E3" i="30"/>
  <c r="E19" i="30"/>
  <c r="E11" i="30"/>
  <c r="E27" i="30"/>
  <c r="E31" i="30"/>
  <c r="E12" i="30"/>
  <c r="E16" i="30"/>
  <c r="E24" i="30"/>
  <c r="E28" i="30"/>
  <c r="E8" i="30"/>
  <c r="E4" i="30"/>
  <c r="E20" i="30"/>
  <c r="E32" i="30"/>
  <c r="E21" i="30"/>
  <c r="E29" i="30"/>
  <c r="E25" i="30"/>
  <c r="E9" i="30"/>
  <c r="E33" i="30"/>
  <c r="E17" i="30"/>
  <c r="E13" i="30"/>
  <c r="E5" i="30"/>
  <c r="L11" i="19"/>
  <c r="L31" i="19"/>
  <c r="L30" i="19"/>
  <c r="L29" i="19"/>
  <c r="L28" i="19"/>
  <c r="L27" i="19"/>
  <c r="L26" i="19"/>
  <c r="L25" i="19"/>
  <c r="L24" i="19"/>
  <c r="L23" i="19"/>
  <c r="L22" i="19"/>
  <c r="L21" i="19"/>
  <c r="L20" i="19"/>
  <c r="L19" i="19"/>
  <c r="L18" i="19"/>
  <c r="L17" i="19"/>
  <c r="L16" i="19"/>
  <c r="L15" i="19"/>
  <c r="L14" i="19"/>
  <c r="L13" i="19"/>
  <c r="L12" i="19"/>
  <c r="L10" i="19"/>
  <c r="L9" i="19"/>
  <c r="L8" i="19"/>
  <c r="L7" i="19"/>
  <c r="L6" i="19"/>
  <c r="L5" i="19"/>
  <c r="L4" i="19"/>
  <c r="L3" i="19"/>
  <c r="L2" i="19"/>
  <c r="K13" i="19"/>
  <c r="J2" i="19"/>
  <c r="K2" i="19"/>
  <c r="J3" i="19"/>
  <c r="K3" i="19"/>
  <c r="J4" i="19"/>
  <c r="K4" i="19"/>
  <c r="H31" i="19"/>
  <c r="I31" i="19"/>
  <c r="J31" i="19"/>
  <c r="K31" i="19"/>
  <c r="H30" i="19"/>
  <c r="I30" i="19"/>
  <c r="J30" i="19"/>
  <c r="K30" i="19"/>
  <c r="A30" i="19"/>
  <c r="A31" i="19"/>
  <c r="D1955" i="2"/>
  <c r="D1954" i="2"/>
  <c r="D1953" i="2"/>
  <c r="D1952" i="2"/>
  <c r="D1951" i="2"/>
  <c r="D1950" i="2"/>
  <c r="D1949" i="2"/>
  <c r="D1948" i="2"/>
  <c r="D1947" i="2"/>
  <c r="D1946" i="2"/>
  <c r="D1945" i="2"/>
  <c r="D1944" i="2"/>
  <c r="D1943" i="2"/>
  <c r="D1942" i="2"/>
  <c r="D1941" i="2"/>
  <c r="D1940" i="2"/>
  <c r="D1939" i="2"/>
  <c r="D1938" i="2"/>
  <c r="D1937" i="2"/>
  <c r="D1936" i="2"/>
  <c r="D1935" i="2"/>
  <c r="D1934" i="2"/>
  <c r="D1933" i="2"/>
  <c r="D1932" i="2"/>
  <c r="D1931" i="2"/>
  <c r="D1930" i="2"/>
  <c r="D1929" i="2"/>
  <c r="D1928" i="2"/>
  <c r="D1927" i="2"/>
  <c r="D1926" i="2"/>
  <c r="D1925" i="2"/>
  <c r="D1924" i="2"/>
  <c r="D1923" i="2"/>
  <c r="D1922" i="2"/>
  <c r="D1921" i="2"/>
  <c r="D1920" i="2"/>
  <c r="D1919" i="2"/>
  <c r="D1918" i="2"/>
  <c r="D1917" i="2"/>
  <c r="D1916" i="2"/>
  <c r="D1915" i="2"/>
  <c r="D1914" i="2"/>
  <c r="D1913" i="2"/>
  <c r="D1912" i="2"/>
  <c r="D1911" i="2"/>
  <c r="D1910" i="2"/>
  <c r="D1909" i="2"/>
  <c r="D1908" i="2"/>
  <c r="D1907" i="2"/>
  <c r="D1906" i="2"/>
  <c r="D1905" i="2"/>
  <c r="D1904" i="2"/>
  <c r="D1903" i="2"/>
  <c r="D1902" i="2"/>
  <c r="D1901" i="2"/>
  <c r="D1900" i="2"/>
  <c r="D1899" i="2"/>
  <c r="D1898" i="2"/>
  <c r="D1897" i="2"/>
  <c r="D1896" i="2"/>
  <c r="D1895" i="2"/>
  <c r="D1894" i="2"/>
  <c r="D1893" i="2"/>
  <c r="D1892" i="2"/>
  <c r="D1891" i="2"/>
  <c r="D1890" i="2"/>
  <c r="D1889" i="2"/>
  <c r="D1888" i="2"/>
  <c r="D1887" i="2"/>
  <c r="D1886" i="2"/>
  <c r="D1885" i="2"/>
  <c r="D1884" i="2"/>
  <c r="D1883" i="2"/>
  <c r="D1882" i="2"/>
  <c r="H2" i="28"/>
  <c r="M2" i="28"/>
  <c r="G3" i="28"/>
  <c r="G4" i="28"/>
  <c r="G5" i="28"/>
  <c r="G6" i="28"/>
  <c r="G7" i="28"/>
  <c r="G8" i="28"/>
  <c r="G9" i="28"/>
  <c r="G10" i="28"/>
  <c r="G11" i="28"/>
  <c r="G12" i="28"/>
  <c r="G13" i="28"/>
  <c r="G14" i="28"/>
  <c r="G15" i="28"/>
  <c r="G16" i="28"/>
  <c r="G17" i="28"/>
  <c r="G18" i="28"/>
  <c r="G19" i="28"/>
  <c r="G20" i="28"/>
  <c r="G21" i="28"/>
  <c r="G22" i="28"/>
  <c r="G23" i="28"/>
  <c r="G24" i="28"/>
  <c r="G25" i="28"/>
  <c r="G26" i="28"/>
  <c r="G27" i="28"/>
  <c r="G28" i="28"/>
  <c r="G29" i="28"/>
  <c r="G30" i="28"/>
  <c r="G31" i="28"/>
  <c r="G32" i="28"/>
  <c r="A3" i="28"/>
  <c r="H3" i="28"/>
  <c r="H4" i="28"/>
  <c r="H5" i="28"/>
  <c r="H6" i="28"/>
  <c r="H7" i="28"/>
  <c r="H8" i="28"/>
  <c r="H9" i="28"/>
  <c r="H10" i="28"/>
  <c r="H11" i="28"/>
  <c r="H12" i="28"/>
  <c r="H13" i="28"/>
  <c r="H14" i="28"/>
  <c r="H15" i="28"/>
  <c r="H16" i="28"/>
  <c r="H17" i="28"/>
  <c r="H18" i="28"/>
  <c r="H19" i="28"/>
  <c r="H20" i="28"/>
  <c r="H21" i="28"/>
  <c r="H22" i="28"/>
  <c r="H23" i="28"/>
  <c r="H24" i="28"/>
  <c r="H25" i="28"/>
  <c r="H26" i="28"/>
  <c r="H27" i="28"/>
  <c r="H28" i="28"/>
  <c r="H29" i="28"/>
  <c r="H30" i="28"/>
  <c r="H31" i="28"/>
  <c r="H32" i="28"/>
  <c r="O2" i="28"/>
  <c r="P2" i="28"/>
  <c r="O5" i="28"/>
  <c r="O3" i="28"/>
  <c r="O7" i="28"/>
  <c r="O6" i="28"/>
  <c r="O8" i="28"/>
  <c r="O9" i="28"/>
  <c r="O10" i="28"/>
  <c r="O4" i="28"/>
  <c r="O11" i="28"/>
  <c r="A4" i="28"/>
  <c r="D1873" i="2"/>
  <c r="D1862" i="2"/>
  <c r="D1871" i="2"/>
  <c r="D1872" i="2"/>
  <c r="D1870" i="2"/>
  <c r="D1875" i="2"/>
  <c r="D1852" i="2"/>
  <c r="D1860" i="2"/>
  <c r="D1877" i="2"/>
  <c r="D1863" i="2"/>
  <c r="D1869" i="2"/>
  <c r="D1867" i="2"/>
  <c r="D1881" i="2"/>
  <c r="D1880" i="2"/>
  <c r="D1857" i="2"/>
  <c r="D1859" i="2"/>
  <c r="D1847" i="2"/>
  <c r="D1855" i="2"/>
  <c r="D1850" i="2"/>
  <c r="D1856" i="2"/>
  <c r="D1858" i="2"/>
  <c r="D1865" i="2"/>
  <c r="D1846" i="2"/>
  <c r="D1854" i="2"/>
  <c r="D1866" i="2"/>
  <c r="D1868" i="2"/>
  <c r="D1876" i="2"/>
  <c r="D1849" i="2"/>
  <c r="D1864" i="2"/>
  <c r="D1861" i="2"/>
  <c r="D1874" i="2"/>
  <c r="D1851" i="2"/>
  <c r="D1878" i="2"/>
  <c r="D1879" i="2"/>
  <c r="D1848" i="2"/>
  <c r="D1845" i="2"/>
  <c r="D1853" i="2"/>
  <c r="AD6" i="17"/>
  <c r="AC41" i="17"/>
  <c r="AC51" i="17" s="1"/>
  <c r="AC40" i="17"/>
  <c r="AC39" i="17"/>
  <c r="AC38" i="17"/>
  <c r="AC37" i="17"/>
  <c r="AC36" i="17"/>
  <c r="AC35" i="17"/>
  <c r="AC34" i="17"/>
  <c r="AC6" i="17"/>
  <c r="D1816" i="2"/>
  <c r="D1808" i="2"/>
  <c r="D1811" i="2"/>
  <c r="D1842" i="2"/>
  <c r="D1841" i="2"/>
  <c r="D1814" i="2"/>
  <c r="D1837" i="2"/>
  <c r="D1824" i="2"/>
  <c r="D1827" i="2"/>
  <c r="D1812" i="2"/>
  <c r="D1839" i="2"/>
  <c r="D1831" i="2"/>
  <c r="D1829" i="2"/>
  <c r="D1817" i="2"/>
  <c r="D1809" i="2"/>
  <c r="D1828" i="2"/>
  <c r="D1821" i="2"/>
  <c r="D1819" i="2"/>
  <c r="D1813" i="2"/>
  <c r="D1818" i="2"/>
  <c r="D1810" i="2"/>
  <c r="D1822" i="2"/>
  <c r="D1820" i="2"/>
  <c r="D1843" i="2"/>
  <c r="D1844" i="2"/>
  <c r="D1830" i="2"/>
  <c r="D1832" i="2"/>
  <c r="D1826" i="2"/>
  <c r="D1840" i="2"/>
  <c r="D1823" i="2"/>
  <c r="D1815" i="2"/>
  <c r="D1838" i="2"/>
  <c r="D1833" i="2"/>
  <c r="D1835" i="2"/>
  <c r="D1834" i="2"/>
  <c r="D1825" i="2"/>
  <c r="D1836" i="2"/>
  <c r="D1799" i="2"/>
  <c r="D1788" i="2"/>
  <c r="D1797" i="2"/>
  <c r="D1798" i="2"/>
  <c r="D1801" i="2"/>
  <c r="D1796" i="2"/>
  <c r="D1778" i="2"/>
  <c r="D1786" i="2"/>
  <c r="D1803" i="2"/>
  <c r="D1789" i="2"/>
  <c r="D1795" i="2"/>
  <c r="D1793" i="2"/>
  <c r="D1807" i="2"/>
  <c r="D1806" i="2"/>
  <c r="D1783" i="2"/>
  <c r="D1785" i="2"/>
  <c r="D1773" i="2"/>
  <c r="D1776" i="2"/>
  <c r="D1781" i="2"/>
  <c r="D1784" i="2"/>
  <c r="D1791" i="2"/>
  <c r="D1782" i="2"/>
  <c r="D1772" i="2"/>
  <c r="D1792" i="2"/>
  <c r="D1780" i="2"/>
  <c r="D1802" i="2"/>
  <c r="D1794" i="2"/>
  <c r="D1775" i="2"/>
  <c r="D1790" i="2"/>
  <c r="D1787" i="2"/>
  <c r="D1800" i="2"/>
  <c r="D1777" i="2"/>
  <c r="D1804" i="2"/>
  <c r="D1805" i="2"/>
  <c r="D1774" i="2"/>
  <c r="D1771" i="2"/>
  <c r="D1779" i="2"/>
  <c r="D1734" i="2"/>
  <c r="D1742" i="2"/>
  <c r="D1737" i="2"/>
  <c r="D1768" i="2"/>
  <c r="D1767" i="2"/>
  <c r="D1763" i="2"/>
  <c r="D1740" i="2"/>
  <c r="D1750" i="2"/>
  <c r="D1753" i="2"/>
  <c r="D1738" i="2"/>
  <c r="D1757" i="2"/>
  <c r="D1765" i="2"/>
  <c r="D1743" i="2"/>
  <c r="D1745" i="2"/>
  <c r="D1735" i="2"/>
  <c r="D1747" i="2"/>
  <c r="D1755" i="2"/>
  <c r="D1754" i="2"/>
  <c r="D1739" i="2"/>
  <c r="D1736" i="2"/>
  <c r="D1748" i="2"/>
  <c r="D1746" i="2"/>
  <c r="D1769" i="2"/>
  <c r="D1770" i="2"/>
  <c r="D1756" i="2"/>
  <c r="D1744" i="2"/>
  <c r="D1758" i="2"/>
  <c r="D1752" i="2"/>
  <c r="D1749" i="2"/>
  <c r="D1766" i="2"/>
  <c r="D1741" i="2"/>
  <c r="D1761" i="2"/>
  <c r="D1759" i="2"/>
  <c r="D1764" i="2"/>
  <c r="D1760" i="2"/>
  <c r="D1751" i="2"/>
  <c r="D1762" i="2"/>
  <c r="D1697" i="2"/>
  <c r="D1705" i="2"/>
  <c r="D1700" i="2"/>
  <c r="D1731" i="2"/>
  <c r="D1730" i="2"/>
  <c r="D1726" i="2"/>
  <c r="D1703" i="2"/>
  <c r="D1716" i="2"/>
  <c r="D1713" i="2"/>
  <c r="D1701" i="2"/>
  <c r="D1720" i="2"/>
  <c r="D1728" i="2"/>
  <c r="D1717" i="2"/>
  <c r="D1698" i="2"/>
  <c r="D1708" i="2"/>
  <c r="D1706" i="2"/>
  <c r="D1710" i="2"/>
  <c r="D1718" i="2"/>
  <c r="D1702" i="2"/>
  <c r="D1699" i="2"/>
  <c r="D1711" i="2"/>
  <c r="D1709" i="2"/>
  <c r="D1707" i="2"/>
  <c r="D1733" i="2"/>
  <c r="D1732" i="2"/>
  <c r="D1719" i="2"/>
  <c r="D1721" i="2"/>
  <c r="D1715" i="2"/>
  <c r="D1729" i="2"/>
  <c r="D1704" i="2"/>
  <c r="D1712" i="2"/>
  <c r="D1727" i="2"/>
  <c r="D1722" i="2"/>
  <c r="D1724" i="2"/>
  <c r="D1723" i="2"/>
  <c r="D1714" i="2"/>
  <c r="D1725" i="2"/>
  <c r="AL1" i="17"/>
  <c r="AK1" i="17"/>
  <c r="AJ1" i="17"/>
  <c r="AI1" i="17"/>
  <c r="AH1" i="17"/>
  <c r="D1692" i="2"/>
  <c r="D1696" i="2"/>
  <c r="D1695" i="2"/>
  <c r="D1671" i="2"/>
  <c r="D1691" i="2"/>
  <c r="D1678" i="2"/>
  <c r="D1675" i="2"/>
  <c r="D1690" i="2"/>
  <c r="D1689" i="2"/>
  <c r="D1688" i="2"/>
  <c r="D1687" i="2"/>
  <c r="D1686" i="2"/>
  <c r="D1685" i="2"/>
  <c r="D1684" i="2"/>
  <c r="D1683" i="2"/>
  <c r="D1682" i="2"/>
  <c r="D1681" i="2"/>
  <c r="D1680" i="2"/>
  <c r="D1679" i="2"/>
  <c r="D1677" i="2"/>
  <c r="D1694" i="2"/>
  <c r="D1693" i="2"/>
  <c r="D1676" i="2"/>
  <c r="D1674" i="2"/>
  <c r="D1673" i="2"/>
  <c r="D1672" i="2"/>
  <c r="D1670" i="2"/>
  <c r="D1669" i="2"/>
  <c r="D1668" i="2"/>
  <c r="D1667" i="2"/>
  <c r="D1666" i="2"/>
  <c r="D1665" i="2"/>
  <c r="D1664" i="2"/>
  <c r="D1663" i="2"/>
  <c r="D1662" i="2"/>
  <c r="D1661" i="2"/>
  <c r="D1660" i="2"/>
  <c r="AD33" i="17"/>
  <c r="AC33" i="17"/>
  <c r="AD32" i="17"/>
  <c r="AC32" i="17"/>
  <c r="AD31" i="17"/>
  <c r="AC31" i="17"/>
  <c r="AD30" i="17"/>
  <c r="AC30" i="17"/>
  <c r="AD29" i="17"/>
  <c r="AC29" i="17"/>
  <c r="AD28" i="17"/>
  <c r="AC28" i="17"/>
  <c r="AD27" i="17"/>
  <c r="AD26" i="17"/>
  <c r="AD25" i="17"/>
  <c r="AC25" i="17"/>
  <c r="AD24" i="17"/>
  <c r="AC24" i="17"/>
  <c r="AD23" i="17"/>
  <c r="AC23" i="17"/>
  <c r="AD22" i="17"/>
  <c r="AD21" i="17"/>
  <c r="AC21" i="17"/>
  <c r="AD20" i="17"/>
  <c r="AC20" i="17"/>
  <c r="AD19" i="17"/>
  <c r="AC19" i="17"/>
  <c r="AD18" i="17"/>
  <c r="AC18" i="17"/>
  <c r="AD17" i="17"/>
  <c r="AC17" i="17"/>
  <c r="AD16" i="17"/>
  <c r="AC16" i="17"/>
  <c r="AD15" i="17"/>
  <c r="AC15" i="17"/>
  <c r="AD14" i="17"/>
  <c r="AD13" i="17"/>
  <c r="AC13" i="17"/>
  <c r="AD12" i="17"/>
  <c r="AC12" i="17"/>
  <c r="AD11" i="17"/>
  <c r="AD10" i="17"/>
  <c r="AC10" i="17"/>
  <c r="AD9" i="17"/>
  <c r="AC9" i="17"/>
  <c r="AD8" i="17"/>
  <c r="AC8" i="17"/>
  <c r="AD7" i="17"/>
  <c r="AC7" i="17"/>
  <c r="AD5" i="17"/>
  <c r="AD4" i="17"/>
  <c r="AC4" i="17"/>
  <c r="AD3" i="17"/>
  <c r="AD2" i="17"/>
  <c r="AC2" i="17"/>
  <c r="AC1659" i="2"/>
  <c r="AC1658" i="2"/>
  <c r="AC1657" i="2"/>
  <c r="AC1656" i="2"/>
  <c r="AC1655" i="2"/>
  <c r="AC1654" i="2"/>
  <c r="AC1653" i="2"/>
  <c r="AC1652" i="2"/>
  <c r="AC1651" i="2"/>
  <c r="AC1650" i="2"/>
  <c r="AC1649" i="2"/>
  <c r="AC1648" i="2"/>
  <c r="AC1647" i="2"/>
  <c r="AC1646" i="2"/>
  <c r="AC1645" i="2"/>
  <c r="AC1644" i="2"/>
  <c r="AD1644" i="2"/>
  <c r="AC1643" i="2"/>
  <c r="AC1642" i="2"/>
  <c r="AC1641" i="2"/>
  <c r="AC1640" i="2"/>
  <c r="AC1639" i="2"/>
  <c r="AC1638" i="2"/>
  <c r="AC1637" i="2"/>
  <c r="AC1636" i="2"/>
  <c r="AC1635" i="2"/>
  <c r="AC1634" i="2"/>
  <c r="AC1633" i="2"/>
  <c r="AC1632" i="2"/>
  <c r="AC1631" i="2"/>
  <c r="AC1630" i="2"/>
  <c r="AC1629" i="2"/>
  <c r="AC1628" i="2"/>
  <c r="AC1627" i="2"/>
  <c r="AC1626" i="2"/>
  <c r="AC1625" i="2"/>
  <c r="AC1624" i="2"/>
  <c r="AC1623" i="2"/>
  <c r="AA1659" i="2"/>
  <c r="AB1659" i="2"/>
  <c r="AA1658" i="2"/>
  <c r="AB1658" i="2"/>
  <c r="AD1658" i="2"/>
  <c r="AA1657" i="2"/>
  <c r="AB1657" i="2"/>
  <c r="AD1657" i="2"/>
  <c r="AA1656" i="2"/>
  <c r="AB1656" i="2"/>
  <c r="AD1656" i="2"/>
  <c r="AA1655" i="2"/>
  <c r="AB1655" i="2"/>
  <c r="AA1654" i="2"/>
  <c r="AB1654" i="2"/>
  <c r="AD1654" i="2"/>
  <c r="AA1653" i="2"/>
  <c r="AB1653" i="2"/>
  <c r="AA1652" i="2"/>
  <c r="AB1652" i="2"/>
  <c r="AD1652" i="2"/>
  <c r="AA1651" i="2"/>
  <c r="AB1651" i="2"/>
  <c r="AA1650" i="2"/>
  <c r="AB1650" i="2"/>
  <c r="AD1650" i="2"/>
  <c r="AA1649" i="2"/>
  <c r="AB1649" i="2"/>
  <c r="AD1649" i="2"/>
  <c r="AA1648" i="2"/>
  <c r="AB1648" i="2"/>
  <c r="AD1648" i="2"/>
  <c r="AA1647" i="2"/>
  <c r="AB1647" i="2"/>
  <c r="AA1646" i="2"/>
  <c r="AB1646" i="2"/>
  <c r="AD1646" i="2"/>
  <c r="AA1645" i="2"/>
  <c r="AB1645" i="2"/>
  <c r="AD1645" i="2"/>
  <c r="AA1644" i="2"/>
  <c r="AB1644" i="2"/>
  <c r="AA1643" i="2"/>
  <c r="AB1643" i="2"/>
  <c r="AA1642" i="2"/>
  <c r="AB1642" i="2"/>
  <c r="AD1642" i="2"/>
  <c r="AA1641" i="2"/>
  <c r="AB1641" i="2"/>
  <c r="AA1640" i="2"/>
  <c r="AB1640" i="2"/>
  <c r="AD1640" i="2"/>
  <c r="AA1639" i="2"/>
  <c r="AB1639" i="2"/>
  <c r="AD1639" i="2"/>
  <c r="AA1638" i="2"/>
  <c r="AB1638" i="2"/>
  <c r="AA1637" i="2"/>
  <c r="AB1637" i="2"/>
  <c r="AD1637" i="2"/>
  <c r="AA1636" i="2"/>
  <c r="AB1636" i="2"/>
  <c r="AA1635" i="2"/>
  <c r="AB1635" i="2"/>
  <c r="AD1635" i="2"/>
  <c r="AA1634" i="2"/>
  <c r="AB1634" i="2"/>
  <c r="AA1633" i="2"/>
  <c r="AB1633" i="2"/>
  <c r="AA1632" i="2"/>
  <c r="AB1632" i="2"/>
  <c r="AA1631" i="2"/>
  <c r="AB1631" i="2"/>
  <c r="AA1630" i="2"/>
  <c r="AB1630" i="2"/>
  <c r="AD1630" i="2"/>
  <c r="AA1629" i="2"/>
  <c r="AB1629" i="2"/>
  <c r="AA1628" i="2"/>
  <c r="AB1628" i="2"/>
  <c r="AA1627" i="2"/>
  <c r="AB1627" i="2"/>
  <c r="AA1626" i="2"/>
  <c r="AB1626" i="2"/>
  <c r="AD1626" i="2"/>
  <c r="AA1625" i="2"/>
  <c r="AB1625" i="2"/>
  <c r="AD1625" i="2"/>
  <c r="AA1624" i="2"/>
  <c r="AB1624" i="2"/>
  <c r="AD1624" i="2"/>
  <c r="AA1623" i="2"/>
  <c r="AB1623" i="2"/>
  <c r="AD1623" i="2"/>
  <c r="D1655" i="2"/>
  <c r="D1659" i="2"/>
  <c r="D1658" i="2"/>
  <c r="D1634" i="2"/>
  <c r="D1654" i="2"/>
  <c r="D1641" i="2"/>
  <c r="D1638" i="2"/>
  <c r="D1653" i="2"/>
  <c r="D1652" i="2"/>
  <c r="D1651" i="2"/>
  <c r="D1650" i="2"/>
  <c r="D1649" i="2"/>
  <c r="D1648" i="2"/>
  <c r="D1647" i="2"/>
  <c r="D1646" i="2"/>
  <c r="D1645" i="2"/>
  <c r="D1644" i="2"/>
  <c r="D1643" i="2"/>
  <c r="D1642" i="2"/>
  <c r="D1640" i="2"/>
  <c r="D1657" i="2"/>
  <c r="D1656" i="2"/>
  <c r="D1639" i="2"/>
  <c r="D1637" i="2"/>
  <c r="D1636" i="2"/>
  <c r="D1635" i="2"/>
  <c r="D1633" i="2"/>
  <c r="D1632" i="2"/>
  <c r="D1631" i="2"/>
  <c r="D1630" i="2"/>
  <c r="D1629" i="2"/>
  <c r="D1628" i="2"/>
  <c r="D1627" i="2"/>
  <c r="D1626" i="2"/>
  <c r="D1625" i="2"/>
  <c r="D1624" i="2"/>
  <c r="D1623" i="2"/>
  <c r="D1618" i="2"/>
  <c r="D1586" i="2"/>
  <c r="D1587" i="2"/>
  <c r="D1588" i="2"/>
  <c r="D1589" i="2"/>
  <c r="D1590" i="2"/>
  <c r="D1591" i="2"/>
  <c r="D1592" i="2"/>
  <c r="D1593" i="2"/>
  <c r="D1594" i="2"/>
  <c r="D1595" i="2"/>
  <c r="D1596" i="2"/>
  <c r="D1598" i="2"/>
  <c r="D1599" i="2"/>
  <c r="D1600" i="2"/>
  <c r="D1602" i="2"/>
  <c r="D1619" i="2"/>
  <c r="D1620" i="2"/>
  <c r="D1603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01" i="2"/>
  <c r="D1604" i="2"/>
  <c r="D1617" i="2"/>
  <c r="D1597" i="2"/>
  <c r="D1621" i="2"/>
  <c r="D1622" i="2"/>
  <c r="B41" i="17"/>
  <c r="D1579" i="2"/>
  <c r="D1566" i="2"/>
  <c r="D1575" i="2"/>
  <c r="D1576" i="2"/>
  <c r="D1581" i="2"/>
  <c r="D1578" i="2"/>
  <c r="D1574" i="2"/>
  <c r="D1564" i="2"/>
  <c r="D1556" i="2"/>
  <c r="D1567" i="2"/>
  <c r="D1573" i="2"/>
  <c r="D1559" i="2"/>
  <c r="D1584" i="2"/>
  <c r="D1571" i="2"/>
  <c r="D1585" i="2"/>
  <c r="D1561" i="2"/>
  <c r="D1563" i="2"/>
  <c r="D1551" i="2"/>
  <c r="D1554" i="2"/>
  <c r="D1570" i="2"/>
  <c r="D1580" i="2"/>
  <c r="D1562" i="2"/>
  <c r="D1560" i="2"/>
  <c r="D1569" i="2"/>
  <c r="D1558" i="2"/>
  <c r="D1572" i="2"/>
  <c r="D1550" i="2"/>
  <c r="D1568" i="2"/>
  <c r="D1553" i="2"/>
  <c r="D1565" i="2"/>
  <c r="D1555" i="2"/>
  <c r="D1577" i="2"/>
  <c r="D1582" i="2"/>
  <c r="D1583" i="2"/>
  <c r="D1552" i="2"/>
  <c r="D1549" i="2"/>
  <c r="D1557" i="2"/>
  <c r="D1517" i="2"/>
  <c r="D1542" i="2"/>
  <c r="O40" i="17"/>
  <c r="O39" i="17"/>
  <c r="O38" i="17"/>
  <c r="O37" i="17"/>
  <c r="O36" i="17"/>
  <c r="O35" i="17"/>
  <c r="O34" i="17"/>
  <c r="O33" i="17"/>
  <c r="O32" i="17"/>
  <c r="O31" i="17"/>
  <c r="O30" i="17"/>
  <c r="O29" i="17"/>
  <c r="O28" i="17"/>
  <c r="O27" i="17"/>
  <c r="O26" i="17"/>
  <c r="O25" i="17"/>
  <c r="O24" i="17"/>
  <c r="O23" i="17"/>
  <c r="O22" i="17"/>
  <c r="O21" i="17"/>
  <c r="O20" i="17"/>
  <c r="O19" i="17"/>
  <c r="O18" i="17"/>
  <c r="O17" i="17"/>
  <c r="O16" i="17"/>
  <c r="O15" i="17"/>
  <c r="O14" i="17"/>
  <c r="O13" i="17"/>
  <c r="O12" i="17"/>
  <c r="O11" i="17"/>
  <c r="O10" i="17"/>
  <c r="O9" i="17"/>
  <c r="O8" i="17"/>
  <c r="O7" i="17"/>
  <c r="O6" i="17"/>
  <c r="O5" i="17"/>
  <c r="O4" i="17"/>
  <c r="O3" i="17"/>
  <c r="O2" i="17"/>
  <c r="A29" i="19"/>
  <c r="H29" i="19"/>
  <c r="I29" i="19"/>
  <c r="J29" i="19"/>
  <c r="I28" i="19"/>
  <c r="H28" i="19"/>
  <c r="A28" i="19"/>
  <c r="B40" i="17"/>
  <c r="D1538" i="2"/>
  <c r="D1522" i="2"/>
  <c r="D1529" i="2"/>
  <c r="D1539" i="2"/>
  <c r="D1544" i="2"/>
  <c r="D1541" i="2"/>
  <c r="D1537" i="2"/>
  <c r="D1527" i="2"/>
  <c r="D1519" i="2"/>
  <c r="D1530" i="2"/>
  <c r="D1536" i="2"/>
  <c r="D1547" i="2"/>
  <c r="D1534" i="2"/>
  <c r="D1548" i="2"/>
  <c r="D1524" i="2"/>
  <c r="D1526" i="2"/>
  <c r="D1514" i="2"/>
  <c r="D1523" i="2"/>
  <c r="D1525" i="2"/>
  <c r="D1532" i="2"/>
  <c r="D1535" i="2"/>
  <c r="D1521" i="2"/>
  <c r="D1513" i="2"/>
  <c r="D1531" i="2"/>
  <c r="D1516" i="2"/>
  <c r="D1528" i="2"/>
  <c r="D1518" i="2"/>
  <c r="D1540" i="2"/>
  <c r="D1545" i="2"/>
  <c r="D1546" i="2"/>
  <c r="D1515" i="2"/>
  <c r="D1512" i="2"/>
  <c r="D1520" i="2"/>
  <c r="D1533" i="2"/>
  <c r="D1543" i="2"/>
  <c r="B39" i="17"/>
  <c r="B38" i="17"/>
  <c r="D1505" i="2"/>
  <c r="D1511" i="2"/>
  <c r="D1510" i="2"/>
  <c r="D1509" i="2"/>
  <c r="D1486" i="2"/>
  <c r="D1506" i="2"/>
  <c r="D1504" i="2"/>
  <c r="D1493" i="2"/>
  <c r="D1503" i="2"/>
  <c r="D1490" i="2"/>
  <c r="D1502" i="2"/>
  <c r="D1501" i="2"/>
  <c r="D1500" i="2"/>
  <c r="D1496" i="2"/>
  <c r="D1495" i="2"/>
  <c r="D1497" i="2"/>
  <c r="D1494" i="2"/>
  <c r="D1492" i="2"/>
  <c r="D1508" i="2"/>
  <c r="D1507" i="2"/>
  <c r="D1491" i="2"/>
  <c r="D1489" i="2"/>
  <c r="D1498" i="2"/>
  <c r="D1499" i="2"/>
  <c r="D1488" i="2"/>
  <c r="D1487" i="2"/>
  <c r="D1485" i="2"/>
  <c r="D1484" i="2"/>
  <c r="D1483" i="2"/>
  <c r="D1481" i="2"/>
  <c r="D1482" i="2"/>
  <c r="D1480" i="2"/>
  <c r="D1479" i="2"/>
  <c r="D1478" i="2"/>
  <c r="D1477" i="2"/>
  <c r="D1475" i="2"/>
  <c r="D1474" i="2"/>
  <c r="D1473" i="2"/>
  <c r="D1476" i="2"/>
  <c r="J3" i="28"/>
  <c r="I3" i="28"/>
  <c r="I5" i="28"/>
  <c r="J4" i="28"/>
  <c r="I4" i="28"/>
  <c r="A5" i="28"/>
  <c r="A6" i="28"/>
  <c r="A7" i="28"/>
  <c r="A8" i="28"/>
  <c r="A9" i="28"/>
  <c r="A10" i="28"/>
  <c r="A11" i="28"/>
  <c r="A12" i="28"/>
  <c r="A13" i="28"/>
  <c r="A14" i="28"/>
  <c r="A15" i="28"/>
  <c r="A16" i="28"/>
  <c r="A17" i="28"/>
  <c r="A18" i="28"/>
  <c r="A19" i="28"/>
  <c r="A20" i="28"/>
  <c r="A21" i="28"/>
  <c r="A22" i="28"/>
  <c r="A23" i="28"/>
  <c r="A24" i="28"/>
  <c r="A25" i="28"/>
  <c r="A26" i="28"/>
  <c r="A27" i="28"/>
  <c r="A28" i="28"/>
  <c r="A29" i="28"/>
  <c r="A30" i="28"/>
  <c r="A31" i="28"/>
  <c r="A32" i="28"/>
  <c r="AC3" i="17"/>
  <c r="AC5" i="17"/>
  <c r="AC22" i="17"/>
  <c r="AC26" i="17"/>
  <c r="AC11" i="17"/>
  <c r="AC27" i="17"/>
  <c r="AC14" i="17"/>
  <c r="AZ17" i="17"/>
  <c r="AZ15" i="17"/>
  <c r="AZ26" i="17"/>
  <c r="AZ30" i="17"/>
  <c r="AZ14" i="17"/>
  <c r="AZ13" i="17"/>
  <c r="AZ9" i="17"/>
  <c r="AZ12" i="17"/>
  <c r="AZ16" i="17"/>
  <c r="AZ18" i="17"/>
  <c r="AZ19" i="17"/>
  <c r="AZ20" i="17"/>
  <c r="AZ22" i="17"/>
  <c r="AZ2" i="17"/>
  <c r="AZ23" i="17"/>
  <c r="AZ3" i="17"/>
  <c r="AZ24" i="17"/>
  <c r="AZ4" i="17"/>
  <c r="AZ25" i="17"/>
  <c r="AZ5" i="17"/>
  <c r="AZ27" i="17"/>
  <c r="AZ6" i="17"/>
  <c r="AZ28" i="17"/>
  <c r="AZ7" i="17"/>
  <c r="AZ29" i="17"/>
  <c r="AZ8" i="17"/>
  <c r="AZ31" i="17"/>
  <c r="AZ10" i="17"/>
  <c r="AZ32" i="17"/>
  <c r="AZ11" i="17"/>
  <c r="AA41" i="17"/>
  <c r="AA10" i="17"/>
  <c r="AA27" i="17"/>
  <c r="AA12" i="17"/>
  <c r="AA28" i="17"/>
  <c r="AA11" i="17"/>
  <c r="AA13" i="17"/>
  <c r="AA29" i="17"/>
  <c r="AA25" i="17"/>
  <c r="AA14" i="17"/>
  <c r="AA30" i="17"/>
  <c r="AA15" i="17"/>
  <c r="AA31" i="17"/>
  <c r="AA9" i="17"/>
  <c r="AA16" i="17"/>
  <c r="AA33" i="17"/>
  <c r="AA26" i="17"/>
  <c r="AA32" i="17"/>
  <c r="AA17" i="17"/>
  <c r="AA34" i="17"/>
  <c r="AA2" i="17"/>
  <c r="AA18" i="17"/>
  <c r="AA35" i="17"/>
  <c r="AA3" i="17"/>
  <c r="AA19" i="17"/>
  <c r="AA36" i="17"/>
  <c r="AA4" i="17"/>
  <c r="AA20" i="17"/>
  <c r="AA37" i="17"/>
  <c r="AA5" i="17"/>
  <c r="AA21" i="17"/>
  <c r="AA38" i="17"/>
  <c r="AA6" i="17"/>
  <c r="AA22" i="17"/>
  <c r="AA39" i="17"/>
  <c r="AA7" i="17"/>
  <c r="AA23" i="17"/>
  <c r="AA40" i="17"/>
  <c r="AA8" i="17"/>
  <c r="AA24" i="17"/>
  <c r="K29" i="19"/>
  <c r="J28" i="19"/>
  <c r="K28" i="19"/>
  <c r="S6" i="17"/>
  <c r="T6" i="17"/>
  <c r="U6" i="17"/>
  <c r="S7" i="17"/>
  <c r="T7" i="17"/>
  <c r="U7" i="17"/>
  <c r="S8" i="17"/>
  <c r="T8" i="17"/>
  <c r="U8" i="17"/>
  <c r="S9" i="17"/>
  <c r="T9" i="17"/>
  <c r="U9" i="17"/>
  <c r="S10" i="17"/>
  <c r="T10" i="17"/>
  <c r="U10" i="17"/>
  <c r="S11" i="17"/>
  <c r="T11" i="17"/>
  <c r="U11" i="17"/>
  <c r="S12" i="17"/>
  <c r="T12" i="17"/>
  <c r="U12" i="17"/>
  <c r="S13" i="17"/>
  <c r="T13" i="17"/>
  <c r="U13" i="17"/>
  <c r="S14" i="17"/>
  <c r="T14" i="17"/>
  <c r="U14" i="17"/>
  <c r="S15" i="17"/>
  <c r="T15" i="17"/>
  <c r="U15" i="17"/>
  <c r="S16" i="17"/>
  <c r="T16" i="17"/>
  <c r="U16" i="17"/>
  <c r="S17" i="17"/>
  <c r="T17" i="17"/>
  <c r="U17" i="17"/>
  <c r="S18" i="17"/>
  <c r="T18" i="17"/>
  <c r="U18" i="17"/>
  <c r="S19" i="17"/>
  <c r="T19" i="17"/>
  <c r="U19" i="17"/>
  <c r="S20" i="17"/>
  <c r="T20" i="17"/>
  <c r="U20" i="17"/>
  <c r="S21" i="17"/>
  <c r="T21" i="17"/>
  <c r="U21" i="17"/>
  <c r="S22" i="17"/>
  <c r="T22" i="17"/>
  <c r="U22" i="17"/>
  <c r="S23" i="17"/>
  <c r="T23" i="17"/>
  <c r="U23" i="17"/>
  <c r="S24" i="17"/>
  <c r="T24" i="17"/>
  <c r="U24" i="17"/>
  <c r="S25" i="17"/>
  <c r="T25" i="17"/>
  <c r="U25" i="17"/>
  <c r="S26" i="17"/>
  <c r="T26" i="17"/>
  <c r="U26" i="17"/>
  <c r="S27" i="17"/>
  <c r="T27" i="17"/>
  <c r="U27" i="17"/>
  <c r="S28" i="17"/>
  <c r="T28" i="17"/>
  <c r="U28" i="17"/>
  <c r="S29" i="17"/>
  <c r="T29" i="17"/>
  <c r="U29" i="17"/>
  <c r="S30" i="17"/>
  <c r="T30" i="17"/>
  <c r="U30" i="17"/>
  <c r="S31" i="17"/>
  <c r="T31" i="17"/>
  <c r="U31" i="17"/>
  <c r="S32" i="17"/>
  <c r="T32" i="17"/>
  <c r="U32" i="17"/>
  <c r="S33" i="17"/>
  <c r="T33" i="17"/>
  <c r="U33" i="17"/>
  <c r="S34" i="17"/>
  <c r="T34" i="17"/>
  <c r="U34" i="17"/>
  <c r="S35" i="17"/>
  <c r="T35" i="17"/>
  <c r="U35" i="17"/>
  <c r="S36" i="17"/>
  <c r="T36" i="17"/>
  <c r="U36" i="17"/>
  <c r="S37" i="17"/>
  <c r="T37" i="17"/>
  <c r="U37" i="17"/>
  <c r="S38" i="17"/>
  <c r="T38" i="17"/>
  <c r="U38" i="17"/>
  <c r="S39" i="17"/>
  <c r="T39" i="17"/>
  <c r="U39" i="17"/>
  <c r="S40" i="17"/>
  <c r="T40" i="17"/>
  <c r="U40" i="17"/>
  <c r="S41" i="17"/>
  <c r="T41" i="17"/>
  <c r="U41" i="17"/>
  <c r="S42" i="17"/>
  <c r="T42" i="17"/>
  <c r="U42" i="17"/>
  <c r="S43" i="17"/>
  <c r="T43" i="17"/>
  <c r="U43" i="17"/>
  <c r="S44" i="17"/>
  <c r="T44" i="17"/>
  <c r="U44" i="17"/>
  <c r="U5" i="17"/>
  <c r="T5" i="17"/>
  <c r="S5" i="17"/>
  <c r="R6" i="17"/>
  <c r="R7" i="17"/>
  <c r="R8" i="17"/>
  <c r="R9" i="17"/>
  <c r="R10" i="17"/>
  <c r="R11" i="17"/>
  <c r="R12" i="17"/>
  <c r="R13" i="17"/>
  <c r="R14" i="17"/>
  <c r="R15" i="17"/>
  <c r="R16" i="17"/>
  <c r="R17" i="17"/>
  <c r="R18" i="17"/>
  <c r="R19" i="17"/>
  <c r="R20" i="17"/>
  <c r="R21" i="17"/>
  <c r="R22" i="17"/>
  <c r="R23" i="17"/>
  <c r="R24" i="17"/>
  <c r="R25" i="17"/>
  <c r="R26" i="17"/>
  <c r="R27" i="17"/>
  <c r="R28" i="17"/>
  <c r="R29" i="17"/>
  <c r="R30" i="17"/>
  <c r="R31" i="17"/>
  <c r="R32" i="17"/>
  <c r="R33" i="17"/>
  <c r="R34" i="17"/>
  <c r="R35" i="17"/>
  <c r="R36" i="17"/>
  <c r="R37" i="17"/>
  <c r="R38" i="17"/>
  <c r="R39" i="17"/>
  <c r="R40" i="17"/>
  <c r="R41" i="17"/>
  <c r="R42" i="17"/>
  <c r="R43" i="17"/>
  <c r="R5" i="17"/>
  <c r="B34" i="17"/>
  <c r="B18" i="17"/>
  <c r="B10" i="17"/>
  <c r="B35" i="17"/>
  <c r="B24" i="17"/>
  <c r="B8" i="17"/>
  <c r="B32" i="17"/>
  <c r="B36" i="17"/>
  <c r="B26" i="17"/>
  <c r="B37" i="17"/>
  <c r="B7" i="17"/>
  <c r="B2" i="17"/>
  <c r="B30" i="17"/>
  <c r="B29" i="17"/>
  <c r="B28" i="17"/>
  <c r="B27" i="17"/>
  <c r="B25" i="17"/>
  <c r="B23" i="17"/>
  <c r="B22" i="17"/>
  <c r="B21" i="17"/>
  <c r="B20" i="17"/>
  <c r="B19" i="17"/>
  <c r="B17" i="17"/>
  <c r="B16" i="17"/>
  <c r="B15" i="17"/>
  <c r="B14" i="17"/>
  <c r="B13" i="17"/>
  <c r="B12" i="17"/>
  <c r="B11" i="17"/>
  <c r="B9" i="17"/>
  <c r="B6" i="17"/>
  <c r="B31" i="17"/>
  <c r="B5" i="17"/>
  <c r="B4" i="17"/>
  <c r="B33" i="17"/>
  <c r="B3" i="17"/>
  <c r="C28" i="25"/>
  <c r="C29" i="25"/>
  <c r="C30" i="25"/>
  <c r="C31" i="25"/>
  <c r="C32" i="25"/>
  <c r="B28" i="25"/>
  <c r="B29" i="25"/>
  <c r="B30" i="25"/>
  <c r="B31" i="25"/>
  <c r="B32" i="25"/>
  <c r="A28" i="25"/>
  <c r="A29" i="25"/>
  <c r="A30" i="25"/>
  <c r="A31" i="25"/>
  <c r="A32" i="25"/>
  <c r="D29" i="25"/>
  <c r="D30" i="25"/>
  <c r="D31" i="25"/>
  <c r="D32" i="25"/>
  <c r="C27" i="25"/>
  <c r="B27" i="25"/>
  <c r="A27" i="25"/>
  <c r="D27" i="25"/>
  <c r="D28" i="25"/>
  <c r="K33" i="24"/>
  <c r="J33" i="24"/>
  <c r="I33" i="24"/>
  <c r="F7" i="24"/>
  <c r="D2" i="25"/>
  <c r="D3" i="25"/>
  <c r="D4" i="25"/>
  <c r="D5" i="25"/>
  <c r="D6" i="25"/>
  <c r="D7" i="25"/>
  <c r="D8" i="25"/>
  <c r="D9" i="25"/>
  <c r="D10" i="25"/>
  <c r="D11" i="25"/>
  <c r="D12" i="25"/>
  <c r="D13" i="25"/>
  <c r="D14" i="25"/>
  <c r="D15" i="25"/>
  <c r="D16" i="25"/>
  <c r="D17" i="25"/>
  <c r="D18" i="25"/>
  <c r="D19" i="25"/>
  <c r="D20" i="25"/>
  <c r="D21" i="25"/>
  <c r="D22" i="25"/>
  <c r="D23" i="25"/>
  <c r="D24" i="25"/>
  <c r="D25" i="25"/>
  <c r="D26" i="25"/>
  <c r="F3" i="24"/>
  <c r="F11" i="24"/>
  <c r="F4" i="24"/>
  <c r="F10" i="24"/>
  <c r="F6" i="24"/>
  <c r="F24" i="24"/>
  <c r="F2" i="24"/>
  <c r="F12" i="24"/>
  <c r="F30" i="24"/>
  <c r="F16" i="24"/>
  <c r="F18" i="24"/>
  <c r="F15" i="24"/>
  <c r="F17" i="24"/>
  <c r="F22" i="24"/>
  <c r="F9" i="24"/>
  <c r="F21" i="24"/>
  <c r="F13" i="24"/>
  <c r="F20" i="24"/>
  <c r="F14" i="24"/>
  <c r="F19" i="24"/>
  <c r="F25" i="24"/>
  <c r="F29" i="24"/>
  <c r="F27" i="24"/>
  <c r="F26" i="24"/>
  <c r="F28" i="24"/>
  <c r="F8" i="24"/>
  <c r="F5" i="24"/>
  <c r="F23" i="24"/>
  <c r="D1437" i="2"/>
  <c r="D1434" i="2"/>
  <c r="D1435" i="2"/>
  <c r="D1436" i="2"/>
  <c r="D1438" i="2"/>
  <c r="D1439" i="2"/>
  <c r="D1440" i="2"/>
  <c r="D1441" i="2"/>
  <c r="D1443" i="2"/>
  <c r="D1442" i="2"/>
  <c r="D1444" i="2"/>
  <c r="D1445" i="2"/>
  <c r="D1446" i="2"/>
  <c r="D1448" i="2"/>
  <c r="D1449" i="2"/>
  <c r="D1460" i="2"/>
  <c r="D1459" i="2"/>
  <c r="D1450" i="2"/>
  <c r="D1452" i="2"/>
  <c r="D1468" i="2"/>
  <c r="D1469" i="2"/>
  <c r="D1453" i="2"/>
  <c r="D1455" i="2"/>
  <c r="D1458" i="2"/>
  <c r="D1456" i="2"/>
  <c r="D1457" i="2"/>
  <c r="D1461" i="2"/>
  <c r="D1462" i="2"/>
  <c r="D1463" i="2"/>
  <c r="D1451" i="2"/>
  <c r="D1464" i="2"/>
  <c r="D1454" i="2"/>
  <c r="D1465" i="2"/>
  <c r="D1467" i="2"/>
  <c r="D1447" i="2"/>
  <c r="D1470" i="2"/>
  <c r="D1471" i="2"/>
  <c r="D1472" i="2"/>
  <c r="D1466" i="2"/>
  <c r="X6" i="5"/>
  <c r="D1407" i="2"/>
  <c r="R2" i="5"/>
  <c r="R3" i="5"/>
  <c r="R4" i="5"/>
  <c r="R5" i="5"/>
  <c r="R6" i="5"/>
  <c r="R7" i="5"/>
  <c r="R8" i="5"/>
  <c r="R9" i="5"/>
  <c r="R10" i="5"/>
  <c r="R11" i="5"/>
  <c r="R12" i="5"/>
  <c r="R13" i="5"/>
  <c r="R14" i="5"/>
  <c r="R15" i="5"/>
  <c r="R16" i="5"/>
  <c r="R17" i="5"/>
  <c r="R18" i="5"/>
  <c r="R19" i="5"/>
  <c r="R20" i="5"/>
  <c r="R21" i="5"/>
  <c r="R22" i="5"/>
  <c r="R23" i="5"/>
  <c r="R24" i="5"/>
  <c r="AC10" i="5"/>
  <c r="W9" i="5"/>
  <c r="AC9" i="5"/>
  <c r="W8" i="5"/>
  <c r="AC8" i="5" s="1"/>
  <c r="W7" i="5"/>
  <c r="AC7" i="5"/>
  <c r="W6" i="5"/>
  <c r="AC6" i="5" s="1"/>
  <c r="X5" i="5"/>
  <c r="W5" i="5"/>
  <c r="AC5" i="5" s="1"/>
  <c r="Y4" i="5"/>
  <c r="X4" i="5"/>
  <c r="W4" i="5"/>
  <c r="AC4" i="5" s="1"/>
  <c r="AA3" i="5"/>
  <c r="Z3" i="5"/>
  <c r="Y3" i="5"/>
  <c r="X3" i="5"/>
  <c r="W3" i="5"/>
  <c r="AC3" i="5" s="1"/>
  <c r="U10" i="5"/>
  <c r="U9" i="5"/>
  <c r="U8" i="5"/>
  <c r="U7" i="5"/>
  <c r="U6" i="5"/>
  <c r="U5" i="5"/>
  <c r="U4" i="5"/>
  <c r="U3" i="5"/>
  <c r="V10" i="5"/>
  <c r="V9" i="5"/>
  <c r="V8" i="5"/>
  <c r="V7" i="5"/>
  <c r="V6" i="5"/>
  <c r="V5" i="5"/>
  <c r="V4" i="5"/>
  <c r="V3" i="5"/>
  <c r="N12" i="5"/>
  <c r="Q12" i="5" s="1"/>
  <c r="N13" i="5"/>
  <c r="Q13" i="5" s="1"/>
  <c r="N14" i="5"/>
  <c r="Q14" i="5"/>
  <c r="N15" i="5"/>
  <c r="Q15" i="5" s="1"/>
  <c r="N16" i="5"/>
  <c r="Q16" i="5"/>
  <c r="N17" i="5"/>
  <c r="Q17" i="5" s="1"/>
  <c r="N18" i="5"/>
  <c r="Q18" i="5"/>
  <c r="N19" i="5"/>
  <c r="Q19" i="5"/>
  <c r="N20" i="5"/>
  <c r="Q20" i="5"/>
  <c r="N21" i="5"/>
  <c r="Q21" i="5"/>
  <c r="N22" i="5"/>
  <c r="Q22" i="5"/>
  <c r="N23" i="5"/>
  <c r="Q23" i="5" s="1"/>
  <c r="N24" i="5"/>
  <c r="Q24" i="5"/>
  <c r="N25" i="5"/>
  <c r="N26" i="5"/>
  <c r="N2" i="5"/>
  <c r="Q2" i="5" s="1"/>
  <c r="N3" i="5"/>
  <c r="Q3" i="5" s="1"/>
  <c r="N4" i="5"/>
  <c r="Q4" i="5"/>
  <c r="N5" i="5"/>
  <c r="Q5" i="5" s="1"/>
  <c r="N6" i="5"/>
  <c r="Q6" i="5"/>
  <c r="N7" i="5"/>
  <c r="Q7" i="5" s="1"/>
  <c r="N8" i="5"/>
  <c r="Q8" i="5"/>
  <c r="N9" i="5"/>
  <c r="Q9" i="5"/>
  <c r="N10" i="5"/>
  <c r="Q10" i="5"/>
  <c r="N11" i="5"/>
  <c r="Q11" i="5"/>
  <c r="D1417" i="2"/>
  <c r="D1406" i="2"/>
  <c r="D1427" i="2"/>
  <c r="D1433" i="2"/>
  <c r="D1432" i="2"/>
  <c r="D1431" i="2"/>
  <c r="D1408" i="2"/>
  <c r="D1428" i="2"/>
  <c r="D1426" i="2"/>
  <c r="D1415" i="2"/>
  <c r="D1425" i="2"/>
  <c r="D1412" i="2"/>
  <c r="D1424" i="2"/>
  <c r="D1422" i="2"/>
  <c r="D1418" i="2"/>
  <c r="D1419" i="2"/>
  <c r="D1416" i="2"/>
  <c r="D1430" i="2"/>
  <c r="D1414" i="2"/>
  <c r="D1429" i="2"/>
  <c r="D1413" i="2"/>
  <c r="D1411" i="2"/>
  <c r="D1423" i="2"/>
  <c r="D1420" i="2"/>
  <c r="D1421" i="2"/>
  <c r="D1410" i="2"/>
  <c r="D1409" i="2"/>
  <c r="D1405" i="2"/>
  <c r="D1403" i="2"/>
  <c r="D1404" i="2"/>
  <c r="D1402" i="2"/>
  <c r="D1401" i="2"/>
  <c r="D1400" i="2"/>
  <c r="D1399" i="2"/>
  <c r="D1397" i="2"/>
  <c r="D1396" i="2"/>
  <c r="D1395" i="2"/>
  <c r="D1398" i="2"/>
  <c r="D10" i="23"/>
  <c r="D9" i="23"/>
  <c r="D8" i="23"/>
  <c r="D7" i="23"/>
  <c r="D6" i="23"/>
  <c r="F10" i="23"/>
  <c r="F9" i="23"/>
  <c r="F8" i="23"/>
  <c r="F7" i="23"/>
  <c r="F6" i="23"/>
  <c r="F5" i="23"/>
  <c r="F4" i="23"/>
  <c r="F3" i="23"/>
  <c r="A3" i="23"/>
  <c r="A4" i="23"/>
  <c r="J2" i="23"/>
  <c r="F2" i="23"/>
  <c r="A5" i="23"/>
  <c r="J4" i="23"/>
  <c r="J3" i="23"/>
  <c r="D1384" i="2"/>
  <c r="D1376" i="2"/>
  <c r="D1388" i="2"/>
  <c r="D1394" i="2"/>
  <c r="D1393" i="2"/>
  <c r="D1392" i="2"/>
  <c r="D1370" i="2"/>
  <c r="D1389" i="2"/>
  <c r="D1387" i="2"/>
  <c r="D1377" i="2"/>
  <c r="D1386" i="2"/>
  <c r="D1374" i="2"/>
  <c r="D1385" i="2"/>
  <c r="D1383" i="2"/>
  <c r="D1379" i="2"/>
  <c r="D1380" i="2"/>
  <c r="D1378" i="2"/>
  <c r="D1391" i="2"/>
  <c r="D1390" i="2"/>
  <c r="D1375" i="2"/>
  <c r="D1373" i="2"/>
  <c r="D1381" i="2"/>
  <c r="D1382" i="2"/>
  <c r="D1372" i="2"/>
  <c r="D1371" i="2"/>
  <c r="D1369" i="2"/>
  <c r="D1367" i="2"/>
  <c r="D1368" i="2"/>
  <c r="D1366" i="2"/>
  <c r="D1365" i="2"/>
  <c r="D1364" i="2"/>
  <c r="D1363" i="2"/>
  <c r="D1361" i="2"/>
  <c r="D1360" i="2"/>
  <c r="D1359" i="2"/>
  <c r="D1362" i="2"/>
  <c r="L60" i="17"/>
  <c r="L59" i="17"/>
  <c r="D1352" i="2"/>
  <c r="D1358" i="2"/>
  <c r="D1357" i="2"/>
  <c r="D1356" i="2"/>
  <c r="D1336" i="2"/>
  <c r="D1353" i="2"/>
  <c r="D1351" i="2"/>
  <c r="D1342" i="2"/>
  <c r="D1350" i="2"/>
  <c r="D1340" i="2"/>
  <c r="D1349" i="2"/>
  <c r="D1348" i="2"/>
  <c r="D1344" i="2"/>
  <c r="D1345" i="2"/>
  <c r="D1343" i="2"/>
  <c r="D1355" i="2"/>
  <c r="D1354" i="2"/>
  <c r="D1341" i="2"/>
  <c r="D1339" i="2"/>
  <c r="D1346" i="2"/>
  <c r="D1347" i="2"/>
  <c r="D1338" i="2"/>
  <c r="D1337" i="2"/>
  <c r="D1335" i="2"/>
  <c r="D1333" i="2"/>
  <c r="D1334" i="2"/>
  <c r="D1332" i="2"/>
  <c r="D1331" i="2"/>
  <c r="D1330" i="2"/>
  <c r="D1329" i="2"/>
  <c r="D1327" i="2"/>
  <c r="D1326" i="2"/>
  <c r="D1325" i="2"/>
  <c r="D1328" i="2"/>
  <c r="C54" i="17"/>
  <c r="D54" i="17"/>
  <c r="E54" i="17"/>
  <c r="F54" i="17"/>
  <c r="C53" i="17"/>
  <c r="D53" i="17"/>
  <c r="E53" i="17"/>
  <c r="F53" i="17"/>
  <c r="D1318" i="2"/>
  <c r="D1324" i="2"/>
  <c r="D1323" i="2"/>
  <c r="D1322" i="2"/>
  <c r="D1302" i="2"/>
  <c r="D1313" i="2"/>
  <c r="D1321" i="2"/>
  <c r="D1320" i="2"/>
  <c r="D1319" i="2"/>
  <c r="D1317" i="2"/>
  <c r="D1316" i="2"/>
  <c r="D1315" i="2"/>
  <c r="D1314" i="2"/>
  <c r="D1312" i="2"/>
  <c r="D1311" i="2"/>
  <c r="D1310" i="2"/>
  <c r="D1309" i="2"/>
  <c r="D1308" i="2"/>
  <c r="D1307" i="2"/>
  <c r="D1306" i="2"/>
  <c r="D1305" i="2"/>
  <c r="D1304" i="2"/>
  <c r="D1303" i="2"/>
  <c r="D1301" i="2"/>
  <c r="D1299" i="2"/>
  <c r="D1300" i="2"/>
  <c r="D1298" i="2"/>
  <c r="D1297" i="2"/>
  <c r="D1296" i="2"/>
  <c r="D1295" i="2"/>
  <c r="D1293" i="2"/>
  <c r="D1292" i="2"/>
  <c r="D1291" i="2"/>
  <c r="D1294" i="2"/>
  <c r="A21" i="19"/>
  <c r="H21" i="19"/>
  <c r="I21" i="19"/>
  <c r="A22" i="19"/>
  <c r="H22" i="19"/>
  <c r="I22" i="19"/>
  <c r="A23" i="19"/>
  <c r="H23" i="19"/>
  <c r="I23" i="19"/>
  <c r="F47" i="17"/>
  <c r="E47" i="17"/>
  <c r="D47" i="17"/>
  <c r="D60" i="17"/>
  <c r="C47" i="17"/>
  <c r="C59" i="17"/>
  <c r="D22" i="20"/>
  <c r="D4" i="20"/>
  <c r="D25" i="20"/>
  <c r="D9" i="20"/>
  <c r="D27" i="20"/>
  <c r="D6" i="20"/>
  <c r="D12" i="20"/>
  <c r="D5" i="20"/>
  <c r="D31" i="20"/>
  <c r="D10" i="20"/>
  <c r="D15" i="20"/>
  <c r="D11" i="20"/>
  <c r="D21" i="20"/>
  <c r="D16" i="20"/>
  <c r="D14" i="20"/>
  <c r="D7" i="20"/>
  <c r="D3" i="20"/>
  <c r="D2" i="20"/>
  <c r="D8" i="20"/>
  <c r="D17" i="20"/>
  <c r="D23" i="20"/>
  <c r="D26" i="20"/>
  <c r="D20" i="20"/>
  <c r="D18" i="20"/>
  <c r="D30" i="20"/>
  <c r="D24" i="20"/>
  <c r="D13" i="20"/>
  <c r="D28" i="20"/>
  <c r="D19" i="20"/>
  <c r="D29" i="20"/>
  <c r="D1284" i="2"/>
  <c r="D1290" i="2"/>
  <c r="D1289" i="2"/>
  <c r="D1288" i="2"/>
  <c r="D1270" i="2"/>
  <c r="D1285" i="2"/>
  <c r="D1283" i="2"/>
  <c r="D1276" i="2"/>
  <c r="D1274" i="2"/>
  <c r="D1282" i="2"/>
  <c r="D1281" i="2"/>
  <c r="D1277" i="2"/>
  <c r="D1278" i="2"/>
  <c r="D1287" i="2"/>
  <c r="D1286" i="2"/>
  <c r="D1275" i="2"/>
  <c r="D1273" i="2"/>
  <c r="D1279" i="2"/>
  <c r="D1280" i="2"/>
  <c r="D1272" i="2"/>
  <c r="D1271" i="2"/>
  <c r="D1269" i="2"/>
  <c r="D1268" i="2"/>
  <c r="D1267" i="2"/>
  <c r="D1266" i="2"/>
  <c r="D1265" i="2"/>
  <c r="D1263" i="2"/>
  <c r="D1262" i="2"/>
  <c r="D1261" i="2"/>
  <c r="D1264" i="2"/>
  <c r="D1260" i="2"/>
  <c r="D1254" i="2"/>
  <c r="D1259" i="2"/>
  <c r="D1258" i="2"/>
  <c r="D1240" i="2"/>
  <c r="D1255" i="2"/>
  <c r="D1253" i="2"/>
  <c r="D1246" i="2"/>
  <c r="D1244" i="2"/>
  <c r="D1252" i="2"/>
  <c r="D1251" i="2"/>
  <c r="D1247" i="2"/>
  <c r="D1248" i="2"/>
  <c r="D1257" i="2"/>
  <c r="D1256" i="2"/>
  <c r="D1245" i="2"/>
  <c r="D1243" i="2"/>
  <c r="D1249" i="2"/>
  <c r="D1250" i="2"/>
  <c r="D1242" i="2"/>
  <c r="D1241" i="2"/>
  <c r="D1239" i="2"/>
  <c r="D1238" i="2"/>
  <c r="D1237" i="2"/>
  <c r="D1236" i="2"/>
  <c r="D1235" i="2"/>
  <c r="D1233" i="2"/>
  <c r="D1232" i="2"/>
  <c r="D1231" i="2"/>
  <c r="D1234" i="2"/>
  <c r="D1225" i="2"/>
  <c r="D1230" i="2"/>
  <c r="D1229" i="2"/>
  <c r="D1211" i="2"/>
  <c r="D1226" i="2"/>
  <c r="D1224" i="2"/>
  <c r="D1217" i="2"/>
  <c r="D1215" i="2"/>
  <c r="D1223" i="2"/>
  <c r="D1222" i="2"/>
  <c r="D1218" i="2"/>
  <c r="D1219" i="2"/>
  <c r="D1228" i="2"/>
  <c r="D1227" i="2"/>
  <c r="D1216" i="2"/>
  <c r="D1214" i="2"/>
  <c r="D1220" i="2"/>
  <c r="D1221" i="2"/>
  <c r="D1213" i="2"/>
  <c r="D1212" i="2"/>
  <c r="D1210" i="2"/>
  <c r="D1209" i="2"/>
  <c r="D1208" i="2"/>
  <c r="D1207" i="2"/>
  <c r="D1206" i="2"/>
  <c r="D1204" i="2"/>
  <c r="D1203" i="2"/>
  <c r="D1202" i="2"/>
  <c r="D1205" i="2"/>
  <c r="D1196" i="2"/>
  <c r="D1201" i="2"/>
  <c r="D1200" i="2"/>
  <c r="D1182" i="2"/>
  <c r="D1197" i="2"/>
  <c r="D1195" i="2"/>
  <c r="D1188" i="2"/>
  <c r="D1186" i="2"/>
  <c r="D1194" i="2"/>
  <c r="D1193" i="2"/>
  <c r="D1189" i="2"/>
  <c r="D1190" i="2"/>
  <c r="D1199" i="2"/>
  <c r="D1198" i="2"/>
  <c r="D1187" i="2"/>
  <c r="D1185" i="2"/>
  <c r="D1191" i="2"/>
  <c r="D1192" i="2"/>
  <c r="D1184" i="2"/>
  <c r="D1183" i="2"/>
  <c r="D1181" i="2"/>
  <c r="D1180" i="2"/>
  <c r="D1179" i="2"/>
  <c r="D1178" i="2"/>
  <c r="D1177" i="2"/>
  <c r="D1175" i="2"/>
  <c r="D1174" i="2"/>
  <c r="D1173" i="2"/>
  <c r="D1176" i="2"/>
  <c r="D1167" i="2"/>
  <c r="D1172" i="2"/>
  <c r="D1171" i="2"/>
  <c r="D1153" i="2"/>
  <c r="D1168" i="2"/>
  <c r="D1166" i="2"/>
  <c r="D1159" i="2"/>
  <c r="D1157" i="2"/>
  <c r="D1165" i="2"/>
  <c r="D1164" i="2"/>
  <c r="D1160" i="2"/>
  <c r="D1161" i="2"/>
  <c r="D1170" i="2"/>
  <c r="D1169" i="2"/>
  <c r="D1158" i="2"/>
  <c r="D1156" i="2"/>
  <c r="D1162" i="2"/>
  <c r="D1163" i="2"/>
  <c r="D1155" i="2"/>
  <c r="D1154" i="2"/>
  <c r="D1152" i="2"/>
  <c r="D1151" i="2"/>
  <c r="D1150" i="2"/>
  <c r="D1149" i="2"/>
  <c r="D1148" i="2"/>
  <c r="D1146" i="2"/>
  <c r="D1145" i="2"/>
  <c r="D1144" i="2"/>
  <c r="D1147" i="2"/>
  <c r="D1122" i="2"/>
  <c r="D1115" i="2"/>
  <c r="F55" i="17"/>
  <c r="F52" i="17"/>
  <c r="F51" i="17"/>
  <c r="F50" i="17"/>
  <c r="F49" i="17"/>
  <c r="F48" i="17"/>
  <c r="D1138" i="2"/>
  <c r="D1143" i="2"/>
  <c r="D1142" i="2"/>
  <c r="D1124" i="2"/>
  <c r="D1139" i="2"/>
  <c r="D1137" i="2"/>
  <c r="D1130" i="2"/>
  <c r="D1128" i="2"/>
  <c r="D1136" i="2"/>
  <c r="D1135" i="2"/>
  <c r="D1131" i="2"/>
  <c r="D1132" i="2"/>
  <c r="D1141" i="2"/>
  <c r="D1140" i="2"/>
  <c r="D1129" i="2"/>
  <c r="D1127" i="2"/>
  <c r="D1133" i="2"/>
  <c r="D1134" i="2"/>
  <c r="D1126" i="2"/>
  <c r="D1125" i="2"/>
  <c r="D1123" i="2"/>
  <c r="D1121" i="2"/>
  <c r="D1120" i="2"/>
  <c r="D1119" i="2"/>
  <c r="D1117" i="2"/>
  <c r="D1116" i="2"/>
  <c r="D1118" i="2"/>
  <c r="E55" i="17"/>
  <c r="E52" i="17"/>
  <c r="E51" i="17"/>
  <c r="E50" i="17"/>
  <c r="E49" i="17"/>
  <c r="E48" i="17"/>
  <c r="H2" i="19"/>
  <c r="I2" i="19"/>
  <c r="A3" i="19"/>
  <c r="H3" i="19"/>
  <c r="I3" i="19"/>
  <c r="A4" i="19"/>
  <c r="D1109" i="2"/>
  <c r="D1114" i="2"/>
  <c r="D1113" i="2"/>
  <c r="D1095" i="2"/>
  <c r="D1110" i="2"/>
  <c r="D1108" i="2"/>
  <c r="D1101" i="2"/>
  <c r="D1099" i="2"/>
  <c r="D1107" i="2"/>
  <c r="D1106" i="2"/>
  <c r="D1102" i="2"/>
  <c r="D1103" i="2"/>
  <c r="D1112" i="2"/>
  <c r="D1111" i="2"/>
  <c r="D1100" i="2"/>
  <c r="D1098" i="2"/>
  <c r="D1104" i="2"/>
  <c r="D1105" i="2"/>
  <c r="D1097" i="2"/>
  <c r="D1096" i="2"/>
  <c r="D1094" i="2"/>
  <c r="D1093" i="2"/>
  <c r="D1092" i="2"/>
  <c r="D1091" i="2"/>
  <c r="D1089" i="2"/>
  <c r="D1088" i="2"/>
  <c r="D1090" i="2"/>
  <c r="D48" i="17"/>
  <c r="D49" i="17"/>
  <c r="D50" i="17"/>
  <c r="D51" i="17"/>
  <c r="D52" i="17"/>
  <c r="D55" i="17"/>
  <c r="D1082" i="2"/>
  <c r="D1087" i="2"/>
  <c r="D1086" i="2"/>
  <c r="D1068" i="2"/>
  <c r="D1083" i="2"/>
  <c r="D1081" i="2"/>
  <c r="D1074" i="2"/>
  <c r="D1072" i="2"/>
  <c r="D1080" i="2"/>
  <c r="D1079" i="2"/>
  <c r="D1075" i="2"/>
  <c r="D1076" i="2"/>
  <c r="D1085" i="2"/>
  <c r="D1084" i="2"/>
  <c r="D1073" i="2"/>
  <c r="D1071" i="2"/>
  <c r="D1077" i="2"/>
  <c r="D1078" i="2"/>
  <c r="D1070" i="2"/>
  <c r="D1069" i="2"/>
  <c r="D1067" i="2"/>
  <c r="D1066" i="2"/>
  <c r="D1065" i="2"/>
  <c r="D1064" i="2"/>
  <c r="D1062" i="2"/>
  <c r="D1061" i="2"/>
  <c r="D1063" i="2"/>
  <c r="D1055" i="2"/>
  <c r="D1060" i="2"/>
  <c r="D1059" i="2"/>
  <c r="D1041" i="2"/>
  <c r="D1056" i="2"/>
  <c r="D1054" i="2"/>
  <c r="D1047" i="2"/>
  <c r="D1045" i="2"/>
  <c r="D1053" i="2"/>
  <c r="D1052" i="2"/>
  <c r="D1048" i="2"/>
  <c r="D1049" i="2"/>
  <c r="D1058" i="2"/>
  <c r="D1057" i="2"/>
  <c r="D1046" i="2"/>
  <c r="D1044" i="2"/>
  <c r="D1050" i="2"/>
  <c r="D1051" i="2"/>
  <c r="D1043" i="2"/>
  <c r="D1042" i="2"/>
  <c r="D1040" i="2"/>
  <c r="D1039" i="2"/>
  <c r="D1038" i="2"/>
  <c r="D1037" i="2"/>
  <c r="D1035" i="2"/>
  <c r="D1034" i="2"/>
  <c r="D1036" i="2"/>
  <c r="C55" i="17"/>
  <c r="C52" i="17"/>
  <c r="C51" i="17"/>
  <c r="C50" i="17"/>
  <c r="C49" i="17"/>
  <c r="C48" i="17"/>
  <c r="D1014" i="2"/>
  <c r="F46" i="17"/>
  <c r="E46" i="17"/>
  <c r="C46" i="17"/>
  <c r="D46" i="17"/>
  <c r="I26" i="5"/>
  <c r="I25" i="5"/>
  <c r="I24" i="5"/>
  <c r="I23" i="5"/>
  <c r="I22" i="5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I8" i="5"/>
  <c r="I7" i="5"/>
  <c r="I6" i="5"/>
  <c r="I5" i="5"/>
  <c r="I4" i="5"/>
  <c r="I3" i="5"/>
  <c r="H26" i="5"/>
  <c r="H25" i="5"/>
  <c r="H24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H10" i="5"/>
  <c r="H9" i="5"/>
  <c r="H8" i="5"/>
  <c r="H7" i="5"/>
  <c r="H6" i="5"/>
  <c r="H5" i="5"/>
  <c r="H4" i="5"/>
  <c r="H3" i="5"/>
  <c r="A4" i="12"/>
  <c r="A5" i="12"/>
  <c r="A6" i="12"/>
  <c r="A7" i="12"/>
  <c r="A8" i="12"/>
  <c r="A9" i="12"/>
  <c r="A10" i="12"/>
  <c r="A11" i="12"/>
  <c r="A12" i="12"/>
  <c r="A13" i="12"/>
  <c r="A14" i="12"/>
  <c r="A15" i="12"/>
  <c r="A16" i="12"/>
  <c r="A17" i="12"/>
  <c r="A18" i="12"/>
  <c r="A19" i="12"/>
  <c r="A3" i="12"/>
  <c r="M2" i="4"/>
  <c r="M3" i="4"/>
  <c r="M5" i="4"/>
  <c r="M6" i="4"/>
  <c r="M7" i="4"/>
  <c r="M4" i="4"/>
  <c r="M8" i="4"/>
  <c r="M10" i="4"/>
  <c r="M9" i="4"/>
  <c r="M11" i="4"/>
  <c r="M12" i="4"/>
  <c r="D1028" i="2"/>
  <c r="D1033" i="2"/>
  <c r="D1032" i="2"/>
  <c r="D1029" i="2"/>
  <c r="D1027" i="2"/>
  <c r="D1020" i="2"/>
  <c r="D1018" i="2"/>
  <c r="D1026" i="2"/>
  <c r="D1025" i="2"/>
  <c r="D1021" i="2"/>
  <c r="D1022" i="2"/>
  <c r="D1031" i="2"/>
  <c r="D1030" i="2"/>
  <c r="D1019" i="2"/>
  <c r="D1017" i="2"/>
  <c r="D1023" i="2"/>
  <c r="D1024" i="2"/>
  <c r="D1016" i="2"/>
  <c r="D1015" i="2"/>
  <c r="D1013" i="2"/>
  <c r="D1012" i="2"/>
  <c r="D1011" i="2"/>
  <c r="D1010" i="2"/>
  <c r="D1008" i="2"/>
  <c r="D1007" i="2"/>
  <c r="D1009" i="2"/>
  <c r="X982" i="2"/>
  <c r="X983" i="2"/>
  <c r="X984" i="2"/>
  <c r="X985" i="2"/>
  <c r="X986" i="2"/>
  <c r="X987" i="2"/>
  <c r="X988" i="2"/>
  <c r="X989" i="2"/>
  <c r="X990" i="2"/>
  <c r="X991" i="2"/>
  <c r="X992" i="2"/>
  <c r="X993" i="2"/>
  <c r="X994" i="2"/>
  <c r="X995" i="2"/>
  <c r="X996" i="2"/>
  <c r="X997" i="2"/>
  <c r="X998" i="2"/>
  <c r="X999" i="2"/>
  <c r="X1000" i="2"/>
  <c r="X1001" i="2"/>
  <c r="X1002" i="2"/>
  <c r="X1003" i="2"/>
  <c r="X1004" i="2"/>
  <c r="X1005" i="2"/>
  <c r="X1006" i="2"/>
  <c r="X981" i="2"/>
  <c r="D995" i="2"/>
  <c r="T983" i="2"/>
  <c r="T984" i="2"/>
  <c r="T985" i="2"/>
  <c r="T986" i="2"/>
  <c r="T987" i="2"/>
  <c r="T988" i="2"/>
  <c r="T989" i="2"/>
  <c r="T990" i="2"/>
  <c r="T991" i="2"/>
  <c r="T992" i="2"/>
  <c r="T993" i="2"/>
  <c r="T994" i="2"/>
  <c r="T995" i="2"/>
  <c r="T996" i="2"/>
  <c r="T997" i="2"/>
  <c r="T998" i="2"/>
  <c r="T999" i="2"/>
  <c r="T1000" i="2"/>
  <c r="T1001" i="2"/>
  <c r="T1002" i="2"/>
  <c r="T1003" i="2"/>
  <c r="T1004" i="2"/>
  <c r="T1005" i="2"/>
  <c r="T1006" i="2"/>
  <c r="D982" i="2"/>
  <c r="J12" i="4"/>
  <c r="I12" i="4"/>
  <c r="U12" i="4"/>
  <c r="D1006" i="2"/>
  <c r="D1005" i="2"/>
  <c r="D1002" i="2"/>
  <c r="D1000" i="2"/>
  <c r="D993" i="2"/>
  <c r="D1001" i="2"/>
  <c r="D991" i="2"/>
  <c r="D999" i="2"/>
  <c r="D998" i="2"/>
  <c r="D994" i="2"/>
  <c r="D1004" i="2"/>
  <c r="D1003" i="2"/>
  <c r="D992" i="2"/>
  <c r="D990" i="2"/>
  <c r="D996" i="2"/>
  <c r="D997" i="2"/>
  <c r="D989" i="2"/>
  <c r="D988" i="2"/>
  <c r="D987" i="2"/>
  <c r="D986" i="2"/>
  <c r="D985" i="2"/>
  <c r="D984" i="2"/>
  <c r="D981" i="2"/>
  <c r="D983" i="2"/>
  <c r="D977" i="2"/>
  <c r="D978" i="2"/>
  <c r="D980" i="2"/>
  <c r="D976" i="2"/>
  <c r="D971" i="2"/>
  <c r="D969" i="2"/>
  <c r="D975" i="2"/>
  <c r="D974" i="2"/>
  <c r="D972" i="2"/>
  <c r="D979" i="2"/>
  <c r="D970" i="2"/>
  <c r="D973" i="2"/>
  <c r="D968" i="2"/>
  <c r="D967" i="2"/>
  <c r="D966" i="2"/>
  <c r="D965" i="2"/>
  <c r="D964" i="2"/>
  <c r="D962" i="2"/>
  <c r="D963" i="2"/>
  <c r="R3" i="16"/>
  <c r="R4" i="16"/>
  <c r="R5" i="16"/>
  <c r="R6" i="16"/>
  <c r="R7" i="16"/>
  <c r="R8" i="16"/>
  <c r="R9" i="16"/>
  <c r="R10" i="16"/>
  <c r="R11" i="16"/>
  <c r="R12" i="16"/>
  <c r="R13" i="16"/>
  <c r="R14" i="16"/>
  <c r="R15" i="16"/>
  <c r="R16" i="16"/>
  <c r="R2" i="16"/>
  <c r="G2" i="16"/>
  <c r="E3" i="16"/>
  <c r="F3" i="16"/>
  <c r="F2" i="16"/>
  <c r="D958" i="2"/>
  <c r="D959" i="2"/>
  <c r="D961" i="2"/>
  <c r="D957" i="2"/>
  <c r="D952" i="2"/>
  <c r="D950" i="2"/>
  <c r="D956" i="2"/>
  <c r="D955" i="2"/>
  <c r="D953" i="2"/>
  <c r="D960" i="2"/>
  <c r="D951" i="2"/>
  <c r="D954" i="2"/>
  <c r="D949" i="2"/>
  <c r="D948" i="2"/>
  <c r="D947" i="2"/>
  <c r="D946" i="2"/>
  <c r="D945" i="2"/>
  <c r="D943" i="2"/>
  <c r="D944" i="2"/>
  <c r="D939" i="2"/>
  <c r="D940" i="2"/>
  <c r="D942" i="2"/>
  <c r="D938" i="2"/>
  <c r="D933" i="2"/>
  <c r="D931" i="2"/>
  <c r="D937" i="2"/>
  <c r="D936" i="2"/>
  <c r="D934" i="2"/>
  <c r="D941" i="2"/>
  <c r="D932" i="2"/>
  <c r="D935" i="2"/>
  <c r="D930" i="2"/>
  <c r="D929" i="2"/>
  <c r="D928" i="2"/>
  <c r="D927" i="2"/>
  <c r="D926" i="2"/>
  <c r="D924" i="2"/>
  <c r="D925" i="2"/>
  <c r="D920" i="2"/>
  <c r="D921" i="2"/>
  <c r="D923" i="2"/>
  <c r="D919" i="2"/>
  <c r="D914" i="2"/>
  <c r="D912" i="2"/>
  <c r="D918" i="2"/>
  <c r="D917" i="2"/>
  <c r="D915" i="2"/>
  <c r="D922" i="2"/>
  <c r="D913" i="2"/>
  <c r="D916" i="2"/>
  <c r="D911" i="2"/>
  <c r="D910" i="2"/>
  <c r="D909" i="2"/>
  <c r="D908" i="2"/>
  <c r="D907" i="2"/>
  <c r="D905" i="2"/>
  <c r="D906" i="2"/>
  <c r="D901" i="2"/>
  <c r="D902" i="2"/>
  <c r="D904" i="2"/>
  <c r="D900" i="2"/>
  <c r="D895" i="2"/>
  <c r="D893" i="2"/>
  <c r="D899" i="2"/>
  <c r="D898" i="2"/>
  <c r="D896" i="2"/>
  <c r="D903" i="2"/>
  <c r="D894" i="2"/>
  <c r="D897" i="2"/>
  <c r="D892" i="2"/>
  <c r="D891" i="2"/>
  <c r="D890" i="2"/>
  <c r="D889" i="2"/>
  <c r="D888" i="2"/>
  <c r="D886" i="2"/>
  <c r="D887" i="2"/>
  <c r="D882" i="2"/>
  <c r="D883" i="2"/>
  <c r="D885" i="2"/>
  <c r="D881" i="2"/>
  <c r="D876" i="2"/>
  <c r="D874" i="2"/>
  <c r="D880" i="2"/>
  <c r="D879" i="2"/>
  <c r="D877" i="2"/>
  <c r="D884" i="2"/>
  <c r="D875" i="2"/>
  <c r="D878" i="2"/>
  <c r="D873" i="2"/>
  <c r="D872" i="2"/>
  <c r="D871" i="2"/>
  <c r="D870" i="2"/>
  <c r="D869" i="2"/>
  <c r="D867" i="2"/>
  <c r="D868" i="2"/>
  <c r="R849" i="2"/>
  <c r="R850" i="2"/>
  <c r="R851" i="2"/>
  <c r="R852" i="2"/>
  <c r="R853" i="2"/>
  <c r="R854" i="2"/>
  <c r="R855" i="2"/>
  <c r="R856" i="2"/>
  <c r="R857" i="2"/>
  <c r="R858" i="2"/>
  <c r="R859" i="2"/>
  <c r="R860" i="2"/>
  <c r="R861" i="2"/>
  <c r="R862" i="2"/>
  <c r="R863" i="2"/>
  <c r="R864" i="2"/>
  <c r="R865" i="2"/>
  <c r="R866" i="2"/>
  <c r="R848" i="2"/>
  <c r="S866" i="2"/>
  <c r="U866" i="2"/>
  <c r="Y866" i="2"/>
  <c r="S865" i="2"/>
  <c r="U865" i="2"/>
  <c r="Y865" i="2"/>
  <c r="S864" i="2"/>
  <c r="U864" i="2"/>
  <c r="Y864" i="2"/>
  <c r="S863" i="2"/>
  <c r="U863" i="2"/>
  <c r="Y863" i="2"/>
  <c r="S862" i="2"/>
  <c r="U862" i="2"/>
  <c r="Y862" i="2"/>
  <c r="S861" i="2"/>
  <c r="U861" i="2"/>
  <c r="Y861" i="2"/>
  <c r="S860" i="2"/>
  <c r="U860" i="2"/>
  <c r="Y860" i="2"/>
  <c r="S859" i="2"/>
  <c r="U859" i="2"/>
  <c r="Y859" i="2"/>
  <c r="S858" i="2"/>
  <c r="U858" i="2"/>
  <c r="Y858" i="2"/>
  <c r="S857" i="2"/>
  <c r="U857" i="2"/>
  <c r="Y857" i="2"/>
  <c r="S856" i="2"/>
  <c r="U856" i="2"/>
  <c r="Y856" i="2"/>
  <c r="S855" i="2"/>
  <c r="U855" i="2"/>
  <c r="Y855" i="2"/>
  <c r="S854" i="2"/>
  <c r="U854" i="2"/>
  <c r="Y854" i="2"/>
  <c r="S853" i="2"/>
  <c r="U853" i="2"/>
  <c r="Y853" i="2"/>
  <c r="S852" i="2"/>
  <c r="U852" i="2"/>
  <c r="Y852" i="2"/>
  <c r="S851" i="2"/>
  <c r="U851" i="2"/>
  <c r="Y851" i="2"/>
  <c r="S850" i="2"/>
  <c r="U850" i="2"/>
  <c r="Y850" i="2"/>
  <c r="S849" i="2"/>
  <c r="U849" i="2"/>
  <c r="Y849" i="2"/>
  <c r="S848" i="2"/>
  <c r="U848" i="2"/>
  <c r="Y848" i="2"/>
  <c r="D863" i="2"/>
  <c r="D864" i="2"/>
  <c r="D866" i="2"/>
  <c r="D862" i="2"/>
  <c r="D857" i="2"/>
  <c r="D855" i="2"/>
  <c r="D861" i="2"/>
  <c r="D860" i="2"/>
  <c r="D858" i="2"/>
  <c r="D865" i="2"/>
  <c r="D856" i="2"/>
  <c r="D859" i="2"/>
  <c r="D854" i="2"/>
  <c r="D853" i="2"/>
  <c r="D852" i="2"/>
  <c r="D851" i="2"/>
  <c r="D850" i="2"/>
  <c r="D848" i="2"/>
  <c r="D849" i="2"/>
  <c r="U847" i="2"/>
  <c r="Y847" i="2"/>
  <c r="U846" i="2"/>
  <c r="Y846" i="2"/>
  <c r="U845" i="2"/>
  <c r="Y845" i="2"/>
  <c r="U844" i="2"/>
  <c r="Y844" i="2"/>
  <c r="U843" i="2"/>
  <c r="Y843" i="2"/>
  <c r="U842" i="2"/>
  <c r="Y842" i="2"/>
  <c r="U841" i="2"/>
  <c r="Y841" i="2"/>
  <c r="U840" i="2"/>
  <c r="Y840" i="2"/>
  <c r="U839" i="2"/>
  <c r="Y839" i="2"/>
  <c r="U838" i="2"/>
  <c r="Y838" i="2"/>
  <c r="U837" i="2"/>
  <c r="Y837" i="2"/>
  <c r="U836" i="2"/>
  <c r="Y836" i="2"/>
  <c r="U835" i="2"/>
  <c r="Y835" i="2"/>
  <c r="U834" i="2"/>
  <c r="Y834" i="2"/>
  <c r="U833" i="2"/>
  <c r="Y833" i="2"/>
  <c r="U832" i="2"/>
  <c r="Y832" i="2"/>
  <c r="U831" i="2"/>
  <c r="Y831" i="2"/>
  <c r="U830" i="2"/>
  <c r="Y830" i="2"/>
  <c r="U829" i="2"/>
  <c r="Y829" i="2"/>
  <c r="D844" i="2"/>
  <c r="D845" i="2"/>
  <c r="D847" i="2"/>
  <c r="D843" i="2"/>
  <c r="D838" i="2"/>
  <c r="D836" i="2"/>
  <c r="D842" i="2"/>
  <c r="D841" i="2"/>
  <c r="D839" i="2"/>
  <c r="D846" i="2"/>
  <c r="D837" i="2"/>
  <c r="D840" i="2"/>
  <c r="D835" i="2"/>
  <c r="D834" i="2"/>
  <c r="D833" i="2"/>
  <c r="D832" i="2"/>
  <c r="D831" i="2"/>
  <c r="D829" i="2"/>
  <c r="D830" i="2"/>
  <c r="D825" i="2"/>
  <c r="D826" i="2"/>
  <c r="D828" i="2"/>
  <c r="D824" i="2"/>
  <c r="D819" i="2"/>
  <c r="D817" i="2"/>
  <c r="D823" i="2"/>
  <c r="D822" i="2"/>
  <c r="D820" i="2"/>
  <c r="D827" i="2"/>
  <c r="D818" i="2"/>
  <c r="D821" i="2"/>
  <c r="D816" i="2"/>
  <c r="D815" i="2"/>
  <c r="D814" i="2"/>
  <c r="D813" i="2"/>
  <c r="D812" i="2"/>
  <c r="D810" i="2"/>
  <c r="D811" i="2"/>
  <c r="D806" i="2"/>
  <c r="D807" i="2"/>
  <c r="D809" i="2"/>
  <c r="D805" i="2"/>
  <c r="D800" i="2"/>
  <c r="D798" i="2"/>
  <c r="D804" i="2"/>
  <c r="D803" i="2"/>
  <c r="D801" i="2"/>
  <c r="D808" i="2"/>
  <c r="D799" i="2"/>
  <c r="D802" i="2"/>
  <c r="D797" i="2"/>
  <c r="D796" i="2"/>
  <c r="D795" i="2"/>
  <c r="D794" i="2"/>
  <c r="D793" i="2"/>
  <c r="D791" i="2"/>
  <c r="D792" i="2"/>
  <c r="D787" i="2"/>
  <c r="D788" i="2"/>
  <c r="D790" i="2"/>
  <c r="D786" i="2"/>
  <c r="D781" i="2"/>
  <c r="D779" i="2"/>
  <c r="D785" i="2"/>
  <c r="D784" i="2"/>
  <c r="D782" i="2"/>
  <c r="D789" i="2"/>
  <c r="D780" i="2"/>
  <c r="D783" i="2"/>
  <c r="D778" i="2"/>
  <c r="D777" i="2"/>
  <c r="D776" i="2"/>
  <c r="D775" i="2"/>
  <c r="D774" i="2"/>
  <c r="D772" i="2"/>
  <c r="D773" i="2"/>
  <c r="D768" i="2"/>
  <c r="D769" i="2"/>
  <c r="D771" i="2"/>
  <c r="D767" i="2"/>
  <c r="D762" i="2"/>
  <c r="D760" i="2"/>
  <c r="D766" i="2"/>
  <c r="D765" i="2"/>
  <c r="D763" i="2"/>
  <c r="D770" i="2"/>
  <c r="D761" i="2"/>
  <c r="D764" i="2"/>
  <c r="D759" i="2"/>
  <c r="D758" i="2"/>
  <c r="D757" i="2"/>
  <c r="D756" i="2"/>
  <c r="D755" i="2"/>
  <c r="D753" i="2"/>
  <c r="D754" i="2"/>
  <c r="J2" i="4"/>
  <c r="J3" i="4"/>
  <c r="J5" i="4"/>
  <c r="J6" i="4"/>
  <c r="J7" i="4"/>
  <c r="J4" i="4"/>
  <c r="J8" i="4"/>
  <c r="J10" i="4"/>
  <c r="J9" i="4"/>
  <c r="J11" i="4"/>
  <c r="R734" i="2"/>
  <c r="D749" i="2"/>
  <c r="D750" i="2"/>
  <c r="D752" i="2"/>
  <c r="D748" i="2"/>
  <c r="D743" i="2"/>
  <c r="D741" i="2"/>
  <c r="D747" i="2"/>
  <c r="D746" i="2"/>
  <c r="D744" i="2"/>
  <c r="D751" i="2"/>
  <c r="D742" i="2"/>
  <c r="D745" i="2"/>
  <c r="D740" i="2"/>
  <c r="D739" i="2"/>
  <c r="D738" i="2"/>
  <c r="D737" i="2"/>
  <c r="D736" i="2"/>
  <c r="D734" i="2"/>
  <c r="D735" i="2"/>
  <c r="D730" i="2"/>
  <c r="D731" i="2"/>
  <c r="D733" i="2"/>
  <c r="D729" i="2"/>
  <c r="D724" i="2"/>
  <c r="D722" i="2"/>
  <c r="D728" i="2"/>
  <c r="D727" i="2"/>
  <c r="D725" i="2"/>
  <c r="D732" i="2"/>
  <c r="D723" i="2"/>
  <c r="D726" i="2"/>
  <c r="D721" i="2"/>
  <c r="D720" i="2"/>
  <c r="D719" i="2"/>
  <c r="D718" i="2"/>
  <c r="D717" i="2"/>
  <c r="D715" i="2"/>
  <c r="D716" i="2"/>
  <c r="D711" i="2"/>
  <c r="D712" i="2"/>
  <c r="D714" i="2"/>
  <c r="D710" i="2"/>
  <c r="D705" i="2"/>
  <c r="D703" i="2"/>
  <c r="D709" i="2"/>
  <c r="D708" i="2"/>
  <c r="D706" i="2"/>
  <c r="D713" i="2"/>
  <c r="D704" i="2"/>
  <c r="D707" i="2"/>
  <c r="D702" i="2"/>
  <c r="D701" i="2"/>
  <c r="D700" i="2"/>
  <c r="D699" i="2"/>
  <c r="D698" i="2"/>
  <c r="D696" i="2"/>
  <c r="D697" i="2"/>
  <c r="D691" i="2"/>
  <c r="D694" i="2"/>
  <c r="D689" i="2"/>
  <c r="D679" i="2"/>
  <c r="D675" i="2"/>
  <c r="D687" i="2"/>
  <c r="D685" i="2"/>
  <c r="D681" i="2"/>
  <c r="D692" i="2"/>
  <c r="D677" i="2"/>
  <c r="D683" i="2"/>
  <c r="D673" i="2"/>
  <c r="D671" i="2"/>
  <c r="D669" i="2"/>
  <c r="D667" i="2"/>
  <c r="D665" i="2"/>
  <c r="D661" i="2"/>
  <c r="D663" i="2"/>
  <c r="D656" i="2"/>
  <c r="D659" i="2"/>
  <c r="D654" i="2"/>
  <c r="D644" i="2"/>
  <c r="D640" i="2"/>
  <c r="D652" i="2"/>
  <c r="D650" i="2"/>
  <c r="D646" i="2"/>
  <c r="D657" i="2"/>
  <c r="D642" i="2"/>
  <c r="D648" i="2"/>
  <c r="D638" i="2"/>
  <c r="D636" i="2"/>
  <c r="D634" i="2"/>
  <c r="D632" i="2"/>
  <c r="D630" i="2"/>
  <c r="D626" i="2"/>
  <c r="D628" i="2"/>
  <c r="D621" i="2"/>
  <c r="D624" i="2"/>
  <c r="D619" i="2"/>
  <c r="D609" i="2"/>
  <c r="D605" i="2"/>
  <c r="D617" i="2"/>
  <c r="D615" i="2"/>
  <c r="D611" i="2"/>
  <c r="D622" i="2"/>
  <c r="D607" i="2"/>
  <c r="D613" i="2"/>
  <c r="D603" i="2"/>
  <c r="D601" i="2"/>
  <c r="D599" i="2"/>
  <c r="D597" i="2"/>
  <c r="D595" i="2"/>
  <c r="D591" i="2"/>
  <c r="D593" i="2"/>
  <c r="D556" i="2"/>
  <c r="D560" i="2"/>
  <c r="D562" i="2"/>
  <c r="D564" i="2"/>
  <c r="D566" i="2"/>
  <c r="D568" i="2"/>
  <c r="D578" i="2"/>
  <c r="D572" i="2"/>
  <c r="D587" i="2"/>
  <c r="D576" i="2"/>
  <c r="D580" i="2"/>
  <c r="D582" i="2"/>
  <c r="D570" i="2"/>
  <c r="D574" i="2"/>
  <c r="D584" i="2"/>
  <c r="D589" i="2"/>
  <c r="D586" i="2"/>
  <c r="E7" i="3"/>
  <c r="E6" i="3"/>
  <c r="E5" i="3"/>
  <c r="E4" i="3"/>
  <c r="E3" i="3"/>
  <c r="E2" i="3"/>
  <c r="D558" i="2"/>
  <c r="I2" i="4"/>
  <c r="U2" i="4"/>
  <c r="I3" i="4"/>
  <c r="U3" i="4"/>
  <c r="I5" i="4"/>
  <c r="U5" i="4"/>
  <c r="I6" i="4"/>
  <c r="U6" i="4"/>
  <c r="I7" i="4"/>
  <c r="U7" i="4"/>
  <c r="I4" i="4"/>
  <c r="U4" i="4"/>
  <c r="I8" i="4"/>
  <c r="U8" i="4"/>
  <c r="I10" i="4"/>
  <c r="U10" i="4"/>
  <c r="I9" i="4"/>
  <c r="U9" i="4"/>
  <c r="I11" i="4"/>
  <c r="U11" i="4"/>
  <c r="B7" i="3"/>
  <c r="B6" i="3"/>
  <c r="B5" i="3"/>
  <c r="B4" i="3"/>
  <c r="B3" i="3"/>
  <c r="A3" i="3"/>
  <c r="A4" i="3"/>
  <c r="A5" i="3"/>
  <c r="A6" i="3"/>
  <c r="A7" i="3"/>
  <c r="G16" i="16"/>
  <c r="G8" i="16"/>
  <c r="G7" i="16"/>
  <c r="G14" i="16"/>
  <c r="G6" i="16"/>
  <c r="G15" i="16"/>
  <c r="G21" i="16"/>
  <c r="G13" i="16"/>
  <c r="G5" i="16"/>
  <c r="G17" i="16"/>
  <c r="G4" i="16"/>
  <c r="G19" i="16"/>
  <c r="G11" i="16"/>
  <c r="G3" i="16"/>
  <c r="G20" i="16"/>
  <c r="G12" i="16"/>
  <c r="G18" i="16"/>
  <c r="G10" i="16"/>
  <c r="E4" i="16"/>
  <c r="E5" i="16"/>
  <c r="F5" i="16"/>
  <c r="F4" i="16"/>
  <c r="E6" i="16"/>
  <c r="F6" i="16"/>
  <c r="E7" i="16"/>
  <c r="E8" i="16"/>
  <c r="F7" i="16"/>
  <c r="F8" i="16"/>
  <c r="E9" i="16"/>
  <c r="E10" i="16"/>
  <c r="F9" i="16"/>
  <c r="E11" i="16"/>
  <c r="F10" i="16"/>
  <c r="E12" i="16"/>
  <c r="F11" i="16"/>
  <c r="E13" i="16"/>
  <c r="F12" i="16"/>
  <c r="F13" i="16"/>
  <c r="E14" i="16"/>
  <c r="F14" i="16"/>
  <c r="E15" i="16"/>
  <c r="F15" i="16"/>
  <c r="E16" i="16"/>
  <c r="F16" i="16"/>
  <c r="E17" i="16"/>
  <c r="E18" i="16"/>
  <c r="F17" i="16"/>
  <c r="E19" i="16"/>
  <c r="F18" i="16"/>
  <c r="E20" i="16"/>
  <c r="F19" i="16"/>
  <c r="E21" i="16"/>
  <c r="F21" i="16"/>
  <c r="F20" i="16"/>
  <c r="H4" i="19"/>
  <c r="I4" i="19"/>
  <c r="A5" i="19"/>
  <c r="A6" i="19"/>
  <c r="H5" i="19"/>
  <c r="I5" i="19"/>
  <c r="J5" i="19"/>
  <c r="K5" i="19"/>
  <c r="H6" i="19"/>
  <c r="I6" i="19"/>
  <c r="A7" i="19"/>
  <c r="H7" i="19"/>
  <c r="I7" i="19"/>
  <c r="A8" i="19"/>
  <c r="J6" i="19"/>
  <c r="K6" i="19"/>
  <c r="A9" i="19"/>
  <c r="H8" i="19"/>
  <c r="I8" i="19"/>
  <c r="J7" i="19"/>
  <c r="K7" i="19"/>
  <c r="K8" i="19"/>
  <c r="J8" i="19"/>
  <c r="H9" i="19"/>
  <c r="I9" i="19"/>
  <c r="A10" i="19"/>
  <c r="A11" i="19"/>
  <c r="H10" i="19"/>
  <c r="I10" i="19"/>
  <c r="J9" i="19"/>
  <c r="K9" i="19"/>
  <c r="J10" i="19"/>
  <c r="K10" i="19"/>
  <c r="A12" i="19"/>
  <c r="H11" i="19"/>
  <c r="I11" i="19"/>
  <c r="J11" i="19"/>
  <c r="K11" i="19"/>
  <c r="H12" i="19"/>
  <c r="I12" i="19"/>
  <c r="A13" i="19"/>
  <c r="A14" i="19"/>
  <c r="H13" i="19"/>
  <c r="I13" i="19"/>
  <c r="J12" i="19"/>
  <c r="K12" i="19"/>
  <c r="J13" i="19"/>
  <c r="H14" i="19"/>
  <c r="I14" i="19"/>
  <c r="A15" i="19"/>
  <c r="H15" i="19"/>
  <c r="I15" i="19"/>
  <c r="A16" i="19"/>
  <c r="K14" i="19"/>
  <c r="J14" i="19"/>
  <c r="A17" i="19"/>
  <c r="H16" i="19"/>
  <c r="I16" i="19"/>
  <c r="J15" i="19"/>
  <c r="K15" i="19"/>
  <c r="J16" i="19"/>
  <c r="K16" i="19"/>
  <c r="H17" i="19"/>
  <c r="I17" i="19"/>
  <c r="A18" i="19"/>
  <c r="A19" i="19"/>
  <c r="H18" i="19"/>
  <c r="I18" i="19"/>
  <c r="J17" i="19"/>
  <c r="K17" i="19"/>
  <c r="J18" i="19"/>
  <c r="K18" i="19"/>
  <c r="A20" i="19"/>
  <c r="H20" i="19"/>
  <c r="I20" i="19"/>
  <c r="H19" i="19"/>
  <c r="I19" i="19"/>
  <c r="J20" i="19"/>
  <c r="K20" i="19"/>
  <c r="J19" i="19"/>
  <c r="K19" i="19"/>
  <c r="J5" i="23"/>
  <c r="A6" i="23"/>
  <c r="K54" i="17"/>
  <c r="K55" i="17"/>
  <c r="K53" i="17"/>
  <c r="K48" i="17"/>
  <c r="K49" i="17"/>
  <c r="K50" i="17"/>
  <c r="K51" i="17"/>
  <c r="K52" i="17"/>
  <c r="K47" i="17"/>
  <c r="K46" i="17"/>
  <c r="J53" i="17"/>
  <c r="J52" i="17"/>
  <c r="J54" i="17"/>
  <c r="J55" i="17"/>
  <c r="J48" i="17"/>
  <c r="J49" i="17"/>
  <c r="J50" i="17"/>
  <c r="J51" i="17"/>
  <c r="J46" i="17"/>
  <c r="J47" i="17"/>
  <c r="J59" i="17"/>
  <c r="J23" i="19"/>
  <c r="K23" i="19"/>
  <c r="J22" i="19"/>
  <c r="K22" i="19"/>
  <c r="J21" i="19"/>
  <c r="K21" i="19"/>
  <c r="A24" i="19"/>
  <c r="J6" i="23"/>
  <c r="A7" i="23"/>
  <c r="A25" i="19"/>
  <c r="H24" i="19"/>
  <c r="I24" i="19"/>
  <c r="J7" i="23"/>
  <c r="A8" i="23"/>
  <c r="J24" i="19"/>
  <c r="K24" i="19"/>
  <c r="A26" i="19"/>
  <c r="H25" i="19"/>
  <c r="I25" i="19"/>
  <c r="A9" i="23"/>
  <c r="J8" i="23"/>
  <c r="J25" i="19"/>
  <c r="K25" i="19"/>
  <c r="H26" i="19"/>
  <c r="I26" i="19"/>
  <c r="A27" i="19"/>
  <c r="H27" i="19"/>
  <c r="I27" i="19"/>
  <c r="A10" i="23"/>
  <c r="J9" i="23"/>
  <c r="J27" i="19"/>
  <c r="K27" i="19"/>
  <c r="J26" i="19"/>
  <c r="K26" i="19"/>
  <c r="J10" i="23"/>
  <c r="M50" i="17"/>
  <c r="M55" i="17"/>
  <c r="M49" i="17"/>
  <c r="M54" i="17"/>
  <c r="M53" i="17"/>
  <c r="M52" i="17"/>
  <c r="M51" i="17"/>
  <c r="M48" i="17"/>
  <c r="M46" i="17"/>
  <c r="M47" i="17"/>
  <c r="J5" i="28"/>
  <c r="I6" i="28"/>
  <c r="B3" i="28"/>
  <c r="D3" i="28"/>
  <c r="M59" i="17"/>
  <c r="M60" i="17"/>
  <c r="L46" i="17"/>
  <c r="L55" i="17"/>
  <c r="L51" i="17"/>
  <c r="L53" i="17"/>
  <c r="L54" i="17"/>
  <c r="L50" i="17"/>
  <c r="L52" i="17"/>
  <c r="L49" i="17"/>
  <c r="L48" i="17"/>
  <c r="K60" i="17"/>
  <c r="K59" i="17"/>
  <c r="K61" i="17"/>
  <c r="I48" i="17"/>
  <c r="I53" i="17"/>
  <c r="I49" i="17"/>
  <c r="I50" i="17"/>
  <c r="I51" i="17"/>
  <c r="I47" i="17"/>
  <c r="I59" i="17"/>
  <c r="I55" i="17"/>
  <c r="I54" i="17"/>
  <c r="I52" i="17"/>
  <c r="I46" i="17"/>
  <c r="H48" i="17"/>
  <c r="H49" i="17"/>
  <c r="H50" i="17"/>
  <c r="H53" i="17"/>
  <c r="H51" i="17"/>
  <c r="H46" i="17"/>
  <c r="H52" i="17"/>
  <c r="H47" i="17"/>
  <c r="H59" i="17"/>
  <c r="H55" i="17"/>
  <c r="H54" i="17"/>
  <c r="G54" i="17"/>
  <c r="G46" i="17"/>
  <c r="G48" i="17"/>
  <c r="G49" i="17"/>
  <c r="G47" i="17"/>
  <c r="G53" i="17"/>
  <c r="G55" i="17"/>
  <c r="G50" i="17"/>
  <c r="G51" i="17"/>
  <c r="G52" i="17"/>
  <c r="E60" i="17"/>
  <c r="L62" i="17"/>
  <c r="F57" i="17"/>
  <c r="L61" i="17"/>
  <c r="D59" i="17"/>
  <c r="D61" i="17"/>
  <c r="J57" i="17"/>
  <c r="E59" i="17"/>
  <c r="D57" i="17"/>
  <c r="E57" i="17"/>
  <c r="K57" i="17"/>
  <c r="M57" i="17"/>
  <c r="C57" i="17"/>
  <c r="C60" i="17"/>
  <c r="C62" i="17"/>
  <c r="J61" i="17"/>
  <c r="M61" i="17"/>
  <c r="J60" i="17"/>
  <c r="J62" i="17"/>
  <c r="M62" i="17"/>
  <c r="I7" i="28"/>
  <c r="J6" i="28"/>
  <c r="B4" i="28"/>
  <c r="D4" i="28"/>
  <c r="C3" i="28"/>
  <c r="C4" i="28"/>
  <c r="M3" i="28"/>
  <c r="P3" i="28"/>
  <c r="L57" i="17"/>
  <c r="K62" i="17"/>
  <c r="I57" i="17"/>
  <c r="I60" i="17"/>
  <c r="I62" i="17"/>
  <c r="H57" i="17"/>
  <c r="H60" i="17"/>
  <c r="H62" i="17"/>
  <c r="G57" i="17"/>
  <c r="G59" i="17"/>
  <c r="F60" i="17"/>
  <c r="F62" i="17"/>
  <c r="F61" i="17"/>
  <c r="F59" i="17"/>
  <c r="E62" i="17"/>
  <c r="D62" i="17"/>
  <c r="C61" i="17"/>
  <c r="E61" i="17"/>
  <c r="J7" i="28"/>
  <c r="B5" i="28"/>
  <c r="M4" i="28"/>
  <c r="P4" i="28"/>
  <c r="I61" i="17"/>
  <c r="H61" i="17"/>
  <c r="G60" i="17"/>
  <c r="G61" i="17"/>
  <c r="J8" i="28"/>
  <c r="I8" i="28"/>
  <c r="C5" i="28"/>
  <c r="D5" i="28"/>
  <c r="B6" i="28"/>
  <c r="D6" i="28"/>
  <c r="M5" i="28"/>
  <c r="P5" i="28"/>
  <c r="G62" i="17"/>
  <c r="C6" i="28"/>
  <c r="I10" i="28"/>
  <c r="J9" i="28"/>
  <c r="I9" i="28"/>
  <c r="B7" i="28"/>
  <c r="M6" i="28"/>
  <c r="P6" i="28"/>
  <c r="J10" i="28"/>
  <c r="C7" i="28"/>
  <c r="D7" i="28"/>
  <c r="B8" i="28"/>
  <c r="D8" i="28"/>
  <c r="M7" i="28"/>
  <c r="P7" i="28"/>
  <c r="J11" i="28"/>
  <c r="I11" i="28"/>
  <c r="B9" i="28"/>
  <c r="D9" i="28"/>
  <c r="M8" i="28"/>
  <c r="P8" i="28"/>
  <c r="C8" i="28"/>
  <c r="C9" i="28"/>
  <c r="J12" i="28"/>
  <c r="I12" i="28"/>
  <c r="B10" i="28"/>
  <c r="D10" i="28"/>
  <c r="M9" i="28"/>
  <c r="P9" i="28"/>
  <c r="C10" i="28"/>
  <c r="J13" i="28"/>
  <c r="I13" i="28"/>
  <c r="B11" i="28"/>
  <c r="M10" i="28"/>
  <c r="P10" i="28"/>
  <c r="J14" i="28"/>
  <c r="I14" i="28"/>
  <c r="C11" i="28"/>
  <c r="D11" i="28"/>
  <c r="B12" i="28"/>
  <c r="D12" i="28"/>
  <c r="M11" i="28"/>
  <c r="P11" i="28"/>
  <c r="Q7" i="28"/>
  <c r="Q9" i="28"/>
  <c r="J15" i="28"/>
  <c r="I15" i="28"/>
  <c r="B13" i="28"/>
  <c r="D13" i="28"/>
  <c r="Q11" i="28"/>
  <c r="Q4" i="28"/>
  <c r="Q2" i="28"/>
  <c r="Q5" i="28"/>
  <c r="Q3" i="28"/>
  <c r="C12" i="28"/>
  <c r="Q6" i="28"/>
  <c r="Q8" i="28"/>
  <c r="Q10" i="28"/>
  <c r="J16" i="28"/>
  <c r="I16" i="28"/>
  <c r="C13" i="28"/>
  <c r="B14" i="28"/>
  <c r="D14" i="28"/>
  <c r="C14" i="28"/>
  <c r="J17" i="28"/>
  <c r="I17" i="28"/>
  <c r="B15" i="28"/>
  <c r="D15" i="28"/>
  <c r="J18" i="28"/>
  <c r="I18" i="28"/>
  <c r="C15" i="28"/>
  <c r="B16" i="28"/>
  <c r="D16" i="28"/>
  <c r="I20" i="28"/>
  <c r="J19" i="28"/>
  <c r="I19" i="28"/>
  <c r="C16" i="28"/>
  <c r="B17" i="28"/>
  <c r="D17" i="28"/>
  <c r="C17" i="28"/>
  <c r="J20" i="28"/>
  <c r="B18" i="28"/>
  <c r="D18" i="28"/>
  <c r="C18" i="28"/>
  <c r="I22" i="28"/>
  <c r="J21" i="28"/>
  <c r="I21" i="28"/>
  <c r="B19" i="28"/>
  <c r="D19" i="28"/>
  <c r="C19" i="28"/>
  <c r="I23" i="28"/>
  <c r="J22" i="28"/>
  <c r="B20" i="28"/>
  <c r="D20" i="28"/>
  <c r="C20" i="28"/>
  <c r="J23" i="28"/>
  <c r="B21" i="28"/>
  <c r="D21" i="28"/>
  <c r="J24" i="28"/>
  <c r="I24" i="28"/>
  <c r="C21" i="28"/>
  <c r="B22" i="28"/>
  <c r="D22" i="28"/>
  <c r="J25" i="28"/>
  <c r="I25" i="28"/>
  <c r="C22" i="28"/>
  <c r="B23" i="28"/>
  <c r="D23" i="28"/>
  <c r="C23" i="28"/>
  <c r="J26" i="28"/>
  <c r="I26" i="28"/>
  <c r="B24" i="28"/>
  <c r="D24" i="28"/>
  <c r="C24" i="28"/>
  <c r="J27" i="28"/>
  <c r="I27" i="28"/>
  <c r="B25" i="28"/>
  <c r="D25" i="28"/>
  <c r="J28" i="28"/>
  <c r="I28" i="28"/>
  <c r="C25" i="28"/>
  <c r="B26" i="28"/>
  <c r="D26" i="28"/>
  <c r="J29" i="28"/>
  <c r="I29" i="28"/>
  <c r="C26" i="28"/>
  <c r="B27" i="28"/>
  <c r="D27" i="28"/>
  <c r="J30" i="28"/>
  <c r="I30" i="28"/>
  <c r="B28" i="28"/>
  <c r="D28" i="28"/>
  <c r="C28" i="28"/>
  <c r="C27" i="28"/>
  <c r="J32" i="28"/>
  <c r="I32" i="28"/>
  <c r="J31" i="28"/>
  <c r="I31" i="28"/>
  <c r="B29" i="28"/>
  <c r="D29" i="28"/>
  <c r="C29" i="28"/>
  <c r="B30" i="28"/>
  <c r="D30" i="28"/>
  <c r="C30" i="28"/>
  <c r="B31" i="28"/>
  <c r="D31" i="28"/>
  <c r="C31" i="28"/>
  <c r="B32" i="28"/>
  <c r="D32" i="28"/>
  <c r="C32" i="28"/>
  <c r="A3" i="31"/>
  <c r="E3" i="31"/>
  <c r="E4" i="31"/>
  <c r="B2" i="31"/>
  <c r="C2" i="31"/>
  <c r="B3" i="31"/>
  <c r="C3" i="31"/>
  <c r="K3" i="31"/>
  <c r="A4" i="31"/>
  <c r="K4" i="31"/>
  <c r="D2" i="31"/>
  <c r="F2" i="31"/>
  <c r="G2" i="31"/>
  <c r="D3" i="31"/>
  <c r="F3" i="31"/>
  <c r="G3" i="31"/>
  <c r="H2" i="31"/>
  <c r="I2" i="31"/>
  <c r="J2" i="31"/>
  <c r="H3" i="31"/>
  <c r="I3" i="31"/>
  <c r="J3" i="31"/>
  <c r="B4" i="31"/>
  <c r="A5" i="31"/>
  <c r="E5" i="31"/>
  <c r="E6" i="31"/>
  <c r="K5" i="31"/>
  <c r="C4" i="31"/>
  <c r="D4" i="31"/>
  <c r="A6" i="31"/>
  <c r="K6" i="31"/>
  <c r="B5" i="31"/>
  <c r="A7" i="31"/>
  <c r="K7" i="31"/>
  <c r="B6" i="31"/>
  <c r="C6" i="31"/>
  <c r="F4" i="31"/>
  <c r="G4" i="31"/>
  <c r="C5" i="31"/>
  <c r="F5" i="31"/>
  <c r="G5" i="31"/>
  <c r="E7" i="31"/>
  <c r="E8" i="31"/>
  <c r="I5" i="31"/>
  <c r="J5" i="31"/>
  <c r="H5" i="31"/>
  <c r="I4" i="31"/>
  <c r="J4" i="31"/>
  <c r="H4" i="31"/>
  <c r="D6" i="31"/>
  <c r="F6" i="31"/>
  <c r="G6" i="31"/>
  <c r="D5" i="31"/>
  <c r="B7" i="31"/>
  <c r="A8" i="31"/>
  <c r="E9" i="31"/>
  <c r="K8" i="31"/>
  <c r="C7" i="31"/>
  <c r="F7" i="31"/>
  <c r="G7" i="31"/>
  <c r="I6" i="31"/>
  <c r="J6" i="31"/>
  <c r="H6" i="31"/>
  <c r="B8" i="31"/>
  <c r="A9" i="31"/>
  <c r="K9" i="31"/>
  <c r="D7" i="31"/>
  <c r="B9" i="31"/>
  <c r="C9" i="31"/>
  <c r="A10" i="31"/>
  <c r="K10" i="31"/>
  <c r="C8" i="31"/>
  <c r="F8" i="31"/>
  <c r="G8" i="31"/>
  <c r="D8" i="31"/>
  <c r="I7" i="31"/>
  <c r="J7" i="31"/>
  <c r="H7" i="31"/>
  <c r="E10" i="31"/>
  <c r="E11" i="31"/>
  <c r="I8" i="31"/>
  <c r="H8" i="31"/>
  <c r="A11" i="31"/>
  <c r="K11" i="31"/>
  <c r="B10" i="31"/>
  <c r="D9" i="31"/>
  <c r="F9" i="31"/>
  <c r="G9" i="31"/>
  <c r="J8" i="31"/>
  <c r="E12" i="31"/>
  <c r="A12" i="31"/>
  <c r="K12" i="31"/>
  <c r="B11" i="31"/>
  <c r="I9" i="31"/>
  <c r="H9" i="31"/>
  <c r="C10" i="31"/>
  <c r="F10" i="31"/>
  <c r="G10" i="31"/>
  <c r="E13" i="31"/>
  <c r="E14" i="31"/>
  <c r="J9" i="31"/>
  <c r="D10" i="31"/>
  <c r="I10" i="31"/>
  <c r="H10" i="31"/>
  <c r="C11" i="31"/>
  <c r="F11" i="31"/>
  <c r="G11" i="31"/>
  <c r="A13" i="31"/>
  <c r="B12" i="31"/>
  <c r="C12" i="31"/>
  <c r="K13" i="31"/>
  <c r="D11" i="31"/>
  <c r="J10" i="31"/>
  <c r="D12" i="31"/>
  <c r="F12" i="31"/>
  <c r="G12" i="31"/>
  <c r="I11" i="31"/>
  <c r="H11" i="31"/>
  <c r="B13" i="31"/>
  <c r="C13" i="31"/>
  <c r="A14" i="31"/>
  <c r="K14" i="31"/>
  <c r="J11" i="31"/>
  <c r="D13" i="31"/>
  <c r="F13" i="31"/>
  <c r="G13" i="31"/>
  <c r="I12" i="31"/>
  <c r="J12" i="31"/>
  <c r="H12" i="31"/>
  <c r="B14" i="31"/>
  <c r="A15" i="31"/>
  <c r="K15" i="31"/>
  <c r="E15" i="31"/>
  <c r="B15" i="31"/>
  <c r="A16" i="31"/>
  <c r="K16" i="31"/>
  <c r="E16" i="31"/>
  <c r="E17" i="31"/>
  <c r="C14" i="31"/>
  <c r="F14" i="31"/>
  <c r="G14" i="31"/>
  <c r="I13" i="31"/>
  <c r="J13" i="31"/>
  <c r="H13" i="31"/>
  <c r="D14" i="31"/>
  <c r="I14" i="31"/>
  <c r="J14" i="31"/>
  <c r="H14" i="31"/>
  <c r="A17" i="31"/>
  <c r="K17" i="31"/>
  <c r="B16" i="31"/>
  <c r="C15" i="31"/>
  <c r="F15" i="31"/>
  <c r="G15" i="31"/>
  <c r="I15" i="31"/>
  <c r="H15" i="31"/>
  <c r="D15" i="31"/>
  <c r="C16" i="31"/>
  <c r="F16" i="31"/>
  <c r="G16" i="31"/>
  <c r="B17" i="31"/>
  <c r="C17" i="31"/>
  <c r="A18" i="31"/>
  <c r="E18" i="31"/>
  <c r="K18" i="31"/>
  <c r="J15" i="31"/>
  <c r="D16" i="31"/>
  <c r="E19" i="31"/>
  <c r="B18" i="31"/>
  <c r="A19" i="31"/>
  <c r="D17" i="31"/>
  <c r="F17" i="31"/>
  <c r="G17" i="31"/>
  <c r="I16" i="31"/>
  <c r="H16" i="31"/>
  <c r="K19" i="31"/>
  <c r="J16" i="31"/>
  <c r="I17" i="31"/>
  <c r="H17" i="31"/>
  <c r="A20" i="31"/>
  <c r="B19" i="31"/>
  <c r="C18" i="31"/>
  <c r="F18" i="31"/>
  <c r="G18" i="31"/>
  <c r="D18" i="31"/>
  <c r="E20" i="31"/>
  <c r="E21" i="31"/>
  <c r="K20" i="31"/>
  <c r="J17" i="31"/>
  <c r="I18" i="31"/>
  <c r="H18" i="31"/>
  <c r="C19" i="31"/>
  <c r="F19" i="31"/>
  <c r="G19" i="31"/>
  <c r="A21" i="31"/>
  <c r="K21" i="31"/>
  <c r="B20" i="31"/>
  <c r="C20" i="31"/>
  <c r="D19" i="31"/>
  <c r="J18" i="31"/>
  <c r="D20" i="31"/>
  <c r="F20" i="31"/>
  <c r="G20" i="31"/>
  <c r="E22" i="31"/>
  <c r="E23" i="31"/>
  <c r="A22" i="31"/>
  <c r="K22" i="31"/>
  <c r="B21" i="31"/>
  <c r="I19" i="31"/>
  <c r="H19" i="31"/>
  <c r="J19" i="31"/>
  <c r="C21" i="31"/>
  <c r="F21" i="31"/>
  <c r="G21" i="31"/>
  <c r="B22" i="31"/>
  <c r="C22" i="31"/>
  <c r="A23" i="31"/>
  <c r="K23" i="31"/>
  <c r="I20" i="31"/>
  <c r="H20" i="31"/>
  <c r="D21" i="31"/>
  <c r="J20" i="31"/>
  <c r="D22" i="31"/>
  <c r="F22" i="31"/>
  <c r="G22" i="31"/>
  <c r="B23" i="31"/>
  <c r="A24" i="31"/>
  <c r="I21" i="31"/>
  <c r="H21" i="31"/>
  <c r="E24" i="31"/>
  <c r="E25" i="31"/>
  <c r="K24" i="31"/>
  <c r="J21" i="31"/>
  <c r="C23" i="31"/>
  <c r="D23" i="31"/>
  <c r="B24" i="31"/>
  <c r="A25" i="31"/>
  <c r="K25" i="31"/>
  <c r="I22" i="31"/>
  <c r="H22" i="31"/>
  <c r="J22" i="31"/>
  <c r="B25" i="31"/>
  <c r="A26" i="31"/>
  <c r="C24" i="31"/>
  <c r="D24" i="31"/>
  <c r="E26" i="31"/>
  <c r="E27" i="31"/>
  <c r="G23" i="31"/>
  <c r="F23" i="31"/>
  <c r="K26" i="31"/>
  <c r="I23" i="31"/>
  <c r="H23" i="31"/>
  <c r="G24" i="31"/>
  <c r="F24" i="31"/>
  <c r="B26" i="31"/>
  <c r="A27" i="31"/>
  <c r="K27" i="31"/>
  <c r="C25" i="31"/>
  <c r="J23" i="31"/>
  <c r="G25" i="31"/>
  <c r="F25" i="31"/>
  <c r="D25" i="31"/>
  <c r="B27" i="31"/>
  <c r="A28" i="31"/>
  <c r="C26" i="31"/>
  <c r="D26" i="31"/>
  <c r="I24" i="31"/>
  <c r="H24" i="31"/>
  <c r="E28" i="31"/>
  <c r="E29" i="31"/>
  <c r="K28" i="31"/>
  <c r="J24" i="31"/>
  <c r="C27" i="31"/>
  <c r="D27" i="31"/>
  <c r="G26" i="31"/>
  <c r="F26" i="31"/>
  <c r="B28" i="31"/>
  <c r="A29" i="31"/>
  <c r="K29" i="31"/>
  <c r="I25" i="31"/>
  <c r="H25" i="31"/>
  <c r="J25" i="31"/>
  <c r="C28" i="31"/>
  <c r="B29" i="31"/>
  <c r="A30" i="31"/>
  <c r="I26" i="31"/>
  <c r="H26" i="31"/>
  <c r="F27" i="31"/>
  <c r="G27" i="31"/>
  <c r="E30" i="31"/>
  <c r="E31" i="31"/>
  <c r="K30" i="31"/>
  <c r="J26" i="31"/>
  <c r="I27" i="31"/>
  <c r="H27" i="31"/>
  <c r="A31" i="31"/>
  <c r="K31" i="31"/>
  <c r="B30" i="31"/>
  <c r="C29" i="31"/>
  <c r="D29" i="31"/>
  <c r="G28" i="31"/>
  <c r="F28" i="31"/>
  <c r="D28" i="31"/>
  <c r="J27" i="31"/>
  <c r="A32" i="31"/>
  <c r="B31" i="31"/>
  <c r="I28" i="31"/>
  <c r="H28" i="31"/>
  <c r="C30" i="31"/>
  <c r="D30" i="31"/>
  <c r="F29" i="31"/>
  <c r="G29" i="31"/>
  <c r="E32" i="31"/>
  <c r="E33" i="31"/>
  <c r="K32" i="31"/>
  <c r="J28" i="31"/>
  <c r="I29" i="31"/>
  <c r="H29" i="31"/>
  <c r="F30" i="31"/>
  <c r="G30" i="31"/>
  <c r="C31" i="31"/>
  <c r="D31" i="31"/>
  <c r="A33" i="31"/>
  <c r="K33" i="31"/>
  <c r="B32" i="31"/>
  <c r="J29" i="31"/>
  <c r="A34" i="31"/>
  <c r="K34" i="31"/>
  <c r="B33" i="31"/>
  <c r="E34" i="31"/>
  <c r="E35" i="31"/>
  <c r="C32" i="31"/>
  <c r="D32" i="31"/>
  <c r="F31" i="31"/>
  <c r="G31" i="31"/>
  <c r="I30" i="31"/>
  <c r="H30" i="31"/>
  <c r="J30" i="31"/>
  <c r="I31" i="31"/>
  <c r="H31" i="31"/>
  <c r="G32" i="31"/>
  <c r="F32" i="31"/>
  <c r="C33" i="31"/>
  <c r="D33" i="31"/>
  <c r="A35" i="31"/>
  <c r="K35" i="31"/>
  <c r="B34" i="31"/>
  <c r="J31" i="31"/>
  <c r="A36" i="31"/>
  <c r="B35" i="31"/>
  <c r="C35" i="31"/>
  <c r="G33" i="31"/>
  <c r="F33" i="31"/>
  <c r="I32" i="31"/>
  <c r="H32" i="31"/>
  <c r="C34" i="31"/>
  <c r="D34" i="31"/>
  <c r="E36" i="31"/>
  <c r="E37" i="31"/>
  <c r="K36" i="31"/>
  <c r="J32" i="31"/>
  <c r="I33" i="31"/>
  <c r="H33" i="31"/>
  <c r="F34" i="31"/>
  <c r="G34" i="31"/>
  <c r="D35" i="31"/>
  <c r="F35" i="31"/>
  <c r="G35" i="31"/>
  <c r="B36" i="31"/>
  <c r="A37" i="31"/>
  <c r="K37" i="31"/>
  <c r="J33" i="31"/>
  <c r="A38" i="31"/>
  <c r="B37" i="31"/>
  <c r="I35" i="31"/>
  <c r="J35" i="31"/>
  <c r="H35" i="31"/>
  <c r="E38" i="31"/>
  <c r="E39" i="31"/>
  <c r="C36" i="31"/>
  <c r="I34" i="31"/>
  <c r="H34" i="31"/>
  <c r="K38" i="31"/>
  <c r="J34" i="31"/>
  <c r="F36" i="31"/>
  <c r="G36" i="31"/>
  <c r="D36" i="31"/>
  <c r="C37" i="31"/>
  <c r="F37" i="31"/>
  <c r="G37" i="31"/>
  <c r="B38" i="31"/>
  <c r="A39" i="31"/>
  <c r="K39" i="31"/>
  <c r="I37" i="31"/>
  <c r="J37" i="31"/>
  <c r="H37" i="31"/>
  <c r="B39" i="31"/>
  <c r="A40" i="31"/>
  <c r="C38" i="31"/>
  <c r="F38" i="31"/>
  <c r="G38" i="31"/>
  <c r="D38" i="31"/>
  <c r="D37" i="31"/>
  <c r="E40" i="31"/>
  <c r="E41" i="31"/>
  <c r="I36" i="31"/>
  <c r="J36" i="31"/>
  <c r="H36" i="31"/>
  <c r="K40" i="31"/>
  <c r="I38" i="31"/>
  <c r="J38" i="31"/>
  <c r="H38" i="31"/>
  <c r="B40" i="31"/>
  <c r="A41" i="31"/>
  <c r="K41" i="31"/>
  <c r="C39" i="31"/>
  <c r="F39" i="31"/>
  <c r="G39" i="31"/>
  <c r="D39" i="31"/>
  <c r="I39" i="31"/>
  <c r="J39" i="31"/>
  <c r="H39" i="31"/>
  <c r="A42" i="31"/>
  <c r="B41" i="31"/>
  <c r="C41" i="31"/>
  <c r="C40" i="31"/>
  <c r="F40" i="31"/>
  <c r="G40" i="31"/>
  <c r="E42" i="31"/>
  <c r="E43" i="31"/>
  <c r="K42" i="31"/>
  <c r="D40" i="31"/>
  <c r="I40" i="31"/>
  <c r="J40" i="31"/>
  <c r="H40" i="31"/>
  <c r="A43" i="31"/>
  <c r="K43" i="31"/>
  <c r="B42" i="31"/>
  <c r="C42" i="31"/>
  <c r="D41" i="31"/>
  <c r="F41" i="31"/>
  <c r="G41" i="31"/>
  <c r="I41" i="31"/>
  <c r="J41" i="31"/>
  <c r="H41" i="31"/>
  <c r="D42" i="31"/>
  <c r="F42" i="31"/>
  <c r="G42" i="31"/>
  <c r="B43" i="31"/>
  <c r="A44" i="31"/>
  <c r="E44" i="31"/>
  <c r="K44" i="31"/>
  <c r="A45" i="31"/>
  <c r="B44" i="31"/>
  <c r="I42" i="31"/>
  <c r="J42" i="31"/>
  <c r="H42" i="31"/>
  <c r="E45" i="31"/>
  <c r="E46" i="31"/>
  <c r="C43" i="31"/>
  <c r="F43" i="31"/>
  <c r="G43" i="31"/>
  <c r="K45" i="31"/>
  <c r="D43" i="31"/>
  <c r="I43" i="31"/>
  <c r="J43" i="31"/>
  <c r="H43" i="31"/>
  <c r="C44" i="31"/>
  <c r="F44" i="31"/>
  <c r="G44" i="31"/>
  <c r="B45" i="31"/>
  <c r="A46" i="31"/>
  <c r="K46" i="31"/>
  <c r="D44" i="31"/>
  <c r="C45" i="31"/>
  <c r="F45" i="31"/>
  <c r="G45" i="31"/>
  <c r="D45" i="31"/>
  <c r="B46" i="31"/>
  <c r="A47" i="31"/>
  <c r="I44" i="31"/>
  <c r="H44" i="31"/>
  <c r="E47" i="31"/>
  <c r="E48" i="31"/>
  <c r="J44" i="31"/>
  <c r="K47" i="31"/>
  <c r="C46" i="31"/>
  <c r="F46" i="31"/>
  <c r="G46" i="31"/>
  <c r="B47" i="31"/>
  <c r="A48" i="31"/>
  <c r="K48" i="31"/>
  <c r="I45" i="31"/>
  <c r="H45" i="31"/>
  <c r="J45" i="31"/>
  <c r="D46" i="31"/>
  <c r="C47" i="31"/>
  <c r="F47" i="31"/>
  <c r="G47" i="31"/>
  <c r="D47" i="31"/>
  <c r="B48" i="31"/>
  <c r="C48" i="31"/>
  <c r="A49" i="31"/>
  <c r="I46" i="31"/>
  <c r="H46" i="31"/>
  <c r="E49" i="31"/>
  <c r="E50" i="31"/>
  <c r="K49" i="31"/>
  <c r="J46" i="31"/>
  <c r="A50" i="31"/>
  <c r="K50" i="31"/>
  <c r="B49" i="31"/>
  <c r="D48" i="31"/>
  <c r="F48" i="31"/>
  <c r="G48" i="31"/>
  <c r="I47" i="31"/>
  <c r="J47" i="31"/>
  <c r="H47" i="31"/>
  <c r="C49" i="31"/>
  <c r="D49" i="31"/>
  <c r="I48" i="31"/>
  <c r="J48" i="31"/>
  <c r="H48" i="31"/>
  <c r="B50" i="31"/>
  <c r="A51" i="31"/>
  <c r="K51" i="31"/>
  <c r="E51" i="31"/>
  <c r="E52" i="31"/>
  <c r="A52" i="31"/>
  <c r="K52" i="31"/>
  <c r="B51" i="31"/>
  <c r="C50" i="31"/>
  <c r="F50" i="31"/>
  <c r="G50" i="31"/>
  <c r="F49" i="31"/>
  <c r="G49" i="31"/>
  <c r="I49" i="31"/>
  <c r="J49" i="31"/>
  <c r="H49" i="31"/>
  <c r="I50" i="31"/>
  <c r="J50" i="31"/>
  <c r="H50" i="31"/>
  <c r="D50" i="31"/>
  <c r="C51" i="31"/>
  <c r="F51" i="31"/>
  <c r="G51" i="31"/>
  <c r="D51" i="31"/>
  <c r="B52" i="31"/>
  <c r="A53" i="31"/>
  <c r="E53" i="31"/>
  <c r="K53" i="31"/>
  <c r="E54" i="31"/>
  <c r="C52" i="31"/>
  <c r="D52" i="31"/>
  <c r="A54" i="31"/>
  <c r="K54" i="31"/>
  <c r="B53" i="31"/>
  <c r="I51" i="31"/>
  <c r="J51" i="31"/>
  <c r="H51" i="31"/>
  <c r="C53" i="31"/>
  <c r="F53" i="31"/>
  <c r="G53" i="31"/>
  <c r="E55" i="31"/>
  <c r="B54" i="31"/>
  <c r="A55" i="31"/>
  <c r="K55" i="31"/>
  <c r="F52" i="31"/>
  <c r="G52" i="31"/>
  <c r="D53" i="31"/>
  <c r="I52" i="31"/>
  <c r="J52" i="31"/>
  <c r="H52" i="31"/>
  <c r="C54" i="31"/>
  <c r="F54" i="31"/>
  <c r="G54" i="31"/>
  <c r="B55" i="31"/>
  <c r="A56" i="31"/>
  <c r="K56" i="31"/>
  <c r="E56" i="31"/>
  <c r="I53" i="31"/>
  <c r="J53" i="31"/>
  <c r="H53" i="31"/>
  <c r="E57" i="31"/>
  <c r="I54" i="31"/>
  <c r="H54" i="31"/>
  <c r="B56" i="31"/>
  <c r="A57" i="31"/>
  <c r="K57" i="31"/>
  <c r="C55" i="31"/>
  <c r="F55" i="31"/>
  <c r="G55" i="31"/>
  <c r="D54" i="31"/>
  <c r="D55" i="31"/>
  <c r="J54" i="31"/>
  <c r="I55" i="31"/>
  <c r="H55" i="31"/>
  <c r="A58" i="31"/>
  <c r="B57" i="31"/>
  <c r="C56" i="31"/>
  <c r="F56" i="31"/>
  <c r="G56" i="31"/>
  <c r="E58" i="31"/>
  <c r="E59" i="31"/>
  <c r="D56" i="31"/>
  <c r="K58" i="31"/>
  <c r="J55" i="31"/>
  <c r="C57" i="31"/>
  <c r="F57" i="31"/>
  <c r="G57" i="31"/>
  <c r="A59" i="31"/>
  <c r="K59" i="31"/>
  <c r="B58" i="31"/>
  <c r="I56" i="31"/>
  <c r="H56" i="31"/>
  <c r="J56" i="31"/>
  <c r="D57" i="31"/>
  <c r="C58" i="31"/>
  <c r="F58" i="31"/>
  <c r="G58" i="31"/>
  <c r="D58" i="31"/>
  <c r="B59" i="31"/>
  <c r="A60" i="31"/>
  <c r="I57" i="31"/>
  <c r="H57" i="31"/>
  <c r="E60" i="31"/>
  <c r="E61" i="31"/>
  <c r="K60" i="31"/>
  <c r="J57" i="31"/>
  <c r="A61" i="31"/>
  <c r="B60" i="31"/>
  <c r="C59" i="31"/>
  <c r="F59" i="31"/>
  <c r="G59" i="31"/>
  <c r="I58" i="31"/>
  <c r="H58" i="31"/>
  <c r="E62" i="31"/>
  <c r="K61" i="31"/>
  <c r="J58" i="31"/>
  <c r="D59" i="31"/>
  <c r="I59" i="31"/>
  <c r="H59" i="31"/>
  <c r="C60" i="31"/>
  <c r="D60" i="31"/>
  <c r="A62" i="31"/>
  <c r="K62" i="31"/>
  <c r="B61" i="31"/>
  <c r="J59" i="31"/>
  <c r="C61" i="31"/>
  <c r="F61" i="31"/>
  <c r="G61" i="31"/>
  <c r="A63" i="31"/>
  <c r="B62" i="31"/>
  <c r="F60" i="31"/>
  <c r="G60" i="31"/>
  <c r="E63" i="31"/>
  <c r="K63" i="31"/>
  <c r="D61" i="31"/>
  <c r="C62" i="31"/>
  <c r="F62" i="31"/>
  <c r="G62" i="31"/>
  <c r="D62" i="31"/>
  <c r="I60" i="31"/>
  <c r="H60" i="31"/>
  <c r="E64" i="31"/>
  <c r="E65" i="31"/>
  <c r="A64" i="31"/>
  <c r="K64" i="31"/>
  <c r="B63" i="31"/>
  <c r="I61" i="31"/>
  <c r="H61" i="31"/>
  <c r="J60" i="31"/>
  <c r="J61" i="31"/>
  <c r="C63" i="31"/>
  <c r="F63" i="31"/>
  <c r="G63" i="31"/>
  <c r="D63" i="31"/>
  <c r="B64" i="31"/>
  <c r="A65" i="31"/>
  <c r="K65" i="31"/>
  <c r="I62" i="31"/>
  <c r="J62" i="31"/>
  <c r="H62" i="31"/>
  <c r="C64" i="31"/>
  <c r="F64" i="31"/>
  <c r="G64" i="31"/>
  <c r="D64" i="31"/>
  <c r="B65" i="31"/>
  <c r="A66" i="31"/>
  <c r="I63" i="31"/>
  <c r="J63" i="31"/>
  <c r="H63" i="31"/>
  <c r="E66" i="31"/>
  <c r="E67" i="31"/>
  <c r="K66" i="31"/>
  <c r="A67" i="31"/>
  <c r="K67" i="31"/>
  <c r="B66" i="31"/>
  <c r="C65" i="31"/>
  <c r="F65" i="31"/>
  <c r="G65" i="31"/>
  <c r="I64" i="31"/>
  <c r="J64" i="31"/>
  <c r="H64" i="31"/>
  <c r="I65" i="31"/>
  <c r="H65" i="31"/>
  <c r="D65" i="31"/>
  <c r="C66" i="31"/>
  <c r="F66" i="31"/>
  <c r="G66" i="31"/>
  <c r="D66" i="31"/>
  <c r="A68" i="31"/>
  <c r="K68" i="31"/>
  <c r="B67" i="31"/>
  <c r="E68" i="31"/>
  <c r="E69" i="31"/>
  <c r="J65" i="31"/>
  <c r="C67" i="31"/>
  <c r="F67" i="31"/>
  <c r="G67" i="31"/>
  <c r="B68" i="31"/>
  <c r="A69" i="31"/>
  <c r="I66" i="31"/>
  <c r="H66" i="31"/>
  <c r="E70" i="31"/>
  <c r="K69" i="31"/>
  <c r="J66" i="31"/>
  <c r="C68" i="31"/>
  <c r="F68" i="31"/>
  <c r="G68" i="31"/>
  <c r="D68" i="31"/>
  <c r="A70" i="31"/>
  <c r="K70" i="31"/>
  <c r="B69" i="31"/>
  <c r="C69" i="31"/>
  <c r="I67" i="31"/>
  <c r="H67" i="31"/>
  <c r="D67" i="31"/>
  <c r="J67" i="31"/>
  <c r="B70" i="31"/>
  <c r="A71" i="31"/>
  <c r="D69" i="31"/>
  <c r="F69" i="31"/>
  <c r="G69" i="31"/>
  <c r="I68" i="31"/>
  <c r="H68" i="31"/>
  <c r="E71" i="31"/>
  <c r="K71" i="31"/>
  <c r="J68" i="31"/>
  <c r="I69" i="31"/>
  <c r="H69" i="31"/>
  <c r="E72" i="31"/>
  <c r="B71" i="31"/>
  <c r="A72" i="31"/>
  <c r="K72" i="31"/>
  <c r="C70" i="31"/>
  <c r="D70" i="31"/>
  <c r="J69" i="31"/>
  <c r="E73" i="31"/>
  <c r="A73" i="31"/>
  <c r="B72" i="31"/>
  <c r="C72" i="31"/>
  <c r="C71" i="31"/>
  <c r="F71" i="31"/>
  <c r="G71" i="31"/>
  <c r="F70" i="31"/>
  <c r="G70" i="31"/>
  <c r="K73" i="31"/>
  <c r="I71" i="31"/>
  <c r="H71" i="31"/>
  <c r="I70" i="31"/>
  <c r="H70" i="31"/>
  <c r="D71" i="31"/>
  <c r="D72" i="31"/>
  <c r="F72" i="31"/>
  <c r="G72" i="31"/>
  <c r="A74" i="31"/>
  <c r="B73" i="31"/>
  <c r="E74" i="31"/>
  <c r="E75" i="31"/>
  <c r="K74" i="31"/>
  <c r="J70" i="31"/>
  <c r="J71" i="31"/>
  <c r="I72" i="31"/>
  <c r="H72" i="31"/>
  <c r="A75" i="31"/>
  <c r="K75" i="31"/>
  <c r="B74" i="31"/>
  <c r="C73" i="31"/>
  <c r="F73" i="31"/>
  <c r="G73" i="31"/>
  <c r="D73" i="31"/>
  <c r="J72" i="31"/>
  <c r="C74" i="31"/>
  <c r="F74" i="31"/>
  <c r="G74" i="31"/>
  <c r="I73" i="31"/>
  <c r="H73" i="31"/>
  <c r="E76" i="31"/>
  <c r="B75" i="31"/>
  <c r="A76" i="31"/>
  <c r="K76" i="31"/>
  <c r="D74" i="31"/>
  <c r="J73" i="31"/>
  <c r="E77" i="31"/>
  <c r="C75" i="31"/>
  <c r="F75" i="31"/>
  <c r="G75" i="31"/>
  <c r="D75" i="31"/>
  <c r="A77" i="31"/>
  <c r="K77" i="31"/>
  <c r="B76" i="31"/>
  <c r="C76" i="31"/>
  <c r="I74" i="31"/>
  <c r="H74" i="31"/>
  <c r="J74" i="31"/>
  <c r="D76" i="31"/>
  <c r="F76" i="31"/>
  <c r="G76" i="31"/>
  <c r="B77" i="31"/>
  <c r="A78" i="31"/>
  <c r="K78" i="31"/>
  <c r="E78" i="31"/>
  <c r="I75" i="31"/>
  <c r="H75" i="31"/>
  <c r="J75" i="31"/>
  <c r="I76" i="31"/>
  <c r="H76" i="31"/>
  <c r="C77" i="31"/>
  <c r="D77" i="31"/>
  <c r="E79" i="31"/>
  <c r="B78" i="31"/>
  <c r="A79" i="31"/>
  <c r="K79" i="31"/>
  <c r="E80" i="31"/>
  <c r="J76" i="31"/>
  <c r="B79" i="31"/>
  <c r="C79" i="31"/>
  <c r="A80" i="31"/>
  <c r="K80" i="31"/>
  <c r="C78" i="31"/>
  <c r="D78" i="31"/>
  <c r="G77" i="31"/>
  <c r="F77" i="31"/>
  <c r="I77" i="31"/>
  <c r="H77" i="31"/>
  <c r="G78" i="31"/>
  <c r="F78" i="31"/>
  <c r="A81" i="31"/>
  <c r="K81" i="31"/>
  <c r="B80" i="31"/>
  <c r="C80" i="31"/>
  <c r="D79" i="31"/>
  <c r="G79" i="31"/>
  <c r="F79" i="31"/>
  <c r="E81" i="31"/>
  <c r="E82" i="31"/>
  <c r="J77" i="31"/>
  <c r="I78" i="31"/>
  <c r="H78" i="31"/>
  <c r="D80" i="31"/>
  <c r="G80" i="31"/>
  <c r="F80" i="31"/>
  <c r="I79" i="31"/>
  <c r="H79" i="31"/>
  <c r="B81" i="31"/>
  <c r="A82" i="31"/>
  <c r="K82" i="31"/>
  <c r="J79" i="31"/>
  <c r="J78" i="31"/>
  <c r="A83" i="31"/>
  <c r="B82" i="31"/>
  <c r="C81" i="31"/>
  <c r="D81" i="31"/>
  <c r="E83" i="31"/>
  <c r="E84" i="31"/>
  <c r="I80" i="31"/>
  <c r="H80" i="31"/>
  <c r="K83" i="31"/>
  <c r="J80" i="31"/>
  <c r="G81" i="31"/>
  <c r="F81" i="31"/>
  <c r="C82" i="31"/>
  <c r="D82" i="31"/>
  <c r="B83" i="31"/>
  <c r="A84" i="31"/>
  <c r="K84" i="31"/>
  <c r="B84" i="31"/>
  <c r="A85" i="31"/>
  <c r="K85" i="31"/>
  <c r="C83" i="31"/>
  <c r="D83" i="31"/>
  <c r="F82" i="31"/>
  <c r="G82" i="31"/>
  <c r="I81" i="31"/>
  <c r="H81" i="31"/>
  <c r="E85" i="31"/>
  <c r="J81" i="31"/>
  <c r="E86" i="31"/>
  <c r="A86" i="31"/>
  <c r="K86" i="31"/>
  <c r="B85" i="31"/>
  <c r="I82" i="31"/>
  <c r="H82" i="31"/>
  <c r="G83" i="31"/>
  <c r="F83" i="31"/>
  <c r="C84" i="31"/>
  <c r="D84" i="31"/>
  <c r="J82" i="31"/>
  <c r="I83" i="31"/>
  <c r="H83" i="31"/>
  <c r="B86" i="31"/>
  <c r="A87" i="31"/>
  <c r="K87" i="31"/>
  <c r="G84" i="31"/>
  <c r="F84" i="31"/>
  <c r="C85" i="31"/>
  <c r="D85" i="31"/>
  <c r="E87" i="31"/>
  <c r="E88" i="31"/>
  <c r="J83" i="31"/>
  <c r="C86" i="31"/>
  <c r="D86" i="31"/>
  <c r="G85" i="31"/>
  <c r="F85" i="31"/>
  <c r="I84" i="31"/>
  <c r="H84" i="31"/>
  <c r="A88" i="31"/>
  <c r="K88" i="31"/>
  <c r="B87" i="31"/>
  <c r="J84" i="31"/>
  <c r="B88" i="31"/>
  <c r="A89" i="31"/>
  <c r="K89" i="31"/>
  <c r="C87" i="31"/>
  <c r="D87" i="31"/>
  <c r="I85" i="31"/>
  <c r="H85" i="31"/>
  <c r="E89" i="31"/>
  <c r="E90" i="31"/>
  <c r="G86" i="31"/>
  <c r="F86" i="31"/>
  <c r="J85" i="31"/>
  <c r="I86" i="31"/>
  <c r="H86" i="31"/>
  <c r="F87" i="31"/>
  <c r="G87" i="31"/>
  <c r="A90" i="31"/>
  <c r="K90" i="31"/>
  <c r="B89" i="31"/>
  <c r="C88" i="31"/>
  <c r="D88" i="31"/>
  <c r="J86" i="31"/>
  <c r="G88" i="31"/>
  <c r="F88" i="31"/>
  <c r="C89" i="31"/>
  <c r="D89" i="31"/>
  <c r="A91" i="31"/>
  <c r="K91" i="31"/>
  <c r="B90" i="31"/>
  <c r="C90" i="31"/>
  <c r="I87" i="31"/>
  <c r="H87" i="31"/>
  <c r="E91" i="31"/>
  <c r="E92" i="31"/>
  <c r="J87" i="31"/>
  <c r="A92" i="31"/>
  <c r="K92" i="31"/>
  <c r="B91" i="31"/>
  <c r="C91" i="31"/>
  <c r="D90" i="31"/>
  <c r="G90" i="31"/>
  <c r="F90" i="31"/>
  <c r="F89" i="31"/>
  <c r="G89" i="31"/>
  <c r="I88" i="31"/>
  <c r="H88" i="31"/>
  <c r="J88" i="31"/>
  <c r="I90" i="31"/>
  <c r="H90" i="31"/>
  <c r="I89" i="31"/>
  <c r="H89" i="31"/>
  <c r="D91" i="31"/>
  <c r="G91" i="31"/>
  <c r="F91" i="31"/>
  <c r="A93" i="31"/>
  <c r="B92" i="31"/>
  <c r="E93" i="31"/>
  <c r="E94" i="31"/>
  <c r="K93" i="31"/>
  <c r="J89" i="31"/>
  <c r="J90" i="31"/>
  <c r="C92" i="31"/>
  <c r="D92" i="31"/>
  <c r="B93" i="31"/>
  <c r="A94" i="31"/>
  <c r="K94" i="31"/>
  <c r="I91" i="31"/>
  <c r="H91" i="31"/>
  <c r="J91" i="31"/>
  <c r="A95" i="31"/>
  <c r="B94" i="31"/>
  <c r="C94" i="31"/>
  <c r="C93" i="31"/>
  <c r="F93" i="31"/>
  <c r="G93" i="31"/>
  <c r="G92" i="31"/>
  <c r="F92" i="31"/>
  <c r="E95" i="31"/>
  <c r="E96" i="31"/>
  <c r="K95" i="31"/>
  <c r="I93" i="31"/>
  <c r="J93" i="31"/>
  <c r="H93" i="31"/>
  <c r="I92" i="31"/>
  <c r="H92" i="31"/>
  <c r="D93" i="31"/>
  <c r="D94" i="31"/>
  <c r="F94" i="31"/>
  <c r="G94" i="31"/>
  <c r="B95" i="31"/>
  <c r="C95" i="31"/>
  <c r="A96" i="31"/>
  <c r="K96" i="31"/>
  <c r="J92" i="31"/>
  <c r="A97" i="31"/>
  <c r="K97" i="31"/>
  <c r="B96" i="31"/>
  <c r="D95" i="31"/>
  <c r="F95" i="31"/>
  <c r="G95" i="31"/>
  <c r="I94" i="31"/>
  <c r="J94" i="31"/>
  <c r="H94" i="31"/>
  <c r="E97" i="31"/>
  <c r="E98" i="31"/>
  <c r="C96" i="31"/>
  <c r="F96" i="31"/>
  <c r="G96" i="31"/>
  <c r="I95" i="31"/>
  <c r="J95" i="31"/>
  <c r="H95" i="31"/>
  <c r="A98" i="31"/>
  <c r="K98" i="31"/>
  <c r="B97" i="31"/>
  <c r="D96" i="31"/>
  <c r="A99" i="31"/>
  <c r="K99" i="31"/>
  <c r="B98" i="31"/>
  <c r="C97" i="31"/>
  <c r="F97" i="31"/>
  <c r="G97" i="31"/>
  <c r="D97" i="31"/>
  <c r="I96" i="31"/>
  <c r="J96" i="31"/>
  <c r="H96" i="31"/>
  <c r="E99" i="31"/>
  <c r="E100" i="31"/>
  <c r="I97" i="31"/>
  <c r="J97" i="31"/>
  <c r="H97" i="31"/>
  <c r="C98" i="31"/>
  <c r="F98" i="31"/>
  <c r="G98" i="31"/>
  <c r="D98" i="31"/>
  <c r="A100" i="31"/>
  <c r="K100" i="31"/>
  <c r="B99" i="31"/>
  <c r="C99" i="31"/>
  <c r="F99" i="31"/>
  <c r="G99" i="31"/>
  <c r="D99" i="31"/>
  <c r="B100" i="31"/>
  <c r="C100" i="31"/>
  <c r="A101" i="31"/>
  <c r="I98" i="31"/>
  <c r="J98" i="31"/>
  <c r="H98" i="31"/>
  <c r="E101" i="31"/>
  <c r="E102" i="31"/>
  <c r="K101" i="31"/>
  <c r="B101" i="31"/>
  <c r="A102" i="31"/>
  <c r="K102" i="31"/>
  <c r="D100" i="31"/>
  <c r="F100" i="31"/>
  <c r="G100" i="31"/>
  <c r="I99" i="31"/>
  <c r="J99" i="31"/>
  <c r="H99" i="31"/>
  <c r="I100" i="31"/>
  <c r="J100" i="31"/>
  <c r="H100" i="31"/>
  <c r="A103" i="31"/>
  <c r="B102" i="31"/>
  <c r="C101" i="31"/>
  <c r="F101" i="31"/>
  <c r="G101" i="31"/>
  <c r="E103" i="31"/>
  <c r="K103" i="31"/>
  <c r="D101" i="31"/>
  <c r="I101" i="31"/>
  <c r="J101" i="31"/>
  <c r="H101" i="31"/>
  <c r="C102" i="31"/>
  <c r="F102" i="31"/>
  <c r="G102" i="31"/>
  <c r="D102" i="31"/>
  <c r="E104" i="31"/>
  <c r="B103" i="31"/>
  <c r="A104" i="31"/>
  <c r="K104" i="31"/>
  <c r="B104" i="31"/>
  <c r="A105" i="31"/>
  <c r="C103" i="31"/>
  <c r="F103" i="31"/>
  <c r="G103" i="31"/>
  <c r="E105" i="31"/>
  <c r="E106" i="31"/>
  <c r="I102" i="31"/>
  <c r="H102" i="31"/>
  <c r="K105" i="31"/>
  <c r="D103" i="31"/>
  <c r="J102" i="31"/>
  <c r="A106" i="31"/>
  <c r="K106" i="31"/>
  <c r="B105" i="31"/>
  <c r="I103" i="31"/>
  <c r="H103" i="31"/>
  <c r="C104" i="31"/>
  <c r="D104" i="31"/>
  <c r="J103" i="31"/>
  <c r="F104" i="31"/>
  <c r="G104" i="31"/>
  <c r="C105" i="31"/>
  <c r="B106" i="31"/>
  <c r="A107" i="31"/>
  <c r="K107" i="31"/>
  <c r="E107" i="31"/>
  <c r="C106" i="31"/>
  <c r="F106" i="31"/>
  <c r="G106" i="31"/>
  <c r="D106" i="31"/>
  <c r="F105" i="31"/>
  <c r="G105" i="31"/>
  <c r="E108" i="31"/>
  <c r="B107" i="31"/>
  <c r="A108" i="31"/>
  <c r="K108" i="31"/>
  <c r="D105" i="31"/>
  <c r="I104" i="31"/>
  <c r="H104" i="31"/>
  <c r="J104" i="31"/>
  <c r="B108" i="31"/>
  <c r="C108" i="31"/>
  <c r="A109" i="31"/>
  <c r="I105" i="31"/>
  <c r="H105" i="31"/>
  <c r="C107" i="31"/>
  <c r="F107" i="31"/>
  <c r="G107" i="31"/>
  <c r="E109" i="31"/>
  <c r="E110" i="31"/>
  <c r="I106" i="31"/>
  <c r="H106" i="31"/>
  <c r="K109" i="31"/>
  <c r="J106" i="31"/>
  <c r="D107" i="31"/>
  <c r="J105" i="31"/>
  <c r="B109" i="31"/>
  <c r="A110" i="31"/>
  <c r="K110" i="31"/>
  <c r="I107" i="31"/>
  <c r="H107" i="31"/>
  <c r="D108" i="31"/>
  <c r="F108" i="31"/>
  <c r="G108" i="31"/>
  <c r="J107" i="31"/>
  <c r="I108" i="31"/>
  <c r="H108" i="31"/>
  <c r="E111" i="31"/>
  <c r="A111" i="31"/>
  <c r="K111" i="31"/>
  <c r="B110" i="31"/>
  <c r="C109" i="31"/>
  <c r="F109" i="31"/>
  <c r="G109" i="31"/>
  <c r="J108" i="31"/>
  <c r="I109" i="31"/>
  <c r="H109" i="31"/>
  <c r="D109" i="31"/>
  <c r="C110" i="31"/>
  <c r="F110" i="31"/>
  <c r="G110" i="31"/>
  <c r="B111" i="31"/>
  <c r="A112" i="31"/>
  <c r="E112" i="31"/>
  <c r="K112" i="31"/>
  <c r="D110" i="31"/>
  <c r="E113" i="31"/>
  <c r="J109" i="31"/>
  <c r="C111" i="31"/>
  <c r="F111" i="31"/>
  <c r="G111" i="31"/>
  <c r="D111" i="31"/>
  <c r="A113" i="31"/>
  <c r="K113" i="31"/>
  <c r="B112" i="31"/>
  <c r="C112" i="31"/>
  <c r="I110" i="31"/>
  <c r="J110" i="31"/>
  <c r="H110" i="31"/>
  <c r="D112" i="31"/>
  <c r="F112" i="31"/>
  <c r="G112" i="31"/>
  <c r="E114" i="31"/>
  <c r="B113" i="31"/>
  <c r="C113" i="31"/>
  <c r="A114" i="31"/>
  <c r="K114" i="31"/>
  <c r="I111" i="31"/>
  <c r="J111" i="31"/>
  <c r="H111" i="31"/>
  <c r="E115" i="31"/>
  <c r="B114" i="31"/>
  <c r="A115" i="31"/>
  <c r="K115" i="31"/>
  <c r="D113" i="31"/>
  <c r="F113" i="31"/>
  <c r="G113" i="31"/>
  <c r="I112" i="31"/>
  <c r="J112" i="31"/>
  <c r="H112" i="31"/>
  <c r="C114" i="31"/>
  <c r="F114" i="31"/>
  <c r="G114" i="31"/>
  <c r="I113" i="31"/>
  <c r="J113" i="31"/>
  <c r="H113" i="31"/>
  <c r="B115" i="31"/>
  <c r="A116" i="31"/>
  <c r="E116" i="31"/>
  <c r="K116" i="31"/>
  <c r="C115" i="31"/>
  <c r="F115" i="31"/>
  <c r="G115" i="31"/>
  <c r="D115" i="31"/>
  <c r="E117" i="31"/>
  <c r="A117" i="31"/>
  <c r="K117" i="31"/>
  <c r="B116" i="31"/>
  <c r="C116" i="31"/>
  <c r="I114" i="31"/>
  <c r="J114" i="31"/>
  <c r="H114" i="31"/>
  <c r="D114" i="31"/>
  <c r="E118" i="31"/>
  <c r="D116" i="31"/>
  <c r="F116" i="31"/>
  <c r="G116" i="31"/>
  <c r="B117" i="31"/>
  <c r="A118" i="31"/>
  <c r="K118" i="31"/>
  <c r="I115" i="31"/>
  <c r="J115" i="31"/>
  <c r="H115" i="31"/>
  <c r="A119" i="31"/>
  <c r="B118" i="31"/>
  <c r="C117" i="31"/>
  <c r="F117" i="31"/>
  <c r="G117" i="31"/>
  <c r="I116" i="31"/>
  <c r="H116" i="31"/>
  <c r="E119" i="31"/>
  <c r="E120" i="31"/>
  <c r="K119" i="31"/>
  <c r="J116" i="31"/>
  <c r="I117" i="31"/>
  <c r="H117" i="31"/>
  <c r="D117" i="31"/>
  <c r="C118" i="31"/>
  <c r="F118" i="31"/>
  <c r="G118" i="31"/>
  <c r="B119" i="31"/>
  <c r="C119" i="31"/>
  <c r="A120" i="31"/>
  <c r="K120" i="31"/>
  <c r="D118" i="31"/>
  <c r="J117" i="31"/>
  <c r="D119" i="31"/>
  <c r="F119" i="31"/>
  <c r="G119" i="31"/>
  <c r="B120" i="31"/>
  <c r="A121" i="31"/>
  <c r="I118" i="31"/>
  <c r="H118" i="31"/>
  <c r="E121" i="31"/>
  <c r="E122" i="31"/>
  <c r="K121" i="31"/>
  <c r="J118" i="31"/>
  <c r="A122" i="31"/>
  <c r="K122" i="31"/>
  <c r="B121" i="31"/>
  <c r="C120" i="31"/>
  <c r="I119" i="31"/>
  <c r="H119" i="31"/>
  <c r="J119" i="31"/>
  <c r="F120" i="31"/>
  <c r="G120" i="31"/>
  <c r="D120" i="31"/>
  <c r="C121" i="31"/>
  <c r="F121" i="31"/>
  <c r="G121" i="31"/>
  <c r="D121" i="31"/>
  <c r="B122" i="31"/>
  <c r="C122" i="31"/>
  <c r="A123" i="31"/>
  <c r="E123" i="31"/>
  <c r="E124" i="31"/>
  <c r="K123" i="31"/>
  <c r="I120" i="31"/>
  <c r="H120" i="31"/>
  <c r="D122" i="31"/>
  <c r="F122" i="31"/>
  <c r="G122" i="31"/>
  <c r="B123" i="31"/>
  <c r="A124" i="31"/>
  <c r="K124" i="31"/>
  <c r="I121" i="31"/>
  <c r="H121" i="31"/>
  <c r="J121" i="31"/>
  <c r="J120" i="31"/>
  <c r="C123" i="31"/>
  <c r="F123" i="31"/>
  <c r="G123" i="31"/>
  <c r="D123" i="31"/>
  <c r="B124" i="31"/>
  <c r="A125" i="31"/>
  <c r="I122" i="31"/>
  <c r="H122" i="31"/>
  <c r="E125" i="31"/>
  <c r="E126" i="31"/>
  <c r="K125" i="31"/>
  <c r="J122" i="31"/>
  <c r="A126" i="31"/>
  <c r="K126" i="31"/>
  <c r="B125" i="31"/>
  <c r="C124" i="31"/>
  <c r="F124" i="31"/>
  <c r="G124" i="31"/>
  <c r="I123" i="31"/>
  <c r="H123" i="31"/>
  <c r="J123" i="31"/>
  <c r="I124" i="31"/>
  <c r="H124" i="31"/>
  <c r="D124" i="31"/>
  <c r="C125" i="31"/>
  <c r="F125" i="31"/>
  <c r="G125" i="31"/>
  <c r="D125" i="31"/>
  <c r="A127" i="31"/>
  <c r="K127" i="31"/>
  <c r="B126" i="31"/>
  <c r="E127" i="31"/>
  <c r="E128" i="31"/>
  <c r="J124" i="31"/>
  <c r="B127" i="31"/>
  <c r="C127" i="31"/>
  <c r="A128" i="31"/>
  <c r="K128" i="31"/>
  <c r="C126" i="31"/>
  <c r="F126" i="31"/>
  <c r="G126" i="31"/>
  <c r="D126" i="31"/>
  <c r="I125" i="31"/>
  <c r="H125" i="31"/>
  <c r="J125" i="31"/>
  <c r="B128" i="31"/>
  <c r="C128" i="31"/>
  <c r="A129" i="31"/>
  <c r="I126" i="31"/>
  <c r="H126" i="31"/>
  <c r="E129" i="31"/>
  <c r="E130" i="31"/>
  <c r="D127" i="31"/>
  <c r="F127" i="31"/>
  <c r="G127" i="31"/>
  <c r="K129" i="31"/>
  <c r="J126" i="31"/>
  <c r="I127" i="31"/>
  <c r="H127" i="31"/>
  <c r="B129" i="31"/>
  <c r="C129" i="31"/>
  <c r="A130" i="31"/>
  <c r="K130" i="31"/>
  <c r="D128" i="31"/>
  <c r="F128" i="31"/>
  <c r="G128" i="31"/>
  <c r="J127" i="31"/>
  <c r="A131" i="31"/>
  <c r="B130" i="31"/>
  <c r="E131" i="31"/>
  <c r="E132" i="31"/>
  <c r="I128" i="31"/>
  <c r="J128" i="31"/>
  <c r="H128" i="31"/>
  <c r="D129" i="31"/>
  <c r="F129" i="31"/>
  <c r="G129" i="31"/>
  <c r="K131" i="31"/>
  <c r="I129" i="31"/>
  <c r="J129" i="31"/>
  <c r="H129" i="31"/>
  <c r="C130" i="31"/>
  <c r="F130" i="31"/>
  <c r="G130" i="31"/>
  <c r="A132" i="31"/>
  <c r="K132" i="31"/>
  <c r="B131" i="31"/>
  <c r="D130" i="31"/>
  <c r="A133" i="31"/>
  <c r="B132" i="31"/>
  <c r="C131" i="31"/>
  <c r="F131" i="31"/>
  <c r="G131" i="31"/>
  <c r="I130" i="31"/>
  <c r="J130" i="31"/>
  <c r="H130" i="31"/>
  <c r="E133" i="31"/>
  <c r="E134" i="31"/>
  <c r="K133" i="31"/>
  <c r="I131" i="31"/>
  <c r="H131" i="31"/>
  <c r="D131" i="31"/>
  <c r="C132" i="31"/>
  <c r="F132" i="31"/>
  <c r="G132" i="31"/>
  <c r="A134" i="31"/>
  <c r="K134" i="31"/>
  <c r="B133" i="31"/>
  <c r="J131" i="31"/>
  <c r="I132" i="31"/>
  <c r="H132" i="31"/>
  <c r="B134" i="31"/>
  <c r="A135" i="31"/>
  <c r="K135" i="31"/>
  <c r="C133" i="31"/>
  <c r="F133" i="31"/>
  <c r="G133" i="31"/>
  <c r="D132" i="31"/>
  <c r="E135" i="31"/>
  <c r="E136" i="31"/>
  <c r="J132" i="31"/>
  <c r="D133" i="31"/>
  <c r="I133" i="31"/>
  <c r="H133" i="31"/>
  <c r="A136" i="31"/>
  <c r="K136" i="31"/>
  <c r="B135" i="31"/>
  <c r="C134" i="31"/>
  <c r="F134" i="31"/>
  <c r="G134" i="31"/>
  <c r="J133" i="31"/>
  <c r="I134" i="31"/>
  <c r="H134" i="31"/>
  <c r="D134" i="31"/>
  <c r="C135" i="31"/>
  <c r="F135" i="31"/>
  <c r="G135" i="31"/>
  <c r="D135" i="31"/>
  <c r="A137" i="31"/>
  <c r="K137" i="31"/>
  <c r="B136" i="31"/>
  <c r="E137" i="31"/>
  <c r="J134" i="31"/>
  <c r="A138" i="31"/>
  <c r="B137" i="31"/>
  <c r="C136" i="31"/>
  <c r="D136" i="31"/>
  <c r="E138" i="31"/>
  <c r="E139" i="31"/>
  <c r="I135" i="31"/>
  <c r="H135" i="31"/>
  <c r="K138" i="31"/>
  <c r="J135" i="31"/>
  <c r="F136" i="31"/>
  <c r="G136" i="31"/>
  <c r="C137" i="31"/>
  <c r="F137" i="31"/>
  <c r="G137" i="31"/>
  <c r="A139" i="31"/>
  <c r="K139" i="31"/>
  <c r="B138" i="31"/>
  <c r="D137" i="31"/>
  <c r="I137" i="31"/>
  <c r="H137" i="31"/>
  <c r="C138" i="31"/>
  <c r="F138" i="31"/>
  <c r="G138" i="31"/>
  <c r="B139" i="31"/>
  <c r="A140" i="31"/>
  <c r="I136" i="31"/>
  <c r="H136" i="31"/>
  <c r="E140" i="31"/>
  <c r="E141" i="31"/>
  <c r="K140" i="31"/>
  <c r="D138" i="31"/>
  <c r="J136" i="31"/>
  <c r="J137" i="31"/>
  <c r="I138" i="31"/>
  <c r="H138" i="31"/>
  <c r="B140" i="31"/>
  <c r="C140" i="31"/>
  <c r="A141" i="31"/>
  <c r="K141" i="31"/>
  <c r="C139" i="31"/>
  <c r="F139" i="31"/>
  <c r="G139" i="31"/>
  <c r="J138" i="31"/>
  <c r="B141" i="31"/>
  <c r="A142" i="31"/>
  <c r="I139" i="31"/>
  <c r="H139" i="31"/>
  <c r="E142" i="31"/>
  <c r="E143" i="31"/>
  <c r="D139" i="31"/>
  <c r="D140" i="31"/>
  <c r="F140" i="31"/>
  <c r="G140" i="31"/>
  <c r="K142" i="31"/>
  <c r="J139" i="31"/>
  <c r="I140" i="31"/>
  <c r="H140" i="31"/>
  <c r="A143" i="31"/>
  <c r="K143" i="31"/>
  <c r="B142" i="31"/>
  <c r="E144" i="31"/>
  <c r="C141" i="31"/>
  <c r="F141" i="31"/>
  <c r="G141" i="31"/>
  <c r="D141" i="31"/>
  <c r="J140" i="31"/>
  <c r="I141" i="31"/>
  <c r="H141" i="31"/>
  <c r="C142" i="31"/>
  <c r="F142" i="31"/>
  <c r="G142" i="31"/>
  <c r="D142" i="31"/>
  <c r="B143" i="31"/>
  <c r="C143" i="31"/>
  <c r="A144" i="31"/>
  <c r="K144" i="31"/>
  <c r="J141" i="31"/>
  <c r="B144" i="31"/>
  <c r="C144" i="31"/>
  <c r="A145" i="31"/>
  <c r="D143" i="31"/>
  <c r="F143" i="31"/>
  <c r="G143" i="31"/>
  <c r="I142" i="31"/>
  <c r="H142" i="31"/>
  <c r="E145" i="31"/>
  <c r="E146" i="31"/>
  <c r="K145" i="31"/>
  <c r="J142" i="31"/>
  <c r="A146" i="31"/>
  <c r="K146" i="31"/>
  <c r="B145" i="31"/>
  <c r="I143" i="31"/>
  <c r="H143" i="31"/>
  <c r="D144" i="31"/>
  <c r="F144" i="31"/>
  <c r="G144" i="31"/>
  <c r="J143" i="31"/>
  <c r="I144" i="31"/>
  <c r="H144" i="31"/>
  <c r="C145" i="31"/>
  <c r="F145" i="31"/>
  <c r="G145" i="31"/>
  <c r="D145" i="31"/>
  <c r="A147" i="31"/>
  <c r="K147" i="31"/>
  <c r="B146" i="31"/>
  <c r="E147" i="31"/>
  <c r="J144" i="31"/>
  <c r="B147" i="31"/>
  <c r="A148" i="31"/>
  <c r="K148" i="31"/>
  <c r="E148" i="31"/>
  <c r="E149" i="31"/>
  <c r="I145" i="31"/>
  <c r="H145" i="31"/>
  <c r="C146" i="31"/>
  <c r="F146" i="31"/>
  <c r="G146" i="31"/>
  <c r="J145" i="31"/>
  <c r="I146" i="31"/>
  <c r="H146" i="31"/>
  <c r="D146" i="31"/>
  <c r="A149" i="31"/>
  <c r="K149" i="31"/>
  <c r="B148" i="31"/>
  <c r="C147" i="31"/>
  <c r="J146" i="31"/>
  <c r="C148" i="31"/>
  <c r="A150" i="31"/>
  <c r="B149" i="31"/>
  <c r="G147" i="31"/>
  <c r="F147" i="31"/>
  <c r="D147" i="31"/>
  <c r="E150" i="31"/>
  <c r="E151" i="31"/>
  <c r="K150" i="31"/>
  <c r="I147" i="31"/>
  <c r="H147" i="31"/>
  <c r="C149" i="31"/>
  <c r="D149" i="31"/>
  <c r="B150" i="31"/>
  <c r="C150" i="31"/>
  <c r="A151" i="31"/>
  <c r="K151" i="31"/>
  <c r="G148" i="31"/>
  <c r="F148" i="31"/>
  <c r="D148" i="31"/>
  <c r="J147" i="31"/>
  <c r="B151" i="31"/>
  <c r="A152" i="31"/>
  <c r="I148" i="31"/>
  <c r="H148" i="31"/>
  <c r="D150" i="31"/>
  <c r="G150" i="31"/>
  <c r="F150" i="31"/>
  <c r="F149" i="31"/>
  <c r="G149" i="31"/>
  <c r="E152" i="31"/>
  <c r="E153" i="31"/>
  <c r="K152" i="31"/>
  <c r="J148" i="31"/>
  <c r="I150" i="31"/>
  <c r="H150" i="31"/>
  <c r="I149" i="31"/>
  <c r="H149" i="31"/>
  <c r="A153" i="31"/>
  <c r="K153" i="31"/>
  <c r="B152" i="31"/>
  <c r="C151" i="31"/>
  <c r="D151" i="31"/>
  <c r="J149" i="31"/>
  <c r="J150" i="31"/>
  <c r="C152" i="31"/>
  <c r="D152" i="31"/>
  <c r="A154" i="31"/>
  <c r="B153" i="31"/>
  <c r="G151" i="31"/>
  <c r="F151" i="31"/>
  <c r="E154" i="31"/>
  <c r="E155" i="31"/>
  <c r="K154" i="31"/>
  <c r="C153" i="31"/>
  <c r="D153" i="31"/>
  <c r="I151" i="31"/>
  <c r="H151" i="31"/>
  <c r="B154" i="31"/>
  <c r="A155" i="31"/>
  <c r="K155" i="31"/>
  <c r="G152" i="31"/>
  <c r="F152" i="31"/>
  <c r="J151" i="31"/>
  <c r="I152" i="31"/>
  <c r="H152" i="31"/>
  <c r="B155" i="31"/>
  <c r="A156" i="31"/>
  <c r="C154" i="31"/>
  <c r="D154" i="31"/>
  <c r="E156" i="31"/>
  <c r="E157" i="31"/>
  <c r="G153" i="31"/>
  <c r="F153" i="31"/>
  <c r="K156" i="31"/>
  <c r="J152" i="31"/>
  <c r="C155" i="31"/>
  <c r="B156" i="31"/>
  <c r="C156" i="31"/>
  <c r="A157" i="31"/>
  <c r="K157" i="31"/>
  <c r="I153" i="31"/>
  <c r="H153" i="31"/>
  <c r="F154" i="31"/>
  <c r="G154" i="31"/>
  <c r="J153" i="31"/>
  <c r="I154" i="31"/>
  <c r="H154" i="31"/>
  <c r="B157" i="31"/>
  <c r="A158" i="31"/>
  <c r="F155" i="31"/>
  <c r="G155" i="31"/>
  <c r="D156" i="31"/>
  <c r="G156" i="31"/>
  <c r="F156" i="31"/>
  <c r="D155" i="31"/>
  <c r="E158" i="31"/>
  <c r="E159" i="31"/>
  <c r="K158" i="31"/>
  <c r="J154" i="31"/>
  <c r="I156" i="31"/>
  <c r="H156" i="31"/>
  <c r="I155" i="31"/>
  <c r="H155" i="31"/>
  <c r="A159" i="31"/>
  <c r="K159" i="31"/>
  <c r="B158" i="31"/>
  <c r="C157" i="31"/>
  <c r="J155" i="31"/>
  <c r="J156" i="31"/>
  <c r="G157" i="31"/>
  <c r="F157" i="31"/>
  <c r="D157" i="31"/>
  <c r="C158" i="31"/>
  <c r="B159" i="31"/>
  <c r="A160" i="31"/>
  <c r="K160" i="31"/>
  <c r="E160" i="31"/>
  <c r="E161" i="31"/>
  <c r="A161" i="31"/>
  <c r="B160" i="31"/>
  <c r="F158" i="31"/>
  <c r="G158" i="31"/>
  <c r="C159" i="31"/>
  <c r="D159" i="31"/>
  <c r="D158" i="31"/>
  <c r="I157" i="31"/>
  <c r="H157" i="31"/>
  <c r="E162" i="31"/>
  <c r="K161" i="31"/>
  <c r="J157" i="31"/>
  <c r="I158" i="31"/>
  <c r="H158" i="31"/>
  <c r="C160" i="31"/>
  <c r="B161" i="31"/>
  <c r="A162" i="31"/>
  <c r="K162" i="31"/>
  <c r="G159" i="31"/>
  <c r="F159" i="31"/>
  <c r="E163" i="31"/>
  <c r="J158" i="31"/>
  <c r="G160" i="31"/>
  <c r="F160" i="31"/>
  <c r="I159" i="31"/>
  <c r="H159" i="31"/>
  <c r="A163" i="31"/>
  <c r="K163" i="31"/>
  <c r="B162" i="31"/>
  <c r="C161" i="31"/>
  <c r="D160" i="31"/>
  <c r="J159" i="31"/>
  <c r="F161" i="31"/>
  <c r="G161" i="31"/>
  <c r="D161" i="31"/>
  <c r="C162" i="31"/>
  <c r="D162" i="31"/>
  <c r="B163" i="31"/>
  <c r="A164" i="31"/>
  <c r="K164" i="31"/>
  <c r="E164" i="31"/>
  <c r="E165" i="31"/>
  <c r="I160" i="31"/>
  <c r="H160" i="31"/>
  <c r="J160" i="31"/>
  <c r="A165" i="31"/>
  <c r="K165" i="31"/>
  <c r="B164" i="31"/>
  <c r="C163" i="31"/>
  <c r="D163" i="31"/>
  <c r="G162" i="31"/>
  <c r="F162" i="31"/>
  <c r="I161" i="31"/>
  <c r="H161" i="31"/>
  <c r="J161" i="31"/>
  <c r="I162" i="31"/>
  <c r="H162" i="31"/>
  <c r="F163" i="31"/>
  <c r="G163" i="31"/>
  <c r="C164" i="31"/>
  <c r="D164" i="31"/>
  <c r="B165" i="31"/>
  <c r="A166" i="31"/>
  <c r="E166" i="31"/>
  <c r="E167" i="31"/>
  <c r="K166" i="31"/>
  <c r="J162" i="31"/>
  <c r="A167" i="31"/>
  <c r="K167" i="31"/>
  <c r="B166" i="31"/>
  <c r="E168" i="31"/>
  <c r="C165" i="31"/>
  <c r="D165" i="31"/>
  <c r="G164" i="31"/>
  <c r="F164" i="31"/>
  <c r="I163" i="31"/>
  <c r="H163" i="31"/>
  <c r="J163" i="31"/>
  <c r="I164" i="31"/>
  <c r="H164" i="31"/>
  <c r="F165" i="31"/>
  <c r="G165" i="31"/>
  <c r="C166" i="31"/>
  <c r="D166" i="31"/>
  <c r="B167" i="31"/>
  <c r="A168" i="31"/>
  <c r="K168" i="31"/>
  <c r="J164" i="31"/>
  <c r="B168" i="31"/>
  <c r="C168" i="31"/>
  <c r="A169" i="31"/>
  <c r="C167" i="31"/>
  <c r="F167" i="31"/>
  <c r="G167" i="31"/>
  <c r="D167" i="31"/>
  <c r="E169" i="31"/>
  <c r="E170" i="31"/>
  <c r="G166" i="31"/>
  <c r="F166" i="31"/>
  <c r="I165" i="31"/>
  <c r="H165" i="31"/>
  <c r="K169" i="31"/>
  <c r="J165" i="31"/>
  <c r="I166" i="31"/>
  <c r="H166" i="31"/>
  <c r="I167" i="31"/>
  <c r="J167" i="31"/>
  <c r="H167" i="31"/>
  <c r="B169" i="31"/>
  <c r="A170" i="31"/>
  <c r="K170" i="31"/>
  <c r="D168" i="31"/>
  <c r="F168" i="31"/>
  <c r="G168" i="31"/>
  <c r="J166" i="31"/>
  <c r="I168" i="31"/>
  <c r="J168" i="31"/>
  <c r="H168" i="31"/>
  <c r="C169" i="31"/>
  <c r="F169" i="31"/>
  <c r="G169" i="31"/>
  <c r="D169" i="31"/>
  <c r="A171" i="31"/>
  <c r="B170" i="31"/>
  <c r="E171" i="31"/>
  <c r="E172" i="31"/>
  <c r="K171" i="31"/>
  <c r="C170" i="31"/>
  <c r="F170" i="31"/>
  <c r="G170" i="31"/>
  <c r="D170" i="31"/>
  <c r="A172" i="31"/>
  <c r="K172" i="31"/>
  <c r="B171" i="31"/>
  <c r="I169" i="31"/>
  <c r="J169" i="31"/>
  <c r="H169" i="31"/>
  <c r="B172" i="31"/>
  <c r="C172" i="31"/>
  <c r="A173" i="31"/>
  <c r="C171" i="31"/>
  <c r="F171" i="31"/>
  <c r="G171" i="31"/>
  <c r="I170" i="31"/>
  <c r="J170" i="31"/>
  <c r="H170" i="31"/>
  <c r="E173" i="31"/>
  <c r="E174" i="31"/>
  <c r="K173" i="31"/>
  <c r="I171" i="31"/>
  <c r="J171" i="31"/>
  <c r="H171" i="31"/>
  <c r="D171" i="31"/>
  <c r="A174" i="31"/>
  <c r="K174" i="31"/>
  <c r="B173" i="31"/>
  <c r="D172" i="31"/>
  <c r="F172" i="31"/>
  <c r="G172" i="31"/>
  <c r="I172" i="31"/>
  <c r="J172" i="31"/>
  <c r="H172" i="31"/>
  <c r="C173" i="31"/>
  <c r="F173" i="31"/>
  <c r="G173" i="31"/>
  <c r="B174" i="31"/>
  <c r="A175" i="31"/>
  <c r="K175" i="31"/>
  <c r="E175" i="31"/>
  <c r="D173" i="31"/>
  <c r="E176" i="31"/>
  <c r="B175" i="31"/>
  <c r="A176" i="31"/>
  <c r="K176" i="31"/>
  <c r="C174" i="31"/>
  <c r="F174" i="31"/>
  <c r="G174" i="31"/>
  <c r="I173" i="31"/>
  <c r="J173" i="31"/>
  <c r="H173" i="31"/>
  <c r="I174" i="31"/>
  <c r="J174" i="31"/>
  <c r="H174" i="31"/>
  <c r="D174" i="31"/>
  <c r="E177" i="31"/>
  <c r="A177" i="31"/>
  <c r="K177" i="31"/>
  <c r="B176" i="31"/>
  <c r="C175" i="31"/>
  <c r="F175" i="31"/>
  <c r="G175" i="31"/>
  <c r="C176" i="31"/>
  <c r="F176" i="31"/>
  <c r="G176" i="31"/>
  <c r="D176" i="31"/>
  <c r="D175" i="31"/>
  <c r="I175" i="31"/>
  <c r="J175" i="31"/>
  <c r="H175" i="31"/>
  <c r="A178" i="31"/>
  <c r="B177" i="31"/>
  <c r="C177" i="31"/>
  <c r="E178" i="31"/>
  <c r="E179" i="31"/>
  <c r="K178" i="31"/>
  <c r="D177" i="31"/>
  <c r="F177" i="31"/>
  <c r="G177" i="31"/>
  <c r="A179" i="31"/>
  <c r="K179" i="31"/>
  <c r="B178" i="31"/>
  <c r="I176" i="31"/>
  <c r="H176" i="31"/>
  <c r="J176" i="31"/>
  <c r="I177" i="31"/>
  <c r="H177" i="31"/>
  <c r="C178" i="31"/>
  <c r="F178" i="31"/>
  <c r="G178" i="31"/>
  <c r="E180" i="31"/>
  <c r="B179" i="31"/>
  <c r="A180" i="31"/>
  <c r="K180" i="31"/>
  <c r="D178" i="31"/>
  <c r="J177" i="31"/>
  <c r="C179" i="31"/>
  <c r="F179" i="31"/>
  <c r="G179" i="31"/>
  <c r="D179" i="31"/>
  <c r="A181" i="31"/>
  <c r="B180" i="31"/>
  <c r="E181" i="31"/>
  <c r="E182" i="31"/>
  <c r="I178" i="31"/>
  <c r="H178" i="31"/>
  <c r="K181" i="31"/>
  <c r="J178" i="31"/>
  <c r="A182" i="31"/>
  <c r="K182" i="31"/>
  <c r="B181" i="31"/>
  <c r="C181" i="31"/>
  <c r="C180" i="31"/>
  <c r="F180" i="31"/>
  <c r="G180" i="31"/>
  <c r="I179" i="31"/>
  <c r="J179" i="31"/>
  <c r="H179" i="31"/>
  <c r="I180" i="31"/>
  <c r="H180" i="31"/>
  <c r="D180" i="31"/>
  <c r="D181" i="31"/>
  <c r="F181" i="31"/>
  <c r="G181" i="31"/>
  <c r="E183" i="31"/>
  <c r="A183" i="31"/>
  <c r="K183" i="31"/>
  <c r="B182" i="31"/>
  <c r="J180" i="31"/>
  <c r="E184" i="31"/>
  <c r="B183" i="31"/>
  <c r="A184" i="31"/>
  <c r="K184" i="31"/>
  <c r="C182" i="31"/>
  <c r="F182" i="31"/>
  <c r="G182" i="31"/>
  <c r="I181" i="31"/>
  <c r="H181" i="31"/>
  <c r="J181" i="31"/>
  <c r="D182" i="31"/>
  <c r="B184" i="31"/>
  <c r="A185" i="31"/>
  <c r="I182" i="31"/>
  <c r="H182" i="31"/>
  <c r="C183" i="31"/>
  <c r="F183" i="31"/>
  <c r="G183" i="31"/>
  <c r="E185" i="31"/>
  <c r="E186" i="31"/>
  <c r="K185" i="31"/>
  <c r="D183" i="31"/>
  <c r="J182" i="31"/>
  <c r="I183" i="31"/>
  <c r="H183" i="31"/>
  <c r="A186" i="31"/>
  <c r="K186" i="31"/>
  <c r="B185" i="31"/>
  <c r="C184" i="31"/>
  <c r="J183" i="31"/>
  <c r="F184" i="31"/>
  <c r="G184" i="31"/>
  <c r="D184" i="31"/>
  <c r="B186" i="31"/>
  <c r="A187" i="31"/>
  <c r="C185" i="31"/>
  <c r="F185" i="31"/>
  <c r="G185" i="31"/>
  <c r="E187" i="31"/>
  <c r="E188" i="31"/>
  <c r="K187" i="31"/>
  <c r="D185" i="31"/>
  <c r="B187" i="31"/>
  <c r="A188" i="31"/>
  <c r="K188" i="31"/>
  <c r="I185" i="31"/>
  <c r="H185" i="31"/>
  <c r="C186" i="31"/>
  <c r="F186" i="31"/>
  <c r="G186" i="31"/>
  <c r="D186" i="31"/>
  <c r="I184" i="31"/>
  <c r="H184" i="31"/>
  <c r="J185" i="31"/>
  <c r="J184" i="31"/>
  <c r="I186" i="31"/>
  <c r="H186" i="31"/>
  <c r="B188" i="31"/>
  <c r="A189" i="31"/>
  <c r="C187" i="31"/>
  <c r="F187" i="31"/>
  <c r="G187" i="31"/>
  <c r="E189" i="31"/>
  <c r="E190" i="31"/>
  <c r="K189" i="31"/>
  <c r="J186" i="31"/>
  <c r="D187" i="31"/>
  <c r="C188" i="31"/>
  <c r="F188" i="31"/>
  <c r="G188" i="31"/>
  <c r="I187" i="31"/>
  <c r="H187" i="31"/>
  <c r="A190" i="31"/>
  <c r="K190" i="31"/>
  <c r="B189" i="31"/>
  <c r="J187" i="31"/>
  <c r="C189" i="31"/>
  <c r="F189" i="31"/>
  <c r="G189" i="31"/>
  <c r="D189" i="31"/>
  <c r="I188" i="31"/>
  <c r="J188" i="31"/>
  <c r="H188" i="31"/>
  <c r="A191" i="31"/>
  <c r="K191" i="31"/>
  <c r="B190" i="31"/>
  <c r="D188" i="31"/>
  <c r="E191" i="31"/>
  <c r="E192" i="31"/>
  <c r="B191" i="31"/>
  <c r="A192" i="31"/>
  <c r="K192" i="31"/>
  <c r="C190" i="31"/>
  <c r="F190" i="31"/>
  <c r="G190" i="31"/>
  <c r="I189" i="31"/>
  <c r="J189" i="31"/>
  <c r="H189" i="31"/>
  <c r="D190" i="31"/>
  <c r="A193" i="31"/>
  <c r="B192" i="31"/>
  <c r="I190" i="31"/>
  <c r="J190" i="31"/>
  <c r="H190" i="31"/>
  <c r="C191" i="31"/>
  <c r="F191" i="31"/>
  <c r="G191" i="31"/>
  <c r="E193" i="31"/>
  <c r="E194" i="31"/>
  <c r="D191" i="31"/>
  <c r="K193" i="31"/>
  <c r="I191" i="31"/>
  <c r="J191" i="31"/>
  <c r="H191" i="31"/>
  <c r="C192" i="31"/>
  <c r="D192" i="31"/>
  <c r="A194" i="31"/>
  <c r="K194" i="31"/>
  <c r="B193" i="31"/>
  <c r="C193" i="31"/>
  <c r="D193" i="31"/>
  <c r="F193" i="31"/>
  <c r="G193" i="31"/>
  <c r="A195" i="31"/>
  <c r="B194" i="31"/>
  <c r="F192" i="31"/>
  <c r="G192" i="31"/>
  <c r="E195" i="31"/>
  <c r="E196" i="31"/>
  <c r="K195" i="31"/>
  <c r="I192" i="31"/>
  <c r="J192" i="31"/>
  <c r="H192" i="31"/>
  <c r="A196" i="31"/>
  <c r="K196" i="31"/>
  <c r="B195" i="31"/>
  <c r="C195" i="31"/>
  <c r="E197" i="31"/>
  <c r="C194" i="31"/>
  <c r="F194" i="31"/>
  <c r="G194" i="31"/>
  <c r="I193" i="31"/>
  <c r="J193" i="31"/>
  <c r="H193" i="31"/>
  <c r="D194" i="31"/>
  <c r="B196" i="31"/>
  <c r="A197" i="31"/>
  <c r="K197" i="31"/>
  <c r="I194" i="31"/>
  <c r="H194" i="31"/>
  <c r="D195" i="31"/>
  <c r="F195" i="31"/>
  <c r="G195" i="31"/>
  <c r="J194" i="31"/>
  <c r="I195" i="31"/>
  <c r="H195" i="31"/>
  <c r="B197" i="31"/>
  <c r="A198" i="31"/>
  <c r="C196" i="31"/>
  <c r="F196" i="31"/>
  <c r="G196" i="31"/>
  <c r="E198" i="31"/>
  <c r="E199" i="31"/>
  <c r="K198" i="31"/>
  <c r="D196" i="31"/>
  <c r="J195" i="31"/>
  <c r="I196" i="31"/>
  <c r="H196" i="31"/>
  <c r="B198" i="31"/>
  <c r="A199" i="31"/>
  <c r="K199" i="31"/>
  <c r="C197" i="31"/>
  <c r="F197" i="31"/>
  <c r="G197" i="31"/>
  <c r="J196" i="31"/>
  <c r="I197" i="31"/>
  <c r="H197" i="31"/>
  <c r="D197" i="31"/>
  <c r="B199" i="31"/>
  <c r="A200" i="31"/>
  <c r="C198" i="31"/>
  <c r="F198" i="31"/>
  <c r="G198" i="31"/>
  <c r="E200" i="31"/>
  <c r="E201" i="31"/>
  <c r="D198" i="31"/>
  <c r="K200" i="31"/>
  <c r="J197" i="31"/>
  <c r="I198" i="31"/>
  <c r="H198" i="31"/>
  <c r="A201" i="31"/>
  <c r="K201" i="31"/>
  <c r="B200" i="31"/>
  <c r="C200" i="31"/>
  <c r="C199" i="31"/>
  <c r="F199" i="31"/>
  <c r="G199" i="31"/>
  <c r="J198" i="31"/>
  <c r="I199" i="31"/>
  <c r="H199" i="31"/>
  <c r="D199" i="31"/>
  <c r="D200" i="31"/>
  <c r="F200" i="31"/>
  <c r="G200" i="31"/>
  <c r="A202" i="31"/>
  <c r="K202" i="31"/>
  <c r="B201" i="31"/>
  <c r="C201" i="31"/>
  <c r="E202" i="31"/>
  <c r="E203" i="31"/>
  <c r="J199" i="31"/>
  <c r="D201" i="31"/>
  <c r="F201" i="31"/>
  <c r="G201" i="31"/>
  <c r="A203" i="31"/>
  <c r="B202" i="31"/>
  <c r="I200" i="31"/>
  <c r="H200" i="31"/>
  <c r="E204" i="31"/>
  <c r="K203" i="31"/>
  <c r="J200" i="31"/>
  <c r="C202" i="31"/>
  <c r="D202" i="31"/>
  <c r="A204" i="31"/>
  <c r="K204" i="31"/>
  <c r="B203" i="31"/>
  <c r="C203" i="31"/>
  <c r="I201" i="31"/>
  <c r="H201" i="31"/>
  <c r="J201" i="31"/>
  <c r="D203" i="31"/>
  <c r="F203" i="31"/>
  <c r="G203" i="31"/>
  <c r="B204" i="31"/>
  <c r="A205" i="31"/>
  <c r="F202" i="31"/>
  <c r="G202" i="31"/>
  <c r="E205" i="31"/>
  <c r="E206" i="31"/>
  <c r="K205" i="31"/>
  <c r="I202" i="31"/>
  <c r="H202" i="31"/>
  <c r="C204" i="31"/>
  <c r="F204" i="31"/>
  <c r="G204" i="31"/>
  <c r="B205" i="31"/>
  <c r="A206" i="31"/>
  <c r="K206" i="31"/>
  <c r="I203" i="31"/>
  <c r="H203" i="31"/>
  <c r="D204" i="31"/>
  <c r="J203" i="31"/>
  <c r="J202" i="31"/>
  <c r="B206" i="31"/>
  <c r="A207" i="31"/>
  <c r="C205" i="31"/>
  <c r="F205" i="31"/>
  <c r="G205" i="31"/>
  <c r="E207" i="31"/>
  <c r="E208" i="31"/>
  <c r="I204" i="31"/>
  <c r="H204" i="31"/>
  <c r="K207" i="31"/>
  <c r="J204" i="31"/>
  <c r="D205" i="31"/>
  <c r="I205" i="31"/>
  <c r="H205" i="31"/>
  <c r="B207" i="31"/>
  <c r="A208" i="31"/>
  <c r="K208" i="31"/>
  <c r="C206" i="31"/>
  <c r="D206" i="31"/>
  <c r="J205" i="31"/>
  <c r="C207" i="31"/>
  <c r="F207" i="31"/>
  <c r="G207" i="31"/>
  <c r="F206" i="31"/>
  <c r="G206" i="31"/>
  <c r="B208" i="31"/>
  <c r="A209" i="31"/>
  <c r="K209" i="31"/>
  <c r="E209" i="31"/>
  <c r="E210" i="31"/>
  <c r="D207" i="31"/>
  <c r="I206" i="31"/>
  <c r="H206" i="31"/>
  <c r="C208" i="31"/>
  <c r="F208" i="31"/>
  <c r="G208" i="31"/>
  <c r="D208" i="31"/>
  <c r="B209" i="31"/>
  <c r="A210" i="31"/>
  <c r="K210" i="31"/>
  <c r="I207" i="31"/>
  <c r="H207" i="31"/>
  <c r="J207" i="31"/>
  <c r="J206" i="31"/>
  <c r="C209" i="31"/>
  <c r="F209" i="31"/>
  <c r="G209" i="31"/>
  <c r="D209" i="31"/>
  <c r="A211" i="31"/>
  <c r="B210" i="31"/>
  <c r="C210" i="31"/>
  <c r="E211" i="31"/>
  <c r="E212" i="31"/>
  <c r="I208" i="31"/>
  <c r="H208" i="31"/>
  <c r="K211" i="31"/>
  <c r="J208" i="31"/>
  <c r="A212" i="31"/>
  <c r="K212" i="31"/>
  <c r="B211" i="31"/>
  <c r="D210" i="31"/>
  <c r="F210" i="31"/>
  <c r="G210" i="31"/>
  <c r="I209" i="31"/>
  <c r="H209" i="31"/>
  <c r="J209" i="31"/>
  <c r="I210" i="31"/>
  <c r="J210" i="31"/>
  <c r="H210" i="31"/>
  <c r="C211" i="31"/>
  <c r="F211" i="31"/>
  <c r="G211" i="31"/>
  <c r="D211" i="31"/>
  <c r="A213" i="31"/>
  <c r="K213" i="31"/>
  <c r="B212" i="31"/>
  <c r="E213" i="31"/>
  <c r="E214" i="31"/>
  <c r="A214" i="31"/>
  <c r="K214" i="31"/>
  <c r="B213" i="31"/>
  <c r="E215" i="31"/>
  <c r="C212" i="31"/>
  <c r="I211" i="31"/>
  <c r="J211" i="31"/>
  <c r="H211" i="31"/>
  <c r="F212" i="31"/>
  <c r="G212" i="31"/>
  <c r="D212" i="31"/>
  <c r="C213" i="31"/>
  <c r="A215" i="31"/>
  <c r="K215" i="31"/>
  <c r="B214" i="31"/>
  <c r="C214" i="31"/>
  <c r="F214" i="31"/>
  <c r="G214" i="31"/>
  <c r="D214" i="31"/>
  <c r="F213" i="31"/>
  <c r="G213" i="31"/>
  <c r="E216" i="31"/>
  <c r="A216" i="31"/>
  <c r="K216" i="31"/>
  <c r="B215" i="31"/>
  <c r="D213" i="31"/>
  <c r="I212" i="31"/>
  <c r="J212" i="31"/>
  <c r="H212" i="31"/>
  <c r="C215" i="31"/>
  <c r="F215" i="31"/>
  <c r="G215" i="31"/>
  <c r="D215" i="31"/>
  <c r="I213" i="31"/>
  <c r="H213" i="31"/>
  <c r="B216" i="31"/>
  <c r="A217" i="31"/>
  <c r="K217" i="31"/>
  <c r="E217" i="31"/>
  <c r="E218" i="31"/>
  <c r="I214" i="31"/>
  <c r="H214" i="31"/>
  <c r="J213" i="31"/>
  <c r="J214" i="31"/>
  <c r="C216" i="31"/>
  <c r="F216" i="31"/>
  <c r="G216" i="31"/>
  <c r="B217" i="31"/>
  <c r="A218" i="31"/>
  <c r="K218" i="31"/>
  <c r="I215" i="31"/>
  <c r="H215" i="31"/>
  <c r="J215" i="31"/>
  <c r="D216" i="31"/>
  <c r="C217" i="31"/>
  <c r="D217" i="31"/>
  <c r="E219" i="31"/>
  <c r="B218" i="31"/>
  <c r="A219" i="31"/>
  <c r="K219" i="31"/>
  <c r="I216" i="31"/>
  <c r="H216" i="31"/>
  <c r="J216" i="31"/>
  <c r="C218" i="31"/>
  <c r="F218" i="31"/>
  <c r="G218" i="31"/>
  <c r="D218" i="31"/>
  <c r="A220" i="31"/>
  <c r="K220" i="31"/>
  <c r="B219" i="31"/>
  <c r="E220" i="31"/>
  <c r="E221" i="31"/>
  <c r="F217" i="31"/>
  <c r="G217" i="31"/>
  <c r="I217" i="31"/>
  <c r="H217" i="31"/>
  <c r="C219" i="31"/>
  <c r="F219" i="31"/>
  <c r="G219" i="31"/>
  <c r="B220" i="31"/>
  <c r="C220" i="31"/>
  <c r="A221" i="31"/>
  <c r="K221" i="31"/>
  <c r="I218" i="31"/>
  <c r="H218" i="31"/>
  <c r="J218" i="31"/>
  <c r="J217" i="31"/>
  <c r="I219" i="31"/>
  <c r="H219" i="31"/>
  <c r="B221" i="31"/>
  <c r="A222" i="31"/>
  <c r="D220" i="31"/>
  <c r="F220" i="31"/>
  <c r="G220" i="31"/>
  <c r="D219" i="31"/>
  <c r="E222" i="31"/>
  <c r="E223" i="31"/>
  <c r="K222" i="31"/>
  <c r="J219" i="31"/>
  <c r="I220" i="31"/>
  <c r="H220" i="31"/>
  <c r="B222" i="31"/>
  <c r="A223" i="31"/>
  <c r="K223" i="31"/>
  <c r="C221" i="31"/>
  <c r="F221" i="31"/>
  <c r="G221" i="31"/>
  <c r="J220" i="31"/>
  <c r="D221" i="31"/>
  <c r="I221" i="31"/>
  <c r="H221" i="31"/>
  <c r="E224" i="31"/>
  <c r="B223" i="31"/>
  <c r="A224" i="31"/>
  <c r="K224" i="31"/>
  <c r="C222" i="31"/>
  <c r="F222" i="31"/>
  <c r="G222" i="31"/>
  <c r="D222" i="31"/>
  <c r="J221" i="31"/>
  <c r="B224" i="31"/>
  <c r="C224" i="31"/>
  <c r="A225" i="31"/>
  <c r="I222" i="31"/>
  <c r="H222" i="31"/>
  <c r="C223" i="31"/>
  <c r="F223" i="31"/>
  <c r="G223" i="31"/>
  <c r="D223" i="31"/>
  <c r="E225" i="31"/>
  <c r="E226" i="31"/>
  <c r="K225" i="31"/>
  <c r="J222" i="31"/>
  <c r="A226" i="31"/>
  <c r="K226" i="31"/>
  <c r="B225" i="31"/>
  <c r="I223" i="31"/>
  <c r="H223" i="31"/>
  <c r="D224" i="31"/>
  <c r="F224" i="31"/>
  <c r="G224" i="31"/>
  <c r="J223" i="31"/>
  <c r="I224" i="31"/>
  <c r="H224" i="31"/>
  <c r="C225" i="31"/>
  <c r="F225" i="31"/>
  <c r="G225" i="31"/>
  <c r="E227" i="31"/>
  <c r="A227" i="31"/>
  <c r="K227" i="31"/>
  <c r="B226" i="31"/>
  <c r="D225" i="31"/>
  <c r="E228" i="31"/>
  <c r="J224" i="31"/>
  <c r="A228" i="31"/>
  <c r="K228" i="31"/>
  <c r="B227" i="31"/>
  <c r="C226" i="31"/>
  <c r="F226" i="31"/>
  <c r="G226" i="31"/>
  <c r="D226" i="31"/>
  <c r="I225" i="31"/>
  <c r="H225" i="31"/>
  <c r="J225" i="31"/>
  <c r="I226" i="31"/>
  <c r="H226" i="31"/>
  <c r="C227" i="31"/>
  <c r="F227" i="31"/>
  <c r="G227" i="31"/>
  <c r="D227" i="31"/>
  <c r="B228" i="31"/>
  <c r="A229" i="31"/>
  <c r="K229" i="31"/>
  <c r="E229" i="31"/>
  <c r="J226" i="31"/>
  <c r="C228" i="31"/>
  <c r="F228" i="31"/>
  <c r="G228" i="31"/>
  <c r="D228" i="31"/>
  <c r="E230" i="31"/>
  <c r="B229" i="31"/>
  <c r="A230" i="31"/>
  <c r="K230" i="31"/>
  <c r="I227" i="31"/>
  <c r="H227" i="31"/>
  <c r="J227" i="31"/>
  <c r="E231" i="31"/>
  <c r="B230" i="31"/>
  <c r="C230" i="31"/>
  <c r="A231" i="31"/>
  <c r="K231" i="31"/>
  <c r="C229" i="31"/>
  <c r="F229" i="31"/>
  <c r="G229" i="31"/>
  <c r="D229" i="31"/>
  <c r="I228" i="31"/>
  <c r="H228" i="31"/>
  <c r="J228" i="31"/>
  <c r="A232" i="31"/>
  <c r="B231" i="31"/>
  <c r="I229" i="31"/>
  <c r="H229" i="31"/>
  <c r="D230" i="31"/>
  <c r="F230" i="31"/>
  <c r="G230" i="31"/>
  <c r="E232" i="31"/>
  <c r="E233" i="31"/>
  <c r="K232" i="31"/>
  <c r="J229" i="31"/>
  <c r="I230" i="31"/>
  <c r="H230" i="31"/>
  <c r="C231" i="31"/>
  <c r="F231" i="31"/>
  <c r="G231" i="31"/>
  <c r="A233" i="31"/>
  <c r="K233" i="31"/>
  <c r="B232" i="31"/>
  <c r="D231" i="31"/>
  <c r="J230" i="31"/>
  <c r="C232" i="31"/>
  <c r="F232" i="31"/>
  <c r="G232" i="31"/>
  <c r="D232" i="31"/>
  <c r="A234" i="31"/>
  <c r="B233" i="31"/>
  <c r="I231" i="31"/>
  <c r="J231" i="31"/>
  <c r="H231" i="31"/>
  <c r="E234" i="31"/>
  <c r="E235" i="31"/>
  <c r="K234" i="31"/>
  <c r="C233" i="31"/>
  <c r="D233" i="31"/>
  <c r="B234" i="31"/>
  <c r="A235" i="31"/>
  <c r="K235" i="31"/>
  <c r="I232" i="31"/>
  <c r="H232" i="31"/>
  <c r="J232" i="31"/>
  <c r="C234" i="31"/>
  <c r="D234" i="31"/>
  <c r="A236" i="31"/>
  <c r="B235" i="31"/>
  <c r="G233" i="31"/>
  <c r="F233" i="31"/>
  <c r="E236" i="31"/>
  <c r="K236" i="31"/>
  <c r="I233" i="31"/>
  <c r="H233" i="31"/>
  <c r="C235" i="31"/>
  <c r="D235" i="31"/>
  <c r="E237" i="31"/>
  <c r="A237" i="31"/>
  <c r="K237" i="31"/>
  <c r="B236" i="31"/>
  <c r="F234" i="31"/>
  <c r="G234" i="31"/>
  <c r="J233" i="31"/>
  <c r="A238" i="31"/>
  <c r="B237" i="31"/>
  <c r="I234" i="31"/>
  <c r="H234" i="31"/>
  <c r="C236" i="31"/>
  <c r="D236" i="31"/>
  <c r="E238" i="31"/>
  <c r="E239" i="31"/>
  <c r="F235" i="31"/>
  <c r="G235" i="31"/>
  <c r="K238" i="31"/>
  <c r="J234" i="31"/>
  <c r="C237" i="31"/>
  <c r="I235" i="31"/>
  <c r="H235" i="31"/>
  <c r="F236" i="31"/>
  <c r="G236" i="31"/>
  <c r="B238" i="31"/>
  <c r="A239" i="31"/>
  <c r="K239" i="31"/>
  <c r="J235" i="31"/>
  <c r="C238" i="31"/>
  <c r="D238" i="31"/>
  <c r="F237" i="31"/>
  <c r="G237" i="31"/>
  <c r="A240" i="31"/>
  <c r="B239" i="31"/>
  <c r="I236" i="31"/>
  <c r="H236" i="31"/>
  <c r="D237" i="31"/>
  <c r="E240" i="31"/>
  <c r="E241" i="31"/>
  <c r="K240" i="31"/>
  <c r="J236" i="31"/>
  <c r="C239" i="31"/>
  <c r="D239" i="31"/>
  <c r="A241" i="31"/>
  <c r="K241" i="31"/>
  <c r="B240" i="31"/>
  <c r="I237" i="31"/>
  <c r="H237" i="31"/>
  <c r="F238" i="31"/>
  <c r="G238" i="31"/>
  <c r="J237" i="31"/>
  <c r="I238" i="31"/>
  <c r="H238" i="31"/>
  <c r="B241" i="31"/>
  <c r="A242" i="31"/>
  <c r="C240" i="31"/>
  <c r="G239" i="31"/>
  <c r="F239" i="31"/>
  <c r="E242" i="31"/>
  <c r="E243" i="31"/>
  <c r="K242" i="31"/>
  <c r="J238" i="31"/>
  <c r="A243" i="31"/>
  <c r="K243" i="31"/>
  <c r="B242" i="31"/>
  <c r="E244" i="31"/>
  <c r="I239" i="31"/>
  <c r="H239" i="31"/>
  <c r="F240" i="31"/>
  <c r="G240" i="31"/>
  <c r="D240" i="31"/>
  <c r="C241" i="31"/>
  <c r="D241" i="31"/>
  <c r="J239" i="31"/>
  <c r="I240" i="31"/>
  <c r="H240" i="31"/>
  <c r="F241" i="31"/>
  <c r="G241" i="31"/>
  <c r="C242" i="31"/>
  <c r="D242" i="31"/>
  <c r="A244" i="31"/>
  <c r="K244" i="31"/>
  <c r="B243" i="31"/>
  <c r="J240" i="31"/>
  <c r="C243" i="31"/>
  <c r="D243" i="31"/>
  <c r="A245" i="31"/>
  <c r="B244" i="31"/>
  <c r="G242" i="31"/>
  <c r="F242" i="31"/>
  <c r="E245" i="31"/>
  <c r="I241" i="31"/>
  <c r="H241" i="31"/>
  <c r="K245" i="31"/>
  <c r="J241" i="31"/>
  <c r="I242" i="31"/>
  <c r="H242" i="31"/>
  <c r="C244" i="31"/>
  <c r="D244" i="31"/>
  <c r="E246" i="31"/>
  <c r="A246" i="31"/>
  <c r="K246" i="31"/>
  <c r="B245" i="31"/>
  <c r="G243" i="31"/>
  <c r="F243" i="31"/>
  <c r="J242" i="31"/>
  <c r="I243" i="31"/>
  <c r="H243" i="31"/>
  <c r="A247" i="31"/>
  <c r="B246" i="31"/>
  <c r="C246" i="31"/>
  <c r="F244" i="31"/>
  <c r="G244" i="31"/>
  <c r="C245" i="31"/>
  <c r="D245" i="31"/>
  <c r="E247" i="31"/>
  <c r="E248" i="31"/>
  <c r="K247" i="31"/>
  <c r="J243" i="31"/>
  <c r="G245" i="31"/>
  <c r="F245" i="31"/>
  <c r="I244" i="31"/>
  <c r="H244" i="31"/>
  <c r="D246" i="31"/>
  <c r="G246" i="31"/>
  <c r="F246" i="31"/>
  <c r="B247" i="31"/>
  <c r="A248" i="31"/>
  <c r="K248" i="31"/>
  <c r="J244" i="31"/>
  <c r="C247" i="31"/>
  <c r="D247" i="31"/>
  <c r="B248" i="31"/>
  <c r="A249" i="31"/>
  <c r="I246" i="31"/>
  <c r="H246" i="31"/>
  <c r="I245" i="31"/>
  <c r="H245" i="31"/>
  <c r="E249" i="31"/>
  <c r="E250" i="31"/>
  <c r="K249" i="31"/>
  <c r="J245" i="31"/>
  <c r="J246" i="31"/>
  <c r="B249" i="31"/>
  <c r="C249" i="31"/>
  <c r="A250" i="31"/>
  <c r="K250" i="31"/>
  <c r="E251" i="31"/>
  <c r="C248" i="31"/>
  <c r="D248" i="31"/>
  <c r="F247" i="31"/>
  <c r="G247" i="31"/>
  <c r="F248" i="31"/>
  <c r="G248" i="31"/>
  <c r="I247" i="31"/>
  <c r="H247" i="31"/>
  <c r="B250" i="31"/>
  <c r="A251" i="31"/>
  <c r="K251" i="31"/>
  <c r="D249" i="31"/>
  <c r="F249" i="31"/>
  <c r="G249" i="31"/>
  <c r="J247" i="31"/>
  <c r="I249" i="31"/>
  <c r="H249" i="31"/>
  <c r="A252" i="31"/>
  <c r="B251" i="31"/>
  <c r="C250" i="31"/>
  <c r="E252" i="31"/>
  <c r="E253" i="31"/>
  <c r="I248" i="31"/>
  <c r="H248" i="31"/>
  <c r="K252" i="31"/>
  <c r="J248" i="31"/>
  <c r="J249" i="31"/>
  <c r="F250" i="31"/>
  <c r="G250" i="31"/>
  <c r="A253" i="31"/>
  <c r="K253" i="31"/>
  <c r="B252" i="31"/>
  <c r="D250" i="31"/>
  <c r="C251" i="31"/>
  <c r="D251" i="31"/>
  <c r="C252" i="31"/>
  <c r="D252" i="31"/>
  <c r="F251" i="31"/>
  <c r="G251" i="31"/>
  <c r="B253" i="31"/>
  <c r="C253" i="31"/>
  <c r="A254" i="31"/>
  <c r="I250" i="31"/>
  <c r="H250" i="31"/>
  <c r="E254" i="31"/>
  <c r="E255" i="31"/>
  <c r="K254" i="31"/>
  <c r="J250" i="31"/>
  <c r="D253" i="31"/>
  <c r="G253" i="31"/>
  <c r="F253" i="31"/>
  <c r="B254" i="31"/>
  <c r="A255" i="31"/>
  <c r="K255" i="31"/>
  <c r="I251" i="31"/>
  <c r="H251" i="31"/>
  <c r="G252" i="31"/>
  <c r="F252" i="31"/>
  <c r="J251" i="31"/>
  <c r="I252" i="31"/>
  <c r="H252" i="31"/>
  <c r="B255" i="31"/>
  <c r="A256" i="31"/>
  <c r="C254" i="31"/>
  <c r="D254" i="31"/>
  <c r="E256" i="31"/>
  <c r="E257" i="31"/>
  <c r="I253" i="31"/>
  <c r="H253" i="31"/>
  <c r="K256" i="31"/>
  <c r="J253" i="31"/>
  <c r="J252" i="31"/>
  <c r="F254" i="31"/>
  <c r="G254" i="31"/>
  <c r="A257" i="31"/>
  <c r="K257" i="31"/>
  <c r="B256" i="31"/>
  <c r="C255" i="31"/>
  <c r="G255" i="31"/>
  <c r="F255" i="31"/>
  <c r="D255" i="31"/>
  <c r="C256" i="31"/>
  <c r="D256" i="31"/>
  <c r="E258" i="31"/>
  <c r="B257" i="31"/>
  <c r="A258" i="31"/>
  <c r="K258" i="31"/>
  <c r="I254" i="31"/>
  <c r="H254" i="31"/>
  <c r="J254" i="31"/>
  <c r="B258" i="31"/>
  <c r="A259" i="31"/>
  <c r="K259" i="31"/>
  <c r="C257" i="31"/>
  <c r="F257" i="31"/>
  <c r="G257" i="31"/>
  <c r="E259" i="31"/>
  <c r="E260" i="31"/>
  <c r="G256" i="31"/>
  <c r="F256" i="31"/>
  <c r="I255" i="31"/>
  <c r="H255" i="31"/>
  <c r="J255" i="31"/>
  <c r="I257" i="31"/>
  <c r="J257" i="31"/>
  <c r="H257" i="31"/>
  <c r="I256" i="31"/>
  <c r="H256" i="31"/>
  <c r="D257" i="31"/>
  <c r="A260" i="31"/>
  <c r="K260" i="31"/>
  <c r="B259" i="31"/>
  <c r="C258" i="31"/>
  <c r="F258" i="31"/>
  <c r="G258" i="31"/>
  <c r="J256" i="31"/>
  <c r="D258" i="31"/>
  <c r="I258" i="31"/>
  <c r="J258" i="31"/>
  <c r="H258" i="31"/>
  <c r="B260" i="31"/>
  <c r="C260" i="31"/>
  <c r="A261" i="31"/>
  <c r="K261" i="31"/>
  <c r="E261" i="31"/>
  <c r="E262" i="31"/>
  <c r="C259" i="31"/>
  <c r="F259" i="31"/>
  <c r="G259" i="31"/>
  <c r="D259" i="31"/>
  <c r="D260" i="31"/>
  <c r="F260" i="31"/>
  <c r="G260" i="31"/>
  <c r="I259" i="31"/>
  <c r="J259" i="31"/>
  <c r="H259" i="31"/>
  <c r="A262" i="31"/>
  <c r="K262" i="31"/>
  <c r="B261" i="31"/>
  <c r="B262" i="31"/>
  <c r="C262" i="31"/>
  <c r="A263" i="31"/>
  <c r="C261" i="31"/>
  <c r="D261" i="31"/>
  <c r="I260" i="31"/>
  <c r="J260" i="31"/>
  <c r="H260" i="31"/>
  <c r="E263" i="31"/>
  <c r="E264" i="31"/>
  <c r="K263" i="31"/>
  <c r="F261" i="31"/>
  <c r="G261" i="31"/>
  <c r="B263" i="31"/>
  <c r="A264" i="31"/>
  <c r="K264" i="31"/>
  <c r="D262" i="31"/>
  <c r="F262" i="31"/>
  <c r="G262" i="31"/>
  <c r="I261" i="31"/>
  <c r="J261" i="31"/>
  <c r="H261" i="31"/>
  <c r="I262" i="31"/>
  <c r="J262" i="31"/>
  <c r="H262" i="31"/>
  <c r="B264" i="31"/>
  <c r="C264" i="31"/>
  <c r="A265" i="31"/>
  <c r="K265" i="31"/>
  <c r="C263" i="31"/>
  <c r="F263" i="31"/>
  <c r="G263" i="31"/>
  <c r="E265" i="31"/>
  <c r="E266" i="31"/>
  <c r="I263" i="31"/>
  <c r="J263" i="31"/>
  <c r="H263" i="31"/>
  <c r="D264" i="31"/>
  <c r="F264" i="31"/>
  <c r="G264" i="31"/>
  <c r="D263" i="31"/>
  <c r="B265" i="31"/>
  <c r="A266" i="31"/>
  <c r="K266" i="31"/>
  <c r="I264" i="31"/>
  <c r="J264" i="31"/>
  <c r="H264" i="31"/>
  <c r="A267" i="31"/>
  <c r="B266" i="31"/>
  <c r="C266" i="31"/>
  <c r="C265" i="31"/>
  <c r="F265" i="31"/>
  <c r="G265" i="31"/>
  <c r="E267" i="31"/>
  <c r="E268" i="31"/>
  <c r="K267" i="31"/>
  <c r="D265" i="31"/>
  <c r="I265" i="31"/>
  <c r="J265" i="31"/>
  <c r="H265" i="31"/>
  <c r="A268" i="31"/>
  <c r="K268" i="31"/>
  <c r="B267" i="31"/>
  <c r="C267" i="31"/>
  <c r="E269" i="31"/>
  <c r="D266" i="31"/>
  <c r="F266" i="31"/>
  <c r="G266" i="31"/>
  <c r="I266" i="31"/>
  <c r="H266" i="31"/>
  <c r="D267" i="31"/>
  <c r="F267" i="31"/>
  <c r="G267" i="31"/>
  <c r="A269" i="31"/>
  <c r="K269" i="31"/>
  <c r="B268" i="31"/>
  <c r="J266" i="31"/>
  <c r="C268" i="31"/>
  <c r="F268" i="31"/>
  <c r="G268" i="31"/>
  <c r="A270" i="31"/>
  <c r="K270" i="31"/>
  <c r="B269" i="31"/>
  <c r="I267" i="31"/>
  <c r="H267" i="31"/>
  <c r="E270" i="31"/>
  <c r="E271" i="31"/>
  <c r="J267" i="31"/>
  <c r="D268" i="31"/>
  <c r="C269" i="31"/>
  <c r="F269" i="31"/>
  <c r="G269" i="31"/>
  <c r="D269" i="31"/>
  <c r="B270" i="31"/>
  <c r="A271" i="31"/>
  <c r="I268" i="31"/>
  <c r="H268" i="31"/>
  <c r="E272" i="31"/>
  <c r="K271" i="31"/>
  <c r="J268" i="31"/>
  <c r="B271" i="31"/>
  <c r="A272" i="31"/>
  <c r="K272" i="31"/>
  <c r="C270" i="31"/>
  <c r="F270" i="31"/>
  <c r="G270" i="31"/>
  <c r="I269" i="31"/>
  <c r="H269" i="31"/>
  <c r="D270" i="31"/>
  <c r="J269" i="31"/>
  <c r="I270" i="31"/>
  <c r="H270" i="31"/>
  <c r="A273" i="31"/>
  <c r="K273" i="31"/>
  <c r="B272" i="31"/>
  <c r="C271" i="31"/>
  <c r="F271" i="31"/>
  <c r="G271" i="31"/>
  <c r="D271" i="31"/>
  <c r="E273" i="31"/>
  <c r="J270" i="31"/>
  <c r="I271" i="31"/>
  <c r="H271" i="31"/>
  <c r="E274" i="31"/>
  <c r="A274" i="31"/>
  <c r="K274" i="31"/>
  <c r="B273" i="31"/>
  <c r="C272" i="31"/>
  <c r="F272" i="31"/>
  <c r="G272" i="31"/>
  <c r="J271" i="31"/>
  <c r="I272" i="31"/>
  <c r="H272" i="31"/>
  <c r="D272" i="31"/>
  <c r="C273" i="31"/>
  <c r="F273" i="31"/>
  <c r="G273" i="31"/>
  <c r="B274" i="31"/>
  <c r="A275" i="31"/>
  <c r="K275" i="31"/>
  <c r="E275" i="31"/>
  <c r="E276" i="31"/>
  <c r="J272" i="31"/>
  <c r="C274" i="31"/>
  <c r="F274" i="31"/>
  <c r="G274" i="31"/>
  <c r="B275" i="31"/>
  <c r="C275" i="31"/>
  <c r="A276" i="31"/>
  <c r="K276" i="31"/>
  <c r="E277" i="31"/>
  <c r="I273" i="31"/>
  <c r="H273" i="31"/>
  <c r="D273" i="31"/>
  <c r="J273" i="31"/>
  <c r="D275" i="31"/>
  <c r="F275" i="31"/>
  <c r="G275" i="31"/>
  <c r="B276" i="31"/>
  <c r="A277" i="31"/>
  <c r="I274" i="31"/>
  <c r="H274" i="31"/>
  <c r="D274" i="31"/>
  <c r="E278" i="31"/>
  <c r="K277" i="31"/>
  <c r="J274" i="31"/>
  <c r="A278" i="31"/>
  <c r="K278" i="31"/>
  <c r="B277" i="31"/>
  <c r="C276" i="31"/>
  <c r="F276" i="31"/>
  <c r="G276" i="31"/>
  <c r="I275" i="31"/>
  <c r="H275" i="31"/>
  <c r="J275" i="31"/>
  <c r="I276" i="31"/>
  <c r="H276" i="31"/>
  <c r="D276" i="31"/>
  <c r="C277" i="31"/>
  <c r="D277" i="31"/>
  <c r="B278" i="31"/>
  <c r="A279" i="31"/>
  <c r="E279" i="31"/>
  <c r="E280" i="31"/>
  <c r="K279" i="31"/>
  <c r="J276" i="31"/>
  <c r="A280" i="31"/>
  <c r="K280" i="31"/>
  <c r="B279" i="31"/>
  <c r="C279" i="31"/>
  <c r="C278" i="31"/>
  <c r="F277" i="31"/>
  <c r="G277" i="31"/>
  <c r="I277" i="31"/>
  <c r="H277" i="31"/>
  <c r="F278" i="31"/>
  <c r="G278" i="31"/>
  <c r="D278" i="31"/>
  <c r="D279" i="31"/>
  <c r="F279" i="31"/>
  <c r="G279" i="31"/>
  <c r="B280" i="31"/>
  <c r="A281" i="31"/>
  <c r="E281" i="31"/>
  <c r="K281" i="31"/>
  <c r="J277" i="31"/>
  <c r="I278" i="31"/>
  <c r="H278" i="31"/>
  <c r="C280" i="31"/>
  <c r="F280" i="31"/>
  <c r="G280" i="31"/>
  <c r="E282" i="31"/>
  <c r="A282" i="31"/>
  <c r="K282" i="31"/>
  <c r="B281" i="31"/>
  <c r="I279" i="31"/>
  <c r="H279" i="31"/>
  <c r="D280" i="31"/>
  <c r="J279" i="31"/>
  <c r="J278" i="31"/>
  <c r="B282" i="31"/>
  <c r="A283" i="31"/>
  <c r="C281" i="31"/>
  <c r="F281" i="31"/>
  <c r="G281" i="31"/>
  <c r="E283" i="31"/>
  <c r="E284" i="31"/>
  <c r="I280" i="31"/>
  <c r="H280" i="31"/>
  <c r="K283" i="31"/>
  <c r="J280" i="31"/>
  <c r="D281" i="31"/>
  <c r="I281" i="31"/>
  <c r="H281" i="31"/>
  <c r="B283" i="31"/>
  <c r="C283" i="31"/>
  <c r="A284" i="31"/>
  <c r="K284" i="31"/>
  <c r="C282" i="31"/>
  <c r="F282" i="31"/>
  <c r="G282" i="31"/>
  <c r="D282" i="31"/>
  <c r="J281" i="31"/>
  <c r="I282" i="31"/>
  <c r="J282" i="31"/>
  <c r="H282" i="31"/>
  <c r="E285" i="31"/>
  <c r="B284" i="31"/>
  <c r="A285" i="31"/>
  <c r="K285" i="31"/>
  <c r="D283" i="31"/>
  <c r="F283" i="31"/>
  <c r="G283" i="31"/>
  <c r="I283" i="31"/>
  <c r="J283" i="31"/>
  <c r="H283" i="31"/>
  <c r="A286" i="31"/>
  <c r="B285" i="31"/>
  <c r="C284" i="31"/>
  <c r="F284" i="31"/>
  <c r="G284" i="31"/>
  <c r="E286" i="31"/>
  <c r="E287" i="31"/>
  <c r="D284" i="31"/>
  <c r="K286" i="31"/>
  <c r="I284" i="31"/>
  <c r="J284" i="31"/>
  <c r="H284" i="31"/>
  <c r="C285" i="31"/>
  <c r="F285" i="31"/>
  <c r="G285" i="31"/>
  <c r="A287" i="31"/>
  <c r="K287" i="31"/>
  <c r="B286" i="31"/>
  <c r="D285" i="31"/>
  <c r="C286" i="31"/>
  <c r="F286" i="31"/>
  <c r="G286" i="31"/>
  <c r="D286" i="31"/>
  <c r="B287" i="31"/>
  <c r="C287" i="31"/>
  <c r="A288" i="31"/>
  <c r="I285" i="31"/>
  <c r="J285" i="31"/>
  <c r="H285" i="31"/>
  <c r="E288" i="31"/>
  <c r="E289" i="31"/>
  <c r="K288" i="31"/>
  <c r="B288" i="31"/>
  <c r="A289" i="31"/>
  <c r="K289" i="31"/>
  <c r="D287" i="31"/>
  <c r="F287" i="31"/>
  <c r="G287" i="31"/>
  <c r="I286" i="31"/>
  <c r="J286" i="31"/>
  <c r="H286" i="31"/>
  <c r="I287" i="31"/>
  <c r="J287" i="31"/>
  <c r="H287" i="31"/>
  <c r="A290" i="31"/>
  <c r="B289" i="31"/>
  <c r="C288" i="31"/>
  <c r="F288" i="31"/>
  <c r="G288" i="31"/>
  <c r="E290" i="31"/>
  <c r="E291" i="31"/>
  <c r="K290" i="31"/>
  <c r="I288" i="31"/>
  <c r="H288" i="31"/>
  <c r="D288" i="31"/>
  <c r="A291" i="31"/>
  <c r="B290" i="31"/>
  <c r="C289" i="31"/>
  <c r="F289" i="31"/>
  <c r="G289" i="31"/>
  <c r="E292" i="31"/>
  <c r="K291" i="31"/>
  <c r="J288" i="31"/>
  <c r="I289" i="31"/>
  <c r="H289" i="31"/>
  <c r="D289" i="31"/>
  <c r="C290" i="31"/>
  <c r="F290" i="31"/>
  <c r="G290" i="31"/>
  <c r="A292" i="31"/>
  <c r="K292" i="31"/>
  <c r="B291" i="31"/>
  <c r="J289" i="31"/>
  <c r="C291" i="31"/>
  <c r="F291" i="31"/>
  <c r="G291" i="31"/>
  <c r="D291" i="31"/>
  <c r="E293" i="31"/>
  <c r="B292" i="31"/>
  <c r="C292" i="31"/>
  <c r="A293" i="31"/>
  <c r="K293" i="31"/>
  <c r="I290" i="31"/>
  <c r="H290" i="31"/>
  <c r="D290" i="31"/>
  <c r="J290" i="31"/>
  <c r="D292" i="31"/>
  <c r="F292" i="31"/>
  <c r="G292" i="31"/>
  <c r="A294" i="31"/>
  <c r="B293" i="31"/>
  <c r="E294" i="31"/>
  <c r="E295" i="31"/>
  <c r="I291" i="31"/>
  <c r="H291" i="31"/>
  <c r="K294" i="31"/>
  <c r="J291" i="31"/>
  <c r="A295" i="31"/>
  <c r="K295" i="31"/>
  <c r="B294" i="31"/>
  <c r="E296" i="31"/>
  <c r="C293" i="31"/>
  <c r="F293" i="31"/>
  <c r="G293" i="31"/>
  <c r="I292" i="31"/>
  <c r="H292" i="31"/>
  <c r="D293" i="31"/>
  <c r="J292" i="31"/>
  <c r="I293" i="31"/>
  <c r="H293" i="31"/>
  <c r="C294" i="31"/>
  <c r="D294" i="31"/>
  <c r="B295" i="31"/>
  <c r="A296" i="31"/>
  <c r="K296" i="31"/>
  <c r="J293" i="31"/>
  <c r="A297" i="31"/>
  <c r="B296" i="31"/>
  <c r="C295" i="31"/>
  <c r="F295" i="31"/>
  <c r="G295" i="31"/>
  <c r="F294" i="31"/>
  <c r="G294" i="31"/>
  <c r="E297" i="31"/>
  <c r="E298" i="31"/>
  <c r="K297" i="31"/>
  <c r="I294" i="31"/>
  <c r="H294" i="31"/>
  <c r="I295" i="31"/>
  <c r="H295" i="31"/>
  <c r="D295" i="31"/>
  <c r="C296" i="31"/>
  <c r="F296" i="31"/>
  <c r="G296" i="31"/>
  <c r="A298" i="31"/>
  <c r="B297" i="31"/>
  <c r="C297" i="31"/>
  <c r="E299" i="31"/>
  <c r="K298" i="31"/>
  <c r="J295" i="31"/>
  <c r="J294" i="31"/>
  <c r="D297" i="31"/>
  <c r="F297" i="31"/>
  <c r="G297" i="31"/>
  <c r="I296" i="31"/>
  <c r="H296" i="31"/>
  <c r="B298" i="31"/>
  <c r="C298" i="31"/>
  <c r="A299" i="31"/>
  <c r="K299" i="31"/>
  <c r="D296" i="31"/>
  <c r="J296" i="31"/>
  <c r="D298" i="31"/>
  <c r="F298" i="31"/>
  <c r="G298" i="31"/>
  <c r="B299" i="31"/>
  <c r="A300" i="31"/>
  <c r="I297" i="31"/>
  <c r="H297" i="31"/>
  <c r="E300" i="31"/>
  <c r="E301" i="31"/>
  <c r="K300" i="31"/>
  <c r="J297" i="31"/>
  <c r="C299" i="31"/>
  <c r="F299" i="31"/>
  <c r="G299" i="31"/>
  <c r="D299" i="31"/>
  <c r="A301" i="31"/>
  <c r="K301" i="31"/>
  <c r="B300" i="31"/>
  <c r="I298" i="31"/>
  <c r="H298" i="31"/>
  <c r="J298" i="31"/>
  <c r="B301" i="31"/>
  <c r="C301" i="31"/>
  <c r="A302" i="31"/>
  <c r="C300" i="31"/>
  <c r="F300" i="31"/>
  <c r="G300" i="31"/>
  <c r="I299" i="31"/>
  <c r="H299" i="31"/>
  <c r="E302" i="31"/>
  <c r="E303" i="31"/>
  <c r="K302" i="31"/>
  <c r="J299" i="31"/>
  <c r="I300" i="31"/>
  <c r="H300" i="31"/>
  <c r="D300" i="31"/>
  <c r="A303" i="31"/>
  <c r="K303" i="31"/>
  <c r="B302" i="31"/>
  <c r="D301" i="31"/>
  <c r="F301" i="31"/>
  <c r="G301" i="31"/>
  <c r="J300" i="31"/>
  <c r="I301" i="31"/>
  <c r="H301" i="31"/>
  <c r="C302" i="31"/>
  <c r="D302" i="31"/>
  <c r="B303" i="31"/>
  <c r="A304" i="31"/>
  <c r="K304" i="31"/>
  <c r="E304" i="31"/>
  <c r="E305" i="31"/>
  <c r="J301" i="31"/>
  <c r="B304" i="31"/>
  <c r="A305" i="31"/>
  <c r="K305" i="31"/>
  <c r="C303" i="31"/>
  <c r="F303" i="31"/>
  <c r="G303" i="31"/>
  <c r="F302" i="31"/>
  <c r="G302" i="31"/>
  <c r="I302" i="31"/>
  <c r="H302" i="31"/>
  <c r="I303" i="31"/>
  <c r="H303" i="31"/>
  <c r="D303" i="31"/>
  <c r="B305" i="31"/>
  <c r="A306" i="31"/>
  <c r="K306" i="31"/>
  <c r="C304" i="31"/>
  <c r="F304" i="31"/>
  <c r="G304" i="31"/>
  <c r="E306" i="31"/>
  <c r="E307" i="31"/>
  <c r="J303" i="31"/>
  <c r="J302" i="31"/>
  <c r="I304" i="31"/>
  <c r="H304" i="31"/>
  <c r="B306" i="31"/>
  <c r="A307" i="31"/>
  <c r="K307" i="31"/>
  <c r="D304" i="31"/>
  <c r="C305" i="31"/>
  <c r="F305" i="31"/>
  <c r="G305" i="31"/>
  <c r="J304" i="31"/>
  <c r="I305" i="31"/>
  <c r="H305" i="31"/>
  <c r="D305" i="31"/>
  <c r="E308" i="31"/>
  <c r="A308" i="31"/>
  <c r="K308" i="31"/>
  <c r="B307" i="31"/>
  <c r="C306" i="31"/>
  <c r="F306" i="31"/>
  <c r="G306" i="31"/>
  <c r="D306" i="31"/>
  <c r="J305" i="31"/>
  <c r="C307" i="31"/>
  <c r="F307" i="31"/>
  <c r="G307" i="31"/>
  <c r="I306" i="31"/>
  <c r="H306" i="31"/>
  <c r="B308" i="31"/>
  <c r="A309" i="31"/>
  <c r="K309" i="31"/>
  <c r="E309" i="31"/>
  <c r="E310" i="31"/>
  <c r="D307" i="31"/>
  <c r="J306" i="31"/>
  <c r="A310" i="31"/>
  <c r="K310" i="31"/>
  <c r="B309" i="31"/>
  <c r="C308" i="31"/>
  <c r="F308" i="31"/>
  <c r="G308" i="31"/>
  <c r="I307" i="31"/>
  <c r="H307" i="31"/>
  <c r="J307" i="31"/>
  <c r="I308" i="31"/>
  <c r="J308" i="31"/>
  <c r="H308" i="31"/>
  <c r="D308" i="31"/>
  <c r="C309" i="31"/>
  <c r="F309" i="31"/>
  <c r="G309" i="31"/>
  <c r="E311" i="31"/>
  <c r="A311" i="31"/>
  <c r="K311" i="31"/>
  <c r="B310" i="31"/>
  <c r="D309" i="31"/>
  <c r="A312" i="31"/>
  <c r="B311" i="31"/>
  <c r="C310" i="31"/>
  <c r="F310" i="31"/>
  <c r="G310" i="31"/>
  <c r="D310" i="31"/>
  <c r="E312" i="31"/>
  <c r="E313" i="31"/>
  <c r="I309" i="31"/>
  <c r="J309" i="31"/>
  <c r="H309" i="31"/>
  <c r="K312" i="31"/>
  <c r="I310" i="31"/>
  <c r="J310" i="31"/>
  <c r="H310" i="31"/>
  <c r="C311" i="31"/>
  <c r="F311" i="31"/>
  <c r="G311" i="31"/>
  <c r="D311" i="31"/>
  <c r="A313" i="31"/>
  <c r="K313" i="31"/>
  <c r="B312" i="31"/>
  <c r="C312" i="31"/>
  <c r="D312" i="31"/>
  <c r="F312" i="31"/>
  <c r="G312" i="31"/>
  <c r="A314" i="31"/>
  <c r="B313" i="31"/>
  <c r="I311" i="31"/>
  <c r="H311" i="31"/>
  <c r="E314" i="31"/>
  <c r="E315" i="31"/>
  <c r="K314" i="31"/>
  <c r="J311" i="31"/>
  <c r="B314" i="31"/>
  <c r="A315" i="31"/>
  <c r="K315" i="31"/>
  <c r="C313" i="31"/>
  <c r="F313" i="31"/>
  <c r="G313" i="31"/>
  <c r="I312" i="31"/>
  <c r="H312" i="31"/>
  <c r="J312" i="31"/>
  <c r="I313" i="31"/>
  <c r="H313" i="31"/>
  <c r="D313" i="31"/>
  <c r="A316" i="31"/>
  <c r="B315" i="31"/>
  <c r="C314" i="31"/>
  <c r="F314" i="31"/>
  <c r="G314" i="31"/>
  <c r="D314" i="31"/>
  <c r="E316" i="31"/>
  <c r="K316" i="31"/>
  <c r="J313" i="31"/>
  <c r="I314" i="31"/>
  <c r="H314" i="31"/>
  <c r="C315" i="31"/>
  <c r="F315" i="31"/>
  <c r="G315" i="31"/>
  <c r="D315" i="31"/>
  <c r="E317" i="31"/>
  <c r="A317" i="31"/>
  <c r="K317" i="31"/>
  <c r="B316" i="31"/>
  <c r="E318" i="31"/>
  <c r="J314" i="31"/>
  <c r="C316" i="31"/>
  <c r="F316" i="31"/>
  <c r="G316" i="31"/>
  <c r="B317" i="31"/>
  <c r="A318" i="31"/>
  <c r="I315" i="31"/>
  <c r="H315" i="31"/>
  <c r="E319" i="31"/>
  <c r="K318" i="31"/>
  <c r="D316" i="31"/>
  <c r="J315" i="31"/>
  <c r="A319" i="31"/>
  <c r="K319" i="31"/>
  <c r="B318" i="31"/>
  <c r="C317" i="31"/>
  <c r="F317" i="31"/>
  <c r="G317" i="31"/>
  <c r="I316" i="31"/>
  <c r="H316" i="31"/>
  <c r="J316" i="31"/>
  <c r="I317" i="31"/>
  <c r="H317" i="31"/>
  <c r="D317" i="31"/>
  <c r="C318" i="31"/>
  <c r="F318" i="31"/>
  <c r="G318" i="31"/>
  <c r="B319" i="31"/>
  <c r="A320" i="31"/>
  <c r="K320" i="31"/>
  <c r="E320" i="31"/>
  <c r="E321" i="31"/>
  <c r="J317" i="31"/>
  <c r="D318" i="31"/>
  <c r="B320" i="31"/>
  <c r="A321" i="31"/>
  <c r="K321" i="31"/>
  <c r="E322" i="31"/>
  <c r="C319" i="31"/>
  <c r="F319" i="31"/>
  <c r="G319" i="31"/>
  <c r="I318" i="31"/>
  <c r="H318" i="31"/>
  <c r="J318" i="31"/>
  <c r="I319" i="31"/>
  <c r="H319" i="31"/>
  <c r="D319" i="31"/>
  <c r="B321" i="31"/>
  <c r="C321" i="31"/>
  <c r="A322" i="31"/>
  <c r="K322" i="31"/>
  <c r="C320" i="31"/>
  <c r="F320" i="31"/>
  <c r="G320" i="31"/>
  <c r="D320" i="31"/>
  <c r="J319" i="31"/>
  <c r="A323" i="31"/>
  <c r="B322" i="31"/>
  <c r="I320" i="31"/>
  <c r="H320" i="31"/>
  <c r="D321" i="31"/>
  <c r="F321" i="31"/>
  <c r="G321" i="31"/>
  <c r="E323" i="31"/>
  <c r="E324" i="31"/>
  <c r="K323" i="31"/>
  <c r="J320" i="31"/>
  <c r="I321" i="31"/>
  <c r="H321" i="31"/>
  <c r="C322" i="31"/>
  <c r="F322" i="31"/>
  <c r="G322" i="31"/>
  <c r="B323" i="31"/>
  <c r="A324" i="31"/>
  <c r="K324" i="31"/>
  <c r="J321" i="31"/>
  <c r="B324" i="31"/>
  <c r="A325" i="31"/>
  <c r="D322" i="31"/>
  <c r="C323" i="31"/>
  <c r="F323" i="31"/>
  <c r="G323" i="31"/>
  <c r="I322" i="31"/>
  <c r="H322" i="31"/>
  <c r="E325" i="31"/>
  <c r="E326" i="31"/>
  <c r="K325" i="31"/>
  <c r="J322" i="31"/>
  <c r="I323" i="31"/>
  <c r="H323" i="31"/>
  <c r="D323" i="31"/>
  <c r="B325" i="31"/>
  <c r="A326" i="31"/>
  <c r="K326" i="31"/>
  <c r="C324" i="31"/>
  <c r="F324" i="31"/>
  <c r="G324" i="31"/>
  <c r="J323" i="31"/>
  <c r="D324" i="31"/>
  <c r="A327" i="31"/>
  <c r="B326" i="31"/>
  <c r="C326" i="31"/>
  <c r="I324" i="31"/>
  <c r="H324" i="31"/>
  <c r="C325" i="31"/>
  <c r="F325" i="31"/>
  <c r="G325" i="31"/>
  <c r="E327" i="31"/>
  <c r="E328" i="31"/>
  <c r="K327" i="31"/>
  <c r="J324" i="31"/>
  <c r="I325" i="31"/>
  <c r="H325" i="31"/>
  <c r="D325" i="31"/>
  <c r="D326" i="31"/>
  <c r="F326" i="31"/>
  <c r="G326" i="31"/>
  <c r="B327" i="31"/>
  <c r="A328" i="31"/>
  <c r="K328" i="31"/>
  <c r="J325" i="31"/>
  <c r="I326" i="31"/>
  <c r="H326" i="31"/>
  <c r="B328" i="31"/>
  <c r="C328" i="31"/>
  <c r="A329" i="31"/>
  <c r="C327" i="31"/>
  <c r="F327" i="31"/>
  <c r="G327" i="31"/>
  <c r="E329" i="31"/>
  <c r="D327" i="31"/>
  <c r="K329" i="31"/>
  <c r="J326" i="31"/>
  <c r="D328" i="31"/>
  <c r="F328" i="31"/>
  <c r="G328" i="31"/>
  <c r="I327" i="31"/>
  <c r="H327" i="31"/>
  <c r="E330" i="31"/>
  <c r="A330" i="31"/>
  <c r="K330" i="31"/>
  <c r="B329" i="31"/>
  <c r="J327" i="31"/>
  <c r="B330" i="31"/>
  <c r="A331" i="31"/>
  <c r="C329" i="31"/>
  <c r="F329" i="31"/>
  <c r="G329" i="31"/>
  <c r="E331" i="31"/>
  <c r="E332" i="31"/>
  <c r="I328" i="31"/>
  <c r="J328" i="31"/>
  <c r="H328" i="31"/>
  <c r="K331" i="31"/>
  <c r="D329" i="31"/>
  <c r="I329" i="31"/>
  <c r="H329" i="31"/>
  <c r="A332" i="31"/>
  <c r="K332" i="31"/>
  <c r="B331" i="31"/>
  <c r="C330" i="31"/>
  <c r="F330" i="31"/>
  <c r="G330" i="31"/>
  <c r="J329" i="31"/>
  <c r="D330" i="31"/>
  <c r="I330" i="31"/>
  <c r="H330" i="31"/>
  <c r="C331" i="31"/>
  <c r="F331" i="31"/>
  <c r="G331" i="31"/>
  <c r="E333" i="31"/>
  <c r="A333" i="31"/>
  <c r="K333" i="31"/>
  <c r="B332" i="31"/>
  <c r="C332" i="31"/>
  <c r="D331" i="31"/>
  <c r="J330" i="31"/>
  <c r="B333" i="31"/>
  <c r="A334" i="31"/>
  <c r="K334" i="31"/>
  <c r="E334" i="31"/>
  <c r="E335" i="31"/>
  <c r="D332" i="31"/>
  <c r="F332" i="31"/>
  <c r="G332" i="31"/>
  <c r="I331" i="31"/>
  <c r="H331" i="31"/>
  <c r="J331" i="31"/>
  <c r="I332" i="31"/>
  <c r="H332" i="31"/>
  <c r="A335" i="31"/>
  <c r="K335" i="31"/>
  <c r="B334" i="31"/>
  <c r="C333" i="31"/>
  <c r="J332" i="31"/>
  <c r="F333" i="31"/>
  <c r="G333" i="31"/>
  <c r="D333" i="31"/>
  <c r="C334" i="31"/>
  <c r="F334" i="31"/>
  <c r="G334" i="31"/>
  <c r="D334" i="31"/>
  <c r="A336" i="31"/>
  <c r="K336" i="31"/>
  <c r="B335" i="31"/>
  <c r="E336" i="31"/>
  <c r="E337" i="31"/>
  <c r="A337" i="31"/>
  <c r="K337" i="31"/>
  <c r="B336" i="31"/>
  <c r="C335" i="31"/>
  <c r="D335" i="31"/>
  <c r="I334" i="31"/>
  <c r="H334" i="31"/>
  <c r="I333" i="31"/>
  <c r="H333" i="31"/>
  <c r="J333" i="31"/>
  <c r="J334" i="31"/>
  <c r="A338" i="31"/>
  <c r="B337" i="31"/>
  <c r="G335" i="31"/>
  <c r="F335" i="31"/>
  <c r="C336" i="31"/>
  <c r="D336" i="31"/>
  <c r="E338" i="31"/>
  <c r="E339" i="31"/>
  <c r="K338" i="31"/>
  <c r="C337" i="31"/>
  <c r="G336" i="31"/>
  <c r="F336" i="31"/>
  <c r="I335" i="31"/>
  <c r="H335" i="31"/>
  <c r="A339" i="31"/>
  <c r="K339" i="31"/>
  <c r="B338" i="31"/>
  <c r="C338" i="31"/>
  <c r="J335" i="31"/>
  <c r="A340" i="31"/>
  <c r="B339" i="31"/>
  <c r="D338" i="31"/>
  <c r="F338" i="31"/>
  <c r="G338" i="31"/>
  <c r="F337" i="31"/>
  <c r="G337" i="31"/>
  <c r="I336" i="31"/>
  <c r="H336" i="31"/>
  <c r="D337" i="31"/>
  <c r="E340" i="31"/>
  <c r="E341" i="31"/>
  <c r="K340" i="31"/>
  <c r="J336" i="31"/>
  <c r="I337" i="31"/>
  <c r="H337" i="31"/>
  <c r="C339" i="31"/>
  <c r="D339" i="31"/>
  <c r="I338" i="31"/>
  <c r="H338" i="31"/>
  <c r="A341" i="31"/>
  <c r="K341" i="31"/>
  <c r="B340" i="31"/>
  <c r="C340" i="31"/>
  <c r="J338" i="31"/>
  <c r="J337" i="31"/>
  <c r="B341" i="31"/>
  <c r="A342" i="31"/>
  <c r="D340" i="31"/>
  <c r="F340" i="31"/>
  <c r="G340" i="31"/>
  <c r="G339" i="31"/>
  <c r="F339" i="31"/>
  <c r="E342" i="31"/>
  <c r="E343" i="31"/>
  <c r="K342" i="31"/>
  <c r="I340" i="31"/>
  <c r="H340" i="31"/>
  <c r="A343" i="31"/>
  <c r="K343" i="31"/>
  <c r="B342" i="31"/>
  <c r="C342" i="31"/>
  <c r="I339" i="31"/>
  <c r="H339" i="31"/>
  <c r="C341" i="31"/>
  <c r="D341" i="31"/>
  <c r="J339" i="31"/>
  <c r="J340" i="31"/>
  <c r="G341" i="31"/>
  <c r="F341" i="31"/>
  <c r="D342" i="31"/>
  <c r="F342" i="31"/>
  <c r="G342" i="31"/>
  <c r="A344" i="31"/>
  <c r="B343" i="31"/>
  <c r="E344" i="31"/>
  <c r="K344" i="31"/>
  <c r="A345" i="31"/>
  <c r="B344" i="31"/>
  <c r="E345" i="31"/>
  <c r="E346" i="31"/>
  <c r="C343" i="31"/>
  <c r="D343" i="31"/>
  <c r="I342" i="31"/>
  <c r="H342" i="31"/>
  <c r="I341" i="31"/>
  <c r="H341" i="31"/>
  <c r="K345" i="31"/>
  <c r="J341" i="31"/>
  <c r="J342" i="31"/>
  <c r="G343" i="31"/>
  <c r="F343" i="31"/>
  <c r="C344" i="31"/>
  <c r="D344" i="31"/>
  <c r="A346" i="31"/>
  <c r="K346" i="31"/>
  <c r="B345" i="31"/>
  <c r="C345" i="31"/>
  <c r="D345" i="31"/>
  <c r="B346" i="31"/>
  <c r="A347" i="31"/>
  <c r="G344" i="31"/>
  <c r="F344" i="31"/>
  <c r="E347" i="31"/>
  <c r="E348" i="31"/>
  <c r="I343" i="31"/>
  <c r="H343" i="31"/>
  <c r="K347" i="31"/>
  <c r="J343" i="31"/>
  <c r="I344" i="31"/>
  <c r="H344" i="31"/>
  <c r="A348" i="31"/>
  <c r="K348" i="31"/>
  <c r="B347" i="31"/>
  <c r="C346" i="31"/>
  <c r="G345" i="31"/>
  <c r="F345" i="31"/>
  <c r="J344" i="31"/>
  <c r="F346" i="31"/>
  <c r="G346" i="31"/>
  <c r="I345" i="31"/>
  <c r="H345" i="31"/>
  <c r="D346" i="31"/>
  <c r="C347" i="31"/>
  <c r="D347" i="31"/>
  <c r="B348" i="31"/>
  <c r="A349" i="31"/>
  <c r="K349" i="31"/>
  <c r="E349" i="31"/>
  <c r="J345" i="31"/>
  <c r="B349" i="31"/>
  <c r="A350" i="31"/>
  <c r="I346" i="31"/>
  <c r="H346" i="31"/>
  <c r="E350" i="31"/>
  <c r="E351" i="31"/>
  <c r="C348" i="31"/>
  <c r="D348" i="31"/>
  <c r="F347" i="31"/>
  <c r="G347" i="31"/>
  <c r="K350" i="31"/>
  <c r="J346" i="31"/>
  <c r="I347" i="31"/>
  <c r="H347" i="31"/>
  <c r="G348" i="31"/>
  <c r="F348" i="31"/>
  <c r="B350" i="31"/>
  <c r="A351" i="31"/>
  <c r="C349" i="31"/>
  <c r="D349" i="31"/>
  <c r="E352" i="31"/>
  <c r="K351" i="31"/>
  <c r="J347" i="31"/>
  <c r="F349" i="31"/>
  <c r="G349" i="31"/>
  <c r="B351" i="31"/>
  <c r="A352" i="31"/>
  <c r="K352" i="31"/>
  <c r="C350" i="31"/>
  <c r="I348" i="31"/>
  <c r="H348" i="31"/>
  <c r="J348" i="31"/>
  <c r="F350" i="31"/>
  <c r="G350" i="31"/>
  <c r="I349" i="31"/>
  <c r="H349" i="31"/>
  <c r="D350" i="31"/>
  <c r="A353" i="31"/>
  <c r="K353" i="31"/>
  <c r="B352" i="31"/>
  <c r="C351" i="31"/>
  <c r="E353" i="31"/>
  <c r="E354" i="31"/>
  <c r="J349" i="31"/>
  <c r="C352" i="31"/>
  <c r="D352" i="31"/>
  <c r="G351" i="31"/>
  <c r="F351" i="31"/>
  <c r="D351" i="31"/>
  <c r="A354" i="31"/>
  <c r="K354" i="31"/>
  <c r="B353" i="31"/>
  <c r="I350" i="31"/>
  <c r="H350" i="31"/>
  <c r="J350" i="31"/>
  <c r="C353" i="31"/>
  <c r="D353" i="31"/>
  <c r="A355" i="31"/>
  <c r="K355" i="31"/>
  <c r="B354" i="31"/>
  <c r="E355" i="31"/>
  <c r="E356" i="31"/>
  <c r="I351" i="31"/>
  <c r="H351" i="31"/>
  <c r="F352" i="31"/>
  <c r="G352" i="31"/>
  <c r="J351" i="31"/>
  <c r="I352" i="31"/>
  <c r="H352" i="31"/>
  <c r="C354" i="31"/>
  <c r="D354" i="31"/>
  <c r="B355" i="31"/>
  <c r="A356" i="31"/>
  <c r="K356" i="31"/>
  <c r="G353" i="31"/>
  <c r="F353" i="31"/>
  <c r="J352" i="31"/>
  <c r="C355" i="31"/>
  <c r="D355" i="31"/>
  <c r="F354" i="31"/>
  <c r="G354" i="31"/>
  <c r="I353" i="31"/>
  <c r="H353" i="31"/>
  <c r="B356" i="31"/>
  <c r="A357" i="31"/>
  <c r="K357" i="31"/>
  <c r="E357" i="31"/>
  <c r="E358" i="31"/>
  <c r="J353" i="31"/>
  <c r="A358" i="31"/>
  <c r="K358" i="31"/>
  <c r="B357" i="31"/>
  <c r="C356" i="31"/>
  <c r="D356" i="31"/>
  <c r="I354" i="31"/>
  <c r="H354" i="31"/>
  <c r="G355" i="31"/>
  <c r="F355" i="31"/>
  <c r="J354" i="31"/>
  <c r="I355" i="31"/>
  <c r="H355" i="31"/>
  <c r="F356" i="31"/>
  <c r="G356" i="31"/>
  <c r="C357" i="31"/>
  <c r="D357" i="31"/>
  <c r="B358" i="31"/>
  <c r="A359" i="31"/>
  <c r="K359" i="31"/>
  <c r="E359" i="31"/>
  <c r="J355" i="31"/>
  <c r="A360" i="31"/>
  <c r="B359" i="31"/>
  <c r="E360" i="31"/>
  <c r="E361" i="31"/>
  <c r="C358" i="31"/>
  <c r="D358" i="31"/>
  <c r="G357" i="31"/>
  <c r="F357" i="31"/>
  <c r="I356" i="31"/>
  <c r="H356" i="31"/>
  <c r="K360" i="31"/>
  <c r="J356" i="31"/>
  <c r="G358" i="31"/>
  <c r="F358" i="31"/>
  <c r="C359" i="31"/>
  <c r="D359" i="31"/>
  <c r="I357" i="31"/>
  <c r="H357" i="31"/>
  <c r="A361" i="31"/>
  <c r="K361" i="31"/>
  <c r="B360" i="31"/>
  <c r="C360" i="31"/>
  <c r="J357" i="31"/>
  <c r="A362" i="31"/>
  <c r="B361" i="31"/>
  <c r="D360" i="31"/>
  <c r="G360" i="31"/>
  <c r="F360" i="31"/>
  <c r="E362" i="31"/>
  <c r="E363" i="31"/>
  <c r="G359" i="31"/>
  <c r="F359" i="31"/>
  <c r="I358" i="31"/>
  <c r="H358" i="31"/>
  <c r="K362" i="31"/>
  <c r="J358" i="31"/>
  <c r="C361" i="31"/>
  <c r="D361" i="31"/>
  <c r="I359" i="31"/>
  <c r="H359" i="31"/>
  <c r="I360" i="31"/>
  <c r="H360" i="31"/>
  <c r="B362" i="31"/>
  <c r="A363" i="31"/>
  <c r="K363" i="31"/>
  <c r="J359" i="31"/>
  <c r="J360" i="31"/>
  <c r="B363" i="31"/>
  <c r="A364" i="31"/>
  <c r="C362" i="31"/>
  <c r="F361" i="31"/>
  <c r="G361" i="31"/>
  <c r="E364" i="31"/>
  <c r="E365" i="31"/>
  <c r="K364" i="31"/>
  <c r="F362" i="31"/>
  <c r="G362" i="31"/>
  <c r="I361" i="31"/>
  <c r="H361" i="31"/>
  <c r="D362" i="31"/>
  <c r="A365" i="31"/>
  <c r="K365" i="31"/>
  <c r="B364" i="31"/>
  <c r="C363" i="31"/>
  <c r="F363" i="31"/>
  <c r="G363" i="31"/>
  <c r="D363" i="31"/>
  <c r="J361" i="31"/>
  <c r="I363" i="31"/>
  <c r="J363" i="31"/>
  <c r="H363" i="31"/>
  <c r="C364" i="31"/>
  <c r="D364" i="31"/>
  <c r="B365" i="31"/>
  <c r="A366" i="31"/>
  <c r="K366" i="31"/>
  <c r="E366" i="31"/>
  <c r="E367" i="31"/>
  <c r="I362" i="31"/>
  <c r="H362" i="31"/>
  <c r="J362" i="31"/>
  <c r="B366" i="31"/>
  <c r="A367" i="31"/>
  <c r="K367" i="31"/>
  <c r="C365" i="31"/>
  <c r="F364" i="31"/>
  <c r="G364" i="31"/>
  <c r="I364" i="31"/>
  <c r="J364" i="31"/>
  <c r="H364" i="31"/>
  <c r="F365" i="31"/>
  <c r="G365" i="31"/>
  <c r="D365" i="31"/>
  <c r="B367" i="31"/>
  <c r="A368" i="31"/>
  <c r="K368" i="31"/>
  <c r="C366" i="31"/>
  <c r="F366" i="31"/>
  <c r="G366" i="31"/>
  <c r="E368" i="31"/>
  <c r="E369" i="31"/>
  <c r="I365" i="31"/>
  <c r="J365" i="31"/>
  <c r="H365" i="31"/>
  <c r="I366" i="31"/>
  <c r="J366" i="31"/>
  <c r="H366" i="31"/>
  <c r="D366" i="31"/>
  <c r="B368" i="31"/>
  <c r="A369" i="31"/>
  <c r="C367" i="31"/>
  <c r="F367" i="31"/>
  <c r="G367" i="31"/>
  <c r="E370" i="31"/>
  <c r="K369" i="31"/>
  <c r="I367" i="31"/>
  <c r="J367" i="31"/>
  <c r="H367" i="31"/>
  <c r="D367" i="31"/>
  <c r="C368" i="31"/>
  <c r="F368" i="31"/>
  <c r="G368" i="31"/>
  <c r="B369" i="31"/>
  <c r="A370" i="31"/>
  <c r="K370" i="31"/>
  <c r="D368" i="31"/>
  <c r="E371" i="31"/>
  <c r="B370" i="31"/>
  <c r="A371" i="31"/>
  <c r="K371" i="31"/>
  <c r="C369" i="31"/>
  <c r="F369" i="31"/>
  <c r="G369" i="31"/>
  <c r="D369" i="31"/>
  <c r="I368" i="31"/>
  <c r="J368" i="31"/>
  <c r="H368" i="31"/>
  <c r="C370" i="31"/>
  <c r="F370" i="31"/>
  <c r="G370" i="31"/>
  <c r="I369" i="31"/>
  <c r="J369" i="31"/>
  <c r="H369" i="31"/>
  <c r="B371" i="31"/>
  <c r="C371" i="31"/>
  <c r="A372" i="31"/>
  <c r="E372" i="31"/>
  <c r="K372" i="31"/>
  <c r="D370" i="31"/>
  <c r="A373" i="31"/>
  <c r="B372" i="31"/>
  <c r="E373" i="31"/>
  <c r="D371" i="31"/>
  <c r="F371" i="31"/>
  <c r="G371" i="31"/>
  <c r="I370" i="31"/>
  <c r="J370" i="31"/>
  <c r="H370" i="31"/>
  <c r="K373" i="31"/>
  <c r="E374" i="31"/>
  <c r="I371" i="31"/>
  <c r="J371" i="31"/>
  <c r="H371" i="31"/>
  <c r="C372" i="31"/>
  <c r="F372" i="31"/>
  <c r="G372" i="31"/>
  <c r="D372" i="31"/>
  <c r="A374" i="31"/>
  <c r="K374" i="31"/>
  <c r="B373" i="31"/>
  <c r="A375" i="31"/>
  <c r="B374" i="31"/>
  <c r="E375" i="31"/>
  <c r="C373" i="31"/>
  <c r="F373" i="31"/>
  <c r="G373" i="31"/>
  <c r="I372" i="31"/>
  <c r="H372" i="31"/>
  <c r="D373" i="31"/>
  <c r="K375" i="31"/>
  <c r="E376" i="31"/>
  <c r="J372" i="31"/>
  <c r="I373" i="31"/>
  <c r="H373" i="31"/>
  <c r="C374" i="31"/>
  <c r="F374" i="31"/>
  <c r="G374" i="31"/>
  <c r="A376" i="31"/>
  <c r="K376" i="31"/>
  <c r="B375" i="31"/>
  <c r="D374" i="31"/>
  <c r="J373" i="31"/>
  <c r="B376" i="31"/>
  <c r="A377" i="31"/>
  <c r="C375" i="31"/>
  <c r="F375" i="31"/>
  <c r="G375" i="31"/>
  <c r="D375" i="31"/>
  <c r="I374" i="31"/>
  <c r="H374" i="31"/>
  <c r="E377" i="31"/>
  <c r="E378" i="31"/>
  <c r="K377" i="31"/>
  <c r="J374" i="31"/>
  <c r="I375" i="31"/>
  <c r="H375" i="31"/>
  <c r="A378" i="31"/>
  <c r="K378" i="31"/>
  <c r="B377" i="31"/>
  <c r="C376" i="31"/>
  <c r="F376" i="31"/>
  <c r="G376" i="31"/>
  <c r="D376" i="31"/>
  <c r="J375" i="31"/>
  <c r="I376" i="31"/>
  <c r="H376" i="31"/>
  <c r="C377" i="31"/>
  <c r="F377" i="31"/>
  <c r="G377" i="31"/>
  <c r="D377" i="31"/>
  <c r="A379" i="31"/>
  <c r="K379" i="31"/>
  <c r="B378" i="31"/>
  <c r="E379" i="31"/>
  <c r="E380" i="31"/>
  <c r="J376" i="31"/>
  <c r="C378" i="31"/>
  <c r="D378" i="31"/>
  <c r="B379" i="31"/>
  <c r="A380" i="31"/>
  <c r="K380" i="31"/>
  <c r="I377" i="31"/>
  <c r="H377" i="31"/>
  <c r="J377" i="31"/>
  <c r="C379" i="31"/>
  <c r="F379" i="31"/>
  <c r="G379" i="31"/>
  <c r="B380" i="31"/>
  <c r="A381" i="31"/>
  <c r="E381" i="31"/>
  <c r="E382" i="31"/>
  <c r="F378" i="31"/>
  <c r="G378" i="31"/>
  <c r="K381" i="31"/>
  <c r="C380" i="31"/>
  <c r="F380" i="31"/>
  <c r="G380" i="31"/>
  <c r="I378" i="31"/>
  <c r="H378" i="31"/>
  <c r="A382" i="31"/>
  <c r="K382" i="31"/>
  <c r="B381" i="31"/>
  <c r="I379" i="31"/>
  <c r="H379" i="31"/>
  <c r="D379" i="31"/>
  <c r="J378" i="31"/>
  <c r="J379" i="31"/>
  <c r="A383" i="31"/>
  <c r="B382" i="31"/>
  <c r="C381" i="31"/>
  <c r="D381" i="31"/>
  <c r="I380" i="31"/>
  <c r="H380" i="31"/>
  <c r="D380" i="31"/>
  <c r="E383" i="31"/>
  <c r="E384" i="31"/>
  <c r="K383" i="31"/>
  <c r="J380" i="31"/>
  <c r="F381" i="31"/>
  <c r="G381" i="31"/>
  <c r="C382" i="31"/>
  <c r="F382" i="31"/>
  <c r="G382" i="31"/>
  <c r="B383" i="31"/>
  <c r="A384" i="31"/>
  <c r="K384" i="31"/>
  <c r="I381" i="31"/>
  <c r="H381" i="31"/>
  <c r="I382" i="31"/>
  <c r="H382" i="31"/>
  <c r="A385" i="31"/>
  <c r="B384" i="31"/>
  <c r="C383" i="31"/>
  <c r="F383" i="31"/>
  <c r="G383" i="31"/>
  <c r="D382" i="31"/>
  <c r="E385" i="31"/>
  <c r="E386" i="31"/>
  <c r="K385" i="31"/>
  <c r="J382" i="31"/>
  <c r="J381" i="31"/>
  <c r="B385" i="31"/>
  <c r="A386" i="31"/>
  <c r="K386" i="31"/>
  <c r="D383" i="31"/>
  <c r="C384" i="31"/>
  <c r="D384" i="31"/>
  <c r="I383" i="31"/>
  <c r="H383" i="31"/>
  <c r="J383" i="31"/>
  <c r="F384" i="31"/>
  <c r="G384" i="31"/>
  <c r="B386" i="31"/>
  <c r="A387" i="31"/>
  <c r="C385" i="31"/>
  <c r="F385" i="31"/>
  <c r="G385" i="31"/>
  <c r="D385" i="31"/>
  <c r="E387" i="31"/>
  <c r="E388" i="31"/>
  <c r="K387" i="31"/>
  <c r="I384" i="31"/>
  <c r="H384" i="31"/>
  <c r="A388" i="31"/>
  <c r="K388" i="31"/>
  <c r="B387" i="31"/>
  <c r="I385" i="31"/>
  <c r="H385" i="31"/>
  <c r="C386" i="31"/>
  <c r="F386" i="31"/>
  <c r="G386" i="31"/>
  <c r="D386" i="31"/>
  <c r="J385" i="31"/>
  <c r="J384" i="31"/>
  <c r="I386" i="31"/>
  <c r="H386" i="31"/>
  <c r="C387" i="31"/>
  <c r="F387" i="31"/>
  <c r="G387" i="31"/>
  <c r="D387" i="31"/>
  <c r="A389" i="31"/>
  <c r="B388" i="31"/>
  <c r="C388" i="31"/>
  <c r="E389" i="31"/>
  <c r="E390" i="31"/>
  <c r="K389" i="31"/>
  <c r="J386" i="31"/>
  <c r="D388" i="31"/>
  <c r="F388" i="31"/>
  <c r="G388" i="31"/>
  <c r="A390" i="31"/>
  <c r="K390" i="31"/>
  <c r="B389" i="31"/>
  <c r="C389" i="31"/>
  <c r="I387" i="31"/>
  <c r="H387" i="31"/>
  <c r="J387" i="31"/>
  <c r="B390" i="31"/>
  <c r="A391" i="31"/>
  <c r="D389" i="31"/>
  <c r="F389" i="31"/>
  <c r="G389" i="31"/>
  <c r="I388" i="31"/>
  <c r="H388" i="31"/>
  <c r="E391" i="31"/>
  <c r="K391" i="31"/>
  <c r="J388" i="31"/>
  <c r="I389" i="31"/>
  <c r="H389" i="31"/>
  <c r="E392" i="31"/>
  <c r="A392" i="31"/>
  <c r="K392" i="31"/>
  <c r="B391" i="31"/>
  <c r="C390" i="31"/>
  <c r="F390" i="31"/>
  <c r="G390" i="31"/>
  <c r="D390" i="31"/>
  <c r="J389" i="31"/>
  <c r="A393" i="31"/>
  <c r="B392" i="31"/>
  <c r="I390" i="31"/>
  <c r="H390" i="31"/>
  <c r="C391" i="31"/>
  <c r="F391" i="31"/>
  <c r="G391" i="31"/>
  <c r="E393" i="31"/>
  <c r="E394" i="31"/>
  <c r="D391" i="31"/>
  <c r="K393" i="31"/>
  <c r="J390" i="31"/>
  <c r="I391" i="31"/>
  <c r="H391" i="31"/>
  <c r="C392" i="31"/>
  <c r="F392" i="31"/>
  <c r="G392" i="31"/>
  <c r="D392" i="31"/>
  <c r="B393" i="31"/>
  <c r="A394" i="31"/>
  <c r="K394" i="31"/>
  <c r="J391" i="31"/>
  <c r="E395" i="31"/>
  <c r="A395" i="31"/>
  <c r="K395" i="31"/>
  <c r="B394" i="31"/>
  <c r="C393" i="31"/>
  <c r="F393" i="31"/>
  <c r="G393" i="31"/>
  <c r="I392" i="31"/>
  <c r="J392" i="31"/>
  <c r="H392" i="31"/>
  <c r="I393" i="31"/>
  <c r="J393" i="31"/>
  <c r="H393" i="31"/>
  <c r="D393" i="31"/>
  <c r="C394" i="31"/>
  <c r="F394" i="31"/>
  <c r="G394" i="31"/>
  <c r="E396" i="31"/>
  <c r="B395" i="31"/>
  <c r="A396" i="31"/>
  <c r="K396" i="31"/>
  <c r="C395" i="31"/>
  <c r="F395" i="31"/>
  <c r="G395" i="31"/>
  <c r="I394" i="31"/>
  <c r="J394" i="31"/>
  <c r="H394" i="31"/>
  <c r="A397" i="31"/>
  <c r="B396" i="31"/>
  <c r="E397" i="31"/>
  <c r="E398" i="31"/>
  <c r="D394" i="31"/>
  <c r="K397" i="31"/>
  <c r="B397" i="31"/>
  <c r="C397" i="31"/>
  <c r="A398" i="31"/>
  <c r="K398" i="31"/>
  <c r="C396" i="31"/>
  <c r="F396" i="31"/>
  <c r="G396" i="31"/>
  <c r="D396" i="31"/>
  <c r="I395" i="31"/>
  <c r="J395" i="31"/>
  <c r="H395" i="31"/>
  <c r="D395" i="31"/>
  <c r="I396" i="31"/>
  <c r="J396" i="31"/>
  <c r="H396" i="31"/>
  <c r="A399" i="31"/>
  <c r="B398" i="31"/>
  <c r="D397" i="31"/>
  <c r="F397" i="31"/>
  <c r="G397" i="31"/>
  <c r="E399" i="31"/>
  <c r="E400" i="31"/>
  <c r="K399" i="31"/>
  <c r="C398" i="31"/>
  <c r="F398" i="31"/>
  <c r="G398" i="31"/>
  <c r="I397" i="31"/>
  <c r="J397" i="31"/>
  <c r="H397" i="31"/>
  <c r="B399" i="31"/>
  <c r="C399" i="31"/>
  <c r="A400" i="31"/>
  <c r="K400" i="31"/>
  <c r="D398" i="31"/>
  <c r="B400" i="31"/>
  <c r="A401" i="31"/>
  <c r="D399" i="31"/>
  <c r="F399" i="31"/>
  <c r="G399" i="31"/>
  <c r="I398" i="31"/>
  <c r="H398" i="31"/>
  <c r="E401" i="31"/>
  <c r="E402" i="31"/>
  <c r="K401" i="31"/>
  <c r="J398" i="31"/>
  <c r="I399" i="31"/>
  <c r="H399" i="31"/>
  <c r="B401" i="31"/>
  <c r="A402" i="31"/>
  <c r="K402" i="31"/>
  <c r="C400" i="31"/>
  <c r="F400" i="31"/>
  <c r="G400" i="31"/>
  <c r="D400" i="31"/>
  <c r="J399" i="31"/>
  <c r="B402" i="31"/>
  <c r="A403" i="31"/>
  <c r="C401" i="31"/>
  <c r="F401" i="31"/>
  <c r="G401" i="31"/>
  <c r="D401" i="31"/>
  <c r="I400" i="31"/>
  <c r="H400" i="31"/>
  <c r="E403" i="31"/>
  <c r="E404" i="31"/>
  <c r="K403" i="31"/>
  <c r="J400" i="31"/>
  <c r="I401" i="31"/>
  <c r="H401" i="31"/>
  <c r="A404" i="31"/>
  <c r="K404" i="31"/>
  <c r="B403" i="31"/>
  <c r="C402" i="31"/>
  <c r="F402" i="31"/>
  <c r="G402" i="31"/>
  <c r="D402" i="31"/>
  <c r="J401" i="31"/>
  <c r="C403" i="31"/>
  <c r="F403" i="31"/>
  <c r="G403" i="31"/>
  <c r="D403" i="31"/>
  <c r="A405" i="31"/>
  <c r="B404" i="31"/>
  <c r="C404" i="31"/>
  <c r="I402" i="31"/>
  <c r="H402" i="31"/>
  <c r="E405" i="31"/>
  <c r="E406" i="31"/>
  <c r="K405" i="31"/>
  <c r="J402" i="31"/>
  <c r="D404" i="31"/>
  <c r="F404" i="31"/>
  <c r="G404" i="31"/>
  <c r="A406" i="31"/>
  <c r="K406" i="31"/>
  <c r="B405" i="31"/>
  <c r="I403" i="31"/>
  <c r="H403" i="31"/>
  <c r="J403" i="31"/>
  <c r="B406" i="31"/>
  <c r="C406" i="31"/>
  <c r="A407" i="31"/>
  <c r="C405" i="31"/>
  <c r="F405" i="31"/>
  <c r="G405" i="31"/>
  <c r="D405" i="31"/>
  <c r="I404" i="31"/>
  <c r="H404" i="31"/>
  <c r="E407" i="31"/>
  <c r="K407" i="31"/>
  <c r="J404" i="31"/>
  <c r="E408" i="31"/>
  <c r="A408" i="31"/>
  <c r="K408" i="31"/>
  <c r="B407" i="31"/>
  <c r="I405" i="31"/>
  <c r="H405" i="31"/>
  <c r="D406" i="31"/>
  <c r="F406" i="31"/>
  <c r="G406" i="31"/>
  <c r="J405" i="31"/>
  <c r="I406" i="31"/>
  <c r="H406" i="31"/>
  <c r="C407" i="31"/>
  <c r="F407" i="31"/>
  <c r="G407" i="31"/>
  <c r="A409" i="31"/>
  <c r="K409" i="31"/>
  <c r="B408" i="31"/>
  <c r="E409" i="31"/>
  <c r="E410" i="31"/>
  <c r="J406" i="31"/>
  <c r="A410" i="31"/>
  <c r="K410" i="31"/>
  <c r="B409" i="31"/>
  <c r="I407" i="31"/>
  <c r="H407" i="31"/>
  <c r="C408" i="31"/>
  <c r="F408" i="31"/>
  <c r="G408" i="31"/>
  <c r="D408" i="31"/>
  <c r="D407" i="31"/>
  <c r="J407" i="31"/>
  <c r="I408" i="31"/>
  <c r="H408" i="31"/>
  <c r="C409" i="31"/>
  <c r="F409" i="31"/>
  <c r="G409" i="31"/>
  <c r="D409" i="31"/>
  <c r="E411" i="31"/>
  <c r="E412" i="31"/>
  <c r="A411" i="31"/>
  <c r="K411" i="31"/>
  <c r="B410" i="31"/>
  <c r="J408" i="31"/>
  <c r="C410" i="31"/>
  <c r="D410" i="31"/>
  <c r="B411" i="31"/>
  <c r="A412" i="31"/>
  <c r="K412" i="31"/>
  <c r="I409" i="31"/>
  <c r="H409" i="31"/>
  <c r="J409" i="31"/>
  <c r="B412" i="31"/>
  <c r="A413" i="31"/>
  <c r="C411" i="31"/>
  <c r="F411" i="31"/>
  <c r="G411" i="31"/>
  <c r="D411" i="31"/>
  <c r="F410" i="31"/>
  <c r="G410" i="31"/>
  <c r="E413" i="31"/>
  <c r="E414" i="31"/>
  <c r="K413" i="31"/>
  <c r="I410" i="31"/>
  <c r="H410" i="31"/>
  <c r="I411" i="31"/>
  <c r="H411" i="31"/>
  <c r="A414" i="31"/>
  <c r="K414" i="31"/>
  <c r="B413" i="31"/>
  <c r="C412" i="31"/>
  <c r="F412" i="31"/>
  <c r="G412" i="31"/>
  <c r="D412" i="31"/>
  <c r="J411" i="31"/>
  <c r="J410" i="31"/>
  <c r="A415" i="31"/>
  <c r="B414" i="31"/>
  <c r="C414" i="31"/>
  <c r="I412" i="31"/>
  <c r="H412" i="31"/>
  <c r="C413" i="31"/>
  <c r="D413" i="31"/>
  <c r="E415" i="31"/>
  <c r="E416" i="31"/>
  <c r="K415" i="31"/>
  <c r="J412" i="31"/>
  <c r="F413" i="31"/>
  <c r="G413" i="31"/>
  <c r="D414" i="31"/>
  <c r="F414" i="31"/>
  <c r="G414" i="31"/>
  <c r="B415" i="31"/>
  <c r="A416" i="31"/>
  <c r="K416" i="31"/>
  <c r="I413" i="31"/>
  <c r="H413" i="31"/>
  <c r="C415" i="31"/>
  <c r="F415" i="31"/>
  <c r="G415" i="31"/>
  <c r="D415" i="31"/>
  <c r="B416" i="31"/>
  <c r="C416" i="31"/>
  <c r="A417" i="31"/>
  <c r="I414" i="31"/>
  <c r="H414" i="31"/>
  <c r="E417" i="31"/>
  <c r="E418" i="31"/>
  <c r="K417" i="31"/>
  <c r="J413" i="31"/>
  <c r="J414" i="31"/>
  <c r="D416" i="31"/>
  <c r="F416" i="31"/>
  <c r="G416" i="31"/>
  <c r="B417" i="31"/>
  <c r="A418" i="31"/>
  <c r="K418" i="31"/>
  <c r="I415" i="31"/>
  <c r="H415" i="31"/>
  <c r="E419" i="31"/>
  <c r="J415" i="31"/>
  <c r="C417" i="31"/>
  <c r="F417" i="31"/>
  <c r="G417" i="31"/>
  <c r="D417" i="31"/>
  <c r="B418" i="31"/>
  <c r="C418" i="31"/>
  <c r="A419" i="31"/>
  <c r="K419" i="31"/>
  <c r="I416" i="31"/>
  <c r="H416" i="31"/>
  <c r="J416" i="31"/>
  <c r="B419" i="31"/>
  <c r="A420" i="31"/>
  <c r="D418" i="31"/>
  <c r="F418" i="31"/>
  <c r="G418" i="31"/>
  <c r="E420" i="31"/>
  <c r="E421" i="31"/>
  <c r="I417" i="31"/>
  <c r="J417" i="31"/>
  <c r="H417" i="31"/>
  <c r="K420" i="31"/>
  <c r="I418" i="31"/>
  <c r="H418" i="31"/>
  <c r="B420" i="31"/>
  <c r="C420" i="31"/>
  <c r="A421" i="31"/>
  <c r="K421" i="31"/>
  <c r="C419" i="31"/>
  <c r="F419" i="31"/>
  <c r="G419" i="31"/>
  <c r="D419" i="31"/>
  <c r="J418" i="31"/>
  <c r="D420" i="31"/>
  <c r="F420" i="31"/>
  <c r="G420" i="31"/>
  <c r="I419" i="31"/>
  <c r="H419" i="31"/>
  <c r="B421" i="31"/>
  <c r="C421" i="31"/>
  <c r="A422" i="31"/>
  <c r="K422" i="31"/>
  <c r="E422" i="31"/>
  <c r="J419" i="31"/>
  <c r="B422" i="31"/>
  <c r="A423" i="31"/>
  <c r="E423" i="31"/>
  <c r="D421" i="31"/>
  <c r="F421" i="31"/>
  <c r="G421" i="31"/>
  <c r="I420" i="31"/>
  <c r="H420" i="31"/>
  <c r="K423" i="31"/>
  <c r="J420" i="31"/>
  <c r="A424" i="31"/>
  <c r="B423" i="31"/>
  <c r="I421" i="31"/>
  <c r="H421" i="31"/>
  <c r="E424" i="31"/>
  <c r="C422" i="31"/>
  <c r="F422" i="31"/>
  <c r="G422" i="31"/>
  <c r="D422" i="31"/>
  <c r="K424" i="31"/>
  <c r="J421" i="31"/>
  <c r="I422" i="31"/>
  <c r="J422" i="31"/>
  <c r="H422" i="31"/>
  <c r="C423" i="31"/>
  <c r="F423" i="31"/>
  <c r="G423" i="31"/>
  <c r="D423" i="31"/>
  <c r="E425" i="31"/>
  <c r="A425" i="31"/>
  <c r="K425" i="31"/>
  <c r="B424" i="31"/>
  <c r="C424" i="31"/>
  <c r="F424" i="31"/>
  <c r="G424" i="31"/>
  <c r="D424" i="31"/>
  <c r="B425" i="31"/>
  <c r="A426" i="31"/>
  <c r="E426" i="31"/>
  <c r="E427" i="31"/>
  <c r="I423" i="31"/>
  <c r="J423" i="31"/>
  <c r="H423" i="31"/>
  <c r="K426" i="31"/>
  <c r="A427" i="31"/>
  <c r="K427" i="31"/>
  <c r="B426" i="31"/>
  <c r="E428" i="31"/>
  <c r="C425" i="31"/>
  <c r="F425" i="31"/>
  <c r="G425" i="31"/>
  <c r="I424" i="31"/>
  <c r="J424" i="31"/>
  <c r="H424" i="31"/>
  <c r="I425" i="31"/>
  <c r="H425" i="31"/>
  <c r="D425" i="31"/>
  <c r="C426" i="31"/>
  <c r="F426" i="31"/>
  <c r="G426" i="31"/>
  <c r="B427" i="31"/>
  <c r="A428" i="31"/>
  <c r="K428" i="31"/>
  <c r="J425" i="31"/>
  <c r="I426" i="31"/>
  <c r="H426" i="31"/>
  <c r="A429" i="31"/>
  <c r="B428" i="31"/>
  <c r="C427" i="31"/>
  <c r="D427" i="31"/>
  <c r="D426" i="31"/>
  <c r="E429" i="31"/>
  <c r="K429" i="31"/>
  <c r="J426" i="31"/>
  <c r="F427" i="31"/>
  <c r="G427" i="31"/>
  <c r="C428" i="31"/>
  <c r="F428" i="31"/>
  <c r="G428" i="31"/>
  <c r="D428" i="31"/>
  <c r="E430" i="31"/>
  <c r="E431" i="31"/>
  <c r="A430" i="31"/>
  <c r="K430" i="31"/>
  <c r="B429" i="31"/>
  <c r="I427" i="31"/>
  <c r="H427" i="31"/>
  <c r="C429" i="31"/>
  <c r="F429" i="31"/>
  <c r="G429" i="31"/>
  <c r="D429" i="31"/>
  <c r="B430" i="31"/>
  <c r="A431" i="31"/>
  <c r="K431" i="31"/>
  <c r="I428" i="31"/>
  <c r="H428" i="31"/>
  <c r="J427" i="31"/>
  <c r="J428" i="31"/>
  <c r="B431" i="31"/>
  <c r="A432" i="31"/>
  <c r="C430" i="31"/>
  <c r="F430" i="31"/>
  <c r="G430" i="31"/>
  <c r="I429" i="31"/>
  <c r="H429" i="31"/>
  <c r="E432" i="31"/>
  <c r="E433" i="31"/>
  <c r="K432" i="31"/>
  <c r="J429" i="31"/>
  <c r="D430" i="31"/>
  <c r="I430" i="31"/>
  <c r="H430" i="31"/>
  <c r="B432" i="31"/>
  <c r="A433" i="31"/>
  <c r="K433" i="31"/>
  <c r="C431" i="31"/>
  <c r="F431" i="31"/>
  <c r="G431" i="31"/>
  <c r="J430" i="31"/>
  <c r="I431" i="31"/>
  <c r="H431" i="31"/>
  <c r="D431" i="31"/>
  <c r="A434" i="31"/>
  <c r="B433" i="31"/>
  <c r="C432" i="31"/>
  <c r="F432" i="31"/>
  <c r="G432" i="31"/>
  <c r="E434" i="31"/>
  <c r="E435" i="31"/>
  <c r="K434" i="31"/>
  <c r="D432" i="31"/>
  <c r="J431" i="31"/>
  <c r="I432" i="31"/>
  <c r="H432" i="31"/>
  <c r="C433" i="31"/>
  <c r="F433" i="31"/>
  <c r="G433" i="31"/>
  <c r="B434" i="31"/>
  <c r="C434" i="31"/>
  <c r="A435" i="31"/>
  <c r="K435" i="31"/>
  <c r="D433" i="31"/>
  <c r="J432" i="31"/>
  <c r="B435" i="31"/>
  <c r="A436" i="31"/>
  <c r="D434" i="31"/>
  <c r="F434" i="31"/>
  <c r="G434" i="31"/>
  <c r="I433" i="31"/>
  <c r="H433" i="31"/>
  <c r="E436" i="31"/>
  <c r="K436" i="31"/>
  <c r="J433" i="31"/>
  <c r="E437" i="31"/>
  <c r="A437" i="31"/>
  <c r="K437" i="31"/>
  <c r="B436" i="31"/>
  <c r="I434" i="31"/>
  <c r="H434" i="31"/>
  <c r="C435" i="31"/>
  <c r="F435" i="31"/>
  <c r="G435" i="31"/>
  <c r="J434" i="31"/>
  <c r="I435" i="31"/>
  <c r="H435" i="31"/>
  <c r="D435" i="31"/>
  <c r="C436" i="31"/>
  <c r="D436" i="31"/>
  <c r="B437" i="31"/>
  <c r="A438" i="31"/>
  <c r="E438" i="31"/>
  <c r="K438" i="31"/>
  <c r="J435" i="31"/>
  <c r="A439" i="31"/>
  <c r="B438" i="31"/>
  <c r="E439" i="31"/>
  <c r="C437" i="31"/>
  <c r="F437" i="31"/>
  <c r="G437" i="31"/>
  <c r="F436" i="31"/>
  <c r="G436" i="31"/>
  <c r="K439" i="31"/>
  <c r="I436" i="31"/>
  <c r="H436" i="31"/>
  <c r="I437" i="31"/>
  <c r="H437" i="31"/>
  <c r="D437" i="31"/>
  <c r="C438" i="31"/>
  <c r="F438" i="31"/>
  <c r="G438" i="31"/>
  <c r="E440" i="31"/>
  <c r="B439" i="31"/>
  <c r="A440" i="31"/>
  <c r="K440" i="31"/>
  <c r="J436" i="31"/>
  <c r="J437" i="31"/>
  <c r="D438" i="31"/>
  <c r="E441" i="31"/>
  <c r="I438" i="31"/>
  <c r="H438" i="31"/>
  <c r="B440" i="31"/>
  <c r="A441" i="31"/>
  <c r="K441" i="31"/>
  <c r="C439" i="31"/>
  <c r="F439" i="31"/>
  <c r="G439" i="31"/>
  <c r="D439" i="31"/>
  <c r="J438" i="31"/>
  <c r="B441" i="31"/>
  <c r="A442" i="31"/>
  <c r="I439" i="31"/>
  <c r="H439" i="31"/>
  <c r="C440" i="31"/>
  <c r="F440" i="31"/>
  <c r="G440" i="31"/>
  <c r="E442" i="31"/>
  <c r="E443" i="31"/>
  <c r="K442" i="31"/>
  <c r="D440" i="31"/>
  <c r="J439" i="31"/>
  <c r="I440" i="31"/>
  <c r="H440" i="31"/>
  <c r="A443" i="31"/>
  <c r="K443" i="31"/>
  <c r="B442" i="31"/>
  <c r="C441" i="31"/>
  <c r="F441" i="31"/>
  <c r="G441" i="31"/>
  <c r="J440" i="31"/>
  <c r="I441" i="31"/>
  <c r="H441" i="31"/>
  <c r="D441" i="31"/>
  <c r="C442" i="31"/>
  <c r="F442" i="31"/>
  <c r="G442" i="31"/>
  <c r="B443" i="31"/>
  <c r="A444" i="31"/>
  <c r="K444" i="31"/>
  <c r="E444" i="31"/>
  <c r="E445" i="31"/>
  <c r="D442" i="31"/>
  <c r="J441" i="31"/>
  <c r="I442" i="31"/>
  <c r="H442" i="31"/>
  <c r="B444" i="31"/>
  <c r="A445" i="31"/>
  <c r="K445" i="31"/>
  <c r="C443" i="31"/>
  <c r="F443" i="31"/>
  <c r="G443" i="31"/>
  <c r="D443" i="31"/>
  <c r="J442" i="31"/>
  <c r="A446" i="31"/>
  <c r="B445" i="31"/>
  <c r="C445" i="31"/>
  <c r="I443" i="31"/>
  <c r="H443" i="31"/>
  <c r="C444" i="31"/>
  <c r="F444" i="31"/>
  <c r="G444" i="31"/>
  <c r="E446" i="31"/>
  <c r="E447" i="31"/>
  <c r="K446" i="31"/>
  <c r="J443" i="31"/>
  <c r="I444" i="31"/>
  <c r="H444" i="31"/>
  <c r="D444" i="31"/>
  <c r="D445" i="31"/>
  <c r="F445" i="31"/>
  <c r="G445" i="31"/>
  <c r="A447" i="31"/>
  <c r="K447" i="31"/>
  <c r="B446" i="31"/>
  <c r="J444" i="31"/>
  <c r="B447" i="31"/>
  <c r="C447" i="31"/>
  <c r="A448" i="31"/>
  <c r="C446" i="31"/>
  <c r="F446" i="31"/>
  <c r="G446" i="31"/>
  <c r="I445" i="31"/>
  <c r="H445" i="31"/>
  <c r="E448" i="31"/>
  <c r="E449" i="31"/>
  <c r="K448" i="31"/>
  <c r="J445" i="31"/>
  <c r="I446" i="31"/>
  <c r="H446" i="31"/>
  <c r="D446" i="31"/>
  <c r="A449" i="31"/>
  <c r="K449" i="31"/>
  <c r="B448" i="31"/>
  <c r="D447" i="31"/>
  <c r="F447" i="31"/>
  <c r="G447" i="31"/>
  <c r="J446" i="31"/>
  <c r="C448" i="31"/>
  <c r="F448" i="31"/>
  <c r="G448" i="31"/>
  <c r="I447" i="31"/>
  <c r="H447" i="31"/>
  <c r="B449" i="31"/>
  <c r="A450" i="31"/>
  <c r="K450" i="31"/>
  <c r="E450" i="31"/>
  <c r="J447" i="31"/>
  <c r="D448" i="31"/>
  <c r="C449" i="31"/>
  <c r="D449" i="31"/>
  <c r="E451" i="31"/>
  <c r="B450" i="31"/>
  <c r="A451" i="31"/>
  <c r="K451" i="31"/>
  <c r="I448" i="31"/>
  <c r="H448" i="31"/>
  <c r="J448" i="31"/>
  <c r="A452" i="31"/>
  <c r="B451" i="31"/>
  <c r="C450" i="31"/>
  <c r="F450" i="31"/>
  <c r="G450" i="31"/>
  <c r="E452" i="31"/>
  <c r="E453" i="31"/>
  <c r="F449" i="31"/>
  <c r="G449" i="31"/>
  <c r="K452" i="31"/>
  <c r="I449" i="31"/>
  <c r="H449" i="31"/>
  <c r="I450" i="31"/>
  <c r="H450" i="31"/>
  <c r="D450" i="31"/>
  <c r="C451" i="31"/>
  <c r="F451" i="31"/>
  <c r="G451" i="31"/>
  <c r="D451" i="31"/>
  <c r="B452" i="31"/>
  <c r="A453" i="31"/>
  <c r="K453" i="31"/>
  <c r="J450" i="31"/>
  <c r="J449" i="31"/>
  <c r="A454" i="31"/>
  <c r="B453" i="31"/>
  <c r="I451" i="31"/>
  <c r="H451" i="31"/>
  <c r="E454" i="31"/>
  <c r="E455" i="31"/>
  <c r="C452" i="31"/>
  <c r="F452" i="31"/>
  <c r="G452" i="31"/>
  <c r="K454" i="31"/>
  <c r="D452" i="31"/>
  <c r="J451" i="31"/>
  <c r="I452" i="31"/>
  <c r="H452" i="31"/>
  <c r="C453" i="31"/>
  <c r="D453" i="31"/>
  <c r="A455" i="31"/>
  <c r="K455" i="31"/>
  <c r="B454" i="31"/>
  <c r="J452" i="31"/>
  <c r="C454" i="31"/>
  <c r="D454" i="31"/>
  <c r="B455" i="31"/>
  <c r="A456" i="31"/>
  <c r="K456" i="31"/>
  <c r="G453" i="31"/>
  <c r="F453" i="31"/>
  <c r="E456" i="31"/>
  <c r="E457" i="31"/>
  <c r="I453" i="31"/>
  <c r="H453" i="31"/>
  <c r="B456" i="31"/>
  <c r="A457" i="31"/>
  <c r="C455" i="31"/>
  <c r="D455" i="31"/>
  <c r="G454" i="31"/>
  <c r="F454" i="31"/>
  <c r="E458" i="31"/>
  <c r="K457" i="31"/>
  <c r="J453" i="31"/>
  <c r="I454" i="31"/>
  <c r="H454" i="31"/>
  <c r="G455" i="31"/>
  <c r="F455" i="31"/>
  <c r="B457" i="31"/>
  <c r="A458" i="31"/>
  <c r="K458" i="31"/>
  <c r="C456" i="31"/>
  <c r="D456" i="31"/>
  <c r="J454" i="31"/>
  <c r="B458" i="31"/>
  <c r="A459" i="31"/>
  <c r="G456" i="31"/>
  <c r="F456" i="31"/>
  <c r="C457" i="31"/>
  <c r="D457" i="31"/>
  <c r="I455" i="31"/>
  <c r="H455" i="31"/>
  <c r="E459" i="31"/>
  <c r="E460" i="31"/>
  <c r="K459" i="31"/>
  <c r="J455" i="31"/>
  <c r="F457" i="31"/>
  <c r="G457" i="31"/>
  <c r="I456" i="31"/>
  <c r="H456" i="31"/>
  <c r="B459" i="31"/>
  <c r="A460" i="31"/>
  <c r="K460" i="31"/>
  <c r="C458" i="31"/>
  <c r="D458" i="31"/>
  <c r="J456" i="31"/>
  <c r="G458" i="31"/>
  <c r="F458" i="31"/>
  <c r="C459" i="31"/>
  <c r="D459" i="31"/>
  <c r="B460" i="31"/>
  <c r="A461" i="31"/>
  <c r="I457" i="31"/>
  <c r="H457" i="31"/>
  <c r="E461" i="31"/>
  <c r="E462" i="31"/>
  <c r="K461" i="31"/>
  <c r="J457" i="31"/>
  <c r="C460" i="31"/>
  <c r="D460" i="31"/>
  <c r="A462" i="31"/>
  <c r="K462" i="31"/>
  <c r="B461" i="31"/>
  <c r="C461" i="31"/>
  <c r="G459" i="31"/>
  <c r="F459" i="31"/>
  <c r="I458" i="31"/>
  <c r="H458" i="31"/>
  <c r="J458" i="31"/>
  <c r="D461" i="31"/>
  <c r="G461" i="31"/>
  <c r="F461" i="31"/>
  <c r="I459" i="31"/>
  <c r="H459" i="31"/>
  <c r="A463" i="31"/>
  <c r="B462" i="31"/>
  <c r="G460" i="31"/>
  <c r="F460" i="31"/>
  <c r="E463" i="31"/>
  <c r="E464" i="31"/>
  <c r="K463" i="31"/>
  <c r="J459" i="31"/>
  <c r="C462" i="31"/>
  <c r="D462" i="31"/>
  <c r="I461" i="31"/>
  <c r="H461" i="31"/>
  <c r="I460" i="31"/>
  <c r="H460" i="31"/>
  <c r="B463" i="31"/>
  <c r="A464" i="31"/>
  <c r="K464" i="31"/>
  <c r="J460" i="31"/>
  <c r="J461" i="31"/>
  <c r="A465" i="31"/>
  <c r="B464" i="31"/>
  <c r="C463" i="31"/>
  <c r="D463" i="31"/>
  <c r="E465" i="31"/>
  <c r="E466" i="31"/>
  <c r="G462" i="31"/>
  <c r="F462" i="31"/>
  <c r="K465" i="31"/>
  <c r="I462" i="31"/>
  <c r="H462" i="31"/>
  <c r="F463" i="31"/>
  <c r="G463" i="31"/>
  <c r="C464" i="31"/>
  <c r="D464" i="31"/>
  <c r="A466" i="31"/>
  <c r="K466" i="31"/>
  <c r="B465" i="31"/>
  <c r="C465" i="31"/>
  <c r="J462" i="31"/>
  <c r="D465" i="31"/>
  <c r="F465" i="31"/>
  <c r="G465" i="31"/>
  <c r="B466" i="31"/>
  <c r="A467" i="31"/>
  <c r="G464" i="31"/>
  <c r="F464" i="31"/>
  <c r="I463" i="31"/>
  <c r="H463" i="31"/>
  <c r="E467" i="31"/>
  <c r="E468" i="31"/>
  <c r="K467" i="31"/>
  <c r="J463" i="31"/>
  <c r="A468" i="31"/>
  <c r="K468" i="31"/>
  <c r="B467" i="31"/>
  <c r="I464" i="31"/>
  <c r="H464" i="31"/>
  <c r="C466" i="31"/>
  <c r="D466" i="31"/>
  <c r="I465" i="31"/>
  <c r="H465" i="31"/>
  <c r="J464" i="31"/>
  <c r="J465" i="31"/>
  <c r="A469" i="31"/>
  <c r="B468" i="31"/>
  <c r="G466" i="31"/>
  <c r="F466" i="31"/>
  <c r="C467" i="31"/>
  <c r="D467" i="31"/>
  <c r="E469" i="31"/>
  <c r="E470" i="31"/>
  <c r="K469" i="31"/>
  <c r="G467" i="31"/>
  <c r="F467" i="31"/>
  <c r="I466" i="31"/>
  <c r="H466" i="31"/>
  <c r="C468" i="31"/>
  <c r="B469" i="31"/>
  <c r="A470" i="31"/>
  <c r="K470" i="31"/>
  <c r="J466" i="31"/>
  <c r="A471" i="31"/>
  <c r="B470" i="31"/>
  <c r="C469" i="31"/>
  <c r="D469" i="31"/>
  <c r="F468" i="31"/>
  <c r="G468" i="31"/>
  <c r="D468" i="31"/>
  <c r="I467" i="31"/>
  <c r="H467" i="31"/>
  <c r="E471" i="31"/>
  <c r="E472" i="31"/>
  <c r="K471" i="31"/>
  <c r="J467" i="31"/>
  <c r="I468" i="31"/>
  <c r="H468" i="31"/>
  <c r="G469" i="31"/>
  <c r="F469" i="31"/>
  <c r="C470" i="31"/>
  <c r="D470" i="31"/>
  <c r="B471" i="31"/>
  <c r="A472" i="31"/>
  <c r="K472" i="31"/>
  <c r="J468" i="31"/>
  <c r="A473" i="31"/>
  <c r="B472" i="31"/>
  <c r="C471" i="31"/>
  <c r="D471" i="31"/>
  <c r="G470" i="31"/>
  <c r="F470" i="31"/>
  <c r="I469" i="31"/>
  <c r="H469" i="31"/>
  <c r="E473" i="31"/>
  <c r="E474" i="31"/>
  <c r="K473" i="31"/>
  <c r="J469" i="31"/>
  <c r="I470" i="31"/>
  <c r="H470" i="31"/>
  <c r="F471" i="31"/>
  <c r="G471" i="31"/>
  <c r="C472" i="31"/>
  <c r="D472" i="31"/>
  <c r="B473" i="31"/>
  <c r="A474" i="31"/>
  <c r="K474" i="31"/>
  <c r="J470" i="31"/>
  <c r="A475" i="31"/>
  <c r="B474" i="31"/>
  <c r="C473" i="31"/>
  <c r="G472" i="31"/>
  <c r="F472" i="31"/>
  <c r="I471" i="31"/>
  <c r="H471" i="31"/>
  <c r="E475" i="31"/>
  <c r="E476" i="31"/>
  <c r="K475" i="31"/>
  <c r="J471" i="31"/>
  <c r="F473" i="31"/>
  <c r="G473" i="31"/>
  <c r="I472" i="31"/>
  <c r="H472" i="31"/>
  <c r="D473" i="31"/>
  <c r="C474" i="31"/>
  <c r="D474" i="31"/>
  <c r="A476" i="31"/>
  <c r="K476" i="31"/>
  <c r="B475" i="31"/>
  <c r="J472" i="31"/>
  <c r="E477" i="31"/>
  <c r="A477" i="31"/>
  <c r="K477" i="31"/>
  <c r="B476" i="31"/>
  <c r="F474" i="31"/>
  <c r="G474" i="31"/>
  <c r="C475" i="31"/>
  <c r="I473" i="31"/>
  <c r="H473" i="31"/>
  <c r="J473" i="31"/>
  <c r="G475" i="31"/>
  <c r="F475" i="31"/>
  <c r="B477" i="31"/>
  <c r="A478" i="31"/>
  <c r="D475" i="31"/>
  <c r="I474" i="31"/>
  <c r="H474" i="31"/>
  <c r="C476" i="31"/>
  <c r="D476" i="31"/>
  <c r="E478" i="31"/>
  <c r="E479" i="31"/>
  <c r="K478" i="31"/>
  <c r="J474" i="31"/>
  <c r="B478" i="31"/>
  <c r="C478" i="31"/>
  <c r="A479" i="31"/>
  <c r="K479" i="31"/>
  <c r="G476" i="31"/>
  <c r="F476" i="31"/>
  <c r="C477" i="31"/>
  <c r="D477" i="31"/>
  <c r="I475" i="31"/>
  <c r="H475" i="31"/>
  <c r="J475" i="31"/>
  <c r="G477" i="31"/>
  <c r="F477" i="31"/>
  <c r="I476" i="31"/>
  <c r="H476" i="31"/>
  <c r="A480" i="31"/>
  <c r="B479" i="31"/>
  <c r="D478" i="31"/>
  <c r="G478" i="31"/>
  <c r="F478" i="31"/>
  <c r="E480" i="31"/>
  <c r="E481" i="31"/>
  <c r="K480" i="31"/>
  <c r="J476" i="31"/>
  <c r="C479" i="31"/>
  <c r="D479" i="31"/>
  <c r="I478" i="31"/>
  <c r="H478" i="31"/>
  <c r="B480" i="31"/>
  <c r="A481" i="31"/>
  <c r="K481" i="31"/>
  <c r="I477" i="31"/>
  <c r="H477" i="31"/>
  <c r="J477" i="31"/>
  <c r="J478" i="31"/>
  <c r="A482" i="31"/>
  <c r="B481" i="31"/>
  <c r="C481" i="31"/>
  <c r="C480" i="31"/>
  <c r="F479" i="31"/>
  <c r="G479" i="31"/>
  <c r="E482" i="31"/>
  <c r="E483" i="31"/>
  <c r="K482" i="31"/>
  <c r="I479" i="31"/>
  <c r="H479" i="31"/>
  <c r="G480" i="31"/>
  <c r="F480" i="31"/>
  <c r="D480" i="31"/>
  <c r="D481" i="31"/>
  <c r="G481" i="31"/>
  <c r="F481" i="31"/>
  <c r="B482" i="31"/>
  <c r="A483" i="31"/>
  <c r="K483" i="31"/>
  <c r="J479" i="31"/>
  <c r="A484" i="31"/>
  <c r="B483" i="31"/>
  <c r="C482" i="31"/>
  <c r="D482" i="31"/>
  <c r="I481" i="31"/>
  <c r="H481" i="31"/>
  <c r="E484" i="31"/>
  <c r="E485" i="31"/>
  <c r="I480" i="31"/>
  <c r="H480" i="31"/>
  <c r="K484" i="31"/>
  <c r="J480" i="31"/>
  <c r="J481" i="31"/>
  <c r="G482" i="31"/>
  <c r="F482" i="31"/>
  <c r="C483" i="31"/>
  <c r="A485" i="31"/>
  <c r="K485" i="31"/>
  <c r="B484" i="31"/>
  <c r="C484" i="31"/>
  <c r="G483" i="31"/>
  <c r="F483" i="31"/>
  <c r="B485" i="31"/>
  <c r="A486" i="31"/>
  <c r="D483" i="31"/>
  <c r="I482" i="31"/>
  <c r="H482" i="31"/>
  <c r="E486" i="31"/>
  <c r="E487" i="31"/>
  <c r="K486" i="31"/>
  <c r="J482" i="31"/>
  <c r="B486" i="31"/>
  <c r="A487" i="31"/>
  <c r="K487" i="31"/>
  <c r="C485" i="31"/>
  <c r="F485" i="31"/>
  <c r="G485" i="31"/>
  <c r="D485" i="31"/>
  <c r="I483" i="31"/>
  <c r="H483" i="31"/>
  <c r="G484" i="31"/>
  <c r="F484" i="31"/>
  <c r="D484" i="31"/>
  <c r="J483" i="31"/>
  <c r="B487" i="31"/>
  <c r="A488" i="31"/>
  <c r="I484" i="31"/>
  <c r="H484" i="31"/>
  <c r="I485" i="31"/>
  <c r="J485" i="31"/>
  <c r="H485" i="31"/>
  <c r="C486" i="31"/>
  <c r="F486" i="31"/>
  <c r="G486" i="31"/>
  <c r="D486" i="31"/>
  <c r="E488" i="31"/>
  <c r="E489" i="31"/>
  <c r="K488" i="31"/>
  <c r="J484" i="31"/>
  <c r="I486" i="31"/>
  <c r="J486" i="31"/>
  <c r="H486" i="31"/>
  <c r="A489" i="31"/>
  <c r="K489" i="31"/>
  <c r="B488" i="31"/>
  <c r="C487" i="31"/>
  <c r="F487" i="31"/>
  <c r="G487" i="31"/>
  <c r="I487" i="31"/>
  <c r="J487" i="31"/>
  <c r="H487" i="31"/>
  <c r="D487" i="31"/>
  <c r="C488" i="31"/>
  <c r="F488" i="31"/>
  <c r="G488" i="31"/>
  <c r="D488" i="31"/>
  <c r="B489" i="31"/>
  <c r="A490" i="31"/>
  <c r="K490" i="31"/>
  <c r="E490" i="31"/>
  <c r="E491" i="31"/>
  <c r="A491" i="31"/>
  <c r="K491" i="31"/>
  <c r="B490" i="31"/>
  <c r="E492" i="31"/>
  <c r="C489" i="31"/>
  <c r="F489" i="31"/>
  <c r="G489" i="31"/>
  <c r="I488" i="31"/>
  <c r="J488" i="31"/>
  <c r="H488" i="31"/>
  <c r="D489" i="31"/>
  <c r="I489" i="31"/>
  <c r="J489" i="31"/>
  <c r="H489" i="31"/>
  <c r="C490" i="31"/>
  <c r="F490" i="31"/>
  <c r="G490" i="31"/>
  <c r="D490" i="31"/>
  <c r="A492" i="31"/>
  <c r="K492" i="31"/>
  <c r="B491" i="31"/>
  <c r="C491" i="31"/>
  <c r="D491" i="31"/>
  <c r="B492" i="31"/>
  <c r="C492" i="31"/>
  <c r="A493" i="31"/>
  <c r="I490" i="31"/>
  <c r="J490" i="31"/>
  <c r="H490" i="31"/>
  <c r="E493" i="31"/>
  <c r="E494" i="31"/>
  <c r="K493" i="31"/>
  <c r="B493" i="31"/>
  <c r="A494" i="31"/>
  <c r="K494" i="31"/>
  <c r="D492" i="31"/>
  <c r="F492" i="31"/>
  <c r="G492" i="31"/>
  <c r="F491" i="31"/>
  <c r="G491" i="31"/>
  <c r="E495" i="31"/>
  <c r="I491" i="31"/>
  <c r="J491" i="31"/>
  <c r="H491" i="31"/>
  <c r="I492" i="31"/>
  <c r="J492" i="31"/>
  <c r="H492" i="31"/>
  <c r="B494" i="31"/>
  <c r="A495" i="31"/>
  <c r="K495" i="31"/>
  <c r="C493" i="31"/>
  <c r="F493" i="31"/>
  <c r="G493" i="31"/>
  <c r="D493" i="31"/>
  <c r="B495" i="31"/>
  <c r="A496" i="31"/>
  <c r="C494" i="31"/>
  <c r="F494" i="31"/>
  <c r="G494" i="31"/>
  <c r="D494" i="31"/>
  <c r="I493" i="31"/>
  <c r="J493" i="31"/>
  <c r="H493" i="31"/>
  <c r="E496" i="31"/>
  <c r="K496" i="31"/>
  <c r="I494" i="31"/>
  <c r="H494" i="31"/>
  <c r="E497" i="31"/>
  <c r="B496" i="31"/>
  <c r="A497" i="31"/>
  <c r="K497" i="31"/>
  <c r="C495" i="31"/>
  <c r="F495" i="31"/>
  <c r="G495" i="31"/>
  <c r="D495" i="31"/>
  <c r="J494" i="31"/>
  <c r="A498" i="31"/>
  <c r="B497" i="31"/>
  <c r="I495" i="31"/>
  <c r="H495" i="31"/>
  <c r="C496" i="31"/>
  <c r="F496" i="31"/>
  <c r="G496" i="31"/>
  <c r="E498" i="31"/>
  <c r="E499" i="31"/>
  <c r="K498" i="31"/>
  <c r="D496" i="31"/>
  <c r="J495" i="31"/>
  <c r="I496" i="31"/>
  <c r="H496" i="31"/>
  <c r="C497" i="31"/>
  <c r="F497" i="31"/>
  <c r="G497" i="31"/>
  <c r="D497" i="31"/>
  <c r="A499" i="31"/>
  <c r="K499" i="31"/>
  <c r="B498" i="31"/>
  <c r="J496" i="31"/>
  <c r="B499" i="31"/>
  <c r="A500" i="31"/>
  <c r="C498" i="31"/>
  <c r="F498" i="31"/>
  <c r="G498" i="31"/>
  <c r="D498" i="31"/>
  <c r="I497" i="31"/>
  <c r="H497" i="31"/>
  <c r="E500" i="31"/>
  <c r="K500" i="31"/>
  <c r="J497" i="31"/>
  <c r="I498" i="31"/>
  <c r="H498" i="31"/>
  <c r="E501" i="31"/>
  <c r="B500" i="31"/>
  <c r="A501" i="31"/>
  <c r="K501" i="31"/>
  <c r="C499" i="31"/>
  <c r="F499" i="31"/>
  <c r="G499" i="31"/>
  <c r="D499" i="31"/>
  <c r="J498" i="31"/>
  <c r="A502" i="31"/>
  <c r="B501" i="31"/>
  <c r="I499" i="31"/>
  <c r="H499" i="31"/>
  <c r="C500" i="31"/>
  <c r="F500" i="31"/>
  <c r="G500" i="31"/>
  <c r="E502" i="31"/>
  <c r="E503" i="31"/>
  <c r="K502" i="31"/>
  <c r="J499" i="31"/>
  <c r="I500" i="31"/>
  <c r="H500" i="31"/>
  <c r="D500" i="31"/>
  <c r="C501" i="31"/>
  <c r="F501" i="31"/>
  <c r="G501" i="31"/>
  <c r="B502" i="31"/>
  <c r="A503" i="31"/>
  <c r="K503" i="31"/>
  <c r="J500" i="31"/>
  <c r="D501" i="31"/>
  <c r="C502" i="31"/>
  <c r="F502" i="31"/>
  <c r="G502" i="31"/>
  <c r="A504" i="31"/>
  <c r="B503" i="31"/>
  <c r="I501" i="31"/>
  <c r="H501" i="31"/>
  <c r="E504" i="31"/>
  <c r="E505" i="31"/>
  <c r="K504" i="31"/>
  <c r="D502" i="31"/>
  <c r="J501" i="31"/>
  <c r="C503" i="31"/>
  <c r="F503" i="31"/>
  <c r="G503" i="31"/>
  <c r="A505" i="31"/>
  <c r="K505" i="31"/>
  <c r="B504" i="31"/>
  <c r="C504" i="31"/>
  <c r="I502" i="31"/>
  <c r="H502" i="31"/>
  <c r="D503" i="31"/>
  <c r="J502" i="31"/>
  <c r="A506" i="31"/>
  <c r="B505" i="31"/>
  <c r="C505" i="31"/>
  <c r="D504" i="31"/>
  <c r="F504" i="31"/>
  <c r="G504" i="31"/>
  <c r="I503" i="31"/>
  <c r="H503" i="31"/>
  <c r="E506" i="31"/>
  <c r="E507" i="31"/>
  <c r="K506" i="31"/>
  <c r="J503" i="31"/>
  <c r="I504" i="31"/>
  <c r="H504" i="31"/>
  <c r="D505" i="31"/>
  <c r="F505" i="31"/>
  <c r="G505" i="31"/>
  <c r="A507" i="31"/>
  <c r="K507" i="31"/>
  <c r="B506" i="31"/>
  <c r="C506" i="31"/>
  <c r="J504" i="31"/>
  <c r="D506" i="31"/>
  <c r="F506" i="31"/>
  <c r="G506" i="31"/>
  <c r="B507" i="31"/>
  <c r="A508" i="31"/>
  <c r="I505" i="31"/>
  <c r="H505" i="31"/>
  <c r="E508" i="31"/>
  <c r="E509" i="31"/>
  <c r="K508" i="31"/>
  <c r="J505" i="31"/>
  <c r="C507" i="31"/>
  <c r="F507" i="31"/>
  <c r="G507" i="31"/>
  <c r="D507" i="31"/>
  <c r="B508" i="31"/>
  <c r="A509" i="31"/>
  <c r="K509" i="31"/>
  <c r="I506" i="31"/>
  <c r="H506" i="31"/>
  <c r="J506" i="31"/>
  <c r="E510" i="31"/>
  <c r="B509" i="31"/>
  <c r="A510" i="31"/>
  <c r="K510" i="31"/>
  <c r="C508" i="31"/>
  <c r="F508" i="31"/>
  <c r="G508" i="31"/>
  <c r="D508" i="31"/>
  <c r="I507" i="31"/>
  <c r="H507" i="31"/>
  <c r="J507" i="31"/>
  <c r="C509" i="31"/>
  <c r="F509" i="31"/>
  <c r="G509" i="31"/>
  <c r="D509" i="31"/>
  <c r="I508" i="31"/>
  <c r="H508" i="31"/>
  <c r="B510" i="31"/>
  <c r="C510" i="31"/>
  <c r="A511" i="31"/>
  <c r="K511" i="31"/>
  <c r="E511" i="31"/>
  <c r="J508" i="31"/>
  <c r="A512" i="31"/>
  <c r="B511" i="31"/>
  <c r="E512" i="31"/>
  <c r="E513" i="31"/>
  <c r="D510" i="31"/>
  <c r="F510" i="31"/>
  <c r="G510" i="31"/>
  <c r="I509" i="31"/>
  <c r="H509" i="31"/>
  <c r="K512" i="31"/>
  <c r="J509" i="31"/>
  <c r="I510" i="31"/>
  <c r="H510" i="31"/>
  <c r="C511" i="31"/>
  <c r="F511" i="31"/>
  <c r="G511" i="31"/>
  <c r="D511" i="31"/>
  <c r="B512" i="31"/>
  <c r="A513" i="31"/>
  <c r="K513" i="31"/>
  <c r="J510" i="31"/>
  <c r="A514" i="31"/>
  <c r="B513" i="31"/>
  <c r="C512" i="31"/>
  <c r="F512" i="31"/>
  <c r="G512" i="31"/>
  <c r="D512" i="31"/>
  <c r="I511" i="31"/>
  <c r="H511" i="31"/>
  <c r="E514" i="31"/>
  <c r="E515" i="31"/>
  <c r="K514" i="31"/>
  <c r="J511" i="31"/>
  <c r="I512" i="31"/>
  <c r="H512" i="31"/>
  <c r="C513" i="31"/>
  <c r="F513" i="31"/>
  <c r="G513" i="31"/>
  <c r="D513" i="31"/>
  <c r="B514" i="31"/>
  <c r="A515" i="31"/>
  <c r="K515" i="31"/>
  <c r="J512" i="31"/>
  <c r="A516" i="31"/>
  <c r="K516" i="31"/>
  <c r="B515" i="31"/>
  <c r="C515" i="31"/>
  <c r="C514" i="31"/>
  <c r="D514" i="31"/>
  <c r="I513" i="31"/>
  <c r="H513" i="31"/>
  <c r="E516" i="31"/>
  <c r="E517" i="31"/>
  <c r="J513" i="31"/>
  <c r="F514" i="31"/>
  <c r="G514" i="31"/>
  <c r="D515" i="31"/>
  <c r="F515" i="31"/>
  <c r="G515" i="31"/>
  <c r="B516" i="31"/>
  <c r="A517" i="31"/>
  <c r="K517" i="31"/>
  <c r="I514" i="31"/>
  <c r="H514" i="31"/>
  <c r="I515" i="31"/>
  <c r="H515" i="31"/>
  <c r="A518" i="31"/>
  <c r="K518" i="31"/>
  <c r="B517" i="31"/>
  <c r="C516" i="31"/>
  <c r="F516" i="31"/>
  <c r="G516" i="31"/>
  <c r="E518" i="31"/>
  <c r="E519" i="31"/>
  <c r="J515" i="31"/>
  <c r="J514" i="31"/>
  <c r="D516" i="31"/>
  <c r="B518" i="31"/>
  <c r="A519" i="31"/>
  <c r="K519" i="31"/>
  <c r="I516" i="31"/>
  <c r="H516" i="31"/>
  <c r="C517" i="31"/>
  <c r="F517" i="31"/>
  <c r="G517" i="31"/>
  <c r="J516" i="31"/>
  <c r="I517" i="31"/>
  <c r="H517" i="31"/>
  <c r="D517" i="31"/>
  <c r="A520" i="31"/>
  <c r="B519" i="31"/>
  <c r="C518" i="31"/>
  <c r="D518" i="31"/>
  <c r="E520" i="31"/>
  <c r="E521" i="31"/>
  <c r="K520" i="31"/>
  <c r="J517" i="31"/>
  <c r="F518" i="31"/>
  <c r="G518" i="31"/>
  <c r="C519" i="31"/>
  <c r="F519" i="31"/>
  <c r="G519" i="31"/>
  <c r="D519" i="31"/>
  <c r="A521" i="31"/>
  <c r="K521" i="31"/>
  <c r="B520" i="31"/>
  <c r="I518" i="31"/>
  <c r="J518" i="31"/>
  <c r="H518" i="31"/>
  <c r="C520" i="31"/>
  <c r="D520" i="31"/>
  <c r="B521" i="31"/>
  <c r="A522" i="31"/>
  <c r="I519" i="31"/>
  <c r="J519" i="31"/>
  <c r="H519" i="31"/>
  <c r="E522" i="31"/>
  <c r="E523" i="31"/>
  <c r="K522" i="31"/>
  <c r="A523" i="31"/>
  <c r="K523" i="31"/>
  <c r="B522" i="31"/>
  <c r="C521" i="31"/>
  <c r="F520" i="31"/>
  <c r="G520" i="31"/>
  <c r="I520" i="31"/>
  <c r="J520" i="31"/>
  <c r="H520" i="31"/>
  <c r="F521" i="31"/>
  <c r="G521" i="31"/>
  <c r="D521" i="31"/>
  <c r="C522" i="31"/>
  <c r="F522" i="31"/>
  <c r="G522" i="31"/>
  <c r="D522" i="31"/>
  <c r="A524" i="31"/>
  <c r="K524" i="31"/>
  <c r="B523" i="31"/>
  <c r="C523" i="31"/>
  <c r="E524" i="31"/>
  <c r="D523" i="31"/>
  <c r="F523" i="31"/>
  <c r="G523" i="31"/>
  <c r="E525" i="31"/>
  <c r="A525" i="31"/>
  <c r="K525" i="31"/>
  <c r="B524" i="31"/>
  <c r="I522" i="31"/>
  <c r="J522" i="31"/>
  <c r="H522" i="31"/>
  <c r="I521" i="31"/>
  <c r="J521" i="31"/>
  <c r="H521" i="31"/>
  <c r="E526" i="31"/>
  <c r="C524" i="31"/>
  <c r="F524" i="31"/>
  <c r="G524" i="31"/>
  <c r="D524" i="31"/>
  <c r="B525" i="31"/>
  <c r="A526" i="31"/>
  <c r="K526" i="31"/>
  <c r="I523" i="31"/>
  <c r="J523" i="31"/>
  <c r="H523" i="31"/>
  <c r="C525" i="31"/>
  <c r="F525" i="31"/>
  <c r="G525" i="31"/>
  <c r="D525" i="31"/>
  <c r="B526" i="31"/>
  <c r="C526" i="31"/>
  <c r="A527" i="31"/>
  <c r="I524" i="31"/>
  <c r="H524" i="31"/>
  <c r="E527" i="31"/>
  <c r="E528" i="31"/>
  <c r="K527" i="31"/>
  <c r="J524" i="31"/>
  <c r="D526" i="31"/>
  <c r="F526" i="31"/>
  <c r="G526" i="31"/>
  <c r="B527" i="31"/>
  <c r="A528" i="31"/>
  <c r="K528" i="31"/>
  <c r="I525" i="31"/>
  <c r="H525" i="31"/>
  <c r="J525" i="31"/>
  <c r="C527" i="31"/>
  <c r="F527" i="31"/>
  <c r="G527" i="31"/>
  <c r="D527" i="31"/>
  <c r="A529" i="31"/>
  <c r="B528" i="31"/>
  <c r="I526" i="31"/>
  <c r="H526" i="31"/>
  <c r="E529" i="31"/>
  <c r="E530" i="31"/>
  <c r="K529" i="31"/>
  <c r="J526" i="31"/>
  <c r="B529" i="31"/>
  <c r="A530" i="31"/>
  <c r="K530" i="31"/>
  <c r="C528" i="31"/>
  <c r="F528" i="31"/>
  <c r="G528" i="31"/>
  <c r="I527" i="31"/>
  <c r="H527" i="31"/>
  <c r="J527" i="31"/>
  <c r="I528" i="31"/>
  <c r="H528" i="31"/>
  <c r="D528" i="31"/>
  <c r="B530" i="31"/>
  <c r="A531" i="31"/>
  <c r="C529" i="31"/>
  <c r="F529" i="31"/>
  <c r="G529" i="31"/>
  <c r="E531" i="31"/>
  <c r="E532" i="31"/>
  <c r="K531" i="31"/>
  <c r="D529" i="31"/>
  <c r="J528" i="31"/>
  <c r="I529" i="31"/>
  <c r="H529" i="31"/>
  <c r="B531" i="31"/>
  <c r="A532" i="31"/>
  <c r="K532" i="31"/>
  <c r="C530" i="31"/>
  <c r="F530" i="31"/>
  <c r="G530" i="31"/>
  <c r="D530" i="31"/>
  <c r="J529" i="31"/>
  <c r="I530" i="31"/>
  <c r="H530" i="31"/>
  <c r="A533" i="31"/>
  <c r="B532" i="31"/>
  <c r="C531" i="31"/>
  <c r="F531" i="31"/>
  <c r="G531" i="31"/>
  <c r="E533" i="31"/>
  <c r="E534" i="31"/>
  <c r="K533" i="31"/>
  <c r="D531" i="31"/>
  <c r="J530" i="31"/>
  <c r="I531" i="31"/>
  <c r="H531" i="31"/>
  <c r="C532" i="31"/>
  <c r="F532" i="31"/>
  <c r="G532" i="31"/>
  <c r="A534" i="31"/>
  <c r="K534" i="31"/>
  <c r="B533" i="31"/>
  <c r="J531" i="31"/>
  <c r="B534" i="31"/>
  <c r="C534" i="31"/>
  <c r="A535" i="31"/>
  <c r="C533" i="31"/>
  <c r="F533" i="31"/>
  <c r="G533" i="31"/>
  <c r="D533" i="31"/>
  <c r="I532" i="31"/>
  <c r="H532" i="31"/>
  <c r="D532" i="31"/>
  <c r="E535" i="31"/>
  <c r="E536" i="31"/>
  <c r="K535" i="31"/>
  <c r="J532" i="31"/>
  <c r="B535" i="31"/>
  <c r="A536" i="31"/>
  <c r="K536" i="31"/>
  <c r="I533" i="31"/>
  <c r="H533" i="31"/>
  <c r="D534" i="31"/>
  <c r="F534" i="31"/>
  <c r="G534" i="31"/>
  <c r="J533" i="31"/>
  <c r="I534" i="31"/>
  <c r="H534" i="31"/>
  <c r="E537" i="31"/>
  <c r="B536" i="31"/>
  <c r="A537" i="31"/>
  <c r="K537" i="31"/>
  <c r="C535" i="31"/>
  <c r="F535" i="31"/>
  <c r="G535" i="31"/>
  <c r="D535" i="31"/>
  <c r="J534" i="31"/>
  <c r="B537" i="31"/>
  <c r="A538" i="31"/>
  <c r="I535" i="31"/>
  <c r="H535" i="31"/>
  <c r="C536" i="31"/>
  <c r="F536" i="31"/>
  <c r="G536" i="31"/>
  <c r="E538" i="31"/>
  <c r="E539" i="31"/>
  <c r="D536" i="31"/>
  <c r="K538" i="31"/>
  <c r="J535" i="31"/>
  <c r="I536" i="31"/>
  <c r="H536" i="31"/>
  <c r="A539" i="31"/>
  <c r="K539" i="31"/>
  <c r="B538" i="31"/>
  <c r="C537" i="31"/>
  <c r="D537" i="31"/>
  <c r="J536" i="31"/>
  <c r="F537" i="31"/>
  <c r="G537" i="31"/>
  <c r="C538" i="31"/>
  <c r="F538" i="31"/>
  <c r="G538" i="31"/>
  <c r="A540" i="31"/>
  <c r="B539" i="31"/>
  <c r="E540" i="31"/>
  <c r="E541" i="31"/>
  <c r="K540" i="31"/>
  <c r="I538" i="31"/>
  <c r="H538" i="31"/>
  <c r="C539" i="31"/>
  <c r="F539" i="31"/>
  <c r="G539" i="31"/>
  <c r="D539" i="31"/>
  <c r="B540" i="31"/>
  <c r="A541" i="31"/>
  <c r="K541" i="31"/>
  <c r="D538" i="31"/>
  <c r="I537" i="31"/>
  <c r="H537" i="31"/>
  <c r="J537" i="31"/>
  <c r="J538" i="31"/>
  <c r="B541" i="31"/>
  <c r="A542" i="31"/>
  <c r="C540" i="31"/>
  <c r="F540" i="31"/>
  <c r="G540" i="31"/>
  <c r="D540" i="31"/>
  <c r="I539" i="31"/>
  <c r="H539" i="31"/>
  <c r="E542" i="31"/>
  <c r="E543" i="31"/>
  <c r="K542" i="31"/>
  <c r="J539" i="31"/>
  <c r="I540" i="31"/>
  <c r="H540" i="31"/>
  <c r="B542" i="31"/>
  <c r="A543" i="31"/>
  <c r="K543" i="31"/>
  <c r="C541" i="31"/>
  <c r="J540" i="31"/>
  <c r="F541" i="31"/>
  <c r="G541" i="31"/>
  <c r="D541" i="31"/>
  <c r="A544" i="31"/>
  <c r="B543" i="31"/>
  <c r="C542" i="31"/>
  <c r="F542" i="31"/>
  <c r="G542" i="31"/>
  <c r="E544" i="31"/>
  <c r="E545" i="31"/>
  <c r="K544" i="31"/>
  <c r="D542" i="31"/>
  <c r="I541" i="31"/>
  <c r="H541" i="31"/>
  <c r="C543" i="31"/>
  <c r="F543" i="31"/>
  <c r="G543" i="31"/>
  <c r="D543" i="31"/>
  <c r="I542" i="31"/>
  <c r="H542" i="31"/>
  <c r="A545" i="31"/>
  <c r="K545" i="31"/>
  <c r="B544" i="31"/>
  <c r="J542" i="31"/>
  <c r="J541" i="31"/>
  <c r="C544" i="31"/>
  <c r="F544" i="31"/>
  <c r="G544" i="31"/>
  <c r="D544" i="31"/>
  <c r="B545" i="31"/>
  <c r="A546" i="31"/>
  <c r="I543" i="31"/>
  <c r="H543" i="31"/>
  <c r="E546" i="31"/>
  <c r="E547" i="31"/>
  <c r="K546" i="31"/>
  <c r="J543" i="31"/>
  <c r="A547" i="31"/>
  <c r="K547" i="31"/>
  <c r="B546" i="31"/>
  <c r="C545" i="31"/>
  <c r="F545" i="31"/>
  <c r="G545" i="31"/>
  <c r="I544" i="31"/>
  <c r="H544" i="31"/>
  <c r="J544" i="31"/>
  <c r="I545" i="31"/>
  <c r="H545" i="31"/>
  <c r="D545" i="31"/>
  <c r="C546" i="31"/>
  <c r="D546" i="31"/>
  <c r="A548" i="31"/>
  <c r="B547" i="31"/>
  <c r="E548" i="31"/>
  <c r="E549" i="31"/>
  <c r="K548" i="31"/>
  <c r="J545" i="31"/>
  <c r="C547" i="31"/>
  <c r="F547" i="31"/>
  <c r="G547" i="31"/>
  <c r="B548" i="31"/>
  <c r="A549" i="31"/>
  <c r="K549" i="31"/>
  <c r="F546" i="31"/>
  <c r="G546" i="31"/>
  <c r="D547" i="31"/>
  <c r="I546" i="31"/>
  <c r="H546" i="31"/>
  <c r="E550" i="31"/>
  <c r="A550" i="31"/>
  <c r="K550" i="31"/>
  <c r="B549" i="31"/>
  <c r="C548" i="31"/>
  <c r="F548" i="31"/>
  <c r="G548" i="31"/>
  <c r="I547" i="31"/>
  <c r="H547" i="31"/>
  <c r="J547" i="31"/>
  <c r="J546" i="31"/>
  <c r="I548" i="31"/>
  <c r="H548" i="31"/>
  <c r="D548" i="31"/>
  <c r="C549" i="31"/>
  <c r="F549" i="31"/>
  <c r="G549" i="31"/>
  <c r="D549" i="31"/>
  <c r="A551" i="31"/>
  <c r="B550" i="31"/>
  <c r="E551" i="31"/>
  <c r="E552" i="31"/>
  <c r="K551" i="31"/>
  <c r="J548" i="31"/>
  <c r="C550" i="31"/>
  <c r="F550" i="31"/>
  <c r="G550" i="31"/>
  <c r="D550" i="31"/>
  <c r="A552" i="31"/>
  <c r="K552" i="31"/>
  <c r="B551" i="31"/>
  <c r="I549" i="31"/>
  <c r="H549" i="31"/>
  <c r="J549" i="31"/>
  <c r="B552" i="31"/>
  <c r="A553" i="31"/>
  <c r="C551" i="31"/>
  <c r="F551" i="31"/>
  <c r="G551" i="31"/>
  <c r="I550" i="31"/>
  <c r="H550" i="31"/>
  <c r="E553" i="31"/>
  <c r="E554" i="31"/>
  <c r="K553" i="31"/>
  <c r="J550" i="31"/>
  <c r="I551" i="31"/>
  <c r="H551" i="31"/>
  <c r="D551" i="31"/>
  <c r="B553" i="31"/>
  <c r="A554" i="31"/>
  <c r="K554" i="31"/>
  <c r="C552" i="31"/>
  <c r="F552" i="31"/>
  <c r="G552" i="31"/>
  <c r="J551" i="31"/>
  <c r="D552" i="31"/>
  <c r="I552" i="31"/>
  <c r="J552" i="31"/>
  <c r="H552" i="31"/>
  <c r="A555" i="31"/>
  <c r="B554" i="31"/>
  <c r="C553" i="31"/>
  <c r="F553" i="31"/>
  <c r="G553" i="31"/>
  <c r="E555" i="31"/>
  <c r="E556" i="31"/>
  <c r="K555" i="31"/>
  <c r="D553" i="31"/>
  <c r="I553" i="31"/>
  <c r="J553" i="31"/>
  <c r="H553" i="31"/>
  <c r="C554" i="31"/>
  <c r="F554" i="31"/>
  <c r="G554" i="31"/>
  <c r="D554" i="31"/>
  <c r="B555" i="31"/>
  <c r="A556" i="31"/>
  <c r="K556" i="31"/>
  <c r="I554" i="31"/>
  <c r="J554" i="31"/>
  <c r="H554" i="31"/>
  <c r="E557" i="31"/>
  <c r="A557" i="31"/>
  <c r="B556" i="31"/>
  <c r="C556" i="31"/>
  <c r="C555" i="31"/>
  <c r="F555" i="31"/>
  <c r="G555" i="31"/>
  <c r="K557" i="31"/>
  <c r="I555" i="31"/>
  <c r="H555" i="31"/>
  <c r="D555" i="31"/>
  <c r="D556" i="31"/>
  <c r="F556" i="31"/>
  <c r="G556" i="31"/>
  <c r="B557" i="31"/>
  <c r="A558" i="31"/>
  <c r="E558" i="31"/>
  <c r="E559" i="31"/>
  <c r="K558" i="31"/>
  <c r="J555" i="31"/>
  <c r="C557" i="31"/>
  <c r="D557" i="31"/>
  <c r="B558" i="31"/>
  <c r="A559" i="31"/>
  <c r="K559" i="31"/>
  <c r="I556" i="31"/>
  <c r="H556" i="31"/>
  <c r="J556" i="31"/>
  <c r="A560" i="31"/>
  <c r="B559" i="31"/>
  <c r="C558" i="31"/>
  <c r="F558" i="31"/>
  <c r="G558" i="31"/>
  <c r="E560" i="31"/>
  <c r="E561" i="31"/>
  <c r="F557" i="31"/>
  <c r="G557" i="31"/>
  <c r="K560" i="31"/>
  <c r="I557" i="31"/>
  <c r="H557" i="31"/>
  <c r="I558" i="31"/>
  <c r="H558" i="31"/>
  <c r="D558" i="31"/>
  <c r="C559" i="31"/>
  <c r="D559" i="31"/>
  <c r="A561" i="31"/>
  <c r="K561" i="31"/>
  <c r="B560" i="31"/>
  <c r="J558" i="31"/>
  <c r="J557" i="31"/>
  <c r="B561" i="31"/>
  <c r="C561" i="31"/>
  <c r="A562" i="31"/>
  <c r="K562" i="31"/>
  <c r="E562" i="31"/>
  <c r="C560" i="31"/>
  <c r="F560" i="31"/>
  <c r="G560" i="31"/>
  <c r="D560" i="31"/>
  <c r="F559" i="31"/>
  <c r="G559" i="31"/>
  <c r="E563" i="31"/>
  <c r="I560" i="31"/>
  <c r="H560" i="31"/>
  <c r="I559" i="31"/>
  <c r="H559" i="31"/>
  <c r="A563" i="31"/>
  <c r="B562" i="31"/>
  <c r="D561" i="31"/>
  <c r="F561" i="31"/>
  <c r="G561" i="31"/>
  <c r="E564" i="31"/>
  <c r="K563" i="31"/>
  <c r="J559" i="31"/>
  <c r="J560" i="31"/>
  <c r="A564" i="31"/>
  <c r="K564" i="31"/>
  <c r="B563" i="31"/>
  <c r="I561" i="31"/>
  <c r="H561" i="31"/>
  <c r="C562" i="31"/>
  <c r="F562" i="31"/>
  <c r="G562" i="31"/>
  <c r="D562" i="31"/>
  <c r="J561" i="31"/>
  <c r="I562" i="31"/>
  <c r="H562" i="31"/>
  <c r="C563" i="31"/>
  <c r="F563" i="31"/>
  <c r="G563" i="31"/>
  <c r="A565" i="31"/>
  <c r="K565" i="31"/>
  <c r="B564" i="31"/>
  <c r="E565" i="31"/>
  <c r="E566" i="31"/>
  <c r="D563" i="31"/>
  <c r="J562" i="31"/>
  <c r="A566" i="31"/>
  <c r="K566" i="31"/>
  <c r="B565" i="31"/>
  <c r="C564" i="31"/>
  <c r="F564" i="31"/>
  <c r="G564" i="31"/>
  <c r="D564" i="31"/>
  <c r="I563" i="31"/>
  <c r="H563" i="31"/>
  <c r="J563" i="31"/>
  <c r="I564" i="31"/>
  <c r="H564" i="31"/>
  <c r="C565" i="31"/>
  <c r="F565" i="31"/>
  <c r="G565" i="31"/>
  <c r="D565" i="31"/>
  <c r="E567" i="31"/>
  <c r="B566" i="31"/>
  <c r="A567" i="31"/>
  <c r="K567" i="31"/>
  <c r="J564" i="31"/>
  <c r="E568" i="31"/>
  <c r="A568" i="31"/>
  <c r="K568" i="31"/>
  <c r="B567" i="31"/>
  <c r="C566" i="31"/>
  <c r="F566" i="31"/>
  <c r="G566" i="31"/>
  <c r="I565" i="31"/>
  <c r="H565" i="31"/>
  <c r="J565" i="31"/>
  <c r="D566" i="31"/>
  <c r="I566" i="31"/>
  <c r="H566" i="31"/>
  <c r="C567" i="31"/>
  <c r="D567" i="31"/>
  <c r="B568" i="31"/>
  <c r="C568" i="31"/>
  <c r="A569" i="31"/>
  <c r="K569" i="31"/>
  <c r="E569" i="31"/>
  <c r="E570" i="31"/>
  <c r="J566" i="31"/>
  <c r="A570" i="31"/>
  <c r="K570" i="31"/>
  <c r="B569" i="31"/>
  <c r="C569" i="31"/>
  <c r="D568" i="31"/>
  <c r="F568" i="31"/>
  <c r="G568" i="31"/>
  <c r="F567" i="31"/>
  <c r="G567" i="31"/>
  <c r="I567" i="31"/>
  <c r="H567" i="31"/>
  <c r="D569" i="31"/>
  <c r="F569" i="31"/>
  <c r="G569" i="31"/>
  <c r="I568" i="31"/>
  <c r="H568" i="31"/>
  <c r="B570" i="31"/>
  <c r="A571" i="31"/>
  <c r="K571" i="31"/>
  <c r="E571" i="31"/>
  <c r="E572" i="31"/>
  <c r="J568" i="31"/>
  <c r="J567" i="31"/>
  <c r="C570" i="31"/>
  <c r="F570" i="31"/>
  <c r="G570" i="31"/>
  <c r="D570" i="31"/>
  <c r="A572" i="31"/>
  <c r="B571" i="31"/>
  <c r="C571" i="31"/>
  <c r="I569" i="31"/>
  <c r="H569" i="31"/>
  <c r="E573" i="31"/>
  <c r="K572" i="31"/>
  <c r="J569" i="31"/>
  <c r="D571" i="31"/>
  <c r="F571" i="31"/>
  <c r="G571" i="31"/>
  <c r="B572" i="31"/>
  <c r="A573" i="31"/>
  <c r="K573" i="31"/>
  <c r="I570" i="31"/>
  <c r="H570" i="31"/>
  <c r="J570" i="31"/>
  <c r="C572" i="31"/>
  <c r="D572" i="31"/>
  <c r="A574" i="31"/>
  <c r="B573" i="31"/>
  <c r="C573" i="31"/>
  <c r="I571" i="31"/>
  <c r="H571" i="31"/>
  <c r="E574" i="31"/>
  <c r="E575" i="31"/>
  <c r="K574" i="31"/>
  <c r="J571" i="31"/>
  <c r="D573" i="31"/>
  <c r="F573" i="31"/>
  <c r="G573" i="31"/>
  <c r="B574" i="31"/>
  <c r="A575" i="31"/>
  <c r="K575" i="31"/>
  <c r="F572" i="31"/>
  <c r="G572" i="31"/>
  <c r="I572" i="31"/>
  <c r="H572" i="31"/>
  <c r="C574" i="31"/>
  <c r="F574" i="31"/>
  <c r="G574" i="31"/>
  <c r="D574" i="31"/>
  <c r="B575" i="31"/>
  <c r="C575" i="31"/>
  <c r="A576" i="31"/>
  <c r="I573" i="31"/>
  <c r="H573" i="31"/>
  <c r="E576" i="31"/>
  <c r="E577" i="31"/>
  <c r="K576" i="31"/>
  <c r="J573" i="31"/>
  <c r="J572" i="31"/>
  <c r="A577" i="31"/>
  <c r="K577" i="31"/>
  <c r="B576" i="31"/>
  <c r="E578" i="31"/>
  <c r="D575" i="31"/>
  <c r="F575" i="31"/>
  <c r="G575" i="31"/>
  <c r="I574" i="31"/>
  <c r="H574" i="31"/>
  <c r="J574" i="31"/>
  <c r="I575" i="31"/>
  <c r="H575" i="31"/>
  <c r="C576" i="31"/>
  <c r="F576" i="31"/>
  <c r="G576" i="31"/>
  <c r="D576" i="31"/>
  <c r="B577" i="31"/>
  <c r="C577" i="31"/>
  <c r="A578" i="31"/>
  <c r="K578" i="31"/>
  <c r="J575" i="31"/>
  <c r="A579" i="31"/>
  <c r="B578" i="31"/>
  <c r="C578" i="31"/>
  <c r="D577" i="31"/>
  <c r="F577" i="31"/>
  <c r="G577" i="31"/>
  <c r="I576" i="31"/>
  <c r="H576" i="31"/>
  <c r="E579" i="31"/>
  <c r="E580" i="31"/>
  <c r="K579" i="31"/>
  <c r="J576" i="31"/>
  <c r="I577" i="31"/>
  <c r="H577" i="31"/>
  <c r="D578" i="31"/>
  <c r="F578" i="31"/>
  <c r="G578" i="31"/>
  <c r="A580" i="31"/>
  <c r="K580" i="31"/>
  <c r="B579" i="31"/>
  <c r="C579" i="31"/>
  <c r="J577" i="31"/>
  <c r="D579" i="31"/>
  <c r="F579" i="31"/>
  <c r="G579" i="31"/>
  <c r="A581" i="31"/>
  <c r="B580" i="31"/>
  <c r="C580" i="31"/>
  <c r="I578" i="31"/>
  <c r="H578" i="31"/>
  <c r="E581" i="31"/>
  <c r="E582" i="31"/>
  <c r="K581" i="31"/>
  <c r="J578" i="31"/>
  <c r="A582" i="31"/>
  <c r="K582" i="31"/>
  <c r="B581" i="31"/>
  <c r="C581" i="31"/>
  <c r="D580" i="31"/>
  <c r="F580" i="31"/>
  <c r="G580" i="31"/>
  <c r="I579" i="31"/>
  <c r="H579" i="31"/>
  <c r="J579" i="31"/>
  <c r="I580" i="31"/>
  <c r="H580" i="31"/>
  <c r="D581" i="31"/>
  <c r="F581" i="31"/>
  <c r="G581" i="31"/>
  <c r="A583" i="31"/>
  <c r="K583" i="31"/>
  <c r="B582" i="31"/>
  <c r="E583" i="31"/>
  <c r="E584" i="31"/>
  <c r="J580" i="31"/>
  <c r="C582" i="31"/>
  <c r="F582" i="31"/>
  <c r="G582" i="31"/>
  <c r="D582" i="31"/>
  <c r="B583" i="31"/>
  <c r="A584" i="31"/>
  <c r="K584" i="31"/>
  <c r="I581" i="31"/>
  <c r="H581" i="31"/>
  <c r="J581" i="31"/>
  <c r="A585" i="31"/>
  <c r="B584" i="31"/>
  <c r="C584" i="31"/>
  <c r="E585" i="31"/>
  <c r="E586" i="31"/>
  <c r="C583" i="31"/>
  <c r="F583" i="31"/>
  <c r="G583" i="31"/>
  <c r="D583" i="31"/>
  <c r="I582" i="31"/>
  <c r="H582" i="31"/>
  <c r="K585" i="31"/>
  <c r="J582" i="31"/>
  <c r="I583" i="31"/>
  <c r="H583" i="31"/>
  <c r="D584" i="31"/>
  <c r="F584" i="31"/>
  <c r="G584" i="31"/>
  <c r="A586" i="31"/>
  <c r="B585" i="31"/>
  <c r="B586" i="31"/>
  <c r="K586" i="31"/>
  <c r="A587" i="31"/>
  <c r="E587" i="31"/>
  <c r="E588" i="31"/>
  <c r="J583" i="31"/>
  <c r="C585" i="31"/>
  <c r="D585" i="31"/>
  <c r="I584" i="31"/>
  <c r="H584" i="31"/>
  <c r="C586" i="31"/>
  <c r="F586" i="31"/>
  <c r="G586" i="31"/>
  <c r="A588" i="31"/>
  <c r="B587" i="31"/>
  <c r="K587" i="31"/>
  <c r="D586" i="31"/>
  <c r="E589" i="31"/>
  <c r="J584" i="31"/>
  <c r="I586" i="31"/>
  <c r="H586" i="31"/>
  <c r="F585" i="31"/>
  <c r="G585" i="31"/>
  <c r="C587" i="31"/>
  <c r="D587" i="31"/>
  <c r="B588" i="31"/>
  <c r="A589" i="31"/>
  <c r="K588" i="31"/>
  <c r="J586" i="31"/>
  <c r="I585" i="31"/>
  <c r="H585" i="31"/>
  <c r="A590" i="31"/>
  <c r="B589" i="31"/>
  <c r="C589" i="31"/>
  <c r="K589" i="31"/>
  <c r="C588" i="31"/>
  <c r="D588" i="31"/>
  <c r="G587" i="31"/>
  <c r="F587" i="31"/>
  <c r="E590" i="31"/>
  <c r="E591" i="31"/>
  <c r="J585" i="31"/>
  <c r="I587" i="31"/>
  <c r="H587" i="31"/>
  <c r="F588" i="31"/>
  <c r="G588" i="31"/>
  <c r="D589" i="31"/>
  <c r="G589" i="31"/>
  <c r="F589" i="31"/>
  <c r="A591" i="31"/>
  <c r="K590" i="31"/>
  <c r="B590" i="31"/>
  <c r="C590" i="31"/>
  <c r="D590" i="31"/>
  <c r="E592" i="31"/>
  <c r="K591" i="31"/>
  <c r="B591" i="31"/>
  <c r="A592" i="31"/>
  <c r="H589" i="31"/>
  <c r="I589" i="31"/>
  <c r="J589" i="31"/>
  <c r="I588" i="31"/>
  <c r="J588" i="31"/>
  <c r="H588" i="31"/>
  <c r="J587" i="31"/>
  <c r="A593" i="31"/>
  <c r="B592" i="31"/>
  <c r="K592" i="31"/>
  <c r="C591" i="31"/>
  <c r="D591" i="31"/>
  <c r="E593" i="31"/>
  <c r="E594" i="31"/>
  <c r="G590" i="31"/>
  <c r="F590" i="31"/>
  <c r="H590" i="31"/>
  <c r="I590" i="31"/>
  <c r="J590" i="31"/>
  <c r="F591" i="31"/>
  <c r="G591" i="31"/>
  <c r="C592" i="31"/>
  <c r="D592" i="31"/>
  <c r="K593" i="31"/>
  <c r="B593" i="31"/>
  <c r="A594" i="31"/>
  <c r="C593" i="31"/>
  <c r="D593" i="31"/>
  <c r="A595" i="31"/>
  <c r="B594" i="31"/>
  <c r="K594" i="31"/>
  <c r="G592" i="31"/>
  <c r="F592" i="31"/>
  <c r="E595" i="31"/>
  <c r="E596" i="31"/>
  <c r="I591" i="31"/>
  <c r="J591" i="31"/>
  <c r="H591" i="31"/>
  <c r="H592" i="31"/>
  <c r="I592" i="31"/>
  <c r="J592" i="31"/>
  <c r="C594" i="31"/>
  <c r="D594" i="31"/>
  <c r="K595" i="31"/>
  <c r="A596" i="31"/>
  <c r="B595" i="31"/>
  <c r="C595" i="31"/>
  <c r="G593" i="31"/>
  <c r="F593" i="31"/>
  <c r="D595" i="31"/>
  <c r="G595" i="31"/>
  <c r="F595" i="31"/>
  <c r="A597" i="31"/>
  <c r="B596" i="31"/>
  <c r="C596" i="31"/>
  <c r="K596" i="31"/>
  <c r="I593" i="31"/>
  <c r="J593" i="31"/>
  <c r="H593" i="31"/>
  <c r="F594" i="31"/>
  <c r="G594" i="31"/>
  <c r="E597" i="31"/>
  <c r="E598" i="31"/>
  <c r="I594" i="31"/>
  <c r="H594" i="31"/>
  <c r="D596" i="31"/>
  <c r="G596" i="31"/>
  <c r="F596" i="31"/>
  <c r="A598" i="31"/>
  <c r="K597" i="31"/>
  <c r="B597" i="31"/>
  <c r="H595" i="31"/>
  <c r="I595" i="31"/>
  <c r="J595" i="31"/>
  <c r="E599" i="31"/>
  <c r="K598" i="31"/>
  <c r="B598" i="31"/>
  <c r="A599" i="31"/>
  <c r="C597" i="31"/>
  <c r="D597" i="31"/>
  <c r="H596" i="31"/>
  <c r="I596" i="31"/>
  <c r="J596" i="31"/>
  <c r="J594" i="31"/>
  <c r="A600" i="31"/>
  <c r="K599" i="31"/>
  <c r="B599" i="31"/>
  <c r="C599" i="31"/>
  <c r="C598" i="31"/>
  <c r="D598" i="31"/>
  <c r="G597" i="31"/>
  <c r="F597" i="31"/>
  <c r="E600" i="31"/>
  <c r="E601" i="31"/>
  <c r="D599" i="31"/>
  <c r="F599" i="31"/>
  <c r="G599" i="31"/>
  <c r="H597" i="31"/>
  <c r="I597" i="31"/>
  <c r="J597" i="31"/>
  <c r="G598" i="31"/>
  <c r="F598" i="31"/>
  <c r="K600" i="31"/>
  <c r="B600" i="31"/>
  <c r="A601" i="31"/>
  <c r="E602" i="31"/>
  <c r="A602" i="31"/>
  <c r="B601" i="31"/>
  <c r="C601" i="31"/>
  <c r="K601" i="31"/>
  <c r="C600" i="31"/>
  <c r="D600" i="31"/>
  <c r="I598" i="31"/>
  <c r="H598" i="31"/>
  <c r="I599" i="31"/>
  <c r="H599" i="31"/>
  <c r="J599" i="31"/>
  <c r="G600" i="31"/>
  <c r="F600" i="31"/>
  <c r="D601" i="31"/>
  <c r="F601" i="31"/>
  <c r="G601" i="31"/>
  <c r="J598" i="31"/>
  <c r="A603" i="31"/>
  <c r="B602" i="31"/>
  <c r="K602" i="31"/>
  <c r="E603" i="31"/>
  <c r="E604" i="31"/>
  <c r="A604" i="31"/>
  <c r="B603" i="31"/>
  <c r="K603" i="31"/>
  <c r="E605" i="31"/>
  <c r="C602" i="31"/>
  <c r="D602" i="31"/>
  <c r="H601" i="31"/>
  <c r="I601" i="31"/>
  <c r="J601" i="31"/>
  <c r="H600" i="31"/>
  <c r="I600" i="31"/>
  <c r="J600" i="31"/>
  <c r="F602" i="31"/>
  <c r="G602" i="31"/>
  <c r="C603" i="31"/>
  <c r="B604" i="31"/>
  <c r="C604" i="31"/>
  <c r="A605" i="31"/>
  <c r="K604" i="31"/>
  <c r="D604" i="31"/>
  <c r="G604" i="31"/>
  <c r="F604" i="31"/>
  <c r="B605" i="31"/>
  <c r="A606" i="31"/>
  <c r="K605" i="31"/>
  <c r="G603" i="31"/>
  <c r="F603" i="31"/>
  <c r="D603" i="31"/>
  <c r="I602" i="31"/>
  <c r="J602" i="31"/>
  <c r="H602" i="31"/>
  <c r="E606" i="31"/>
  <c r="E607" i="31"/>
  <c r="H603" i="31"/>
  <c r="I603" i="31"/>
  <c r="J603" i="31"/>
  <c r="B606" i="31"/>
  <c r="A607" i="31"/>
  <c r="K606" i="31"/>
  <c r="C605" i="31"/>
  <c r="D605" i="31"/>
  <c r="H604" i="31"/>
  <c r="I604" i="31"/>
  <c r="J604" i="31"/>
  <c r="G605" i="31"/>
  <c r="F605" i="31"/>
  <c r="B607" i="31"/>
  <c r="A608" i="31"/>
  <c r="K607" i="31"/>
  <c r="C606" i="31"/>
  <c r="D606" i="31"/>
  <c r="E608" i="31"/>
  <c r="E609" i="31"/>
  <c r="G606" i="31"/>
  <c r="F606" i="31"/>
  <c r="A609" i="31"/>
  <c r="B608" i="31"/>
  <c r="C608" i="31"/>
  <c r="K608" i="31"/>
  <c r="C607" i="31"/>
  <c r="D607" i="31"/>
  <c r="H605" i="31"/>
  <c r="I605" i="31"/>
  <c r="G607" i="31"/>
  <c r="F607" i="31"/>
  <c r="D608" i="31"/>
  <c r="G608" i="31"/>
  <c r="F608" i="31"/>
  <c r="J605" i="31"/>
  <c r="A610" i="31"/>
  <c r="K609" i="31"/>
  <c r="B609" i="31"/>
  <c r="C609" i="31"/>
  <c r="H606" i="31"/>
  <c r="I606" i="31"/>
  <c r="E610" i="31"/>
  <c r="E611" i="31"/>
  <c r="J606" i="31"/>
  <c r="D609" i="31"/>
  <c r="G609" i="31"/>
  <c r="F609" i="31"/>
  <c r="A611" i="31"/>
  <c r="B610" i="31"/>
  <c r="K610" i="31"/>
  <c r="I608" i="31"/>
  <c r="H608" i="31"/>
  <c r="I607" i="31"/>
  <c r="H607" i="31"/>
  <c r="J608" i="31"/>
  <c r="A612" i="31"/>
  <c r="B611" i="31"/>
  <c r="K611" i="31"/>
  <c r="J607" i="31"/>
  <c r="C610" i="31"/>
  <c r="I609" i="31"/>
  <c r="J609" i="31"/>
  <c r="H609" i="31"/>
  <c r="E612" i="31"/>
  <c r="E613" i="31"/>
  <c r="F610" i="31"/>
  <c r="G610" i="31"/>
  <c r="D610" i="31"/>
  <c r="B612" i="31"/>
  <c r="C612" i="31"/>
  <c r="A613" i="31"/>
  <c r="K612" i="31"/>
  <c r="E614" i="31"/>
  <c r="C611" i="31"/>
  <c r="G611" i="31"/>
  <c r="I611" i="31"/>
  <c r="F611" i="31"/>
  <c r="H611" i="31"/>
  <c r="B613" i="31"/>
  <c r="K613" i="31"/>
  <c r="A614" i="31"/>
  <c r="E615" i="31"/>
  <c r="D611" i="31"/>
  <c r="D612" i="31"/>
  <c r="G612" i="31"/>
  <c r="F612" i="31"/>
  <c r="I610" i="31"/>
  <c r="H610" i="31"/>
  <c r="H612" i="31"/>
  <c r="I612" i="31"/>
  <c r="J612" i="31"/>
  <c r="K614" i="31"/>
  <c r="B614" i="31"/>
  <c r="A615" i="31"/>
  <c r="J610" i="31"/>
  <c r="C613" i="31"/>
  <c r="D613" i="31"/>
  <c r="J611" i="31"/>
  <c r="C614" i="31"/>
  <c r="D614" i="31"/>
  <c r="F613" i="31"/>
  <c r="G613" i="31"/>
  <c r="A616" i="31"/>
  <c r="B615" i="31"/>
  <c r="K615" i="31"/>
  <c r="E616" i="31"/>
  <c r="E617" i="31"/>
  <c r="C615" i="31"/>
  <c r="A617" i="31"/>
  <c r="K616" i="31"/>
  <c r="B616" i="31"/>
  <c r="I613" i="31"/>
  <c r="H613" i="31"/>
  <c r="G614" i="31"/>
  <c r="F614" i="31"/>
  <c r="H614" i="31"/>
  <c r="I614" i="31"/>
  <c r="J614" i="31"/>
  <c r="C616" i="31"/>
  <c r="D616" i="31"/>
  <c r="J613" i="31"/>
  <c r="B617" i="31"/>
  <c r="K617" i="31"/>
  <c r="A618" i="31"/>
  <c r="G615" i="31"/>
  <c r="F615" i="31"/>
  <c r="D615" i="31"/>
  <c r="E618" i="31"/>
  <c r="E619" i="31"/>
  <c r="I615" i="31"/>
  <c r="H615" i="31"/>
  <c r="F616" i="31"/>
  <c r="G616" i="31"/>
  <c r="A619" i="31"/>
  <c r="K618" i="31"/>
  <c r="B618" i="31"/>
  <c r="C618" i="31"/>
  <c r="C617" i="31"/>
  <c r="G617" i="31"/>
  <c r="F617" i="31"/>
  <c r="D618" i="31"/>
  <c r="G618" i="31"/>
  <c r="F618" i="31"/>
  <c r="D617" i="31"/>
  <c r="K619" i="31"/>
  <c r="A620" i="31"/>
  <c r="B619" i="31"/>
  <c r="E620" i="31"/>
  <c r="E621" i="31"/>
  <c r="H616" i="31"/>
  <c r="I616" i="31"/>
  <c r="J615" i="31"/>
  <c r="J616" i="31"/>
  <c r="C619" i="31"/>
  <c r="D619" i="31"/>
  <c r="K620" i="31"/>
  <c r="B620" i="31"/>
  <c r="A621" i="31"/>
  <c r="I618" i="31"/>
  <c r="H618" i="31"/>
  <c r="I617" i="31"/>
  <c r="H617" i="31"/>
  <c r="J617" i="31"/>
  <c r="A622" i="31"/>
  <c r="B621" i="31"/>
  <c r="K621" i="31"/>
  <c r="C620" i="31"/>
  <c r="D620" i="31"/>
  <c r="J618" i="31"/>
  <c r="F619" i="31"/>
  <c r="G619" i="31"/>
  <c r="E622" i="31"/>
  <c r="E623" i="31"/>
  <c r="G620" i="31"/>
  <c r="F620" i="31"/>
  <c r="C621" i="31"/>
  <c r="D621" i="31"/>
  <c r="I619" i="31"/>
  <c r="H619" i="31"/>
  <c r="K622" i="31"/>
  <c r="B622" i="31"/>
  <c r="A623" i="31"/>
  <c r="C622" i="31"/>
  <c r="D622" i="31"/>
  <c r="K623" i="31"/>
  <c r="B623" i="31"/>
  <c r="A624" i="31"/>
  <c r="J619" i="31"/>
  <c r="G621" i="31"/>
  <c r="F621" i="31"/>
  <c r="H620" i="31"/>
  <c r="I620" i="31"/>
  <c r="J620" i="31"/>
  <c r="E624" i="31"/>
  <c r="E625" i="31"/>
  <c r="B624" i="31"/>
  <c r="K624" i="31"/>
  <c r="A625" i="31"/>
  <c r="I621" i="31"/>
  <c r="H621" i="31"/>
  <c r="C623" i="31"/>
  <c r="F623" i="31"/>
  <c r="G623" i="31"/>
  <c r="F622" i="31"/>
  <c r="G622" i="31"/>
  <c r="I623" i="31"/>
  <c r="J623" i="31"/>
  <c r="H623" i="31"/>
  <c r="A626" i="31"/>
  <c r="B625" i="31"/>
  <c r="K625" i="31"/>
  <c r="H622" i="31"/>
  <c r="I622" i="31"/>
  <c r="J622" i="31"/>
  <c r="D623" i="31"/>
  <c r="J621" i="31"/>
  <c r="C624" i="31"/>
  <c r="D624" i="31"/>
  <c r="E626" i="31"/>
  <c r="E627" i="31"/>
  <c r="F624" i="31"/>
  <c r="G624" i="31"/>
  <c r="C625" i="31"/>
  <c r="D625" i="31"/>
  <c r="B626" i="31"/>
  <c r="K626" i="31"/>
  <c r="A627" i="31"/>
  <c r="I624" i="31"/>
  <c r="J624" i="31"/>
  <c r="H624" i="31"/>
  <c r="K627" i="31"/>
  <c r="B627" i="31"/>
  <c r="A628" i="31"/>
  <c r="C626" i="31"/>
  <c r="F626" i="31"/>
  <c r="G626" i="31"/>
  <c r="F625" i="31"/>
  <c r="G625" i="31"/>
  <c r="E628" i="31"/>
  <c r="E629" i="31"/>
  <c r="I626" i="31"/>
  <c r="J626" i="31"/>
  <c r="H626" i="31"/>
  <c r="D626" i="31"/>
  <c r="I625" i="31"/>
  <c r="J625" i="31"/>
  <c r="H625" i="31"/>
  <c r="B628" i="31"/>
  <c r="K628" i="31"/>
  <c r="A629" i="31"/>
  <c r="C627" i="31"/>
  <c r="F627" i="31"/>
  <c r="G627" i="31"/>
  <c r="D627" i="31"/>
  <c r="C628" i="31"/>
  <c r="F628" i="31"/>
  <c r="G628" i="31"/>
  <c r="D628" i="31"/>
  <c r="H627" i="31"/>
  <c r="I627" i="31"/>
  <c r="J627" i="31"/>
  <c r="A630" i="31"/>
  <c r="K629" i="31"/>
  <c r="B629" i="31"/>
  <c r="E630" i="31"/>
  <c r="E631" i="31"/>
  <c r="C629" i="31"/>
  <c r="F629" i="31"/>
  <c r="G629" i="31"/>
  <c r="D629" i="31"/>
  <c r="B630" i="31"/>
  <c r="C630" i="31"/>
  <c r="A631" i="31"/>
  <c r="K630" i="31"/>
  <c r="I628" i="31"/>
  <c r="J628" i="31"/>
  <c r="H628" i="31"/>
  <c r="D630" i="31"/>
  <c r="F630" i="31"/>
  <c r="G630" i="31"/>
  <c r="K631" i="31"/>
  <c r="B631" i="31"/>
  <c r="A632" i="31"/>
  <c r="I629" i="31"/>
  <c r="J629" i="31"/>
  <c r="H629" i="31"/>
  <c r="E632" i="31"/>
  <c r="E633" i="31"/>
  <c r="A633" i="31"/>
  <c r="K632" i="31"/>
  <c r="B632" i="31"/>
  <c r="C632" i="31"/>
  <c r="C631" i="31"/>
  <c r="F631" i="31"/>
  <c r="G631" i="31"/>
  <c r="D631" i="31"/>
  <c r="H630" i="31"/>
  <c r="I630" i="31"/>
  <c r="J630" i="31"/>
  <c r="D632" i="31"/>
  <c r="F632" i="31"/>
  <c r="G632" i="31"/>
  <c r="H631" i="31"/>
  <c r="I631" i="31"/>
  <c r="J631" i="31"/>
  <c r="K633" i="31"/>
  <c r="B633" i="31"/>
  <c r="C633" i="31"/>
  <c r="A634" i="31"/>
  <c r="E634" i="31"/>
  <c r="E635" i="31"/>
  <c r="D633" i="31"/>
  <c r="F633" i="31"/>
  <c r="G633" i="31"/>
  <c r="B634" i="31"/>
  <c r="A635" i="31"/>
  <c r="K634" i="31"/>
  <c r="H632" i="31"/>
  <c r="I632" i="31"/>
  <c r="J632" i="31"/>
  <c r="B635" i="31"/>
  <c r="C635" i="31"/>
  <c r="A636" i="31"/>
  <c r="K635" i="31"/>
  <c r="E636" i="31"/>
  <c r="E637" i="31"/>
  <c r="C634" i="31"/>
  <c r="F634" i="31"/>
  <c r="G634" i="31"/>
  <c r="D634" i="31"/>
  <c r="I633" i="31"/>
  <c r="H633" i="31"/>
  <c r="J633" i="31"/>
  <c r="H634" i="31"/>
  <c r="I634" i="31"/>
  <c r="J634" i="31"/>
  <c r="A637" i="31"/>
  <c r="B636" i="31"/>
  <c r="K636" i="31"/>
  <c r="D635" i="31"/>
  <c r="F635" i="31"/>
  <c r="G635" i="31"/>
  <c r="C636" i="31"/>
  <c r="F636" i="31"/>
  <c r="G636" i="31"/>
  <c r="D636" i="31"/>
  <c r="H635" i="31"/>
  <c r="I635" i="31"/>
  <c r="J635" i="31"/>
  <c r="A638" i="31"/>
  <c r="B637" i="31"/>
  <c r="K637" i="31"/>
  <c r="E638" i="31"/>
  <c r="E639" i="31"/>
  <c r="A639" i="31"/>
  <c r="K638" i="31"/>
  <c r="B638" i="31"/>
  <c r="E640" i="31"/>
  <c r="C637" i="31"/>
  <c r="F637" i="31"/>
  <c r="G637" i="31"/>
  <c r="D637" i="31"/>
  <c r="I636" i="31"/>
  <c r="H636" i="31"/>
  <c r="I637" i="31"/>
  <c r="H637" i="31"/>
  <c r="C638" i="31"/>
  <c r="F638" i="31"/>
  <c r="G638" i="31"/>
  <c r="D638" i="31"/>
  <c r="J636" i="31"/>
  <c r="K639" i="31"/>
  <c r="A640" i="31"/>
  <c r="E641" i="31"/>
  <c r="B639" i="31"/>
  <c r="C639" i="31"/>
  <c r="F639" i="31"/>
  <c r="G639" i="31"/>
  <c r="D639" i="31"/>
  <c r="K640" i="31"/>
  <c r="B640" i="31"/>
  <c r="A641" i="31"/>
  <c r="I638" i="31"/>
  <c r="H638" i="31"/>
  <c r="J637" i="31"/>
  <c r="J638" i="31"/>
  <c r="B641" i="31"/>
  <c r="C641" i="31"/>
  <c r="K641" i="31"/>
  <c r="A642" i="31"/>
  <c r="C640" i="31"/>
  <c r="F640" i="31"/>
  <c r="G640" i="31"/>
  <c r="D640" i="31"/>
  <c r="I639" i="31"/>
  <c r="J639" i="31"/>
  <c r="H639" i="31"/>
  <c r="E642" i="31"/>
  <c r="E643" i="31"/>
  <c r="H640" i="31"/>
  <c r="I640" i="31"/>
  <c r="J640" i="31"/>
  <c r="B642" i="31"/>
  <c r="C642" i="31"/>
  <c r="A643" i="31"/>
  <c r="K642" i="31"/>
  <c r="D641" i="31"/>
  <c r="F641" i="31"/>
  <c r="G641" i="31"/>
  <c r="I641" i="31"/>
  <c r="H641" i="31"/>
  <c r="A644" i="31"/>
  <c r="B643" i="31"/>
  <c r="K643" i="31"/>
  <c r="D642" i="31"/>
  <c r="F642" i="31"/>
  <c r="G642" i="31"/>
  <c r="E644" i="31"/>
  <c r="E645" i="31"/>
  <c r="I642" i="31"/>
  <c r="H642" i="31"/>
  <c r="C643" i="31"/>
  <c r="F643" i="31"/>
  <c r="G643" i="31"/>
  <c r="D643" i="31"/>
  <c r="B644" i="31"/>
  <c r="A645" i="31"/>
  <c r="K644" i="31"/>
  <c r="J641" i="31"/>
  <c r="C644" i="31"/>
  <c r="F644" i="31"/>
  <c r="G644" i="31"/>
  <c r="D644" i="31"/>
  <c r="A646" i="31"/>
  <c r="K645" i="31"/>
  <c r="B645" i="31"/>
  <c r="C645" i="31"/>
  <c r="I643" i="31"/>
  <c r="H643" i="31"/>
  <c r="E646" i="31"/>
  <c r="E647" i="31"/>
  <c r="J642" i="31"/>
  <c r="J643" i="31"/>
  <c r="D645" i="31"/>
  <c r="F645" i="31"/>
  <c r="G645" i="31"/>
  <c r="K646" i="31"/>
  <c r="A647" i="31"/>
  <c r="B646" i="31"/>
  <c r="I644" i="31"/>
  <c r="H644" i="31"/>
  <c r="J644" i="31"/>
  <c r="C646" i="31"/>
  <c r="F646" i="31"/>
  <c r="G646" i="31"/>
  <c r="D646" i="31"/>
  <c r="E648" i="31"/>
  <c r="K647" i="31"/>
  <c r="B647" i="31"/>
  <c r="C647" i="31"/>
  <c r="A648" i="31"/>
  <c r="I645" i="31"/>
  <c r="H645" i="31"/>
  <c r="E649" i="31"/>
  <c r="A649" i="31"/>
  <c r="B648" i="31"/>
  <c r="C648" i="31"/>
  <c r="K648" i="31"/>
  <c r="D647" i="31"/>
  <c r="F647" i="31"/>
  <c r="G647" i="31"/>
  <c r="J645" i="31"/>
  <c r="I646" i="31"/>
  <c r="J646" i="31"/>
  <c r="H646" i="31"/>
  <c r="H647" i="31"/>
  <c r="I647" i="31"/>
  <c r="J647" i="31"/>
  <c r="B649" i="31"/>
  <c r="A650" i="31"/>
  <c r="K649" i="31"/>
  <c r="D648" i="31"/>
  <c r="F648" i="31"/>
  <c r="G648" i="31"/>
  <c r="E650" i="31"/>
  <c r="E651" i="31"/>
  <c r="H648" i="31"/>
  <c r="I648" i="31"/>
  <c r="J648" i="31"/>
  <c r="A651" i="31"/>
  <c r="K650" i="31"/>
  <c r="B650" i="31"/>
  <c r="C649" i="31"/>
  <c r="F649" i="31"/>
  <c r="G649" i="31"/>
  <c r="D649" i="31"/>
  <c r="C650" i="31"/>
  <c r="F650" i="31"/>
  <c r="G650" i="31"/>
  <c r="D650" i="31"/>
  <c r="I649" i="31"/>
  <c r="H649" i="31"/>
  <c r="E652" i="31"/>
  <c r="E653" i="31"/>
  <c r="A652" i="31"/>
  <c r="K651" i="31"/>
  <c r="B651" i="31"/>
  <c r="C651" i="31"/>
  <c r="D651" i="31"/>
  <c r="F651" i="31"/>
  <c r="G651" i="31"/>
  <c r="B652" i="31"/>
  <c r="K652" i="31"/>
  <c r="A653" i="31"/>
  <c r="J649" i="31"/>
  <c r="H650" i="31"/>
  <c r="I650" i="31"/>
  <c r="A654" i="31"/>
  <c r="B653" i="31"/>
  <c r="C653" i="31"/>
  <c r="K653" i="31"/>
  <c r="C652" i="31"/>
  <c r="F652" i="31"/>
  <c r="G652" i="31"/>
  <c r="D652" i="31"/>
  <c r="J650" i="31"/>
  <c r="H651" i="31"/>
  <c r="I651" i="31"/>
  <c r="J651" i="31"/>
  <c r="E654" i="31"/>
  <c r="E655" i="31"/>
  <c r="I652" i="31"/>
  <c r="H652" i="31"/>
  <c r="D653" i="31"/>
  <c r="F653" i="31"/>
  <c r="G653" i="31"/>
  <c r="A655" i="31"/>
  <c r="K654" i="31"/>
  <c r="B654" i="31"/>
  <c r="C654" i="31"/>
  <c r="D654" i="31"/>
  <c r="F654" i="31"/>
  <c r="G654" i="31"/>
  <c r="B655" i="31"/>
  <c r="A656" i="31"/>
  <c r="K655" i="31"/>
  <c r="I653" i="31"/>
  <c r="H653" i="31"/>
  <c r="J652" i="31"/>
  <c r="E656" i="31"/>
  <c r="E657" i="31"/>
  <c r="I654" i="31"/>
  <c r="H654" i="31"/>
  <c r="J653" i="31"/>
  <c r="A657" i="31"/>
  <c r="K656" i="31"/>
  <c r="B656" i="31"/>
  <c r="E658" i="31"/>
  <c r="C655" i="31"/>
  <c r="F655" i="31"/>
  <c r="G655" i="31"/>
  <c r="D655" i="31"/>
  <c r="C656" i="31"/>
  <c r="F656" i="31"/>
  <c r="G656" i="31"/>
  <c r="D656" i="31"/>
  <c r="I655" i="31"/>
  <c r="H655" i="31"/>
  <c r="B657" i="31"/>
  <c r="A658" i="31"/>
  <c r="E659" i="31"/>
  <c r="K657" i="31"/>
  <c r="J654" i="31"/>
  <c r="C657" i="31"/>
  <c r="F657" i="31"/>
  <c r="G657" i="31"/>
  <c r="D657" i="31"/>
  <c r="K658" i="31"/>
  <c r="B658" i="31"/>
  <c r="A659" i="31"/>
  <c r="J655" i="31"/>
  <c r="I656" i="31"/>
  <c r="J656" i="31"/>
  <c r="H656" i="31"/>
  <c r="K659" i="31"/>
  <c r="B659" i="31"/>
  <c r="A660" i="31"/>
  <c r="C658" i="31"/>
  <c r="D658" i="31"/>
  <c r="H657" i="31"/>
  <c r="I657" i="31"/>
  <c r="J657" i="31"/>
  <c r="E660" i="31"/>
  <c r="E661" i="31"/>
  <c r="C659" i="31"/>
  <c r="F659" i="31"/>
  <c r="G659" i="31"/>
  <c r="D659" i="31"/>
  <c r="G658" i="31"/>
  <c r="F658" i="31"/>
  <c r="B660" i="31"/>
  <c r="K660" i="31"/>
  <c r="A661" i="31"/>
  <c r="K661" i="31"/>
  <c r="A662" i="31"/>
  <c r="B661" i="31"/>
  <c r="H658" i="31"/>
  <c r="I658" i="31"/>
  <c r="J658" i="31"/>
  <c r="C660" i="31"/>
  <c r="F660" i="31"/>
  <c r="G660" i="31"/>
  <c r="I659" i="31"/>
  <c r="H659" i="31"/>
  <c r="E662" i="31"/>
  <c r="E663" i="31"/>
  <c r="H660" i="31"/>
  <c r="I660" i="31"/>
  <c r="J660" i="31"/>
  <c r="B662" i="31"/>
  <c r="C662" i="31"/>
  <c r="A663" i="31"/>
  <c r="K662" i="31"/>
  <c r="J659" i="31"/>
  <c r="D660" i="31"/>
  <c r="C661" i="31"/>
  <c r="F661" i="31"/>
  <c r="G661" i="31"/>
  <c r="D661" i="31"/>
  <c r="B663" i="31"/>
  <c r="A664" i="31"/>
  <c r="K663" i="31"/>
  <c r="H661" i="31"/>
  <c r="I661" i="31"/>
  <c r="J661" i="31"/>
  <c r="D662" i="31"/>
  <c r="F662" i="31"/>
  <c r="G662" i="31"/>
  <c r="E664" i="31"/>
  <c r="E665" i="31"/>
  <c r="I662" i="31"/>
  <c r="J662" i="31"/>
  <c r="H662" i="31"/>
  <c r="K664" i="31"/>
  <c r="B664" i="31"/>
  <c r="C664" i="31"/>
  <c r="A665" i="31"/>
  <c r="C663" i="31"/>
  <c r="F663" i="31"/>
  <c r="G663" i="31"/>
  <c r="A666" i="31"/>
  <c r="K665" i="31"/>
  <c r="B665" i="31"/>
  <c r="C665" i="31"/>
  <c r="D664" i="31"/>
  <c r="F664" i="31"/>
  <c r="G664" i="31"/>
  <c r="H663" i="31"/>
  <c r="I663" i="31"/>
  <c r="J663" i="31"/>
  <c r="D663" i="31"/>
  <c r="E666" i="31"/>
  <c r="E667" i="31"/>
  <c r="D665" i="31"/>
  <c r="F665" i="31"/>
  <c r="G665" i="31"/>
  <c r="H664" i="31"/>
  <c r="I664" i="31"/>
  <c r="J664" i="31"/>
  <c r="K666" i="31"/>
  <c r="A667" i="31"/>
  <c r="B666" i="31"/>
  <c r="C666" i="31"/>
  <c r="F666" i="31"/>
  <c r="G666" i="31"/>
  <c r="D666" i="31"/>
  <c r="B667" i="31"/>
  <c r="K667" i="31"/>
  <c r="A668" i="31"/>
  <c r="E668" i="31"/>
  <c r="E669" i="31"/>
  <c r="I665" i="31"/>
  <c r="J665" i="31"/>
  <c r="H665" i="31"/>
  <c r="A669" i="31"/>
  <c r="B668" i="31"/>
  <c r="K668" i="31"/>
  <c r="C667" i="31"/>
  <c r="F667" i="31"/>
  <c r="G667" i="31"/>
  <c r="D667" i="31"/>
  <c r="I666" i="31"/>
  <c r="H666" i="31"/>
  <c r="I667" i="31"/>
  <c r="H667" i="31"/>
  <c r="J666" i="31"/>
  <c r="C668" i="31"/>
  <c r="F668" i="31"/>
  <c r="G668" i="31"/>
  <c r="D668" i="31"/>
  <c r="E670" i="31"/>
  <c r="K669" i="31"/>
  <c r="B669" i="31"/>
  <c r="A670" i="31"/>
  <c r="E671" i="31"/>
  <c r="B670" i="31"/>
  <c r="C670" i="31"/>
  <c r="K670" i="31"/>
  <c r="A671" i="31"/>
  <c r="C669" i="31"/>
  <c r="F669" i="31"/>
  <c r="G669" i="31"/>
  <c r="D669" i="31"/>
  <c r="I668" i="31"/>
  <c r="J668" i="31"/>
  <c r="H668" i="31"/>
  <c r="J667" i="31"/>
  <c r="H669" i="31"/>
  <c r="I669" i="31"/>
  <c r="J669" i="31"/>
  <c r="K671" i="31"/>
  <c r="A672" i="31"/>
  <c r="B671" i="31"/>
  <c r="D670" i="31"/>
  <c r="G670" i="31"/>
  <c r="F670" i="31"/>
  <c r="E672" i="31"/>
  <c r="E673" i="31"/>
  <c r="I670" i="31"/>
  <c r="H670" i="31"/>
  <c r="B672" i="31"/>
  <c r="A673" i="31"/>
  <c r="K672" i="31"/>
  <c r="C671" i="31"/>
  <c r="F671" i="31"/>
  <c r="G671" i="31"/>
  <c r="I671" i="31"/>
  <c r="H671" i="31"/>
  <c r="D671" i="31"/>
  <c r="E674" i="31"/>
  <c r="B673" i="31"/>
  <c r="K673" i="31"/>
  <c r="A674" i="31"/>
  <c r="C672" i="31"/>
  <c r="F672" i="31"/>
  <c r="G672" i="31"/>
  <c r="J670" i="31"/>
  <c r="D672" i="31"/>
  <c r="C673" i="31"/>
  <c r="F673" i="31"/>
  <c r="G673" i="31"/>
  <c r="D673" i="31"/>
  <c r="I672" i="31"/>
  <c r="H672" i="31"/>
  <c r="B674" i="31"/>
  <c r="K674" i="31"/>
  <c r="A675" i="31"/>
  <c r="E675" i="31"/>
  <c r="E676" i="31"/>
  <c r="J671" i="31"/>
  <c r="C674" i="31"/>
  <c r="F674" i="31"/>
  <c r="G674" i="31"/>
  <c r="D674" i="31"/>
  <c r="A676" i="31"/>
  <c r="B675" i="31"/>
  <c r="C675" i="31"/>
  <c r="K675" i="31"/>
  <c r="J672" i="31"/>
  <c r="I673" i="31"/>
  <c r="J673" i="31"/>
  <c r="H673" i="31"/>
  <c r="D675" i="31"/>
  <c r="F675" i="31"/>
  <c r="G675" i="31"/>
  <c r="A677" i="31"/>
  <c r="K676" i="31"/>
  <c r="B676" i="31"/>
  <c r="H674" i="31"/>
  <c r="I674" i="31"/>
  <c r="J674" i="31"/>
  <c r="E677" i="31"/>
  <c r="C676" i="31"/>
  <c r="F676" i="31"/>
  <c r="G676" i="31"/>
  <c r="D676" i="31"/>
  <c r="E678" i="31"/>
  <c r="K677" i="31"/>
  <c r="B677" i="31"/>
  <c r="A678" i="31"/>
  <c r="I675" i="31"/>
  <c r="H675" i="31"/>
  <c r="A679" i="31"/>
  <c r="B678" i="31"/>
  <c r="K678" i="31"/>
  <c r="J675" i="31"/>
  <c r="C677" i="31"/>
  <c r="F677" i="31"/>
  <c r="G677" i="31"/>
  <c r="E679" i="31"/>
  <c r="E680" i="31"/>
  <c r="I676" i="31"/>
  <c r="J676" i="31"/>
  <c r="H676" i="31"/>
  <c r="H677" i="31"/>
  <c r="I677" i="31"/>
  <c r="J677" i="31"/>
  <c r="D677" i="31"/>
  <c r="C678" i="31"/>
  <c r="F678" i="31"/>
  <c r="G678" i="31"/>
  <c r="D678" i="31"/>
  <c r="K679" i="31"/>
  <c r="B679" i="31"/>
  <c r="A680" i="31"/>
  <c r="B680" i="31"/>
  <c r="C680" i="31"/>
  <c r="A681" i="31"/>
  <c r="K680" i="31"/>
  <c r="C679" i="31"/>
  <c r="F679" i="31"/>
  <c r="G679" i="31"/>
  <c r="D679" i="31"/>
  <c r="I678" i="31"/>
  <c r="J678" i="31"/>
  <c r="H678" i="31"/>
  <c r="E681" i="31"/>
  <c r="E682" i="31"/>
  <c r="I679" i="31"/>
  <c r="H679" i="31"/>
  <c r="K681" i="31"/>
  <c r="B681" i="31"/>
  <c r="A682" i="31"/>
  <c r="D680" i="31"/>
  <c r="F680" i="31"/>
  <c r="G680" i="31"/>
  <c r="A683" i="31"/>
  <c r="K682" i="31"/>
  <c r="B682" i="31"/>
  <c r="I680" i="31"/>
  <c r="H680" i="31"/>
  <c r="C681" i="31"/>
  <c r="F681" i="31"/>
  <c r="G681" i="31"/>
  <c r="D681" i="31"/>
  <c r="J679" i="31"/>
  <c r="E683" i="31"/>
  <c r="E684" i="31"/>
  <c r="C682" i="31"/>
  <c r="F682" i="31"/>
  <c r="G682" i="31"/>
  <c r="D682" i="31"/>
  <c r="I681" i="31"/>
  <c r="H681" i="31"/>
  <c r="J680" i="31"/>
  <c r="A684" i="31"/>
  <c r="K683" i="31"/>
  <c r="B683" i="31"/>
  <c r="C683" i="31"/>
  <c r="D683" i="31"/>
  <c r="B684" i="31"/>
  <c r="K684" i="31"/>
  <c r="A685" i="31"/>
  <c r="J681" i="31"/>
  <c r="I682" i="31"/>
  <c r="H682" i="31"/>
  <c r="E685" i="31"/>
  <c r="E686" i="31"/>
  <c r="K685" i="31"/>
  <c r="A686" i="31"/>
  <c r="B685" i="31"/>
  <c r="J682" i="31"/>
  <c r="C684" i="31"/>
  <c r="F684" i="31"/>
  <c r="G684" i="31"/>
  <c r="D684" i="31"/>
  <c r="F683" i="31"/>
  <c r="G683" i="31"/>
  <c r="I683" i="31"/>
  <c r="H683" i="31"/>
  <c r="K686" i="31"/>
  <c r="B686" i="31"/>
  <c r="C686" i="31"/>
  <c r="A687" i="31"/>
  <c r="H684" i="31"/>
  <c r="I684" i="31"/>
  <c r="J684" i="31"/>
  <c r="C685" i="31"/>
  <c r="F685" i="31"/>
  <c r="G685" i="31"/>
  <c r="E687" i="31"/>
  <c r="E688" i="31"/>
  <c r="D685" i="31"/>
  <c r="D686" i="31"/>
  <c r="F686" i="31"/>
  <c r="G686" i="31"/>
  <c r="I685" i="31"/>
  <c r="J685" i="31"/>
  <c r="H685" i="31"/>
  <c r="A688" i="31"/>
  <c r="B687" i="31"/>
  <c r="C687" i="31"/>
  <c r="K687" i="31"/>
  <c r="J683" i="31"/>
  <c r="B688" i="31"/>
  <c r="C688" i="31"/>
  <c r="A689" i="31"/>
  <c r="K688" i="31"/>
  <c r="D687" i="31"/>
  <c r="F687" i="31"/>
  <c r="G687" i="31"/>
  <c r="E689" i="31"/>
  <c r="E690" i="31"/>
  <c r="I686" i="31"/>
  <c r="H686" i="31"/>
  <c r="I687" i="31"/>
  <c r="H687" i="31"/>
  <c r="J686" i="31"/>
  <c r="B689" i="31"/>
  <c r="A690" i="31"/>
  <c r="K689" i="31"/>
  <c r="D688" i="31"/>
  <c r="F688" i="31"/>
  <c r="G688" i="31"/>
  <c r="K690" i="31"/>
  <c r="B690" i="31"/>
  <c r="A691" i="31"/>
  <c r="I688" i="31"/>
  <c r="H688" i="31"/>
  <c r="C689" i="31"/>
  <c r="F689" i="31"/>
  <c r="G689" i="31"/>
  <c r="E691" i="31"/>
  <c r="E692" i="31"/>
  <c r="J687" i="31"/>
  <c r="D689" i="31"/>
  <c r="C690" i="31"/>
  <c r="F690" i="31"/>
  <c r="G690" i="31"/>
  <c r="D690" i="31"/>
  <c r="I689" i="31"/>
  <c r="J689" i="31"/>
  <c r="H689" i="31"/>
  <c r="J688" i="31"/>
  <c r="K691" i="31"/>
  <c r="B691" i="31"/>
  <c r="A692" i="31"/>
  <c r="E693" i="31"/>
  <c r="A693" i="31"/>
  <c r="B692" i="31"/>
  <c r="K692" i="31"/>
  <c r="C691" i="31"/>
  <c r="F691" i="31"/>
  <c r="G691" i="31"/>
  <c r="D691" i="31"/>
  <c r="H690" i="31"/>
  <c r="I690" i="31"/>
  <c r="J690" i="31"/>
  <c r="I691" i="31"/>
  <c r="H691" i="31"/>
  <c r="C692" i="31"/>
  <c r="F692" i="31"/>
  <c r="G692" i="31"/>
  <c r="E694" i="31"/>
  <c r="A694" i="31"/>
  <c r="B693" i="31"/>
  <c r="C693" i="31"/>
  <c r="K693" i="31"/>
  <c r="E695" i="31"/>
  <c r="D693" i="31"/>
  <c r="F693" i="31"/>
  <c r="G693" i="31"/>
  <c r="A695" i="31"/>
  <c r="K694" i="31"/>
  <c r="B694" i="31"/>
  <c r="I692" i="31"/>
  <c r="J692" i="31"/>
  <c r="H692" i="31"/>
  <c r="D692" i="31"/>
  <c r="J691" i="31"/>
  <c r="A696" i="31"/>
  <c r="K695" i="31"/>
  <c r="B695" i="31"/>
  <c r="C694" i="31"/>
  <c r="F694" i="31"/>
  <c r="G694" i="31"/>
  <c r="D694" i="31"/>
  <c r="H693" i="31"/>
  <c r="I693" i="31"/>
  <c r="J693" i="31"/>
  <c r="E696" i="31"/>
  <c r="C695" i="31"/>
  <c r="F695" i="31"/>
  <c r="G695" i="31"/>
  <c r="H694" i="31"/>
  <c r="I694" i="31"/>
  <c r="E697" i="31"/>
  <c r="B696" i="31"/>
  <c r="A697" i="31"/>
  <c r="K696" i="31"/>
  <c r="C696" i="31"/>
  <c r="D696" i="31"/>
  <c r="K697" i="31"/>
  <c r="B697" i="31"/>
  <c r="C697" i="31"/>
  <c r="A698" i="31"/>
  <c r="E698" i="31"/>
  <c r="E699" i="31"/>
  <c r="J694" i="31"/>
  <c r="I695" i="31"/>
  <c r="J695" i="31"/>
  <c r="H695" i="31"/>
  <c r="D695" i="31"/>
  <c r="D697" i="31"/>
  <c r="F697" i="31"/>
  <c r="G697" i="31"/>
  <c r="B698" i="31"/>
  <c r="A699" i="31"/>
  <c r="K698" i="31"/>
  <c r="F696" i="31"/>
  <c r="G696" i="31"/>
  <c r="I697" i="31"/>
  <c r="H697" i="31"/>
  <c r="I696" i="31"/>
  <c r="H696" i="31"/>
  <c r="B699" i="31"/>
  <c r="A700" i="31"/>
  <c r="K699" i="31"/>
  <c r="C698" i="31"/>
  <c r="F698" i="31"/>
  <c r="G698" i="31"/>
  <c r="D698" i="31"/>
  <c r="E700" i="31"/>
  <c r="E701" i="31"/>
  <c r="H698" i="31"/>
  <c r="I698" i="31"/>
  <c r="J698" i="31"/>
  <c r="K700" i="31"/>
  <c r="B700" i="31"/>
  <c r="A701" i="31"/>
  <c r="E702" i="31"/>
  <c r="C699" i="31"/>
  <c r="J696" i="31"/>
  <c r="J697" i="31"/>
  <c r="F699" i="31"/>
  <c r="G699" i="31"/>
  <c r="D699" i="31"/>
  <c r="K701" i="31"/>
  <c r="B701" i="31"/>
  <c r="A702" i="31"/>
  <c r="C700" i="31"/>
  <c r="F700" i="31"/>
  <c r="G700" i="31"/>
  <c r="I700" i="31"/>
  <c r="J700" i="31"/>
  <c r="H700" i="31"/>
  <c r="B702" i="31"/>
  <c r="A703" i="31"/>
  <c r="K702" i="31"/>
  <c r="C701" i="31"/>
  <c r="D701" i="31"/>
  <c r="E703" i="31"/>
  <c r="E704" i="31"/>
  <c r="D700" i="31"/>
  <c r="H699" i="31"/>
  <c r="I699" i="31"/>
  <c r="J699" i="31"/>
  <c r="F701" i="31"/>
  <c r="G701" i="31"/>
  <c r="B703" i="31"/>
  <c r="A704" i="31"/>
  <c r="E705" i="31"/>
  <c r="K703" i="31"/>
  <c r="C702" i="31"/>
  <c r="F702" i="31"/>
  <c r="G702" i="31"/>
  <c r="D702" i="31"/>
  <c r="I702" i="31"/>
  <c r="H702" i="31"/>
  <c r="K704" i="31"/>
  <c r="B704" i="31"/>
  <c r="A705" i="31"/>
  <c r="C703" i="31"/>
  <c r="F703" i="31"/>
  <c r="G703" i="31"/>
  <c r="D703" i="31"/>
  <c r="I701" i="31"/>
  <c r="J701" i="31"/>
  <c r="H701" i="31"/>
  <c r="B705" i="31"/>
  <c r="K705" i="31"/>
  <c r="A706" i="31"/>
  <c r="I703" i="31"/>
  <c r="H703" i="31"/>
  <c r="C704" i="31"/>
  <c r="F704" i="31"/>
  <c r="G704" i="31"/>
  <c r="J702" i="31"/>
  <c r="E706" i="31"/>
  <c r="I704" i="31"/>
  <c r="H704" i="31"/>
  <c r="E707" i="31"/>
  <c r="B706" i="31"/>
  <c r="C706" i="31"/>
  <c r="A707" i="31"/>
  <c r="K706" i="31"/>
  <c r="D704" i="31"/>
  <c r="J703" i="31"/>
  <c r="C705" i="31"/>
  <c r="F705" i="31"/>
  <c r="G705" i="31"/>
  <c r="D705" i="31"/>
  <c r="A708" i="31"/>
  <c r="B707" i="31"/>
  <c r="K707" i="31"/>
  <c r="I705" i="31"/>
  <c r="H705" i="31"/>
  <c r="D706" i="31"/>
  <c r="F706" i="31"/>
  <c r="G706" i="31"/>
  <c r="E708" i="31"/>
  <c r="E709" i="31"/>
  <c r="J704" i="31"/>
  <c r="H706" i="31"/>
  <c r="I706" i="31"/>
  <c r="J706" i="31"/>
  <c r="J705" i="31"/>
  <c r="C707" i="31"/>
  <c r="F707" i="31"/>
  <c r="G707" i="31"/>
  <c r="D707" i="31"/>
  <c r="B708" i="31"/>
  <c r="A709" i="31"/>
  <c r="K708" i="31"/>
  <c r="C708" i="31"/>
  <c r="A710" i="31"/>
  <c r="B709" i="31"/>
  <c r="K709" i="31"/>
  <c r="I707" i="31"/>
  <c r="H707" i="31"/>
  <c r="E710" i="31"/>
  <c r="E711" i="31"/>
  <c r="J707" i="31"/>
  <c r="C709" i="31"/>
  <c r="F709" i="31"/>
  <c r="G709" i="31"/>
  <c r="A711" i="31"/>
  <c r="K710" i="31"/>
  <c r="B710" i="31"/>
  <c r="G708" i="31"/>
  <c r="F708" i="31"/>
  <c r="D708" i="31"/>
  <c r="H708" i="31"/>
  <c r="I708" i="31"/>
  <c r="J708" i="31"/>
  <c r="A712" i="31"/>
  <c r="B711" i="31"/>
  <c r="K711" i="31"/>
  <c r="D709" i="31"/>
  <c r="C710" i="31"/>
  <c r="F710" i="31"/>
  <c r="G710" i="31"/>
  <c r="H709" i="31"/>
  <c r="I709" i="31"/>
  <c r="E712" i="31"/>
  <c r="E713" i="31"/>
  <c r="I710" i="31"/>
  <c r="H710" i="31"/>
  <c r="J709" i="31"/>
  <c r="D710" i="31"/>
  <c r="C711" i="31"/>
  <c r="F711" i="31"/>
  <c r="G711" i="31"/>
  <c r="D711" i="31"/>
  <c r="K712" i="31"/>
  <c r="B712" i="31"/>
  <c r="A713" i="31"/>
  <c r="C712" i="31"/>
  <c r="D712" i="31"/>
  <c r="K713" i="31"/>
  <c r="B713" i="31"/>
  <c r="A714" i="31"/>
  <c r="I711" i="31"/>
  <c r="J711" i="31"/>
  <c r="H711" i="31"/>
  <c r="J710" i="31"/>
  <c r="E714" i="31"/>
  <c r="E715" i="31"/>
  <c r="C713" i="31"/>
  <c r="F713" i="31"/>
  <c r="G713" i="31"/>
  <c r="D713" i="31"/>
  <c r="E716" i="31"/>
  <c r="A715" i="31"/>
  <c r="B714" i="31"/>
  <c r="K714" i="31"/>
  <c r="F712" i="31"/>
  <c r="G712" i="31"/>
  <c r="I712" i="31"/>
  <c r="H712" i="31"/>
  <c r="C714" i="31"/>
  <c r="F714" i="31"/>
  <c r="G714" i="31"/>
  <c r="D714" i="31"/>
  <c r="A716" i="31"/>
  <c r="B715" i="31"/>
  <c r="K715" i="31"/>
  <c r="I713" i="31"/>
  <c r="H713" i="31"/>
  <c r="C715" i="31"/>
  <c r="D715" i="31"/>
  <c r="K716" i="31"/>
  <c r="B716" i="31"/>
  <c r="A717" i="31"/>
  <c r="J713" i="31"/>
  <c r="I714" i="31"/>
  <c r="H714" i="31"/>
  <c r="E717" i="31"/>
  <c r="J712" i="31"/>
  <c r="C716" i="31"/>
  <c r="F716" i="31"/>
  <c r="G716" i="31"/>
  <c r="D716" i="31"/>
  <c r="J714" i="31"/>
  <c r="E718" i="31"/>
  <c r="A718" i="31"/>
  <c r="K717" i="31"/>
  <c r="B717" i="31"/>
  <c r="F715" i="31"/>
  <c r="G715" i="31"/>
  <c r="E719" i="31"/>
  <c r="H715" i="31"/>
  <c r="I715" i="31"/>
  <c r="J715" i="31"/>
  <c r="C717" i="31"/>
  <c r="F717" i="31"/>
  <c r="G717" i="31"/>
  <c r="D717" i="31"/>
  <c r="B718" i="31"/>
  <c r="C718" i="31"/>
  <c r="A719" i="31"/>
  <c r="K718" i="31"/>
  <c r="I716" i="31"/>
  <c r="H716" i="31"/>
  <c r="D718" i="31"/>
  <c r="F718" i="31"/>
  <c r="G718" i="31"/>
  <c r="J716" i="31"/>
  <c r="B719" i="31"/>
  <c r="A720" i="31"/>
  <c r="K719" i="31"/>
  <c r="I717" i="31"/>
  <c r="H717" i="31"/>
  <c r="E720" i="31"/>
  <c r="J717" i="31"/>
  <c r="E721" i="31"/>
  <c r="A721" i="31"/>
  <c r="K720" i="31"/>
  <c r="B720" i="31"/>
  <c r="C719" i="31"/>
  <c r="I718" i="31"/>
  <c r="J718" i="31"/>
  <c r="H718" i="31"/>
  <c r="F719" i="31"/>
  <c r="G719" i="31"/>
  <c r="C720" i="31"/>
  <c r="F720" i="31"/>
  <c r="G720" i="31"/>
  <c r="D720" i="31"/>
  <c r="E722" i="31"/>
  <c r="B721" i="31"/>
  <c r="A722" i="31"/>
  <c r="K721" i="31"/>
  <c r="D719" i="31"/>
  <c r="I719" i="31"/>
  <c r="H719" i="31"/>
  <c r="E723" i="31"/>
  <c r="B722" i="31"/>
  <c r="K722" i="31"/>
  <c r="A723" i="31"/>
  <c r="C721" i="31"/>
  <c r="F721" i="31"/>
  <c r="G721" i="31"/>
  <c r="I720" i="31"/>
  <c r="H720" i="31"/>
  <c r="C722" i="31"/>
  <c r="F722" i="31"/>
  <c r="G722" i="31"/>
  <c r="D722" i="31"/>
  <c r="I721" i="31"/>
  <c r="H721" i="31"/>
  <c r="K723" i="31"/>
  <c r="B723" i="31"/>
  <c r="A724" i="31"/>
  <c r="J720" i="31"/>
  <c r="D721" i="31"/>
  <c r="E724" i="31"/>
  <c r="E725" i="31"/>
  <c r="J719" i="31"/>
  <c r="C723" i="31"/>
  <c r="D723" i="31"/>
  <c r="B724" i="31"/>
  <c r="A725" i="31"/>
  <c r="K724" i="31"/>
  <c r="J721" i="31"/>
  <c r="I722" i="31"/>
  <c r="J722" i="31"/>
  <c r="H722" i="31"/>
  <c r="B725" i="31"/>
  <c r="C725" i="31"/>
  <c r="K725" i="31"/>
  <c r="A726" i="31"/>
  <c r="C724" i="31"/>
  <c r="F724" i="31"/>
  <c r="G724" i="31"/>
  <c r="F723" i="31"/>
  <c r="G723" i="31"/>
  <c r="E726" i="31"/>
  <c r="E727" i="31"/>
  <c r="I723" i="31"/>
  <c r="H723" i="31"/>
  <c r="I724" i="31"/>
  <c r="H724" i="31"/>
  <c r="B726" i="31"/>
  <c r="C726" i="31"/>
  <c r="K726" i="31"/>
  <c r="A727" i="31"/>
  <c r="E728" i="31"/>
  <c r="D724" i="31"/>
  <c r="D725" i="31"/>
  <c r="F725" i="31"/>
  <c r="G725" i="31"/>
  <c r="D726" i="31"/>
  <c r="F726" i="31"/>
  <c r="G726" i="31"/>
  <c r="H725" i="31"/>
  <c r="I725" i="31"/>
  <c r="J725" i="31"/>
  <c r="A728" i="31"/>
  <c r="K727" i="31"/>
  <c r="B727" i="31"/>
  <c r="C727" i="31"/>
  <c r="J724" i="31"/>
  <c r="J723" i="31"/>
  <c r="D727" i="31"/>
  <c r="F727" i="31"/>
  <c r="G727" i="31"/>
  <c r="B728" i="31"/>
  <c r="C728" i="31"/>
  <c r="A729" i="31"/>
  <c r="K728" i="31"/>
  <c r="I726" i="31"/>
  <c r="H726" i="31"/>
  <c r="E729" i="31"/>
  <c r="E730" i="31"/>
  <c r="J726" i="31"/>
  <c r="D728" i="31"/>
  <c r="F728" i="31"/>
  <c r="G728" i="31"/>
  <c r="K729" i="31"/>
  <c r="B729" i="31"/>
  <c r="A730" i="31"/>
  <c r="I727" i="31"/>
  <c r="H727" i="31"/>
  <c r="J727" i="31"/>
  <c r="E731" i="31"/>
  <c r="K730" i="31"/>
  <c r="B730" i="31"/>
  <c r="A731" i="31"/>
  <c r="C729" i="31"/>
  <c r="F729" i="31"/>
  <c r="G729" i="31"/>
  <c r="D729" i="31"/>
  <c r="H728" i="31"/>
  <c r="I728" i="31"/>
  <c r="J728" i="31"/>
  <c r="I729" i="31"/>
  <c r="H729" i="31"/>
  <c r="C730" i="31"/>
  <c r="F730" i="31"/>
  <c r="G730" i="31"/>
  <c r="D730" i="31"/>
  <c r="E732" i="31"/>
  <c r="E733" i="31"/>
  <c r="A732" i="31"/>
  <c r="B731" i="31"/>
  <c r="K731" i="31"/>
  <c r="B732" i="31"/>
  <c r="K732" i="31"/>
  <c r="A733" i="31"/>
  <c r="C731" i="31"/>
  <c r="D731" i="31"/>
  <c r="H730" i="31"/>
  <c r="I730" i="31"/>
  <c r="J729" i="31"/>
  <c r="F731" i="31"/>
  <c r="G731" i="31"/>
  <c r="A734" i="31"/>
  <c r="K733" i="31"/>
  <c r="B733" i="31"/>
  <c r="J730" i="31"/>
  <c r="C732" i="31"/>
  <c r="F732" i="31"/>
  <c r="G732" i="31"/>
  <c r="E734" i="31"/>
  <c r="D732" i="31"/>
  <c r="E735" i="31"/>
  <c r="A735" i="31"/>
  <c r="K734" i="31"/>
  <c r="B734" i="31"/>
  <c r="H732" i="31"/>
  <c r="I732" i="31"/>
  <c r="C733" i="31"/>
  <c r="F733" i="31"/>
  <c r="G733" i="31"/>
  <c r="D733" i="31"/>
  <c r="H731" i="31"/>
  <c r="I731" i="31"/>
  <c r="J731" i="31"/>
  <c r="J732" i="31"/>
  <c r="C734" i="31"/>
  <c r="F734" i="31"/>
  <c r="G734" i="31"/>
  <c r="D734" i="31"/>
  <c r="A736" i="31"/>
  <c r="K735" i="31"/>
  <c r="B735" i="31"/>
  <c r="C735" i="31"/>
  <c r="I733" i="31"/>
  <c r="H733" i="31"/>
  <c r="E736" i="31"/>
  <c r="E737" i="31"/>
  <c r="D735" i="31"/>
  <c r="F735" i="31"/>
  <c r="G735" i="31"/>
  <c r="A737" i="31"/>
  <c r="K736" i="31"/>
  <c r="B736" i="31"/>
  <c r="C736" i="31"/>
  <c r="J733" i="31"/>
  <c r="I734" i="31"/>
  <c r="J734" i="31"/>
  <c r="H734" i="31"/>
  <c r="E738" i="31"/>
  <c r="K737" i="31"/>
  <c r="B737" i="31"/>
  <c r="A738" i="31"/>
  <c r="D736" i="31"/>
  <c r="F736" i="31"/>
  <c r="G736" i="31"/>
  <c r="H735" i="31"/>
  <c r="I735" i="31"/>
  <c r="I736" i="31"/>
  <c r="H736" i="31"/>
  <c r="J735" i="31"/>
  <c r="B738" i="31"/>
  <c r="C738" i="31"/>
  <c r="A739" i="31"/>
  <c r="K738" i="31"/>
  <c r="C737" i="31"/>
  <c r="E739" i="31"/>
  <c r="E740" i="31"/>
  <c r="G737" i="31"/>
  <c r="F737" i="31"/>
  <c r="D738" i="31"/>
  <c r="G738" i="31"/>
  <c r="F738" i="31"/>
  <c r="D737" i="31"/>
  <c r="A740" i="31"/>
  <c r="K739" i="31"/>
  <c r="B739" i="31"/>
  <c r="J736" i="31"/>
  <c r="C739" i="31"/>
  <c r="D739" i="31"/>
  <c r="H738" i="31"/>
  <c r="I738" i="31"/>
  <c r="J738" i="31"/>
  <c r="I737" i="31"/>
  <c r="J737" i="31"/>
  <c r="H737" i="31"/>
  <c r="B740" i="31"/>
  <c r="C740" i="31"/>
  <c r="A741" i="31"/>
  <c r="K740" i="31"/>
  <c r="E741" i="31"/>
  <c r="E742" i="31"/>
  <c r="A742" i="31"/>
  <c r="B741" i="31"/>
  <c r="C741" i="31"/>
  <c r="K741" i="31"/>
  <c r="D740" i="31"/>
  <c r="G740" i="31"/>
  <c r="F740" i="31"/>
  <c r="F739" i="31"/>
  <c r="G739" i="31"/>
  <c r="A743" i="31"/>
  <c r="K742" i="31"/>
  <c r="B742" i="31"/>
  <c r="C742" i="31"/>
  <c r="I739" i="31"/>
  <c r="H739" i="31"/>
  <c r="I740" i="31"/>
  <c r="J740" i="31"/>
  <c r="H740" i="31"/>
  <c r="D741" i="31"/>
  <c r="G741" i="31"/>
  <c r="F741" i="31"/>
  <c r="E743" i="31"/>
  <c r="E744" i="31"/>
  <c r="H741" i="31"/>
  <c r="I741" i="31"/>
  <c r="J741" i="31"/>
  <c r="D742" i="31"/>
  <c r="G742" i="31"/>
  <c r="F742" i="31"/>
  <c r="J739" i="31"/>
  <c r="A744" i="31"/>
  <c r="K743" i="31"/>
  <c r="B743" i="31"/>
  <c r="C743" i="31"/>
  <c r="D743" i="31"/>
  <c r="G743" i="31"/>
  <c r="F743" i="31"/>
  <c r="B744" i="31"/>
  <c r="K744" i="31"/>
  <c r="A745" i="31"/>
  <c r="I742" i="31"/>
  <c r="J742" i="31"/>
  <c r="H742" i="31"/>
  <c r="E745" i="31"/>
  <c r="E746" i="31"/>
  <c r="K745" i="31"/>
  <c r="B745" i="31"/>
  <c r="A746" i="31"/>
  <c r="C744" i="31"/>
  <c r="D744" i="31"/>
  <c r="E747" i="31"/>
  <c r="I743" i="31"/>
  <c r="J743" i="31"/>
  <c r="H743" i="31"/>
  <c r="A747" i="31"/>
  <c r="K746" i="31"/>
  <c r="B746" i="31"/>
  <c r="C745" i="31"/>
  <c r="D745" i="31"/>
  <c r="E748" i="31"/>
  <c r="F744" i="31"/>
  <c r="G744" i="31"/>
  <c r="H744" i="31"/>
  <c r="I744" i="31"/>
  <c r="J744" i="31"/>
  <c r="G745" i="31"/>
  <c r="F745" i="31"/>
  <c r="C746" i="31"/>
  <c r="D746" i="31"/>
  <c r="A748" i="31"/>
  <c r="B747" i="31"/>
  <c r="K747" i="31"/>
  <c r="I745" i="31"/>
  <c r="H745" i="31"/>
  <c r="B748" i="31"/>
  <c r="A749" i="31"/>
  <c r="K748" i="31"/>
  <c r="C747" i="31"/>
  <c r="D747" i="31"/>
  <c r="G746" i="31"/>
  <c r="F746" i="31"/>
  <c r="E749" i="31"/>
  <c r="E750" i="31"/>
  <c r="C748" i="31"/>
  <c r="D748" i="31"/>
  <c r="F747" i="31"/>
  <c r="G747" i="31"/>
  <c r="A750" i="31"/>
  <c r="B749" i="31"/>
  <c r="K749" i="31"/>
  <c r="I746" i="31"/>
  <c r="H746" i="31"/>
  <c r="J745" i="31"/>
  <c r="J746" i="31"/>
  <c r="A751" i="31"/>
  <c r="K750" i="31"/>
  <c r="B750" i="31"/>
  <c r="C749" i="31"/>
  <c r="D749" i="31"/>
  <c r="I747" i="31"/>
  <c r="H747" i="31"/>
  <c r="E751" i="31"/>
  <c r="E752" i="31"/>
  <c r="G748" i="31"/>
  <c r="F748" i="31"/>
  <c r="I748" i="31"/>
  <c r="H748" i="31"/>
  <c r="J747" i="31"/>
  <c r="G749" i="31"/>
  <c r="F749" i="31"/>
  <c r="C750" i="31"/>
  <c r="D750" i="31"/>
  <c r="K751" i="31"/>
  <c r="B751" i="31"/>
  <c r="A752" i="31"/>
  <c r="E753" i="31"/>
  <c r="C751" i="31"/>
  <c r="A753" i="31"/>
  <c r="K752" i="31"/>
  <c r="B752" i="31"/>
  <c r="G750" i="31"/>
  <c r="F750" i="31"/>
  <c r="I749" i="31"/>
  <c r="J749" i="31"/>
  <c r="H749" i="31"/>
  <c r="J748" i="31"/>
  <c r="G751" i="31"/>
  <c r="F751" i="31"/>
  <c r="I750" i="31"/>
  <c r="H750" i="31"/>
  <c r="C752" i="31"/>
  <c r="D752" i="31"/>
  <c r="B753" i="31"/>
  <c r="A754" i="31"/>
  <c r="K753" i="31"/>
  <c r="D751" i="31"/>
  <c r="E754" i="31"/>
  <c r="E755" i="31"/>
  <c r="C753" i="31"/>
  <c r="D753" i="31"/>
  <c r="G752" i="31"/>
  <c r="F752" i="31"/>
  <c r="B754" i="31"/>
  <c r="A755" i="31"/>
  <c r="K754" i="31"/>
  <c r="J750" i="31"/>
  <c r="I751" i="31"/>
  <c r="H751" i="31"/>
  <c r="C754" i="31"/>
  <c r="D754" i="31"/>
  <c r="J751" i="31"/>
  <c r="B755" i="31"/>
  <c r="A756" i="31"/>
  <c r="K755" i="31"/>
  <c r="E756" i="31"/>
  <c r="E757" i="31"/>
  <c r="I752" i="31"/>
  <c r="J752" i="31"/>
  <c r="H752" i="31"/>
  <c r="G753" i="31"/>
  <c r="F753" i="31"/>
  <c r="I753" i="31"/>
  <c r="H753" i="31"/>
  <c r="C755" i="31"/>
  <c r="A757" i="31"/>
  <c r="E758" i="31"/>
  <c r="B756" i="31"/>
  <c r="K756" i="31"/>
  <c r="G754" i="31"/>
  <c r="F754" i="31"/>
  <c r="C756" i="31"/>
  <c r="G755" i="31"/>
  <c r="F755" i="31"/>
  <c r="H754" i="31"/>
  <c r="I754" i="31"/>
  <c r="J754" i="31"/>
  <c r="B757" i="31"/>
  <c r="C757" i="31"/>
  <c r="K757" i="31"/>
  <c r="A758" i="31"/>
  <c r="D755" i="31"/>
  <c r="J753" i="31"/>
  <c r="D757" i="31"/>
  <c r="G757" i="31"/>
  <c r="F757" i="31"/>
  <c r="F756" i="31"/>
  <c r="G756" i="31"/>
  <c r="B758" i="31"/>
  <c r="A759" i="31"/>
  <c r="K758" i="31"/>
  <c r="H755" i="31"/>
  <c r="I755" i="31"/>
  <c r="J755" i="31"/>
  <c r="D756" i="31"/>
  <c r="E759" i="31"/>
  <c r="E760" i="31"/>
  <c r="C758" i="31"/>
  <c r="D758" i="31"/>
  <c r="I756" i="31"/>
  <c r="J756" i="31"/>
  <c r="H756" i="31"/>
  <c r="A760" i="31"/>
  <c r="K759" i="31"/>
  <c r="B759" i="31"/>
  <c r="H757" i="31"/>
  <c r="I757" i="31"/>
  <c r="E761" i="31"/>
  <c r="B760" i="31"/>
  <c r="A761" i="31"/>
  <c r="K760" i="31"/>
  <c r="J757" i="31"/>
  <c r="C759" i="31"/>
  <c r="G758" i="31"/>
  <c r="F758" i="31"/>
  <c r="G759" i="31"/>
  <c r="F759" i="31"/>
  <c r="I758" i="31"/>
  <c r="H758" i="31"/>
  <c r="D759" i="31"/>
  <c r="K761" i="31"/>
  <c r="A762" i="31"/>
  <c r="B761" i="31"/>
  <c r="C760" i="31"/>
  <c r="E762" i="31"/>
  <c r="E763" i="31"/>
  <c r="F760" i="31"/>
  <c r="G760" i="31"/>
  <c r="D760" i="31"/>
  <c r="C761" i="31"/>
  <c r="D761" i="31"/>
  <c r="A763" i="31"/>
  <c r="B762" i="31"/>
  <c r="K762" i="31"/>
  <c r="J758" i="31"/>
  <c r="H759" i="31"/>
  <c r="I759" i="31"/>
  <c r="J759" i="31"/>
  <c r="C762" i="31"/>
  <c r="D762" i="31"/>
  <c r="B763" i="31"/>
  <c r="K763" i="31"/>
  <c r="A764" i="31"/>
  <c r="G761" i="31"/>
  <c r="F761" i="31"/>
  <c r="E764" i="31"/>
  <c r="E765" i="31"/>
  <c r="H760" i="31"/>
  <c r="I760" i="31"/>
  <c r="J760" i="31"/>
  <c r="K764" i="31"/>
  <c r="B764" i="31"/>
  <c r="A765" i="31"/>
  <c r="H761" i="31"/>
  <c r="I761" i="31"/>
  <c r="J761" i="31"/>
  <c r="C763" i="31"/>
  <c r="G762" i="31"/>
  <c r="F762" i="31"/>
  <c r="G763" i="31"/>
  <c r="F763" i="31"/>
  <c r="A766" i="31"/>
  <c r="B765" i="31"/>
  <c r="K765" i="31"/>
  <c r="I762" i="31"/>
  <c r="J762" i="31"/>
  <c r="H762" i="31"/>
  <c r="D763" i="31"/>
  <c r="E766" i="31"/>
  <c r="C764" i="31"/>
  <c r="D764" i="31"/>
  <c r="C765" i="31"/>
  <c r="D765" i="31"/>
  <c r="G764" i="31"/>
  <c r="F764" i="31"/>
  <c r="E767" i="31"/>
  <c r="B766" i="31"/>
  <c r="K766" i="31"/>
  <c r="A767" i="31"/>
  <c r="I763" i="31"/>
  <c r="H763" i="31"/>
  <c r="C766" i="31"/>
  <c r="D766" i="31"/>
  <c r="J763" i="31"/>
  <c r="B767" i="31"/>
  <c r="A768" i="31"/>
  <c r="K767" i="31"/>
  <c r="E768" i="31"/>
  <c r="E769" i="31"/>
  <c r="H764" i="31"/>
  <c r="I764" i="31"/>
  <c r="J764" i="31"/>
  <c r="G765" i="31"/>
  <c r="F765" i="31"/>
  <c r="H765" i="31"/>
  <c r="I765" i="31"/>
  <c r="J765" i="31"/>
  <c r="C767" i="31"/>
  <c r="D767" i="31"/>
  <c r="K768" i="31"/>
  <c r="A769" i="31"/>
  <c r="B768" i="31"/>
  <c r="F766" i="31"/>
  <c r="G766" i="31"/>
  <c r="A770" i="31"/>
  <c r="B769" i="31"/>
  <c r="K769" i="31"/>
  <c r="C768" i="31"/>
  <c r="I766" i="31"/>
  <c r="H766" i="31"/>
  <c r="G767" i="31"/>
  <c r="F767" i="31"/>
  <c r="E770" i="31"/>
  <c r="E771" i="31"/>
  <c r="G768" i="31"/>
  <c r="F768" i="31"/>
  <c r="H767" i="31"/>
  <c r="I767" i="31"/>
  <c r="J767" i="31"/>
  <c r="J766" i="31"/>
  <c r="D768" i="31"/>
  <c r="C769" i="31"/>
  <c r="D769" i="31"/>
  <c r="B770" i="31"/>
  <c r="A771" i="31"/>
  <c r="K770" i="31"/>
  <c r="A772" i="31"/>
  <c r="B771" i="31"/>
  <c r="K771" i="31"/>
  <c r="C770" i="31"/>
  <c r="D770" i="31"/>
  <c r="G769" i="31"/>
  <c r="F769" i="31"/>
  <c r="E772" i="31"/>
  <c r="E773" i="31"/>
  <c r="I768" i="31"/>
  <c r="H768" i="31"/>
  <c r="J768" i="31"/>
  <c r="G770" i="31"/>
  <c r="F770" i="31"/>
  <c r="I769" i="31"/>
  <c r="H769" i="31"/>
  <c r="C771" i="31"/>
  <c r="D771" i="31"/>
  <c r="B772" i="31"/>
  <c r="K772" i="31"/>
  <c r="A773" i="31"/>
  <c r="E774" i="31"/>
  <c r="B773" i="31"/>
  <c r="K773" i="31"/>
  <c r="A774" i="31"/>
  <c r="C772" i="31"/>
  <c r="D772" i="31"/>
  <c r="F771" i="31"/>
  <c r="G771" i="31"/>
  <c r="J769" i="31"/>
  <c r="H770" i="31"/>
  <c r="I770" i="31"/>
  <c r="J770" i="31"/>
  <c r="I771" i="31"/>
  <c r="H771" i="31"/>
  <c r="A775" i="31"/>
  <c r="K774" i="31"/>
  <c r="B774" i="31"/>
  <c r="F772" i="31"/>
  <c r="G772" i="31"/>
  <c r="C773" i="31"/>
  <c r="D773" i="31"/>
  <c r="E775" i="31"/>
  <c r="E776" i="31"/>
  <c r="C774" i="31"/>
  <c r="D774" i="31"/>
  <c r="I772" i="31"/>
  <c r="H772" i="31"/>
  <c r="F773" i="31"/>
  <c r="G773" i="31"/>
  <c r="B775" i="31"/>
  <c r="A776" i="31"/>
  <c r="K775" i="31"/>
  <c r="J771" i="31"/>
  <c r="K776" i="31"/>
  <c r="B776" i="31"/>
  <c r="C775" i="31"/>
  <c r="H773" i="31"/>
  <c r="I773" i="31"/>
  <c r="J773" i="31"/>
  <c r="J772" i="31"/>
  <c r="G774" i="31"/>
  <c r="F774" i="31"/>
  <c r="G775" i="31"/>
  <c r="F775" i="31"/>
  <c r="I774" i="31"/>
  <c r="H774" i="31"/>
  <c r="D775" i="31"/>
  <c r="C776" i="31"/>
  <c r="D776" i="31"/>
  <c r="F776" i="31"/>
  <c r="G776" i="31"/>
  <c r="J774" i="31"/>
  <c r="I775" i="31"/>
  <c r="H775" i="31"/>
  <c r="J775" i="31"/>
  <c r="I776" i="31"/>
  <c r="H776" i="31"/>
  <c r="J776" i="31"/>
  <c r="I85" i="33"/>
  <c r="I81" i="33"/>
  <c r="I105" i="33"/>
  <c r="I116" i="33"/>
  <c r="I113" i="33"/>
  <c r="I112" i="33"/>
  <c r="I109" i="33"/>
  <c r="I90" i="33"/>
  <c r="I103" i="33"/>
  <c r="I86" i="33"/>
  <c r="I102" i="33"/>
  <c r="I91" i="33"/>
  <c r="I99" i="33"/>
  <c r="I107" i="33"/>
  <c r="I100" i="33"/>
  <c r="I110" i="33"/>
  <c r="I117" i="33"/>
  <c r="I118" i="33"/>
  <c r="I89" i="33"/>
  <c r="I87" i="33"/>
  <c r="I106" i="33"/>
  <c r="I98" i="33"/>
  <c r="I92" i="33"/>
  <c r="I101" i="33"/>
  <c r="I120" i="33"/>
  <c r="I104" i="33"/>
  <c r="I88" i="33"/>
  <c r="I108" i="33"/>
  <c r="I111" i="33"/>
  <c r="I96" i="33"/>
  <c r="I82" i="33"/>
  <c r="I97" i="33"/>
  <c r="I115" i="33"/>
  <c r="I119" i="33"/>
  <c r="I93" i="33"/>
  <c r="I95" i="33"/>
  <c r="I94" i="33"/>
  <c r="I114" i="33"/>
  <c r="I83" i="33"/>
  <c r="I84" i="33"/>
  <c r="U21" i="34"/>
  <c r="U10" i="34"/>
  <c r="U18" i="34"/>
  <c r="U15" i="34"/>
  <c r="J34" i="34"/>
  <c r="N34" i="34"/>
  <c r="U19" i="34"/>
  <c r="U6" i="34"/>
  <c r="U7" i="34"/>
  <c r="U14" i="34"/>
  <c r="U12" i="34"/>
  <c r="U13" i="34"/>
  <c r="U9" i="34"/>
  <c r="U5" i="34"/>
  <c r="U16" i="34"/>
  <c r="U8" i="34"/>
  <c r="U17" i="34"/>
  <c r="U11" i="34"/>
  <c r="J38" i="34"/>
  <c r="N38" i="34"/>
  <c r="U4" i="34"/>
  <c r="J24" i="34"/>
  <c r="N24" i="34"/>
  <c r="U20" i="34"/>
  <c r="AC6" i="34"/>
  <c r="AB9" i="34"/>
  <c r="AC9" i="34"/>
  <c r="AB10" i="34"/>
  <c r="AB6" i="34"/>
  <c r="AC10" i="34"/>
  <c r="AC3" i="34"/>
  <c r="AB4" i="34"/>
  <c r="AC4" i="34"/>
  <c r="AB5" i="34"/>
  <c r="AC5" i="34"/>
  <c r="AB7" i="34"/>
  <c r="AC7" i="34"/>
  <c r="AB8" i="34"/>
  <c r="AC8" i="34"/>
  <c r="AB3" i="34"/>
  <c r="AB11" i="34"/>
  <c r="AC11" i="34"/>
  <c r="J37" i="34"/>
  <c r="N37" i="34"/>
  <c r="J36" i="34"/>
  <c r="N36" i="34"/>
  <c r="J35" i="34"/>
  <c r="N35" i="34"/>
  <c r="J26" i="34"/>
  <c r="N26" i="34"/>
  <c r="J30" i="34"/>
  <c r="N30" i="34"/>
  <c r="J28" i="34"/>
  <c r="N28" i="34"/>
  <c r="J25" i="34"/>
  <c r="N25" i="34"/>
  <c r="J22" i="34"/>
  <c r="N22" i="34"/>
  <c r="J20" i="34"/>
  <c r="N20" i="34"/>
  <c r="J27" i="34"/>
  <c r="N27" i="34"/>
  <c r="J29" i="34"/>
  <c r="N29" i="34"/>
  <c r="J31" i="34"/>
  <c r="N31" i="34"/>
  <c r="J23" i="34"/>
  <c r="N23" i="34"/>
  <c r="J21" i="34"/>
  <c r="N21" i="34"/>
  <c r="J33" i="34"/>
  <c r="N33" i="34"/>
  <c r="J32" i="34"/>
  <c r="N32" i="34"/>
  <c r="AE9" i="34"/>
  <c r="AF10" i="34"/>
  <c r="AF9" i="34"/>
  <c r="AD9" i="34"/>
  <c r="AD6" i="34"/>
  <c r="AE4" i="34"/>
  <c r="AD10" i="34"/>
  <c r="AD11" i="34"/>
  <c r="AD4" i="34"/>
  <c r="AE5" i="34"/>
  <c r="AD7" i="34"/>
  <c r="AE7" i="34"/>
  <c r="AE10" i="34"/>
  <c r="AD3" i="34"/>
  <c r="AE3" i="34"/>
  <c r="AE8" i="34"/>
  <c r="AF11" i="34"/>
  <c r="AE11" i="34"/>
  <c r="AD5" i="34"/>
  <c r="AE6" i="34"/>
  <c r="AF3" i="34"/>
  <c r="AF4" i="34"/>
  <c r="AF5" i="34"/>
  <c r="AF6" i="34"/>
  <c r="AF7" i="34"/>
  <c r="AF8" i="34"/>
  <c r="AD8" i="34"/>
  <c r="H2644" i="2"/>
  <c r="J2644" i="2"/>
  <c r="K2644" i="2"/>
  <c r="H2603" i="2"/>
  <c r="H2604" i="2"/>
  <c r="I2604" i="2"/>
  <c r="H2583" i="2"/>
  <c r="I2543" i="2"/>
  <c r="H2543" i="2"/>
  <c r="H2526" i="2"/>
  <c r="I2495" i="2"/>
  <c r="J2520" i="2"/>
  <c r="K2520" i="2"/>
  <c r="I2415" i="2"/>
  <c r="J2447" i="2"/>
  <c r="K2447" i="2"/>
  <c r="I2462" i="2"/>
  <c r="H2422" i="2"/>
  <c r="I2413" i="2"/>
  <c r="J2414" i="2"/>
  <c r="K2414" i="2"/>
  <c r="J2158" i="2"/>
  <c r="K2158" i="2"/>
  <c r="H121" i="2"/>
  <c r="J2106" i="2"/>
  <c r="K2106" i="2"/>
  <c r="I958" i="2"/>
  <c r="J220" i="2"/>
  <c r="K220" i="2"/>
  <c r="H2090" i="2"/>
  <c r="J2375" i="2"/>
  <c r="K2375" i="2"/>
  <c r="AD1651" i="2"/>
  <c r="AD1655" i="2"/>
  <c r="I2076" i="2"/>
  <c r="J2076" i="2"/>
  <c r="K2076" i="2"/>
  <c r="J57" i="2"/>
  <c r="K57" i="2"/>
  <c r="H93" i="2"/>
  <c r="I2212" i="2"/>
  <c r="J2212" i="2"/>
  <c r="K2212" i="2"/>
  <c r="I757" i="2"/>
  <c r="I2161" i="2"/>
  <c r="H217" i="2"/>
  <c r="H762" i="2"/>
  <c r="H2266" i="2"/>
  <c r="AD1643" i="2"/>
  <c r="AD1653" i="2"/>
  <c r="J830" i="2"/>
  <c r="K830" i="2"/>
  <c r="AD1659" i="2"/>
  <c r="J2168" i="2"/>
  <c r="K2168" i="2"/>
  <c r="AD1627" i="2"/>
  <c r="J195" i="2"/>
  <c r="K195" i="2"/>
  <c r="H377" i="2"/>
  <c r="F73" i="30"/>
  <c r="F52" i="30"/>
  <c r="F69" i="30"/>
  <c r="K2643" i="2"/>
  <c r="K2459" i="2"/>
  <c r="H757" i="2"/>
  <c r="J55" i="2"/>
  <c r="K55" i="2"/>
  <c r="I502" i="2"/>
  <c r="H1433" i="2"/>
  <c r="J215" i="2"/>
  <c r="K215" i="2"/>
  <c r="I215" i="2"/>
  <c r="H612" i="2"/>
  <c r="I23" i="2"/>
  <c r="I1098" i="2"/>
  <c r="J332" i="2"/>
  <c r="K332" i="2"/>
  <c r="I108" i="2"/>
  <c r="H1340" i="2"/>
  <c r="N2794" i="2"/>
  <c r="N2767" i="2"/>
  <c r="N2768" i="2"/>
  <c r="N2769" i="2"/>
  <c r="N2803" i="2"/>
  <c r="N2772" i="2"/>
  <c r="N2777" i="2"/>
  <c r="N2765" i="2"/>
  <c r="N2799" i="2"/>
  <c r="N2782" i="2"/>
  <c r="N2785" i="2"/>
  <c r="N2797" i="2"/>
  <c r="N2770" i="2"/>
  <c r="N2776" i="2"/>
  <c r="N2784" i="2"/>
  <c r="N2798" i="2"/>
  <c r="N2800" i="2"/>
  <c r="N2801" i="2"/>
  <c r="N2778" i="2"/>
  <c r="N2779" i="2"/>
  <c r="N2780" i="2"/>
  <c r="N2781" i="2"/>
  <c r="N2775" i="2"/>
  <c r="N2766" i="2"/>
  <c r="N2771" i="2"/>
  <c r="N2796" i="2"/>
  <c r="N2802" i="2"/>
  <c r="N2786" i="2"/>
  <c r="N2774" i="2"/>
  <c r="N2783" i="2"/>
  <c r="N2773" i="2"/>
  <c r="N2791" i="2"/>
  <c r="N2788" i="2"/>
  <c r="N2792" i="2"/>
  <c r="N2789" i="2"/>
  <c r="N2795" i="2"/>
  <c r="N2793" i="2"/>
  <c r="N2790" i="2"/>
  <c r="N2787" i="2"/>
  <c r="I970" i="2"/>
  <c r="H2630" i="2"/>
  <c r="H2631" i="2"/>
  <c r="AD1628" i="2"/>
  <c r="AD1629" i="2"/>
  <c r="H213" i="2"/>
  <c r="I1264" i="2"/>
  <c r="H1264" i="2"/>
  <c r="AD1634" i="2"/>
  <c r="H1291" i="2"/>
  <c r="J277" i="2"/>
  <c r="K277" i="2"/>
  <c r="AD1633" i="2"/>
  <c r="AD1638" i="2"/>
  <c r="AD1647" i="2"/>
  <c r="I1246" i="2"/>
  <c r="AD1641" i="2"/>
  <c r="AD1632" i="2"/>
  <c r="I436" i="2"/>
  <c r="I497" i="2"/>
  <c r="AD1631" i="2"/>
  <c r="AD1636" i="2"/>
  <c r="H436" i="2"/>
  <c r="J989" i="2"/>
  <c r="K989" i="2"/>
  <c r="I555" i="2"/>
  <c r="J31" i="2"/>
  <c r="K31" i="2"/>
  <c r="J245" i="2"/>
  <c r="K245" i="2"/>
  <c r="H64" i="2"/>
  <c r="H31" i="2"/>
  <c r="J64" i="2"/>
  <c r="K64" i="2"/>
  <c r="I242" i="2"/>
  <c r="H2270" i="2"/>
  <c r="H913" i="2"/>
  <c r="J2409" i="2"/>
  <c r="K2409" i="2"/>
  <c r="J657" i="2"/>
  <c r="K657" i="2"/>
  <c r="H370" i="2"/>
  <c r="I2270" i="2"/>
  <c r="I370" i="2"/>
  <c r="H2130" i="2"/>
  <c r="H2542" i="2"/>
  <c r="I2167" i="2"/>
  <c r="I799" i="2"/>
  <c r="I2542" i="2"/>
  <c r="J2104" i="2"/>
  <c r="K2104" i="2"/>
  <c r="J250" i="2"/>
  <c r="K250" i="2"/>
  <c r="H200" i="2"/>
  <c r="I2409" i="2"/>
  <c r="I913" i="2"/>
  <c r="H657" i="2"/>
  <c r="J799" i="2"/>
  <c r="K799" i="2"/>
  <c r="J1136" i="2"/>
  <c r="K1136" i="2"/>
  <c r="J1446" i="2"/>
  <c r="K1446" i="2"/>
  <c r="J73" i="2"/>
  <c r="K73" i="2"/>
  <c r="H562" i="2"/>
  <c r="H1357" i="2"/>
  <c r="I307" i="2"/>
  <c r="H402" i="2"/>
  <c r="H1308" i="2"/>
  <c r="H22" i="2"/>
  <c r="J2444" i="2"/>
  <c r="K2444" i="2"/>
  <c r="I1136" i="2"/>
  <c r="J2408" i="2"/>
  <c r="K2408" i="2"/>
  <c r="J1005" i="2"/>
  <c r="K1005" i="2"/>
  <c r="I1084" i="2"/>
  <c r="I612" i="2"/>
  <c r="H2408" i="2"/>
  <c r="J816" i="2"/>
  <c r="K816" i="2"/>
  <c r="J2390" i="2"/>
  <c r="K2390" i="2"/>
  <c r="I655" i="2"/>
  <c r="I1308" i="2"/>
  <c r="H1478" i="2"/>
  <c r="I243" i="2"/>
  <c r="H813" i="2"/>
  <c r="I1357" i="2"/>
  <c r="H970" i="2"/>
  <c r="J1084" i="2"/>
  <c r="K1084" i="2"/>
  <c r="H497" i="2"/>
  <c r="I1291" i="2"/>
  <c r="I1307" i="2"/>
  <c r="H2444" i="2"/>
  <c r="J963" i="2"/>
  <c r="K963" i="2"/>
  <c r="H1098" i="2"/>
  <c r="H876" i="2"/>
  <c r="J767" i="2"/>
  <c r="K767" i="2"/>
  <c r="I736" i="2"/>
  <c r="H1572" i="2"/>
  <c r="H1730" i="2"/>
  <c r="J382" i="2"/>
  <c r="K382" i="2"/>
  <c r="I444" i="2"/>
  <c r="H1947" i="2"/>
  <c r="J1725" i="2"/>
  <c r="K1725" i="2"/>
  <c r="I578" i="2"/>
  <c r="J174" i="2"/>
  <c r="K174" i="2"/>
  <c r="J1380" i="2"/>
  <c r="K1380" i="2"/>
  <c r="I174" i="2"/>
  <c r="H1368" i="2"/>
  <c r="H685" i="2"/>
  <c r="I907" i="2"/>
  <c r="J907" i="2"/>
  <c r="K907" i="2"/>
  <c r="J2430" i="2"/>
  <c r="K2430" i="2"/>
  <c r="I2677" i="2"/>
  <c r="H963" i="2"/>
  <c r="H295" i="2"/>
  <c r="I2476" i="2"/>
  <c r="H1698" i="2"/>
  <c r="I642" i="2"/>
  <c r="I511" i="2"/>
  <c r="H1793" i="2"/>
  <c r="H949" i="2"/>
  <c r="J1194" i="2"/>
  <c r="K1194" i="2"/>
  <c r="J1793" i="2"/>
  <c r="K1793" i="2"/>
  <c r="J949" i="2"/>
  <c r="K949" i="2"/>
  <c r="I1194" i="2"/>
  <c r="H1576" i="2"/>
  <c r="J1572" i="2"/>
  <c r="K1572" i="2"/>
  <c r="J295" i="2"/>
  <c r="K295" i="2"/>
  <c r="H2477" i="2"/>
  <c r="H511" i="2"/>
  <c r="J80" i="2"/>
  <c r="K80" i="2"/>
  <c r="I1730" i="2"/>
  <c r="I906" i="2"/>
  <c r="I1568" i="2"/>
  <c r="I685" i="2"/>
  <c r="H80" i="2"/>
  <c r="I1697" i="2"/>
  <c r="J273" i="2"/>
  <c r="K273" i="2"/>
  <c r="H1180" i="2"/>
  <c r="J820" i="2"/>
  <c r="K820" i="2"/>
  <c r="I273" i="2"/>
  <c r="H1962" i="2"/>
  <c r="H21" i="2"/>
  <c r="H1555" i="2"/>
  <c r="I282" i="2"/>
  <c r="J63" i="2"/>
  <c r="K63" i="2"/>
  <c r="H1367" i="2"/>
  <c r="H1617" i="2"/>
  <c r="I159" i="2"/>
  <c r="H1490" i="2"/>
  <c r="J1490" i="2"/>
  <c r="K1490" i="2"/>
  <c r="J1962" i="2"/>
  <c r="K1962" i="2"/>
  <c r="J1773" i="2"/>
  <c r="K1773" i="2"/>
  <c r="I1742" i="2"/>
  <c r="I2103" i="2"/>
  <c r="H1774" i="2"/>
  <c r="I2145" i="2"/>
  <c r="J21" i="2"/>
  <c r="K21" i="2"/>
  <c r="I1774" i="2"/>
  <c r="J62" i="2"/>
  <c r="K62" i="2"/>
  <c r="H157" i="2"/>
  <c r="I62" i="2"/>
  <c r="J2057" i="2"/>
  <c r="K2057" i="2"/>
  <c r="I1555" i="2"/>
  <c r="J282" i="2"/>
  <c r="K282" i="2"/>
  <c r="H63" i="2"/>
  <c r="I1491" i="2"/>
  <c r="I187" i="2"/>
  <c r="H159" i="2"/>
  <c r="J2372" i="2"/>
  <c r="K2372" i="2"/>
  <c r="I1668" i="2"/>
  <c r="I2372" i="2"/>
  <c r="I160" i="2"/>
  <c r="H1668" i="2"/>
  <c r="J160" i="2"/>
  <c r="K160" i="2"/>
  <c r="J628" i="2"/>
  <c r="K628" i="2"/>
  <c r="I1567" i="2"/>
  <c r="I250" i="2"/>
  <c r="J204" i="2"/>
  <c r="K204" i="2"/>
  <c r="J142" i="2"/>
  <c r="K142" i="2"/>
  <c r="J292" i="2"/>
  <c r="K292" i="2"/>
  <c r="I1773" i="2"/>
  <c r="J2103" i="2"/>
  <c r="K2103" i="2"/>
  <c r="I1617" i="2"/>
  <c r="J377" i="2"/>
  <c r="K377" i="2"/>
  <c r="H1491" i="2"/>
  <c r="J2114" i="2"/>
  <c r="K2114" i="2"/>
  <c r="I1367" i="2"/>
  <c r="H1416" i="2"/>
  <c r="H204" i="2"/>
  <c r="I813" i="2"/>
  <c r="I534" i="2"/>
  <c r="H142" i="2"/>
  <c r="N2764" i="2"/>
  <c r="J191" i="2"/>
  <c r="K191" i="2"/>
  <c r="I1961" i="2"/>
  <c r="J39" i="2"/>
  <c r="K39" i="2"/>
  <c r="I955" i="2"/>
  <c r="H2050" i="2"/>
  <c r="H715" i="2"/>
  <c r="J318" i="2"/>
  <c r="K318" i="2"/>
  <c r="I318" i="2"/>
  <c r="H1726" i="2"/>
  <c r="H2260" i="2"/>
  <c r="J431" i="2"/>
  <c r="K431" i="2"/>
  <c r="J2260" i="2"/>
  <c r="K2260" i="2"/>
  <c r="H2342" i="2"/>
  <c r="J841" i="2"/>
  <c r="K841" i="2"/>
  <c r="H313" i="2"/>
  <c r="I1901" i="2"/>
  <c r="J969" i="2"/>
  <c r="K969" i="2"/>
  <c r="J1543" i="2"/>
  <c r="K1543" i="2"/>
  <c r="J304" i="2"/>
  <c r="K304" i="2"/>
  <c r="J1165" i="2"/>
  <c r="K1165" i="2"/>
  <c r="J248" i="2"/>
  <c r="K248" i="2"/>
  <c r="I1714" i="2"/>
  <c r="I331" i="2"/>
  <c r="I876" i="2"/>
  <c r="I969" i="2"/>
  <c r="I19" i="2"/>
  <c r="J2541" i="2"/>
  <c r="K2541" i="2"/>
  <c r="H191" i="2"/>
  <c r="I431" i="2"/>
  <c r="J1901" i="2"/>
  <c r="K1901" i="2"/>
  <c r="H404" i="2"/>
  <c r="J2342" i="2"/>
  <c r="K2342" i="2"/>
  <c r="I841" i="2"/>
  <c r="H624" i="2"/>
  <c r="I313" i="2"/>
  <c r="H1165" i="2"/>
  <c r="H245" i="2"/>
  <c r="H304" i="2"/>
  <c r="J331" i="2"/>
  <c r="K331" i="2"/>
  <c r="J1180" i="2"/>
  <c r="K1180" i="2"/>
  <c r="J991" i="2"/>
  <c r="K991" i="2"/>
  <c r="I2596" i="2"/>
  <c r="J1252" i="2"/>
  <c r="K1252" i="2"/>
  <c r="I682" i="2"/>
  <c r="I52" i="2"/>
  <c r="I1339" i="2"/>
  <c r="I1557" i="2"/>
  <c r="H1032" i="2"/>
  <c r="H736" i="2"/>
  <c r="J1339" i="2"/>
  <c r="K1339" i="2"/>
  <c r="H1058" i="2"/>
  <c r="H2291" i="2"/>
  <c r="I1377" i="2"/>
  <c r="H2167" i="2"/>
  <c r="I1368" i="2"/>
  <c r="H205" i="2"/>
  <c r="J127" i="2"/>
  <c r="K127" i="2"/>
  <c r="I2549" i="2"/>
  <c r="J1058" i="2"/>
  <c r="K1058" i="2"/>
  <c r="I1275" i="2"/>
  <c r="I2097" i="2"/>
  <c r="I205" i="2"/>
  <c r="I2279" i="2"/>
  <c r="I1433" i="2"/>
  <c r="I2419" i="2"/>
  <c r="H2534" i="2"/>
  <c r="I1112" i="2"/>
  <c r="H19" i="2"/>
  <c r="I2428" i="2"/>
  <c r="J801" i="2"/>
  <c r="K801" i="2"/>
  <c r="J301" i="2"/>
  <c r="K301" i="2"/>
  <c r="H958" i="2"/>
  <c r="H1270" i="2"/>
  <c r="J2219" i="2"/>
  <c r="K2219" i="2"/>
  <c r="I902" i="2"/>
  <c r="I248" i="2"/>
  <c r="H1168" i="2"/>
  <c r="I2164" i="2"/>
  <c r="J2144" i="2"/>
  <c r="K2144" i="2"/>
  <c r="H20" i="2"/>
  <c r="I220" i="2"/>
  <c r="J2630" i="2"/>
  <c r="K2630" i="2"/>
  <c r="H1086" i="2"/>
  <c r="H301" i="2"/>
  <c r="I430" i="2"/>
  <c r="I611" i="2"/>
  <c r="H705" i="2"/>
  <c r="H1217" i="2"/>
  <c r="H2485" i="2"/>
  <c r="J2332" i="2"/>
  <c r="K2332" i="2"/>
  <c r="H1148" i="2"/>
  <c r="H2035" i="2"/>
  <c r="J2570" i="2"/>
  <c r="K2570" i="2"/>
  <c r="H2346" i="2"/>
  <c r="J2319" i="2"/>
  <c r="K2319" i="2"/>
  <c r="H486" i="2"/>
  <c r="I2216" i="2"/>
  <c r="I2083" i="2"/>
  <c r="H2144" i="2"/>
  <c r="I2636" i="2"/>
  <c r="I964" i="2"/>
  <c r="I1492" i="2"/>
  <c r="J964" i="2"/>
  <c r="K964" i="2"/>
  <c r="I1209" i="2"/>
  <c r="J1105" i="2"/>
  <c r="K1105" i="2"/>
  <c r="J1559" i="2"/>
  <c r="K1559" i="2"/>
  <c r="I1168" i="2"/>
  <c r="J2164" i="2"/>
  <c r="K2164" i="2"/>
  <c r="J67" i="2"/>
  <c r="K67" i="2"/>
  <c r="I332" i="2"/>
  <c r="I1624" i="2"/>
  <c r="J2631" i="2"/>
  <c r="K2631" i="2"/>
  <c r="J1633" i="2"/>
  <c r="K1633" i="2"/>
  <c r="J2386" i="2"/>
  <c r="K2386" i="2"/>
  <c r="I456" i="2"/>
  <c r="I712" i="2"/>
  <c r="J303" i="2"/>
  <c r="K303" i="2"/>
  <c r="H739" i="2"/>
  <c r="I303" i="2"/>
  <c r="J489" i="2"/>
  <c r="K489" i="2"/>
  <c r="J430" i="2"/>
  <c r="K430" i="2"/>
  <c r="H2334" i="2"/>
  <c r="H175" i="2"/>
  <c r="J1657" i="2"/>
  <c r="K1657" i="2"/>
  <c r="H2370" i="2"/>
  <c r="H2478" i="2"/>
  <c r="H1657" i="2"/>
  <c r="H112" i="2"/>
  <c r="H2404" i="2"/>
  <c r="H240" i="2"/>
  <c r="J2271" i="2"/>
  <c r="K2271" i="2"/>
  <c r="H2102" i="2"/>
  <c r="H1209" i="2"/>
  <c r="H1105" i="2"/>
  <c r="J2195" i="2"/>
  <c r="K2195" i="2"/>
  <c r="I490" i="2"/>
  <c r="I664" i="2"/>
  <c r="I216" i="2"/>
  <c r="I2186" i="2"/>
  <c r="J1624" i="2"/>
  <c r="K1624" i="2"/>
  <c r="I743" i="2"/>
  <c r="J20" i="2"/>
  <c r="K20" i="2"/>
  <c r="I81" i="2"/>
  <c r="H2428" i="2"/>
  <c r="I2386" i="2"/>
  <c r="H708" i="2"/>
  <c r="H490" i="2"/>
  <c r="H2226" i="2"/>
  <c r="I705" i="2"/>
  <c r="H1556" i="2"/>
  <c r="J2404" i="2"/>
  <c r="K2404" i="2"/>
  <c r="J2370" i="2"/>
  <c r="K2370" i="2"/>
  <c r="I586" i="2"/>
  <c r="J51" i="2"/>
  <c r="K51" i="2"/>
  <c r="H2216" i="2"/>
  <c r="J2083" i="2"/>
  <c r="K2083" i="2"/>
  <c r="J2035" i="2"/>
  <c r="K2035" i="2"/>
  <c r="I2571" i="2"/>
  <c r="I2169" i="2"/>
  <c r="J1492" i="2"/>
  <c r="K1492" i="2"/>
  <c r="I106" i="2"/>
  <c r="J1221" i="2"/>
  <c r="K1221" i="2"/>
  <c r="H2195" i="2"/>
  <c r="H2186" i="2"/>
  <c r="H743" i="2"/>
  <c r="H1229" i="2"/>
  <c r="J2632" i="2"/>
  <c r="K2632" i="2"/>
  <c r="H81" i="2"/>
  <c r="H2263" i="2"/>
  <c r="H522" i="2"/>
  <c r="J2102" i="2"/>
  <c r="K2102" i="2"/>
  <c r="J902" i="2"/>
  <c r="K902" i="2"/>
  <c r="J18" i="2"/>
  <c r="K18" i="2"/>
  <c r="H235" i="2"/>
  <c r="H1249" i="2"/>
  <c r="H230" i="2"/>
  <c r="H1221" i="2"/>
  <c r="I109" i="2"/>
  <c r="H554" i="2"/>
  <c r="H1279" i="2"/>
  <c r="J664" i="2"/>
  <c r="K664" i="2"/>
  <c r="H51" i="2"/>
  <c r="H745" i="2"/>
  <c r="J52" i="2"/>
  <c r="K52" i="2"/>
  <c r="J1783" i="2"/>
  <c r="K1783" i="2"/>
  <c r="J739" i="2"/>
  <c r="K739" i="2"/>
  <c r="I2064" i="2"/>
  <c r="J2097" i="2"/>
  <c r="K2097" i="2"/>
  <c r="H801" i="2"/>
  <c r="J175" i="2"/>
  <c r="K175" i="2"/>
  <c r="I872" i="2"/>
  <c r="J1032" i="2"/>
  <c r="K1032" i="2"/>
  <c r="J1307" i="2"/>
  <c r="K1307" i="2"/>
  <c r="I112" i="2"/>
  <c r="I1556" i="2"/>
  <c r="H712" i="2"/>
  <c r="J2243" i="2"/>
  <c r="K2243" i="2"/>
  <c r="J1217" i="2"/>
  <c r="K1217" i="2"/>
  <c r="H2332" i="2"/>
  <c r="J2346" i="2"/>
  <c r="K2346" i="2"/>
  <c r="H1246" i="2"/>
  <c r="H2219" i="2"/>
  <c r="J586" i="2"/>
  <c r="K586" i="2"/>
  <c r="I486" i="2"/>
  <c r="I18" i="2"/>
  <c r="I203" i="2"/>
  <c r="I195" i="2"/>
  <c r="J187" i="2"/>
  <c r="K187" i="2"/>
  <c r="I1279" i="2"/>
  <c r="I1787" i="2"/>
  <c r="I991" i="2"/>
  <c r="J2347" i="2"/>
  <c r="K2347" i="2"/>
  <c r="H2390" i="2"/>
  <c r="H2570" i="2"/>
  <c r="I2256" i="2"/>
  <c r="H2331" i="2"/>
  <c r="H576" i="2"/>
  <c r="I828" i="2"/>
  <c r="I1769" i="2"/>
  <c r="J502" i="2"/>
  <c r="K502" i="2"/>
  <c r="I2243" i="2"/>
  <c r="J1292" i="2"/>
  <c r="K1292" i="2"/>
  <c r="J1928" i="2"/>
  <c r="K1928" i="2"/>
  <c r="I640" i="2"/>
  <c r="J109" i="2"/>
  <c r="K109" i="2"/>
  <c r="H665" i="2"/>
  <c r="H2319" i="2"/>
  <c r="H391" i="2"/>
  <c r="J2304" i="2"/>
  <c r="K2304" i="2"/>
  <c r="H1757" i="2"/>
  <c r="H1420" i="2"/>
  <c r="I562" i="2"/>
  <c r="H39" i="2"/>
  <c r="H2145" i="2"/>
  <c r="J1922" i="2"/>
  <c r="K1922" i="2"/>
  <c r="I2263" i="2"/>
  <c r="J45" i="2"/>
  <c r="K45" i="2"/>
  <c r="I391" i="2"/>
  <c r="H2098" i="2"/>
  <c r="H2304" i="2"/>
  <c r="J1896" i="2"/>
  <c r="K1896" i="2"/>
  <c r="J596" i="2"/>
  <c r="K596" i="2"/>
  <c r="J890" i="2"/>
  <c r="K890" i="2"/>
  <c r="H2365" i="2"/>
  <c r="J200" i="2"/>
  <c r="K200" i="2"/>
  <c r="H1535" i="2"/>
  <c r="H441" i="2"/>
  <c r="H108" i="2"/>
  <c r="J1535" i="2"/>
  <c r="K1535" i="2"/>
  <c r="H1675" i="2"/>
  <c r="I1509" i="2"/>
  <c r="I2354" i="2"/>
  <c r="I2114" i="2"/>
  <c r="I603" i="2"/>
  <c r="I1791" i="2"/>
  <c r="J235" i="2"/>
  <c r="K235" i="2"/>
  <c r="I1986" i="2"/>
  <c r="I1481" i="2"/>
  <c r="I1382" i="2"/>
  <c r="H1849" i="2"/>
  <c r="I888" i="2"/>
  <c r="H573" i="2"/>
  <c r="J1953" i="2"/>
  <c r="K1953" i="2"/>
  <c r="I2389" i="2"/>
  <c r="H127" i="2"/>
  <c r="I2587" i="2"/>
  <c r="J2667" i="2"/>
  <c r="H1509" i="2"/>
  <c r="I576" i="2"/>
  <c r="J2087" i="2"/>
  <c r="K2087" i="2"/>
  <c r="I573" i="2"/>
  <c r="J2446" i="2"/>
  <c r="K2446" i="2"/>
  <c r="H1791" i="2"/>
  <c r="J987" i="2"/>
  <c r="K987" i="2"/>
  <c r="I796" i="2"/>
  <c r="I1423" i="2"/>
  <c r="J796" i="2"/>
  <c r="K796" i="2"/>
  <c r="I890" i="2"/>
  <c r="I1922" i="2"/>
  <c r="H45" i="2"/>
  <c r="H2150" i="2"/>
  <c r="J1761" i="2"/>
  <c r="K1761" i="2"/>
  <c r="H1769" i="2"/>
  <c r="J1474" i="2"/>
  <c r="K1474" i="2"/>
  <c r="J1137" i="2"/>
  <c r="K1137" i="2"/>
  <c r="H1016" i="2"/>
  <c r="H1481" i="2"/>
  <c r="I1137" i="2"/>
  <c r="J1675" i="2"/>
  <c r="K1675" i="2"/>
  <c r="H76" i="2"/>
  <c r="J603" i="2"/>
  <c r="K603" i="2"/>
  <c r="J2296" i="2"/>
  <c r="K2296" i="2"/>
  <c r="J251" i="2"/>
  <c r="K251" i="2"/>
  <c r="J1849" i="2"/>
  <c r="K1849" i="2"/>
  <c r="J483" i="2"/>
  <c r="K483" i="2"/>
  <c r="J888" i="2"/>
  <c r="K888" i="2"/>
  <c r="I480" i="2"/>
  <c r="H2389" i="2"/>
  <c r="J2476" i="2"/>
  <c r="K2476" i="2"/>
  <c r="I76" i="2"/>
  <c r="H542" i="2"/>
  <c r="H987" i="2"/>
  <c r="H266" i="2"/>
  <c r="H231" i="2"/>
  <c r="I481" i="2"/>
  <c r="H1112" i="2"/>
  <c r="I1478" i="2"/>
  <c r="H2109" i="2"/>
  <c r="I48" i="2"/>
  <c r="I1821" i="2"/>
  <c r="H2513" i="2"/>
  <c r="H2587" i="2"/>
  <c r="J2098" i="2"/>
  <c r="K2098" i="2"/>
  <c r="I2367" i="2"/>
  <c r="J2223" i="2"/>
  <c r="K2223" i="2"/>
  <c r="J602" i="2"/>
  <c r="K602" i="2"/>
  <c r="H602" i="2"/>
  <c r="H2667" i="2"/>
  <c r="H2126" i="2"/>
  <c r="I67" i="2"/>
  <c r="J542" i="2"/>
  <c r="K542" i="2"/>
  <c r="J2221" i="2"/>
  <c r="K2221" i="2"/>
  <c r="I1598" i="2"/>
  <c r="J1895" i="2"/>
  <c r="K1895" i="2"/>
  <c r="H2632" i="2"/>
  <c r="J441" i="2"/>
  <c r="K441" i="2"/>
  <c r="I13" i="2"/>
  <c r="H1945" i="2"/>
  <c r="H2446" i="2"/>
  <c r="I1706" i="2"/>
  <c r="H1019" i="2"/>
  <c r="I1708" i="2"/>
  <c r="J2134" i="2"/>
  <c r="K2134" i="2"/>
  <c r="I1290" i="2"/>
  <c r="J1296" i="2"/>
  <c r="K1296" i="2"/>
  <c r="J13" i="2"/>
  <c r="K13" i="2"/>
  <c r="I266" i="2"/>
  <c r="I878" i="2"/>
  <c r="J1645" i="2"/>
  <c r="K1645" i="2"/>
  <c r="J2183" i="2"/>
  <c r="K2183" i="2"/>
  <c r="J565" i="2"/>
  <c r="K565" i="2"/>
  <c r="I2406" i="2"/>
  <c r="H168" i="2"/>
  <c r="H139" i="2"/>
  <c r="J509" i="2"/>
  <c r="K509" i="2"/>
  <c r="I2050" i="2"/>
  <c r="H1423" i="2"/>
  <c r="J2303" i="2"/>
  <c r="K2303" i="2"/>
  <c r="J2633" i="2"/>
  <c r="K2633" i="2"/>
  <c r="I2365" i="2"/>
  <c r="J1990" i="2"/>
  <c r="K1990" i="2"/>
  <c r="H731" i="2"/>
  <c r="I1380" i="2"/>
  <c r="I1266" i="2"/>
  <c r="I138" i="2"/>
  <c r="H138" i="2"/>
  <c r="J1016" i="2"/>
  <c r="K1016" i="2"/>
  <c r="J1598" i="2"/>
  <c r="K1598" i="2"/>
  <c r="J2109" i="2"/>
  <c r="K2109" i="2"/>
  <c r="I594" i="2"/>
  <c r="J4" i="2"/>
  <c r="K4" i="2"/>
  <c r="H1511" i="2"/>
  <c r="I1864" i="2"/>
  <c r="I2221" i="2"/>
  <c r="H2296" i="2"/>
  <c r="I2095" i="2"/>
  <c r="I12" i="2"/>
  <c r="J96" i="2"/>
  <c r="K96" i="2"/>
  <c r="J231" i="2"/>
  <c r="K231" i="2"/>
  <c r="I2052" i="2"/>
  <c r="I2183" i="2"/>
  <c r="H2016" i="2"/>
  <c r="I948" i="2"/>
  <c r="H872" i="2"/>
  <c r="J2265" i="2"/>
  <c r="K2265" i="2"/>
  <c r="I1823" i="2"/>
  <c r="J906" i="2"/>
  <c r="K906" i="2"/>
  <c r="I1018" i="2"/>
  <c r="H1644" i="2"/>
  <c r="I2016" i="2"/>
  <c r="J826" i="2"/>
  <c r="K826" i="2"/>
  <c r="H1755" i="2"/>
  <c r="I1356" i="2"/>
  <c r="J2403" i="2"/>
  <c r="K2403" i="2"/>
  <c r="I25" i="2"/>
  <c r="J948" i="2"/>
  <c r="K948" i="2"/>
  <c r="J1477" i="2"/>
  <c r="K1477" i="2"/>
  <c r="J554" i="2"/>
  <c r="K554" i="2"/>
  <c r="J480" i="2"/>
  <c r="K480" i="2"/>
  <c r="I2073" i="2"/>
  <c r="H2356" i="2"/>
  <c r="H1609" i="2"/>
  <c r="H359" i="2"/>
  <c r="J1018" i="2"/>
  <c r="K1018" i="2"/>
  <c r="I2203" i="2"/>
  <c r="I1207" i="2"/>
  <c r="H106" i="2"/>
  <c r="I2498" i="2"/>
  <c r="I2572" i="2"/>
  <c r="I2057" i="2"/>
  <c r="H2104" i="2"/>
  <c r="I1761" i="2"/>
  <c r="H2256" i="2"/>
  <c r="J2150" i="2"/>
  <c r="K2150" i="2"/>
  <c r="I382" i="2"/>
  <c r="I2126" i="2"/>
  <c r="H1474" i="2"/>
  <c r="J2392" i="2"/>
  <c r="K2392" i="2"/>
  <c r="J1864" i="2"/>
  <c r="K1864" i="2"/>
  <c r="H372" i="2"/>
  <c r="J594" i="2"/>
  <c r="K594" i="2"/>
  <c r="H4" i="2"/>
  <c r="I325" i="2"/>
  <c r="I752" i="2"/>
  <c r="I734" i="2"/>
  <c r="I2226" i="2"/>
  <c r="J1787" i="2"/>
  <c r="K1787" i="2"/>
  <c r="H2406" i="2"/>
  <c r="I168" i="2"/>
  <c r="H572" i="2"/>
  <c r="H682" i="2"/>
  <c r="I2605" i="2"/>
  <c r="I1476" i="2"/>
  <c r="I826" i="2"/>
  <c r="H1723" i="2"/>
  <c r="J1207" i="2"/>
  <c r="K1207" i="2"/>
  <c r="I1822" i="2"/>
  <c r="J822" i="2"/>
  <c r="K822" i="2"/>
  <c r="J262" i="2"/>
  <c r="K262" i="2"/>
  <c r="J2203" i="2"/>
  <c r="K2203" i="2"/>
  <c r="I1755" i="2"/>
  <c r="I2403" i="2"/>
  <c r="J25" i="2"/>
  <c r="K25" i="2"/>
  <c r="H2318" i="2"/>
  <c r="I1500" i="2"/>
  <c r="J1700" i="2"/>
  <c r="K1700" i="2"/>
  <c r="J845" i="2"/>
  <c r="K845" i="2"/>
  <c r="J2356" i="2"/>
  <c r="K2356" i="2"/>
  <c r="I1609" i="2"/>
  <c r="I726" i="2"/>
  <c r="J230" i="2"/>
  <c r="K230" i="2"/>
  <c r="H46" i="2"/>
  <c r="I1019" i="2"/>
  <c r="H2627" i="2"/>
  <c r="H1928" i="2"/>
  <c r="J1511" i="2"/>
  <c r="K1511" i="2"/>
  <c r="H481" i="2"/>
  <c r="J1945" i="2"/>
  <c r="K1945" i="2"/>
  <c r="J325" i="2"/>
  <c r="K325" i="2"/>
  <c r="J734" i="2"/>
  <c r="K734" i="2"/>
  <c r="I1599" i="2"/>
  <c r="H1262" i="2"/>
  <c r="J564" i="2"/>
  <c r="K564" i="2"/>
  <c r="H2087" i="2"/>
  <c r="I1644" i="2"/>
  <c r="H822" i="2"/>
  <c r="J423" i="2"/>
  <c r="K423" i="2"/>
  <c r="I1896" i="2"/>
  <c r="H43" i="2"/>
  <c r="I572" i="2"/>
  <c r="I2318" i="2"/>
  <c r="I1700" i="2"/>
  <c r="H1494" i="2"/>
  <c r="I2261" i="2"/>
  <c r="H845" i="2"/>
  <c r="H225" i="2"/>
  <c r="J472" i="2"/>
  <c r="K472" i="2"/>
  <c r="H726" i="2"/>
  <c r="J1765" i="2"/>
  <c r="K1765" i="2"/>
  <c r="J2521" i="2"/>
  <c r="K2521" i="2"/>
  <c r="J2571" i="2"/>
  <c r="K2571" i="2"/>
  <c r="J1706" i="2"/>
  <c r="K1706" i="2"/>
  <c r="J2402" i="2"/>
  <c r="K2402" i="2"/>
  <c r="H2303" i="2"/>
  <c r="J1708" i="2"/>
  <c r="K1708" i="2"/>
  <c r="H2223" i="2"/>
  <c r="I372" i="2"/>
  <c r="H703" i="2"/>
  <c r="H1015" i="2"/>
  <c r="I981" i="2"/>
  <c r="H640" i="2"/>
  <c r="J1476" i="2"/>
  <c r="K1476" i="2"/>
  <c r="I1723" i="2"/>
  <c r="J157" i="2"/>
  <c r="K157" i="2"/>
  <c r="H2265" i="2"/>
  <c r="H981" i="2"/>
  <c r="J359" i="2"/>
  <c r="K359" i="2"/>
  <c r="H1822" i="2"/>
  <c r="I1005" i="2"/>
  <c r="H1884" i="2"/>
  <c r="J43" i="2"/>
  <c r="K43" i="2"/>
  <c r="I1794" i="2"/>
  <c r="I1494" i="2"/>
  <c r="J2261" i="2"/>
  <c r="K2261" i="2"/>
  <c r="H1101" i="2"/>
  <c r="J225" i="2"/>
  <c r="K225" i="2"/>
  <c r="H1009" i="2"/>
  <c r="H1266" i="2"/>
  <c r="I881" i="2"/>
  <c r="J667" i="2"/>
  <c r="K667" i="2"/>
  <c r="I764" i="2"/>
  <c r="I667" i="2"/>
  <c r="I2078" i="2"/>
  <c r="H2521" i="2"/>
  <c r="J2636" i="2"/>
  <c r="K2636" i="2"/>
  <c r="J955" i="2"/>
  <c r="K955" i="2"/>
  <c r="I2402" i="2"/>
  <c r="H2134" i="2"/>
  <c r="I293" i="2"/>
  <c r="H1949" i="2"/>
  <c r="J1290" i="2"/>
  <c r="K1290" i="2"/>
  <c r="H293" i="2"/>
  <c r="I1953" i="2"/>
  <c r="H1990" i="2"/>
  <c r="H96" i="2"/>
  <c r="J1262" i="2"/>
  <c r="K1262" i="2"/>
  <c r="I2524" i="2"/>
  <c r="I564" i="2"/>
  <c r="I1015" i="2"/>
  <c r="I536" i="2"/>
  <c r="I509" i="2"/>
  <c r="I1477" i="2"/>
  <c r="H2572" i="2"/>
  <c r="H1389" i="2"/>
  <c r="I2331" i="2"/>
  <c r="I213" i="2"/>
  <c r="H1794" i="2"/>
  <c r="H828" i="2"/>
  <c r="H243" i="2"/>
  <c r="J1101" i="2"/>
  <c r="K1101" i="2"/>
  <c r="I1009" i="2"/>
  <c r="J764" i="2"/>
  <c r="K764" i="2"/>
  <c r="H1292" i="2"/>
  <c r="J624" i="2"/>
  <c r="K624" i="2"/>
  <c r="H2524" i="2"/>
  <c r="H423" i="2"/>
  <c r="I417" i="2"/>
  <c r="H417" i="2"/>
  <c r="J417" i="2"/>
  <c r="K417" i="2"/>
  <c r="H166" i="2"/>
  <c r="J166" i="2"/>
  <c r="K166" i="2"/>
  <c r="H229" i="2"/>
  <c r="J1534" i="2"/>
  <c r="K1534" i="2"/>
  <c r="I1534" i="2"/>
  <c r="J911" i="2"/>
  <c r="K911" i="2"/>
  <c r="I911" i="2"/>
  <c r="H911" i="2"/>
  <c r="J880" i="2"/>
  <c r="K880" i="2"/>
  <c r="H880" i="2"/>
  <c r="J414" i="2"/>
  <c r="K414" i="2"/>
  <c r="I414" i="2"/>
  <c r="H2268" i="2"/>
  <c r="J2268" i="2"/>
  <c r="K2268" i="2"/>
  <c r="H2586" i="2"/>
  <c r="J2586" i="2"/>
  <c r="K2586" i="2"/>
  <c r="J10" i="2"/>
  <c r="K10" i="2"/>
  <c r="H10" i="2"/>
  <c r="I476" i="2"/>
  <c r="H476" i="2"/>
  <c r="J476" i="2"/>
  <c r="K476" i="2"/>
  <c r="I1041" i="2"/>
  <c r="I815" i="2"/>
  <c r="J815" i="2"/>
  <c r="K815" i="2"/>
  <c r="H135" i="2"/>
  <c r="J135" i="2"/>
  <c r="K135" i="2"/>
  <c r="I164" i="2"/>
  <c r="J164" i="2"/>
  <c r="K164" i="2"/>
  <c r="H2546" i="2"/>
  <c r="J2546" i="2"/>
  <c r="K2546" i="2"/>
  <c r="J725" i="2"/>
  <c r="K725" i="2"/>
  <c r="H725" i="2"/>
  <c r="I725" i="2"/>
  <c r="J445" i="2"/>
  <c r="K445" i="2"/>
  <c r="I445" i="2"/>
  <c r="H445" i="2"/>
  <c r="H198" i="2"/>
  <c r="J198" i="2"/>
  <c r="K198" i="2"/>
  <c r="J2120" i="2"/>
  <c r="K2120" i="2"/>
  <c r="H2120" i="2"/>
  <c r="I2120" i="2"/>
  <c r="I1102" i="2"/>
  <c r="J1102" i="2"/>
  <c r="K1102" i="2"/>
  <c r="H1102" i="2"/>
  <c r="I818" i="2"/>
  <c r="H818" i="2"/>
  <c r="J818" i="2"/>
  <c r="K818" i="2"/>
  <c r="J600" i="2"/>
  <c r="K600" i="2"/>
  <c r="H600" i="2"/>
  <c r="I600" i="2"/>
  <c r="J322" i="2"/>
  <c r="K322" i="2"/>
  <c r="I322" i="2"/>
  <c r="J41" i="2"/>
  <c r="K41" i="2"/>
  <c r="H41" i="2"/>
  <c r="I973" i="2"/>
  <c r="J973" i="2"/>
  <c r="K973" i="2"/>
  <c r="H783" i="2"/>
  <c r="J783" i="2"/>
  <c r="K783" i="2"/>
  <c r="I783" i="2"/>
  <c r="I413" i="2"/>
  <c r="J413" i="2"/>
  <c r="K413" i="2"/>
  <c r="J38" i="2"/>
  <c r="K38" i="2"/>
  <c r="H38" i="2"/>
  <c r="I38" i="2"/>
  <c r="I2092" i="2"/>
  <c r="J752" i="2"/>
  <c r="K752" i="2"/>
  <c r="J2240" i="2"/>
  <c r="K2240" i="2"/>
  <c r="H1627" i="2"/>
  <c r="J1627" i="2"/>
  <c r="K1627" i="2"/>
  <c r="I1627" i="2"/>
  <c r="J1595" i="2"/>
  <c r="K1595" i="2"/>
  <c r="I1595" i="2"/>
  <c r="J1347" i="2"/>
  <c r="K1347" i="2"/>
  <c r="I1347" i="2"/>
  <c r="H1036" i="2"/>
  <c r="I1036" i="2"/>
  <c r="J1036" i="2"/>
  <c r="K1036" i="2"/>
  <c r="H846" i="2"/>
  <c r="I846" i="2"/>
  <c r="J846" i="2"/>
  <c r="K846" i="2"/>
  <c r="J814" i="2"/>
  <c r="K814" i="2"/>
  <c r="H814" i="2"/>
  <c r="I814" i="2"/>
  <c r="I689" i="2"/>
  <c r="J689" i="2"/>
  <c r="K689" i="2"/>
  <c r="H597" i="2"/>
  <c r="J597" i="2"/>
  <c r="K597" i="2"/>
  <c r="I597" i="2"/>
  <c r="J68" i="2"/>
  <c r="K68" i="2"/>
  <c r="I68" i="2"/>
  <c r="H68" i="2"/>
  <c r="J2445" i="2"/>
  <c r="K2445" i="2"/>
  <c r="I2445" i="2"/>
  <c r="J2502" i="2"/>
  <c r="K2502" i="2"/>
  <c r="I2502" i="2"/>
  <c r="I2538" i="2"/>
  <c r="J2538" i="2"/>
  <c r="K2538" i="2"/>
  <c r="J878" i="2"/>
  <c r="K878" i="2"/>
  <c r="H2092" i="2"/>
  <c r="J91" i="2"/>
  <c r="K91" i="2"/>
  <c r="H464" i="2"/>
  <c r="I1970" i="2"/>
  <c r="H1970" i="2"/>
  <c r="J1878" i="2"/>
  <c r="K1878" i="2"/>
  <c r="I1878" i="2"/>
  <c r="H1878" i="2"/>
  <c r="J1784" i="2"/>
  <c r="K1784" i="2"/>
  <c r="I1784" i="2"/>
  <c r="H1784" i="2"/>
  <c r="I1626" i="2"/>
  <c r="J1626" i="2"/>
  <c r="K1626" i="2"/>
  <c r="J1563" i="2"/>
  <c r="K1563" i="2"/>
  <c r="H1563" i="2"/>
  <c r="I1563" i="2"/>
  <c r="H1160" i="2"/>
  <c r="I1160" i="2"/>
  <c r="I940" i="2"/>
  <c r="J940" i="2"/>
  <c r="K940" i="2"/>
  <c r="H940" i="2"/>
  <c r="I781" i="2"/>
  <c r="H781" i="2"/>
  <c r="J781" i="2"/>
  <c r="K781" i="2"/>
  <c r="J750" i="2"/>
  <c r="K750" i="2"/>
  <c r="H750" i="2"/>
  <c r="J254" i="2"/>
  <c r="K254" i="2"/>
  <c r="H254" i="2"/>
  <c r="I254" i="2"/>
  <c r="I2387" i="2"/>
  <c r="H2387" i="2"/>
  <c r="I2537" i="2"/>
  <c r="J2537" i="2"/>
  <c r="K2537" i="2"/>
  <c r="I2598" i="2"/>
  <c r="J2598" i="2"/>
  <c r="K2598" i="2"/>
  <c r="I1252" i="2"/>
  <c r="J2284" i="2"/>
  <c r="K2284" i="2"/>
  <c r="H1099" i="2"/>
  <c r="I750" i="2"/>
  <c r="I2523" i="2"/>
  <c r="J2019" i="2"/>
  <c r="K2019" i="2"/>
  <c r="I2019" i="2"/>
  <c r="I1751" i="2"/>
  <c r="J1751" i="2"/>
  <c r="K1751" i="2"/>
  <c r="H1751" i="2"/>
  <c r="I1625" i="2"/>
  <c r="J1625" i="2"/>
  <c r="K1625" i="2"/>
  <c r="J1498" i="2"/>
  <c r="K1498" i="2"/>
  <c r="I1376" i="2"/>
  <c r="H1376" i="2"/>
  <c r="I1314" i="2"/>
  <c r="H1314" i="2"/>
  <c r="J1314" i="2"/>
  <c r="K1314" i="2"/>
  <c r="I1251" i="2"/>
  <c r="H1251" i="2"/>
  <c r="J1251" i="2"/>
  <c r="K1251" i="2"/>
  <c r="I626" i="2"/>
  <c r="H626" i="2"/>
  <c r="J626" i="2"/>
  <c r="K626" i="2"/>
  <c r="J595" i="2"/>
  <c r="K595" i="2"/>
  <c r="H595" i="2"/>
  <c r="I595" i="2"/>
  <c r="H501" i="2"/>
  <c r="I501" i="2"/>
  <c r="I2293" i="2"/>
  <c r="J2293" i="2"/>
  <c r="K2293" i="2"/>
  <c r="J2385" i="2"/>
  <c r="K2385" i="2"/>
  <c r="I2385" i="2"/>
  <c r="J2302" i="2"/>
  <c r="K2302" i="2"/>
  <c r="I2302" i="2"/>
  <c r="H2302" i="2"/>
  <c r="I1166" i="2"/>
  <c r="H1166" i="2"/>
  <c r="J1473" i="2"/>
  <c r="K1473" i="2"/>
  <c r="H1473" i="2"/>
  <c r="J882" i="2"/>
  <c r="K882" i="2"/>
  <c r="I882" i="2"/>
  <c r="H882" i="2"/>
  <c r="H1503" i="2"/>
  <c r="J1503" i="2"/>
  <c r="K1503" i="2"/>
  <c r="J912" i="2"/>
  <c r="K912" i="2"/>
  <c r="I912" i="2"/>
  <c r="J1942" i="2"/>
  <c r="K1942" i="2"/>
  <c r="I1942" i="2"/>
  <c r="H100" i="2"/>
  <c r="J100" i="2"/>
  <c r="K100" i="2"/>
  <c r="I1844" i="2"/>
  <c r="H1844" i="2"/>
  <c r="J291" i="2"/>
  <c r="K291" i="2"/>
  <c r="J321" i="2"/>
  <c r="K321" i="2"/>
  <c r="I1879" i="2"/>
  <c r="J2348" i="2"/>
  <c r="K2348" i="2"/>
  <c r="I2348" i="2"/>
  <c r="H2348" i="2"/>
  <c r="I291" i="2"/>
  <c r="J2344" i="2"/>
  <c r="K2344" i="2"/>
  <c r="H2344" i="2"/>
  <c r="I2344" i="2"/>
  <c r="I495" i="2"/>
  <c r="J495" i="2"/>
  <c r="K495" i="2"/>
  <c r="J1196" i="2"/>
  <c r="K1196" i="2"/>
  <c r="H1220" i="2"/>
  <c r="H28" i="2"/>
  <c r="J28" i="2"/>
  <c r="K28" i="2"/>
  <c r="I308" i="2"/>
  <c r="J308" i="2"/>
  <c r="K308" i="2"/>
  <c r="J1068" i="2"/>
  <c r="K1068" i="2"/>
  <c r="H492" i="2"/>
  <c r="J492" i="2"/>
  <c r="K492" i="2"/>
  <c r="I492" i="2"/>
  <c r="I1526" i="2"/>
  <c r="I723" i="2"/>
  <c r="J259" i="2"/>
  <c r="K259" i="2"/>
  <c r="J355" i="2"/>
  <c r="K355" i="2"/>
  <c r="I2257" i="2"/>
  <c r="J320" i="2"/>
  <c r="K320" i="2"/>
  <c r="I10" i="2"/>
  <c r="H1401" i="2"/>
  <c r="J2629" i="2"/>
  <c r="K2629" i="2"/>
  <c r="H1646" i="2"/>
  <c r="J1646" i="2"/>
  <c r="K1646" i="2"/>
  <c r="I1646" i="2"/>
  <c r="J770" i="2"/>
  <c r="K770" i="2"/>
  <c r="H770" i="2"/>
  <c r="I708" i="2"/>
  <c r="H553" i="2"/>
  <c r="I553" i="2"/>
  <c r="H400" i="2"/>
  <c r="J400" i="2"/>
  <c r="K400" i="2"/>
  <c r="H338" i="2"/>
  <c r="J338" i="2"/>
  <c r="K338" i="2"/>
  <c r="I338" i="2"/>
  <c r="H306" i="2"/>
  <c r="J306" i="2"/>
  <c r="K306" i="2"/>
  <c r="I306" i="2"/>
  <c r="I149" i="2"/>
  <c r="H149" i="2"/>
  <c r="I2106" i="2"/>
  <c r="H2106" i="2"/>
  <c r="J2133" i="2"/>
  <c r="K2133" i="2"/>
  <c r="I2133" i="2"/>
  <c r="H2133" i="2"/>
  <c r="J2161" i="2"/>
  <c r="K2161" i="2"/>
  <c r="H2161" i="2"/>
  <c r="I2241" i="2"/>
  <c r="J2241" i="2"/>
  <c r="K2241" i="2"/>
  <c r="I2666" i="2"/>
  <c r="H2666" i="2"/>
  <c r="J2666" i="2"/>
  <c r="J103" i="2"/>
  <c r="K103" i="2"/>
  <c r="H103" i="2"/>
  <c r="I103" i="2"/>
  <c r="H599" i="2"/>
  <c r="I599" i="2"/>
  <c r="J102" i="2"/>
  <c r="K102" i="2"/>
  <c r="H102" i="2"/>
  <c r="I102" i="2"/>
  <c r="I2149" i="2"/>
  <c r="H2149" i="2"/>
  <c r="J2149" i="2"/>
  <c r="K2149" i="2"/>
  <c r="H1224" i="2"/>
  <c r="I1224" i="2"/>
  <c r="J1224" i="2"/>
  <c r="K1224" i="2"/>
  <c r="J625" i="2"/>
  <c r="K625" i="2"/>
  <c r="H1621" i="2"/>
  <c r="J1621" i="2"/>
  <c r="K1621" i="2"/>
  <c r="I1249" i="2"/>
  <c r="H184" i="2"/>
  <c r="J184" i="2"/>
  <c r="K184" i="2"/>
  <c r="H59" i="2"/>
  <c r="J59" i="2"/>
  <c r="K59" i="2"/>
  <c r="H1147" i="2"/>
  <c r="J1147" i="2"/>
  <c r="K1147" i="2"/>
  <c r="I1022" i="2"/>
  <c r="H1022" i="2"/>
  <c r="H927" i="2"/>
  <c r="I927" i="2"/>
  <c r="J800" i="2"/>
  <c r="K800" i="2"/>
  <c r="I800" i="2"/>
  <c r="H800" i="2"/>
  <c r="I676" i="2"/>
  <c r="J676" i="2"/>
  <c r="K676" i="2"/>
  <c r="I614" i="2"/>
  <c r="J614" i="2"/>
  <c r="K614" i="2"/>
  <c r="H583" i="2"/>
  <c r="I583" i="2"/>
  <c r="J583" i="2"/>
  <c r="K583" i="2"/>
  <c r="I552" i="2"/>
  <c r="H552" i="2"/>
  <c r="H905" i="2"/>
  <c r="I905" i="2"/>
  <c r="J905" i="2"/>
  <c r="K905" i="2"/>
  <c r="H912" i="2"/>
  <c r="J1871" i="2"/>
  <c r="K1871" i="2"/>
  <c r="I1871" i="2"/>
  <c r="H1871" i="2"/>
  <c r="J342" i="2"/>
  <c r="K342" i="2"/>
  <c r="I342" i="2"/>
  <c r="H342" i="2"/>
  <c r="J2192" i="2"/>
  <c r="K2192" i="2"/>
  <c r="I2192" i="2"/>
  <c r="H2192" i="2"/>
  <c r="H133" i="2"/>
  <c r="I133" i="2"/>
  <c r="J133" i="2"/>
  <c r="K133" i="2"/>
  <c r="J2049" i="2"/>
  <c r="K2049" i="2"/>
  <c r="I2049" i="2"/>
  <c r="H351" i="2"/>
  <c r="I351" i="2"/>
  <c r="I874" i="2"/>
  <c r="J874" i="2"/>
  <c r="K874" i="2"/>
  <c r="J2278" i="2"/>
  <c r="K2278" i="2"/>
  <c r="I2278" i="2"/>
  <c r="H2278" i="2"/>
  <c r="H2288" i="2"/>
  <c r="I1157" i="2"/>
  <c r="I1777" i="2"/>
  <c r="H1777" i="2"/>
  <c r="I246" i="2"/>
  <c r="H246" i="2"/>
  <c r="J246" i="2"/>
  <c r="K246" i="2"/>
  <c r="I2235" i="2"/>
  <c r="H2235" i="2"/>
  <c r="I1150" i="2"/>
  <c r="J1150" i="2"/>
  <c r="K1150" i="2"/>
  <c r="H1150" i="2"/>
  <c r="H305" i="2"/>
  <c r="J305" i="2"/>
  <c r="K305" i="2"/>
  <c r="I305" i="2"/>
  <c r="H1463" i="2"/>
  <c r="J1192" i="2"/>
  <c r="K1192" i="2"/>
  <c r="J278" i="2"/>
  <c r="K278" i="2"/>
  <c r="H753" i="2"/>
  <c r="J1089" i="2"/>
  <c r="K1089" i="2"/>
  <c r="H2538" i="2"/>
  <c r="I477" i="2"/>
  <c r="H477" i="2"/>
  <c r="J104" i="2"/>
  <c r="K104" i="2"/>
  <c r="H104" i="2"/>
  <c r="I104" i="2"/>
  <c r="I754" i="2"/>
  <c r="J754" i="2"/>
  <c r="K754" i="2"/>
  <c r="H754" i="2"/>
  <c r="H290" i="2"/>
  <c r="J290" i="2"/>
  <c r="K290" i="2"/>
  <c r="J1130" i="2"/>
  <c r="K1130" i="2"/>
  <c r="H1130" i="2"/>
  <c r="I1130" i="2"/>
  <c r="I69" i="2"/>
  <c r="J69" i="2"/>
  <c r="K69" i="2"/>
  <c r="H69" i="2"/>
  <c r="I40" i="2"/>
  <c r="H1842" i="2"/>
  <c r="I1842" i="2"/>
  <c r="J1842" i="2"/>
  <c r="K1842" i="2"/>
  <c r="H2323" i="2"/>
  <c r="J2323" i="2"/>
  <c r="K2323" i="2"/>
  <c r="I2240" i="2"/>
  <c r="J2589" i="2"/>
  <c r="K2589" i="2"/>
  <c r="I2589" i="2"/>
  <c r="H1902" i="2"/>
  <c r="I1902" i="2"/>
  <c r="I2288" i="2"/>
  <c r="J962" i="2"/>
  <c r="K962" i="2"/>
  <c r="H962" i="2"/>
  <c r="I962" i="2"/>
  <c r="I2500" i="2"/>
  <c r="H2500" i="2"/>
  <c r="H850" i="2"/>
  <c r="J679" i="2"/>
  <c r="K679" i="2"/>
  <c r="H679" i="2"/>
  <c r="I679" i="2"/>
  <c r="J371" i="2"/>
  <c r="K371" i="2"/>
  <c r="H371" i="2"/>
  <c r="I371" i="2"/>
  <c r="J2135" i="2"/>
  <c r="K2135" i="2"/>
  <c r="I2135" i="2"/>
  <c r="H2135" i="2"/>
  <c r="H2537" i="2"/>
  <c r="J274" i="2"/>
  <c r="K274" i="2"/>
  <c r="I274" i="2"/>
  <c r="J2090" i="2"/>
  <c r="K2090" i="2"/>
  <c r="I2090" i="2"/>
  <c r="I2294" i="2"/>
  <c r="H1622" i="2"/>
  <c r="H1466" i="2"/>
  <c r="I1782" i="2"/>
  <c r="J339" i="2"/>
  <c r="K339" i="2"/>
  <c r="H1089" i="2"/>
  <c r="J1592" i="2"/>
  <c r="K1592" i="2"/>
  <c r="I183" i="2"/>
  <c r="H2284" i="2"/>
  <c r="H292" i="2"/>
  <c r="H1192" i="2"/>
  <c r="H1625" i="2"/>
  <c r="I753" i="2"/>
  <c r="H1157" i="2"/>
  <c r="I2328" i="2"/>
  <c r="H2328" i="2"/>
  <c r="I2300" i="2"/>
  <c r="J2300" i="2"/>
  <c r="K2300" i="2"/>
  <c r="H2300" i="2"/>
  <c r="J2328" i="2"/>
  <c r="K2328" i="2"/>
  <c r="I356" i="2"/>
  <c r="H356" i="2"/>
  <c r="J356" i="2"/>
  <c r="K356" i="2"/>
  <c r="I914" i="2"/>
  <c r="J914" i="2"/>
  <c r="K914" i="2"/>
  <c r="H914" i="2"/>
  <c r="I2432" i="2"/>
  <c r="H2432" i="2"/>
  <c r="J2432" i="2"/>
  <c r="K2432" i="2"/>
  <c r="H693" i="2"/>
  <c r="J693" i="2"/>
  <c r="K693" i="2"/>
  <c r="J384" i="2"/>
  <c r="K384" i="2"/>
  <c r="H384" i="2"/>
  <c r="I384" i="2"/>
  <c r="J1099" i="2"/>
  <c r="K1099" i="2"/>
  <c r="I1286" i="2"/>
  <c r="I1218" i="2"/>
  <c r="H1218" i="2"/>
  <c r="J1218" i="2"/>
  <c r="K1218" i="2"/>
  <c r="H2465" i="2"/>
  <c r="J1588" i="2"/>
  <c r="K1588" i="2"/>
  <c r="H1588" i="2"/>
  <c r="I1588" i="2"/>
  <c r="J2322" i="2"/>
  <c r="K2322" i="2"/>
  <c r="H2322" i="2"/>
  <c r="H816" i="2"/>
  <c r="H2236" i="2"/>
  <c r="I2236" i="2"/>
  <c r="J2236" i="2"/>
  <c r="K2236" i="2"/>
  <c r="J2547" i="2"/>
  <c r="K2547" i="2"/>
  <c r="I2547" i="2"/>
  <c r="I932" i="2"/>
  <c r="H932" i="2"/>
  <c r="J850" i="2"/>
  <c r="K850" i="2"/>
  <c r="H1068" i="2"/>
  <c r="I649" i="2"/>
  <c r="J649" i="2"/>
  <c r="K649" i="2"/>
  <c r="H649" i="2"/>
  <c r="J2266" i="2"/>
  <c r="K2266" i="2"/>
  <c r="I2266" i="2"/>
  <c r="J803" i="2"/>
  <c r="K803" i="2"/>
  <c r="H803" i="2"/>
  <c r="I803" i="2"/>
  <c r="I355" i="2"/>
  <c r="J769" i="2"/>
  <c r="K769" i="2"/>
  <c r="I769" i="2"/>
  <c r="H769" i="2"/>
  <c r="J2191" i="2"/>
  <c r="K2191" i="2"/>
  <c r="H2191" i="2"/>
  <c r="I2191" i="2"/>
  <c r="J1782" i="2"/>
  <c r="K1782" i="2"/>
  <c r="I184" i="2"/>
  <c r="I810" i="2"/>
  <c r="H625" i="2"/>
  <c r="I601" i="2"/>
  <c r="J1754" i="2"/>
  <c r="K1754" i="2"/>
  <c r="I1463" i="2"/>
  <c r="J1687" i="2"/>
  <c r="K1687" i="2"/>
  <c r="I1592" i="2"/>
  <c r="J633" i="2"/>
  <c r="K633" i="2"/>
  <c r="J211" i="2"/>
  <c r="K211" i="2"/>
  <c r="J1902" i="2"/>
  <c r="K1902" i="2"/>
  <c r="J105" i="2"/>
  <c r="K105" i="2"/>
  <c r="H1536" i="2"/>
  <c r="J1536" i="2"/>
  <c r="K1536" i="2"/>
  <c r="I1536" i="2"/>
  <c r="H632" i="2"/>
  <c r="J632" i="2"/>
  <c r="K632" i="2"/>
  <c r="I632" i="2"/>
  <c r="I1164" i="2"/>
  <c r="J1164" i="2"/>
  <c r="K1164" i="2"/>
  <c r="H1164" i="2"/>
  <c r="H598" i="2"/>
  <c r="J598" i="2"/>
  <c r="K598" i="2"/>
  <c r="H1529" i="2"/>
  <c r="I1529" i="2"/>
  <c r="J1529" i="2"/>
  <c r="K1529" i="2"/>
  <c r="J1189" i="2"/>
  <c r="K1189" i="2"/>
  <c r="I1189" i="2"/>
  <c r="H1189" i="2"/>
  <c r="J40" i="2"/>
  <c r="K40" i="2"/>
  <c r="J1280" i="2"/>
  <c r="K1280" i="2"/>
  <c r="I1280" i="2"/>
  <c r="H1286" i="2"/>
  <c r="J2532" i="2"/>
  <c r="K2532" i="2"/>
  <c r="I2532" i="2"/>
  <c r="H1879" i="2"/>
  <c r="I41" i="2"/>
  <c r="J1996" i="2"/>
  <c r="K1996" i="2"/>
  <c r="I1996" i="2"/>
  <c r="H1841" i="2"/>
  <c r="J1841" i="2"/>
  <c r="K1841" i="2"/>
  <c r="I1841" i="2"/>
  <c r="H1620" i="2"/>
  <c r="J1620" i="2"/>
  <c r="K1620" i="2"/>
  <c r="J1220" i="2"/>
  <c r="K1220" i="2"/>
  <c r="J477" i="2"/>
  <c r="K477" i="2"/>
  <c r="H1870" i="2"/>
  <c r="I1870" i="2"/>
  <c r="J1870" i="2"/>
  <c r="K1870" i="2"/>
  <c r="H588" i="2"/>
  <c r="J588" i="2"/>
  <c r="K588" i="2"/>
  <c r="I373" i="2"/>
  <c r="H373" i="2"/>
  <c r="J373" i="2"/>
  <c r="K373" i="2"/>
  <c r="I152" i="2"/>
  <c r="J152" i="2"/>
  <c r="K152" i="2"/>
  <c r="H152" i="2"/>
  <c r="H73" i="2"/>
  <c r="H2362" i="2"/>
  <c r="I2362" i="2"/>
  <c r="J2362" i="2"/>
  <c r="K2362" i="2"/>
  <c r="H723" i="2"/>
  <c r="H2241" i="2"/>
  <c r="J1401" i="2"/>
  <c r="K1401" i="2"/>
  <c r="I118" i="2"/>
  <c r="J118" i="2"/>
  <c r="K118" i="2"/>
  <c r="J2022" i="2"/>
  <c r="K2022" i="2"/>
  <c r="I2022" i="2"/>
  <c r="H2022" i="2"/>
  <c r="I865" i="2"/>
  <c r="J865" i="2"/>
  <c r="K865" i="2"/>
  <c r="H865" i="2"/>
  <c r="J369" i="2"/>
  <c r="K369" i="2"/>
  <c r="I369" i="2"/>
  <c r="H210" i="2"/>
  <c r="J210" i="2"/>
  <c r="K210" i="2"/>
  <c r="J2075" i="2"/>
  <c r="K2075" i="2"/>
  <c r="H2075" i="2"/>
  <c r="I2075" i="2"/>
  <c r="J1466" i="2"/>
  <c r="K1466" i="2"/>
  <c r="H247" i="2"/>
  <c r="J601" i="2"/>
  <c r="K601" i="2"/>
  <c r="I633" i="2"/>
  <c r="J401" i="2"/>
  <c r="K401" i="2"/>
  <c r="J599" i="2"/>
  <c r="K599" i="2"/>
  <c r="J881" i="2"/>
  <c r="K881" i="2"/>
  <c r="I404" i="2"/>
  <c r="I570" i="2"/>
  <c r="H570" i="2"/>
  <c r="J570" i="2"/>
  <c r="K570" i="2"/>
  <c r="J229" i="2"/>
  <c r="K229" i="2"/>
  <c r="H1596" i="2"/>
  <c r="I1596" i="2"/>
  <c r="J351" i="2"/>
  <c r="K351" i="2"/>
  <c r="H1250" i="2"/>
  <c r="J1250" i="2"/>
  <c r="K1250" i="2"/>
  <c r="I2220" i="2"/>
  <c r="J2220" i="2"/>
  <c r="K2220" i="2"/>
  <c r="I290" i="2"/>
  <c r="J1219" i="2"/>
  <c r="K1219" i="2"/>
  <c r="I1219" i="2"/>
  <c r="J2170" i="2"/>
  <c r="K2170" i="2"/>
  <c r="H2170" i="2"/>
  <c r="I321" i="2"/>
  <c r="I1248" i="2"/>
  <c r="J1248" i="2"/>
  <c r="K1248" i="2"/>
  <c r="H1248" i="2"/>
  <c r="I2137" i="2"/>
  <c r="H2137" i="2"/>
  <c r="J1874" i="2"/>
  <c r="K1874" i="2"/>
  <c r="H556" i="2"/>
  <c r="J556" i="2"/>
  <c r="K556" i="2"/>
  <c r="H2215" i="2"/>
  <c r="I2215" i="2"/>
  <c r="J2215" i="2"/>
  <c r="K2215" i="2"/>
  <c r="J1526" i="2"/>
  <c r="K1526" i="2"/>
  <c r="H259" i="2"/>
  <c r="H1584" i="2"/>
  <c r="J1584" i="2"/>
  <c r="K1584" i="2"/>
  <c r="I1088" i="2"/>
  <c r="J1088" i="2"/>
  <c r="K1088" i="2"/>
  <c r="H1088" i="2"/>
  <c r="J740" i="2"/>
  <c r="K740" i="2"/>
  <c r="H740" i="2"/>
  <c r="I740" i="2"/>
  <c r="I461" i="2"/>
  <c r="J461" i="2"/>
  <c r="K461" i="2"/>
  <c r="H461" i="2"/>
  <c r="I1687" i="2"/>
  <c r="J2257" i="2"/>
  <c r="K2257" i="2"/>
  <c r="J810" i="2"/>
  <c r="K810" i="2"/>
  <c r="I247" i="2"/>
  <c r="H320" i="2"/>
  <c r="I1754" i="2"/>
  <c r="J459" i="2"/>
  <c r="K459" i="2"/>
  <c r="I459" i="2"/>
  <c r="H459" i="2"/>
  <c r="I24" i="2"/>
  <c r="J24" i="2"/>
  <c r="K24" i="2"/>
  <c r="I132" i="2"/>
  <c r="J2069" i="2"/>
  <c r="K2069" i="2"/>
  <c r="H2069" i="2"/>
  <c r="H1210" i="2"/>
  <c r="J1210" i="2"/>
  <c r="K1210" i="2"/>
  <c r="H277" i="2"/>
  <c r="J132" i="2"/>
  <c r="K132" i="2"/>
  <c r="H278" i="2"/>
  <c r="H2525" i="2"/>
  <c r="H1364" i="2"/>
  <c r="J1364" i="2"/>
  <c r="K1364" i="2"/>
  <c r="I1364" i="2"/>
  <c r="H183" i="2"/>
  <c r="I401" i="2"/>
  <c r="I2464" i="2"/>
  <c r="I566" i="2"/>
  <c r="H211" i="2"/>
  <c r="I105" i="2"/>
  <c r="J566" i="2"/>
  <c r="K566" i="2"/>
  <c r="H2220" i="2"/>
  <c r="H973" i="2"/>
  <c r="J307" i="2"/>
  <c r="K307" i="2"/>
  <c r="J2137" i="2"/>
  <c r="K2137" i="2"/>
  <c r="H565" i="2"/>
  <c r="I400" i="2"/>
  <c r="H2502" i="2"/>
  <c r="H1980" i="2"/>
  <c r="J1980" i="2"/>
  <c r="K1980" i="2"/>
  <c r="I1980" i="2"/>
  <c r="I1618" i="2"/>
  <c r="J1618" i="2"/>
  <c r="K1618" i="2"/>
  <c r="H1216" i="2"/>
  <c r="J1216" i="2"/>
  <c r="K1216" i="2"/>
  <c r="N2725" i="2"/>
  <c r="N2759" i="2"/>
  <c r="N2739" i="2"/>
  <c r="N2726" i="2"/>
  <c r="N2727" i="2"/>
  <c r="N2729" i="2"/>
  <c r="N2761" i="2"/>
  <c r="N2730" i="2"/>
  <c r="N2741" i="2"/>
  <c r="N2742" i="2"/>
  <c r="N2743" i="2"/>
  <c r="N2754" i="2"/>
  <c r="N2755" i="2"/>
  <c r="N2757" i="2"/>
  <c r="N2758" i="2"/>
  <c r="N2728" i="2"/>
  <c r="N2760" i="2"/>
  <c r="N2731" i="2"/>
  <c r="N2745" i="2"/>
  <c r="N2756" i="2"/>
  <c r="N2762" i="2"/>
  <c r="N2763" i="2"/>
  <c r="N2732" i="2"/>
  <c r="N2740" i="2"/>
  <c r="N2744" i="2"/>
  <c r="N2746" i="2"/>
  <c r="N2737" i="2"/>
  <c r="N2738" i="2"/>
  <c r="N2733" i="2"/>
  <c r="N2749" i="2"/>
  <c r="N2751" i="2"/>
  <c r="N2747" i="2"/>
  <c r="N2752" i="2"/>
  <c r="N2736" i="2"/>
  <c r="N2753" i="2"/>
  <c r="N2750" i="2"/>
  <c r="N2735" i="2"/>
  <c r="N2748" i="2"/>
  <c r="N2734" i="2"/>
  <c r="J2434" i="2"/>
  <c r="K2434" i="2"/>
  <c r="I2434" i="2"/>
  <c r="J2407" i="2"/>
  <c r="K2407" i="2"/>
  <c r="J22" i="2"/>
  <c r="K22" i="2"/>
  <c r="I1020" i="2"/>
  <c r="I217" i="2"/>
  <c r="J217" i="2"/>
  <c r="K217" i="2"/>
  <c r="I155" i="2"/>
  <c r="J155" i="2"/>
  <c r="K155" i="2"/>
  <c r="I2222" i="2"/>
  <c r="H2222" i="2"/>
  <c r="J2222" i="2"/>
  <c r="K2222" i="2"/>
  <c r="H2258" i="2"/>
  <c r="I2258" i="2"/>
  <c r="H2169" i="2"/>
  <c r="H2407" i="2"/>
  <c r="J1020" i="2"/>
  <c r="K1020" i="2"/>
  <c r="I2112" i="2"/>
  <c r="J2112" i="2"/>
  <c r="K2112" i="2"/>
  <c r="J2166" i="2"/>
  <c r="K2166" i="2"/>
  <c r="H2166" i="2"/>
  <c r="J2533" i="2"/>
  <c r="K2533" i="2"/>
  <c r="H2533" i="2"/>
  <c r="I675" i="2"/>
  <c r="J675" i="2"/>
  <c r="K675" i="2"/>
  <c r="J733" i="2"/>
  <c r="K733" i="2"/>
  <c r="H733" i="2"/>
  <c r="J609" i="2"/>
  <c r="K609" i="2"/>
  <c r="I609" i="2"/>
  <c r="H675" i="2"/>
  <c r="J54" i="2"/>
  <c r="K54" i="2"/>
  <c r="J1698" i="2"/>
  <c r="K1698" i="2"/>
  <c r="I1208" i="2"/>
  <c r="I1141" i="2"/>
  <c r="H1141" i="2"/>
  <c r="I236" i="2"/>
  <c r="H236" i="2"/>
  <c r="J236" i="2"/>
  <c r="K236" i="2"/>
  <c r="J1297" i="2"/>
  <c r="K1297" i="2"/>
  <c r="H1297" i="2"/>
  <c r="H54" i="2"/>
  <c r="I2132" i="2"/>
  <c r="I172" i="2"/>
  <c r="J172" i="2"/>
  <c r="K172" i="2"/>
  <c r="H2307" i="2"/>
  <c r="I2307" i="2"/>
  <c r="I1672" i="2"/>
  <c r="H1672" i="2"/>
  <c r="J706" i="2"/>
  <c r="K706" i="2"/>
  <c r="I706" i="2"/>
  <c r="H706" i="2"/>
  <c r="I218" i="2"/>
  <c r="I2414" i="2"/>
  <c r="H2414" i="2"/>
  <c r="H218" i="2"/>
  <c r="I1669" i="2"/>
  <c r="H1669" i="2"/>
  <c r="H176" i="2"/>
  <c r="J176" i="2"/>
  <c r="K176" i="2"/>
  <c r="J793" i="2"/>
  <c r="K793" i="2"/>
  <c r="I793" i="2"/>
  <c r="J79" i="2"/>
  <c r="K79" i="2"/>
  <c r="I79" i="2"/>
  <c r="H2582" i="2"/>
  <c r="I2582" i="2"/>
  <c r="I2291" i="2"/>
  <c r="J1824" i="2"/>
  <c r="K1824" i="2"/>
  <c r="J2073" i="2"/>
  <c r="K2073" i="2"/>
  <c r="J1449" i="2"/>
  <c r="K1449" i="2"/>
  <c r="J1575" i="2"/>
  <c r="K1575" i="2"/>
  <c r="I1051" i="2"/>
  <c r="J241" i="2"/>
  <c r="K241" i="2"/>
  <c r="I2158" i="2"/>
  <c r="H983" i="2"/>
  <c r="J2159" i="2"/>
  <c r="K2159" i="2"/>
  <c r="H79" i="2"/>
  <c r="J988" i="2"/>
  <c r="K988" i="2"/>
  <c r="J1696" i="2"/>
  <c r="K1696" i="2"/>
  <c r="H1696" i="2"/>
  <c r="I1571" i="2"/>
  <c r="H1355" i="2"/>
  <c r="J1355" i="2"/>
  <c r="K1355" i="2"/>
  <c r="I457" i="2"/>
  <c r="J457" i="2"/>
  <c r="K457" i="2"/>
  <c r="I1389" i="2"/>
  <c r="J1208" i="2"/>
  <c r="K1208" i="2"/>
  <c r="I1449" i="2"/>
  <c r="J1416" i="2"/>
  <c r="K1416" i="2"/>
  <c r="J1323" i="2"/>
  <c r="K1323" i="2"/>
  <c r="H1323" i="2"/>
  <c r="H2330" i="2"/>
  <c r="I2330" i="2"/>
  <c r="J2368" i="2"/>
  <c r="K2368" i="2"/>
  <c r="I2368" i="2"/>
  <c r="I581" i="2"/>
  <c r="H581" i="2"/>
  <c r="H2447" i="2"/>
  <c r="I2422" i="2"/>
  <c r="J2422" i="2"/>
  <c r="K2422" i="2"/>
  <c r="I367" i="2"/>
  <c r="I1114" i="2"/>
  <c r="H1573" i="2"/>
  <c r="I1573" i="2"/>
  <c r="H1172" i="2"/>
  <c r="I1172" i="2"/>
  <c r="J2234" i="2"/>
  <c r="K2234" i="2"/>
  <c r="H2234" i="2"/>
  <c r="I2130" i="2"/>
  <c r="I241" i="2"/>
  <c r="J578" i="2"/>
  <c r="K578" i="2"/>
  <c r="J2132" i="2"/>
  <c r="K2132" i="2"/>
  <c r="H2040" i="2"/>
  <c r="I2040" i="2"/>
  <c r="H1760" i="2"/>
  <c r="I1760" i="2"/>
  <c r="J1384" i="2"/>
  <c r="K1384" i="2"/>
  <c r="H1384" i="2"/>
  <c r="H611" i="2"/>
  <c r="J367" i="2"/>
  <c r="K367" i="2"/>
  <c r="J983" i="2"/>
  <c r="K983" i="2"/>
  <c r="I2159" i="2"/>
  <c r="H988" i="2"/>
  <c r="I188" i="2"/>
  <c r="I1726" i="2"/>
  <c r="I2082" i="2"/>
  <c r="J216" i="2"/>
  <c r="K216" i="2"/>
  <c r="H2190" i="2"/>
  <c r="I2347" i="2"/>
  <c r="H1599" i="2"/>
  <c r="J326" i="2"/>
  <c r="K326" i="2"/>
  <c r="I326" i="2"/>
  <c r="H326" i="2"/>
  <c r="J75" i="2"/>
  <c r="K75" i="2"/>
  <c r="H75" i="2"/>
  <c r="I2179" i="2"/>
  <c r="H2179" i="2"/>
  <c r="H55" i="2"/>
  <c r="I2603" i="2"/>
  <c r="I1638" i="2"/>
  <c r="J1638" i="2"/>
  <c r="K1638" i="2"/>
  <c r="H2189" i="2"/>
  <c r="I2189" i="2"/>
  <c r="J2189" i="2"/>
  <c r="K2189" i="2"/>
  <c r="J1114" i="2"/>
  <c r="K1114" i="2"/>
  <c r="J2373" i="2"/>
  <c r="K2373" i="2"/>
  <c r="H2373" i="2"/>
  <c r="J93" i="2"/>
  <c r="K93" i="2"/>
  <c r="H23" i="2"/>
  <c r="I2371" i="2"/>
  <c r="J2371" i="2"/>
  <c r="K2371" i="2"/>
  <c r="I1575" i="2"/>
  <c r="H702" i="2"/>
  <c r="H188" i="2"/>
  <c r="J2190" i="2"/>
  <c r="K2190" i="2"/>
  <c r="I733" i="2"/>
  <c r="I989" i="2"/>
  <c r="I1297" i="2"/>
  <c r="I703" i="2"/>
  <c r="I731" i="2"/>
  <c r="H2082" i="2"/>
  <c r="I2534" i="2"/>
  <c r="H1724" i="2"/>
  <c r="J1724" i="2"/>
  <c r="K1724" i="2"/>
  <c r="J1442" i="2"/>
  <c r="K1442" i="2"/>
  <c r="I1442" i="2"/>
  <c r="J136" i="2"/>
  <c r="K136" i="2"/>
  <c r="H136" i="2"/>
  <c r="I136" i="2"/>
  <c r="H2364" i="2"/>
  <c r="I2364" i="2"/>
  <c r="J715" i="2"/>
  <c r="K715" i="2"/>
  <c r="N1569" i="2"/>
  <c r="I1645" i="2"/>
  <c r="N1132" i="2"/>
  <c r="I251" i="2"/>
  <c r="J2354" i="2"/>
  <c r="K2354" i="2"/>
  <c r="J546" i="2"/>
  <c r="K546" i="2"/>
  <c r="H546" i="2"/>
  <c r="H1275" i="2"/>
  <c r="I546" i="2"/>
  <c r="H623" i="2"/>
  <c r="J409" i="2"/>
  <c r="K409" i="2"/>
  <c r="I409" i="2"/>
  <c r="H409" i="2"/>
  <c r="J498" i="2"/>
  <c r="K498" i="2"/>
  <c r="I498" i="2"/>
  <c r="H498" i="2"/>
  <c r="I1611" i="2"/>
  <c r="H1611" i="2"/>
  <c r="J1611" i="2"/>
  <c r="K1611" i="2"/>
  <c r="J1061" i="2"/>
  <c r="K1061" i="2"/>
  <c r="I1061" i="2"/>
  <c r="H1061" i="2"/>
  <c r="H807" i="2"/>
  <c r="J807" i="2"/>
  <c r="K807" i="2"/>
  <c r="H653" i="2"/>
  <c r="I653" i="2"/>
  <c r="J653" i="2"/>
  <c r="K653" i="2"/>
  <c r="I1425" i="2"/>
  <c r="J1425" i="2"/>
  <c r="K1425" i="2"/>
  <c r="H1425" i="2"/>
  <c r="H1242" i="2"/>
  <c r="J1242" i="2"/>
  <c r="K1242" i="2"/>
  <c r="I1242" i="2"/>
  <c r="H1060" i="2"/>
  <c r="J1060" i="2"/>
  <c r="K1060" i="2"/>
  <c r="I1060" i="2"/>
  <c r="J496" i="2"/>
  <c r="K496" i="2"/>
  <c r="H496" i="2"/>
  <c r="I496" i="2"/>
  <c r="J312" i="2"/>
  <c r="K312" i="2"/>
  <c r="I312" i="2"/>
  <c r="H312" i="2"/>
  <c r="I1735" i="2"/>
  <c r="J1735" i="2"/>
  <c r="K1735" i="2"/>
  <c r="H1735" i="2"/>
  <c r="H1059" i="2"/>
  <c r="J1059" i="2"/>
  <c r="K1059" i="2"/>
  <c r="I1059" i="2"/>
  <c r="I711" i="2"/>
  <c r="J711" i="2"/>
  <c r="K711" i="2"/>
  <c r="I620" i="2"/>
  <c r="H620" i="2"/>
  <c r="J620" i="2"/>
  <c r="K620" i="2"/>
  <c r="H589" i="2"/>
  <c r="I589" i="2"/>
  <c r="J589" i="2"/>
  <c r="K589" i="2"/>
  <c r="H557" i="2"/>
  <c r="J557" i="2"/>
  <c r="K557" i="2"/>
  <c r="J405" i="2"/>
  <c r="K405" i="2"/>
  <c r="H405" i="2"/>
  <c r="I405" i="2"/>
  <c r="J280" i="2"/>
  <c r="K280" i="2"/>
  <c r="I280" i="2"/>
  <c r="H280" i="2"/>
  <c r="H249" i="2"/>
  <c r="J249" i="2"/>
  <c r="K249" i="2"/>
  <c r="H1244" i="2"/>
  <c r="H410" i="2"/>
  <c r="I1392" i="2"/>
  <c r="J1392" i="2"/>
  <c r="K1392" i="2"/>
  <c r="H1241" i="2"/>
  <c r="J1241" i="2"/>
  <c r="K1241" i="2"/>
  <c r="J899" i="2"/>
  <c r="K899" i="2"/>
  <c r="I899" i="2"/>
  <c r="I710" i="2"/>
  <c r="H710" i="2"/>
  <c r="J710" i="2"/>
  <c r="K710" i="2"/>
  <c r="H619" i="2"/>
  <c r="J619" i="2"/>
  <c r="K619" i="2"/>
  <c r="I619" i="2"/>
  <c r="H529" i="2"/>
  <c r="I529" i="2"/>
  <c r="J1426" i="2"/>
  <c r="K1426" i="2"/>
  <c r="H1426" i="2"/>
  <c r="I1426" i="2"/>
  <c r="J934" i="2"/>
  <c r="K934" i="2"/>
  <c r="I934" i="2"/>
  <c r="H934" i="2"/>
  <c r="H683" i="2"/>
  <c r="J683" i="2"/>
  <c r="K683" i="2"/>
  <c r="I683" i="2"/>
  <c r="J1394" i="2"/>
  <c r="K1394" i="2"/>
  <c r="H1394" i="2"/>
  <c r="H1424" i="2"/>
  <c r="J1424" i="2"/>
  <c r="K1424" i="2"/>
  <c r="I1424" i="2"/>
  <c r="I1211" i="2"/>
  <c r="H1211" i="2"/>
  <c r="J1515" i="2"/>
  <c r="K1515" i="2"/>
  <c r="I1515" i="2"/>
  <c r="H1515" i="2"/>
  <c r="J1422" i="2"/>
  <c r="K1422" i="2"/>
  <c r="H1422" i="2"/>
  <c r="I1422" i="2"/>
  <c r="H930" i="2"/>
  <c r="J930" i="2"/>
  <c r="K930" i="2"/>
  <c r="I930" i="2"/>
  <c r="H1920" i="2"/>
  <c r="J1920" i="2"/>
  <c r="K1920" i="2"/>
  <c r="I1920" i="2"/>
  <c r="H1514" i="2"/>
  <c r="I1514" i="2"/>
  <c r="J1514" i="2"/>
  <c r="K1514" i="2"/>
  <c r="I1421" i="2"/>
  <c r="J1421" i="2"/>
  <c r="K1421" i="2"/>
  <c r="H1362" i="2"/>
  <c r="I1362" i="2"/>
  <c r="J1362" i="2"/>
  <c r="K1362" i="2"/>
  <c r="H190" i="2"/>
  <c r="J190" i="2"/>
  <c r="K190" i="2"/>
  <c r="I190" i="2"/>
  <c r="H1391" i="2"/>
  <c r="J1391" i="2"/>
  <c r="K1391" i="2"/>
  <c r="I961" i="2"/>
  <c r="J961" i="2"/>
  <c r="K961" i="2"/>
  <c r="H961" i="2"/>
  <c r="J898" i="2"/>
  <c r="K898" i="2"/>
  <c r="I898" i="2"/>
  <c r="H898" i="2"/>
  <c r="H224" i="2"/>
  <c r="I1091" i="2"/>
  <c r="N311" i="2"/>
  <c r="I1513" i="2"/>
  <c r="H1513" i="2"/>
  <c r="H1450" i="2"/>
  <c r="J1450" i="2"/>
  <c r="K1450" i="2"/>
  <c r="I2147" i="2"/>
  <c r="H2147" i="2"/>
  <c r="H935" i="2"/>
  <c r="I935" i="2"/>
  <c r="J935" i="2"/>
  <c r="K935" i="2"/>
  <c r="H1366" i="2"/>
  <c r="J1366" i="2"/>
  <c r="K1366" i="2"/>
  <c r="I1366" i="2"/>
  <c r="I1336" i="2"/>
  <c r="H1336" i="2"/>
  <c r="J1336" i="2"/>
  <c r="K1336" i="2"/>
  <c r="H965" i="2"/>
  <c r="I965" i="2"/>
  <c r="J965" i="2"/>
  <c r="K965" i="2"/>
  <c r="I713" i="2"/>
  <c r="H713" i="2"/>
  <c r="J1335" i="2"/>
  <c r="K1335" i="2"/>
  <c r="I1335" i="2"/>
  <c r="H1335" i="2"/>
  <c r="H344" i="2"/>
  <c r="J344" i="2"/>
  <c r="K344" i="2"/>
  <c r="I344" i="2"/>
  <c r="H281" i="2"/>
  <c r="J281" i="2"/>
  <c r="K281" i="2"/>
  <c r="J95" i="2"/>
  <c r="K95" i="2"/>
  <c r="H95" i="2"/>
  <c r="I95" i="2"/>
  <c r="H1090" i="2"/>
  <c r="J1090" i="2"/>
  <c r="K1090" i="2"/>
  <c r="I1090" i="2"/>
  <c r="I773" i="2"/>
  <c r="J773" i="2"/>
  <c r="K773" i="2"/>
  <c r="I742" i="2"/>
  <c r="H742" i="2"/>
  <c r="J742" i="2"/>
  <c r="K742" i="2"/>
  <c r="J681" i="2"/>
  <c r="K681" i="2"/>
  <c r="I681" i="2"/>
  <c r="H681" i="2"/>
  <c r="J651" i="2"/>
  <c r="K651" i="2"/>
  <c r="I651" i="2"/>
  <c r="I1244" i="2"/>
  <c r="I2072" i="2"/>
  <c r="J2072" i="2"/>
  <c r="K2072" i="2"/>
  <c r="H2072" i="2"/>
  <c r="H1981" i="2"/>
  <c r="J1981" i="2"/>
  <c r="K1981" i="2"/>
  <c r="I224" i="2"/>
  <c r="J1091" i="2"/>
  <c r="K1091" i="2"/>
  <c r="I1979" i="2"/>
  <c r="J1979" i="2"/>
  <c r="K1979" i="2"/>
  <c r="H1636" i="2"/>
  <c r="J1636" i="2"/>
  <c r="K1636" i="2"/>
  <c r="I1544" i="2"/>
  <c r="J1544" i="2"/>
  <c r="K1544" i="2"/>
  <c r="H1303" i="2"/>
  <c r="H2010" i="2"/>
  <c r="I2010" i="2"/>
  <c r="J2010" i="2"/>
  <c r="K2010" i="2"/>
  <c r="H1276" i="2"/>
  <c r="I1276" i="2"/>
  <c r="H1213" i="2"/>
  <c r="J1213" i="2"/>
  <c r="K1213" i="2"/>
  <c r="H996" i="2"/>
  <c r="J996" i="2"/>
  <c r="K996" i="2"/>
  <c r="I996" i="2"/>
  <c r="J189" i="2"/>
  <c r="K189" i="2"/>
  <c r="H189" i="2"/>
  <c r="I189" i="2"/>
  <c r="H1393" i="2"/>
  <c r="J1393" i="2"/>
  <c r="K1393" i="2"/>
  <c r="H869" i="2"/>
  <c r="I869" i="2"/>
  <c r="J869" i="2"/>
  <c r="K869" i="2"/>
  <c r="I526" i="2"/>
  <c r="H526" i="2"/>
  <c r="J526" i="2"/>
  <c r="K526" i="2"/>
  <c r="J1921" i="2"/>
  <c r="K1921" i="2"/>
  <c r="H1921" i="2"/>
  <c r="I1921" i="2"/>
  <c r="J1211" i="2"/>
  <c r="K1211" i="2"/>
  <c r="H219" i="2"/>
  <c r="I1303" i="2"/>
  <c r="I249" i="2"/>
  <c r="J219" i="2"/>
  <c r="K219" i="2"/>
  <c r="J194" i="2"/>
  <c r="K194" i="2"/>
  <c r="I194" i="2"/>
  <c r="H194" i="2"/>
  <c r="H161" i="2"/>
  <c r="I161" i="2"/>
  <c r="J967" i="2"/>
  <c r="K967" i="2"/>
  <c r="H967" i="2"/>
  <c r="H438" i="2"/>
  <c r="I438" i="2"/>
  <c r="J438" i="2"/>
  <c r="K438" i="2"/>
  <c r="H222" i="2"/>
  <c r="I222" i="2"/>
  <c r="I1123" i="2"/>
  <c r="J1123" i="2"/>
  <c r="K1123" i="2"/>
  <c r="J903" i="2"/>
  <c r="K903" i="2"/>
  <c r="H903" i="2"/>
  <c r="I903" i="2"/>
  <c r="I314" i="2"/>
  <c r="J314" i="2"/>
  <c r="K314" i="2"/>
  <c r="H314" i="2"/>
  <c r="I1185" i="2"/>
  <c r="J730" i="2"/>
  <c r="K730" i="2"/>
  <c r="I730" i="2"/>
  <c r="H484" i="2"/>
  <c r="J484" i="2"/>
  <c r="K484" i="2"/>
  <c r="I484" i="2"/>
  <c r="J267" i="2"/>
  <c r="K267" i="2"/>
  <c r="H267" i="2"/>
  <c r="I1198" i="2"/>
  <c r="J1198" i="2"/>
  <c r="K1198" i="2"/>
  <c r="H886" i="2"/>
  <c r="J886" i="2"/>
  <c r="K886" i="2"/>
  <c r="I886" i="2"/>
  <c r="H714" i="2"/>
  <c r="H1407" i="2"/>
  <c r="J1407" i="2"/>
  <c r="K1407" i="2"/>
  <c r="J684" i="2"/>
  <c r="K684" i="2"/>
  <c r="I684" i="2"/>
  <c r="H684" i="2"/>
  <c r="H363" i="2"/>
  <c r="I363" i="2"/>
  <c r="I1014" i="2"/>
  <c r="J1014" i="2"/>
  <c r="K1014" i="2"/>
  <c r="J761" i="2"/>
  <c r="K761" i="2"/>
  <c r="I761" i="2"/>
  <c r="J668" i="2"/>
  <c r="K668" i="2"/>
  <c r="I668" i="2"/>
  <c r="I1502" i="2"/>
  <c r="J1502" i="2"/>
  <c r="K1502" i="2"/>
  <c r="H1502" i="2"/>
  <c r="H1319" i="2"/>
  <c r="J1319" i="2"/>
  <c r="K1319" i="2"/>
  <c r="I1319" i="2"/>
  <c r="H1937" i="2"/>
  <c r="J1937" i="2"/>
  <c r="K1937" i="2"/>
  <c r="I1937" i="2"/>
  <c r="J1533" i="2"/>
  <c r="K1533" i="2"/>
  <c r="H1533" i="2"/>
  <c r="I623" i="2"/>
  <c r="H741" i="2"/>
  <c r="H772" i="2"/>
  <c r="I741" i="2"/>
  <c r="I1562" i="2"/>
  <c r="J1562" i="2"/>
  <c r="K1562" i="2"/>
  <c r="H162" i="2"/>
  <c r="I162" i="2"/>
  <c r="J162" i="2"/>
  <c r="K162" i="2"/>
  <c r="J592" i="2"/>
  <c r="K592" i="2"/>
  <c r="H592" i="2"/>
  <c r="I592" i="2"/>
  <c r="H1108" i="2"/>
  <c r="J1108" i="2"/>
  <c r="K1108" i="2"/>
  <c r="I856" i="2"/>
  <c r="J856" i="2"/>
  <c r="K856" i="2"/>
  <c r="H856" i="2"/>
  <c r="H698" i="2"/>
  <c r="J698" i="2"/>
  <c r="K698" i="2"/>
  <c r="I698" i="2"/>
  <c r="H1499" i="2"/>
  <c r="I1499" i="2"/>
  <c r="J1499" i="2"/>
  <c r="K1499" i="2"/>
  <c r="I1394" i="2"/>
  <c r="I237" i="2"/>
  <c r="J772" i="2"/>
  <c r="K772" i="2"/>
  <c r="J223" i="2"/>
  <c r="K223" i="2"/>
  <c r="H223" i="2"/>
  <c r="I223" i="2"/>
  <c r="I936" i="2"/>
  <c r="J936" i="2"/>
  <c r="K936" i="2"/>
  <c r="H936" i="2"/>
  <c r="I1337" i="2"/>
  <c r="J1337" i="2"/>
  <c r="K1337" i="2"/>
  <c r="H1337" i="2"/>
  <c r="I1062" i="2"/>
  <c r="H1062" i="2"/>
  <c r="J1062" i="2"/>
  <c r="K1062" i="2"/>
  <c r="H346" i="2"/>
  <c r="J346" i="2"/>
  <c r="K346" i="2"/>
  <c r="I346" i="2"/>
  <c r="I2156" i="2"/>
  <c r="H2156" i="2"/>
  <c r="J2156" i="2"/>
  <c r="K2156" i="2"/>
  <c r="I1441" i="2"/>
  <c r="H1441" i="2"/>
  <c r="H729" i="2"/>
  <c r="J729" i="2"/>
  <c r="K729" i="2"/>
  <c r="I729" i="2"/>
  <c r="H360" i="2"/>
  <c r="J360" i="2"/>
  <c r="K360" i="2"/>
  <c r="I360" i="2"/>
  <c r="J1276" i="2"/>
  <c r="K1276" i="2"/>
  <c r="J1043" i="2"/>
  <c r="K1043" i="2"/>
  <c r="I1043" i="2"/>
  <c r="H1043" i="2"/>
  <c r="H727" i="2"/>
  <c r="I727" i="2"/>
  <c r="J727" i="2"/>
  <c r="K727" i="2"/>
  <c r="H2269" i="2"/>
  <c r="J2269" i="2"/>
  <c r="K2269" i="2"/>
  <c r="J873" i="2"/>
  <c r="K873" i="2"/>
  <c r="H873" i="2"/>
  <c r="J192" i="2"/>
  <c r="K192" i="2"/>
  <c r="H192" i="2"/>
  <c r="I192" i="2"/>
  <c r="J966" i="2"/>
  <c r="K966" i="2"/>
  <c r="H966" i="2"/>
  <c r="I966" i="2"/>
  <c r="H560" i="2"/>
  <c r="I560" i="2"/>
  <c r="J560" i="2"/>
  <c r="K560" i="2"/>
  <c r="J283" i="2"/>
  <c r="K283" i="2"/>
  <c r="H283" i="2"/>
  <c r="I283" i="2"/>
  <c r="H177" i="2"/>
  <c r="J177" i="2"/>
  <c r="K177" i="2"/>
  <c r="I177" i="2"/>
  <c r="J485" i="2"/>
  <c r="K485" i="2"/>
  <c r="H485" i="2"/>
  <c r="I268" i="2"/>
  <c r="J268" i="2"/>
  <c r="K268" i="2"/>
  <c r="H82" i="2"/>
  <c r="I82" i="2"/>
  <c r="J82" i="2"/>
  <c r="K82" i="2"/>
  <c r="J792" i="2"/>
  <c r="K792" i="2"/>
  <c r="H792" i="2"/>
  <c r="I792" i="2"/>
  <c r="H2188" i="2"/>
  <c r="I2188" i="2"/>
  <c r="N2303" i="2"/>
  <c r="J1138" i="2"/>
  <c r="K1138" i="2"/>
  <c r="I1138" i="2"/>
  <c r="J714" i="2"/>
  <c r="K714" i="2"/>
  <c r="J1287" i="2"/>
  <c r="K1287" i="2"/>
  <c r="H1287" i="2"/>
  <c r="I158" i="2"/>
  <c r="J237" i="2"/>
  <c r="K237" i="2"/>
  <c r="I2101" i="2"/>
  <c r="H2101" i="2"/>
  <c r="H2665" i="2"/>
  <c r="J2665" i="2"/>
  <c r="I2173" i="2"/>
  <c r="J2173" i="2"/>
  <c r="K2173" i="2"/>
  <c r="I1093" i="2"/>
  <c r="H1093" i="2"/>
  <c r="J437" i="2"/>
  <c r="K437" i="2"/>
  <c r="I437" i="2"/>
  <c r="H437" i="2"/>
  <c r="J53" i="2"/>
  <c r="K53" i="2"/>
  <c r="H53" i="2"/>
  <c r="I53" i="2"/>
  <c r="J453" i="2"/>
  <c r="K453" i="2"/>
  <c r="H453" i="2"/>
  <c r="I453" i="2"/>
  <c r="I998" i="2"/>
  <c r="H639" i="2"/>
  <c r="J639" i="2"/>
  <c r="K639" i="2"/>
  <c r="I639" i="2"/>
  <c r="H1320" i="2"/>
  <c r="I1320" i="2"/>
  <c r="I1077" i="2"/>
  <c r="H1077" i="2"/>
  <c r="J1077" i="2"/>
  <c r="K1077" i="2"/>
  <c r="H823" i="2"/>
  <c r="J823" i="2"/>
  <c r="K823" i="2"/>
  <c r="I823" i="2"/>
  <c r="J2129" i="2"/>
  <c r="K2129" i="2"/>
  <c r="I2129" i="2"/>
  <c r="H2129" i="2"/>
  <c r="H1409" i="2"/>
  <c r="J1409" i="2"/>
  <c r="K1409" i="2"/>
  <c r="I1409" i="2"/>
  <c r="I574" i="2"/>
  <c r="J574" i="2"/>
  <c r="K574" i="2"/>
  <c r="H574" i="2"/>
  <c r="I1391" i="2"/>
  <c r="I884" i="2"/>
  <c r="H884" i="2"/>
  <c r="J884" i="2"/>
  <c r="K884" i="2"/>
  <c r="I636" i="2"/>
  <c r="J636" i="2"/>
  <c r="K636" i="2"/>
  <c r="I1636" i="2"/>
  <c r="H761" i="2"/>
  <c r="I281" i="2"/>
  <c r="H711" i="2"/>
  <c r="J713" i="2"/>
  <c r="K713" i="2"/>
  <c r="J410" i="2"/>
  <c r="K410" i="2"/>
  <c r="I2230" i="2"/>
  <c r="H2230" i="2"/>
  <c r="J2230" i="2"/>
  <c r="K2230" i="2"/>
  <c r="H129" i="2"/>
  <c r="I129" i="2"/>
  <c r="J129" i="2"/>
  <c r="K129" i="2"/>
  <c r="I904" i="2"/>
  <c r="H904" i="2"/>
  <c r="J904" i="2"/>
  <c r="K904" i="2"/>
  <c r="H654" i="2"/>
  <c r="J654" i="2"/>
  <c r="K654" i="2"/>
  <c r="J950" i="2"/>
  <c r="K950" i="2"/>
  <c r="H950" i="2"/>
  <c r="H699" i="2"/>
  <c r="J699" i="2"/>
  <c r="K699" i="2"/>
  <c r="J513" i="2"/>
  <c r="K513" i="2"/>
  <c r="I513" i="2"/>
  <c r="J1288" i="2"/>
  <c r="K1288" i="2"/>
  <c r="H1288" i="2"/>
  <c r="I1288" i="2"/>
  <c r="I1107" i="2"/>
  <c r="H1107" i="2"/>
  <c r="J1107" i="2"/>
  <c r="K1107" i="2"/>
  <c r="H1564" i="2"/>
  <c r="J1564" i="2"/>
  <c r="K1564" i="2"/>
  <c r="I1564" i="2"/>
  <c r="H268" i="2"/>
  <c r="I2214" i="2"/>
  <c r="J2214" i="2"/>
  <c r="K2214" i="2"/>
  <c r="J2359" i="2"/>
  <c r="K2359" i="2"/>
  <c r="I2359" i="2"/>
  <c r="H2359" i="2"/>
  <c r="N2451" i="2"/>
  <c r="N1884" i="2"/>
  <c r="I678" i="2"/>
  <c r="J678" i="2"/>
  <c r="K678" i="2"/>
  <c r="J1666" i="2"/>
  <c r="K1666" i="2"/>
  <c r="H1666" i="2"/>
  <c r="H2080" i="2"/>
  <c r="I2080" i="2"/>
  <c r="H2569" i="2"/>
  <c r="I2569" i="2"/>
  <c r="I2142" i="2"/>
  <c r="I2168" i="2"/>
  <c r="J2286" i="2"/>
  <c r="K2286" i="2"/>
  <c r="I2374" i="2"/>
  <c r="H1134" i="2"/>
  <c r="J1469" i="2"/>
  <c r="K1469" i="2"/>
  <c r="J1659" i="2"/>
  <c r="K1659" i="2"/>
  <c r="H148" i="2"/>
  <c r="H1561" i="2"/>
  <c r="H262" i="2"/>
  <c r="J2545" i="2"/>
  <c r="K2545" i="2"/>
  <c r="H2003" i="2"/>
  <c r="I2003" i="2"/>
  <c r="J1971" i="2"/>
  <c r="K1971" i="2"/>
  <c r="H1971" i="2"/>
  <c r="J1819" i="2"/>
  <c r="K1819" i="2"/>
  <c r="H1819" i="2"/>
  <c r="I1757" i="2"/>
  <c r="H1665" i="2"/>
  <c r="J1665" i="2"/>
  <c r="K1665" i="2"/>
  <c r="I1665" i="2"/>
  <c r="J1602" i="2"/>
  <c r="K1602" i="2"/>
  <c r="I1602" i="2"/>
  <c r="J1510" i="2"/>
  <c r="K1510" i="2"/>
  <c r="H1510" i="2"/>
  <c r="I1510" i="2"/>
  <c r="I1479" i="2"/>
  <c r="H1479" i="2"/>
  <c r="J1479" i="2"/>
  <c r="K1479" i="2"/>
  <c r="H1206" i="2"/>
  <c r="I1206" i="2"/>
  <c r="J2628" i="2"/>
  <c r="K2628" i="2"/>
  <c r="H2628" i="2"/>
  <c r="H1377" i="2"/>
  <c r="I1667" i="2"/>
  <c r="H1667" i="2"/>
  <c r="J432" i="2"/>
  <c r="K432" i="2"/>
  <c r="I432" i="2"/>
  <c r="H2286" i="2"/>
  <c r="I1561" i="2"/>
  <c r="J1820" i="2"/>
  <c r="K1820" i="2"/>
  <c r="H1820" i="2"/>
  <c r="I1820" i="2"/>
  <c r="I2194" i="2"/>
  <c r="J2374" i="2"/>
  <c r="K2374" i="2"/>
  <c r="H2002" i="2"/>
  <c r="J2002" i="2"/>
  <c r="K2002" i="2"/>
  <c r="H1695" i="2"/>
  <c r="J1695" i="2"/>
  <c r="K1695" i="2"/>
  <c r="I1695" i="2"/>
  <c r="H1601" i="2"/>
  <c r="I1601" i="2"/>
  <c r="I90" i="2"/>
  <c r="J90" i="2"/>
  <c r="K90" i="2"/>
  <c r="H90" i="2"/>
  <c r="I1959" i="2"/>
  <c r="H1972" i="2"/>
  <c r="J2307" i="2"/>
  <c r="K2307" i="2"/>
  <c r="J1166" i="2"/>
  <c r="K1166" i="2"/>
  <c r="I2627" i="2"/>
  <c r="I151" i="2"/>
  <c r="J151" i="2"/>
  <c r="K151" i="2"/>
  <c r="H2658" i="2"/>
  <c r="J2658" i="2"/>
  <c r="H1936" i="2"/>
  <c r="H1986" i="2"/>
  <c r="I488" i="2"/>
  <c r="I2393" i="2"/>
  <c r="I1851" i="2"/>
  <c r="H1618" i="2"/>
  <c r="J1141" i="2"/>
  <c r="K1141" i="2"/>
  <c r="I1783" i="2"/>
  <c r="J2003" i="2"/>
  <c r="K2003" i="2"/>
  <c r="I1322" i="2"/>
  <c r="I2583" i="2"/>
  <c r="H2032" i="2"/>
  <c r="I2032" i="2"/>
  <c r="J2032" i="2"/>
  <c r="K2032" i="2"/>
  <c r="H1909" i="2"/>
  <c r="I1909" i="2"/>
  <c r="H1816" i="2"/>
  <c r="J1816" i="2"/>
  <c r="K1816" i="2"/>
  <c r="H1631" i="2"/>
  <c r="J1631" i="2"/>
  <c r="K1631" i="2"/>
  <c r="I892" i="2"/>
  <c r="H892" i="2"/>
  <c r="J892" i="2"/>
  <c r="K892" i="2"/>
  <c r="J829" i="2"/>
  <c r="K829" i="2"/>
  <c r="I829" i="2"/>
  <c r="H766" i="2"/>
  <c r="I766" i="2"/>
  <c r="J551" i="2"/>
  <c r="K551" i="2"/>
  <c r="H551" i="2"/>
  <c r="I336" i="2"/>
  <c r="H336" i="2"/>
  <c r="H242" i="2"/>
  <c r="I212" i="2"/>
  <c r="H212" i="2"/>
  <c r="H150" i="2"/>
  <c r="J150" i="2"/>
  <c r="K150" i="2"/>
  <c r="J88" i="2"/>
  <c r="K88" i="2"/>
  <c r="I88" i="2"/>
  <c r="H88" i="2"/>
  <c r="I310" i="2"/>
  <c r="J310" i="2"/>
  <c r="K310" i="2"/>
  <c r="J802" i="2"/>
  <c r="K802" i="2"/>
  <c r="H802" i="2"/>
  <c r="J617" i="2"/>
  <c r="K617" i="2"/>
  <c r="I617" i="2"/>
  <c r="J463" i="2"/>
  <c r="K463" i="2"/>
  <c r="H463" i="2"/>
  <c r="I463" i="2"/>
  <c r="I1055" i="2"/>
  <c r="H1055" i="2"/>
  <c r="J959" i="2"/>
  <c r="K959" i="2"/>
  <c r="H959" i="2"/>
  <c r="H2142" i="2"/>
  <c r="H1959" i="2"/>
  <c r="J1134" i="2"/>
  <c r="K1134" i="2"/>
  <c r="I1469" i="2"/>
  <c r="H422" i="2"/>
  <c r="I2208" i="2"/>
  <c r="I148" i="2"/>
  <c r="I1295" i="2"/>
  <c r="H1295" i="2"/>
  <c r="J1851" i="2"/>
  <c r="K1851" i="2"/>
  <c r="H2194" i="2"/>
  <c r="J2208" i="2"/>
  <c r="K2208" i="2"/>
  <c r="J1048" i="2"/>
  <c r="K1048" i="2"/>
  <c r="J1539" i="2"/>
  <c r="K1539" i="2"/>
  <c r="I1539" i="2"/>
  <c r="H1539" i="2"/>
  <c r="J1936" i="2"/>
  <c r="K1936" i="2"/>
  <c r="J488" i="2"/>
  <c r="K488" i="2"/>
  <c r="H2393" i="2"/>
  <c r="J1500" i="2"/>
  <c r="K1500" i="2"/>
  <c r="H1322" i="2"/>
  <c r="H2629" i="2"/>
  <c r="H1785" i="2"/>
  <c r="J1785" i="2"/>
  <c r="K1785" i="2"/>
  <c r="I1050" i="2"/>
  <c r="J1050" i="2"/>
  <c r="K1050" i="2"/>
  <c r="H1050" i="2"/>
  <c r="J954" i="2"/>
  <c r="K954" i="2"/>
  <c r="I954" i="2"/>
  <c r="I891" i="2"/>
  <c r="J891" i="2"/>
  <c r="K891" i="2"/>
  <c r="H397" i="2"/>
  <c r="I397" i="2"/>
  <c r="H117" i="2"/>
  <c r="I117" i="2"/>
  <c r="I2162" i="2"/>
  <c r="H2162" i="2"/>
  <c r="J2162" i="2"/>
  <c r="K2162" i="2"/>
  <c r="I2382" i="2"/>
  <c r="J2382" i="2"/>
  <c r="K2382" i="2"/>
  <c r="J2423" i="2"/>
  <c r="K2423" i="2"/>
  <c r="J2497" i="2"/>
  <c r="K2497" i="2"/>
  <c r="H2497" i="2"/>
  <c r="J2685" i="2"/>
  <c r="H2685" i="2"/>
  <c r="H426" i="2"/>
  <c r="J426" i="2"/>
  <c r="K426" i="2"/>
  <c r="I426" i="2"/>
  <c r="I366" i="2"/>
  <c r="J366" i="2"/>
  <c r="K366" i="2"/>
  <c r="H366" i="2"/>
  <c r="J334" i="2"/>
  <c r="K334" i="2"/>
  <c r="H334" i="2"/>
  <c r="I334" i="2"/>
  <c r="I302" i="2"/>
  <c r="J302" i="2"/>
  <c r="K302" i="2"/>
  <c r="I2152" i="2"/>
  <c r="H2152" i="2"/>
  <c r="J1590" i="2"/>
  <c r="K1590" i="2"/>
  <c r="J456" i="2"/>
  <c r="K456" i="2"/>
  <c r="H1714" i="2"/>
  <c r="H1942" i="2"/>
  <c r="H483" i="2"/>
  <c r="J1345" i="2"/>
  <c r="K1345" i="2"/>
  <c r="N2014" i="2"/>
  <c r="H2589" i="2"/>
  <c r="H1691" i="2"/>
  <c r="I1691" i="2"/>
  <c r="H984" i="2"/>
  <c r="J984" i="2"/>
  <c r="K984" i="2"/>
  <c r="J952" i="2"/>
  <c r="K952" i="2"/>
  <c r="I952" i="2"/>
  <c r="I732" i="2"/>
  <c r="H732" i="2"/>
  <c r="I548" i="2"/>
  <c r="J548" i="2"/>
  <c r="K548" i="2"/>
  <c r="H548" i="2"/>
  <c r="I487" i="2"/>
  <c r="J487" i="2"/>
  <c r="K487" i="2"/>
  <c r="H333" i="2"/>
  <c r="J333" i="2"/>
  <c r="K333" i="2"/>
  <c r="H147" i="2"/>
  <c r="J147" i="2"/>
  <c r="K147" i="2"/>
  <c r="J2285" i="2"/>
  <c r="K2285" i="2"/>
  <c r="H2285" i="2"/>
  <c r="I1590" i="2"/>
  <c r="J2251" i="2"/>
  <c r="K2251" i="2"/>
  <c r="I1971" i="2"/>
  <c r="I1148" i="2"/>
  <c r="J240" i="2"/>
  <c r="K240" i="2"/>
  <c r="I1135" i="2"/>
  <c r="N39" i="2"/>
  <c r="N1803" i="2"/>
  <c r="I1352" i="2"/>
  <c r="H1352" i="2"/>
  <c r="I1109" i="2"/>
  <c r="H1109" i="2"/>
  <c r="J1047" i="2"/>
  <c r="K1047" i="2"/>
  <c r="I1047" i="2"/>
  <c r="J857" i="2"/>
  <c r="K857" i="2"/>
  <c r="H857" i="2"/>
  <c r="J454" i="2"/>
  <c r="K454" i="2"/>
  <c r="H454" i="2"/>
  <c r="J424" i="2"/>
  <c r="K424" i="2"/>
  <c r="I424" i="2"/>
  <c r="I2160" i="2"/>
  <c r="H2160" i="2"/>
  <c r="J2160" i="2"/>
  <c r="K2160" i="2"/>
  <c r="I2527" i="2"/>
  <c r="J2527" i="2"/>
  <c r="K2527" i="2"/>
  <c r="J2561" i="2"/>
  <c r="K2561" i="2"/>
  <c r="I2561" i="2"/>
  <c r="I2683" i="2"/>
  <c r="H2683" i="2"/>
  <c r="H2530" i="2"/>
  <c r="J2530" i="2"/>
  <c r="K2530" i="2"/>
  <c r="J1622" i="2"/>
  <c r="K1622" i="2"/>
  <c r="J1169" i="2"/>
  <c r="K1169" i="2"/>
  <c r="I1169" i="2"/>
  <c r="J1106" i="2"/>
  <c r="K1106" i="2"/>
  <c r="H1106" i="2"/>
  <c r="I1106" i="2"/>
  <c r="I790" i="2"/>
  <c r="J790" i="2"/>
  <c r="K790" i="2"/>
  <c r="I697" i="2"/>
  <c r="J697" i="2"/>
  <c r="K697" i="2"/>
  <c r="H697" i="2"/>
  <c r="J637" i="2"/>
  <c r="K637" i="2"/>
  <c r="I637" i="2"/>
  <c r="J2172" i="2"/>
  <c r="K2172" i="2"/>
  <c r="I2172" i="2"/>
  <c r="J2417" i="2"/>
  <c r="K2417" i="2"/>
  <c r="H2417" i="2"/>
  <c r="I1530" i="2"/>
  <c r="H1530" i="2"/>
  <c r="J1530" i="2"/>
  <c r="K1530" i="2"/>
  <c r="J1868" i="2"/>
  <c r="K1868" i="2"/>
  <c r="I1868" i="2"/>
  <c r="I17" i="2"/>
  <c r="I1713" i="2"/>
  <c r="J1713" i="2"/>
  <c r="K1713" i="2"/>
  <c r="I77" i="2"/>
  <c r="H77" i="2"/>
  <c r="J77" i="2"/>
  <c r="K77" i="2"/>
  <c r="H1344" i="2"/>
  <c r="I1344" i="2"/>
  <c r="J879" i="2"/>
  <c r="K879" i="2"/>
  <c r="H879" i="2"/>
  <c r="H847" i="2"/>
  <c r="I847" i="2"/>
  <c r="I354" i="2"/>
  <c r="H354" i="2"/>
  <c r="J354" i="2"/>
  <c r="K354" i="2"/>
  <c r="H44" i="2"/>
  <c r="J44" i="2"/>
  <c r="K44" i="2"/>
  <c r="I44" i="2"/>
  <c r="H2488" i="2"/>
  <c r="I2488" i="2"/>
  <c r="H2294" i="2"/>
  <c r="H2178" i="2"/>
  <c r="J2178" i="2"/>
  <c r="K2178" i="2"/>
  <c r="I2550" i="2"/>
  <c r="H2550" i="2"/>
  <c r="J1467" i="2"/>
  <c r="K1467" i="2"/>
  <c r="H1467" i="2"/>
  <c r="I1167" i="2"/>
  <c r="H1167" i="2"/>
  <c r="H1652" i="2"/>
  <c r="I1652" i="2"/>
  <c r="I702" i="2"/>
  <c r="H279" i="2"/>
  <c r="H302" i="2"/>
  <c r="J124" i="2"/>
  <c r="K124" i="2"/>
  <c r="I1086" i="2"/>
  <c r="I1542" i="2"/>
  <c r="J279" i="2"/>
  <c r="K279" i="2"/>
  <c r="I261" i="2"/>
  <c r="J261" i="2"/>
  <c r="K261" i="2"/>
  <c r="I2239" i="2"/>
  <c r="J2239" i="2"/>
  <c r="K2239" i="2"/>
  <c r="H2239" i="2"/>
  <c r="I2379" i="2"/>
  <c r="J2379" i="2"/>
  <c r="K2379" i="2"/>
  <c r="H555" i="2"/>
  <c r="I2530" i="2"/>
  <c r="H1987" i="2"/>
  <c r="J1987" i="2"/>
  <c r="K1987" i="2"/>
  <c r="J1741" i="2"/>
  <c r="K1741" i="2"/>
  <c r="H1741" i="2"/>
  <c r="J1024" i="2"/>
  <c r="K1024" i="2"/>
  <c r="I1315" i="2"/>
  <c r="J233" i="2"/>
  <c r="K233" i="2"/>
  <c r="H2074" i="2"/>
  <c r="N808" i="2"/>
  <c r="J1647" i="2"/>
  <c r="K1647" i="2"/>
  <c r="I1647" i="2"/>
  <c r="J1316" i="2"/>
  <c r="K1316" i="2"/>
  <c r="I1024" i="2"/>
  <c r="J732" i="2"/>
  <c r="K732" i="2"/>
  <c r="J1743" i="2"/>
  <c r="K1743" i="2"/>
  <c r="J365" i="2"/>
  <c r="K365" i="2"/>
  <c r="J396" i="2"/>
  <c r="K396" i="2"/>
  <c r="H1315" i="2"/>
  <c r="J1508" i="2"/>
  <c r="K1508" i="2"/>
  <c r="I1048" i="2"/>
  <c r="I1200" i="2"/>
  <c r="N649" i="2"/>
  <c r="J1135" i="2"/>
  <c r="K1135" i="2"/>
  <c r="J2677" i="2"/>
  <c r="I1894" i="2"/>
  <c r="H1894" i="2"/>
  <c r="I1832" i="2"/>
  <c r="H1832" i="2"/>
  <c r="J1832" i="2"/>
  <c r="K1832" i="2"/>
  <c r="I1678" i="2"/>
  <c r="H1678" i="2"/>
  <c r="H1399" i="2"/>
  <c r="J1399" i="2"/>
  <c r="K1399" i="2"/>
  <c r="H1371" i="2"/>
  <c r="J1371" i="2"/>
  <c r="K1371" i="2"/>
  <c r="I908" i="2"/>
  <c r="J908" i="2"/>
  <c r="K908" i="2"/>
  <c r="J134" i="2"/>
  <c r="K134" i="2"/>
  <c r="I134" i="2"/>
  <c r="H134" i="2"/>
  <c r="H2242" i="2"/>
  <c r="I2242" i="2"/>
  <c r="J2242" i="2"/>
  <c r="K2242" i="2"/>
  <c r="I2306" i="2"/>
  <c r="J2306" i="2"/>
  <c r="K2306" i="2"/>
  <c r="I2614" i="2"/>
  <c r="J2614" i="2"/>
  <c r="K2614" i="2"/>
  <c r="I1316" i="2"/>
  <c r="I1559" i="2"/>
  <c r="H1710" i="2"/>
  <c r="I1893" i="2"/>
  <c r="H1893" i="2"/>
  <c r="I1583" i="2"/>
  <c r="J1583" i="2"/>
  <c r="K1583" i="2"/>
  <c r="J718" i="2"/>
  <c r="K718" i="2"/>
  <c r="H718" i="2"/>
  <c r="I718" i="2"/>
  <c r="I687" i="2"/>
  <c r="H687" i="2"/>
  <c r="I197" i="2"/>
  <c r="J197" i="2"/>
  <c r="K197" i="2"/>
  <c r="H165" i="2"/>
  <c r="I165" i="2"/>
  <c r="J72" i="2"/>
  <c r="K72" i="2"/>
  <c r="H72" i="2"/>
  <c r="I72" i="2"/>
  <c r="H2200" i="2"/>
  <c r="J2200" i="2"/>
  <c r="K2200" i="2"/>
  <c r="I2336" i="2"/>
  <c r="J2336" i="2"/>
  <c r="K2336" i="2"/>
  <c r="H2329" i="2"/>
  <c r="J2329" i="2"/>
  <c r="K2329" i="2"/>
  <c r="H2452" i="2"/>
  <c r="I2452" i="2"/>
  <c r="I2548" i="2"/>
  <c r="H2548" i="2"/>
  <c r="I124" i="2"/>
  <c r="H1837" i="2"/>
  <c r="J1837" i="2"/>
  <c r="K1837" i="2"/>
  <c r="I1683" i="2"/>
  <c r="H1683" i="2"/>
  <c r="J15" i="2"/>
  <c r="K15" i="2"/>
  <c r="H15" i="2"/>
  <c r="H978" i="2"/>
  <c r="I1866" i="2"/>
  <c r="I1649" i="2"/>
  <c r="J1649" i="2"/>
  <c r="K1649" i="2"/>
  <c r="I107" i="2"/>
  <c r="H107" i="2"/>
  <c r="I1621" i="2"/>
  <c r="H1448" i="2"/>
  <c r="H2271" i="2"/>
  <c r="J2334" i="2"/>
  <c r="K2334" i="2"/>
  <c r="I978" i="2"/>
  <c r="I28" i="2"/>
  <c r="J1866" i="2"/>
  <c r="K1866" i="2"/>
  <c r="H233" i="2"/>
  <c r="J2074" i="2"/>
  <c r="K2074" i="2"/>
  <c r="H1955" i="2"/>
  <c r="J1955" i="2"/>
  <c r="K1955" i="2"/>
  <c r="H1632" i="2"/>
  <c r="I365" i="2"/>
  <c r="J1344" i="2"/>
  <c r="K1344" i="2"/>
  <c r="H396" i="2"/>
  <c r="J1972" i="2"/>
  <c r="K1972" i="2"/>
  <c r="I2048" i="2"/>
  <c r="J341" i="2"/>
  <c r="K341" i="2"/>
  <c r="N1625" i="2"/>
  <c r="H1347" i="2"/>
  <c r="J1632" i="2"/>
  <c r="K1632" i="2"/>
  <c r="H451" i="2"/>
  <c r="J1710" i="2"/>
  <c r="K1710" i="2"/>
  <c r="J1167" i="2"/>
  <c r="K1167" i="2"/>
  <c r="H341" i="2"/>
  <c r="J2068" i="2"/>
  <c r="K2068" i="2"/>
  <c r="H2068" i="2"/>
  <c r="H2044" i="2"/>
  <c r="I2044" i="2"/>
  <c r="J1983" i="2"/>
  <c r="K1983" i="2"/>
  <c r="H1983" i="2"/>
  <c r="J1951" i="2"/>
  <c r="K1951" i="2"/>
  <c r="H1951" i="2"/>
  <c r="J1799" i="2"/>
  <c r="K1799" i="2"/>
  <c r="H1799" i="2"/>
  <c r="H1737" i="2"/>
  <c r="I1737" i="2"/>
  <c r="J1737" i="2"/>
  <c r="K1737" i="2"/>
  <c r="J1278" i="2"/>
  <c r="K1278" i="2"/>
  <c r="H1278" i="2"/>
  <c r="I938" i="2"/>
  <c r="J938" i="2"/>
  <c r="K938" i="2"/>
  <c r="J875" i="2"/>
  <c r="K875" i="2"/>
  <c r="H875" i="2"/>
  <c r="J843" i="2"/>
  <c r="K843" i="2"/>
  <c r="I843" i="2"/>
  <c r="H196" i="2"/>
  <c r="I196" i="2"/>
  <c r="H2401" i="2"/>
  <c r="J2401" i="2"/>
  <c r="K2401" i="2"/>
  <c r="I2401" i="2"/>
  <c r="H2397" i="2"/>
  <c r="J2397" i="2"/>
  <c r="K2397" i="2"/>
  <c r="I2451" i="2"/>
  <c r="J2451" i="2"/>
  <c r="K2451" i="2"/>
  <c r="J2511" i="2"/>
  <c r="K2511" i="2"/>
  <c r="H2511" i="2"/>
  <c r="H2579" i="2"/>
  <c r="I2579" i="2"/>
  <c r="I1591" i="2"/>
  <c r="J1591" i="2"/>
  <c r="K1591" i="2"/>
  <c r="J915" i="2"/>
  <c r="K915" i="2"/>
  <c r="I915" i="2"/>
  <c r="H915" i="2"/>
  <c r="J17" i="2"/>
  <c r="K17" i="2"/>
  <c r="H1346" i="2"/>
  <c r="I1346" i="2"/>
  <c r="H1744" i="2"/>
  <c r="J1744" i="2"/>
  <c r="K1744" i="2"/>
  <c r="I1989" i="2"/>
  <c r="H1989" i="2"/>
  <c r="H1682" i="2"/>
  <c r="I1682" i="2"/>
  <c r="J2645" i="2"/>
  <c r="K2645" i="2"/>
  <c r="H2645" i="2"/>
  <c r="I1467" i="2"/>
  <c r="I1498" i="2"/>
  <c r="H1804" i="2"/>
  <c r="J1804" i="2"/>
  <c r="K1804" i="2"/>
  <c r="J137" i="2"/>
  <c r="K137" i="2"/>
  <c r="H137" i="2"/>
  <c r="J1448" i="2"/>
  <c r="K1448" i="2"/>
  <c r="H1743" i="2"/>
  <c r="I451" i="2"/>
  <c r="J1652" i="2"/>
  <c r="K1652" i="2"/>
  <c r="H1725" i="2"/>
  <c r="H487" i="2"/>
  <c r="J2152" i="2"/>
  <c r="K2152" i="2"/>
  <c r="J1821" i="2"/>
  <c r="K1821" i="2"/>
  <c r="I2584" i="2"/>
  <c r="J2569" i="2"/>
  <c r="K2569" i="2"/>
  <c r="I2013" i="2"/>
  <c r="H2013" i="2"/>
  <c r="J2013" i="2"/>
  <c r="K2013" i="2"/>
  <c r="H1064" i="2"/>
  <c r="I1064" i="2"/>
  <c r="J842" i="2"/>
  <c r="K842" i="2"/>
  <c r="I842" i="2"/>
  <c r="H381" i="2"/>
  <c r="J381" i="2"/>
  <c r="K381" i="2"/>
  <c r="I286" i="2"/>
  <c r="J286" i="2"/>
  <c r="K286" i="2"/>
  <c r="H286" i="2"/>
  <c r="H163" i="2"/>
  <c r="I163" i="2"/>
  <c r="J163" i="2"/>
  <c r="K163" i="2"/>
  <c r="J70" i="2"/>
  <c r="K70" i="2"/>
  <c r="H70" i="2"/>
  <c r="I70" i="2"/>
  <c r="J2231" i="2"/>
  <c r="K2231" i="2"/>
  <c r="I2231" i="2"/>
  <c r="J2272" i="2"/>
  <c r="K2272" i="2"/>
  <c r="I2272" i="2"/>
  <c r="H2320" i="2"/>
  <c r="J2320" i="2"/>
  <c r="K2320" i="2"/>
  <c r="I2343" i="2"/>
  <c r="J2343" i="2"/>
  <c r="K2343" i="2"/>
  <c r="J2327" i="2"/>
  <c r="K2327" i="2"/>
  <c r="I2327" i="2"/>
  <c r="I2301" i="2"/>
  <c r="H2301" i="2"/>
  <c r="J2301" i="2"/>
  <c r="K2301" i="2"/>
  <c r="J1615" i="2"/>
  <c r="K1615" i="2"/>
  <c r="I1615" i="2"/>
  <c r="J2495" i="2"/>
  <c r="K2495" i="2"/>
  <c r="H2495" i="2"/>
  <c r="H2563" i="2"/>
  <c r="J2563" i="2"/>
  <c r="K2563" i="2"/>
  <c r="J848" i="2"/>
  <c r="K848" i="2"/>
  <c r="I848" i="2"/>
  <c r="I538" i="2"/>
  <c r="J538" i="2"/>
  <c r="K538" i="2"/>
  <c r="H538" i="2"/>
  <c r="I2128" i="2"/>
  <c r="H2128" i="2"/>
  <c r="J2187" i="2"/>
  <c r="K2187" i="2"/>
  <c r="H2187" i="2"/>
  <c r="I2209" i="2"/>
  <c r="H2209" i="2"/>
  <c r="J2209" i="2"/>
  <c r="K2209" i="2"/>
  <c r="N1023" i="2"/>
  <c r="J14" i="2"/>
  <c r="K14" i="2"/>
  <c r="H14" i="2"/>
  <c r="I2375" i="2"/>
  <c r="H2375" i="2"/>
  <c r="I2682" i="2"/>
  <c r="J2682" i="2"/>
  <c r="H1277" i="2"/>
  <c r="J1277" i="2"/>
  <c r="K1277" i="2"/>
  <c r="I1277" i="2"/>
  <c r="H877" i="2"/>
  <c r="I877" i="2"/>
  <c r="J877" i="2"/>
  <c r="K877" i="2"/>
  <c r="J535" i="2"/>
  <c r="K535" i="2"/>
  <c r="I535" i="2"/>
  <c r="H535" i="2"/>
  <c r="I474" i="2"/>
  <c r="H474" i="2"/>
  <c r="I257" i="2"/>
  <c r="J257" i="2"/>
  <c r="K257" i="2"/>
  <c r="H257" i="2"/>
  <c r="H1756" i="2"/>
  <c r="J1756" i="2"/>
  <c r="K1756" i="2"/>
  <c r="H1512" i="2"/>
  <c r="J1512" i="2"/>
  <c r="K1512" i="2"/>
  <c r="J221" i="2"/>
  <c r="K221" i="2"/>
  <c r="I221" i="2"/>
  <c r="I128" i="2"/>
  <c r="H128" i="2"/>
  <c r="I2199" i="2"/>
  <c r="H2199" i="2"/>
  <c r="J2199" i="2"/>
  <c r="K2199" i="2"/>
  <c r="H2171" i="2"/>
  <c r="J2171" i="2"/>
  <c r="K2171" i="2"/>
  <c r="H2398" i="2"/>
  <c r="J2398" i="2"/>
  <c r="K2398" i="2"/>
  <c r="N359" i="2"/>
  <c r="I2564" i="2"/>
  <c r="J2564" i="2"/>
  <c r="K2564" i="2"/>
  <c r="H738" i="2"/>
  <c r="I738" i="2"/>
  <c r="I2182" i="2"/>
  <c r="J2182" i="2"/>
  <c r="K2182" i="2"/>
  <c r="N373" i="2"/>
  <c r="J1507" i="2"/>
  <c r="K1507" i="2"/>
  <c r="H1507" i="2"/>
  <c r="I1507" i="2"/>
  <c r="I1234" i="2"/>
  <c r="J276" i="2"/>
  <c r="K276" i="2"/>
  <c r="H276" i="2"/>
  <c r="J92" i="2"/>
  <c r="K92" i="2"/>
  <c r="H92" i="2"/>
  <c r="J2084" i="2"/>
  <c r="K2084" i="2"/>
  <c r="H2084" i="2"/>
  <c r="I275" i="2"/>
  <c r="H275" i="2"/>
  <c r="J2262" i="2"/>
  <c r="K2262" i="2"/>
  <c r="I2262" i="2"/>
  <c r="H831" i="2"/>
  <c r="J831" i="2"/>
  <c r="K831" i="2"/>
  <c r="H244" i="2"/>
  <c r="J244" i="2"/>
  <c r="K244" i="2"/>
  <c r="I244" i="2"/>
  <c r="I121" i="2"/>
  <c r="J121" i="2"/>
  <c r="K121" i="2"/>
  <c r="I46" i="2"/>
  <c r="I1512" i="2"/>
  <c r="I14" i="2"/>
  <c r="J536" i="2"/>
  <c r="K536" i="2"/>
  <c r="H91" i="2"/>
  <c r="J798" i="2"/>
  <c r="K798" i="2"/>
  <c r="H798" i="2"/>
  <c r="I522" i="2"/>
  <c r="J1265" i="2"/>
  <c r="K1265" i="2"/>
  <c r="I1265" i="2"/>
  <c r="J2366" i="2"/>
  <c r="K2366" i="2"/>
  <c r="H2366" i="2"/>
  <c r="H308" i="2"/>
  <c r="I695" i="2"/>
  <c r="J695" i="2"/>
  <c r="K695" i="2"/>
  <c r="J2136" i="2"/>
  <c r="K2136" i="2"/>
  <c r="I2136" i="2"/>
  <c r="H2671" i="2"/>
  <c r="J2671" i="2"/>
  <c r="J1382" i="2"/>
  <c r="K1382" i="2"/>
  <c r="H1191" i="2"/>
  <c r="I1191" i="2"/>
  <c r="H819" i="2"/>
  <c r="I819" i="2"/>
  <c r="J756" i="2"/>
  <c r="K756" i="2"/>
  <c r="I756" i="2"/>
  <c r="H510" i="2"/>
  <c r="I510" i="2"/>
  <c r="J755" i="2"/>
  <c r="K755" i="2"/>
  <c r="I755" i="2"/>
  <c r="I339" i="2"/>
  <c r="H2105" i="2"/>
  <c r="I2105" i="2"/>
  <c r="I716" i="2"/>
  <c r="H1124" i="2"/>
  <c r="I1124" i="2"/>
  <c r="J1124" i="2"/>
  <c r="K1124" i="2"/>
  <c r="H1324" i="2"/>
  <c r="I1324" i="2"/>
  <c r="J1324" i="2"/>
  <c r="K1324" i="2"/>
  <c r="J1185" i="2"/>
  <c r="K1185" i="2"/>
  <c r="I2251" i="2"/>
  <c r="H178" i="2"/>
  <c r="J1817" i="2"/>
  <c r="K1817" i="2"/>
  <c r="H1400" i="2"/>
  <c r="I1473" i="2"/>
  <c r="I1213" i="2"/>
  <c r="J1731" i="2"/>
  <c r="K1731" i="2"/>
  <c r="I1731" i="2"/>
  <c r="H1342" i="2"/>
  <c r="I1342" i="2"/>
  <c r="H1313" i="2"/>
  <c r="I1313" i="2"/>
  <c r="J1313" i="2"/>
  <c r="K1313" i="2"/>
  <c r="H1227" i="2"/>
  <c r="J1227" i="2"/>
  <c r="K1227" i="2"/>
  <c r="I1227" i="2"/>
  <c r="H1170" i="2"/>
  <c r="J1170" i="2"/>
  <c r="K1170" i="2"/>
  <c r="J1546" i="2"/>
  <c r="K1546" i="2"/>
  <c r="H1546" i="2"/>
  <c r="I1546" i="2"/>
  <c r="I37" i="2"/>
  <c r="H37" i="2"/>
  <c r="J37" i="2"/>
  <c r="K37" i="2"/>
  <c r="J2405" i="2"/>
  <c r="K2405" i="2"/>
  <c r="H2405" i="2"/>
  <c r="I2405" i="2"/>
  <c r="H2449" i="2"/>
  <c r="J2449" i="2"/>
  <c r="K2449" i="2"/>
  <c r="I2449" i="2"/>
  <c r="I2593" i="2"/>
  <c r="J2593" i="2"/>
  <c r="K2593" i="2"/>
  <c r="J2101" i="2"/>
  <c r="K2101" i="2"/>
  <c r="I1759" i="2"/>
  <c r="I1818" i="2"/>
  <c r="J1341" i="2"/>
  <c r="K1341" i="2"/>
  <c r="I210" i="2"/>
  <c r="I1312" i="2"/>
  <c r="J125" i="2"/>
  <c r="K125" i="2"/>
  <c r="H125" i="2"/>
  <c r="I125" i="2"/>
  <c r="J2180" i="2"/>
  <c r="K2180" i="2"/>
  <c r="H2180" i="2"/>
  <c r="H2246" i="2"/>
  <c r="J2246" i="2"/>
  <c r="K2246" i="2"/>
  <c r="H2311" i="2"/>
  <c r="J2311" i="2"/>
  <c r="K2311" i="2"/>
  <c r="J2376" i="2"/>
  <c r="K2376" i="2"/>
  <c r="I2376" i="2"/>
  <c r="H2376" i="2"/>
  <c r="H2448" i="2"/>
  <c r="J2448" i="2"/>
  <c r="K2448" i="2"/>
  <c r="I2448" i="2"/>
  <c r="H2560" i="2"/>
  <c r="J2560" i="2"/>
  <c r="K2560" i="2"/>
  <c r="I2590" i="2"/>
  <c r="J2590" i="2"/>
  <c r="K2590" i="2"/>
  <c r="H2590" i="2"/>
  <c r="I1296" i="2"/>
  <c r="I1341" i="2"/>
  <c r="H1123" i="2"/>
  <c r="J1753" i="2"/>
  <c r="K1753" i="2"/>
  <c r="H1753" i="2"/>
  <c r="H94" i="2"/>
  <c r="J66" i="2"/>
  <c r="K66" i="2"/>
  <c r="H66" i="2"/>
  <c r="I2176" i="2"/>
  <c r="J2210" i="2"/>
  <c r="K2210" i="2"/>
  <c r="I2210" i="2"/>
  <c r="H2310" i="2"/>
  <c r="I2310" i="2"/>
  <c r="J2310" i="2"/>
  <c r="K2310" i="2"/>
  <c r="J1431" i="2"/>
  <c r="K1431" i="2"/>
  <c r="H1431" i="2"/>
  <c r="H2283" i="2"/>
  <c r="I2283" i="2"/>
  <c r="H1428" i="2"/>
  <c r="J1428" i="2"/>
  <c r="K1428" i="2"/>
  <c r="J2282" i="2"/>
  <c r="K2282" i="2"/>
  <c r="H2282" i="2"/>
  <c r="H1759" i="2"/>
  <c r="J2351" i="2"/>
  <c r="K2351" i="2"/>
  <c r="I2351" i="2"/>
  <c r="H2351" i="2"/>
  <c r="I2053" i="2"/>
  <c r="H2053" i="2"/>
  <c r="H153" i="2"/>
  <c r="I153" i="2"/>
  <c r="J2148" i="2"/>
  <c r="K2148" i="2"/>
  <c r="I2148" i="2"/>
  <c r="H2559" i="2"/>
  <c r="J2559" i="2"/>
  <c r="K2559" i="2"/>
  <c r="I2559" i="2"/>
  <c r="I2055" i="2"/>
  <c r="J2055" i="2"/>
  <c r="K2055" i="2"/>
  <c r="I1370" i="2"/>
  <c r="H1370" i="2"/>
  <c r="J1967" i="2"/>
  <c r="K1967" i="2"/>
  <c r="H1967" i="2"/>
  <c r="H1311" i="2"/>
  <c r="H2206" i="2"/>
  <c r="J2206" i="2"/>
  <c r="K2206" i="2"/>
  <c r="I2281" i="2"/>
  <c r="I123" i="2"/>
  <c r="H123" i="2"/>
  <c r="J1694" i="2"/>
  <c r="K1694" i="2"/>
  <c r="I1694" i="2"/>
  <c r="I299" i="2"/>
  <c r="J299" i="2"/>
  <c r="K299" i="2"/>
  <c r="H299" i="2"/>
  <c r="H239" i="2"/>
  <c r="J239" i="2"/>
  <c r="K239" i="2"/>
  <c r="I209" i="2"/>
  <c r="H209" i="2"/>
  <c r="J209" i="2"/>
  <c r="K209" i="2"/>
  <c r="J1035" i="2"/>
  <c r="K1035" i="2"/>
  <c r="H1035" i="2"/>
  <c r="I181" i="2"/>
  <c r="J181" i="2"/>
  <c r="K181" i="2"/>
  <c r="H181" i="2"/>
  <c r="J2116" i="2"/>
  <c r="K2116" i="2"/>
  <c r="I2116" i="2"/>
  <c r="H2116" i="2"/>
  <c r="H2244" i="2"/>
  <c r="I2244" i="2"/>
  <c r="I2361" i="2"/>
  <c r="J2361" i="2"/>
  <c r="K2361" i="2"/>
  <c r="J2460" i="2"/>
  <c r="K2460" i="2"/>
  <c r="H2460" i="2"/>
  <c r="H2506" i="2"/>
  <c r="J2506" i="2"/>
  <c r="K2506" i="2"/>
  <c r="J2489" i="2"/>
  <c r="K2489" i="2"/>
  <c r="I2489" i="2"/>
  <c r="H2558" i="2"/>
  <c r="I2558" i="2"/>
  <c r="J2558" i="2"/>
  <c r="K2558" i="2"/>
  <c r="H2618" i="2"/>
  <c r="I2618" i="2"/>
  <c r="J2339" i="2"/>
  <c r="K2339" i="2"/>
  <c r="J2147" i="2"/>
  <c r="K2147" i="2"/>
  <c r="H1158" i="2"/>
  <c r="J1158" i="2"/>
  <c r="K1158" i="2"/>
  <c r="J1126" i="2"/>
  <c r="K1126" i="2"/>
  <c r="H1126" i="2"/>
  <c r="I1126" i="2"/>
  <c r="I1065" i="2"/>
  <c r="H1065" i="2"/>
  <c r="J1065" i="2"/>
  <c r="K1065" i="2"/>
  <c r="I1034" i="2"/>
  <c r="J1034" i="2"/>
  <c r="K1034" i="2"/>
  <c r="H1034" i="2"/>
  <c r="H1002" i="2"/>
  <c r="J1002" i="2"/>
  <c r="K1002" i="2"/>
  <c r="J910" i="2"/>
  <c r="K910" i="2"/>
  <c r="I910" i="2"/>
  <c r="H849" i="2"/>
  <c r="J849" i="2"/>
  <c r="K849" i="2"/>
  <c r="H362" i="2"/>
  <c r="I362" i="2"/>
  <c r="J362" i="2"/>
  <c r="K362" i="2"/>
  <c r="I330" i="2"/>
  <c r="H330" i="2"/>
  <c r="J330" i="2"/>
  <c r="K330" i="2"/>
  <c r="H269" i="2"/>
  <c r="I269" i="2"/>
  <c r="J269" i="2"/>
  <c r="K269" i="2"/>
  <c r="I1311" i="2"/>
  <c r="J1284" i="2"/>
  <c r="K1284" i="2"/>
  <c r="J94" i="2"/>
  <c r="K94" i="2"/>
  <c r="J1295" i="2"/>
  <c r="K1295" i="2"/>
  <c r="J1186" i="2"/>
  <c r="K1186" i="2"/>
  <c r="H1186" i="2"/>
  <c r="I1186" i="2"/>
  <c r="J1125" i="2"/>
  <c r="K1125" i="2"/>
  <c r="I1125" i="2"/>
  <c r="H1001" i="2"/>
  <c r="I1001" i="2"/>
  <c r="J1001" i="2"/>
  <c r="K1001" i="2"/>
  <c r="H361" i="2"/>
  <c r="J361" i="2"/>
  <c r="K361" i="2"/>
  <c r="I361" i="2"/>
  <c r="H329" i="2"/>
  <c r="J329" i="2"/>
  <c r="K329" i="2"/>
  <c r="I329" i="2"/>
  <c r="J298" i="2"/>
  <c r="K298" i="2"/>
  <c r="I298" i="2"/>
  <c r="H298" i="2"/>
  <c r="J238" i="2"/>
  <c r="K238" i="2"/>
  <c r="I238" i="2"/>
  <c r="H238" i="2"/>
  <c r="I2085" i="2"/>
  <c r="H2085" i="2"/>
  <c r="J2146" i="2"/>
  <c r="K2146" i="2"/>
  <c r="I2146" i="2"/>
  <c r="J2193" i="2"/>
  <c r="K2193" i="2"/>
  <c r="I2193" i="2"/>
  <c r="H2193" i="2"/>
  <c r="I2232" i="2"/>
  <c r="J2232" i="2"/>
  <c r="K2232" i="2"/>
  <c r="H2232" i="2"/>
  <c r="H1818" i="2"/>
  <c r="I448" i="2"/>
  <c r="H448" i="2"/>
  <c r="J448" i="2"/>
  <c r="K448" i="2"/>
  <c r="J419" i="2"/>
  <c r="K419" i="2"/>
  <c r="H419" i="2"/>
  <c r="I419" i="2"/>
  <c r="I2113" i="2"/>
  <c r="J2113" i="2"/>
  <c r="K2113" i="2"/>
  <c r="H2519" i="2"/>
  <c r="J2519" i="2"/>
  <c r="K2519" i="2"/>
  <c r="I2519" i="2"/>
  <c r="H2615" i="2"/>
  <c r="J2615" i="2"/>
  <c r="K2615" i="2"/>
  <c r="H2054" i="2"/>
  <c r="H1312" i="2"/>
  <c r="H1418" i="2"/>
  <c r="J1418" i="2"/>
  <c r="K1418" i="2"/>
  <c r="H447" i="2"/>
  <c r="J447" i="2"/>
  <c r="K447" i="2"/>
  <c r="I296" i="2"/>
  <c r="J296" i="2"/>
  <c r="K296" i="2"/>
  <c r="H296" i="2"/>
  <c r="I2655" i="2"/>
  <c r="H2655" i="2"/>
  <c r="J1386" i="2"/>
  <c r="K1386" i="2"/>
  <c r="I1386" i="2"/>
  <c r="H1386" i="2"/>
  <c r="I1329" i="2"/>
  <c r="H1329" i="2"/>
  <c r="I1184" i="2"/>
  <c r="J1184" i="2"/>
  <c r="K1184" i="2"/>
  <c r="I1154" i="2"/>
  <c r="H1154" i="2"/>
  <c r="H1122" i="2"/>
  <c r="I1122" i="2"/>
  <c r="J1122" i="2"/>
  <c r="K1122" i="2"/>
  <c r="H387" i="2"/>
  <c r="I387" i="2"/>
  <c r="J358" i="2"/>
  <c r="K358" i="2"/>
  <c r="H358" i="2"/>
  <c r="I265" i="2"/>
  <c r="J265" i="2"/>
  <c r="K265" i="2"/>
  <c r="H265" i="2"/>
  <c r="H2469" i="2"/>
  <c r="I2469" i="2"/>
  <c r="H2619" i="2"/>
  <c r="J1330" i="2"/>
  <c r="K1330" i="2"/>
  <c r="I1330" i="2"/>
  <c r="J478" i="2"/>
  <c r="K478" i="2"/>
  <c r="I478" i="2"/>
  <c r="H478" i="2"/>
  <c r="J206" i="2"/>
  <c r="K206" i="2"/>
  <c r="H206" i="2"/>
  <c r="I206" i="2"/>
  <c r="J29" i="2"/>
  <c r="K29" i="2"/>
  <c r="H29" i="2"/>
  <c r="I29" i="2"/>
  <c r="I2456" i="2"/>
  <c r="J2456" i="2"/>
  <c r="K2456" i="2"/>
  <c r="H2456" i="2"/>
  <c r="H2585" i="2"/>
  <c r="I2585" i="2"/>
  <c r="I2680" i="2"/>
  <c r="H2680" i="2"/>
  <c r="H1051" i="2"/>
  <c r="I2054" i="2"/>
  <c r="H1979" i="2"/>
  <c r="H2205" i="2"/>
  <c r="H118" i="2"/>
  <c r="I2313" i="2"/>
  <c r="J2378" i="2"/>
  <c r="K2378" i="2"/>
  <c r="J2122" i="2"/>
  <c r="K2122" i="2"/>
  <c r="J2030" i="2"/>
  <c r="K2030" i="2"/>
  <c r="I1947" i="2"/>
  <c r="I1340" i="2"/>
  <c r="J1441" i="2"/>
  <c r="K1441" i="2"/>
  <c r="H2055" i="2"/>
  <c r="H1330" i="2"/>
  <c r="H1731" i="2"/>
  <c r="J1055" i="2"/>
  <c r="K1055" i="2"/>
  <c r="H2593" i="2"/>
  <c r="J1328" i="2"/>
  <c r="K1328" i="2"/>
  <c r="H1328" i="2"/>
  <c r="I1270" i="2"/>
  <c r="H1121" i="2"/>
  <c r="J1121" i="2"/>
  <c r="K1121" i="2"/>
  <c r="I1121" i="2"/>
  <c r="I386" i="2"/>
  <c r="H386" i="2"/>
  <c r="J386" i="2"/>
  <c r="K386" i="2"/>
  <c r="H357" i="2"/>
  <c r="I357" i="2"/>
  <c r="J357" i="2"/>
  <c r="K357" i="2"/>
  <c r="I27" i="2"/>
  <c r="H27" i="2"/>
  <c r="I2140" i="2"/>
  <c r="H2140" i="2"/>
  <c r="J2140" i="2"/>
  <c r="K2140" i="2"/>
  <c r="H2229" i="2"/>
  <c r="I2229" i="2"/>
  <c r="H696" i="2"/>
  <c r="I696" i="2"/>
  <c r="J1360" i="2"/>
  <c r="K1360" i="2"/>
  <c r="I1360" i="2"/>
  <c r="I1623" i="2"/>
  <c r="H1623" i="2"/>
  <c r="J1623" i="2"/>
  <c r="K1623" i="2"/>
  <c r="H1594" i="2"/>
  <c r="I1594" i="2"/>
  <c r="J1594" i="2"/>
  <c r="K1594" i="2"/>
  <c r="I1415" i="2"/>
  <c r="H1415" i="2"/>
  <c r="J1415" i="2"/>
  <c r="K1415" i="2"/>
  <c r="I1210" i="2"/>
  <c r="H1182" i="2"/>
  <c r="J1182" i="2"/>
  <c r="K1182" i="2"/>
  <c r="I1182" i="2"/>
  <c r="I505" i="2"/>
  <c r="H505" i="2"/>
  <c r="I475" i="2"/>
  <c r="J475" i="2"/>
  <c r="K475" i="2"/>
  <c r="I146" i="2"/>
  <c r="H146" i="2"/>
  <c r="H115" i="2"/>
  <c r="I115" i="2"/>
  <c r="J87" i="2"/>
  <c r="K87" i="2"/>
  <c r="I87" i="2"/>
  <c r="H87" i="2"/>
  <c r="I58" i="2"/>
  <c r="J58" i="2"/>
  <c r="K58" i="2"/>
  <c r="H58" i="2"/>
  <c r="H2093" i="2"/>
  <c r="I2093" i="2"/>
  <c r="J2439" i="2"/>
  <c r="K2439" i="2"/>
  <c r="I2439" i="2"/>
  <c r="H2439" i="2"/>
  <c r="H2486" i="2"/>
  <c r="J2486" i="2"/>
  <c r="K2486" i="2"/>
  <c r="I2486" i="2"/>
  <c r="I2453" i="2"/>
  <c r="J2453" i="2"/>
  <c r="K2453" i="2"/>
  <c r="H2453" i="2"/>
  <c r="H2611" i="2"/>
  <c r="J2611" i="2"/>
  <c r="K2611" i="2"/>
  <c r="I2611" i="2"/>
  <c r="H1066" i="2"/>
  <c r="J1066" i="2"/>
  <c r="K1066" i="2"/>
  <c r="J1331" i="2"/>
  <c r="K1331" i="2"/>
  <c r="I1331" i="2"/>
  <c r="H1331" i="2"/>
  <c r="J1269" i="2"/>
  <c r="K1269" i="2"/>
  <c r="H1269" i="2"/>
  <c r="I114" i="2"/>
  <c r="H114" i="2"/>
  <c r="J114" i="2"/>
  <c r="K114" i="2"/>
  <c r="J86" i="2"/>
  <c r="K86" i="2"/>
  <c r="H86" i="2"/>
  <c r="I86" i="2"/>
  <c r="I2358" i="2"/>
  <c r="H2358" i="2"/>
  <c r="H2461" i="2"/>
  <c r="J2461" i="2"/>
  <c r="K2461" i="2"/>
  <c r="I2461" i="2"/>
  <c r="I2591" i="2"/>
  <c r="J2591" i="2"/>
  <c r="K2591" i="2"/>
  <c r="H1169" i="2"/>
  <c r="H1742" i="2"/>
  <c r="I1712" i="2"/>
  <c r="J1712" i="2"/>
  <c r="K1712" i="2"/>
  <c r="H1651" i="2"/>
  <c r="I1651" i="2"/>
  <c r="H1354" i="2"/>
  <c r="I1354" i="2"/>
  <c r="I1325" i="2"/>
  <c r="H1325" i="2"/>
  <c r="J1325" i="2"/>
  <c r="K1325" i="2"/>
  <c r="J1268" i="2"/>
  <c r="K1268" i="2"/>
  <c r="H1268" i="2"/>
  <c r="I1268" i="2"/>
  <c r="H658" i="2"/>
  <c r="J658" i="2"/>
  <c r="K658" i="2"/>
  <c r="J323" i="2"/>
  <c r="K323" i="2"/>
  <c r="I323" i="2"/>
  <c r="H323" i="2"/>
  <c r="H202" i="2"/>
  <c r="I202" i="2"/>
  <c r="H2340" i="2"/>
  <c r="J2340" i="2"/>
  <c r="K2340" i="2"/>
  <c r="I2340" i="2"/>
  <c r="J2325" i="2"/>
  <c r="K2325" i="2"/>
  <c r="H2325" i="2"/>
  <c r="H2483" i="2"/>
  <c r="J2483" i="2"/>
  <c r="K2483" i="2"/>
  <c r="I2483" i="2"/>
  <c r="H2609" i="2"/>
  <c r="J2609" i="2"/>
  <c r="K2609" i="2"/>
  <c r="H901" i="2"/>
  <c r="J901" i="2"/>
  <c r="K901" i="2"/>
  <c r="H871" i="2"/>
  <c r="J871" i="2"/>
  <c r="K871" i="2"/>
  <c r="I871" i="2"/>
  <c r="J808" i="2"/>
  <c r="K808" i="2"/>
  <c r="H808" i="2"/>
  <c r="I808" i="2"/>
  <c r="H686" i="2"/>
  <c r="I686" i="2"/>
  <c r="J2357" i="2"/>
  <c r="K2357" i="2"/>
  <c r="H2357" i="2"/>
  <c r="H2399" i="2"/>
  <c r="I2399" i="2"/>
  <c r="J2399" i="2"/>
  <c r="K2399" i="2"/>
  <c r="I2450" i="2"/>
  <c r="H2450" i="2"/>
  <c r="J2450" i="2"/>
  <c r="K2450" i="2"/>
  <c r="H2581" i="2"/>
  <c r="J2581" i="2"/>
  <c r="K2581" i="2"/>
  <c r="I2581" i="2"/>
  <c r="H2640" i="2"/>
  <c r="I2640" i="2"/>
  <c r="J1299" i="2"/>
  <c r="K1299" i="2"/>
  <c r="I1299" i="2"/>
  <c r="H1606" i="2"/>
  <c r="J1370" i="2"/>
  <c r="K1370" i="2"/>
  <c r="I2233" i="2"/>
  <c r="J1285" i="2"/>
  <c r="K1285" i="2"/>
  <c r="J1862" i="2"/>
  <c r="K1862" i="2"/>
  <c r="H1862" i="2"/>
  <c r="J1770" i="2"/>
  <c r="K1770" i="2"/>
  <c r="H1770" i="2"/>
  <c r="I1770" i="2"/>
  <c r="I870" i="2"/>
  <c r="H870" i="2"/>
  <c r="J870" i="2"/>
  <c r="K870" i="2"/>
  <c r="I776" i="2"/>
  <c r="H776" i="2"/>
  <c r="H563" i="2"/>
  <c r="I563" i="2"/>
  <c r="J171" i="2"/>
  <c r="K171" i="2"/>
  <c r="H171" i="2"/>
  <c r="I171" i="2"/>
  <c r="I111" i="2"/>
  <c r="J111" i="2"/>
  <c r="K111" i="2"/>
  <c r="H83" i="2"/>
  <c r="J83" i="2"/>
  <c r="K83" i="2"/>
  <c r="I83" i="2"/>
  <c r="I2309" i="2"/>
  <c r="J2309" i="2"/>
  <c r="K2309" i="2"/>
  <c r="H2309" i="2"/>
  <c r="H2396" i="2"/>
  <c r="J2396" i="2"/>
  <c r="K2396" i="2"/>
  <c r="I2568" i="2"/>
  <c r="J2568" i="2"/>
  <c r="K2568" i="2"/>
  <c r="I1243" i="2"/>
  <c r="J1243" i="2"/>
  <c r="K1243" i="2"/>
  <c r="H1243" i="2"/>
  <c r="I1255" i="2"/>
  <c r="J1606" i="2"/>
  <c r="K1606" i="2"/>
  <c r="I1285" i="2"/>
  <c r="H1284" i="2"/>
  <c r="J1709" i="2"/>
  <c r="K1709" i="2"/>
  <c r="H1709" i="2"/>
  <c r="I1709" i="2"/>
  <c r="I1023" i="2"/>
  <c r="J1023" i="2"/>
  <c r="K1023" i="2"/>
  <c r="H1023" i="2"/>
  <c r="J992" i="2"/>
  <c r="K992" i="2"/>
  <c r="H992" i="2"/>
  <c r="I500" i="2"/>
  <c r="J500" i="2"/>
  <c r="K500" i="2"/>
  <c r="H500" i="2"/>
  <c r="I470" i="2"/>
  <c r="H470" i="2"/>
  <c r="J470" i="2"/>
  <c r="K470" i="2"/>
  <c r="H412" i="2"/>
  <c r="J412" i="2"/>
  <c r="K412" i="2"/>
  <c r="I412" i="2"/>
  <c r="I289" i="2"/>
  <c r="H289" i="2"/>
  <c r="J289" i="2"/>
  <c r="K289" i="2"/>
  <c r="J141" i="2"/>
  <c r="K141" i="2"/>
  <c r="I141" i="2"/>
  <c r="J2313" i="2"/>
  <c r="K2313" i="2"/>
  <c r="H1063" i="2"/>
  <c r="J2233" i="2"/>
  <c r="K2233" i="2"/>
  <c r="H1273" i="2"/>
  <c r="I2201" i="2"/>
  <c r="J2009" i="2"/>
  <c r="K2009" i="2"/>
  <c r="I472" i="2"/>
  <c r="H2009" i="2"/>
  <c r="H1146" i="2"/>
  <c r="J1146" i="2"/>
  <c r="K1146" i="2"/>
  <c r="I1146" i="2"/>
  <c r="J1085" i="2"/>
  <c r="K1085" i="2"/>
  <c r="H1085" i="2"/>
  <c r="I744" i="2"/>
  <c r="J744" i="2"/>
  <c r="K744" i="2"/>
  <c r="H744" i="2"/>
  <c r="H561" i="2"/>
  <c r="I561" i="2"/>
  <c r="J530" i="2"/>
  <c r="K530" i="2"/>
  <c r="I530" i="2"/>
  <c r="H530" i="2"/>
  <c r="J319" i="2"/>
  <c r="K319" i="2"/>
  <c r="I319" i="2"/>
  <c r="H319" i="2"/>
  <c r="I199" i="2"/>
  <c r="J199" i="2"/>
  <c r="K199" i="2"/>
  <c r="H199" i="2"/>
  <c r="H2065" i="2"/>
  <c r="I2065" i="2"/>
  <c r="H2037" i="2"/>
  <c r="I2037" i="2"/>
  <c r="J2037" i="2"/>
  <c r="K2037" i="2"/>
  <c r="I1891" i="2"/>
  <c r="J1891" i="2"/>
  <c r="K1891" i="2"/>
  <c r="I1798" i="2"/>
  <c r="J1798" i="2"/>
  <c r="K1798" i="2"/>
  <c r="J1768" i="2"/>
  <c r="K1768" i="2"/>
  <c r="H1768" i="2"/>
  <c r="H1738" i="2"/>
  <c r="J1738" i="2"/>
  <c r="K1738" i="2"/>
  <c r="I1738" i="2"/>
  <c r="H1616" i="2"/>
  <c r="I1616" i="2"/>
  <c r="J1616" i="2"/>
  <c r="K1616" i="2"/>
  <c r="I1497" i="2"/>
  <c r="H1497" i="2"/>
  <c r="J1497" i="2"/>
  <c r="K1497" i="2"/>
  <c r="I1021" i="2"/>
  <c r="H1021" i="2"/>
  <c r="J1021" i="2"/>
  <c r="K1021" i="2"/>
  <c r="J990" i="2"/>
  <c r="K990" i="2"/>
  <c r="H990" i="2"/>
  <c r="I990" i="2"/>
  <c r="H773" i="2"/>
  <c r="I256" i="2"/>
  <c r="H256" i="2"/>
  <c r="J256" i="2"/>
  <c r="K256" i="2"/>
  <c r="H228" i="2"/>
  <c r="J228" i="2"/>
  <c r="K228" i="2"/>
  <c r="H2276" i="2"/>
  <c r="I2276" i="2"/>
  <c r="J1486" i="2"/>
  <c r="K1486" i="2"/>
  <c r="J1909" i="2"/>
  <c r="K1909" i="2"/>
  <c r="H1586" i="2"/>
  <c r="I1586" i="2"/>
  <c r="I1527" i="2"/>
  <c r="H1527" i="2"/>
  <c r="J1527" i="2"/>
  <c r="K1527" i="2"/>
  <c r="J1174" i="2"/>
  <c r="K1174" i="2"/>
  <c r="I1174" i="2"/>
  <c r="H1174" i="2"/>
  <c r="I1144" i="2"/>
  <c r="J1144" i="2"/>
  <c r="K1144" i="2"/>
  <c r="J621" i="2"/>
  <c r="K621" i="2"/>
  <c r="I621" i="2"/>
  <c r="H621" i="2"/>
  <c r="H591" i="2"/>
  <c r="I591" i="2"/>
  <c r="J559" i="2"/>
  <c r="K559" i="2"/>
  <c r="H559" i="2"/>
  <c r="H528" i="2"/>
  <c r="J528" i="2"/>
  <c r="K528" i="2"/>
  <c r="H379" i="2"/>
  <c r="I379" i="2"/>
  <c r="I317" i="2"/>
  <c r="H317" i="2"/>
  <c r="J255" i="2"/>
  <c r="K255" i="2"/>
  <c r="I255" i="2"/>
  <c r="H255" i="2"/>
  <c r="I227" i="2"/>
  <c r="H227" i="2"/>
  <c r="J227" i="2"/>
  <c r="K227" i="2"/>
  <c r="J2664" i="2"/>
  <c r="H2664" i="2"/>
  <c r="I2664" i="2"/>
  <c r="H1938" i="2"/>
  <c r="J1938" i="2"/>
  <c r="K1938" i="2"/>
  <c r="J2394" i="2"/>
  <c r="K2394" i="2"/>
  <c r="H2394" i="2"/>
  <c r="I2394" i="2"/>
  <c r="H2281" i="2"/>
  <c r="J1847" i="2"/>
  <c r="K1847" i="2"/>
  <c r="H1847" i="2"/>
  <c r="I1847" i="2"/>
  <c r="I2420" i="2"/>
  <c r="J2420" i="2"/>
  <c r="K2420" i="2"/>
  <c r="I2338" i="2"/>
  <c r="H2338" i="2"/>
  <c r="J2338" i="2"/>
  <c r="K2338" i="2"/>
  <c r="H182" i="2"/>
  <c r="I182" i="2"/>
  <c r="J182" i="2"/>
  <c r="K182" i="2"/>
  <c r="J65" i="2"/>
  <c r="K65" i="2"/>
  <c r="I65" i="2"/>
  <c r="H65" i="2"/>
  <c r="H2202" i="2"/>
  <c r="I2202" i="2"/>
  <c r="H2030" i="2"/>
  <c r="I1063" i="2"/>
  <c r="I1833" i="2"/>
  <c r="J1833" i="2"/>
  <c r="K1833" i="2"/>
  <c r="H1711" i="2"/>
  <c r="I1711" i="2"/>
  <c r="J1711" i="2"/>
  <c r="K1711" i="2"/>
  <c r="H2201" i="2"/>
  <c r="I1225" i="2"/>
  <c r="H2489" i="2"/>
  <c r="H1918" i="2"/>
  <c r="I1918" i="2"/>
  <c r="H1516" i="2"/>
  <c r="I2204" i="2"/>
  <c r="H1356" i="2"/>
  <c r="H203" i="2"/>
  <c r="J474" i="2"/>
  <c r="K474" i="2"/>
  <c r="H475" i="2"/>
  <c r="I1946" i="2"/>
  <c r="J1946" i="2"/>
  <c r="K1946" i="2"/>
  <c r="I1917" i="2"/>
  <c r="H1917" i="2"/>
  <c r="J1917" i="2"/>
  <c r="K1917" i="2"/>
  <c r="H1889" i="2"/>
  <c r="I1889" i="2"/>
  <c r="H1796" i="2"/>
  <c r="J1796" i="2"/>
  <c r="K1796" i="2"/>
  <c r="J1232" i="2"/>
  <c r="K1232" i="2"/>
  <c r="I1232" i="2"/>
  <c r="H1232" i="2"/>
  <c r="H558" i="2"/>
  <c r="J558" i="2"/>
  <c r="K558" i="2"/>
  <c r="J527" i="2"/>
  <c r="K527" i="2"/>
  <c r="H527" i="2"/>
  <c r="I527" i="2"/>
  <c r="H466" i="2"/>
  <c r="J466" i="2"/>
  <c r="K466" i="2"/>
  <c r="I466" i="2"/>
  <c r="J408" i="2"/>
  <c r="K408" i="2"/>
  <c r="H408" i="2"/>
  <c r="I408" i="2"/>
  <c r="H378" i="2"/>
  <c r="J378" i="2"/>
  <c r="K378" i="2"/>
  <c r="I378" i="2"/>
  <c r="I347" i="2"/>
  <c r="H347" i="2"/>
  <c r="J347" i="2"/>
  <c r="K347" i="2"/>
  <c r="I1372" i="2"/>
  <c r="J1372" i="2"/>
  <c r="K1372" i="2"/>
  <c r="J1826" i="2"/>
  <c r="K1826" i="2"/>
  <c r="H1826" i="2"/>
  <c r="H1674" i="2"/>
  <c r="J1674" i="2"/>
  <c r="K1674" i="2"/>
  <c r="H1231" i="2"/>
  <c r="I1231" i="2"/>
  <c r="J1231" i="2"/>
  <c r="K1231" i="2"/>
  <c r="J1111" i="2"/>
  <c r="K1111" i="2"/>
  <c r="H1111" i="2"/>
  <c r="I1081" i="2"/>
  <c r="H1081" i="2"/>
  <c r="I680" i="2"/>
  <c r="H680" i="2"/>
  <c r="J680" i="2"/>
  <c r="K680" i="2"/>
  <c r="J650" i="2"/>
  <c r="K650" i="2"/>
  <c r="I650" i="2"/>
  <c r="H650" i="2"/>
  <c r="H465" i="2"/>
  <c r="I465" i="2"/>
  <c r="J465" i="2"/>
  <c r="K465" i="2"/>
  <c r="I407" i="2"/>
  <c r="H407" i="2"/>
  <c r="J407" i="2"/>
  <c r="K407" i="2"/>
  <c r="J2315" i="2"/>
  <c r="K2315" i="2"/>
  <c r="I2315" i="2"/>
  <c r="H2315" i="2"/>
  <c r="I2350" i="2"/>
  <c r="J2350" i="2"/>
  <c r="K2350" i="2"/>
  <c r="H2395" i="2"/>
  <c r="I2395" i="2"/>
  <c r="J2395" i="2"/>
  <c r="K2395" i="2"/>
  <c r="H2361" i="2"/>
  <c r="H1681" i="2"/>
  <c r="J1681" i="2"/>
  <c r="K1681" i="2"/>
  <c r="H1412" i="2"/>
  <c r="I1412" i="2"/>
  <c r="H1758" i="2"/>
  <c r="I1729" i="2"/>
  <c r="I389" i="2"/>
  <c r="J993" i="2"/>
  <c r="K993" i="2"/>
  <c r="I2061" i="2"/>
  <c r="J2176" i="2"/>
  <c r="K2176" i="2"/>
  <c r="I2063" i="2"/>
  <c r="J2063" i="2"/>
  <c r="K2063" i="2"/>
  <c r="J2005" i="2"/>
  <c r="K2005" i="2"/>
  <c r="I2005" i="2"/>
  <c r="J1944" i="2"/>
  <c r="K1944" i="2"/>
  <c r="H1944" i="2"/>
  <c r="I1944" i="2"/>
  <c r="J1825" i="2"/>
  <c r="K1825" i="2"/>
  <c r="I1825" i="2"/>
  <c r="I1673" i="2"/>
  <c r="H1673" i="2"/>
  <c r="J1673" i="2"/>
  <c r="K1673" i="2"/>
  <c r="J1642" i="2"/>
  <c r="K1642" i="2"/>
  <c r="I1642" i="2"/>
  <c r="H1642" i="2"/>
  <c r="H1017" i="2"/>
  <c r="J1017" i="2"/>
  <c r="K1017" i="2"/>
  <c r="I709" i="2"/>
  <c r="J709" i="2"/>
  <c r="K709" i="2"/>
  <c r="I618" i="2"/>
  <c r="H618" i="2"/>
  <c r="J618" i="2"/>
  <c r="K618" i="2"/>
  <c r="I525" i="2"/>
  <c r="H525" i="2"/>
  <c r="I1196" i="2"/>
  <c r="H2341" i="2"/>
  <c r="J2341" i="2"/>
  <c r="K2341" i="2"/>
  <c r="I1517" i="2"/>
  <c r="H1517" i="2"/>
  <c r="J1517" i="2"/>
  <c r="K1517" i="2"/>
  <c r="H2207" i="2"/>
  <c r="I2207" i="2"/>
  <c r="J2207" i="2"/>
  <c r="K2207" i="2"/>
  <c r="I1428" i="2"/>
  <c r="H1360" i="2"/>
  <c r="H1486" i="2"/>
  <c r="J1056" i="2"/>
  <c r="K1056" i="2"/>
  <c r="H1056" i="2"/>
  <c r="J1353" i="2"/>
  <c r="K1353" i="2"/>
  <c r="J1225" i="2"/>
  <c r="K1225" i="2"/>
  <c r="I2206" i="2"/>
  <c r="J1918" i="2"/>
  <c r="K1918" i="2"/>
  <c r="J2204" i="2"/>
  <c r="K2204" i="2"/>
  <c r="I447" i="2"/>
  <c r="J2006" i="2"/>
  <c r="K2006" i="2"/>
  <c r="I2006" i="2"/>
  <c r="H1916" i="2"/>
  <c r="J1916" i="2"/>
  <c r="K1916" i="2"/>
  <c r="I1916" i="2"/>
  <c r="J505" i="2"/>
  <c r="K505" i="2"/>
  <c r="I2324" i="2"/>
  <c r="I201" i="2"/>
  <c r="H993" i="2"/>
  <c r="I2205" i="2"/>
  <c r="I2518" i="2"/>
  <c r="I2062" i="2"/>
  <c r="J2062" i="2"/>
  <c r="K2062" i="2"/>
  <c r="H2062" i="2"/>
  <c r="I2004" i="2"/>
  <c r="H2004" i="2"/>
  <c r="H1973" i="2"/>
  <c r="I1973" i="2"/>
  <c r="H1943" i="2"/>
  <c r="J1943" i="2"/>
  <c r="K1943" i="2"/>
  <c r="I1943" i="2"/>
  <c r="I1641" i="2"/>
  <c r="H1641" i="2"/>
  <c r="J1641" i="2"/>
  <c r="K1641" i="2"/>
  <c r="J1462" i="2"/>
  <c r="K1462" i="2"/>
  <c r="H1462" i="2"/>
  <c r="I1462" i="2"/>
  <c r="H1171" i="2"/>
  <c r="J1171" i="2"/>
  <c r="K1171" i="2"/>
  <c r="I1171" i="2"/>
  <c r="H1140" i="2"/>
  <c r="J1140" i="2"/>
  <c r="K1140" i="2"/>
  <c r="I1140" i="2"/>
  <c r="J1079" i="2"/>
  <c r="K1079" i="2"/>
  <c r="I1079" i="2"/>
  <c r="J648" i="2"/>
  <c r="K648" i="2"/>
  <c r="H648" i="2"/>
  <c r="I648" i="2"/>
  <c r="I587" i="2"/>
  <c r="J587" i="2"/>
  <c r="K587" i="2"/>
  <c r="H587" i="2"/>
  <c r="J1197" i="2"/>
  <c r="K1197" i="2"/>
  <c r="H1197" i="2"/>
  <c r="I2031" i="2"/>
  <c r="H2031" i="2"/>
  <c r="H1429" i="2"/>
  <c r="I1429" i="2"/>
  <c r="J1429" i="2"/>
  <c r="K1429" i="2"/>
  <c r="J1547" i="2"/>
  <c r="K1547" i="2"/>
  <c r="I1547" i="2"/>
  <c r="J2249" i="2"/>
  <c r="K2249" i="2"/>
  <c r="H2249" i="2"/>
  <c r="J2443" i="2"/>
  <c r="K2443" i="2"/>
  <c r="I2443" i="2"/>
  <c r="I2339" i="2"/>
  <c r="H2245" i="2"/>
  <c r="I2245" i="2"/>
  <c r="J2283" i="2"/>
  <c r="K2283" i="2"/>
  <c r="I2378" i="2"/>
  <c r="J1255" i="2"/>
  <c r="K1255" i="2"/>
  <c r="H2423" i="2"/>
  <c r="I1802" i="2"/>
  <c r="H1802" i="2"/>
  <c r="H1381" i="2"/>
  <c r="J1381" i="2"/>
  <c r="K1381" i="2"/>
  <c r="J1273" i="2"/>
  <c r="K1273" i="2"/>
  <c r="I1035" i="2"/>
  <c r="H1729" i="2"/>
  <c r="H2122" i="2"/>
  <c r="J1516" i="2"/>
  <c r="K1516" i="2"/>
  <c r="I880" i="2"/>
  <c r="J2202" i="2"/>
  <c r="K2202" i="2"/>
  <c r="J2324" i="2"/>
  <c r="K2324" i="2"/>
  <c r="H201" i="2"/>
  <c r="I1861" i="2"/>
  <c r="H389" i="2"/>
  <c r="J1093" i="2"/>
  <c r="K1093" i="2"/>
  <c r="J696" i="2"/>
  <c r="K696" i="2"/>
  <c r="J2245" i="2"/>
  <c r="K2245" i="2"/>
  <c r="I178" i="2"/>
  <c r="H1817" i="2"/>
  <c r="I1400" i="2"/>
  <c r="H2279" i="2"/>
  <c r="I239" i="2"/>
  <c r="J2485" i="2"/>
  <c r="K2485" i="2"/>
  <c r="I2506" i="2"/>
  <c r="J2061" i="2"/>
  <c r="K2061" i="2"/>
  <c r="J1913" i="2"/>
  <c r="K1913" i="2"/>
  <c r="I1913" i="2"/>
  <c r="J1732" i="2"/>
  <c r="K1732" i="2"/>
  <c r="I1732" i="2"/>
  <c r="H1732" i="2"/>
  <c r="H1702" i="2"/>
  <c r="J1702" i="2"/>
  <c r="K1702" i="2"/>
  <c r="I1702" i="2"/>
  <c r="I1257" i="2"/>
  <c r="J1257" i="2"/>
  <c r="K1257" i="2"/>
  <c r="J1139" i="2"/>
  <c r="K1139" i="2"/>
  <c r="H1139" i="2"/>
  <c r="I677" i="2"/>
  <c r="J677" i="2"/>
  <c r="K677" i="2"/>
  <c r="H677" i="2"/>
  <c r="I647" i="2"/>
  <c r="J647" i="2"/>
  <c r="K647" i="2"/>
  <c r="I1810" i="2"/>
  <c r="J1854" i="2"/>
  <c r="K1854" i="2"/>
  <c r="H1854" i="2"/>
  <c r="I1614" i="2"/>
  <c r="J1614" i="2"/>
  <c r="K1614" i="2"/>
  <c r="H446" i="2"/>
  <c r="I446" i="2"/>
  <c r="H388" i="2"/>
  <c r="J388" i="2"/>
  <c r="K388" i="2"/>
  <c r="H327" i="2"/>
  <c r="I327" i="2"/>
  <c r="J327" i="2"/>
  <c r="K327" i="2"/>
  <c r="J297" i="2"/>
  <c r="K297" i="2"/>
  <c r="I297" i="2"/>
  <c r="H297" i="2"/>
  <c r="H2131" i="2"/>
  <c r="I2131" i="2"/>
  <c r="I2115" i="2"/>
  <c r="H2115" i="2"/>
  <c r="H2217" i="2"/>
  <c r="I2217" i="2"/>
  <c r="H2259" i="2"/>
  <c r="I2259" i="2"/>
  <c r="J2355" i="2"/>
  <c r="K2355" i="2"/>
  <c r="I2355" i="2"/>
  <c r="H2355" i="2"/>
  <c r="I503" i="2"/>
  <c r="H503" i="2"/>
  <c r="I473" i="2"/>
  <c r="H473" i="2"/>
  <c r="J473" i="2"/>
  <c r="K473" i="2"/>
  <c r="H385" i="2"/>
  <c r="I385" i="2"/>
  <c r="J294" i="2"/>
  <c r="K294" i="2"/>
  <c r="I294" i="2"/>
  <c r="J534" i="2"/>
  <c r="K534" i="2"/>
  <c r="H1542" i="2"/>
  <c r="H1810" i="2"/>
  <c r="J1289" i="2"/>
  <c r="K1289" i="2"/>
  <c r="I1289" i="2"/>
  <c r="H1289" i="2"/>
  <c r="I1233" i="2"/>
  <c r="J1233" i="2"/>
  <c r="K1233" i="2"/>
  <c r="J1145" i="2"/>
  <c r="K1145" i="2"/>
  <c r="I1145" i="2"/>
  <c r="J1113" i="2"/>
  <c r="K1113" i="2"/>
  <c r="I1113" i="2"/>
  <c r="I533" i="2"/>
  <c r="J533" i="2"/>
  <c r="K533" i="2"/>
  <c r="H2086" i="2"/>
  <c r="I2086" i="2"/>
  <c r="J2413" i="2"/>
  <c r="K2413" i="2"/>
  <c r="H2413" i="2"/>
  <c r="I173" i="2"/>
  <c r="H173" i="2"/>
  <c r="H56" i="2"/>
  <c r="J56" i="2"/>
  <c r="K56" i="2"/>
  <c r="J2107" i="2"/>
  <c r="K2107" i="2"/>
  <c r="I2107" i="2"/>
  <c r="I2613" i="2"/>
  <c r="J2613" i="2"/>
  <c r="K2613" i="2"/>
  <c r="I1631" i="2"/>
  <c r="J1876" i="2"/>
  <c r="K1876" i="2"/>
  <c r="I1876" i="2"/>
  <c r="I1846" i="2"/>
  <c r="J1846" i="2"/>
  <c r="K1846" i="2"/>
  <c r="J1607" i="2"/>
  <c r="K1607" i="2"/>
  <c r="I1607" i="2"/>
  <c r="H1432" i="2"/>
  <c r="J1432" i="2"/>
  <c r="K1432" i="2"/>
  <c r="J1343" i="2"/>
  <c r="K1343" i="2"/>
  <c r="H1343" i="2"/>
  <c r="I1343" i="2"/>
  <c r="I1110" i="2"/>
  <c r="H1110" i="2"/>
  <c r="J1110" i="2"/>
  <c r="K1110" i="2"/>
  <c r="I1080" i="2"/>
  <c r="H1080" i="2"/>
  <c r="H925" i="2"/>
  <c r="I925" i="2"/>
  <c r="H2487" i="2"/>
  <c r="J2487" i="2"/>
  <c r="K2487" i="2"/>
  <c r="I2454" i="2"/>
  <c r="J2454" i="2"/>
  <c r="K2454" i="2"/>
  <c r="J1781" i="2"/>
  <c r="K1781" i="2"/>
  <c r="I1781" i="2"/>
  <c r="H1398" i="2"/>
  <c r="J1398" i="2"/>
  <c r="K1398" i="2"/>
  <c r="H646" i="2"/>
  <c r="J646" i="2"/>
  <c r="K646" i="2"/>
  <c r="I646" i="2"/>
  <c r="J406" i="2"/>
  <c r="K406" i="2"/>
  <c r="H406" i="2"/>
  <c r="H226" i="2"/>
  <c r="I226" i="2"/>
  <c r="I167" i="2"/>
  <c r="J167" i="2"/>
  <c r="K167" i="2"/>
  <c r="J2264" i="2"/>
  <c r="K2264" i="2"/>
  <c r="H2264" i="2"/>
  <c r="I2435" i="2"/>
  <c r="H2435" i="2"/>
  <c r="J1545" i="2"/>
  <c r="K1545" i="2"/>
  <c r="H1545" i="2"/>
  <c r="H1397" i="2"/>
  <c r="J1397" i="2"/>
  <c r="K1397" i="2"/>
  <c r="I1397" i="2"/>
  <c r="H345" i="2"/>
  <c r="I345" i="2"/>
  <c r="H253" i="2"/>
  <c r="I253" i="2"/>
  <c r="H2175" i="2"/>
  <c r="J2175" i="2"/>
  <c r="K2175" i="2"/>
  <c r="H2163" i="2"/>
  <c r="I2163" i="2"/>
  <c r="J2163" i="2"/>
  <c r="K2163" i="2"/>
  <c r="J1454" i="2"/>
  <c r="K1454" i="2"/>
  <c r="I1454" i="2"/>
  <c r="I1011" i="2"/>
  <c r="J1011" i="2"/>
  <c r="K1011" i="2"/>
  <c r="H1011" i="2"/>
  <c r="I980" i="2"/>
  <c r="J980" i="2"/>
  <c r="K980" i="2"/>
  <c r="H918" i="2"/>
  <c r="J918" i="2"/>
  <c r="K918" i="2"/>
  <c r="I858" i="2"/>
  <c r="H858" i="2"/>
  <c r="J858" i="2"/>
  <c r="K858" i="2"/>
  <c r="H765" i="2"/>
  <c r="J765" i="2"/>
  <c r="K765" i="2"/>
  <c r="H674" i="2"/>
  <c r="I674" i="2"/>
  <c r="I613" i="2"/>
  <c r="H613" i="2"/>
  <c r="J613" i="2"/>
  <c r="K613" i="2"/>
  <c r="I462" i="2"/>
  <c r="H462" i="2"/>
  <c r="J462" i="2"/>
  <c r="K462" i="2"/>
  <c r="I252" i="2"/>
  <c r="J252" i="2"/>
  <c r="K252" i="2"/>
  <c r="H252" i="2"/>
  <c r="J979" i="2"/>
  <c r="K979" i="2"/>
  <c r="H979" i="2"/>
  <c r="I979" i="2"/>
  <c r="J917" i="2"/>
  <c r="K917" i="2"/>
  <c r="H917" i="2"/>
  <c r="J794" i="2"/>
  <c r="K794" i="2"/>
  <c r="I794" i="2"/>
  <c r="I704" i="2"/>
  <c r="H704" i="2"/>
  <c r="J643" i="2"/>
  <c r="K643" i="2"/>
  <c r="H643" i="2"/>
  <c r="H403" i="2"/>
  <c r="J403" i="2"/>
  <c r="K403" i="2"/>
  <c r="I403" i="2"/>
  <c r="J374" i="2"/>
  <c r="K374" i="2"/>
  <c r="I374" i="2"/>
  <c r="I343" i="2"/>
  <c r="J343" i="2"/>
  <c r="K343" i="2"/>
  <c r="I916" i="2"/>
  <c r="H916" i="2"/>
  <c r="J916" i="2"/>
  <c r="K916" i="2"/>
  <c r="J824" i="2"/>
  <c r="K824" i="2"/>
  <c r="I824" i="2"/>
  <c r="H824" i="2"/>
  <c r="J763" i="2"/>
  <c r="K763" i="2"/>
  <c r="I763" i="2"/>
  <c r="J672" i="2"/>
  <c r="K672" i="2"/>
  <c r="I672" i="2"/>
  <c r="I520" i="2"/>
  <c r="H520" i="2"/>
  <c r="J402" i="2"/>
  <c r="K402" i="2"/>
  <c r="H1926" i="2"/>
  <c r="J1926" i="2"/>
  <c r="K1926" i="2"/>
  <c r="J1573" i="2"/>
  <c r="K1573" i="2"/>
  <c r="I1985" i="2"/>
  <c r="J1985" i="2"/>
  <c r="K1985" i="2"/>
  <c r="H1925" i="2"/>
  <c r="I1925" i="2"/>
  <c r="J1925" i="2"/>
  <c r="K1925" i="2"/>
  <c r="I1807" i="2"/>
  <c r="H1807" i="2"/>
  <c r="I1100" i="2"/>
  <c r="J1100" i="2"/>
  <c r="K1100" i="2"/>
  <c r="H1100" i="2"/>
  <c r="I1040" i="2"/>
  <c r="J1040" i="2"/>
  <c r="K1040" i="2"/>
  <c r="H1040" i="2"/>
  <c r="J1008" i="2"/>
  <c r="K1008" i="2"/>
  <c r="I1008" i="2"/>
  <c r="I946" i="2"/>
  <c r="J946" i="2"/>
  <c r="K946" i="2"/>
  <c r="I885" i="2"/>
  <c r="H885" i="2"/>
  <c r="J671" i="2"/>
  <c r="K671" i="2"/>
  <c r="H671" i="2"/>
  <c r="I671" i="2"/>
  <c r="J519" i="2"/>
  <c r="K519" i="2"/>
  <c r="I519" i="2"/>
  <c r="J1898" i="2"/>
  <c r="K1898" i="2"/>
  <c r="I1898" i="2"/>
  <c r="H1898" i="2"/>
  <c r="H1811" i="2"/>
  <c r="I89" i="2"/>
  <c r="I1824" i="2"/>
  <c r="H1544" i="2"/>
  <c r="H1571" i="2"/>
  <c r="H767" i="2"/>
  <c r="I628" i="2"/>
  <c r="I1780" i="2"/>
  <c r="J2041" i="2"/>
  <c r="K2041" i="2"/>
  <c r="H1895" i="2"/>
  <c r="H1656" i="2"/>
  <c r="J1656" i="2"/>
  <c r="K1656" i="2"/>
  <c r="I1656" i="2"/>
  <c r="H1626" i="2"/>
  <c r="J1568" i="2"/>
  <c r="K1568" i="2"/>
  <c r="H1190" i="2"/>
  <c r="J1190" i="2"/>
  <c r="K1190" i="2"/>
  <c r="H1007" i="2"/>
  <c r="I1007" i="2"/>
  <c r="J1007" i="2"/>
  <c r="K1007" i="2"/>
  <c r="H945" i="2"/>
  <c r="I945" i="2"/>
  <c r="H854" i="2"/>
  <c r="J854" i="2"/>
  <c r="K854" i="2"/>
  <c r="H791" i="2"/>
  <c r="I791" i="2"/>
  <c r="I550" i="2"/>
  <c r="J550" i="2"/>
  <c r="K550" i="2"/>
  <c r="H550" i="2"/>
  <c r="J1869" i="2"/>
  <c r="K1869" i="2"/>
  <c r="I1869" i="2"/>
  <c r="H1869" i="2"/>
  <c r="H89" i="2"/>
  <c r="H444" i="2"/>
  <c r="J2067" i="2"/>
  <c r="K2067" i="2"/>
  <c r="H2067" i="2"/>
  <c r="I2067" i="2"/>
  <c r="I1923" i="2"/>
  <c r="H1923" i="2"/>
  <c r="J1923" i="2"/>
  <c r="K1923" i="2"/>
  <c r="J1715" i="2"/>
  <c r="K1715" i="2"/>
  <c r="H1715" i="2"/>
  <c r="I1715" i="2"/>
  <c r="J1655" i="2"/>
  <c r="K1655" i="2"/>
  <c r="H1655" i="2"/>
  <c r="I1655" i="2"/>
  <c r="J1597" i="2"/>
  <c r="K1597" i="2"/>
  <c r="H1597" i="2"/>
  <c r="I1302" i="2"/>
  <c r="H1302" i="2"/>
  <c r="J1038" i="2"/>
  <c r="K1038" i="2"/>
  <c r="H1038" i="2"/>
  <c r="I1038" i="2"/>
  <c r="I1006" i="2"/>
  <c r="H1006" i="2"/>
  <c r="J1006" i="2"/>
  <c r="K1006" i="2"/>
  <c r="I975" i="2"/>
  <c r="J975" i="2"/>
  <c r="K975" i="2"/>
  <c r="H975" i="2"/>
  <c r="H669" i="2"/>
  <c r="J669" i="2"/>
  <c r="K669" i="2"/>
  <c r="I669" i="2"/>
  <c r="H428" i="2"/>
  <c r="J428" i="2"/>
  <c r="K428" i="2"/>
  <c r="H2367" i="2"/>
  <c r="J2488" i="2"/>
  <c r="K2488" i="2"/>
  <c r="J716" i="2"/>
  <c r="K716" i="2"/>
  <c r="I1982" i="2"/>
  <c r="H1982" i="2"/>
  <c r="J1982" i="2"/>
  <c r="K1982" i="2"/>
  <c r="J1834" i="2"/>
  <c r="K1834" i="2"/>
  <c r="I1834" i="2"/>
  <c r="I1333" i="2"/>
  <c r="J1333" i="2"/>
  <c r="K1333" i="2"/>
  <c r="H1333" i="2"/>
  <c r="H1301" i="2"/>
  <c r="J1301" i="2"/>
  <c r="K1301" i="2"/>
  <c r="H1188" i="2"/>
  <c r="J1188" i="2"/>
  <c r="K1188" i="2"/>
  <c r="I1188" i="2"/>
  <c r="J943" i="2"/>
  <c r="K943" i="2"/>
  <c r="I943" i="2"/>
  <c r="I1840" i="2"/>
  <c r="J1840" i="2"/>
  <c r="K1840" i="2"/>
  <c r="I1811" i="2"/>
  <c r="J503" i="2"/>
  <c r="K503" i="2"/>
  <c r="H2214" i="2"/>
  <c r="J1780" i="2"/>
  <c r="K1780" i="2"/>
  <c r="J1513" i="2"/>
  <c r="K1513" i="2"/>
  <c r="H1840" i="2"/>
  <c r="J1970" i="2"/>
  <c r="K1970" i="2"/>
  <c r="I2171" i="2"/>
  <c r="J1566" i="2"/>
  <c r="K1566" i="2"/>
  <c r="H1566" i="2"/>
  <c r="I1300" i="2"/>
  <c r="J1300" i="2"/>
  <c r="K1300" i="2"/>
  <c r="I1274" i="2"/>
  <c r="H1274" i="2"/>
  <c r="J1274" i="2"/>
  <c r="K1274" i="2"/>
  <c r="H1245" i="2"/>
  <c r="I1245" i="2"/>
  <c r="J1187" i="2"/>
  <c r="K1187" i="2"/>
  <c r="H1187" i="2"/>
  <c r="I1187" i="2"/>
  <c r="I851" i="2"/>
  <c r="H851" i="2"/>
  <c r="H788" i="2"/>
  <c r="J788" i="2"/>
  <c r="K788" i="2"/>
  <c r="I788" i="2"/>
  <c r="I728" i="2"/>
  <c r="J728" i="2"/>
  <c r="K728" i="2"/>
  <c r="H728" i="2"/>
  <c r="I638" i="2"/>
  <c r="J638" i="2"/>
  <c r="K638" i="2"/>
  <c r="J547" i="2"/>
  <c r="K547" i="2"/>
  <c r="I547" i="2"/>
  <c r="H499" i="2"/>
  <c r="I499" i="2"/>
  <c r="I1538" i="2"/>
  <c r="H1538" i="2"/>
  <c r="H1365" i="2"/>
  <c r="J1365" i="2"/>
  <c r="K1365" i="2"/>
  <c r="H645" i="2"/>
  <c r="I645" i="2"/>
  <c r="J645" i="2"/>
  <c r="K645" i="2"/>
  <c r="J143" i="2"/>
  <c r="K143" i="2"/>
  <c r="I143" i="2"/>
  <c r="H143" i="2"/>
  <c r="H2081" i="2"/>
  <c r="I2081" i="2"/>
  <c r="J2081" i="2"/>
  <c r="K2081" i="2"/>
  <c r="I429" i="2"/>
  <c r="H429" i="2"/>
  <c r="I2431" i="2"/>
  <c r="J2431" i="2"/>
  <c r="K2431" i="2"/>
  <c r="J16" i="2"/>
  <c r="K16" i="2"/>
  <c r="H16" i="2"/>
  <c r="I16" i="2"/>
  <c r="J939" i="2"/>
  <c r="K939" i="2"/>
  <c r="I939" i="2"/>
  <c r="H939" i="2"/>
  <c r="J577" i="2"/>
  <c r="K577" i="2"/>
  <c r="H577" i="2"/>
  <c r="I577" i="2"/>
  <c r="I515" i="2"/>
  <c r="H515" i="2"/>
  <c r="I427" i="2"/>
  <c r="H427" i="2"/>
  <c r="J427" i="2"/>
  <c r="K427" i="2"/>
  <c r="I2478" i="2"/>
  <c r="I2601" i="2"/>
  <c r="H2601" i="2"/>
  <c r="I1092" i="2"/>
  <c r="J1092" i="2"/>
  <c r="K1092" i="2"/>
  <c r="I1000" i="2"/>
  <c r="J1000" i="2"/>
  <c r="K1000" i="2"/>
  <c r="J131" i="2"/>
  <c r="K131" i="2"/>
  <c r="H131" i="2"/>
  <c r="H2213" i="2"/>
  <c r="I2213" i="2"/>
  <c r="I2576" i="2"/>
  <c r="H2576" i="2"/>
  <c r="I130" i="2"/>
  <c r="H130" i="2"/>
  <c r="J101" i="2"/>
  <c r="K101" i="2"/>
  <c r="H101" i="2"/>
  <c r="J2575" i="2"/>
  <c r="K2575" i="2"/>
  <c r="H2575" i="2"/>
  <c r="J1410" i="2"/>
  <c r="K1410" i="2"/>
  <c r="H1410" i="2"/>
  <c r="I1351" i="2"/>
  <c r="H1351" i="2"/>
  <c r="H692" i="2"/>
  <c r="J692" i="2"/>
  <c r="K692" i="2"/>
  <c r="H42" i="2"/>
  <c r="I42" i="2"/>
  <c r="J42" i="2"/>
  <c r="K42" i="2"/>
  <c r="J1957" i="2"/>
  <c r="K1957" i="2"/>
  <c r="H1929" i="2"/>
  <c r="I1929" i="2"/>
  <c r="I1438" i="2"/>
  <c r="H1438" i="2"/>
  <c r="J1438" i="2"/>
  <c r="K1438" i="2"/>
  <c r="J71" i="2"/>
  <c r="K71" i="2"/>
  <c r="H71" i="2"/>
  <c r="J185" i="2"/>
  <c r="K185" i="2"/>
  <c r="I185" i="2"/>
  <c r="H156" i="2"/>
  <c r="J156" i="2"/>
  <c r="K156" i="2"/>
  <c r="J2384" i="2"/>
  <c r="K2384" i="2"/>
  <c r="H2384" i="2"/>
  <c r="I1205" i="2"/>
  <c r="H1205" i="2"/>
  <c r="J1205" i="2"/>
  <c r="K1205" i="2"/>
  <c r="H1116" i="2"/>
  <c r="I1116" i="2"/>
  <c r="J1116" i="2"/>
  <c r="K1116" i="2"/>
  <c r="H1087" i="2"/>
  <c r="J1087" i="2"/>
  <c r="K1087" i="2"/>
  <c r="J933" i="2"/>
  <c r="K933" i="2"/>
  <c r="I933" i="2"/>
  <c r="I660" i="2"/>
  <c r="H660" i="2"/>
  <c r="I2363" i="2"/>
  <c r="H2363" i="2"/>
  <c r="J2363" i="2"/>
  <c r="K2363" i="2"/>
  <c r="H2540" i="2"/>
  <c r="J2540" i="2"/>
  <c r="K2540" i="2"/>
  <c r="H995" i="2"/>
  <c r="I995" i="2"/>
  <c r="H688" i="2"/>
  <c r="I688" i="2"/>
  <c r="J271" i="2"/>
  <c r="K271" i="2"/>
  <c r="H271" i="2"/>
  <c r="H154" i="2"/>
  <c r="I154" i="2"/>
  <c r="J126" i="2"/>
  <c r="K126" i="2"/>
  <c r="I126" i="2"/>
  <c r="H126" i="2"/>
  <c r="I2671" i="2"/>
  <c r="J2464" i="2"/>
  <c r="K2464" i="2"/>
  <c r="H593" i="2"/>
  <c r="I593" i="2"/>
  <c r="J642" i="2"/>
  <c r="K642" i="2"/>
  <c r="H2547" i="2"/>
  <c r="H2596" i="2"/>
  <c r="H1779" i="2"/>
  <c r="J1779" i="2"/>
  <c r="K1779" i="2"/>
  <c r="H1635" i="2"/>
  <c r="J1635" i="2"/>
  <c r="K1635" i="2"/>
  <c r="I1635" i="2"/>
  <c r="I1439" i="2"/>
  <c r="H1439" i="2"/>
  <c r="J1439" i="2"/>
  <c r="K1439" i="2"/>
  <c r="I1805" i="2"/>
  <c r="H1805" i="2"/>
  <c r="J1805" i="2"/>
  <c r="K1805" i="2"/>
  <c r="I1775" i="2"/>
  <c r="J1775" i="2"/>
  <c r="K1775" i="2"/>
  <c r="H1716" i="2"/>
  <c r="I1716" i="2"/>
  <c r="I1688" i="2"/>
  <c r="H1688" i="2"/>
  <c r="J1688" i="2"/>
  <c r="K1688" i="2"/>
  <c r="I2155" i="2"/>
  <c r="H2155" i="2"/>
  <c r="J2155" i="2"/>
  <c r="K2155" i="2"/>
  <c r="H2124" i="2"/>
  <c r="J2124" i="2"/>
  <c r="K2124" i="2"/>
  <c r="I2124" i="2"/>
  <c r="H2225" i="2"/>
  <c r="J2225" i="2"/>
  <c r="K2225" i="2"/>
  <c r="I2225" i="2"/>
  <c r="J2352" i="2"/>
  <c r="K2352" i="2"/>
  <c r="I2352" i="2"/>
  <c r="H2352" i="2"/>
  <c r="I1860" i="2"/>
  <c r="H1860" i="2"/>
  <c r="J1860" i="2"/>
  <c r="K1860" i="2"/>
  <c r="I1745" i="2"/>
  <c r="H1745" i="2"/>
  <c r="H1628" i="2"/>
  <c r="I1628" i="2"/>
  <c r="J1628" i="2"/>
  <c r="K1628" i="2"/>
  <c r="J468" i="2"/>
  <c r="K468" i="2"/>
  <c r="H468" i="2"/>
  <c r="I468" i="2"/>
  <c r="I36" i="2"/>
  <c r="J36" i="2"/>
  <c r="K36" i="2"/>
  <c r="H36" i="2"/>
  <c r="J7" i="2"/>
  <c r="K7" i="2"/>
  <c r="I7" i="2"/>
  <c r="H7" i="2"/>
  <c r="I2111" i="2"/>
  <c r="J2111" i="2"/>
  <c r="K2111" i="2"/>
  <c r="J2184" i="2"/>
  <c r="K2184" i="2"/>
  <c r="I2184" i="2"/>
  <c r="H2228" i="2"/>
  <c r="J2228" i="2"/>
  <c r="K2228" i="2"/>
  <c r="I2228" i="2"/>
  <c r="I1721" i="2"/>
  <c r="H1721" i="2"/>
  <c r="J1721" i="2"/>
  <c r="K1721" i="2"/>
  <c r="I1859" i="2"/>
  <c r="J1859" i="2"/>
  <c r="K1859" i="2"/>
  <c r="J1803" i="2"/>
  <c r="K1803" i="2"/>
  <c r="I1803" i="2"/>
  <c r="H1803" i="2"/>
  <c r="I523" i="2"/>
  <c r="H523" i="2"/>
  <c r="J2154" i="2"/>
  <c r="K2154" i="2"/>
  <c r="H2154" i="2"/>
  <c r="J2211" i="2"/>
  <c r="K2211" i="2"/>
  <c r="H2211" i="2"/>
  <c r="I2211" i="2"/>
  <c r="I2388" i="2"/>
  <c r="J2388" i="2"/>
  <c r="K2388" i="2"/>
  <c r="H2388" i="2"/>
  <c r="H2157" i="2"/>
  <c r="H1887" i="2"/>
  <c r="J1887" i="2"/>
  <c r="K1887" i="2"/>
  <c r="H1830" i="2"/>
  <c r="I1830" i="2"/>
  <c r="J1830" i="2"/>
  <c r="K1830" i="2"/>
  <c r="I2091" i="2"/>
  <c r="J2091" i="2"/>
  <c r="K2091" i="2"/>
  <c r="J2662" i="2"/>
  <c r="H2662" i="2"/>
  <c r="J665" i="2"/>
  <c r="K665" i="2"/>
  <c r="I35" i="2"/>
  <c r="H35" i="2"/>
  <c r="J35" i="2"/>
  <c r="K35" i="2"/>
  <c r="I2121" i="2"/>
  <c r="H2121" i="2"/>
  <c r="J2121" i="2"/>
  <c r="K2121" i="2"/>
  <c r="I2321" i="2"/>
  <c r="H2321" i="2"/>
  <c r="J2321" i="2"/>
  <c r="K2321" i="2"/>
  <c r="J2157" i="2"/>
  <c r="K2157" i="2"/>
  <c r="I1801" i="2"/>
  <c r="H1801" i="2"/>
  <c r="J1801" i="2"/>
  <c r="K1801" i="2"/>
  <c r="I1771" i="2"/>
  <c r="H1771" i="2"/>
  <c r="J1771" i="2"/>
  <c r="K1771" i="2"/>
  <c r="H521" i="2"/>
  <c r="J521" i="2"/>
  <c r="K521" i="2"/>
  <c r="J34" i="2"/>
  <c r="K34" i="2"/>
  <c r="H34" i="2"/>
  <c r="I34" i="2"/>
  <c r="J2089" i="2"/>
  <c r="K2089" i="2"/>
  <c r="H2089" i="2"/>
  <c r="I2153" i="2"/>
  <c r="J2153" i="2"/>
  <c r="K2153" i="2"/>
  <c r="I2345" i="2"/>
  <c r="J2345" i="2"/>
  <c r="K2345" i="2"/>
  <c r="I1634" i="2"/>
  <c r="J1634" i="2"/>
  <c r="K1634" i="2"/>
  <c r="J2125" i="2"/>
  <c r="K2125" i="2"/>
  <c r="H2125" i="2"/>
  <c r="I722" i="2"/>
  <c r="J722" i="2"/>
  <c r="K722" i="2"/>
  <c r="H722" i="2"/>
  <c r="H145" i="2"/>
  <c r="J145" i="2"/>
  <c r="K145" i="2"/>
  <c r="I145" i="2"/>
  <c r="J2119" i="2"/>
  <c r="K2119" i="2"/>
  <c r="H2119" i="2"/>
  <c r="I2119" i="2"/>
  <c r="J2177" i="2"/>
  <c r="K2177" i="2"/>
  <c r="I2177" i="2"/>
  <c r="H2177" i="2"/>
  <c r="J1998" i="2"/>
  <c r="K1998" i="2"/>
  <c r="I1998" i="2"/>
  <c r="H839" i="2"/>
  <c r="I839" i="2"/>
  <c r="J839" i="2"/>
  <c r="K839" i="2"/>
  <c r="H779" i="2"/>
  <c r="I779" i="2"/>
  <c r="J779" i="2"/>
  <c r="K779" i="2"/>
  <c r="I721" i="2"/>
  <c r="H721" i="2"/>
  <c r="I663" i="2"/>
  <c r="J663" i="2"/>
  <c r="K663" i="2"/>
  <c r="H663" i="2"/>
  <c r="H1808" i="2"/>
  <c r="I1808" i="2"/>
  <c r="H749" i="2"/>
  <c r="I749" i="2"/>
  <c r="J749" i="2"/>
  <c r="K749" i="2"/>
  <c r="J2026" i="2"/>
  <c r="K2026" i="2"/>
  <c r="H2026" i="2"/>
  <c r="I2026" i="2"/>
  <c r="I1226" i="2"/>
  <c r="J1226" i="2"/>
  <c r="K1226" i="2"/>
  <c r="J748" i="2"/>
  <c r="K748" i="2"/>
  <c r="H748" i="2"/>
  <c r="I748" i="2"/>
  <c r="H719" i="2"/>
  <c r="J719" i="2"/>
  <c r="K719" i="2"/>
  <c r="J690" i="2"/>
  <c r="K690" i="2"/>
  <c r="H690" i="2"/>
  <c r="I1523" i="2"/>
  <c r="H1523" i="2"/>
  <c r="H1550" i="2"/>
  <c r="I1550" i="2"/>
  <c r="J1550" i="2"/>
  <c r="K1550" i="2"/>
  <c r="J1750" i="2"/>
  <c r="K1750" i="2"/>
  <c r="I1750" i="2"/>
  <c r="H1750" i="2"/>
  <c r="I1661" i="2"/>
  <c r="H1661" i="2"/>
  <c r="H1717" i="2"/>
  <c r="J1717" i="2"/>
  <c r="K1717" i="2"/>
  <c r="I2224" i="2"/>
  <c r="J2224" i="2"/>
  <c r="K2224" i="2"/>
  <c r="H2224" i="2"/>
  <c r="H2100" i="2"/>
  <c r="J2100" i="2"/>
  <c r="K2100" i="2"/>
  <c r="I2100" i="2"/>
  <c r="I1966" i="2"/>
  <c r="H1966" i="2"/>
  <c r="I838" i="2"/>
  <c r="J838" i="2"/>
  <c r="K838" i="2"/>
  <c r="H691" i="2"/>
  <c r="I691" i="2"/>
  <c r="J691" i="2"/>
  <c r="K691" i="2"/>
  <c r="H662" i="2"/>
  <c r="I662" i="2"/>
  <c r="J662" i="2"/>
  <c r="K662" i="2"/>
  <c r="I1967" i="2"/>
  <c r="J2110" i="2"/>
  <c r="K2110" i="2"/>
  <c r="I1633" i="2"/>
  <c r="I2662" i="2"/>
  <c r="J2051" i="2"/>
  <c r="K2051" i="2"/>
  <c r="I2051" i="2"/>
  <c r="I1964" i="2"/>
  <c r="J1964" i="2"/>
  <c r="K1964" i="2"/>
  <c r="H1880" i="2"/>
  <c r="I1880" i="2"/>
  <c r="J1880" i="2"/>
  <c r="K1880" i="2"/>
  <c r="I836" i="2"/>
  <c r="J836" i="2"/>
  <c r="K836" i="2"/>
  <c r="H836" i="2"/>
  <c r="J747" i="2"/>
  <c r="K747" i="2"/>
  <c r="I747" i="2"/>
  <c r="H747" i="2"/>
  <c r="H575" i="2"/>
  <c r="J575" i="2"/>
  <c r="K575" i="2"/>
  <c r="I575" i="2"/>
  <c r="J1748" i="2"/>
  <c r="K1748" i="2"/>
  <c r="I1748" i="2"/>
  <c r="H1748" i="2"/>
  <c r="H2029" i="2"/>
  <c r="I2029" i="2"/>
  <c r="J2029" i="2"/>
  <c r="K2029" i="2"/>
  <c r="I2023" i="2"/>
  <c r="J2023" i="2"/>
  <c r="K2023" i="2"/>
  <c r="H2023" i="2"/>
  <c r="I1306" i="2"/>
  <c r="J1306" i="2"/>
  <c r="K1306" i="2"/>
  <c r="H1306" i="2"/>
  <c r="I1282" i="2"/>
  <c r="H1282" i="2"/>
  <c r="I866" i="2"/>
  <c r="H866" i="2"/>
  <c r="I834" i="2"/>
  <c r="H834" i="2"/>
  <c r="J834" i="2"/>
  <c r="K834" i="2"/>
  <c r="H774" i="2"/>
  <c r="J774" i="2"/>
  <c r="K774" i="2"/>
  <c r="I774" i="2"/>
  <c r="I1551" i="2"/>
  <c r="H1551" i="2"/>
  <c r="H1549" i="2"/>
  <c r="I1549" i="2"/>
  <c r="J1549" i="2"/>
  <c r="K1549" i="2"/>
  <c r="I1520" i="2"/>
  <c r="H1520" i="2"/>
  <c r="J1520" i="2"/>
  <c r="K1520" i="2"/>
  <c r="I1604" i="2"/>
  <c r="H1604" i="2"/>
  <c r="J1604" i="2"/>
  <c r="K1604" i="2"/>
  <c r="I1574" i="2"/>
  <c r="H1574" i="2"/>
  <c r="J1574" i="2"/>
  <c r="K1574" i="2"/>
  <c r="J2277" i="2"/>
  <c r="K2277" i="2"/>
  <c r="H2277" i="2"/>
  <c r="I1779" i="2"/>
  <c r="H61" i="2"/>
  <c r="I61" i="2"/>
  <c r="H2127" i="2"/>
  <c r="I2127" i="2"/>
  <c r="J896" i="2"/>
  <c r="K896" i="2"/>
  <c r="H896" i="2"/>
  <c r="J806" i="2"/>
  <c r="K806" i="2"/>
  <c r="I806" i="2"/>
  <c r="H806" i="2"/>
  <c r="H717" i="2"/>
  <c r="J717" i="2"/>
  <c r="K717" i="2"/>
  <c r="I717" i="2"/>
  <c r="J1746" i="2"/>
  <c r="K1746" i="2"/>
  <c r="J1934" i="2"/>
  <c r="K1934" i="2"/>
  <c r="H1934" i="2"/>
  <c r="I1934" i="2"/>
  <c r="J895" i="2"/>
  <c r="K895" i="2"/>
  <c r="H895" i="2"/>
  <c r="H1253" i="2"/>
  <c r="J6" i="2"/>
  <c r="K6" i="2"/>
  <c r="H2292" i="2"/>
  <c r="H2048" i="2"/>
  <c r="I2685" i="2"/>
  <c r="H1363" i="2"/>
  <c r="J1363" i="2"/>
  <c r="K1363" i="2"/>
  <c r="I1363" i="2"/>
  <c r="J1305" i="2"/>
  <c r="K1305" i="2"/>
  <c r="I1305" i="2"/>
  <c r="I924" i="2"/>
  <c r="H924" i="2"/>
  <c r="J924" i="2"/>
  <c r="K924" i="2"/>
  <c r="J894" i="2"/>
  <c r="K894" i="2"/>
  <c r="H894" i="2"/>
  <c r="H804" i="2"/>
  <c r="J804" i="2"/>
  <c r="K804" i="2"/>
  <c r="I804" i="2"/>
  <c r="H1752" i="2"/>
  <c r="I1752" i="2"/>
  <c r="J1752" i="2"/>
  <c r="K1752" i="2"/>
  <c r="H1692" i="2"/>
  <c r="J1692" i="2"/>
  <c r="K1692" i="2"/>
  <c r="J2253" i="2"/>
  <c r="K2253" i="2"/>
  <c r="I2253" i="2"/>
  <c r="H2253" i="2"/>
  <c r="I1963" i="2"/>
  <c r="J1963" i="2"/>
  <c r="K1963" i="2"/>
  <c r="J926" i="2"/>
  <c r="K926" i="2"/>
  <c r="I926" i="2"/>
  <c r="H746" i="2"/>
  <c r="J746" i="2"/>
  <c r="K746" i="2"/>
  <c r="I746" i="2"/>
  <c r="I2110" i="2"/>
  <c r="J607" i="2"/>
  <c r="K607" i="2"/>
  <c r="H1993" i="2"/>
  <c r="J1993" i="2"/>
  <c r="K1993" i="2"/>
  <c r="I1993" i="2"/>
  <c r="J1046" i="2"/>
  <c r="K1046" i="2"/>
  <c r="I1046" i="2"/>
  <c r="H1046" i="2"/>
  <c r="J953" i="2"/>
  <c r="K953" i="2"/>
  <c r="I953" i="2"/>
  <c r="H923" i="2"/>
  <c r="J923" i="2"/>
  <c r="K923" i="2"/>
  <c r="I923" i="2"/>
  <c r="H893" i="2"/>
  <c r="J893" i="2"/>
  <c r="K893" i="2"/>
  <c r="I893" i="2"/>
  <c r="H864" i="2"/>
  <c r="I864" i="2"/>
  <c r="J864" i="2"/>
  <c r="K864" i="2"/>
  <c r="H1334" i="2"/>
  <c r="I1334" i="2"/>
  <c r="J1334" i="2"/>
  <c r="K1334" i="2"/>
  <c r="H863" i="2"/>
  <c r="I863" i="2"/>
  <c r="J863" i="2"/>
  <c r="K863" i="2"/>
  <c r="H1778" i="2"/>
  <c r="J1778" i="2"/>
  <c r="K1778" i="2"/>
  <c r="I1778" i="2"/>
  <c r="J1776" i="2"/>
  <c r="K1776" i="2"/>
  <c r="H1776" i="2"/>
  <c r="I1073" i="2"/>
  <c r="J1073" i="2"/>
  <c r="K1073" i="2"/>
  <c r="H1073" i="2"/>
  <c r="H1012" i="2"/>
  <c r="J1012" i="2"/>
  <c r="K1012" i="2"/>
  <c r="I1012" i="2"/>
  <c r="H982" i="2"/>
  <c r="I982" i="2"/>
  <c r="J982" i="2"/>
  <c r="K982" i="2"/>
  <c r="I951" i="2"/>
  <c r="H951" i="2"/>
  <c r="J951" i="2"/>
  <c r="K951" i="2"/>
  <c r="J921" i="2"/>
  <c r="K921" i="2"/>
  <c r="H921" i="2"/>
  <c r="I1664" i="2"/>
  <c r="H1664" i="2"/>
  <c r="J1664" i="2"/>
  <c r="K1664" i="2"/>
  <c r="J1493" i="2"/>
  <c r="K1493" i="2"/>
  <c r="I1493" i="2"/>
  <c r="H1493" i="2"/>
  <c r="J751" i="2"/>
  <c r="K751" i="2"/>
  <c r="H751" i="2"/>
  <c r="I751" i="2"/>
  <c r="H2070" i="2"/>
  <c r="J2070" i="2"/>
  <c r="K2070" i="2"/>
  <c r="J1693" i="2"/>
  <c r="K1693" i="2"/>
  <c r="J1253" i="2"/>
  <c r="K1253" i="2"/>
  <c r="I607" i="2"/>
  <c r="I1693" i="2"/>
  <c r="H60" i="2"/>
  <c r="H6" i="2"/>
  <c r="I1437" i="2"/>
  <c r="H1437" i="2"/>
  <c r="J1437" i="2"/>
  <c r="K1437" i="2"/>
  <c r="J1548" i="2"/>
  <c r="K1548" i="2"/>
  <c r="H1548" i="2"/>
  <c r="I1548" i="2"/>
  <c r="I1718" i="2"/>
  <c r="H1718" i="2"/>
  <c r="J1718" i="2"/>
  <c r="K1718" i="2"/>
  <c r="I1690" i="2"/>
  <c r="H1690" i="2"/>
  <c r="J1690" i="2"/>
  <c r="K1690" i="2"/>
  <c r="J1747" i="2"/>
  <c r="K1747" i="2"/>
  <c r="H1747" i="2"/>
  <c r="I1747" i="2"/>
  <c r="H694" i="2"/>
  <c r="I694" i="2"/>
  <c r="H3" i="2"/>
  <c r="I3" i="2"/>
  <c r="J32" i="2"/>
  <c r="K32" i="2"/>
  <c r="H32" i="2"/>
  <c r="I1746" i="2"/>
  <c r="J60" i="2"/>
  <c r="K60" i="2"/>
  <c r="I1749" i="2"/>
  <c r="J1133" i="2"/>
  <c r="K1133" i="2"/>
  <c r="I1133" i="2"/>
  <c r="J1749" i="2"/>
  <c r="K1749" i="2"/>
  <c r="I895" i="2"/>
  <c r="J745" i="2"/>
  <c r="K745" i="2"/>
  <c r="I1472" i="2"/>
  <c r="J1472" i="2"/>
  <c r="K1472" i="2"/>
  <c r="H1472" i="2"/>
  <c r="J1443" i="2"/>
  <c r="K1443" i="2"/>
  <c r="I1443" i="2"/>
  <c r="H1443" i="2"/>
  <c r="I1161" i="2"/>
  <c r="H1161" i="2"/>
  <c r="J1161" i="2"/>
  <c r="K1161" i="2"/>
  <c r="I1131" i="2"/>
  <c r="J1131" i="2"/>
  <c r="K1131" i="2"/>
  <c r="H1131" i="2"/>
  <c r="J1071" i="2"/>
  <c r="K1071" i="2"/>
  <c r="H1071" i="2"/>
  <c r="I1071" i="2"/>
  <c r="J1042" i="2"/>
  <c r="K1042" i="2"/>
  <c r="I1042" i="2"/>
  <c r="H1042" i="2"/>
  <c r="I1528" i="2"/>
  <c r="J1528" i="2"/>
  <c r="K1528" i="2"/>
  <c r="I1385" i="2"/>
  <c r="H1385" i="2"/>
  <c r="J1358" i="2"/>
  <c r="K1358" i="2"/>
  <c r="I1358" i="2"/>
  <c r="H1358" i="2"/>
  <c r="I2312" i="2"/>
  <c r="J2312" i="2"/>
  <c r="K2312" i="2"/>
  <c r="H2684" i="2"/>
  <c r="J2684" i="2"/>
  <c r="J1471" i="2"/>
  <c r="K1471" i="2"/>
  <c r="I1471" i="2"/>
  <c r="I1582" i="2"/>
  <c r="J1582" i="2"/>
  <c r="K1582" i="2"/>
  <c r="H1582" i="2"/>
  <c r="I1414" i="2"/>
  <c r="H1414" i="2"/>
  <c r="J1383" i="2"/>
  <c r="K1383" i="2"/>
  <c r="H1383" i="2"/>
  <c r="I1383" i="2"/>
  <c r="I1662" i="2"/>
  <c r="J1662" i="2"/>
  <c r="K1662" i="2"/>
  <c r="H1662" i="2"/>
  <c r="I1660" i="2"/>
  <c r="J1660" i="2"/>
  <c r="K1660" i="2"/>
  <c r="I2392" i="2"/>
  <c r="J1940" i="2"/>
  <c r="K1940" i="2"/>
  <c r="H1940" i="2"/>
  <c r="I1940" i="2"/>
  <c r="I775" i="2"/>
  <c r="H775" i="2"/>
  <c r="J1554" i="2"/>
  <c r="K1554" i="2"/>
  <c r="H1554" i="2"/>
  <c r="H1525" i="2"/>
  <c r="I1525" i="2"/>
  <c r="H1413" i="2"/>
  <c r="I1413" i="2"/>
  <c r="J1413" i="2"/>
  <c r="K1413" i="2"/>
  <c r="J1577" i="2"/>
  <c r="K1577" i="2"/>
  <c r="I1577" i="2"/>
  <c r="H1577" i="2"/>
  <c r="I2457" i="2"/>
  <c r="H2457" i="2"/>
  <c r="H33" i="2"/>
  <c r="I33" i="2"/>
  <c r="J33" i="2"/>
  <c r="K33" i="2"/>
  <c r="J2" i="2"/>
  <c r="I2" i="2"/>
  <c r="H2" i="2"/>
  <c r="I2292" i="2"/>
  <c r="I1776" i="2"/>
  <c r="H1833" i="2"/>
  <c r="H1014" i="2"/>
  <c r="I1524" i="2"/>
  <c r="H1524" i="2"/>
  <c r="J1524" i="2"/>
  <c r="K1524" i="2"/>
  <c r="J1468" i="2"/>
  <c r="K1468" i="2"/>
  <c r="I1468" i="2"/>
  <c r="H1468" i="2"/>
  <c r="J1722" i="2"/>
  <c r="K1722" i="2"/>
  <c r="H1722" i="2"/>
  <c r="J780" i="2"/>
  <c r="K780" i="2"/>
  <c r="I780" i="2"/>
  <c r="H666" i="2"/>
  <c r="J666" i="2"/>
  <c r="K666" i="2"/>
  <c r="H891" i="2"/>
  <c r="I2059" i="2"/>
  <c r="H2059" i="2"/>
  <c r="H1828" i="2"/>
  <c r="J1828" i="2"/>
  <c r="K1828" i="2"/>
  <c r="J1772" i="2"/>
  <c r="K1772" i="2"/>
  <c r="I1772" i="2"/>
  <c r="J1465" i="2"/>
  <c r="K1465" i="2"/>
  <c r="I1465" i="2"/>
  <c r="I1992" i="2"/>
  <c r="H1992" i="2"/>
  <c r="H1070" i="2"/>
  <c r="I1070" i="2"/>
  <c r="J1070" i="2"/>
  <c r="K1070" i="2"/>
  <c r="I1215" i="2"/>
  <c r="H1215" i="2"/>
  <c r="J85" i="2"/>
  <c r="K85" i="2"/>
  <c r="I85" i="2"/>
  <c r="I1600" i="2"/>
  <c r="H1600" i="2"/>
  <c r="H1039" i="2"/>
  <c r="J1039" i="2"/>
  <c r="K1039" i="2"/>
  <c r="I110" i="2"/>
  <c r="H110" i="2"/>
  <c r="I84" i="2"/>
  <c r="H84" i="2"/>
  <c r="I1958" i="2"/>
  <c r="J1958" i="2"/>
  <c r="K1958" i="2"/>
  <c r="I1903" i="2"/>
  <c r="J1903" i="2"/>
  <c r="K1903" i="2"/>
  <c r="I1848" i="2"/>
  <c r="I1797" i="2"/>
  <c r="J1797" i="2"/>
  <c r="K1797" i="2"/>
  <c r="I1271" i="2"/>
  <c r="J1271" i="2"/>
  <c r="K1271" i="2"/>
  <c r="H1271" i="2"/>
  <c r="J399" i="2"/>
  <c r="K399" i="2"/>
  <c r="I399" i="2"/>
  <c r="I2565" i="2"/>
  <c r="J2565" i="2"/>
  <c r="K2565" i="2"/>
  <c r="J827" i="2"/>
  <c r="K827" i="2"/>
  <c r="H827" i="2"/>
  <c r="H2612" i="2"/>
  <c r="I2612" i="2"/>
  <c r="I1487" i="2"/>
  <c r="H1487" i="2"/>
  <c r="J2143" i="2"/>
  <c r="K2143" i="2"/>
  <c r="I2143" i="2"/>
  <c r="H1823" i="2"/>
  <c r="J2505" i="2"/>
  <c r="K2505" i="2"/>
  <c r="H2505" i="2"/>
  <c r="J919" i="2"/>
  <c r="K919" i="2"/>
  <c r="H1848" i="2"/>
  <c r="J2059" i="2"/>
  <c r="K2059" i="2"/>
  <c r="I1828" i="2"/>
  <c r="I1666" i="2"/>
  <c r="I1097" i="2"/>
  <c r="H919" i="2"/>
  <c r="H1676" i="2"/>
  <c r="J1676" i="2"/>
  <c r="K1676" i="2"/>
  <c r="H1541" i="2"/>
  <c r="I1541" i="2"/>
  <c r="J1541" i="2"/>
  <c r="K1541" i="2"/>
  <c r="J422" i="2"/>
  <c r="K422" i="2"/>
  <c r="J2470" i="2"/>
  <c r="K2470" i="2"/>
  <c r="I2470" i="2"/>
  <c r="J2513" i="2"/>
  <c r="K2513" i="2"/>
  <c r="H2578" i="2"/>
  <c r="J2578" i="2"/>
  <c r="K2578" i="2"/>
  <c r="I2578" i="2"/>
  <c r="H2012" i="2"/>
  <c r="I2012" i="2"/>
  <c r="J1927" i="2"/>
  <c r="K1927" i="2"/>
  <c r="H1927" i="2"/>
  <c r="H1762" i="2"/>
  <c r="I1704" i="2"/>
  <c r="H1704" i="2"/>
  <c r="H1151" i="2"/>
  <c r="J1151" i="2"/>
  <c r="K1151" i="2"/>
  <c r="H450" i="2"/>
  <c r="J450" i="2"/>
  <c r="K450" i="2"/>
  <c r="H771" i="2"/>
  <c r="H1593" i="2"/>
  <c r="I1593" i="2"/>
  <c r="H1237" i="2"/>
  <c r="J1237" i="2"/>
  <c r="K1237" i="2"/>
  <c r="H449" i="2"/>
  <c r="I449" i="2"/>
  <c r="I2468" i="2"/>
  <c r="H2468" i="2"/>
  <c r="J1619" i="2"/>
  <c r="K1619" i="2"/>
  <c r="I1619" i="2"/>
  <c r="J2635" i="2"/>
  <c r="K2635" i="2"/>
  <c r="H2635" i="2"/>
  <c r="H1843" i="2"/>
  <c r="I1843" i="2"/>
  <c r="I1701" i="2"/>
  <c r="J1701" i="2"/>
  <c r="K1701" i="2"/>
  <c r="I937" i="2"/>
  <c r="H937" i="2"/>
  <c r="I1037" i="2"/>
  <c r="J1861" i="2"/>
  <c r="K1861" i="2"/>
  <c r="H2088" i="2"/>
  <c r="J1669" i="2"/>
  <c r="K1669" i="2"/>
  <c r="J1680" i="2"/>
  <c r="K1680" i="2"/>
  <c r="H1037" i="2"/>
  <c r="J1739" i="2"/>
  <c r="K1739" i="2"/>
  <c r="J1802" i="2"/>
  <c r="K1802" i="2"/>
  <c r="H1125" i="2"/>
  <c r="I1533" i="2"/>
  <c r="I1338" i="2"/>
  <c r="I673" i="2"/>
  <c r="J673" i="2"/>
  <c r="K673" i="2"/>
  <c r="J214" i="2"/>
  <c r="K214" i="2"/>
  <c r="H214" i="2"/>
  <c r="H2360" i="2"/>
  <c r="I2600" i="2"/>
  <c r="J2600" i="2"/>
  <c r="K2600" i="2"/>
  <c r="J1651" i="2"/>
  <c r="K1651" i="2"/>
  <c r="I827" i="2"/>
  <c r="I1680" i="2"/>
  <c r="I2088" i="2"/>
  <c r="I1988" i="2"/>
  <c r="I1739" i="2"/>
  <c r="J1699" i="2"/>
  <c r="K1699" i="2"/>
  <c r="I1699" i="2"/>
  <c r="H1451" i="2"/>
  <c r="I1451" i="2"/>
  <c r="H1396" i="2"/>
  <c r="I1396" i="2"/>
  <c r="J1369" i="2"/>
  <c r="K1369" i="2"/>
  <c r="H1369" i="2"/>
  <c r="J615" i="2"/>
  <c r="K615" i="2"/>
  <c r="I615" i="2"/>
  <c r="H615" i="2"/>
  <c r="I557" i="2"/>
  <c r="H2522" i="2"/>
  <c r="I2522" i="2"/>
  <c r="I2007" i="2"/>
  <c r="J2007" i="2"/>
  <c r="K2007" i="2"/>
  <c r="I1948" i="2"/>
  <c r="J1948" i="2"/>
  <c r="K1948" i="2"/>
  <c r="I1865" i="2"/>
  <c r="H1865" i="2"/>
  <c r="J1865" i="2"/>
  <c r="K1865" i="2"/>
  <c r="J2416" i="2"/>
  <c r="K2416" i="2"/>
  <c r="I2416" i="2"/>
  <c r="J1988" i="2"/>
  <c r="K1988" i="2"/>
  <c r="J2064" i="2"/>
  <c r="K2064" i="2"/>
  <c r="H1948" i="2"/>
  <c r="I1584" i="2"/>
  <c r="I1826" i="2"/>
  <c r="I1597" i="2"/>
  <c r="H1797" i="2"/>
  <c r="I1543" i="2"/>
  <c r="I1640" i="2"/>
  <c r="J670" i="2"/>
  <c r="K670" i="2"/>
  <c r="I670" i="2"/>
  <c r="I556" i="2"/>
  <c r="I415" i="2"/>
  <c r="H415" i="2"/>
  <c r="H270" i="2"/>
  <c r="I270" i="2"/>
  <c r="J2218" i="2"/>
  <c r="K2218" i="2"/>
  <c r="H2218" i="2"/>
  <c r="J2415" i="2"/>
  <c r="K2415" i="2"/>
  <c r="J1863" i="2"/>
  <c r="K1863" i="2"/>
  <c r="I1863" i="2"/>
  <c r="H1258" i="2"/>
  <c r="I1258" i="2"/>
  <c r="J2369" i="2"/>
  <c r="K2369" i="2"/>
  <c r="I2369" i="2"/>
  <c r="H1557" i="2"/>
  <c r="J771" i="2"/>
  <c r="K771" i="2"/>
  <c r="J1639" i="2"/>
  <c r="K1639" i="2"/>
  <c r="I1639" i="2"/>
  <c r="I2071" i="2"/>
  <c r="J2071" i="2"/>
  <c r="K2071" i="2"/>
  <c r="I1955" i="2"/>
  <c r="I2068" i="2"/>
  <c r="I1756" i="2"/>
  <c r="I1935" i="2"/>
  <c r="J1420" i="2"/>
  <c r="K1420" i="2"/>
  <c r="H1392" i="2"/>
  <c r="H1338" i="2"/>
  <c r="I471" i="2"/>
  <c r="J471" i="2"/>
  <c r="K471" i="2"/>
  <c r="I1637" i="2"/>
  <c r="J1637" i="2"/>
  <c r="K1637" i="2"/>
  <c r="J1256" i="2"/>
  <c r="K1256" i="2"/>
  <c r="H1256" i="2"/>
  <c r="H2295" i="2"/>
  <c r="I2295" i="2"/>
  <c r="H2440" i="2"/>
  <c r="I2440" i="2"/>
  <c r="J2426" i="2"/>
  <c r="K2426" i="2"/>
  <c r="H2426" i="2"/>
  <c r="I2238" i="2"/>
  <c r="J2238" i="2"/>
  <c r="K2238" i="2"/>
  <c r="H1144" i="2"/>
  <c r="I1671" i="2"/>
  <c r="H57" i="2"/>
  <c r="H1113" i="2"/>
  <c r="I2599" i="2"/>
  <c r="J2436" i="2"/>
  <c r="K2436" i="2"/>
  <c r="I2436" i="2"/>
  <c r="I1431" i="2"/>
  <c r="H1950" i="2"/>
  <c r="J1950" i="2"/>
  <c r="K1950" i="2"/>
  <c r="H825" i="2"/>
  <c r="I825" i="2"/>
  <c r="H2633" i="2"/>
  <c r="I491" i="2"/>
  <c r="I50" i="2"/>
  <c r="H50" i="2"/>
  <c r="H2078" i="2"/>
  <c r="I2649" i="2"/>
  <c r="I994" i="2"/>
  <c r="J994" i="2"/>
  <c r="K994" i="2"/>
  <c r="I517" i="2"/>
  <c r="H2517" i="2"/>
  <c r="J2517" i="2"/>
  <c r="K2517" i="2"/>
  <c r="H2515" i="2"/>
  <c r="J2515" i="2"/>
  <c r="K2515" i="2"/>
  <c r="H1697" i="2"/>
  <c r="H1534" i="2"/>
  <c r="I340" i="2"/>
  <c r="I1485" i="2"/>
  <c r="H1459" i="2"/>
  <c r="I1353" i="2"/>
  <c r="H1300" i="2"/>
  <c r="J2670" i="2"/>
  <c r="H2670" i="2"/>
  <c r="H1298" i="2"/>
  <c r="I1247" i="2"/>
  <c r="J1247" i="2"/>
  <c r="K1247" i="2"/>
  <c r="I1965" i="2"/>
  <c r="H1965" i="2"/>
  <c r="J2475" i="2"/>
  <c r="K2475" i="2"/>
  <c r="I2475" i="2"/>
  <c r="H340" i="2"/>
  <c r="J2377" i="2"/>
  <c r="K2377" i="2"/>
  <c r="I2377" i="2"/>
  <c r="J2549" i="2"/>
  <c r="K2549" i="2"/>
  <c r="J2619" i="2"/>
  <c r="K2619" i="2"/>
  <c r="J2462" i="2"/>
  <c r="K2462" i="2"/>
  <c r="H2682" i="2"/>
  <c r="J2523" i="2"/>
  <c r="K2523" i="2"/>
  <c r="J139" i="2"/>
  <c r="K139" i="2"/>
  <c r="I2269" i="2"/>
  <c r="H2663" i="2"/>
  <c r="H1179" i="2"/>
  <c r="J1179" i="2"/>
  <c r="K1179" i="2"/>
  <c r="I1259" i="2"/>
  <c r="I518" i="2"/>
  <c r="I1812" i="2"/>
  <c r="H1812" i="2"/>
  <c r="H1280" i="2"/>
  <c r="J1992" i="2"/>
  <c r="K1992" i="2"/>
  <c r="I1927" i="2"/>
  <c r="N2633" i="2"/>
  <c r="H1261" i="2"/>
  <c r="I1261" i="2"/>
  <c r="J1261" i="2"/>
  <c r="K1261" i="2"/>
  <c r="J1236" i="2"/>
  <c r="K1236" i="2"/>
  <c r="H1129" i="2"/>
  <c r="J1129" i="2"/>
  <c r="K1129" i="2"/>
  <c r="I1013" i="2"/>
  <c r="J1013" i="2"/>
  <c r="K1013" i="2"/>
  <c r="H1013" i="2"/>
  <c r="I707" i="2"/>
  <c r="H707" i="2"/>
  <c r="J707" i="2"/>
  <c r="K707" i="2"/>
  <c r="J785" i="2"/>
  <c r="K785" i="2"/>
  <c r="H785" i="2"/>
  <c r="I2034" i="2"/>
  <c r="J2034" i="2"/>
  <c r="K2034" i="2"/>
  <c r="H2034" i="2"/>
  <c r="J544" i="2"/>
  <c r="K544" i="2"/>
  <c r="H1734" i="2"/>
  <c r="N1098" i="2"/>
  <c r="J1505" i="2"/>
  <c r="K1505" i="2"/>
  <c r="I1505" i="2"/>
  <c r="H1505" i="2"/>
  <c r="H1483" i="2"/>
  <c r="I1483" i="2"/>
  <c r="J1173" i="2"/>
  <c r="K1173" i="2"/>
  <c r="I1173" i="2"/>
  <c r="J947" i="2"/>
  <c r="K947" i="2"/>
  <c r="H947" i="2"/>
  <c r="I2297" i="2"/>
  <c r="J2297" i="2"/>
  <c r="K2297" i="2"/>
  <c r="H2297" i="2"/>
  <c r="H2516" i="2"/>
  <c r="J2516" i="2"/>
  <c r="K2516" i="2"/>
  <c r="J1204" i="2"/>
  <c r="K1204" i="2"/>
  <c r="H2308" i="2"/>
  <c r="J1485" i="2"/>
  <c r="K1485" i="2"/>
  <c r="I921" i="2"/>
  <c r="I1734" i="2"/>
  <c r="J835" i="2"/>
  <c r="K835" i="2"/>
  <c r="I1298" i="2"/>
  <c r="I1179" i="2"/>
  <c r="N74" i="2"/>
  <c r="H1659" i="2"/>
  <c r="H1504" i="2"/>
  <c r="I1504" i="2"/>
  <c r="J1504" i="2"/>
  <c r="K1504" i="2"/>
  <c r="J1482" i="2"/>
  <c r="K1482" i="2"/>
  <c r="H1482" i="2"/>
  <c r="I1482" i="2"/>
  <c r="I1405" i="2"/>
  <c r="J1405" i="2"/>
  <c r="K1405" i="2"/>
  <c r="H1405" i="2"/>
  <c r="H1281" i="2"/>
  <c r="J1281" i="2"/>
  <c r="K1281" i="2"/>
  <c r="H1254" i="2"/>
  <c r="J1254" i="2"/>
  <c r="K1254" i="2"/>
  <c r="I861" i="2"/>
  <c r="H861" i="2"/>
  <c r="H833" i="2"/>
  <c r="J833" i="2"/>
  <c r="K833" i="2"/>
  <c r="I2308" i="2"/>
  <c r="H812" i="2"/>
  <c r="I812" i="2"/>
  <c r="J812" i="2"/>
  <c r="K812" i="2"/>
  <c r="H811" i="2"/>
  <c r="I811" i="2"/>
  <c r="N1005" i="2"/>
  <c r="H1458" i="2"/>
  <c r="I1458" i="2"/>
  <c r="H1304" i="2"/>
  <c r="I1304" i="2"/>
  <c r="J2490" i="2"/>
  <c r="K2490" i="2"/>
  <c r="H2490" i="2"/>
  <c r="I2490" i="2"/>
  <c r="H544" i="2"/>
  <c r="I1204" i="2"/>
  <c r="J491" i="2"/>
  <c r="K491" i="2"/>
  <c r="I1484" i="2"/>
  <c r="I507" i="2"/>
  <c r="N2" i="2"/>
  <c r="N1146" i="2"/>
  <c r="I1658" i="2"/>
  <c r="J1658" i="2"/>
  <c r="K1658" i="2"/>
  <c r="H1658" i="2"/>
  <c r="I1480" i="2"/>
  <c r="H1480" i="2"/>
  <c r="J1404" i="2"/>
  <c r="K1404" i="2"/>
  <c r="H1404" i="2"/>
  <c r="I1404" i="2"/>
  <c r="I208" i="2"/>
  <c r="H208" i="2"/>
  <c r="H517" i="2"/>
  <c r="H47" i="2"/>
  <c r="N963" i="2"/>
  <c r="N857" i="2"/>
  <c r="J1764" i="2"/>
  <c r="K1764" i="2"/>
  <c r="H1764" i="2"/>
  <c r="I1764" i="2"/>
  <c r="J1684" i="2"/>
  <c r="K1684" i="2"/>
  <c r="H1684" i="2"/>
  <c r="J1579" i="2"/>
  <c r="K1579" i="2"/>
  <c r="H1579" i="2"/>
  <c r="I1501" i="2"/>
  <c r="J1501" i="2"/>
  <c r="K1501" i="2"/>
  <c r="H1501" i="2"/>
  <c r="H1453" i="2"/>
  <c r="J1453" i="2"/>
  <c r="K1453" i="2"/>
  <c r="J1031" i="2"/>
  <c r="K1031" i="2"/>
  <c r="I1031" i="2"/>
  <c r="H1031" i="2"/>
  <c r="H207" i="2"/>
  <c r="I207" i="2"/>
  <c r="I2474" i="2"/>
  <c r="J2474" i="2"/>
  <c r="K2474" i="2"/>
  <c r="H2474" i="2"/>
  <c r="N2267" i="2"/>
  <c r="N2154" i="2"/>
  <c r="N2272" i="2"/>
  <c r="N2220" i="2"/>
  <c r="N2318" i="2"/>
  <c r="N2309" i="2"/>
  <c r="N1822" i="2"/>
  <c r="N697" i="2"/>
  <c r="N2078" i="2"/>
  <c r="N2427" i="2"/>
  <c r="N1950" i="2"/>
  <c r="N1854" i="2"/>
  <c r="N1191" i="2"/>
  <c r="N223" i="2"/>
  <c r="N591" i="2"/>
  <c r="N484" i="2"/>
  <c r="N1001" i="2"/>
  <c r="N831" i="2"/>
  <c r="N2015" i="2"/>
  <c r="N2187" i="2"/>
  <c r="H1900" i="2"/>
  <c r="J1900" i="2"/>
  <c r="K1900" i="2"/>
  <c r="H759" i="2"/>
  <c r="I759" i="2"/>
  <c r="J545" i="2"/>
  <c r="K545" i="2"/>
  <c r="I545" i="2"/>
  <c r="H545" i="2"/>
  <c r="J1558" i="2"/>
  <c r="K1558" i="2"/>
  <c r="H1558" i="2"/>
  <c r="I1558" i="2"/>
  <c r="H2335" i="2"/>
  <c r="J2335" i="2"/>
  <c r="K2335" i="2"/>
  <c r="H2410" i="2"/>
  <c r="I2410" i="2"/>
  <c r="J2410" i="2"/>
  <c r="K2410" i="2"/>
  <c r="N1434" i="2"/>
  <c r="H920" i="2"/>
  <c r="J920" i="2"/>
  <c r="K920" i="2"/>
  <c r="H2299" i="2"/>
  <c r="J2299" i="2"/>
  <c r="K2299" i="2"/>
  <c r="J1484" i="2"/>
  <c r="K1484" i="2"/>
  <c r="I1886" i="2"/>
  <c r="I1149" i="2"/>
  <c r="H1531" i="2"/>
  <c r="J1531" i="2"/>
  <c r="K1531" i="2"/>
  <c r="J1886" i="2"/>
  <c r="K1886" i="2"/>
  <c r="H1149" i="2"/>
  <c r="H971" i="2"/>
  <c r="J232" i="2"/>
  <c r="K232" i="2"/>
  <c r="N34" i="2"/>
  <c r="J1580" i="2"/>
  <c r="K1580" i="2"/>
  <c r="I1580" i="2"/>
  <c r="H1430" i="2"/>
  <c r="J1430" i="2"/>
  <c r="K1430" i="2"/>
  <c r="I944" i="2"/>
  <c r="J944" i="2"/>
  <c r="K944" i="2"/>
  <c r="H2531" i="2"/>
  <c r="J2531" i="2"/>
  <c r="K2531" i="2"/>
  <c r="I1887" i="2"/>
  <c r="J1885" i="2"/>
  <c r="K1885" i="2"/>
  <c r="I971" i="2"/>
  <c r="I232" i="2"/>
  <c r="N2004" i="2"/>
  <c r="J518" i="2"/>
  <c r="K518" i="2"/>
  <c r="I1885" i="2"/>
  <c r="I1256" i="2"/>
  <c r="J655" i="2"/>
  <c r="K655" i="2"/>
  <c r="I1236" i="2"/>
  <c r="H1859" i="2"/>
  <c r="J47" i="2"/>
  <c r="K47" i="2"/>
  <c r="J1458" i="2"/>
  <c r="K1458" i="2"/>
  <c r="N1219" i="2"/>
  <c r="H1834" i="2"/>
  <c r="H1814" i="2"/>
  <c r="J1790" i="2"/>
  <c r="K1790" i="2"/>
  <c r="H1553" i="2"/>
  <c r="I1553" i="2"/>
  <c r="I1452" i="2"/>
  <c r="H1452" i="2"/>
  <c r="J1452" i="2"/>
  <c r="K1452" i="2"/>
  <c r="H1403" i="2"/>
  <c r="J1403" i="2"/>
  <c r="K1403" i="2"/>
  <c r="I972" i="2"/>
  <c r="H972" i="2"/>
  <c r="H263" i="2"/>
  <c r="J2555" i="2"/>
  <c r="K2555" i="2"/>
  <c r="H2555" i="2"/>
  <c r="I2555" i="2"/>
  <c r="I1707" i="2"/>
  <c r="J1707" i="2"/>
  <c r="K1707" i="2"/>
  <c r="H1707" i="2"/>
  <c r="J1128" i="2"/>
  <c r="K1128" i="2"/>
  <c r="I999" i="2"/>
  <c r="I1790" i="2"/>
  <c r="H1858" i="2"/>
  <c r="J1858" i="2"/>
  <c r="K1858" i="2"/>
  <c r="I1496" i="2"/>
  <c r="J1496" i="2"/>
  <c r="K1496" i="2"/>
  <c r="I1294" i="2"/>
  <c r="H1294" i="2"/>
  <c r="H606" i="2"/>
  <c r="I606" i="2"/>
  <c r="J606" i="2"/>
  <c r="K606" i="2"/>
  <c r="J284" i="2"/>
  <c r="K284" i="2"/>
  <c r="I284" i="2"/>
  <c r="H284" i="2"/>
  <c r="H2654" i="2"/>
  <c r="J2654" i="2"/>
  <c r="I2654" i="2"/>
  <c r="H1411" i="2"/>
  <c r="J868" i="2"/>
  <c r="K868" i="2"/>
  <c r="I1838" i="2"/>
  <c r="H1838" i="2"/>
  <c r="J1838" i="2"/>
  <c r="K1838" i="2"/>
  <c r="H1028" i="2"/>
  <c r="J1028" i="2"/>
  <c r="K1028" i="2"/>
  <c r="I1028" i="2"/>
  <c r="I868" i="2"/>
  <c r="I1475" i="2"/>
  <c r="H1475" i="2"/>
  <c r="J782" i="2"/>
  <c r="K782" i="2"/>
  <c r="H2508" i="2"/>
  <c r="I2508" i="2"/>
  <c r="H922" i="2"/>
  <c r="N1156" i="2"/>
  <c r="J1883" i="2"/>
  <c r="K1883" i="2"/>
  <c r="H1883" i="2"/>
  <c r="I1883" i="2"/>
  <c r="J1522" i="2"/>
  <c r="K1522" i="2"/>
  <c r="H1522" i="2"/>
  <c r="I1884" i="2"/>
  <c r="N1188" i="2"/>
  <c r="J1882" i="2"/>
  <c r="K1882" i="2"/>
  <c r="H1882" i="2"/>
  <c r="J1650" i="2"/>
  <c r="K1650" i="2"/>
  <c r="J2052" i="2"/>
  <c r="K2052" i="2"/>
  <c r="J1451" i="2"/>
  <c r="K1451" i="2"/>
  <c r="J2237" i="2"/>
  <c r="K2237" i="2"/>
  <c r="H835" i="2"/>
  <c r="I2360" i="2"/>
  <c r="H368" i="2"/>
  <c r="H763" i="2"/>
  <c r="I1882" i="2"/>
  <c r="N1220" i="2"/>
  <c r="J2043" i="2"/>
  <c r="K2043" i="2"/>
  <c r="H2043" i="2"/>
  <c r="J2017" i="2"/>
  <c r="K2017" i="2"/>
  <c r="I2017" i="2"/>
  <c r="I1881" i="2"/>
  <c r="J1881" i="2"/>
  <c r="K1881" i="2"/>
  <c r="H1648" i="2"/>
  <c r="I1648" i="2"/>
  <c r="I1495" i="2"/>
  <c r="H1495" i="2"/>
  <c r="J1495" i="2"/>
  <c r="K1495" i="2"/>
  <c r="H2503" i="2"/>
  <c r="J2503" i="2"/>
  <c r="K2503" i="2"/>
  <c r="I1178" i="2"/>
  <c r="H1434" i="2"/>
  <c r="J1349" i="2"/>
  <c r="K1349" i="2"/>
  <c r="I1349" i="2"/>
  <c r="H1349" i="2"/>
  <c r="N1252" i="2"/>
  <c r="J1933" i="2"/>
  <c r="K1933" i="2"/>
  <c r="H1933" i="2"/>
  <c r="I1933" i="2"/>
  <c r="I1809" i="2"/>
  <c r="J1809" i="2"/>
  <c r="K1809" i="2"/>
  <c r="J1570" i="2"/>
  <c r="K1570" i="2"/>
  <c r="I1570" i="2"/>
  <c r="H364" i="2"/>
  <c r="I364" i="2"/>
  <c r="J2250" i="2"/>
  <c r="K2250" i="2"/>
  <c r="H2250" i="2"/>
  <c r="I2250" i="2"/>
  <c r="I2316" i="2"/>
  <c r="J2316" i="2"/>
  <c r="K2316" i="2"/>
  <c r="H2316" i="2"/>
  <c r="J1932" i="2"/>
  <c r="K1932" i="2"/>
  <c r="H1932" i="2"/>
  <c r="I1569" i="2"/>
  <c r="J1569" i="2"/>
  <c r="K1569" i="2"/>
  <c r="H1569" i="2"/>
  <c r="J931" i="2"/>
  <c r="K931" i="2"/>
  <c r="H931" i="2"/>
  <c r="I931" i="2"/>
  <c r="H659" i="2"/>
  <c r="I659" i="2"/>
  <c r="J659" i="2"/>
  <c r="K659" i="2"/>
  <c r="J604" i="2"/>
  <c r="K604" i="2"/>
  <c r="H604" i="2"/>
  <c r="I604" i="2"/>
  <c r="H309" i="2"/>
  <c r="J309" i="2"/>
  <c r="K309" i="2"/>
  <c r="J1839" i="2"/>
  <c r="K1839" i="2"/>
  <c r="I1839" i="2"/>
  <c r="H1839" i="2"/>
  <c r="N360" i="2"/>
  <c r="J960" i="2"/>
  <c r="K960" i="2"/>
  <c r="H960" i="2"/>
  <c r="J630" i="2"/>
  <c r="K630" i="2"/>
  <c r="I630" i="2"/>
  <c r="H630" i="2"/>
  <c r="H390" i="2"/>
  <c r="I390" i="2"/>
  <c r="J390" i="2"/>
  <c r="K390" i="2"/>
  <c r="I2248" i="2"/>
  <c r="H2248" i="2"/>
  <c r="J2248" i="2"/>
  <c r="K2248" i="2"/>
  <c r="H2298" i="2"/>
  <c r="I2298" i="2"/>
  <c r="J2298" i="2"/>
  <c r="K2298" i="2"/>
  <c r="H467" i="2"/>
  <c r="J467" i="2"/>
  <c r="K467" i="2"/>
  <c r="I467" i="2"/>
  <c r="H867" i="2"/>
  <c r="I1327" i="2"/>
  <c r="J1327" i="2"/>
  <c r="K1327" i="2"/>
  <c r="I782" i="2"/>
  <c r="I2335" i="2"/>
  <c r="J1733" i="2"/>
  <c r="K1733" i="2"/>
  <c r="I1650" i="2"/>
  <c r="H1736" i="2"/>
  <c r="J832" i="2"/>
  <c r="K832" i="2"/>
  <c r="I1736" i="2"/>
  <c r="I1814" i="2"/>
  <c r="I2383" i="2"/>
  <c r="H1792" i="2"/>
  <c r="H999" i="2"/>
  <c r="H1508" i="2"/>
  <c r="H832" i="2"/>
  <c r="N1540" i="2"/>
  <c r="I2014" i="2"/>
  <c r="J2014" i="2"/>
  <c r="K2014" i="2"/>
  <c r="I1905" i="2"/>
  <c r="J1905" i="2"/>
  <c r="K1905" i="2"/>
  <c r="I629" i="2"/>
  <c r="H629" i="2"/>
  <c r="J629" i="2"/>
  <c r="K629" i="2"/>
  <c r="H2151" i="2"/>
  <c r="J2151" i="2"/>
  <c r="K2151" i="2"/>
  <c r="I2151" i="2"/>
  <c r="J2196" i="2"/>
  <c r="K2196" i="2"/>
  <c r="H2196" i="2"/>
  <c r="I2227" i="2"/>
  <c r="J2227" i="2"/>
  <c r="K2227" i="2"/>
  <c r="H2227" i="2"/>
  <c r="H2273" i="2"/>
  <c r="J2273" i="2"/>
  <c r="K2273" i="2"/>
  <c r="I2273" i="2"/>
  <c r="I2314" i="2"/>
  <c r="J2314" i="2"/>
  <c r="K2314" i="2"/>
  <c r="I1152" i="2"/>
  <c r="J1152" i="2"/>
  <c r="K1152" i="2"/>
  <c r="H1057" i="2"/>
  <c r="I1057" i="2"/>
  <c r="J1057" i="2"/>
  <c r="K1057" i="2"/>
  <c r="H1348" i="2"/>
  <c r="I1348" i="2"/>
  <c r="J1348" i="2"/>
  <c r="K1348" i="2"/>
  <c r="I1461" i="2"/>
  <c r="H998" i="2"/>
  <c r="H531" i="2"/>
  <c r="I531" i="2"/>
  <c r="J260" i="2"/>
  <c r="K260" i="2"/>
  <c r="H2349" i="2"/>
  <c r="I2349" i="2"/>
  <c r="J2349" i="2"/>
  <c r="K2349" i="2"/>
  <c r="J580" i="2"/>
  <c r="K580" i="2"/>
  <c r="H580" i="2"/>
  <c r="I580" i="2"/>
  <c r="I2237" i="2"/>
  <c r="H1069" i="2"/>
  <c r="I1686" i="2"/>
  <c r="I1788" i="2"/>
  <c r="I508" i="2"/>
  <c r="H1327" i="2"/>
  <c r="H1788" i="2"/>
  <c r="H508" i="2"/>
  <c r="J1234" i="2"/>
  <c r="K1234" i="2"/>
  <c r="H1685" i="2"/>
  <c r="H1228" i="2"/>
  <c r="H1629" i="2"/>
  <c r="J1792" i="2"/>
  <c r="K1792" i="2"/>
  <c r="H1649" i="2"/>
  <c r="H1789" i="2"/>
  <c r="H2317" i="2"/>
  <c r="H260" i="2"/>
  <c r="I1228" i="2"/>
  <c r="J1629" i="2"/>
  <c r="K1629" i="2"/>
  <c r="I1522" i="2"/>
  <c r="I1151" i="2"/>
  <c r="J1991" i="2"/>
  <c r="K1991" i="2"/>
  <c r="H1985" i="2"/>
  <c r="I1904" i="2"/>
  <c r="H1904" i="2"/>
  <c r="J1904" i="2"/>
  <c r="K1904" i="2"/>
  <c r="I1853" i="2"/>
  <c r="J1853" i="2"/>
  <c r="K1853" i="2"/>
  <c r="J929" i="2"/>
  <c r="K929" i="2"/>
  <c r="I929" i="2"/>
  <c r="I737" i="2"/>
  <c r="H737" i="2"/>
  <c r="I656" i="2"/>
  <c r="H656" i="2"/>
  <c r="J443" i="2"/>
  <c r="K443" i="2"/>
  <c r="H443" i="2"/>
  <c r="I443" i="2"/>
  <c r="I784" i="2"/>
  <c r="J784" i="2"/>
  <c r="K784" i="2"/>
  <c r="H784" i="2"/>
  <c r="H2660" i="2"/>
  <c r="I2660" i="2"/>
  <c r="H2008" i="2"/>
  <c r="H1605" i="2"/>
  <c r="J1605" i="2"/>
  <c r="K1605" i="2"/>
  <c r="J1350" i="2"/>
  <c r="K1350" i="2"/>
  <c r="H1350" i="2"/>
  <c r="H234" i="2"/>
  <c r="J234" i="2"/>
  <c r="K234" i="2"/>
  <c r="I234" i="2"/>
  <c r="I2326" i="2"/>
  <c r="J2326" i="2"/>
  <c r="K2326" i="2"/>
  <c r="H2326" i="2"/>
  <c r="J1411" i="2"/>
  <c r="K1411" i="2"/>
  <c r="I74" i="2"/>
  <c r="J1259" i="2"/>
  <c r="K1259" i="2"/>
  <c r="I1434" i="2"/>
  <c r="I1603" i="2"/>
  <c r="H1603" i="2"/>
  <c r="J1603" i="2"/>
  <c r="K1603" i="2"/>
  <c r="N1028" i="2"/>
  <c r="I258" i="2"/>
  <c r="H258" i="2"/>
  <c r="H1733" i="2"/>
  <c r="I1350" i="2"/>
  <c r="J1806" i="2"/>
  <c r="K1806" i="2"/>
  <c r="I1806" i="2"/>
  <c r="H1132" i="2"/>
  <c r="J1132" i="2"/>
  <c r="K1132" i="2"/>
  <c r="J1074" i="2"/>
  <c r="K1074" i="2"/>
  <c r="H1074" i="2"/>
  <c r="I957" i="2"/>
  <c r="J957" i="2"/>
  <c r="K957" i="2"/>
  <c r="J11" i="2"/>
  <c r="K11" i="2"/>
  <c r="H11" i="2"/>
  <c r="I11" i="2"/>
  <c r="I263" i="2"/>
  <c r="I1301" i="2"/>
  <c r="J1762" i="2"/>
  <c r="K1762" i="2"/>
  <c r="J1326" i="2"/>
  <c r="K1326" i="2"/>
  <c r="J368" i="2"/>
  <c r="K368" i="2"/>
  <c r="I1459" i="2"/>
  <c r="H1581" i="2"/>
  <c r="H1257" i="2"/>
  <c r="J1304" i="2"/>
  <c r="K1304" i="2"/>
  <c r="H2011" i="2"/>
  <c r="J2011" i="2"/>
  <c r="K2011" i="2"/>
  <c r="I1984" i="2"/>
  <c r="J1984" i="2"/>
  <c r="K1984" i="2"/>
  <c r="J1103" i="2"/>
  <c r="K1103" i="2"/>
  <c r="I1103" i="2"/>
  <c r="J985" i="2"/>
  <c r="K985" i="2"/>
  <c r="I985" i="2"/>
  <c r="J762" i="2"/>
  <c r="K762" i="2"/>
  <c r="I762" i="2"/>
  <c r="J2661" i="2"/>
  <c r="H2661" i="2"/>
  <c r="I2661" i="2"/>
  <c r="H1460" i="2"/>
  <c r="I1460" i="2"/>
  <c r="H543" i="2"/>
  <c r="J543" i="2"/>
  <c r="K543" i="2"/>
  <c r="I867" i="2"/>
  <c r="I2008" i="2"/>
  <c r="N420" i="2"/>
  <c r="I532" i="2"/>
  <c r="H532" i="2"/>
  <c r="I1653" i="2"/>
  <c r="H1653" i="2"/>
  <c r="J288" i="2"/>
  <c r="K288" i="2"/>
  <c r="H288" i="2"/>
  <c r="H1461" i="2"/>
  <c r="H2353" i="2"/>
  <c r="I2353" i="2"/>
  <c r="J2353" i="2"/>
  <c r="K2353" i="2"/>
  <c r="H2289" i="2"/>
  <c r="J2289" i="2"/>
  <c r="K2289" i="2"/>
  <c r="I2289" i="2"/>
  <c r="I1128" i="2"/>
  <c r="I922" i="2"/>
  <c r="I2018" i="2"/>
  <c r="H2018" i="2"/>
  <c r="J2018" i="2"/>
  <c r="K2018" i="2"/>
  <c r="J1576" i="2"/>
  <c r="K1576" i="2"/>
  <c r="J1069" i="2"/>
  <c r="K1069" i="2"/>
  <c r="J1045" i="2"/>
  <c r="K1045" i="2"/>
  <c r="I1045" i="2"/>
  <c r="H1045" i="2"/>
  <c r="J787" i="2"/>
  <c r="K787" i="2"/>
  <c r="H787" i="2"/>
  <c r="I787" i="2"/>
  <c r="J1309" i="2"/>
  <c r="K1309" i="2"/>
  <c r="H1309" i="2"/>
  <c r="I1309" i="2"/>
  <c r="H2380" i="2"/>
  <c r="J2380" i="2"/>
  <c r="K2380" i="2"/>
  <c r="I1029" i="2"/>
  <c r="J1029" i="2"/>
  <c r="K1029" i="2"/>
  <c r="H1029" i="2"/>
  <c r="H316" i="2"/>
  <c r="I316" i="2"/>
  <c r="J316" i="2"/>
  <c r="K316" i="2"/>
  <c r="H2678" i="2"/>
  <c r="J2678" i="2"/>
  <c r="J74" i="2"/>
  <c r="K74" i="2"/>
  <c r="J1813" i="2"/>
  <c r="K1813" i="2"/>
  <c r="I1813" i="2"/>
  <c r="I98" i="2"/>
  <c r="J98" i="2"/>
  <c r="K98" i="2"/>
  <c r="H1835" i="2"/>
  <c r="I1835" i="2"/>
  <c r="J2529" i="2"/>
  <c r="K2529" i="2"/>
  <c r="H2529" i="2"/>
  <c r="H2287" i="2"/>
  <c r="I2287" i="2"/>
  <c r="J2287" i="2"/>
  <c r="K2287" i="2"/>
  <c r="H2383" i="2"/>
  <c r="J1685" i="2"/>
  <c r="K1685" i="2"/>
  <c r="I2317" i="2"/>
  <c r="J1581" i="2"/>
  <c r="K1581" i="2"/>
  <c r="I1991" i="2"/>
  <c r="J1789" i="2"/>
  <c r="K1789" i="2"/>
  <c r="J1829" i="2"/>
  <c r="K1829" i="2"/>
  <c r="I1829" i="2"/>
  <c r="H1829" i="2"/>
  <c r="J1104" i="2"/>
  <c r="K1104" i="2"/>
  <c r="H1104" i="2"/>
  <c r="I1104" i="2"/>
  <c r="J986" i="2"/>
  <c r="K986" i="2"/>
  <c r="I986" i="2"/>
  <c r="H986" i="2"/>
  <c r="I1681" i="2"/>
  <c r="H2333" i="2"/>
  <c r="J1960" i="2"/>
  <c r="K1960" i="2"/>
  <c r="I1326" i="2"/>
  <c r="J1258" i="2"/>
  <c r="K1258" i="2"/>
  <c r="H507" i="2"/>
  <c r="H1178" i="2"/>
  <c r="I1874" i="2"/>
  <c r="I960" i="2"/>
  <c r="J1686" i="2"/>
  <c r="K1686" i="2"/>
  <c r="I2333" i="2"/>
  <c r="I1960" i="2"/>
  <c r="H1595" i="2"/>
  <c r="I2380" i="2"/>
  <c r="H2036" i="2"/>
  <c r="I2036" i="2"/>
  <c r="I1155" i="2"/>
  <c r="J1155" i="2"/>
  <c r="K1155" i="2"/>
  <c r="J1044" i="2"/>
  <c r="K1044" i="2"/>
  <c r="H1044" i="2"/>
  <c r="J786" i="2"/>
  <c r="K786" i="2"/>
  <c r="H786" i="2"/>
  <c r="I786" i="2"/>
  <c r="I760" i="2"/>
  <c r="H760" i="2"/>
  <c r="I493" i="2"/>
  <c r="H493" i="2"/>
  <c r="J493" i="2"/>
  <c r="K493" i="2"/>
  <c r="H469" i="2"/>
  <c r="I469" i="2"/>
  <c r="J469" i="2"/>
  <c r="K469" i="2"/>
  <c r="H439" i="2"/>
  <c r="I439" i="2"/>
  <c r="J439" i="2"/>
  <c r="K439" i="2"/>
  <c r="H1612" i="2"/>
  <c r="I1612" i="2"/>
  <c r="H1238" i="2"/>
  <c r="I1238" i="2"/>
  <c r="H1049" i="2"/>
  <c r="I1049" i="2"/>
  <c r="J1049" i="2"/>
  <c r="K1049" i="2"/>
  <c r="J605" i="2"/>
  <c r="K605" i="2"/>
  <c r="H605" i="2"/>
  <c r="H579" i="2"/>
  <c r="I579" i="2"/>
  <c r="J394" i="2"/>
  <c r="K394" i="2"/>
  <c r="H394" i="2"/>
  <c r="J311" i="2"/>
  <c r="K311" i="2"/>
  <c r="H311" i="2"/>
  <c r="I1877" i="2"/>
  <c r="J1877" i="2"/>
  <c r="K1877" i="2"/>
  <c r="H1877" i="2"/>
  <c r="J494" i="2"/>
  <c r="K494" i="2"/>
  <c r="H494" i="2"/>
  <c r="I2275" i="2"/>
  <c r="H2275" i="2"/>
  <c r="H2676" i="2"/>
  <c r="J2676" i="2"/>
  <c r="H2651" i="2"/>
  <c r="I2651" i="2"/>
  <c r="J2651" i="2"/>
  <c r="J997" i="2"/>
  <c r="K997" i="2"/>
  <c r="H997" i="2"/>
  <c r="I941" i="2"/>
  <c r="H941" i="2"/>
  <c r="J941" i="2"/>
  <c r="K941" i="2"/>
  <c r="H805" i="2"/>
  <c r="J805" i="2"/>
  <c r="K805" i="2"/>
  <c r="I805" i="2"/>
  <c r="J568" i="2"/>
  <c r="K568" i="2"/>
  <c r="I568" i="2"/>
  <c r="H568" i="2"/>
  <c r="H516" i="2"/>
  <c r="J516" i="2"/>
  <c r="K516" i="2"/>
  <c r="H2094" i="2"/>
  <c r="J2094" i="2"/>
  <c r="K2094" i="2"/>
  <c r="J2247" i="2"/>
  <c r="K2247" i="2"/>
  <c r="I2247" i="2"/>
  <c r="I2033" i="2"/>
  <c r="J2033" i="2"/>
  <c r="K2033" i="2"/>
  <c r="H1293" i="2"/>
  <c r="J1293" i="2"/>
  <c r="K1293" i="2"/>
  <c r="H830" i="2"/>
  <c r="I830" i="2"/>
  <c r="I567" i="2"/>
  <c r="H567" i="2"/>
  <c r="J567" i="2"/>
  <c r="K567" i="2"/>
  <c r="J541" i="2"/>
  <c r="K541" i="2"/>
  <c r="I541" i="2"/>
  <c r="H2141" i="2"/>
  <c r="I2141" i="2"/>
  <c r="J2412" i="2"/>
  <c r="K2412" i="2"/>
  <c r="I2412" i="2"/>
  <c r="H2001" i="2"/>
  <c r="I2001" i="2"/>
  <c r="J2001" i="2"/>
  <c r="K2001" i="2"/>
  <c r="I1924" i="2"/>
  <c r="H1924" i="2"/>
  <c r="I1163" i="2"/>
  <c r="H1163" i="2"/>
  <c r="I1083" i="2"/>
  <c r="H1083" i="2"/>
  <c r="J1083" i="2"/>
  <c r="K1083" i="2"/>
  <c r="I540" i="2"/>
  <c r="J540" i="2"/>
  <c r="K540" i="2"/>
  <c r="H2111" i="2"/>
  <c r="H2411" i="2"/>
  <c r="I2411" i="2"/>
  <c r="I2482" i="2"/>
  <c r="J2482" i="2"/>
  <c r="K2482" i="2"/>
  <c r="H2482" i="2"/>
  <c r="I1897" i="2"/>
  <c r="H1897" i="2"/>
  <c r="J1317" i="2"/>
  <c r="K1317" i="2"/>
  <c r="H1317" i="2"/>
  <c r="I1082" i="2"/>
  <c r="H1082" i="2"/>
  <c r="H968" i="2"/>
  <c r="J968" i="2"/>
  <c r="K968" i="2"/>
  <c r="J644" i="2"/>
  <c r="K644" i="2"/>
  <c r="H644" i="2"/>
  <c r="J539" i="2"/>
  <c r="K539" i="2"/>
  <c r="I539" i="2"/>
  <c r="J514" i="2"/>
  <c r="K514" i="2"/>
  <c r="H514" i="2"/>
  <c r="I2512" i="2"/>
  <c r="H2512" i="2"/>
  <c r="I1010" i="2"/>
  <c r="I658" i="2"/>
  <c r="H1054" i="2"/>
  <c r="I1054" i="2"/>
  <c r="H724" i="2"/>
  <c r="J724" i="2"/>
  <c r="K724" i="2"/>
  <c r="I590" i="2"/>
  <c r="J590" i="2"/>
  <c r="K590" i="2"/>
  <c r="N1251" i="2"/>
  <c r="N931" i="2"/>
  <c r="N2359" i="2"/>
  <c r="N2035" i="2"/>
  <c r="N2407" i="2"/>
  <c r="N567" i="2"/>
  <c r="N1902" i="2"/>
  <c r="N503" i="2"/>
  <c r="N61" i="2"/>
  <c r="N407" i="2"/>
  <c r="N1697" i="2"/>
  <c r="N525" i="2"/>
  <c r="N1971" i="2"/>
  <c r="N790" i="2"/>
  <c r="N118" i="2"/>
  <c r="N86" i="2"/>
  <c r="N375" i="2"/>
  <c r="N54" i="2"/>
  <c r="N1295" i="2"/>
  <c r="N2357" i="2"/>
  <c r="N1048" i="2"/>
  <c r="N1641" i="2"/>
  <c r="N123" i="2"/>
  <c r="N2290" i="2"/>
  <c r="N903" i="2"/>
  <c r="N1879" i="2"/>
  <c r="N2277" i="2"/>
  <c r="N1100" i="2"/>
  <c r="N1654" i="2"/>
  <c r="N1544" i="2"/>
  <c r="N460" i="2"/>
  <c r="N2466" i="2"/>
  <c r="N2055" i="2"/>
  <c r="N666" i="2"/>
  <c r="N1321" i="2"/>
  <c r="N2128" i="2"/>
  <c r="N391" i="2"/>
  <c r="N264" i="2"/>
  <c r="N1256" i="2"/>
  <c r="I2430" i="2"/>
  <c r="J2526" i="2"/>
  <c r="K2526" i="2"/>
  <c r="I2526" i="2"/>
  <c r="I2058" i="2"/>
  <c r="I2000" i="2"/>
  <c r="J2000" i="2"/>
  <c r="K2000" i="2"/>
  <c r="H1214" i="2"/>
  <c r="J1214" i="2"/>
  <c r="K1214" i="2"/>
  <c r="J855" i="2"/>
  <c r="K855" i="2"/>
  <c r="H855" i="2"/>
  <c r="I855" i="2"/>
  <c r="J537" i="2"/>
  <c r="K537" i="2"/>
  <c r="H537" i="2"/>
  <c r="I537" i="2"/>
  <c r="J2500" i="2"/>
  <c r="K2500" i="2"/>
  <c r="H2058" i="2"/>
  <c r="H1589" i="2"/>
  <c r="J1589" i="2"/>
  <c r="K1589" i="2"/>
  <c r="H1562" i="2"/>
  <c r="J1537" i="2"/>
  <c r="K1537" i="2"/>
  <c r="H1537" i="2"/>
  <c r="I1440" i="2"/>
  <c r="H1440" i="2"/>
  <c r="H910" i="2"/>
  <c r="J641" i="2"/>
  <c r="K641" i="2"/>
  <c r="H641" i="2"/>
  <c r="I641" i="2"/>
  <c r="I186" i="2"/>
  <c r="H186" i="2"/>
  <c r="I32" i="2"/>
  <c r="I2429" i="2"/>
  <c r="J2429" i="2"/>
  <c r="K2429" i="2"/>
  <c r="I2174" i="2"/>
  <c r="H1873" i="2"/>
  <c r="I1393" i="2"/>
  <c r="J1949" i="2"/>
  <c r="K1949" i="2"/>
  <c r="I1056" i="2"/>
  <c r="I1317" i="2"/>
  <c r="J2174" i="2"/>
  <c r="K2174" i="2"/>
  <c r="H1613" i="2"/>
  <c r="I1613" i="2"/>
  <c r="J1390" i="2"/>
  <c r="K1390" i="2"/>
  <c r="I1390" i="2"/>
  <c r="H1078" i="2"/>
  <c r="J1078" i="2"/>
  <c r="K1078" i="2"/>
  <c r="I1078" i="2"/>
  <c r="N512" i="2"/>
  <c r="N288" i="2"/>
  <c r="J1976" i="2"/>
  <c r="K1976" i="2"/>
  <c r="H1976" i="2"/>
  <c r="J1342" i="2"/>
  <c r="K1342" i="2"/>
  <c r="I2028" i="2"/>
  <c r="H2028" i="2"/>
  <c r="J1240" i="2"/>
  <c r="K1240" i="2"/>
  <c r="I1240" i="2"/>
  <c r="I1212" i="2"/>
  <c r="J1212" i="2"/>
  <c r="K1212" i="2"/>
  <c r="H909" i="2"/>
  <c r="J909" i="2"/>
  <c r="K909" i="2"/>
  <c r="N319" i="2"/>
  <c r="I2458" i="2"/>
  <c r="H2458" i="2"/>
  <c r="J2458" i="2"/>
  <c r="K2458" i="2"/>
  <c r="J1010" i="2"/>
  <c r="K1010" i="2"/>
  <c r="J1873" i="2"/>
  <c r="K1873" i="2"/>
  <c r="I2027" i="2"/>
  <c r="J2027" i="2"/>
  <c r="K2027" i="2"/>
  <c r="H2027" i="2"/>
  <c r="H1660" i="2"/>
  <c r="J1612" i="2"/>
  <c r="K1612" i="2"/>
  <c r="J1560" i="2"/>
  <c r="K1560" i="2"/>
  <c r="I1560" i="2"/>
  <c r="I1388" i="2"/>
  <c r="H1388" i="2"/>
  <c r="I1361" i="2"/>
  <c r="J1361" i="2"/>
  <c r="K1361" i="2"/>
  <c r="H1361" i="2"/>
  <c r="I1263" i="2"/>
  <c r="H1263" i="2"/>
  <c r="H1239" i="2"/>
  <c r="J1239" i="2"/>
  <c r="K1239" i="2"/>
  <c r="I1239" i="2"/>
  <c r="I1076" i="2"/>
  <c r="J1076" i="2"/>
  <c r="K1076" i="2"/>
  <c r="J932" i="2"/>
  <c r="K932" i="2"/>
  <c r="H2337" i="2"/>
  <c r="I2337" i="2"/>
  <c r="H2381" i="2"/>
  <c r="J2381" i="2"/>
  <c r="K2381" i="2"/>
  <c r="N1470" i="2"/>
  <c r="J2681" i="2"/>
  <c r="H2681" i="2"/>
  <c r="I2656" i="2"/>
  <c r="H2656" i="2"/>
  <c r="I1677" i="2"/>
  <c r="H1677" i="2"/>
  <c r="I1260" i="2"/>
  <c r="H1260" i="2"/>
  <c r="J1260" i="2"/>
  <c r="K1260" i="2"/>
  <c r="J2551" i="2"/>
  <c r="K2551" i="2"/>
  <c r="H2551" i="2"/>
  <c r="I588" i="2"/>
  <c r="J515" i="2"/>
  <c r="K515" i="2"/>
  <c r="J222" i="2"/>
  <c r="K222" i="2"/>
  <c r="I2646" i="2"/>
  <c r="H2646" i="2"/>
  <c r="J2620" i="2"/>
  <c r="K2620" i="2"/>
  <c r="I2620" i="2"/>
  <c r="H2620" i="2"/>
  <c r="N796" i="2"/>
  <c r="H2544" i="2"/>
  <c r="J2544" i="2"/>
  <c r="K2544" i="2"/>
  <c r="I2645" i="2"/>
  <c r="H411" i="2"/>
  <c r="J411" i="2"/>
  <c r="K411" i="2"/>
  <c r="H2553" i="2"/>
  <c r="J2553" i="2"/>
  <c r="K2553" i="2"/>
  <c r="H434" i="2"/>
  <c r="J434" i="2"/>
  <c r="K434" i="2"/>
  <c r="J300" i="2"/>
  <c r="K300" i="2"/>
  <c r="I300" i="2"/>
  <c r="H2443" i="2"/>
  <c r="H1299" i="2"/>
  <c r="J2025" i="2"/>
  <c r="K2025" i="2"/>
  <c r="H2025" i="2"/>
  <c r="H820" i="2"/>
  <c r="H512" i="2"/>
  <c r="I512" i="2"/>
  <c r="I2566" i="2"/>
  <c r="H2566" i="2"/>
  <c r="J2566" i="2"/>
  <c r="K2566" i="2"/>
  <c r="H1518" i="2"/>
  <c r="J1518" i="2"/>
  <c r="K1518" i="2"/>
  <c r="I1345" i="2"/>
  <c r="I844" i="2"/>
  <c r="J844" i="2"/>
  <c r="K844" i="2"/>
  <c r="J635" i="2"/>
  <c r="K635" i="2"/>
  <c r="I635" i="2"/>
  <c r="H609" i="2"/>
  <c r="H585" i="2"/>
  <c r="I585" i="2"/>
  <c r="H324" i="2"/>
  <c r="I324" i="2"/>
  <c r="J2139" i="2"/>
  <c r="K2139" i="2"/>
  <c r="I2139" i="2"/>
  <c r="H2139" i="2"/>
  <c r="H2541" i="2"/>
  <c r="I634" i="2"/>
  <c r="J634" i="2"/>
  <c r="K634" i="2"/>
  <c r="J584" i="2"/>
  <c r="K584" i="2"/>
  <c r="H584" i="2"/>
  <c r="I380" i="2"/>
  <c r="H380" i="2"/>
  <c r="J380" i="2"/>
  <c r="K380" i="2"/>
  <c r="H113" i="2"/>
  <c r="I113" i="2"/>
  <c r="H2096" i="2"/>
  <c r="I2096" i="2"/>
  <c r="J2096" i="2"/>
  <c r="K2096" i="2"/>
  <c r="H1079" i="2"/>
  <c r="J2290" i="2"/>
  <c r="K2290" i="2"/>
  <c r="H2290" i="2"/>
  <c r="I2290" i="2"/>
  <c r="J397" i="2"/>
  <c r="K397" i="2"/>
  <c r="J2021" i="2"/>
  <c r="K2021" i="2"/>
  <c r="H2021" i="2"/>
  <c r="H1565" i="2"/>
  <c r="J1565" i="2"/>
  <c r="K1565" i="2"/>
  <c r="J582" i="2"/>
  <c r="K582" i="2"/>
  <c r="H582" i="2"/>
  <c r="J2197" i="2"/>
  <c r="K2197" i="2"/>
  <c r="I2197" i="2"/>
  <c r="J1127" i="2"/>
  <c r="K1127" i="2"/>
  <c r="H1127" i="2"/>
  <c r="H2617" i="2"/>
  <c r="J2617" i="2"/>
  <c r="K2617" i="2"/>
  <c r="I2672" i="2"/>
  <c r="J2672" i="2"/>
  <c r="I2642" i="2"/>
  <c r="J2642" i="2"/>
  <c r="K2642" i="2"/>
  <c r="I2616" i="2"/>
  <c r="J2616" i="2"/>
  <c r="K2616" i="2"/>
  <c r="J2469" i="2"/>
  <c r="K2469" i="2"/>
  <c r="I2602" i="2"/>
  <c r="J2602" i="2"/>
  <c r="K2602" i="2"/>
  <c r="I2577" i="2"/>
  <c r="J2577" i="2"/>
  <c r="K2577" i="2"/>
  <c r="H2577" i="2"/>
  <c r="I1193" i="2"/>
  <c r="J1193" i="2"/>
  <c r="K1193" i="2"/>
  <c r="J144" i="2"/>
  <c r="K144" i="2"/>
  <c r="H144" i="2"/>
  <c r="J2086" i="2"/>
  <c r="K2086" i="2"/>
  <c r="N2089" i="2"/>
  <c r="N2056" i="2"/>
  <c r="N1930" i="2"/>
  <c r="N746" i="2"/>
  <c r="N2518" i="2"/>
  <c r="I1359" i="2"/>
  <c r="H1359" i="2"/>
  <c r="N1609" i="2"/>
  <c r="N2475" i="2"/>
  <c r="I2575" i="2"/>
  <c r="H2638" i="2"/>
  <c r="J2638" i="2"/>
  <c r="K2638" i="2"/>
  <c r="J1671" i="2"/>
  <c r="K1671" i="2"/>
  <c r="I1995" i="2"/>
  <c r="H1995" i="2"/>
  <c r="I1456" i="2"/>
  <c r="H1456" i="2"/>
  <c r="H900" i="2"/>
  <c r="H167" i="2"/>
  <c r="N648" i="2"/>
  <c r="N2629" i="2"/>
  <c r="H977" i="2"/>
  <c r="J977" i="2"/>
  <c r="K977" i="2"/>
  <c r="I2437" i="2"/>
  <c r="J2437" i="2"/>
  <c r="K2437" i="2"/>
  <c r="J2484" i="2"/>
  <c r="K2484" i="2"/>
  <c r="I2484" i="2"/>
  <c r="J2557" i="2"/>
  <c r="K2557" i="2"/>
  <c r="H2557" i="2"/>
  <c r="H1643" i="2"/>
  <c r="I1643" i="2"/>
  <c r="J398" i="2"/>
  <c r="K398" i="2"/>
  <c r="H48" i="2"/>
  <c r="H2532" i="2"/>
  <c r="I2622" i="2"/>
  <c r="J2622" i="2"/>
  <c r="K2622" i="2"/>
  <c r="I976" i="2"/>
  <c r="H976" i="2"/>
  <c r="I2465" i="2"/>
  <c r="N2668" i="2"/>
  <c r="J2455" i="2"/>
  <c r="K2455" i="2"/>
  <c r="I2455" i="2"/>
  <c r="H2498" i="2"/>
  <c r="J352" i="2"/>
  <c r="K352" i="2"/>
  <c r="H352" i="2"/>
  <c r="J3" i="2"/>
  <c r="K3" i="2"/>
  <c r="J1679" i="2"/>
  <c r="K1679" i="2"/>
  <c r="J1097" i="2"/>
  <c r="K1097" i="2"/>
  <c r="H838" i="2"/>
  <c r="J425" i="2"/>
  <c r="K425" i="2"/>
  <c r="I425" i="2"/>
  <c r="I2477" i="2"/>
  <c r="I2609" i="2"/>
  <c r="I596" i="2"/>
  <c r="N1997" i="2"/>
  <c r="N1837" i="2"/>
  <c r="N1862" i="2"/>
  <c r="N1352" i="2"/>
  <c r="N749" i="2"/>
  <c r="N201" i="2"/>
  <c r="N461" i="2"/>
  <c r="N1631" i="2"/>
  <c r="N173" i="2"/>
  <c r="N1780" i="2"/>
  <c r="N2621" i="2"/>
  <c r="H2419" i="2"/>
  <c r="J789" i="2"/>
  <c r="K789" i="2"/>
  <c r="H789" i="2"/>
  <c r="J12" i="2"/>
  <c r="K12" i="2"/>
  <c r="H1374" i="2"/>
  <c r="I1374" i="2"/>
  <c r="J887" i="2"/>
  <c r="K887" i="2"/>
  <c r="H887" i="2"/>
  <c r="N555" i="2"/>
  <c r="N2503" i="2"/>
  <c r="N2707" i="2"/>
  <c r="N2692" i="2"/>
  <c r="N2687" i="2"/>
  <c r="N2691" i="2"/>
  <c r="N2693" i="2"/>
  <c r="N2705" i="2"/>
  <c r="N2717" i="2"/>
  <c r="N2688" i="2"/>
  <c r="N2689" i="2"/>
  <c r="N2701" i="2"/>
  <c r="N2703" i="2"/>
  <c r="N2722" i="2"/>
  <c r="N2704" i="2"/>
  <c r="N2721" i="2"/>
  <c r="N2724" i="2"/>
  <c r="N2697" i="2"/>
  <c r="N2716" i="2"/>
  <c r="N2718" i="2"/>
  <c r="N2719" i="2"/>
  <c r="N2720" i="2"/>
  <c r="N2723" i="2"/>
  <c r="N2702" i="2"/>
  <c r="N2706" i="2"/>
  <c r="N2686" i="2"/>
  <c r="N2690" i="2"/>
  <c r="N2695" i="2"/>
  <c r="N2712" i="2"/>
  <c r="N2698" i="2"/>
  <c r="N2708" i="2"/>
  <c r="N2694" i="2"/>
  <c r="N2713" i="2"/>
  <c r="N2714" i="2"/>
  <c r="N2710" i="2"/>
  <c r="N2711" i="2"/>
  <c r="N2696" i="2"/>
  <c r="N2699" i="2"/>
  <c r="N2700" i="2"/>
  <c r="N2715" i="2"/>
  <c r="N2709" i="2"/>
  <c r="I2665" i="2"/>
  <c r="H2306" i="2"/>
  <c r="J1890" i="2"/>
  <c r="K1890" i="2"/>
  <c r="J452" i="2"/>
  <c r="K452" i="2"/>
  <c r="H1041" i="2"/>
  <c r="I777" i="2"/>
  <c r="J2663" i="2"/>
  <c r="H2148" i="2"/>
  <c r="N1488" i="2"/>
  <c r="I452" i="2"/>
  <c r="I2460" i="2"/>
  <c r="N397" i="2"/>
  <c r="I1318" i="2"/>
  <c r="N7" i="2"/>
  <c r="N798" i="2"/>
  <c r="H1957" i="2"/>
  <c r="N1939" i="2"/>
  <c r="N100" i="2"/>
  <c r="N167" i="2"/>
  <c r="N31" i="2"/>
  <c r="N596" i="2"/>
  <c r="N364" i="2"/>
  <c r="N1661" i="2"/>
  <c r="N1642" i="2"/>
  <c r="N2058" i="2"/>
  <c r="N2090" i="2"/>
  <c r="N579" i="2"/>
  <c r="N207" i="2"/>
  <c r="N2227" i="2"/>
  <c r="N183" i="2"/>
  <c r="N1473" i="2"/>
  <c r="N1584" i="2"/>
  <c r="N629" i="2"/>
  <c r="N2587" i="2"/>
  <c r="I1578" i="2"/>
  <c r="H1578" i="2"/>
  <c r="J1578" i="2"/>
  <c r="K1578" i="2"/>
  <c r="I1119" i="2"/>
  <c r="H1119" i="2"/>
  <c r="J1119" i="2"/>
  <c r="K1119" i="2"/>
  <c r="I1096" i="2"/>
  <c r="I809" i="2"/>
  <c r="H720" i="2"/>
  <c r="J720" i="2"/>
  <c r="K720" i="2"/>
  <c r="I720" i="2"/>
  <c r="H1827" i="2"/>
  <c r="J1827" i="2"/>
  <c r="K1827" i="2"/>
  <c r="I1827" i="2"/>
  <c r="H853" i="2"/>
  <c r="J853" i="2"/>
  <c r="K853" i="2"/>
  <c r="H392" i="2"/>
  <c r="I392" i="2"/>
  <c r="J392" i="2"/>
  <c r="K392" i="2"/>
  <c r="J2504" i="2"/>
  <c r="K2504" i="2"/>
  <c r="I2504" i="2"/>
  <c r="H2504" i="2"/>
  <c r="J2679" i="2"/>
  <c r="H2679" i="2"/>
  <c r="J2659" i="2"/>
  <c r="I2659" i="2"/>
  <c r="N2201" i="2"/>
  <c r="N2536" i="2"/>
  <c r="N1607" i="2"/>
  <c r="N872" i="2"/>
  <c r="N92" i="2"/>
  <c r="N1119" i="2"/>
  <c r="N1640" i="2"/>
  <c r="N1877" i="2"/>
  <c r="N2319" i="2"/>
  <c r="N685" i="2"/>
  <c r="N1564" i="2"/>
  <c r="N290" i="2"/>
  <c r="N1413" i="2"/>
  <c r="N1982" i="2"/>
  <c r="N273" i="2"/>
  <c r="N901" i="2"/>
  <c r="N1399" i="2"/>
  <c r="N1539" i="2"/>
  <c r="N196" i="2"/>
  <c r="N105" i="2"/>
  <c r="N2573" i="2"/>
  <c r="I2047" i="2"/>
  <c r="J2047" i="2"/>
  <c r="K2047" i="2"/>
  <c r="H2047" i="2"/>
  <c r="I1910" i="2"/>
  <c r="J1910" i="2"/>
  <c r="K1910" i="2"/>
  <c r="J1444" i="2"/>
  <c r="K1444" i="2"/>
  <c r="H1444" i="2"/>
  <c r="I460" i="2"/>
  <c r="H460" i="2"/>
  <c r="H272" i="2"/>
  <c r="I272" i="2"/>
  <c r="I2567" i="2"/>
  <c r="H2567" i="2"/>
  <c r="J2567" i="2"/>
  <c r="K2567" i="2"/>
  <c r="N2578" i="2"/>
  <c r="I2634" i="2"/>
  <c r="H2634" i="2"/>
  <c r="I2658" i="2"/>
  <c r="I974" i="2"/>
  <c r="J974" i="2"/>
  <c r="K974" i="2"/>
  <c r="H1142" i="2"/>
  <c r="J1142" i="2"/>
  <c r="K1142" i="2"/>
  <c r="I1118" i="2"/>
  <c r="H1118" i="2"/>
  <c r="H1094" i="2"/>
  <c r="J1094" i="2"/>
  <c r="K1094" i="2"/>
  <c r="J2573" i="2"/>
  <c r="K2573" i="2"/>
  <c r="H2573" i="2"/>
  <c r="I2573" i="2"/>
  <c r="I1892" i="2"/>
  <c r="J1892" i="2"/>
  <c r="K1892" i="2"/>
  <c r="H1379" i="2"/>
  <c r="J1379" i="2"/>
  <c r="K1379" i="2"/>
  <c r="H26" i="2"/>
  <c r="J26" i="2"/>
  <c r="K26" i="2"/>
  <c r="I26" i="2"/>
  <c r="N1615" i="2"/>
  <c r="N2400" i="2"/>
  <c r="N1271" i="2"/>
  <c r="N2038" i="2"/>
  <c r="J1845" i="2"/>
  <c r="K1845" i="2"/>
  <c r="H1845" i="2"/>
  <c r="I1845" i="2"/>
  <c r="H1445" i="2"/>
  <c r="I1445" i="2"/>
  <c r="J433" i="2"/>
  <c r="K433" i="2"/>
  <c r="H433" i="2"/>
  <c r="I433" i="2"/>
  <c r="I1740" i="2"/>
  <c r="N1735" i="2"/>
  <c r="N1940" i="2"/>
  <c r="N1637" i="2"/>
  <c r="N1039" i="2"/>
  <c r="N1571" i="2"/>
  <c r="N2205" i="2"/>
  <c r="H1977" i="2"/>
  <c r="J1977" i="2"/>
  <c r="K1977" i="2"/>
  <c r="H1532" i="2"/>
  <c r="I1532" i="2"/>
  <c r="J1532" i="2"/>
  <c r="K1532" i="2"/>
  <c r="H1235" i="2"/>
  <c r="I1235" i="2"/>
  <c r="N920" i="2"/>
  <c r="N2276" i="2"/>
  <c r="N209" i="2"/>
  <c r="J1402" i="2"/>
  <c r="K1402" i="2"/>
  <c r="H1402" i="2"/>
  <c r="I1402" i="2"/>
  <c r="I2679" i="2"/>
  <c r="N1896" i="2"/>
  <c r="N2361" i="2"/>
  <c r="N881" i="2"/>
  <c r="N1495" i="2"/>
  <c r="N518" i="2"/>
  <c r="N2436" i="2"/>
  <c r="I2046" i="2"/>
  <c r="H2046" i="2"/>
  <c r="J2046" i="2"/>
  <c r="K2046" i="2"/>
  <c r="I1999" i="2"/>
  <c r="J1999" i="2"/>
  <c r="K1999" i="2"/>
  <c r="J1954" i="2"/>
  <c r="K1954" i="2"/>
  <c r="I1954" i="2"/>
  <c r="H1954" i="2"/>
  <c r="N2559" i="2"/>
  <c r="N2577" i="2"/>
  <c r="N2669" i="2"/>
  <c r="N9" i="2"/>
  <c r="N1215" i="2"/>
  <c r="N2071" i="2"/>
  <c r="N1652" i="2"/>
  <c r="N2376" i="2"/>
  <c r="N1116" i="2"/>
  <c r="N1471" i="2"/>
  <c r="N1508" i="2"/>
  <c r="N1086" i="2"/>
  <c r="N2202" i="2"/>
  <c r="N331" i="2"/>
  <c r="N1131" i="2"/>
  <c r="N1154" i="2"/>
  <c r="N1765" i="2"/>
  <c r="N15" i="2"/>
  <c r="N977" i="2"/>
  <c r="N1194" i="2"/>
  <c r="N1559" i="2"/>
  <c r="N1603" i="2"/>
  <c r="N1006" i="2"/>
  <c r="N1016" i="2"/>
  <c r="N1620" i="2"/>
  <c r="N2182" i="2"/>
  <c r="N2397" i="2"/>
  <c r="H2024" i="2"/>
  <c r="J2024" i="2"/>
  <c r="K2024" i="2"/>
  <c r="I2024" i="2"/>
  <c r="H458" i="2"/>
  <c r="J458" i="2"/>
  <c r="K458" i="2"/>
  <c r="I458" i="2"/>
  <c r="H337" i="2"/>
  <c r="I337" i="2"/>
  <c r="J337" i="2"/>
  <c r="K337" i="2"/>
  <c r="H2492" i="2"/>
  <c r="J2492" i="2"/>
  <c r="K2492" i="2"/>
  <c r="J1117" i="2"/>
  <c r="K1117" i="2"/>
  <c r="H1911" i="2"/>
  <c r="I1094" i="2"/>
  <c r="H1417" i="2"/>
  <c r="N5" i="2"/>
  <c r="N1599" i="2"/>
  <c r="N922" i="2"/>
  <c r="N892" i="2"/>
  <c r="N2127" i="2"/>
  <c r="N282" i="2"/>
  <c r="N1004" i="2"/>
  <c r="N1186" i="2"/>
  <c r="N1861" i="2"/>
  <c r="N543" i="2"/>
  <c r="N1009" i="2"/>
  <c r="N1323" i="2"/>
  <c r="N1591" i="2"/>
  <c r="N1635" i="2"/>
  <c r="N114" i="2"/>
  <c r="N2000" i="2"/>
  <c r="N1336" i="2"/>
  <c r="N654" i="2"/>
  <c r="N2487" i="2"/>
  <c r="I2045" i="2"/>
  <c r="J2045" i="2"/>
  <c r="K2045" i="2"/>
  <c r="H2045" i="2"/>
  <c r="J1931" i="2"/>
  <c r="K1931" i="2"/>
  <c r="I1931" i="2"/>
  <c r="H1931" i="2"/>
  <c r="J1908" i="2"/>
  <c r="K1908" i="2"/>
  <c r="H1908" i="2"/>
  <c r="I1908" i="2"/>
  <c r="H315" i="2"/>
  <c r="I315" i="2"/>
  <c r="I2491" i="2"/>
  <c r="J2491" i="2"/>
  <c r="K2491" i="2"/>
  <c r="N2557" i="2"/>
  <c r="J1995" i="2"/>
  <c r="K1995" i="2"/>
  <c r="H1740" i="2"/>
  <c r="I1417" i="2"/>
  <c r="N425" i="2"/>
  <c r="N1951" i="2"/>
  <c r="N1972" i="2"/>
  <c r="N517" i="2"/>
  <c r="N1759" i="2"/>
  <c r="N853" i="2"/>
  <c r="N822" i="2"/>
  <c r="N2054" i="2"/>
  <c r="N889" i="2"/>
  <c r="N1218" i="2"/>
  <c r="N422" i="2"/>
  <c r="N1425" i="2"/>
  <c r="N1912" i="2"/>
  <c r="N1667" i="2"/>
  <c r="N946" i="2"/>
  <c r="N44" i="2"/>
  <c r="N251" i="2"/>
  <c r="H1997" i="2"/>
  <c r="I1997" i="2"/>
  <c r="J1997" i="2"/>
  <c r="K1997" i="2"/>
  <c r="J1975" i="2"/>
  <c r="K1975" i="2"/>
  <c r="H1975" i="2"/>
  <c r="H1952" i="2"/>
  <c r="I1952" i="2"/>
  <c r="J1930" i="2"/>
  <c r="K1930" i="2"/>
  <c r="H1930" i="2"/>
  <c r="H335" i="2"/>
  <c r="J335" i="2"/>
  <c r="K335" i="2"/>
  <c r="J2305" i="2"/>
  <c r="K2305" i="2"/>
  <c r="H2305" i="2"/>
  <c r="I2305" i="2"/>
  <c r="I2514" i="2"/>
  <c r="J2514" i="2"/>
  <c r="K2514" i="2"/>
  <c r="H2514" i="2"/>
  <c r="N2556" i="2"/>
  <c r="N599" i="2"/>
  <c r="N130" i="2"/>
  <c r="N1704" i="2"/>
  <c r="J2594" i="2"/>
  <c r="K2594" i="2"/>
  <c r="H2594" i="2"/>
  <c r="N956" i="2"/>
  <c r="N634" i="2"/>
  <c r="N1348" i="2"/>
  <c r="N1596" i="2"/>
  <c r="N93" i="2"/>
  <c r="N871" i="2"/>
  <c r="N586" i="2"/>
  <c r="N1551" i="2"/>
  <c r="N549" i="2"/>
  <c r="N2617" i="2"/>
  <c r="N2032" i="2"/>
  <c r="N2206" i="2"/>
  <c r="N258" i="2"/>
  <c r="N588" i="2"/>
  <c r="N1699" i="2"/>
  <c r="N1666" i="2"/>
  <c r="N1730" i="2"/>
  <c r="N592" i="2"/>
  <c r="N2122" i="2"/>
  <c r="N2611" i="2"/>
  <c r="J1072" i="2"/>
  <c r="K1072" i="2"/>
  <c r="I1072" i="2"/>
  <c r="H1072" i="2"/>
  <c r="N393" i="2"/>
  <c r="N1380" i="2"/>
  <c r="N900" i="2"/>
  <c r="N1573" i="2"/>
  <c r="N16" i="2"/>
  <c r="H1974" i="2"/>
  <c r="I1974" i="2"/>
  <c r="N692" i="2"/>
  <c r="N623" i="2"/>
  <c r="N281" i="2"/>
  <c r="N2409" i="2"/>
  <c r="N1963" i="2"/>
  <c r="N1444" i="2"/>
  <c r="N1305" i="2"/>
  <c r="N1873" i="2"/>
  <c r="J2673" i="2"/>
  <c r="H2673" i="2"/>
  <c r="I2673" i="2"/>
  <c r="N442" i="2"/>
  <c r="N140" i="2"/>
  <c r="N1705" i="2"/>
  <c r="N1561" i="2"/>
  <c r="N1287" i="2"/>
  <c r="H1175" i="2"/>
  <c r="J1175" i="2"/>
  <c r="K1175" i="2"/>
  <c r="N671" i="2"/>
  <c r="N735" i="2"/>
  <c r="N2007" i="2"/>
  <c r="N756" i="2"/>
  <c r="N2664" i="2"/>
  <c r="H974" i="2"/>
  <c r="N1200" i="2"/>
  <c r="N2002" i="2"/>
  <c r="H1201" i="2"/>
  <c r="I1201" i="2"/>
  <c r="J1201" i="2"/>
  <c r="K1201" i="2"/>
  <c r="H1096" i="2"/>
  <c r="H777" i="2"/>
  <c r="N2406" i="2"/>
  <c r="J1911" i="2"/>
  <c r="K1911" i="2"/>
  <c r="N98" i="2"/>
  <c r="N2135" i="2"/>
  <c r="N2398" i="2"/>
  <c r="N1122" i="2"/>
  <c r="N1684" i="2"/>
  <c r="N775" i="2"/>
  <c r="I2653" i="2"/>
  <c r="H2653" i="2"/>
  <c r="J2653" i="2"/>
  <c r="N112" i="2"/>
  <c r="N416" i="2"/>
  <c r="N110" i="2"/>
  <c r="N688" i="2"/>
  <c r="N2345" i="2"/>
  <c r="N1374" i="2"/>
  <c r="I1763" i="2"/>
  <c r="H1763" i="2"/>
  <c r="J1763" i="2"/>
  <c r="K1763" i="2"/>
  <c r="N2334" i="2"/>
  <c r="N1760" i="2"/>
  <c r="N2403" i="2"/>
  <c r="N1806" i="2"/>
  <c r="N2062" i="2"/>
  <c r="N1421" i="2"/>
  <c r="N1835" i="2"/>
  <c r="N1944" i="2"/>
  <c r="N1794" i="2"/>
  <c r="N1056" i="2"/>
  <c r="N2298" i="2"/>
  <c r="N1518" i="2"/>
  <c r="N1707" i="2"/>
  <c r="N1856" i="2"/>
  <c r="N1744" i="2"/>
  <c r="N564" i="2"/>
  <c r="N225" i="2"/>
  <c r="N1582" i="2"/>
  <c r="H1856" i="2"/>
  <c r="I1856" i="2"/>
  <c r="J1856" i="2"/>
  <c r="K1856" i="2"/>
  <c r="H1521" i="2"/>
  <c r="I1521" i="2"/>
  <c r="J1521" i="2"/>
  <c r="K1521" i="2"/>
  <c r="J1457" i="2"/>
  <c r="K1457" i="2"/>
  <c r="H1457" i="2"/>
  <c r="J1436" i="2"/>
  <c r="K1436" i="2"/>
  <c r="H1283" i="2"/>
  <c r="I1283" i="2"/>
  <c r="I353" i="2"/>
  <c r="J353" i="2"/>
  <c r="K353" i="2"/>
  <c r="H353" i="2"/>
  <c r="J120" i="2"/>
  <c r="K120" i="2"/>
  <c r="H120" i="2"/>
  <c r="H99" i="2"/>
  <c r="J2252" i="2"/>
  <c r="K2252" i="2"/>
  <c r="H2252" i="2"/>
  <c r="I2252" i="2"/>
  <c r="I2442" i="2"/>
  <c r="H2442" i="2"/>
  <c r="J2442" i="2"/>
  <c r="K2442" i="2"/>
  <c r="J2481" i="2"/>
  <c r="K2481" i="2"/>
  <c r="H2481" i="2"/>
  <c r="I2481" i="2"/>
  <c r="J2605" i="2"/>
  <c r="K2605" i="2"/>
  <c r="H2592" i="2"/>
  <c r="I2592" i="2"/>
  <c r="N2656" i="2"/>
  <c r="I2647" i="2"/>
  <c r="J2647" i="2"/>
  <c r="N2108" i="2"/>
  <c r="N344" i="2"/>
  <c r="N2507" i="2"/>
  <c r="N2250" i="2"/>
  <c r="N2461" i="2"/>
  <c r="N1919" i="2"/>
  <c r="N905" i="2"/>
  <c r="N308" i="2"/>
  <c r="N1096" i="2"/>
  <c r="N630" i="2"/>
  <c r="I1267" i="2"/>
  <c r="J1267" i="2"/>
  <c r="K1267" i="2"/>
  <c r="H1267" i="2"/>
  <c r="N915" i="2"/>
  <c r="N720" i="2"/>
  <c r="I1199" i="2"/>
  <c r="J1199" i="2"/>
  <c r="K1199" i="2"/>
  <c r="N1588" i="2"/>
  <c r="N501" i="2"/>
  <c r="N479" i="2"/>
  <c r="N171" i="2"/>
  <c r="N1428" i="2"/>
  <c r="H1427" i="2"/>
  <c r="N745" i="2"/>
  <c r="N2504" i="2"/>
  <c r="N2486" i="2"/>
  <c r="N1680" i="2"/>
  <c r="N1633" i="2"/>
  <c r="N1876" i="2"/>
  <c r="N53" i="2"/>
  <c r="N826" i="2"/>
  <c r="I2039" i="2"/>
  <c r="H2039" i="2"/>
  <c r="N1462" i="2"/>
  <c r="N2212" i="2"/>
  <c r="N1017" i="2"/>
  <c r="N2274" i="2"/>
  <c r="J1857" i="2"/>
  <c r="K1857" i="2"/>
  <c r="H1857" i="2"/>
  <c r="I1857" i="2"/>
  <c r="N398" i="2"/>
  <c r="N1035" i="2"/>
  <c r="N2285" i="2"/>
  <c r="N1485" i="2"/>
  <c r="N973" i="2"/>
  <c r="N269" i="2"/>
  <c r="N701" i="2"/>
  <c r="N1107" i="2"/>
  <c r="N2214" i="2"/>
  <c r="N1606" i="2"/>
  <c r="N154" i="2"/>
  <c r="N2017" i="2"/>
  <c r="N2029" i="2"/>
  <c r="N1663" i="2"/>
  <c r="N297" i="2"/>
  <c r="N1674" i="2"/>
  <c r="N988" i="2"/>
  <c r="N2238" i="2"/>
  <c r="N206" i="2"/>
  <c r="N1872" i="2"/>
  <c r="N274" i="2"/>
  <c r="N1013" i="2"/>
  <c r="N577" i="2"/>
  <c r="N1226" i="2"/>
  <c r="N724" i="2"/>
  <c r="I1435" i="2"/>
  <c r="J1435" i="2"/>
  <c r="K1435" i="2"/>
  <c r="J2254" i="2"/>
  <c r="K2254" i="2"/>
  <c r="I2254" i="2"/>
  <c r="H2254" i="2"/>
  <c r="I2391" i="2"/>
  <c r="H2391" i="2"/>
  <c r="H2467" i="2"/>
  <c r="J2467" i="2"/>
  <c r="K2467" i="2"/>
  <c r="I2536" i="2"/>
  <c r="H2536" i="2"/>
  <c r="J2536" i="2"/>
  <c r="K2536" i="2"/>
  <c r="H2580" i="2"/>
  <c r="J2580" i="2"/>
  <c r="K2580" i="2"/>
  <c r="N1224" i="2"/>
  <c r="N340" i="2"/>
  <c r="N1480" i="2"/>
  <c r="N1303" i="2"/>
  <c r="N1151" i="2"/>
  <c r="N2005" i="2"/>
  <c r="N1250" i="2"/>
  <c r="N841" i="2"/>
  <c r="N48" i="2"/>
  <c r="N563" i="2"/>
  <c r="N330" i="2"/>
  <c r="N2164" i="2"/>
  <c r="N10" i="2"/>
  <c r="N221" i="2"/>
  <c r="N1055" i="2"/>
  <c r="N1445" i="2"/>
  <c r="N1826" i="2"/>
  <c r="N277" i="2"/>
  <c r="N784" i="2"/>
  <c r="J2060" i="2"/>
  <c r="K2060" i="2"/>
  <c r="N1696" i="2"/>
  <c r="N1560" i="2"/>
  <c r="N2561" i="2"/>
  <c r="H2463" i="2"/>
  <c r="I2463" i="2"/>
  <c r="J2463" i="2"/>
  <c r="K2463" i="2"/>
  <c r="I2539" i="2"/>
  <c r="J2539" i="2"/>
  <c r="K2539" i="2"/>
  <c r="H2539" i="2"/>
  <c r="H2060" i="2"/>
  <c r="N1824" i="2"/>
  <c r="N1786" i="2"/>
  <c r="N722" i="2"/>
  <c r="H1836" i="2"/>
  <c r="I1836" i="2"/>
  <c r="J2255" i="2"/>
  <c r="K2255" i="2"/>
  <c r="I2255" i="2"/>
  <c r="H2649" i="2"/>
  <c r="N2102" i="2"/>
  <c r="N1754" i="2"/>
  <c r="N345" i="2"/>
  <c r="N18" i="2"/>
  <c r="N2415" i="2"/>
  <c r="J328" i="2"/>
  <c r="K328" i="2"/>
  <c r="H328" i="2"/>
  <c r="I328" i="2"/>
  <c r="H119" i="2"/>
  <c r="I119" i="2"/>
  <c r="J119" i="2"/>
  <c r="K119" i="2"/>
  <c r="H2267" i="2"/>
  <c r="J2267" i="2"/>
  <c r="K2267" i="2"/>
  <c r="N2219" i="2"/>
  <c r="N1805" i="2"/>
  <c r="N1613" i="2"/>
  <c r="N1293" i="2"/>
  <c r="N1069" i="2"/>
  <c r="N845" i="2"/>
  <c r="N589" i="2"/>
  <c r="N301" i="2"/>
  <c r="N45" i="2"/>
  <c r="N13" i="2"/>
  <c r="N2446" i="2"/>
  <c r="I2433" i="2"/>
  <c r="H2433" i="2"/>
  <c r="N2596" i="2"/>
  <c r="J2626" i="2"/>
  <c r="K2626" i="2"/>
  <c r="H2626" i="2"/>
  <c r="I2282" i="2"/>
  <c r="I1418" i="2"/>
  <c r="N2158" i="2"/>
  <c r="I2079" i="2"/>
  <c r="J1835" i="2"/>
  <c r="K1835" i="2"/>
  <c r="N765" i="2"/>
  <c r="N2393" i="2"/>
  <c r="N1139" i="2"/>
  <c r="N2260" i="2"/>
  <c r="N1670" i="2"/>
  <c r="N263" i="2"/>
  <c r="N2081" i="2"/>
  <c r="N1960" i="2"/>
  <c r="N1272" i="2"/>
  <c r="N90" i="2"/>
  <c r="N1080" i="2"/>
  <c r="N762" i="2"/>
  <c r="N2325" i="2"/>
  <c r="N309" i="2"/>
  <c r="N1936" i="2"/>
  <c r="N370" i="2"/>
  <c r="N2045" i="2"/>
  <c r="N641" i="2"/>
  <c r="N1419" i="2"/>
  <c r="N1237" i="2"/>
  <c r="N1492" i="2"/>
  <c r="N338" i="2"/>
  <c r="N858" i="2"/>
  <c r="N1392" i="2"/>
  <c r="N2498" i="2"/>
  <c r="N2618" i="2"/>
  <c r="H376" i="2"/>
  <c r="I376" i="2"/>
  <c r="J376" i="2"/>
  <c r="K376" i="2"/>
  <c r="N2468" i="2"/>
  <c r="I2535" i="2"/>
  <c r="J2535" i="2"/>
  <c r="K2535" i="2"/>
  <c r="H2535" i="2"/>
  <c r="N2594" i="2"/>
  <c r="N2640" i="2"/>
  <c r="N2608" i="2"/>
  <c r="J1143" i="2"/>
  <c r="K1143" i="2"/>
  <c r="H1143" i="2"/>
  <c r="I1143" i="2"/>
  <c r="J2641" i="2"/>
  <c r="K2641" i="2"/>
  <c r="I2641" i="2"/>
  <c r="H2641" i="2"/>
  <c r="H1162" i="2"/>
  <c r="J1162" i="2"/>
  <c r="K1162" i="2"/>
  <c r="I1162" i="2"/>
  <c r="N494" i="2"/>
  <c r="N2580" i="2"/>
  <c r="H1956" i="2"/>
  <c r="J1956" i="2"/>
  <c r="K1956" i="2"/>
  <c r="H1489" i="2"/>
  <c r="I1489" i="2"/>
  <c r="I1427" i="2"/>
  <c r="N937" i="2"/>
  <c r="N1142" i="2"/>
  <c r="H1117" i="2"/>
  <c r="N275" i="2"/>
  <c r="N2652" i="2"/>
  <c r="J1907" i="2"/>
  <c r="K1907" i="2"/>
  <c r="I1907" i="2"/>
  <c r="J735" i="2"/>
  <c r="K735" i="2"/>
  <c r="I735" i="2"/>
  <c r="N531" i="2"/>
  <c r="N1905" i="2"/>
  <c r="J2066" i="2"/>
  <c r="K2066" i="2"/>
  <c r="I2066" i="2"/>
  <c r="J549" i="2"/>
  <c r="K549" i="2"/>
  <c r="H549" i="2"/>
  <c r="I549" i="2"/>
  <c r="N2067" i="2"/>
  <c r="N1891" i="2"/>
  <c r="I1153" i="2"/>
  <c r="J1153" i="2"/>
  <c r="K1153" i="2"/>
  <c r="N192" i="2"/>
  <c r="N612" i="2"/>
  <c r="N2230" i="2"/>
  <c r="N1898" i="2"/>
  <c r="N2442" i="2"/>
  <c r="N2336" i="2"/>
  <c r="N1208" i="2"/>
  <c r="J1969" i="2"/>
  <c r="K1969" i="2"/>
  <c r="H1969" i="2"/>
  <c r="I1969" i="2"/>
  <c r="I1223" i="2"/>
  <c r="J1223" i="2"/>
  <c r="K1223" i="2"/>
  <c r="N568" i="2"/>
  <c r="N1600" i="2"/>
  <c r="N2177" i="2"/>
  <c r="J1222" i="2"/>
  <c r="K1222" i="2"/>
  <c r="H1222" i="2"/>
  <c r="I1222" i="2"/>
  <c r="N979" i="2"/>
  <c r="N1231" i="2"/>
  <c r="N2176" i="2"/>
  <c r="N2037" i="2"/>
  <c r="N1129" i="2"/>
  <c r="N1423" i="2"/>
  <c r="I1444" i="2"/>
  <c r="N1917" i="2"/>
  <c r="N1067" i="2"/>
  <c r="N2186" i="2"/>
  <c r="N1799" i="2"/>
  <c r="N949" i="2"/>
  <c r="N2394" i="2"/>
  <c r="N2190" i="2"/>
  <c r="N1773" i="2"/>
  <c r="N1517" i="2"/>
  <c r="N1261" i="2"/>
  <c r="N1037" i="2"/>
  <c r="N781" i="2"/>
  <c r="N557" i="2"/>
  <c r="N237" i="2"/>
  <c r="N1235" i="2"/>
  <c r="N2375" i="2"/>
  <c r="N1665" i="2"/>
  <c r="N1976" i="2"/>
  <c r="N1126" i="2"/>
  <c r="N855" i="2"/>
  <c r="N1435" i="2"/>
  <c r="N2510" i="2"/>
  <c r="N2626" i="2"/>
  <c r="N2663" i="2"/>
  <c r="J1519" i="2"/>
  <c r="K1519" i="2"/>
  <c r="H1519" i="2"/>
  <c r="I1519" i="2"/>
  <c r="I1455" i="2"/>
  <c r="J1455" i="2"/>
  <c r="K1455" i="2"/>
  <c r="H1455" i="2"/>
  <c r="I375" i="2"/>
  <c r="J375" i="2"/>
  <c r="K375" i="2"/>
  <c r="I350" i="2"/>
  <c r="J350" i="2"/>
  <c r="K350" i="2"/>
  <c r="H350" i="2"/>
  <c r="H97" i="2"/>
  <c r="I97" i="2"/>
  <c r="J97" i="2"/>
  <c r="K97" i="2"/>
  <c r="I2099" i="2"/>
  <c r="J2099" i="2"/>
  <c r="K2099" i="2"/>
  <c r="H2077" i="2"/>
  <c r="J2077" i="2"/>
  <c r="K2077" i="2"/>
  <c r="I2077" i="2"/>
  <c r="I2198" i="2"/>
  <c r="H2198" i="2"/>
  <c r="J2198" i="2"/>
  <c r="K2198" i="2"/>
  <c r="N2395" i="2"/>
  <c r="N2378" i="2"/>
  <c r="N2348" i="2"/>
  <c r="N2315" i="2"/>
  <c r="N2282" i="2"/>
  <c r="N2216" i="2"/>
  <c r="N2188" i="2"/>
  <c r="N2121" i="2"/>
  <c r="N2028" i="2"/>
  <c r="N1994" i="2"/>
  <c r="N1962" i="2"/>
  <c r="N1866" i="2"/>
  <c r="N1834" i="2"/>
  <c r="N1802" i="2"/>
  <c r="N1770" i="2"/>
  <c r="N1738" i="2"/>
  <c r="N1706" i="2"/>
  <c r="N1610" i="2"/>
  <c r="N1578" i="2"/>
  <c r="N1546" i="2"/>
  <c r="N1514" i="2"/>
  <c r="N1482" i="2"/>
  <c r="N1450" i="2"/>
  <c r="N1386" i="2"/>
  <c r="N1354" i="2"/>
  <c r="N1322" i="2"/>
  <c r="N1290" i="2"/>
  <c r="N1258" i="2"/>
  <c r="N1162" i="2"/>
  <c r="N1130" i="2"/>
  <c r="N1066" i="2"/>
  <c r="N1002" i="2"/>
  <c r="N970" i="2"/>
  <c r="N938" i="2"/>
  <c r="N906" i="2"/>
  <c r="N874" i="2"/>
  <c r="N842" i="2"/>
  <c r="N810" i="2"/>
  <c r="N778" i="2"/>
  <c r="N682" i="2"/>
  <c r="N618" i="2"/>
  <c r="N554" i="2"/>
  <c r="N522" i="2"/>
  <c r="N490" i="2"/>
  <c r="N458" i="2"/>
  <c r="N426" i="2"/>
  <c r="N394" i="2"/>
  <c r="N362" i="2"/>
  <c r="N298" i="2"/>
  <c r="N266" i="2"/>
  <c r="N234" i="2"/>
  <c r="N170" i="2"/>
  <c r="N138" i="2"/>
  <c r="N42" i="2"/>
  <c r="N2454" i="2"/>
  <c r="N475" i="2"/>
  <c r="N1623" i="2"/>
  <c r="N2431" i="2"/>
  <c r="N2653" i="2"/>
  <c r="N459" i="2"/>
  <c r="N1718" i="2"/>
  <c r="N539" i="2"/>
  <c r="N2149" i="2"/>
  <c r="N1761" i="2"/>
  <c r="N2021" i="2"/>
  <c r="N1217" i="2"/>
  <c r="N631" i="2"/>
  <c r="N50" i="2"/>
  <c r="N2193" i="2"/>
  <c r="N927" i="2"/>
  <c r="N451" i="2"/>
  <c r="N162" i="2"/>
  <c r="N2010" i="2"/>
  <c r="N584" i="2"/>
  <c r="N600" i="2"/>
  <c r="N519" i="2"/>
  <c r="N1535" i="2"/>
  <c r="N2353" i="2"/>
  <c r="N782" i="2"/>
  <c r="N1184" i="2"/>
  <c r="N1644" i="2"/>
  <c r="N1732" i="2"/>
  <c r="N837" i="2"/>
  <c r="N533" i="2"/>
  <c r="N1555" i="2"/>
  <c r="N502" i="2"/>
  <c r="N2016" i="2"/>
  <c r="N728" i="2"/>
  <c r="N2604" i="2"/>
  <c r="N2411" i="2"/>
  <c r="N2284" i="2"/>
  <c r="N187" i="2"/>
  <c r="N1516" i="2"/>
  <c r="N1713" i="2"/>
  <c r="N1447" i="2"/>
  <c r="N2389" i="2"/>
  <c r="N1859" i="2"/>
  <c r="N1025" i="2"/>
  <c r="N535" i="2"/>
  <c r="N1774" i="2"/>
  <c r="N235" i="2"/>
  <c r="N1688" i="2"/>
  <c r="N523" i="2"/>
  <c r="N323" i="2"/>
  <c r="N66" i="2"/>
  <c r="N268" i="2"/>
  <c r="N856" i="2"/>
  <c r="N1863" i="2"/>
  <c r="N214" i="2"/>
  <c r="N980" i="2"/>
  <c r="N224" i="2"/>
  <c r="N476" i="2"/>
  <c r="N1353" i="2"/>
  <c r="N421" i="2"/>
  <c r="N213" i="2"/>
  <c r="N1171" i="2"/>
  <c r="N2425" i="2"/>
  <c r="I2441" i="2"/>
  <c r="H2441" i="2"/>
  <c r="N2485" i="2"/>
  <c r="H2480" i="2"/>
  <c r="J2480" i="2"/>
  <c r="K2480" i="2"/>
  <c r="N2593" i="2"/>
  <c r="J1095" i="2"/>
  <c r="K1095" i="2"/>
  <c r="I1095" i="2"/>
  <c r="N2628" i="2"/>
  <c r="N1416" i="2"/>
  <c r="N2370" i="2"/>
  <c r="N1789" i="2"/>
  <c r="N1087" i="2"/>
  <c r="N1800" i="2"/>
  <c r="N613" i="2"/>
  <c r="N652" i="2"/>
  <c r="N2036" i="2"/>
  <c r="N876" i="2"/>
  <c r="N1937" i="2"/>
  <c r="N1317" i="2"/>
  <c r="N1762" i="2"/>
  <c r="N851" i="2"/>
  <c r="N409" i="2"/>
  <c r="N2369" i="2"/>
  <c r="I2650" i="2"/>
  <c r="J2650" i="2"/>
  <c r="H2650" i="2"/>
  <c r="I853" i="2"/>
  <c r="H1200" i="2"/>
  <c r="N1439" i="2"/>
  <c r="N1418" i="2"/>
  <c r="N1477" i="2"/>
  <c r="N2210" i="2"/>
  <c r="N317" i="2"/>
  <c r="N28" i="2"/>
  <c r="N816" i="2"/>
  <c r="N2564" i="2"/>
  <c r="J1935" i="2"/>
  <c r="K1935" i="2"/>
  <c r="N838" i="2"/>
  <c r="N1656" i="2"/>
  <c r="H287" i="2"/>
  <c r="I287" i="2"/>
  <c r="J287" i="2"/>
  <c r="K287" i="2"/>
  <c r="I2668" i="2"/>
  <c r="H2668" i="2"/>
  <c r="N1478" i="2"/>
  <c r="N1133" i="2"/>
  <c r="J1974" i="2"/>
  <c r="K1974" i="2"/>
  <c r="I1956" i="2"/>
  <c r="N1542" i="2"/>
  <c r="N2157" i="2"/>
  <c r="J631" i="2"/>
  <c r="K631" i="2"/>
  <c r="H631" i="2"/>
  <c r="N2125" i="2"/>
  <c r="N1741" i="2"/>
  <c r="N1453" i="2"/>
  <c r="N1229" i="2"/>
  <c r="N941" i="2"/>
  <c r="N717" i="2"/>
  <c r="N429" i="2"/>
  <c r="N205" i="2"/>
  <c r="N829" i="2"/>
  <c r="N291" i="2"/>
  <c r="N498" i="2"/>
  <c r="N1513" i="2"/>
  <c r="H1867" i="2"/>
  <c r="J2079" i="2"/>
  <c r="K2079" i="2"/>
  <c r="I1888" i="2"/>
  <c r="I1378" i="2"/>
  <c r="J1163" i="2"/>
  <c r="K1163" i="2"/>
  <c r="J1235" i="2"/>
  <c r="K1235" i="2"/>
  <c r="N1611" i="2"/>
  <c r="N143" i="2"/>
  <c r="N1523" i="2"/>
  <c r="N1798" i="2"/>
  <c r="N1455" i="2"/>
  <c r="N1833" i="2"/>
  <c r="N2328" i="2"/>
  <c r="N328" i="2"/>
  <c r="N537" i="2"/>
  <c r="N387" i="2"/>
  <c r="N2049" i="2"/>
  <c r="N594" i="2"/>
  <c r="N1341" i="2"/>
  <c r="N1121" i="2"/>
  <c r="N453" i="2"/>
  <c r="N1864" i="2"/>
  <c r="N1852" i="2"/>
  <c r="N1755" i="2"/>
  <c r="N2499" i="2"/>
  <c r="N2508" i="2"/>
  <c r="N2569" i="2"/>
  <c r="I1003" i="2"/>
  <c r="J1003" i="2"/>
  <c r="K1003" i="2"/>
  <c r="H1003" i="2"/>
  <c r="I859" i="2"/>
  <c r="H859" i="2"/>
  <c r="J859" i="2"/>
  <c r="K859" i="2"/>
  <c r="J652" i="2"/>
  <c r="K652" i="2"/>
  <c r="I652" i="2"/>
  <c r="H652" i="2"/>
  <c r="N2236" i="2"/>
  <c r="N2027" i="2"/>
  <c r="N1980" i="2"/>
  <c r="N1865" i="2"/>
  <c r="N1545" i="2"/>
  <c r="N713" i="2"/>
  <c r="N169" i="2"/>
  <c r="N2607" i="2"/>
  <c r="N2434" i="2"/>
  <c r="J1670" i="2"/>
  <c r="K1670" i="2"/>
  <c r="I1670" i="2"/>
  <c r="H1670" i="2"/>
  <c r="H1025" i="2"/>
  <c r="I1025" i="2"/>
  <c r="N513" i="2"/>
  <c r="H1912" i="2"/>
  <c r="I1912" i="2"/>
  <c r="J1912" i="2"/>
  <c r="K1912" i="2"/>
  <c r="H1447" i="2"/>
  <c r="I1447" i="2"/>
  <c r="I2595" i="2"/>
  <c r="J2595" i="2"/>
  <c r="K2595" i="2"/>
  <c r="H2595" i="2"/>
  <c r="N700" i="2"/>
  <c r="N991" i="2"/>
  <c r="N413" i="2"/>
  <c r="H1488" i="2"/>
  <c r="I1488" i="2"/>
  <c r="J2657" i="2"/>
  <c r="H2657" i="2"/>
  <c r="N1556" i="2"/>
  <c r="N2031" i="2"/>
  <c r="N2495" i="2"/>
  <c r="H1890" i="2"/>
  <c r="N1221" i="2"/>
  <c r="N1827" i="2"/>
  <c r="N1253" i="2"/>
  <c r="N2156" i="2"/>
  <c r="H2659" i="2"/>
  <c r="H1177" i="2"/>
  <c r="J1177" i="2"/>
  <c r="K1177" i="2"/>
  <c r="I1177" i="2"/>
  <c r="H524" i="2"/>
  <c r="J524" i="2"/>
  <c r="K524" i="2"/>
  <c r="I524" i="2"/>
  <c r="N1703" i="2"/>
  <c r="N1988" i="2"/>
  <c r="I1176" i="2"/>
  <c r="J1176" i="2"/>
  <c r="K1176" i="2"/>
  <c r="H1176" i="2"/>
  <c r="N736" i="2"/>
  <c r="N2447" i="2"/>
  <c r="J821" i="2"/>
  <c r="K821" i="2"/>
  <c r="H821" i="2"/>
  <c r="I821" i="2"/>
  <c r="N477" i="2"/>
  <c r="N2147" i="2"/>
  <c r="N947" i="2"/>
  <c r="N1402" i="2"/>
  <c r="N303" i="2"/>
  <c r="I1142" i="2"/>
  <c r="N1669" i="2"/>
  <c r="N1355" i="2"/>
  <c r="N2087" i="2"/>
  <c r="I2669" i="2"/>
  <c r="H2669" i="2"/>
  <c r="N1011" i="2"/>
  <c r="N1159" i="2"/>
  <c r="N2245" i="2"/>
  <c r="N2474" i="2"/>
  <c r="N1043" i="2"/>
  <c r="N1082" i="2"/>
  <c r="N1075" i="2"/>
  <c r="N1920" i="2"/>
  <c r="N1848" i="2"/>
  <c r="N1926" i="2"/>
  <c r="N2317" i="2"/>
  <c r="N2111" i="2"/>
  <c r="N1709" i="2"/>
  <c r="N1389" i="2"/>
  <c r="N1197" i="2"/>
  <c r="N909" i="2"/>
  <c r="N653" i="2"/>
  <c r="N333" i="2"/>
  <c r="N109" i="2"/>
  <c r="N1899" i="2"/>
  <c r="N650" i="2"/>
  <c r="N441" i="2"/>
  <c r="J504" i="2"/>
  <c r="K504" i="2"/>
  <c r="H1888" i="2"/>
  <c r="N780" i="2"/>
  <c r="N239" i="2"/>
  <c r="N1619" i="2"/>
  <c r="N1894" i="2"/>
  <c r="N1547" i="2"/>
  <c r="N1568" i="2"/>
  <c r="N607" i="2"/>
  <c r="N2283" i="2"/>
  <c r="N419" i="2"/>
  <c r="N658" i="2"/>
  <c r="N1493" i="2"/>
  <c r="N1345" i="2"/>
  <c r="N1227" i="2"/>
  <c r="N1388" i="2"/>
  <c r="N2339" i="2"/>
  <c r="N1915" i="2"/>
  <c r="N2509" i="2"/>
  <c r="N2600" i="2"/>
  <c r="H1767" i="2"/>
  <c r="I1767" i="2"/>
  <c r="J1767" i="2"/>
  <c r="K1767" i="2"/>
  <c r="J1540" i="2"/>
  <c r="K1540" i="2"/>
  <c r="I1540" i="2"/>
  <c r="H1540" i="2"/>
  <c r="H1053" i="2"/>
  <c r="I1053" i="2"/>
  <c r="J1053" i="2"/>
  <c r="K1053" i="2"/>
  <c r="H1027" i="2"/>
  <c r="I1027" i="2"/>
  <c r="J1027" i="2"/>
  <c r="K1027" i="2"/>
  <c r="J928" i="2"/>
  <c r="K928" i="2"/>
  <c r="H928" i="2"/>
  <c r="I928" i="2"/>
  <c r="I883" i="2"/>
  <c r="J883" i="2"/>
  <c r="K883" i="2"/>
  <c r="H768" i="2"/>
  <c r="J768" i="2"/>
  <c r="K768" i="2"/>
  <c r="J701" i="2"/>
  <c r="K701" i="2"/>
  <c r="H701" i="2"/>
  <c r="I701" i="2"/>
  <c r="H627" i="2"/>
  <c r="I627" i="2"/>
  <c r="N106" i="2"/>
  <c r="J2028" i="2"/>
  <c r="K2028" i="2"/>
  <c r="N2280" i="2"/>
  <c r="H809" i="2"/>
  <c r="N2132" i="2"/>
  <c r="N1524" i="2"/>
  <c r="N576" i="2"/>
  <c r="N570" i="2"/>
  <c r="N2522" i="2"/>
  <c r="N1643" i="2"/>
  <c r="N244" i="2"/>
  <c r="I778" i="2"/>
  <c r="J778" i="2"/>
  <c r="K778" i="2"/>
  <c r="H383" i="2"/>
  <c r="I383" i="2"/>
  <c r="N1737" i="2"/>
  <c r="N447" i="2"/>
  <c r="I2042" i="2"/>
  <c r="H2042" i="2"/>
  <c r="J2042" i="2"/>
  <c r="K2042" i="2"/>
  <c r="I1202" i="2"/>
  <c r="J1202" i="2"/>
  <c r="K1202" i="2"/>
  <c r="H571" i="2"/>
  <c r="I571" i="2"/>
  <c r="J571" i="2"/>
  <c r="K571" i="2"/>
  <c r="N125" i="2"/>
  <c r="N1108" i="2"/>
  <c r="N1349" i="2"/>
  <c r="N202" i="2"/>
  <c r="N1581" i="2"/>
  <c r="N142" i="2"/>
  <c r="N261" i="2"/>
  <c r="N1526" i="2"/>
  <c r="N238" i="2"/>
  <c r="N188" i="2"/>
  <c r="N1792" i="2"/>
  <c r="J1795" i="2"/>
  <c r="K1795" i="2"/>
  <c r="I1795" i="2"/>
  <c r="H1795" i="2"/>
  <c r="I889" i="2"/>
  <c r="H889" i="2"/>
  <c r="J889" i="2"/>
  <c r="K889" i="2"/>
  <c r="I1254" i="2"/>
  <c r="N779" i="2"/>
  <c r="N1686" i="2"/>
  <c r="N846" i="2"/>
  <c r="N1742" i="2"/>
  <c r="N715" i="2"/>
  <c r="N2239" i="2"/>
  <c r="N1097" i="2"/>
  <c r="I78" i="2"/>
  <c r="H78" i="2"/>
  <c r="J78" i="2"/>
  <c r="K78" i="2"/>
  <c r="I2648" i="2"/>
  <c r="J2648" i="2"/>
  <c r="N1934" i="2"/>
  <c r="N1928" i="2"/>
  <c r="N2126" i="2"/>
  <c r="N2094" i="2"/>
  <c r="N1776" i="2"/>
  <c r="N1585" i="2"/>
  <c r="H285" i="2"/>
  <c r="J285" i="2"/>
  <c r="K285" i="2"/>
  <c r="I285" i="2"/>
  <c r="N2254" i="2"/>
  <c r="N1965" i="2"/>
  <c r="N1677" i="2"/>
  <c r="N1325" i="2"/>
  <c r="N1165" i="2"/>
  <c r="N877" i="2"/>
  <c r="N621" i="2"/>
  <c r="N365" i="2"/>
  <c r="N141" i="2"/>
  <c r="N47" i="2"/>
  <c r="N372" i="2"/>
  <c r="N1145" i="2"/>
  <c r="N1034" i="2"/>
  <c r="N1089" i="2"/>
  <c r="N1804" i="2"/>
  <c r="N702" i="2"/>
  <c r="N1651" i="2"/>
  <c r="N2024" i="2"/>
  <c r="N714" i="2"/>
  <c r="N2184" i="2"/>
  <c r="N76" i="2"/>
  <c r="N348" i="2"/>
  <c r="N515" i="2"/>
  <c r="N690" i="2"/>
  <c r="N1790" i="2"/>
  <c r="N1409" i="2"/>
  <c r="N1710" i="2"/>
  <c r="N2320" i="2"/>
  <c r="N411" i="2"/>
  <c r="N2299" i="2"/>
  <c r="N2502" i="2"/>
  <c r="N2570" i="2"/>
  <c r="N2650" i="2"/>
  <c r="I1766" i="2"/>
  <c r="H1766" i="2"/>
  <c r="J1766" i="2"/>
  <c r="K1766" i="2"/>
  <c r="H1719" i="2"/>
  <c r="J1719" i="2"/>
  <c r="K1719" i="2"/>
  <c r="N854" i="2"/>
  <c r="N886" i="2"/>
  <c r="N918" i="2"/>
  <c r="N1576" i="2"/>
  <c r="N1279" i="2"/>
  <c r="N1791" i="2"/>
  <c r="N443" i="2"/>
  <c r="N704" i="2"/>
  <c r="N1901" i="2"/>
  <c r="N1344" i="2"/>
  <c r="N1995" i="2"/>
  <c r="N595" i="2"/>
  <c r="N2373" i="2"/>
  <c r="J1705" i="2"/>
  <c r="K1705" i="2"/>
  <c r="I1705" i="2"/>
  <c r="N1639" i="2"/>
  <c r="N2115" i="2"/>
  <c r="N312" i="2"/>
  <c r="N1549" i="2"/>
  <c r="N2622" i="2"/>
  <c r="I193" i="2"/>
  <c r="J193" i="2"/>
  <c r="K193" i="2"/>
  <c r="H193" i="2"/>
  <c r="H1153" i="2"/>
  <c r="J1807" i="2"/>
  <c r="K1807" i="2"/>
  <c r="I1446" i="2"/>
  <c r="H1892" i="2"/>
  <c r="N605" i="2"/>
  <c r="N1801" i="2"/>
  <c r="I1815" i="2"/>
  <c r="J1815" i="2"/>
  <c r="K1815" i="2"/>
  <c r="H1815" i="2"/>
  <c r="N1277" i="2"/>
  <c r="N1933" i="2"/>
  <c r="N2013" i="2"/>
  <c r="N445" i="2"/>
  <c r="N1501" i="2"/>
  <c r="N1648" i="2"/>
  <c r="J1445" i="2"/>
  <c r="K1445" i="2"/>
  <c r="N2500" i="2"/>
  <c r="H2528" i="2"/>
  <c r="I2528" i="2"/>
  <c r="J2528" i="2"/>
  <c r="K2528" i="2"/>
  <c r="N509" i="2"/>
  <c r="N2155" i="2"/>
  <c r="N573" i="2"/>
  <c r="N26" i="2"/>
  <c r="N953" i="2"/>
  <c r="N257" i="2"/>
  <c r="N2347" i="2"/>
  <c r="N1869" i="2"/>
  <c r="N1645" i="2"/>
  <c r="N1357" i="2"/>
  <c r="N1101" i="2"/>
  <c r="N813" i="2"/>
  <c r="N493" i="2"/>
  <c r="N77" i="2"/>
  <c r="H1199" i="2"/>
  <c r="N1451" i="2"/>
  <c r="N1734" i="2"/>
  <c r="N2001" i="2"/>
  <c r="J1867" i="2"/>
  <c r="K1867" i="2"/>
  <c r="H504" i="2"/>
  <c r="J1378" i="2"/>
  <c r="K1378" i="2"/>
  <c r="H294" i="2"/>
  <c r="I120" i="2"/>
  <c r="J99" i="2"/>
  <c r="K99" i="2"/>
  <c r="H1705" i="2"/>
  <c r="J272" i="2"/>
  <c r="K272" i="2"/>
  <c r="J1318" i="2"/>
  <c r="K1318" i="2"/>
  <c r="H1436" i="2"/>
  <c r="I100" i="2"/>
  <c r="N1964" i="2"/>
  <c r="N766" i="2"/>
  <c r="N1683" i="2"/>
  <c r="N2408" i="2"/>
  <c r="N491" i="2"/>
  <c r="N569" i="2"/>
  <c r="N1728" i="2"/>
  <c r="N2100" i="2"/>
  <c r="N2301" i="2"/>
  <c r="N2138" i="2"/>
  <c r="N547" i="2"/>
  <c r="N88" i="2"/>
  <c r="N754" i="2"/>
  <c r="N1916" i="2"/>
  <c r="N1441" i="2"/>
  <c r="N1796" i="2"/>
  <c r="N1719" i="2"/>
  <c r="N1605" i="2"/>
  <c r="N2584" i="2"/>
  <c r="N2666" i="2"/>
  <c r="H1786" i="2"/>
  <c r="I1786" i="2"/>
  <c r="J1786" i="2"/>
  <c r="K1786" i="2"/>
  <c r="I2020" i="2"/>
  <c r="H2020" i="2"/>
  <c r="I1994" i="2"/>
  <c r="H1994" i="2"/>
  <c r="J1994" i="2"/>
  <c r="K1994" i="2"/>
  <c r="H1906" i="2"/>
  <c r="J1906" i="2"/>
  <c r="K1906" i="2"/>
  <c r="J1689" i="2"/>
  <c r="K1689" i="2"/>
  <c r="H1689" i="2"/>
  <c r="I1689" i="2"/>
  <c r="H1800" i="2"/>
  <c r="J1800" i="2"/>
  <c r="K1800" i="2"/>
  <c r="J860" i="2"/>
  <c r="K860" i="2"/>
  <c r="H860" i="2"/>
  <c r="J837" i="2"/>
  <c r="K837" i="2"/>
  <c r="I837" i="2"/>
  <c r="N1991" i="2"/>
  <c r="N210" i="2"/>
  <c r="N1536" i="2"/>
  <c r="N2103" i="2"/>
  <c r="N2488" i="2"/>
  <c r="N2674" i="2"/>
  <c r="H1075" i="2"/>
  <c r="I1075" i="2"/>
  <c r="I1052" i="2"/>
  <c r="J1052" i="2"/>
  <c r="K1052" i="2"/>
  <c r="J264" i="2"/>
  <c r="K264" i="2"/>
  <c r="H264" i="2"/>
  <c r="H170" i="2"/>
  <c r="I170" i="2"/>
  <c r="I2123" i="2"/>
  <c r="J2123" i="2"/>
  <c r="K2123" i="2"/>
  <c r="H2123" i="2"/>
  <c r="J2425" i="2"/>
  <c r="K2425" i="2"/>
  <c r="H2425" i="2"/>
  <c r="I2472" i="2"/>
  <c r="J2472" i="2"/>
  <c r="K2472" i="2"/>
  <c r="H2472" i="2"/>
  <c r="I2507" i="2"/>
  <c r="H2507" i="2"/>
  <c r="H2608" i="2"/>
  <c r="J2608" i="2"/>
  <c r="K2608" i="2"/>
  <c r="I2608" i="2"/>
  <c r="N2662" i="2"/>
  <c r="H2652" i="2"/>
  <c r="J2652" i="2"/>
  <c r="N75" i="2"/>
  <c r="N285" i="2"/>
  <c r="N480" i="2"/>
  <c r="N662" i="2"/>
  <c r="N1587" i="2"/>
  <c r="N1621" i="2"/>
  <c r="N965" i="2"/>
  <c r="N1830" i="2"/>
  <c r="N1472" i="2"/>
  <c r="N64" i="2"/>
  <c r="N2286" i="2"/>
  <c r="N1407" i="2"/>
  <c r="N302" i="2"/>
  <c r="N551" i="2"/>
  <c r="N376" i="2"/>
  <c r="N1369" i="2"/>
  <c r="N226" i="2"/>
  <c r="N483" i="2"/>
  <c r="N1397" i="2"/>
  <c r="N2269" i="2"/>
  <c r="N146" i="2"/>
  <c r="N1239" i="2"/>
  <c r="N1281" i="2"/>
  <c r="N2083" i="2"/>
  <c r="N520" i="2"/>
  <c r="N2448" i="2"/>
  <c r="J1120" i="2"/>
  <c r="K1120" i="2"/>
  <c r="H1120" i="2"/>
  <c r="I1120" i="2"/>
  <c r="I1026" i="2"/>
  <c r="J1026" i="2"/>
  <c r="K1026" i="2"/>
  <c r="J700" i="2"/>
  <c r="K700" i="2"/>
  <c r="I700" i="2"/>
  <c r="H169" i="2"/>
  <c r="J169" i="2"/>
  <c r="K169" i="2"/>
  <c r="J2165" i="2"/>
  <c r="K2165" i="2"/>
  <c r="I2165" i="2"/>
  <c r="I2280" i="2"/>
  <c r="H2280" i="2"/>
  <c r="N2521" i="2"/>
  <c r="N2489" i="2"/>
  <c r="N603" i="2"/>
  <c r="N2478" i="2"/>
  <c r="N2624" i="2"/>
  <c r="N2673" i="2"/>
  <c r="H1875" i="2"/>
  <c r="J1875" i="2"/>
  <c r="K1875" i="2"/>
  <c r="J1855" i="2"/>
  <c r="K1855" i="2"/>
  <c r="H1855" i="2"/>
  <c r="H1703" i="2"/>
  <c r="J1703" i="2"/>
  <c r="K1703" i="2"/>
  <c r="H1183" i="2"/>
  <c r="J1183" i="2"/>
  <c r="K1183" i="2"/>
  <c r="I1159" i="2"/>
  <c r="H1159" i="2"/>
  <c r="J1159" i="2"/>
  <c r="K1159" i="2"/>
  <c r="I418" i="2"/>
  <c r="H418" i="2"/>
  <c r="H349" i="2"/>
  <c r="J349" i="2"/>
  <c r="K349" i="2"/>
  <c r="I140" i="2"/>
  <c r="J140" i="2"/>
  <c r="K140" i="2"/>
  <c r="J9" i="2"/>
  <c r="H9" i="2"/>
  <c r="J2117" i="2"/>
  <c r="K2117" i="2"/>
  <c r="I2117" i="2"/>
  <c r="H1464" i="2"/>
  <c r="J1464" i="2"/>
  <c r="K1464" i="2"/>
  <c r="H116" i="2"/>
  <c r="I116" i="2"/>
  <c r="N2249" i="2"/>
  <c r="N1033" i="2"/>
  <c r="N681" i="2"/>
  <c r="N265" i="2"/>
  <c r="N2655" i="2"/>
  <c r="N199" i="2"/>
  <c r="N2312" i="2"/>
  <c r="N126" i="2"/>
  <c r="N524" i="2"/>
  <c r="N1655" i="2"/>
  <c r="J1758" i="2"/>
  <c r="K1758" i="2"/>
  <c r="I1950" i="2"/>
  <c r="N615" i="2"/>
  <c r="N462" i="2"/>
  <c r="N2295" i="2"/>
  <c r="N1797" i="2"/>
  <c r="N2273" i="2"/>
  <c r="N1114" i="2"/>
  <c r="N1679" i="2"/>
  <c r="N1465" i="2"/>
  <c r="N2410" i="2"/>
  <c r="N56" i="2"/>
  <c r="N313" i="2"/>
  <c r="N1378" i="2"/>
  <c r="N1347" i="2"/>
  <c r="N732" i="2"/>
  <c r="N304" i="2"/>
  <c r="N497" i="2"/>
  <c r="N882" i="2"/>
  <c r="N242" i="2"/>
  <c r="N2133" i="2"/>
  <c r="N1825" i="2"/>
  <c r="N2306" i="2"/>
  <c r="N326" i="2"/>
  <c r="N955" i="2"/>
  <c r="N827" i="2"/>
  <c r="N2479" i="2"/>
  <c r="J1727" i="2"/>
  <c r="K1727" i="2"/>
  <c r="H1727" i="2"/>
  <c r="I1610" i="2"/>
  <c r="H1610" i="2"/>
  <c r="J1567" i="2"/>
  <c r="K1567" i="2"/>
  <c r="J1551" i="2"/>
  <c r="K1551" i="2"/>
  <c r="J1375" i="2"/>
  <c r="K1375" i="2"/>
  <c r="I1375" i="2"/>
  <c r="J1115" i="2"/>
  <c r="K1115" i="2"/>
  <c r="I1115" i="2"/>
  <c r="H1067" i="2"/>
  <c r="I1067" i="2"/>
  <c r="J1067" i="2"/>
  <c r="K1067" i="2"/>
  <c r="J464" i="2"/>
  <c r="K464" i="2"/>
  <c r="J348" i="2"/>
  <c r="K348" i="2"/>
  <c r="H348" i="2"/>
  <c r="I348" i="2"/>
  <c r="J440" i="2"/>
  <c r="K440" i="2"/>
  <c r="I440" i="2"/>
  <c r="I2181" i="2"/>
  <c r="H2181" i="2"/>
  <c r="N2344" i="2"/>
  <c r="N1961" i="2"/>
  <c r="N1577" i="2"/>
  <c r="N1449" i="2"/>
  <c r="N1193" i="2"/>
  <c r="N969" i="2"/>
  <c r="N457" i="2"/>
  <c r="N137" i="2"/>
  <c r="N41" i="2"/>
  <c r="N2166" i="2"/>
  <c r="N694" i="2"/>
  <c r="N786" i="2"/>
  <c r="N839" i="2"/>
  <c r="N878" i="2"/>
  <c r="N2343" i="2"/>
  <c r="N38" i="2"/>
  <c r="N1935" i="2"/>
  <c r="N1049" i="2"/>
  <c r="N1400" i="2"/>
  <c r="N664" i="2"/>
  <c r="N2364" i="2"/>
  <c r="N1410" i="2"/>
  <c r="N1443" i="2"/>
  <c r="N928" i="2"/>
  <c r="N336" i="2"/>
  <c r="N529" i="2"/>
  <c r="N914" i="2"/>
  <c r="N423" i="2"/>
  <c r="N2167" i="2"/>
  <c r="N1857" i="2"/>
  <c r="N2383" i="2"/>
  <c r="N646" i="2"/>
  <c r="N1849" i="2"/>
  <c r="N1275" i="2"/>
  <c r="N1179" i="2"/>
  <c r="N2456" i="2"/>
  <c r="I1506" i="2"/>
  <c r="J1506" i="2"/>
  <c r="K1506" i="2"/>
  <c r="H1310" i="2"/>
  <c r="I1310" i="2"/>
  <c r="J1310" i="2"/>
  <c r="K1310" i="2"/>
  <c r="J1230" i="2"/>
  <c r="K1230" i="2"/>
  <c r="H1230" i="2"/>
  <c r="H1181" i="2"/>
  <c r="I1181" i="2"/>
  <c r="J1181" i="2"/>
  <c r="K1181" i="2"/>
  <c r="I395" i="2"/>
  <c r="H395" i="2"/>
  <c r="I1552" i="2"/>
  <c r="H1552" i="2"/>
  <c r="J1272" i="2"/>
  <c r="K1272" i="2"/>
  <c r="H1272" i="2"/>
  <c r="J2274" i="2"/>
  <c r="K2274" i="2"/>
  <c r="I2274" i="2"/>
  <c r="N2270" i="2"/>
  <c r="N1897" i="2"/>
  <c r="N1385" i="2"/>
  <c r="N1225" i="2"/>
  <c r="N873" i="2"/>
  <c r="N585" i="2"/>
  <c r="N521" i="2"/>
  <c r="N361" i="2"/>
  <c r="N233" i="2"/>
  <c r="N73" i="2"/>
  <c r="N2581" i="2"/>
  <c r="N2554" i="2"/>
  <c r="N2513" i="2"/>
  <c r="N1947" i="2"/>
  <c r="N1243" i="2"/>
  <c r="N862" i="2"/>
  <c r="N824" i="2"/>
  <c r="N1809" i="2"/>
  <c r="N1931" i="2"/>
  <c r="N865" i="2"/>
  <c r="N1672" i="2"/>
  <c r="N2259" i="2"/>
  <c r="N449" i="2"/>
  <c r="N2072" i="2"/>
  <c r="N119" i="2"/>
  <c r="N1076" i="2"/>
  <c r="N1458" i="2"/>
  <c r="N2356" i="2"/>
  <c r="N177" i="2"/>
  <c r="N1520" i="2"/>
  <c r="N1807" i="2"/>
  <c r="N1166" i="2"/>
  <c r="N197" i="2"/>
  <c r="N1187" i="2"/>
  <c r="N1365" i="2"/>
  <c r="N578" i="2"/>
  <c r="N540" i="2"/>
  <c r="N828" i="2"/>
  <c r="N1528" i="2"/>
  <c r="N1483" i="2"/>
  <c r="N601" i="2"/>
  <c r="N925" i="2"/>
  <c r="N541" i="2"/>
  <c r="N1085" i="2"/>
  <c r="N1767" i="2"/>
  <c r="N218" i="2"/>
  <c r="N267" i="2"/>
  <c r="N374" i="2"/>
  <c r="N1886" i="2"/>
  <c r="N2401" i="2"/>
  <c r="N1259" i="2"/>
  <c r="N6" i="2"/>
  <c r="N2084" i="2"/>
  <c r="N1973" i="2"/>
  <c r="N1396" i="2"/>
  <c r="N1491" i="2"/>
  <c r="N147" i="2"/>
  <c r="N1775" i="2"/>
  <c r="N1216" i="2"/>
  <c r="N1662" i="2"/>
  <c r="N29" i="2"/>
  <c r="N2572" i="2"/>
  <c r="N2551" i="2"/>
  <c r="N2540" i="2"/>
  <c r="N2525" i="2"/>
  <c r="N2450" i="2"/>
  <c r="N987" i="2"/>
  <c r="N1083" i="2"/>
  <c r="N2199" i="2"/>
  <c r="N559" i="2"/>
  <c r="N966" i="2"/>
  <c r="N1318" i="2"/>
  <c r="N1291" i="2"/>
  <c r="N609" i="2"/>
  <c r="N1420" i="2"/>
  <c r="N2242" i="2"/>
  <c r="N417" i="2"/>
  <c r="N2040" i="2"/>
  <c r="N87" i="2"/>
  <c r="N1044" i="2"/>
  <c r="N1426" i="2"/>
  <c r="N2323" i="2"/>
  <c r="N145" i="2"/>
  <c r="N1456" i="2"/>
  <c r="N1711" i="2"/>
  <c r="N814" i="2"/>
  <c r="N1155" i="2"/>
  <c r="N383" i="2"/>
  <c r="N546" i="2"/>
  <c r="N1003" i="2"/>
  <c r="N378" i="2"/>
  <c r="N1675" i="2"/>
  <c r="N1530" i="2"/>
  <c r="N203" i="2"/>
  <c r="N972" i="2"/>
  <c r="N604" i="2"/>
  <c r="N1149" i="2"/>
  <c r="N847" i="2"/>
  <c r="N71" i="2"/>
  <c r="N293" i="2"/>
  <c r="N166" i="2"/>
  <c r="N1278" i="2"/>
  <c r="N2224" i="2"/>
  <c r="N2310" i="2"/>
  <c r="N2070" i="2"/>
  <c r="N1909" i="2"/>
  <c r="N660" i="2"/>
  <c r="N1459" i="2"/>
  <c r="N115" i="2"/>
  <c r="N1583" i="2"/>
  <c r="N1088" i="2"/>
  <c r="N1630" i="2"/>
  <c r="N2217" i="2"/>
  <c r="N2562" i="2"/>
  <c r="N2471" i="2"/>
  <c r="N2435" i="2"/>
  <c r="N795" i="2"/>
  <c r="N923" i="2"/>
  <c r="N1787" i="2"/>
  <c r="N2237" i="2"/>
  <c r="N1117" i="2"/>
  <c r="N1093" i="2"/>
  <c r="N651" i="2"/>
  <c r="N129" i="2"/>
  <c r="N1157" i="2"/>
  <c r="N2180" i="2"/>
  <c r="N385" i="2"/>
  <c r="N2008" i="2"/>
  <c r="N23" i="2"/>
  <c r="N852" i="2"/>
  <c r="N1362" i="2"/>
  <c r="N2288" i="2"/>
  <c r="N81" i="2"/>
  <c r="N1424" i="2"/>
  <c r="N1647" i="2"/>
  <c r="N558" i="2"/>
  <c r="N1123" i="2"/>
  <c r="N1954" i="2"/>
  <c r="N514" i="2"/>
  <c r="N954" i="2"/>
  <c r="N636" i="2"/>
  <c r="N1722" i="2"/>
  <c r="N860" i="2"/>
  <c r="N1213" i="2"/>
  <c r="N743" i="2"/>
  <c r="N1343" i="2"/>
  <c r="N907" i="2"/>
  <c r="N62" i="2"/>
  <c r="N438" i="2"/>
  <c r="N43" i="2"/>
  <c r="N156" i="2"/>
  <c r="N1246" i="2"/>
  <c r="N2086" i="2"/>
  <c r="N2085" i="2"/>
  <c r="N1892" i="2"/>
  <c r="N1845" i="2"/>
  <c r="N532" i="2"/>
  <c r="N1427" i="2"/>
  <c r="N83" i="2"/>
  <c r="N1519" i="2"/>
  <c r="N992" i="2"/>
  <c r="N1406" i="2"/>
  <c r="N2009" i="2"/>
  <c r="N2246" i="2"/>
  <c r="N2659" i="2"/>
  <c r="N2524" i="2"/>
  <c r="N2492" i="2"/>
  <c r="N2430" i="2"/>
  <c r="N667" i="2"/>
  <c r="N699" i="2"/>
  <c r="N1499" i="2"/>
  <c r="N2043" i="2"/>
  <c r="N1248" i="2"/>
  <c r="N556" i="2"/>
  <c r="N2248" i="2"/>
  <c r="N1422" i="2"/>
  <c r="N939" i="2"/>
  <c r="N353" i="2"/>
  <c r="N1943" i="2"/>
  <c r="N2367" i="2"/>
  <c r="N212" i="2"/>
  <c r="N1330" i="2"/>
  <c r="N2226" i="2"/>
  <c r="N17" i="2"/>
  <c r="N1328" i="2"/>
  <c r="N783" i="2"/>
  <c r="N526" i="2"/>
  <c r="N1091" i="2"/>
  <c r="N1922" i="2"/>
  <c r="N418" i="2"/>
  <c r="N1708" i="2"/>
  <c r="N811" i="2"/>
  <c r="N1816" i="2"/>
  <c r="N1624" i="2"/>
  <c r="N908" i="2"/>
  <c r="N943" i="2"/>
  <c r="N1484" i="2"/>
  <c r="N974" i="2"/>
  <c r="N511" i="2"/>
  <c r="N36" i="2"/>
  <c r="N1182" i="2"/>
  <c r="N2025" i="2"/>
  <c r="N868" i="2"/>
  <c r="N2023" i="2"/>
  <c r="N1860" i="2"/>
  <c r="N1781" i="2"/>
  <c r="N500" i="2"/>
  <c r="N1395" i="2"/>
  <c r="N51" i="2"/>
  <c r="N1391" i="2"/>
  <c r="N960" i="2"/>
  <c r="N1214" i="2"/>
  <c r="N1592" i="2"/>
  <c r="N2119" i="2"/>
  <c r="N2658" i="2"/>
  <c r="N2616" i="2"/>
  <c r="N2539" i="2"/>
  <c r="N2491" i="2"/>
  <c r="N2432" i="2"/>
  <c r="N2441" i="2"/>
  <c r="N507" i="2"/>
  <c r="N1371" i="2"/>
  <c r="N1819" i="2"/>
  <c r="N1985" i="2"/>
  <c r="N1300" i="2"/>
  <c r="N1998" i="2"/>
  <c r="N945" i="2"/>
  <c r="N668" i="2"/>
  <c r="N2153" i="2"/>
  <c r="N321" i="2"/>
  <c r="N1847" i="2"/>
  <c r="N20" i="2"/>
  <c r="N1298" i="2"/>
  <c r="N2161" i="2"/>
  <c r="N2053" i="2"/>
  <c r="N1264" i="2"/>
  <c r="N431" i="2"/>
  <c r="N174" i="2"/>
  <c r="N1990" i="2"/>
  <c r="N1027" i="2"/>
  <c r="N1890" i="2"/>
  <c r="N386" i="2"/>
  <c r="N1820" i="2"/>
  <c r="N1690" i="2"/>
  <c r="N1871" i="2"/>
  <c r="N1511" i="2"/>
  <c r="N1144" i="2"/>
  <c r="N1543" i="2"/>
  <c r="N1238" i="2"/>
  <c r="N647" i="2"/>
  <c r="N2228" i="2"/>
  <c r="N1150" i="2"/>
  <c r="N1924" i="2"/>
  <c r="N134" i="2"/>
  <c r="N1957" i="2"/>
  <c r="N1828" i="2"/>
  <c r="N1749" i="2"/>
  <c r="N468" i="2"/>
  <c r="N1331" i="2"/>
  <c r="N19" i="2"/>
  <c r="N1327" i="2"/>
  <c r="N800" i="2"/>
  <c r="N990" i="2"/>
  <c r="N1368" i="2"/>
  <c r="N2088" i="2"/>
  <c r="N2657" i="2"/>
  <c r="N2544" i="2"/>
  <c r="N347" i="2"/>
  <c r="N1051" i="2"/>
  <c r="N1595" i="2"/>
  <c r="N2281" i="2"/>
  <c r="N2181" i="2"/>
  <c r="N113" i="2"/>
  <c r="N384" i="2"/>
  <c r="N2011" i="2"/>
  <c r="N289" i="2"/>
  <c r="N1815" i="2"/>
  <c r="N2079" i="2"/>
  <c r="N2346" i="2"/>
  <c r="N1266" i="2"/>
  <c r="N2033" i="2"/>
  <c r="N1904" i="2"/>
  <c r="N1232" i="2"/>
  <c r="N367" i="2"/>
  <c r="N2258" i="2"/>
  <c r="N1925" i="2"/>
  <c r="N995" i="2"/>
  <c r="N1858" i="2"/>
  <c r="N354" i="2"/>
  <c r="N2123" i="2"/>
  <c r="N1324" i="2"/>
  <c r="N2264" i="2"/>
  <c r="N1724" i="2"/>
  <c r="N1401" i="2"/>
  <c r="N1562" i="2"/>
  <c r="N1338" i="2"/>
  <c r="N1302" i="2"/>
  <c r="N506" i="2"/>
  <c r="N2112" i="2"/>
  <c r="N478" i="2"/>
  <c r="N1831" i="2"/>
  <c r="N24" i="2"/>
  <c r="N1893" i="2"/>
  <c r="N1700" i="2"/>
  <c r="N1717" i="2"/>
  <c r="N404" i="2"/>
  <c r="N1299" i="2"/>
  <c r="N527" i="2"/>
  <c r="N768" i="2"/>
  <c r="N830" i="2"/>
  <c r="N952" i="2"/>
  <c r="N1255" i="2"/>
  <c r="N2574" i="2"/>
  <c r="N2460" i="2"/>
  <c r="N2429" i="2"/>
  <c r="N2145" i="2"/>
  <c r="N2501" i="2"/>
  <c r="N2482" i="2"/>
  <c r="N1148" i="2"/>
  <c r="N1019" i="2"/>
  <c r="N2326" i="2"/>
  <c r="N628" i="2"/>
  <c r="N1932" i="2"/>
  <c r="N1014" i="2"/>
  <c r="N967" i="2"/>
  <c r="N107" i="2"/>
  <c r="N1887" i="2"/>
  <c r="N1923" i="2"/>
  <c r="N1601" i="2"/>
  <c r="N1509" i="2"/>
  <c r="N1111" i="2"/>
  <c r="N757" i="2"/>
  <c r="N402" i="2"/>
  <c r="N1073" i="2"/>
  <c r="N2354" i="2"/>
  <c r="N208" i="2"/>
  <c r="N637" i="2"/>
  <c r="N806" i="2"/>
  <c r="N227" i="2"/>
  <c r="N1314" i="2"/>
  <c r="N1594" i="2"/>
  <c r="N619" i="2"/>
  <c r="N1128" i="2"/>
  <c r="N2262" i="2"/>
  <c r="N1448" i="2"/>
  <c r="N760" i="2"/>
  <c r="N672" i="2"/>
  <c r="N1466" i="2"/>
  <c r="N1285" i="2"/>
  <c r="N136" i="2"/>
  <c r="N716" i="2"/>
  <c r="N149" i="2"/>
  <c r="N1376" i="2"/>
  <c r="N95" i="2"/>
  <c r="N590" i="2"/>
  <c r="N1414" i="2"/>
  <c r="N805" i="2"/>
  <c r="N85" i="2"/>
  <c r="N2162" i="2"/>
  <c r="N819" i="2"/>
  <c r="N726" i="2"/>
  <c r="N1486" i="2"/>
  <c r="N1823" i="2"/>
  <c r="N1629" i="2"/>
  <c r="N2120" i="2"/>
  <c r="N427" i="2"/>
  <c r="N2672" i="2"/>
  <c r="N2537" i="2"/>
  <c r="N2421" i="2"/>
  <c r="N1723" i="2"/>
  <c r="N2099" i="2"/>
  <c r="N327" i="2"/>
  <c r="N1778" i="2"/>
  <c r="N1958" i="2"/>
  <c r="N1764" i="2"/>
  <c r="N1160" i="2"/>
  <c r="N78" i="2"/>
  <c r="N2351" i="2"/>
  <c r="N193" i="2"/>
  <c r="N1207" i="2"/>
  <c r="N2034" i="2"/>
  <c r="N1841" i="2"/>
  <c r="N2384" i="2"/>
  <c r="N639" i="2"/>
  <c r="N1881" i="2"/>
  <c r="N677" i="2"/>
  <c r="N259" i="2"/>
  <c r="N1090" i="2"/>
  <c r="N1721" i="2"/>
  <c r="N536" i="2"/>
  <c r="N1996" i="2"/>
  <c r="N711" i="2"/>
  <c r="N1373" i="2"/>
  <c r="N2324" i="2"/>
  <c r="N32" i="2"/>
  <c r="N1918" i="2"/>
  <c r="N473" i="2"/>
  <c r="N1382" i="2"/>
  <c r="N744" i="2"/>
  <c r="N1557" i="2"/>
  <c r="N2291" i="2"/>
  <c r="N499" i="2"/>
  <c r="N2382" i="2"/>
  <c r="N320" i="2"/>
  <c r="N2333" i="2"/>
  <c r="N616" i="2"/>
  <c r="N1094" i="2"/>
  <c r="N2026" i="2"/>
  <c r="N2144" i="2"/>
  <c r="N2642" i="2"/>
  <c r="N2195" i="2"/>
  <c r="N1563" i="2"/>
  <c r="N626" i="2"/>
  <c r="N656" i="2"/>
  <c r="N1618" i="2"/>
  <c r="N1712" i="2"/>
  <c r="N1636" i="2"/>
  <c r="N669" i="2"/>
  <c r="N2304" i="2"/>
  <c r="N161" i="2"/>
  <c r="N1175" i="2"/>
  <c r="N2003" i="2"/>
  <c r="N1777" i="2"/>
  <c r="N2322" i="2"/>
  <c r="N740" i="2"/>
  <c r="N1788" i="2"/>
  <c r="N645" i="2"/>
  <c r="N195" i="2"/>
  <c r="N770" i="2"/>
  <c r="N122" i="2"/>
  <c r="N1768" i="2"/>
  <c r="N1084" i="2"/>
  <c r="N2189" i="2"/>
  <c r="N602" i="2"/>
  <c r="N2175" i="2"/>
  <c r="N1370" i="2"/>
  <c r="N1503" i="2"/>
  <c r="N2231" i="2"/>
  <c r="N2404" i="2"/>
  <c r="N222" i="2"/>
  <c r="N153" i="2"/>
  <c r="N1350" i="2"/>
  <c r="N680" i="2"/>
  <c r="N981" i="2"/>
  <c r="N2278" i="2"/>
  <c r="N467" i="2"/>
  <c r="N2159" i="2"/>
  <c r="N160" i="2"/>
  <c r="N1949" i="2"/>
  <c r="N552" i="2"/>
  <c r="N610" i="2"/>
  <c r="N1653" i="2"/>
  <c r="N307" i="2"/>
  <c r="N2610" i="2"/>
  <c r="N655" i="2"/>
  <c r="N219" i="2"/>
  <c r="N1750" i="2"/>
  <c r="N957" i="2"/>
  <c r="N1490" i="2"/>
  <c r="N968" i="2"/>
  <c r="N1572" i="2"/>
  <c r="N396" i="2"/>
  <c r="N33" i="2"/>
  <c r="N1143" i="2"/>
  <c r="N1970" i="2"/>
  <c r="N1745" i="2"/>
  <c r="N2289" i="2"/>
  <c r="N2051" i="2"/>
  <c r="N1496" i="2"/>
  <c r="N581" i="2"/>
  <c r="N131" i="2"/>
  <c r="N738" i="2"/>
  <c r="N12" i="2"/>
  <c r="N377" i="2"/>
  <c r="N1135" i="2"/>
  <c r="N2332" i="2"/>
  <c r="N334" i="2"/>
  <c r="N1436" i="2"/>
  <c r="N1942" i="2"/>
  <c r="N2294" i="2"/>
  <c r="N158" i="2"/>
  <c r="N25" i="2"/>
  <c r="N1254" i="2"/>
  <c r="N2307" i="2"/>
  <c r="N917" i="2"/>
  <c r="N2229" i="2"/>
  <c r="N435" i="2"/>
  <c r="N1999" i="2"/>
  <c r="N2335" i="2"/>
  <c r="N1565" i="2"/>
  <c r="N424" i="2"/>
  <c r="N3" i="2"/>
  <c r="N2110" i="2"/>
  <c r="N661" i="2"/>
  <c r="N271" i="2"/>
  <c r="N2533" i="2"/>
  <c r="N2542" i="2"/>
  <c r="N2418" i="2"/>
  <c r="N2268" i="2"/>
  <c r="N1136" i="2"/>
  <c r="N1622" i="2"/>
  <c r="N1245" i="2"/>
  <c r="N1394" i="2"/>
  <c r="N1137" i="2"/>
  <c r="N719" i="2"/>
  <c r="N1284" i="2"/>
  <c r="N1989" i="2"/>
  <c r="N1432" i="2"/>
  <c r="N759" i="2"/>
  <c r="N1202" i="2"/>
  <c r="N1681" i="2"/>
  <c r="N2255" i="2"/>
  <c r="N1903" i="2"/>
  <c r="N1408" i="2"/>
  <c r="N2331" i="2"/>
  <c r="N99" i="2"/>
  <c r="N706" i="2"/>
  <c r="N538" i="2"/>
  <c r="N186" i="2"/>
  <c r="N1334" i="2"/>
  <c r="N1533" i="2"/>
  <c r="N408" i="2"/>
  <c r="N1567" i="2"/>
  <c r="N1900" i="2"/>
  <c r="N1753" i="2"/>
  <c r="N2222" i="2"/>
  <c r="N94" i="2"/>
  <c r="N1222" i="2"/>
  <c r="N2252" i="2"/>
  <c r="N789" i="2"/>
  <c r="N2197" i="2"/>
  <c r="N403" i="2"/>
  <c r="N1839" i="2"/>
  <c r="N2256" i="2"/>
  <c r="N1469" i="2"/>
  <c r="N392" i="2"/>
  <c r="N1021" i="2"/>
  <c r="N1668" i="2"/>
  <c r="N2615" i="2"/>
  <c r="N2532" i="2"/>
  <c r="N1590" i="2"/>
  <c r="N1532" i="2"/>
  <c r="N1106" i="2"/>
  <c r="N1808" i="2"/>
  <c r="N454" i="2"/>
  <c r="N644" i="2"/>
  <c r="N181" i="2"/>
  <c r="N1304" i="2"/>
  <c r="N727" i="2"/>
  <c r="N1074" i="2"/>
  <c r="N1649" i="2"/>
  <c r="N2223" i="2"/>
  <c r="N1758" i="2"/>
  <c r="N1210" i="2"/>
  <c r="N2234" i="2"/>
  <c r="N67" i="2"/>
  <c r="N674" i="2"/>
  <c r="N764" i="2"/>
  <c r="N572" i="2"/>
  <c r="N683" i="2"/>
  <c r="N1772" i="2"/>
  <c r="N204" i="2"/>
  <c r="N1597" i="2"/>
  <c r="N474" i="2"/>
  <c r="N1832" i="2"/>
  <c r="N1461" i="2"/>
  <c r="N2019" i="2"/>
  <c r="N2213" i="2"/>
  <c r="N1158" i="2"/>
  <c r="N2225" i="2"/>
  <c r="N725" i="2"/>
  <c r="N2130" i="2"/>
  <c r="N371" i="2"/>
  <c r="N463" i="2"/>
  <c r="N2207" i="2"/>
  <c r="N1405" i="2"/>
  <c r="N40" i="2"/>
  <c r="N2233" i="2"/>
  <c r="N870" i="2"/>
  <c r="N989" i="2"/>
  <c r="N2625" i="2"/>
  <c r="N2641" i="2"/>
  <c r="N2595" i="2"/>
  <c r="N2372" i="2"/>
  <c r="N950" i="2"/>
  <c r="N1983" i="2"/>
  <c r="N818" i="2"/>
  <c r="N752" i="2"/>
  <c r="N128" i="2"/>
  <c r="N548" i="2"/>
  <c r="N2244" i="2"/>
  <c r="N2402" i="2"/>
  <c r="N1240" i="2"/>
  <c r="N695" i="2"/>
  <c r="N2358" i="2"/>
  <c r="N1042" i="2"/>
  <c r="N1521" i="2"/>
  <c r="N2168" i="2"/>
  <c r="N1614" i="2"/>
  <c r="N1120" i="2"/>
  <c r="N1286" i="2"/>
  <c r="N35" i="2"/>
  <c r="N642" i="2"/>
  <c r="N747" i="2"/>
  <c r="N888" i="2"/>
  <c r="N2183" i="2"/>
  <c r="N456" i="2"/>
  <c r="N1660" i="2"/>
  <c r="N1959" i="2"/>
  <c r="N510" i="2"/>
  <c r="N1273" i="2"/>
  <c r="N1748" i="2"/>
  <c r="N2117" i="2"/>
  <c r="N1030" i="2"/>
  <c r="N2116" i="2"/>
  <c r="N693" i="2"/>
  <c r="N2097" i="2"/>
  <c r="N339" i="2"/>
  <c r="N335" i="2"/>
  <c r="N2194" i="2"/>
  <c r="N1309" i="2"/>
  <c r="N8" i="2"/>
  <c r="N935" i="2"/>
  <c r="N2052" i="2"/>
  <c r="N2416" i="2"/>
  <c r="N1387" i="2"/>
  <c r="N150" i="2"/>
  <c r="N2093" i="2"/>
  <c r="N2048" i="2"/>
  <c r="N1552" i="2"/>
  <c r="N593" i="2"/>
  <c r="N2179" i="2"/>
  <c r="N758" i="2"/>
  <c r="N2338" i="2"/>
  <c r="N184" i="2"/>
  <c r="N663" i="2"/>
  <c r="N2292" i="2"/>
  <c r="N978" i="2"/>
  <c r="N1457" i="2"/>
  <c r="N2129" i="2"/>
  <c r="N2287" i="2"/>
  <c r="N508" i="2"/>
  <c r="N1727" i="2"/>
  <c r="N686" i="2"/>
  <c r="N1189" i="2"/>
  <c r="N2588" i="2"/>
  <c r="N2458" i="2"/>
  <c r="N1664" i="2"/>
  <c r="N59" i="2"/>
  <c r="N1429" i="2"/>
  <c r="N550" i="2"/>
  <c r="N1716" i="2"/>
  <c r="N1702" i="2"/>
  <c r="N1040" i="2"/>
  <c r="N2069" i="2"/>
  <c r="N1505" i="2"/>
  <c r="N2296" i="2"/>
  <c r="N1628" i="2"/>
  <c r="N565" i="2"/>
  <c r="N82" i="2"/>
  <c r="N433" i="2"/>
  <c r="N624" i="2"/>
  <c r="N733" i="2"/>
  <c r="N1301" i="2"/>
  <c r="N1283" i="2"/>
  <c r="N1698" i="2"/>
  <c r="N1274" i="2"/>
  <c r="N1498" i="2"/>
  <c r="N684" i="2"/>
  <c r="N1740" i="2"/>
  <c r="N58" i="2"/>
  <c r="N1598" i="2"/>
  <c r="N1018" i="2"/>
  <c r="N1502" i="2"/>
  <c r="N148" i="2"/>
  <c r="N2113" i="2"/>
  <c r="N415" i="2"/>
  <c r="N2140" i="2"/>
  <c r="N1381" i="2"/>
  <c r="N1908" i="2"/>
  <c r="N1203" i="2"/>
  <c r="N1046" i="2"/>
  <c r="N1262" i="2"/>
  <c r="N2047" i="2"/>
  <c r="N940" i="2"/>
  <c r="N2484" i="2"/>
  <c r="N2639" i="2"/>
  <c r="H398" i="2"/>
  <c r="J1728" i="2"/>
  <c r="K1728" i="2"/>
  <c r="N270" i="2"/>
  <c r="N1176" i="2"/>
  <c r="N1315" i="2"/>
  <c r="N2059" i="2"/>
  <c r="J900" i="2"/>
  <c r="K900" i="2"/>
  <c r="N30" i="2"/>
  <c r="N1612" i="2"/>
  <c r="N1031" i="2"/>
  <c r="N318" i="2"/>
  <c r="N1070" i="2"/>
  <c r="N70" i="2"/>
  <c r="N1310" i="2"/>
  <c r="N248" i="2"/>
  <c r="N2041" i="2"/>
  <c r="N1867" i="2"/>
  <c r="N314" i="2"/>
  <c r="N1442" i="2"/>
  <c r="N1475" i="2"/>
  <c r="N1230" i="2"/>
  <c r="N368" i="2"/>
  <c r="N657" i="2"/>
  <c r="N2066" i="2"/>
  <c r="N598" i="2"/>
  <c r="N2232" i="2"/>
  <c r="N1889" i="2"/>
  <c r="N440" i="2"/>
  <c r="N1766" i="2"/>
  <c r="N471" i="2"/>
  <c r="N2091" i="2"/>
  <c r="N1467" i="2"/>
  <c r="N1307" i="2"/>
  <c r="N2457" i="2"/>
  <c r="N2677" i="2"/>
  <c r="I1939" i="2"/>
  <c r="H1939" i="2"/>
  <c r="H1654" i="2"/>
  <c r="J1654" i="2"/>
  <c r="K1654" i="2"/>
  <c r="H1587" i="2"/>
  <c r="J1587" i="2"/>
  <c r="K1587" i="2"/>
  <c r="I1587" i="2"/>
  <c r="H1528" i="2"/>
  <c r="I1229" i="2"/>
  <c r="J1156" i="2"/>
  <c r="K1156" i="2"/>
  <c r="H1156" i="2"/>
  <c r="I1156" i="2"/>
  <c r="I942" i="2"/>
  <c r="H942" i="2"/>
  <c r="J942" i="2"/>
  <c r="K942" i="2"/>
  <c r="H416" i="2"/>
  <c r="J416" i="2"/>
  <c r="K416" i="2"/>
  <c r="I416" i="2"/>
  <c r="N2377" i="2"/>
  <c r="N1673" i="2"/>
  <c r="N1257" i="2"/>
  <c r="N553" i="2"/>
  <c r="J2421" i="2"/>
  <c r="K2421" i="2"/>
  <c r="I2421" i="2"/>
  <c r="H2421" i="2"/>
  <c r="N2685" i="2"/>
  <c r="N2240" i="2"/>
  <c r="N144" i="2"/>
  <c r="N635" i="2"/>
  <c r="I1906" i="2"/>
  <c r="N350" i="2"/>
  <c r="N1102" i="2"/>
  <c r="N84" i="2"/>
  <c r="N102" i="2"/>
  <c r="N1356" i="2"/>
  <c r="N2118" i="2"/>
  <c r="N1242" i="2"/>
  <c r="N172" i="2"/>
  <c r="N1992" i="2"/>
  <c r="N1736" i="2"/>
  <c r="N1817" i="2"/>
  <c r="N1538" i="2"/>
  <c r="N1507" i="2"/>
  <c r="N1326" i="2"/>
  <c r="N464" i="2"/>
  <c r="N689" i="2"/>
  <c r="N2096" i="2"/>
  <c r="N904" i="2"/>
  <c r="N2261" i="2"/>
  <c r="N1921" i="2"/>
  <c r="N448" i="2"/>
  <c r="N310" i="2"/>
  <c r="N1627" i="2"/>
  <c r="N2526" i="2"/>
  <c r="N2560" i="2"/>
  <c r="N2678" i="2"/>
  <c r="N2682" i="2"/>
  <c r="H1373" i="2"/>
  <c r="J1373" i="2"/>
  <c r="K1373" i="2"/>
  <c r="I1332" i="2"/>
  <c r="J1332" i="2"/>
  <c r="K1332" i="2"/>
  <c r="H1332" i="2"/>
  <c r="H506" i="2"/>
  <c r="I506" i="2"/>
  <c r="J506" i="2"/>
  <c r="K506" i="2"/>
  <c r="H393" i="2"/>
  <c r="I393" i="2"/>
  <c r="I852" i="2"/>
  <c r="H852" i="2"/>
  <c r="N1481" i="2"/>
  <c r="N1289" i="2"/>
  <c r="N1065" i="2"/>
  <c r="N777" i="2"/>
  <c r="N617" i="2"/>
  <c r="N489" i="2"/>
  <c r="I2625" i="2"/>
  <c r="H2625" i="2"/>
  <c r="N1733" i="2"/>
  <c r="N1534" i="2"/>
  <c r="N465" i="2"/>
  <c r="N1793" i="2"/>
  <c r="H1679" i="2"/>
  <c r="H1728" i="2"/>
  <c r="I2041" i="2"/>
  <c r="N446" i="2"/>
  <c r="N1294" i="2"/>
  <c r="N179" i="2"/>
  <c r="N180" i="2"/>
  <c r="N4" i="2"/>
  <c r="N614" i="2"/>
  <c r="N1452" i="2"/>
  <c r="N2218" i="2"/>
  <c r="N1113" i="2"/>
  <c r="N1415" i="2"/>
  <c r="N103" i="2"/>
  <c r="N2170" i="2"/>
  <c r="N1433" i="2"/>
  <c r="N1570" i="2"/>
  <c r="N1454" i="2"/>
  <c r="N496" i="2"/>
  <c r="N785" i="2"/>
  <c r="N2163" i="2"/>
  <c r="N469" i="2"/>
  <c r="N2327" i="2"/>
  <c r="N1986" i="2"/>
  <c r="N933" i="2"/>
  <c r="N1236" i="2"/>
  <c r="N997" i="2"/>
  <c r="N406" i="2"/>
  <c r="N2649" i="2"/>
  <c r="J1915" i="2"/>
  <c r="K1915" i="2"/>
  <c r="H1915" i="2"/>
  <c r="H1831" i="2"/>
  <c r="I1831" i="2"/>
  <c r="J1831" i="2"/>
  <c r="K1831" i="2"/>
  <c r="I1630" i="2"/>
  <c r="J1630" i="2"/>
  <c r="K1630" i="2"/>
  <c r="I1608" i="2"/>
  <c r="H1608" i="2"/>
  <c r="J1585" i="2"/>
  <c r="K1585" i="2"/>
  <c r="H1585" i="2"/>
  <c r="I758" i="2"/>
  <c r="J758" i="2"/>
  <c r="K758" i="2"/>
  <c r="H758" i="2"/>
  <c r="H616" i="2"/>
  <c r="I616" i="2"/>
  <c r="J616" i="2"/>
  <c r="K616" i="2"/>
  <c r="I482" i="2"/>
  <c r="J482" i="2"/>
  <c r="K482" i="2"/>
  <c r="I2118" i="2"/>
  <c r="H2118" i="2"/>
  <c r="N2405" i="2"/>
  <c r="N1929" i="2"/>
  <c r="N1769" i="2"/>
  <c r="N1417" i="2"/>
  <c r="N1161" i="2"/>
  <c r="N809" i="2"/>
  <c r="N329" i="2"/>
  <c r="H2556" i="2"/>
  <c r="I2556" i="2"/>
  <c r="H815" i="2"/>
  <c r="N1282" i="2"/>
  <c r="H1876" i="2"/>
  <c r="J170" i="2"/>
  <c r="K170" i="2"/>
  <c r="N638" i="2"/>
  <c r="N1390" i="2"/>
  <c r="N243" i="2"/>
  <c r="N276" i="2"/>
  <c r="N68" i="2"/>
  <c r="N710" i="2"/>
  <c r="N2313" i="2"/>
  <c r="N382" i="2"/>
  <c r="N911" i="2"/>
  <c r="N1351" i="2"/>
  <c r="N2381" i="2"/>
  <c r="N936" i="2"/>
  <c r="N1306" i="2"/>
  <c r="N1177" i="2"/>
  <c r="N1634" i="2"/>
  <c r="N284" i="2"/>
  <c r="N1838" i="2"/>
  <c r="N528" i="2"/>
  <c r="N849" i="2"/>
  <c r="N2196" i="2"/>
  <c r="N821" i="2"/>
  <c r="N2209" i="2"/>
  <c r="N1153" i="2"/>
  <c r="N897" i="2"/>
  <c r="N2241" i="2"/>
  <c r="N470" i="2"/>
  <c r="N299" i="2"/>
  <c r="N1885" i="2"/>
  <c r="N2497" i="2"/>
  <c r="N2523" i="2"/>
  <c r="N2530" i="2"/>
  <c r="H1914" i="2"/>
  <c r="I1914" i="2"/>
  <c r="H1872" i="2"/>
  <c r="J1872" i="2"/>
  <c r="K1872" i="2"/>
  <c r="I1850" i="2"/>
  <c r="J1850" i="2"/>
  <c r="K1850" i="2"/>
  <c r="J1419" i="2"/>
  <c r="K1419" i="2"/>
  <c r="I1419" i="2"/>
  <c r="H435" i="2"/>
  <c r="I435" i="2"/>
  <c r="J435" i="2"/>
  <c r="K435" i="2"/>
  <c r="I1978" i="2"/>
  <c r="H1978" i="2"/>
  <c r="I1395" i="2"/>
  <c r="H1395" i="2"/>
  <c r="J1203" i="2"/>
  <c r="K1203" i="2"/>
  <c r="I1203" i="2"/>
  <c r="H1203" i="2"/>
  <c r="J897" i="2"/>
  <c r="K897" i="2"/>
  <c r="I897" i="2"/>
  <c r="H897" i="2"/>
  <c r="H661" i="2"/>
  <c r="I661" i="2"/>
  <c r="H8" i="2"/>
  <c r="I8" i="2"/>
  <c r="I1033" i="2"/>
  <c r="J1033" i="2"/>
  <c r="K1033" i="2"/>
  <c r="H569" i="2"/>
  <c r="J569" i="2"/>
  <c r="K569" i="2"/>
  <c r="J479" i="2"/>
  <c r="K479" i="2"/>
  <c r="H479" i="2"/>
  <c r="I2038" i="2"/>
  <c r="H2038" i="2"/>
  <c r="J2038" i="2"/>
  <c r="K2038" i="2"/>
  <c r="H1968" i="2"/>
  <c r="I1968" i="2"/>
  <c r="J840" i="2"/>
  <c r="K840" i="2"/>
  <c r="H840" i="2"/>
  <c r="I180" i="2"/>
  <c r="H180" i="2"/>
  <c r="J180" i="2"/>
  <c r="K180" i="2"/>
  <c r="J158" i="2"/>
  <c r="K158" i="2"/>
  <c r="I30" i="2"/>
  <c r="J30" i="2"/>
  <c r="K30" i="2"/>
  <c r="J2015" i="2"/>
  <c r="K2015" i="2"/>
  <c r="H2015" i="2"/>
  <c r="I956" i="2"/>
  <c r="H956" i="2"/>
  <c r="H817" i="2"/>
  <c r="I817" i="2"/>
  <c r="I610" i="2"/>
  <c r="J610" i="2"/>
  <c r="K610" i="2"/>
  <c r="I455" i="2"/>
  <c r="H455" i="2"/>
  <c r="J455" i="2"/>
  <c r="K455" i="2"/>
  <c r="H179" i="2"/>
  <c r="I179" i="2"/>
  <c r="H5" i="2"/>
  <c r="I5" i="2"/>
  <c r="I2138" i="2"/>
  <c r="H2138" i="2"/>
  <c r="H2056" i="2"/>
  <c r="J2056" i="2"/>
  <c r="K2056" i="2"/>
  <c r="I2056" i="2"/>
  <c r="J1406" i="2"/>
  <c r="K1406" i="2"/>
  <c r="I1406" i="2"/>
  <c r="I862" i="2"/>
  <c r="H862" i="2"/>
  <c r="H797" i="2"/>
  <c r="I797" i="2"/>
  <c r="I1004" i="2"/>
  <c r="J1004" i="2"/>
  <c r="K1004" i="2"/>
  <c r="H795" i="2"/>
  <c r="I795" i="2"/>
  <c r="I608" i="2"/>
  <c r="H608" i="2"/>
  <c r="J608" i="2"/>
  <c r="K608" i="2"/>
  <c r="H2185" i="2"/>
  <c r="I2185" i="2"/>
  <c r="H2466" i="2"/>
  <c r="J2466" i="2"/>
  <c r="K2466" i="2"/>
  <c r="N2528" i="2"/>
  <c r="N2494" i="2"/>
  <c r="J2510" i="2"/>
  <c r="K2510" i="2"/>
  <c r="H2510" i="2"/>
  <c r="N2619" i="2"/>
  <c r="J2675" i="2"/>
  <c r="H2675" i="2"/>
  <c r="H1720" i="2"/>
  <c r="J1720" i="2"/>
  <c r="K1720" i="2"/>
  <c r="N2527" i="2"/>
  <c r="N2493" i="2"/>
  <c r="N2464" i="2"/>
  <c r="J622" i="2"/>
  <c r="K622" i="2"/>
  <c r="H622" i="2"/>
  <c r="I622" i="2"/>
  <c r="J49" i="2"/>
  <c r="K49" i="2"/>
  <c r="I49" i="2"/>
  <c r="H2479" i="2"/>
  <c r="J2479" i="2"/>
  <c r="K2479" i="2"/>
  <c r="I1387" i="2"/>
  <c r="H1387" i="2"/>
  <c r="N2379" i="2"/>
  <c r="N2374" i="2"/>
  <c r="N2341" i="2"/>
  <c r="N2279" i="2"/>
  <c r="N2134" i="2"/>
  <c r="N1829" i="2"/>
  <c r="N1701" i="2"/>
  <c r="N1541" i="2"/>
  <c r="N1125" i="2"/>
  <c r="N1061" i="2"/>
  <c r="N1029" i="2"/>
  <c r="N869" i="2"/>
  <c r="N773" i="2"/>
  <c r="N741" i="2"/>
  <c r="N709" i="2"/>
  <c r="N485" i="2"/>
  <c r="N389" i="2"/>
  <c r="N357" i="2"/>
  <c r="N325" i="2"/>
  <c r="N229" i="2"/>
  <c r="N165" i="2"/>
  <c r="N133" i="2"/>
  <c r="N101" i="2"/>
  <c r="N69" i="2"/>
  <c r="N37" i="2"/>
  <c r="N2555" i="2"/>
  <c r="N2520" i="2"/>
  <c r="N2453" i="2"/>
  <c r="N561" i="2"/>
  <c r="N49" i="2"/>
  <c r="N337" i="2"/>
  <c r="N1510" i="2"/>
  <c r="N1296" i="2"/>
  <c r="N560" i="2"/>
  <c r="N2603" i="2"/>
  <c r="N2563" i="2"/>
  <c r="N2531" i="2"/>
  <c r="N2585" i="2"/>
  <c r="N2635" i="2"/>
  <c r="N2599" i="2"/>
  <c r="N2469" i="2"/>
  <c r="N1617" i="2"/>
  <c r="N1127" i="2"/>
  <c r="N1335" i="2"/>
  <c r="N566" i="2"/>
  <c r="N2586" i="2"/>
  <c r="N2535" i="2"/>
  <c r="N2517" i="2"/>
  <c r="N2420" i="2"/>
  <c r="N2428" i="2"/>
  <c r="N1883" i="2"/>
  <c r="N1657" i="2"/>
  <c r="N1489" i="2"/>
  <c r="N534" i="2"/>
  <c r="N1319" i="2"/>
  <c r="N1685" i="2"/>
  <c r="N625" i="2"/>
  <c r="N117" i="2"/>
  <c r="N1795" i="2"/>
  <c r="N1463" i="2"/>
  <c r="N279" i="2"/>
  <c r="N245" i="2"/>
  <c r="N2095" i="2"/>
  <c r="N753" i="2"/>
  <c r="N1072" i="2"/>
  <c r="N1497" i="2"/>
  <c r="N1209" i="2"/>
  <c r="N899" i="2"/>
  <c r="N2039" i="2"/>
  <c r="N1506" i="2"/>
  <c r="N482" i="2"/>
  <c r="N632" i="2"/>
  <c r="N843" i="2"/>
  <c r="N1464" i="2"/>
  <c r="N249" i="2"/>
  <c r="N2329" i="2"/>
  <c r="N505" i="2"/>
  <c r="N582" i="2"/>
  <c r="N2311" i="2"/>
  <c r="N164" i="2"/>
  <c r="N1141" i="2"/>
  <c r="N1907" i="2"/>
  <c r="N883" i="2"/>
  <c r="N2198" i="2"/>
  <c r="N1743" i="2"/>
  <c r="N1752" i="2"/>
  <c r="N2602" i="2"/>
  <c r="N2534" i="2"/>
  <c r="N2419" i="2"/>
  <c r="N1147" i="2"/>
  <c r="N1393" i="2"/>
  <c r="N2203" i="2"/>
  <c r="N246" i="2"/>
  <c r="N1814" i="2"/>
  <c r="N708" i="2"/>
  <c r="N399" i="2"/>
  <c r="N1763" i="2"/>
  <c r="N1431" i="2"/>
  <c r="N247" i="2"/>
  <c r="N21" i="2"/>
  <c r="N2065" i="2"/>
  <c r="N721" i="2"/>
  <c r="N1008" i="2"/>
  <c r="N1316" i="2"/>
  <c r="N2068" i="2"/>
  <c r="N867" i="2"/>
  <c r="N1946" i="2"/>
  <c r="N1474" i="2"/>
  <c r="N450" i="2"/>
  <c r="N121" i="2"/>
  <c r="N1818" i="2"/>
  <c r="N2251" i="2"/>
  <c r="N890" i="2"/>
  <c r="N2637" i="2"/>
  <c r="N2661" i="2"/>
  <c r="N2627" i="2"/>
  <c r="N2670" i="2"/>
  <c r="N2643" i="2"/>
  <c r="N2591" i="2"/>
  <c r="N2538" i="2"/>
  <c r="N2455" i="2"/>
  <c r="N1339" i="2"/>
  <c r="N283" i="2"/>
  <c r="N91" i="2"/>
  <c r="N1911" i="2"/>
  <c r="N676" i="2"/>
  <c r="N2275" i="2"/>
  <c r="N2131" i="2"/>
  <c r="N2104" i="2"/>
  <c r="N823" i="2"/>
  <c r="N1361" i="2"/>
  <c r="N2191" i="2"/>
  <c r="N1968" i="2"/>
  <c r="N400" i="2"/>
  <c r="N1199" i="2"/>
  <c r="N1379" i="2"/>
  <c r="N355" i="2"/>
  <c r="N278" i="2"/>
  <c r="N962" i="2"/>
  <c r="N250" i="2"/>
  <c r="N633" i="2"/>
  <c r="N2263" i="2"/>
  <c r="N504" i="2"/>
  <c r="N111" i="2"/>
  <c r="N2221" i="2"/>
  <c r="N1163" i="2"/>
  <c r="N1062" i="2"/>
  <c r="N934" i="2"/>
  <c r="N1476" i="2"/>
  <c r="N2165" i="2"/>
  <c r="N2385" i="2"/>
  <c r="N1363" i="2"/>
  <c r="N2671" i="2"/>
  <c r="N2576" i="2"/>
  <c r="N2601" i="2"/>
  <c r="N2553" i="2"/>
  <c r="N2470" i="2"/>
  <c r="N2012" i="2"/>
  <c r="N2321" i="2"/>
  <c r="N1115" i="2"/>
  <c r="N295" i="2"/>
  <c r="N772" i="2"/>
  <c r="N2204" i="2"/>
  <c r="N189" i="2"/>
  <c r="N2211" i="2"/>
  <c r="N1112" i="2"/>
  <c r="N1687" i="2"/>
  <c r="N439" i="2"/>
  <c r="N437" i="2"/>
  <c r="N2342" i="2"/>
  <c r="N2057" i="2"/>
  <c r="N1553" i="2"/>
  <c r="N2362" i="2"/>
  <c r="N1840" i="2"/>
  <c r="N176" i="2"/>
  <c r="N2074" i="2"/>
  <c r="N1020" i="2"/>
  <c r="N998" i="2"/>
  <c r="N643" i="2"/>
  <c r="N1058" i="2"/>
  <c r="N921" i="2"/>
  <c r="N2631" i="2"/>
  <c r="N2597" i="2"/>
  <c r="N2598" i="2"/>
  <c r="N1851" i="2"/>
  <c r="N2106" i="2"/>
  <c r="N1659" i="2"/>
  <c r="N1813" i="2"/>
  <c r="N763" i="2"/>
  <c r="N1693" i="2"/>
  <c r="N1604" i="2"/>
  <c r="N1297" i="2"/>
  <c r="N1515" i="2"/>
  <c r="N231" i="2"/>
  <c r="N1512" i="2"/>
  <c r="N696" i="2"/>
  <c r="N2148" i="2"/>
  <c r="N2371" i="2"/>
  <c r="N2620" i="2"/>
  <c r="N2514" i="2"/>
  <c r="N2477" i="2"/>
  <c r="N2423" i="2"/>
  <c r="N341" i="2"/>
  <c r="N891" i="2"/>
  <c r="N1784" i="2"/>
  <c r="N1412" i="2"/>
  <c r="N1360" i="2"/>
  <c r="N2006" i="2"/>
  <c r="N1638" i="2"/>
  <c r="N1977" i="2"/>
  <c r="N324" i="2"/>
  <c r="N2399" i="2"/>
  <c r="N2178" i="2"/>
  <c r="N2675" i="2"/>
  <c r="N2612" i="2"/>
  <c r="N2558" i="2"/>
  <c r="N2529" i="2"/>
  <c r="N2490" i="2"/>
  <c r="N932" i="2"/>
  <c r="N731" i="2"/>
  <c r="N1914" i="2"/>
  <c r="N1099" i="2"/>
  <c r="N1785" i="2"/>
  <c r="N1015" i="2"/>
  <c r="N742" i="2"/>
  <c r="N178" i="2"/>
  <c r="N292" i="2"/>
  <c r="N2174" i="2"/>
  <c r="N116" i="2"/>
  <c r="N346" i="2"/>
  <c r="N2109" i="2"/>
  <c r="N1941" i="2"/>
  <c r="N1527" i="2"/>
  <c r="N151" i="2"/>
  <c r="N751" i="2"/>
  <c r="N1170" i="2"/>
  <c r="N1041" i="2"/>
  <c r="N2550" i="2"/>
  <c r="N2459" i="2"/>
  <c r="N2424" i="2"/>
  <c r="N571" i="2"/>
  <c r="N2101" i="2"/>
  <c r="N2064" i="2"/>
  <c r="N1844" i="2"/>
  <c r="N1525" i="2"/>
  <c r="N1975" i="2"/>
  <c r="N260" i="2"/>
  <c r="N1682" i="2"/>
  <c r="N1952" i="2"/>
  <c r="N2571" i="2"/>
  <c r="N2515" i="2"/>
  <c r="N2512" i="2"/>
  <c r="N2483" i="2"/>
  <c r="N2426" i="2"/>
  <c r="N315" i="2"/>
  <c r="N1340" i="2"/>
  <c r="N2355" i="2"/>
  <c r="N2136" i="2"/>
  <c r="N1024" i="2"/>
  <c r="N1460" i="2"/>
  <c r="N1234" i="2"/>
  <c r="N1956" i="2"/>
  <c r="N1198" i="2"/>
  <c r="N1430" i="2"/>
  <c r="N2388" i="2"/>
  <c r="N2305" i="2"/>
  <c r="N2020" i="2"/>
  <c r="N1367" i="2"/>
  <c r="N55" i="2"/>
  <c r="N1010" i="2"/>
  <c r="N913" i="2"/>
  <c r="N848" i="2"/>
  <c r="N405" i="2"/>
  <c r="N1059" i="2"/>
  <c r="N2139" i="2"/>
  <c r="N1346" i="2"/>
  <c r="N194" i="2"/>
  <c r="N428" i="2"/>
  <c r="N729" i="2"/>
  <c r="N444" i="2"/>
  <c r="N1927" i="2"/>
  <c r="N1575" i="2"/>
  <c r="N380" i="2"/>
  <c r="N2546" i="2"/>
  <c r="N2519" i="2"/>
  <c r="N2449" i="2"/>
  <c r="N2330" i="2"/>
  <c r="N379" i="2"/>
  <c r="N2075" i="2"/>
  <c r="N1878" i="2"/>
  <c r="N1579" i="2"/>
  <c r="N236" i="2"/>
  <c r="N1060" i="2"/>
  <c r="N2390" i="2"/>
  <c r="N1888" i="2"/>
  <c r="N1955" i="2"/>
  <c r="N983" i="2"/>
  <c r="N761" i="2"/>
  <c r="N436" i="2"/>
  <c r="N2141" i="2"/>
  <c r="N530" i="2"/>
  <c r="N1969" i="2"/>
  <c r="N401" i="2"/>
  <c r="N2160" i="2"/>
  <c r="N432" i="2"/>
  <c r="N175" i="2"/>
  <c r="N1134" i="2"/>
  <c r="N1494" i="2"/>
  <c r="N1192" i="2"/>
  <c r="N675" i="2"/>
  <c r="N797" i="2"/>
  <c r="N994" i="2"/>
  <c r="N1945" i="2"/>
  <c r="N2609" i="2"/>
  <c r="N2505" i="2"/>
  <c r="N859" i="2"/>
  <c r="N132" i="2"/>
  <c r="N1383" i="2"/>
  <c r="N1288" i="2"/>
  <c r="N1751" i="2"/>
  <c r="N1616" i="2"/>
  <c r="N241" i="2"/>
  <c r="N2082" i="2"/>
  <c r="N993" i="2"/>
  <c r="N1079" i="2"/>
  <c r="N255" i="2"/>
  <c r="N2063" i="2"/>
  <c r="N1874" i="2"/>
  <c r="N2363" i="2"/>
  <c r="N1329" i="2"/>
  <c r="N1168" i="2"/>
  <c r="N1320" i="2"/>
  <c r="N2143" i="2"/>
  <c r="N835" i="2"/>
  <c r="N1190" i="2"/>
  <c r="N1026" i="2"/>
  <c r="N2297" i="2"/>
  <c r="N2076" i="2"/>
  <c r="N2169" i="2"/>
  <c r="N984" i="2"/>
  <c r="N2316" i="2"/>
  <c r="N252" i="2"/>
  <c r="N2042" i="2"/>
  <c r="N875" i="2"/>
  <c r="N2172" i="2"/>
  <c r="N1678" i="2"/>
  <c r="N2396" i="2"/>
  <c r="N2030" i="2"/>
  <c r="N1050" i="2"/>
  <c r="N1359" i="2"/>
  <c r="N1550" i="2"/>
  <c r="N774" i="2"/>
  <c r="N486" i="2"/>
  <c r="N964" i="2"/>
  <c r="N1333" i="2"/>
  <c r="N1364" i="2"/>
  <c r="N1875" i="2"/>
  <c r="N787" i="2"/>
  <c r="N1974" i="2"/>
  <c r="N1263" i="2"/>
  <c r="N46" i="2"/>
  <c r="N895" i="2"/>
  <c r="N2271" i="2"/>
  <c r="N1895" i="2"/>
  <c r="N2636" i="2"/>
  <c r="N2568" i="2"/>
  <c r="N2440" i="2"/>
  <c r="N332" i="2"/>
  <c r="N1124" i="2"/>
  <c r="N1053" i="2"/>
  <c r="N516" i="2"/>
  <c r="N240" i="2"/>
  <c r="N1000" i="2"/>
  <c r="N2050" i="2"/>
  <c r="N961" i="2"/>
  <c r="N80" i="2"/>
  <c r="N1047" i="2"/>
  <c r="N79" i="2"/>
  <c r="N1913" i="2"/>
  <c r="N1842" i="2"/>
  <c r="N1265" i="2"/>
  <c r="N893" i="2"/>
  <c r="N1104" i="2"/>
  <c r="N1167" i="2"/>
  <c r="N2349" i="2"/>
  <c r="N1948" i="2"/>
  <c r="N803" i="2"/>
  <c r="N1092" i="2"/>
  <c r="N930" i="2"/>
  <c r="N57" i="2"/>
  <c r="N1178" i="2"/>
  <c r="N11" i="2"/>
  <c r="N2215" i="2"/>
  <c r="N1036" i="2"/>
  <c r="N2365" i="2"/>
  <c r="N300" i="2"/>
  <c r="N942" i="2"/>
  <c r="N2266" i="2"/>
  <c r="N1739" i="2"/>
  <c r="N60" i="2"/>
  <c r="N910" i="2"/>
  <c r="N2150" i="2"/>
  <c r="N1181" i="2"/>
  <c r="N1358" i="2"/>
  <c r="N1064" i="2"/>
  <c r="N678" i="2"/>
  <c r="N390" i="2"/>
  <c r="N836" i="2"/>
  <c r="N1269" i="2"/>
  <c r="N1332" i="2"/>
  <c r="N1843" i="2"/>
  <c r="N755" i="2"/>
  <c r="N1910" i="2"/>
  <c r="N1103" i="2"/>
  <c r="N14" i="2"/>
  <c r="N703" i="2"/>
  <c r="N2077" i="2"/>
  <c r="N1671" i="2"/>
  <c r="N2634" i="2"/>
  <c r="N2548" i="2"/>
  <c r="N2566" i="2"/>
  <c r="N2462" i="2"/>
  <c r="N2422" i="2"/>
  <c r="N495" i="2"/>
  <c r="N1846" i="2"/>
  <c r="N807" i="2"/>
  <c r="N1726" i="2"/>
  <c r="N817" i="2"/>
  <c r="N544" i="2"/>
  <c r="N1987" i="2"/>
  <c r="N929" i="2"/>
  <c r="N951" i="2"/>
  <c r="N1195" i="2"/>
  <c r="N1746" i="2"/>
  <c r="N1487" i="2"/>
  <c r="N1233" i="2"/>
  <c r="N976" i="2"/>
  <c r="N1032" i="2"/>
  <c r="N2171" i="2"/>
  <c r="N1850" i="2"/>
  <c r="N771" i="2"/>
  <c r="N996" i="2"/>
  <c r="N898" i="2"/>
  <c r="N1404" i="2"/>
  <c r="N2314" i="2"/>
  <c r="N1529" i="2"/>
  <c r="N455" i="2"/>
  <c r="N1007" i="2"/>
  <c r="N2152" i="2"/>
  <c r="N135" i="2"/>
  <c r="N1241" i="2"/>
  <c r="N63" i="2"/>
  <c r="N1244" i="2"/>
  <c r="N1077" i="2"/>
  <c r="N1164" i="2"/>
  <c r="N583" i="2"/>
  <c r="N294" i="2"/>
  <c r="N804" i="2"/>
  <c r="N1205" i="2"/>
  <c r="N1140" i="2"/>
  <c r="N1811" i="2"/>
  <c r="N723" i="2"/>
  <c r="N1782" i="2"/>
  <c r="N975" i="2"/>
  <c r="N575" i="2"/>
  <c r="N2046" i="2"/>
  <c r="N1479" i="2"/>
  <c r="N2606" i="2"/>
  <c r="N2496" i="2"/>
  <c r="N2439" i="2"/>
  <c r="N2413" i="2"/>
  <c r="N2105" i="2"/>
  <c r="N2308" i="2"/>
  <c r="N665" i="2"/>
  <c r="N1206" i="2"/>
  <c r="N825" i="2"/>
  <c r="N1725" i="2"/>
  <c r="N2386" i="2"/>
  <c r="N168" i="2"/>
  <c r="N833" i="2"/>
  <c r="N919" i="2"/>
  <c r="N902" i="2"/>
  <c r="N1714" i="2"/>
  <c r="N1201" i="2"/>
  <c r="N944" i="2"/>
  <c r="N730" i="2"/>
  <c r="N2073" i="2"/>
  <c r="N1756" i="2"/>
  <c r="N739" i="2"/>
  <c r="N698" i="2"/>
  <c r="N866" i="2"/>
  <c r="N410" i="2"/>
  <c r="N185" i="2"/>
  <c r="N620" i="2"/>
  <c r="N120" i="2"/>
  <c r="N89" i="2"/>
  <c r="N152" i="2"/>
  <c r="N1270" i="2"/>
  <c r="N104" i="2"/>
  <c r="N2200" i="2"/>
  <c r="N287" i="2"/>
  <c r="N1308" i="2"/>
  <c r="N1312" i="2"/>
  <c r="N986" i="2"/>
  <c r="N1071" i="2"/>
  <c r="N971" i="2"/>
  <c r="N472" i="2"/>
  <c r="N262" i="2"/>
  <c r="N452" i="2"/>
  <c r="N1173" i="2"/>
  <c r="N1012" i="2"/>
  <c r="N1779" i="2"/>
  <c r="N691" i="2"/>
  <c r="N1558" i="2"/>
  <c r="N879" i="2"/>
  <c r="N1632" i="2"/>
  <c r="N351" i="2"/>
  <c r="N2452" i="2"/>
  <c r="N2438" i="2"/>
  <c r="N356" i="2"/>
  <c r="N2366" i="2"/>
  <c r="N2137" i="2"/>
  <c r="N1810" i="2"/>
  <c r="N820" i="2"/>
  <c r="N1110" i="2"/>
  <c r="N1720" i="2"/>
  <c r="N2247" i="2"/>
  <c r="N769" i="2"/>
  <c r="N2350" i="2"/>
  <c r="N801" i="2"/>
  <c r="N887" i="2"/>
  <c r="N414" i="2"/>
  <c r="N1650" i="2"/>
  <c r="N1169" i="2"/>
  <c r="N912" i="2"/>
  <c r="N232" i="2"/>
  <c r="N2092" i="2"/>
  <c r="N1978" i="2"/>
  <c r="N1658" i="2"/>
  <c r="N707" i="2"/>
  <c r="N597" i="2"/>
  <c r="N834" i="2"/>
  <c r="N1081" i="2"/>
  <c r="N1593" i="2"/>
  <c r="N316" i="2"/>
  <c r="N748" i="2"/>
  <c r="N280" i="2"/>
  <c r="N1771" i="2"/>
  <c r="N139" i="2"/>
  <c r="N712" i="2"/>
  <c r="N1337" i="2"/>
  <c r="N395" i="2"/>
  <c r="N2265" i="2"/>
  <c r="N363" i="2"/>
  <c r="N1372" i="2"/>
  <c r="N217" i="2"/>
  <c r="N1375" i="2"/>
  <c r="N2368" i="2"/>
  <c r="N885" i="2"/>
  <c r="N884" i="2"/>
  <c r="N792" i="2"/>
  <c r="N776" i="2"/>
  <c r="N358" i="2"/>
  <c r="N230" i="2"/>
  <c r="N388" i="2"/>
  <c r="N1109" i="2"/>
  <c r="N916" i="2"/>
  <c r="N1747" i="2"/>
  <c r="N659" i="2"/>
  <c r="N1366" i="2"/>
  <c r="N815" i="2"/>
  <c r="N1504" i="2"/>
  <c r="N159" i="2"/>
  <c r="N1821" i="2"/>
  <c r="N1223" i="2"/>
  <c r="N2660" i="2"/>
  <c r="N2549" i="2"/>
  <c r="N2541" i="2"/>
  <c r="N2437" i="2"/>
  <c r="N926" i="2"/>
  <c r="N1691" i="2"/>
  <c r="N863" i="2"/>
  <c r="N1580" i="2"/>
  <c r="N958" i="2"/>
  <c r="N982" i="2"/>
  <c r="N2257" i="2"/>
  <c r="N948" i="2"/>
  <c r="N182" i="2"/>
  <c r="N999" i="2"/>
  <c r="N2243" i="2"/>
  <c r="N673" i="2"/>
  <c r="N2360" i="2"/>
  <c r="N791" i="2"/>
  <c r="N2391" i="2"/>
  <c r="N72" i="2"/>
  <c r="N1522" i="2"/>
  <c r="N1038" i="2"/>
  <c r="N1105" i="2"/>
  <c r="N880" i="2"/>
  <c r="N1870" i="2"/>
  <c r="N1880" i="2"/>
  <c r="N1566" i="2"/>
  <c r="N611" i="2"/>
  <c r="N492" i="2"/>
  <c r="N802" i="2"/>
  <c r="N2044" i="2"/>
  <c r="N487" i="2"/>
  <c r="N1967" i="2"/>
  <c r="N296" i="2"/>
  <c r="N254" i="2"/>
  <c r="N1398" i="2"/>
  <c r="N542" i="2"/>
  <c r="N2392" i="2"/>
  <c r="N1437" i="2"/>
  <c r="N366" i="2"/>
  <c r="N1446" i="2"/>
  <c r="N2337" i="2"/>
  <c r="N794" i="2"/>
  <c r="N793" i="2"/>
  <c r="N679" i="2"/>
  <c r="N256" i="2"/>
  <c r="N198" i="2"/>
  <c r="N228" i="2"/>
  <c r="N1045" i="2"/>
  <c r="N788" i="2"/>
  <c r="N1715" i="2"/>
  <c r="N627" i="2"/>
  <c r="N1174" i="2"/>
  <c r="N687" i="2"/>
  <c r="N1440" i="2"/>
  <c r="N127" i="2"/>
  <c r="N1757" i="2"/>
  <c r="N1063" i="2"/>
  <c r="N2648" i="2"/>
  <c r="N2575" i="2"/>
  <c r="N2567" i="2"/>
  <c r="N2506" i="2"/>
  <c r="N1531" i="2"/>
  <c r="N1979" i="2"/>
  <c r="N2352" i="2"/>
  <c r="N305" i="2"/>
  <c r="N155" i="2"/>
  <c r="N190" i="2"/>
  <c r="N1276" i="2"/>
  <c r="N580" i="2"/>
  <c r="N1249" i="2"/>
  <c r="N1731" i="2"/>
  <c r="N1729" i="2"/>
  <c r="N97" i="2"/>
  <c r="N1783" i="2"/>
  <c r="N215" i="2"/>
  <c r="N850" i="2"/>
  <c r="N2142" i="2"/>
  <c r="N369" i="2"/>
  <c r="N2098" i="2"/>
  <c r="N272" i="2"/>
  <c r="N1882" i="2"/>
  <c r="N1589" i="2"/>
  <c r="N1411" i="2"/>
  <c r="N163" i="2"/>
  <c r="N1602" i="2"/>
  <c r="N322" i="2"/>
  <c r="N124" i="2"/>
  <c r="N488" i="2"/>
  <c r="N985" i="2"/>
  <c r="N1689" i="2"/>
  <c r="N1853" i="2"/>
  <c r="N2061" i="2"/>
  <c r="N1212" i="2"/>
  <c r="N216" i="2"/>
  <c r="N2151" i="2"/>
  <c r="N1280" i="2"/>
  <c r="N1183" i="2"/>
  <c r="N606" i="2"/>
  <c r="N253" i="2"/>
  <c r="N2302" i="2"/>
  <c r="N1574" i="2"/>
  <c r="N2022" i="2"/>
  <c r="N2293" i="2"/>
  <c r="N2387" i="2"/>
  <c r="N2340" i="2"/>
  <c r="N1267" i="2"/>
  <c r="N211" i="2"/>
  <c r="N22" i="2"/>
  <c r="N1646" i="2"/>
  <c r="N96" i="2"/>
  <c r="N1022" i="2"/>
  <c r="N349" i="2"/>
  <c r="N840" i="2"/>
  <c r="N587" i="2"/>
  <c r="N2472" i="2"/>
  <c r="I1899" i="2"/>
  <c r="H1899" i="2"/>
  <c r="I1663" i="2"/>
  <c r="H1663" i="2"/>
  <c r="I1195" i="2"/>
  <c r="H1195" i="2"/>
  <c r="H2438" i="2"/>
  <c r="I2438" i="2"/>
  <c r="I421" i="2"/>
  <c r="H421" i="2"/>
  <c r="J421" i="2"/>
  <c r="K421" i="2"/>
  <c r="H1941" i="2"/>
  <c r="I1941" i="2"/>
  <c r="J1941" i="2"/>
  <c r="K1941" i="2"/>
  <c r="H1408" i="2"/>
  <c r="J1408" i="2"/>
  <c r="K1408" i="2"/>
  <c r="H420" i="2"/>
  <c r="J420" i="2"/>
  <c r="K420" i="2"/>
  <c r="H2108" i="2"/>
  <c r="J2108" i="2"/>
  <c r="K2108" i="2"/>
  <c r="J2185" i="2"/>
  <c r="K2185" i="2"/>
  <c r="J1640" i="2"/>
  <c r="K1640" i="2"/>
  <c r="I1919" i="2"/>
  <c r="J1919" i="2"/>
  <c r="K1919" i="2"/>
  <c r="I1321" i="2"/>
  <c r="H1321" i="2"/>
  <c r="J1321" i="2"/>
  <c r="K1321" i="2"/>
  <c r="J442" i="2"/>
  <c r="K442" i="2"/>
  <c r="H442" i="2"/>
  <c r="H1852" i="2"/>
  <c r="I1852" i="2"/>
  <c r="H2509" i="2"/>
  <c r="J2509" i="2"/>
  <c r="K2509" i="2"/>
  <c r="H2437" i="2"/>
  <c r="J2418" i="2"/>
  <c r="K2418" i="2"/>
  <c r="H2418" i="2"/>
  <c r="I2418" i="2"/>
  <c r="N2463" i="2"/>
  <c r="N2589" i="2"/>
  <c r="N2146" i="2"/>
  <c r="N2114" i="2"/>
  <c r="N2080" i="2"/>
  <c r="N2018" i="2"/>
  <c r="N1953" i="2"/>
  <c r="N1537" i="2"/>
  <c r="N1377" i="2"/>
  <c r="N1313" i="2"/>
  <c r="N1185" i="2"/>
  <c r="N1057" i="2"/>
  <c r="N737" i="2"/>
  <c r="N705" i="2"/>
  <c r="N545" i="2"/>
  <c r="N481" i="2"/>
  <c r="N65" i="2"/>
  <c r="N2443" i="2"/>
  <c r="N2417" i="2"/>
  <c r="I2554" i="2"/>
  <c r="H2554" i="2"/>
  <c r="I122" i="2"/>
  <c r="J122" i="2"/>
  <c r="K122" i="2"/>
  <c r="N2060" i="2"/>
  <c r="N1984" i="2"/>
  <c r="N1855" i="2"/>
  <c r="N1695" i="2"/>
  <c r="N1311" i="2"/>
  <c r="N1247" i="2"/>
  <c r="N959" i="2"/>
  <c r="N799" i="2"/>
  <c r="N767" i="2"/>
  <c r="N191" i="2"/>
  <c r="N2300" i="2"/>
  <c r="N1694" i="2"/>
  <c r="N1438" i="2"/>
  <c r="N1342" i="2"/>
  <c r="N1118" i="2"/>
  <c r="N1054" i="2"/>
  <c r="N894" i="2"/>
  <c r="N734" i="2"/>
  <c r="N670" i="2"/>
  <c r="N574" i="2"/>
  <c r="N286" i="2"/>
  <c r="N2414" i="2"/>
  <c r="I2520" i="2"/>
  <c r="H2520" i="2"/>
  <c r="H2501" i="2"/>
  <c r="I2501" i="2"/>
  <c r="H2499" i="2"/>
  <c r="I2499" i="2"/>
  <c r="N2208" i="2"/>
  <c r="N1152" i="2"/>
  <c r="N896" i="2"/>
  <c r="N864" i="2"/>
  <c r="N832" i="2"/>
  <c r="N640" i="2"/>
  <c r="N608" i="2"/>
  <c r="N352" i="2"/>
  <c r="N2473" i="2"/>
  <c r="H2459" i="2"/>
  <c r="I2459" i="2"/>
  <c r="I2607" i="2"/>
  <c r="H2607" i="2"/>
  <c r="I2610" i="2"/>
  <c r="H2610" i="2"/>
  <c r="N2665" i="2"/>
  <c r="I2674" i="2"/>
  <c r="J2674" i="2"/>
  <c r="N2192" i="2"/>
  <c r="N1812" i="2"/>
  <c r="N1268" i="2"/>
  <c r="N1204" i="2"/>
  <c r="N1172" i="2"/>
  <c r="N52" i="2"/>
  <c r="J2624" i="2"/>
  <c r="K2624" i="2"/>
  <c r="H2624" i="2"/>
  <c r="N2654" i="2"/>
  <c r="J2623" i="2"/>
  <c r="K2623" i="2"/>
  <c r="H2623" i="2"/>
  <c r="H1765" i="2"/>
  <c r="N1938" i="2"/>
  <c r="N1906" i="2"/>
  <c r="N1586" i="2"/>
  <c r="N1554" i="2"/>
  <c r="N1138" i="2"/>
  <c r="N562" i="2"/>
  <c r="N466" i="2"/>
  <c r="N434" i="2"/>
  <c r="N306" i="2"/>
  <c r="J2411" i="2"/>
  <c r="K2411" i="2"/>
  <c r="N2481" i="2"/>
  <c r="H2518" i="2"/>
  <c r="N2467" i="2"/>
  <c r="J2496" i="2"/>
  <c r="K2496" i="2"/>
  <c r="H2496" i="2"/>
  <c r="H2597" i="2"/>
  <c r="I2597" i="2"/>
  <c r="N2480" i="2"/>
  <c r="H2562" i="2"/>
  <c r="I2562" i="2"/>
  <c r="N2632" i="2"/>
  <c r="I2643" i="2"/>
  <c r="H2643" i="2"/>
  <c r="H2427" i="2"/>
  <c r="I2427" i="2"/>
  <c r="N2465" i="2"/>
  <c r="J2494" i="2"/>
  <c r="K2494" i="2"/>
  <c r="I2494" i="2"/>
  <c r="H2568" i="2"/>
  <c r="H1470" i="2"/>
  <c r="I1470" i="2"/>
  <c r="N1966" i="2"/>
  <c r="N750" i="2"/>
  <c r="N718" i="2"/>
  <c r="N622" i="2"/>
  <c r="N430" i="2"/>
  <c r="H2493" i="2"/>
  <c r="J2493" i="2"/>
  <c r="K2493" i="2"/>
  <c r="I2493" i="2"/>
  <c r="N2545" i="2"/>
  <c r="J2574" i="2"/>
  <c r="K2574" i="2"/>
  <c r="H2574" i="2"/>
  <c r="I2574" i="2"/>
  <c r="N2630" i="2"/>
  <c r="N2253" i="2"/>
  <c r="N2124" i="2"/>
  <c r="N1868" i="2"/>
  <c r="N1836" i="2"/>
  <c r="N1676" i="2"/>
  <c r="N1548" i="2"/>
  <c r="N1292" i="2"/>
  <c r="N1260" i="2"/>
  <c r="N1228" i="2"/>
  <c r="N1196" i="2"/>
  <c r="N1068" i="2"/>
  <c r="N844" i="2"/>
  <c r="N812" i="2"/>
  <c r="N108" i="2"/>
  <c r="N2445" i="2"/>
  <c r="N2547" i="2"/>
  <c r="N2590" i="2"/>
  <c r="N2667" i="2"/>
  <c r="N2235" i="2"/>
  <c r="N2185" i="2"/>
  <c r="N1993" i="2"/>
  <c r="N1608" i="2"/>
  <c r="N1384" i="2"/>
  <c r="N200" i="2"/>
  <c r="N2433" i="2"/>
  <c r="J2424" i="2"/>
  <c r="K2424" i="2"/>
  <c r="H2424" i="2"/>
  <c r="I2424" i="2"/>
  <c r="I2473" i="2"/>
  <c r="J2473" i="2"/>
  <c r="K2473" i="2"/>
  <c r="N2638" i="2"/>
  <c r="N2173" i="2"/>
  <c r="N861" i="2"/>
  <c r="N381" i="2"/>
  <c r="N157" i="2"/>
  <c r="H2639" i="2"/>
  <c r="J2639" i="2"/>
  <c r="K2639" i="2"/>
  <c r="N2684" i="2"/>
  <c r="N1981" i="2"/>
  <c r="N1692" i="2"/>
  <c r="N1500" i="2"/>
  <c r="N1468" i="2"/>
  <c r="N1180" i="2"/>
  <c r="N1052" i="2"/>
  <c r="N924" i="2"/>
  <c r="N412" i="2"/>
  <c r="N220" i="2"/>
  <c r="N2444" i="2"/>
  <c r="N2412" i="2"/>
  <c r="I2560" i="2"/>
  <c r="J2618" i="2"/>
  <c r="K2618" i="2"/>
  <c r="N2683" i="2"/>
  <c r="I2552" i="2"/>
  <c r="H2552" i="2"/>
  <c r="J2637" i="2"/>
  <c r="K2637" i="2"/>
  <c r="I2637" i="2"/>
  <c r="N2651" i="2"/>
  <c r="N2552" i="2"/>
  <c r="H2545" i="2"/>
  <c r="N2681" i="2"/>
  <c r="J2400" i="2"/>
  <c r="K2400" i="2"/>
  <c r="I2400" i="2"/>
  <c r="H2400" i="2"/>
  <c r="N2543" i="2"/>
  <c r="N2605" i="2"/>
  <c r="N2623" i="2"/>
  <c r="N2680" i="2"/>
  <c r="H2588" i="2"/>
  <c r="I2588" i="2"/>
  <c r="I2635" i="2"/>
  <c r="H2616" i="2"/>
  <c r="N2679" i="2"/>
  <c r="N2647" i="2"/>
  <c r="H2471" i="2"/>
  <c r="I2471" i="2"/>
  <c r="N2380" i="2"/>
  <c r="N2476" i="2"/>
  <c r="N1095" i="2"/>
  <c r="I2497" i="2"/>
  <c r="J2640" i="2"/>
  <c r="K2640" i="2"/>
  <c r="J2621" i="2"/>
  <c r="K2621" i="2"/>
  <c r="H2621" i="2"/>
  <c r="H2672" i="2"/>
  <c r="I2606" i="2"/>
  <c r="J2606" i="2"/>
  <c r="K2606" i="2"/>
  <c r="N2107" i="2"/>
  <c r="N1403" i="2"/>
  <c r="N1211" i="2"/>
  <c r="N27" i="2"/>
  <c r="I2525" i="2"/>
  <c r="J2599" i="2"/>
  <c r="K2599" i="2"/>
  <c r="N2676" i="2"/>
  <c r="N1626" i="2"/>
  <c r="N2583" i="2"/>
  <c r="N2646" i="2"/>
  <c r="N2614" i="2"/>
  <c r="I166" i="2"/>
  <c r="N2592" i="2"/>
  <c r="H2584" i="2"/>
  <c r="J2582" i="2"/>
  <c r="K2582" i="2"/>
  <c r="N2645" i="2"/>
  <c r="N2613" i="2"/>
  <c r="N2516" i="2"/>
  <c r="N2644" i="2"/>
  <c r="N343" i="2"/>
  <c r="N2582" i="2"/>
  <c r="H2598" i="2"/>
  <c r="J1030" i="2"/>
  <c r="K1030" i="2"/>
  <c r="H1030" i="2"/>
  <c r="N1078" i="2"/>
  <c r="N342" i="2"/>
  <c r="N2511" i="2"/>
  <c r="N2565" i="2"/>
  <c r="N2579" i="2"/>
  <c r="K2783" i="2"/>
  <c r="K2798" i="2"/>
  <c r="K2766" i="2"/>
  <c r="K2799" i="2"/>
  <c r="K2800" i="2"/>
  <c r="K2797" i="2"/>
  <c r="K2765" i="2"/>
  <c r="K2768" i="2"/>
  <c r="K2767" i="2"/>
  <c r="K2769" i="2"/>
  <c r="K2781" i="2"/>
  <c r="K2780" i="2"/>
  <c r="K2801" i="2"/>
  <c r="K2778" i="2"/>
  <c r="K2793" i="2"/>
  <c r="K2776" i="2"/>
  <c r="K2771" i="2"/>
  <c r="K2779" i="2"/>
  <c r="K2770" i="2"/>
  <c r="K2777" i="2"/>
  <c r="K2774" i="2"/>
  <c r="K2782" i="2"/>
  <c r="K2802" i="2"/>
  <c r="K2775" i="2"/>
  <c r="K2773" i="2"/>
  <c r="K2787" i="2"/>
  <c r="K2772" i="2"/>
  <c r="K2803" i="2"/>
  <c r="K2788" i="2"/>
  <c r="K2789" i="2"/>
  <c r="K2792" i="2"/>
  <c r="K2790" i="2"/>
  <c r="K2786" i="2"/>
  <c r="K2784" i="2"/>
  <c r="K2785" i="2"/>
  <c r="K2796" i="2"/>
  <c r="K2791" i="2"/>
  <c r="K2794" i="2"/>
  <c r="K2795" i="2"/>
  <c r="K2764" i="2"/>
  <c r="K2" i="2"/>
  <c r="K2725" i="2"/>
  <c r="K2743" i="2"/>
  <c r="K2745" i="2"/>
  <c r="K2727" i="2"/>
  <c r="K2759" i="2"/>
  <c r="K2744" i="2"/>
  <c r="K2746" i="2"/>
  <c r="K2757" i="2"/>
  <c r="K2726" i="2"/>
  <c r="K2758" i="2"/>
  <c r="K2728" i="2"/>
  <c r="K2760" i="2"/>
  <c r="K2734" i="2"/>
  <c r="K2733" i="2"/>
  <c r="K2761" i="2"/>
  <c r="K2739" i="2"/>
  <c r="K2736" i="2"/>
  <c r="K2735" i="2"/>
  <c r="K2731" i="2"/>
  <c r="K2729" i="2"/>
  <c r="K2747" i="2"/>
  <c r="K2741" i="2"/>
  <c r="K2738" i="2"/>
  <c r="K2763" i="2"/>
  <c r="K2749" i="2"/>
  <c r="K2762" i="2"/>
  <c r="K2730" i="2"/>
  <c r="K2732" i="2"/>
  <c r="K2737" i="2"/>
  <c r="K2740" i="2"/>
  <c r="K2742" i="2"/>
  <c r="K2748" i="2"/>
  <c r="K2752" i="2"/>
  <c r="K2754" i="2"/>
  <c r="K2751" i="2"/>
  <c r="K2753" i="2"/>
  <c r="K2756" i="2"/>
  <c r="K2750" i="2"/>
  <c r="K2755" i="2"/>
  <c r="K2721" i="2"/>
  <c r="K2693" i="2"/>
  <c r="K2710" i="2"/>
  <c r="K2720" i="2"/>
  <c r="K2704" i="2"/>
  <c r="K2703" i="2"/>
  <c r="K2692" i="2"/>
  <c r="K2696" i="2"/>
  <c r="K2702" i="2"/>
  <c r="K2708" i="2"/>
  <c r="K2700" i="2"/>
  <c r="K2697" i="2"/>
  <c r="K2719" i="2"/>
  <c r="K2701" i="2"/>
  <c r="K2698" i="2"/>
  <c r="K2699" i="2"/>
  <c r="K2688" i="2"/>
  <c r="K2715" i="2"/>
  <c r="K2691" i="2"/>
  <c r="K2712" i="2"/>
  <c r="K2687" i="2"/>
  <c r="K2694" i="2"/>
  <c r="K2718" i="2"/>
  <c r="K2711" i="2"/>
  <c r="K2713" i="2"/>
  <c r="K2709" i="2"/>
  <c r="K2724" i="2"/>
  <c r="K2689" i="2"/>
  <c r="K2714" i="2"/>
  <c r="K2690" i="2"/>
  <c r="K2723" i="2"/>
  <c r="K2695" i="2"/>
  <c r="K2707" i="2"/>
  <c r="K2716" i="2"/>
  <c r="K2722" i="2"/>
  <c r="K2706" i="2"/>
  <c r="K2705" i="2"/>
  <c r="K2717" i="2"/>
  <c r="K2686" i="2"/>
  <c r="K2655" i="2"/>
  <c r="K2656" i="2"/>
  <c r="K2664" i="2"/>
  <c r="K2660" i="2"/>
  <c r="K2662" i="2"/>
  <c r="K2680" i="2"/>
  <c r="K2658" i="2"/>
  <c r="K2659" i="2"/>
  <c r="K2650" i="2"/>
  <c r="K2667" i="2"/>
  <c r="K2668" i="2"/>
  <c r="K2663" i="2"/>
  <c r="K2665" i="2"/>
  <c r="K2666" i="2"/>
  <c r="K9" i="2"/>
  <c r="K2678" i="2"/>
  <c r="K2677" i="2"/>
  <c r="K2670" i="2"/>
  <c r="K2681" i="2"/>
  <c r="K2653" i="2"/>
  <c r="K2679" i="2"/>
  <c r="K2652" i="2"/>
  <c r="K2676" i="2"/>
  <c r="K2657" i="2"/>
  <c r="K2669" i="2"/>
  <c r="K2672" i="2"/>
  <c r="K2674" i="2"/>
  <c r="K2648" i="2"/>
  <c r="K2685" i="2"/>
  <c r="K2673" i="2"/>
  <c r="K2651" i="2"/>
  <c r="K2675" i="2"/>
  <c r="K2647" i="2"/>
  <c r="K2682" i="2"/>
  <c r="K2649" i="2"/>
  <c r="K2683" i="2"/>
  <c r="K2654" i="2"/>
  <c r="K2661" i="2"/>
  <c r="K2684" i="2"/>
  <c r="K2671" i="2"/>
  <c r="AC50" i="17"/>
  <c r="AC52" i="17" s="1"/>
  <c r="F79" i="30"/>
  <c r="H79" i="30"/>
  <c r="F80" i="30"/>
  <c r="H80" i="30"/>
  <c r="F95" i="30"/>
  <c r="H95" i="30"/>
  <c r="F99" i="30"/>
  <c r="H99" i="30"/>
  <c r="F100" i="30"/>
  <c r="H100" i="30"/>
  <c r="F101" i="30"/>
  <c r="F88" i="30"/>
  <c r="H88" i="30"/>
  <c r="H110" i="30"/>
  <c r="H102" i="30"/>
  <c r="F91" i="30"/>
  <c r="H91" i="30"/>
  <c r="F96" i="30"/>
  <c r="H96" i="30"/>
  <c r="F111" i="30"/>
  <c r="H111" i="30"/>
  <c r="H108" i="30"/>
  <c r="F36" i="30"/>
  <c r="H36" i="30"/>
  <c r="F40" i="30"/>
  <c r="F53" i="30"/>
  <c r="H53" i="30"/>
  <c r="F58" i="30"/>
  <c r="H58" i="30"/>
  <c r="F66" i="30"/>
  <c r="H66" i="30"/>
  <c r="F45" i="30"/>
  <c r="H45" i="30"/>
  <c r="F62" i="30"/>
  <c r="H62" i="30"/>
  <c r="F54" i="30"/>
  <c r="H54" i="30"/>
  <c r="H59" i="30"/>
  <c r="F71" i="30"/>
  <c r="H71" i="30"/>
  <c r="F46" i="30"/>
  <c r="H46" i="30"/>
  <c r="F41" i="30"/>
  <c r="H41" i="30"/>
  <c r="F49" i="30"/>
  <c r="H49" i="30"/>
  <c r="F47" i="30"/>
  <c r="H47" i="30"/>
  <c r="F42" i="30"/>
  <c r="H42" i="30"/>
  <c r="F63" i="30"/>
  <c r="H63" i="30"/>
  <c r="F67" i="30"/>
  <c r="H67" i="30"/>
  <c r="F64" i="30"/>
  <c r="H64" i="30"/>
  <c r="F39" i="30"/>
  <c r="H39" i="30"/>
  <c r="F56" i="30"/>
  <c r="H56" i="30"/>
  <c r="F65" i="30"/>
  <c r="H65" i="30"/>
  <c r="F44" i="30"/>
  <c r="H44" i="30"/>
  <c r="F48" i="30"/>
  <c r="H48" i="30"/>
  <c r="F72" i="30"/>
  <c r="F61" i="30"/>
  <c r="H61" i="30"/>
  <c r="F50" i="30"/>
  <c r="H50" i="30"/>
  <c r="F51" i="30"/>
  <c r="H51" i="30"/>
  <c r="F2" i="30"/>
  <c r="H2" i="30"/>
  <c r="F10" i="30"/>
  <c r="H10" i="30"/>
  <c r="F26" i="30"/>
  <c r="H26" i="30"/>
  <c r="F30" i="30"/>
  <c r="H30" i="30"/>
  <c r="F14" i="30"/>
  <c r="H14" i="30"/>
  <c r="F22" i="30"/>
  <c r="H22" i="30"/>
  <c r="F18" i="30"/>
  <c r="H18" i="30"/>
  <c r="F15" i="30"/>
  <c r="H15" i="30"/>
  <c r="F7" i="30"/>
  <c r="H7" i="30"/>
  <c r="F23" i="30"/>
  <c r="H23" i="30"/>
  <c r="F3" i="30"/>
  <c r="H3" i="30"/>
  <c r="F11" i="30"/>
  <c r="H11" i="30"/>
  <c r="F27" i="30"/>
  <c r="H27" i="30"/>
  <c r="H31" i="30"/>
  <c r="F12" i="30"/>
  <c r="H12" i="30"/>
  <c r="F16" i="30"/>
  <c r="H16" i="30"/>
  <c r="F24" i="30"/>
  <c r="H24" i="30"/>
  <c r="F28" i="30"/>
  <c r="H28" i="30"/>
  <c r="F4" i="30"/>
  <c r="H4" i="30"/>
  <c r="H20" i="30"/>
  <c r="F9" i="30"/>
  <c r="H9" i="30"/>
  <c r="F33" i="30"/>
  <c r="H33" i="30"/>
  <c r="F17" i="30"/>
  <c r="H17" i="30"/>
  <c r="F13" i="30"/>
  <c r="H13" i="30"/>
  <c r="F5" i="30"/>
  <c r="H5" i="30"/>
  <c r="F34" i="30"/>
  <c r="H34" i="30"/>
  <c r="F35" i="30"/>
  <c r="H35" i="30"/>
  <c r="F38" i="30"/>
  <c r="F43" i="30"/>
  <c r="F57" i="30"/>
  <c r="F6" i="30"/>
  <c r="F8" i="30"/>
  <c r="B46" i="17" l="1"/>
  <c r="L250" i="33"/>
  <c r="M250" i="33" s="1"/>
  <c r="N250" i="33" s="1"/>
  <c r="AK250" i="33" s="1"/>
  <c r="L276" i="33"/>
  <c r="M276" i="33" s="1"/>
  <c r="N276" i="33" s="1"/>
  <c r="AK276" i="33" s="1"/>
  <c r="L256" i="33"/>
  <c r="M256" i="33" s="1"/>
  <c r="N256" i="33" s="1"/>
  <c r="L281" i="33"/>
  <c r="M281" i="33" s="1"/>
  <c r="N281" i="33" s="1"/>
  <c r="L260" i="33"/>
  <c r="M260" i="33" s="1"/>
  <c r="N260" i="33" s="1"/>
  <c r="L248" i="33"/>
  <c r="M248" i="33" s="1"/>
  <c r="N248" i="33" s="1"/>
  <c r="L280" i="33"/>
  <c r="M280" i="33" s="1"/>
  <c r="N280" i="33" s="1"/>
  <c r="L249" i="33"/>
  <c r="M249" i="33" s="1"/>
  <c r="N249" i="33" s="1"/>
  <c r="L262" i="33"/>
  <c r="M262" i="33" s="1"/>
  <c r="N262" i="33" s="1"/>
  <c r="L277" i="33"/>
  <c r="M277" i="33" s="1"/>
  <c r="N277" i="33" s="1"/>
  <c r="L270" i="33"/>
  <c r="M270" i="33" s="1"/>
  <c r="N270" i="33" s="1"/>
  <c r="L266" i="33"/>
  <c r="M266" i="33" s="1"/>
  <c r="N266" i="33" s="1"/>
  <c r="L275" i="33"/>
  <c r="M275" i="33" s="1"/>
  <c r="N275" i="33" s="1"/>
  <c r="L269" i="33"/>
  <c r="M269" i="33" s="1"/>
  <c r="N269" i="33" s="1"/>
  <c r="L251" i="33"/>
  <c r="M251" i="33" s="1"/>
  <c r="N251" i="33" s="1"/>
  <c r="L271" i="33"/>
  <c r="M271" i="33" s="1"/>
  <c r="N271" i="33" s="1"/>
  <c r="L257" i="33"/>
  <c r="M257" i="33" s="1"/>
  <c r="N257" i="33" s="1"/>
  <c r="L252" i="33"/>
  <c r="M252" i="33" s="1"/>
  <c r="N252" i="33" s="1"/>
  <c r="L272" i="33"/>
  <c r="M272" i="33" s="1"/>
  <c r="N272" i="33" s="1"/>
  <c r="L254" i="33"/>
  <c r="M254" i="33" s="1"/>
  <c r="N254" i="33" s="1"/>
  <c r="L279" i="33"/>
  <c r="M279" i="33" s="1"/>
  <c r="N279" i="33" s="1"/>
  <c r="L264" i="33"/>
  <c r="M264" i="33" s="1"/>
  <c r="N264" i="33" s="1"/>
  <c r="L267" i="33"/>
  <c r="M267" i="33" s="1"/>
  <c r="N267" i="33" s="1"/>
  <c r="L255" i="33"/>
  <c r="M255" i="33" s="1"/>
  <c r="N255" i="33" s="1"/>
  <c r="L259" i="33"/>
  <c r="M259" i="33" s="1"/>
  <c r="N259" i="33" s="1"/>
  <c r="L263" i="33"/>
  <c r="M263" i="33" s="1"/>
  <c r="N263" i="33" s="1"/>
  <c r="L268" i="33"/>
  <c r="M268" i="33" s="1"/>
  <c r="N268" i="33" s="1"/>
  <c r="L261" i="33"/>
  <c r="M261" i="33" s="1"/>
  <c r="N261" i="33" s="1"/>
  <c r="L265" i="33"/>
  <c r="M265" i="33" s="1"/>
  <c r="N265" i="33" s="1"/>
  <c r="L258" i="33"/>
  <c r="M258" i="33" s="1"/>
  <c r="N258" i="33" s="1"/>
  <c r="L253" i="33"/>
  <c r="M253" i="33" s="1"/>
  <c r="N253" i="33" s="1"/>
  <c r="L274" i="33"/>
  <c r="M274" i="33" s="1"/>
  <c r="N274" i="33" s="1"/>
  <c r="L273" i="33"/>
  <c r="M273" i="33" s="1"/>
  <c r="N273" i="33" s="1"/>
  <c r="L278" i="33"/>
  <c r="M278" i="33" s="1"/>
  <c r="N278" i="33" s="1"/>
  <c r="H90" i="30"/>
  <c r="H70" i="30"/>
  <c r="H19" i="30"/>
  <c r="H60" i="30"/>
  <c r="H68" i="30"/>
  <c r="F107" i="30"/>
  <c r="H37" i="30"/>
  <c r="H25" i="30"/>
  <c r="F29" i="30"/>
  <c r="H21" i="30"/>
  <c r="H32" i="30"/>
  <c r="F85" i="30"/>
  <c r="H94" i="30"/>
  <c r="F98" i="30"/>
  <c r="H89" i="30"/>
  <c r="H84" i="30"/>
  <c r="H93" i="30"/>
  <c r="H97" i="30"/>
  <c r="F92" i="30"/>
  <c r="H87" i="30"/>
  <c r="H83" i="30"/>
  <c r="H78" i="30"/>
  <c r="F77" i="30"/>
  <c r="H81" i="30"/>
  <c r="H86" i="30"/>
  <c r="H82" i="30"/>
  <c r="H109" i="30"/>
  <c r="H113" i="30"/>
  <c r="F113" i="30"/>
  <c r="H106" i="30"/>
  <c r="F106" i="30"/>
  <c r="F105" i="30"/>
  <c r="H76" i="30"/>
  <c r="F76" i="30"/>
  <c r="F108" i="30"/>
  <c r="H104" i="30"/>
  <c r="F104" i="30"/>
  <c r="F74" i="30"/>
  <c r="H75" i="30"/>
  <c r="F75" i="30"/>
  <c r="H74" i="30"/>
  <c r="H103" i="30"/>
  <c r="F103" i="30"/>
  <c r="H107" i="30"/>
  <c r="AM250" i="33" l="1"/>
  <c r="AM276" i="33"/>
  <c r="X276" i="33" s="1"/>
  <c r="AM258" i="33"/>
  <c r="AK258" i="33"/>
  <c r="AM261" i="33"/>
  <c r="AK261" i="33"/>
  <c r="AM279" i="33"/>
  <c r="AK279" i="33"/>
  <c r="AM264" i="33"/>
  <c r="AK264" i="33"/>
  <c r="AM272" i="33"/>
  <c r="AK272" i="33"/>
  <c r="AM254" i="33"/>
  <c r="AK254" i="33"/>
  <c r="AK252" i="33"/>
  <c r="AM252" i="33"/>
  <c r="AM267" i="33"/>
  <c r="AK267" i="33"/>
  <c r="AK269" i="33"/>
  <c r="AM269" i="33"/>
  <c r="AK271" i="33"/>
  <c r="AM271" i="33"/>
  <c r="AK257" i="33"/>
  <c r="AM257" i="33"/>
  <c r="AM270" i="33"/>
  <c r="AK270" i="33"/>
  <c r="AK277" i="33"/>
  <c r="AM277" i="33"/>
  <c r="AM262" i="33"/>
  <c r="AK262" i="33"/>
  <c r="AM249" i="33"/>
  <c r="AK249" i="33"/>
  <c r="AM259" i="33"/>
  <c r="AK259" i="33"/>
  <c r="AM280" i="33"/>
  <c r="AK280" i="33"/>
  <c r="AM263" i="33"/>
  <c r="AK263" i="33"/>
  <c r="AK248" i="33"/>
  <c r="AM248" i="33"/>
  <c r="AK268" i="33"/>
  <c r="AM268" i="33"/>
  <c r="AM260" i="33"/>
  <c r="AK260" i="33"/>
  <c r="AM251" i="33"/>
  <c r="AK251" i="33"/>
  <c r="AM281" i="33"/>
  <c r="AK281" i="33"/>
  <c r="AK256" i="33"/>
  <c r="AM256" i="33"/>
  <c r="AK278" i="33"/>
  <c r="AM278" i="33"/>
  <c r="AM275" i="33"/>
  <c r="AK275" i="33"/>
  <c r="AM273" i="33"/>
  <c r="AK273" i="33"/>
  <c r="U250" i="33"/>
  <c r="X250" i="33"/>
  <c r="AD250" i="33"/>
  <c r="P250" i="33"/>
  <c r="Q250" i="33"/>
  <c r="R250" i="33"/>
  <c r="AE250" i="33"/>
  <c r="AB250" i="33"/>
  <c r="AF250" i="33"/>
  <c r="V250" i="33"/>
  <c r="T250" i="33"/>
  <c r="W250" i="33"/>
  <c r="AA250" i="33"/>
  <c r="AC250" i="33"/>
  <c r="Y250" i="33"/>
  <c r="S250" i="33"/>
  <c r="O250" i="33"/>
  <c r="Z250" i="33"/>
  <c r="AM265" i="33"/>
  <c r="AK265" i="33"/>
  <c r="AM266" i="33"/>
  <c r="AK266" i="33"/>
  <c r="AK274" i="33"/>
  <c r="AM274" i="33"/>
  <c r="AK255" i="33"/>
  <c r="AM255" i="33"/>
  <c r="AK253" i="33"/>
  <c r="AM253" i="33"/>
  <c r="T276" i="33" l="1"/>
  <c r="AC276" i="33"/>
  <c r="Y276" i="33"/>
  <c r="U276" i="33"/>
  <c r="V276" i="33"/>
  <c r="W276" i="33"/>
  <c r="AE276" i="33"/>
  <c r="R276" i="33"/>
  <c r="Q276" i="33"/>
  <c r="AF276" i="33"/>
  <c r="P276" i="33"/>
  <c r="AD276" i="33"/>
  <c r="Z276" i="33"/>
  <c r="AA276" i="33"/>
  <c r="O276" i="33"/>
  <c r="AB276" i="33"/>
  <c r="S276" i="33"/>
  <c r="AA259" i="33"/>
  <c r="O259" i="33"/>
  <c r="AD259" i="33"/>
  <c r="U259" i="33"/>
  <c r="Z259" i="33"/>
  <c r="P259" i="33"/>
  <c r="V259" i="33"/>
  <c r="AB259" i="33"/>
  <c r="AE259" i="33"/>
  <c r="AC259" i="33"/>
  <c r="S259" i="33"/>
  <c r="Q259" i="33"/>
  <c r="T259" i="33"/>
  <c r="R259" i="33"/>
  <c r="X259" i="33"/>
  <c r="AF259" i="33"/>
  <c r="W259" i="33"/>
  <c r="Y259" i="33"/>
  <c r="AB249" i="33"/>
  <c r="Q249" i="33"/>
  <c r="AC249" i="33"/>
  <c r="T249" i="33"/>
  <c r="W249" i="33"/>
  <c r="AF249" i="33"/>
  <c r="Y249" i="33"/>
  <c r="AE249" i="33"/>
  <c r="U249" i="33"/>
  <c r="Z249" i="33"/>
  <c r="S249" i="33"/>
  <c r="V249" i="33"/>
  <c r="R249" i="33"/>
  <c r="AA249" i="33"/>
  <c r="P249" i="33"/>
  <c r="X249" i="33"/>
  <c r="O249" i="33"/>
  <c r="AD249" i="33"/>
  <c r="X269" i="33"/>
  <c r="AF269" i="33"/>
  <c r="AC269" i="33"/>
  <c r="P269" i="33"/>
  <c r="W269" i="33"/>
  <c r="O269" i="33"/>
  <c r="T269" i="33"/>
  <c r="AD269" i="33"/>
  <c r="Y269" i="33"/>
  <c r="AB269" i="33"/>
  <c r="Z269" i="33"/>
  <c r="AA269" i="33"/>
  <c r="U269" i="33"/>
  <c r="Q269" i="33"/>
  <c r="S269" i="33"/>
  <c r="V269" i="33"/>
  <c r="R269" i="33"/>
  <c r="AE269" i="33"/>
  <c r="O255" i="33"/>
  <c r="AB255" i="33"/>
  <c r="P255" i="33"/>
  <c r="Q255" i="33"/>
  <c r="Z255" i="33"/>
  <c r="X255" i="33"/>
  <c r="AF255" i="33"/>
  <c r="W255" i="33"/>
  <c r="S255" i="33"/>
  <c r="V255" i="33"/>
  <c r="T255" i="33"/>
  <c r="AA255" i="33"/>
  <c r="AD255" i="33"/>
  <c r="AC255" i="33"/>
  <c r="U255" i="33"/>
  <c r="AE255" i="33"/>
  <c r="Y255" i="33"/>
  <c r="R255" i="33"/>
  <c r="X266" i="33"/>
  <c r="AB266" i="33"/>
  <c r="V266" i="33"/>
  <c r="AA266" i="33"/>
  <c r="AD266" i="33"/>
  <c r="P266" i="33"/>
  <c r="Q266" i="33"/>
  <c r="U266" i="33"/>
  <c r="T266" i="33"/>
  <c r="O266" i="33"/>
  <c r="AE266" i="33"/>
  <c r="AF266" i="33"/>
  <c r="W266" i="33"/>
  <c r="R266" i="33"/>
  <c r="AC266" i="33"/>
  <c r="S266" i="33"/>
  <c r="Y266" i="33"/>
  <c r="Z266" i="33"/>
  <c r="AA270" i="33"/>
  <c r="V270" i="33"/>
  <c r="AD270" i="33"/>
  <c r="U270" i="33"/>
  <c r="S270" i="33"/>
  <c r="AC270" i="33"/>
  <c r="O270" i="33"/>
  <c r="W270" i="33"/>
  <c r="P270" i="33"/>
  <c r="R270" i="33"/>
  <c r="X270" i="33"/>
  <c r="AB270" i="33"/>
  <c r="Q270" i="33"/>
  <c r="AE270" i="33"/>
  <c r="Y270" i="33"/>
  <c r="AF270" i="33"/>
  <c r="T270" i="33"/>
  <c r="Z270" i="33"/>
  <c r="AD271" i="33"/>
  <c r="W271" i="33"/>
  <c r="Q271" i="33"/>
  <c r="AA271" i="33"/>
  <c r="R271" i="33"/>
  <c r="O271" i="33"/>
  <c r="Z271" i="33"/>
  <c r="X271" i="33"/>
  <c r="AC271" i="33"/>
  <c r="P271" i="33"/>
  <c r="S271" i="33"/>
  <c r="T271" i="33"/>
  <c r="AE271" i="33"/>
  <c r="AF271" i="33"/>
  <c r="Y271" i="33"/>
  <c r="U271" i="33"/>
  <c r="V271" i="33"/>
  <c r="AB271" i="33"/>
  <c r="Q253" i="33"/>
  <c r="P253" i="33"/>
  <c r="S253" i="33"/>
  <c r="AB253" i="33"/>
  <c r="AF253" i="33"/>
  <c r="AA253" i="33"/>
  <c r="X253" i="33"/>
  <c r="T253" i="33"/>
  <c r="W253" i="33"/>
  <c r="AC253" i="33"/>
  <c r="Z253" i="33"/>
  <c r="U253" i="33"/>
  <c r="V253" i="33"/>
  <c r="AD253" i="33"/>
  <c r="AE253" i="33"/>
  <c r="O253" i="33"/>
  <c r="R253" i="33"/>
  <c r="Y253" i="33"/>
  <c r="Y267" i="33"/>
  <c r="P267" i="33"/>
  <c r="Z267" i="33"/>
  <c r="AC267" i="33"/>
  <c r="U267" i="33"/>
  <c r="O267" i="33"/>
  <c r="W267" i="33"/>
  <c r="AD267" i="33"/>
  <c r="Q267" i="33"/>
  <c r="X267" i="33"/>
  <c r="AE267" i="33"/>
  <c r="T267" i="33"/>
  <c r="R267" i="33"/>
  <c r="AA267" i="33"/>
  <c r="S267" i="33"/>
  <c r="AB267" i="33"/>
  <c r="V267" i="33"/>
  <c r="AF267" i="33"/>
  <c r="AE281" i="33"/>
  <c r="Y281" i="33"/>
  <c r="AB281" i="33"/>
  <c r="W281" i="33"/>
  <c r="AA281" i="33"/>
  <c r="S281" i="33"/>
  <c r="P281" i="33"/>
  <c r="R281" i="33"/>
  <c r="Q281" i="33"/>
  <c r="T281" i="33"/>
  <c r="U281" i="33"/>
  <c r="V281" i="33"/>
  <c r="Z281" i="33"/>
  <c r="X281" i="33"/>
  <c r="O281" i="33"/>
  <c r="AC281" i="33"/>
  <c r="AD281" i="33"/>
  <c r="AF281" i="33"/>
  <c r="AB252" i="33"/>
  <c r="O252" i="33"/>
  <c r="AA252" i="33"/>
  <c r="R252" i="33"/>
  <c r="P252" i="33"/>
  <c r="AF252" i="33"/>
  <c r="S252" i="33"/>
  <c r="V252" i="33"/>
  <c r="AE252" i="33"/>
  <c r="Z252" i="33"/>
  <c r="Y252" i="33"/>
  <c r="W252" i="33"/>
  <c r="AC252" i="33"/>
  <c r="Q252" i="33"/>
  <c r="U252" i="33"/>
  <c r="AD252" i="33"/>
  <c r="X252" i="33"/>
  <c r="T252" i="33"/>
  <c r="W251" i="33"/>
  <c r="Y251" i="33"/>
  <c r="R251" i="33"/>
  <c r="AE251" i="33"/>
  <c r="X251" i="33"/>
  <c r="S251" i="33"/>
  <c r="Z251" i="33"/>
  <c r="Q251" i="33"/>
  <c r="T251" i="33"/>
  <c r="AF251" i="33"/>
  <c r="AD251" i="33"/>
  <c r="AB251" i="33"/>
  <c r="AC251" i="33"/>
  <c r="U251" i="33"/>
  <c r="O251" i="33"/>
  <c r="V251" i="33"/>
  <c r="AA251" i="33"/>
  <c r="P251" i="33"/>
  <c r="S265" i="33"/>
  <c r="W265" i="33"/>
  <c r="U265" i="33"/>
  <c r="T265" i="33"/>
  <c r="AF265" i="33"/>
  <c r="P265" i="33"/>
  <c r="AD265" i="33"/>
  <c r="V265" i="33"/>
  <c r="AC265" i="33"/>
  <c r="R265" i="33"/>
  <c r="O265" i="33"/>
  <c r="Z265" i="33"/>
  <c r="X265" i="33"/>
  <c r="Y265" i="33"/>
  <c r="AB265" i="33"/>
  <c r="Q265" i="33"/>
  <c r="AE265" i="33"/>
  <c r="AA265" i="33"/>
  <c r="AB260" i="33"/>
  <c r="V260" i="33"/>
  <c r="X260" i="33"/>
  <c r="AA260" i="33"/>
  <c r="U260" i="33"/>
  <c r="T260" i="33"/>
  <c r="Q260" i="33"/>
  <c r="S260" i="33"/>
  <c r="AE260" i="33"/>
  <c r="Y260" i="33"/>
  <c r="Z260" i="33"/>
  <c r="R260" i="33"/>
  <c r="AC260" i="33"/>
  <c r="AF260" i="33"/>
  <c r="O260" i="33"/>
  <c r="P260" i="33"/>
  <c r="AD260" i="33"/>
  <c r="W260" i="33"/>
  <c r="X248" i="33"/>
  <c r="AA248" i="33"/>
  <c r="AF248" i="33"/>
  <c r="Y248" i="33"/>
  <c r="T248" i="33"/>
  <c r="AD248" i="33"/>
  <c r="S248" i="33"/>
  <c r="U248" i="33"/>
  <c r="P248" i="33"/>
  <c r="Q248" i="33"/>
  <c r="Z248" i="33"/>
  <c r="V248" i="33"/>
  <c r="W248" i="33"/>
  <c r="AB248" i="33"/>
  <c r="O248" i="33"/>
  <c r="R248" i="33"/>
  <c r="AC248" i="33"/>
  <c r="AE248" i="33"/>
  <c r="AC262" i="33"/>
  <c r="U262" i="33"/>
  <c r="T262" i="33"/>
  <c r="R262" i="33"/>
  <c r="V262" i="33"/>
  <c r="S262" i="33"/>
  <c r="AB262" i="33"/>
  <c r="AF262" i="33"/>
  <c r="AD262" i="33"/>
  <c r="AA262" i="33"/>
  <c r="W262" i="33"/>
  <c r="Y262" i="33"/>
  <c r="Z262" i="33"/>
  <c r="O262" i="33"/>
  <c r="X262" i="33"/>
  <c r="Q262" i="33"/>
  <c r="P262" i="33"/>
  <c r="AE262" i="33"/>
  <c r="AE277" i="33"/>
  <c r="Y277" i="33"/>
  <c r="R277" i="33"/>
  <c r="W277" i="33"/>
  <c r="AF277" i="33"/>
  <c r="T277" i="33"/>
  <c r="O277" i="33"/>
  <c r="U277" i="33"/>
  <c r="P277" i="33"/>
  <c r="AB277" i="33"/>
  <c r="V277" i="33"/>
  <c r="X277" i="33"/>
  <c r="Q277" i="33"/>
  <c r="Z277" i="33"/>
  <c r="AA277" i="33"/>
  <c r="AD277" i="33"/>
  <c r="S277" i="33"/>
  <c r="AC277" i="33"/>
  <c r="U273" i="33"/>
  <c r="Y273" i="33"/>
  <c r="W273" i="33"/>
  <c r="R273" i="33"/>
  <c r="O273" i="33"/>
  <c r="AA273" i="33"/>
  <c r="P273" i="33"/>
  <c r="AD273" i="33"/>
  <c r="AE273" i="33"/>
  <c r="AB273" i="33"/>
  <c r="S273" i="33"/>
  <c r="V273" i="33"/>
  <c r="AF273" i="33"/>
  <c r="Q273" i="33"/>
  <c r="T273" i="33"/>
  <c r="X273" i="33"/>
  <c r="AC273" i="33"/>
  <c r="Z273" i="33"/>
  <c r="V257" i="33"/>
  <c r="R257" i="33"/>
  <c r="AF257" i="33"/>
  <c r="W257" i="33"/>
  <c r="O257" i="33"/>
  <c r="Z257" i="33"/>
  <c r="Q257" i="33"/>
  <c r="X257" i="33"/>
  <c r="AD257" i="33"/>
  <c r="U257" i="33"/>
  <c r="Y257" i="33"/>
  <c r="AB257" i="33"/>
  <c r="S257" i="33"/>
  <c r="T257" i="33"/>
  <c r="AC257" i="33"/>
  <c r="AE257" i="33"/>
  <c r="P257" i="33"/>
  <c r="AA257" i="33"/>
  <c r="Z275" i="33"/>
  <c r="P275" i="33"/>
  <c r="U275" i="33"/>
  <c r="Q275" i="33"/>
  <c r="X275" i="33"/>
  <c r="AF275" i="33"/>
  <c r="AC275" i="33"/>
  <c r="AD275" i="33"/>
  <c r="AB275" i="33"/>
  <c r="R275" i="33"/>
  <c r="AA275" i="33"/>
  <c r="T275" i="33"/>
  <c r="AE275" i="33"/>
  <c r="S275" i="33"/>
  <c r="Y275" i="33"/>
  <c r="V275" i="33"/>
  <c r="W275" i="33"/>
  <c r="O275" i="33"/>
  <c r="AC278" i="33"/>
  <c r="X278" i="33"/>
  <c r="P278" i="33"/>
  <c r="S278" i="33"/>
  <c r="AA278" i="33"/>
  <c r="Y278" i="33"/>
  <c r="V278" i="33"/>
  <c r="U278" i="33"/>
  <c r="AF278" i="33"/>
  <c r="T278" i="33"/>
  <c r="AD278" i="33"/>
  <c r="O278" i="33"/>
  <c r="AE278" i="33"/>
  <c r="W278" i="33"/>
  <c r="Q278" i="33"/>
  <c r="AB278" i="33"/>
  <c r="R278" i="33"/>
  <c r="Z278" i="33"/>
  <c r="S256" i="33"/>
  <c r="Q256" i="33"/>
  <c r="T256" i="33"/>
  <c r="AD256" i="33"/>
  <c r="U256" i="33"/>
  <c r="Z256" i="33"/>
  <c r="V256" i="33"/>
  <c r="AE256" i="33"/>
  <c r="AB256" i="33"/>
  <c r="X256" i="33"/>
  <c r="R256" i="33"/>
  <c r="O256" i="33"/>
  <c r="W256" i="33"/>
  <c r="AC256" i="33"/>
  <c r="P256" i="33"/>
  <c r="AF256" i="33"/>
  <c r="Y256" i="33"/>
  <c r="AA256" i="33"/>
  <c r="S274" i="33"/>
  <c r="Z274" i="33"/>
  <c r="P274" i="33"/>
  <c r="AC274" i="33"/>
  <c r="X274" i="33"/>
  <c r="R274" i="33"/>
  <c r="Y274" i="33"/>
  <c r="Q274" i="33"/>
  <c r="W274" i="33"/>
  <c r="V274" i="33"/>
  <c r="AE274" i="33"/>
  <c r="AB274" i="33"/>
  <c r="U274" i="33"/>
  <c r="AF274" i="33"/>
  <c r="AD274" i="33"/>
  <c r="AA274" i="33"/>
  <c r="T274" i="33"/>
  <c r="O274" i="33"/>
  <c r="AB254" i="33"/>
  <c r="U254" i="33"/>
  <c r="Z254" i="33"/>
  <c r="S254" i="33"/>
  <c r="AF254" i="33"/>
  <c r="AE254" i="33"/>
  <c r="X254" i="33"/>
  <c r="Y254" i="33"/>
  <c r="T254" i="33"/>
  <c r="Q254" i="33"/>
  <c r="AA254" i="33"/>
  <c r="V254" i="33"/>
  <c r="P254" i="33"/>
  <c r="AD254" i="33"/>
  <c r="O254" i="33"/>
  <c r="AC254" i="33"/>
  <c r="R254" i="33"/>
  <c r="W254" i="33"/>
  <c r="Z272" i="33"/>
  <c r="W272" i="33"/>
  <c r="AC272" i="33"/>
  <c r="AE272" i="33"/>
  <c r="P272" i="33"/>
  <c r="Q272" i="33"/>
  <c r="V272" i="33"/>
  <c r="U272" i="33"/>
  <c r="Y272" i="33"/>
  <c r="S272" i="33"/>
  <c r="X272" i="33"/>
  <c r="O272" i="33"/>
  <c r="R272" i="33"/>
  <c r="AA272" i="33"/>
  <c r="AD272" i="33"/>
  <c r="AF272" i="33"/>
  <c r="AB272" i="33"/>
  <c r="T272" i="33"/>
  <c r="AE264" i="33"/>
  <c r="V264" i="33"/>
  <c r="O264" i="33"/>
  <c r="T264" i="33"/>
  <c r="U264" i="33"/>
  <c r="AD264" i="33"/>
  <c r="W264" i="33"/>
  <c r="R264" i="33"/>
  <c r="AC264" i="33"/>
  <c r="P264" i="33"/>
  <c r="AF264" i="33"/>
  <c r="Z264" i="33"/>
  <c r="S264" i="33"/>
  <c r="AB264" i="33"/>
  <c r="X264" i="33"/>
  <c r="Y264" i="33"/>
  <c r="Q264" i="33"/>
  <c r="AA264" i="33"/>
  <c r="AG250" i="33"/>
  <c r="Y268" i="33"/>
  <c r="S268" i="33"/>
  <c r="AD268" i="33"/>
  <c r="R268" i="33"/>
  <c r="P268" i="33"/>
  <c r="W268" i="33"/>
  <c r="O268" i="33"/>
  <c r="AC268" i="33"/>
  <c r="U268" i="33"/>
  <c r="AA268" i="33"/>
  <c r="X268" i="33"/>
  <c r="Z268" i="33"/>
  <c r="AE268" i="33"/>
  <c r="T268" i="33"/>
  <c r="AF268" i="33"/>
  <c r="V268" i="33"/>
  <c r="AB268" i="33"/>
  <c r="Q268" i="33"/>
  <c r="AC279" i="33"/>
  <c r="T279" i="33"/>
  <c r="AE279" i="33"/>
  <c r="V279" i="33"/>
  <c r="AB279" i="33"/>
  <c r="U279" i="33"/>
  <c r="Z279" i="33"/>
  <c r="AA279" i="33"/>
  <c r="P279" i="33"/>
  <c r="AD279" i="33"/>
  <c r="Y279" i="33"/>
  <c r="R279" i="33"/>
  <c r="X279" i="33"/>
  <c r="AF279" i="33"/>
  <c r="O279" i="33"/>
  <c r="Q279" i="33"/>
  <c r="W279" i="33"/>
  <c r="S279" i="33"/>
  <c r="Z263" i="33"/>
  <c r="U263" i="33"/>
  <c r="R263" i="33"/>
  <c r="P263" i="33"/>
  <c r="S263" i="33"/>
  <c r="AE263" i="33"/>
  <c r="Y263" i="33"/>
  <c r="T263" i="33"/>
  <c r="X263" i="33"/>
  <c r="W263" i="33"/>
  <c r="AF263" i="33"/>
  <c r="AA263" i="33"/>
  <c r="AB263" i="33"/>
  <c r="Q263" i="33"/>
  <c r="AD263" i="33"/>
  <c r="V263" i="33"/>
  <c r="O263" i="33"/>
  <c r="AC263" i="33"/>
  <c r="AB261" i="33"/>
  <c r="Z261" i="33"/>
  <c r="AE261" i="33"/>
  <c r="Q261" i="33"/>
  <c r="S261" i="33"/>
  <c r="AC261" i="33"/>
  <c r="R261" i="33"/>
  <c r="V261" i="33"/>
  <c r="O261" i="33"/>
  <c r="P261" i="33"/>
  <c r="AA261" i="33"/>
  <c r="T261" i="33"/>
  <c r="U261" i="33"/>
  <c r="X261" i="33"/>
  <c r="AF261" i="33"/>
  <c r="AD261" i="33"/>
  <c r="W261" i="33"/>
  <c r="Y261" i="33"/>
  <c r="X280" i="33"/>
  <c r="S280" i="33"/>
  <c r="V280" i="33"/>
  <c r="P280" i="33"/>
  <c r="AD280" i="33"/>
  <c r="R280" i="33"/>
  <c r="Z280" i="33"/>
  <c r="U280" i="33"/>
  <c r="AE280" i="33"/>
  <c r="AF280" i="33"/>
  <c r="AB280" i="33"/>
  <c r="AC280" i="33"/>
  <c r="T280" i="33"/>
  <c r="W280" i="33"/>
  <c r="Y280" i="33"/>
  <c r="AA280" i="33"/>
  <c r="O280" i="33"/>
  <c r="Q280" i="33"/>
  <c r="AC258" i="33"/>
  <c r="U258" i="33"/>
  <c r="S258" i="33"/>
  <c r="Z258" i="33"/>
  <c r="V258" i="33"/>
  <c r="AD258" i="33"/>
  <c r="AB258" i="33"/>
  <c r="X258" i="33"/>
  <c r="O258" i="33"/>
  <c r="Q258" i="33"/>
  <c r="AF258" i="33"/>
  <c r="W258" i="33"/>
  <c r="AE258" i="33"/>
  <c r="AA258" i="33"/>
  <c r="P258" i="33"/>
  <c r="Y258" i="33"/>
  <c r="R258" i="33"/>
  <c r="T258" i="33"/>
  <c r="AG276" i="33" l="1"/>
  <c r="AG274" i="33"/>
  <c r="AG265" i="33"/>
  <c r="AG249" i="33"/>
  <c r="AG270" i="33"/>
  <c r="AG252" i="33"/>
  <c r="AG272" i="33"/>
  <c r="AG262" i="33"/>
  <c r="AG258" i="33"/>
  <c r="AG273" i="33"/>
  <c r="AG255" i="33"/>
  <c r="AG279" i="33"/>
  <c r="AG267" i="33"/>
  <c r="AG261" i="33"/>
  <c r="AG251" i="33"/>
  <c r="AG278" i="33"/>
  <c r="AG260" i="33"/>
  <c r="AG269" i="33"/>
  <c r="AG268" i="33"/>
  <c r="AG253" i="33"/>
  <c r="AG257" i="33"/>
  <c r="AG271" i="33"/>
  <c r="AG254" i="33"/>
  <c r="AG275" i="33"/>
  <c r="AG280" i="33"/>
  <c r="AG281" i="33"/>
  <c r="AG259" i="33"/>
  <c r="AG263" i="33"/>
  <c r="AG248" i="33"/>
  <c r="AG277" i="33"/>
  <c r="AG264" i="33"/>
  <c r="AG266" i="33"/>
  <c r="AG256" i="3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Consulta1" description="Conexión a la consulta 'Consulta1' en el libro." type="5" refreshedVersion="0" background="1" saveData="1">
    <dbPr connection="Provider=Microsoft.Mashup.OleDb.1;Data Source=$Workbook$;Location=Consulta1;Extended Properties=&quot;&quot;" command="SELECT * FROM [Consulta1]"/>
  </connection>
  <connection id="2" xr16:uid="{00000000-0015-0000-FFFF-FFFF01000000}" keepAlive="1" name="Consulta - dHandicapActual" description="Conexión a la consulta 'dHandicapActual' en el libro." type="5" refreshedVersion="8" background="1" saveData="1">
    <dbPr connection="Provider=Microsoft.Mashup.OleDb.1;Data Source=$Workbook$;Location=dHandicapActual;Extended Properties=&quot;&quot;" command="SELECT * FROM [dHandicapActual]"/>
  </connection>
  <connection id="3" xr16:uid="{00000000-0015-0000-FFFF-FFFF02000000}" name="Consulta - dJugador" description="Conexión a la consulta 'dJugador' en el libro." type="100" refreshedVersion="8" minRefreshableVersion="5">
    <extLst>
      <ext xmlns:x15="http://schemas.microsoft.com/office/spreadsheetml/2010/11/main" uri="{DE250136-89BD-433C-8126-D09CA5730AF9}">
        <x15:connection id="9f49a8c2-3333-4e80-95a5-9833bb6bd91a"/>
      </ext>
    </extLst>
  </connection>
  <connection id="4" xr16:uid="{00000000-0015-0000-FFFF-FFFF03000000}" keepAlive="1" name="Consulta - FicheroDimensiones" description="Conexión a la consulta 'FicheroDimensiones' en el libro." type="5" refreshedVersion="0" background="1">
    <dbPr connection="Provider=Microsoft.Mashup.OleDb.1;Data Source=$Workbook$;Location=FicheroDimensiones;Extended Properties=&quot;&quot;" command="SELECT * FROM [FicheroDimensiones]"/>
  </connection>
  <connection id="5" xr16:uid="{00000000-0015-0000-FFFF-FFFF04000000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<sst xmlns="http://schemas.openxmlformats.org/spreadsheetml/2006/main" count="13820" uniqueCount="3343">
  <si>
    <t>Nombre</t>
  </si>
  <si>
    <t>Mote</t>
  </si>
  <si>
    <t>Icono</t>
  </si>
  <si>
    <t>Nacho Gonzalez</t>
  </si>
  <si>
    <t>Nacho</t>
  </si>
  <si>
    <t>🕺</t>
  </si>
  <si>
    <t>Ignacio Cadarso</t>
  </si>
  <si>
    <t>Ignacio</t>
  </si>
  <si>
    <t>😺</t>
  </si>
  <si>
    <t>Alfonso Hidalgo</t>
  </si>
  <si>
    <t>Alfonso</t>
  </si>
  <si>
    <t>🏌️‍♂️</t>
  </si>
  <si>
    <t>Francisco Alvarez</t>
  </si>
  <si>
    <t>Paco</t>
  </si>
  <si>
    <t>🎸</t>
  </si>
  <si>
    <t>Alvaro Aguirre</t>
  </si>
  <si>
    <t>Gifu</t>
  </si>
  <si>
    <t>🤓</t>
  </si>
  <si>
    <t>José Pablo Guil</t>
  </si>
  <si>
    <t>JP</t>
  </si>
  <si>
    <t>Javier Gonzalez Salvador</t>
  </si>
  <si>
    <t>Javi</t>
  </si>
  <si>
    <t>🐍</t>
  </si>
  <si>
    <t>J. Enrique Gonzalez</t>
  </si>
  <si>
    <t>Kike</t>
  </si>
  <si>
    <t>Alvaro Nieto</t>
  </si>
  <si>
    <t>Alvaro</t>
  </si>
  <si>
    <t>🏊</t>
  </si>
  <si>
    <t>Pablo Munitiz</t>
  </si>
  <si>
    <t>Muni</t>
  </si>
  <si>
    <t>David Sequera</t>
  </si>
  <si>
    <t>David</t>
  </si>
  <si>
    <t>🐗</t>
  </si>
  <si>
    <t>Angel Hernandez</t>
  </si>
  <si>
    <t>Angel</t>
  </si>
  <si>
    <t>GLEZ JUAN JOSÉ</t>
  </si>
  <si>
    <t>Juanjo</t>
  </si>
  <si>
    <t>Ricardo Muelas</t>
  </si>
  <si>
    <t>Ricardo</t>
  </si>
  <si>
    <t>Iñigo Rosas</t>
  </si>
  <si>
    <t>Iñigo</t>
  </si>
  <si>
    <t>Jesus Touceda</t>
  </si>
  <si>
    <t>Jesús</t>
  </si>
  <si>
    <t>Luis Escudero</t>
  </si>
  <si>
    <t>Lucho</t>
  </si>
  <si>
    <t>🏍</t>
  </si>
  <si>
    <t>Javier Cervera</t>
  </si>
  <si>
    <t>Virus</t>
  </si>
  <si>
    <t>🦠</t>
  </si>
  <si>
    <t>Francisco Hidalgo</t>
  </si>
  <si>
    <t>Fran</t>
  </si>
  <si>
    <t>Miguel Diaz Del Moral</t>
  </si>
  <si>
    <t>Cañita</t>
  </si>
  <si>
    <t>🍺</t>
  </si>
  <si>
    <t>CME6628917</t>
  </si>
  <si>
    <t>CME6255829</t>
  </si>
  <si>
    <t>CME6308858</t>
  </si>
  <si>
    <t>CME6389026</t>
  </si>
  <si>
    <t>CME6632866</t>
  </si>
  <si>
    <t>CME6296170</t>
  </si>
  <si>
    <t>CME6501940</t>
  </si>
  <si>
    <t>CME6076737</t>
  </si>
  <si>
    <t>CME6259082</t>
  </si>
  <si>
    <t>CME6296171</t>
  </si>
  <si>
    <t>CME6760523</t>
  </si>
  <si>
    <t>CME6756891</t>
  </si>
  <si>
    <t>AM07096812</t>
  </si>
  <si>
    <t>Licencia</t>
  </si>
  <si>
    <t>Orden</t>
  </si>
  <si>
    <t>Fecha</t>
  </si>
  <si>
    <t>Luis Escudero</t>
  </si>
  <si>
    <t>Handicap</t>
  </si>
  <si>
    <t>Cat</t>
  </si>
  <si>
    <t>Tipo</t>
  </si>
  <si>
    <t>Fed</t>
  </si>
  <si>
    <t>Cuart</t>
  </si>
  <si>
    <t>Min</t>
  </si>
  <si>
    <t>Max</t>
  </si>
  <si>
    <t>Campo</t>
  </si>
  <si>
    <t>Organizado</t>
  </si>
  <si>
    <t>Normal</t>
  </si>
  <si>
    <t>Major</t>
  </si>
  <si>
    <t>RdosQuitar</t>
  </si>
  <si>
    <t>NºTornPunt</t>
  </si>
  <si>
    <t>Rk</t>
  </si>
  <si>
    <t>2019-2020</t>
  </si>
  <si>
    <t>Si</t>
  </si>
  <si>
    <t>No</t>
  </si>
  <si>
    <t>TorneoID</t>
  </si>
  <si>
    <t>1</t>
  </si>
  <si>
    <t>2</t>
  </si>
  <si>
    <t>3</t>
  </si>
  <si>
    <t>4</t>
  </si>
  <si>
    <t>NºTorneo</t>
  </si>
  <si>
    <t>👮‍♂️</t>
  </si>
  <si>
    <t>✈️</t>
  </si>
  <si>
    <t>⚓️</t>
  </si>
  <si>
    <t>☠️</t>
  </si>
  <si>
    <t>🦍</t>
  </si>
  <si>
    <t>🍴</t>
  </si>
  <si>
    <t>🖐🏻</t>
  </si>
  <si>
    <t>Nombre y Apellidos</t>
  </si>
  <si>
    <t>Ignacio González Salvador</t>
  </si>
  <si>
    <t>Ignacio Cadarso Amador</t>
  </si>
  <si>
    <t>Alfonso Hidalgo Lopez de Ayala</t>
  </si>
  <si>
    <t>Alvaro Aguirre Rodriguez</t>
  </si>
  <si>
    <t>Javier Cervera Rodriguez</t>
  </si>
  <si>
    <t>Julio Enrique Gonzalez Salvador</t>
  </si>
  <si>
    <t>David Sequera Merino</t>
  </si>
  <si>
    <t>Angel Hernandez Rilova</t>
  </si>
  <si>
    <t>Juan José Gonzalez Salvador</t>
  </si>
  <si>
    <t>Francisco Hidalgo Lopez de Ayala</t>
  </si>
  <si>
    <t>Francisco Alvarez Oliva</t>
  </si>
  <si>
    <t>José Pablo Guil Salvador</t>
  </si>
  <si>
    <t>CME6089043</t>
  </si>
  <si>
    <t>Alvaro Nieto Esteban</t>
  </si>
  <si>
    <t>Pablo Munitiz San Martin</t>
  </si>
  <si>
    <t>Jesus Rodriguez Touceda</t>
  </si>
  <si>
    <t>Luis Manuel Escudero Mas</t>
  </si>
  <si>
    <t>Miguel Diaz del Moral Berdun</t>
  </si>
  <si>
    <t>CME6392431</t>
  </si>
  <si>
    <t>🍄</t>
  </si>
  <si>
    <t>💀</t>
  </si>
  <si>
    <t>Miche</t>
  </si>
  <si>
    <t>rneo Encin, 1 liga Cuartilla 28/12 10:50h-11:20h</t>
  </si>
  <si>
    <t>1. David 🐗</t>
  </si>
  <si>
    <t>2. Gifu 🤓</t>
  </si>
  <si>
    <t>3. Alvaro 🏊🏼‍♂️</t>
  </si>
  <si>
    <t>4. Nacho 🖐️</t>
  </si>
  <si>
    <t>5. Alfonso 🏌️‍♂️</t>
  </si>
  <si>
    <t>6. Miche 🐲</t>
  </si>
  <si>
    <t>🐲</t>
  </si>
  <si>
    <t>Vicente Lopez Calderón</t>
  </si>
  <si>
    <t>2021</t>
  </si>
  <si>
    <t>CMA8937096</t>
  </si>
  <si>
    <t>Miche Lopez</t>
  </si>
  <si>
    <t>Motivo</t>
  </si>
  <si>
    <t>Nº Torneo</t>
  </si>
  <si>
    <t>Temporada</t>
  </si>
  <si>
    <t>Hoyo</t>
  </si>
  <si>
    <t>Vuelta</t>
  </si>
  <si>
    <t>Barras</t>
  </si>
  <si>
    <t>Amarillas</t>
  </si>
  <si>
    <t>Campo-Barras</t>
  </si>
  <si>
    <t>Tee Salida</t>
  </si>
  <si>
    <t>Fecha CSC</t>
  </si>
  <si>
    <t>B Santander</t>
  </si>
  <si>
    <t>La Faisanera</t>
  </si>
  <si>
    <t>El Encín</t>
  </si>
  <si>
    <t>Stableford</t>
  </si>
  <si>
    <t>Dobles</t>
  </si>
  <si>
    <t>Individual</t>
  </si>
  <si>
    <t>Resultado</t>
  </si>
  <si>
    <t>W-L</t>
  </si>
  <si>
    <t>9&amp;8</t>
  </si>
  <si>
    <t>4&amp;2</t>
  </si>
  <si>
    <t>4&amp;3</t>
  </si>
  <si>
    <t>5&amp;3</t>
  </si>
  <si>
    <t>Tipo Torneo</t>
  </si>
  <si>
    <t>Camp CSC</t>
  </si>
  <si>
    <t>Previo 2020</t>
  </si>
  <si>
    <t>Liga 2021</t>
  </si>
  <si>
    <t>El Robledal</t>
  </si>
  <si>
    <t>Prueba</t>
  </si>
  <si>
    <t>Total</t>
  </si>
  <si>
    <t>Centro Nacional</t>
  </si>
  <si>
    <t>Puntos</t>
  </si>
  <si>
    <t>(Todas)</t>
  </si>
  <si>
    <t>Promedio de Puntos</t>
  </si>
  <si>
    <t>1º =&gt; -10</t>
  </si>
  <si>
    <t>2º =&gt; -8</t>
  </si>
  <si>
    <t>3ª =&gt; -7</t>
  </si>
  <si>
    <t>4ª =&gt; -6</t>
  </si>
  <si>
    <t>5ª =&gt; -5</t>
  </si>
  <si>
    <t>6º - 10º =&gt; -4</t>
  </si>
  <si>
    <t>11ª - 15ª =&gt; - 3</t>
  </si>
  <si>
    <t>16ª - 20º =&gt; -2</t>
  </si>
  <si>
    <t>Pos</t>
  </si>
  <si>
    <t>Golpes</t>
  </si>
  <si>
    <t>Neto</t>
  </si>
  <si>
    <t>Jugadores</t>
  </si>
  <si>
    <t>Jugador</t>
  </si>
  <si>
    <t>David 🐗</t>
  </si>
  <si>
    <t>Paco 🎸</t>
  </si>
  <si>
    <t>Gifu 🤓</t>
  </si>
  <si>
    <t>Fran ⚓️</t>
  </si>
  <si>
    <t>Nacho 🖐🏻</t>
  </si>
  <si>
    <t>Javi 🐍</t>
  </si>
  <si>
    <t>Kike 💀</t>
  </si>
  <si>
    <t>Juanjo 🦍</t>
  </si>
  <si>
    <t>Ignacio 😺</t>
  </si>
  <si>
    <t>Alvaro 🏊</t>
  </si>
  <si>
    <t>Alfonso 🏌️‍♂️</t>
  </si>
  <si>
    <t>Jesús 🍄</t>
  </si>
  <si>
    <t>Virus 🦠</t>
  </si>
  <si>
    <t>JP ✈️</t>
  </si>
  <si>
    <t>Miche 🐲</t>
  </si>
  <si>
    <t>Juegan</t>
  </si>
  <si>
    <t>x</t>
  </si>
  <si>
    <t>Partidos 4</t>
  </si>
  <si>
    <t>Partidos 3</t>
  </si>
  <si>
    <t>Alvaro Montoya</t>
  </si>
  <si>
    <t>Monti</t>
  </si>
  <si>
    <t>Ruslan Kochman</t>
  </si>
  <si>
    <t>Rus</t>
  </si>
  <si>
    <t>Nacho Casas</t>
  </si>
  <si>
    <t>Nachete</t>
  </si>
  <si>
    <t>Franck Benouniche</t>
  </si>
  <si>
    <t>Franck</t>
  </si>
  <si>
    <t>AM62044928</t>
  </si>
  <si>
    <t>CM15259757</t>
  </si>
  <si>
    <t>CM15620350</t>
  </si>
  <si>
    <t>CM15639290</t>
  </si>
  <si>
    <t>Alvaro Montoya Soler</t>
  </si>
  <si>
    <t>Ignacio Casas Martín</t>
  </si>
  <si>
    <t>Franck Benouniche Founier</t>
  </si>
  <si>
    <t>2022</t>
  </si>
  <si>
    <t>Javier Lopez Gullón</t>
  </si>
  <si>
    <t>Cuñao</t>
  </si>
  <si>
    <t>CME6765008</t>
  </si>
  <si>
    <t>🏃‍♂️</t>
  </si>
  <si>
    <t>👨🏻‍⚖️</t>
  </si>
  <si>
    <t>🏹</t>
  </si>
  <si>
    <t>🧸</t>
  </si>
  <si>
    <t>🐅</t>
  </si>
  <si>
    <t>Javier Chiralt</t>
  </si>
  <si>
    <t>Chiralt</t>
  </si>
  <si>
    <t>Inv</t>
  </si>
  <si>
    <t>Javier Chiralt Perez</t>
  </si>
  <si>
    <t>Alfonso Zorrilla</t>
  </si>
  <si>
    <t>A Zorrilla</t>
  </si>
  <si>
    <t>CM00159560</t>
  </si>
  <si>
    <t xml:space="preserve"> 🐺</t>
  </si>
  <si>
    <t>The Final</t>
  </si>
  <si>
    <t>5</t>
  </si>
  <si>
    <t>6</t>
  </si>
  <si>
    <t>7</t>
  </si>
  <si>
    <t>8</t>
  </si>
  <si>
    <t>9</t>
  </si>
  <si>
    <t>10</t>
  </si>
  <si>
    <t>11</t>
  </si>
  <si>
    <t>Salidas</t>
  </si>
  <si>
    <t>Hdcp</t>
  </si>
  <si>
    <t>Clasif</t>
  </si>
  <si>
    <t>CM52419365</t>
  </si>
  <si>
    <t>Lerma</t>
  </si>
  <si>
    <t>DiaSem</t>
  </si>
  <si>
    <t>🐣</t>
  </si>
  <si>
    <t>Enrique Gonzalez R</t>
  </si>
  <si>
    <t>Enrique</t>
  </si>
  <si>
    <t>CM87625434</t>
  </si>
  <si>
    <t>Pablo Enrique Gonzalez Ramirez</t>
  </si>
  <si>
    <t>CM02386035</t>
  </si>
  <si>
    <t>BP16300744</t>
  </si>
  <si>
    <t>CME6296994</t>
  </si>
  <si>
    <t>De 4</t>
  </si>
  <si>
    <t>De 3</t>
  </si>
  <si>
    <t>Partidas</t>
  </si>
  <si>
    <t>Jug</t>
  </si>
  <si>
    <t>Alejandro Arcos</t>
  </si>
  <si>
    <t>Alejandro Arcos Campillo</t>
  </si>
  <si>
    <t>CM00358747</t>
  </si>
  <si>
    <t>Alex</t>
  </si>
  <si>
    <t>🍗</t>
  </si>
  <si>
    <t>Antonio Carmona</t>
  </si>
  <si>
    <t>Antonio</t>
  </si>
  <si>
    <t>CM00157281</t>
  </si>
  <si>
    <t>Antonio Carmona Quesada</t>
  </si>
  <si>
    <t>Santi</t>
  </si>
  <si>
    <t>CM05807868</t>
  </si>
  <si>
    <t>Santiago Diaz Dominguez</t>
  </si>
  <si>
    <t>Santi Diaz</t>
  </si>
  <si>
    <t>Socio</t>
  </si>
  <si>
    <t>Inscrito MP</t>
  </si>
  <si>
    <t>RkHdcp</t>
  </si>
  <si>
    <t>n.a.</t>
  </si>
  <si>
    <t>Grupo</t>
  </si>
  <si>
    <t>Total 1</t>
  </si>
  <si>
    <t>Total 2</t>
  </si>
  <si>
    <t>Total 3</t>
  </si>
  <si>
    <t>Total 4</t>
  </si>
  <si>
    <t>Valores</t>
  </si>
  <si>
    <t xml:space="preserve"> RkHdcp</t>
  </si>
  <si>
    <t xml:space="preserve"> Hdcp</t>
  </si>
  <si>
    <t>Opc 2</t>
  </si>
  <si>
    <t>Carlos Hijas Galvez</t>
  </si>
  <si>
    <t>Carlos Maestro Aguilera</t>
  </si>
  <si>
    <t>Juan Jose Aguado Rodriguez de Trio</t>
  </si>
  <si>
    <t>Jaime Villanueva Ghisleri</t>
  </si>
  <si>
    <t>Jaime Villanueva</t>
  </si>
  <si>
    <t>Carlos Hijas</t>
  </si>
  <si>
    <t>Carlos Maestro</t>
  </si>
  <si>
    <t>Jaime</t>
  </si>
  <si>
    <t>Juan Jose Aguado</t>
  </si>
  <si>
    <t>Hijas</t>
  </si>
  <si>
    <t>A Zorrilla  🐺</t>
  </si>
  <si>
    <t>AM12098542</t>
  </si>
  <si>
    <t>Jorge Alberto Martínez Sánchez</t>
  </si>
  <si>
    <t>Ignacio Gracia Charlez</t>
  </si>
  <si>
    <t>I Gracia</t>
  </si>
  <si>
    <t>CM15762628</t>
  </si>
  <si>
    <t>Hora</t>
  </si>
  <si>
    <t>Tee</t>
  </si>
  <si>
    <t>IdKPI</t>
  </si>
  <si>
    <t>KPI</t>
  </si>
  <si>
    <t>Tipo KPI</t>
  </si>
  <si>
    <t>Medida</t>
  </si>
  <si>
    <t>"IdKPI" ,</t>
  </si>
  <si>
    <t xml:space="preserve">,"Valor", </t>
  </si>
  <si>
    <t>Asistentes</t>
  </si>
  <si>
    <t>[Asistentes]</t>
  </si>
  <si>
    <t>[Golpes]</t>
  </si>
  <si>
    <t>Hoyos</t>
  </si>
  <si>
    <t>[Hoyos]</t>
  </si>
  <si>
    <t>Eagle</t>
  </si>
  <si>
    <t>[Eagle]</t>
  </si>
  <si>
    <t>Birdie</t>
  </si>
  <si>
    <t>Par</t>
  </si>
  <si>
    <t>Boguey</t>
  </si>
  <si>
    <t>DBoguey</t>
  </si>
  <si>
    <t>Peor DB</t>
  </si>
  <si>
    <t>Clasificación</t>
  </si>
  <si>
    <t>🚵‍♂</t>
  </si>
  <si>
    <t>🤠</t>
  </si>
  <si>
    <t>⛳</t>
  </si>
  <si>
    <t>Monti ⛳</t>
  </si>
  <si>
    <t>Eduardo Buendía</t>
  </si>
  <si>
    <t>Eduardo</t>
  </si>
  <si>
    <t>Javier Arcos</t>
  </si>
  <si>
    <t>J.Arcos</t>
  </si>
  <si>
    <t>Eduardo Buendía Pan</t>
  </si>
  <si>
    <t>CM00192650</t>
  </si>
  <si>
    <t>CM00065999</t>
  </si>
  <si>
    <t>Javier Arcos Campillo</t>
  </si>
  <si>
    <t>vs Primero</t>
  </si>
  <si>
    <t>Golpes+</t>
  </si>
  <si>
    <t>Tot</t>
  </si>
  <si>
    <t>Ptos</t>
  </si>
  <si>
    <t>Golpes-</t>
  </si>
  <si>
    <t>Emi</t>
  </si>
  <si>
    <t>Emiliano Buendía Stati</t>
  </si>
  <si>
    <t>Emiliano Buendía</t>
  </si>
  <si>
    <t>Invitado Por</t>
  </si>
  <si>
    <t>CME6169895</t>
  </si>
  <si>
    <t>Cuart2023</t>
  </si>
  <si>
    <t>CatOf</t>
  </si>
  <si>
    <t>DifMedia</t>
  </si>
  <si>
    <t>Cat Cuart</t>
  </si>
  <si>
    <t>Delegac Voto</t>
  </si>
  <si>
    <t>Columna1</t>
  </si>
  <si>
    <t>Columna2</t>
  </si>
  <si>
    <t>CSC</t>
  </si>
  <si>
    <t>Camp Madrid</t>
  </si>
  <si>
    <t>Montealvar</t>
  </si>
  <si>
    <t>Layos</t>
  </si>
  <si>
    <t>Cabanillas</t>
  </si>
  <si>
    <t>El Fresnillo</t>
  </si>
  <si>
    <t>CNG</t>
  </si>
  <si>
    <t>2023</t>
  </si>
  <si>
    <t>🌵</t>
  </si>
  <si>
    <t>🦐</t>
  </si>
  <si>
    <t>🥟</t>
  </si>
  <si>
    <t>🪱</t>
  </si>
  <si>
    <t>🏆</t>
  </si>
  <si>
    <t xml:space="preserve"> 🐅</t>
  </si>
  <si>
    <t>Retamares</t>
  </si>
  <si>
    <t>Precio</t>
  </si>
  <si>
    <t>Observaciones</t>
  </si>
  <si>
    <t>Total general</t>
  </si>
  <si>
    <t>Suma de Handicap</t>
  </si>
  <si>
    <t>RankHdcp</t>
  </si>
  <si>
    <t>CM81957137</t>
  </si>
  <si>
    <t>CMA8990856</t>
  </si>
  <si>
    <t>CM15989410</t>
  </si>
  <si>
    <t>🏉</t>
  </si>
  <si>
    <t>Luis Fernandez</t>
  </si>
  <si>
    <t>Luis</t>
  </si>
  <si>
    <t>CM56622888</t>
  </si>
  <si>
    <t>Javier Campo</t>
  </si>
  <si>
    <t>Javier Campo Baelo</t>
  </si>
  <si>
    <t>CM15982045</t>
  </si>
  <si>
    <t>Juancho</t>
  </si>
  <si>
    <t>Jorge</t>
  </si>
  <si>
    <t>Juan Luis Nieto</t>
  </si>
  <si>
    <t>Juan Luis</t>
  </si>
  <si>
    <t>CM05501292</t>
  </si>
  <si>
    <t>Juan Luis Nieto Fernandez</t>
  </si>
  <si>
    <t>&lt;&gt;0</t>
  </si>
  <si>
    <t>Jose Antonio Santana</t>
  </si>
  <si>
    <t>CM33885568</t>
  </si>
  <si>
    <t>Jose Antonio Santana Sanchez</t>
  </si>
  <si>
    <t>J Antonio</t>
  </si>
  <si>
    <t xml:space="preserve">Eduardo </t>
  </si>
  <si>
    <t xml:space="preserve">Miche </t>
  </si>
  <si>
    <t>Enrique ‍♂</t>
  </si>
  <si>
    <t xml:space="preserve">Jesús </t>
  </si>
  <si>
    <t xml:space="preserve">Nachete </t>
  </si>
  <si>
    <t xml:space="preserve">Alvaro </t>
  </si>
  <si>
    <t xml:space="preserve">Alex </t>
  </si>
  <si>
    <t xml:space="preserve">Ignacio </t>
  </si>
  <si>
    <t xml:space="preserve">Paco </t>
  </si>
  <si>
    <t xml:space="preserve">Rus </t>
  </si>
  <si>
    <t xml:space="preserve">Javi </t>
  </si>
  <si>
    <t xml:space="preserve">Nacho </t>
  </si>
  <si>
    <t xml:space="preserve">Angel </t>
  </si>
  <si>
    <t xml:space="preserve">Jorge </t>
  </si>
  <si>
    <t xml:space="preserve">Chiralt </t>
  </si>
  <si>
    <t xml:space="preserve">Virus </t>
  </si>
  <si>
    <t xml:space="preserve">Kike </t>
  </si>
  <si>
    <t>Alfonso ️‍♂️</t>
  </si>
  <si>
    <t xml:space="preserve">J.Arcos </t>
  </si>
  <si>
    <t xml:space="preserve">Gifu </t>
  </si>
  <si>
    <t xml:space="preserve">Juancho </t>
  </si>
  <si>
    <t xml:space="preserve">David </t>
  </si>
  <si>
    <t xml:space="preserve">Juanjo </t>
  </si>
  <si>
    <t>Cuñao ‍⚖️</t>
  </si>
  <si>
    <t xml:space="preserve">Luis </t>
  </si>
  <si>
    <t xml:space="preserve">Franck </t>
  </si>
  <si>
    <t xml:space="preserve">Antonio </t>
  </si>
  <si>
    <t>Ini</t>
  </si>
  <si>
    <t>Sald</t>
  </si>
  <si>
    <t>Tras Sald</t>
  </si>
  <si>
    <t>saldaña</t>
  </si>
  <si>
    <t>lerma</t>
  </si>
  <si>
    <t>Tras lerma</t>
  </si>
  <si>
    <t xml:space="preserve">J Antonio </t>
  </si>
  <si>
    <t>🫥</t>
  </si>
  <si>
    <t>🦎</t>
  </si>
  <si>
    <t>🔥</t>
  </si>
  <si>
    <t>🐧</t>
  </si>
  <si>
    <t xml:space="preserve">duardo </t>
  </si>
  <si>
    <t>Carlitos</t>
  </si>
  <si>
    <t>hoyo</t>
  </si>
  <si>
    <t>1A</t>
  </si>
  <si>
    <t>17A</t>
  </si>
  <si>
    <t>1Bis</t>
  </si>
  <si>
    <t>17Bis</t>
  </si>
  <si>
    <t>Competicion</t>
  </si>
  <si>
    <t>Liga</t>
  </si>
  <si>
    <t>Salida</t>
  </si>
  <si>
    <t>Progresivas</t>
  </si>
  <si>
    <t>Reserva 32 salidas</t>
  </si>
  <si>
    <t>PuntosLiga</t>
  </si>
  <si>
    <t>ClasTorn</t>
  </si>
  <si>
    <t>PuntosTorn</t>
  </si>
  <si>
    <t>PosLiga</t>
  </si>
  <si>
    <t>ClasTorneo</t>
  </si>
  <si>
    <t>PtosLiga</t>
  </si>
  <si>
    <t>PtosTorn</t>
  </si>
  <si>
    <t>PuntosTot</t>
  </si>
  <si>
    <t>Rank</t>
  </si>
  <si>
    <t>Dif</t>
  </si>
  <si>
    <t>Objetivo</t>
  </si>
  <si>
    <t>Los 4 primeros del circuito, si ganan el último ganan, independientemente de lo que hagan los que estén por delante en la clasificación</t>
  </si>
  <si>
    <t>El Encin</t>
  </si>
  <si>
    <t>Saldaña</t>
  </si>
  <si>
    <t>Calatayud</t>
  </si>
  <si>
    <t>Precio 82€ inlcuye lechazo</t>
  </si>
  <si>
    <t>Buggy 30€ ; trollet 12€</t>
  </si>
  <si>
    <t>GF+Cocido 65€</t>
  </si>
  <si>
    <t>Santander</t>
  </si>
  <si>
    <t>Naturávila</t>
  </si>
  <si>
    <t>2024</t>
  </si>
  <si>
    <t>NEquipo</t>
  </si>
  <si>
    <t>Nombre Equipo</t>
  </si>
  <si>
    <t>RkEquipo</t>
  </si>
  <si>
    <t>Equipo</t>
  </si>
  <si>
    <t>__PowerAppsId__</t>
  </si>
  <si>
    <t>1d166cbc-8950-41ba-b862-b7c1e4a278c2</t>
  </si>
  <si>
    <t>79b71327-c489-4e4e-8aee-04ceed86c7f1</t>
  </si>
  <si>
    <t>bff6c657-8cb3-42d5-a667-3afecb8b6018</t>
  </si>
  <si>
    <t>f4da60f7-6556-4cec-b67f-127c58a42ed7</t>
  </si>
  <si>
    <t>9cf0222d-4b91-46c6-9a68-0333d0effab0</t>
  </si>
  <si>
    <t>bd5a876f-4c32-47f2-95ca-3cf9616fc6f4</t>
  </si>
  <si>
    <t>0fd1f4e5-6f7c-475d-b69a-12eb09fbf780</t>
  </si>
  <si>
    <t>e587dc88-50d5-4ace-9960-9c5bb3fcb3a5</t>
  </si>
  <si>
    <t>2f34515d-633d-4eea-83c5-f98a6c893967</t>
  </si>
  <si>
    <t>07c4d00c-33f1-4d99-bcbe-a5719fd91e28</t>
  </si>
  <si>
    <t>e609a2cd-d4d2-4130-b877-c56466bb8fc7</t>
  </si>
  <si>
    <t>cbbca621-b918-4ef7-a741-caeb430a3c03</t>
  </si>
  <si>
    <t>6e49d4cf-6aeb-4d2c-b290-b25eecf5969b</t>
  </si>
  <si>
    <t>b3daa542-efa5-4e46-ac1d-14bc62643d6e</t>
  </si>
  <si>
    <t>4894dffa-d1f4-4b53-a5ba-9abfc6dc2565</t>
  </si>
  <si>
    <t>9bc0ac85-8716-4eed-a6cf-980432b9e0cd</t>
  </si>
  <si>
    <t>00af4f1f-a676-464c-ada9-a192df556a66</t>
  </si>
  <si>
    <t>d9d02747-52de-4320-80d9-931c543a894b</t>
  </si>
  <si>
    <t>749fd436-808b-45fa-9874-dc8a83702855</t>
  </si>
  <si>
    <t>5a273f39-010d-4586-9450-18b9a5556c9f</t>
  </si>
  <si>
    <t>f2b42593-1c97-4281-9832-23f568a4370c</t>
  </si>
  <si>
    <t>a53f085a-a7b0-466b-9905-5e60333724c2</t>
  </si>
  <si>
    <t>c9ec0a26-b64e-4d85-b30f-93004095db40</t>
  </si>
  <si>
    <t>feba40e0-be69-47ef-8846-3551e7d2d348</t>
  </si>
  <si>
    <t>a520cf44-5c7d-4e97-9e48-ca0d9bcb12e9</t>
  </si>
  <si>
    <t>ac168ec4-ff74-4aa9-8f1a-da469883dd6a</t>
  </si>
  <si>
    <t>f0c5f4e8-93f1-4401-8ce4-db7e4478499c</t>
  </si>
  <si>
    <t>6deba88f-6405-4b5b-bb85-5d124be2992c</t>
  </si>
  <si>
    <t>a553225a-4f08-4205-b1ad-3b3ba6b88539</t>
  </si>
  <si>
    <t>03a168eb-a148-4963-a75e-90e1f09eefde</t>
  </si>
  <si>
    <t>f13c805e-3aeb-4e80-b9e1-ec89e8be109e</t>
  </si>
  <si>
    <t>e409199c-e6da-49f6-82da-1f79306e67d6</t>
  </si>
  <si>
    <t>1e5cf8f3-821e-4f0a-b2c5-80b6a087759c</t>
  </si>
  <si>
    <t>0a351fdf-e66e-4783-966f-02d5da4e1136</t>
  </si>
  <si>
    <t>ddee1a49-b4d2-4449-8e43-a0b6e06f6123</t>
  </si>
  <si>
    <t>24bd0b18-6635-4ca6-9c0d-16ea8e7cf33f</t>
  </si>
  <si>
    <t>fdbb1d28-30a2-4000-9e7f-302399503871</t>
  </si>
  <si>
    <t>4ed6c680-ec50-44cf-9f29-9bacdec1ef08</t>
  </si>
  <si>
    <t>fc7705d8-18dc-4340-8f3d-3b93696da521</t>
  </si>
  <si>
    <t>8ac1a1d8-a131-4652-be88-26976507a2d6</t>
  </si>
  <si>
    <t>4801d8fd-6a97-4f43-9082-54bf4261c19e</t>
  </si>
  <si>
    <t>fe0d0d23-37ad-4a03-b939-15e041008efb</t>
  </si>
  <si>
    <t>235d74a0-4926-4cf7-be60-0a679c0ae31c</t>
  </si>
  <si>
    <t>b7c80adb-0f99-4484-9ef8-e7a3e293a0ab</t>
  </si>
  <si>
    <t>32e573a0-ae59-402b-a404-c12c32d16df2</t>
  </si>
  <si>
    <t>b8c8ed6c-4bd1-4f98-a2b1-33542fbc6bcb</t>
  </si>
  <si>
    <t>29df00f1-5df9-4694-a741-8298875350eb</t>
  </si>
  <si>
    <t>59ec2dc2-b354-43e4-ad0f-6b829bf5fa83</t>
  </si>
  <si>
    <t>1568b39b-fce6-4c20-83be-a8c996b6c6b6</t>
  </si>
  <si>
    <t>f1b8ff7e-3bbf-4302-b9f1-687c9c9f8753</t>
  </si>
  <si>
    <t>ca8d6318-c8b8-439b-861f-a4021588780d</t>
  </si>
  <si>
    <t>7755be0a-7469-4773-a862-e3593f539043</t>
  </si>
  <si>
    <t>28231254-ebd0-4c46-8aa8-a1d5db95206f</t>
  </si>
  <si>
    <t>f58a168c-f0e5-41a0-b723-bf62786bf413</t>
  </si>
  <si>
    <t>56fc90d4-e6d5-4f68-9b7e-323bb89946fa</t>
  </si>
  <si>
    <t>032ffcb4-d3c9-4345-b2e8-63a8aa7b4a95</t>
  </si>
  <si>
    <t>8601e5e4-836c-40fb-8eee-602806c0ca14</t>
  </si>
  <si>
    <t>5bd05810-bdfc-43cc-b277-86c2de5412a9</t>
  </si>
  <si>
    <t>b97c73df-0046-46fd-b588-01761a90c765</t>
  </si>
  <si>
    <t>4a28cfa1-5bcd-4d35-9f4b-e8ce107f73a4</t>
  </si>
  <si>
    <t>418154a2-7ce3-4d42-8d3c-194860d63da4</t>
  </si>
  <si>
    <t>98aa828a-1ad8-46bc-9ce0-1b3cb8ff375e</t>
  </si>
  <si>
    <t>e5a71849-103a-4fd2-a7cc-0266dc5ad1dd</t>
  </si>
  <si>
    <t>4dc90bfb-b45a-42bf-a414-55624bad7523</t>
  </si>
  <si>
    <t>7056b31c-40d7-4567-9030-3de2556a8484</t>
  </si>
  <si>
    <t>03757dac-d030-464f-820b-96bb6a4cf3fd</t>
  </si>
  <si>
    <t>e853edcb-7ea8-40f1-b0c6-34b482afeb40</t>
  </si>
  <si>
    <t>696b6b1a-6b43-4aa2-a398-8dd4efe4f870</t>
  </si>
  <si>
    <t>f309934c-66da-47ba-94fd-fb7f70b1927f</t>
  </si>
  <si>
    <t>5b85ea84-9b2e-4f83-a50d-f6d4e07a290d</t>
  </si>
  <si>
    <t>2bdfdb58-03dd-4329-bfc5-2d2831aa6390</t>
  </si>
  <si>
    <t>cd92c8ca-e3a2-4b03-8f98-b3969f9bb73a</t>
  </si>
  <si>
    <t>96557c72-aa09-4820-9c75-ec7313de2d4a</t>
  </si>
  <si>
    <t>6793d2d1-42ea-4824-8e14-14f22deb5b9a</t>
  </si>
  <si>
    <t>bc84bc4b-0bea-4261-89f2-e47a32c4a0f6</t>
  </si>
  <si>
    <t>670c17dd-5fc0-449b-a1e6-ff02e5614f19</t>
  </si>
  <si>
    <t>c969bd43-75b4-4c5d-8c01-617c54645f2e</t>
  </si>
  <si>
    <t>16a1c1ef-1283-41d7-8950-99b602e1846b</t>
  </si>
  <si>
    <t>4c29a3f4-cdc2-4126-b662-12b872029fa7</t>
  </si>
  <si>
    <t>0f5a80bd-ba37-4cab-8724-d14e1518c3eb</t>
  </si>
  <si>
    <t>80baf625-6e47-4f25-9927-6938c09c25fd</t>
  </si>
  <si>
    <t>e140ea2d-35ed-45e1-9d1f-ca25d6100625</t>
  </si>
  <si>
    <t>98a4f27b-02b9-438c-a0ab-412b9cb76346</t>
  </si>
  <si>
    <t>5bc420d4-3cad-4399-b573-e30f34acf030</t>
  </si>
  <si>
    <t>f93a3381-7095-41a0-bd19-0f545c256578</t>
  </si>
  <si>
    <t>b2c2d2fa-cda0-4f96-979a-54c461c14023</t>
  </si>
  <si>
    <t>7f54858c-7212-4c41-85ea-ea8e0814278a</t>
  </si>
  <si>
    <t>f3ff28cc-8066-48ca-a057-f77fb8fc4ffa</t>
  </si>
  <si>
    <t>ced5a964-3d77-41c9-904c-70963fba887d</t>
  </si>
  <si>
    <t>d404eaec-24fc-4ef2-a4d2-b703efd8c8c1</t>
  </si>
  <si>
    <t>89e5395a-555b-4f39-ba95-44530e5ef8f4</t>
  </si>
  <si>
    <t>7056b6e9-bbbe-40ea-90c5-5ceb0f71582b</t>
  </si>
  <si>
    <t>b1de6270-3b11-497a-bc3f-b7296a592725</t>
  </si>
  <si>
    <t>ea706312-220e-40eb-859f-53bbd346dd14</t>
  </si>
  <si>
    <t>9c3fd1f7-4579-446c-8191-0e50ae9513aa</t>
  </si>
  <si>
    <t>0c9bf014-6f63-4cfa-b4ab-1fe3df83d5f5</t>
  </si>
  <si>
    <t>e3b39b45-ee32-4303-b7fc-0a6ec6ae86c0</t>
  </si>
  <si>
    <t>a0161313-cd92-43a7-ad3f-c4dfef10ee85</t>
  </si>
  <si>
    <t>5facbd42-808c-42a0-8b24-c285d856c964</t>
  </si>
  <si>
    <t>a965b5a9-d2e9-460e-935a-3c1d4b42cd49</t>
  </si>
  <si>
    <t>e0889494-f12f-470a-9c40-236ebf6e4661</t>
  </si>
  <si>
    <t>63625a8b-b717-44e2-ad8b-a545dfdd289d</t>
  </si>
  <si>
    <t>75338720-e282-479f-bf49-9cea545edc80</t>
  </si>
  <si>
    <t>30db3f39-7f99-459d-a07d-52450e8a65a9</t>
  </si>
  <si>
    <t>4d1ad4ca-3999-4f2d-96f4-eaf12e2d1627</t>
  </si>
  <si>
    <t>e9127866-a6f1-46fb-94ec-b8509476f69d</t>
  </si>
  <si>
    <t>974fe26c-555c-4f08-a4d8-08d1bafc5017</t>
  </si>
  <si>
    <t>36e1b2fe-48bd-4d83-8b0a-cf16ec37538f</t>
  </si>
  <si>
    <t>490d06c9-4b0e-450d-b465-914d5d56f899</t>
  </si>
  <si>
    <t>01ebdbc6-f8e3-42eb-ae3a-1ad97b386bc7</t>
  </si>
  <si>
    <t>43f1ac68-3277-4eec-888f-78d0d0f69fb7</t>
  </si>
  <si>
    <t>98cac75f-fa49-4c99-a04c-8b4117cc79a4</t>
  </si>
  <si>
    <t>ab249e55-aa43-4a07-b5d2-dfc5bb231cfa</t>
  </si>
  <si>
    <t>99fe8ce6-c0e9-44ee-b646-a730d374a263</t>
  </si>
  <si>
    <t>c409dcc5-67f6-4444-a8ff-1a22f621c92f</t>
  </si>
  <si>
    <t>f22c8f64-998a-4346-9b3c-d8b2aeec943e</t>
  </si>
  <si>
    <t>b3943220-27ea-4de1-9ca5-14355f89870f</t>
  </si>
  <si>
    <t>11e4158a-9494-4226-b277-774a348e1ca5</t>
  </si>
  <si>
    <t>604f7f61-dee4-4d55-86c0-9e9304c072ec</t>
  </si>
  <si>
    <t>0729926d-ee0a-4b36-bc71-f8f227e45ae2</t>
  </si>
  <si>
    <t>ce235d02-72d0-4375-b6d5-258fe58f4a94</t>
  </si>
  <si>
    <t>6e0cc60c-75c9-4a90-8745-2081a7fcd0c9</t>
  </si>
  <si>
    <t>ee2057f1-fb92-42d1-8845-f4e9e1af1cba</t>
  </si>
  <si>
    <t>73df03a1-6a84-4ff3-8fce-20c34872687d</t>
  </si>
  <si>
    <t>e25eff55-0da0-4226-abfa-7828b3aa2e47</t>
  </si>
  <si>
    <t>1889d061-ef0a-40be-8df4-f94e55d4c667</t>
  </si>
  <si>
    <t>1039c434-fba4-4a57-91f4-39796636bbde</t>
  </si>
  <si>
    <t>458a1cad-b800-4f1b-af25-aa23867b37cc</t>
  </si>
  <si>
    <t>89bee348-ebed-4cf8-86ab-05a1dc38aeb0</t>
  </si>
  <si>
    <t>9a1f3996-7813-4a7a-8dcc-8cbdd6a932f1</t>
  </si>
  <si>
    <t>57087469-898e-4bc2-bc68-585d7b4c70e1</t>
  </si>
  <si>
    <t>4f4fb152-1348-433b-8bc1-1acfb6542757</t>
  </si>
  <si>
    <t>02ec17b5-52b8-44d8-bc16-4c59ef9a1a95</t>
  </si>
  <si>
    <t>2602c9a0-27f6-475f-b65d-5250c33bad28</t>
  </si>
  <si>
    <t>20d8540f-7043-427a-86f2-449fe905c517</t>
  </si>
  <si>
    <t>398c221d-c250-41da-9cb2-a26a727f9d77</t>
  </si>
  <si>
    <t>b9f9ec35-a208-4cb8-bbab-8b720be25559</t>
  </si>
  <si>
    <t>b61001bc-f2a2-4a9a-90cd-9fd77cb72351</t>
  </si>
  <si>
    <t>29bd1b3f-5ebd-46c8-8e39-e05a47d8b607</t>
  </si>
  <si>
    <t>820a94d5-2e7b-4ab6-8a81-c13897e20d11</t>
  </si>
  <si>
    <t>905f1395-8025-4cbb-8bde-9a6f90c5f1f0</t>
  </si>
  <si>
    <t>718b8359-d6e7-4a9c-ab21-ebe390056937</t>
  </si>
  <si>
    <t>077ec88f-a09b-415e-9640-998d32c04cc8</t>
  </si>
  <si>
    <t>52b026a1-98e6-4582-8115-544eded0e3b4</t>
  </si>
  <si>
    <t>c3ce3a40-5d0d-45cc-bdba-eb455aad4539</t>
  </si>
  <si>
    <t>75f69a3a-6522-4f9b-bf27-e32ca442faae</t>
  </si>
  <si>
    <t>e92c8d85-4920-425e-b33c-9d9fec21aa63</t>
  </si>
  <si>
    <t>2ca88062-1502-4651-b610-d49c1f1c49b2</t>
  </si>
  <si>
    <t>de9680e9-7a11-49f6-a4b1-909bb82eaef8</t>
  </si>
  <si>
    <t>2af1960c-0684-4c5f-91e5-1f4569b4d144</t>
  </si>
  <si>
    <t>18d19c8c-5922-4461-b653-c7643a9003f0</t>
  </si>
  <si>
    <t>77e4e60e-af29-4a58-9dd0-87b64dd5394b</t>
  </si>
  <si>
    <t>219551f7-9b32-4842-8c30-2571c88067fa</t>
  </si>
  <si>
    <t>dc3a6551-a095-4635-be1f-b5875a5f0623</t>
  </si>
  <si>
    <t>cbb00bb5-22be-4263-9285-65c6d97ba5c3</t>
  </si>
  <si>
    <t>58d5a896-2cdb-4522-aa1c-85c298faa2aa</t>
  </si>
  <si>
    <t>56f9b2f1-9157-4248-a3d5-809374ae0712</t>
  </si>
  <si>
    <t>80a640cd-f27d-408b-981f-d21061950270</t>
  </si>
  <si>
    <t>6ad63877-2388-49df-abe3-ba1c2bca1879</t>
  </si>
  <si>
    <t>b9acc71a-049e-479c-b11a-cb6a13cb708e</t>
  </si>
  <si>
    <t>27d0f48d-512b-4e5f-af9a-b3c3734c1d2a</t>
  </si>
  <si>
    <t>1fe1bc15-ac9e-4632-aac2-4df952c8de83</t>
  </si>
  <si>
    <t>8436f52d-5038-4924-8405-3306cb623bd2</t>
  </si>
  <si>
    <t>346e9168-c4d9-48dc-b170-1e70664ce8f2</t>
  </si>
  <si>
    <t>5911d3c3-ba97-4abb-b480-e8528c9ed57a</t>
  </si>
  <si>
    <t>e91c052e-7c5c-47c4-93e3-4d528ff073d5</t>
  </si>
  <si>
    <t>f37b74f2-ea6f-4ecb-b3c3-2555ccf3ec92</t>
  </si>
  <si>
    <t>93dfb03e-d384-4dc4-9554-6b2410fa7f8c</t>
  </si>
  <si>
    <t>560e5559-8e43-442f-bc31-2d580c44d38d</t>
  </si>
  <si>
    <t>2a30967b-1a6f-4adf-9c0d-4e190fdb949e</t>
  </si>
  <si>
    <t>adab3625-373e-4f50-84a1-65b48c2781df</t>
  </si>
  <si>
    <t>285083e2-af8c-4a91-a89f-7ba7644c770f</t>
  </si>
  <si>
    <t>cb58c5dd-a4b5-456f-b1f2-d3ed82852f64</t>
  </si>
  <si>
    <t>28316099-152b-47cf-9d03-b028982ad086</t>
  </si>
  <si>
    <t>3f4a94fd-2426-474a-8da5-f1c198b613a1</t>
  </si>
  <si>
    <t>a6f81298-72b1-4cf9-97a6-3dd934d80712</t>
  </si>
  <si>
    <t>2244b0fd-d239-4a47-a83a-6f515c7a8600</t>
  </si>
  <si>
    <t>070bd903-9fa6-4da0-91ac-c81ad6974b8a</t>
  </si>
  <si>
    <t>e9ca2d82-5570-4209-b93e-5c5a7d62485b</t>
  </si>
  <si>
    <t>259622ce-2271-4956-81ea-4ec01266fb04</t>
  </si>
  <si>
    <t>0bc91b43-76f6-48e4-b89e-8cb1c485564e</t>
  </si>
  <si>
    <t>754a29e4-7972-485b-ab61-c9121ec1ba63</t>
  </si>
  <si>
    <t>1c2ded15-c077-433a-a0ab-af2d35f57dd8</t>
  </si>
  <si>
    <t>3a4c2286-bc15-4977-8b0f-f96f746a2312</t>
  </si>
  <si>
    <t>8dd28aac-1a80-4acb-bf9e-a6d101246721</t>
  </si>
  <si>
    <t>af9f42cf-b740-4ae6-b4e2-4c0d79b4b927</t>
  </si>
  <si>
    <t>cd9be0ee-722c-4e99-a867-1e57673e9e88</t>
  </si>
  <si>
    <t>6a4ebe3c-780b-4c6d-99f1-d30a0ecfc3f4</t>
  </si>
  <si>
    <t>56f35fd4-80f4-4bb1-99fa-216cbd4f33cf</t>
  </si>
  <si>
    <t>9cf55211-1f54-4f75-b56c-2b0e5a0c2a65</t>
  </si>
  <si>
    <t>ecc8529c-2286-4fc8-8ed2-4953a24ee607</t>
  </si>
  <si>
    <t>7c3ab6d2-ef34-4b39-a2c2-17814b1c65d2</t>
  </si>
  <si>
    <t>79b085db-dcf7-434f-8438-79328b90a5dd</t>
  </si>
  <si>
    <t>4bb93378-b1af-4d6d-b1b7-089d2d4cab19</t>
  </si>
  <si>
    <t>9037998c-5e3e-4a61-a537-0addc6cb520e</t>
  </si>
  <si>
    <t>116b5ae3-5fbb-40c1-87ba-968804cbe98a</t>
  </si>
  <si>
    <t>3003689b-f058-466e-833e-54eda59af4fd</t>
  </si>
  <si>
    <t>7fcc6a33-f556-4c2d-b668-5be34a3d36f6</t>
  </si>
  <si>
    <t>d59d6515-0261-430f-ae55-c4faef57706d</t>
  </si>
  <si>
    <t>5d7e4ff5-6265-4982-a9a5-a4d60d674331</t>
  </si>
  <si>
    <t>35cc70a0-7b88-4376-b291-9973713dcbab</t>
  </si>
  <si>
    <t>b12a2426-9885-4c6d-adc4-49f34398d1f0</t>
  </si>
  <si>
    <t>d99ff93c-3a53-4489-8733-3af7141fb303</t>
  </si>
  <si>
    <t>37663a18-35be-4138-acb5-aedeba82be3f</t>
  </si>
  <si>
    <t>8c7b57b9-68aa-43e9-84cb-1244be67c22c</t>
  </si>
  <si>
    <t>6a1cbdd2-16f2-4e06-a1d5-1abfded1ac61</t>
  </si>
  <si>
    <t>e400f9ce-72cb-4c40-ae5e-d7f90298324f</t>
  </si>
  <si>
    <t>4511b627-3199-439a-84ca-3487f86909b4</t>
  </si>
  <si>
    <t>60e71d56-7513-4305-be8d-ddd5cec0876f</t>
  </si>
  <si>
    <t>c99a045e-7e1f-4e9f-96d5-059720ded4e0</t>
  </si>
  <si>
    <t>a41cc2d5-7530-473a-a977-66b26c14b502</t>
  </si>
  <si>
    <t>d8857cdd-0e47-4077-9661-845b4f6107fb</t>
  </si>
  <si>
    <t>2e9fcd09-5d9a-4b59-8fbd-e0e614d87039</t>
  </si>
  <si>
    <t>fb823ac9-3d31-478e-b27f-0ea10a9b8c39</t>
  </si>
  <si>
    <t>3f82f961-7f7a-4d24-ae3a-b3523c7b5230</t>
  </si>
  <si>
    <t>f63f11bd-2b68-4e18-8353-cfb1e97d2e5a</t>
  </si>
  <si>
    <t>b9ffe4fe-6911-4490-b6f6-f68a2a02d1ec</t>
  </si>
  <si>
    <t>065fa48f-a421-414f-a166-86de06d0af51</t>
  </si>
  <si>
    <t>2b6ef5b3-362d-475f-9f7a-1ffc3f245d52</t>
  </si>
  <si>
    <t>2cb2ddc7-20c7-409a-97a1-742c8421b381</t>
  </si>
  <si>
    <t>27ad336d-fe36-43f4-86ee-8ae88bb44bac</t>
  </si>
  <si>
    <t>b97dc497-99e1-424b-a273-80e339752122</t>
  </si>
  <si>
    <t>2e1e8aca-a774-4d80-bf05-97817dc87283</t>
  </si>
  <si>
    <t>ef3a31e0-ffe4-454e-b740-4c45aa07f34b</t>
  </si>
  <si>
    <t>3cb11642-d1f0-43a6-952c-29edce1658e0</t>
  </si>
  <si>
    <t>a41cf19c-84c9-4e0b-8385-ab618d5f424c</t>
  </si>
  <si>
    <t>77ae672b-c60e-4a00-99f1-b9ec15028858</t>
  </si>
  <si>
    <t>f5d6420f-c51e-4d1b-bb06-085e865cf6aa</t>
  </si>
  <si>
    <t>020e6a2f-01d3-4647-8f19-5ee0a8c08573</t>
  </si>
  <si>
    <t>aafcdf3b-385d-4c48-b9d4-45d44f01ea0f</t>
  </si>
  <si>
    <t>7926f3f2-04b8-4871-8fb1-ffc0fd86e935</t>
  </si>
  <si>
    <t>ac9fb8f9-9ca1-4c23-87a9-b75ee4dd6802</t>
  </si>
  <si>
    <t>06291101-61c9-4525-a809-877b1cbf54a4</t>
  </si>
  <si>
    <t>f3e85486-f640-46db-b8f5-81c091892549</t>
  </si>
  <si>
    <t>266cb7f2-e7ec-4c9e-8350-0f76b4729a56</t>
  </si>
  <si>
    <t>249aec85-b580-4024-94a6-8f7cb0144f06</t>
  </si>
  <si>
    <t>0e8291d7-b7db-45ff-aa5d-129399ca443a</t>
  </si>
  <si>
    <t>3c2aaf22-268a-41fa-a48e-a237a2982b84</t>
  </si>
  <si>
    <t>716db7c5-28ee-4f61-b754-8029cb0735b5</t>
  </si>
  <si>
    <t>6529ab6c-2859-4ee6-a6dc-03f642d11d56</t>
  </si>
  <si>
    <t>d2cde501-d3bb-41f8-91a3-927de4e0758d</t>
  </si>
  <si>
    <t>901e6016-5d62-4fc7-bb67-b888fb28d5dc</t>
  </si>
  <si>
    <t>ae28d6db-de85-499f-9cb2-979a22603fe6</t>
  </si>
  <si>
    <t>237cda45-35b6-4b14-b9c7-c18629f07ddb</t>
  </si>
  <si>
    <t>056feb24-883b-4149-9182-74e47ce8d992</t>
  </si>
  <si>
    <t>26ebe106-fece-45f1-aef7-9dde141eb289</t>
  </si>
  <si>
    <t>debdc217-1445-4b20-ba8a-bd59578cab46</t>
  </si>
  <si>
    <t>3db3d372-0e04-4417-80ce-13e2b0995292</t>
  </si>
  <si>
    <t>f2267de2-856a-467c-962e-5e57a8863900</t>
  </si>
  <si>
    <t>238a992f-40a3-4c40-87b5-4d863a396b7b</t>
  </si>
  <si>
    <t>7eaa7092-613c-4264-85e0-e1ebc9f54efd</t>
  </si>
  <si>
    <t>9c3fee69-a19c-4a5e-b65f-df8c346f56c0</t>
  </si>
  <si>
    <t>6f4694f1-beae-402d-ab3d-fdd2083513d0</t>
  </si>
  <si>
    <t>4c0b4344-7fa6-4e41-bdbd-895bf7c05518</t>
  </si>
  <si>
    <t>6b3bbf80-b38b-4ad5-95e5-fae9926f9f36</t>
  </si>
  <si>
    <t>ef092c04-6e18-4b5f-94bd-4eb6608d1544</t>
  </si>
  <si>
    <t>9f4ce6dd-e6f6-426e-b923-f06bc7695f92</t>
  </si>
  <si>
    <t>d45796b7-4623-4bf2-9850-b5479d5dbfc4</t>
  </si>
  <si>
    <t>ac9d4e3e-9642-4896-bcea-66985d7b6187</t>
  </si>
  <si>
    <t>e47402b5-a1b3-4e1b-964f-c32ad1c0d9f4</t>
  </si>
  <si>
    <t>7e431851-5596-4464-956b-8b6f3243ab10</t>
  </si>
  <si>
    <t>dd5086c4-e114-4dd1-9aec-2a0c40c1b044</t>
  </si>
  <si>
    <t>dcdb502a-59a3-4230-b352-c2c6fc7a4920</t>
  </si>
  <si>
    <t>591d0f9e-8b29-493d-bc7d-7333b6f4ff98</t>
  </si>
  <si>
    <t>55d8f9aa-05e1-4f6b-ac5e-44d0253a7390</t>
  </si>
  <si>
    <t>b7581cec-3795-4564-8c9a-d17f96c2dacb</t>
  </si>
  <si>
    <t>ced10375-9466-4f49-bf34-79bb0853d5f8</t>
  </si>
  <si>
    <t>1b85f60b-4525-4026-86fa-a41d64cf8bca</t>
  </si>
  <si>
    <t>9f2a658a-06a8-47cf-b787-c527d9240b69</t>
  </si>
  <si>
    <t>da8540b1-0046-4bf9-a58d-bf596b791bc7</t>
  </si>
  <si>
    <t>d62cf96c-aeee-424d-bb96-8d0636d8631c</t>
  </si>
  <si>
    <t>1a18318e-c7ec-46c8-a929-aa329e015d7a</t>
  </si>
  <si>
    <t>61a46d87-6047-4e0d-a718-c8ea98ef906d</t>
  </si>
  <si>
    <t>ae6ab579-cc3b-44b6-bdf0-a749cb203018</t>
  </si>
  <si>
    <t>c3bca87e-3586-41e5-90ad-0dd3e9c18c55</t>
  </si>
  <si>
    <t>728884d5-806d-41b1-b2d2-dd0427db13a6</t>
  </si>
  <si>
    <t>71d7f586-2b69-4755-a128-903acb3f1d88</t>
  </si>
  <si>
    <t>bf168401-f9dc-41d2-8944-6a63d18b254f</t>
  </si>
  <si>
    <t>ed175c76-cea3-413e-bd77-c76fc37a04ed</t>
  </si>
  <si>
    <t>36afd269-fa58-4f7d-8942-1ee36b3eb0b0</t>
  </si>
  <si>
    <t>99f5e5d7-627f-4b88-bc61-b3df5b5eeab0</t>
  </si>
  <si>
    <t>4c5dc90f-d0e7-46da-9f40-37c90e92e403</t>
  </si>
  <si>
    <t>131b6dec-48f3-469e-aaa3-06d2446a9e11</t>
  </si>
  <si>
    <t>ff615c1d-ee3e-4d36-ac2f-0bb89022b0d2</t>
  </si>
  <si>
    <t>9e06a2ab-c69a-4d90-9c3f-30b9e331fec1</t>
  </si>
  <si>
    <t>5e188a5b-f9a7-4c23-9bd5-8a77640fd0b9</t>
  </si>
  <si>
    <t>fad247ab-9bd9-4121-8969-c91d0703882b</t>
  </si>
  <si>
    <t>3eccd41d-ce03-443c-ba43-82ad3cb87807</t>
  </si>
  <si>
    <t>9df3802c-17f3-4f97-9720-70efe103a4f7</t>
  </si>
  <si>
    <t>d55a274f-a496-4919-9bd5-857be1563128</t>
  </si>
  <si>
    <t>7b824df4-9ce7-4dd5-93df-f80be22af4bf</t>
  </si>
  <si>
    <t>d0c4fd1d-73a8-4969-bb0c-bcff37759cc7</t>
  </si>
  <si>
    <t>a2f2b78f-4263-4b29-a53b-9e2af024b147</t>
  </si>
  <si>
    <t>0fd59622-eb57-48fb-b9f9-821f64e1ee34</t>
  </si>
  <si>
    <t>35794ed3-4bfe-4cb6-811f-380ab3e1bc44</t>
  </si>
  <si>
    <t>429397b5-990c-4e33-9f9f-32154fd60d32</t>
  </si>
  <si>
    <t>a1476ed4-c1b4-4a42-93b4-d860de715645</t>
  </si>
  <si>
    <t>3a558f28-c658-4a4e-8c42-3855d35083ce</t>
  </si>
  <si>
    <t>022b8ed7-927c-4d08-8c01-16e656846bd3</t>
  </si>
  <si>
    <t>12e0e275-7457-494d-80fe-4da996377e57</t>
  </si>
  <si>
    <t>f9e2fcd0-e246-4d70-b7f1-7e307503ae3a</t>
  </si>
  <si>
    <t>5e3e61a0-3db4-41c3-8636-797f3bd6d157</t>
  </si>
  <si>
    <t>871cc6fe-a821-4785-b905-b66f0df0c9d3</t>
  </si>
  <si>
    <t>28303100-48ba-42d1-9db2-7b531a4c7e07</t>
  </si>
  <si>
    <t>931f35bb-47ac-4af2-bf6b-78b70d2ba884</t>
  </si>
  <si>
    <t>17dff4db-ad07-488c-8a30-08b2852c2590</t>
  </si>
  <si>
    <t>9b414164-f5a0-4ee0-88a0-a85042ea5239</t>
  </si>
  <si>
    <t>54a7b97d-2081-40f2-bb55-f73dfc58aecd</t>
  </si>
  <si>
    <t>60774490-4720-41d3-9e38-9696ed13047a</t>
  </si>
  <si>
    <t>e15dddac-cabd-4407-b457-74397211a0a0</t>
  </si>
  <si>
    <t>f2a29f30-7f7c-40d8-92e8-869eac26fd1b</t>
  </si>
  <si>
    <t>fcdbf2d4-1893-4130-a455-daa324332a03</t>
  </si>
  <si>
    <t>ace41e1d-b7e8-44ed-85b1-ede4ff6e4f34</t>
  </si>
  <si>
    <t>144d2d85-86b5-4f0b-a015-c8f7aa5b82e7</t>
  </si>
  <si>
    <t>b2b79b1e-d6e3-44fb-bb4b-d695cc712c10</t>
  </si>
  <si>
    <t>58f3d793-bfb9-4371-affb-bbe8ba980723</t>
  </si>
  <si>
    <t>fcff633f-c43f-44c0-962c-04b8538a6aa5</t>
  </si>
  <si>
    <t>9238b12d-c7f6-4972-8db7-4160f5045403</t>
  </si>
  <si>
    <t>e0b28f0b-ab16-44ce-8f00-384297571242</t>
  </si>
  <si>
    <t>5f0ce94c-2901-4632-ba9a-dd10eb9c0eb0</t>
  </si>
  <si>
    <t>c94947a1-2ffd-4756-bf64-8c6c8f499ec0</t>
  </si>
  <si>
    <t>0b18cb57-cd08-453a-8ddb-431a95c1b63a</t>
  </si>
  <si>
    <t>eea78f4e-60ec-4bd8-bbcf-1607c8d598be</t>
  </si>
  <si>
    <t>8863867a-6f7f-40f8-9cd2-9e35ae5f5ab2</t>
  </si>
  <si>
    <t>c90eecaf-1138-49fc-af45-1317d249bf94</t>
  </si>
  <si>
    <t>9d7d96ef-bb71-4d6f-8d85-fc54d6c31e2c</t>
  </si>
  <si>
    <t>7eed96f4-0d74-499b-b802-cc1864faf60f</t>
  </si>
  <si>
    <t>5b2c64e6-7e5c-42b3-91a6-f6f8da2e4bdf</t>
  </si>
  <si>
    <t>89eff9bd-4005-49ef-8cc8-8f6d7f1726eb</t>
  </si>
  <si>
    <t>da37d8e4-c5d6-42e1-a5e1-afa6414a3703</t>
  </si>
  <si>
    <t>07688fe4-2297-4e64-a7cb-b95004f5ff91</t>
  </si>
  <si>
    <t>0c14256c-82c9-4e59-9e1f-99584b70d95b</t>
  </si>
  <si>
    <t>3f2f7338-2b20-47a2-b93e-7321f1cc1b69</t>
  </si>
  <si>
    <t>8b2a7779-2f61-40e3-bd8d-bfcf77bfafa1</t>
  </si>
  <si>
    <t>c752887d-2014-457d-9d5e-095c00df0e8f</t>
  </si>
  <si>
    <t>65b165ef-a31c-413c-a112-7937a55b9de8</t>
  </si>
  <si>
    <t>b836cfa6-c70c-4a8f-8cce-1e4c6e9ba727</t>
  </si>
  <si>
    <t>41f1bc14-6c53-4452-8166-d5ccd4a60cbc</t>
  </si>
  <si>
    <t>e696de5b-ff1c-484e-baf9-2c944f03792b</t>
  </si>
  <si>
    <t>031fe0ec-c611-40ec-8172-280a80c00359</t>
  </si>
  <si>
    <t>2fedf1d4-de97-47de-99f4-d0dff6eea289</t>
  </si>
  <si>
    <t>e422a1e0-819b-493b-81fa-2cbfad48b44c</t>
  </si>
  <si>
    <t>212586f7-41cb-43c4-824a-7a7839a7120b</t>
  </si>
  <si>
    <t>799052ce-452c-4f52-b94f-de135ad21030</t>
  </si>
  <si>
    <t>bd0e3fc8-4f2d-4912-8667-8d9fbadd013a</t>
  </si>
  <si>
    <t>a9c5f0f8-96bd-41b8-99bd-d9465c7cc2b3</t>
  </si>
  <si>
    <t>7504a8de-0be2-46e4-a91c-5e0ebc60bba3</t>
  </si>
  <si>
    <t>f8783933-6553-410b-bc09-8404cb3943ec</t>
  </si>
  <si>
    <t>5d771e11-56ca-411e-9ad5-507238c09a3e</t>
  </si>
  <si>
    <t>0e57851d-0099-4e74-bafa-2fb5dd977263</t>
  </si>
  <si>
    <t>58573b7e-1018-45ac-8a7f-b5b71dd8e5d9</t>
  </si>
  <si>
    <t>64162b9c-60ae-4fd9-8182-c7ae5accb6fe</t>
  </si>
  <si>
    <t>4f060d84-1db9-4775-9a6a-9f684f2dd69b</t>
  </si>
  <si>
    <t>2e8d4282-b444-4ad8-b1f5-611c7e7f706c</t>
  </si>
  <si>
    <t>0778699c-1423-4bf2-be9c-36d3092df53a</t>
  </si>
  <si>
    <t>9000bc0c-94ae-40fb-8eb0-009c7c99b378</t>
  </si>
  <si>
    <t>d6f7850f-e973-4099-b9a7-bd74c64869d3</t>
  </si>
  <si>
    <t>ba568305-844e-40c4-ba9c-242f527595b8</t>
  </si>
  <si>
    <t>380ef200-a1f5-4caf-9f7b-5eab420e2397</t>
  </si>
  <si>
    <t>050edf98-5284-4658-adaf-fd4f5a64dfa2</t>
  </si>
  <si>
    <t>757b6f7d-72f7-4f69-aad6-1ac562d69f1d</t>
  </si>
  <si>
    <t>cb4a9c25-3482-4d22-8571-403d515d48f8</t>
  </si>
  <si>
    <t>3d5ced74-c204-4d99-9a0a-1c08ed4d51f6</t>
  </si>
  <si>
    <t>7871322a-7532-4ce5-ac62-ee1c5a1a0d35</t>
  </si>
  <si>
    <t>a162d70c-f307-4105-8b20-f4840d26ec86</t>
  </si>
  <si>
    <t>d8ac2f29-faa5-4bed-8ef0-dc67117f0fc3</t>
  </si>
  <si>
    <t>279c504b-aae9-4297-82c8-d2d14ac8c5e8</t>
  </si>
  <si>
    <t>d7b24eeb-7619-44ff-a1b3-ed191c4271db</t>
  </si>
  <si>
    <t>11fa3bfe-5028-4b4c-b250-b2fadebeefd9</t>
  </si>
  <si>
    <t>ee073709-b75d-455d-8f8a-ebad808cbbf5</t>
  </si>
  <si>
    <t>e302db73-7017-4986-aadb-2693c6e3af27</t>
  </si>
  <si>
    <t>c3617e9f-1d93-428d-8f04-1009034ad194</t>
  </si>
  <si>
    <t>2ef88174-a96c-49cf-846c-4fd6723a9549</t>
  </si>
  <si>
    <t>138373b8-e622-4d0b-a664-7b5d398c15cd</t>
  </si>
  <si>
    <t>5ec3b38a-c00e-444c-8997-dfc656f2f36f</t>
  </si>
  <si>
    <t>202ddc78-d6c1-4415-a066-ba351a1b37b1</t>
  </si>
  <si>
    <t>deaa088f-e8fd-4ab1-aeec-3c93ba637e67</t>
  </si>
  <si>
    <t>1ea2a9da-879a-49aa-a633-fb28c1943db9</t>
  </si>
  <si>
    <t>b9d5eea8-ee61-47f7-824f-364336ffdeaf</t>
  </si>
  <si>
    <t>c254de12-80a9-4419-9de8-d9702df8a4d2</t>
  </si>
  <si>
    <t>6b0c22f6-b909-4215-87f1-c0ed4c12b38a</t>
  </si>
  <si>
    <t>126f8aa2-7b54-4786-becc-f98c151a3427</t>
  </si>
  <si>
    <t>ac913aeb-825b-46f3-ae95-5e8d6bfb1846</t>
  </si>
  <si>
    <t>85e1e968-2ca7-4ec9-851b-a1ec647561d0</t>
  </si>
  <si>
    <t>f9364b43-c1aa-4d2d-a403-690019175005</t>
  </si>
  <si>
    <t>1a0854f0-d9df-48af-bd70-55516398e172</t>
  </si>
  <si>
    <t>c41104f3-2f29-4465-af30-44c9743232ee</t>
  </si>
  <si>
    <t>9e2b5e2a-247e-41b9-a8e5-f4816ed9f88c</t>
  </si>
  <si>
    <t>f7b64332-c5d0-49c2-98aa-c50fc0d49abb</t>
  </si>
  <si>
    <t>d6a7967c-d84d-4825-8bfd-a02772e1cee0</t>
  </si>
  <si>
    <t>22477cf9-1604-4e0d-a4e0-d3eee7599a13</t>
  </si>
  <si>
    <t>98eaba95-d8a2-4929-9208-489d6dac85b3</t>
  </si>
  <si>
    <t>144739df-bfa8-4c78-a86b-4efa84ef41de</t>
  </si>
  <si>
    <t>3c174e30-8918-4a18-8b4a-bbef6892de39</t>
  </si>
  <si>
    <t>19592f25-b169-4279-8892-3ec1f890d98a</t>
  </si>
  <si>
    <t>9cc09359-0996-4607-914f-c5b3711fbf0b</t>
  </si>
  <si>
    <t>a7c08162-72d7-4026-8f75-ed944bcb35d1</t>
  </si>
  <si>
    <t>0b9b209c-e6c8-4d68-bf7f-8661fd35094b</t>
  </si>
  <si>
    <t>21358e8d-ad57-4789-b6d9-ddce346c7973</t>
  </si>
  <si>
    <t>48aa1a89-317c-401d-a2b9-11faac1f1f2c</t>
  </si>
  <si>
    <t>441ba6cd-db4e-4deb-a102-eb746d945046</t>
  </si>
  <si>
    <t>7bfb3222-d285-4bb7-b1d5-3f6ceb8104c4</t>
  </si>
  <si>
    <t>1d2f2d6f-d009-4a37-beb2-f982ffc5410f</t>
  </si>
  <si>
    <t>31a4c242-2e5d-4e1a-941c-4cc6f68ad13b</t>
  </si>
  <si>
    <t>116208cc-486a-42d9-8f65-d309b31e0e17</t>
  </si>
  <si>
    <t>5cfbef5c-5368-4072-b701-0666d2038378</t>
  </si>
  <si>
    <t>899f6278-b3ac-4e26-9ad3-cb80813bba6e</t>
  </si>
  <si>
    <t>e67bde40-1ced-41ad-afba-9639c1f30160</t>
  </si>
  <si>
    <t>8775ea1a-cd20-478a-835a-7fbcb3a5c70f</t>
  </si>
  <si>
    <t>55ef820f-f041-4171-bc2c-ac9317868284</t>
  </si>
  <si>
    <t>6b50bcfd-c813-49a0-ae3b-4b3de1c1b02e</t>
  </si>
  <si>
    <t>9ec97565-5105-4da6-9b95-7675d4953045</t>
  </si>
  <si>
    <t>505e3ca4-ac1b-4f04-a6c0-d555ce31ddc2</t>
  </si>
  <si>
    <t>5bf5947d-0bd2-4a58-9054-859e918f47e3</t>
  </si>
  <si>
    <t>fe10037d-4e56-4c74-99c2-fbf5aff76b62</t>
  </si>
  <si>
    <t>10c9d69d-ac81-4971-99fd-6d9a5c026046</t>
  </si>
  <si>
    <t>2a84eee4-f97d-435b-a532-01d65fa75881</t>
  </si>
  <si>
    <t>cd7dc121-39cd-403b-88d8-68f201a38f93</t>
  </si>
  <si>
    <t>7aa82f36-a256-4891-bc7d-e9e922ac0f0e</t>
  </si>
  <si>
    <t>b69da574-facf-4717-891f-55c472deb156</t>
  </si>
  <si>
    <t>80d64e30-e904-470e-813b-152834178b77</t>
  </si>
  <si>
    <t>badc7b40-6f45-42fb-a0bd-3db63e8cc87d</t>
  </si>
  <si>
    <t>9b4095d9-1f98-4549-aa6a-0452d58efeba</t>
  </si>
  <si>
    <t>87b3519d-f3bb-4ee5-b466-ffc27808439d</t>
  </si>
  <si>
    <t>d8c298af-275c-48f0-a341-41f771e5c988</t>
  </si>
  <si>
    <t>3cc60274-ffd6-49a4-be14-3a3ddd1fe229</t>
  </si>
  <si>
    <t>f09125ef-e320-43df-9663-e99736b6ef2a</t>
  </si>
  <si>
    <t>82e5c5c2-fc8d-43ca-81f3-024e5fbf5a33</t>
  </si>
  <si>
    <t>8634cab4-b5cd-4833-bd49-ee306f458403</t>
  </si>
  <si>
    <t>34291a3f-e237-4e8e-9cc9-a78be94eccd7</t>
  </si>
  <si>
    <t>eeb09359-07a0-460b-a293-884adbe9a734</t>
  </si>
  <si>
    <t>bacfb43f-7bb3-4094-85f5-9aebb1d989d0</t>
  </si>
  <si>
    <t>1cf6e8be-c515-423d-bac2-b6bdc6ec80d3</t>
  </si>
  <si>
    <t>3ee1cf75-fd08-4da9-889f-db7c91ca96ae</t>
  </si>
  <si>
    <t>2c13aff2-e581-4104-b948-3dde4d27850c</t>
  </si>
  <si>
    <t>31d59610-2f18-4626-854e-05bc4ee694f7</t>
  </si>
  <si>
    <t>8c2d11b1-c6c7-40c9-ba6c-6525aa46f1ef</t>
  </si>
  <si>
    <t>6d6cb2c6-16d7-4b2b-a704-4cbd7f77bbec</t>
  </si>
  <si>
    <t>20d623f6-57e5-4dd3-bc9f-596035e2dea7</t>
  </si>
  <si>
    <t>2a496c75-bc46-4e74-9fec-678f8b908976</t>
  </si>
  <si>
    <t>4589d4ce-de8c-48e4-85bf-be3889bd9e49</t>
  </si>
  <si>
    <t>3c795e44-def8-4593-8a71-3d0dd8b4da52</t>
  </si>
  <si>
    <t>8137631e-8a18-429d-8364-83da904c47c7</t>
  </si>
  <si>
    <t>b5974f5b-9f89-4a17-8fe8-f1997f8fab13</t>
  </si>
  <si>
    <t>453c6ce2-3ec9-4176-8611-fa495fe77e97</t>
  </si>
  <si>
    <t>a3818d30-7675-4e2f-b974-4e6b110cf132</t>
  </si>
  <si>
    <t>7736968f-83dd-40ae-8f75-169249009420</t>
  </si>
  <si>
    <t>61e69504-9b64-4858-957d-2d05273132c9</t>
  </si>
  <si>
    <t>85bc67a3-4ce2-4d83-92a4-706374a83370</t>
  </si>
  <si>
    <t>51404e41-ab29-443c-a5b9-583615112f4c</t>
  </si>
  <si>
    <t>8821c00d-ee48-4a50-b7f1-24229a146e2b</t>
  </si>
  <si>
    <t>a11357de-4b09-46a2-bcaa-8c3d4185c88d</t>
  </si>
  <si>
    <t>d6232498-f633-4ee2-bf44-3e083fe0e618</t>
  </si>
  <si>
    <t>904d6317-d5d4-44f3-a6ce-f76df414cc2e</t>
  </si>
  <si>
    <t>109923c7-de1b-477f-9fef-07da24b7ef2a</t>
  </si>
  <si>
    <t>8d781e6b-f65f-4b68-9e59-68321d998b06</t>
  </si>
  <si>
    <t>3420396b-6311-44b2-85a6-7b2060667333</t>
  </si>
  <si>
    <t>e76c47e8-9db9-4e7c-8bcb-20f98230ea9b</t>
  </si>
  <si>
    <t>73a173e2-682d-4136-a91c-b57c9c4983ef</t>
  </si>
  <si>
    <t>9c8e9354-07c6-42c5-9359-988c4195e3a0</t>
  </si>
  <si>
    <t>a525e60d-29b1-44cb-b6ae-a6fa66bd4e06</t>
  </si>
  <si>
    <t>ffdcf9db-0478-4e86-8a55-d9bef565e505</t>
  </si>
  <si>
    <t>8e493bd3-571d-41b0-8ebe-77b840eaa474</t>
  </si>
  <si>
    <t>55c26adc-7fca-4e01-873d-f0daa9951d87</t>
  </si>
  <si>
    <t>396b1023-e2d0-4109-b859-936024673b32</t>
  </si>
  <si>
    <t>9b78d38c-8926-4e3d-96a8-2daacc8186e1</t>
  </si>
  <si>
    <t>33cf0e64-faa6-4a94-b050-a18ffa140cfe</t>
  </si>
  <si>
    <t>2ecbef42-5d13-4210-a577-fad98f49294b</t>
  </si>
  <si>
    <t>d92c2ff7-6f43-4b71-8189-64c0b0f44652</t>
  </si>
  <si>
    <t>63bf209e-1133-4cd8-9972-6f34dae2e27e</t>
  </si>
  <si>
    <t>42d56b4b-06d6-4bcd-8465-25953c79c72d</t>
  </si>
  <si>
    <t>bf79f9d6-b602-42ef-ae35-724df652bb09</t>
  </si>
  <si>
    <t>414c3ae0-c86d-4755-9ea8-8f6e9f869f5d</t>
  </si>
  <si>
    <t>e94f39ae-cf4c-4e6e-bba6-86da8a0806d0</t>
  </si>
  <si>
    <t>32f0f262-9220-4004-9aa6-1e1b6b765e66</t>
  </si>
  <si>
    <t>75595a26-8938-46c1-9fbc-afc4d6e29c05</t>
  </si>
  <si>
    <t>707987b0-5887-4f55-a315-83e7313da97a</t>
  </si>
  <si>
    <t>8849f871-eab9-48a0-8e1a-ce0d51e8a0bf</t>
  </si>
  <si>
    <t>677cd606-ec32-44ec-abb3-7a273115b62b</t>
  </si>
  <si>
    <t>87dbd0fe-b722-410c-9e76-62fa255be6a4</t>
  </si>
  <si>
    <t>3f1baae1-127c-421f-b076-10695d015d6c</t>
  </si>
  <si>
    <t>8b794acb-045b-44d9-8802-835a1febac0a</t>
  </si>
  <si>
    <t>f609f98f-7884-4b0e-b59a-d201624e4dd0</t>
  </si>
  <si>
    <t>0c62caef-b4f6-4afe-8263-4e7e6d8b0e79</t>
  </si>
  <si>
    <t>be5aed55-9a97-4464-b9d3-18786d45b9dd</t>
  </si>
  <si>
    <t>be57ff51-0b07-4c67-a131-26e59e127b93</t>
  </si>
  <si>
    <t>0d1cb912-a6cd-4a75-98a0-62bb2c1efd12</t>
  </si>
  <si>
    <t>921b0275-1d61-46e9-ab19-ca9f0ad96129</t>
  </si>
  <si>
    <t>23f26631-5664-4f7a-8cb2-89ef5fc17e46</t>
  </si>
  <si>
    <t>bb23c9bf-5e5e-4033-80dd-17c3e78ea50e</t>
  </si>
  <si>
    <t>08d2eeba-c006-41c0-b247-21fe0045a340</t>
  </si>
  <si>
    <t>9553f663-f6a9-47c6-a6d6-cc7a4086b98d</t>
  </si>
  <si>
    <t>556c3f78-0194-4c8a-a16b-8f91118995e0</t>
  </si>
  <si>
    <t>51369535-1775-4860-8eeb-a0c0362e3665</t>
  </si>
  <si>
    <t>45db5d99-3c91-41fc-bbf7-805e52b2ae96</t>
  </si>
  <si>
    <t>35d5ad7c-da99-4b5d-ae96-5f2b12ea87f0</t>
  </si>
  <si>
    <t>f54e5e94-991e-4ec9-a325-b877f0849913</t>
  </si>
  <si>
    <t>17611abd-7209-40fb-91b2-f132ad08ab32</t>
  </si>
  <si>
    <t>185ad460-d7f1-4112-b5f5-5ce66b53ab01</t>
  </si>
  <si>
    <t>6b28f876-2153-4655-9b09-9e2e1f1a3558</t>
  </si>
  <si>
    <t>c0955792-542e-4c0a-ab17-e97267582038</t>
  </si>
  <si>
    <t>ba64eac1-b024-4c9c-9c48-834b1b43aa69</t>
  </si>
  <si>
    <t>0dc5a6be-957e-40fd-8ee3-6878c5a05dbb</t>
  </si>
  <si>
    <t>6765f10c-02cb-47b7-8a7e-b072d51b32c2</t>
  </si>
  <si>
    <t>b1e47aae-bbaa-4fd7-ba39-4b33b40b7792</t>
  </si>
  <si>
    <t>6dfa02bc-c037-4111-b339-336de01b62ac</t>
  </si>
  <si>
    <t>4dc943ae-c975-4f76-a010-74825f67c945</t>
  </si>
  <si>
    <t>17226d96-9dcf-4c01-ab7e-69e5cff71e8f</t>
  </si>
  <si>
    <t>92a4ce14-b4e6-4b18-bf4e-f8ac43059adf</t>
  </si>
  <si>
    <t>5dd1d5eb-08b8-4bd6-a4f9-8a077d3b82e4</t>
  </si>
  <si>
    <t>c2943987-dd8f-4636-924e-d244559e68a6</t>
  </si>
  <si>
    <t>acaab24e-a519-4d55-a9ee-fbc140699d2f</t>
  </si>
  <si>
    <t>a8890ed4-f7a6-4cd7-ace6-58c484b43d31</t>
  </si>
  <si>
    <t>50e37c29-268c-47ef-a529-f73af05d65d5</t>
  </si>
  <si>
    <t>e18b9177-7709-4d21-b93e-9f5f1bd5a409</t>
  </si>
  <si>
    <t>78a08d40-29d4-4085-a7be-8274c153a6dc</t>
  </si>
  <si>
    <t>ff62ebf3-6942-483e-aea6-708e2deeb046</t>
  </si>
  <si>
    <t>c918352d-82cd-4b2d-809b-4b2c5a313e68</t>
  </si>
  <si>
    <t>e68d789a-0dc1-4f7b-86c4-9febfa4021da</t>
  </si>
  <si>
    <t>be60c3de-0dd5-4393-986c-e5698164ddaa</t>
  </si>
  <si>
    <t>196fc6d0-59ef-4a4b-8ecf-40e0ee02b9ae</t>
  </si>
  <si>
    <t>9132b250-4d02-4e23-a020-a24167c4dead</t>
  </si>
  <si>
    <t>a75f4fdb-d3bf-4eae-85af-8aa1b99e0e8a</t>
  </si>
  <si>
    <t>975d7359-ecfb-4a3f-923a-6a0c6045c71f</t>
  </si>
  <si>
    <t>fba173df-6b3b-44e3-869e-d37267a4dfe1</t>
  </si>
  <si>
    <t>6f834e2d-fe63-4bca-8355-9bf5d80ebdc9</t>
  </si>
  <si>
    <t>8308af22-4754-4242-90a3-b6005af6aff8</t>
  </si>
  <si>
    <t>32953aaa-2d86-4319-962d-fdd506492864</t>
  </si>
  <si>
    <t>5f274d16-cd25-4319-a445-c76f5ebc0f66</t>
  </si>
  <si>
    <t>6eea0bf7-7584-4f6c-ad30-1c40e197bd56</t>
  </si>
  <si>
    <t>54dff2cb-e4e3-4f69-bef9-8efe1e69738d</t>
  </si>
  <si>
    <t>3986495d-9960-4104-9b3a-f8566af031e5</t>
  </si>
  <si>
    <t>d8cffecf-04c2-495a-9482-0b95bfbd38f9</t>
  </si>
  <si>
    <t>6d47fdb6-46cc-4cfa-b266-8bc7386f84ce</t>
  </si>
  <si>
    <t>873a5710-0526-475c-a46f-161fffd728dd</t>
  </si>
  <si>
    <t>d711eb4d-1960-4f96-ba9b-08f7622b3f54</t>
  </si>
  <si>
    <t>04d9e29c-16c5-4e71-abf0-313648149952</t>
  </si>
  <si>
    <t>81132c63-b211-47f6-ad54-ad3edda2437d</t>
  </si>
  <si>
    <t>390645c1-f1c5-4d84-850a-d1168eaf95e2</t>
  </si>
  <si>
    <t>8978170f-7228-425e-9f51-f424d8c93bd3</t>
  </si>
  <si>
    <t>5263b31c-c6ab-4d31-97a2-6ad4ea2c6f64</t>
  </si>
  <si>
    <t>46b7afd1-e830-4a5d-b535-d57f4f18f62b</t>
  </si>
  <si>
    <t>d882d364-5f97-4b8d-88b2-7de41d1b0ad6</t>
  </si>
  <si>
    <t>ed8ba683-503c-4958-ab8e-81514ad9e15b</t>
  </si>
  <si>
    <t>d52b905b-bf1a-40ab-b7a5-358ee621b160</t>
  </si>
  <si>
    <t>ed708c0a-589f-4c6d-8983-aedf76fcd901</t>
  </si>
  <si>
    <t>56409b2a-e232-494a-a1b8-ae4253e16a13</t>
  </si>
  <si>
    <t>c3edec3f-1739-42d8-9b06-b6aa0cf72ab3</t>
  </si>
  <si>
    <t>d2ceeb1b-301e-42a5-a076-3fe97fbc0619</t>
  </si>
  <si>
    <t>07e77bb6-3db2-43f8-9fbd-02a281d19a8b</t>
  </si>
  <si>
    <t>30e6e98b-413d-4128-8cca-53ba09e189d5</t>
  </si>
  <si>
    <t>f494c36c-d6b3-4c47-8764-1290ba663d68</t>
  </si>
  <si>
    <t>be532310-fdb3-4bba-b661-6621168610a2</t>
  </si>
  <si>
    <t>f955fd0e-1158-4261-95c3-bcf5b62380dc</t>
  </si>
  <si>
    <t>86d8a859-5801-40a9-bd9f-f762b507d634</t>
  </si>
  <si>
    <t>718ca4ff-75ed-4b98-91bf-e33297bbf254</t>
  </si>
  <si>
    <t>1d102209-1958-4b1b-8815-205fb806fb8a</t>
  </si>
  <si>
    <t>22254c03-5478-4eba-b402-d0b060320d58</t>
  </si>
  <si>
    <t>7fae8c8d-0917-44d0-bd0a-fa777cdbbd92</t>
  </si>
  <si>
    <t>d1bc72ab-1057-4283-b2ca-f9e0d801a655</t>
  </si>
  <si>
    <t>d2967550-b78b-40c3-9832-16e4c2c38769</t>
  </si>
  <si>
    <t>44a64815-9a06-430a-860c-01bed812247f</t>
  </si>
  <si>
    <t>50fa04ad-ad99-45a1-9aa9-b55a48deb6fa</t>
  </si>
  <si>
    <t>d91de15e-bcab-47dd-aad0-0ef2ca8c7fb9</t>
  </si>
  <si>
    <t>15b60c81-4a84-4a72-be2a-57daeeffbf96</t>
  </si>
  <si>
    <t>8c5e269f-14f6-459b-a8e2-cbab16737888</t>
  </si>
  <si>
    <t>db289010-3877-4027-9584-5076fc9a38db</t>
  </si>
  <si>
    <t>2778a1fa-006b-4aa8-afc2-7da35eee7fb5</t>
  </si>
  <si>
    <t>e6ed5722-fa50-4ebb-8eb8-0cfadd77ae96</t>
  </si>
  <si>
    <t>24efd80d-5fbe-4613-8380-ec0316eed709</t>
  </si>
  <si>
    <t>4a4d86ee-eecc-4d90-81d9-d838a6640c85</t>
  </si>
  <si>
    <t>6328a1fb-e07a-4de3-be67-d9eb7e7fbd9b</t>
  </si>
  <si>
    <t>ad84fb0e-894b-4e1b-8fdd-a3be1e898e2b</t>
  </si>
  <si>
    <t>fc1fca13-38a1-4235-aae0-f343e9025f9b</t>
  </si>
  <si>
    <t>e6d9b9b6-2422-4204-bd95-fa13743c48f5</t>
  </si>
  <si>
    <t>adc7da63-12bd-400e-a41d-299f275b0241</t>
  </si>
  <si>
    <t>615a7f8d-61e6-497a-a665-3f08793477a1</t>
  </si>
  <si>
    <t>09def411-86b1-4f52-8b14-a2fb904919b4</t>
  </si>
  <si>
    <t>8b0ca66b-55c1-4861-95ba-62cb38e43938</t>
  </si>
  <si>
    <t>882b2548-ad87-475e-82b4-661533aa2680</t>
  </si>
  <si>
    <t>621658ee-bbda-486c-b8dd-0565149c6807</t>
  </si>
  <si>
    <t>d54d751f-9f01-4012-837b-5ab803ea0c18</t>
  </si>
  <si>
    <t>66e249ff-ca25-45f3-a3cf-63cf6a05899a</t>
  </si>
  <si>
    <t>e1d9dd6e-19a2-45a0-b55a-395970985898</t>
  </si>
  <si>
    <t>0d169cb8-7b56-4f10-95c5-ce0247cdbaa1</t>
  </si>
  <si>
    <t>8a987d9a-a073-458c-8a02-78da6797eaff</t>
  </si>
  <si>
    <t>74ec5fe7-66ad-4b89-8828-b08c3a32d202</t>
  </si>
  <si>
    <t>7bcc339d-bb85-451c-9b1a-989d001a301f</t>
  </si>
  <si>
    <t>85d48ad0-bd05-46e8-9ced-97a1918ab65c</t>
  </si>
  <si>
    <t>0b716776-876e-4225-9ca0-938576e44203</t>
  </si>
  <si>
    <t>25367194-7bd9-4ede-bfd2-a7deea293cd2</t>
  </si>
  <si>
    <t>c1c4ab8e-4ab3-493e-a863-37e9f29ab44e</t>
  </si>
  <si>
    <t>67bef22d-d54d-4752-a55e-6ce4eb1f1973</t>
  </si>
  <si>
    <t>73b90feb-1f70-4e9a-94a0-de23161ad2c5</t>
  </si>
  <si>
    <t>f83012ae-af12-454e-a3fb-f020e54018a3</t>
  </si>
  <si>
    <t>f3d7b465-f4ea-4f5b-81a2-b3091f586550</t>
  </si>
  <si>
    <t>97884dbc-a63b-4fb7-8265-b451e2e42768</t>
  </si>
  <si>
    <t>b2acff63-2cae-4757-b865-023c33d861af</t>
  </si>
  <si>
    <t>9dee201e-e006-4781-b83c-7e2fb9cca684</t>
  </si>
  <si>
    <t>cbfdb56b-662d-4f76-9b1e-53a01775bc27</t>
  </si>
  <si>
    <t>2d321324-4993-4f2c-b525-d47387ce98a7</t>
  </si>
  <si>
    <t>02053ca9-efc2-4ca2-a105-a9b8066bb8b0</t>
  </si>
  <si>
    <t>a833e08a-50da-4060-8a6f-3c66d38b91ee</t>
  </si>
  <si>
    <t>9fa521d4-d560-4f54-aa73-b4eb371b2154</t>
  </si>
  <si>
    <t>53e44bfb-cf68-49b5-b52c-af1a73083f18</t>
  </si>
  <si>
    <t>7c661949-3311-498c-8f48-7861edda2271</t>
  </si>
  <si>
    <t>e235f712-7f24-48ec-be11-cd25712ff5af</t>
  </si>
  <si>
    <t>86e7628e-7528-4d47-b830-fee5e61cbc35</t>
  </si>
  <si>
    <t>352c22a3-e169-4c4a-9fa0-340e00426010</t>
  </si>
  <si>
    <t>1427ac1c-1c2d-4336-bc37-d7d8beb32e76</t>
  </si>
  <si>
    <t>19ed1063-ae11-4147-8f90-33e28da75956</t>
  </si>
  <si>
    <t>ae2bd36e-2ccb-4c81-9338-01594517357e</t>
  </si>
  <si>
    <t>ee51831a-b6b4-4786-9e88-77f34e69c772</t>
  </si>
  <si>
    <t>fadfc7e1-1b01-4887-99d0-9b64fb747278</t>
  </si>
  <si>
    <t>f398bad9-0e82-4f0a-9a0c-d6e049c235df</t>
  </si>
  <si>
    <t>763d309d-9110-4318-b629-3d3de6edaa1e</t>
  </si>
  <si>
    <t>063bec6f-f65e-4c59-8d9a-6c07421daa3a</t>
  </si>
  <si>
    <t>bd418411-ebfd-46c5-9ab1-38b7aec45c91</t>
  </si>
  <si>
    <t>d717f49c-766b-4710-a79b-638e7d2539a2</t>
  </si>
  <si>
    <t>2f4d2c2a-02ea-442e-9540-712ee601cade</t>
  </si>
  <si>
    <t>63108aa5-a865-4933-a350-ac441274df28</t>
  </si>
  <si>
    <t>92d2d8fc-3356-4607-97c4-056465ab740d</t>
  </si>
  <si>
    <t>35cd241b-b585-4840-8457-41f61568b531</t>
  </si>
  <si>
    <t>20c3c1af-52d5-41c8-a85d-0811908ed5f8</t>
  </si>
  <si>
    <t>681faa79-7e0b-4181-8cb4-599e946bf7f7</t>
  </si>
  <si>
    <t>55cb6335-3c30-4d62-8e78-cd7cc63b23c7</t>
  </si>
  <si>
    <t>65f92cb3-a627-4a6b-b0b3-4b54f6bec418</t>
  </si>
  <si>
    <t>54e9182a-a3fe-44a6-a92b-d11ff754e97f</t>
  </si>
  <si>
    <t>f5f8fa5e-3bd7-415d-8ebc-08093ed7d1ee</t>
  </si>
  <si>
    <t>f3e3ba61-d31e-4097-9f86-8f96e167e527</t>
  </si>
  <si>
    <t>fbdc3946-b442-4329-bb13-bba342e67585</t>
  </si>
  <si>
    <t>1e378296-e079-41e4-a047-2b29d04676fa</t>
  </si>
  <si>
    <t>f2c461f4-37a9-4c74-ba86-9583f61639f5</t>
  </si>
  <si>
    <t>9b65a198-0f7d-4ca3-9a37-7e32809301c3</t>
  </si>
  <si>
    <t>3269f25d-5067-433d-92d3-c37e5e51e121</t>
  </si>
  <si>
    <t>953aefab-be01-4893-9804-cdb444988a1e</t>
  </si>
  <si>
    <t>123ed770-d4e6-4e58-9e42-a4e701d009af</t>
  </si>
  <si>
    <t>25ff81df-b508-4258-b060-b0ab7bec6a3f</t>
  </si>
  <si>
    <t>ea4aa15a-7f7f-410b-9d60-49806f5634ea</t>
  </si>
  <si>
    <t>dfa4b8f2-b86b-45d3-8800-2a21921ddebf</t>
  </si>
  <si>
    <t>ab29be26-c902-4c3f-a290-b34c814962d9</t>
  </si>
  <si>
    <t>bf6ba657-ecbb-4614-a406-553bc8ab713b</t>
  </si>
  <si>
    <t>b2f1c978-b4f9-4e02-aa59-36e90bb8799b</t>
  </si>
  <si>
    <t>12be7538-59c6-4f60-a1d5-d2515acf1ea5</t>
  </si>
  <si>
    <t>de4263d4-9de7-470d-947e-6caa09a8bba0</t>
  </si>
  <si>
    <t>2424174b-3840-441e-b093-9849cc732492</t>
  </si>
  <si>
    <t>33fcaa3a-5d55-4b41-b43c-06ade9b4d71f</t>
  </si>
  <si>
    <t>069498aa-ca60-4e34-994e-b4323c152ac2</t>
  </si>
  <si>
    <t>5649bd91-6874-4a05-b957-732c5ec63094</t>
  </si>
  <si>
    <t>f4b6fcb9-11fa-4598-84b9-6036ec6af044</t>
  </si>
  <si>
    <t>ce9cc9d7-d7a0-49ca-84f3-e1d0328cb96d</t>
  </si>
  <si>
    <t>8c262fec-9c67-40c1-acf6-fc68e42df07c</t>
  </si>
  <si>
    <t>ce3d53d9-3754-42ac-9964-51d1afac8e9e</t>
  </si>
  <si>
    <t>4b3c8e7f-3175-4be5-9fb7-0d2bebce47a7</t>
  </si>
  <si>
    <t>ed6753c0-26cb-430c-bc1f-9c854a9223b4</t>
  </si>
  <si>
    <t>b0b57e95-55f8-4772-9f16-5cb27305ca9f</t>
  </si>
  <si>
    <t>5e22e338-e1f0-4b2e-bbe7-08056f61e183</t>
  </si>
  <si>
    <t>07a2f991-f5e1-4f80-844c-9303a8655284</t>
  </si>
  <si>
    <t>84390ea9-e4e6-47e8-952b-c9e1b66aea44</t>
  </si>
  <si>
    <t>eddcc6ec-7ac9-4edf-9803-39df07982076</t>
  </si>
  <si>
    <t>823d5a54-885c-4cbf-b92e-c8640e265fac</t>
  </si>
  <si>
    <t>44baf3fc-65be-4759-82f2-38130cd65869</t>
  </si>
  <si>
    <t>410a12ec-4822-4e21-aa2a-400cf645e3a9</t>
  </si>
  <si>
    <t>3d0f9b33-0165-4928-994f-f509129de49b</t>
  </si>
  <si>
    <t>d268e352-a219-4916-bb7c-3518ca2c4dc8</t>
  </si>
  <si>
    <t>0189d148-2c07-4775-acfa-9f0128417377</t>
  </si>
  <si>
    <t>4821f181-dcd3-4e30-be71-4172054c8b75</t>
  </si>
  <si>
    <t>1fbabd78-0572-40fa-b861-c09b420b2e7e</t>
  </si>
  <si>
    <t>6ccedfe0-788f-43bf-bc03-329bdb35e568</t>
  </si>
  <si>
    <t>0d790584-ebad-484d-a194-d04221f1217e</t>
  </si>
  <si>
    <t>342c97bf-351f-4c19-8241-4fc51d22a782</t>
  </si>
  <si>
    <t>dc092d66-28e8-45d7-96f0-ab938550ed4e</t>
  </si>
  <si>
    <t>c5d1c187-48b0-43f0-8352-5bb793c5aa72</t>
  </si>
  <si>
    <t>68a7ac40-2e35-4b0d-af8f-75e9244451f6</t>
  </si>
  <si>
    <t>0da0e4ef-cd5b-494c-9967-cee3a66db6cf</t>
  </si>
  <si>
    <t>d32a669a-ca9b-4470-b2f1-fc016ae2bf08</t>
  </si>
  <si>
    <t>855f151d-6cb4-4560-8fb5-5930f9831999</t>
  </si>
  <si>
    <t>b54ac271-03f7-4c15-84ef-d28209da8e2e</t>
  </si>
  <si>
    <t>b6ee3e21-034a-49e3-9fe2-3ae5087f7612</t>
  </si>
  <si>
    <t>02f436df-d915-4cfd-bdd7-b6db38826c1c</t>
  </si>
  <si>
    <t>25b418d1-cff9-4d78-ae97-109b0d5bba2b</t>
  </si>
  <si>
    <t>cd7f2b34-10ee-4f2f-bfd0-2c988e621611</t>
  </si>
  <si>
    <t>c5858006-93e2-474a-9ee7-9ee769bd3cc3</t>
  </si>
  <si>
    <t>423bd7da-d4a7-4765-a37a-e1f9cde4599e</t>
  </si>
  <si>
    <t>8e2a6575-8fad-4fe4-abb3-9bf8f75515fa</t>
  </si>
  <si>
    <t>c7f739f6-3ab1-4898-b85b-f631bd2913ed</t>
  </si>
  <si>
    <t>107978c7-9c73-4709-930c-548d1db98f5c</t>
  </si>
  <si>
    <t>e54be956-196c-48c7-9732-a346c8ec6334</t>
  </si>
  <si>
    <t>a1b4b28f-5cc2-4440-8ffd-3bc876da522c</t>
  </si>
  <si>
    <t>94f85f69-f980-4e87-9513-2e6ec89d34bb</t>
  </si>
  <si>
    <t>b65f956f-5f52-4853-92ee-c1bccc79930d</t>
  </si>
  <si>
    <t>580d68a2-d847-4615-8d06-8e14922000cb</t>
  </si>
  <si>
    <t>4b22f145-13e7-4201-95e1-8fc95203e5ed</t>
  </si>
  <si>
    <t>35336ecb-92f4-4edf-92b7-40e7b08e2d46</t>
  </si>
  <si>
    <t>0124e3f0-4e88-4a16-ad7d-416b522061d5</t>
  </si>
  <si>
    <t>86cc7e43-a74e-48be-be00-60b78644fb0a</t>
  </si>
  <si>
    <t>0bed615d-1562-4d81-bfb0-9c89a65af178</t>
  </si>
  <si>
    <t>8b573613-429d-457d-9416-96971a55b38d</t>
  </si>
  <si>
    <t>0f60b4a3-6b2f-4c5b-8993-a7214976e011</t>
  </si>
  <si>
    <t>90fa20aa-107c-4cd8-a309-5718c44a4bcc</t>
  </si>
  <si>
    <t>e0970441-e0fd-4b64-9255-cb19c80ccb99</t>
  </si>
  <si>
    <t>43ed9313-ceaa-4516-8388-833730f85383</t>
  </si>
  <si>
    <t>9662f7bb-38f5-4bc0-82fb-32d792844efe</t>
  </si>
  <si>
    <t>81dfaf8d-0f6c-44bf-9a4c-ccdc3262a3d1</t>
  </si>
  <si>
    <t>0303fcf3-c597-4c3b-8344-e081b7245996</t>
  </si>
  <si>
    <t>c290de31-8bee-41f3-a46b-0b2de3e465df</t>
  </si>
  <si>
    <t>62f433a3-1dd2-48a3-a6f1-33dc00ff69cf</t>
  </si>
  <si>
    <t>3119a1ec-32cf-47fb-a64b-8471d94011d0</t>
  </si>
  <si>
    <t>ebd2e856-b52b-4625-bf69-dd456be2ab02</t>
  </si>
  <si>
    <t>dce49388-1f72-485c-9049-39a9d322c98c</t>
  </si>
  <si>
    <t>b0bd556c-b8e8-4636-bb12-7ecaf1eccd75</t>
  </si>
  <si>
    <t>64ed6799-92a6-48c1-b0d8-c0a24ba1e446</t>
  </si>
  <si>
    <t>44de25ef-ae6a-4393-9627-d58c44c0af46</t>
  </si>
  <si>
    <t>2fca7f52-8255-49db-a6c1-17e8b8079985</t>
  </si>
  <si>
    <t>ad04f76c-a60d-41a1-8bce-422ad558dd81</t>
  </si>
  <si>
    <t>5c2e730a-3caf-4547-a58c-ef9dc516c0a2</t>
  </si>
  <si>
    <t>e11488e3-2d13-454c-be6e-b38f2161d3d5</t>
  </si>
  <si>
    <t>a42bd37a-c0e8-4275-a630-5b45e2b78cb0</t>
  </si>
  <si>
    <t>00f3c356-8eb0-4375-902a-ad85e141e101</t>
  </si>
  <si>
    <t>d62e87fd-a343-46b1-b138-bc5096e34c72</t>
  </si>
  <si>
    <t>663137bb-804d-4da3-948c-65788a2f7c2b</t>
  </si>
  <si>
    <t>15632d97-d6e3-4f49-80ef-9797a2e02450</t>
  </si>
  <si>
    <t>17cf476d-bac7-4ea7-af15-6649249c9445</t>
  </si>
  <si>
    <t>1d6e6186-f74f-4241-8015-9276ef717a04</t>
  </si>
  <si>
    <t>1edb27fa-2e5f-492f-9ee8-909e36d09ef2</t>
  </si>
  <si>
    <t>1849c72a-6168-4af3-b66a-54167905743e</t>
  </si>
  <si>
    <t>5795aa52-df53-49ad-b09e-b33919f7c8af</t>
  </si>
  <si>
    <t>5cb2cd58-694b-4682-ba2a-d7f2982e65a7</t>
  </si>
  <si>
    <t>d06ea739-684a-478c-b943-345d3eaa3758</t>
  </si>
  <si>
    <t>b636c0d6-ce0f-4e04-a2cf-ab6ae5376943</t>
  </si>
  <si>
    <t>7eb00878-b400-462a-9041-1f58bcad78be</t>
  </si>
  <si>
    <t>418fea46-3750-4ec0-9641-4746d091beb8</t>
  </si>
  <si>
    <t>531c1dfa-ac38-4814-bd73-a5ccf18ddbc4</t>
  </si>
  <si>
    <t>73f03a7d-a8b5-491c-b86b-d08ce1c6e66f</t>
  </si>
  <si>
    <t>4334ac1a-a9cf-480a-9ba7-2123021e5678</t>
  </si>
  <si>
    <t>bcdb1d9d-17e6-4b6a-864e-7b8aeee6fb79</t>
  </si>
  <si>
    <t>eee09ac3-7b97-45f2-9842-85de75b664ab</t>
  </si>
  <si>
    <t>ead92836-1b86-45a6-8f02-fa288f9d1889</t>
  </si>
  <si>
    <t>dfe1584f-bbc5-4599-a7ca-4e3fe5900d97</t>
  </si>
  <si>
    <t>174021b6-5247-45ee-83d1-f461c8f90ef1</t>
  </si>
  <si>
    <t>7b9e47e4-21f4-4912-a799-bcb422770d80</t>
  </si>
  <si>
    <t>e9004155-de88-4098-aa1b-0e3fb11e2160</t>
  </si>
  <si>
    <t>2807571b-604c-4426-b503-3758364f7123</t>
  </si>
  <si>
    <t>810d3f24-5dc9-4804-913f-d6f4c33e091d</t>
  </si>
  <si>
    <t>e05c8ec5-e12b-4ffb-ab11-5a8c635fbb63</t>
  </si>
  <si>
    <t>497974d2-1e76-40da-9c5e-23fac52243fd</t>
  </si>
  <si>
    <t>ec99e45b-c376-4433-8561-7fc16baa935d</t>
  </si>
  <si>
    <t>4988b366-d3e9-4926-9d58-442d74600f80</t>
  </si>
  <si>
    <t>3a48a802-d19f-4893-963a-c49870f5626f</t>
  </si>
  <si>
    <t>b072ff32-28d8-4841-aae8-3a18aaccea93</t>
  </si>
  <si>
    <t>61fe3fef-42bb-44fa-8779-8f7f85c0532a</t>
  </si>
  <si>
    <t>5aa9135c-8d1c-48be-9d8d-0f248d752ffe</t>
  </si>
  <si>
    <t>3fac0aca-651a-4252-b2cf-799c09754ce6</t>
  </si>
  <si>
    <t>15f9a7e0-e52b-40ba-9345-dc0d33f16990</t>
  </si>
  <si>
    <t>e637878d-8026-435b-a7a4-bd53ec793c3e</t>
  </si>
  <si>
    <t>546ceaa3-8873-4cc1-938d-ae67fab47759</t>
  </si>
  <si>
    <t>89ee8ac9-4c84-43b0-aabb-505dc66f1588</t>
  </si>
  <si>
    <t>7451fbad-6fe6-409a-b597-023ad1aad3d8</t>
  </si>
  <si>
    <t>dbb597db-07d1-48a4-9ac1-b499c04296ad</t>
  </si>
  <si>
    <t>ff0c195b-dd28-4520-8f4d-5050769ff414</t>
  </si>
  <si>
    <t>c22cbe37-7d4a-4c69-8277-5fee80fd5a75</t>
  </si>
  <si>
    <t>32794a12-8cb0-4a24-aed4-309fc3d37b5e</t>
  </si>
  <si>
    <t>78cb5ecc-e1e6-43f4-bcb0-4005adf266aa</t>
  </si>
  <si>
    <t>cf315f03-0171-4e6f-b04b-6a2c098c215c</t>
  </si>
  <si>
    <t>0f341d49-2d76-4291-b0a4-b13c7657b9bb</t>
  </si>
  <si>
    <t>665527b3-e67b-4288-a837-a54b40c7440e</t>
  </si>
  <si>
    <t>08f2f7a7-717a-4c63-9567-ceb077eb66c8</t>
  </si>
  <si>
    <t>4912761e-7ba2-43c3-81a0-9318b20f7f68</t>
  </si>
  <si>
    <t>bb3bb242-368c-4607-8bae-53b7f18c8bad</t>
  </si>
  <si>
    <t>96508a14-2c0f-4862-915f-7f078a6df110</t>
  </si>
  <si>
    <t>07a03ffa-35b4-4d87-8283-bc9994aaed9f</t>
  </si>
  <si>
    <t>23c4520f-9161-4eb0-a44b-7a016cf7c606</t>
  </si>
  <si>
    <t>edced80e-2a3b-413f-819e-aa336f452261</t>
  </si>
  <si>
    <t>e47fd18d-0cbb-4eda-8594-907b88be3598</t>
  </si>
  <si>
    <t>3cbfe7e4-3f66-4613-b08b-274dd1f070f9</t>
  </si>
  <si>
    <t>0e7285ba-4381-4194-8ba1-b7c1c8c6f763</t>
  </si>
  <si>
    <t>30cdc1a3-08e8-407a-b229-af1298d1ef43</t>
  </si>
  <si>
    <t>611d5e1a-2350-4ab6-a4ec-c0b5bb58edb8</t>
  </si>
  <si>
    <t>ac0f22e2-1c02-4071-a21b-4dfaf076aceb</t>
  </si>
  <si>
    <t>7b589da5-dca5-4ec7-9988-2ad477f0f220</t>
  </si>
  <si>
    <t>e2c13212-02d4-45e8-9c39-3cd972f9c8d7</t>
  </si>
  <si>
    <t>39611027-7f58-4e44-8d23-706e114e47ad</t>
  </si>
  <si>
    <t>fc3182c2-545a-4d82-92f2-e30f94e47adc</t>
  </si>
  <si>
    <t>6c13a4ca-6e90-44f1-8115-6e91e816b025</t>
  </si>
  <si>
    <t>407f51a6-3070-4184-ab2e-6991652cecb1</t>
  </si>
  <si>
    <t>ab477e1f-a388-4f85-a322-7d7df6c4b226</t>
  </si>
  <si>
    <t>bb4bfd04-a7db-4997-a94a-bab6c847962a</t>
  </si>
  <si>
    <t>635fff1a-8535-4891-921b-c3b8829998c4</t>
  </si>
  <si>
    <t>c7f980d1-8092-4275-9d08-83ef5588fd36</t>
  </si>
  <si>
    <t>3a261f06-738b-44c7-9962-068e3ec1880c</t>
  </si>
  <si>
    <t>6e4be49e-f62b-42a3-b483-18b8542a1232</t>
  </si>
  <si>
    <t>db4987b1-f4b0-4937-8fde-e576bbe18634</t>
  </si>
  <si>
    <t>d87e5c0c-c76f-4eca-8da1-522c8407faca</t>
  </si>
  <si>
    <t>be5bcb84-3c51-42d2-9042-6c39c87fe4f0</t>
  </si>
  <si>
    <t>22d959c6-2fc9-444b-9d96-2aefd7f1536b</t>
  </si>
  <si>
    <t>f6f075c4-de04-441b-83e5-96b522f932a0</t>
  </si>
  <si>
    <t>1594b128-8563-4b3f-b19e-b8c0242770c5</t>
  </si>
  <si>
    <t>caf4d179-653f-4b92-8d04-5083ed72840e</t>
  </si>
  <si>
    <t>f5eb99b2-5f36-40d7-8c56-33cfa3f8f467</t>
  </si>
  <si>
    <t>38544bae-b80c-4af2-8a89-26a6de80a7fb</t>
  </si>
  <si>
    <t>8f7ce260-bebe-46d0-9904-0397708d4937</t>
  </si>
  <si>
    <t>06b9f201-bfdd-42f6-a79c-21e81c1228fc</t>
  </si>
  <si>
    <t>450434c7-7475-410c-be0f-b9082b1acd7f</t>
  </si>
  <si>
    <t>4d612da4-4f6d-4e1d-8535-6357dc69614f</t>
  </si>
  <si>
    <t>7faaddae-dd63-4864-b18f-93b4ba71ae0a</t>
  </si>
  <si>
    <t>fcb0d6df-3281-4cec-8c05-3320d44893cd</t>
  </si>
  <si>
    <t>32aa0314-e6d9-47a5-b61e-51fe8dd8b270</t>
  </si>
  <si>
    <t>7ca6316f-d7ab-4be6-9246-1de1187bfcc9</t>
  </si>
  <si>
    <t>9e4bc71c-b0e0-480f-9249-86b25212fc3f</t>
  </si>
  <si>
    <t>b1dc3cc1-8148-4d1d-8747-8ab5ed62dbf1</t>
  </si>
  <si>
    <t>b024bbda-9285-490b-b8bf-3857bd1f9239</t>
  </si>
  <si>
    <t>b0b31ea1-db79-4ac7-aa3a-d21cdd9ca60a</t>
  </si>
  <si>
    <t>863bce4c-3e64-4767-8591-160a21c10078</t>
  </si>
  <si>
    <t>f755baf6-bcdb-48eb-aaab-535c00c4c6af</t>
  </si>
  <si>
    <t>4a3dbe78-e33d-4757-8616-8d841bff83a5</t>
  </si>
  <si>
    <t>482b2e49-d56d-4658-9f76-6bed343e7e90</t>
  </si>
  <si>
    <t>487bba2f-dfef-4f63-a0be-500d3683db7a</t>
  </si>
  <si>
    <t>ff0085ca-ea4f-470b-8582-cd43bbdaf6f8</t>
  </si>
  <si>
    <t>8922eb73-540c-45a7-8c9e-9e10bd2dfa2b</t>
  </si>
  <si>
    <t>b206fd21-fdf3-44c1-8b4a-cede3a2b92a8</t>
  </si>
  <si>
    <t>f9944c55-fc50-408a-abe2-5138b20a242f</t>
  </si>
  <si>
    <t>1a5b8399-cc83-409e-8edf-a0966bdf03fb</t>
  </si>
  <si>
    <t>67d08f25-bae2-40b3-afb2-76d1023cf40d</t>
  </si>
  <si>
    <t>7baa532e-9cda-4d7e-bbf3-515853a56dd7</t>
  </si>
  <si>
    <t>6a8912b6-2045-4f26-b0a1-30d7e3a4ce16</t>
  </si>
  <si>
    <t>917f35df-ce41-43dc-a6fb-f6ed483dcea6</t>
  </si>
  <si>
    <t>25800c40-5ac9-40f3-ae99-f7f0c361e9d4</t>
  </si>
  <si>
    <t>c657a24b-cc29-43df-93c7-2cc4e0288a8f</t>
  </si>
  <si>
    <t>07afb653-c578-4f33-88f1-d9909c72ae91</t>
  </si>
  <si>
    <t>26a3d8aa-f854-43e4-af00-adf2023506e2</t>
  </si>
  <si>
    <t>fa6fd9eb-0e96-4ade-8ad4-c27871a667ae</t>
  </si>
  <si>
    <t>90ccf8d0-004f-4891-9fa4-3e95b9c2ac1a</t>
  </si>
  <si>
    <t>75f51dbd-5990-4892-a6b7-9173dcd5f323</t>
  </si>
  <si>
    <t>8106b362-b99e-48da-9d0a-148c02dd6538</t>
  </si>
  <si>
    <t>e4b9e93b-f5a7-42da-9938-509674077de9</t>
  </si>
  <si>
    <t>42aa9c34-d294-4bb5-abc7-9fc3c776674d</t>
  </si>
  <si>
    <t>59fa7d7e-9bb2-4c60-aed9-0621a2b38f82</t>
  </si>
  <si>
    <t>a340cf2f-1e56-4bb2-b962-85350868023f</t>
  </si>
  <si>
    <t>a933d344-c3ea-4d9d-883a-9e2be50e3df9</t>
  </si>
  <si>
    <t>9c178c3d-ba6f-4089-bc8b-315414b5acb2</t>
  </si>
  <si>
    <t>1bf54426-92a0-47c9-b082-25dcc42647c7</t>
  </si>
  <si>
    <t>6e0243a7-baeb-43ba-903c-c03edadab5db</t>
  </si>
  <si>
    <t>460c2421-ff61-449e-8b9a-1077b76b915f</t>
  </si>
  <si>
    <t>ee8cc8cb-3457-4227-bcbb-2d176d1b2e0a</t>
  </si>
  <si>
    <t>1c2b9dc1-ba07-4b81-b157-dc3e8e682348</t>
  </si>
  <si>
    <t>b10854ef-a9ee-4dc3-b616-5bbb0c65330a</t>
  </si>
  <si>
    <t>0c3ad066-a848-48d3-bc8d-b30a32a934f3</t>
  </si>
  <si>
    <t>90f8cc42-83c0-4904-9b8c-a29a8b16b27b</t>
  </si>
  <si>
    <t>a9003ed9-de06-4683-8c58-6c6395c5bb33</t>
  </si>
  <si>
    <t>7e92cbdb-0b69-46e2-8246-8b452ea0ff40</t>
  </si>
  <si>
    <t>09fc3f4e-2255-467e-829b-70a88447a4e8</t>
  </si>
  <si>
    <t>9304e95f-cce9-45b8-8100-2b95114b71a8</t>
  </si>
  <si>
    <t>2b83dcba-70ea-42a7-b31a-51ef4066171d</t>
  </si>
  <si>
    <t>3d1d85c9-3807-4bcb-8a45-54b094751557</t>
  </si>
  <si>
    <t>ac90644d-2a1b-4af9-a2dc-3f89e8f3d432</t>
  </si>
  <si>
    <t>aec77ecd-9ddb-4601-b920-fb258ef5e8e1</t>
  </si>
  <si>
    <t>cb1d2c09-1c11-4f05-bcb3-b49554b29563</t>
  </si>
  <si>
    <t>c4bc4493-456b-447a-a7de-6f0cf7d04217</t>
  </si>
  <si>
    <t>4ad7b931-b757-417a-ab0a-621b8f7b01f5</t>
  </si>
  <si>
    <t>30697c36-af61-4a91-a27c-5e89b6a1e1e6</t>
  </si>
  <si>
    <t>0b5eb6e0-d42f-4699-a584-f769a715f174</t>
  </si>
  <si>
    <t>30650608-8ecd-4cbf-b582-f2035467b8a2</t>
  </si>
  <si>
    <t>17ea5d54-961d-4cf8-b6eb-cdfe8ef2d161</t>
  </si>
  <si>
    <t>c471e491-ccf2-4a76-a84d-405779310f25</t>
  </si>
  <si>
    <t>be320e71-eaee-49f1-96bb-9ee577c7752e</t>
  </si>
  <si>
    <t>6fbf7c54-e8d8-4211-a4b2-5f6a3558964d</t>
  </si>
  <si>
    <t>7d597f60-3070-48ca-9469-b65be1ccc002</t>
  </si>
  <si>
    <t>5d194a1d-720a-419a-b757-d92b3e1e74ea</t>
  </si>
  <si>
    <t>da71c89c-9e99-4d3b-8e26-c2ecf0272544</t>
  </si>
  <si>
    <t>8de7a468-6876-4725-b67b-a19f7946ed99</t>
  </si>
  <si>
    <t>1f3d9c52-e4d0-41e8-ba3f-3a42bb4e9ac0</t>
  </si>
  <si>
    <t>bf4af0a1-77ee-4cfa-8dd6-312284bb35bb</t>
  </si>
  <si>
    <t>8b5fb6ae-2321-46a2-b840-6b4935ea7093</t>
  </si>
  <si>
    <t>1401a9f7-cc59-4b14-96eb-748503be9708</t>
  </si>
  <si>
    <t>697d4ad2-b897-424e-8f17-13f4b9c0b90e</t>
  </si>
  <si>
    <t>65627792-b1de-43a1-ab9a-1a100ccc432c</t>
  </si>
  <si>
    <t>b6d96f7d-df06-47ec-b9a6-fefe1f65c2e4</t>
  </si>
  <si>
    <t>84787ce3-de5b-418a-9ef7-8d2a73cc61eb</t>
  </si>
  <si>
    <t>98c3f15e-6464-49f0-a261-758f9b936c7c</t>
  </si>
  <si>
    <t>ddf860be-d028-4a56-81a7-f29bb2877c98</t>
  </si>
  <si>
    <t>5f44354a-5f6b-43ff-b585-7318742dda54</t>
  </si>
  <si>
    <t>85837f68-4502-4364-8783-2ba07d8f5509</t>
  </si>
  <si>
    <t>4c081801-1e4a-444b-b253-5c2daaeabe62</t>
  </si>
  <si>
    <t>d86a714d-26ac-4e53-8240-e034b241cbdf</t>
  </si>
  <si>
    <t>8d01a2a7-2bda-4481-8282-669546bb73e1</t>
  </si>
  <si>
    <t>3cb8b844-857a-41f8-afcf-eff8c6b1ba04</t>
  </si>
  <si>
    <t>09f3e9bf-929b-4478-a3bb-df8c406c4263</t>
  </si>
  <si>
    <t>71b8c2bc-7341-4a6d-bdb0-58864b6b5126</t>
  </si>
  <si>
    <t>c511add1-7f2d-44d5-97e2-71ffbf00e4f9</t>
  </si>
  <si>
    <t>19bfc3bf-6792-47c0-bda7-c6044d08593c</t>
  </si>
  <si>
    <t>e92b86aa-c78c-4871-97a8-fbf9125bfde2</t>
  </si>
  <si>
    <t>ebce622d-23de-42b3-b931-cc004a7f7334</t>
  </si>
  <si>
    <t>cf127af5-a0b2-4946-a02f-435d8113eb21</t>
  </si>
  <si>
    <t>9876f3f3-5340-4e00-b2e7-0d5d33a607f7</t>
  </si>
  <si>
    <t>179da6d9-c779-4a2c-9bd2-2a87bfa10d46</t>
  </si>
  <si>
    <t>1e049ff3-683d-44e0-baa5-5d4db058c8a5</t>
  </si>
  <si>
    <t>222fe255-ac48-438f-899c-5903c88feeae</t>
  </si>
  <si>
    <t>9f343053-0f56-4db3-97d8-c23ba972bc07</t>
  </si>
  <si>
    <t>ab38c5dd-53cd-4309-93ad-6f64963826bc</t>
  </si>
  <si>
    <t>4dfba4f0-6c5e-4736-a09a-40a96fabd886</t>
  </si>
  <si>
    <t>c8446b7e-dbe4-4aec-8b77-5858941ca234</t>
  </si>
  <si>
    <t>b4efb485-1c90-472b-9027-3cb53f3241b3</t>
  </si>
  <si>
    <t>d2454daf-cf4f-4c26-81f3-c5db62e381fb</t>
  </si>
  <si>
    <t>ca3d45d9-41fc-484b-9d59-d69943c642b6</t>
  </si>
  <si>
    <t>c1875413-edb2-4a29-9790-6f96f12680be</t>
  </si>
  <si>
    <t>4be634fd-5b86-48b8-a5ba-555b5deab1b3</t>
  </si>
  <si>
    <t>b5c30aa4-dfed-4e3c-a18d-ee1c937f6496</t>
  </si>
  <si>
    <t>c41c35e3-1d63-461a-bb29-bcc62783c961</t>
  </si>
  <si>
    <t>1f127bb6-9234-4714-815a-586521054202</t>
  </si>
  <si>
    <t>b8012fb3-72f4-4868-b958-90731493e185</t>
  </si>
  <si>
    <t>dba587f6-6ed8-4dc2-a1f2-7521535e8a97</t>
  </si>
  <si>
    <t>22f496e3-72d0-4824-946b-db838afb6418</t>
  </si>
  <si>
    <t>f4d2aa10-7e2a-4844-9630-2857e65640e9</t>
  </si>
  <si>
    <t>f84ec957-11ba-4330-aec4-21c4e70e1bc5</t>
  </si>
  <si>
    <t>974e31dc-3399-4496-a1c8-cac25a01d083</t>
  </si>
  <si>
    <t>5fb5382d-51bc-4fbc-8b1a-d0a381ab0b8d</t>
  </si>
  <si>
    <t>d43bb0bb-333b-4af9-a9df-9048af59fab7</t>
  </si>
  <si>
    <t>7284e2b9-995d-430b-87e6-50c468d38bc4</t>
  </si>
  <si>
    <t>12ff1e32-609c-403d-a7e0-2fd8ea93a478</t>
  </si>
  <si>
    <t>f298009f-5252-449e-869d-ab3c2ac656ba</t>
  </si>
  <si>
    <t>447b8c48-6ddf-4a5d-8f17-4964ca36e120</t>
  </si>
  <si>
    <t>d7797368-1a87-4523-9f0a-6d65a840b2b7</t>
  </si>
  <si>
    <t>d4a48dba-8e28-4813-8391-1ffb7b8ca94a</t>
  </si>
  <si>
    <t>b755e563-8b28-4fb0-acd4-2abd950e51d3</t>
  </si>
  <si>
    <t>292af2fb-350e-4d0b-b2aa-e403ba8d3828</t>
  </si>
  <si>
    <t>e5bbf07d-a941-4047-af8f-88dbe8bb964a</t>
  </si>
  <si>
    <t>0a713956-7921-4052-863f-df8e9c62541e</t>
  </si>
  <si>
    <t>f84d6b04-3786-4e65-92a4-e5fa4dc4b5e6</t>
  </si>
  <si>
    <t>a4419aba-0f72-42ed-a16f-4d2966b76ae2</t>
  </si>
  <si>
    <t>d8cfeb22-ad70-4f21-b6f2-a641236bc84e</t>
  </si>
  <si>
    <t>62081554-17f6-45fc-aa00-70ca7f26f881</t>
  </si>
  <si>
    <t>14e9d397-c714-4552-ba9e-cfe928928b58</t>
  </si>
  <si>
    <t>ac0b2d52-4cb5-43fe-9ffd-03c42cee1445</t>
  </si>
  <si>
    <t>40797a05-0102-40ab-91df-7670005d91bf</t>
  </si>
  <si>
    <t>77b3adfb-35bc-4f4f-b575-3997009eef86</t>
  </si>
  <si>
    <t>964dfcf8-6589-446f-86a8-cca6558d4331</t>
  </si>
  <si>
    <t>36dec50d-e709-4572-b7af-baaa524efce4</t>
  </si>
  <si>
    <t>65e6faaa-b46f-48a1-8a0b-834e96238e62</t>
  </si>
  <si>
    <t>13f4b149-6240-432e-a5ce-66f0df677ee1</t>
  </si>
  <si>
    <t>4f98a005-3692-43bc-88d8-5690d86e82b4</t>
  </si>
  <si>
    <t>8a517388-8d8e-44e4-b7d0-db20e463b87b</t>
  </si>
  <si>
    <t>0173b95d-8f22-483c-999e-cf127f109def</t>
  </si>
  <si>
    <t>167feeb0-59fa-482b-9d66-1104bc84e282</t>
  </si>
  <si>
    <t>9d32b02e-c35a-48f8-bf6e-551047d7347c</t>
  </si>
  <si>
    <t>90cb88c7-f1ba-4da5-a15b-957ee30b36b0</t>
  </si>
  <si>
    <t>bf7f1718-890e-4ea2-aae4-26b00e0319be</t>
  </si>
  <si>
    <t>06ebf408-87bd-457a-9115-4e2f199377a2</t>
  </si>
  <si>
    <t>7d4b422d-32de-480e-939c-17b2ffc0fcc6</t>
  </si>
  <si>
    <t>c064b422-d83f-472e-9f80-1975433a4801</t>
  </si>
  <si>
    <t>c1286282-2f8b-44bc-8319-3901358a0f60</t>
  </si>
  <si>
    <t>9b8150b6-205a-4501-bc65-63c327513fd0</t>
  </si>
  <si>
    <t>f7f75d4c-a67b-4d13-bb09-a709e1220581</t>
  </si>
  <si>
    <t>ac371cc6-5b56-4b1d-95f7-b805af86c2d3</t>
  </si>
  <si>
    <t>9a56baff-941f-41ee-bd20-4ca2af472606</t>
  </si>
  <si>
    <t>86cefaf7-17b9-4050-a59f-fafcb61ac9fa</t>
  </si>
  <si>
    <t>cc6147d3-d599-4102-a24b-c6bee55b0af7</t>
  </si>
  <si>
    <t>65d27efd-3ee8-4955-b44e-871bff704f36</t>
  </si>
  <si>
    <t>4d0db8ff-09fc-4047-911a-27bb53ad8bdf</t>
  </si>
  <si>
    <t>c5e538e4-fabe-4958-8988-969391cb7042</t>
  </si>
  <si>
    <t>05fa8de5-d323-4919-8705-48718293fe4a</t>
  </si>
  <si>
    <t>da2b96c4-34d9-4642-b480-9cee9cdb6a0a</t>
  </si>
  <si>
    <t>897f2159-deed-4fad-b127-3e724d1ce025</t>
  </si>
  <si>
    <t>41fb89ba-8748-41e8-8f10-68efbc7de02e</t>
  </si>
  <si>
    <t>d7fc2514-537c-4563-b420-7882ad21c1ac</t>
  </si>
  <si>
    <t>27aa222b-64e7-49a2-b930-0a236c8bb466</t>
  </si>
  <si>
    <t>6ed9b811-f92d-43b2-8ba3-0ac9255bcf54</t>
  </si>
  <si>
    <t>84ee7781-a561-4254-bcad-a94d8b1b8a0d</t>
  </si>
  <si>
    <t>2713e8ca-301b-4ac3-ab14-9a652c79993b</t>
  </si>
  <si>
    <t>726e9fba-ed3f-4ca6-9faf-3599236d5d79</t>
  </si>
  <si>
    <t>e118bc30-2b3a-416b-bda1-f202c20d60b8</t>
  </si>
  <si>
    <t>dc7c2220-f7e2-4e80-8dcc-9b7c698a1cac</t>
  </si>
  <si>
    <t>3c9a81f0-6d7c-4477-9708-7ad140fd7346</t>
  </si>
  <si>
    <t>ea9d710f-4f44-43d9-8eff-b6672ce80859</t>
  </si>
  <si>
    <t>3d81cfcb-aa83-46ae-a129-ca5061d5fc5d</t>
  </si>
  <si>
    <t>28c07721-2707-4471-afb6-81f0287b657f</t>
  </si>
  <si>
    <t>d9737677-25fe-4a5c-a246-c5ccc6279cb8</t>
  </si>
  <si>
    <t>0311e575-e74a-4a49-998e-8eb132c43705</t>
  </si>
  <si>
    <t>b8c6318b-585a-4a8f-a9d6-91dc2e220a05</t>
  </si>
  <si>
    <t>815b15e0-8ce2-44cf-941f-887acf5e3ecb</t>
  </si>
  <si>
    <t>e8c641fe-8f47-4e40-8c2e-a236a2a4e16e</t>
  </si>
  <si>
    <t>5e8cc955-cf35-47a9-821a-dd44ed53a0bb</t>
  </si>
  <si>
    <t>917c7110-2636-4987-ba35-afbd5f898c80</t>
  </si>
  <si>
    <t>8ee748f2-1f63-4001-ad43-980651c31138</t>
  </si>
  <si>
    <t>d680b7a3-e9f7-4563-acc0-0832df78900a</t>
  </si>
  <si>
    <t>7632ad0f-1164-400f-968b-01fc19abcff0</t>
  </si>
  <si>
    <t>e91cf1f3-7344-42b5-890b-14a8b7d3fb82</t>
  </si>
  <si>
    <t>fc6ef49b-649f-4304-a831-59ad6e1b33e3</t>
  </si>
  <si>
    <t>2b44779a-08e0-43a1-afe7-767d5f36b705</t>
  </si>
  <si>
    <t>3ef861a9-34f9-41d4-88f7-fed374c97da8</t>
  </si>
  <si>
    <t>6ad772b6-3f1a-4ee4-b3d1-b46198469645</t>
  </si>
  <si>
    <t>7671f18f-f128-4617-9d5e-b394968dd2db</t>
  </si>
  <si>
    <t>f5a01606-84e8-4092-8148-e436650df722</t>
  </si>
  <si>
    <t>10a35643-f7c7-41ae-863d-bd6cc1defb45</t>
  </si>
  <si>
    <t>0f0c6036-01f5-4624-b3bd-e458d9c85a46</t>
  </si>
  <si>
    <t>c826f857-cb48-4033-a279-767528970936</t>
  </si>
  <si>
    <t>db467d36-da02-42e0-9a44-88ec646eb073</t>
  </si>
  <si>
    <t>6d52d759-0f01-4160-a6d2-382cac664dbb</t>
  </si>
  <si>
    <t>91ec4658-8147-4d36-8ca7-26cbe1c42adf</t>
  </si>
  <si>
    <t>a3a1be76-bfe9-4e10-9d7d-b68b2718d79c</t>
  </si>
  <si>
    <t>e05d5034-fe5d-4157-9a4f-7d9171ec395a</t>
  </si>
  <si>
    <t>bc5bd983-c1bb-4c16-9767-67b873a87efb</t>
  </si>
  <si>
    <t>c760f00f-afbe-4b1f-906c-2911b9ac6dc7</t>
  </si>
  <si>
    <t>4653c680-14cf-43d0-8a4f-54c51bcec5ff</t>
  </si>
  <si>
    <t>26470e36-61a1-4a3c-b722-bc864c54da74</t>
  </si>
  <si>
    <t>f9040ac3-1c2f-4f57-98c6-fc4af406f730</t>
  </si>
  <si>
    <t>6046e20a-66e4-456f-8a6f-281ef698dbf5</t>
  </si>
  <si>
    <t>b4d27866-c005-4c56-a36f-35600f5f525f</t>
  </si>
  <si>
    <t>7663fbd6-c8b0-4cf8-b272-d20797f04863</t>
  </si>
  <si>
    <t>f486c85c-a072-450e-a1e4-2f12885ec052</t>
  </si>
  <si>
    <t>7f8bbdca-d9cf-4b1b-9264-e93c54f849d4</t>
  </si>
  <si>
    <t>fbbac22e-4f9f-425b-a861-87df8445d4f8</t>
  </si>
  <si>
    <t>c150b0c2-9ac2-4910-8904-ae380061f55f</t>
  </si>
  <si>
    <t>28e29d79-8d6a-41a2-9017-8f56bc9fa04c</t>
  </si>
  <si>
    <t>c7a3dbf9-a2c9-49a0-9ad8-c7168064a667</t>
  </si>
  <si>
    <t>e1dcb0e6-2570-4ea6-9e4b-8f8a1fbc2db4</t>
  </si>
  <si>
    <t>83fca811-bca7-40cf-8950-265e15ef525b</t>
  </si>
  <si>
    <t>859dd449-5ecf-4ffb-8535-52d8e5067c4d</t>
  </si>
  <si>
    <t>db56b03b-15ee-4a84-9365-a23901272979</t>
  </si>
  <si>
    <t>b3b15f80-1743-4cb7-ba83-c310d9bf37ec</t>
  </si>
  <si>
    <t>d9dde2be-8b64-4bc0-96e3-46957e845311</t>
  </si>
  <si>
    <t>eee0afb6-9c12-4267-b6d3-ef9e77e075ab</t>
  </si>
  <si>
    <t>e8dafc1d-f524-4ad6-86ba-fbb0dc16ee32</t>
  </si>
  <si>
    <t>00e4e365-79f8-434e-8a4a-692a7e8ab114</t>
  </si>
  <si>
    <t>fcdf1265-7000-4e64-bbd4-c08f88976ef3</t>
  </si>
  <si>
    <t>62892bde-7069-411e-a6f5-612b15809d44</t>
  </si>
  <si>
    <t>1a5779ef-a782-4399-8846-acfd75fa9347</t>
  </si>
  <si>
    <t>c9889950-d8a2-49c1-8253-a3d171ad04b9</t>
  </si>
  <si>
    <t>dffd4c58-3e49-4e86-84b2-f104ee471d93</t>
  </si>
  <si>
    <t>a049bc50-8fb8-47bd-b6ce-b8e88e738668</t>
  </si>
  <si>
    <t>742076e2-e158-40b4-9b8d-eb47906fd739</t>
  </si>
  <si>
    <t>90c33f48-bcdb-42ae-8d3e-3eca98f119cd</t>
  </si>
  <si>
    <t>71fc12c1-072c-4e6b-a649-ef200d38ed52</t>
  </si>
  <si>
    <t>76478f98-634d-4dcc-9f3a-2e17131eafc7</t>
  </si>
  <si>
    <t>1ab1c665-d74a-4a8d-977a-02161e741ed2</t>
  </si>
  <si>
    <t>3ee41e43-492e-45f0-97aa-249db77a0a3a</t>
  </si>
  <si>
    <t>73fb4d33-8c4b-4e51-b0a3-8b196ec76a08</t>
  </si>
  <si>
    <t>dcda24c2-a03d-48b6-a945-b91a48dfb934</t>
  </si>
  <si>
    <t>64a3c3e8-3bc5-4e13-8c3a-72978135798d</t>
  </si>
  <si>
    <t>4c066d41-a66c-4de0-ad55-20b962425112</t>
  </si>
  <si>
    <t>e86619d7-206c-4c7f-b6b8-7119ac3d9eb7</t>
  </si>
  <si>
    <t>46fafb1c-13c9-49da-9596-ccd142314299</t>
  </si>
  <si>
    <t>94b9658f-1eee-467f-be55-f44030a74948</t>
  </si>
  <si>
    <t>a26e8ef1-e395-4453-a434-00f1f8b2b014</t>
  </si>
  <si>
    <t>dc64e931-a2e6-45eb-abfb-16d19bcf089a</t>
  </si>
  <si>
    <t>048f3f6e-46bf-4e3c-a940-c7106af3d055</t>
  </si>
  <si>
    <t>e622bdaa-abd1-4614-b881-89ea95340187</t>
  </si>
  <si>
    <t>66ada919-899c-4917-9dec-43f4bce49d51</t>
  </si>
  <si>
    <t>f77ca297-f34c-42ee-8330-ab8796b1e196</t>
  </si>
  <si>
    <t>9fa4ce87-08eb-405d-aeb8-5a8567df2613</t>
  </si>
  <si>
    <t>15475ef7-7aa5-4f18-a700-a8359155e14c</t>
  </si>
  <si>
    <t>b3995290-d5d7-4bb9-85b6-318a6c70d22d</t>
  </si>
  <si>
    <t>241f4dfc-a250-4e62-831f-ab7ef2463dfd</t>
  </si>
  <si>
    <t>6885e66e-fd85-4518-8ac0-ee3bcb7b78d4</t>
  </si>
  <si>
    <t>69da751e-ae27-4f8f-9f39-6273ea988bf6</t>
  </si>
  <si>
    <t>f1d52650-4e97-422b-8fe1-bb241292193a</t>
  </si>
  <si>
    <t>b6591725-6c4b-40b5-b307-17d516e73939</t>
  </si>
  <si>
    <t>a2ae588a-8999-4d95-b77a-e4753e44ce3f</t>
  </si>
  <si>
    <t>7ba67800-b486-4c8d-af10-43292b231ec4</t>
  </si>
  <si>
    <t>d3103827-de16-4722-85d3-fae87689a46d</t>
  </si>
  <si>
    <t>94ac7f64-4bcf-4637-a866-86f1f1f48951</t>
  </si>
  <si>
    <t>7808747a-ee67-4b4b-b46a-b9d0ef82b373</t>
  </si>
  <si>
    <t>60fb6420-f6c0-4cb2-abae-c61b7ee78a93</t>
  </si>
  <si>
    <t>9d6d6f06-7eb2-474a-8a7a-6bf72e279e3a</t>
  </si>
  <si>
    <t>bdf1473f-3fd2-4f60-86c1-b777343eaea1</t>
  </si>
  <si>
    <t>07084434-299c-4ba5-b7a3-b37119735030</t>
  </si>
  <si>
    <t>6224a919-b4e1-45d2-89b6-16059e943542</t>
  </si>
  <si>
    <t>267cd735-2986-45f8-b6fb-b31f697d754d</t>
  </si>
  <si>
    <t>2da0cea1-8c87-4b2f-b50e-dafc6e5ddf4e</t>
  </si>
  <si>
    <t>7c6a5c7a-edb1-4386-a250-f78a612422ed</t>
  </si>
  <si>
    <t>ed948d18-ed53-4a0e-a1e7-36a2f5c71b9d</t>
  </si>
  <si>
    <t>9318cb3c-dd8d-4a12-9cee-6e66e20d723d</t>
  </si>
  <si>
    <t>1e5abe12-0df0-4fb3-a3b4-31f632586109</t>
  </si>
  <si>
    <t>225e91d3-7cfa-4e46-be1b-7769487d1382</t>
  </si>
  <si>
    <t>1a22aefb-df9d-4ebf-826d-f4dbd58b9e5d</t>
  </si>
  <si>
    <t>6b83ec6c-0be4-44bd-ab19-9ceddf0b6dfc</t>
  </si>
  <si>
    <t>8bf4ca02-2040-4a53-bda0-c61f7e2e5dcb</t>
  </si>
  <si>
    <t>12cda722-877c-48d6-a46b-4b11269f3370</t>
  </si>
  <si>
    <t>8fd2b695-4ab8-492f-94d7-ffb378ff063d</t>
  </si>
  <si>
    <t>d09fc64f-4cef-42f4-9ef4-54a95d4b1074</t>
  </si>
  <si>
    <t>47598bf0-6c3b-42ee-9327-a4f00d79570c</t>
  </si>
  <si>
    <t>447e597f-2010-42d3-af70-a0a609c851de</t>
  </si>
  <si>
    <t>bda65adf-87bd-4770-ad58-cd1760c61a4c</t>
  </si>
  <si>
    <t>ee706143-a576-4a37-93fe-ee18a2444db1</t>
  </si>
  <si>
    <t>3c998610-5820-4060-917d-d6734fabeaf9</t>
  </si>
  <si>
    <t>31c97f4a-93c8-4592-b812-75993b8b71d5</t>
  </si>
  <si>
    <t>b3b57c2a-6011-4966-bc80-b411abc42353</t>
  </si>
  <si>
    <t>a0b8962f-af06-46a6-aa5d-21d759ed4f40</t>
  </si>
  <si>
    <t>3f720450-af7c-45a8-854f-7c14467ac5b5</t>
  </si>
  <si>
    <t>d043e252-af43-4c85-8252-cba641b70afb</t>
  </si>
  <si>
    <t>b0d303f6-a548-4291-9121-25655c6ee332</t>
  </si>
  <si>
    <t>73fb6e88-1651-4eaa-8ed2-3a741a2219d0</t>
  </si>
  <si>
    <t>8741b684-d6ed-450e-b4b9-eb0b51c7c894</t>
  </si>
  <si>
    <t>c09d753f-ad4c-4105-98c5-baff2b2f1c94</t>
  </si>
  <si>
    <t>c2babac4-4fbe-4500-9a58-460b278c0700</t>
  </si>
  <si>
    <t>814d618e-77d0-4fa0-86b3-b44c9d72f80f</t>
  </si>
  <si>
    <t>23e805a4-c1da-48fe-bd6e-c091fbcaf310</t>
  </si>
  <si>
    <t>f589c4ab-5f0e-487d-811b-d1e91a6321d1</t>
  </si>
  <si>
    <t>ef63a26d-fd27-4745-add1-642d0b3dbc36</t>
  </si>
  <si>
    <t>5aa7f0cf-beea-4eb3-8a87-b4784e98244b</t>
  </si>
  <si>
    <t>3cb554c4-e898-451e-ad84-6d2b74d13907</t>
  </si>
  <si>
    <t>4c3fb113-1623-4d1b-aedb-dfe0fb2fe729</t>
  </si>
  <si>
    <t>d853d422-42ff-4375-9bca-95537a27bf9a</t>
  </si>
  <si>
    <t>6457141a-1695-453d-bafc-4ee9f25f2cda</t>
  </si>
  <si>
    <t>e2c184dd-3caa-4f9b-a0e8-26ebecd3bb8f</t>
  </si>
  <si>
    <t>e2b46b23-1b11-4769-8f8a-390c18bbac83</t>
  </si>
  <si>
    <t>b97b79c8-429f-4ff3-a38f-1025ab651006</t>
  </si>
  <si>
    <t>387458aa-437a-4629-aa33-9e3c015c68f7</t>
  </si>
  <si>
    <t>ea4d632d-728c-4a8b-815b-888bda9a7664</t>
  </si>
  <si>
    <t>f5f9c601-f241-40df-88d8-80979c680f7f</t>
  </si>
  <si>
    <t>a225ad0d-b45e-4068-bb94-10319b46719b</t>
  </si>
  <si>
    <t>7fd553a5-74b0-4290-af55-cbac6d1affd8</t>
  </si>
  <si>
    <t>b8213390-a54a-4ce6-a851-9de34ce0fa87</t>
  </si>
  <si>
    <t>9018547e-5235-4e8a-b91c-c56b35151438</t>
  </si>
  <si>
    <t>87558fe3-46c8-4afe-842d-5ba7023d8a4f</t>
  </si>
  <si>
    <t>3ab30610-c65b-45f4-b340-94202eeb2b2a</t>
  </si>
  <si>
    <t>a7d8bebd-9a10-413a-9130-c0d22a19808d</t>
  </si>
  <si>
    <t>fb114e44-1350-412c-80bf-2d3f11a0dc7e</t>
  </si>
  <si>
    <t>7aaa3e7e-c831-4c07-898f-2e9ab95f05c5</t>
  </si>
  <si>
    <t>eb2123a9-a2a1-4b15-9178-726c6ac45aa0</t>
  </si>
  <si>
    <t>c93c8da1-de2f-4dd3-9627-a969b007be3d</t>
  </si>
  <si>
    <t>12cb82f5-3c8a-4bf0-aac2-71de444ef82a</t>
  </si>
  <si>
    <t>ce0aad42-bc99-4eba-a8ea-9b0b8c33ea3f</t>
  </si>
  <si>
    <t>657aa7a9-73bc-47f8-b0ea-f8db07b59b06</t>
  </si>
  <si>
    <t>a887ddc9-407f-4605-8eb7-1d933940f721</t>
  </si>
  <si>
    <t>c5cb71e8-6fc8-4798-b8da-7c2b3c7635cc</t>
  </si>
  <si>
    <t>5da00557-bf16-492d-8f38-8e55be8f4249</t>
  </si>
  <si>
    <t>bfb7d5a2-7171-4a27-8eab-248cca64fa3c</t>
  </si>
  <si>
    <t>3236fee5-d783-4946-ba12-f6ae8fb70f90</t>
  </si>
  <si>
    <t>3c43e772-8cd3-4a17-ad0e-d3b8bd879ac9</t>
  </si>
  <si>
    <t>1bcb5501-92cd-4764-9998-bd21ef7045f5</t>
  </si>
  <si>
    <t>fa06752d-3a83-486f-9d16-327cdcb87d2b</t>
  </si>
  <si>
    <t>cd502f7f-6faf-4a5d-ab52-e5420d02d64e</t>
  </si>
  <si>
    <t>00e485ef-2e7d-41e5-948c-e917f66497f6</t>
  </si>
  <si>
    <t>2f7e0e16-8fe8-41e5-b895-e9cc300ad4d2</t>
  </si>
  <si>
    <t>009c04e2-bbc5-468e-abd1-30169ce81a9e</t>
  </si>
  <si>
    <t>62591cda-fd9b-4d1a-867d-568d168a8c87</t>
  </si>
  <si>
    <t>ef8d063d-590b-4fcd-90a4-e9393afdecba</t>
  </si>
  <si>
    <t>f5c294ab-6198-4a60-b109-7bc1789f4481</t>
  </si>
  <si>
    <t>534ddc70-c348-42b1-be1e-48f65d97a7ae</t>
  </si>
  <si>
    <t>6697a929-301b-46c5-967c-fa6fb4023cea</t>
  </si>
  <si>
    <t>e033a073-caca-489f-b323-3b648f8b868a</t>
  </si>
  <si>
    <t>69b1186c-6a89-4e8d-a163-a95275414a51</t>
  </si>
  <si>
    <t>3c95dddd-a4e9-45cb-9992-3805d2adec7b</t>
  </si>
  <si>
    <t>1297adc4-3efe-4c27-b8ff-ac8f29524ef7</t>
  </si>
  <si>
    <t>e88e6ca6-de5c-4037-a465-b5edf7c49f6f</t>
  </si>
  <si>
    <t>473acbed-b030-4949-8f54-5afdc7d32729</t>
  </si>
  <si>
    <t>c2ae577e-b41a-4132-8d1e-016643043dc4</t>
  </si>
  <si>
    <t>ed848f26-dd82-437a-85d2-f36f01cb760a</t>
  </si>
  <si>
    <t>d0620503-9029-40ee-af2b-298f8e44f1dd</t>
  </si>
  <si>
    <t>a4f23a06-5a59-412a-a23e-75aebb37c0cb</t>
  </si>
  <si>
    <t>c5ea762b-4c89-4871-8318-b2f273b16fb0</t>
  </si>
  <si>
    <t>ad6d1e96-131c-4799-897c-e3ab00408755</t>
  </si>
  <si>
    <t>a3fffd0f-750d-40dc-8215-1cd8067b3950</t>
  </si>
  <si>
    <t>c4c4644b-59f8-4ec5-acaa-a3d3c91e4ccb</t>
  </si>
  <si>
    <t>6a0aba5c-f788-4001-a9d6-b772527a18c2</t>
  </si>
  <si>
    <t>350ddec8-4e56-44fd-b013-0b9b6fc6a611</t>
  </si>
  <si>
    <t>d8ec0488-d02c-47ec-8dfd-5cb217852062</t>
  </si>
  <si>
    <t>12bea42f-ee1c-45e8-9e7e-65ae21df822e</t>
  </si>
  <si>
    <t>3e23274f-6857-45c1-b766-337e06a20f9d</t>
  </si>
  <si>
    <t>0256cc42-105b-4039-a884-ffe12a1321e4</t>
  </si>
  <si>
    <t>de606760-76b1-4eeb-8ae4-1fadda388181</t>
  </si>
  <si>
    <t>a933cbdd-b01c-400c-8193-3dd28fa3009f</t>
  </si>
  <si>
    <t>e4b73b04-e26b-4fe0-b3eb-425131fb3393</t>
  </si>
  <si>
    <t>2eb57519-b699-48d8-9840-0b308a449fd0</t>
  </si>
  <si>
    <t>c41c4e86-ccf0-437c-b82c-60e686d4ac81</t>
  </si>
  <si>
    <t>407de8c6-d8fa-4028-a8e1-ad3e122c6a22</t>
  </si>
  <si>
    <t>3c7e8e89-913a-4f08-8fe1-c958575557d6</t>
  </si>
  <si>
    <t>3c95a190-9202-48c6-8b08-4803a1faf861</t>
  </si>
  <si>
    <t>42405043-f04e-447d-a1c9-b488baf1461a</t>
  </si>
  <si>
    <t>4dbc6bfc-e42a-49fe-9576-472fa480f223</t>
  </si>
  <si>
    <t>63026584-d633-421f-b72f-7531074398cd</t>
  </si>
  <si>
    <t>a8cb8c8e-d206-4bce-91cb-ee07960bd63d</t>
  </si>
  <si>
    <t>b1e898c4-7da5-4fd4-b4e9-55ed4ffde692</t>
  </si>
  <si>
    <t>d701d7e5-d92c-4d55-8dc4-9bfd0b6152ef</t>
  </si>
  <si>
    <t>a395fc22-c3f5-42ab-8760-285c3dbe16a4</t>
  </si>
  <si>
    <t>2a258bda-42d4-406b-b53e-f41b3bd89265</t>
  </si>
  <si>
    <t>272d063e-d9fe-4861-9513-0833e215b62e</t>
  </si>
  <si>
    <t>563ba08a-28fe-41a9-811a-008ca3dc4aee</t>
  </si>
  <si>
    <t>fe3f2ca7-6444-481e-8f49-58b1536843c3</t>
  </si>
  <si>
    <t>01aad789-c4c2-4194-8dac-4b5cd68fb068</t>
  </si>
  <si>
    <t>310181e3-821d-4213-8b56-bb31a25fda68</t>
  </si>
  <si>
    <t>95455309-4020-4ba5-b6e9-d260dc519474</t>
  </si>
  <si>
    <t>174e2888-e3d2-43d9-8ab9-ecad791538c1</t>
  </si>
  <si>
    <t>32d02df6-7f24-4be1-8898-0d40dd287b26</t>
  </si>
  <si>
    <t>b21c6c74-9397-4082-9b70-ef8997ddb2a8</t>
  </si>
  <si>
    <t>cd3af2d4-88f9-4efa-bc48-c9c0b0ed754c</t>
  </si>
  <si>
    <t>4546712b-572b-4c79-b6d7-de2b06da00db</t>
  </si>
  <si>
    <t>ca8b7e3c-3e2d-4ede-98da-7ecbdd3479d6</t>
  </si>
  <si>
    <t>6a98e46f-890e-47b9-9fd8-49ab8836a82b</t>
  </si>
  <si>
    <t>65d6aec9-df19-4413-98a6-30c9b3cd6318</t>
  </si>
  <si>
    <t>8d7ac24d-f9f1-4377-97a1-59244a1d90d1</t>
  </si>
  <si>
    <t>0adad1c2-3fb3-4199-b49f-4d44f59efa13</t>
  </si>
  <si>
    <t>a59eb70f-a329-4932-b2a8-63062f395169</t>
  </si>
  <si>
    <t>50960d9d-7d1a-404a-90d2-9a885f85d335</t>
  </si>
  <si>
    <t>df0d8ca0-2a98-46cf-b37f-72418c5ff708</t>
  </si>
  <si>
    <t>c21a283e-e437-468e-bd52-480cc6a7ec5e</t>
  </si>
  <si>
    <t>18b5c9f4-b470-4f39-9e95-72049428d9c2</t>
  </si>
  <si>
    <t>5d63e152-0bea-412f-89fb-286f3852f97c</t>
  </si>
  <si>
    <t>73932c56-2090-40aa-88d8-40115f1926c0</t>
  </si>
  <si>
    <t>e1d0e687-d1fd-4f6b-a406-d0fea98031ef</t>
  </si>
  <si>
    <t>a559827d-e679-4215-be60-b411adc5a0bd</t>
  </si>
  <si>
    <t>8b20e7b8-dda8-4d19-80c3-28507292083d</t>
  </si>
  <si>
    <t>97f3cbca-4e0e-4c79-af49-d0d0661bf520</t>
  </si>
  <si>
    <t>891ba468-6177-4548-9ead-145dd58e5e03</t>
  </si>
  <si>
    <t>ed1e3bc0-cd30-463f-a568-93c12f6bc83e</t>
  </si>
  <si>
    <t>0fa826ee-e8aa-4262-b117-f88925dda027</t>
  </si>
  <si>
    <t>6ce9bf1f-03fc-47c7-bea0-b6322e7678c6</t>
  </si>
  <si>
    <t>2ebbcbdf-d7b0-4ece-a36c-92451d191a6c</t>
  </si>
  <si>
    <t>d5e4ea56-5234-456b-ae05-e6f6502b8a8d</t>
  </si>
  <si>
    <t>dc878c8e-6852-4650-bf0d-06f13838eed3</t>
  </si>
  <si>
    <t>64200d25-0b36-416c-8900-46c75f76e1e8</t>
  </si>
  <si>
    <t>7f6a5e28-ce4b-4373-8a0f-ee4919c142b9</t>
  </si>
  <si>
    <t>f3ce0108-5cc4-4f7d-8734-651d17cdc670</t>
  </si>
  <si>
    <t>04c86ea2-2918-4ac0-b44c-f6df7bac8fba</t>
  </si>
  <si>
    <t>b219c49e-9a87-449f-bcc6-11bd8a7dd89f</t>
  </si>
  <si>
    <t>5e6dd266-cc24-4f2e-b366-6e757472b5f9</t>
  </si>
  <si>
    <t>2da54159-dccc-422e-8089-4af5b20cb34e</t>
  </si>
  <si>
    <t>d27487aa-bb76-451a-be4d-37c9fd6a9c36</t>
  </si>
  <si>
    <t>b54b8350-510c-4c32-9666-2d183973a4e0</t>
  </si>
  <si>
    <t>3cd15a64-c5a0-4f51-b366-e63e5d3dcf66</t>
  </si>
  <si>
    <t>f868974c-cbc8-4435-b985-2a2059a6d60b</t>
  </si>
  <si>
    <t>b390cbff-5131-4817-9058-939feb19513c</t>
  </si>
  <si>
    <t>e4225ab5-3b71-4a4a-87af-bc1edb1b1488</t>
  </si>
  <si>
    <t>e0d70248-af14-458f-9ad0-0cac26bc9461</t>
  </si>
  <si>
    <t>c6f86202-4b04-447c-83d5-7079ff27b576</t>
  </si>
  <si>
    <t>9c8e20ee-dca1-427a-b471-3d7d328090e2</t>
  </si>
  <si>
    <t>d6d978bc-2609-4dd0-b872-fcf1b2d593c2</t>
  </si>
  <si>
    <t>3066293e-82da-49ce-8780-77649aced126</t>
  </si>
  <si>
    <t>14c50f4b-d795-43ca-8a13-0fa4f82f9e2e</t>
  </si>
  <si>
    <t>6736d75f-3196-450c-9dbd-275f20eae7be</t>
  </si>
  <si>
    <t>29ac609e-949f-46dd-b275-863d7e6936e1</t>
  </si>
  <si>
    <t>53e8a707-d260-46f1-b322-6b481bfa4c34</t>
  </si>
  <si>
    <t>edbd72a1-0977-4c81-8601-0520ce259b94</t>
  </si>
  <si>
    <t>0229c490-c82c-49bf-b063-140810c9ffa3</t>
  </si>
  <si>
    <t>3de60ea8-4b3c-4817-9471-d078c883f90f</t>
  </si>
  <si>
    <t>d0d3a1ca-ef14-4c98-94ba-1728676dda81</t>
  </si>
  <si>
    <t>03af2e56-fe40-48a6-a0b8-63824f29beb9</t>
  </si>
  <si>
    <t>152ea055-b8f7-43ae-a179-08777785e8e3</t>
  </si>
  <si>
    <t>cfd3da1c-9258-4b4e-b9c1-11081e78a53f</t>
  </si>
  <si>
    <t>3db1ccec-4027-4783-b2db-c7bdaefb65b4</t>
  </si>
  <si>
    <t>31520ed7-98a7-4018-94e3-e9462ed4ef0e</t>
  </si>
  <si>
    <t>438785ec-a2ed-44d8-88ba-5eb1b05e8233</t>
  </si>
  <si>
    <t>07e8d55e-2f04-4490-ae36-f08a0b9da29d</t>
  </si>
  <si>
    <t>01e3bd06-29a9-4bd8-ad27-59e205c8c997</t>
  </si>
  <si>
    <t>4015bd17-bc5c-4285-babc-ab6f581cd98e</t>
  </si>
  <si>
    <t>82ea5ad4-ab28-4bcf-8d28-0f48b9ed6be7</t>
  </si>
  <si>
    <t>274dd20a-fa83-441b-8be5-271fe68f56a1</t>
  </si>
  <si>
    <t>225e5fe4-8e04-47f3-bb67-453c99c78b22</t>
  </si>
  <si>
    <t>9a461398-1b10-43a8-b53d-c69376015966</t>
  </si>
  <si>
    <t>98db4a8f-c921-4d86-805b-568a848a8e00</t>
  </si>
  <si>
    <t>a5952f85-5c30-4288-86ff-b8f5e8b284cf</t>
  </si>
  <si>
    <t>17c1caac-1814-49e6-92a4-44419d750263</t>
  </si>
  <si>
    <t>6623db58-b753-46b5-9fd0-5c1a246ce9f5</t>
  </si>
  <si>
    <t>4adfd890-2ac1-4893-a4ca-4735bcc3aa7b</t>
  </si>
  <si>
    <t>6004e92b-6b7b-4e63-8fdc-cda49e2c37f3</t>
  </si>
  <si>
    <t>2fa40f64-c218-49b1-ac92-7a92710cf1b2</t>
  </si>
  <si>
    <t>ef792605-2465-4b19-a845-d27f0bbe0843</t>
  </si>
  <si>
    <t>af78243c-9012-451f-9a28-59c928b6ea96</t>
  </si>
  <si>
    <t>0f319651-fdb3-4165-8953-ccedadab87d1</t>
  </si>
  <si>
    <t>6745afea-569e-4f88-84c6-c1221d7a72f5</t>
  </si>
  <si>
    <t>acff1c74-805e-4898-a610-cfb934bb89dc</t>
  </si>
  <si>
    <t>9e5dd1ec-f924-474a-95d2-afbc675147e5</t>
  </si>
  <si>
    <t>bf220157-c13d-4c81-b091-f5dafd131b40</t>
  </si>
  <si>
    <t>4b148822-18dc-4f3c-8d40-3d697673c730</t>
  </si>
  <si>
    <t>b4109460-0a3f-4f78-9229-fab755ed5ab0</t>
  </si>
  <si>
    <t>1bdacd31-60b9-4e29-88ee-b02eb7450719</t>
  </si>
  <si>
    <t>5e52190a-f6c4-401b-8546-6709b3d988b3</t>
  </si>
  <si>
    <t>d503e2f7-b3cd-4eec-b0bb-bb963af5bb96</t>
  </si>
  <si>
    <t>f4e071cc-c321-4f48-ac6f-85a29a9df56c</t>
  </si>
  <si>
    <t>9228971e-1534-4569-b33d-60bd17d7f946</t>
  </si>
  <si>
    <t>2aa36fde-5eee-44f2-90b8-352b6c90d39b</t>
  </si>
  <si>
    <t>a0053ead-a7c7-4173-88bd-d7b32912f402</t>
  </si>
  <si>
    <t>f2a38ce6-8983-46f6-9178-659697a372b7</t>
  </si>
  <si>
    <t>0b975d8d-03c2-4bbb-9ffe-2072b0ad7e9d</t>
  </si>
  <si>
    <t>a393e8f9-06e3-45e4-88a0-ffac973a7604</t>
  </si>
  <si>
    <t>58914950-e3c1-4a30-af10-ffa88e01f20e</t>
  </si>
  <si>
    <t>0682990e-3c9e-4017-8ba6-28bd092b2c61</t>
  </si>
  <si>
    <t>2fdadb88-8d37-49c0-8f46-5dfc9844944b</t>
  </si>
  <si>
    <t>5fa87818-b8c4-4b19-ac09-56401a567380</t>
  </si>
  <si>
    <t>db0651f9-1e07-4f8e-a49b-edd8f193cb22</t>
  </si>
  <si>
    <t>f8e5c311-24bf-4901-8976-94ae0755c6d9</t>
  </si>
  <si>
    <t>01f414e1-164d-44d3-a7f6-0d109ac91e66</t>
  </si>
  <si>
    <t>01ec96fb-80fc-41bc-937d-0748abdf6096</t>
  </si>
  <si>
    <t>620458c1-cd51-4a01-90d1-7553104d83c6</t>
  </si>
  <si>
    <t>d001b6f6-3110-4043-9d88-85d32af33a6c</t>
  </si>
  <si>
    <t>994ccec2-0625-4360-8550-a32573fd8802</t>
  </si>
  <si>
    <t>7595d6eb-ec47-4c1f-9e2d-50bdeca35d40</t>
  </si>
  <si>
    <t>1c6d497b-6c00-43e3-8bd8-2a71f41a546d</t>
  </si>
  <si>
    <t>a94c5691-9cef-4ccd-961c-7b8c40728868</t>
  </si>
  <si>
    <t>a3b6024d-5abd-44d3-9d42-51ed205a7612</t>
  </si>
  <si>
    <t>f626dea2-068f-4361-a5ce-005f798c89da</t>
  </si>
  <si>
    <t>541e5323-6b30-408e-9839-adcad1f1092a</t>
  </si>
  <si>
    <t>a446aab0-eb98-4c97-b41e-660acddf554a</t>
  </si>
  <si>
    <t>eeaa3836-4aef-4ac2-8aa8-c879aee08e24</t>
  </si>
  <si>
    <t>333a4247-bd0c-4263-9e09-0c1feef3ad19</t>
  </si>
  <si>
    <t>ad0c8f52-2815-4799-a318-8e7027a77429</t>
  </si>
  <si>
    <t>5a0514f6-9ed7-4bb0-8266-880452ef14ed</t>
  </si>
  <si>
    <t>53bdda9b-4de7-48dc-90e7-54fd4af5e670</t>
  </si>
  <si>
    <t>c15d3d7f-1f0d-4de1-87d2-3734c6d00536</t>
  </si>
  <si>
    <t>7111e0bd-cc6d-4b35-8faa-b3a440d7972f</t>
  </si>
  <si>
    <t>f0062a76-455e-46be-9635-6870415cdb40</t>
  </si>
  <si>
    <t>66d52616-c0db-4898-b304-fb4f50de9dc0</t>
  </si>
  <si>
    <t>5b8b583f-9037-47e8-b722-089288b5e708</t>
  </si>
  <si>
    <t>48d592d0-ef58-4e04-b21d-88ccc3445338</t>
  </si>
  <si>
    <t>7089e803-59d3-4e84-8d02-1524c1bf2df9</t>
  </si>
  <si>
    <t>00db5e25-2dd9-4d3d-ae38-16be28593031</t>
  </si>
  <si>
    <t>5b0b6713-963b-4088-bd3a-d31010c285aa</t>
  </si>
  <si>
    <t>5783e191-0a54-455f-a833-aa1fff5d38d5</t>
  </si>
  <si>
    <t>723eed56-0c08-4323-b56e-db1d20d46839</t>
  </si>
  <si>
    <t>bff275a9-431a-481f-87c8-6e13eba6168f</t>
  </si>
  <si>
    <t>da38d4b5-83c4-4733-a7fa-4fc802236029</t>
  </si>
  <si>
    <t>fcbca8ca-7523-4057-b7ca-605b7a883720</t>
  </si>
  <si>
    <t>569363b1-f77d-42bf-a7f4-3dad8accb008</t>
  </si>
  <si>
    <t>033f3391-f2d1-4e6c-9fb5-035712caf4b3</t>
  </si>
  <si>
    <t>47867ba6-f204-4c89-bc5e-b54597a1ba27</t>
  </si>
  <si>
    <t>725e8eb8-715d-4419-906f-bad50b4cbede</t>
  </si>
  <si>
    <t>48c2f2f0-b4fc-48f1-9050-c16bcbcbb769</t>
  </si>
  <si>
    <t>b0b5aeff-ff32-4862-abe6-6bad9d81ffe7</t>
  </si>
  <si>
    <t>2c70256a-bac7-4555-9200-952096db5f0b</t>
  </si>
  <si>
    <t>c2d975cc-f717-4845-863e-845c1a36a2bd</t>
  </si>
  <si>
    <t>3aff778a-35eb-4516-8eb9-6d70a39234ed</t>
  </si>
  <si>
    <t>a7c1ad80-9222-4f78-aa64-59f1b30a3242</t>
  </si>
  <si>
    <t>7a51cfdb-ef70-4d89-8dfb-72f55f04688a</t>
  </si>
  <si>
    <t>495d4054-25e6-4b4b-955c-04744d062164</t>
  </si>
  <si>
    <t>ae633e03-0104-4254-b934-371591f5809f</t>
  </si>
  <si>
    <t>600494f8-e4f7-4493-bab6-c767ae7c622a</t>
  </si>
  <si>
    <t>51676d10-4b9d-4785-b750-264cab34b95c</t>
  </si>
  <si>
    <t>5b9ab0c0-1439-426c-ab21-8a573e916c59</t>
  </si>
  <si>
    <t>918d85e8-c408-4f42-b304-9e8e798f7484</t>
  </si>
  <si>
    <t>51d127cf-0839-44c3-8669-ccf42163850b</t>
  </si>
  <si>
    <t>9cab8622-368d-49ae-9ef5-678bcf03048a</t>
  </si>
  <si>
    <t>af739204-d83a-4244-a15a-9e9a9c196e4b</t>
  </si>
  <si>
    <t>48a16b1b-983a-411f-818c-8e6f09d1b9c2</t>
  </si>
  <si>
    <t>9c41eedf-69ba-4083-9ba3-3a7a6d832caf</t>
  </si>
  <si>
    <t>89b15288-d46c-47e4-bbf8-9bed93925d66</t>
  </si>
  <si>
    <t>01e0bf91-4233-4ae2-8fb0-c1cf8f0329d2</t>
  </si>
  <si>
    <t>f38f3477-20e5-45b6-9082-e5f43028e6a2</t>
  </si>
  <si>
    <t>7fdafabb-1645-4226-8911-4e7db87880be</t>
  </si>
  <si>
    <t>605a18ce-f28e-498a-9240-cffa19e149a5</t>
  </si>
  <si>
    <t>a5696672-f905-48ba-8953-e812077d2e57</t>
  </si>
  <si>
    <t>9816ab77-461e-4575-aa75-8246420bdd48</t>
  </si>
  <si>
    <t>456f8354-2863-4d75-aac7-dfa686b953ef</t>
  </si>
  <si>
    <t>12e35526-a20b-41f0-bc28-c803da02b51b</t>
  </si>
  <si>
    <t>cd953ad0-cc1f-4496-b7eb-4cfa860ed24d</t>
  </si>
  <si>
    <t>3aec49ee-1e58-442d-a74b-b706b522afdb</t>
  </si>
  <si>
    <t>22168d30-ef36-46b1-992a-44259d9a43b3</t>
  </si>
  <si>
    <t>4fe52c68-1627-44bc-abf0-35fa68f97b38</t>
  </si>
  <si>
    <t>a27d5a02-bd9b-462d-89d7-b40a71e9742e</t>
  </si>
  <si>
    <t>46f7dcaf-f76d-44c4-8aa0-a44fb6b43c4f</t>
  </si>
  <si>
    <t>e9ae6e34-66f3-406a-ba7b-c1e436082076</t>
  </si>
  <si>
    <t>530e6ad0-d9ca-41bc-b956-9bbb0fdb0267</t>
  </si>
  <si>
    <t>457ac751-f8e0-45a5-b16c-8eecf1708893</t>
  </si>
  <si>
    <t>2cc10e07-f529-4a84-906b-bba55d7bf23d</t>
  </si>
  <si>
    <t>9574dbfb-b788-49d2-9d09-3da7c075770e</t>
  </si>
  <si>
    <t>564b4bee-b984-4f6c-b543-c0331fe03bce</t>
  </si>
  <si>
    <t>d17d14a2-6158-4453-a2bb-49ff46ffb9be</t>
  </si>
  <si>
    <t>f0ada8b8-2181-4b21-91ca-a0aef63bf419</t>
  </si>
  <si>
    <t>9ff36d17-8baa-4f3d-96e9-b87dd8a718ab</t>
  </si>
  <si>
    <t>2d5cbb20-737a-460d-8529-aec25b41bdcc</t>
  </si>
  <si>
    <t>d40162f1-9d7b-4f35-be7d-6890c3d4cb4f</t>
  </si>
  <si>
    <t>fc8b62b6-a010-4f09-83b0-2aaf843538bb</t>
  </si>
  <si>
    <t>47526f6f-cc28-4357-92f2-8105da36f344</t>
  </si>
  <si>
    <t>f42caa4a-8b2b-42ac-8044-f56d1f962c56</t>
  </si>
  <si>
    <t>396dcb99-97b9-4d72-ab62-bf584b6bfe6c</t>
  </si>
  <si>
    <t>59f611ae-32ef-4d9a-935a-ac751b3eb36a</t>
  </si>
  <si>
    <t>8ffc6fe3-3d47-4bc6-930b-69c71d61707b</t>
  </si>
  <si>
    <t>8101685a-3d66-4599-be7a-6c3043b1f949</t>
  </si>
  <si>
    <t>a65d151b-39c2-47bd-9139-69bf617bd011</t>
  </si>
  <si>
    <t>2b64d5e0-3209-46c6-a770-1d34b1508112</t>
  </si>
  <si>
    <t>a6f1fc17-a1bd-43f2-a370-8c5cbcda5957</t>
  </si>
  <si>
    <t>de2012de-5f13-44a9-99fb-fe67279f9813</t>
  </si>
  <si>
    <t>592eb9c3-a70c-4695-bfa9-044a1a16e527</t>
  </si>
  <si>
    <t>bfd9fa9f-fe48-4201-a24f-b12c7a7f6861</t>
  </si>
  <si>
    <t>4780ec30-964b-491b-8227-c913d04dca58</t>
  </si>
  <si>
    <t>17f82023-b9e6-4372-9e62-0cbe08a533da</t>
  </si>
  <si>
    <t>b1546ac1-388e-4660-bca6-cea7a43f5a3a</t>
  </si>
  <si>
    <t>4e0c2f23-79b3-4938-9fd8-e889d669f30d</t>
  </si>
  <si>
    <t>ef74e7b9-ffc3-4bfe-bfa7-e73a89a938d7</t>
  </si>
  <si>
    <t>6e8e3a31-c88d-4347-9fd3-dbbd3e9c54fd</t>
  </si>
  <si>
    <t>a7b7d4ba-d5b9-4b73-9dbf-dfbef0bf6534</t>
  </si>
  <si>
    <t>808dc215-4b8b-4714-a585-83a09357558e</t>
  </si>
  <si>
    <t>b4c4837b-5acf-4005-aba0-c2c857155aa5</t>
  </si>
  <si>
    <t>2780b913-3267-4367-9165-3b0c83d17890</t>
  </si>
  <si>
    <t>f6dd4df0-e820-4210-9747-a453f062fe3d</t>
  </si>
  <si>
    <t>aaa1af52-3223-43a5-835e-65af82feaf22</t>
  </si>
  <si>
    <t>9e5027e4-96fc-48fe-93cc-9e94b555dc88</t>
  </si>
  <si>
    <t>59fb6835-90f1-4e17-b154-7ee3cc8ddfa3</t>
  </si>
  <si>
    <t>23626887-576a-4ea8-afec-dfcf3e454347</t>
  </si>
  <si>
    <t>b124d7ed-1355-45a3-a713-eb97fd22ae96</t>
  </si>
  <si>
    <t>016c6503-4a09-489a-84a4-179ab854605d</t>
  </si>
  <si>
    <t>66879795-6034-4ab8-9183-87065336dd59</t>
  </si>
  <si>
    <t>1f494220-5963-4866-a484-77dfc97c039e</t>
  </si>
  <si>
    <t>48f399e7-112c-483f-8410-0002cf43edc5</t>
  </si>
  <si>
    <t>656020f4-6f1a-46e1-8f0a-c7aae06068c2</t>
  </si>
  <si>
    <t>f67f1eb4-fd61-4144-9eb8-2215771b7eee</t>
  </si>
  <si>
    <t>f96b2e3f-0873-4a1c-8d33-d3ffc8fc27c4</t>
  </si>
  <si>
    <t>afbe19de-9b09-419f-b88d-38e4170a6921</t>
  </si>
  <si>
    <t>f849797c-3430-49df-8c4e-90347f726891</t>
  </si>
  <si>
    <t>3c87df6c-79ae-4990-8ffb-9410a63058d5</t>
  </si>
  <si>
    <t>d6d979c2-e67e-4986-b784-c6ec04a25236</t>
  </si>
  <si>
    <t>9f3bc241-bef1-4c16-8e07-a63e9719f200</t>
  </si>
  <si>
    <t>14f4428d-5b6e-4212-a4c3-3308d4919f25</t>
  </si>
  <si>
    <t>44af4894-b635-4dae-8c32-8c72a71ac3d8</t>
  </si>
  <si>
    <t>1ca116c4-ef82-4d2d-a170-2453db5d6a99</t>
  </si>
  <si>
    <t>2523bae8-73f1-41d9-87c1-6559145c9ab3</t>
  </si>
  <si>
    <t>4e2df7ba-ea7a-4f0c-aacb-463d1df63837</t>
  </si>
  <si>
    <t>8394c8ad-bd91-4149-bb5e-f7a396bf7d3a</t>
  </si>
  <si>
    <t>d86cf64f-3e10-4b6d-9626-f61746b2d0d1</t>
  </si>
  <si>
    <t>d15fe618-f636-4778-99b5-a91317a81bcc</t>
  </si>
  <si>
    <t>e7ed29b7-1de8-45cd-bd25-3888bff1eaf4</t>
  </si>
  <si>
    <t>17efdbb4-cb58-424a-bc5a-5deec256f523</t>
  </si>
  <si>
    <t>f9d1e524-61ea-426f-a45c-9de6c6f14c96</t>
  </si>
  <si>
    <t>36765aa3-b486-4919-add4-98b83dda3bf8</t>
  </si>
  <si>
    <t>75b37a6a-47e8-4131-9b8e-6e5859e55992</t>
  </si>
  <si>
    <t>31f4ad2d-8c08-44b9-897a-b3311df49be6</t>
  </si>
  <si>
    <t>bcaaa362-79ce-4101-99fe-cf6e8ed09a72</t>
  </si>
  <si>
    <t>c6fa19f2-dc42-42ce-91b2-20a4dc06b8db</t>
  </si>
  <si>
    <t>432603e9-27a8-4d45-8d88-642558115a34</t>
  </si>
  <si>
    <t>c18c298c-6cdf-45f6-b728-35ae901d24c6</t>
  </si>
  <si>
    <t>6a150713-0498-461b-9328-8e356a345672</t>
  </si>
  <si>
    <t>cb5a3548-9c38-4c2a-8e34-c242f0c88683</t>
  </si>
  <si>
    <t>ee5d5ce4-d6bc-4d86-8881-9cb4f47466ce</t>
  </si>
  <si>
    <t>5e51e4ba-7ec7-4d64-b825-04c43a8956e5</t>
  </si>
  <si>
    <t>c215ace4-7dce-41df-a13d-aa32f8aed032</t>
  </si>
  <si>
    <t>8035f1df-74af-4751-b3a0-3070b589961b</t>
  </si>
  <si>
    <t>4e19755c-7e8d-41b7-bfdb-9fbc022b90b5</t>
  </si>
  <si>
    <t>abf10269-3647-4633-9810-cac948264a05</t>
  </si>
  <si>
    <t>7fc53fd4-a0d0-4ac5-8df6-6cb484c666d8</t>
  </si>
  <si>
    <t>fe5d6179-b5e6-4aba-a637-642de3e33bd7</t>
  </si>
  <si>
    <t>aa3b5370-3690-476d-afc5-78c547d7f146</t>
  </si>
  <si>
    <t>5e696329-315b-4bfd-b562-4c470198f82b</t>
  </si>
  <si>
    <t>079c29cc-5a11-4099-b772-68580f3ee40b</t>
  </si>
  <si>
    <t>0855d949-bd82-4418-ac31-f61e7fd6fb68</t>
  </si>
  <si>
    <t>84eb9961-e0ac-40db-ac56-8c1ee89d24e8</t>
  </si>
  <si>
    <t>f2ee1b13-204a-4540-bc46-181de04ffb86</t>
  </si>
  <si>
    <t>d3804881-8181-4def-bc0b-65ee6ee12377</t>
  </si>
  <si>
    <t>b948e579-13f7-4402-8085-d191c5113443</t>
  </si>
  <si>
    <t>41b2143f-306f-4cb7-85ae-c0a483605149</t>
  </si>
  <si>
    <t>1773d21f-0c0f-4f30-9bdd-db52d8fb2875</t>
  </si>
  <si>
    <t>12366d52-dd65-48cc-9598-cb6bd7e7fb6e</t>
  </si>
  <si>
    <t>ffd11a06-03c3-4472-bf34-9004db1294fc</t>
  </si>
  <si>
    <t>d4d40110-f470-482b-ae04-b076147fbc77</t>
  </si>
  <si>
    <t>3359ee7f-3709-49cc-89d4-57d0b0e3cfa1</t>
  </si>
  <si>
    <t>a075b9ad-f038-4ea6-81fa-c9e1901d323c</t>
  </si>
  <si>
    <t>429bce4d-0ab7-43a5-90b8-67838e7b6c56</t>
  </si>
  <si>
    <t>c4d450a5-7cbd-4d1b-a9f6-e28ba0864880</t>
  </si>
  <si>
    <t>29c56882-d8e4-4a26-a89b-021e4be5f68b</t>
  </si>
  <si>
    <t>8d3b800b-54f1-495e-b028-1c6db45624d2</t>
  </si>
  <si>
    <t>80398cd2-28e3-48a8-aba6-4108e57a93fd</t>
  </si>
  <si>
    <t>32cc8294-e77b-4a90-bd0d-0599fa496a74</t>
  </si>
  <si>
    <t>f1f764a7-f3d5-4aae-974a-c9806ea87fca</t>
  </si>
  <si>
    <t>69bb694d-e706-4d02-beed-45c16b6c823f</t>
  </si>
  <si>
    <t>07e7f452-b109-4f5a-baae-538286e1aab4</t>
  </si>
  <si>
    <t>ab527676-e60e-4c0e-89d2-42e1586f47fc</t>
  </si>
  <si>
    <t>68fb2c7c-e5b6-4059-b34e-269b8adcf7ba</t>
  </si>
  <si>
    <t>3f9a4d11-2f38-49c5-a526-d8567d312666</t>
  </si>
  <si>
    <t>8db46982-3f99-4449-b73e-220139bdac54</t>
  </si>
  <si>
    <t>95a699e9-4799-4748-9cd8-5c6f0732880d</t>
  </si>
  <si>
    <t>b2c3b852-c5e9-430a-aca6-ac623db5e421</t>
  </si>
  <si>
    <t>32228051-513a-496f-8ddc-6cef42ba1003</t>
  </si>
  <si>
    <t>242a2ca6-08c8-45a0-bc80-ffb4d3c0270b</t>
  </si>
  <si>
    <t>0d17cf25-8679-45ff-b5b0-c2850c5a57c5</t>
  </si>
  <si>
    <t>05e4bbf2-9400-4963-83d0-1cad989d2717</t>
  </si>
  <si>
    <t>384dfa6e-3a93-461a-baf0-054fa7e44251</t>
  </si>
  <si>
    <t>0f778c43-7864-40a9-b7d8-b2adfc43025d</t>
  </si>
  <si>
    <t>950faed5-ef48-4aa1-a763-0ed6cb14e0e6</t>
  </si>
  <si>
    <t>a9be2055-0b9e-4df6-b6a3-888c641f4532</t>
  </si>
  <si>
    <t>f69ec8ce-a55f-4983-b046-ddeef1616f56</t>
  </si>
  <si>
    <t>4b97268e-d67a-4bc1-8e39-6c2191b5a9f4</t>
  </si>
  <si>
    <t>1ea914f3-9ef0-4c69-b018-dc6eca32c2d0</t>
  </si>
  <si>
    <t>c55711ce-5d83-4cc7-a82b-3b3443e88c94</t>
  </si>
  <si>
    <t>da33d82c-9068-42a9-a76e-a475979a8b6b</t>
  </si>
  <si>
    <t>3aebbc11-0b8b-4fab-8404-0993f4901aa2</t>
  </si>
  <si>
    <t>1ee1e0fd-9101-4d9e-a088-e77c97439196</t>
  </si>
  <si>
    <t>ef8b0c41-572c-482f-8f6a-b45d6ea26b70</t>
  </si>
  <si>
    <t>85319103-55b1-49e3-92b6-31555189cba3</t>
  </si>
  <si>
    <t>1fbac23a-03fa-40f8-ac3a-25008dbe4abd</t>
  </si>
  <si>
    <t>2c83bc65-5bd4-4425-aeb8-c82b07b33f45</t>
  </si>
  <si>
    <t>dc939159-cbeb-4e52-9a6b-2790619447b1</t>
  </si>
  <si>
    <t>06ee389f-ba21-4fe8-9179-3bd864324ca8</t>
  </si>
  <si>
    <t>c8d17430-045c-4962-b72c-8c4b6d34a87a</t>
  </si>
  <si>
    <t>b013a076-eae6-4733-b2a2-238367e11def</t>
  </si>
  <si>
    <t>a87e0c9f-6412-48de-a13e-e12641709c24</t>
  </si>
  <si>
    <t>462ba901-2a83-4283-943e-29352c7c12f4</t>
  </si>
  <si>
    <t>3f7e84b6-bc33-4ed4-8df5-d3b778c4b4a3</t>
  </si>
  <si>
    <t>e195efa9-3b85-4304-8bcd-d512ac20cd9e</t>
  </si>
  <si>
    <t>59e85fa6-46c6-4739-a5ca-6d4f35482ecb</t>
  </si>
  <si>
    <t>adcc012e-2cd1-40f8-b045-957ca6f8021e</t>
  </si>
  <si>
    <t>4462d1cd-89a4-4a58-9b6d-a7e605da6aad</t>
  </si>
  <si>
    <t>0d41bace-d140-48df-bab1-408eb17cb934</t>
  </si>
  <si>
    <t>271a5bd3-57f0-464b-a32a-fbc6bcde99e1</t>
  </si>
  <si>
    <t>d6c8c808-df4b-4fe6-be4b-0bc18e770674</t>
  </si>
  <si>
    <t>9b18c5c5-f90f-4889-8a27-dc43f85780e6</t>
  </si>
  <si>
    <t>295030ec-6db3-4de6-a54b-02384ca3140f</t>
  </si>
  <si>
    <t>26f3c390-bdd3-4e90-8e8e-bfb0d905d653</t>
  </si>
  <si>
    <t>29dddd2d-c7a3-4f53-87a3-1d8bd2e159a8</t>
  </si>
  <si>
    <t>ece34bd6-ad88-49e0-aba2-e67b1f2f1015</t>
  </si>
  <si>
    <t>87cabd77-cbb3-4fba-9755-b7d8510810b2</t>
  </si>
  <si>
    <t>aca09c4c-3ac5-443f-b966-045960e5b90f</t>
  </si>
  <si>
    <t>8c643e05-30bd-4d11-add1-56ef77f11f88</t>
  </si>
  <si>
    <t>c1cbcdbd-d119-40b6-8316-21dbcec4dea5</t>
  </si>
  <si>
    <t>6e35d62c-5558-4dca-8706-2cf592a9c67f</t>
  </si>
  <si>
    <t>0d48a8fc-76af-4cf3-928a-f6101a80fc28</t>
  </si>
  <si>
    <t>fd90ade3-22c6-48b6-985b-b4a170835614</t>
  </si>
  <si>
    <t>a2984d11-d758-4e73-9cd8-b25df6f47948</t>
  </si>
  <si>
    <t>3fb8323a-b948-40fe-9c85-1113f41a4497</t>
  </si>
  <si>
    <t>bd4ae0cf-e7f7-4210-a4fb-8c92661619f3</t>
  </si>
  <si>
    <t>1181a0e2-6c94-41c5-814e-46010c45bf1b</t>
  </si>
  <si>
    <t>bb8581bc-862d-4940-8fbc-95c67c2e39fb</t>
  </si>
  <si>
    <t>d017aefd-3432-4b6a-93ac-b400565446a7</t>
  </si>
  <si>
    <t>04846571-47aa-4f2b-be5e-76a343148cab</t>
  </si>
  <si>
    <t>a45d697f-f764-496c-93c0-85965f952c97</t>
  </si>
  <si>
    <t>ad6b2b2c-cfd5-4d6d-94f7-686c1d7cb4b1</t>
  </si>
  <si>
    <t>c69fe7b9-9313-487a-8018-87721ced10f6</t>
  </si>
  <si>
    <t>96611258-9bde-4d28-9b23-3a02122ccf96</t>
  </si>
  <si>
    <t>93dcbfb4-18d1-4d5e-a115-e9b58ac8ddd7</t>
  </si>
  <si>
    <t>6a43da8e-8314-40a3-8041-591a1bcba61c</t>
  </si>
  <si>
    <t>8ad2a33c-4675-4ca4-a731-88a053dc138a</t>
  </si>
  <si>
    <t>0e0d0dc7-0c21-4471-8bdd-79c52af95c9a</t>
  </si>
  <si>
    <t>362520d7-e6ff-46a3-9cb4-a14f918b6f1a</t>
  </si>
  <si>
    <t>856fe2d2-1e71-4ed3-94a8-df3d00582775</t>
  </si>
  <si>
    <t>2ae8a36e-3950-428e-888f-2e6e8c85ef1e</t>
  </si>
  <si>
    <t>434affcf-f001-4c6b-9860-186d0c5f1c99</t>
  </si>
  <si>
    <t>bf0f5966-1cdb-4bbe-aeec-a796c870701e</t>
  </si>
  <si>
    <t>2c58a8e1-3fb0-4cc8-9d1c-cb302aee505d</t>
  </si>
  <si>
    <t>8df63092-0b1c-4ea3-8147-2e1a5214ae07</t>
  </si>
  <si>
    <t>0ddb8378-77cd-41ed-a130-6df2d908e0f3</t>
  </si>
  <si>
    <t>910874e4-92d6-4476-9db5-ae05db430200</t>
  </si>
  <si>
    <t>683b7321-1bdb-431f-b4b0-b430c5363c78</t>
  </si>
  <si>
    <t>95a436d4-1bd4-472f-a782-83d3daa3e426</t>
  </si>
  <si>
    <t>d6d7e2bc-a1b6-4991-a4be-d4924a8c4e21</t>
  </si>
  <si>
    <t>84501758-1697-4588-93b4-ce3c41e57655</t>
  </si>
  <si>
    <t>5ceae8b0-e594-41df-b22f-aae4b242e7c8</t>
  </si>
  <si>
    <t>a573d6bb-cb31-459f-840a-5fdacc4496e0</t>
  </si>
  <si>
    <t>af352e22-be72-4af8-8e0f-17e063cbac34</t>
  </si>
  <si>
    <t>817bc9f8-f396-47df-acf1-a846a958ef1d</t>
  </si>
  <si>
    <t>adc5a3e9-1a98-44c5-ac1b-5f04cdf8d890</t>
  </si>
  <si>
    <t>a416a3a6-1f9c-4763-8992-5a58fa3240de</t>
  </si>
  <si>
    <t>0f606b10-852d-45e9-af49-79b4dd543342</t>
  </si>
  <si>
    <t>f14b5334-ab5b-47c0-b7af-f601979146b3</t>
  </si>
  <si>
    <t>41150646-6920-4996-9e85-cf4b7f13e78e</t>
  </si>
  <si>
    <t>cdc9d8c5-bd7e-4431-987b-28b21a471b18</t>
  </si>
  <si>
    <t>3d7aa3b5-19e7-4c82-9db5-bdb2e8cdb79e</t>
  </si>
  <si>
    <t>14a824b8-04d8-49ac-93e9-56c80736324b</t>
  </si>
  <si>
    <t>843cb70e-7682-4bb0-bfea-7d11005dc583</t>
  </si>
  <si>
    <t>b6d6fc52-12ce-4c8f-aa76-3afcbbcd6aa0</t>
  </si>
  <si>
    <t>71c63ae9-3838-4ef6-b6af-16d6afd48952</t>
  </si>
  <si>
    <t>26417639-295b-4a02-bdfc-7b116ededad0</t>
  </si>
  <si>
    <t>8e55ae65-77a0-453a-9e84-0b369927d50b</t>
  </si>
  <si>
    <t>fdc0da64-5a7b-48b7-b04d-649ce381e163</t>
  </si>
  <si>
    <t>53ade158-c8b0-43ae-b5b4-ab2fda95186e</t>
  </si>
  <si>
    <t>31a175f3-a5f2-4c0f-9f89-0b41623c6820</t>
  </si>
  <si>
    <t>0250e95b-a66e-42f2-a490-a64841b6b98f</t>
  </si>
  <si>
    <t>b26e46b5-098a-4989-99f8-4aa4e162b612</t>
  </si>
  <si>
    <t>1a7a5889-9501-4156-b064-dd9f7ce7588c</t>
  </si>
  <si>
    <t>2368a984-2051-4b5d-9bae-97f83c113e19</t>
  </si>
  <si>
    <t>4c7ada82-8041-4d24-9074-15bfd85a1ad5</t>
  </si>
  <si>
    <t>f6242e65-e55a-435e-ac1a-0200e1b2689f</t>
  </si>
  <si>
    <t>6744fde7-f248-4365-b99c-664dceaa3bca</t>
  </si>
  <si>
    <t>fc47b2a8-a8ea-4443-adcb-72401f7ec4fe</t>
  </si>
  <si>
    <t>db33e330-3ead-440e-b72a-fc8deef9737a</t>
  </si>
  <si>
    <t>b31d6541-0741-43ce-84a9-697f55deed10</t>
  </si>
  <si>
    <t>7893c370-d4f8-4c1a-86c3-e9ed3f788fcb</t>
  </si>
  <si>
    <t>eef6b45d-ebff-41c8-8b67-f4afe7ebf0fc</t>
  </si>
  <si>
    <t>514d9c19-6d22-4873-a4ae-ef5779132ee4</t>
  </si>
  <si>
    <t>6ffd71b9-a7cc-4dfd-817e-9a902550469f</t>
  </si>
  <si>
    <t>396a6ea5-bb49-4a63-9bff-d4a006b4cb5a</t>
  </si>
  <si>
    <t>7ef6ffd8-a779-4009-a7ae-102ec222d16a</t>
  </si>
  <si>
    <t>fb18a382-ae3c-4e8c-a974-00eb6cd2e414</t>
  </si>
  <si>
    <t>33b9a246-b3a8-4614-aec0-1d70f59c93fe</t>
  </si>
  <si>
    <t>75de4f64-f019-47fc-8e00-ccecd2621c3c</t>
  </si>
  <si>
    <t>92687930-f71e-442c-93bd-df5682e2bcff</t>
  </si>
  <si>
    <t>4bd84032-3274-422f-8ad6-e9e1bf4615dc</t>
  </si>
  <si>
    <t>5d0c3616-b526-4071-bb98-469fe1007c6a</t>
  </si>
  <si>
    <t>d483d1f6-ff57-49dd-985a-f35d18d7344b</t>
  </si>
  <si>
    <t>50cfef84-065c-4a10-9935-182ab80b1b9b</t>
  </si>
  <si>
    <t>6be7e94f-c6d2-4210-a3a8-5f662c511e03</t>
  </si>
  <si>
    <t>658c9684-79b8-484f-9dfa-6314983e6fef</t>
  </si>
  <si>
    <t>bd02ed44-e445-461a-af94-5bfaa7e3a646</t>
  </si>
  <si>
    <t>1bcdbdae-05e6-44e9-94be-2f1b0a0c41e9</t>
  </si>
  <si>
    <t>402f068e-f59d-4c9b-aa00-c3b37dde960a</t>
  </si>
  <si>
    <t>248a2872-e5ef-4050-971e-ff6d23a13f3b</t>
  </si>
  <si>
    <t>ed04b2e0-d4a2-498a-bf94-68ae06f210ab</t>
  </si>
  <si>
    <t>8d197030-69d4-4b06-8f6c-902508e12749</t>
  </si>
  <si>
    <t>f1f72448-9de2-41c8-8aa5-ce8bf2b74cdf</t>
  </si>
  <si>
    <t>d71373f8-c28d-43a0-aa3b-a3cc6bc00bfb</t>
  </si>
  <si>
    <t>f1ba0ebb-3b26-4c85-bafc-460817f6101f</t>
  </si>
  <si>
    <t>aa08d799-d975-40d9-83d8-9a4e0c78f732</t>
  </si>
  <si>
    <t>30c242ab-ca4a-48f6-85bd-8c2f2c3efa03</t>
  </si>
  <si>
    <t>a7d155f3-404e-4cc9-9630-5cd441806b9a</t>
  </si>
  <si>
    <t>cade72c0-1c5d-4e8a-bfde-72383a8b3b5a</t>
  </si>
  <si>
    <t>3bc46217-f644-41e1-bdc9-3f283a541f17</t>
  </si>
  <si>
    <t>f483a31b-4b03-4eb7-97b6-4f679543c0fa</t>
  </si>
  <si>
    <t>9155df67-55e0-4bb8-9b72-7e87287047c9</t>
  </si>
  <si>
    <t>94ea089f-e4cb-41e0-a7ce-fd87a373d1fe</t>
  </si>
  <si>
    <t>ed282958-f4d2-4aac-ab05-2002410bcbb8</t>
  </si>
  <si>
    <t>e546a3e0-e3e2-4fa0-b8b3-4a840a215295</t>
  </si>
  <si>
    <t>a6b28a9b-cc34-482c-86e4-6e4dc3f97479</t>
  </si>
  <si>
    <t>6168d946-45ba-4d8e-a994-2c11844153bd</t>
  </si>
  <si>
    <t>5ed662d2-ecfe-4dfc-b9b9-072bea3f8ee5</t>
  </si>
  <si>
    <t>30dc2039-e745-4133-96c5-25c10114a8d1</t>
  </si>
  <si>
    <t>d87d914d-00d7-4182-a44c-dbe227ebfa6f</t>
  </si>
  <si>
    <t>8436b4a3-9286-40d9-bc1a-4fff7d669149</t>
  </si>
  <si>
    <t>2266ea39-1241-4c43-8f36-5405995d3014</t>
  </si>
  <si>
    <t>dcfb2e70-a7dc-45fc-a48e-583eec44d729</t>
  </si>
  <si>
    <t>540f008e-0723-459f-8ad9-21bd0836c164</t>
  </si>
  <si>
    <t>cdf22e30-da82-4f73-aa2c-f1a073851df9</t>
  </si>
  <si>
    <t>f929f49d-d478-4596-a066-9e44ca58be31</t>
  </si>
  <si>
    <t>2ab6a7d0-e3d1-445d-9d08-60b805070b0f</t>
  </si>
  <si>
    <t>0da8f903-bdaa-4ba4-8d9f-4ca5eef43bb5</t>
  </si>
  <si>
    <t>596286f5-89b2-412e-acf8-60f930408732</t>
  </si>
  <si>
    <t>01bdef95-d26f-49b2-b7e8-4c27a9805bb7</t>
  </si>
  <si>
    <t>cefb71d9-c213-4bff-8571-e4d6d5272041</t>
  </si>
  <si>
    <t>46eeb969-7efc-4022-8830-a29c12bf5e77</t>
  </si>
  <si>
    <t>15c451fe-ba66-4f26-a7f2-11f16469e047</t>
  </si>
  <si>
    <t>0ad18f03-f3f7-4dac-aaae-0e8657e17e14</t>
  </si>
  <si>
    <t>4d379ade-4fa3-4a40-9df3-a7f0f9ba81c0</t>
  </si>
  <si>
    <t>7790e8f5-02d0-4f92-8bbb-f296e290e317</t>
  </si>
  <si>
    <t>0ba251e0-345d-4ba3-830c-cc90e32cb04a</t>
  </si>
  <si>
    <t>87903170-67b5-4074-ab40-8d40245cc490</t>
  </si>
  <si>
    <t>d38960e3-e633-49f3-9a86-905e1aa51d8f</t>
  </si>
  <si>
    <t>0c3962d4-88bc-47d2-8326-8f2a81d8f4dc</t>
  </si>
  <si>
    <t>f4e09f55-90e4-4eb9-8b3e-2bfa8d007cc1</t>
  </si>
  <si>
    <t>a3cacc4b-177e-401a-88bc-910d5005a28f</t>
  </si>
  <si>
    <t>7ae6aeff-fb6e-46de-af9a-bb7bcd869ccd</t>
  </si>
  <si>
    <t>0c8f94b6-e3c0-4be7-a6cf-0d9d117de191</t>
  </si>
  <si>
    <t>fdcbe346-562f-4f72-9ba0-519294fce737</t>
  </si>
  <si>
    <t>48954f09-97d0-4b3f-97e2-0f0f4be95296</t>
  </si>
  <si>
    <t>e2d8d801-e15f-4241-91bf-0e7cda777494</t>
  </si>
  <si>
    <t>405c1214-8635-4d35-9ac4-6f3d12246c62</t>
  </si>
  <si>
    <t>0235c6bb-a3c4-4bc7-a51b-f25fe11b90da</t>
  </si>
  <si>
    <t>2f39427e-e035-4608-9a57-6489e8885bf3</t>
  </si>
  <si>
    <t>10fce4a1-1a77-4758-823f-fa37631c3bab</t>
  </si>
  <si>
    <t>c8500151-6231-47de-badb-7cec2d9755f0</t>
  </si>
  <si>
    <t>fbd0cb95-e179-4d5c-8993-9a55f46c8a39</t>
  </si>
  <si>
    <t>012c4299-d738-448d-b276-e24a3dc10666</t>
  </si>
  <si>
    <t>894f947a-f0bf-4a02-8942-2cb6cc8b1b61</t>
  </si>
  <si>
    <t>9e99a93b-af78-435b-8457-4a49dbc975a2</t>
  </si>
  <si>
    <t>14cc31e0-0029-4cbb-945d-6349987039ba</t>
  </si>
  <si>
    <t>caaf3017-6aaf-4209-a60e-8d1e40db8674</t>
  </si>
  <si>
    <t>733f72f6-0475-40de-99ee-1a9245ba361d</t>
  </si>
  <si>
    <t>2811b5d4-1ece-4314-92af-36db32b843fd</t>
  </si>
  <si>
    <t>171e612f-e55f-4fe1-a406-235ec636ba0f</t>
  </si>
  <si>
    <t>0451633b-4c49-494f-a158-de17bba032a1</t>
  </si>
  <si>
    <t>41be492a-4a6e-4c8b-9ef6-f3d9bdf31a7e</t>
  </si>
  <si>
    <t>a11f45f3-ba82-45e5-bfd3-668fe14fbabf</t>
  </si>
  <si>
    <t>437b7f9e-a8f6-43f0-ae50-0d1daa3c24f7</t>
  </si>
  <si>
    <t>2f04515b-4100-4dc0-9257-a344936dea77</t>
  </si>
  <si>
    <t>32b5dc58-6e98-4c29-946b-10e12d64ad32</t>
  </si>
  <si>
    <t>639c0f06-fe12-43a9-bf69-e455b8674156</t>
  </si>
  <si>
    <t>b4e793b9-9a39-4b54-911b-c29f73e6edad</t>
  </si>
  <si>
    <t>24b5af1e-ea39-409a-b981-6d1091187155</t>
  </si>
  <si>
    <t>efe334d8-ace7-4abf-a44e-8d86699d93d2</t>
  </si>
  <si>
    <t>6e3a17f6-719c-40f9-9cc9-323b074edab7</t>
  </si>
  <si>
    <t>313e6868-4087-499c-a176-0a6c056c9411</t>
  </si>
  <si>
    <t>ffedf250-18b9-4ac5-aaa5-b2f86a1c4435</t>
  </si>
  <si>
    <t>3c0bdb26-a53c-4ce4-8266-09b8a6dde90f</t>
  </si>
  <si>
    <t>e06530b9-8045-4b9c-bb69-0aba2c662ef8</t>
  </si>
  <si>
    <t>d5b6f656-e235-4ca8-b23e-be19d19cd670</t>
  </si>
  <si>
    <t>38d25e5c-23aa-4c1d-a5f9-77bf105c2e8b</t>
  </si>
  <si>
    <t>69b038cf-dc02-498e-a1c2-c1381101f5bd</t>
  </si>
  <si>
    <t>49b3b058-afb1-42bf-9130-5171c61e17b3</t>
  </si>
  <si>
    <t>20b60cc2-13af-4102-af09-52a30fe5e2c7</t>
  </si>
  <si>
    <t>d8319c27-d443-49ee-b2f7-58557d3d9f91</t>
  </si>
  <si>
    <t>740e2250-f403-4779-af30-748bcaa57c17</t>
  </si>
  <si>
    <t>2409d801-3f22-428a-8141-d9ed6e8b334e</t>
  </si>
  <si>
    <t>53bbd4ce-2084-4174-81a2-1803caba8d49</t>
  </si>
  <si>
    <t>10c331b3-318e-48d7-8965-d082c050cfd5</t>
  </si>
  <si>
    <t>16f77036-8a9a-45de-8d20-18c963f4b7ef</t>
  </si>
  <si>
    <t>6f2e4586-b3f8-4e81-944a-c4c730d18d93</t>
  </si>
  <si>
    <t>2daa0155-9259-4384-9383-ee713fd7fd2e</t>
  </si>
  <si>
    <t>13f15322-97c1-40e9-b6d9-3ab663f4c5fe</t>
  </si>
  <si>
    <t>72bf6fd6-7d03-48de-a71c-ee19e3023314</t>
  </si>
  <si>
    <t>d62a4c45-cfa1-47c8-847e-e4827a89bdbd</t>
  </si>
  <si>
    <t>a02c5c4d-859e-420f-be9b-f1c4d20f226c</t>
  </si>
  <si>
    <t>ad93dd39-79c4-4666-9e33-5a07fcbb5d60</t>
  </si>
  <si>
    <t>e945a18d-22ab-4806-8c81-26586ff6fe91</t>
  </si>
  <si>
    <t>ef899a16-eb4d-43d5-8eea-efe928c5a847</t>
  </si>
  <si>
    <t>a329d269-bcd5-48d8-a127-b7476535165b</t>
  </si>
  <si>
    <t>95bae53c-35ee-48fa-b39a-3d7a4a131024</t>
  </si>
  <si>
    <t>2db7a729-ca72-49c6-a489-1a4a476a8adc</t>
  </si>
  <si>
    <t>f78ee466-4923-44be-9da2-8b8ad11f8b68</t>
  </si>
  <si>
    <t>f27f688b-d1d2-4d99-8df4-528c989ed08f</t>
  </si>
  <si>
    <t>f8b72b61-22cc-4c07-b1c7-64ef7e616620</t>
  </si>
  <si>
    <t>5bd47f0f-cc37-40c7-a58f-2682da8d9f18</t>
  </si>
  <si>
    <t>5f4ec5de-beeb-496f-90d5-cf97426c7cf2</t>
  </si>
  <si>
    <t>ab1ae6cb-8840-41d1-af21-69b10aadd159</t>
  </si>
  <si>
    <t>fe82a318-fcf8-48d3-9dec-00a84643eaf0</t>
  </si>
  <si>
    <t>661b74f7-40c2-4d81-b5f7-1d82757d5e5e</t>
  </si>
  <si>
    <t>33b51a11-55ba-4df4-82dd-65aa108d569b</t>
  </si>
  <si>
    <t>bfaa32ab-8e9b-4b8e-85bf-d72f3c74aeaf</t>
  </si>
  <si>
    <t>c2e50c3b-7e96-4023-bbec-71e355e2c7b6</t>
  </si>
  <si>
    <t>00bb15f0-0820-41c3-969a-b5383c832d0f</t>
  </si>
  <si>
    <t>93edc66b-f232-46e3-8ead-3af7913be0e0</t>
  </si>
  <si>
    <t>0c0bdb6b-eb49-46d9-8c77-f6e06e9b5b60</t>
  </si>
  <si>
    <t>4f7932d9-8aeb-4e0a-86c1-b2508316d2e2</t>
  </si>
  <si>
    <t>624f54dd-bcc0-4546-9a19-fe4954aff63a</t>
  </si>
  <si>
    <t>f18bcb12-8e73-4b3a-8e0a-9485cc22dc8e</t>
  </si>
  <si>
    <t>0c72d1db-9c29-4edb-bb92-d7124a2e7cb5</t>
  </si>
  <si>
    <t>93861467-7f83-4542-b8ca-e58c02e89a60</t>
  </si>
  <si>
    <t>db1565d3-df30-4ada-a80a-42444355029a</t>
  </si>
  <si>
    <t>c749d7b4-5e11-4c61-bd22-aec7ed5d5f75</t>
  </si>
  <si>
    <t>f0a0e76f-4d67-4f8a-b774-5d8a8b0db820</t>
  </si>
  <si>
    <t>88e90490-0b5e-43e4-b507-7b8c2883a4b6</t>
  </si>
  <si>
    <t>510d1c76-e41f-4023-98bd-f59c0f5e6376</t>
  </si>
  <si>
    <t>10549f45-da15-4577-b866-2072c7b53098</t>
  </si>
  <si>
    <t>2cbf24f4-6f40-46c1-a727-03c10952e684</t>
  </si>
  <si>
    <t>6f51d062-56b1-45d3-9840-f492fc56b6c5</t>
  </si>
  <si>
    <t>fa46b96d-489e-4bb6-95e8-32818be1932e</t>
  </si>
  <si>
    <t>bc86a634-dd3c-403f-9f2f-4617efecda88</t>
  </si>
  <si>
    <t>1f31bd69-940e-4c56-a36f-116ef805f550</t>
  </si>
  <si>
    <t>da1254ae-9b6e-445d-a845-6bce3c4c21e3</t>
  </si>
  <si>
    <t>ecd8d04a-600b-43e4-ad03-134b14ae9f32</t>
  </si>
  <si>
    <t>40a54277-21ba-4c1c-b96c-50b13f77813c</t>
  </si>
  <si>
    <t>a0a73e01-e64e-4734-961f-438dba11b939</t>
  </si>
  <si>
    <t>05df65e8-0dfd-41db-8df7-0f27d5690135</t>
  </si>
  <si>
    <t>0b666670-9b3c-451b-8bea-c02f4b459690</t>
  </si>
  <si>
    <t>c7c966a7-3489-44ee-9b57-0d8cd92db224</t>
  </si>
  <si>
    <t>73769925-d6b3-4fe3-861e-9841841fa42f</t>
  </si>
  <si>
    <t>274089c4-3fbb-41f1-9a5c-2ab238e2cdb2</t>
  </si>
  <si>
    <t>267cfb49-4e56-4d34-bbbd-37e930aced96</t>
  </si>
  <si>
    <t>44221bcb-63b3-4413-ad92-da92ea6ed664</t>
  </si>
  <si>
    <t>7ff92c70-cc55-495c-94c5-480a8473e3d8</t>
  </si>
  <si>
    <t>2cfcda9d-0bc5-4deb-af5e-47db22543c1f</t>
  </si>
  <si>
    <t>0d9835a8-1271-4517-a603-4d3d7ecd8b33</t>
  </si>
  <si>
    <t>57b53f66-7903-4af6-bfa6-1955e22ca4e5</t>
  </si>
  <si>
    <t>24ddd5b8-470f-41f8-99fe-cc0aabef7e84</t>
  </si>
  <si>
    <t>60c49475-8bc2-4f2f-962a-7f4f2bfe4300</t>
  </si>
  <si>
    <t>bdb1befd-9c6f-41af-ac9b-c125b76af753</t>
  </si>
  <si>
    <t>70f19c53-8e87-4df4-8f66-c39c52d89130</t>
  </si>
  <si>
    <t>21a03b25-506b-40ee-b721-04e5a381fb86</t>
  </si>
  <si>
    <t>b572e26f-c736-4d16-aaea-a5ff8bbc115a</t>
  </si>
  <si>
    <t>2b1af0bb-853a-4c4b-b196-948ec9785340</t>
  </si>
  <si>
    <t>70632de5-0b59-4a6e-91eb-5a8f7071a048</t>
  </si>
  <si>
    <t>94333afb-1f5d-42b5-9d6e-26e7ab14c184</t>
  </si>
  <si>
    <t>b0ca9813-bbe6-4c4a-b5eb-27b1a6843f04</t>
  </si>
  <si>
    <t>dedef2ee-7031-449f-822a-510cf8fba1ac</t>
  </si>
  <si>
    <t>6c02d52b-f524-4623-bee5-37d6a3bde45e</t>
  </si>
  <si>
    <t>b11b17eb-da56-4a41-aff2-2b8a19e8f6b9</t>
  </si>
  <si>
    <t>2b228227-9810-4f33-834f-c68edbe33f98</t>
  </si>
  <si>
    <t>6c4095df-13c8-421f-b15f-a5fb40456338</t>
  </si>
  <si>
    <t>f73d1dcb-9f3a-43b3-8ea6-b9ac0552a5e9</t>
  </si>
  <si>
    <t>1daed540-99ea-4974-b6d9-f0a36e0c47f8</t>
  </si>
  <si>
    <t>51a2f8e5-504d-4f4a-9485-e8716b02ac5b</t>
  </si>
  <si>
    <t>83b8e2a1-635c-47df-adc1-d3d852d1ae66</t>
  </si>
  <si>
    <t>46274668-ff01-4e1e-80eb-f698d3191da2</t>
  </si>
  <si>
    <t>b78cd71a-cc18-4f2b-b1f8-2710a17526c5</t>
  </si>
  <si>
    <t>493a5c2c-6481-4899-aaf2-c15e05e26699</t>
  </si>
  <si>
    <t>100ba1af-d0f2-433c-8f2e-4f33bb17fa58</t>
  </si>
  <si>
    <t>248643b3-6418-42ab-94e0-edaa9a3b566e</t>
  </si>
  <si>
    <t>a6fa1ce8-4e45-405c-aca9-d25b3c453a41</t>
  </si>
  <si>
    <t>b0439cf0-d632-4791-8435-64e32443a81a</t>
  </si>
  <si>
    <t>330a9228-f480-4ba6-97c7-9fd04b319d61</t>
  </si>
  <si>
    <t>b82b17a7-a939-41b9-927a-c76632ed6718</t>
  </si>
  <si>
    <t>95d2b5b3-2864-4b4c-aff6-d94867306c8a</t>
  </si>
  <si>
    <t>14dc6ccf-576d-435c-929a-14033a20a4b2</t>
  </si>
  <si>
    <t>892c10f1-af35-40f6-a15c-49d12eeafc52</t>
  </si>
  <si>
    <t>e97868ef-7159-4e0f-a3fe-f1c5463e9b0a</t>
  </si>
  <si>
    <t>f621844b-fcd0-46a6-b199-d6a19d5c9595</t>
  </si>
  <si>
    <t>696608de-6a3f-48db-99b8-f44e5e4cdc0c</t>
  </si>
  <si>
    <t>00246e7d-a16e-43e6-82cd-d2842864d50f</t>
  </si>
  <si>
    <t>d257089a-e657-4912-8ef7-def184e7c625</t>
  </si>
  <si>
    <t>f3b99495-2811-4a23-b20e-7ac2e8a7f882</t>
  </si>
  <si>
    <t>ed18c4be-b5df-4b6c-a5d8-8ad74b347dc1</t>
  </si>
  <si>
    <t>b76bad8f-80d8-4a47-8506-f41ee9fcef20</t>
  </si>
  <si>
    <t>3dbcd825-bf76-4dac-bd1b-6bb3da19418b</t>
  </si>
  <si>
    <t>ec46d758-0fd6-4f07-b591-95f7c0e2bd24</t>
  </si>
  <si>
    <t>c7229cfd-220d-4ddb-b6a2-6cfbd8183e25</t>
  </si>
  <si>
    <t>9d6dd6c2-a6a1-402c-81f2-7a3180a4d37c</t>
  </si>
  <si>
    <t>48822748-54b2-488b-b392-71196880413d</t>
  </si>
  <si>
    <t>0df912b7-762f-403a-8efe-67772194d0c8</t>
  </si>
  <si>
    <t>a018b1b7-761d-4fbb-af34-90ab7b773967</t>
  </si>
  <si>
    <t>2b7ddabc-c387-4017-8e93-0a5fef01e5e5</t>
  </si>
  <si>
    <t>f6b32688-4fce-4386-9169-a0e17654cc36</t>
  </si>
  <si>
    <t>cbb0dd2e-dc18-4e96-9c40-409a93b8c103</t>
  </si>
  <si>
    <t>3fd3c6be-a894-4b18-886e-8214c563e50a</t>
  </si>
  <si>
    <t>a4ea55a6-bf71-4be4-ada3-34b989782c9a</t>
  </si>
  <si>
    <t>8ab4f2f5-f372-4a58-9eab-7e9b391e5437</t>
  </si>
  <si>
    <t>69d4cf47-b348-40be-8de8-75033d654beb</t>
  </si>
  <si>
    <t>3f4eaacf-ed42-440d-9760-0e480bdbd55b</t>
  </si>
  <si>
    <t>2394f569-2195-46ef-9655-2347e6a49a59</t>
  </si>
  <si>
    <t>8f183242-faf6-4b32-bc85-ac4c8dd87a59</t>
  </si>
  <si>
    <t>1739287e-c67d-460a-981f-f3f3df66de95</t>
  </si>
  <si>
    <t>4a1cdd40-bedb-4cae-aae4-01eae185a3b4</t>
  </si>
  <si>
    <t>bea0f8e3-1090-486f-b26c-d97ed28011bb</t>
  </si>
  <si>
    <t>11b09d53-edee-41c6-9c20-8032c1ece6e4</t>
  </si>
  <si>
    <t>50872f07-883c-4102-9f06-3d4aee762856</t>
  </si>
  <si>
    <t>a9d3a8c4-b304-4832-96c5-517824631353</t>
  </si>
  <si>
    <t>6886456d-963d-470f-b2a2-88c0a4245d6c</t>
  </si>
  <si>
    <t>1c563eb1-882b-4698-ac0d-60338a8c32da</t>
  </si>
  <si>
    <t>bf185074-cce2-4eaa-992a-558d59a0a41c</t>
  </si>
  <si>
    <t>6e779482-f5fb-4bb0-b13e-38fdec1048d3</t>
  </si>
  <si>
    <t>b8f11454-9610-454c-abe7-50c8cb7e82d8</t>
  </si>
  <si>
    <t>e8c9333d-cb5a-4c06-a4ac-40729efddffa</t>
  </si>
  <si>
    <t>885984c9-1d12-411a-8097-ad8beb626f5f</t>
  </si>
  <si>
    <t>8a24e7b4-2ab3-4e41-82ed-1614818dc5c9</t>
  </si>
  <si>
    <t>8aad2acb-7d0b-428f-8381-e583035c493f</t>
  </si>
  <si>
    <t>1890d376-92bc-43dd-9d7c-8a5dc143b4bd</t>
  </si>
  <si>
    <t>aa6cd8c5-07c1-4258-975c-af2553650b53</t>
  </si>
  <si>
    <t>3e2df97d-708b-49a2-b2ab-c0795353edfa</t>
  </si>
  <si>
    <t>ca2b42b9-ac91-4d4b-b4b3-48fe0f9149a2</t>
  </si>
  <si>
    <t>1916fcdf-8d88-452f-aea1-b0407d9906fd</t>
  </si>
  <si>
    <t>0728bf6a-d767-4e08-96ff-61ad1103ea6b</t>
  </si>
  <si>
    <t>7c9423eb-deb4-45f3-a838-9cb832d721aa</t>
  </si>
  <si>
    <t>c2a6e5e9-07fc-4130-8de6-4b4774a89a0a</t>
  </si>
  <si>
    <t>0c0af869-4eae-4000-a8d3-88b974334cb0</t>
  </si>
  <si>
    <t>2a08cc95-bac8-472f-b497-f903bb9185ed</t>
  </si>
  <si>
    <t>b7425bf2-0932-42c2-bd52-4007978fcc4e</t>
  </si>
  <si>
    <t>02709a93-5988-4d9f-bf4f-9afd7b3479c0</t>
  </si>
  <si>
    <t>36172d49-562b-43ca-9392-bb61d0af0e3d</t>
  </si>
  <si>
    <t>15baf010-e129-451e-89ef-81d11bf5919e</t>
  </si>
  <si>
    <t>d25a77af-254c-43ca-8b51-5f16fb3dfb57</t>
  </si>
  <si>
    <t>9f92b8fb-c97a-48e3-936e-4572c487cebd</t>
  </si>
  <si>
    <t>fab4bc00-157f-4a67-a1c8-207404e9f41e</t>
  </si>
  <si>
    <t>99d358e3-1e11-4394-a0aa-c9ad137b192e</t>
  </si>
  <si>
    <t>b08c77d1-809a-4c6d-8f86-2f8ebb40fd8b</t>
  </si>
  <si>
    <t>f85337ef-799b-44f5-b7ba-54d703b3ba27</t>
  </si>
  <si>
    <t>ba6fc42d-3291-4742-a220-07fb3706c475</t>
  </si>
  <si>
    <t>8edfca4b-23de-4679-ba7a-d628320c3012</t>
  </si>
  <si>
    <t>c95d4ab6-b3ba-4920-885c-56ea5144fc77</t>
  </si>
  <si>
    <t>1c6b0265-7eb3-488f-9285-2a6691410b3b</t>
  </si>
  <si>
    <t>2f57260c-d9e6-407b-b8e2-4f0f6c89002e</t>
  </si>
  <si>
    <t>09f1cdac-8976-4149-ae2c-b1a8d5c6298a</t>
  </si>
  <si>
    <t>75441efc-292b-4b60-a4d8-a6e3d8758bbd</t>
  </si>
  <si>
    <t>d75bff73-87f7-440a-9698-5103ddb7fcf0</t>
  </si>
  <si>
    <t>9c442e35-b875-447c-b620-67f0cd47d5cb</t>
  </si>
  <si>
    <t>7246ec74-5c30-4035-9741-c3664359fc70</t>
  </si>
  <si>
    <t>53fe9133-5e46-4e94-89f7-e6fbf248ca75</t>
  </si>
  <si>
    <t>35d3b1fa-8fe4-4391-a1b6-6c99947832a9</t>
  </si>
  <si>
    <t>e15079af-fb9a-483b-bc14-bac5a045f59d</t>
  </si>
  <si>
    <t>a1d9bd98-69dd-45e2-b481-a1ddd7094b7b</t>
  </si>
  <si>
    <t>6b0a224c-d751-42ff-96f1-257513b3c469</t>
  </si>
  <si>
    <t>b3452bb2-8821-44c1-8ec2-b4ff9ed653fe</t>
  </si>
  <si>
    <t>264001b0-3e05-46f1-aba7-908a93b76129</t>
  </si>
  <si>
    <t>89b4fcfd-6851-4421-8a9a-2a19ee2901e8</t>
  </si>
  <si>
    <t>bfd913c1-41ff-449d-96be-26d44aa69229</t>
  </si>
  <si>
    <t>36e1e0cb-2013-4c00-b5a8-4d7ba63045f3</t>
  </si>
  <si>
    <t>006d993f-20dd-489e-9e34-adbf35d90484</t>
  </si>
  <si>
    <t>f0434e20-fcbe-46c6-94c3-0edb9aea0749</t>
  </si>
  <si>
    <t>a32b75e4-5c68-4dbe-b0cf-48bdd7a02fb8</t>
  </si>
  <si>
    <t>ebd44346-c125-4bad-846e-8580945e1e58</t>
  </si>
  <si>
    <t>e69e54a9-114e-4b47-9036-e7b38ce77a7d</t>
  </si>
  <si>
    <t>8e2affc0-a2f4-409b-aaf6-a9c9e08ff65a</t>
  </si>
  <si>
    <t>1c4d3e35-5e36-402a-b15d-1f00eb7b1c60</t>
  </si>
  <si>
    <t>fb6297df-8764-42eb-87bc-e88ba326ae3f</t>
  </si>
  <si>
    <t>152e7203-7db4-4e43-b59c-2e937ae6ae23</t>
  </si>
  <si>
    <t>fcfd7e92-2be4-402e-9318-81f28135a255</t>
  </si>
  <si>
    <t>eb5b7d7e-b177-4cce-a024-ad2b781aaf50</t>
  </si>
  <si>
    <t>0ac25c80-4b62-4828-a590-9d832c38f4de</t>
  </si>
  <si>
    <t>6d8a93ce-b35d-4cea-b8f2-ebd7c8e25e23</t>
  </si>
  <si>
    <t>16b8e9cd-e112-435f-8f1a-268399443af9</t>
  </si>
  <si>
    <t>cbbc93b6-7f7b-4f38-a7a9-36f8d96cf700</t>
  </si>
  <si>
    <t>dbb4968c-f0f5-41ae-893f-297911867a1f</t>
  </si>
  <si>
    <t>dec69301-8df1-4b54-98b7-9a542e7670af</t>
  </si>
  <si>
    <t>8dfea502-6121-4dd8-87fe-bb0f8e2be650</t>
  </si>
  <si>
    <t>8df76532-fa24-4901-810a-4a31aa8b6f7f</t>
  </si>
  <si>
    <t>f153492a-a6bf-418c-b496-74c8aa05b505</t>
  </si>
  <si>
    <t>ab14540a-1d39-495f-ba55-8235ee08a139</t>
  </si>
  <si>
    <t>c43a497d-c2be-4c9a-862e-41fac56d059e</t>
  </si>
  <si>
    <t>ab3bf04c-07fb-49ea-bd82-b65721b25f0f</t>
  </si>
  <si>
    <t>8fb73426-2dad-47cf-b826-b036b0185d88</t>
  </si>
  <si>
    <t>d7488677-ef65-4d27-9f14-aec4392fb0ff</t>
  </si>
  <si>
    <t>7b27cd93-16b7-48a5-af18-81f59d6a2080</t>
  </si>
  <si>
    <t>772de81a-6801-463d-8a99-3342bf38d36b</t>
  </si>
  <si>
    <t>2aef3a10-616b-4701-bb62-228e1b00726c</t>
  </si>
  <si>
    <t>e2f0110c-8e63-46e6-9f5d-250e435063fe</t>
  </si>
  <si>
    <t>10833a0c-8647-4574-90e4-960cc9cbbe75</t>
  </si>
  <si>
    <t>50a53bc4-4e42-4ea0-ba41-757b2f57d22d</t>
  </si>
  <si>
    <t>e9263af0-1a51-4842-b7d1-39317e9ba034</t>
  </si>
  <si>
    <t>800c65f3-6e40-4b7d-98ef-15d272aefd8d</t>
  </si>
  <si>
    <t>6ae636ae-6331-45d1-9b83-899cfefa9406</t>
  </si>
  <si>
    <t>b890522a-64b4-4490-adac-92c3495f63d5</t>
  </si>
  <si>
    <t>7844b9eb-3796-4791-ae34-437d7b157bfc</t>
  </si>
  <si>
    <t>ae68b668-cb80-401c-9c5e-fd88c2c5a253</t>
  </si>
  <si>
    <t>37366812-679b-42d2-8410-ae4f8489d6cc</t>
  </si>
  <si>
    <t>c49ee35b-c789-4037-966d-b7523796a38b</t>
  </si>
  <si>
    <t>cc61126a-5562-44df-b0af-449c2e25745f</t>
  </si>
  <si>
    <t>e640b7b7-3e6c-47be-a3e1-da30e023329a</t>
  </si>
  <si>
    <t>fd28177e-4c59-42fa-a47c-92bbd32ad373</t>
  </si>
  <si>
    <t>c39d3d1f-60c3-4e00-8d8d-57b6b1427bf0</t>
  </si>
  <si>
    <t>976f75f5-b70e-42e5-adfa-adaa294f117d</t>
  </si>
  <si>
    <t>eed7fcaf-0924-4cb4-808b-02311943ff45</t>
  </si>
  <si>
    <t>5c686798-ca99-4c1e-83b0-aa36f509f870</t>
  </si>
  <si>
    <t>c0efe7d1-6f1b-40f1-a3ca-5d30b57af715</t>
  </si>
  <si>
    <t>ae8efe9c-30b2-421e-bd9e-46b74a137c00</t>
  </si>
  <si>
    <t>22139e8c-1219-4bd2-9ab0-ab611c469507</t>
  </si>
  <si>
    <t>2303de0a-38ca-4b12-9a9b-cd8ab19ec65e</t>
  </si>
  <si>
    <t>e4b3c37c-b1a7-406f-a216-dada84c7860d</t>
  </si>
  <si>
    <t>0fd5615d-be9e-457e-9807-70520e0bdb5b</t>
  </si>
  <si>
    <t>da365cde-6c5d-4f84-a004-c1310d2917c8</t>
  </si>
  <si>
    <t>13bca8b6-b104-48be-9402-7063de322142</t>
  </si>
  <si>
    <t>230c92fd-6d0f-42ab-8d55-8fd4285639df</t>
  </si>
  <si>
    <t>c8db0fcc-dbb3-4114-afd2-4c6110979313</t>
  </si>
  <si>
    <t>d6b68b77-e812-485b-a668-7990a63807da</t>
  </si>
  <si>
    <t>a7e2a3ef-ad26-43e3-ba81-dcde9f6b3c0d</t>
  </si>
  <si>
    <t>22f1fe00-d2c0-449f-9f17-d4c7934d1bc6</t>
  </si>
  <si>
    <t>d153fe64-513e-4bbd-8713-65ffa0ffe2fe</t>
  </si>
  <si>
    <t>6c562d87-06b8-4c3f-995b-6423b710e798</t>
  </si>
  <si>
    <t>2d13c3ca-a62b-4a4f-b8a4-08f8abb42f81</t>
  </si>
  <si>
    <t>3ee7f524-adc0-4b18-8dc2-e36772514fc6</t>
  </si>
  <si>
    <t>991ffd38-2195-4a02-8d98-10eec23fd40a</t>
  </si>
  <si>
    <t>f850900c-2cbf-47cd-89a5-b55bde6ab622</t>
  </si>
  <si>
    <t>4493d264-0e12-4c96-ae27-f69d96a3d724</t>
  </si>
  <si>
    <t>a1342279-ffc1-440f-bbea-2d980391355a</t>
  </si>
  <si>
    <t>d0927126-8a8b-458f-80b0-6fb199c0ac1e</t>
  </si>
  <si>
    <t>56d16138-409f-40c2-b89d-84801908095a</t>
  </si>
  <si>
    <t>9af82436-773d-49ee-a075-5505bd7a99f2</t>
  </si>
  <si>
    <t>56c53264-9f33-419a-bb91-7d464580da0c</t>
  </si>
  <si>
    <t>e6760427-7523-4ec9-b607-32453b65d45b</t>
  </si>
  <si>
    <t>22a4c9ad-dd71-4445-b6ce-53fcc4589b20</t>
  </si>
  <si>
    <t>df9e4c83-a725-4895-b6cd-8dd80414502d</t>
  </si>
  <si>
    <t>dcb9a3da-2c5f-4e5c-b529-34bc4fcc99c4</t>
  </si>
  <si>
    <t>af58d53e-c2cc-4dce-9ab6-6f49b94d4e98</t>
  </si>
  <si>
    <t>06810b71-d1db-4236-9a56-e33294099bd8</t>
  </si>
  <si>
    <t>551f278e-8038-4250-9c04-cb24ba6891ae</t>
  </si>
  <si>
    <t>ac1a1eaf-cdf3-492d-8984-bfe63de40fdd</t>
  </si>
  <si>
    <t>baacd874-5c48-440b-8eb2-7fd8b8bb46d5</t>
  </si>
  <si>
    <t>ec45820b-cd7c-42f8-bc48-0253357b16b5</t>
  </si>
  <si>
    <t>6ba8ebc1-4edf-42dc-a6f2-0e61bdbfb00c</t>
  </si>
  <si>
    <t>888062e7-9205-4108-94e9-27d30a9c0935</t>
  </si>
  <si>
    <t>7b70bd63-5610-4b5b-a326-33bf1d439215</t>
  </si>
  <si>
    <t>e589df66-e26d-42a4-860d-a89c79d6a15b</t>
  </si>
  <si>
    <t>97be3962-5c0b-445d-806c-5092a7119843</t>
  </si>
  <si>
    <t>310188fa-afb4-49a9-a567-b359a5467557</t>
  </si>
  <si>
    <t>12f35cce-e742-4dc6-acbf-5297323c2961</t>
  </si>
  <si>
    <t>9f127961-2684-4e91-86f0-0d9ee73a8524</t>
  </si>
  <si>
    <t>ba7e8901-6d89-468b-be0e-599c272c432f</t>
  </si>
  <si>
    <t>e25d3a5c-5ac0-42b8-b5d0-cde4f3a14f5f</t>
  </si>
  <si>
    <t>45041e9f-99be-4a79-b7d4-e78f2bd59163</t>
  </si>
  <si>
    <t>59f403ec-69f1-4dcb-8696-3bceb9fa7e9b</t>
  </si>
  <si>
    <t>095cf8f8-84ff-476e-8c87-8710421d14fb</t>
  </si>
  <si>
    <t>1e213d08-1a3a-4765-bfc2-7d233744db26</t>
  </si>
  <si>
    <t>c502faf4-83d5-41e2-ab8a-a396e34ea33a</t>
  </si>
  <si>
    <t>e6bc8907-c816-442e-a92b-c9c889d4477d</t>
  </si>
  <si>
    <t>9016ac38-b538-4cdd-b409-3202ffb67bd3</t>
  </si>
  <si>
    <t>d4993515-b2b3-4820-8ad7-de50090fae23</t>
  </si>
  <si>
    <t>e23a19af-696a-4b50-8b67-f075928dddad</t>
  </si>
  <si>
    <t>7b52aef9-46c5-495f-963a-92f7a2773e1d</t>
  </si>
  <si>
    <t>40bd1de3-e9fd-403f-9440-862f29f7feca</t>
  </si>
  <si>
    <t>80953e7f-58bf-4342-a7b7-49374554a37e</t>
  </si>
  <si>
    <t>a7ef0699-af3c-4c73-8659-8145b2607a8d</t>
  </si>
  <si>
    <t>cce2b921-2fae-4143-b8d9-cd901a0ea044</t>
  </si>
  <si>
    <t>abcf761b-ab32-4943-b084-c8b244ce5811</t>
  </si>
  <si>
    <t>2b05c13e-0d0a-4540-a5b4-6e0df5848d32</t>
  </si>
  <si>
    <t>e9a29402-4c8b-45c8-9336-1e419ca86256</t>
  </si>
  <si>
    <t>eff83137-340d-4b80-9a24-01a51968c177</t>
  </si>
  <si>
    <t>cd26e82e-f4d5-45da-a258-550b99365330</t>
  </si>
  <si>
    <t>1bfe62e6-aebf-4246-97b8-9b74d1520349</t>
  </si>
  <si>
    <t>d47a8a62-b494-4ac4-a8db-63cd31223f23</t>
  </si>
  <si>
    <t>a6e5025d-5906-4918-a836-25cfc6027c66</t>
  </si>
  <si>
    <t>3b110aa6-b4e7-4c45-b608-a229e35b43d7</t>
  </si>
  <si>
    <t>82ddf960-6959-4346-8c87-36e232131eac</t>
  </si>
  <si>
    <t>2b4f496d-5560-490a-9bfd-505df445c2d4</t>
  </si>
  <si>
    <t>7869e36b-13ed-41b7-88c4-523ff58903b1</t>
  </si>
  <si>
    <t>Maximo</t>
  </si>
  <si>
    <t>CodUltHand</t>
  </si>
  <si>
    <t>UltHandMote</t>
  </si>
  <si>
    <t>NombreEq</t>
  </si>
  <si>
    <t>N_Partidos</t>
  </si>
  <si>
    <t>Partidos_3</t>
  </si>
  <si>
    <t>Partidos_4</t>
  </si>
  <si>
    <t>JugEnPart3</t>
  </si>
  <si>
    <t>Partidos3</t>
  </si>
  <si>
    <t>Partidos4</t>
  </si>
  <si>
    <t>PartidosSolo3</t>
  </si>
  <si>
    <t>PartidoAsig</t>
  </si>
  <si>
    <t>Jug_Pos</t>
  </si>
  <si>
    <t>Ranking</t>
  </si>
  <si>
    <t>RED RHINO</t>
  </si>
  <si>
    <t>EAGLE MIND</t>
  </si>
  <si>
    <t>THE ARCHERS</t>
  </si>
  <si>
    <t>LOS FICJ6</t>
  </si>
  <si>
    <t>Logo</t>
  </si>
  <si>
    <t>CONDOR GC</t>
  </si>
  <si>
    <t>ANGRYPIG</t>
  </si>
  <si>
    <t>Palomarejos</t>
  </si>
  <si>
    <t>https://ibb.co/pWsfYvm</t>
  </si>
  <si>
    <t>https://ibb.co/wdyhy4T</t>
  </si>
  <si>
    <t>https://ibb.co/HXx9bz7</t>
  </si>
  <si>
    <t>https://ibb.co/gSLH5z0</t>
  </si>
  <si>
    <t>https://ibb.co/w74qxYK</t>
  </si>
  <si>
    <t>https://es.wikipedia.org/wiki/Bandera_de_Espa%C3%B1a#/media/Archivo:Bandera_de_Espa%C3%B1a.svg</t>
  </si>
  <si>
    <t>KOBRA KAI</t>
  </si>
  <si>
    <t>Movil</t>
  </si>
  <si>
    <t>Email</t>
  </si>
  <si>
    <t>aaguirrerodriguez@gmail.com</t>
  </si>
  <si>
    <t>+34 620 829 471</t>
  </si>
  <si>
    <t>davidsequera@icloud.com</t>
  </si>
  <si>
    <t>+34 682 396 740</t>
  </si>
  <si>
    <t>633 768 075</t>
  </si>
  <si>
    <t>despacho@cerveraprocurador.com</t>
  </si>
  <si>
    <t>+34 669 459 016</t>
  </si>
  <si>
    <t>hidalgoalfonso66@gmail.com</t>
  </si>
  <si>
    <t>670 847 722</t>
  </si>
  <si>
    <t>alvaro@bestmedia.es</t>
  </si>
  <si>
    <t>619 893 390</t>
  </si>
  <si>
    <t>ncasmartin0@gmail.com</t>
  </si>
  <si>
    <t>Buendiamdp@hotmail.com</t>
  </si>
  <si>
    <t>Javier Dodero de Solano</t>
  </si>
  <si>
    <t>Dodero</t>
  </si>
  <si>
    <t>CM05160312</t>
  </si>
  <si>
    <t>Angel Santana</t>
  </si>
  <si>
    <t>A.Santana</t>
  </si>
  <si>
    <t>CM33780682</t>
  </si>
  <si>
    <t>Angel Santana Aguilera</t>
  </si>
  <si>
    <t>Thomas Dauterman</t>
  </si>
  <si>
    <t>Tom</t>
  </si>
  <si>
    <t>CM15386122</t>
  </si>
  <si>
    <t>Torneos</t>
  </si>
  <si>
    <t>0e402f8d-6632-4004-8b8b-46397a554cf0</t>
  </si>
  <si>
    <t>7f0453e3-8c9c-4167-8c1b-8354b7be25f4</t>
  </si>
  <si>
    <t>cab47a36-9dc7-46a0-aead-cd9a5b36c70b</t>
  </si>
  <si>
    <t>6a17940a-6a99-4d8a-8cae-7b746a3d169c</t>
  </si>
  <si>
    <t>0ca94a23-f9e5-47d7-ac3e-832097bc4760</t>
  </si>
  <si>
    <t>24b84ae0-46ed-4a00-9e5a-5bffabdb6cbd</t>
  </si>
  <si>
    <t>fb1e8a6c-26c5-47e6-b19b-bc69c6952996</t>
  </si>
  <si>
    <t>35f83a69-41b1-471e-8e58-868b1d6ff60b</t>
  </si>
  <si>
    <t>d4951f1d-aff4-483a-a239-e730d120e15b</t>
  </si>
  <si>
    <t>9329f618-f541-4450-9348-71df3794b7d4</t>
  </si>
  <si>
    <t>6623842c-75d9-44ca-ac84-6900a9bfbde0</t>
  </si>
  <si>
    <t>58a5d2c2-0868-4290-b88d-13230cb601a1</t>
  </si>
  <si>
    <t>8fe61b84-94f9-46e3-ab01-b7fec9f559f1</t>
  </si>
  <si>
    <t>343ebd01-99e7-4a9e-a0f7-67316dab2256</t>
  </si>
  <si>
    <t>4d3c0607-6e6a-4251-91f7-89bef317d1ee</t>
  </si>
  <si>
    <t>466a52e9-2d93-49ce-ab9d-6ce3ec2ee1b1</t>
  </si>
  <si>
    <t>da9a6c3e-0733-4a40-9f73-315e60d90281</t>
  </si>
  <si>
    <t>6b2ee499-bbb5-4ddb-b501-bbe30944be89</t>
  </si>
  <si>
    <t>c0ddba84-d3b8-4c73-95b3-b53537f600bb</t>
  </si>
  <si>
    <t>23c0ccf6-f1ff-49e3-80dd-f70cc4a4ca36</t>
  </si>
  <si>
    <t>f5ec6904-f6ff-435a-90be-ac4a57eaee04</t>
  </si>
  <si>
    <t>cbaeba53-3fa3-44f1-9702-f9db61de9589</t>
  </si>
  <si>
    <t>0529b1f4-36dc-41d8-9814-1f9695d4c9f9</t>
  </si>
  <si>
    <t>dfc950e6-7846-4314-86d8-df019c78764e</t>
  </si>
  <si>
    <t>e91cbc18-b0ba-4b63-85ae-e0eb772b83bb</t>
  </si>
  <si>
    <t>00bc7804-12fc-4840-961d-c2091bb80fe4</t>
  </si>
  <si>
    <t>066d08ec-b5cd-4279-8052-1441c9a75d7b</t>
  </si>
  <si>
    <t>cc945a0c-cfc7-4492-a7bd-c37d313f5f7c</t>
  </si>
  <si>
    <t>b284346f-c2ac-4f9f-be51-64ed1c2e78a8</t>
  </si>
  <si>
    <t>98797cc5-f6bd-4b09-9148-4c5d60b27d01</t>
  </si>
  <si>
    <t>337b204a-dd79-4abc-a177-936fbcb1ff25</t>
  </si>
  <si>
    <t>971b51d7-2439-4d77-9696-fd4aaf41db35</t>
  </si>
  <si>
    <t>c6634680-2416-4adc-be96-040b0bbc4c43</t>
  </si>
  <si>
    <t>83aa959b-a64f-4d99-b718-4d53cb6a5f4a</t>
  </si>
  <si>
    <t>77d29062-a471-47bb-bef2-114a7434fa61</t>
  </si>
  <si>
    <t>bbb59763-a376-400c-af18-9cbfcba73ed7</t>
  </si>
  <si>
    <t>cca7717c-f0e4-487a-95c6-fb7063664578</t>
  </si>
  <si>
    <t>9b451adf-ae17-48ef-a394-b9e307fd7c24</t>
  </si>
  <si>
    <t>0dafb399-50cc-492a-bcd7-d506d24141ce</t>
  </si>
  <si>
    <t>Juan Sanz</t>
  </si>
  <si>
    <t>JuanSanz</t>
  </si>
  <si>
    <t>CM00509304</t>
  </si>
  <si>
    <t>Juan Sanz Hurtado</t>
  </si>
  <si>
    <t>Máximo</t>
  </si>
  <si>
    <t>12:00</t>
  </si>
  <si>
    <t>10:00</t>
  </si>
  <si>
    <t>10:30</t>
  </si>
  <si>
    <t>AVE FENIX</t>
  </si>
  <si>
    <t>SANZ HURTADO, JUAN</t>
  </si>
  <si>
    <t>CASAS MARTIN, IGNACIO</t>
  </si>
  <si>
    <t>ALVAREZ OLIVA, FRANCISCO</t>
  </si>
  <si>
    <t>MARTINEZ  SANCHEZ, JORGE ALBERTO</t>
  </si>
  <si>
    <t>HERNANDEZ RILOVA, ANGEL</t>
  </si>
  <si>
    <t>HIDALGO LOPEZ DE AYALA, ALFONSO</t>
  </si>
  <si>
    <t>GONZALEZ SALVADOR, FRANCISCO JAVIER</t>
  </si>
  <si>
    <t>RODRIGUEZ TOUCEDA, JESUS</t>
  </si>
  <si>
    <t>GONZALEZ SALVADOR, JUAN JOSE</t>
  </si>
  <si>
    <t>HIDALGO LOPEZ DE AYALA, FRANCISCO</t>
  </si>
  <si>
    <t>SANTANA SANCHEZ, JOSE ANTONIO</t>
  </si>
  <si>
    <t>GONZALEZ SALVADOR, JULIO ENRIQUE</t>
  </si>
  <si>
    <t>LOPEZ CALDERON, VICENTE</t>
  </si>
  <si>
    <t>NIETO ESTEBAN, ALVARO</t>
  </si>
  <si>
    <t>CARMONA QUESADA, ANTONIO</t>
  </si>
  <si>
    <t>Jorge Maestro Aguilera</t>
  </si>
  <si>
    <t>JMaestro</t>
  </si>
  <si>
    <t>CM00996656</t>
  </si>
  <si>
    <t>A tiro</t>
  </si>
  <si>
    <t>09:45</t>
  </si>
  <si>
    <t>falvarezoliva@gmail.com</t>
  </si>
  <si>
    <t>09:30</t>
  </si>
  <si>
    <t>CUATREROS GC</t>
  </si>
  <si>
    <t>Angel Santana - Antigua</t>
  </si>
  <si>
    <t>Angel Santana - Nueva</t>
  </si>
  <si>
    <t>CMC8780682</t>
  </si>
  <si>
    <t>Golpes Final</t>
  </si>
  <si>
    <t>VC</t>
  </si>
  <si>
    <t>Slop</t>
  </si>
  <si>
    <t>HJU</t>
  </si>
  <si>
    <t>H Real</t>
  </si>
  <si>
    <t>Reducc</t>
  </si>
  <si>
    <t>Jesús Otero del Rio</t>
  </si>
  <si>
    <t>Otero</t>
  </si>
  <si>
    <t>7732210583</t>
  </si>
  <si>
    <t>Jesús Otero</t>
  </si>
  <si>
    <t>Joaquín Sánchez</t>
  </si>
  <si>
    <t>Joaco</t>
  </si>
  <si>
    <t>CM15305932</t>
  </si>
  <si>
    <t>Joaquín Sánchez Guzman</t>
  </si>
  <si>
    <t>2025</t>
  </si>
  <si>
    <t>% Puntúan</t>
  </si>
  <si>
    <t>Temp-Ntorn</t>
  </si>
  <si>
    <t>Equipo:Temp</t>
  </si>
  <si>
    <t>Javi 🪱</t>
  </si>
  <si>
    <t>MT</t>
  </si>
  <si>
    <t>Enrique 🚵‍♂</t>
  </si>
  <si>
    <t>Eduardo 🐧</t>
  </si>
  <si>
    <t xml:space="preserve">A.Santana </t>
  </si>
  <si>
    <t xml:space="preserve">JuanSanz </t>
  </si>
  <si>
    <t>Juancho 🦎</t>
  </si>
  <si>
    <t>Nachete 🐅</t>
  </si>
  <si>
    <t>J.Arcos 🌵</t>
  </si>
  <si>
    <t>Cuñao 👨🏻‍⚖️</t>
  </si>
  <si>
    <t>Angel 🏆</t>
  </si>
  <si>
    <t>Carlitos 🔥</t>
  </si>
  <si>
    <t>Chiralt 🍗</t>
  </si>
  <si>
    <t>Franck 🏹</t>
  </si>
  <si>
    <t>Luis 🫥</t>
  </si>
  <si>
    <t>Rus 🧸</t>
  </si>
  <si>
    <t>Alex 🦐</t>
  </si>
  <si>
    <t>Estado</t>
  </si>
  <si>
    <t>RKEquipo</t>
  </si>
  <si>
    <t>Partidos</t>
  </si>
  <si>
    <t>NºEqu</t>
  </si>
  <si>
    <t>Neq</t>
  </si>
  <si>
    <t>EQUIPOS 2025</t>
  </si>
  <si>
    <t>Orden1</t>
  </si>
  <si>
    <t>Orden2</t>
  </si>
  <si>
    <t>Nº</t>
  </si>
  <si>
    <t>En reunión</t>
  </si>
  <si>
    <t>Elecc</t>
  </si>
  <si>
    <t>35 € Menú jugador</t>
  </si>
  <si>
    <t>65€ cocido y picnic</t>
  </si>
  <si>
    <t xml:space="preserve">🪄 </t>
  </si>
  <si>
    <t>Calculo</t>
  </si>
  <si>
    <t>IdCalculo</t>
  </si>
  <si>
    <t>Bruto</t>
  </si>
  <si>
    <t>Miguel Angel Aguilera</t>
  </si>
  <si>
    <t>CMC8213369</t>
  </si>
  <si>
    <t>M Angel</t>
  </si>
  <si>
    <t>Jaime de la Cal</t>
  </si>
  <si>
    <t>CM00417892</t>
  </si>
  <si>
    <t>9:00</t>
  </si>
  <si>
    <t>Francisco Javier Gonzalez Salvador</t>
  </si>
  <si>
    <t>Francisco Javier Lopez Gullón</t>
  </si>
  <si>
    <t>Olivar</t>
  </si>
  <si>
    <t>Jugador Nº</t>
  </si>
  <si>
    <t>Liga CSC</t>
  </si>
  <si>
    <t>NombreLiga</t>
  </si>
  <si>
    <t>Liga:Temp</t>
  </si>
  <si>
    <t>Código</t>
  </si>
  <si>
    <t>Temp:Código</t>
  </si>
  <si>
    <t>CSC Fin de semana</t>
  </si>
  <si>
    <t>Abreviado</t>
  </si>
  <si>
    <t>FINDE</t>
  </si>
  <si>
    <t>CSC Entre semana</t>
  </si>
  <si>
    <t>LABOR</t>
  </si>
  <si>
    <t>Villanueva</t>
  </si>
  <si>
    <t>Entreno 32 € || Menú 22 €</t>
  </si>
  <si>
    <t>Victor Morillo</t>
  </si>
  <si>
    <t>CM15969376</t>
  </si>
  <si>
    <t>Victor</t>
  </si>
  <si>
    <t>Victor Morillo Arrizabalaga</t>
  </si>
  <si>
    <t>Sucesivas</t>
  </si>
  <si>
    <t>25 € bugy | 7€ trolley | 22,50€ comida</t>
  </si>
  <si>
    <t>Jaime Orlando Larregui</t>
  </si>
  <si>
    <t>CM00160732</t>
  </si>
  <si>
    <t>Orlando</t>
  </si>
  <si>
    <t>36€ Bugy 16€ Electr 5€ Manual</t>
  </si>
  <si>
    <t>Entreno 35 € || 36€ Bugy 16€ Electr 5@ Manual</t>
  </si>
  <si>
    <t>9:30</t>
  </si>
  <si>
    <t>4401188458</t>
  </si>
  <si>
    <t>HandicapActual</t>
  </si>
  <si>
    <t>HandicapAnterior</t>
  </si>
  <si>
    <t>Fecha:Jugador</t>
  </si>
  <si>
    <t>09/02/2025:Nacho Gonzalez</t>
  </si>
  <si>
    <t>11/02/2025:Nacho Gonzalez</t>
  </si>
  <si>
    <t>09/02/2025:Ignacio Cadarso</t>
  </si>
  <si>
    <t>11/02/2025:Ignacio Cadarso</t>
  </si>
  <si>
    <t>09/02/2025:Alfonso Hidalgo</t>
  </si>
  <si>
    <t>11/02/2025:Alfonso Hidalgo</t>
  </si>
  <si>
    <t>09/02/2025:Francisco Alvarez</t>
  </si>
  <si>
    <t>11/02/2025:Francisco Alvarez</t>
  </si>
  <si>
    <t>09/02/2025:Alvaro Aguirre</t>
  </si>
  <si>
    <t>11/02/2025:Alvaro Aguirre</t>
  </si>
  <si>
    <t>09/02/2025:José Pablo Guil</t>
  </si>
  <si>
    <t>11/02/2025:José Pablo Guil</t>
  </si>
  <si>
    <t>09/02/2025:Javier Gonzalez Salvador</t>
  </si>
  <si>
    <t>11/02/2025:Javier Gonzalez Salvador</t>
  </si>
  <si>
    <t>09/02/2025:J. Enrique Gonzalez</t>
  </si>
  <si>
    <t>11/02/2025:J. Enrique Gonzalez</t>
  </si>
  <si>
    <t>09/02/2025:Alvaro Nieto</t>
  </si>
  <si>
    <t>11/02/2025:Alvaro Nieto</t>
  </si>
  <si>
    <t>09/02/2025:David Sequera</t>
  </si>
  <si>
    <t>11/02/2025:David Sequera</t>
  </si>
  <si>
    <t>09/02/2025:Angel Hernandez</t>
  </si>
  <si>
    <t>11/02/2025:Angel Hernandez</t>
  </si>
  <si>
    <t>09/02/2025:GLEZ JUAN JOSÉ</t>
  </si>
  <si>
    <t>11/02/2025:GLEZ JUAN JOSÉ</t>
  </si>
  <si>
    <t>09/02/2025:Jesus Touceda</t>
  </si>
  <si>
    <t>11/02/2025:Jesus Touceda</t>
  </si>
  <si>
    <t>09/02/2025:Javier Cervera</t>
  </si>
  <si>
    <t>11/02/2025:Javier Cervera</t>
  </si>
  <si>
    <t>09/02/2025:Francisco Hidalgo</t>
  </si>
  <si>
    <t>11/02/2025:Francisco Hidalgo</t>
  </si>
  <si>
    <t>09/02/2025:Miche Lopez</t>
  </si>
  <si>
    <t>09/02/2025:Alvaro Montoya</t>
  </si>
  <si>
    <t>09/02/2025:Ruslan Kochman</t>
  </si>
  <si>
    <t>09/02/2025:Nacho Casas</t>
  </si>
  <si>
    <t>09/02/2025:Franck Benouniche</t>
  </si>
  <si>
    <t>09/02/2025:Javier Lopez Gullón</t>
  </si>
  <si>
    <t>09/02/2025:Javier Chiralt</t>
  </si>
  <si>
    <t>09/02/2025:Enrique Gonzalez R</t>
  </si>
  <si>
    <t>09/02/2025:Alejandro Arcos</t>
  </si>
  <si>
    <t>09/02/2025:Antonio Carmona</t>
  </si>
  <si>
    <t>09/02/2025:Santi Diaz</t>
  </si>
  <si>
    <t>09/02/2025:Juan Jose Aguado</t>
  </si>
  <si>
    <t>09/02/2025:Carlos Maestro</t>
  </si>
  <si>
    <t>09/02/2025:Jorge Alberto Martínez Sánchez</t>
  </si>
  <si>
    <t>09/02/2025:Eduardo Buendía</t>
  </si>
  <si>
    <t>09/02/2025:Javier Arcos</t>
  </si>
  <si>
    <t>09/02/2025:Luis Fernandez</t>
  </si>
  <si>
    <t>09/02/2025:Jose Antonio Santana</t>
  </si>
  <si>
    <t>09/02/2025:Angel Santana</t>
  </si>
  <si>
    <t>09/02/2025:Thomas Dauterman</t>
  </si>
  <si>
    <t>09/02/2025:Juan Sanz</t>
  </si>
  <si>
    <t>09/02/2025:Joaquín Sánchez</t>
  </si>
  <si>
    <t>11/02/2025:Miche Lopez</t>
  </si>
  <si>
    <t>11/02/2025:Alvaro Montoya</t>
  </si>
  <si>
    <t>11/02/2025:Ruslan Kochman</t>
  </si>
  <si>
    <t>11/02/2025:Nacho Casas</t>
  </si>
  <si>
    <t>11/02/2025:Franck Benouniche</t>
  </si>
  <si>
    <t>11/02/2025:Javier Lopez Gullón</t>
  </si>
  <si>
    <t>11/02/2025:Javier Chiralt</t>
  </si>
  <si>
    <t>11/02/2025:Enrique Gonzalez R</t>
  </si>
  <si>
    <t>11/02/2025:Alejandro Arcos</t>
  </si>
  <si>
    <t>11/02/2025:Antonio Carmona</t>
  </si>
  <si>
    <t>11/02/2025:Santi Diaz</t>
  </si>
  <si>
    <t>11/02/2025:Juan Jose Aguado</t>
  </si>
  <si>
    <t>11/02/2025:Carlos Maestro</t>
  </si>
  <si>
    <t>11/02/2025:Jorge Alberto Martínez Sánchez</t>
  </si>
  <si>
    <t>11/02/2025:Eduardo Buendía</t>
  </si>
  <si>
    <t>11/02/2025:Javier Arcos</t>
  </si>
  <si>
    <t>11/02/2025:Luis Fernandez</t>
  </si>
  <si>
    <t>11/02/2025:Jose Antonio Santana</t>
  </si>
  <si>
    <t>11/02/2025:Angel Santana</t>
  </si>
  <si>
    <t>11/02/2025:Thomas Dauterman</t>
  </si>
  <si>
    <t>11/02/2025:Juan Sanz</t>
  </si>
  <si>
    <t>11/02/2025:Joaquín Sánchez</t>
  </si>
  <si>
    <t>11/02/2025:Miguel Angel Aguilera</t>
  </si>
  <si>
    <t>11/02/2025:Jaime de la Cal</t>
  </si>
  <si>
    <t>17/02/2025:Nacho Gonzalez</t>
  </si>
  <si>
    <t>17/02/2025:Ignacio Cadarso</t>
  </si>
  <si>
    <t>17/02/2025:Alfonso Hidalgo</t>
  </si>
  <si>
    <t>17/02/2025:Francisco Alvarez</t>
  </si>
  <si>
    <t>17/02/2025:Alvaro Aguirre</t>
  </si>
  <si>
    <t>17/02/2025:José Pablo Guil</t>
  </si>
  <si>
    <t>17/02/2025:Javier Gonzalez Salvador</t>
  </si>
  <si>
    <t>17/02/2025:J. Enrique Gonzalez</t>
  </si>
  <si>
    <t>17/02/2025:Alvaro Nieto</t>
  </si>
  <si>
    <t>17/02/2025:David Sequera</t>
  </si>
  <si>
    <t>17/02/2025:Angel Hernandez</t>
  </si>
  <si>
    <t>17/02/2025:GLEZ JUAN JOSÉ</t>
  </si>
  <si>
    <t>17/02/2025:Jesus Touceda</t>
  </si>
  <si>
    <t>17/02/2025:Javier Cervera</t>
  </si>
  <si>
    <t>17/02/2025:Francisco Hidalgo</t>
  </si>
  <si>
    <t>17/02/2025:Miche Lopez</t>
  </si>
  <si>
    <t>17/02/2025:Alvaro Montoya</t>
  </si>
  <si>
    <t>17/02/2025:Ruslan Kochman</t>
  </si>
  <si>
    <t>17/02/2025:Nacho Casas</t>
  </si>
  <si>
    <t>17/02/2025:Franck Benouniche</t>
  </si>
  <si>
    <t>17/02/2025:Javier Lopez Gullón</t>
  </si>
  <si>
    <t>17/02/2025:Javier Chiralt</t>
  </si>
  <si>
    <t>17/02/2025:Enrique Gonzalez R</t>
  </si>
  <si>
    <t>17/02/2025:Alejandro Arcos</t>
  </si>
  <si>
    <t>17/02/2025:Antonio Carmona</t>
  </si>
  <si>
    <t>17/02/2025:Santi Diaz</t>
  </si>
  <si>
    <t>17/02/2025:Juan Jose Aguado</t>
  </si>
  <si>
    <t>17/02/2025:Carlos Maestro</t>
  </si>
  <si>
    <t>17/02/2025:Jorge Alberto Martínez Sánchez</t>
  </si>
  <si>
    <t>17/02/2025:Eduardo Buendía</t>
  </si>
  <si>
    <t>17/02/2025:Javier Arcos</t>
  </si>
  <si>
    <t>17/02/2025:Luis Fernandez</t>
  </si>
  <si>
    <t>17/02/2025:Jose Antonio Santana</t>
  </si>
  <si>
    <t>17/02/2025:Angel Santana</t>
  </si>
  <si>
    <t>17/02/2025:Thomas Dauterman</t>
  </si>
  <si>
    <t>17/02/2025:Juan Sanz</t>
  </si>
  <si>
    <t>17/02/2025:Joaquín Sánchez</t>
  </si>
  <si>
    <t>17/02/2025:Miguel Angel Aguilera</t>
  </si>
  <si>
    <t>17/02/2025:Jaime de la Cal</t>
  </si>
  <si>
    <t>25/02/2025:Nacho Gonzalez</t>
  </si>
  <si>
    <t>25/02/2025:Ignacio Cadarso</t>
  </si>
  <si>
    <t>25/02/2025:Alfonso Hidalgo</t>
  </si>
  <si>
    <t>25/02/2025:Francisco Alvarez</t>
  </si>
  <si>
    <t>25/02/2025:Alvaro Aguirre</t>
  </si>
  <si>
    <t>25/02/2025:José Pablo Guil</t>
  </si>
  <si>
    <t>25/02/2025:Javier Gonzalez Salvador</t>
  </si>
  <si>
    <t>25/02/2025:J. Enrique Gonzalez</t>
  </si>
  <si>
    <t>25/02/2025:Alvaro Nieto</t>
  </si>
  <si>
    <t>25/02/2025:David Sequera</t>
  </si>
  <si>
    <t>25/02/2025:Angel Hernandez</t>
  </si>
  <si>
    <t>25/02/2025:GLEZ JUAN JOSÉ</t>
  </si>
  <si>
    <t>25/02/2025:Jesus Touceda</t>
  </si>
  <si>
    <t>25/02/2025:Javier Cervera</t>
  </si>
  <si>
    <t>25/02/2025:Francisco Hidalgo</t>
  </si>
  <si>
    <t>25/02/2025:Miche Lopez</t>
  </si>
  <si>
    <t>25/02/2025:Alvaro Montoya</t>
  </si>
  <si>
    <t>25/02/2025:Ruslan Kochman</t>
  </si>
  <si>
    <t>25/02/2025:Nacho Casas</t>
  </si>
  <si>
    <t>25/02/2025:Franck Benouniche</t>
  </si>
  <si>
    <t>25/02/2025:Javier Lopez Gullón</t>
  </si>
  <si>
    <t>25/02/2025:Javier Chiralt</t>
  </si>
  <si>
    <t>25/02/2025:Enrique Gonzalez R</t>
  </si>
  <si>
    <t>25/02/2025:Alejandro Arcos</t>
  </si>
  <si>
    <t>25/02/2025:Antonio Carmona</t>
  </si>
  <si>
    <t>25/02/2025:Santi Diaz</t>
  </si>
  <si>
    <t>25/02/2025:Juan Jose Aguado</t>
  </si>
  <si>
    <t>25/02/2025:Carlos Maestro</t>
  </si>
  <si>
    <t>25/02/2025:Jorge Alberto Martínez Sánchez</t>
  </si>
  <si>
    <t>25/02/2025:Eduardo Buendía</t>
  </si>
  <si>
    <t>25/02/2025:Javier Arcos</t>
  </si>
  <si>
    <t>25/02/2025:Luis Fernandez</t>
  </si>
  <si>
    <t>25/02/2025:Jose Antonio Santana</t>
  </si>
  <si>
    <t>25/02/2025:Angel Santana</t>
  </si>
  <si>
    <t>25/02/2025:Thomas Dauterman</t>
  </si>
  <si>
    <t>25/02/2025:Juan Sanz</t>
  </si>
  <si>
    <t>25/02/2025:Joaquín Sánchez</t>
  </si>
  <si>
    <t>25/02/2025:Miguel Angel Aguilera</t>
  </si>
  <si>
    <t>25/02/2025:Jaime de la Cal</t>
  </si>
  <si>
    <t>15/03/2025:Nacho Gonzalez</t>
  </si>
  <si>
    <t>15/03/2025:Ignacio Cadarso</t>
  </si>
  <si>
    <t>15/03/2025:Alfonso Hidalgo</t>
  </si>
  <si>
    <t>15/03/2025:Francisco Alvarez</t>
  </si>
  <si>
    <t>15/03/2025:Alvaro Aguirre</t>
  </si>
  <si>
    <t>15/03/2025:José Pablo Guil</t>
  </si>
  <si>
    <t>15/03/2025:Javier Gonzalez Salvador</t>
  </si>
  <si>
    <t>15/03/2025:J. Enrique Gonzalez</t>
  </si>
  <si>
    <t>15/03/2025:Alvaro Nieto</t>
  </si>
  <si>
    <t>15/03/2025:David Sequera</t>
  </si>
  <si>
    <t>15/03/2025:Angel Hernandez</t>
  </si>
  <si>
    <t>15/03/2025:GLEZ JUAN JOSÉ</t>
  </si>
  <si>
    <t>15/03/2025:Jesus Touceda</t>
  </si>
  <si>
    <t>15/03/2025:Javier Cervera</t>
  </si>
  <si>
    <t>15/03/2025:Francisco Hidalgo</t>
  </si>
  <si>
    <t>15/03/2025:Miche Lopez</t>
  </si>
  <si>
    <t>15/03/2025:Alvaro Montoya</t>
  </si>
  <si>
    <t>15/03/2025:Ruslan Kochman</t>
  </si>
  <si>
    <t>15/03/2025:Nacho Casas</t>
  </si>
  <si>
    <t>15/03/2025:Franck Benouniche</t>
  </si>
  <si>
    <t>15/03/2025:Javier Lopez Gullón</t>
  </si>
  <si>
    <t>15/03/2025:Javier Chiralt</t>
  </si>
  <si>
    <t>15/03/2025:Enrique Gonzalez R</t>
  </si>
  <si>
    <t>15/03/2025:Alejandro Arcos</t>
  </si>
  <si>
    <t>15/03/2025:Antonio Carmona</t>
  </si>
  <si>
    <t>15/03/2025:Santi Diaz</t>
  </si>
  <si>
    <t>15/03/2025:Juan Jose Aguado</t>
  </si>
  <si>
    <t>15/03/2025:Carlos Maestro</t>
  </si>
  <si>
    <t>15/03/2025:Jorge Alberto Martínez Sánchez</t>
  </si>
  <si>
    <t>15/03/2025:Eduardo Buendía</t>
  </si>
  <si>
    <t>15/03/2025:Javier Arcos</t>
  </si>
  <si>
    <t>15/03/2025:Luis Fernandez</t>
  </si>
  <si>
    <t>15/03/2025:Jose Antonio Santana</t>
  </si>
  <si>
    <t>15/03/2025:Angel Santana</t>
  </si>
  <si>
    <t>15/03/2025:Thomas Dauterman</t>
  </si>
  <si>
    <t>15/03/2025:Juan Sanz</t>
  </si>
  <si>
    <t>15/03/2025:Joaquín Sánchez</t>
  </si>
  <si>
    <t>15/03/2025:Miguel Angel Aguilera</t>
  </si>
  <si>
    <t>15/03/2025:Jaime de la Cal</t>
  </si>
  <si>
    <t>24/03/2025:Nacho Gonzalez</t>
  </si>
  <si>
    <t>24/03/2025:Ignacio Cadarso</t>
  </si>
  <si>
    <t>24/03/2025:Alfonso Hidalgo</t>
  </si>
  <si>
    <t>24/03/2025:Francisco Alvarez</t>
  </si>
  <si>
    <t>24/03/2025:Alvaro Aguirre</t>
  </si>
  <si>
    <t>24/03/2025:José Pablo Guil</t>
  </si>
  <si>
    <t>24/03/2025:Javier Gonzalez Salvador</t>
  </si>
  <si>
    <t>24/03/2025:J. Enrique Gonzalez</t>
  </si>
  <si>
    <t>24/03/2025:Alvaro Nieto</t>
  </si>
  <si>
    <t>24/03/2025:David Sequera</t>
  </si>
  <si>
    <t>24/03/2025:Angel Hernandez</t>
  </si>
  <si>
    <t>24/03/2025:GLEZ JUAN JOSÉ</t>
  </si>
  <si>
    <t>24/03/2025:Jesus Touceda</t>
  </si>
  <si>
    <t>24/03/2025:Javier Cervera</t>
  </si>
  <si>
    <t>24/03/2025:Francisco Hidalgo</t>
  </si>
  <si>
    <t>24/03/2025:Miche Lopez</t>
  </si>
  <si>
    <t>24/03/2025:Alvaro Montoya</t>
  </si>
  <si>
    <t>24/03/2025:Ruslan Kochman</t>
  </si>
  <si>
    <t>24/03/2025:Nacho Casas</t>
  </si>
  <si>
    <t>24/03/2025:Franck Benouniche</t>
  </si>
  <si>
    <t>24/03/2025:Javier Lopez Gullón</t>
  </si>
  <si>
    <t>24/03/2025:Javier Chiralt</t>
  </si>
  <si>
    <t>24/03/2025:Enrique Gonzalez R</t>
  </si>
  <si>
    <t>24/03/2025:Alejandro Arcos</t>
  </si>
  <si>
    <t>24/03/2025:Antonio Carmona</t>
  </si>
  <si>
    <t>24/03/2025:Santi Diaz</t>
  </si>
  <si>
    <t>24/03/2025:Juan Jose Aguado</t>
  </si>
  <si>
    <t>24/03/2025:Carlos Maestro</t>
  </si>
  <si>
    <t>24/03/2025:Jorge Alberto Martínez Sánchez</t>
  </si>
  <si>
    <t>24/03/2025:Eduardo Buendía</t>
  </si>
  <si>
    <t>24/03/2025:Javier Arcos</t>
  </si>
  <si>
    <t>24/03/2025:Luis Fernandez</t>
  </si>
  <si>
    <t>24/03/2025:Jose Antonio Santana</t>
  </si>
  <si>
    <t>24/03/2025:Angel Santana</t>
  </si>
  <si>
    <t>24/03/2025:Thomas Dauterman</t>
  </si>
  <si>
    <t>24/03/2025:Juan Sanz</t>
  </si>
  <si>
    <t>24/03/2025:Joaquín Sánchez</t>
  </si>
  <si>
    <t>24/03/2025:Miguel Angel Aguilera</t>
  </si>
  <si>
    <t>24/03/2025:Jaime de la Cal</t>
  </si>
  <si>
    <t>23/04/2025:Nacho Gonzalez</t>
  </si>
  <si>
    <t>23/04/2025:Ignacio Cadarso</t>
  </si>
  <si>
    <t>23/04/2025:Alfonso Hidalgo</t>
  </si>
  <si>
    <t>23/04/2025:Francisco Alvarez</t>
  </si>
  <si>
    <t>23/04/2025:Alvaro Aguirre</t>
  </si>
  <si>
    <t>23/04/2025:José Pablo Guil</t>
  </si>
  <si>
    <t>23/04/2025:Javier Gonzalez Salvador</t>
  </si>
  <si>
    <t>23/04/2025:J. Enrique Gonzalez</t>
  </si>
  <si>
    <t>23/04/2025:Alvaro Nieto</t>
  </si>
  <si>
    <t>23/04/2025:David Sequera</t>
  </si>
  <si>
    <t>23/04/2025:Angel Hernandez</t>
  </si>
  <si>
    <t>23/04/2025:GLEZ JUAN JOSÉ</t>
  </si>
  <si>
    <t>23/04/2025:Jesus Touceda</t>
  </si>
  <si>
    <t>23/04/2025:Javier Cervera</t>
  </si>
  <si>
    <t>23/04/2025:Francisco Hidalgo</t>
  </si>
  <si>
    <t>23/04/2025:Miche Lopez</t>
  </si>
  <si>
    <t>23/04/2025:Alvaro Montoya</t>
  </si>
  <si>
    <t>23/04/2025:Ruslan Kochman</t>
  </si>
  <si>
    <t>23/04/2025:Nacho Casas</t>
  </si>
  <si>
    <t>23/04/2025:Franck Benouniche</t>
  </si>
  <si>
    <t>23/04/2025:Javier Lopez Gullón</t>
  </si>
  <si>
    <t>23/04/2025:Javier Chiralt</t>
  </si>
  <si>
    <t>23/04/2025:Enrique Gonzalez R</t>
  </si>
  <si>
    <t>23/04/2025:Alejandro Arcos</t>
  </si>
  <si>
    <t>23/04/2025:Antonio Carmona</t>
  </si>
  <si>
    <t>23/04/2025:Santi Diaz</t>
  </si>
  <si>
    <t>23/04/2025:Juan Jose Aguado</t>
  </si>
  <si>
    <t>23/04/2025:Carlos Maestro</t>
  </si>
  <si>
    <t>23/04/2025:Jorge Alberto Martínez Sánchez</t>
  </si>
  <si>
    <t>23/04/2025:Eduardo Buendía</t>
  </si>
  <si>
    <t>23/04/2025:Javier Arcos</t>
  </si>
  <si>
    <t>23/04/2025:Luis Fernandez</t>
  </si>
  <si>
    <t>23/04/2025:Jose Antonio Santana</t>
  </si>
  <si>
    <t>23/04/2025:Angel Santana</t>
  </si>
  <si>
    <t>23/04/2025:Thomas Dauterman</t>
  </si>
  <si>
    <t>23/04/2025:Juan Sanz</t>
  </si>
  <si>
    <t>23/04/2025:Joaquín Sánchez</t>
  </si>
  <si>
    <t>23/04/2025:Miguel Angel Aguilera</t>
  </si>
  <si>
    <t>23/04/2025:Jaime de la Cal</t>
  </si>
  <si>
    <t>13/05/2025:Nacho Gonzalez</t>
  </si>
  <si>
    <t>13/05/2025:Ignacio Cadarso</t>
  </si>
  <si>
    <t>13/05/2025:Alfonso Hidalgo</t>
  </si>
  <si>
    <t>13/05/2025:Francisco Alvarez</t>
  </si>
  <si>
    <t>13/05/2025:Alvaro Aguirre</t>
  </si>
  <si>
    <t>13/05/2025:José Pablo Guil</t>
  </si>
  <si>
    <t>13/05/2025:Javier Gonzalez Salvador</t>
  </si>
  <si>
    <t>13/05/2025:J. Enrique Gonzalez</t>
  </si>
  <si>
    <t>13/05/2025:Alvaro Nieto</t>
  </si>
  <si>
    <t>13/05/2025:David Sequera</t>
  </si>
  <si>
    <t>13/05/2025:Angel Hernandez</t>
  </si>
  <si>
    <t>13/05/2025:GLEZ JUAN JOSÉ</t>
  </si>
  <si>
    <t>13/05/2025:Jesus Touceda</t>
  </si>
  <si>
    <t>13/05/2025:Javier Cervera</t>
  </si>
  <si>
    <t>13/05/2025:Francisco Hidalgo</t>
  </si>
  <si>
    <t>13/05/2025:Miche Lopez</t>
  </si>
  <si>
    <t>13/05/2025:Alvaro Montoya</t>
  </si>
  <si>
    <t>13/05/2025:Ruslan Kochman</t>
  </si>
  <si>
    <t>13/05/2025:Nacho Casas</t>
  </si>
  <si>
    <t>13/05/2025:Franck Benouniche</t>
  </si>
  <si>
    <t>13/05/2025:Javier Lopez Gullón</t>
  </si>
  <si>
    <t>13/05/2025:Javier Chiralt</t>
  </si>
  <si>
    <t>13/05/2025:Enrique Gonzalez R</t>
  </si>
  <si>
    <t>13/05/2025:Alejandro Arcos</t>
  </si>
  <si>
    <t>13/05/2025:Antonio Carmona</t>
  </si>
  <si>
    <t>13/05/2025:Santi Diaz</t>
  </si>
  <si>
    <t>13/05/2025:Juan Jose Aguado</t>
  </si>
  <si>
    <t>13/05/2025:Carlos Maestro</t>
  </si>
  <si>
    <t>13/05/2025:Jorge Alberto Martínez Sánchez</t>
  </si>
  <si>
    <t>13/05/2025:Eduardo Buendía</t>
  </si>
  <si>
    <t>13/05/2025:Javier Arcos</t>
  </si>
  <si>
    <t>13/05/2025:Luis Fernandez</t>
  </si>
  <si>
    <t>13/05/2025:Jose Antonio Santana</t>
  </si>
  <si>
    <t>13/05/2025:Angel Santana</t>
  </si>
  <si>
    <t>13/05/2025:Thomas Dauterman</t>
  </si>
  <si>
    <t>13/05/2025:Juan Sanz</t>
  </si>
  <si>
    <t>13/05/2025:Joaquín Sánchez</t>
  </si>
  <si>
    <t>13/05/2025:Miguel Angel Aguilera</t>
  </si>
  <si>
    <t>13/05/2025:Jaime de la Cal</t>
  </si>
  <si>
    <t>25/05/2025:Nacho Gonzalez</t>
  </si>
  <si>
    <t>25/05/2025:Ignacio Cadarso</t>
  </si>
  <si>
    <t>25/05/2025:Alfonso Hidalgo</t>
  </si>
  <si>
    <t>25/05/2025:Francisco Alvarez</t>
  </si>
  <si>
    <t>25/05/2025:Alvaro Aguirre</t>
  </si>
  <si>
    <t>25/05/2025:José Pablo Guil</t>
  </si>
  <si>
    <t>25/05/2025:Javier Gonzalez Salvador</t>
  </si>
  <si>
    <t>25/05/2025:J. Enrique Gonzalez</t>
  </si>
  <si>
    <t>25/05/2025:Alvaro Nieto</t>
  </si>
  <si>
    <t>25/05/2025:David Sequera</t>
  </si>
  <si>
    <t>25/05/2025:Angel Hernandez</t>
  </si>
  <si>
    <t>25/05/2025:GLEZ JUAN JOSÉ</t>
  </si>
  <si>
    <t>25/05/2025:Jesus Touceda</t>
  </si>
  <si>
    <t>25/05/2025:Javier Cervera</t>
  </si>
  <si>
    <t>25/05/2025:Francisco Hidalgo</t>
  </si>
  <si>
    <t>25/05/2025:Miche Lopez</t>
  </si>
  <si>
    <t>25/05/2025:Alvaro Montoya</t>
  </si>
  <si>
    <t>25/05/2025:Ruslan Kochman</t>
  </si>
  <si>
    <t>25/05/2025:Nacho Casas</t>
  </si>
  <si>
    <t>25/05/2025:Franck Benouniche</t>
  </si>
  <si>
    <t>25/05/2025:Javier Lopez Gullón</t>
  </si>
  <si>
    <t>25/05/2025:Javier Chiralt</t>
  </si>
  <si>
    <t>25/05/2025:Enrique Gonzalez R</t>
  </si>
  <si>
    <t>25/05/2025:Alejandro Arcos</t>
  </si>
  <si>
    <t>25/05/2025:Antonio Carmona</t>
  </si>
  <si>
    <t>25/05/2025:Santi Diaz</t>
  </si>
  <si>
    <t>25/05/2025:Juan Jose Aguado</t>
  </si>
  <si>
    <t>25/05/2025:Carlos Maestro</t>
  </si>
  <si>
    <t>25/05/2025:Jorge Alberto Martínez Sánchez</t>
  </si>
  <si>
    <t>25/05/2025:Eduardo Buendía</t>
  </si>
  <si>
    <t>25/05/2025:Javier Arcos</t>
  </si>
  <si>
    <t>25/05/2025:Luis Fernandez</t>
  </si>
  <si>
    <t>25/05/2025:Jose Antonio Santana</t>
  </si>
  <si>
    <t>25/05/2025:Angel Santana</t>
  </si>
  <si>
    <t>25/05/2025:Thomas Dauterman</t>
  </si>
  <si>
    <t>25/05/2025:Juan Sanz</t>
  </si>
  <si>
    <t>25/05/2025:Joaquín Sánchez</t>
  </si>
  <si>
    <t>25/05/2025:Miguel Angel Aguilera</t>
  </si>
  <si>
    <t>25/05/2025:Jaime de la Cal</t>
  </si>
  <si>
    <t>14/06/2025:Nacho Gonzalez</t>
  </si>
  <si>
    <t>14/06/2025:Ignacio Cadarso</t>
  </si>
  <si>
    <t>14/06/2025:Alfonso Hidalgo</t>
  </si>
  <si>
    <t>14/06/2025:Francisco Alvarez</t>
  </si>
  <si>
    <t>14/06/2025:Alvaro Aguirre</t>
  </si>
  <si>
    <t>14/06/2025:José Pablo Guil</t>
  </si>
  <si>
    <t>14/06/2025:Javier Gonzalez Salvador</t>
  </si>
  <si>
    <t>14/06/2025:J. Enrique Gonzalez</t>
  </si>
  <si>
    <t>14/06/2025:Alvaro Nieto</t>
  </si>
  <si>
    <t>14/06/2025:David Sequera</t>
  </si>
  <si>
    <t>14/06/2025:Angel Hernandez</t>
  </si>
  <si>
    <t>14/06/2025:GLEZ JUAN JOSÉ</t>
  </si>
  <si>
    <t>14/06/2025:Jesus Touceda</t>
  </si>
  <si>
    <t>14/06/2025:Javier Cervera</t>
  </si>
  <si>
    <t>14/06/2025:Francisco Hidalgo</t>
  </si>
  <si>
    <t>14/06/2025:Miche Lopez</t>
  </si>
  <si>
    <t>14/06/2025:Alvaro Montoya</t>
  </si>
  <si>
    <t>14/06/2025:Ruslan Kochman</t>
  </si>
  <si>
    <t>14/06/2025:Nacho Casas</t>
  </si>
  <si>
    <t>14/06/2025:Franck Benouniche</t>
  </si>
  <si>
    <t>14/06/2025:Javier Lopez Gullón</t>
  </si>
  <si>
    <t>14/06/2025:Javier Chiralt</t>
  </si>
  <si>
    <t>14/06/2025:Enrique Gonzalez R</t>
  </si>
  <si>
    <t>14/06/2025:Alejandro Arcos</t>
  </si>
  <si>
    <t>14/06/2025:Antonio Carmona</t>
  </si>
  <si>
    <t>14/06/2025:Santi Diaz</t>
  </si>
  <si>
    <t>14/06/2025:Juan Jose Aguado</t>
  </si>
  <si>
    <t>14/06/2025:Carlos Maestro</t>
  </si>
  <si>
    <t>14/06/2025:Jorge Alberto Martínez Sánchez</t>
  </si>
  <si>
    <t>14/06/2025:Eduardo Buendía</t>
  </si>
  <si>
    <t>14/06/2025:Javier Arcos</t>
  </si>
  <si>
    <t>14/06/2025:Luis Fernandez</t>
  </si>
  <si>
    <t>14/06/2025:Jose Antonio Santana</t>
  </si>
  <si>
    <t>14/06/2025:Angel Santana</t>
  </si>
  <si>
    <t>14/06/2025:Thomas Dauterman</t>
  </si>
  <si>
    <t>14/06/2025:Juan Sanz</t>
  </si>
  <si>
    <t>14/06/2025:Joaquín Sánchez</t>
  </si>
  <si>
    <t>14/06/2025:Miguel Angel Aguilera</t>
  </si>
  <si>
    <t>14/06/2025:Jaime de la Cal</t>
  </si>
  <si>
    <t>18/06/2025:Nacho Gonzalez</t>
  </si>
  <si>
    <t>18/06/2025:Ignacio Cadarso</t>
  </si>
  <si>
    <t>18/06/2025:Alfonso Hidalgo</t>
  </si>
  <si>
    <t>18/06/2025:Francisco Alvarez</t>
  </si>
  <si>
    <t>18/06/2025:Alvaro Aguirre</t>
  </si>
  <si>
    <t>18/06/2025:José Pablo Guil</t>
  </si>
  <si>
    <t>18/06/2025:Javier Gonzalez Salvador</t>
  </si>
  <si>
    <t>18/06/2025:J. Enrique Gonzalez</t>
  </si>
  <si>
    <t>18/06/2025:Alvaro Nieto</t>
  </si>
  <si>
    <t>18/06/2025:David Sequera</t>
  </si>
  <si>
    <t>18/06/2025:Angel Hernandez</t>
  </si>
  <si>
    <t>18/06/2025:GLEZ JUAN JOSÉ</t>
  </si>
  <si>
    <t>18/06/2025:Jesus Touceda</t>
  </si>
  <si>
    <t>18/06/2025:Javier Cervera</t>
  </si>
  <si>
    <t>18/06/2025:Francisco Hidalgo</t>
  </si>
  <si>
    <t>18/06/2025:Miche Lopez</t>
  </si>
  <si>
    <t>18/06/2025:Alvaro Montoya</t>
  </si>
  <si>
    <t>18/06/2025:Ruslan Kochman</t>
  </si>
  <si>
    <t>18/06/2025:Nacho Casas</t>
  </si>
  <si>
    <t>18/06/2025:Franck Benouniche</t>
  </si>
  <si>
    <t>18/06/2025:Javier Lopez Gullón</t>
  </si>
  <si>
    <t>18/06/2025:Javier Chiralt</t>
  </si>
  <si>
    <t>18/06/2025:Enrique Gonzalez R</t>
  </si>
  <si>
    <t>18/06/2025:Alejandro Arcos</t>
  </si>
  <si>
    <t>18/06/2025:Antonio Carmona</t>
  </si>
  <si>
    <t>18/06/2025:Santi Diaz</t>
  </si>
  <si>
    <t>18/06/2025:Juan Jose Aguado</t>
  </si>
  <si>
    <t>18/06/2025:Carlos Maestro</t>
  </si>
  <si>
    <t>18/06/2025:Jorge Alberto Martínez Sánchez</t>
  </si>
  <si>
    <t>18/06/2025:Eduardo Buendía</t>
  </si>
  <si>
    <t>18/06/2025:Javier Arcos</t>
  </si>
  <si>
    <t>18/06/2025:Luis Fernandez</t>
  </si>
  <si>
    <t>18/06/2025:Jose Antonio Santana</t>
  </si>
  <si>
    <t>18/06/2025:Angel Santana</t>
  </si>
  <si>
    <t>18/06/2025:Thomas Dauterman</t>
  </si>
  <si>
    <t>18/06/2025:Juan Sanz</t>
  </si>
  <si>
    <t>18/06/2025:Joaquín Sánchez</t>
  </si>
  <si>
    <t>18/06/2025:Miguel Angel Aguilera</t>
  </si>
  <si>
    <t>18/06/2025:Jaime de la Cal</t>
  </si>
  <si>
    <t>(en blanco)</t>
  </si>
  <si>
    <t>23/06/2025:Nacho Gonzalez</t>
  </si>
  <si>
    <t>23/06/2025:Ignacio Cadarso</t>
  </si>
  <si>
    <t>23/06/2025:Alfonso Hidalgo</t>
  </si>
  <si>
    <t>23/06/2025:Francisco Alvarez</t>
  </si>
  <si>
    <t>23/06/2025:Alvaro Aguirre</t>
  </si>
  <si>
    <t>23/06/2025:José Pablo Guil</t>
  </si>
  <si>
    <t>23/06/2025:Javier Gonzalez Salvador</t>
  </si>
  <si>
    <t>23/06/2025:J. Enrique Gonzalez</t>
  </si>
  <si>
    <t>23/06/2025:Alvaro Nieto</t>
  </si>
  <si>
    <t>23/06/2025:David Sequera</t>
  </si>
  <si>
    <t>23/06/2025:Angel Hernandez</t>
  </si>
  <si>
    <t>23/06/2025:GLEZ JUAN JOSÉ</t>
  </si>
  <si>
    <t>23/06/2025:Jesus Touceda</t>
  </si>
  <si>
    <t>23/06/2025:Javier Cervera</t>
  </si>
  <si>
    <t>23/06/2025:Francisco Hidalgo</t>
  </si>
  <si>
    <t>23/06/2025:Miche Lopez</t>
  </si>
  <si>
    <t>23/06/2025:Alvaro Montoya</t>
  </si>
  <si>
    <t>23/06/2025:Ruslan Kochman</t>
  </si>
  <si>
    <t>23/06/2025:Nacho Casas</t>
  </si>
  <si>
    <t>23/06/2025:Franck Benouniche</t>
  </si>
  <si>
    <t>23/06/2025:Javier Lopez Gullón</t>
  </si>
  <si>
    <t>23/06/2025:Javier Chiralt</t>
  </si>
  <si>
    <t>23/06/2025:Enrique Gonzalez R</t>
  </si>
  <si>
    <t>23/06/2025:Alejandro Arcos</t>
  </si>
  <si>
    <t>23/06/2025:Antonio Carmona</t>
  </si>
  <si>
    <t>23/06/2025:Santi Diaz</t>
  </si>
  <si>
    <t>23/06/2025:Juan Jose Aguado</t>
  </si>
  <si>
    <t>23/06/2025:Carlos Maestro</t>
  </si>
  <si>
    <t>23/06/2025:Jorge Alberto Martínez Sánchez</t>
  </si>
  <si>
    <t>23/06/2025:Eduardo Buendía</t>
  </si>
  <si>
    <t>23/06/2025:Javier Arcos</t>
  </si>
  <si>
    <t>23/06/2025:Luis Fernandez</t>
  </si>
  <si>
    <t>23/06/2025:Jose Antonio Santana</t>
  </si>
  <si>
    <t>23/06/2025:Angel Santana</t>
  </si>
  <si>
    <t>23/06/2025:Thomas Dauterman</t>
  </si>
  <si>
    <t>23/06/2025:Juan Sanz</t>
  </si>
  <si>
    <t>23/06/2025:Joaquín Sánchez</t>
  </si>
  <si>
    <t>23/06/2025:Miguel Angel Aguilera</t>
  </si>
  <si>
    <t>23/06/2025:Jaime de la Cal</t>
  </si>
  <si>
    <t>07/07/2025:Nacho Gonzalez</t>
  </si>
  <si>
    <t>07/07/2025:Ignacio Cadarso</t>
  </si>
  <si>
    <t>07/07/2025:Alfonso Hidalgo</t>
  </si>
  <si>
    <t>07/07/2025:Francisco Alvarez</t>
  </si>
  <si>
    <t>07/07/2025:Alvaro Aguirre</t>
  </si>
  <si>
    <t>07/07/2025:José Pablo Guil</t>
  </si>
  <si>
    <t>07/07/2025:Javier Gonzalez Salvador</t>
  </si>
  <si>
    <t>07/07/2025:J. Enrique Gonzalez</t>
  </si>
  <si>
    <t>07/07/2025:Alvaro Nieto</t>
  </si>
  <si>
    <t>07/07/2025:David Sequera</t>
  </si>
  <si>
    <t>07/07/2025:Angel Hernandez</t>
  </si>
  <si>
    <t>07/07/2025:GLEZ JUAN JOSÉ</t>
  </si>
  <si>
    <t>07/07/2025:Jesus Touceda</t>
  </si>
  <si>
    <t>07/07/2025:Javier Cervera</t>
  </si>
  <si>
    <t>07/07/2025:Francisco Hidalgo</t>
  </si>
  <si>
    <t>07/07/2025:Miche Lopez</t>
  </si>
  <si>
    <t>07/07/2025:Alvaro Montoya</t>
  </si>
  <si>
    <t>07/07/2025:Ruslan Kochman</t>
  </si>
  <si>
    <t>07/07/2025:Nacho Casas</t>
  </si>
  <si>
    <t>07/07/2025:Franck Benouniche</t>
  </si>
  <si>
    <t>07/07/2025:Javier Lopez Gullón</t>
  </si>
  <si>
    <t>07/07/2025:Javier Chiralt</t>
  </si>
  <si>
    <t>07/07/2025:Enrique Gonzalez R</t>
  </si>
  <si>
    <t>07/07/2025:Alejandro Arcos</t>
  </si>
  <si>
    <t>07/07/2025:Antonio Carmona</t>
  </si>
  <si>
    <t>07/07/2025:Santi Diaz</t>
  </si>
  <si>
    <t>07/07/2025:Juan Jose Aguado</t>
  </si>
  <si>
    <t>07/07/2025:Carlos Maestro</t>
  </si>
  <si>
    <t>07/07/2025:Jorge Alberto Martínez Sánchez</t>
  </si>
  <si>
    <t>07/07/2025:Eduardo Buendía</t>
  </si>
  <si>
    <t>07/07/2025:Javier Arcos</t>
  </si>
  <si>
    <t>07/07/2025:Luis Fernandez</t>
  </si>
  <si>
    <t>07/07/2025:Jose Antonio Santana</t>
  </si>
  <si>
    <t>07/07/2025:Angel Santana</t>
  </si>
  <si>
    <t>07/07/2025:Thomas Dauterman</t>
  </si>
  <si>
    <t>07/07/2025:Juan Sanz</t>
  </si>
  <si>
    <t>07/07/2025:Joaquín Sánchez</t>
  </si>
  <si>
    <t>07/07/2025:Miguel Angel Aguilera</t>
  </si>
  <si>
    <t>07/07/2025:Jaime de la Cal</t>
  </si>
  <si>
    <t>17/09/2025:Nacho Gonzalez</t>
  </si>
  <si>
    <t>17/09/2025:Ignacio Cadarso</t>
  </si>
  <si>
    <t>17/09/2025:Alfonso Hidalgo</t>
  </si>
  <si>
    <t>17/09/2025:Francisco Alvarez</t>
  </si>
  <si>
    <t>17/09/2025:Alvaro Aguirre</t>
  </si>
  <si>
    <t>17/09/2025:José Pablo Guil</t>
  </si>
  <si>
    <t>17/09/2025:Javier Gonzalez Salvador</t>
  </si>
  <si>
    <t>17/09/2025:J. Enrique Gonzalez</t>
  </si>
  <si>
    <t>17/09/2025:Alvaro Nieto</t>
  </si>
  <si>
    <t>17/09/2025:David Sequera</t>
  </si>
  <si>
    <t>17/09/2025:Angel Hernandez</t>
  </si>
  <si>
    <t>17/09/2025:GLEZ JUAN JOSÉ</t>
  </si>
  <si>
    <t>17/09/2025:Jesus Touceda</t>
  </si>
  <si>
    <t>17/09/2025:Javier Cervera</t>
  </si>
  <si>
    <t>17/09/2025:Francisco Hidalgo</t>
  </si>
  <si>
    <t>17/09/2025:Miche Lopez</t>
  </si>
  <si>
    <t>17/09/2025:Alvaro Montoya</t>
  </si>
  <si>
    <t>17/09/2025:Ruslan Kochman</t>
  </si>
  <si>
    <t>17/09/2025:Nacho Casas</t>
  </si>
  <si>
    <t>17/09/2025:Franck Benouniche</t>
  </si>
  <si>
    <t>17/09/2025:Javier Lopez Gullón</t>
  </si>
  <si>
    <t>17/09/2025:Javier Chiralt</t>
  </si>
  <si>
    <t>17/09/2025:Enrique Gonzalez R</t>
  </si>
  <si>
    <t>17/09/2025:Alejandro Arcos</t>
  </si>
  <si>
    <t>17/09/2025:Antonio Carmona</t>
  </si>
  <si>
    <t>17/09/2025:Santi Diaz</t>
  </si>
  <si>
    <t>17/09/2025:Juan Jose Aguado</t>
  </si>
  <si>
    <t>17/09/2025:Carlos Maestro</t>
  </si>
  <si>
    <t>17/09/2025:Jorge Alberto Martínez Sánchez</t>
  </si>
  <si>
    <t>17/09/2025:Eduardo Buendía</t>
  </si>
  <si>
    <t>17/09/2025:Javier Arcos</t>
  </si>
  <si>
    <t>17/09/2025:Luis Fernandez</t>
  </si>
  <si>
    <t>17/09/2025:Jose Antonio Santana</t>
  </si>
  <si>
    <t>17/09/2025:Angel Santana</t>
  </si>
  <si>
    <t>17/09/2025:Thomas Dauterman</t>
  </si>
  <si>
    <t>17/09/2025:Juan Sanz</t>
  </si>
  <si>
    <t>17/09/2025:Joaquín Sánchez</t>
  </si>
  <si>
    <t>17/09/2025:Miguel Angel Aguilera</t>
  </si>
  <si>
    <t>17/09/2025:Jaime de la Cal</t>
  </si>
  <si>
    <t>24/09/2025:Nacho Gonzalez</t>
  </si>
  <si>
    <t>24/09/2025:Ignacio Cadarso</t>
  </si>
  <si>
    <t>24/09/2025:Alfonso Hidalgo</t>
  </si>
  <si>
    <t>24/09/2025:Francisco Alvarez</t>
  </si>
  <si>
    <t>24/09/2025:Alvaro Aguirre</t>
  </si>
  <si>
    <t>24/09/2025:José Pablo Guil</t>
  </si>
  <si>
    <t>24/09/2025:Javier Gonzalez Salvador</t>
  </si>
  <si>
    <t>24/09/2025:J. Enrique Gonzalez</t>
  </si>
  <si>
    <t>24/09/2025:Alvaro Nieto</t>
  </si>
  <si>
    <t>24/09/2025:David Sequera</t>
  </si>
  <si>
    <t>24/09/2025:Angel Hernandez</t>
  </si>
  <si>
    <t>24/09/2025:GLEZ JUAN JOSÉ</t>
  </si>
  <si>
    <t>24/09/2025:Jesus Touceda</t>
  </si>
  <si>
    <t>24/09/2025:Javier Cervera</t>
  </si>
  <si>
    <t>24/09/2025:Francisco Hidalgo</t>
  </si>
  <si>
    <t>24/09/2025:Miche Lopez</t>
  </si>
  <si>
    <t>24/09/2025:Alvaro Montoya</t>
  </si>
  <si>
    <t>24/09/2025:Ruslan Kochman</t>
  </si>
  <si>
    <t>24/09/2025:Nacho Casas</t>
  </si>
  <si>
    <t>24/09/2025:Franck Benouniche</t>
  </si>
  <si>
    <t>24/09/2025:Javier Lopez Gullón</t>
  </si>
  <si>
    <t>24/09/2025:Javier Chiralt</t>
  </si>
  <si>
    <t>24/09/2025:Enrique Gonzalez R</t>
  </si>
  <si>
    <t>24/09/2025:Alejandro Arcos</t>
  </si>
  <si>
    <t>24/09/2025:Antonio Carmona</t>
  </si>
  <si>
    <t>24/09/2025:Santi Diaz</t>
  </si>
  <si>
    <t>24/09/2025:Juan Jose Aguado</t>
  </si>
  <si>
    <t>24/09/2025:Carlos Maestro</t>
  </si>
  <si>
    <t>24/09/2025:Jorge Alberto Martínez Sánchez</t>
  </si>
  <si>
    <t>24/09/2025:Eduardo Buendía</t>
  </si>
  <si>
    <t>24/09/2025:Javier Arcos</t>
  </si>
  <si>
    <t>24/09/2025:Luis Fernandez</t>
  </si>
  <si>
    <t>24/09/2025:Jose Antonio Santana</t>
  </si>
  <si>
    <t>24/09/2025:Angel Santana</t>
  </si>
  <si>
    <t>24/09/2025:Thomas Dauterman</t>
  </si>
  <si>
    <t>24/09/2025:Juan Sanz</t>
  </si>
  <si>
    <t>24/09/2025:Joaquín Sánchez</t>
  </si>
  <si>
    <t>24/09/2025:Miguel Angel Aguilera</t>
  </si>
  <si>
    <t>24/09/2025:Jaime de la Cal</t>
  </si>
  <si>
    <t>15/10/2025:Nacho Gonzalez</t>
  </si>
  <si>
    <t>15/10/2025:Ignacio Cadarso</t>
  </si>
  <si>
    <t>15/10/2025:Alfonso Hidalgo</t>
  </si>
  <si>
    <t>15/10/2025:Francisco Alvarez</t>
  </si>
  <si>
    <t>15/10/2025:Alvaro Aguirre</t>
  </si>
  <si>
    <t>15/10/2025:José Pablo Guil</t>
  </si>
  <si>
    <t>15/10/2025:Javier Gonzalez Salvador</t>
  </si>
  <si>
    <t>15/10/2025:J. Enrique Gonzalez</t>
  </si>
  <si>
    <t>15/10/2025:Alvaro Nieto</t>
  </si>
  <si>
    <t>15/10/2025:David Sequera</t>
  </si>
  <si>
    <t>15/10/2025:Angel Hernandez</t>
  </si>
  <si>
    <t>15/10/2025:GLEZ JUAN JOSÉ</t>
  </si>
  <si>
    <t>15/10/2025:Jesus Touceda</t>
  </si>
  <si>
    <t>15/10/2025:Javier Cervera</t>
  </si>
  <si>
    <t>15/10/2025:Francisco Hidalgo</t>
  </si>
  <si>
    <t>15/10/2025:Miche Lopez</t>
  </si>
  <si>
    <t>15/10/2025:Alvaro Montoya</t>
  </si>
  <si>
    <t>15/10/2025:Ruslan Kochman</t>
  </si>
  <si>
    <t>15/10/2025:Nacho Casas</t>
  </si>
  <si>
    <t>15/10/2025:Franck Benouniche</t>
  </si>
  <si>
    <t>15/10/2025:Javier Lopez Gullón</t>
  </si>
  <si>
    <t>15/10/2025:Javier Chiralt</t>
  </si>
  <si>
    <t>15/10/2025:Enrique Gonzalez R</t>
  </si>
  <si>
    <t>15/10/2025:Alejandro Arcos</t>
  </si>
  <si>
    <t>15/10/2025:Antonio Carmona</t>
  </si>
  <si>
    <t>15/10/2025:Santi Diaz</t>
  </si>
  <si>
    <t>15/10/2025:Juan Jose Aguado</t>
  </si>
  <si>
    <t>15/10/2025:Carlos Maestro</t>
  </si>
  <si>
    <t>15/10/2025:Jorge Alberto Martínez Sánchez</t>
  </si>
  <si>
    <t>15/10/2025:Eduardo Buendía</t>
  </si>
  <si>
    <t>15/10/2025:Javier Arcos</t>
  </si>
  <si>
    <t>15/10/2025:Luis Fernandez</t>
  </si>
  <si>
    <t>15/10/2025:Jose Antonio Santana</t>
  </si>
  <si>
    <t>15/10/2025:Angel Santana</t>
  </si>
  <si>
    <t>15/10/2025:Thomas Dauterman</t>
  </si>
  <si>
    <t>15/10/2025:Juan Sanz</t>
  </si>
  <si>
    <t>15/10/2025:Joaquín Sánchez</t>
  </si>
  <si>
    <t>15/10/2025:Miguel Angel Aguilera</t>
  </si>
  <si>
    <t>15/10/2025:Jaime de la Cal</t>
  </si>
  <si>
    <t>18/11/2025:Nacho Gonzalez</t>
  </si>
  <si>
    <t>18/11/2025:Ignacio Cadarso</t>
  </si>
  <si>
    <t>18/11/2025:Alfonso Hidalgo</t>
  </si>
  <si>
    <t>18/11/2025:Francisco Alvarez</t>
  </si>
  <si>
    <t>18/11/2025:Alvaro Aguirre</t>
  </si>
  <si>
    <t>18/11/2025:José Pablo Guil</t>
  </si>
  <si>
    <t>18/11/2025:Javier Gonzalez Salvador</t>
  </si>
  <si>
    <t>18/11/2025:J. Enrique Gonzalez</t>
  </si>
  <si>
    <t>18/11/2025:Alvaro Nieto</t>
  </si>
  <si>
    <t>18/11/2025:David Sequera</t>
  </si>
  <si>
    <t>18/11/2025:Angel Hernandez</t>
  </si>
  <si>
    <t>18/11/2025:GLEZ JUAN JOSÉ</t>
  </si>
  <si>
    <t>18/11/2025:Jesus Touceda</t>
  </si>
  <si>
    <t>18/11/2025:Javier Cervera</t>
  </si>
  <si>
    <t>18/11/2025:Francisco Hidalgo</t>
  </si>
  <si>
    <t>18/11/2025:Miche Lopez</t>
  </si>
  <si>
    <t>18/11/2025:Alvaro Montoya</t>
  </si>
  <si>
    <t>18/11/2025:Ruslan Kochman</t>
  </si>
  <si>
    <t>18/11/2025:Nacho Casas</t>
  </si>
  <si>
    <t>18/11/2025:Franck Benouniche</t>
  </si>
  <si>
    <t>18/11/2025:Javier Lopez Gullón</t>
  </si>
  <si>
    <t>18/11/2025:Javier Chiralt</t>
  </si>
  <si>
    <t>18/11/2025:Enrique Gonzalez R</t>
  </si>
  <si>
    <t>18/11/2025:Alejandro Arcos</t>
  </si>
  <si>
    <t>18/11/2025:Antonio Carmona</t>
  </si>
  <si>
    <t>18/11/2025:Santi Diaz</t>
  </si>
  <si>
    <t>18/11/2025:Juan Jose Aguado</t>
  </si>
  <si>
    <t>18/11/2025:Carlos Maestro</t>
  </si>
  <si>
    <t>18/11/2025:Jorge Alberto Martínez Sánchez</t>
  </si>
  <si>
    <t>18/11/2025:Eduardo Buendía</t>
  </si>
  <si>
    <t>18/11/2025:Javier Arcos</t>
  </si>
  <si>
    <t>18/11/2025:Luis Fernandez</t>
  </si>
  <si>
    <t>18/11/2025:Jose Antonio Santana</t>
  </si>
  <si>
    <t>18/11/2025:Angel Santana</t>
  </si>
  <si>
    <t>18/11/2025:Thomas Dauterman</t>
  </si>
  <si>
    <t>18/11/2025:Juan Sanz</t>
  </si>
  <si>
    <t>18/11/2025:Joaquín Sánchez</t>
  </si>
  <si>
    <t>18/11/2025:Miguel Angel Aguilera</t>
  </si>
  <si>
    <t>18/11/2025:Jaime de la Cal</t>
  </si>
  <si>
    <t>11:00</t>
  </si>
  <si>
    <t>65€ Coctel - Entrega de premios</t>
  </si>
  <si>
    <t>Desert Spring</t>
  </si>
  <si>
    <t>Aguilón</t>
  </si>
  <si>
    <t>CERDOS ARQUEROS</t>
  </si>
  <si>
    <t>LA ORDEN DEL SWING SAGRADO</t>
  </si>
  <si>
    <t>LOS GUARDIANES DEL DATÁFONO</t>
  </si>
  <si>
    <t>NO TE LA LLEVES MAMADO</t>
  </si>
  <si>
    <t>ME ALIVIO GOLF CLUB</t>
  </si>
  <si>
    <t>2026</t>
  </si>
  <si>
    <t>victormorilloae@gmail.com</t>
  </si>
  <si>
    <t>+34690124197</t>
  </si>
  <si>
    <t>GIMBROS</t>
  </si>
  <si>
    <t>LA AMENAZA FANTASMA</t>
  </si>
  <si>
    <t>Ignacio Ibor</t>
  </si>
  <si>
    <t xml:space="preserve">Nachoiberico </t>
  </si>
  <si>
    <t>Javier Aguirre</t>
  </si>
  <si>
    <t>Javichu</t>
  </si>
  <si>
    <t>0110893758</t>
  </si>
  <si>
    <t>javigorgol@gmail.com</t>
  </si>
  <si>
    <t>Javier Aguirre Rodriguez</t>
  </si>
  <si>
    <t>LV00379658</t>
  </si>
  <si>
    <t>Ignacio Ibor Campos</t>
  </si>
  <si>
    <t xml:space="preserve">Marcos Ruiz</t>
  </si>
  <si>
    <t xml:space="preserve">CM81520189</t>
  </si>
  <si>
    <t xml:space="preserve">Marcos</t>
  </si>
  <si>
    <t xml:space="preserve">616606851</t>
  </si>
  <si>
    <t xml:space="preserve">Marcos Ruiz Villanueva</t>
  </si>
  <si>
    <t xml:space="preserve">Nicolas Sequera</t>
  </si>
  <si>
    <t xml:space="preserve">CM81928678</t>
  </si>
  <si>
    <t xml:space="preserve">Nico</t>
  </si>
  <si>
    <t xml:space="preserve">676052930</t>
  </si>
  <si>
    <t xml:space="preserve">nicolassequera@icloud.com</t>
  </si>
  <si>
    <t xml:space="preserve">Nicolas Sequera Cejas</t>
  </si>
  <si>
    <t xml:space="preserve">Beatriz Alvarez</t>
  </si>
  <si>
    <t xml:space="preserve">CM00065996</t>
  </si>
  <si>
    <t xml:space="preserve">Bea</t>
  </si>
  <si>
    <t xml:space="preserve">Lucas Arcos</t>
  </si>
  <si>
    <t xml:space="preserve">CMA8069482</t>
  </si>
  <si>
    <t xml:space="preserve">Lucas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</si>
</sst>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3" formatCode="_-* #,##0.00_-;\-* #,##0.00_-;_-* &quot;-&quot;??_-;_-@_-"/>
    <numFmt numFmtId="164" formatCode="0.0"/>
    <numFmt numFmtId="165" formatCode="#,##0.0"/>
    <numFmt numFmtId="166" formatCode="_-* #,##0_-;\-* #,##0_-;_-* &quot;-&quot;??_-;_-@_-"/>
    <numFmt numFmtId="167" formatCode="_-* #,##0.0_-;\-* #,##0.0_-;_-* &quot;-&quot;??_-;_-@_-"/>
  </numFmts>
  <fonts count="36"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36"/>
      <color rgb="FFCCCCCC"/>
      <name val="Apple Color Emoji"/>
    </font>
    <font>
      <sz val="11"/>
      <color theme="1"/>
      <name val="Calibri"/>
      <family val="2"/>
    </font>
    <font>
      <sz val="49"/>
      <color rgb="FF333333"/>
      <name val="Segoe UI Emoji"/>
      <family val="2"/>
    </font>
    <font>
      <sz val="18"/>
      <color rgb="FF333333"/>
      <name val="Segoe UI Emoji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37"/>
      <color rgb="FF333333"/>
      <name val="Segoe UI Emoji"/>
      <family val="2"/>
    </font>
    <font>
      <sz val="8"/>
      <name val="Calibri"/>
      <family val="2"/>
    </font>
    <font>
      <b/>
      <sz val="12"/>
      <color theme="0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9"/>
      <color rgb="FF0000FF"/>
      <name val="Consolas"/>
      <family val="3"/>
    </font>
    <font>
      <sz val="9"/>
      <color rgb="FF000000"/>
      <name val="Consolas"/>
      <family val="3"/>
    </font>
    <font>
      <u/>
      <sz val="12"/>
      <color theme="10"/>
      <name val="Calibri"/>
      <family val="2"/>
    </font>
    <font>
      <sz val="12"/>
      <color theme="0" tint="-0.499984740745262"/>
      <name val="Calibri"/>
      <family val="2"/>
    </font>
    <font>
      <sz val="11"/>
      <color theme="1"/>
      <name val="Arial"/>
      <family val="2"/>
    </font>
  </fonts>
  <fills count="50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theme="4" tint="0.79998168889431442"/>
      </patternFill>
    </fill>
  </fills>
  <borders count="3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</borders>
  <cellStyleXfs count="52">
    <xf numFmtId="0" fontId="0" fillId="0" borderId="0"/>
    <xf numFmtId="0" fontId="5" fillId="0" borderId="0"/>
    <xf numFmtId="0" fontId="5" fillId="0" borderId="0"/>
    <xf numFmtId="0" fontId="8" fillId="0" borderId="0" applyNumberFormat="0" applyFill="0" applyBorder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1" fillId="0" borderId="0" applyNumberFormat="0" applyFill="0" applyBorder="0" applyAlignment="0" applyProtection="0"/>
    <xf numFmtId="0" fontId="12" fillId="3" borderId="0" applyNumberFormat="0" applyBorder="0" applyAlignment="0" applyProtection="0"/>
    <xf numFmtId="0" fontId="13" fillId="4" borderId="0" applyNumberFormat="0" applyBorder="0" applyAlignment="0" applyProtection="0"/>
    <xf numFmtId="0" fontId="14" fillId="5" borderId="0" applyNumberFormat="0" applyBorder="0" applyAlignment="0" applyProtection="0"/>
    <xf numFmtId="0" fontId="15" fillId="6" borderId="5" applyNumberFormat="0" applyAlignment="0" applyProtection="0"/>
    <xf numFmtId="0" fontId="16" fillId="7" borderId="6" applyNumberFormat="0" applyAlignment="0" applyProtection="0"/>
    <xf numFmtId="0" fontId="17" fillId="7" borderId="5" applyNumberFormat="0" applyAlignment="0" applyProtection="0"/>
    <xf numFmtId="0" fontId="18" fillId="0" borderId="7" applyNumberFormat="0" applyFill="0" applyAlignment="0" applyProtection="0"/>
    <xf numFmtId="0" fontId="19" fillId="8" borderId="8" applyNumberFormat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10" applyNumberFormat="0" applyFill="0" applyAlignment="0" applyProtection="0"/>
    <xf numFmtId="0" fontId="2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2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2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2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2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2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9" borderId="9" applyNumberFormat="0" applyFont="0" applyAlignment="0" applyProtection="0"/>
    <xf numFmtId="9" fontId="27" fillId="0" borderId="0" applyFont="0" applyFill="0" applyBorder="0" applyAlignment="0" applyProtection="0"/>
    <xf numFmtId="0" fontId="2" fillId="0" borderId="0"/>
    <xf numFmtId="0" fontId="29" fillId="0" borderId="0"/>
    <xf numFmtId="0" fontId="1" fillId="0" borderId="0"/>
    <xf numFmtId="43" fontId="27" fillId="0" borderId="0" applyFon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</cellStyleXfs>
  <cellXfs count="129">
    <xf numFmtId="0" fontId="0" fillId="0" borderId="0" xfId="0"/>
    <xf numFmtId="0" fontId="4" fillId="0" borderId="0" xfId="0" applyFont="1"/>
    <xf numFmtId="14" fontId="0" fillId="0" borderId="0" xfId="0" applyNumberFormat="1"/>
    <xf numFmtId="0" fontId="5" fillId="0" borderId="0" xfId="1"/>
    <xf numFmtId="0" fontId="6" fillId="0" borderId="0" xfId="0" applyFont="1"/>
    <xf numFmtId="0" fontId="4" fillId="0" borderId="1" xfId="0" applyFont="1" applyBorder="1"/>
    <xf numFmtId="0" fontId="4" fillId="2" borderId="1" xfId="0" applyFont="1" applyFill="1" applyBorder="1"/>
    <xf numFmtId="0" fontId="24" fillId="0" borderId="0" xfId="0" applyFont="1"/>
    <xf numFmtId="0" fontId="7" fillId="0" borderId="1" xfId="0" applyFont="1" applyBorder="1"/>
    <xf numFmtId="14" fontId="0" fillId="34" borderId="0" xfId="0" applyNumberFormat="1" applyFill="1"/>
    <xf numFmtId="0" fontId="0" fillId="34" borderId="0" xfId="0" applyFill="1"/>
    <xf numFmtId="0" fontId="0" fillId="0" borderId="0" xfId="0" quotePrefix="1"/>
    <xf numFmtId="0" fontId="26" fillId="35" borderId="1" xfId="0" applyFont="1" applyFill="1" applyBorder="1"/>
    <xf numFmtId="0" fontId="0" fillId="0" borderId="1" xfId="0" applyBorder="1"/>
    <xf numFmtId="0" fontId="0" fillId="36" borderId="11" xfId="0" applyFill="1" applyBorder="1"/>
    <xf numFmtId="0" fontId="0" fillId="36" borderId="0" xfId="0" applyFill="1"/>
    <xf numFmtId="14" fontId="0" fillId="36" borderId="0" xfId="0" applyNumberFormat="1" applyFill="1"/>
    <xf numFmtId="0" fontId="0" fillId="0" borderId="0" xfId="0" pivotButton="1"/>
    <xf numFmtId="0" fontId="0" fillId="2" borderId="1" xfId="0" applyFill="1" applyBorder="1"/>
    <xf numFmtId="0" fontId="0" fillId="0" borderId="11" xfId="0" applyBorder="1"/>
    <xf numFmtId="0" fontId="5" fillId="0" borderId="0" xfId="0" applyFont="1" applyAlignment="1">
      <alignment horizontal="left" vertical="center" indent="1"/>
    </xf>
    <xf numFmtId="0" fontId="22" fillId="2" borderId="12" xfId="0" applyFont="1" applyFill="1" applyBorder="1"/>
    <xf numFmtId="1" fontId="22" fillId="0" borderId="12" xfId="0" applyNumberFormat="1" applyFont="1" applyBorder="1"/>
    <xf numFmtId="0" fontId="22" fillId="2" borderId="0" xfId="0" applyFont="1" applyFill="1"/>
    <xf numFmtId="0" fontId="0" fillId="37" borderId="0" xfId="0" applyFill="1"/>
    <xf numFmtId="0" fontId="0" fillId="38" borderId="0" xfId="0" applyFill="1"/>
    <xf numFmtId="14" fontId="0" fillId="2" borderId="13" xfId="0" applyNumberFormat="1" applyFill="1" applyBorder="1"/>
    <xf numFmtId="14" fontId="0" fillId="0" borderId="13" xfId="0" applyNumberFormat="1" applyBorder="1"/>
    <xf numFmtId="0" fontId="0" fillId="34" borderId="1" xfId="0" applyFill="1" applyBorder="1"/>
    <xf numFmtId="9" fontId="0" fillId="0" borderId="0" xfId="45" applyFont="1"/>
    <xf numFmtId="0" fontId="26" fillId="35" borderId="12" xfId="0" applyFont="1" applyFill="1" applyBorder="1"/>
    <xf numFmtId="0" fontId="26" fillId="0" borderId="1" xfId="0" applyFont="1" applyBorder="1"/>
    <xf numFmtId="0" fontId="0" fillId="0" borderId="13" xfId="0" applyBorder="1"/>
    <xf numFmtId="0" fontId="28" fillId="39" borderId="0" xfId="0" applyFont="1" applyFill="1"/>
    <xf numFmtId="0" fontId="2" fillId="0" borderId="0" xfId="46"/>
    <xf numFmtId="0" fontId="29" fillId="0" borderId="14" xfId="47" applyBorder="1"/>
    <xf numFmtId="0" fontId="30" fillId="0" borderId="14" xfId="47" applyFont="1" applyBorder="1"/>
    <xf numFmtId="0" fontId="29" fillId="0" borderId="15" xfId="47" applyBorder="1"/>
    <xf numFmtId="3" fontId="29" fillId="0" borderId="0" xfId="47" applyNumberFormat="1"/>
    <xf numFmtId="3" fontId="30" fillId="0" borderId="0" xfId="47" applyNumberFormat="1" applyFont="1"/>
    <xf numFmtId="14" fontId="0" fillId="0" borderId="1" xfId="0" applyNumberFormat="1" applyBorder="1"/>
    <xf numFmtId="14" fontId="0" fillId="0" borderId="11" xfId="0" applyNumberFormat="1" applyBorder="1"/>
    <xf numFmtId="164" fontId="0" fillId="0" borderId="1" xfId="0" applyNumberFormat="1" applyBorder="1"/>
    <xf numFmtId="164" fontId="0" fillId="0" borderId="11" xfId="0" applyNumberFormat="1" applyBorder="1"/>
    <xf numFmtId="165" fontId="0" fillId="0" borderId="0" xfId="0" applyNumberFormat="1"/>
    <xf numFmtId="1" fontId="0" fillId="0" borderId="0" xfId="0" applyNumberFormat="1"/>
    <xf numFmtId="0" fontId="0" fillId="39" borderId="0" xfId="0" applyFill="1"/>
    <xf numFmtId="0" fontId="0" fillId="2" borderId="13" xfId="0" applyFill="1" applyBorder="1"/>
    <xf numFmtId="0" fontId="0" fillId="40" borderId="13" xfId="0" applyFill="1" applyBorder="1"/>
    <xf numFmtId="0" fontId="0" fillId="34" borderId="13" xfId="0" applyFill="1" applyBorder="1"/>
    <xf numFmtId="0" fontId="28" fillId="2" borderId="12" xfId="0" applyFont="1" applyFill="1" applyBorder="1"/>
    <xf numFmtId="164" fontId="0" fillId="0" borderId="0" xfId="0" applyNumberFormat="1"/>
    <xf numFmtId="164" fontId="0" fillId="2" borderId="1" xfId="0" applyNumberFormat="1" applyFill="1" applyBorder="1"/>
    <xf numFmtId="164" fontId="0" fillId="34" borderId="0" xfId="0" applyNumberFormat="1" applyFill="1"/>
    <xf numFmtId="20" fontId="0" fillId="0" borderId="0" xfId="0" applyNumberFormat="1"/>
    <xf numFmtId="0" fontId="1" fillId="0" borderId="0" xfId="48"/>
    <xf numFmtId="0" fontId="31" fillId="0" borderId="0" xfId="48" applyFont="1" applyAlignment="1">
      <alignment vertical="center"/>
    </xf>
    <xf numFmtId="0" fontId="32" fillId="0" borderId="0" xfId="48" applyFont="1" applyAlignment="1">
      <alignment vertical="center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26" fillId="35" borderId="24" xfId="0" applyFont="1" applyFill="1" applyBorder="1"/>
    <xf numFmtId="0" fontId="0" fillId="2" borderId="24" xfId="0" applyFill="1" applyBorder="1"/>
    <xf numFmtId="0" fontId="0" fillId="0" borderId="24" xfId="0" applyBorder="1"/>
    <xf numFmtId="0" fontId="0" fillId="41" borderId="0" xfId="0" applyFill="1"/>
    <xf numFmtId="14" fontId="0" fillId="38" borderId="0" xfId="0" applyNumberFormat="1" applyFill="1"/>
    <xf numFmtId="164" fontId="0" fillId="38" borderId="0" xfId="0" applyNumberFormat="1" applyFill="1"/>
    <xf numFmtId="43" fontId="0" fillId="38" borderId="0" xfId="49" applyFont="1" applyFill="1"/>
    <xf numFmtId="164" fontId="0" fillId="41" borderId="0" xfId="0" applyNumberFormat="1" applyFill="1"/>
    <xf numFmtId="43" fontId="0" fillId="41" borderId="0" xfId="49" applyFont="1" applyFill="1"/>
    <xf numFmtId="14" fontId="0" fillId="41" borderId="0" xfId="0" applyNumberFormat="1" applyFill="1"/>
    <xf numFmtId="0" fontId="0" fillId="42" borderId="0" xfId="0" applyFill="1"/>
    <xf numFmtId="14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0" fontId="0" fillId="0" borderId="25" xfId="0" applyBorder="1"/>
    <xf numFmtId="0" fontId="0" fillId="41" borderId="13" xfId="0" applyFill="1" applyBorder="1"/>
    <xf numFmtId="0" fontId="0" fillId="43" borderId="0" xfId="0" applyFill="1"/>
    <xf numFmtId="0" fontId="0" fillId="39" borderId="0" xfId="0" applyFill="1" applyAlignment="1">
      <alignment horizontal="center"/>
    </xf>
    <xf numFmtId="0" fontId="0" fillId="2" borderId="0" xfId="0" applyFill="1"/>
    <xf numFmtId="164" fontId="0" fillId="2" borderId="0" xfId="0" applyNumberFormat="1" applyFill="1"/>
    <xf numFmtId="164" fontId="0" fillId="36" borderId="0" xfId="0" applyNumberFormat="1" applyFill="1"/>
    <xf numFmtId="166" fontId="0" fillId="0" borderId="0" xfId="49" applyNumberFormat="1" applyFont="1"/>
    <xf numFmtId="166" fontId="0" fillId="0" borderId="0" xfId="0" applyNumberFormat="1"/>
    <xf numFmtId="166" fontId="0" fillId="44" borderId="0" xfId="0" applyNumberFormat="1" applyFill="1"/>
    <xf numFmtId="0" fontId="0" fillId="0" borderId="14" xfId="0" applyBorder="1"/>
    <xf numFmtId="166" fontId="0" fillId="0" borderId="14" xfId="49" applyNumberFormat="1" applyFont="1" applyBorder="1"/>
    <xf numFmtId="14" fontId="0" fillId="45" borderId="0" xfId="0" applyNumberFormat="1" applyFill="1"/>
    <xf numFmtId="0" fontId="0" fillId="45" borderId="0" xfId="0" applyFill="1"/>
    <xf numFmtId="164" fontId="0" fillId="45" borderId="0" xfId="0" applyNumberFormat="1" applyFill="1"/>
    <xf numFmtId="11" fontId="0" fillId="0" borderId="0" xfId="0" applyNumberFormat="1"/>
    <xf numFmtId="11" fontId="0" fillId="34" borderId="0" xfId="0" applyNumberFormat="1" applyFill="1"/>
    <xf numFmtId="49" fontId="33" fillId="0" borderId="0" xfId="50" applyNumberFormat="1"/>
    <xf numFmtId="0" fontId="33" fillId="0" borderId="0" xfId="50"/>
    <xf numFmtId="14" fontId="0" fillId="46" borderId="0" xfId="0" applyNumberFormat="1" applyFill="1"/>
    <xf numFmtId="0" fontId="0" fillId="46" borderId="0" xfId="0" applyFill="1"/>
    <xf numFmtId="164" fontId="0" fillId="46" borderId="0" xfId="0" applyNumberFormat="1" applyFill="1"/>
    <xf numFmtId="0" fontId="33" fillId="0" borderId="0" xfId="51"/>
    <xf numFmtId="164" fontId="0" fillId="47" borderId="0" xfId="0" applyNumberFormat="1" applyFill="1"/>
    <xf numFmtId="14" fontId="0" fillId="39" borderId="0" xfId="0" applyNumberFormat="1" applyFill="1"/>
    <xf numFmtId="164" fontId="0" fillId="39" borderId="0" xfId="0" applyNumberFormat="1" applyFill="1"/>
    <xf numFmtId="3" fontId="0" fillId="0" borderId="0" xfId="0" applyNumberFormat="1"/>
    <xf numFmtId="20" fontId="0" fillId="0" borderId="0" xfId="0" quotePrefix="1" applyNumberFormat="1"/>
    <xf numFmtId="0" fontId="0" fillId="2" borderId="26" xfId="0" applyFill="1" applyBorder="1"/>
    <xf numFmtId="49" fontId="0" fillId="0" borderId="0" xfId="0" applyNumberFormat="1"/>
    <xf numFmtId="0" fontId="0" fillId="0" borderId="0" xfId="0" applyAlignment="1">
      <alignment horizontal="right"/>
    </xf>
    <xf numFmtId="9" fontId="0" fillId="0" borderId="0" xfId="0" applyNumberFormat="1"/>
    <xf numFmtId="166" fontId="0" fillId="0" borderId="0" xfId="49" applyNumberFormat="1" applyFont="1" applyAlignment="1"/>
    <xf numFmtId="0" fontId="28" fillId="48" borderId="0" xfId="0" applyFont="1" applyFill="1"/>
    <xf numFmtId="0" fontId="0" fillId="48" borderId="0" xfId="0" applyFill="1"/>
    <xf numFmtId="0" fontId="34" fillId="0" borderId="0" xfId="0" applyFont="1"/>
    <xf numFmtId="0" fontId="28" fillId="44" borderId="0" xfId="0" applyFont="1" applyFill="1"/>
    <xf numFmtId="0" fontId="0" fillId="49" borderId="0" xfId="0" applyFill="1"/>
    <xf numFmtId="0" fontId="0" fillId="49" borderId="27" xfId="0" applyFill="1" applyBorder="1"/>
    <xf numFmtId="0" fontId="0" fillId="49" borderId="28" xfId="0" applyFill="1" applyBorder="1"/>
    <xf numFmtId="0" fontId="0" fillId="49" borderId="29" xfId="0" applyFill="1" applyBorder="1"/>
    <xf numFmtId="167" fontId="0" fillId="49" borderId="0" xfId="49" applyNumberFormat="1" applyFont="1" applyFill="1" applyBorder="1"/>
    <xf numFmtId="0" fontId="0" fillId="38" borderId="20" xfId="0" applyFill="1" applyBorder="1"/>
    <xf numFmtId="0" fontId="28" fillId="48" borderId="0" xfId="0" applyFont="1" applyFill="1" applyAlignment="1">
      <alignment horizontal="center"/>
    </xf>
    <xf numFmtId="49" fontId="0" fillId="0" borderId="0" xfId="0" quotePrefix="1" applyNumberFormat="1"/>
    <xf numFmtId="0" fontId="26" fillId="0" borderId="30" xfId="0" applyFont="1" applyBorder="1"/>
    <xf numFmtId="0" fontId="26" fillId="0" borderId="12" xfId="0" applyFont="1" applyBorder="1"/>
    <xf numFmtId="0" fontId="26" fillId="0" borderId="31" xfId="0" applyFont="1" applyBorder="1"/>
    <xf numFmtId="0" fontId="0" fillId="0" borderId="0" xfId="0" applyAlignment="1">
      <alignment horizontal="center" vertical="top" wrapText="1"/>
    </xf>
    <xf numFmtId="0" fontId="35" fillId="0" borderId="0" xfId="0" applyFont="1"/>
  </cellXfs>
  <cellStyles count="52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8" builtinId="26" customBuiltin="1"/>
    <cellStyle name="Cálculo" xfId="13" builtinId="22" customBuiltin="1"/>
    <cellStyle name="Celda de comprobación" xfId="15" builtinId="23" customBuiltin="1"/>
    <cellStyle name="Celda vinculada" xfId="14" builtinId="24" customBuiltin="1"/>
    <cellStyle name="Encabezado 1" xfId="4" builtinId="16" customBuiltin="1"/>
    <cellStyle name="Encabezado 4" xfId="7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1" builtinId="20" customBuiltin="1"/>
    <cellStyle name="Hipervínculo" xfId="50" builtinId="8"/>
    <cellStyle name="Hyperlink" xfId="51" xr:uid="{00000000-000B-0000-0000-000008000000}"/>
    <cellStyle name="Incorrecto" xfId="9" builtinId="27" customBuiltin="1"/>
    <cellStyle name="Millares" xfId="49" builtinId="3"/>
    <cellStyle name="Neutral" xfId="10" builtinId="28" customBuiltin="1"/>
    <cellStyle name="Normal" xfId="0" builtinId="0"/>
    <cellStyle name="Normal 2" xfId="1" xr:uid="{15DF3037-A9EE-F942-A603-7202BEA8B737}"/>
    <cellStyle name="Normal 2 2" xfId="2" xr:uid="{B2B5A180-D2A7-894F-BED7-7867437C5450}"/>
    <cellStyle name="Normal 3" xfId="43" xr:uid="{DCD1D91A-1711-470F-BDA1-3A1460FC569B}"/>
    <cellStyle name="Normal 4" xfId="46" xr:uid="{5D9197E8-E842-4781-8F03-5CBB13B02BCB}"/>
    <cellStyle name="Normal 5" xfId="47" xr:uid="{701046F5-D56B-4732-8CE5-33BDB0BA102C}"/>
    <cellStyle name="Normal 6" xfId="48" xr:uid="{88745F80-D891-43D0-8042-DA535F8952E6}"/>
    <cellStyle name="Notas 2" xfId="44" xr:uid="{1EB39B86-FD3D-4970-B0BB-4789A8771326}"/>
    <cellStyle name="Porcentaje" xfId="45" builtinId="5"/>
    <cellStyle name="Salida" xfId="12" builtinId="21" customBuiltin="1"/>
    <cellStyle name="Texto de advertencia" xfId="16" builtinId="11" customBuiltin="1"/>
    <cellStyle name="Texto explicativo" xfId="17" builtinId="53" customBuiltin="1"/>
    <cellStyle name="Título" xfId="3" builtinId="15" customBuiltin="1"/>
    <cellStyle name="Título 2" xfId="5" builtinId="17" customBuiltin="1"/>
    <cellStyle name="Título 3" xfId="6" builtinId="18" customBuiltin="1"/>
    <cellStyle name="Total" xfId="18" builtinId="25" customBuiltin="1"/>
  </cellStyles>
  <dxfs count="165">
    <dxf>
      <font>
        <b/>
        <i val="0"/>
      </font>
      <fill>
        <patternFill>
          <bgColor theme="7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0" tint="-4.9989318521683403E-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1" justifyLastLine="0" shrinkToFit="0" readingOrder="0"/>
    </dxf>
    <dxf>
      <fill>
        <patternFill patternType="solid">
          <bgColor theme="4" tint="0.79998168889431442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4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numFmt numFmtId="19" formatCode="dd/mm/yyyy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9" formatCode="dd/mm/yyyy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0" formatCode="General"/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164" formatCode="0.0"/>
      <fill>
        <patternFill patternType="none"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19" formatCode="dd/mm/yyyy"/>
      <fill>
        <patternFill patternType="none"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0" formatCode="General"/>
    </dxf>
    <dxf>
      <numFmt numFmtId="0" formatCode="General"/>
    </dxf>
    <dxf>
      <numFmt numFmtId="164" formatCode="0.0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0" formatCode="General"/>
      <fill>
        <patternFill patternType="none">
          <fgColor theme="4" tint="0.79998168889431442"/>
          <bgColor auto="1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border outline="0"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none"/>
      </font>
      <fill>
        <patternFill patternType="solid">
          <fgColor theme="4"/>
          <bgColor theme="4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numFmt numFmtId="0" formatCode="General"/>
    </dxf>
    <dxf>
      <numFmt numFmtId="0" formatCode="General"/>
    </dxf>
    <dxf>
      <numFmt numFmtId="1" formatCode="0"/>
    </dxf>
    <dxf>
      <numFmt numFmtId="1" formatCode="0"/>
    </dxf>
    <dxf>
      <numFmt numFmtId="3" formatCode="#,##0"/>
    </dxf>
    <dxf>
      <border outline="0">
        <bottom style="thin">
          <color auto="1"/>
        </bottom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top style="thin">
          <color theme="4" tint="0.39997558519241921"/>
        </top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numFmt numFmtId="30" formatCode="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9" tint="0.79998168889431442"/>
        </patternFill>
      </fill>
    </dxf>
    <dxf>
      <numFmt numFmtId="164" formatCode="0.0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none">
          <fgColor indexed="64"/>
          <bgColor auto="1"/>
        </patternFill>
      </fill>
    </dxf>
    <dxf>
      <numFmt numFmtId="0" formatCode="General"/>
    </dxf>
    <dxf>
      <numFmt numFmtId="168" formatCode="d/m/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rgb="FFCCCCCC"/>
        <name val="Apple Color Emoj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rgb="FFCCCCCC"/>
        <name val="Apple Color Emoj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rgb="FFCCCCCC"/>
        <name val="Apple Color Emoji"/>
        <scheme val="none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Invisible" pivot="0" table="0" count="0" xr9:uid="{7D303770-4739-499E-8B8C-0483AD33C6C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pivotCacheDefinition" Target="pivotCache/pivotCacheDefinition4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pivotCacheDefinition" Target="pivotCache/pivotCacheDefinition2.xml"/><Relationship Id="rId40" Type="http://schemas.openxmlformats.org/officeDocument/2006/relationships/theme" Target="theme/theme1.xml"/><Relationship Id="rId45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powerPivotData" Target="model/item.data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2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pivotCacheDefinition" Target="pivotCache/pivotCacheDefinition3.xml"/><Relationship Id="rId46" Type="http://schemas.openxmlformats.org/officeDocument/2006/relationships/customXml" Target="../customXml/item1.xml"/><Relationship Id="rId20" Type="http://schemas.openxmlformats.org/officeDocument/2006/relationships/worksheet" Target="worksheets/sheet20.xml"/><Relationship Id="rId41" Type="http://schemas.openxmlformats.org/officeDocument/2006/relationships/connections" Target="connection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1e6f55c87c7e6ff\Golf\Cuartillos\Liga%2520Cuartilla\2019-2020\Torneos\2020-12-19%2520Centro%2520Nacional%2520(Final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1e6f55c87c7e6ff\Golf\Cuartillos\Liga%2520Cuartilla\2019-2020\Liga%2520Cuartilla%25202019-2020%2520-%2520DQ%2520-%2520ValdOK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entro Nacional"/>
      <sheetName val="Indice"/>
      <sheetName val="Tabla Jugadores -Mote-Hdcp Exac"/>
      <sheetName val="Ranking Torneos"/>
      <sheetName val="Ranking Jugador"/>
      <sheetName val="Hoja1"/>
      <sheetName val="Clasificaciones"/>
      <sheetName val="Calendario Puntos"/>
    </sheetNames>
    <sheetDataSet>
      <sheetData sheetId="0">
        <row r="5">
          <cell r="AC5" t="str">
            <v>Hoyo</v>
          </cell>
          <cell r="AD5" t="str">
            <v>Campo</v>
          </cell>
          <cell r="AE5" t="str">
            <v>Centro Nacional de Golf</v>
          </cell>
          <cell r="AF5">
            <v>1</v>
          </cell>
          <cell r="AG5">
            <v>2</v>
          </cell>
          <cell r="AH5">
            <v>3</v>
          </cell>
          <cell r="AI5">
            <v>4</v>
          </cell>
          <cell r="AJ5">
            <v>5</v>
          </cell>
          <cell r="AK5">
            <v>6</v>
          </cell>
          <cell r="AL5">
            <v>7</v>
          </cell>
          <cell r="AM5">
            <v>8</v>
          </cell>
          <cell r="AN5">
            <v>9</v>
          </cell>
          <cell r="AO5">
            <v>10</v>
          </cell>
          <cell r="AP5">
            <v>11</v>
          </cell>
          <cell r="AQ5">
            <v>12</v>
          </cell>
          <cell r="AR5">
            <v>13</v>
          </cell>
          <cell r="AS5">
            <v>14</v>
          </cell>
          <cell r="AT5">
            <v>15</v>
          </cell>
          <cell r="AU5">
            <v>16</v>
          </cell>
          <cell r="AV5">
            <v>17</v>
          </cell>
          <cell r="AW5">
            <v>18</v>
          </cell>
        </row>
        <row r="6">
          <cell r="AC6" t="str">
            <v>Par</v>
          </cell>
          <cell r="AD6" t="str">
            <v>Campo</v>
          </cell>
          <cell r="AE6" t="str">
            <v>Centro Nacional de Golf</v>
          </cell>
          <cell r="AF6">
            <v>5</v>
          </cell>
          <cell r="AG6">
            <v>4</v>
          </cell>
          <cell r="AH6">
            <v>3</v>
          </cell>
          <cell r="AI6">
            <v>4</v>
          </cell>
          <cell r="AJ6">
            <v>5</v>
          </cell>
          <cell r="AK6">
            <v>4</v>
          </cell>
          <cell r="AL6">
            <v>4</v>
          </cell>
          <cell r="AM6">
            <v>4</v>
          </cell>
          <cell r="AN6">
            <v>3</v>
          </cell>
          <cell r="AO6">
            <v>5</v>
          </cell>
          <cell r="AP6">
            <v>4</v>
          </cell>
          <cell r="AQ6">
            <v>4</v>
          </cell>
          <cell r="AR6">
            <v>4</v>
          </cell>
          <cell r="AS6">
            <v>3</v>
          </cell>
          <cell r="AT6">
            <v>4</v>
          </cell>
          <cell r="AU6">
            <v>5</v>
          </cell>
          <cell r="AV6">
            <v>3</v>
          </cell>
          <cell r="AW6">
            <v>4</v>
          </cell>
        </row>
        <row r="7">
          <cell r="AB7">
            <v>44184</v>
          </cell>
          <cell r="AC7" t="str">
            <v>Bruto</v>
          </cell>
          <cell r="AD7" t="str">
            <v>Nacho Gonzalez</v>
          </cell>
          <cell r="AE7" t="str">
            <v>Centro Nacional de Golf</v>
          </cell>
          <cell r="AF7">
            <v>5</v>
          </cell>
          <cell r="AG7">
            <v>4</v>
          </cell>
          <cell r="AH7">
            <v>3</v>
          </cell>
          <cell r="AI7">
            <v>5</v>
          </cell>
          <cell r="AJ7">
            <v>5</v>
          </cell>
          <cell r="AK7">
            <v>5</v>
          </cell>
          <cell r="AL7">
            <v>5</v>
          </cell>
          <cell r="AM7">
            <v>4</v>
          </cell>
          <cell r="AN7">
            <v>4</v>
          </cell>
          <cell r="AO7">
            <v>5</v>
          </cell>
          <cell r="AP7">
            <v>4</v>
          </cell>
          <cell r="AQ7">
            <v>4</v>
          </cell>
          <cell r="AR7">
            <v>4</v>
          </cell>
          <cell r="AS7">
            <v>3</v>
          </cell>
          <cell r="AT7">
            <v>5</v>
          </cell>
          <cell r="AU7">
            <v>7</v>
          </cell>
          <cell r="AV7">
            <v>3</v>
          </cell>
          <cell r="AW7">
            <v>5</v>
          </cell>
        </row>
        <row r="8">
          <cell r="AB8">
            <v>44184</v>
          </cell>
          <cell r="AC8" t="str">
            <v>Neto</v>
          </cell>
          <cell r="AD8" t="str">
            <v>Nacho Gonzalez</v>
          </cell>
          <cell r="AE8" t="str">
            <v>Centro Nacional de Golf</v>
          </cell>
          <cell r="AF8">
            <v>4</v>
          </cell>
          <cell r="AG8">
            <v>4</v>
          </cell>
          <cell r="AH8">
            <v>3</v>
          </cell>
          <cell r="AI8">
            <v>5</v>
          </cell>
          <cell r="AJ8">
            <v>4</v>
          </cell>
          <cell r="AK8">
            <v>5</v>
          </cell>
          <cell r="AL8">
            <v>5</v>
          </cell>
          <cell r="AM8">
            <v>4</v>
          </cell>
          <cell r="AN8">
            <v>4</v>
          </cell>
          <cell r="AO8">
            <v>4</v>
          </cell>
          <cell r="AP8">
            <v>4</v>
          </cell>
          <cell r="AQ8">
            <v>4</v>
          </cell>
          <cell r="AR8">
            <v>4</v>
          </cell>
          <cell r="AS8">
            <v>3</v>
          </cell>
          <cell r="AT8">
            <v>5</v>
          </cell>
          <cell r="AU8">
            <v>6</v>
          </cell>
          <cell r="AV8">
            <v>3</v>
          </cell>
          <cell r="AW8">
            <v>5</v>
          </cell>
        </row>
        <row r="10">
          <cell r="AF10">
            <v>1</v>
          </cell>
          <cell r="AG10">
            <v>2</v>
          </cell>
          <cell r="AH10">
            <v>3</v>
          </cell>
          <cell r="AI10">
            <v>4</v>
          </cell>
          <cell r="AJ10">
            <v>5</v>
          </cell>
          <cell r="AK10">
            <v>6</v>
          </cell>
          <cell r="AL10">
            <v>7</v>
          </cell>
          <cell r="AM10">
            <v>8</v>
          </cell>
          <cell r="AN10">
            <v>9</v>
          </cell>
          <cell r="AO10">
            <v>10</v>
          </cell>
          <cell r="AP10">
            <v>11</v>
          </cell>
          <cell r="AQ10">
            <v>12</v>
          </cell>
          <cell r="AR10">
            <v>13</v>
          </cell>
          <cell r="AS10">
            <v>14</v>
          </cell>
          <cell r="AT10">
            <v>15</v>
          </cell>
          <cell r="AU10">
            <v>16</v>
          </cell>
          <cell r="AV10">
            <v>17</v>
          </cell>
          <cell r="AW10">
            <v>18</v>
          </cell>
        </row>
        <row r="11">
          <cell r="AF11">
            <v>5</v>
          </cell>
          <cell r="AG11">
            <v>4</v>
          </cell>
          <cell r="AH11">
            <v>3</v>
          </cell>
          <cell r="AI11">
            <v>4</v>
          </cell>
          <cell r="AJ11">
            <v>5</v>
          </cell>
          <cell r="AK11">
            <v>4</v>
          </cell>
          <cell r="AL11">
            <v>4</v>
          </cell>
          <cell r="AM11">
            <v>4</v>
          </cell>
          <cell r="AN11">
            <v>3</v>
          </cell>
          <cell r="AO11">
            <v>5</v>
          </cell>
          <cell r="AP11">
            <v>4</v>
          </cell>
          <cell r="AQ11">
            <v>4</v>
          </cell>
          <cell r="AR11">
            <v>4</v>
          </cell>
          <cell r="AS11">
            <v>3</v>
          </cell>
          <cell r="AT11">
            <v>4</v>
          </cell>
          <cell r="AU11">
            <v>5</v>
          </cell>
          <cell r="AV11">
            <v>3</v>
          </cell>
          <cell r="AW11">
            <v>4</v>
          </cell>
        </row>
        <row r="12">
          <cell r="AB12">
            <v>44184</v>
          </cell>
          <cell r="AC12" t="str">
            <v>Bruto</v>
          </cell>
          <cell r="AD12" t="str">
            <v>José Pablo Guil</v>
          </cell>
          <cell r="AE12" t="str">
            <v>Centro Nacional de Golf</v>
          </cell>
          <cell r="AF12">
            <v>6</v>
          </cell>
          <cell r="AG12">
            <v>4</v>
          </cell>
          <cell r="AH12">
            <v>5</v>
          </cell>
          <cell r="AI12">
            <v>6</v>
          </cell>
          <cell r="AJ12">
            <v>5</v>
          </cell>
          <cell r="AK12">
            <v>4</v>
          </cell>
          <cell r="AL12">
            <v>4</v>
          </cell>
          <cell r="AM12">
            <v>5</v>
          </cell>
          <cell r="AN12">
            <v>3</v>
          </cell>
          <cell r="AO12">
            <v>5</v>
          </cell>
          <cell r="AP12">
            <v>4</v>
          </cell>
          <cell r="AQ12">
            <v>4</v>
          </cell>
          <cell r="AR12">
            <v>4</v>
          </cell>
          <cell r="AS12">
            <v>5</v>
          </cell>
          <cell r="AT12">
            <v>4</v>
          </cell>
          <cell r="AU12">
            <v>6</v>
          </cell>
          <cell r="AV12">
            <v>4</v>
          </cell>
          <cell r="AW12">
            <v>3</v>
          </cell>
        </row>
        <row r="13">
          <cell r="AB13">
            <v>44184</v>
          </cell>
          <cell r="AC13" t="str">
            <v>Neto</v>
          </cell>
          <cell r="AD13" t="str">
            <v>José Pablo Guil</v>
          </cell>
          <cell r="AE13" t="str">
            <v>Centro Nacional de Golf</v>
          </cell>
          <cell r="AF13">
            <v>5</v>
          </cell>
          <cell r="AG13">
            <v>4</v>
          </cell>
          <cell r="AH13">
            <v>5</v>
          </cell>
          <cell r="AI13">
            <v>6</v>
          </cell>
          <cell r="AJ13">
            <v>4</v>
          </cell>
          <cell r="AK13">
            <v>4</v>
          </cell>
          <cell r="AL13">
            <v>4</v>
          </cell>
          <cell r="AM13">
            <v>5</v>
          </cell>
          <cell r="AN13">
            <v>3</v>
          </cell>
          <cell r="AO13">
            <v>4</v>
          </cell>
          <cell r="AP13">
            <v>4</v>
          </cell>
          <cell r="AQ13">
            <v>3</v>
          </cell>
          <cell r="AR13">
            <v>4</v>
          </cell>
          <cell r="AS13">
            <v>5</v>
          </cell>
          <cell r="AT13">
            <v>4</v>
          </cell>
          <cell r="AU13">
            <v>5</v>
          </cell>
          <cell r="AV13">
            <v>4</v>
          </cell>
          <cell r="AW13">
            <v>3</v>
          </cell>
        </row>
        <row r="15">
          <cell r="AF15">
            <v>1</v>
          </cell>
          <cell r="AG15">
            <v>2</v>
          </cell>
          <cell r="AH15">
            <v>3</v>
          </cell>
          <cell r="AI15">
            <v>4</v>
          </cell>
          <cell r="AJ15">
            <v>5</v>
          </cell>
          <cell r="AK15">
            <v>6</v>
          </cell>
          <cell r="AL15">
            <v>7</v>
          </cell>
          <cell r="AM15">
            <v>8</v>
          </cell>
          <cell r="AN15">
            <v>9</v>
          </cell>
          <cell r="AO15">
            <v>10</v>
          </cell>
          <cell r="AP15">
            <v>11</v>
          </cell>
          <cell r="AQ15">
            <v>12</v>
          </cell>
          <cell r="AR15">
            <v>13</v>
          </cell>
          <cell r="AS15">
            <v>14</v>
          </cell>
          <cell r="AT15">
            <v>15</v>
          </cell>
          <cell r="AU15">
            <v>16</v>
          </cell>
          <cell r="AV15">
            <v>17</v>
          </cell>
          <cell r="AW15">
            <v>18</v>
          </cell>
        </row>
        <row r="16">
          <cell r="AF16">
            <v>5</v>
          </cell>
          <cell r="AG16">
            <v>4</v>
          </cell>
          <cell r="AH16">
            <v>3</v>
          </cell>
          <cell r="AI16">
            <v>4</v>
          </cell>
          <cell r="AJ16">
            <v>5</v>
          </cell>
          <cell r="AK16">
            <v>4</v>
          </cell>
          <cell r="AL16">
            <v>4</v>
          </cell>
          <cell r="AM16">
            <v>4</v>
          </cell>
          <cell r="AN16">
            <v>3</v>
          </cell>
          <cell r="AO16">
            <v>5</v>
          </cell>
          <cell r="AP16">
            <v>4</v>
          </cell>
          <cell r="AQ16">
            <v>4</v>
          </cell>
          <cell r="AR16">
            <v>4</v>
          </cell>
          <cell r="AS16">
            <v>3</v>
          </cell>
          <cell r="AT16">
            <v>4</v>
          </cell>
          <cell r="AU16">
            <v>5</v>
          </cell>
          <cell r="AV16">
            <v>3</v>
          </cell>
          <cell r="AW16">
            <v>4</v>
          </cell>
        </row>
        <row r="17">
          <cell r="AB17">
            <v>44184</v>
          </cell>
          <cell r="AC17" t="str">
            <v>Bruto</v>
          </cell>
          <cell r="AD17" t="str">
            <v>Alfonso Hidalgo</v>
          </cell>
          <cell r="AE17" t="str">
            <v>Centro Nacional de Golf</v>
          </cell>
          <cell r="AF17">
            <v>8</v>
          </cell>
          <cell r="AG17">
            <v>4</v>
          </cell>
          <cell r="AH17">
            <v>4</v>
          </cell>
          <cell r="AI17">
            <v>5</v>
          </cell>
          <cell r="AJ17">
            <v>6</v>
          </cell>
          <cell r="AK17">
            <v>4</v>
          </cell>
          <cell r="AL17">
            <v>4</v>
          </cell>
          <cell r="AM17">
            <v>5</v>
          </cell>
          <cell r="AN17">
            <v>3</v>
          </cell>
          <cell r="AO17">
            <v>5</v>
          </cell>
          <cell r="AP17">
            <v>5</v>
          </cell>
          <cell r="AQ17">
            <v>5</v>
          </cell>
          <cell r="AR17">
            <v>4</v>
          </cell>
          <cell r="AS17">
            <v>3</v>
          </cell>
          <cell r="AT17">
            <v>6</v>
          </cell>
          <cell r="AU17">
            <v>5</v>
          </cell>
          <cell r="AV17">
            <v>3</v>
          </cell>
          <cell r="AW17">
            <v>5</v>
          </cell>
        </row>
        <row r="18">
          <cell r="AB18">
            <v>44184</v>
          </cell>
          <cell r="AC18" t="str">
            <v>Neto</v>
          </cell>
          <cell r="AD18" t="str">
            <v>Alfonso Hidalgo</v>
          </cell>
          <cell r="AE18" t="str">
            <v>Centro Nacional de Golf</v>
          </cell>
          <cell r="AF18">
            <v>7</v>
          </cell>
          <cell r="AG18">
            <v>4</v>
          </cell>
          <cell r="AH18">
            <v>4</v>
          </cell>
          <cell r="AI18">
            <v>4</v>
          </cell>
          <cell r="AJ18">
            <v>5</v>
          </cell>
          <cell r="AK18">
            <v>4</v>
          </cell>
          <cell r="AL18">
            <v>4</v>
          </cell>
          <cell r="AM18">
            <v>4</v>
          </cell>
          <cell r="AN18">
            <v>3</v>
          </cell>
          <cell r="AO18">
            <v>4</v>
          </cell>
          <cell r="AP18">
            <v>5</v>
          </cell>
          <cell r="AQ18">
            <v>4</v>
          </cell>
          <cell r="AR18">
            <v>4</v>
          </cell>
          <cell r="AS18">
            <v>3</v>
          </cell>
          <cell r="AT18">
            <v>6</v>
          </cell>
          <cell r="AU18">
            <v>4</v>
          </cell>
          <cell r="AV18">
            <v>3</v>
          </cell>
          <cell r="AW18">
            <v>4</v>
          </cell>
        </row>
        <row r="20">
          <cell r="AF20">
            <v>1</v>
          </cell>
          <cell r="AG20">
            <v>2</v>
          </cell>
          <cell r="AH20">
            <v>3</v>
          </cell>
          <cell r="AI20">
            <v>4</v>
          </cell>
          <cell r="AJ20">
            <v>5</v>
          </cell>
          <cell r="AK20">
            <v>6</v>
          </cell>
          <cell r="AL20">
            <v>7</v>
          </cell>
          <cell r="AM20">
            <v>8</v>
          </cell>
          <cell r="AN20">
            <v>9</v>
          </cell>
          <cell r="AO20">
            <v>10</v>
          </cell>
          <cell r="AP20">
            <v>11</v>
          </cell>
          <cell r="AQ20">
            <v>12</v>
          </cell>
          <cell r="AR20">
            <v>13</v>
          </cell>
          <cell r="AS20">
            <v>14</v>
          </cell>
          <cell r="AT20">
            <v>15</v>
          </cell>
          <cell r="AU20">
            <v>16</v>
          </cell>
          <cell r="AV20">
            <v>17</v>
          </cell>
          <cell r="AW20">
            <v>18</v>
          </cell>
        </row>
        <row r="21">
          <cell r="AF21">
            <v>5</v>
          </cell>
          <cell r="AG21">
            <v>4</v>
          </cell>
          <cell r="AH21">
            <v>3</v>
          </cell>
          <cell r="AI21">
            <v>4</v>
          </cell>
          <cell r="AJ21">
            <v>5</v>
          </cell>
          <cell r="AK21">
            <v>4</v>
          </cell>
          <cell r="AL21">
            <v>4</v>
          </cell>
          <cell r="AM21">
            <v>4</v>
          </cell>
          <cell r="AN21">
            <v>3</v>
          </cell>
          <cell r="AO21">
            <v>5</v>
          </cell>
          <cell r="AP21">
            <v>4</v>
          </cell>
          <cell r="AQ21">
            <v>4</v>
          </cell>
          <cell r="AR21">
            <v>4</v>
          </cell>
          <cell r="AS21">
            <v>3</v>
          </cell>
          <cell r="AT21">
            <v>4</v>
          </cell>
          <cell r="AU21">
            <v>5</v>
          </cell>
          <cell r="AV21">
            <v>3</v>
          </cell>
          <cell r="AW21">
            <v>4</v>
          </cell>
        </row>
        <row r="22">
          <cell r="AB22">
            <v>44184</v>
          </cell>
          <cell r="AC22" t="str">
            <v>Bruto</v>
          </cell>
          <cell r="AD22" t="str">
            <v>J. Enrique Gonzalez</v>
          </cell>
          <cell r="AE22" t="str">
            <v>Centro Nacional de Golf</v>
          </cell>
          <cell r="AF22">
            <v>6</v>
          </cell>
          <cell r="AG22">
            <v>4</v>
          </cell>
          <cell r="AH22">
            <v>4</v>
          </cell>
          <cell r="AI22">
            <v>6</v>
          </cell>
          <cell r="AJ22">
            <v>8</v>
          </cell>
          <cell r="AK22">
            <v>5</v>
          </cell>
          <cell r="AL22">
            <v>5</v>
          </cell>
          <cell r="AM22">
            <v>7</v>
          </cell>
          <cell r="AN22">
            <v>4</v>
          </cell>
          <cell r="AO22">
            <v>7</v>
          </cell>
          <cell r="AP22">
            <v>5</v>
          </cell>
          <cell r="AQ22">
            <v>6</v>
          </cell>
          <cell r="AR22">
            <v>4</v>
          </cell>
          <cell r="AS22">
            <v>4</v>
          </cell>
          <cell r="AT22">
            <v>6</v>
          </cell>
          <cell r="AU22">
            <v>7</v>
          </cell>
          <cell r="AV22">
            <v>3</v>
          </cell>
          <cell r="AW22">
            <v>4</v>
          </cell>
        </row>
        <row r="23">
          <cell r="AB23">
            <v>44184</v>
          </cell>
          <cell r="AC23" t="str">
            <v>Neto</v>
          </cell>
          <cell r="AD23" t="str">
            <v>J. Enrique Gonzalez</v>
          </cell>
          <cell r="AE23" t="str">
            <v>Centro Nacional de Golf</v>
          </cell>
          <cell r="AF23">
            <v>5</v>
          </cell>
          <cell r="AG23">
            <v>3</v>
          </cell>
          <cell r="AH23">
            <v>3</v>
          </cell>
          <cell r="AI23">
            <v>5</v>
          </cell>
          <cell r="AJ23">
            <v>7</v>
          </cell>
          <cell r="AK23">
            <v>4</v>
          </cell>
          <cell r="AL23">
            <v>4</v>
          </cell>
          <cell r="AM23">
            <v>6</v>
          </cell>
          <cell r="AN23">
            <v>3</v>
          </cell>
          <cell r="AO23">
            <v>6</v>
          </cell>
          <cell r="AP23">
            <v>4</v>
          </cell>
          <cell r="AQ23">
            <v>5</v>
          </cell>
          <cell r="AR23">
            <v>3</v>
          </cell>
          <cell r="AS23">
            <v>3</v>
          </cell>
          <cell r="AT23">
            <v>5</v>
          </cell>
          <cell r="AU23">
            <v>5</v>
          </cell>
          <cell r="AV23">
            <v>2</v>
          </cell>
          <cell r="AW23">
            <v>3</v>
          </cell>
        </row>
        <row r="25">
          <cell r="AF25">
            <v>1</v>
          </cell>
          <cell r="AG25">
            <v>2</v>
          </cell>
          <cell r="AH25">
            <v>3</v>
          </cell>
          <cell r="AI25">
            <v>4</v>
          </cell>
          <cell r="AJ25">
            <v>5</v>
          </cell>
          <cell r="AK25">
            <v>6</v>
          </cell>
          <cell r="AL25">
            <v>7</v>
          </cell>
          <cell r="AM25">
            <v>8</v>
          </cell>
          <cell r="AN25">
            <v>9</v>
          </cell>
          <cell r="AO25">
            <v>10</v>
          </cell>
          <cell r="AP25">
            <v>11</v>
          </cell>
          <cell r="AQ25">
            <v>12</v>
          </cell>
          <cell r="AR25">
            <v>13</v>
          </cell>
          <cell r="AS25">
            <v>14</v>
          </cell>
          <cell r="AT25">
            <v>15</v>
          </cell>
          <cell r="AU25">
            <v>16</v>
          </cell>
          <cell r="AV25">
            <v>17</v>
          </cell>
          <cell r="AW25">
            <v>18</v>
          </cell>
        </row>
        <row r="26">
          <cell r="AF26">
            <v>5</v>
          </cell>
          <cell r="AG26">
            <v>4</v>
          </cell>
          <cell r="AH26">
            <v>3</v>
          </cell>
          <cell r="AI26">
            <v>4</v>
          </cell>
          <cell r="AJ26">
            <v>5</v>
          </cell>
          <cell r="AK26">
            <v>4</v>
          </cell>
          <cell r="AL26">
            <v>4</v>
          </cell>
          <cell r="AM26">
            <v>4</v>
          </cell>
          <cell r="AN26">
            <v>3</v>
          </cell>
          <cell r="AO26">
            <v>5</v>
          </cell>
          <cell r="AP26">
            <v>4</v>
          </cell>
          <cell r="AQ26">
            <v>4</v>
          </cell>
          <cell r="AR26">
            <v>4</v>
          </cell>
          <cell r="AS26">
            <v>3</v>
          </cell>
          <cell r="AT26">
            <v>4</v>
          </cell>
          <cell r="AU26">
            <v>5</v>
          </cell>
          <cell r="AV26">
            <v>3</v>
          </cell>
          <cell r="AW26">
            <v>4</v>
          </cell>
        </row>
        <row r="27">
          <cell r="AB27">
            <v>44184</v>
          </cell>
          <cell r="AC27" t="str">
            <v>Bruto</v>
          </cell>
          <cell r="AD27" t="str">
            <v>Alvaro Aguirre</v>
          </cell>
          <cell r="AE27" t="str">
            <v>Centro Nacional de Golf</v>
          </cell>
          <cell r="AF27">
            <v>7</v>
          </cell>
          <cell r="AG27">
            <v>4</v>
          </cell>
          <cell r="AH27">
            <v>4</v>
          </cell>
          <cell r="AI27">
            <v>6</v>
          </cell>
          <cell r="AJ27">
            <v>5</v>
          </cell>
          <cell r="AK27">
            <v>3</v>
          </cell>
          <cell r="AL27">
            <v>4</v>
          </cell>
          <cell r="AM27">
            <v>4</v>
          </cell>
          <cell r="AN27">
            <v>4</v>
          </cell>
          <cell r="AO27">
            <v>5</v>
          </cell>
          <cell r="AP27">
            <v>5</v>
          </cell>
          <cell r="AQ27">
            <v>5</v>
          </cell>
          <cell r="AR27">
            <v>4</v>
          </cell>
          <cell r="AS27">
            <v>3</v>
          </cell>
          <cell r="AT27">
            <v>4</v>
          </cell>
          <cell r="AU27">
            <v>6</v>
          </cell>
          <cell r="AV27">
            <v>4</v>
          </cell>
          <cell r="AW27">
            <v>4</v>
          </cell>
        </row>
        <row r="28">
          <cell r="AB28">
            <v>44184</v>
          </cell>
          <cell r="AC28" t="str">
            <v>Neto</v>
          </cell>
          <cell r="AD28" t="str">
            <v>Alvaro Aguirre</v>
          </cell>
          <cell r="AE28" t="str">
            <v>Centro Nacional de Golf</v>
          </cell>
          <cell r="AF28">
            <v>6</v>
          </cell>
          <cell r="AG28">
            <v>4</v>
          </cell>
          <cell r="AH28">
            <v>4</v>
          </cell>
          <cell r="AI28">
            <v>6</v>
          </cell>
          <cell r="AJ28">
            <v>4</v>
          </cell>
          <cell r="AK28">
            <v>3</v>
          </cell>
          <cell r="AL28">
            <v>4</v>
          </cell>
          <cell r="AM28">
            <v>4</v>
          </cell>
          <cell r="AN28">
            <v>4</v>
          </cell>
          <cell r="AO28">
            <v>4</v>
          </cell>
          <cell r="AP28">
            <v>5</v>
          </cell>
          <cell r="AQ28">
            <v>5</v>
          </cell>
          <cell r="AR28">
            <v>4</v>
          </cell>
          <cell r="AS28">
            <v>3</v>
          </cell>
          <cell r="AT28">
            <v>4</v>
          </cell>
          <cell r="AU28">
            <v>5</v>
          </cell>
          <cell r="AV28">
            <v>4</v>
          </cell>
          <cell r="AW28">
            <v>4</v>
          </cell>
        </row>
        <row r="30">
          <cell r="AF30">
            <v>1</v>
          </cell>
          <cell r="AG30">
            <v>2</v>
          </cell>
          <cell r="AH30">
            <v>3</v>
          </cell>
          <cell r="AI30">
            <v>4</v>
          </cell>
          <cell r="AJ30">
            <v>5</v>
          </cell>
          <cell r="AK30">
            <v>6</v>
          </cell>
          <cell r="AL30">
            <v>7</v>
          </cell>
          <cell r="AM30">
            <v>8</v>
          </cell>
          <cell r="AN30">
            <v>9</v>
          </cell>
          <cell r="AO30">
            <v>10</v>
          </cell>
          <cell r="AP30">
            <v>11</v>
          </cell>
          <cell r="AQ30">
            <v>12</v>
          </cell>
          <cell r="AR30">
            <v>13</v>
          </cell>
          <cell r="AS30">
            <v>14</v>
          </cell>
          <cell r="AT30">
            <v>15</v>
          </cell>
          <cell r="AU30">
            <v>16</v>
          </cell>
          <cell r="AV30">
            <v>17</v>
          </cell>
          <cell r="AW30">
            <v>18</v>
          </cell>
        </row>
        <row r="31">
          <cell r="AF31">
            <v>5</v>
          </cell>
          <cell r="AG31">
            <v>4</v>
          </cell>
          <cell r="AH31">
            <v>3</v>
          </cell>
          <cell r="AI31">
            <v>4</v>
          </cell>
          <cell r="AJ31">
            <v>5</v>
          </cell>
          <cell r="AK31">
            <v>4</v>
          </cell>
          <cell r="AL31">
            <v>4</v>
          </cell>
          <cell r="AM31">
            <v>4</v>
          </cell>
          <cell r="AN31">
            <v>3</v>
          </cell>
          <cell r="AO31">
            <v>5</v>
          </cell>
          <cell r="AP31">
            <v>4</v>
          </cell>
          <cell r="AQ31">
            <v>4</v>
          </cell>
          <cell r="AR31">
            <v>4</v>
          </cell>
          <cell r="AS31">
            <v>3</v>
          </cell>
          <cell r="AT31">
            <v>4</v>
          </cell>
          <cell r="AU31">
            <v>5</v>
          </cell>
          <cell r="AV31">
            <v>3</v>
          </cell>
          <cell r="AW31">
            <v>4</v>
          </cell>
        </row>
        <row r="32">
          <cell r="AB32">
            <v>44184</v>
          </cell>
          <cell r="AC32" t="str">
            <v>Bruto</v>
          </cell>
          <cell r="AD32" t="str">
            <v>Ignacio Cadarso</v>
          </cell>
          <cell r="AE32" t="str">
            <v>Centro Nacional de Golf</v>
          </cell>
          <cell r="AF32">
            <v>6</v>
          </cell>
          <cell r="AG32">
            <v>4</v>
          </cell>
          <cell r="AH32">
            <v>3</v>
          </cell>
          <cell r="AI32">
            <v>5</v>
          </cell>
          <cell r="AJ32">
            <v>5</v>
          </cell>
          <cell r="AK32">
            <v>5</v>
          </cell>
          <cell r="AL32">
            <v>5</v>
          </cell>
          <cell r="AM32">
            <v>5</v>
          </cell>
          <cell r="AN32">
            <v>3</v>
          </cell>
          <cell r="AO32">
            <v>5</v>
          </cell>
          <cell r="AP32">
            <v>4</v>
          </cell>
          <cell r="AQ32">
            <v>5</v>
          </cell>
          <cell r="AR32">
            <v>4</v>
          </cell>
          <cell r="AS32">
            <v>3</v>
          </cell>
          <cell r="AT32">
            <v>4</v>
          </cell>
          <cell r="AU32">
            <v>7</v>
          </cell>
          <cell r="AV32">
            <v>4</v>
          </cell>
          <cell r="AW32">
            <v>4</v>
          </cell>
        </row>
        <row r="33">
          <cell r="AB33">
            <v>44184</v>
          </cell>
          <cell r="AC33" t="str">
            <v>Neto</v>
          </cell>
          <cell r="AD33" t="str">
            <v>Ignacio Cadarso</v>
          </cell>
          <cell r="AE33" t="str">
            <v>Centro Nacional de Golf</v>
          </cell>
          <cell r="AF33">
            <v>5</v>
          </cell>
          <cell r="AG33">
            <v>4</v>
          </cell>
          <cell r="AH33">
            <v>3</v>
          </cell>
          <cell r="AI33">
            <v>5</v>
          </cell>
          <cell r="AJ33">
            <v>4</v>
          </cell>
          <cell r="AK33">
            <v>5</v>
          </cell>
          <cell r="AL33">
            <v>5</v>
          </cell>
          <cell r="AM33">
            <v>5</v>
          </cell>
          <cell r="AN33">
            <v>3</v>
          </cell>
          <cell r="AO33">
            <v>4</v>
          </cell>
          <cell r="AP33">
            <v>4</v>
          </cell>
          <cell r="AQ33">
            <v>5</v>
          </cell>
          <cell r="AR33">
            <v>4</v>
          </cell>
          <cell r="AS33">
            <v>3</v>
          </cell>
          <cell r="AT33">
            <v>4</v>
          </cell>
          <cell r="AU33">
            <v>6</v>
          </cell>
          <cell r="AV33">
            <v>4</v>
          </cell>
          <cell r="AW33">
            <v>4</v>
          </cell>
        </row>
        <row r="35">
          <cell r="AF35">
            <v>1</v>
          </cell>
          <cell r="AG35">
            <v>2</v>
          </cell>
          <cell r="AH35">
            <v>3</v>
          </cell>
          <cell r="AI35">
            <v>4</v>
          </cell>
          <cell r="AJ35">
            <v>5</v>
          </cell>
          <cell r="AK35">
            <v>6</v>
          </cell>
          <cell r="AL35">
            <v>7</v>
          </cell>
          <cell r="AM35">
            <v>8</v>
          </cell>
          <cell r="AN35">
            <v>9</v>
          </cell>
          <cell r="AO35">
            <v>10</v>
          </cell>
          <cell r="AP35">
            <v>11</v>
          </cell>
          <cell r="AQ35">
            <v>12</v>
          </cell>
          <cell r="AR35">
            <v>13</v>
          </cell>
          <cell r="AS35">
            <v>14</v>
          </cell>
          <cell r="AT35">
            <v>15</v>
          </cell>
          <cell r="AU35">
            <v>16</v>
          </cell>
          <cell r="AV35">
            <v>17</v>
          </cell>
          <cell r="AW35">
            <v>18</v>
          </cell>
        </row>
        <row r="36">
          <cell r="AF36">
            <v>5</v>
          </cell>
          <cell r="AG36">
            <v>4</v>
          </cell>
          <cell r="AH36">
            <v>3</v>
          </cell>
          <cell r="AI36">
            <v>4</v>
          </cell>
          <cell r="AJ36">
            <v>5</v>
          </cell>
          <cell r="AK36">
            <v>4</v>
          </cell>
          <cell r="AL36">
            <v>4</v>
          </cell>
          <cell r="AM36">
            <v>4</v>
          </cell>
          <cell r="AN36">
            <v>3</v>
          </cell>
          <cell r="AO36">
            <v>5</v>
          </cell>
          <cell r="AP36">
            <v>4</v>
          </cell>
          <cell r="AQ36">
            <v>4</v>
          </cell>
          <cell r="AR36">
            <v>4</v>
          </cell>
          <cell r="AS36">
            <v>3</v>
          </cell>
          <cell r="AT36">
            <v>4</v>
          </cell>
          <cell r="AU36">
            <v>5</v>
          </cell>
          <cell r="AV36">
            <v>3</v>
          </cell>
          <cell r="AW36">
            <v>4</v>
          </cell>
        </row>
        <row r="37">
          <cell r="AB37">
            <v>44184</v>
          </cell>
          <cell r="AC37" t="str">
            <v>Bruto</v>
          </cell>
          <cell r="AD37" t="str">
            <v>David Sequera</v>
          </cell>
          <cell r="AE37" t="str">
            <v>Centro Nacional de Golf</v>
          </cell>
          <cell r="AF37">
            <v>7</v>
          </cell>
          <cell r="AG37">
            <v>4</v>
          </cell>
          <cell r="AH37">
            <v>3</v>
          </cell>
          <cell r="AI37">
            <v>6</v>
          </cell>
          <cell r="AJ37">
            <v>7</v>
          </cell>
          <cell r="AK37">
            <v>6</v>
          </cell>
          <cell r="AL37">
            <v>5</v>
          </cell>
          <cell r="AM37">
            <v>6</v>
          </cell>
          <cell r="AN37">
            <v>4</v>
          </cell>
          <cell r="AO37">
            <v>7</v>
          </cell>
          <cell r="AP37">
            <v>4</v>
          </cell>
          <cell r="AQ37">
            <v>3</v>
          </cell>
          <cell r="AR37">
            <v>5</v>
          </cell>
          <cell r="AS37">
            <v>2</v>
          </cell>
          <cell r="AT37">
            <v>4</v>
          </cell>
          <cell r="AU37">
            <v>6</v>
          </cell>
          <cell r="AV37">
            <v>5</v>
          </cell>
          <cell r="AW37">
            <v>4</v>
          </cell>
        </row>
        <row r="38">
          <cell r="AB38">
            <v>44184</v>
          </cell>
          <cell r="AC38" t="str">
            <v>Neto</v>
          </cell>
          <cell r="AD38" t="str">
            <v>David Sequera</v>
          </cell>
          <cell r="AE38" t="str">
            <v>Centro Nacional de Golf</v>
          </cell>
          <cell r="AF38">
            <v>6</v>
          </cell>
          <cell r="AG38">
            <v>3</v>
          </cell>
          <cell r="AH38">
            <v>3</v>
          </cell>
          <cell r="AI38">
            <v>5</v>
          </cell>
          <cell r="AJ38">
            <v>6</v>
          </cell>
          <cell r="AK38">
            <v>6</v>
          </cell>
          <cell r="AL38">
            <v>5</v>
          </cell>
          <cell r="AM38">
            <v>5</v>
          </cell>
          <cell r="AN38">
            <v>4</v>
          </cell>
          <cell r="AO38">
            <v>6</v>
          </cell>
          <cell r="AP38">
            <v>3</v>
          </cell>
          <cell r="AQ38">
            <v>2</v>
          </cell>
          <cell r="AR38">
            <v>5</v>
          </cell>
          <cell r="AS38">
            <v>2</v>
          </cell>
          <cell r="AT38">
            <v>4</v>
          </cell>
          <cell r="AU38">
            <v>5</v>
          </cell>
          <cell r="AV38">
            <v>5</v>
          </cell>
          <cell r="AW38">
            <v>3</v>
          </cell>
        </row>
        <row r="40">
          <cell r="AF40">
            <v>1</v>
          </cell>
          <cell r="AG40">
            <v>2</v>
          </cell>
          <cell r="AH40">
            <v>3</v>
          </cell>
          <cell r="AI40">
            <v>4</v>
          </cell>
          <cell r="AJ40">
            <v>5</v>
          </cell>
          <cell r="AK40">
            <v>6</v>
          </cell>
          <cell r="AL40">
            <v>7</v>
          </cell>
          <cell r="AM40">
            <v>8</v>
          </cell>
          <cell r="AN40">
            <v>9</v>
          </cell>
          <cell r="AO40">
            <v>10</v>
          </cell>
          <cell r="AP40">
            <v>11</v>
          </cell>
          <cell r="AQ40">
            <v>12</v>
          </cell>
          <cell r="AR40">
            <v>13</v>
          </cell>
          <cell r="AS40">
            <v>14</v>
          </cell>
          <cell r="AT40">
            <v>15</v>
          </cell>
          <cell r="AU40">
            <v>16</v>
          </cell>
          <cell r="AV40">
            <v>17</v>
          </cell>
          <cell r="AW40">
            <v>18</v>
          </cell>
        </row>
        <row r="41">
          <cell r="AF41">
            <v>5</v>
          </cell>
          <cell r="AG41">
            <v>4</v>
          </cell>
          <cell r="AH41">
            <v>3</v>
          </cell>
          <cell r="AI41">
            <v>4</v>
          </cell>
          <cell r="AJ41">
            <v>5</v>
          </cell>
          <cell r="AK41">
            <v>4</v>
          </cell>
          <cell r="AL41">
            <v>4</v>
          </cell>
          <cell r="AM41">
            <v>4</v>
          </cell>
          <cell r="AN41">
            <v>3</v>
          </cell>
          <cell r="AO41">
            <v>5</v>
          </cell>
          <cell r="AP41">
            <v>4</v>
          </cell>
          <cell r="AQ41">
            <v>4</v>
          </cell>
          <cell r="AR41">
            <v>4</v>
          </cell>
          <cell r="AS41">
            <v>3</v>
          </cell>
          <cell r="AT41">
            <v>4</v>
          </cell>
          <cell r="AU41">
            <v>5</v>
          </cell>
          <cell r="AV41">
            <v>3</v>
          </cell>
          <cell r="AW41">
            <v>4</v>
          </cell>
        </row>
        <row r="42">
          <cell r="AB42">
            <v>44184</v>
          </cell>
          <cell r="AC42" t="str">
            <v>Bruto</v>
          </cell>
          <cell r="AD42" t="str">
            <v>Alvaro Nieto</v>
          </cell>
          <cell r="AE42" t="str">
            <v>Centro Nacional de Golf</v>
          </cell>
          <cell r="AF42">
            <v>5</v>
          </cell>
          <cell r="AG42">
            <v>6</v>
          </cell>
          <cell r="AH42">
            <v>4</v>
          </cell>
          <cell r="AI42">
            <v>4</v>
          </cell>
          <cell r="AJ42">
            <v>5</v>
          </cell>
          <cell r="AK42">
            <v>5</v>
          </cell>
          <cell r="AL42">
            <v>4</v>
          </cell>
          <cell r="AM42">
            <v>5</v>
          </cell>
          <cell r="AN42">
            <v>4</v>
          </cell>
          <cell r="AO42">
            <v>7</v>
          </cell>
          <cell r="AP42">
            <v>9</v>
          </cell>
          <cell r="AQ42">
            <v>5</v>
          </cell>
          <cell r="AR42">
            <v>5</v>
          </cell>
          <cell r="AS42">
            <v>3</v>
          </cell>
          <cell r="AT42">
            <v>6</v>
          </cell>
          <cell r="AU42">
            <v>5</v>
          </cell>
          <cell r="AV42">
            <v>4</v>
          </cell>
          <cell r="AW42">
            <v>5</v>
          </cell>
        </row>
        <row r="43">
          <cell r="AB43">
            <v>44184</v>
          </cell>
          <cell r="AC43" t="str">
            <v>Neto</v>
          </cell>
          <cell r="AD43" t="str">
            <v>Alvaro Nieto</v>
          </cell>
          <cell r="AE43" t="str">
            <v>Centro Nacional de Golf</v>
          </cell>
          <cell r="AF43">
            <v>4</v>
          </cell>
          <cell r="AG43">
            <v>5</v>
          </cell>
          <cell r="AH43">
            <v>4</v>
          </cell>
          <cell r="AI43">
            <v>3</v>
          </cell>
          <cell r="AJ43">
            <v>4</v>
          </cell>
          <cell r="AK43">
            <v>4</v>
          </cell>
          <cell r="AL43">
            <v>4</v>
          </cell>
          <cell r="AM43">
            <v>4</v>
          </cell>
          <cell r="AN43">
            <v>4</v>
          </cell>
          <cell r="AO43">
            <v>6</v>
          </cell>
          <cell r="AP43">
            <v>8</v>
          </cell>
          <cell r="AQ43">
            <v>4</v>
          </cell>
          <cell r="AR43">
            <v>4</v>
          </cell>
          <cell r="AS43">
            <v>3</v>
          </cell>
          <cell r="AT43">
            <v>5</v>
          </cell>
          <cell r="AU43">
            <v>4</v>
          </cell>
          <cell r="AV43">
            <v>4</v>
          </cell>
          <cell r="AW43">
            <v>4</v>
          </cell>
        </row>
        <row r="45">
          <cell r="AF45">
            <v>1</v>
          </cell>
          <cell r="AG45">
            <v>2</v>
          </cell>
          <cell r="AH45">
            <v>3</v>
          </cell>
          <cell r="AI45">
            <v>4</v>
          </cell>
          <cell r="AJ45">
            <v>5</v>
          </cell>
          <cell r="AK45">
            <v>6</v>
          </cell>
          <cell r="AL45">
            <v>7</v>
          </cell>
          <cell r="AM45">
            <v>8</v>
          </cell>
          <cell r="AN45">
            <v>9</v>
          </cell>
          <cell r="AO45">
            <v>10</v>
          </cell>
          <cell r="AP45">
            <v>11</v>
          </cell>
          <cell r="AQ45">
            <v>12</v>
          </cell>
          <cell r="AR45">
            <v>13</v>
          </cell>
          <cell r="AS45">
            <v>14</v>
          </cell>
          <cell r="AT45">
            <v>15</v>
          </cell>
          <cell r="AU45">
            <v>16</v>
          </cell>
          <cell r="AV45">
            <v>17</v>
          </cell>
          <cell r="AW45">
            <v>18</v>
          </cell>
        </row>
        <row r="46">
          <cell r="AF46">
            <v>5</v>
          </cell>
          <cell r="AG46">
            <v>4</v>
          </cell>
          <cell r="AH46">
            <v>3</v>
          </cell>
          <cell r="AI46">
            <v>4</v>
          </cell>
          <cell r="AJ46">
            <v>5</v>
          </cell>
          <cell r="AK46">
            <v>4</v>
          </cell>
          <cell r="AL46">
            <v>4</v>
          </cell>
          <cell r="AM46">
            <v>4</v>
          </cell>
          <cell r="AN46">
            <v>3</v>
          </cell>
          <cell r="AO46">
            <v>5</v>
          </cell>
          <cell r="AP46">
            <v>4</v>
          </cell>
          <cell r="AQ46">
            <v>4</v>
          </cell>
          <cell r="AR46">
            <v>4</v>
          </cell>
          <cell r="AS46">
            <v>3</v>
          </cell>
          <cell r="AT46">
            <v>4</v>
          </cell>
          <cell r="AU46">
            <v>5</v>
          </cell>
          <cell r="AV46">
            <v>3</v>
          </cell>
          <cell r="AW46">
            <v>4</v>
          </cell>
        </row>
        <row r="47">
          <cell r="AB47">
            <v>44184</v>
          </cell>
          <cell r="AC47" t="str">
            <v>Bruto</v>
          </cell>
          <cell r="AD47" t="str">
            <v>Miche lopez</v>
          </cell>
          <cell r="AE47" t="str">
            <v>Centro Nacional de Golf</v>
          </cell>
          <cell r="AF47">
            <v>9</v>
          </cell>
          <cell r="AG47">
            <v>6</v>
          </cell>
          <cell r="AH47">
            <v>5</v>
          </cell>
          <cell r="AI47">
            <v>6</v>
          </cell>
          <cell r="AJ47">
            <v>7</v>
          </cell>
          <cell r="AK47">
            <v>8</v>
          </cell>
          <cell r="AL47">
            <v>7</v>
          </cell>
          <cell r="AM47">
            <v>7</v>
          </cell>
          <cell r="AN47">
            <v>5</v>
          </cell>
          <cell r="AO47">
            <v>8</v>
          </cell>
          <cell r="AP47">
            <v>5</v>
          </cell>
          <cell r="AQ47">
            <v>6</v>
          </cell>
          <cell r="AR47">
            <v>5</v>
          </cell>
          <cell r="AS47">
            <v>5</v>
          </cell>
          <cell r="AT47">
            <v>6</v>
          </cell>
          <cell r="AU47">
            <v>5</v>
          </cell>
          <cell r="AV47">
            <v>5</v>
          </cell>
          <cell r="AW47">
            <v>5</v>
          </cell>
        </row>
        <row r="48">
          <cell r="AB48">
            <v>44184</v>
          </cell>
          <cell r="AC48" t="str">
            <v>Neto</v>
          </cell>
          <cell r="AD48" t="str">
            <v>Miche lopez</v>
          </cell>
          <cell r="AE48" t="str">
            <v>Centro Nacional de Golf</v>
          </cell>
          <cell r="AF48">
            <v>7</v>
          </cell>
          <cell r="AG48">
            <v>4</v>
          </cell>
          <cell r="AH48">
            <v>4</v>
          </cell>
          <cell r="AI48">
            <v>4</v>
          </cell>
          <cell r="AJ48">
            <v>5</v>
          </cell>
          <cell r="AK48">
            <v>6</v>
          </cell>
          <cell r="AL48">
            <v>5</v>
          </cell>
          <cell r="AM48">
            <v>5</v>
          </cell>
          <cell r="AN48">
            <v>4</v>
          </cell>
          <cell r="AO48">
            <v>6</v>
          </cell>
          <cell r="AP48">
            <v>3</v>
          </cell>
          <cell r="AQ48">
            <v>4</v>
          </cell>
          <cell r="AR48">
            <v>3</v>
          </cell>
          <cell r="AS48">
            <v>4</v>
          </cell>
          <cell r="AT48">
            <v>4</v>
          </cell>
          <cell r="AU48">
            <v>3</v>
          </cell>
          <cell r="AV48">
            <v>4</v>
          </cell>
          <cell r="AW48">
            <v>3</v>
          </cell>
        </row>
        <row r="50">
          <cell r="AF50">
            <v>1</v>
          </cell>
          <cell r="AG50">
            <v>2</v>
          </cell>
          <cell r="AH50">
            <v>3</v>
          </cell>
          <cell r="AI50">
            <v>4</v>
          </cell>
          <cell r="AJ50">
            <v>5</v>
          </cell>
          <cell r="AK50">
            <v>6</v>
          </cell>
          <cell r="AL50">
            <v>7</v>
          </cell>
          <cell r="AM50">
            <v>8</v>
          </cell>
          <cell r="AN50">
            <v>9</v>
          </cell>
          <cell r="AO50">
            <v>10</v>
          </cell>
          <cell r="AP50">
            <v>11</v>
          </cell>
          <cell r="AQ50">
            <v>12</v>
          </cell>
          <cell r="AR50">
            <v>13</v>
          </cell>
          <cell r="AS50">
            <v>14</v>
          </cell>
          <cell r="AT50">
            <v>15</v>
          </cell>
          <cell r="AU50">
            <v>16</v>
          </cell>
          <cell r="AV50">
            <v>17</v>
          </cell>
          <cell r="AW50">
            <v>18</v>
          </cell>
        </row>
        <row r="51">
          <cell r="AF51">
            <v>5</v>
          </cell>
          <cell r="AG51">
            <v>4</v>
          </cell>
          <cell r="AH51">
            <v>3</v>
          </cell>
          <cell r="AI51">
            <v>4</v>
          </cell>
          <cell r="AJ51">
            <v>5</v>
          </cell>
          <cell r="AK51">
            <v>4</v>
          </cell>
          <cell r="AL51">
            <v>4</v>
          </cell>
          <cell r="AM51">
            <v>4</v>
          </cell>
          <cell r="AN51">
            <v>3</v>
          </cell>
          <cell r="AO51">
            <v>5</v>
          </cell>
          <cell r="AP51">
            <v>4</v>
          </cell>
          <cell r="AQ51">
            <v>4</v>
          </cell>
          <cell r="AR51">
            <v>4</v>
          </cell>
          <cell r="AS51">
            <v>3</v>
          </cell>
          <cell r="AT51">
            <v>4</v>
          </cell>
          <cell r="AU51">
            <v>5</v>
          </cell>
          <cell r="AV51">
            <v>3</v>
          </cell>
          <cell r="AW51">
            <v>4</v>
          </cell>
        </row>
        <row r="52">
          <cell r="AB52">
            <v>44184</v>
          </cell>
          <cell r="AC52" t="str">
            <v>Bruto</v>
          </cell>
          <cell r="AD52" t="str">
            <v>Alberto Martínez Romao</v>
          </cell>
          <cell r="AE52" t="str">
            <v>Centro Nacional de Golf</v>
          </cell>
          <cell r="AF52">
            <v>6</v>
          </cell>
          <cell r="AG52">
            <v>9</v>
          </cell>
          <cell r="AH52">
            <v>4</v>
          </cell>
          <cell r="AI52">
            <v>6</v>
          </cell>
          <cell r="AJ52">
            <v>7</v>
          </cell>
          <cell r="AK52">
            <v>6</v>
          </cell>
          <cell r="AL52">
            <v>4</v>
          </cell>
          <cell r="AM52">
            <v>5</v>
          </cell>
          <cell r="AN52">
            <v>5</v>
          </cell>
          <cell r="AO52">
            <v>8</v>
          </cell>
          <cell r="AP52">
            <v>5</v>
          </cell>
          <cell r="AQ52">
            <v>7</v>
          </cell>
          <cell r="AR52">
            <v>4</v>
          </cell>
          <cell r="AS52">
            <v>5</v>
          </cell>
          <cell r="AT52">
            <v>5</v>
          </cell>
          <cell r="AU52">
            <v>5</v>
          </cell>
          <cell r="AV52">
            <v>4</v>
          </cell>
          <cell r="AW52">
            <v>3</v>
          </cell>
        </row>
        <row r="53">
          <cell r="AB53">
            <v>44184</v>
          </cell>
          <cell r="AC53" t="str">
            <v>Neto</v>
          </cell>
          <cell r="AD53" t="str">
            <v>Alberto Martínez Romao</v>
          </cell>
          <cell r="AE53" t="str">
            <v>Centro Nacional de Golf</v>
          </cell>
          <cell r="AF53">
            <v>5</v>
          </cell>
          <cell r="AG53">
            <v>8</v>
          </cell>
          <cell r="AH53">
            <v>3</v>
          </cell>
          <cell r="AI53">
            <v>5</v>
          </cell>
          <cell r="AJ53">
            <v>6</v>
          </cell>
          <cell r="AK53">
            <v>5</v>
          </cell>
          <cell r="AL53">
            <v>3</v>
          </cell>
          <cell r="AM53">
            <v>4</v>
          </cell>
          <cell r="AN53">
            <v>4</v>
          </cell>
          <cell r="AO53">
            <v>7</v>
          </cell>
          <cell r="AP53">
            <v>4</v>
          </cell>
          <cell r="AQ53">
            <v>6</v>
          </cell>
          <cell r="AR53">
            <v>3</v>
          </cell>
          <cell r="AS53">
            <v>4</v>
          </cell>
          <cell r="AT53">
            <v>4</v>
          </cell>
          <cell r="AU53">
            <v>4</v>
          </cell>
          <cell r="AV53">
            <v>3</v>
          </cell>
          <cell r="AW53">
            <v>2</v>
          </cell>
        </row>
        <row r="55">
          <cell r="AF55">
            <v>1</v>
          </cell>
          <cell r="AG55">
            <v>2</v>
          </cell>
          <cell r="AH55">
            <v>3</v>
          </cell>
          <cell r="AI55">
            <v>4</v>
          </cell>
          <cell r="AJ55">
            <v>5</v>
          </cell>
          <cell r="AK55">
            <v>6</v>
          </cell>
          <cell r="AL55">
            <v>7</v>
          </cell>
          <cell r="AM55">
            <v>8</v>
          </cell>
          <cell r="AN55">
            <v>9</v>
          </cell>
          <cell r="AO55">
            <v>10</v>
          </cell>
          <cell r="AP55">
            <v>11</v>
          </cell>
          <cell r="AQ55">
            <v>12</v>
          </cell>
          <cell r="AR55">
            <v>13</v>
          </cell>
          <cell r="AS55">
            <v>14</v>
          </cell>
          <cell r="AT55">
            <v>15</v>
          </cell>
          <cell r="AU55">
            <v>16</v>
          </cell>
          <cell r="AV55">
            <v>17</v>
          </cell>
          <cell r="AW55">
            <v>18</v>
          </cell>
        </row>
        <row r="56">
          <cell r="AF56">
            <v>5</v>
          </cell>
          <cell r="AG56">
            <v>4</v>
          </cell>
          <cell r="AH56">
            <v>3</v>
          </cell>
          <cell r="AI56">
            <v>4</v>
          </cell>
          <cell r="AJ56">
            <v>5</v>
          </cell>
          <cell r="AK56">
            <v>4</v>
          </cell>
          <cell r="AL56">
            <v>4</v>
          </cell>
          <cell r="AM56">
            <v>4</v>
          </cell>
          <cell r="AN56">
            <v>3</v>
          </cell>
          <cell r="AO56">
            <v>5</v>
          </cell>
          <cell r="AP56">
            <v>4</v>
          </cell>
          <cell r="AQ56">
            <v>4</v>
          </cell>
          <cell r="AR56">
            <v>4</v>
          </cell>
          <cell r="AS56">
            <v>3</v>
          </cell>
          <cell r="AT56">
            <v>4</v>
          </cell>
          <cell r="AU56">
            <v>5</v>
          </cell>
          <cell r="AV56">
            <v>3</v>
          </cell>
          <cell r="AW56">
            <v>4</v>
          </cell>
        </row>
        <row r="57">
          <cell r="AB57">
            <v>44184</v>
          </cell>
          <cell r="AC57" t="str">
            <v>Bruto</v>
          </cell>
          <cell r="AD57" t="str">
            <v>Javier Gonzalez Salvador</v>
          </cell>
          <cell r="AE57" t="str">
            <v>Centro Nacional de Golf</v>
          </cell>
          <cell r="AF57">
            <v>7</v>
          </cell>
          <cell r="AG57">
            <v>5</v>
          </cell>
          <cell r="AH57">
            <v>4</v>
          </cell>
          <cell r="AI57">
            <v>5</v>
          </cell>
          <cell r="AJ57">
            <v>5</v>
          </cell>
          <cell r="AK57">
            <v>5</v>
          </cell>
          <cell r="AL57">
            <v>4</v>
          </cell>
          <cell r="AM57">
            <v>6</v>
          </cell>
          <cell r="AN57">
            <v>4</v>
          </cell>
          <cell r="AO57">
            <v>6</v>
          </cell>
          <cell r="AP57">
            <v>5</v>
          </cell>
          <cell r="AQ57">
            <v>6</v>
          </cell>
          <cell r="AR57">
            <v>4</v>
          </cell>
          <cell r="AS57">
            <v>4</v>
          </cell>
          <cell r="AT57">
            <v>5</v>
          </cell>
          <cell r="AU57">
            <v>6</v>
          </cell>
          <cell r="AV57">
            <v>4</v>
          </cell>
          <cell r="AW57">
            <v>7</v>
          </cell>
        </row>
        <row r="58">
          <cell r="AB58">
            <v>44184</v>
          </cell>
          <cell r="AC58" t="str">
            <v>Neto</v>
          </cell>
          <cell r="AD58" t="str">
            <v>Javier Gonzalez Salvador</v>
          </cell>
          <cell r="AE58" t="str">
            <v>Centro Nacional de Golf</v>
          </cell>
          <cell r="AF58">
            <v>6</v>
          </cell>
          <cell r="AG58">
            <v>4</v>
          </cell>
          <cell r="AH58">
            <v>4</v>
          </cell>
          <cell r="AI58">
            <v>4</v>
          </cell>
          <cell r="AJ58">
            <v>4</v>
          </cell>
          <cell r="AK58">
            <v>5</v>
          </cell>
          <cell r="AL58">
            <v>4</v>
          </cell>
          <cell r="AM58">
            <v>5</v>
          </cell>
          <cell r="AN58">
            <v>4</v>
          </cell>
          <cell r="AO58">
            <v>5</v>
          </cell>
          <cell r="AP58">
            <v>4</v>
          </cell>
          <cell r="AQ58">
            <v>5</v>
          </cell>
          <cell r="AR58">
            <v>4</v>
          </cell>
          <cell r="AS58">
            <v>4</v>
          </cell>
          <cell r="AT58">
            <v>4</v>
          </cell>
          <cell r="AU58">
            <v>5</v>
          </cell>
          <cell r="AV58">
            <v>4</v>
          </cell>
          <cell r="AW58">
            <v>6</v>
          </cell>
        </row>
        <row r="60">
          <cell r="AF60">
            <v>1</v>
          </cell>
          <cell r="AG60">
            <v>2</v>
          </cell>
          <cell r="AH60">
            <v>3</v>
          </cell>
          <cell r="AI60">
            <v>4</v>
          </cell>
          <cell r="AJ60">
            <v>5</v>
          </cell>
          <cell r="AK60">
            <v>6</v>
          </cell>
          <cell r="AL60">
            <v>7</v>
          </cell>
          <cell r="AM60">
            <v>8</v>
          </cell>
          <cell r="AN60">
            <v>9</v>
          </cell>
          <cell r="AO60">
            <v>10</v>
          </cell>
          <cell r="AP60">
            <v>11</v>
          </cell>
          <cell r="AQ60">
            <v>12</v>
          </cell>
          <cell r="AR60">
            <v>13</v>
          </cell>
          <cell r="AS60">
            <v>14</v>
          </cell>
          <cell r="AT60">
            <v>15</v>
          </cell>
          <cell r="AU60">
            <v>16</v>
          </cell>
          <cell r="AV60">
            <v>17</v>
          </cell>
          <cell r="AW60">
            <v>18</v>
          </cell>
        </row>
        <row r="61">
          <cell r="AF61">
            <v>5</v>
          </cell>
          <cell r="AG61">
            <v>4</v>
          </cell>
          <cell r="AH61">
            <v>3</v>
          </cell>
          <cell r="AI61">
            <v>4</v>
          </cell>
          <cell r="AJ61">
            <v>5</v>
          </cell>
          <cell r="AK61">
            <v>4</v>
          </cell>
          <cell r="AL61">
            <v>4</v>
          </cell>
          <cell r="AM61">
            <v>4</v>
          </cell>
          <cell r="AN61">
            <v>3</v>
          </cell>
          <cell r="AO61">
            <v>5</v>
          </cell>
          <cell r="AP61">
            <v>4</v>
          </cell>
          <cell r="AQ61">
            <v>4</v>
          </cell>
          <cell r="AR61">
            <v>4</v>
          </cell>
          <cell r="AS61">
            <v>3</v>
          </cell>
          <cell r="AT61">
            <v>4</v>
          </cell>
          <cell r="AU61">
            <v>5</v>
          </cell>
          <cell r="AV61">
            <v>3</v>
          </cell>
          <cell r="AW61">
            <v>4</v>
          </cell>
        </row>
        <row r="62">
          <cell r="AB62">
            <v>44184</v>
          </cell>
          <cell r="AC62" t="str">
            <v>Bruto</v>
          </cell>
          <cell r="AD62" t="str">
            <v>Jesus Touceda</v>
          </cell>
          <cell r="AE62" t="str">
            <v>Centro Nacional de Golf</v>
          </cell>
          <cell r="AF62">
            <v>8</v>
          </cell>
          <cell r="AG62">
            <v>6</v>
          </cell>
          <cell r="AH62">
            <v>4</v>
          </cell>
          <cell r="AI62">
            <v>8</v>
          </cell>
          <cell r="AJ62">
            <v>7</v>
          </cell>
          <cell r="AK62">
            <v>6</v>
          </cell>
          <cell r="AL62">
            <v>5</v>
          </cell>
          <cell r="AM62">
            <v>6</v>
          </cell>
          <cell r="AN62">
            <v>3</v>
          </cell>
          <cell r="AO62">
            <v>6</v>
          </cell>
          <cell r="AP62">
            <v>5</v>
          </cell>
          <cell r="AQ62">
            <v>5</v>
          </cell>
          <cell r="AR62">
            <v>8</v>
          </cell>
          <cell r="AS62">
            <v>5</v>
          </cell>
          <cell r="AT62">
            <v>5</v>
          </cell>
          <cell r="AU62">
            <v>7</v>
          </cell>
          <cell r="AV62">
            <v>4</v>
          </cell>
          <cell r="AW62">
            <v>6</v>
          </cell>
        </row>
        <row r="63">
          <cell r="AB63">
            <v>44184</v>
          </cell>
          <cell r="AC63" t="str">
            <v>Neto</v>
          </cell>
          <cell r="AD63" t="str">
            <v>Jesus Touceda</v>
          </cell>
          <cell r="AE63" t="str">
            <v>Centro Nacional de Golf</v>
          </cell>
          <cell r="AF63">
            <v>6</v>
          </cell>
          <cell r="AG63">
            <v>5</v>
          </cell>
          <cell r="AH63">
            <v>3</v>
          </cell>
          <cell r="AI63">
            <v>7</v>
          </cell>
          <cell r="AJ63">
            <v>5</v>
          </cell>
          <cell r="AK63">
            <v>5</v>
          </cell>
          <cell r="AL63">
            <v>4</v>
          </cell>
          <cell r="AM63">
            <v>5</v>
          </cell>
          <cell r="AN63">
            <v>2</v>
          </cell>
          <cell r="AO63">
            <v>4</v>
          </cell>
          <cell r="AP63">
            <v>4</v>
          </cell>
          <cell r="AQ63">
            <v>3</v>
          </cell>
          <cell r="AR63">
            <v>7</v>
          </cell>
          <cell r="AS63">
            <v>4</v>
          </cell>
          <cell r="AT63">
            <v>4</v>
          </cell>
          <cell r="AU63">
            <v>5</v>
          </cell>
          <cell r="AV63">
            <v>3</v>
          </cell>
          <cell r="AW63">
            <v>5</v>
          </cell>
        </row>
        <row r="65">
          <cell r="AF65">
            <v>1</v>
          </cell>
          <cell r="AG65">
            <v>2</v>
          </cell>
          <cell r="AH65">
            <v>3</v>
          </cell>
          <cell r="AI65">
            <v>4</v>
          </cell>
          <cell r="AJ65">
            <v>5</v>
          </cell>
          <cell r="AK65">
            <v>6</v>
          </cell>
          <cell r="AL65">
            <v>7</v>
          </cell>
          <cell r="AM65">
            <v>8</v>
          </cell>
          <cell r="AN65">
            <v>9</v>
          </cell>
          <cell r="AO65">
            <v>10</v>
          </cell>
          <cell r="AP65">
            <v>11</v>
          </cell>
          <cell r="AQ65">
            <v>12</v>
          </cell>
          <cell r="AR65">
            <v>13</v>
          </cell>
          <cell r="AS65">
            <v>14</v>
          </cell>
          <cell r="AT65">
            <v>15</v>
          </cell>
          <cell r="AU65">
            <v>16</v>
          </cell>
          <cell r="AV65">
            <v>17</v>
          </cell>
          <cell r="AW65">
            <v>18</v>
          </cell>
        </row>
        <row r="66">
          <cell r="AF66">
            <v>5</v>
          </cell>
          <cell r="AG66">
            <v>4</v>
          </cell>
          <cell r="AH66">
            <v>3</v>
          </cell>
          <cell r="AI66">
            <v>4</v>
          </cell>
          <cell r="AJ66">
            <v>5</v>
          </cell>
          <cell r="AK66">
            <v>4</v>
          </cell>
          <cell r="AL66">
            <v>4</v>
          </cell>
          <cell r="AM66">
            <v>4</v>
          </cell>
          <cell r="AN66">
            <v>3</v>
          </cell>
          <cell r="AO66">
            <v>5</v>
          </cell>
          <cell r="AP66">
            <v>4</v>
          </cell>
          <cell r="AQ66">
            <v>4</v>
          </cell>
          <cell r="AR66">
            <v>4</v>
          </cell>
          <cell r="AS66">
            <v>3</v>
          </cell>
          <cell r="AT66">
            <v>4</v>
          </cell>
          <cell r="AU66">
            <v>5</v>
          </cell>
          <cell r="AV66">
            <v>3</v>
          </cell>
          <cell r="AW66">
            <v>4</v>
          </cell>
        </row>
        <row r="67">
          <cell r="AB67">
            <v>44184</v>
          </cell>
          <cell r="AC67" t="str">
            <v>Bruto</v>
          </cell>
          <cell r="AD67" t="str">
            <v>Javier Cervera</v>
          </cell>
          <cell r="AE67" t="str">
            <v>Centro Nacional de Golf</v>
          </cell>
          <cell r="AF67">
            <v>9</v>
          </cell>
          <cell r="AG67">
            <v>5</v>
          </cell>
          <cell r="AH67">
            <v>4</v>
          </cell>
          <cell r="AI67">
            <v>5</v>
          </cell>
          <cell r="AJ67">
            <v>6</v>
          </cell>
          <cell r="AK67">
            <v>9</v>
          </cell>
          <cell r="AL67">
            <v>5</v>
          </cell>
          <cell r="AM67">
            <v>6</v>
          </cell>
          <cell r="AN67">
            <v>3</v>
          </cell>
          <cell r="AO67">
            <v>6</v>
          </cell>
          <cell r="AP67">
            <v>5</v>
          </cell>
          <cell r="AQ67">
            <v>5</v>
          </cell>
          <cell r="AR67">
            <v>7</v>
          </cell>
          <cell r="AS67">
            <v>4</v>
          </cell>
          <cell r="AT67">
            <v>4</v>
          </cell>
          <cell r="AU67">
            <v>8</v>
          </cell>
          <cell r="AV67">
            <v>3</v>
          </cell>
          <cell r="AW67">
            <v>4</v>
          </cell>
        </row>
        <row r="68">
          <cell r="AB68">
            <v>44184</v>
          </cell>
          <cell r="AC68" t="str">
            <v>Neto</v>
          </cell>
          <cell r="AD68" t="str">
            <v>Javier Cervera</v>
          </cell>
          <cell r="AE68" t="str">
            <v>Centro Nacional de Golf</v>
          </cell>
          <cell r="AF68">
            <v>8</v>
          </cell>
          <cell r="AG68">
            <v>4</v>
          </cell>
          <cell r="AH68">
            <v>4</v>
          </cell>
          <cell r="AI68">
            <v>4</v>
          </cell>
          <cell r="AJ68">
            <v>5</v>
          </cell>
          <cell r="AK68">
            <v>8</v>
          </cell>
          <cell r="AL68">
            <v>4</v>
          </cell>
          <cell r="AM68">
            <v>5</v>
          </cell>
          <cell r="AN68">
            <v>3</v>
          </cell>
          <cell r="AO68">
            <v>5</v>
          </cell>
          <cell r="AP68">
            <v>4</v>
          </cell>
          <cell r="AQ68">
            <v>4</v>
          </cell>
          <cell r="AR68">
            <v>6</v>
          </cell>
          <cell r="AS68">
            <v>4</v>
          </cell>
          <cell r="AT68">
            <v>3</v>
          </cell>
          <cell r="AU68">
            <v>7</v>
          </cell>
          <cell r="AV68">
            <v>3</v>
          </cell>
          <cell r="AW68">
            <v>3</v>
          </cell>
        </row>
        <row r="70">
          <cell r="AF70">
            <v>1</v>
          </cell>
          <cell r="AG70">
            <v>2</v>
          </cell>
          <cell r="AH70">
            <v>3</v>
          </cell>
          <cell r="AI70">
            <v>4</v>
          </cell>
          <cell r="AJ70">
            <v>5</v>
          </cell>
          <cell r="AK70">
            <v>6</v>
          </cell>
          <cell r="AL70">
            <v>7</v>
          </cell>
          <cell r="AM70">
            <v>8</v>
          </cell>
          <cell r="AN70">
            <v>9</v>
          </cell>
          <cell r="AO70">
            <v>10</v>
          </cell>
          <cell r="AP70">
            <v>11</v>
          </cell>
          <cell r="AQ70">
            <v>12</v>
          </cell>
          <cell r="AR70">
            <v>13</v>
          </cell>
          <cell r="AS70">
            <v>14</v>
          </cell>
          <cell r="AT70">
            <v>15</v>
          </cell>
          <cell r="AU70">
            <v>16</v>
          </cell>
          <cell r="AV70">
            <v>17</v>
          </cell>
          <cell r="AW70">
            <v>18</v>
          </cell>
        </row>
        <row r="71">
          <cell r="AF71">
            <v>5</v>
          </cell>
          <cell r="AG71">
            <v>4</v>
          </cell>
          <cell r="AH71">
            <v>3</v>
          </cell>
          <cell r="AI71">
            <v>4</v>
          </cell>
          <cell r="AJ71">
            <v>5</v>
          </cell>
          <cell r="AK71">
            <v>4</v>
          </cell>
          <cell r="AL71">
            <v>4</v>
          </cell>
          <cell r="AM71">
            <v>4</v>
          </cell>
          <cell r="AN71">
            <v>3</v>
          </cell>
          <cell r="AO71">
            <v>5</v>
          </cell>
          <cell r="AP71">
            <v>4</v>
          </cell>
          <cell r="AQ71">
            <v>4</v>
          </cell>
          <cell r="AR71">
            <v>4</v>
          </cell>
          <cell r="AS71">
            <v>3</v>
          </cell>
          <cell r="AT71">
            <v>4</v>
          </cell>
          <cell r="AU71">
            <v>5</v>
          </cell>
          <cell r="AV71">
            <v>3</v>
          </cell>
          <cell r="AW71">
            <v>4</v>
          </cell>
        </row>
        <row r="72">
          <cell r="AB72">
            <v>44184</v>
          </cell>
          <cell r="AC72" t="str">
            <v>Bruto</v>
          </cell>
          <cell r="AD72" t="str">
            <v>Francisco Hidalgo</v>
          </cell>
          <cell r="AE72" t="str">
            <v>Centro Nacional de Golf</v>
          </cell>
          <cell r="AF72">
            <v>5</v>
          </cell>
          <cell r="AG72">
            <v>5</v>
          </cell>
          <cell r="AH72">
            <v>4</v>
          </cell>
          <cell r="AI72">
            <v>4</v>
          </cell>
          <cell r="AJ72">
            <v>7</v>
          </cell>
          <cell r="AK72">
            <v>7</v>
          </cell>
          <cell r="AL72">
            <v>4</v>
          </cell>
          <cell r="AM72">
            <v>5</v>
          </cell>
          <cell r="AN72">
            <v>6</v>
          </cell>
          <cell r="AO72">
            <v>7</v>
          </cell>
          <cell r="AP72">
            <v>5</v>
          </cell>
          <cell r="AQ72">
            <v>7</v>
          </cell>
          <cell r="AR72">
            <v>7</v>
          </cell>
          <cell r="AS72">
            <v>5</v>
          </cell>
          <cell r="AT72">
            <v>5</v>
          </cell>
          <cell r="AU72">
            <v>6</v>
          </cell>
          <cell r="AV72">
            <v>6</v>
          </cell>
          <cell r="AW72">
            <v>6</v>
          </cell>
        </row>
        <row r="73">
          <cell r="AB73">
            <v>44184</v>
          </cell>
          <cell r="AC73" t="str">
            <v>Neto</v>
          </cell>
          <cell r="AD73" t="str">
            <v>Francisco Hidalgo</v>
          </cell>
          <cell r="AE73" t="str">
            <v>Centro Nacional de Golf</v>
          </cell>
          <cell r="AF73">
            <v>4</v>
          </cell>
          <cell r="AG73">
            <v>4</v>
          </cell>
          <cell r="AH73">
            <v>4</v>
          </cell>
          <cell r="AI73">
            <v>3</v>
          </cell>
          <cell r="AJ73">
            <v>6</v>
          </cell>
          <cell r="AK73">
            <v>6</v>
          </cell>
          <cell r="AL73">
            <v>3</v>
          </cell>
          <cell r="AM73">
            <v>4</v>
          </cell>
          <cell r="AN73">
            <v>6</v>
          </cell>
          <cell r="AO73">
            <v>6</v>
          </cell>
          <cell r="AP73">
            <v>4</v>
          </cell>
          <cell r="AQ73">
            <v>6</v>
          </cell>
          <cell r="AR73">
            <v>6</v>
          </cell>
          <cell r="AS73">
            <v>5</v>
          </cell>
          <cell r="AT73">
            <v>4</v>
          </cell>
          <cell r="AU73">
            <v>5</v>
          </cell>
          <cell r="AV73">
            <v>6</v>
          </cell>
          <cell r="AW73">
            <v>5</v>
          </cell>
        </row>
        <row r="75">
          <cell r="AF75">
            <v>1</v>
          </cell>
          <cell r="AG75">
            <v>2</v>
          </cell>
          <cell r="AH75">
            <v>3</v>
          </cell>
          <cell r="AI75">
            <v>4</v>
          </cell>
          <cell r="AJ75">
            <v>5</v>
          </cell>
          <cell r="AK75">
            <v>6</v>
          </cell>
          <cell r="AL75">
            <v>7</v>
          </cell>
          <cell r="AM75">
            <v>8</v>
          </cell>
          <cell r="AN75">
            <v>9</v>
          </cell>
          <cell r="AO75">
            <v>10</v>
          </cell>
          <cell r="AP75">
            <v>11</v>
          </cell>
          <cell r="AQ75">
            <v>12</v>
          </cell>
          <cell r="AR75">
            <v>13</v>
          </cell>
          <cell r="AS75">
            <v>14</v>
          </cell>
          <cell r="AT75">
            <v>15</v>
          </cell>
          <cell r="AU75">
            <v>16</v>
          </cell>
          <cell r="AV75">
            <v>17</v>
          </cell>
          <cell r="AW75">
            <v>18</v>
          </cell>
        </row>
        <row r="76">
          <cell r="AF76">
            <v>5</v>
          </cell>
          <cell r="AG76">
            <v>4</v>
          </cell>
          <cell r="AH76">
            <v>3</v>
          </cell>
          <cell r="AI76">
            <v>4</v>
          </cell>
          <cell r="AJ76">
            <v>5</v>
          </cell>
          <cell r="AK76">
            <v>4</v>
          </cell>
          <cell r="AL76">
            <v>4</v>
          </cell>
          <cell r="AM76">
            <v>4</v>
          </cell>
          <cell r="AN76">
            <v>3</v>
          </cell>
          <cell r="AO76">
            <v>5</v>
          </cell>
          <cell r="AP76">
            <v>4</v>
          </cell>
          <cell r="AQ76">
            <v>4</v>
          </cell>
          <cell r="AR76">
            <v>4</v>
          </cell>
          <cell r="AS76">
            <v>3</v>
          </cell>
          <cell r="AT76">
            <v>4</v>
          </cell>
          <cell r="AU76">
            <v>5</v>
          </cell>
          <cell r="AV76">
            <v>3</v>
          </cell>
          <cell r="AW76">
            <v>4</v>
          </cell>
        </row>
        <row r="77">
          <cell r="AB77">
            <v>44184</v>
          </cell>
          <cell r="AC77" t="str">
            <v>Bruto</v>
          </cell>
          <cell r="AD77" t="str">
            <v>GLEZ JUAN JOSÉ</v>
          </cell>
          <cell r="AE77" t="str">
            <v>Centro Nacional de Golf</v>
          </cell>
          <cell r="AF77">
            <v>7</v>
          </cell>
          <cell r="AG77">
            <v>6</v>
          </cell>
          <cell r="AH77">
            <v>4</v>
          </cell>
          <cell r="AI77">
            <v>7</v>
          </cell>
          <cell r="AJ77">
            <v>10</v>
          </cell>
          <cell r="AK77">
            <v>5</v>
          </cell>
          <cell r="AL77">
            <v>5</v>
          </cell>
          <cell r="AM77">
            <v>5</v>
          </cell>
          <cell r="AN77">
            <v>8</v>
          </cell>
          <cell r="AO77">
            <v>6</v>
          </cell>
          <cell r="AP77">
            <v>5</v>
          </cell>
          <cell r="AQ77">
            <v>5</v>
          </cell>
          <cell r="AR77">
            <v>5</v>
          </cell>
          <cell r="AS77">
            <v>8</v>
          </cell>
          <cell r="AT77">
            <v>7</v>
          </cell>
          <cell r="AU77">
            <v>6</v>
          </cell>
          <cell r="AV77">
            <v>4</v>
          </cell>
          <cell r="AW77">
            <v>5</v>
          </cell>
        </row>
        <row r="78">
          <cell r="AB78">
            <v>44184</v>
          </cell>
          <cell r="AC78" t="str">
            <v>Neto</v>
          </cell>
          <cell r="AD78" t="str">
            <v>GLEZ JUAN JOSÉ</v>
          </cell>
          <cell r="AE78" t="str">
            <v>Centro Nacional de Golf</v>
          </cell>
          <cell r="AF78">
            <v>6</v>
          </cell>
          <cell r="AG78">
            <v>5</v>
          </cell>
          <cell r="AH78">
            <v>3</v>
          </cell>
          <cell r="AI78">
            <v>6</v>
          </cell>
          <cell r="AJ78">
            <v>9</v>
          </cell>
          <cell r="AK78">
            <v>4</v>
          </cell>
          <cell r="AL78">
            <v>4</v>
          </cell>
          <cell r="AM78">
            <v>4</v>
          </cell>
          <cell r="AN78">
            <v>7</v>
          </cell>
          <cell r="AO78">
            <v>5</v>
          </cell>
          <cell r="AP78">
            <v>4</v>
          </cell>
          <cell r="AQ78">
            <v>4</v>
          </cell>
          <cell r="AR78">
            <v>4</v>
          </cell>
          <cell r="AS78">
            <v>7</v>
          </cell>
          <cell r="AT78">
            <v>6</v>
          </cell>
          <cell r="AU78">
            <v>5</v>
          </cell>
          <cell r="AV78">
            <v>3</v>
          </cell>
          <cell r="AW78">
            <v>4</v>
          </cell>
        </row>
        <row r="80">
          <cell r="AF80"/>
          <cell r="AG80"/>
          <cell r="AH80"/>
          <cell r="AI80"/>
          <cell r="AJ80"/>
          <cell r="AK80"/>
          <cell r="AL80"/>
          <cell r="AM80"/>
          <cell r="AN80"/>
          <cell r="AO80"/>
          <cell r="AP80"/>
          <cell r="AQ80"/>
          <cell r="AR80"/>
          <cell r="AS80"/>
          <cell r="AT80"/>
          <cell r="AU80"/>
          <cell r="AV80"/>
          <cell r="AW80"/>
        </row>
        <row r="81">
          <cell r="AF81"/>
          <cell r="AG81"/>
          <cell r="AH81"/>
          <cell r="AI81"/>
          <cell r="AJ81"/>
          <cell r="AK81"/>
          <cell r="AL81"/>
          <cell r="AM81"/>
          <cell r="AN81"/>
          <cell r="AO81"/>
          <cell r="AP81"/>
          <cell r="AQ81"/>
          <cell r="AR81"/>
          <cell r="AS81"/>
          <cell r="AT81"/>
          <cell r="AU81"/>
          <cell r="AV81"/>
          <cell r="AW81"/>
        </row>
        <row r="82">
          <cell r="AB82">
            <v>44184</v>
          </cell>
          <cell r="AC82" t="str">
            <v>Bruto</v>
          </cell>
          <cell r="AD82"/>
          <cell r="AE82" t="str">
            <v>Centro Nacional de Golf</v>
          </cell>
          <cell r="AF82"/>
          <cell r="AG82"/>
          <cell r="AH82"/>
          <cell r="AI82"/>
          <cell r="AJ82"/>
          <cell r="AK82"/>
          <cell r="AL82"/>
          <cell r="AM82"/>
          <cell r="AN82"/>
          <cell r="AO82"/>
          <cell r="AP82"/>
          <cell r="AQ82"/>
          <cell r="AR82"/>
          <cell r="AS82"/>
          <cell r="AT82"/>
          <cell r="AU82"/>
          <cell r="AV82"/>
          <cell r="AW82"/>
        </row>
        <row r="83">
          <cell r="AB83">
            <v>44184</v>
          </cell>
          <cell r="AC83" t="str">
            <v>Neto</v>
          </cell>
          <cell r="AD83"/>
          <cell r="AE83" t="str">
            <v>Centro Nacional de Golf</v>
          </cell>
          <cell r="AF83"/>
          <cell r="AG83"/>
          <cell r="AH83"/>
          <cell r="AI83"/>
          <cell r="AJ83"/>
          <cell r="AK83"/>
          <cell r="AL83"/>
          <cell r="AM83"/>
          <cell r="AN83"/>
          <cell r="AO83"/>
          <cell r="AP83"/>
          <cell r="AQ83"/>
          <cell r="AR83"/>
          <cell r="AS83"/>
          <cell r="AT83"/>
          <cell r="AU83"/>
          <cell r="AV83"/>
          <cell r="AW83"/>
        </row>
        <row r="85">
          <cell r="AF85"/>
          <cell r="AG85"/>
          <cell r="AH85"/>
          <cell r="AI85"/>
          <cell r="AJ85"/>
          <cell r="AK85"/>
          <cell r="AL85"/>
          <cell r="AM85"/>
          <cell r="AN85"/>
          <cell r="AO85"/>
          <cell r="AP85"/>
          <cell r="AQ85"/>
          <cell r="AR85"/>
          <cell r="AS85"/>
          <cell r="AT85"/>
          <cell r="AU85"/>
          <cell r="AV85"/>
          <cell r="AW85"/>
        </row>
        <row r="86">
          <cell r="AF86"/>
          <cell r="AG86"/>
          <cell r="AH86"/>
          <cell r="AI86"/>
          <cell r="AJ86"/>
          <cell r="AK86"/>
          <cell r="AL86"/>
          <cell r="AM86"/>
          <cell r="AN86"/>
          <cell r="AO86"/>
          <cell r="AP86"/>
          <cell r="AQ86"/>
          <cell r="AR86"/>
          <cell r="AS86"/>
          <cell r="AT86"/>
          <cell r="AU86"/>
          <cell r="AV86"/>
          <cell r="AW86"/>
        </row>
        <row r="87">
          <cell r="AB87">
            <v>44184</v>
          </cell>
          <cell r="AC87" t="str">
            <v>Bruto</v>
          </cell>
          <cell r="AD87"/>
          <cell r="AE87" t="str">
            <v>Centro Nacional de Golf</v>
          </cell>
          <cell r="AF87"/>
          <cell r="AG87"/>
          <cell r="AH87"/>
          <cell r="AI87"/>
          <cell r="AJ87"/>
          <cell r="AK87"/>
          <cell r="AL87"/>
          <cell r="AM87"/>
          <cell r="AN87"/>
          <cell r="AO87"/>
          <cell r="AP87"/>
          <cell r="AQ87"/>
          <cell r="AR87"/>
          <cell r="AS87"/>
          <cell r="AT87"/>
          <cell r="AU87"/>
          <cell r="AV87"/>
          <cell r="AW87"/>
        </row>
        <row r="88">
          <cell r="AB88">
            <v>44184</v>
          </cell>
          <cell r="AC88" t="str">
            <v>Neto</v>
          </cell>
          <cell r="AD88"/>
          <cell r="AE88" t="str">
            <v>Centro Nacional de Golf</v>
          </cell>
          <cell r="AF88"/>
          <cell r="AG88"/>
          <cell r="AH88"/>
          <cell r="AI88"/>
          <cell r="AJ88"/>
          <cell r="AK88"/>
          <cell r="AL88"/>
          <cell r="AM88"/>
          <cell r="AN88"/>
          <cell r="AO88"/>
          <cell r="AP88"/>
          <cell r="AQ88"/>
          <cell r="AR88"/>
          <cell r="AS88"/>
          <cell r="AT88"/>
          <cell r="AU88"/>
          <cell r="AV88"/>
          <cell r="AW88"/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endario Puntos"/>
      <sheetName val="Jugadores"/>
      <sheetName val="Estadisticas 1"/>
      <sheetName val="Estadisticas 2"/>
      <sheetName val="Hoja1"/>
      <sheetName val="Plantilla torneos Neto-Layos"/>
      <sheetName val="Plantilla torneos Dif N"/>
      <sheetName val="BBDD torneos"/>
      <sheetName val="Clasificación Torneo"/>
      <sheetName val="Podio Torneos"/>
      <sheetName val="BBDD Clasificación"/>
      <sheetName val="Ranking Mejores Válidas"/>
      <sheetName val="Ranking Torneo Club Sin Campo"/>
      <sheetName val="Rdos Torneo - Puntos total"/>
      <sheetName val="Ranking"/>
      <sheetName val="Mejores Tarjetas"/>
      <sheetName val="Dif Brt y Net"/>
      <sheetName val="Handicap Juego"/>
      <sheetName val="Rev Handicaps"/>
      <sheetName val="Evoluc Handicap"/>
      <sheetName val="Hoja3"/>
      <sheetName val="Hoja2"/>
      <sheetName val="Handicaps Fechas"/>
      <sheetName val="Evoluc Handicaps"/>
      <sheetName val="TABLA HANDICAP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4">
          <cell r="E4">
            <v>1</v>
          </cell>
          <cell r="F4">
            <v>35</v>
          </cell>
          <cell r="G4">
            <v>36</v>
          </cell>
          <cell r="H4">
            <v>0.1</v>
          </cell>
          <cell r="I4">
            <v>0.1</v>
          </cell>
          <cell r="J4">
            <v>0.1</v>
          </cell>
          <cell r="K4">
            <v>0.1</v>
          </cell>
          <cell r="L4">
            <v>0.1</v>
          </cell>
          <cell r="M4">
            <v>0.1</v>
          </cell>
          <cell r="N4">
            <v>0.1</v>
          </cell>
          <cell r="O4">
            <v>0.1</v>
          </cell>
          <cell r="P4">
            <v>0.1</v>
          </cell>
          <cell r="Q4">
            <v>0.1</v>
          </cell>
          <cell r="R4">
            <v>0.1</v>
          </cell>
          <cell r="S4">
            <v>0.1</v>
          </cell>
          <cell r="T4">
            <v>0.1</v>
          </cell>
          <cell r="U4">
            <v>0.1</v>
          </cell>
          <cell r="V4">
            <v>0.1</v>
          </cell>
        </row>
        <row r="5">
          <cell r="E5">
            <v>2</v>
          </cell>
          <cell r="F5">
            <v>34</v>
          </cell>
          <cell r="G5">
            <v>36</v>
          </cell>
          <cell r="H5">
            <v>0.1</v>
          </cell>
          <cell r="I5">
            <v>0.2</v>
          </cell>
          <cell r="J5">
            <v>0.2</v>
          </cell>
          <cell r="K5">
            <v>0.2</v>
          </cell>
          <cell r="L5">
            <v>0.2</v>
          </cell>
          <cell r="M5">
            <v>0.3</v>
          </cell>
          <cell r="N5">
            <v>0.3</v>
          </cell>
          <cell r="O5">
            <v>0.3</v>
          </cell>
          <cell r="P5">
            <v>0.3</v>
          </cell>
          <cell r="Q5">
            <v>0.3</v>
          </cell>
          <cell r="R5">
            <v>1</v>
          </cell>
          <cell r="S5">
            <v>1</v>
          </cell>
          <cell r="T5">
            <v>1</v>
          </cell>
          <cell r="U5">
            <v>1</v>
          </cell>
          <cell r="V5">
            <v>1</v>
          </cell>
        </row>
        <row r="6">
          <cell r="E6">
            <v>3</v>
          </cell>
          <cell r="F6">
            <v>33</v>
          </cell>
          <cell r="G6">
            <v>36</v>
          </cell>
          <cell r="H6">
            <v>0.1</v>
          </cell>
          <cell r="I6">
            <v>0.3</v>
          </cell>
          <cell r="J6">
            <v>0.3</v>
          </cell>
          <cell r="K6">
            <v>0.3</v>
          </cell>
          <cell r="L6">
            <v>0.3</v>
          </cell>
          <cell r="M6">
            <v>0.5</v>
          </cell>
          <cell r="N6">
            <v>0.5</v>
          </cell>
          <cell r="O6">
            <v>0.5</v>
          </cell>
          <cell r="P6">
            <v>0.5</v>
          </cell>
          <cell r="Q6">
            <v>0.5</v>
          </cell>
          <cell r="R6">
            <v>1</v>
          </cell>
          <cell r="S6">
            <v>1</v>
          </cell>
          <cell r="T6">
            <v>1</v>
          </cell>
          <cell r="U6">
            <v>1</v>
          </cell>
          <cell r="V6">
            <v>1</v>
          </cell>
        </row>
        <row r="7">
          <cell r="E7">
            <v>4</v>
          </cell>
          <cell r="F7">
            <v>32</v>
          </cell>
          <cell r="G7">
            <v>36</v>
          </cell>
          <cell r="H7">
            <v>0.1</v>
          </cell>
          <cell r="I7">
            <v>0.4</v>
          </cell>
          <cell r="J7">
            <v>0.4</v>
          </cell>
          <cell r="K7">
            <v>0.4</v>
          </cell>
          <cell r="L7">
            <v>0.4</v>
          </cell>
          <cell r="M7">
            <v>0.7</v>
          </cell>
          <cell r="N7">
            <v>0.7</v>
          </cell>
          <cell r="O7">
            <v>0.7</v>
          </cell>
          <cell r="P7">
            <v>0.7</v>
          </cell>
          <cell r="Q7">
            <v>0.7</v>
          </cell>
          <cell r="R7">
            <v>1</v>
          </cell>
          <cell r="S7">
            <v>1</v>
          </cell>
          <cell r="T7">
            <v>1</v>
          </cell>
          <cell r="U7">
            <v>1</v>
          </cell>
          <cell r="V7">
            <v>1</v>
          </cell>
        </row>
        <row r="8">
          <cell r="E8">
            <v>5</v>
          </cell>
          <cell r="F8">
            <v>31</v>
          </cell>
          <cell r="G8">
            <v>36</v>
          </cell>
          <cell r="H8">
            <v>0.2</v>
          </cell>
          <cell r="I8">
            <v>0.5</v>
          </cell>
          <cell r="J8">
            <v>0.5</v>
          </cell>
          <cell r="K8">
            <v>0.5</v>
          </cell>
          <cell r="L8">
            <v>0.5</v>
          </cell>
          <cell r="M8">
            <v>0.9</v>
          </cell>
          <cell r="N8">
            <v>0.9</v>
          </cell>
          <cell r="O8">
            <v>0.9</v>
          </cell>
          <cell r="P8">
            <v>0.9</v>
          </cell>
          <cell r="Q8">
            <v>0.9</v>
          </cell>
          <cell r="R8">
            <v>1</v>
          </cell>
          <cell r="S8">
            <v>1</v>
          </cell>
          <cell r="T8">
            <v>1</v>
          </cell>
          <cell r="U8">
            <v>1</v>
          </cell>
          <cell r="V8">
            <v>1</v>
          </cell>
        </row>
        <row r="9">
          <cell r="E9">
            <v>6</v>
          </cell>
          <cell r="F9">
            <v>31</v>
          </cell>
          <cell r="G9">
            <v>36</v>
          </cell>
          <cell r="H9">
            <v>0.2</v>
          </cell>
          <cell r="I9">
            <v>0.5</v>
          </cell>
          <cell r="J9">
            <v>0.5</v>
          </cell>
          <cell r="K9">
            <v>0.5</v>
          </cell>
          <cell r="L9">
            <v>0.5</v>
          </cell>
          <cell r="M9">
            <v>0.9</v>
          </cell>
          <cell r="N9">
            <v>0.9</v>
          </cell>
          <cell r="O9">
            <v>0.9</v>
          </cell>
          <cell r="P9">
            <v>0.9</v>
          </cell>
          <cell r="Q9">
            <v>0.9</v>
          </cell>
          <cell r="R9">
            <v>1</v>
          </cell>
          <cell r="S9">
            <v>1</v>
          </cell>
          <cell r="T9">
            <v>1</v>
          </cell>
          <cell r="U9">
            <v>1</v>
          </cell>
          <cell r="V9">
            <v>1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varo Aguirre" refreshedDate="45981.367792592595" createdVersion="8" refreshedVersion="8" minRefreshableVersion="3" recordCount="40" xr:uid="{F160D5C6-CEA6-430E-AEFE-5B856CBF6421}">
  <cacheSource type="worksheet">
    <worksheetSource name="Asistente_Torneo"/>
  </cacheSource>
  <cacheFields count="13">
    <cacheField name="Nombre" numFmtId="0">
      <sharedItems count="40">
        <s v="Alejandro Arcos"/>
        <s v="Alfonso Hidalgo"/>
        <s v="Alvaro Aguirre"/>
        <s v="Alvaro Montoya"/>
        <s v="Angel Hernandez"/>
        <s v="Antonio Carmona"/>
        <s v="Carlos Maestro"/>
        <s v="David Sequera"/>
        <s v="Eduardo Buendía"/>
        <s v="Enrique Gonzalez R"/>
        <s v="Francisco Alvarez"/>
        <s v="Francisco Hidalgo"/>
        <s v="Franck Benouniche"/>
        <s v="GLEZ JUAN JOSÉ"/>
        <s v="Ignacio Cadarso"/>
        <s v="J. Enrique Gonzalez"/>
        <s v="Javier Arcos"/>
        <s v="Javier Cervera"/>
        <s v="Javier Chiralt"/>
        <s v="Javier Gonzalez Salvador"/>
        <s v="Javier Lopez Gullón"/>
        <s v="Jesus Touceda"/>
        <s v="Jorge Alberto Martínez Sánchez"/>
        <s v="José Pablo Guil"/>
        <s v="Juan Jose Aguado"/>
        <s v="Miche Lopez"/>
        <s v="Nacho Casas"/>
        <s v="Nacho Gonzalez"/>
        <s v="Ruslan Kochman"/>
        <s v="Alvaro Nieto"/>
        <s v="Carlos Hijas"/>
        <s v="Alfonso Zorrilla"/>
        <s v="Emiliano Buendía"/>
        <s v="Ignacio Gracia Charlez"/>
        <s v="Jaime Villanueva"/>
        <s v="Santi Diaz"/>
        <s v="Luis Fernandez"/>
        <s v="Javier Campo"/>
        <s v="Juan Luis Nieto"/>
        <s v="Jose Antonio Santana"/>
      </sharedItems>
    </cacheField>
    <cacheField name="2023" numFmtId="0">
      <sharedItems/>
    </cacheField>
    <cacheField name="1" numFmtId="0">
      <sharedItems containsNonDate="0" containsString="0" containsBlank="1"/>
    </cacheField>
    <cacheField name="2" numFmtId="0">
      <sharedItems containsNonDate="0" containsString="0" containsBlank="1"/>
    </cacheField>
    <cacheField name="3" numFmtId="0">
      <sharedItems containsNonDate="0" containsString="0" containsBlank="1"/>
    </cacheField>
    <cacheField name="4" numFmtId="0">
      <sharedItems containsNonDate="0" containsString="0" containsBlank="1"/>
    </cacheField>
    <cacheField name="5" numFmtId="0">
      <sharedItems containsNonDate="0" containsString="0" containsBlank="1"/>
    </cacheField>
    <cacheField name="6" numFmtId="0">
      <sharedItems containsNonDate="0" containsString="0" containsBlank="1"/>
    </cacheField>
    <cacheField name="7" numFmtId="0">
      <sharedItems containsNonDate="0" containsString="0" containsBlank="1"/>
    </cacheField>
    <cacheField name="8" numFmtId="0">
      <sharedItems containsNonDate="0" containsString="0" containsBlank="1"/>
    </cacheField>
    <cacheField name="9" numFmtId="0">
      <sharedItems containsNonDate="0" containsString="0" containsBlank="1"/>
    </cacheField>
    <cacheField name="10" numFmtId="0">
      <sharedItems containsNonDate="0" containsString="0" containsBlank="1" containsNumber="1" containsInteger="1" minValue="0" maxValue="6" count="8">
        <m/>
        <n v="5" u="1"/>
        <n v="0" u="1"/>
        <n v="4" u="1"/>
        <n v="1" u="1"/>
        <n v="2" u="1"/>
        <n v="3" u="1"/>
        <n v="6" u="1"/>
      </sharedItems>
    </cacheField>
    <cacheField name="11" numFmtId="0">
      <sharedItems containsNonDate="0" containsString="0" containsBlank="1" containsNumber="1" containsInteger="1" minValue="0" maxValue="7" count="9">
        <m/>
        <n v="7" u="1"/>
        <n v="1" u="1"/>
        <n v="5" u="1"/>
        <n v="6" u="1"/>
        <n v="0" u="1"/>
        <n v="3" u="1"/>
        <n v="2" u="1"/>
        <n v="4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varo Aguirre" refreshedDate="45981.367793055557" createdVersion="8" refreshedVersion="8" minRefreshableVersion="3" recordCount="2763" xr:uid="{11FF151C-3BCE-4942-9503-F161D18CC7DE}">
  <cacheSource type="worksheet">
    <worksheetSource name="dHdcp"/>
  </cacheSource>
  <cacheFields count="14">
    <cacheField name="Fecha" numFmtId="14">
      <sharedItems containsSemiMixedTypes="0" containsNonDate="0" containsDate="1" containsString="0" minDate="2018-07-28T00:00:00" maxDate="2025-10-19T00:00:00" count="94">
        <d v="2018-07-28T00:00:00"/>
        <d v="2018-07-29T00:00:00"/>
        <d v="2018-09-02T00:00:00"/>
        <d v="2018-10-28T00:00:00"/>
        <d v="2018-11-01T00:00:00"/>
        <d v="2018-11-14T00:00:00"/>
        <d v="2018-11-18T00:00:00"/>
        <d v="2019-01-05T00:00:00"/>
        <d v="2019-01-07T00:00:00"/>
        <d v="2019-01-26T00:00:00"/>
        <d v="2019-01-27T00:00:00"/>
        <d v="2019-02-14T00:00:00"/>
        <d v="2019-02-17T00:00:00"/>
        <d v="2019-03-31T00:00:00"/>
        <d v="2019-05-29T00:00:00"/>
        <d v="2019-07-09T00:00:00"/>
        <d v="2019-07-13T00:00:00"/>
        <d v="2019-09-06T00:00:00"/>
        <d v="2019-09-09T00:00:00"/>
        <d v="2019-10-17T00:00:00"/>
        <d v="2019-11-15T00:00:00"/>
        <d v="2019-11-17T00:00:00"/>
        <d v="2019-12-17T00:00:00"/>
        <d v="2020-01-24T00:00:00"/>
        <d v="2020-02-18T00:00:00"/>
        <d v="2020-06-10T00:00:00"/>
        <d v="2020-09-16T00:00:00"/>
        <d v="2020-12-13T00:00:00"/>
        <d v="2020-12-20T00:00:00"/>
        <d v="2021-02-14T00:00:00"/>
        <d v="2021-02-28T00:00:00"/>
        <d v="2021-04-17T00:00:00"/>
        <d v="2021-05-07T00:00:00"/>
        <d v="2021-05-15T00:00:00"/>
        <d v="2021-05-16T00:00:00"/>
        <d v="2021-06-05T00:00:00"/>
        <d v="2021-07-02T00:00:00"/>
        <d v="2021-07-03T00:00:00"/>
        <d v="2021-09-11T00:00:00"/>
        <d v="2021-10-16T00:00:00"/>
        <d v="2021-10-17T00:00:00"/>
        <d v="2021-11-13T00:00:00"/>
        <d v="2021-12-11T00:00:00"/>
        <d v="2021-12-16T00:00:00"/>
        <d v="2022-01-23T00:00:00"/>
        <d v="2022-02-06T00:00:00"/>
        <d v="2022-02-07T00:00:00"/>
        <d v="2022-03-12T00:00:00"/>
        <d v="2022-04-10T00:00:00"/>
        <d v="2022-05-07T00:00:00"/>
        <d v="2022-06-18T00:00:00"/>
        <d v="2022-06-19T00:00:00"/>
        <d v="2022-06-20T00:00:00"/>
        <d v="2022-07-09T00:00:00"/>
        <d v="2022-07-21T00:00:00"/>
        <d v="2022-09-25T00:00:00"/>
        <d v="2022-10-29T00:00:00"/>
        <d v="2022-11-19T00:00:00"/>
        <d v="2022-12-17T00:00:00"/>
        <d v="2023-01-16T00:00:00"/>
        <d v="2023-02-19T00:00:00"/>
        <d v="2023-03-25T00:00:00"/>
        <d v="2023-04-15T00:00:00"/>
        <d v="2023-05-27T00:00:00"/>
        <d v="2023-05-28T00:00:00"/>
        <d v="2023-07-01T00:00:00"/>
        <d v="2023-07-22T00:00:00"/>
        <d v="2023-09-23T00:00:00"/>
        <d v="2023-10-21T00:00:00"/>
        <d v="2023-11-18T00:00:00"/>
        <d v="2023-12-16T00:00:00"/>
        <d v="2024-02-10T00:00:00"/>
        <d v="2024-02-24T00:00:00"/>
        <d v="2024-03-09T00:00:00"/>
        <d v="2024-04-27T00:00:00"/>
        <d v="2024-05-18T00:00:00"/>
        <d v="2024-05-19T00:00:00"/>
        <d v="2024-06-01T00:00:00"/>
        <d v="2024-07-06T00:00:00"/>
        <d v="2024-10-12T00:00:00"/>
        <d v="2024-11-16T00:00:00"/>
        <d v="2024-11-30T00:00:00"/>
        <d v="2024-12-21T00:00:00"/>
        <d v="2025-01-11T00:00:00"/>
        <d v="2025-02-15T00:00:00"/>
        <d v="2025-03-22T00:00:00"/>
        <d v="2025-04-27T00:00:00"/>
        <d v="2025-05-17T00:00:00"/>
        <d v="2025-05-18T00:00:00"/>
        <d v="2025-06-21T00:00:00"/>
        <d v="2025-07-13T00:00:00"/>
        <d v="2025-09-20T00:00:00"/>
        <d v="2025-10-18T00:00:00"/>
        <d v="2023-03-22T00:00:00" u="1"/>
      </sharedItems>
    </cacheField>
    <cacheField name="Nombre" numFmtId="0">
      <sharedItems containsBlank="1" count="58">
        <s v="Alfonso Hidalgo"/>
        <s v="Alvaro Aguirre"/>
        <s v="Alvaro Nieto"/>
        <s v="Angel Hernandez"/>
        <s v="David Sequera"/>
        <s v="Francisco Alvarez"/>
        <s v="Francisco Hidalgo"/>
        <s v="GLEZ JUAN JOSÉ"/>
        <s v="Ignacio Cadarso"/>
        <s v="Iñigo Rosas"/>
        <s v="J. Enrique Gonzalez"/>
        <s v="Javier Cervera"/>
        <s v="Javier Gonzalez Salvador"/>
        <s v="Jesus Touceda"/>
        <s v="José Pablo Guil"/>
        <s v="Luis Escudero"/>
        <s v="Nacho Gonzalez"/>
        <s v="Pablo Munitiz"/>
        <s v="Ricardo Muelas"/>
        <s v="Miguel Diaz Del Moral"/>
        <s v="Luis Escudero"/>
        <s v="Miche Lopez"/>
        <s v="Alfonso Zorrilla"/>
        <s v="Alvaro Montoya"/>
        <s v="Franck Benouniche"/>
        <s v="Javier Chiralt"/>
        <s v="Javier Lopez Gullón"/>
        <s v="Nacho Casas"/>
        <s v="Ruslan Kochman"/>
        <s v="Enrique Gonzalez R"/>
        <s v="Alejandro Arcos"/>
        <s v="Antonio Carmona"/>
        <s v="Santi Diaz"/>
        <s v="Carlos Hijas"/>
        <s v="Carlos Maestro"/>
        <s v="Jaime Villanueva"/>
        <s v="Juan Jose Aguado"/>
        <s v="Ignacio Gracia Charlez"/>
        <s v="Jorge Alberto Martínez Sánchez"/>
        <s v="Eduardo Buendía"/>
        <s v="Emiliano Buendía"/>
        <s v="Javier Arcos"/>
        <s v="Javier Campo"/>
        <s v="Juan Luis Nieto"/>
        <s v="Luis Fernandez"/>
        <s v="Jose Antonio Santana"/>
        <s v="Javier Dodero de Solano"/>
        <s v="Angel Santana"/>
        <s v="Juan Sanz"/>
        <s v="Thomas Dauterman"/>
        <s v="Jorge Maestro Aguilera"/>
        <s v="Jesús Otero"/>
        <s v="Joaquín Sánchez"/>
        <s v="Jaime de la Cal"/>
        <s v="Miguel Angel Aguilera"/>
        <s v="Jaime Orlando Larregui"/>
        <s v="Victor Morillo"/>
        <m u="1"/>
      </sharedItems>
    </cacheField>
    <cacheField name="Handicap" numFmtId="164">
      <sharedItems containsSemiMixedTypes="0" containsString="0" containsNumber="1" minValue="-1.4" maxValue="36"/>
    </cacheField>
    <cacheField name="Cat" numFmtId="0">
      <sharedItems containsSemiMixedTypes="0" containsString="0" containsNumber="1" containsInteger="1" minValue="1" maxValue="5"/>
    </cacheField>
    <cacheField name="Tipo" numFmtId="0">
      <sharedItems/>
    </cacheField>
    <cacheField name="__PowerAppsId__" numFmtId="0">
      <sharedItems containsBlank="1"/>
    </cacheField>
    <cacheField name="Maximo" numFmtId="0">
      <sharedItems containsSemiMixedTypes="0" containsString="0" containsNumber="1" containsInteger="1" minValue="0" maxValue="1"/>
    </cacheField>
    <cacheField name="CodUltHand" numFmtId="0">
      <sharedItems/>
    </cacheField>
    <cacheField name="UltHandMote" numFmtId="0">
      <sharedItems/>
    </cacheField>
    <cacheField name="Ranking" numFmtId="0">
      <sharedItems containsMixedTypes="1" containsNumber="1" containsInteger="1" minValue="75" maxValue="2699"/>
    </cacheField>
    <cacheField name="Pos" numFmtId="0">
      <sharedItems containsMixedTypes="1" containsNumber="1" containsInteger="1" minValue="1" maxValue="40"/>
    </cacheField>
    <cacheField name="Orden" numFmtId="0">
      <sharedItems containsString="0" containsBlank="1" containsNumber="1" containsInteger="1" minValue="1" maxValue="41"/>
    </cacheField>
    <cacheField name="Columna1" numFmtId="0">
      <sharedItems/>
    </cacheField>
    <cacheField name="Columna2" numFmtId="0">
      <sharedItems containsSemiMixedTypes="0" containsString="0" containsNumber="1" containsInteger="1" minValue="1" maxValue="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varo Aguirre" refreshedDate="45981.367793171295" createdVersion="8" refreshedVersion="8" minRefreshableVersion="3" recordCount="30" xr:uid="{27740BC3-16D4-4FE8-B557-CB23055503D2}">
  <cacheSource type="worksheet">
    <worksheetSource name="Tabla13"/>
  </cacheSource>
  <cacheFields count="8">
    <cacheField name="Fecha" numFmtId="14">
      <sharedItems containsSemiMixedTypes="0" containsNonDate="0" containsDate="1" containsString="0" minDate="2022-07-21T00:00:00" maxDate="2022-07-22T00:00:00"/>
    </cacheField>
    <cacheField name="Jugador" numFmtId="0">
      <sharedItems count="30">
        <s v="Nacho Gonzalez"/>
        <s v="Nacho Casas"/>
        <s v="Alvaro Aguirre"/>
        <s v="Angel Hernandez"/>
        <s v="Alvaro Montoya"/>
        <s v="Ignacio Cadarso"/>
        <s v="Javier Chiralt"/>
        <s v="Alfonso Hidalgo"/>
        <s v="David Sequera"/>
        <s v="Francisco Hidalgo"/>
        <s v="Alvaro Nieto"/>
        <s v="Enrique Gonzalez R"/>
        <s v="Franck Benouniche"/>
        <s v="Francisco Alvarez"/>
        <s v="Javier Gonzalez Salvador"/>
        <s v="Javier Cervera"/>
        <s v="J. Enrique Gonzalez"/>
        <s v="Ruslan Kochman"/>
        <s v="GLEZ JUAN JOSÉ"/>
        <s v="Javier Lopez Gullón"/>
        <s v="Miche Lopez"/>
        <s v="Jesus Touceda"/>
        <s v="Miguel Diaz Del Moral"/>
        <s v="Alejandro Arcos"/>
        <s v="José Pablo Guil"/>
        <s v="Alfonso Zorrilla"/>
        <s v="Pablo Munitiz"/>
        <s v="Santi Diaz"/>
        <s v="Luis Escudero"/>
        <s v="Antonio Carmona"/>
      </sharedItems>
    </cacheField>
    <cacheField name="Hdcp" numFmtId="164">
      <sharedItems containsSemiMixedTypes="0" containsString="0" containsNumber="1" minValue="1.3" maxValue="25.3"/>
    </cacheField>
    <cacheField name="Socio" numFmtId="0">
      <sharedItems/>
    </cacheField>
    <cacheField name="Inscrito MP" numFmtId="0">
      <sharedItems containsSemiMixedTypes="0" containsString="0" containsNumber="1" containsInteger="1" minValue="0" maxValue="1"/>
    </cacheField>
    <cacheField name="RkHdcp" numFmtId="0">
      <sharedItems containsMixedTypes="1" containsNumber="1" containsInteger="1" minValue="1" maxValue="22"/>
    </cacheField>
    <cacheField name="Grupo" numFmtId="0">
      <sharedItems containsMixedTypes="1" containsNumber="1" containsInteger="1" minValue="1" maxValue="4" count="5">
        <n v="1"/>
        <n v="2"/>
        <n v="3"/>
        <n v="4"/>
        <s v="n.a."/>
      </sharedItems>
    </cacheField>
    <cacheField name="Opc 2" numFmtId="0">
      <sharedItems containsString="0" containsBlank="1" containsNumber="1" containsInteger="1" minValue="1" maxValue="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varo Aguirre" refreshedDate="45981.367793287034" createdVersion="7" refreshedVersion="8" minRefreshableVersion="3" recordCount="105" xr:uid="{854236C0-86BE-4667-8D87-81EB0CE4A35F}">
  <cacheSource type="worksheet">
    <worksheetSource name="CSC"/>
  </cacheSource>
  <cacheFields count="10">
    <cacheField name="Nombre" numFmtId="0">
      <sharedItems count="21">
        <s v="Alfonso Hidalgo"/>
        <s v="Alvaro Aguirre"/>
        <s v="Alvaro Nieto"/>
        <s v="Angel Hernandez"/>
        <s v="David Sequera"/>
        <s v="Francisco Alvarez"/>
        <s v="Francisco Hidalgo"/>
        <s v="Ignacio Cadarso"/>
        <s v="Nacho Gonzalez"/>
        <s v="Javier Cervera"/>
        <s v="Javier Gonzalez Salvador"/>
        <s v="Jesus Touceda"/>
        <s v="José Pablo Guil"/>
        <s v="GLEZ JUAN JOSÉ"/>
        <s v="J. Enrique Gonzalez"/>
        <s v="Luis Escudero"/>
        <s v="Miguel Diaz Del Moral"/>
        <s v="Pablo Munitiz"/>
        <s v="Ricardo Muelas"/>
        <s v="Iñigo Rosas"/>
        <s v="Miche Lopez"/>
      </sharedItems>
    </cacheField>
    <cacheField name="Mote" numFmtId="0">
      <sharedItems/>
    </cacheField>
    <cacheField name="Fecha CSC" numFmtId="14">
      <sharedItems containsNonDate="0" containsDate="1" containsString="0" containsBlank="1" minDate="2020-02-29T00:00:00" maxDate="2021-11-07T00:00:00"/>
    </cacheField>
    <cacheField name="Campo" numFmtId="0">
      <sharedItems containsBlank="1"/>
    </cacheField>
    <cacheField name="Prueba" numFmtId="0">
      <sharedItems containsString="0" containsBlank="1" containsNumber="1" containsInteger="1" minValue="1" maxValue="3" count="4">
        <n v="1"/>
        <m/>
        <n v="2"/>
        <n v="3"/>
      </sharedItems>
    </cacheField>
    <cacheField name="Tipo" numFmtId="0">
      <sharedItems containsBlank="1"/>
    </cacheField>
    <cacheField name="Resultado" numFmtId="0">
      <sharedItems containsString="0" containsBlank="1" containsNumber="1" containsInteger="1" minValue="0" maxValue="40"/>
    </cacheField>
    <cacheField name="W-L" numFmtId="0">
      <sharedItems containsBlank="1"/>
    </cacheField>
    <cacheField name="Tipo Torneo" numFmtId="0">
      <sharedItems containsBlank="1" count="4">
        <s v="Camp CSC"/>
        <m/>
        <s v="Previo 2020"/>
        <s v="Liga 2021"/>
      </sharedItems>
    </cacheField>
    <cacheField name="Puntos" numFmtId="0">
      <sharedItems containsString="0" containsBlank="1" containsNumber="1" minValue="0" maxValue="22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x v="0"/>
    <e v="#REF!"/>
    <m/>
    <m/>
    <m/>
    <m/>
    <m/>
    <m/>
    <m/>
    <m/>
    <m/>
    <x v="0"/>
    <x v="0"/>
  </r>
  <r>
    <x v="1"/>
    <e v="#REF!"/>
    <m/>
    <m/>
    <m/>
    <m/>
    <m/>
    <m/>
    <m/>
    <m/>
    <m/>
    <x v="0"/>
    <x v="0"/>
  </r>
  <r>
    <x v="2"/>
    <e v="#REF!"/>
    <m/>
    <m/>
    <m/>
    <m/>
    <m/>
    <m/>
    <m/>
    <m/>
    <m/>
    <x v="0"/>
    <x v="0"/>
  </r>
  <r>
    <x v="3"/>
    <e v="#REF!"/>
    <m/>
    <m/>
    <m/>
    <m/>
    <m/>
    <m/>
    <m/>
    <m/>
    <m/>
    <x v="0"/>
    <x v="0"/>
  </r>
  <r>
    <x v="4"/>
    <e v="#REF!"/>
    <m/>
    <m/>
    <m/>
    <m/>
    <m/>
    <m/>
    <m/>
    <m/>
    <m/>
    <x v="0"/>
    <x v="0"/>
  </r>
  <r>
    <x v="5"/>
    <e v="#REF!"/>
    <m/>
    <m/>
    <m/>
    <m/>
    <m/>
    <m/>
    <m/>
    <m/>
    <m/>
    <x v="0"/>
    <x v="0"/>
  </r>
  <r>
    <x v="6"/>
    <e v="#REF!"/>
    <m/>
    <m/>
    <m/>
    <m/>
    <m/>
    <m/>
    <m/>
    <m/>
    <m/>
    <x v="0"/>
    <x v="0"/>
  </r>
  <r>
    <x v="7"/>
    <e v="#REF!"/>
    <m/>
    <m/>
    <m/>
    <m/>
    <m/>
    <m/>
    <m/>
    <m/>
    <m/>
    <x v="0"/>
    <x v="0"/>
  </r>
  <r>
    <x v="8"/>
    <e v="#REF!"/>
    <m/>
    <m/>
    <m/>
    <m/>
    <m/>
    <m/>
    <m/>
    <m/>
    <m/>
    <x v="0"/>
    <x v="0"/>
  </r>
  <r>
    <x v="9"/>
    <e v="#REF!"/>
    <m/>
    <m/>
    <m/>
    <m/>
    <m/>
    <m/>
    <m/>
    <m/>
    <m/>
    <x v="0"/>
    <x v="0"/>
  </r>
  <r>
    <x v="10"/>
    <e v="#REF!"/>
    <m/>
    <m/>
    <m/>
    <m/>
    <m/>
    <m/>
    <m/>
    <m/>
    <m/>
    <x v="0"/>
    <x v="0"/>
  </r>
  <r>
    <x v="11"/>
    <e v="#REF!"/>
    <m/>
    <m/>
    <m/>
    <m/>
    <m/>
    <m/>
    <m/>
    <m/>
    <m/>
    <x v="0"/>
    <x v="0"/>
  </r>
  <r>
    <x v="12"/>
    <e v="#REF!"/>
    <m/>
    <m/>
    <m/>
    <m/>
    <m/>
    <m/>
    <m/>
    <m/>
    <m/>
    <x v="0"/>
    <x v="0"/>
  </r>
  <r>
    <x v="13"/>
    <e v="#REF!"/>
    <m/>
    <m/>
    <m/>
    <m/>
    <m/>
    <m/>
    <m/>
    <m/>
    <m/>
    <x v="0"/>
    <x v="0"/>
  </r>
  <r>
    <x v="14"/>
    <e v="#REF!"/>
    <m/>
    <m/>
    <m/>
    <m/>
    <m/>
    <m/>
    <m/>
    <m/>
    <m/>
    <x v="0"/>
    <x v="0"/>
  </r>
  <r>
    <x v="15"/>
    <e v="#REF!"/>
    <m/>
    <m/>
    <m/>
    <m/>
    <m/>
    <m/>
    <m/>
    <m/>
    <m/>
    <x v="0"/>
    <x v="0"/>
  </r>
  <r>
    <x v="16"/>
    <e v="#REF!"/>
    <m/>
    <m/>
    <m/>
    <m/>
    <m/>
    <m/>
    <m/>
    <m/>
    <m/>
    <x v="0"/>
    <x v="0"/>
  </r>
  <r>
    <x v="17"/>
    <e v="#REF!"/>
    <m/>
    <m/>
    <m/>
    <m/>
    <m/>
    <m/>
    <m/>
    <m/>
    <m/>
    <x v="0"/>
    <x v="0"/>
  </r>
  <r>
    <x v="18"/>
    <e v="#REF!"/>
    <m/>
    <m/>
    <m/>
    <m/>
    <m/>
    <m/>
    <m/>
    <m/>
    <m/>
    <x v="0"/>
    <x v="0"/>
  </r>
  <r>
    <x v="19"/>
    <e v="#REF!"/>
    <m/>
    <m/>
    <m/>
    <m/>
    <m/>
    <m/>
    <m/>
    <m/>
    <m/>
    <x v="0"/>
    <x v="0"/>
  </r>
  <r>
    <x v="20"/>
    <e v="#REF!"/>
    <m/>
    <m/>
    <m/>
    <m/>
    <m/>
    <m/>
    <m/>
    <m/>
    <m/>
    <x v="0"/>
    <x v="0"/>
  </r>
  <r>
    <x v="21"/>
    <e v="#REF!"/>
    <m/>
    <m/>
    <m/>
    <m/>
    <m/>
    <m/>
    <m/>
    <m/>
    <m/>
    <x v="0"/>
    <x v="0"/>
  </r>
  <r>
    <x v="22"/>
    <e v="#REF!"/>
    <m/>
    <m/>
    <m/>
    <m/>
    <m/>
    <m/>
    <m/>
    <m/>
    <m/>
    <x v="0"/>
    <x v="0"/>
  </r>
  <r>
    <x v="23"/>
    <e v="#REF!"/>
    <m/>
    <m/>
    <m/>
    <m/>
    <m/>
    <m/>
    <m/>
    <m/>
    <m/>
    <x v="0"/>
    <x v="0"/>
  </r>
  <r>
    <x v="24"/>
    <e v="#REF!"/>
    <m/>
    <m/>
    <m/>
    <m/>
    <m/>
    <m/>
    <m/>
    <m/>
    <m/>
    <x v="0"/>
    <x v="0"/>
  </r>
  <r>
    <x v="25"/>
    <e v="#REF!"/>
    <m/>
    <m/>
    <m/>
    <m/>
    <m/>
    <m/>
    <m/>
    <m/>
    <m/>
    <x v="0"/>
    <x v="0"/>
  </r>
  <r>
    <x v="26"/>
    <e v="#REF!"/>
    <m/>
    <m/>
    <m/>
    <m/>
    <m/>
    <m/>
    <m/>
    <m/>
    <m/>
    <x v="0"/>
    <x v="0"/>
  </r>
  <r>
    <x v="27"/>
    <e v="#REF!"/>
    <m/>
    <m/>
    <m/>
    <m/>
    <m/>
    <m/>
    <m/>
    <m/>
    <m/>
    <x v="0"/>
    <x v="0"/>
  </r>
  <r>
    <x v="28"/>
    <e v="#REF!"/>
    <m/>
    <m/>
    <m/>
    <m/>
    <m/>
    <m/>
    <m/>
    <m/>
    <m/>
    <x v="0"/>
    <x v="0"/>
  </r>
  <r>
    <x v="29"/>
    <e v="#REF!"/>
    <m/>
    <m/>
    <m/>
    <m/>
    <m/>
    <m/>
    <m/>
    <m/>
    <m/>
    <x v="0"/>
    <x v="0"/>
  </r>
  <r>
    <x v="30"/>
    <e v="#REF!"/>
    <m/>
    <m/>
    <m/>
    <m/>
    <m/>
    <m/>
    <m/>
    <m/>
    <m/>
    <x v="0"/>
    <x v="0"/>
  </r>
  <r>
    <x v="31"/>
    <e v="#REF!"/>
    <m/>
    <m/>
    <m/>
    <m/>
    <m/>
    <m/>
    <m/>
    <m/>
    <m/>
    <x v="0"/>
    <x v="0"/>
  </r>
  <r>
    <x v="32"/>
    <e v="#REF!"/>
    <m/>
    <m/>
    <m/>
    <m/>
    <m/>
    <m/>
    <m/>
    <m/>
    <m/>
    <x v="0"/>
    <x v="0"/>
  </r>
  <r>
    <x v="33"/>
    <e v="#REF!"/>
    <m/>
    <m/>
    <m/>
    <m/>
    <m/>
    <m/>
    <m/>
    <m/>
    <m/>
    <x v="0"/>
    <x v="0"/>
  </r>
  <r>
    <x v="34"/>
    <e v="#REF!"/>
    <m/>
    <m/>
    <m/>
    <m/>
    <m/>
    <m/>
    <m/>
    <m/>
    <m/>
    <x v="0"/>
    <x v="0"/>
  </r>
  <r>
    <x v="35"/>
    <e v="#REF!"/>
    <m/>
    <m/>
    <m/>
    <m/>
    <m/>
    <m/>
    <m/>
    <m/>
    <m/>
    <x v="0"/>
    <x v="0"/>
  </r>
  <r>
    <x v="36"/>
    <e v="#REF!"/>
    <m/>
    <m/>
    <m/>
    <m/>
    <m/>
    <m/>
    <m/>
    <m/>
    <m/>
    <x v="0"/>
    <x v="0"/>
  </r>
  <r>
    <x v="37"/>
    <e v="#REF!"/>
    <m/>
    <m/>
    <m/>
    <m/>
    <m/>
    <m/>
    <m/>
    <m/>
    <m/>
    <x v="0"/>
    <x v="0"/>
  </r>
  <r>
    <x v="38"/>
    <e v="#REF!"/>
    <m/>
    <m/>
    <m/>
    <m/>
    <m/>
    <m/>
    <m/>
    <m/>
    <m/>
    <x v="0"/>
    <x v="0"/>
  </r>
  <r>
    <x v="39"/>
    <e v="#REF!"/>
    <m/>
    <m/>
    <m/>
    <m/>
    <m/>
    <m/>
    <m/>
    <m/>
    <m/>
    <x v="0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63">
  <r>
    <x v="0"/>
    <x v="0"/>
    <n v="8.2999999999999989"/>
    <n v="2"/>
    <s v="Cuart"/>
    <s v="1d166cbc-8950-41ba-b862-b7c1e4a278c2"/>
    <n v="0"/>
    <s v="0:Alfonso Hidalgo"/>
    <s v="0:Alfonso"/>
    <s v=""/>
    <s v=""/>
    <m/>
    <s v="43309:Alfonso Hidalgo"/>
    <n v="1"/>
  </r>
  <r>
    <x v="0"/>
    <x v="1"/>
    <n v="5.3999999999999995"/>
    <n v="2"/>
    <s v="Cuart"/>
    <s v="79b71327-c489-4e4e-8aee-04ceed86c7f1"/>
    <n v="0"/>
    <s v="0:Alvaro Aguirre"/>
    <s v="0:Gifu"/>
    <s v=""/>
    <s v=""/>
    <m/>
    <s v="43309:Alvaro Aguirre"/>
    <n v="1"/>
  </r>
  <r>
    <x v="0"/>
    <x v="2"/>
    <n v="15.299999999999999"/>
    <n v="3"/>
    <s v="Cuart"/>
    <s v="bff6c657-8cb3-42d5-a667-3afecb8b6018"/>
    <n v="0"/>
    <s v="0:Alvaro Nieto"/>
    <s v="0:Alvaro"/>
    <s v=""/>
    <s v=""/>
    <m/>
    <s v="43309:Alvaro Nieto"/>
    <n v="1"/>
  </r>
  <r>
    <x v="0"/>
    <x v="3"/>
    <n v="6.1"/>
    <n v="2"/>
    <s v="Cuart"/>
    <s v="f4da60f7-6556-4cec-b67f-127c58a42ed7"/>
    <n v="0"/>
    <s v="0:Angel Hernandez"/>
    <s v="0:Angel"/>
    <s v=""/>
    <s v=""/>
    <m/>
    <s v="43309:Angel Hernandez"/>
    <n v="1"/>
  </r>
  <r>
    <x v="0"/>
    <x v="4"/>
    <n v="12.799999999999999"/>
    <n v="3"/>
    <s v="Cuart"/>
    <s v="9cf0222d-4b91-46c6-9a68-0333d0effab0"/>
    <n v="0"/>
    <s v="0:David Sequera"/>
    <s v="0:David"/>
    <s v=""/>
    <s v=""/>
    <m/>
    <s v="43309:David Sequera"/>
    <n v="1"/>
  </r>
  <r>
    <x v="0"/>
    <x v="5"/>
    <n v="17.2"/>
    <n v="3"/>
    <s v="Cuart"/>
    <s v="bd5a876f-4c32-47f2-95ca-3cf9616fc6f4"/>
    <n v="0"/>
    <s v="0:Francisco Alvarez"/>
    <s v="0:Paco"/>
    <s v=""/>
    <s v=""/>
    <m/>
    <s v="43309:Francisco Alvarez"/>
    <n v="1"/>
  </r>
  <r>
    <x v="0"/>
    <x v="6"/>
    <n v="13"/>
    <n v="3"/>
    <s v="Cuart"/>
    <s v="0fd1f4e5-6f7c-475d-b69a-12eb09fbf780"/>
    <n v="0"/>
    <s v="0:Francisco Hidalgo"/>
    <s v="0:Fran"/>
    <s v=""/>
    <s v=""/>
    <m/>
    <s v="43309:Francisco Hidalgo"/>
    <n v="1"/>
  </r>
  <r>
    <x v="0"/>
    <x v="7"/>
    <n v="16.600000000000001"/>
    <n v="3"/>
    <s v="Cuart"/>
    <s v="e587dc88-50d5-4ace-9960-9c5bb3fcb3a5"/>
    <n v="0"/>
    <s v="0:GLEZ JUAN JOSÉ"/>
    <s v="0:Juanjo"/>
    <s v=""/>
    <s v=""/>
    <m/>
    <s v="43309:GLEZ JUAN JOSÉ"/>
    <n v="1"/>
  </r>
  <r>
    <x v="0"/>
    <x v="8"/>
    <n v="7.2999999999999989"/>
    <n v="2"/>
    <s v="Cuart"/>
    <s v="2f34515d-633d-4eea-83c5-f98a6c893967"/>
    <n v="0"/>
    <s v="0:Ignacio Cadarso"/>
    <s v="0:Ignacio"/>
    <s v=""/>
    <s v=""/>
    <m/>
    <s v="43309:Ignacio Cadarso"/>
    <n v="1"/>
  </r>
  <r>
    <x v="0"/>
    <x v="9"/>
    <n v="13.3"/>
    <n v="3"/>
    <s v="Cuart"/>
    <s v="07c4d00c-33f1-4d99-bcbe-a5719fd91e28"/>
    <n v="0"/>
    <s v="0:Iñigo Rosas"/>
    <s v="0:"/>
    <s v=""/>
    <s v=""/>
    <m/>
    <s v="43309:Iñigo Rosas"/>
    <n v="1"/>
  </r>
  <r>
    <x v="0"/>
    <x v="10"/>
    <n v="19.000000000000004"/>
    <n v="4"/>
    <s v="Cuart"/>
    <s v="e609a2cd-d4d2-4130-b877-c56466bb8fc7"/>
    <n v="0"/>
    <s v="0:J. Enrique Gonzalez"/>
    <s v="0:Kike"/>
    <s v=""/>
    <s v=""/>
    <m/>
    <s v="43309:J. Enrique Gonzalez"/>
    <n v="1"/>
  </r>
  <r>
    <x v="0"/>
    <x v="11"/>
    <n v="12.9"/>
    <n v="3"/>
    <s v="Cuart"/>
    <s v="cbbca621-b918-4ef7-a741-caeb430a3c03"/>
    <n v="0"/>
    <s v="0:Javier Cervera"/>
    <s v="0:Virus"/>
    <s v=""/>
    <s v=""/>
    <m/>
    <s v="43309:Javier Cervera"/>
    <n v="1"/>
  </r>
  <r>
    <x v="0"/>
    <x v="12"/>
    <n v="9.9"/>
    <n v="2"/>
    <s v="Cuart"/>
    <s v="6e49d4cf-6aeb-4d2c-b290-b25eecf5969b"/>
    <n v="0"/>
    <s v="0:Javier Gonzalez Salvador"/>
    <s v="0:Javi"/>
    <s v=""/>
    <s v=""/>
    <m/>
    <s v="43309:Javier Gonzalez Salvador"/>
    <n v="1"/>
  </r>
  <r>
    <x v="0"/>
    <x v="13"/>
    <n v="21.3"/>
    <n v="4"/>
    <s v="Cuart"/>
    <s v="b3daa542-efa5-4e46-ac1d-14bc62643d6e"/>
    <n v="0"/>
    <s v="0:Jesus Touceda"/>
    <s v="0:Jesús"/>
    <s v=""/>
    <s v=""/>
    <m/>
    <s v="43309:Jesus Touceda"/>
    <n v="1"/>
  </r>
  <r>
    <x v="0"/>
    <x v="14"/>
    <n v="5.2999999999999989"/>
    <n v="2"/>
    <s v="Cuart"/>
    <s v="4894dffa-d1f4-4b53-a5ba-9abfc6dc2565"/>
    <n v="0"/>
    <s v="0:José Pablo Guil"/>
    <s v="0:JP"/>
    <s v=""/>
    <s v=""/>
    <m/>
    <s v="43309:José Pablo Guil"/>
    <n v="1"/>
  </r>
  <r>
    <x v="0"/>
    <x v="15"/>
    <n v="16.900000000000002"/>
    <n v="3"/>
    <s v="Cuart"/>
    <s v="9bc0ac85-8716-4eed-a6cf-980432b9e0cd"/>
    <n v="0"/>
    <s v="0:Luis Escudero"/>
    <s v="0:Lucho"/>
    <s v=""/>
    <s v=""/>
    <m/>
    <s v="43309:Luis Escudero"/>
    <n v="1"/>
  </r>
  <r>
    <x v="0"/>
    <x v="16"/>
    <n v="4.1000000000000014"/>
    <n v="1"/>
    <s v="Cuart"/>
    <s v="00af4f1f-a676-464c-ada9-a192df556a66"/>
    <n v="0"/>
    <s v="0:Nacho Gonzalez"/>
    <s v="0:Nacho"/>
    <s v=""/>
    <s v=""/>
    <m/>
    <s v="43309:Nacho Gonzalez"/>
    <n v="1"/>
  </r>
  <r>
    <x v="0"/>
    <x v="17"/>
    <n v="13.4"/>
    <n v="3"/>
    <s v="Cuart"/>
    <s v="d9d02747-52de-4320-80d9-931c543a894b"/>
    <n v="0"/>
    <s v="0:Pablo Munitiz"/>
    <s v="0:Muni"/>
    <s v=""/>
    <s v=""/>
    <m/>
    <s v="43309:Pablo Munitiz"/>
    <n v="1"/>
  </r>
  <r>
    <x v="0"/>
    <x v="18"/>
    <n v="10"/>
    <n v="2"/>
    <s v="Cuart"/>
    <s v="749fd436-808b-45fa-9874-dc8a83702855"/>
    <n v="0"/>
    <s v="0:Ricardo Muelas"/>
    <s v="0:"/>
    <s v=""/>
    <s v=""/>
    <m/>
    <s v="43309:Ricardo Muelas"/>
    <n v="1"/>
  </r>
  <r>
    <x v="1"/>
    <x v="0"/>
    <n v="8.1"/>
    <n v="2"/>
    <s v="Fed"/>
    <s v="5a273f39-010d-4586-9450-18b9a5556c9f"/>
    <n v="0"/>
    <s v="0:Alfonso Hidalgo"/>
    <s v="0:Alfonso"/>
    <s v=""/>
    <s v=""/>
    <m/>
    <s v="43310:Alfonso Hidalgo"/>
    <n v="1"/>
  </r>
  <r>
    <x v="1"/>
    <x v="1"/>
    <n v="5.3"/>
    <n v="2"/>
    <s v="Fed"/>
    <s v="f2b42593-1c97-4281-9832-23f568a4370c"/>
    <n v="0"/>
    <s v="0:Alvaro Aguirre"/>
    <s v="0:Gifu"/>
    <s v=""/>
    <s v=""/>
    <m/>
    <s v="43310:Alvaro Aguirre"/>
    <n v="1"/>
  </r>
  <r>
    <x v="1"/>
    <x v="2"/>
    <n v="15.1"/>
    <n v="3"/>
    <s v="Fed"/>
    <s v="a53f085a-a7b0-466b-9905-5e60333724c2"/>
    <n v="0"/>
    <s v="0:Alvaro Nieto"/>
    <s v="0:Alvaro"/>
    <s v=""/>
    <s v=""/>
    <m/>
    <s v="43310:Alvaro Nieto"/>
    <n v="1"/>
  </r>
  <r>
    <x v="1"/>
    <x v="3"/>
    <n v="6.7"/>
    <n v="2"/>
    <s v="Fed"/>
    <s v="c9ec0a26-b64e-4d85-b30f-93004095db40"/>
    <n v="0"/>
    <s v="0:Angel Hernandez"/>
    <s v="0:Angel"/>
    <s v=""/>
    <s v=""/>
    <m/>
    <s v="43310:Angel Hernandez"/>
    <n v="1"/>
  </r>
  <r>
    <x v="1"/>
    <x v="4"/>
    <n v="12.7"/>
    <n v="3"/>
    <s v="Fed"/>
    <s v="feba40e0-be69-47ef-8846-3551e7d2d348"/>
    <n v="0"/>
    <s v="0:David Sequera"/>
    <s v="0:David"/>
    <s v=""/>
    <s v=""/>
    <m/>
    <s v="43310:David Sequera"/>
    <n v="1"/>
  </r>
  <r>
    <x v="1"/>
    <x v="5"/>
    <n v="21"/>
    <n v="4"/>
    <s v="Fed"/>
    <s v="a520cf44-5c7d-4e97-9e48-ca0d9bcb12e9"/>
    <n v="0"/>
    <s v="0:Francisco Alvarez"/>
    <s v="0:Paco"/>
    <s v=""/>
    <s v=""/>
    <m/>
    <s v="43310:Francisco Alvarez"/>
    <n v="1"/>
  </r>
  <r>
    <x v="1"/>
    <x v="6"/>
    <n v="12.9"/>
    <n v="3"/>
    <s v="Fed"/>
    <s v="ac168ec4-ff74-4aa9-8f1a-da469883dd6a"/>
    <n v="0"/>
    <s v="0:Francisco Hidalgo"/>
    <s v="0:Fran"/>
    <s v=""/>
    <s v=""/>
    <m/>
    <s v="43310:Francisco Hidalgo"/>
    <n v="1"/>
  </r>
  <r>
    <x v="1"/>
    <x v="7"/>
    <n v="17.100000000000001"/>
    <n v="3"/>
    <s v="Fed"/>
    <s v="f0c5f4e8-93f1-4401-8ce4-db7e4478499c"/>
    <n v="0"/>
    <s v="0:GLEZ JUAN JOSÉ"/>
    <s v="0:Juanjo"/>
    <s v=""/>
    <s v=""/>
    <m/>
    <s v="43310:GLEZ JUAN JOSÉ"/>
    <n v="1"/>
  </r>
  <r>
    <x v="1"/>
    <x v="8"/>
    <n v="7.6"/>
    <n v="2"/>
    <s v="Fed"/>
    <s v="6deba88f-6405-4b5b-bb85-5d124be2992c"/>
    <n v="0"/>
    <s v="0:Ignacio Cadarso"/>
    <s v="0:Ignacio"/>
    <s v=""/>
    <s v=""/>
    <m/>
    <s v="43310:Ignacio Cadarso"/>
    <n v="1"/>
  </r>
  <r>
    <x v="1"/>
    <x v="9"/>
    <n v="14.5"/>
    <n v="3"/>
    <s v="Fed"/>
    <s v="a553225a-4f08-4205-b1ad-3b3ba6b88539"/>
    <n v="0"/>
    <s v="0:Iñigo Rosas"/>
    <s v="0:"/>
    <s v=""/>
    <s v=""/>
    <m/>
    <s v="43310:Iñigo Rosas"/>
    <n v="1"/>
  </r>
  <r>
    <x v="1"/>
    <x v="10"/>
    <n v="19.3"/>
    <n v="4"/>
    <s v="Fed"/>
    <s v="03a168eb-a148-4963-a75e-90e1f09eefde"/>
    <n v="0"/>
    <s v="0:J. Enrique Gonzalez"/>
    <s v="0:Kike"/>
    <s v=""/>
    <s v=""/>
    <m/>
    <s v="43310:J. Enrique Gonzalez"/>
    <n v="1"/>
  </r>
  <r>
    <x v="1"/>
    <x v="11"/>
    <n v="12.9"/>
    <n v="3"/>
    <s v="Fed"/>
    <s v="f13c805e-3aeb-4e80-b9e1-ec89e8be109e"/>
    <n v="0"/>
    <s v="0:Javier Cervera"/>
    <s v="0:Virus"/>
    <s v=""/>
    <s v=""/>
    <m/>
    <s v="43310:Javier Cervera"/>
    <n v="1"/>
  </r>
  <r>
    <x v="1"/>
    <x v="12"/>
    <n v="13.7"/>
    <n v="3"/>
    <s v="Fed"/>
    <s v="e409199c-e6da-49f6-82da-1f79306e67d6"/>
    <n v="0"/>
    <s v="0:Javier Gonzalez Salvador"/>
    <s v="0:Javi"/>
    <s v=""/>
    <s v=""/>
    <m/>
    <s v="43310:Javier Gonzalez Salvador"/>
    <n v="1"/>
  </r>
  <r>
    <x v="1"/>
    <x v="13"/>
    <n v="21.3"/>
    <n v="4"/>
    <s v="Fed"/>
    <s v="1e5cf8f3-821e-4f0a-b2c5-80b6a087759c"/>
    <n v="0"/>
    <s v="0:Jesus Touceda"/>
    <s v="0:Jesús"/>
    <s v=""/>
    <s v=""/>
    <m/>
    <s v="43310:Jesus Touceda"/>
    <n v="1"/>
  </r>
  <r>
    <x v="1"/>
    <x v="14"/>
    <n v="7.6"/>
    <n v="2"/>
    <s v="Fed"/>
    <s v="0a351fdf-e66e-4783-966f-02d5da4e1136"/>
    <n v="0"/>
    <s v="0:José Pablo Guil"/>
    <s v="0:JP"/>
    <s v=""/>
    <s v=""/>
    <m/>
    <s v="43310:José Pablo Guil"/>
    <n v="1"/>
  </r>
  <r>
    <x v="1"/>
    <x v="15"/>
    <n v="16.7"/>
    <n v="3"/>
    <s v="Fed"/>
    <s v="ddee1a49-b4d2-4449-8e43-a0b6e06f6123"/>
    <n v="0"/>
    <s v="0:Luis Escudero"/>
    <s v="0:Lucho"/>
    <s v=""/>
    <s v=""/>
    <m/>
    <s v="43310:Luis Escudero"/>
    <n v="1"/>
  </r>
  <r>
    <x v="1"/>
    <x v="16"/>
    <n v="5.9"/>
    <n v="2"/>
    <s v="Fed"/>
    <s v="24bd0b18-6635-4ca6-9c0d-16ea8e7cf33f"/>
    <n v="0"/>
    <s v="0:Nacho Gonzalez"/>
    <s v="0:Nacho"/>
    <s v=""/>
    <s v=""/>
    <m/>
    <s v="43310:Nacho Gonzalez"/>
    <n v="1"/>
  </r>
  <r>
    <x v="1"/>
    <x v="17"/>
    <n v="13.4"/>
    <n v="3"/>
    <s v="Fed"/>
    <s v="fdbb1d28-30a2-4000-9e7f-302399503871"/>
    <n v="0"/>
    <s v="0:Pablo Munitiz"/>
    <s v="0:Muni"/>
    <s v=""/>
    <s v=""/>
    <m/>
    <s v="43310:Pablo Munitiz"/>
    <n v="1"/>
  </r>
  <r>
    <x v="1"/>
    <x v="18"/>
    <n v="10"/>
    <n v="2"/>
    <s v="Fed"/>
    <s v="4ed6c680-ec50-44cf-9f29-9bacdec1ef08"/>
    <n v="0"/>
    <s v="0:Ricardo Muelas"/>
    <s v="0:"/>
    <s v=""/>
    <s v=""/>
    <m/>
    <s v="43310:Ricardo Muelas"/>
    <n v="1"/>
  </r>
  <r>
    <x v="2"/>
    <x v="0"/>
    <n v="8.1999999999999993"/>
    <n v="2"/>
    <s v="Fed"/>
    <s v="fc7705d8-18dc-4340-8f3d-3b93696da521"/>
    <n v="0"/>
    <s v="0:Alfonso Hidalgo"/>
    <s v="0:Alfonso"/>
    <s v=""/>
    <s v=""/>
    <m/>
    <s v="43345:Alfonso Hidalgo"/>
    <n v="1"/>
  </r>
  <r>
    <x v="2"/>
    <x v="1"/>
    <n v="5.3"/>
    <n v="2"/>
    <s v="Fed"/>
    <s v="8ac1a1d8-a131-4652-be88-26976507a2d6"/>
    <n v="0"/>
    <s v="0:Alvaro Aguirre"/>
    <s v="0:Gifu"/>
    <s v=""/>
    <s v=""/>
    <m/>
    <s v="43345:Alvaro Aguirre"/>
    <n v="1"/>
  </r>
  <r>
    <x v="2"/>
    <x v="2"/>
    <n v="15.2"/>
    <n v="3"/>
    <s v="Fed"/>
    <s v="4801d8fd-6a97-4f43-9082-54bf4261c19e"/>
    <n v="0"/>
    <s v="0:Alvaro Nieto"/>
    <s v="0:Alvaro"/>
    <s v=""/>
    <s v=""/>
    <m/>
    <s v="43345:Alvaro Nieto"/>
    <n v="1"/>
  </r>
  <r>
    <x v="2"/>
    <x v="3"/>
    <n v="6.7"/>
    <n v="2"/>
    <s v="Fed"/>
    <s v="fe0d0d23-37ad-4a03-b939-15e041008efb"/>
    <n v="0"/>
    <s v="0:Angel Hernandez"/>
    <s v="0:Angel"/>
    <s v=""/>
    <s v=""/>
    <m/>
    <s v="43345:Angel Hernandez"/>
    <n v="1"/>
  </r>
  <r>
    <x v="2"/>
    <x v="4"/>
    <n v="11.8"/>
    <n v="3"/>
    <s v="Fed"/>
    <s v="235d74a0-4926-4cf7-be60-0a679c0ae31c"/>
    <n v="0"/>
    <s v="0:David Sequera"/>
    <s v="0:David"/>
    <s v=""/>
    <s v=""/>
    <m/>
    <s v="43345:David Sequera"/>
    <n v="1"/>
  </r>
  <r>
    <x v="2"/>
    <x v="5"/>
    <n v="17.5"/>
    <n v="3"/>
    <s v="Fed"/>
    <s v="b7c80adb-0f99-4484-9ef8-e7a3e293a0ab"/>
    <n v="0"/>
    <s v="0:Francisco Alvarez"/>
    <s v="0:Paco"/>
    <s v=""/>
    <s v=""/>
    <m/>
    <s v="43345:Francisco Alvarez"/>
    <n v="1"/>
  </r>
  <r>
    <x v="2"/>
    <x v="6"/>
    <n v="12.9"/>
    <n v="3"/>
    <s v="Fed"/>
    <s v="32e573a0-ae59-402b-a404-c12c32d16df2"/>
    <n v="0"/>
    <s v="0:Francisco Hidalgo"/>
    <s v="0:Fran"/>
    <s v=""/>
    <s v=""/>
    <m/>
    <s v="43345:Francisco Hidalgo"/>
    <n v="1"/>
  </r>
  <r>
    <x v="2"/>
    <x v="7"/>
    <n v="17.2"/>
    <n v="3"/>
    <s v="Fed"/>
    <s v="b8c8ed6c-4bd1-4f98-a2b1-33542fbc6bcb"/>
    <n v="0"/>
    <s v="0:GLEZ JUAN JOSÉ"/>
    <s v="0:Juanjo"/>
    <s v=""/>
    <s v=""/>
    <m/>
    <s v="43345:GLEZ JUAN JOSÉ"/>
    <n v="1"/>
  </r>
  <r>
    <x v="2"/>
    <x v="8"/>
    <n v="6.5"/>
    <n v="2"/>
    <s v="Fed"/>
    <s v="29df00f1-5df9-4694-a741-8298875350eb"/>
    <n v="0"/>
    <s v="0:Ignacio Cadarso"/>
    <s v="0:Ignacio"/>
    <s v=""/>
    <s v=""/>
    <m/>
    <s v="43345:Ignacio Cadarso"/>
    <n v="1"/>
  </r>
  <r>
    <x v="2"/>
    <x v="9"/>
    <n v="14.5"/>
    <n v="3"/>
    <s v="Fed"/>
    <s v="59ec2dc2-b354-43e4-ad0f-6b829bf5fa83"/>
    <n v="0"/>
    <s v="0:Iñigo Rosas"/>
    <s v="0:"/>
    <s v=""/>
    <s v=""/>
    <m/>
    <s v="43345:Iñigo Rosas"/>
    <n v="1"/>
  </r>
  <r>
    <x v="2"/>
    <x v="10"/>
    <n v="19.399999999999999"/>
    <n v="4"/>
    <s v="Fed"/>
    <s v="1568b39b-fce6-4c20-83be-a8c996b6c6b6"/>
    <n v="0"/>
    <s v="0:J. Enrique Gonzalez"/>
    <s v="0:Kike"/>
    <s v=""/>
    <s v=""/>
    <m/>
    <s v="43345:J. Enrique Gonzalez"/>
    <n v="1"/>
  </r>
  <r>
    <x v="2"/>
    <x v="11"/>
    <n v="13"/>
    <n v="3"/>
    <s v="Fed"/>
    <s v="f1b8ff7e-3bbf-4302-b9f1-687c9c9f8753"/>
    <n v="0"/>
    <s v="0:Javier Cervera"/>
    <s v="0:Virus"/>
    <s v=""/>
    <s v=""/>
    <m/>
    <s v="43345:Javier Cervera"/>
    <n v="1"/>
  </r>
  <r>
    <x v="2"/>
    <x v="12"/>
    <n v="13.8"/>
    <n v="3"/>
    <s v="Fed"/>
    <s v="ca8d6318-c8b8-439b-861f-a4021588780d"/>
    <n v="0"/>
    <s v="0:Javier Gonzalez Salvador"/>
    <s v="0:Javi"/>
    <s v=""/>
    <s v=""/>
    <m/>
    <s v="43345:Javier Gonzalez Salvador"/>
    <n v="1"/>
  </r>
  <r>
    <x v="2"/>
    <x v="13"/>
    <n v="21.3"/>
    <n v="4"/>
    <s v="Fed"/>
    <s v="7755be0a-7469-4773-a862-e3593f539043"/>
    <n v="0"/>
    <s v="0:Jesus Touceda"/>
    <s v="0:Jesús"/>
    <s v=""/>
    <s v=""/>
    <m/>
    <s v="43345:Jesus Touceda"/>
    <n v="1"/>
  </r>
  <r>
    <x v="2"/>
    <x v="14"/>
    <n v="7.6"/>
    <n v="2"/>
    <s v="Fed"/>
    <s v="28231254-ebd0-4c46-8aa8-a1d5db95206f"/>
    <n v="0"/>
    <s v="0:José Pablo Guil"/>
    <s v="0:JP"/>
    <s v=""/>
    <s v=""/>
    <m/>
    <s v="43345:José Pablo Guil"/>
    <n v="1"/>
  </r>
  <r>
    <x v="2"/>
    <x v="15"/>
    <n v="16.8"/>
    <n v="3"/>
    <s v="Fed"/>
    <s v="f58a168c-f0e5-41a0-b723-bf62786bf413"/>
    <n v="0"/>
    <s v="0:Luis Escudero"/>
    <s v="0:Lucho"/>
    <s v=""/>
    <s v=""/>
    <m/>
    <s v="43345:Luis Escudero"/>
    <n v="1"/>
  </r>
  <r>
    <x v="2"/>
    <x v="16"/>
    <n v="6"/>
    <n v="2"/>
    <s v="Fed"/>
    <s v="56fc90d4-e6d5-4f68-9b7e-323bb89946fa"/>
    <n v="0"/>
    <s v="0:Nacho Gonzalez"/>
    <s v="0:Nacho"/>
    <s v=""/>
    <s v=""/>
    <m/>
    <s v="43345:Nacho Gonzalez"/>
    <n v="1"/>
  </r>
  <r>
    <x v="2"/>
    <x v="17"/>
    <n v="13.4"/>
    <n v="3"/>
    <s v="Fed"/>
    <s v="032ffcb4-d3c9-4345-b2e8-63a8aa7b4a95"/>
    <n v="0"/>
    <s v="0:Pablo Munitiz"/>
    <s v="0:Muni"/>
    <s v=""/>
    <s v=""/>
    <m/>
    <s v="43345:Pablo Munitiz"/>
    <n v="1"/>
  </r>
  <r>
    <x v="2"/>
    <x v="18"/>
    <n v="10"/>
    <n v="2"/>
    <s v="Fed"/>
    <s v="8601e5e4-836c-40fb-8eee-602806c0ca14"/>
    <n v="0"/>
    <s v="0:Ricardo Muelas"/>
    <s v="0:"/>
    <s v=""/>
    <s v=""/>
    <m/>
    <s v="43345:Ricardo Muelas"/>
    <n v="1"/>
  </r>
  <r>
    <x v="3"/>
    <x v="0"/>
    <n v="8.2999999999999989"/>
    <n v="2"/>
    <s v="Cuart"/>
    <s v="5bd05810-bdfc-43cc-b277-86c2de5412a9"/>
    <n v="0"/>
    <s v="0:Alfonso Hidalgo"/>
    <s v="0:Alfonso"/>
    <s v=""/>
    <s v=""/>
    <m/>
    <s v="43401:Alfonso Hidalgo"/>
    <n v="1"/>
  </r>
  <r>
    <x v="3"/>
    <x v="1"/>
    <n v="5.3999999999999995"/>
    <n v="2"/>
    <s v="Cuart"/>
    <s v="b97c73df-0046-46fd-b588-01761a90c765"/>
    <n v="0"/>
    <s v="0:Alvaro Aguirre"/>
    <s v="0:Gifu"/>
    <s v=""/>
    <s v=""/>
    <m/>
    <s v="43401:Alvaro Aguirre"/>
    <n v="1"/>
  </r>
  <r>
    <x v="3"/>
    <x v="2"/>
    <n v="15.2"/>
    <n v="3"/>
    <s v="Cuart"/>
    <s v="4a28cfa1-5bcd-4d35-9f4b-e8ce107f73a4"/>
    <n v="0"/>
    <s v="0:Alvaro Nieto"/>
    <s v="0:Alvaro"/>
    <s v=""/>
    <s v=""/>
    <m/>
    <s v="43401:Alvaro Nieto"/>
    <n v="1"/>
  </r>
  <r>
    <x v="3"/>
    <x v="3"/>
    <n v="6.1999999999999993"/>
    <n v="2"/>
    <s v="Cuart"/>
    <s v="418154a2-7ce3-4d42-8d3c-194860d63da4"/>
    <n v="0"/>
    <s v="0:Angel Hernandez"/>
    <s v="0:Angel"/>
    <s v=""/>
    <s v=""/>
    <m/>
    <s v="43401:Angel Hernandez"/>
    <n v="1"/>
  </r>
  <r>
    <x v="3"/>
    <x v="4"/>
    <n v="11.9"/>
    <n v="3"/>
    <s v="Cuart"/>
    <s v="98aa828a-1ad8-46bc-9ce0-1b3cb8ff375e"/>
    <n v="0"/>
    <s v="0:David Sequera"/>
    <s v="0:David"/>
    <s v=""/>
    <s v=""/>
    <m/>
    <s v="43401:David Sequera"/>
    <n v="1"/>
  </r>
  <r>
    <x v="3"/>
    <x v="5"/>
    <n v="17.2"/>
    <n v="3"/>
    <s v="Cuart"/>
    <s v="e5a71849-103a-4fd2-a7cc-0266dc5ad1dd"/>
    <n v="0"/>
    <s v="0:Francisco Alvarez"/>
    <s v="0:Paco"/>
    <s v=""/>
    <s v=""/>
    <m/>
    <s v="43401:Francisco Alvarez"/>
    <n v="1"/>
  </r>
  <r>
    <x v="3"/>
    <x v="6"/>
    <n v="13"/>
    <n v="3"/>
    <s v="Cuart"/>
    <s v="4dc90bfb-b45a-42bf-a414-55624bad7523"/>
    <n v="0"/>
    <s v="0:Francisco Hidalgo"/>
    <s v="0:Fran"/>
    <s v=""/>
    <s v=""/>
    <m/>
    <s v="43401:Francisco Hidalgo"/>
    <n v="1"/>
  </r>
  <r>
    <x v="3"/>
    <x v="7"/>
    <n v="16.700000000000003"/>
    <n v="3"/>
    <s v="Cuart"/>
    <s v="7056b31c-40d7-4567-9030-3de2556a8484"/>
    <n v="0"/>
    <s v="0:GLEZ JUAN JOSÉ"/>
    <s v="0:Juanjo"/>
    <s v=""/>
    <s v=""/>
    <m/>
    <s v="43401:GLEZ JUAN JOSÉ"/>
    <n v="1"/>
  </r>
  <r>
    <x v="3"/>
    <x v="8"/>
    <n v="6.6"/>
    <n v="2"/>
    <s v="Cuart"/>
    <s v="03757dac-d030-464f-820b-96bb6a4cf3fd"/>
    <n v="0"/>
    <s v="0:Ignacio Cadarso"/>
    <s v="0:Ignacio"/>
    <s v=""/>
    <s v=""/>
    <m/>
    <s v="43401:Ignacio Cadarso"/>
    <n v="1"/>
  </r>
  <r>
    <x v="3"/>
    <x v="9"/>
    <n v="13.3"/>
    <n v="3"/>
    <s v="Cuart"/>
    <s v="e853edcb-7ea8-40f1-b0c6-34b482afeb40"/>
    <n v="0"/>
    <s v="0:Iñigo Rosas"/>
    <s v="0:"/>
    <s v=""/>
    <s v=""/>
    <m/>
    <s v="43401:Iñigo Rosas"/>
    <n v="1"/>
  </r>
  <r>
    <x v="3"/>
    <x v="10"/>
    <n v="19.100000000000005"/>
    <n v="4"/>
    <s v="Cuart"/>
    <s v="696b6b1a-6b43-4aa2-a398-8dd4efe4f870"/>
    <n v="0"/>
    <s v="0:J. Enrique Gonzalez"/>
    <s v="0:Kike"/>
    <s v=""/>
    <s v=""/>
    <m/>
    <s v="43401:J. Enrique Gonzalez"/>
    <n v="1"/>
  </r>
  <r>
    <x v="3"/>
    <x v="11"/>
    <n v="13"/>
    <n v="3"/>
    <s v="Cuart"/>
    <s v="f309934c-66da-47ba-94fd-fb7f70b1927f"/>
    <n v="0"/>
    <s v="0:Javier Cervera"/>
    <s v="0:Virus"/>
    <s v=""/>
    <s v=""/>
    <m/>
    <s v="43401:Javier Cervera"/>
    <n v="1"/>
  </r>
  <r>
    <x v="3"/>
    <x v="12"/>
    <n v="10"/>
    <n v="2"/>
    <s v="Cuart"/>
    <s v="5b85ea84-9b2e-4f83-a50d-f6d4e07a290d"/>
    <n v="0"/>
    <s v="0:Javier Gonzalez Salvador"/>
    <s v="0:Javi"/>
    <s v=""/>
    <s v=""/>
    <m/>
    <s v="43401:Javier Gonzalez Salvador"/>
    <n v="1"/>
  </r>
  <r>
    <x v="3"/>
    <x v="13"/>
    <n v="21.400000000000002"/>
    <n v="4"/>
    <s v="Cuart"/>
    <s v="2bdfdb58-03dd-4329-bfc5-2d2831aa6390"/>
    <n v="0"/>
    <s v="0:Jesus Touceda"/>
    <s v="0:Jesús"/>
    <s v=""/>
    <s v=""/>
    <m/>
    <s v="43401:Jesus Touceda"/>
    <n v="1"/>
  </r>
  <r>
    <x v="3"/>
    <x v="14"/>
    <n v="5.2999999999999989"/>
    <n v="2"/>
    <s v="Cuart"/>
    <s v="cd92c8ca-e3a2-4b03-8f98-b3969f9bb73a"/>
    <n v="0"/>
    <s v="0:José Pablo Guil"/>
    <s v="0:JP"/>
    <s v=""/>
    <s v=""/>
    <m/>
    <s v="43401:José Pablo Guil"/>
    <n v="1"/>
  </r>
  <r>
    <x v="3"/>
    <x v="15"/>
    <n v="16.8"/>
    <n v="3"/>
    <s v="Cuart"/>
    <s v="96557c72-aa09-4820-9c75-ec7313de2d4a"/>
    <n v="0"/>
    <s v="0:Luis Escudero"/>
    <s v="0:Lucho"/>
    <s v=""/>
    <s v=""/>
    <m/>
    <s v="43401:Luis Escudero"/>
    <n v="1"/>
  </r>
  <r>
    <x v="3"/>
    <x v="16"/>
    <n v="4.2000000000000011"/>
    <n v="1"/>
    <s v="Cuart"/>
    <s v="6793d2d1-42ea-4824-8e14-14f22deb5b9a"/>
    <n v="0"/>
    <s v="0:Nacho Gonzalez"/>
    <s v="0:Nacho"/>
    <s v=""/>
    <s v=""/>
    <m/>
    <s v="43401:Nacho Gonzalez"/>
    <n v="1"/>
  </r>
  <r>
    <x v="3"/>
    <x v="17"/>
    <n v="13.4"/>
    <n v="3"/>
    <s v="Cuart"/>
    <s v="bc84bc4b-0bea-4261-89f2-e47a32c4a0f6"/>
    <n v="0"/>
    <s v="0:Pablo Munitiz"/>
    <s v="0:Muni"/>
    <s v=""/>
    <s v=""/>
    <m/>
    <s v="43401:Pablo Munitiz"/>
    <n v="1"/>
  </r>
  <r>
    <x v="3"/>
    <x v="18"/>
    <n v="10"/>
    <n v="2"/>
    <s v="Cuart"/>
    <s v="670c17dd-5fc0-449b-a1e6-ff02e5614f19"/>
    <n v="0"/>
    <s v="0:Ricardo Muelas"/>
    <s v="0:"/>
    <s v=""/>
    <s v=""/>
    <m/>
    <s v="43401:Ricardo Muelas"/>
    <n v="1"/>
  </r>
  <r>
    <x v="4"/>
    <x v="0"/>
    <n v="8.1999999999999993"/>
    <n v="2"/>
    <s v="Fed"/>
    <s v="c969bd43-75b4-4c5d-8c01-617c54645f2e"/>
    <n v="0"/>
    <s v="0:Alfonso Hidalgo"/>
    <s v="0:Alfonso"/>
    <s v=""/>
    <s v=""/>
    <m/>
    <s v="43405:Alfonso Hidalgo"/>
    <n v="2"/>
  </r>
  <r>
    <x v="4"/>
    <x v="0"/>
    <n v="7.9999999999999991"/>
    <n v="2"/>
    <s v="Cuart"/>
    <s v="16a1c1ef-1283-41d7-8950-99b602e1846b"/>
    <n v="0"/>
    <s v="0:Alfonso Hidalgo"/>
    <s v="0:Alfonso"/>
    <s v=""/>
    <s v=""/>
    <m/>
    <s v="43405:Alfonso Hidalgo"/>
    <n v="2"/>
  </r>
  <r>
    <x v="4"/>
    <x v="1"/>
    <n v="5.4"/>
    <n v="2"/>
    <s v="Fed"/>
    <s v="4c29a3f4-cdc2-4126-b662-12b872029fa7"/>
    <n v="0"/>
    <s v="0:Alvaro Aguirre"/>
    <s v="0:Gifu"/>
    <s v=""/>
    <s v=""/>
    <m/>
    <s v="43405:Alvaro Aguirre"/>
    <n v="2"/>
  </r>
  <r>
    <x v="4"/>
    <x v="1"/>
    <n v="5.3999999999999995"/>
    <n v="2"/>
    <s v="Cuart"/>
    <s v="0f5a80bd-ba37-4cab-8724-d14e1518c3eb"/>
    <n v="0"/>
    <s v="0:Alvaro Aguirre"/>
    <s v="0:Gifu"/>
    <s v=""/>
    <s v=""/>
    <m/>
    <s v="43405:Alvaro Aguirre"/>
    <n v="2"/>
  </r>
  <r>
    <x v="4"/>
    <x v="2"/>
    <n v="15.2"/>
    <n v="3"/>
    <s v="Fed"/>
    <s v="80baf625-6e47-4f25-9927-6938c09c25fd"/>
    <n v="0"/>
    <s v="0:Alvaro Nieto"/>
    <s v="0:Alvaro"/>
    <s v=""/>
    <s v=""/>
    <m/>
    <s v="43405:Alvaro Nieto"/>
    <n v="2"/>
  </r>
  <r>
    <x v="4"/>
    <x v="2"/>
    <n v="15.299999999999999"/>
    <n v="3"/>
    <s v="Cuart"/>
    <s v="e140ea2d-35ed-45e1-9d1f-ca25d6100625"/>
    <n v="0"/>
    <s v="0:Alvaro Nieto"/>
    <s v="0:Alvaro"/>
    <s v=""/>
    <s v=""/>
    <m/>
    <s v="43405:Alvaro Nieto"/>
    <n v="2"/>
  </r>
  <r>
    <x v="4"/>
    <x v="3"/>
    <n v="6.7"/>
    <n v="2"/>
    <s v="Fed"/>
    <s v="98a4f27b-02b9-438c-a0ab-412b9cb76346"/>
    <n v="0"/>
    <s v="0:Angel Hernandez"/>
    <s v="0:Angel"/>
    <s v=""/>
    <s v=""/>
    <m/>
    <s v="43405:Angel Hernandez"/>
    <n v="2"/>
  </r>
  <r>
    <x v="4"/>
    <x v="3"/>
    <n v="6.2999999999999989"/>
    <n v="2"/>
    <s v="Cuart"/>
    <s v="5bc420d4-3cad-4399-b573-e30f34acf030"/>
    <n v="0"/>
    <s v="0:Angel Hernandez"/>
    <s v="0:Angel"/>
    <s v=""/>
    <s v=""/>
    <m/>
    <s v="43405:Angel Hernandez"/>
    <n v="2"/>
  </r>
  <r>
    <x v="4"/>
    <x v="4"/>
    <n v="11.8"/>
    <n v="3"/>
    <s v="Fed"/>
    <s v="f93a3381-7095-41a0-bd19-0f545c256578"/>
    <n v="0"/>
    <s v="0:David Sequera"/>
    <s v="0:David"/>
    <s v=""/>
    <s v=""/>
    <m/>
    <s v="43405:David Sequera"/>
    <n v="2"/>
  </r>
  <r>
    <x v="4"/>
    <x v="4"/>
    <n v="11.9"/>
    <n v="3"/>
    <s v="Cuart"/>
    <s v="b2c2d2fa-cda0-4f96-979a-54c461c14023"/>
    <n v="0"/>
    <s v="0:David Sequera"/>
    <s v="0:David"/>
    <s v=""/>
    <s v=""/>
    <m/>
    <s v="43405:David Sequera"/>
    <n v="2"/>
  </r>
  <r>
    <x v="4"/>
    <x v="5"/>
    <n v="17.5"/>
    <n v="3"/>
    <s v="Fed"/>
    <s v="7f54858c-7212-4c41-85ea-ea8e0814278a"/>
    <n v="0"/>
    <s v="0:Francisco Alvarez"/>
    <s v="0:Paco"/>
    <s v=""/>
    <s v=""/>
    <m/>
    <s v="43405:Francisco Alvarez"/>
    <n v="2"/>
  </r>
  <r>
    <x v="4"/>
    <x v="5"/>
    <n v="17.2"/>
    <n v="3"/>
    <s v="Cuart"/>
    <s v="f3ff28cc-8066-48ca-a057-f77fb8fc4ffa"/>
    <n v="0"/>
    <s v="0:Francisco Alvarez"/>
    <s v="0:Paco"/>
    <s v=""/>
    <s v=""/>
    <m/>
    <s v="43405:Francisco Alvarez"/>
    <n v="2"/>
  </r>
  <r>
    <x v="4"/>
    <x v="6"/>
    <n v="12.9"/>
    <n v="3"/>
    <s v="Fed"/>
    <s v="ced5a964-3d77-41c9-904c-70963fba887d"/>
    <n v="0"/>
    <s v="0:Francisco Hidalgo"/>
    <s v="0:Fran"/>
    <s v=""/>
    <s v=""/>
    <m/>
    <s v="43405:Francisco Hidalgo"/>
    <n v="2"/>
  </r>
  <r>
    <x v="4"/>
    <x v="6"/>
    <n v="12.9"/>
    <n v="3"/>
    <s v="Cuart"/>
    <s v="d404eaec-24fc-4ef2-a4d2-b703efd8c8c1"/>
    <n v="0"/>
    <s v="0:Francisco Hidalgo"/>
    <s v="0:Fran"/>
    <s v=""/>
    <s v=""/>
    <m/>
    <s v="43405:Francisco Hidalgo"/>
    <n v="2"/>
  </r>
  <r>
    <x v="4"/>
    <x v="7"/>
    <n v="17.2"/>
    <n v="3"/>
    <s v="Fed"/>
    <s v="89e5395a-555b-4f39-ba95-44530e5ef8f4"/>
    <n v="0"/>
    <s v="0:GLEZ JUAN JOSÉ"/>
    <s v="0:Juanjo"/>
    <s v=""/>
    <s v=""/>
    <m/>
    <s v="43405:GLEZ JUAN JOSÉ"/>
    <n v="2"/>
  </r>
  <r>
    <x v="4"/>
    <x v="7"/>
    <n v="16.700000000000003"/>
    <n v="3"/>
    <s v="Cuart"/>
    <s v="7056b6e9-bbbe-40ea-90c5-5ceb0f71582b"/>
    <n v="0"/>
    <s v="0:GLEZ JUAN JOSÉ"/>
    <s v="0:Juanjo"/>
    <s v=""/>
    <s v=""/>
    <m/>
    <s v="43405:GLEZ JUAN JOSÉ"/>
    <n v="2"/>
  </r>
  <r>
    <x v="4"/>
    <x v="8"/>
    <n v="6.5"/>
    <n v="2"/>
    <s v="Fed"/>
    <s v="b1de6270-3b11-497a-bc3f-b7296a592725"/>
    <n v="0"/>
    <s v="0:Ignacio Cadarso"/>
    <s v="0:Ignacio"/>
    <s v=""/>
    <s v=""/>
    <m/>
    <s v="43405:Ignacio Cadarso"/>
    <n v="2"/>
  </r>
  <r>
    <x v="4"/>
    <x v="8"/>
    <n v="6.6"/>
    <n v="2"/>
    <s v="Cuart"/>
    <s v="ea706312-220e-40eb-859f-53bbd346dd14"/>
    <n v="0"/>
    <s v="0:Ignacio Cadarso"/>
    <s v="0:Ignacio"/>
    <s v=""/>
    <s v=""/>
    <m/>
    <s v="43405:Ignacio Cadarso"/>
    <n v="2"/>
  </r>
  <r>
    <x v="4"/>
    <x v="9"/>
    <n v="14.5"/>
    <n v="3"/>
    <s v="Fed"/>
    <s v="9c3fd1f7-4579-446c-8191-0e50ae9513aa"/>
    <n v="0"/>
    <s v="0:Iñigo Rosas"/>
    <s v="0:"/>
    <s v=""/>
    <s v=""/>
    <m/>
    <s v="43405:Iñigo Rosas"/>
    <n v="2"/>
  </r>
  <r>
    <x v="4"/>
    <x v="9"/>
    <n v="13.3"/>
    <n v="3"/>
    <s v="Cuart"/>
    <s v="0c9bf014-6f63-4cfa-b4ab-1fe3df83d5f5"/>
    <n v="0"/>
    <s v="0:Iñigo Rosas"/>
    <s v="0:"/>
    <s v=""/>
    <s v=""/>
    <m/>
    <s v="43405:Iñigo Rosas"/>
    <n v="2"/>
  </r>
  <r>
    <x v="4"/>
    <x v="10"/>
    <n v="19.399999999999999"/>
    <n v="4"/>
    <s v="Fed"/>
    <s v="e3b39b45-ee32-4303-b7fc-0a6ec6ae86c0"/>
    <n v="0"/>
    <s v="0:J. Enrique Gonzalez"/>
    <s v="0:Kike"/>
    <s v=""/>
    <s v=""/>
    <m/>
    <s v="43405:J. Enrique Gonzalez"/>
    <n v="2"/>
  </r>
  <r>
    <x v="4"/>
    <x v="10"/>
    <n v="19.100000000000005"/>
    <n v="4"/>
    <s v="Cuart"/>
    <s v="a0161313-cd92-43a7-ad3f-c4dfef10ee85"/>
    <n v="0"/>
    <s v="0:J. Enrique Gonzalez"/>
    <s v="0:Kike"/>
    <s v=""/>
    <s v=""/>
    <m/>
    <s v="43405:J. Enrique Gonzalez"/>
    <n v="2"/>
  </r>
  <r>
    <x v="4"/>
    <x v="11"/>
    <n v="13"/>
    <n v="3"/>
    <s v="Fed"/>
    <s v="5facbd42-808c-42a0-8b24-c285d856c964"/>
    <n v="0"/>
    <s v="0:Javier Cervera"/>
    <s v="0:Virus"/>
    <s v=""/>
    <s v=""/>
    <m/>
    <s v="43405:Javier Cervera"/>
    <n v="2"/>
  </r>
  <r>
    <x v="4"/>
    <x v="11"/>
    <n v="13.1"/>
    <n v="3"/>
    <s v="Cuart"/>
    <s v="a965b5a9-d2e9-460e-935a-3c1d4b42cd49"/>
    <n v="0"/>
    <s v="0:Javier Cervera"/>
    <s v="0:Virus"/>
    <s v=""/>
    <s v=""/>
    <m/>
    <s v="43405:Javier Cervera"/>
    <n v="2"/>
  </r>
  <r>
    <x v="4"/>
    <x v="12"/>
    <n v="13.8"/>
    <n v="3"/>
    <s v="Fed"/>
    <s v="e0889494-f12f-470a-9c40-236ebf6e4661"/>
    <n v="0"/>
    <s v="0:Javier Gonzalez Salvador"/>
    <s v="0:Javi"/>
    <s v=""/>
    <s v=""/>
    <m/>
    <s v="43405:Javier Gonzalez Salvador"/>
    <n v="2"/>
  </r>
  <r>
    <x v="4"/>
    <x v="12"/>
    <n v="10"/>
    <n v="2"/>
    <s v="Cuart"/>
    <s v="63625a8b-b717-44e2-ad8b-a545dfdd289d"/>
    <n v="0"/>
    <s v="0:Javier Gonzalez Salvador"/>
    <s v="0:Javi"/>
    <s v=""/>
    <s v=""/>
    <m/>
    <s v="43405:Javier Gonzalez Salvador"/>
    <n v="2"/>
  </r>
  <r>
    <x v="4"/>
    <x v="13"/>
    <n v="21.3"/>
    <n v="4"/>
    <s v="Fed"/>
    <s v="75338720-e282-479f-bf49-9cea545edc80"/>
    <n v="0"/>
    <s v="0:Jesus Touceda"/>
    <s v="0:Jesús"/>
    <s v=""/>
    <s v=""/>
    <m/>
    <s v="43405:Jesus Touceda"/>
    <n v="2"/>
  </r>
  <r>
    <x v="4"/>
    <x v="13"/>
    <n v="21.3"/>
    <n v="4"/>
    <s v="Cuart"/>
    <s v="30db3f39-7f99-459d-a07d-52450e8a65a9"/>
    <n v="0"/>
    <s v="0:Jesus Touceda"/>
    <s v="0:Jesús"/>
    <s v=""/>
    <s v=""/>
    <m/>
    <s v="43405:Jesus Touceda"/>
    <n v="2"/>
  </r>
  <r>
    <x v="4"/>
    <x v="14"/>
    <n v="7.6"/>
    <n v="2"/>
    <s v="Fed"/>
    <s v="4d1ad4ca-3999-4f2d-96f4-eaf12e2d1627"/>
    <n v="0"/>
    <s v="0:José Pablo Guil"/>
    <s v="0:JP"/>
    <s v=""/>
    <s v=""/>
    <m/>
    <s v="43405:José Pablo Guil"/>
    <n v="2"/>
  </r>
  <r>
    <x v="4"/>
    <x v="14"/>
    <n v="5.2999999999999989"/>
    <n v="2"/>
    <s v="Cuart"/>
    <s v="e9127866-a6f1-46fb-94ec-b8509476f69d"/>
    <n v="0"/>
    <s v="0:José Pablo Guil"/>
    <s v="0:JP"/>
    <s v=""/>
    <s v=""/>
    <m/>
    <s v="43405:José Pablo Guil"/>
    <n v="2"/>
  </r>
  <r>
    <x v="4"/>
    <x v="15"/>
    <n v="16.8"/>
    <n v="3"/>
    <s v="Fed"/>
    <s v="974fe26c-555c-4f08-a4d8-08d1bafc5017"/>
    <n v="0"/>
    <s v="0:Luis Escudero"/>
    <s v="0:Lucho"/>
    <s v=""/>
    <s v=""/>
    <m/>
    <s v="43405:Luis Escudero"/>
    <n v="2"/>
  </r>
  <r>
    <x v="4"/>
    <x v="15"/>
    <n v="16.900000000000002"/>
    <n v="3"/>
    <s v="Cuart"/>
    <s v="36e1b2fe-48bd-4d83-8b0a-cf16ec37538f"/>
    <n v="0"/>
    <s v="0:Luis Escudero"/>
    <s v="0:Lucho"/>
    <s v=""/>
    <s v=""/>
    <m/>
    <s v="43405:Luis Escudero"/>
    <n v="2"/>
  </r>
  <r>
    <x v="4"/>
    <x v="16"/>
    <n v="6"/>
    <n v="2"/>
    <s v="Fed"/>
    <s v="490d06c9-4b0e-450d-b465-914d5d56f899"/>
    <n v="0"/>
    <s v="0:Nacho Gonzalez"/>
    <s v="0:Nacho"/>
    <s v=""/>
    <s v=""/>
    <m/>
    <s v="43405:Nacho Gonzalez"/>
    <n v="2"/>
  </r>
  <r>
    <x v="4"/>
    <x v="16"/>
    <n v="4.2000000000000011"/>
    <n v="1"/>
    <s v="Cuart"/>
    <s v="01ebdbc6-f8e3-42eb-ae3a-1ad97b386bc7"/>
    <n v="0"/>
    <s v="0:Nacho Gonzalez"/>
    <s v="0:Nacho"/>
    <s v=""/>
    <s v=""/>
    <m/>
    <s v="43405:Nacho Gonzalez"/>
    <n v="2"/>
  </r>
  <r>
    <x v="4"/>
    <x v="17"/>
    <n v="13.4"/>
    <n v="3"/>
    <s v="Fed"/>
    <s v="43f1ac68-3277-4eec-888f-78d0d0f69fb7"/>
    <n v="0"/>
    <s v="0:Pablo Munitiz"/>
    <s v="0:Muni"/>
    <s v=""/>
    <s v=""/>
    <m/>
    <s v="43405:Pablo Munitiz"/>
    <n v="2"/>
  </r>
  <r>
    <x v="4"/>
    <x v="17"/>
    <n v="13.4"/>
    <n v="3"/>
    <s v="Cuart"/>
    <s v="98cac75f-fa49-4c99-a04c-8b4117cc79a4"/>
    <n v="0"/>
    <s v="0:Pablo Munitiz"/>
    <s v="0:Muni"/>
    <s v=""/>
    <s v=""/>
    <m/>
    <s v="43405:Pablo Munitiz"/>
    <n v="2"/>
  </r>
  <r>
    <x v="4"/>
    <x v="18"/>
    <n v="10.1"/>
    <n v="2"/>
    <s v="Fed"/>
    <s v="ab249e55-aa43-4a07-b5d2-dfc5bb231cfa"/>
    <n v="0"/>
    <s v="0:Ricardo Muelas"/>
    <s v="0:"/>
    <s v=""/>
    <s v=""/>
    <m/>
    <s v="43405:Ricardo Muelas"/>
    <n v="2"/>
  </r>
  <r>
    <x v="4"/>
    <x v="18"/>
    <n v="10"/>
    <n v="2"/>
    <s v="Cuart"/>
    <s v="99fe8ce6-c0e9-44ee-b646-a730d374a263"/>
    <n v="0"/>
    <s v="0:Ricardo Muelas"/>
    <s v="0:"/>
    <s v=""/>
    <s v=""/>
    <m/>
    <s v="43405:Ricardo Muelas"/>
    <n v="2"/>
  </r>
  <r>
    <x v="5"/>
    <x v="0"/>
    <n v="8.1999999999999993"/>
    <n v="2"/>
    <s v="Fed"/>
    <s v="c409dcc5-67f6-4444-a8ff-1a22f621c92f"/>
    <n v="0"/>
    <s v="0:Alfonso Hidalgo"/>
    <s v="0:Alfonso"/>
    <s v=""/>
    <s v=""/>
    <m/>
    <s v="43418:Alfonso Hidalgo"/>
    <n v="1"/>
  </r>
  <r>
    <x v="5"/>
    <x v="1"/>
    <n v="5.4"/>
    <n v="2"/>
    <s v="Fed"/>
    <s v="f22c8f64-998a-4346-9b3c-d8b2aeec943e"/>
    <n v="0"/>
    <s v="0:Alvaro Aguirre"/>
    <s v="0:Gifu"/>
    <s v=""/>
    <s v=""/>
    <m/>
    <s v="43418:Alvaro Aguirre"/>
    <n v="1"/>
  </r>
  <r>
    <x v="5"/>
    <x v="2"/>
    <n v="15.2"/>
    <n v="3"/>
    <s v="Fed"/>
    <s v="b3943220-27ea-4de1-9ca5-14355f89870f"/>
    <n v="0"/>
    <s v="0:Alvaro Nieto"/>
    <s v="0:Alvaro"/>
    <s v=""/>
    <s v=""/>
    <m/>
    <s v="43418:Alvaro Nieto"/>
    <n v="1"/>
  </r>
  <r>
    <x v="5"/>
    <x v="3"/>
    <n v="6.7"/>
    <n v="2"/>
    <s v="Fed"/>
    <s v="11e4158a-9494-4226-b277-774a348e1ca5"/>
    <n v="0"/>
    <s v="0:Angel Hernandez"/>
    <s v="0:Angel"/>
    <s v=""/>
    <s v=""/>
    <m/>
    <s v="43418:Angel Hernandez"/>
    <n v="1"/>
  </r>
  <r>
    <x v="5"/>
    <x v="4"/>
    <n v="11.8"/>
    <n v="3"/>
    <s v="Fed"/>
    <s v="604f7f61-dee4-4d55-86c0-9e9304c072ec"/>
    <n v="0"/>
    <s v="0:David Sequera"/>
    <s v="0:David"/>
    <s v=""/>
    <s v=""/>
    <m/>
    <s v="43418:David Sequera"/>
    <n v="1"/>
  </r>
  <r>
    <x v="5"/>
    <x v="5"/>
    <n v="17.5"/>
    <n v="3"/>
    <s v="Fed"/>
    <s v="0729926d-ee0a-4b36-bc71-f8f227e45ae2"/>
    <n v="0"/>
    <s v="0:Francisco Alvarez"/>
    <s v="0:Paco"/>
    <s v=""/>
    <s v=""/>
    <m/>
    <s v="43418:Francisco Alvarez"/>
    <n v="1"/>
  </r>
  <r>
    <x v="5"/>
    <x v="6"/>
    <n v="12.9"/>
    <n v="3"/>
    <s v="Fed"/>
    <s v="ce235d02-72d0-4375-b6d5-258fe58f4a94"/>
    <n v="0"/>
    <s v="0:Francisco Hidalgo"/>
    <s v="0:Fran"/>
    <s v=""/>
    <s v=""/>
    <m/>
    <s v="43418:Francisco Hidalgo"/>
    <n v="1"/>
  </r>
  <r>
    <x v="5"/>
    <x v="7"/>
    <n v="17.2"/>
    <n v="3"/>
    <s v="Fed"/>
    <s v="6e0cc60c-75c9-4a90-8745-2081a7fcd0c9"/>
    <n v="0"/>
    <s v="0:GLEZ JUAN JOSÉ"/>
    <s v="0:Juanjo"/>
    <s v=""/>
    <s v=""/>
    <m/>
    <s v="43418:GLEZ JUAN JOSÉ"/>
    <n v="1"/>
  </r>
  <r>
    <x v="5"/>
    <x v="8"/>
    <n v="6.5"/>
    <n v="2"/>
    <s v="Fed"/>
    <s v="ee2057f1-fb92-42d1-8845-f4e9e1af1cba"/>
    <n v="0"/>
    <s v="0:Ignacio Cadarso"/>
    <s v="0:Ignacio"/>
    <s v=""/>
    <s v=""/>
    <m/>
    <s v="43418:Ignacio Cadarso"/>
    <n v="1"/>
  </r>
  <r>
    <x v="5"/>
    <x v="9"/>
    <n v="14.5"/>
    <n v="3"/>
    <s v="Fed"/>
    <s v="73df03a1-6a84-4ff3-8fce-20c34872687d"/>
    <n v="0"/>
    <s v="0:Iñigo Rosas"/>
    <s v="0:"/>
    <s v=""/>
    <s v=""/>
    <m/>
    <s v="43418:Iñigo Rosas"/>
    <n v="1"/>
  </r>
  <r>
    <x v="5"/>
    <x v="10"/>
    <n v="19.399999999999999"/>
    <n v="4"/>
    <s v="Fed"/>
    <s v="e25eff55-0da0-4226-abfa-7828b3aa2e47"/>
    <n v="0"/>
    <s v="0:J. Enrique Gonzalez"/>
    <s v="0:Kike"/>
    <s v=""/>
    <s v=""/>
    <m/>
    <s v="43418:J. Enrique Gonzalez"/>
    <n v="1"/>
  </r>
  <r>
    <x v="5"/>
    <x v="11"/>
    <n v="13"/>
    <n v="3"/>
    <s v="Fed"/>
    <s v="1889d061-ef0a-40be-8df4-f94e55d4c667"/>
    <n v="0"/>
    <s v="0:Javier Cervera"/>
    <s v="0:Virus"/>
    <s v=""/>
    <s v=""/>
    <m/>
    <s v="43418:Javier Cervera"/>
    <n v="1"/>
  </r>
  <r>
    <x v="5"/>
    <x v="12"/>
    <n v="13.8"/>
    <n v="3"/>
    <s v="Fed"/>
    <s v="1039c434-fba4-4a57-91f4-39796636bbde"/>
    <n v="0"/>
    <s v="0:Javier Gonzalez Salvador"/>
    <s v="0:Javi"/>
    <s v=""/>
    <s v=""/>
    <m/>
    <s v="43418:Javier Gonzalez Salvador"/>
    <n v="1"/>
  </r>
  <r>
    <x v="5"/>
    <x v="13"/>
    <n v="21.3"/>
    <n v="4"/>
    <s v="Fed"/>
    <s v="458a1cad-b800-4f1b-af25-aa23867b37cc"/>
    <n v="0"/>
    <s v="0:Jesus Touceda"/>
    <s v="0:Jesús"/>
    <s v=""/>
    <s v=""/>
    <m/>
    <s v="43418:Jesus Touceda"/>
    <n v="1"/>
  </r>
  <r>
    <x v="5"/>
    <x v="14"/>
    <n v="7.6"/>
    <n v="2"/>
    <s v="Fed"/>
    <s v="89bee348-ebed-4cf8-86ab-05a1dc38aeb0"/>
    <n v="0"/>
    <s v="0:José Pablo Guil"/>
    <s v="0:JP"/>
    <s v=""/>
    <s v=""/>
    <m/>
    <s v="43418:José Pablo Guil"/>
    <n v="1"/>
  </r>
  <r>
    <x v="5"/>
    <x v="15"/>
    <n v="16.8"/>
    <n v="3"/>
    <s v="Fed"/>
    <s v="9a1f3996-7813-4a7a-8dcc-8cbdd6a932f1"/>
    <n v="0"/>
    <s v="0:Luis Escudero"/>
    <s v="0:Lucho"/>
    <s v=""/>
    <s v=""/>
    <m/>
    <s v="43418:Luis Escudero"/>
    <n v="1"/>
  </r>
  <r>
    <x v="5"/>
    <x v="16"/>
    <n v="6"/>
    <n v="2"/>
    <s v="Fed"/>
    <s v="57087469-898e-4bc2-bc68-585d7b4c70e1"/>
    <n v="0"/>
    <s v="0:Nacho Gonzalez"/>
    <s v="0:Nacho"/>
    <s v=""/>
    <s v=""/>
    <m/>
    <s v="43418:Nacho Gonzalez"/>
    <n v="1"/>
  </r>
  <r>
    <x v="5"/>
    <x v="17"/>
    <n v="13.4"/>
    <n v="3"/>
    <s v="Fed"/>
    <s v="4f4fb152-1348-433b-8bc1-1acfb6542757"/>
    <n v="0"/>
    <s v="0:Pablo Munitiz"/>
    <s v="0:Muni"/>
    <s v=""/>
    <s v=""/>
    <m/>
    <s v="43418:Pablo Munitiz"/>
    <n v="1"/>
  </r>
  <r>
    <x v="5"/>
    <x v="18"/>
    <n v="10.1"/>
    <n v="2"/>
    <s v="Fed"/>
    <s v="02ec17b5-52b8-44d8-bc16-4c59ef9a1a95"/>
    <n v="0"/>
    <s v="0:Ricardo Muelas"/>
    <s v="0:"/>
    <s v=""/>
    <s v=""/>
    <m/>
    <s v="43418:Ricardo Muelas"/>
    <n v="1"/>
  </r>
  <r>
    <x v="6"/>
    <x v="0"/>
    <n v="7.3999999999999986"/>
    <n v="2"/>
    <s v="Cuart"/>
    <s v="2602c9a0-27f6-475f-b65d-5250c33bad28"/>
    <n v="0"/>
    <s v="0:Alfonso Hidalgo"/>
    <s v="0:Alfonso"/>
    <s v=""/>
    <s v=""/>
    <m/>
    <s v="43422:Alfonso Hidalgo"/>
    <n v="1"/>
  </r>
  <r>
    <x v="6"/>
    <x v="1"/>
    <n v="5.3999999999999995"/>
    <n v="2"/>
    <s v="Cuart"/>
    <s v="20d8540f-7043-427a-86f2-449fe905c517"/>
    <n v="0"/>
    <s v="0:Alvaro Aguirre"/>
    <s v="0:Gifu"/>
    <s v=""/>
    <s v=""/>
    <m/>
    <s v="43422:Alvaro Aguirre"/>
    <n v="1"/>
  </r>
  <r>
    <x v="6"/>
    <x v="2"/>
    <n v="15.299999999999999"/>
    <n v="3"/>
    <s v="Cuart"/>
    <s v="398c221d-c250-41da-9cb2-a26a727f9d77"/>
    <n v="0"/>
    <s v="0:Alvaro Nieto"/>
    <s v="0:Alvaro"/>
    <s v=""/>
    <s v=""/>
    <m/>
    <s v="43422:Alvaro Nieto"/>
    <n v="1"/>
  </r>
  <r>
    <x v="6"/>
    <x v="3"/>
    <n v="6.2999999999999989"/>
    <n v="2"/>
    <s v="Cuart"/>
    <s v="b9f9ec35-a208-4cb8-bbab-8b720be25559"/>
    <n v="0"/>
    <s v="0:Angel Hernandez"/>
    <s v="0:Angel"/>
    <s v=""/>
    <s v=""/>
    <m/>
    <s v="43422:Angel Hernandez"/>
    <n v="1"/>
  </r>
  <r>
    <x v="6"/>
    <x v="4"/>
    <n v="11.9"/>
    <n v="3"/>
    <s v="Cuart"/>
    <s v="b61001bc-f2a2-4a9a-90cd-9fd77cb72351"/>
    <n v="0"/>
    <s v="0:David Sequera"/>
    <s v="0:David"/>
    <s v=""/>
    <s v=""/>
    <m/>
    <s v="43422:David Sequera"/>
    <n v="1"/>
  </r>
  <r>
    <x v="6"/>
    <x v="5"/>
    <n v="16.3"/>
    <n v="3"/>
    <s v="Cuart"/>
    <s v="29bd1b3f-5ebd-46c8-8e39-e05a47d8b607"/>
    <n v="0"/>
    <s v="0:Francisco Alvarez"/>
    <s v="0:Paco"/>
    <s v=""/>
    <s v=""/>
    <m/>
    <s v="43422:Francisco Alvarez"/>
    <n v="1"/>
  </r>
  <r>
    <x v="6"/>
    <x v="6"/>
    <n v="13"/>
    <n v="3"/>
    <s v="Cuart"/>
    <s v="820a94d5-2e7b-4ab6-8a81-c13897e20d11"/>
    <n v="0"/>
    <s v="0:Francisco Hidalgo"/>
    <s v="0:Fran"/>
    <s v=""/>
    <s v=""/>
    <m/>
    <s v="43422:Francisco Hidalgo"/>
    <n v="1"/>
  </r>
  <r>
    <x v="6"/>
    <x v="7"/>
    <n v="16.800000000000004"/>
    <n v="3"/>
    <s v="Cuart"/>
    <s v="905f1395-8025-4cbb-8bde-9a6f90c5f1f0"/>
    <n v="0"/>
    <s v="0:GLEZ JUAN JOSÉ"/>
    <s v="0:Juanjo"/>
    <s v=""/>
    <s v=""/>
    <m/>
    <s v="43422:GLEZ JUAN JOSÉ"/>
    <n v="1"/>
  </r>
  <r>
    <x v="6"/>
    <x v="8"/>
    <n v="6.6"/>
    <n v="2"/>
    <s v="Cuart"/>
    <s v="718b8359-d6e7-4a9c-ab21-ebe390056937"/>
    <n v="0"/>
    <s v="0:Ignacio Cadarso"/>
    <s v="0:Ignacio"/>
    <s v=""/>
    <s v=""/>
    <m/>
    <s v="43422:Ignacio Cadarso"/>
    <n v="1"/>
  </r>
  <r>
    <x v="6"/>
    <x v="9"/>
    <n v="13.3"/>
    <n v="3"/>
    <s v="Cuart"/>
    <s v="077ec88f-a09b-415e-9640-998d32c04cc8"/>
    <n v="0"/>
    <s v="0:Iñigo Rosas"/>
    <s v="0:"/>
    <s v=""/>
    <s v=""/>
    <m/>
    <s v="43422:Iñigo Rosas"/>
    <n v="1"/>
  </r>
  <r>
    <x v="6"/>
    <x v="10"/>
    <n v="19.100000000000005"/>
    <n v="4"/>
    <s v="Cuart"/>
    <s v="52b026a1-98e6-4582-8115-544eded0e3b4"/>
    <n v="0"/>
    <s v="0:J. Enrique Gonzalez"/>
    <s v="0:Kike"/>
    <s v=""/>
    <s v=""/>
    <m/>
    <s v="43422:J. Enrique Gonzalez"/>
    <n v="1"/>
  </r>
  <r>
    <x v="6"/>
    <x v="11"/>
    <n v="13.1"/>
    <n v="3"/>
    <s v="Cuart"/>
    <s v="c3ce3a40-5d0d-45cc-bdba-eb455aad4539"/>
    <n v="0"/>
    <s v="0:Javier Cervera"/>
    <s v="0:Virus"/>
    <s v=""/>
    <s v=""/>
    <m/>
    <s v="43422:Javier Cervera"/>
    <n v="1"/>
  </r>
  <r>
    <x v="6"/>
    <x v="12"/>
    <n v="10.1"/>
    <n v="2"/>
    <s v="Cuart"/>
    <s v="75f69a3a-6522-4f9b-bf27-e32ca442faae"/>
    <n v="0"/>
    <s v="0:Javier Gonzalez Salvador"/>
    <s v="0:Javi"/>
    <s v=""/>
    <s v=""/>
    <m/>
    <s v="43422:Javier Gonzalez Salvador"/>
    <n v="1"/>
  </r>
  <r>
    <x v="6"/>
    <x v="13"/>
    <n v="21.400000000000002"/>
    <n v="4"/>
    <s v="Cuart"/>
    <s v="e92c8d85-4920-425e-b33c-9d9fec21aa63"/>
    <n v="0"/>
    <s v="0:Jesus Touceda"/>
    <s v="0:Jesús"/>
    <s v=""/>
    <s v=""/>
    <m/>
    <s v="43422:Jesus Touceda"/>
    <n v="1"/>
  </r>
  <r>
    <x v="6"/>
    <x v="14"/>
    <n v="5.2999999999999989"/>
    <n v="2"/>
    <s v="Cuart"/>
    <s v="2ca88062-1502-4651-b610-d49c1f1c49b2"/>
    <n v="0"/>
    <s v="0:José Pablo Guil"/>
    <s v="0:JP"/>
    <s v=""/>
    <s v=""/>
    <m/>
    <s v="43422:José Pablo Guil"/>
    <n v="1"/>
  </r>
  <r>
    <x v="6"/>
    <x v="15"/>
    <n v="16.8"/>
    <n v="3"/>
    <s v="Cuart"/>
    <s v="de9680e9-7a11-49f6-a4b1-909bb82eaef8"/>
    <n v="0"/>
    <s v="0:Luis Escudero"/>
    <s v="0:Lucho"/>
    <s v=""/>
    <s v=""/>
    <m/>
    <s v="43422:Luis Escudero"/>
    <n v="1"/>
  </r>
  <r>
    <x v="6"/>
    <x v="16"/>
    <n v="4.2000000000000011"/>
    <n v="1"/>
    <s v="Cuart"/>
    <s v="2af1960c-0684-4c5f-91e5-1f4569b4d144"/>
    <n v="0"/>
    <s v="0:Nacho Gonzalez"/>
    <s v="0:Nacho"/>
    <s v=""/>
    <s v=""/>
    <m/>
    <s v="43422:Nacho Gonzalez"/>
    <n v="1"/>
  </r>
  <r>
    <x v="6"/>
    <x v="17"/>
    <n v="13.5"/>
    <n v="3"/>
    <s v="Cuart"/>
    <s v="18d19c8c-5922-4461-b653-c7643a9003f0"/>
    <n v="0"/>
    <s v="0:Pablo Munitiz"/>
    <s v="0:Muni"/>
    <s v=""/>
    <s v=""/>
    <m/>
    <s v="43422:Pablo Munitiz"/>
    <n v="1"/>
  </r>
  <r>
    <x v="6"/>
    <x v="18"/>
    <n v="9.6"/>
    <n v="2"/>
    <s v="Cuart"/>
    <s v="77e4e60e-af29-4a58-9dd0-87b64dd5394b"/>
    <n v="0"/>
    <s v="0:Ricardo Muelas"/>
    <s v="0:"/>
    <s v=""/>
    <s v=""/>
    <m/>
    <s v="43422:Ricardo Muelas"/>
    <n v="1"/>
  </r>
  <r>
    <x v="7"/>
    <x v="0"/>
    <n v="8.3000000000000007"/>
    <n v="2"/>
    <s v="Fed"/>
    <s v="219551f7-9b32-4842-8c30-2571c88067fa"/>
    <n v="0"/>
    <s v="0:Alfonso Hidalgo"/>
    <s v="0:Alfonso"/>
    <s v=""/>
    <s v=""/>
    <m/>
    <s v="43470:Alfonso Hidalgo"/>
    <n v="1"/>
  </r>
  <r>
    <x v="7"/>
    <x v="1"/>
    <n v="5.4"/>
    <n v="2"/>
    <s v="Fed"/>
    <s v="dc3a6551-a095-4635-be1f-b5875a5f0623"/>
    <n v="0"/>
    <s v="0:Alvaro Aguirre"/>
    <s v="0:Gifu"/>
    <s v=""/>
    <s v=""/>
    <m/>
    <s v="43470:Alvaro Aguirre"/>
    <n v="1"/>
  </r>
  <r>
    <x v="7"/>
    <x v="2"/>
    <n v="15.3"/>
    <n v="3"/>
    <s v="Fed"/>
    <s v="cbb00bb5-22be-4263-9285-65c6d97ba5c3"/>
    <n v="0"/>
    <s v="0:Alvaro Nieto"/>
    <s v="0:Alvaro"/>
    <s v=""/>
    <s v=""/>
    <m/>
    <s v="43470:Alvaro Nieto"/>
    <n v="1"/>
  </r>
  <r>
    <x v="7"/>
    <x v="3"/>
    <n v="6.8"/>
    <n v="2"/>
    <s v="Fed"/>
    <s v="58d5a896-2cdb-4522-aa1c-85c298faa2aa"/>
    <n v="0"/>
    <s v="0:Angel Hernandez"/>
    <s v="0:Angel"/>
    <s v=""/>
    <s v=""/>
    <m/>
    <s v="43470:Angel Hernandez"/>
    <n v="1"/>
  </r>
  <r>
    <x v="7"/>
    <x v="4"/>
    <n v="11.9"/>
    <n v="3"/>
    <s v="Fed"/>
    <s v="56f9b2f1-9157-4248-a3d5-809374ae0712"/>
    <n v="0"/>
    <s v="0:David Sequera"/>
    <s v="0:David"/>
    <s v=""/>
    <s v=""/>
    <m/>
    <s v="43470:David Sequera"/>
    <n v="1"/>
  </r>
  <r>
    <x v="7"/>
    <x v="5"/>
    <n v="17.600000000000001"/>
    <n v="3"/>
    <s v="Fed"/>
    <s v="80a640cd-f27d-408b-981f-d21061950270"/>
    <n v="0"/>
    <s v="0:Francisco Alvarez"/>
    <s v="0:Paco"/>
    <s v=""/>
    <s v=""/>
    <m/>
    <s v="43470:Francisco Alvarez"/>
    <n v="1"/>
  </r>
  <r>
    <x v="7"/>
    <x v="6"/>
    <n v="12.9"/>
    <n v="3"/>
    <s v="Fed"/>
    <s v="6ad63877-2388-49df-abe3-ba1c2bca1879"/>
    <n v="0"/>
    <s v="0:Francisco Hidalgo"/>
    <s v="0:Fran"/>
    <s v=""/>
    <s v=""/>
    <m/>
    <s v="43470:Francisco Hidalgo"/>
    <n v="1"/>
  </r>
  <r>
    <x v="7"/>
    <x v="7"/>
    <n v="17.2"/>
    <n v="3"/>
    <s v="Fed"/>
    <s v="b9acc71a-049e-479c-b11a-cb6a13cb708e"/>
    <n v="0"/>
    <s v="0:GLEZ JUAN JOSÉ"/>
    <s v="0:Juanjo"/>
    <s v=""/>
    <s v=""/>
    <m/>
    <s v="43470:GLEZ JUAN JOSÉ"/>
    <n v="1"/>
  </r>
  <r>
    <x v="7"/>
    <x v="8"/>
    <n v="6.6"/>
    <n v="2"/>
    <s v="Fed"/>
    <s v="27d0f48d-512b-4e5f-af9a-b3c3734c1d2a"/>
    <n v="0"/>
    <s v="0:Ignacio Cadarso"/>
    <s v="0:Ignacio"/>
    <s v=""/>
    <s v=""/>
    <m/>
    <s v="43470:Ignacio Cadarso"/>
    <n v="1"/>
  </r>
  <r>
    <x v="7"/>
    <x v="9"/>
    <n v="14.5"/>
    <n v="3"/>
    <s v="Fed"/>
    <s v="1fe1bc15-ac9e-4632-aac2-4df952c8de83"/>
    <n v="0"/>
    <s v="0:Iñigo Rosas"/>
    <s v="0:"/>
    <s v=""/>
    <s v=""/>
    <m/>
    <s v="43470:Iñigo Rosas"/>
    <n v="1"/>
  </r>
  <r>
    <x v="7"/>
    <x v="10"/>
    <n v="19.5"/>
    <n v="4"/>
    <s v="Fed"/>
    <s v="8436f52d-5038-4924-8405-3306cb623bd2"/>
    <n v="0"/>
    <s v="0:J. Enrique Gonzalez"/>
    <s v="0:Kike"/>
    <s v=""/>
    <s v=""/>
    <m/>
    <s v="43470:J. Enrique Gonzalez"/>
    <n v="1"/>
  </r>
  <r>
    <x v="7"/>
    <x v="11"/>
    <n v="13.1"/>
    <n v="3"/>
    <s v="Fed"/>
    <s v="346e9168-c4d9-48dc-b170-1e70664ce8f2"/>
    <n v="0"/>
    <s v="0:Javier Cervera"/>
    <s v="0:Virus"/>
    <s v=""/>
    <s v=""/>
    <m/>
    <s v="43470:Javier Cervera"/>
    <n v="1"/>
  </r>
  <r>
    <x v="7"/>
    <x v="12"/>
    <n v="13.9"/>
    <n v="3"/>
    <s v="Fed"/>
    <s v="5911d3c3-ba97-4abb-b480-e8528c9ed57a"/>
    <n v="0"/>
    <s v="0:Javier Gonzalez Salvador"/>
    <s v="0:Javi"/>
    <s v=""/>
    <s v=""/>
    <m/>
    <s v="43470:Javier Gonzalez Salvador"/>
    <n v="1"/>
  </r>
  <r>
    <x v="7"/>
    <x v="13"/>
    <n v="21.3"/>
    <n v="4"/>
    <s v="Fed"/>
    <s v="e91c052e-7c5c-47c4-93e3-4d528ff073d5"/>
    <n v="0"/>
    <s v="0:Jesus Touceda"/>
    <s v="0:Jesús"/>
    <s v=""/>
    <s v=""/>
    <m/>
    <s v="43470:Jesus Touceda"/>
    <n v="1"/>
  </r>
  <r>
    <x v="7"/>
    <x v="14"/>
    <n v="7.6"/>
    <n v="2"/>
    <s v="Fed"/>
    <s v="f37b74f2-ea6f-4ecb-b3c3-2555ccf3ec92"/>
    <n v="0"/>
    <s v="0:José Pablo Guil"/>
    <s v="0:JP"/>
    <s v=""/>
    <s v=""/>
    <m/>
    <s v="43470:José Pablo Guil"/>
    <n v="1"/>
  </r>
  <r>
    <x v="7"/>
    <x v="15"/>
    <n v="16.8"/>
    <n v="3"/>
    <s v="Fed"/>
    <s v="93dfb03e-d384-4dc4-9554-6b2410fa7f8c"/>
    <n v="0"/>
    <s v="0:Luis Escudero"/>
    <s v="0:Lucho"/>
    <s v=""/>
    <s v=""/>
    <m/>
    <s v="43470:Luis Escudero"/>
    <n v="1"/>
  </r>
  <r>
    <x v="7"/>
    <x v="16"/>
    <n v="6.1"/>
    <n v="2"/>
    <s v="Fed"/>
    <s v="560e5559-8e43-442f-bc31-2d580c44d38d"/>
    <n v="0"/>
    <s v="0:Nacho Gonzalez"/>
    <s v="0:Nacho"/>
    <s v=""/>
    <s v=""/>
    <m/>
    <s v="43470:Nacho Gonzalez"/>
    <n v="1"/>
  </r>
  <r>
    <x v="7"/>
    <x v="17"/>
    <n v="13.4"/>
    <n v="3"/>
    <s v="Fed"/>
    <s v="2a30967b-1a6f-4adf-9c0d-4e190fdb949e"/>
    <n v="0"/>
    <s v="0:Pablo Munitiz"/>
    <s v="0:Muni"/>
    <s v=""/>
    <s v=""/>
    <m/>
    <s v="43470:Pablo Munitiz"/>
    <n v="1"/>
  </r>
  <r>
    <x v="7"/>
    <x v="18"/>
    <n v="10.1"/>
    <n v="2"/>
    <s v="Fed"/>
    <s v="adab3625-373e-4f50-84a1-65b48c2781df"/>
    <n v="0"/>
    <s v="0:Ricardo Muelas"/>
    <s v="0:"/>
    <s v=""/>
    <s v=""/>
    <m/>
    <s v="43470:Ricardo Muelas"/>
    <n v="1"/>
  </r>
  <r>
    <x v="8"/>
    <x v="0"/>
    <n v="7.4999999999999982"/>
    <n v="2"/>
    <s v="Cuart"/>
    <s v="285083e2-af8c-4a91-a89f-7ba7644c770f"/>
    <n v="0"/>
    <s v="0:Alfonso Hidalgo"/>
    <s v="0:Alfonso"/>
    <s v=""/>
    <s v=""/>
    <m/>
    <s v="43472:Alfonso Hidalgo"/>
    <n v="1"/>
  </r>
  <r>
    <x v="8"/>
    <x v="1"/>
    <n v="5.4999999999999991"/>
    <n v="2"/>
    <s v="Cuart"/>
    <s v="cb58c5dd-a4b5-456f-b1f2-d3ed82852f64"/>
    <n v="0"/>
    <s v="0:Alvaro Aguirre"/>
    <s v="0:Gifu"/>
    <s v=""/>
    <s v=""/>
    <m/>
    <s v="43472:Alvaro Aguirre"/>
    <n v="1"/>
  </r>
  <r>
    <x v="8"/>
    <x v="2"/>
    <n v="15.399999999999999"/>
    <n v="3"/>
    <s v="Cuart"/>
    <s v="28316099-152b-47cf-9d03-b028982ad086"/>
    <n v="0"/>
    <s v="0:Alvaro Nieto"/>
    <s v="0:Alvaro"/>
    <s v=""/>
    <s v=""/>
    <m/>
    <s v="43472:Alvaro Nieto"/>
    <n v="1"/>
  </r>
  <r>
    <x v="8"/>
    <x v="3"/>
    <n v="6.3999999999999986"/>
    <n v="2"/>
    <s v="Cuart"/>
    <s v="3f4a94fd-2426-474a-8da5-f1c198b613a1"/>
    <n v="0"/>
    <s v="0:Angel Hernandez"/>
    <s v="0:Angel"/>
    <s v=""/>
    <s v=""/>
    <m/>
    <s v="43472:Angel Hernandez"/>
    <n v="1"/>
  </r>
  <r>
    <x v="8"/>
    <x v="4"/>
    <n v="12"/>
    <n v="3"/>
    <s v="Cuart"/>
    <s v="a6f81298-72b1-4cf9-97a6-3dd934d80712"/>
    <n v="0"/>
    <s v="0:David Sequera"/>
    <s v="0:David"/>
    <s v=""/>
    <s v=""/>
    <m/>
    <s v="43472:David Sequera"/>
    <n v="1"/>
  </r>
  <r>
    <x v="8"/>
    <x v="5"/>
    <n v="16.400000000000002"/>
    <n v="3"/>
    <s v="Cuart"/>
    <s v="2244b0fd-d239-4a47-a83a-6f515c7a8600"/>
    <n v="0"/>
    <s v="0:Francisco Alvarez"/>
    <s v="0:Paco"/>
    <s v=""/>
    <s v=""/>
    <m/>
    <s v="43472:Francisco Alvarez"/>
    <n v="1"/>
  </r>
  <r>
    <x v="8"/>
    <x v="6"/>
    <n v="12.9"/>
    <n v="3"/>
    <s v="Cuart"/>
    <s v="070bd903-9fa6-4da0-91ac-c81ad6974b8a"/>
    <n v="0"/>
    <s v="0:Francisco Hidalgo"/>
    <s v="0:Fran"/>
    <s v=""/>
    <s v=""/>
    <m/>
    <s v="43472:Francisco Hidalgo"/>
    <n v="1"/>
  </r>
  <r>
    <x v="8"/>
    <x v="7"/>
    <n v="16.900000000000006"/>
    <n v="3"/>
    <s v="Cuart"/>
    <s v="e9ca2d82-5570-4209-b93e-5c5a7d62485b"/>
    <n v="0"/>
    <s v="0:GLEZ JUAN JOSÉ"/>
    <s v="0:Juanjo"/>
    <s v=""/>
    <s v=""/>
    <m/>
    <s v="43472:GLEZ JUAN JOSÉ"/>
    <n v="1"/>
  </r>
  <r>
    <x v="8"/>
    <x v="8"/>
    <n v="6.6"/>
    <n v="2"/>
    <s v="Cuart"/>
    <s v="259622ce-2271-4956-81ea-4ec01266fb04"/>
    <n v="0"/>
    <s v="0:Ignacio Cadarso"/>
    <s v="0:Ignacio"/>
    <s v=""/>
    <s v=""/>
    <m/>
    <s v="43472:Ignacio Cadarso"/>
    <n v="1"/>
  </r>
  <r>
    <x v="8"/>
    <x v="9"/>
    <n v="13.3"/>
    <n v="3"/>
    <s v="Cuart"/>
    <s v="0bc91b43-76f6-48e4-b89e-8cb1c485564e"/>
    <n v="0"/>
    <s v="0:Iñigo Rosas"/>
    <s v="0:"/>
    <s v=""/>
    <s v=""/>
    <m/>
    <s v="43472:Iñigo Rosas"/>
    <n v="1"/>
  </r>
  <r>
    <x v="8"/>
    <x v="10"/>
    <n v="19.200000000000006"/>
    <n v="4"/>
    <s v="Cuart"/>
    <s v="754a29e4-7972-485b-ab61-c9121ec1ba63"/>
    <n v="0"/>
    <s v="0:J. Enrique Gonzalez"/>
    <s v="0:Kike"/>
    <s v=""/>
    <s v=""/>
    <m/>
    <s v="43472:J. Enrique Gonzalez"/>
    <n v="1"/>
  </r>
  <r>
    <x v="8"/>
    <x v="11"/>
    <n v="13.2"/>
    <n v="3"/>
    <s v="Cuart"/>
    <s v="1c2ded15-c077-433a-a0ab-af2d35f57dd8"/>
    <n v="0"/>
    <s v="0:Javier Cervera"/>
    <s v="0:Virus"/>
    <s v=""/>
    <s v=""/>
    <m/>
    <s v="43472:Javier Cervera"/>
    <n v="1"/>
  </r>
  <r>
    <x v="8"/>
    <x v="12"/>
    <n v="10.199999999999999"/>
    <n v="2"/>
    <s v="Cuart"/>
    <s v="3a4c2286-bc15-4977-8b0f-f96f746a2312"/>
    <n v="0"/>
    <s v="0:Javier Gonzalez Salvador"/>
    <s v="0:Javi"/>
    <s v=""/>
    <s v=""/>
    <m/>
    <s v="43472:Javier Gonzalez Salvador"/>
    <n v="1"/>
  </r>
  <r>
    <x v="8"/>
    <x v="13"/>
    <n v="21.400000000000002"/>
    <n v="4"/>
    <s v="Cuart"/>
    <s v="8dd28aac-1a80-4acb-bf9e-a6d101246721"/>
    <n v="0"/>
    <s v="0:Jesus Touceda"/>
    <s v="0:Jesús"/>
    <s v=""/>
    <s v=""/>
    <m/>
    <s v="43472:Jesus Touceda"/>
    <n v="1"/>
  </r>
  <r>
    <x v="8"/>
    <x v="14"/>
    <n v="5.3999999999999986"/>
    <n v="2"/>
    <s v="Cuart"/>
    <s v="af9f42cf-b740-4ae6-b4e2-4c0d79b4b927"/>
    <n v="0"/>
    <s v="0:José Pablo Guil"/>
    <s v="0:JP"/>
    <s v=""/>
    <s v=""/>
    <m/>
    <s v="43472:José Pablo Guil"/>
    <n v="1"/>
  </r>
  <r>
    <x v="8"/>
    <x v="15"/>
    <n v="16.8"/>
    <n v="3"/>
    <s v="Cuart"/>
    <s v="cd9be0ee-722c-4e99-a867-1e57673e9e88"/>
    <n v="0"/>
    <s v="0:Luis Escudero"/>
    <s v="0:Lucho"/>
    <s v=""/>
    <s v=""/>
    <m/>
    <s v="43472:Luis Escudero"/>
    <n v="1"/>
  </r>
  <r>
    <x v="8"/>
    <x v="16"/>
    <n v="4.3000000000000007"/>
    <n v="1"/>
    <s v="Cuart"/>
    <s v="6a4ebe3c-780b-4c6d-99f1-d30a0ecfc3f4"/>
    <n v="0"/>
    <s v="0:Nacho Gonzalez"/>
    <s v="0:Nacho"/>
    <s v=""/>
    <s v=""/>
    <m/>
    <s v="43472:Nacho Gonzalez"/>
    <n v="1"/>
  </r>
  <r>
    <x v="8"/>
    <x v="17"/>
    <n v="13.5"/>
    <n v="3"/>
    <s v="Cuart"/>
    <s v="56f35fd4-80f4-4bb1-99fa-216cbd4f33cf"/>
    <n v="0"/>
    <s v="0:Pablo Munitiz"/>
    <s v="0:Muni"/>
    <s v=""/>
    <s v=""/>
    <m/>
    <s v="43472:Pablo Munitiz"/>
    <n v="1"/>
  </r>
  <r>
    <x v="8"/>
    <x v="18"/>
    <n v="9.6999999999999993"/>
    <n v="2"/>
    <s v="Cuart"/>
    <s v="9cf55211-1f54-4f75-b56c-2b0e5a0c2a65"/>
    <n v="0"/>
    <s v="0:Ricardo Muelas"/>
    <s v="0:"/>
    <s v=""/>
    <s v=""/>
    <m/>
    <s v="43472:Ricardo Muelas"/>
    <n v="1"/>
  </r>
  <r>
    <x v="9"/>
    <x v="0"/>
    <n v="8.3000000000000007"/>
    <n v="2"/>
    <s v="Fed"/>
    <s v="ecc8529c-2286-4fc8-8ed2-4953a24ee607"/>
    <n v="0"/>
    <s v="0:Alfonso Hidalgo"/>
    <s v="0:Alfonso"/>
    <s v=""/>
    <s v=""/>
    <m/>
    <s v="43491:Alfonso Hidalgo"/>
    <n v="1"/>
  </r>
  <r>
    <x v="9"/>
    <x v="1"/>
    <n v="5.4"/>
    <n v="2"/>
    <s v="Fed"/>
    <s v="7c3ab6d2-ef34-4b39-a2c2-17814b1c65d2"/>
    <n v="0"/>
    <s v="0:Alvaro Aguirre"/>
    <s v="0:Gifu"/>
    <s v=""/>
    <s v=""/>
    <m/>
    <s v="43491:Alvaro Aguirre"/>
    <n v="1"/>
  </r>
  <r>
    <x v="9"/>
    <x v="2"/>
    <n v="15.3"/>
    <n v="3"/>
    <s v="Fed"/>
    <s v="79b085db-dcf7-434f-8438-79328b90a5dd"/>
    <n v="0"/>
    <s v="0:Alvaro Nieto"/>
    <s v="0:Alvaro"/>
    <s v=""/>
    <s v=""/>
    <m/>
    <s v="43491:Alvaro Nieto"/>
    <n v="1"/>
  </r>
  <r>
    <x v="9"/>
    <x v="3"/>
    <n v="6.8"/>
    <n v="2"/>
    <s v="Fed"/>
    <s v="4bb93378-b1af-4d6d-b1b7-089d2d4cab19"/>
    <n v="0"/>
    <s v="0:Angel Hernandez"/>
    <s v="0:Angel"/>
    <s v=""/>
    <s v=""/>
    <m/>
    <s v="43491:Angel Hernandez"/>
    <n v="1"/>
  </r>
  <r>
    <x v="9"/>
    <x v="4"/>
    <n v="11.9"/>
    <n v="3"/>
    <s v="Fed"/>
    <s v="9037998c-5e3e-4a61-a537-0addc6cb520e"/>
    <n v="0"/>
    <s v="0:David Sequera"/>
    <s v="0:David"/>
    <s v=""/>
    <s v=""/>
    <m/>
    <s v="43491:David Sequera"/>
    <n v="1"/>
  </r>
  <r>
    <x v="9"/>
    <x v="5"/>
    <n v="17.600000000000001"/>
    <n v="3"/>
    <s v="Fed"/>
    <s v="116b5ae3-5fbb-40c1-87ba-968804cbe98a"/>
    <n v="0"/>
    <s v="0:Francisco Alvarez"/>
    <s v="0:Paco"/>
    <s v=""/>
    <s v=""/>
    <m/>
    <s v="43491:Francisco Alvarez"/>
    <n v="1"/>
  </r>
  <r>
    <x v="9"/>
    <x v="6"/>
    <n v="12.9"/>
    <n v="3"/>
    <s v="Fed"/>
    <s v="3003689b-f058-466e-833e-54eda59af4fd"/>
    <n v="0"/>
    <s v="0:Francisco Hidalgo"/>
    <s v="0:Fran"/>
    <s v=""/>
    <s v=""/>
    <m/>
    <s v="43491:Francisco Hidalgo"/>
    <n v="1"/>
  </r>
  <r>
    <x v="9"/>
    <x v="7"/>
    <n v="17.2"/>
    <n v="3"/>
    <s v="Fed"/>
    <s v="7fcc6a33-f556-4c2d-b668-5be34a3d36f6"/>
    <n v="0"/>
    <s v="0:GLEZ JUAN JOSÉ"/>
    <s v="0:Juanjo"/>
    <s v=""/>
    <s v=""/>
    <m/>
    <s v="43491:GLEZ JUAN JOSÉ"/>
    <n v="1"/>
  </r>
  <r>
    <x v="9"/>
    <x v="8"/>
    <n v="6.6"/>
    <n v="2"/>
    <s v="Fed"/>
    <s v="d59d6515-0261-430f-ae55-c4faef57706d"/>
    <n v="0"/>
    <s v="0:Ignacio Cadarso"/>
    <s v="0:Ignacio"/>
    <s v=""/>
    <s v=""/>
    <m/>
    <s v="43491:Ignacio Cadarso"/>
    <n v="1"/>
  </r>
  <r>
    <x v="9"/>
    <x v="9"/>
    <n v="14.5"/>
    <n v="3"/>
    <s v="Fed"/>
    <s v="5d7e4ff5-6265-4982-a9a5-a4d60d674331"/>
    <n v="0"/>
    <s v="0:Iñigo Rosas"/>
    <s v="0:"/>
    <s v=""/>
    <s v=""/>
    <m/>
    <s v="43491:Iñigo Rosas"/>
    <n v="1"/>
  </r>
  <r>
    <x v="9"/>
    <x v="10"/>
    <n v="19.5"/>
    <n v="4"/>
    <s v="Fed"/>
    <s v="35cc70a0-7b88-4376-b291-9973713dcbab"/>
    <n v="0"/>
    <s v="0:J. Enrique Gonzalez"/>
    <s v="0:Kike"/>
    <s v=""/>
    <s v=""/>
    <m/>
    <s v="43491:J. Enrique Gonzalez"/>
    <n v="1"/>
  </r>
  <r>
    <x v="9"/>
    <x v="11"/>
    <n v="13.1"/>
    <n v="3"/>
    <s v="Fed"/>
    <s v="b12a2426-9885-4c6d-adc4-49f34398d1f0"/>
    <n v="0"/>
    <s v="0:Javier Cervera"/>
    <s v="0:Virus"/>
    <s v=""/>
    <s v=""/>
    <m/>
    <s v="43491:Javier Cervera"/>
    <n v="1"/>
  </r>
  <r>
    <x v="9"/>
    <x v="12"/>
    <n v="13.9"/>
    <n v="3"/>
    <s v="Fed"/>
    <s v="d99ff93c-3a53-4489-8733-3af7141fb303"/>
    <n v="0"/>
    <s v="0:Javier Gonzalez Salvador"/>
    <s v="0:Javi"/>
    <s v=""/>
    <s v=""/>
    <m/>
    <s v="43491:Javier Gonzalez Salvador"/>
    <n v="1"/>
  </r>
  <r>
    <x v="9"/>
    <x v="13"/>
    <n v="21.3"/>
    <n v="4"/>
    <s v="Fed"/>
    <s v="37663a18-35be-4138-acb5-aedeba82be3f"/>
    <n v="0"/>
    <s v="0:Jesus Touceda"/>
    <s v="0:Jesús"/>
    <s v=""/>
    <s v=""/>
    <m/>
    <s v="43491:Jesus Touceda"/>
    <n v="1"/>
  </r>
  <r>
    <x v="9"/>
    <x v="14"/>
    <n v="7.6"/>
    <n v="2"/>
    <s v="Fed"/>
    <s v="8c7b57b9-68aa-43e9-84cb-1244be67c22c"/>
    <n v="0"/>
    <s v="0:José Pablo Guil"/>
    <s v="0:JP"/>
    <s v=""/>
    <s v=""/>
    <m/>
    <s v="43491:José Pablo Guil"/>
    <n v="1"/>
  </r>
  <r>
    <x v="9"/>
    <x v="15"/>
    <n v="16.8"/>
    <n v="3"/>
    <s v="Fed"/>
    <s v="6a1cbdd2-16f2-4e06-a1d5-1abfded1ac61"/>
    <n v="0"/>
    <s v="0:Luis Escudero"/>
    <s v="0:Lucho"/>
    <s v=""/>
    <s v=""/>
    <m/>
    <s v="43491:Luis Escudero"/>
    <n v="1"/>
  </r>
  <r>
    <x v="9"/>
    <x v="16"/>
    <n v="6.1"/>
    <n v="2"/>
    <s v="Fed"/>
    <s v="e400f9ce-72cb-4c40-ae5e-d7f90298324f"/>
    <n v="0"/>
    <s v="0:Nacho Gonzalez"/>
    <s v="0:Nacho"/>
    <s v=""/>
    <s v=""/>
    <m/>
    <s v="43491:Nacho Gonzalez"/>
    <n v="1"/>
  </r>
  <r>
    <x v="9"/>
    <x v="17"/>
    <n v="13.4"/>
    <n v="3"/>
    <s v="Fed"/>
    <s v="4511b627-3199-439a-84ca-3487f86909b4"/>
    <n v="0"/>
    <s v="0:Pablo Munitiz"/>
    <s v="0:Muni"/>
    <s v=""/>
    <s v=""/>
    <m/>
    <s v="43491:Pablo Munitiz"/>
    <n v="1"/>
  </r>
  <r>
    <x v="9"/>
    <x v="18"/>
    <n v="10.1"/>
    <n v="2"/>
    <s v="Fed"/>
    <s v="60e71d56-7513-4305-be8d-ddd5cec0876f"/>
    <n v="0"/>
    <s v="0:Ricardo Muelas"/>
    <s v="0:"/>
    <s v=""/>
    <s v=""/>
    <m/>
    <s v="43491:Ricardo Muelas"/>
    <n v="1"/>
  </r>
  <r>
    <x v="10"/>
    <x v="0"/>
    <n v="7.5999999999999979"/>
    <n v="2"/>
    <s v="Cuart"/>
    <s v="c99a045e-7e1f-4e9f-96d5-059720ded4e0"/>
    <n v="0"/>
    <s v="0:Alfonso Hidalgo"/>
    <s v="0:Alfonso"/>
    <s v=""/>
    <s v=""/>
    <m/>
    <s v="43492:Alfonso Hidalgo"/>
    <n v="1"/>
  </r>
  <r>
    <x v="10"/>
    <x v="1"/>
    <n v="5.5"/>
    <n v="2"/>
    <s v="Cuart"/>
    <s v="a41cc2d5-7530-473a-a977-66b26c14b502"/>
    <n v="0"/>
    <s v="0:Alvaro Aguirre"/>
    <s v="0:Gifu"/>
    <s v=""/>
    <s v=""/>
    <m/>
    <s v="43492:Alvaro Aguirre"/>
    <n v="1"/>
  </r>
  <r>
    <x v="10"/>
    <x v="2"/>
    <n v="15.4"/>
    <n v="3"/>
    <s v="Cuart"/>
    <s v="d8857cdd-0e47-4077-9661-845b4f6107fb"/>
    <n v="0"/>
    <s v="0:Alvaro Nieto"/>
    <s v="0:Alvaro"/>
    <s v=""/>
    <s v=""/>
    <m/>
    <s v="43492:Alvaro Nieto"/>
    <n v="1"/>
  </r>
  <r>
    <x v="10"/>
    <x v="3"/>
    <n v="6.4999999999999982"/>
    <n v="2"/>
    <s v="Cuart"/>
    <s v="2e9fcd09-5d9a-4b59-8fbd-e0e614d87039"/>
    <n v="0"/>
    <s v="0:Angel Hernandez"/>
    <s v="0:Angel"/>
    <s v=""/>
    <s v=""/>
    <m/>
    <s v="43492:Angel Hernandez"/>
    <n v="1"/>
  </r>
  <r>
    <x v="10"/>
    <x v="4"/>
    <n v="12"/>
    <n v="3"/>
    <s v="Cuart"/>
    <s v="fb823ac9-3d31-478e-b27f-0ea10a9b8c39"/>
    <n v="0"/>
    <s v="0:David Sequera"/>
    <s v="0:David"/>
    <s v=""/>
    <s v=""/>
    <m/>
    <s v="43492:David Sequera"/>
    <n v="1"/>
  </r>
  <r>
    <x v="10"/>
    <x v="5"/>
    <n v="16.400000000000002"/>
    <n v="3"/>
    <s v="Cuart"/>
    <s v="3f82f961-7f7a-4d24-ae3a-b3523c7b5230"/>
    <n v="0"/>
    <s v="0:Francisco Alvarez"/>
    <s v="0:Paco"/>
    <s v=""/>
    <s v=""/>
    <m/>
    <s v="43492:Francisco Alvarez"/>
    <n v="1"/>
  </r>
  <r>
    <x v="10"/>
    <x v="6"/>
    <n v="13"/>
    <n v="3"/>
    <s v="Cuart"/>
    <s v="f63f11bd-2b68-4e18-8353-cfb1e97d2e5a"/>
    <n v="0"/>
    <s v="0:Francisco Hidalgo"/>
    <s v="0:Fran"/>
    <s v=""/>
    <s v=""/>
    <m/>
    <s v="43492:Francisco Hidalgo"/>
    <n v="1"/>
  </r>
  <r>
    <x v="10"/>
    <x v="7"/>
    <n v="17.000000000000007"/>
    <n v="3"/>
    <s v="Cuart"/>
    <s v="b9ffe4fe-6911-4490-b6f6-f68a2a02d1ec"/>
    <n v="0"/>
    <s v="0:GLEZ JUAN JOSÉ"/>
    <s v="0:Juanjo"/>
    <s v=""/>
    <s v=""/>
    <m/>
    <s v="43492:GLEZ JUAN JOSÉ"/>
    <n v="1"/>
  </r>
  <r>
    <x v="10"/>
    <x v="8"/>
    <n v="6.6999999999999993"/>
    <n v="2"/>
    <s v="Cuart"/>
    <s v="065fa48f-a421-414f-a166-86de06d0af51"/>
    <n v="0"/>
    <s v="0:Ignacio Cadarso"/>
    <s v="0:Ignacio"/>
    <s v=""/>
    <s v=""/>
    <m/>
    <s v="43492:Ignacio Cadarso"/>
    <n v="1"/>
  </r>
  <r>
    <x v="10"/>
    <x v="9"/>
    <n v="13.3"/>
    <n v="3"/>
    <s v="Cuart"/>
    <s v="2b6ef5b3-362d-475f-9f7a-1ffc3f245d52"/>
    <n v="0"/>
    <s v="0:Iñigo Rosas"/>
    <s v="0:"/>
    <s v=""/>
    <s v=""/>
    <m/>
    <s v="43492:Iñigo Rosas"/>
    <n v="1"/>
  </r>
  <r>
    <x v="10"/>
    <x v="10"/>
    <n v="19.200000000000006"/>
    <n v="4"/>
    <s v="Cuart"/>
    <s v="2cb2ddc7-20c7-409a-97a1-742c8421b381"/>
    <n v="0"/>
    <s v="0:J. Enrique Gonzalez"/>
    <s v="0:Kike"/>
    <s v=""/>
    <s v=""/>
    <m/>
    <s v="43492:J. Enrique Gonzalez"/>
    <n v="1"/>
  </r>
  <r>
    <x v="10"/>
    <x v="11"/>
    <n v="13.2"/>
    <n v="3"/>
    <s v="Cuart"/>
    <s v="27ad336d-fe36-43f4-86ee-8ae88bb44bac"/>
    <n v="0"/>
    <s v="0:Javier Cervera"/>
    <s v="0:Virus"/>
    <s v=""/>
    <s v=""/>
    <m/>
    <s v="43492:Javier Cervera"/>
    <n v="1"/>
  </r>
  <r>
    <x v="10"/>
    <x v="12"/>
    <n v="10.199999999999999"/>
    <n v="2"/>
    <s v="Cuart"/>
    <s v="b97dc497-99e1-424b-a273-80e339752122"/>
    <n v="0"/>
    <s v="0:Javier Gonzalez Salvador"/>
    <s v="0:Javi"/>
    <s v=""/>
    <s v=""/>
    <m/>
    <s v="43492:Javier Gonzalez Salvador"/>
    <n v="1"/>
  </r>
  <r>
    <x v="10"/>
    <x v="13"/>
    <n v="21.400000000000002"/>
    <n v="4"/>
    <s v="Cuart"/>
    <s v="2e1e8aca-a774-4d80-bf05-97817dc87283"/>
    <n v="0"/>
    <s v="0:Jesus Touceda"/>
    <s v="0:Jesús"/>
    <s v=""/>
    <s v=""/>
    <m/>
    <s v="43492:Jesus Touceda"/>
    <n v="1"/>
  </r>
  <r>
    <x v="10"/>
    <x v="14"/>
    <n v="5.4999999999999982"/>
    <n v="2"/>
    <s v="Cuart"/>
    <s v="ef3a31e0-ffe4-454e-b740-4c45aa07f34b"/>
    <n v="0"/>
    <s v="0:José Pablo Guil"/>
    <s v="0:JP"/>
    <s v=""/>
    <s v=""/>
    <m/>
    <s v="43492:José Pablo Guil"/>
    <n v="1"/>
  </r>
  <r>
    <x v="10"/>
    <x v="15"/>
    <n v="16.900000000000002"/>
    <n v="3"/>
    <s v="Cuart"/>
    <s v="3cb11642-d1f0-43a6-952c-29edce1658e0"/>
    <n v="0"/>
    <s v="0:Luis Escudero"/>
    <s v="0:Lucho"/>
    <s v=""/>
    <s v=""/>
    <m/>
    <s v="43492:Luis Escudero"/>
    <n v="1"/>
  </r>
  <r>
    <x v="10"/>
    <x v="16"/>
    <n v="4.4000000000000004"/>
    <n v="1"/>
    <s v="Cuart"/>
    <s v="a41cf19c-84c9-4e0b-8385-ab618d5f424c"/>
    <n v="0"/>
    <s v="0:Nacho Gonzalez"/>
    <s v="0:Nacho"/>
    <s v=""/>
    <s v=""/>
    <m/>
    <s v="43492:Nacho Gonzalez"/>
    <n v="1"/>
  </r>
  <r>
    <x v="10"/>
    <x v="17"/>
    <n v="13.4"/>
    <n v="3"/>
    <s v="Cuart"/>
    <s v="77ae672b-c60e-4a00-99f1-b9ec15028858"/>
    <n v="0"/>
    <s v="0:Pablo Munitiz"/>
    <s v="0:Muni"/>
    <s v=""/>
    <s v=""/>
    <m/>
    <s v="43492:Pablo Munitiz"/>
    <n v="1"/>
  </r>
  <r>
    <x v="10"/>
    <x v="18"/>
    <n v="9.6999999999999993"/>
    <n v="2"/>
    <s v="Cuart"/>
    <s v="f5d6420f-c51e-4d1b-bb06-085e865cf6aa"/>
    <n v="0"/>
    <s v="0:Ricardo Muelas"/>
    <s v="0:"/>
    <s v=""/>
    <s v=""/>
    <m/>
    <s v="43492:Ricardo Muelas"/>
    <n v="1"/>
  </r>
  <r>
    <x v="11"/>
    <x v="0"/>
    <n v="8.3000000000000007"/>
    <n v="2"/>
    <s v="Fed"/>
    <s v="020e6a2f-01d3-4647-8f19-5ee0a8c08573"/>
    <n v="0"/>
    <s v="0:Alfonso Hidalgo"/>
    <s v="0:Alfonso"/>
    <s v=""/>
    <s v=""/>
    <m/>
    <s v="43510:Alfonso Hidalgo"/>
    <n v="1"/>
  </r>
  <r>
    <x v="11"/>
    <x v="1"/>
    <n v="5.4"/>
    <n v="2"/>
    <s v="Fed"/>
    <s v="aafcdf3b-385d-4c48-b9d4-45d44f01ea0f"/>
    <n v="0"/>
    <s v="0:Alvaro Aguirre"/>
    <s v="0:Gifu"/>
    <s v=""/>
    <s v=""/>
    <m/>
    <s v="43510:Alvaro Aguirre"/>
    <n v="1"/>
  </r>
  <r>
    <x v="11"/>
    <x v="2"/>
    <n v="15.3"/>
    <n v="3"/>
    <s v="Fed"/>
    <s v="7926f3f2-04b8-4871-8fb1-ffc0fd86e935"/>
    <n v="0"/>
    <s v="0:Alvaro Nieto"/>
    <s v="0:Alvaro"/>
    <s v=""/>
    <s v=""/>
    <m/>
    <s v="43510:Alvaro Nieto"/>
    <n v="1"/>
  </r>
  <r>
    <x v="11"/>
    <x v="3"/>
    <n v="6.8"/>
    <n v="2"/>
    <s v="Fed"/>
    <s v="ac9fb8f9-9ca1-4c23-87a9-b75ee4dd6802"/>
    <n v="0"/>
    <s v="0:Angel Hernandez"/>
    <s v="0:Angel"/>
    <s v=""/>
    <s v=""/>
    <m/>
    <s v="43510:Angel Hernandez"/>
    <n v="1"/>
  </r>
  <r>
    <x v="11"/>
    <x v="4"/>
    <n v="11.9"/>
    <n v="3"/>
    <s v="Fed"/>
    <s v="06291101-61c9-4525-a809-877b1cbf54a4"/>
    <n v="0"/>
    <s v="0:David Sequera"/>
    <s v="0:David"/>
    <s v=""/>
    <s v=""/>
    <m/>
    <s v="43510:David Sequera"/>
    <n v="1"/>
  </r>
  <r>
    <x v="11"/>
    <x v="5"/>
    <n v="17.600000000000001"/>
    <n v="3"/>
    <s v="Fed"/>
    <s v="f3e85486-f640-46db-b8f5-81c091892549"/>
    <n v="0"/>
    <s v="0:Francisco Alvarez"/>
    <s v="0:Paco"/>
    <s v=""/>
    <s v=""/>
    <m/>
    <s v="43510:Francisco Alvarez"/>
    <n v="1"/>
  </r>
  <r>
    <x v="11"/>
    <x v="6"/>
    <n v="12.9"/>
    <n v="3"/>
    <s v="Fed"/>
    <s v="266cb7f2-e7ec-4c9e-8350-0f76b4729a56"/>
    <n v="0"/>
    <s v="0:Francisco Hidalgo"/>
    <s v="0:Fran"/>
    <s v=""/>
    <s v=""/>
    <m/>
    <s v="43510:Francisco Hidalgo"/>
    <n v="1"/>
  </r>
  <r>
    <x v="11"/>
    <x v="7"/>
    <n v="17.2"/>
    <n v="3"/>
    <s v="Fed"/>
    <s v="249aec85-b580-4024-94a6-8f7cb0144f06"/>
    <n v="0"/>
    <s v="0:GLEZ JUAN JOSÉ"/>
    <s v="0:Juanjo"/>
    <s v=""/>
    <s v=""/>
    <m/>
    <s v="43510:GLEZ JUAN JOSÉ"/>
    <n v="1"/>
  </r>
  <r>
    <x v="11"/>
    <x v="8"/>
    <n v="6.6"/>
    <n v="2"/>
    <s v="Fed"/>
    <s v="0e8291d7-b7db-45ff-aa5d-129399ca443a"/>
    <n v="0"/>
    <s v="0:Ignacio Cadarso"/>
    <s v="0:Ignacio"/>
    <s v=""/>
    <s v=""/>
    <m/>
    <s v="43510:Ignacio Cadarso"/>
    <n v="1"/>
  </r>
  <r>
    <x v="11"/>
    <x v="9"/>
    <n v="14.5"/>
    <n v="3"/>
    <s v="Fed"/>
    <s v="3c2aaf22-268a-41fa-a48e-a237a2982b84"/>
    <n v="0"/>
    <s v="0:Iñigo Rosas"/>
    <s v="0:"/>
    <s v=""/>
    <s v=""/>
    <m/>
    <s v="43510:Iñigo Rosas"/>
    <n v="1"/>
  </r>
  <r>
    <x v="11"/>
    <x v="10"/>
    <n v="19.5"/>
    <n v="4"/>
    <s v="Fed"/>
    <s v="716db7c5-28ee-4f61-b754-8029cb0735b5"/>
    <n v="0"/>
    <s v="0:J. Enrique Gonzalez"/>
    <s v="0:Kike"/>
    <s v=""/>
    <s v=""/>
    <m/>
    <s v="43510:J. Enrique Gonzalez"/>
    <n v="1"/>
  </r>
  <r>
    <x v="11"/>
    <x v="11"/>
    <n v="13.1"/>
    <n v="3"/>
    <s v="Fed"/>
    <s v="6529ab6c-2859-4ee6-a6dc-03f642d11d56"/>
    <n v="0"/>
    <s v="0:Javier Cervera"/>
    <s v="0:Virus"/>
    <s v=""/>
    <s v=""/>
    <m/>
    <s v="43510:Javier Cervera"/>
    <n v="1"/>
  </r>
  <r>
    <x v="11"/>
    <x v="12"/>
    <n v="13.9"/>
    <n v="3"/>
    <s v="Fed"/>
    <s v="d2cde501-d3bb-41f8-91a3-927de4e0758d"/>
    <n v="0"/>
    <s v="0:Javier Gonzalez Salvador"/>
    <s v="0:Javi"/>
    <s v=""/>
    <s v=""/>
    <m/>
    <s v="43510:Javier Gonzalez Salvador"/>
    <n v="1"/>
  </r>
  <r>
    <x v="11"/>
    <x v="13"/>
    <n v="21.3"/>
    <n v="4"/>
    <s v="Fed"/>
    <s v="901e6016-5d62-4fc7-bb67-b888fb28d5dc"/>
    <n v="0"/>
    <s v="0:Jesus Touceda"/>
    <s v="0:Jesús"/>
    <s v=""/>
    <s v=""/>
    <m/>
    <s v="43510:Jesus Touceda"/>
    <n v="1"/>
  </r>
  <r>
    <x v="11"/>
    <x v="14"/>
    <n v="7.6"/>
    <n v="2"/>
    <s v="Fed"/>
    <s v="ae28d6db-de85-499f-9cb2-979a22603fe6"/>
    <n v="0"/>
    <s v="0:José Pablo Guil"/>
    <s v="0:JP"/>
    <s v=""/>
    <s v=""/>
    <m/>
    <s v="43510:José Pablo Guil"/>
    <n v="1"/>
  </r>
  <r>
    <x v="11"/>
    <x v="15"/>
    <n v="16.8"/>
    <n v="3"/>
    <s v="Fed"/>
    <s v="237cda45-35b6-4b14-b9c7-c18629f07ddb"/>
    <n v="0"/>
    <s v="0:Luis Escudero"/>
    <s v="0:Lucho"/>
    <s v=""/>
    <s v=""/>
    <m/>
    <s v="43510:Luis Escudero"/>
    <n v="1"/>
  </r>
  <r>
    <x v="11"/>
    <x v="16"/>
    <n v="6.1"/>
    <n v="2"/>
    <s v="Fed"/>
    <s v="056feb24-883b-4149-9182-74e47ce8d992"/>
    <n v="0"/>
    <s v="0:Nacho Gonzalez"/>
    <s v="0:Nacho"/>
    <s v=""/>
    <s v=""/>
    <m/>
    <s v="43510:Nacho Gonzalez"/>
    <n v="1"/>
  </r>
  <r>
    <x v="11"/>
    <x v="17"/>
    <n v="13.4"/>
    <n v="3"/>
    <s v="Fed"/>
    <s v="26ebe106-fece-45f1-aef7-9dde141eb289"/>
    <n v="0"/>
    <s v="0:Pablo Munitiz"/>
    <s v="0:Muni"/>
    <s v=""/>
    <s v=""/>
    <m/>
    <s v="43510:Pablo Munitiz"/>
    <n v="1"/>
  </r>
  <r>
    <x v="11"/>
    <x v="18"/>
    <n v="10.1"/>
    <n v="2"/>
    <s v="Fed"/>
    <s v="debdc217-1445-4b20-ba8a-bd59578cab46"/>
    <n v="0"/>
    <s v="0:Ricardo Muelas"/>
    <s v="0:"/>
    <s v=""/>
    <s v=""/>
    <m/>
    <s v="43510:Ricardo Muelas"/>
    <n v="1"/>
  </r>
  <r>
    <x v="12"/>
    <x v="0"/>
    <n v="7.6999999999999975"/>
    <n v="2"/>
    <s v="Cuart"/>
    <s v="3db3d372-0e04-4417-80ce-13e2b0995292"/>
    <n v="0"/>
    <s v="0:Alfonso Hidalgo"/>
    <s v="0:Alfonso"/>
    <s v=""/>
    <s v=""/>
    <m/>
    <s v="43513:Alfonso Hidalgo"/>
    <n v="1"/>
  </r>
  <r>
    <x v="12"/>
    <x v="1"/>
    <n v="5"/>
    <n v="2"/>
    <s v="Cuart"/>
    <s v="f2267de2-856a-467c-962e-5e57a8863900"/>
    <n v="0"/>
    <s v="0:Alvaro Aguirre"/>
    <s v="0:Gifu"/>
    <s v=""/>
    <s v=""/>
    <m/>
    <s v="43513:Alvaro Aguirre"/>
    <n v="1"/>
  </r>
  <r>
    <x v="12"/>
    <x v="2"/>
    <n v="15.3"/>
    <n v="3"/>
    <s v="Cuart"/>
    <s v="238a992f-40a3-4c40-87b5-4d863a396b7b"/>
    <n v="0"/>
    <s v="0:Alvaro Nieto"/>
    <s v="0:Alvaro"/>
    <s v=""/>
    <s v=""/>
    <m/>
    <s v="43513:Alvaro Nieto"/>
    <n v="1"/>
  </r>
  <r>
    <x v="12"/>
    <x v="3"/>
    <n v="6.4999999999999982"/>
    <n v="2"/>
    <s v="Cuart"/>
    <s v="7eaa7092-613c-4264-85e0-e1ebc9f54efd"/>
    <n v="0"/>
    <s v="0:Angel Hernandez"/>
    <s v="0:Angel"/>
    <s v=""/>
    <s v=""/>
    <m/>
    <s v="43513:Angel Hernandez"/>
    <n v="1"/>
  </r>
  <r>
    <x v="12"/>
    <x v="4"/>
    <n v="11.9"/>
    <n v="3"/>
    <s v="Cuart"/>
    <s v="9c3fee69-a19c-4a5e-b65f-df8c346f56c0"/>
    <n v="0"/>
    <s v="0:David Sequera"/>
    <s v="0:David"/>
    <s v=""/>
    <s v=""/>
    <m/>
    <s v="43513:David Sequera"/>
    <n v="1"/>
  </r>
  <r>
    <x v="12"/>
    <x v="5"/>
    <n v="16.400000000000002"/>
    <n v="3"/>
    <s v="Cuart"/>
    <s v="6f4694f1-beae-402d-ab3d-fdd2083513d0"/>
    <n v="0"/>
    <s v="0:Francisco Alvarez"/>
    <s v="0:Paco"/>
    <s v=""/>
    <s v=""/>
    <m/>
    <s v="43513:Francisco Alvarez"/>
    <n v="1"/>
  </r>
  <r>
    <x v="12"/>
    <x v="6"/>
    <n v="12.9"/>
    <n v="3"/>
    <s v="Cuart"/>
    <s v="4c0b4344-7fa6-4e41-bdbd-895bf7c05518"/>
    <n v="0"/>
    <s v="0:Francisco Hidalgo"/>
    <s v="0:Fran"/>
    <s v=""/>
    <s v=""/>
    <m/>
    <s v="43513:Francisco Hidalgo"/>
    <n v="1"/>
  </r>
  <r>
    <x v="12"/>
    <x v="7"/>
    <n v="17.000000000000007"/>
    <n v="3"/>
    <s v="Cuart"/>
    <s v="6b3bbf80-b38b-4ad5-95e5-fae9926f9f36"/>
    <n v="0"/>
    <s v="0:GLEZ JUAN JOSÉ"/>
    <s v="0:Juanjo"/>
    <s v=""/>
    <s v=""/>
    <m/>
    <s v="43513:GLEZ JUAN JOSÉ"/>
    <n v="1"/>
  </r>
  <r>
    <x v="12"/>
    <x v="8"/>
    <n v="6.6"/>
    <n v="2"/>
    <s v="Cuart"/>
    <s v="ef092c04-6e18-4b5f-94bd-4eb6608d1544"/>
    <n v="0"/>
    <s v="0:Ignacio Cadarso"/>
    <s v="0:Ignacio"/>
    <s v=""/>
    <s v=""/>
    <m/>
    <s v="43513:Ignacio Cadarso"/>
    <n v="1"/>
  </r>
  <r>
    <x v="12"/>
    <x v="9"/>
    <n v="13.3"/>
    <n v="3"/>
    <s v="Cuart"/>
    <s v="9f4ce6dd-e6f6-426e-b923-f06bc7695f92"/>
    <n v="0"/>
    <s v="0:Iñigo Rosas"/>
    <s v="0:"/>
    <s v=""/>
    <s v=""/>
    <m/>
    <s v="43513:Iñigo Rosas"/>
    <n v="1"/>
  </r>
  <r>
    <x v="12"/>
    <x v="10"/>
    <n v="18.000000000000007"/>
    <n v="3"/>
    <s v="Cuart"/>
    <s v="d45796b7-4623-4bf2-9850-b5479d5dbfc4"/>
    <n v="0"/>
    <s v="0:J. Enrique Gonzalez"/>
    <s v="0:Kike"/>
    <s v=""/>
    <s v=""/>
    <m/>
    <s v="43513:J. Enrique Gonzalez"/>
    <n v="1"/>
  </r>
  <r>
    <x v="12"/>
    <x v="11"/>
    <n v="13.2"/>
    <n v="3"/>
    <s v="Cuart"/>
    <s v="ac9d4e3e-9642-4896-bcea-66985d7b6187"/>
    <n v="0"/>
    <s v="0:Javier Cervera"/>
    <s v="0:Virus"/>
    <s v=""/>
    <s v=""/>
    <m/>
    <s v="43513:Javier Cervera"/>
    <n v="1"/>
  </r>
  <r>
    <x v="12"/>
    <x v="12"/>
    <n v="10.299999999999999"/>
    <n v="2"/>
    <s v="Cuart"/>
    <s v="e47402b5-a1b3-4e1b-964f-c32ad1c0d9f4"/>
    <n v="0"/>
    <s v="0:Javier Gonzalez Salvador"/>
    <s v="0:Javi"/>
    <s v=""/>
    <s v=""/>
    <m/>
    <s v="43513:Javier Gonzalez Salvador"/>
    <n v="1"/>
  </r>
  <r>
    <x v="12"/>
    <x v="13"/>
    <n v="21.400000000000002"/>
    <n v="4"/>
    <s v="Cuart"/>
    <s v="7e431851-5596-4464-956b-8b6f3243ab10"/>
    <n v="0"/>
    <s v="0:Jesus Touceda"/>
    <s v="0:Jesús"/>
    <s v=""/>
    <s v=""/>
    <m/>
    <s v="43513:Jesus Touceda"/>
    <n v="1"/>
  </r>
  <r>
    <x v="12"/>
    <x v="14"/>
    <n v="5.4999999999999982"/>
    <n v="2"/>
    <s v="Cuart"/>
    <s v="dd5086c4-e114-4dd1-9aec-2a0c40c1b044"/>
    <n v="0"/>
    <s v="0:José Pablo Guil"/>
    <s v="0:JP"/>
    <s v=""/>
    <s v=""/>
    <m/>
    <s v="43513:José Pablo Guil"/>
    <n v="1"/>
  </r>
  <r>
    <x v="12"/>
    <x v="15"/>
    <n v="16.8"/>
    <n v="3"/>
    <s v="Cuart"/>
    <s v="dcdb502a-59a3-4230-b352-c2c6fc7a4920"/>
    <n v="0"/>
    <s v="0:Luis Escudero"/>
    <s v="0:Lucho"/>
    <s v=""/>
    <s v=""/>
    <m/>
    <s v="43513:Luis Escudero"/>
    <n v="1"/>
  </r>
  <r>
    <x v="12"/>
    <x v="16"/>
    <n v="4.3000000000000007"/>
    <n v="1"/>
    <s v="Cuart"/>
    <s v="591d0f9e-8b29-493d-bc7d-7333b6f4ff98"/>
    <n v="0"/>
    <s v="0:Nacho Gonzalez"/>
    <s v="0:Nacho"/>
    <s v=""/>
    <s v=""/>
    <m/>
    <s v="43513:Nacho Gonzalez"/>
    <n v="1"/>
  </r>
  <r>
    <x v="12"/>
    <x v="17"/>
    <n v="13.4"/>
    <n v="3"/>
    <s v="Cuart"/>
    <s v="55d8f9aa-05e1-4f6b-ac5e-44d0253a7390"/>
    <n v="0"/>
    <s v="0:Pablo Munitiz"/>
    <s v="0:Muni"/>
    <s v=""/>
    <s v=""/>
    <m/>
    <s v="43513:Pablo Munitiz"/>
    <n v="1"/>
  </r>
  <r>
    <x v="12"/>
    <x v="18"/>
    <n v="9.6999999999999993"/>
    <n v="2"/>
    <s v="Cuart"/>
    <s v="b7581cec-3795-4564-8c9a-d17f96c2dacb"/>
    <n v="0"/>
    <s v="0:Ricardo Muelas"/>
    <s v="0:"/>
    <s v=""/>
    <s v=""/>
    <m/>
    <s v="43513:Ricardo Muelas"/>
    <n v="1"/>
  </r>
  <r>
    <x v="13"/>
    <x v="0"/>
    <n v="8.5"/>
    <n v="2"/>
    <s v="Fed"/>
    <s v="ced10375-9466-4f49-bf34-79bb0853d5f8"/>
    <n v="0"/>
    <s v="0:Alfonso Hidalgo"/>
    <s v="0:Alfonso"/>
    <s v=""/>
    <s v=""/>
    <m/>
    <s v="43555:Alfonso Hidalgo"/>
    <n v="2"/>
  </r>
  <r>
    <x v="13"/>
    <x v="0"/>
    <n v="7.6999999999999975"/>
    <n v="2"/>
    <s v="Cuart"/>
    <s v="1b85f60b-4525-4026-86fa-a41d64cf8bca"/>
    <n v="0"/>
    <s v="0:Alfonso Hidalgo"/>
    <s v="0:Alfonso"/>
    <s v=""/>
    <s v=""/>
    <m/>
    <s v="43555:Alfonso Hidalgo"/>
    <n v="2"/>
  </r>
  <r>
    <x v="13"/>
    <x v="1"/>
    <n v="5.4"/>
    <n v="2"/>
    <s v="Fed"/>
    <s v="9f2a658a-06a8-47cf-b787-c527d9240b69"/>
    <n v="0"/>
    <s v="0:Alvaro Aguirre"/>
    <s v="0:Gifu"/>
    <s v=""/>
    <s v=""/>
    <m/>
    <s v="43555:Alvaro Aguirre"/>
    <n v="2"/>
  </r>
  <r>
    <x v="13"/>
    <x v="1"/>
    <n v="5.0999999999999996"/>
    <n v="2"/>
    <s v="Cuart"/>
    <s v="da8540b1-0046-4bf9-a58d-bf596b791bc7"/>
    <n v="0"/>
    <s v="0:Alvaro Aguirre"/>
    <s v="0:Gifu"/>
    <s v=""/>
    <s v=""/>
    <m/>
    <s v="43555:Alvaro Aguirre"/>
    <n v="2"/>
  </r>
  <r>
    <x v="13"/>
    <x v="2"/>
    <n v="15.4"/>
    <n v="3"/>
    <s v="Fed"/>
    <s v="d62cf96c-aeee-424d-bb96-8d0636d8631c"/>
    <n v="0"/>
    <s v="0:Alvaro Nieto"/>
    <s v="0:Alvaro"/>
    <s v=""/>
    <s v=""/>
    <m/>
    <s v="43555:Alvaro Nieto"/>
    <n v="2"/>
  </r>
  <r>
    <x v="13"/>
    <x v="2"/>
    <n v="15.4"/>
    <n v="3"/>
    <s v="Cuart"/>
    <s v="1a18318e-c7ec-46c8-a929-aa329e015d7a"/>
    <n v="0"/>
    <s v="0:Alvaro Nieto"/>
    <s v="0:Alvaro"/>
    <s v=""/>
    <s v=""/>
    <m/>
    <s v="43555:Alvaro Nieto"/>
    <n v="2"/>
  </r>
  <r>
    <x v="13"/>
    <x v="3"/>
    <n v="7"/>
    <n v="2"/>
    <s v="Fed"/>
    <s v="61a46d87-6047-4e0d-a718-c8ea98ef906d"/>
    <n v="0"/>
    <s v="0:Angel Hernandez"/>
    <s v="0:Angel"/>
    <s v=""/>
    <s v=""/>
    <m/>
    <s v="43555:Angel Hernandez"/>
    <n v="2"/>
  </r>
  <r>
    <x v="13"/>
    <x v="3"/>
    <n v="6.4999999999999982"/>
    <n v="2"/>
    <s v="Cuart"/>
    <s v="ae6ab579-cc3b-44b6-bdf0-a749cb203018"/>
    <n v="0"/>
    <s v="0:Angel Hernandez"/>
    <s v="0:Angel"/>
    <s v=""/>
    <s v=""/>
    <m/>
    <s v="43555:Angel Hernandez"/>
    <n v="2"/>
  </r>
  <r>
    <x v="13"/>
    <x v="4"/>
    <n v="12"/>
    <n v="3"/>
    <s v="Fed"/>
    <s v="c3bca87e-3586-41e5-90ad-0dd3e9c18c55"/>
    <n v="0"/>
    <s v="0:David Sequera"/>
    <s v="0:David"/>
    <s v=""/>
    <s v=""/>
    <m/>
    <s v="43555:David Sequera"/>
    <n v="2"/>
  </r>
  <r>
    <x v="13"/>
    <x v="4"/>
    <n v="12"/>
    <n v="3"/>
    <s v="Cuart"/>
    <s v="728884d5-806d-41b1-b2d2-dd0427db13a6"/>
    <n v="0"/>
    <s v="0:David Sequera"/>
    <s v="0:David"/>
    <s v=""/>
    <s v=""/>
    <m/>
    <s v="43555:David Sequera"/>
    <n v="2"/>
  </r>
  <r>
    <x v="13"/>
    <x v="5"/>
    <n v="17.600000000000001"/>
    <n v="3"/>
    <s v="Fed"/>
    <s v="71d7f586-2b69-4755-a128-903acb3f1d88"/>
    <n v="0"/>
    <s v="0:Francisco Alvarez"/>
    <s v="0:Paco"/>
    <s v=""/>
    <s v=""/>
    <m/>
    <s v="43555:Francisco Alvarez"/>
    <n v="2"/>
  </r>
  <r>
    <x v="13"/>
    <x v="5"/>
    <n v="16.500000000000004"/>
    <n v="3"/>
    <s v="Cuart"/>
    <s v="bf168401-f9dc-41d2-8944-6a63d18b254f"/>
    <n v="0"/>
    <s v="0:Francisco Alvarez"/>
    <s v="0:Paco"/>
    <s v=""/>
    <s v=""/>
    <m/>
    <s v="43555:Francisco Alvarez"/>
    <n v="2"/>
  </r>
  <r>
    <x v="13"/>
    <x v="6"/>
    <n v="13.2"/>
    <n v="3"/>
    <s v="Fed"/>
    <s v="ed175c76-cea3-413e-bd77-c76fc37a04ed"/>
    <n v="0"/>
    <s v="0:Francisco Hidalgo"/>
    <s v="0:Fran"/>
    <s v=""/>
    <s v=""/>
    <m/>
    <s v="43555:Francisco Hidalgo"/>
    <n v="2"/>
  </r>
  <r>
    <x v="13"/>
    <x v="6"/>
    <n v="13"/>
    <n v="3"/>
    <s v="Cuart"/>
    <s v="36afd269-fa58-4f7d-8942-1ee36b3eb0b0"/>
    <n v="0"/>
    <s v="0:Francisco Hidalgo"/>
    <s v="0:Fran"/>
    <s v=""/>
    <s v=""/>
    <m/>
    <s v="43555:Francisco Hidalgo"/>
    <n v="2"/>
  </r>
  <r>
    <x v="13"/>
    <x v="7"/>
    <n v="17.3"/>
    <n v="3"/>
    <s v="Fed"/>
    <s v="99f5e5d7-627f-4b88-bc61-b3df5b5eeab0"/>
    <n v="0"/>
    <s v="0:GLEZ JUAN JOSÉ"/>
    <s v="0:Juanjo"/>
    <s v=""/>
    <s v=""/>
    <m/>
    <s v="43555:GLEZ JUAN JOSÉ"/>
    <n v="2"/>
  </r>
  <r>
    <x v="13"/>
    <x v="7"/>
    <n v="17.100000000000009"/>
    <n v="3"/>
    <s v="Cuart"/>
    <s v="4c5dc90f-d0e7-46da-9f40-37c90e92e403"/>
    <n v="0"/>
    <s v="0:GLEZ JUAN JOSÉ"/>
    <s v="0:Juanjo"/>
    <s v=""/>
    <s v=""/>
    <m/>
    <s v="43555:GLEZ JUAN JOSÉ"/>
    <n v="2"/>
  </r>
  <r>
    <x v="13"/>
    <x v="8"/>
    <n v="6.7"/>
    <n v="2"/>
    <s v="Fed"/>
    <s v="131b6dec-48f3-469e-aaa3-06d2446a9e11"/>
    <n v="0"/>
    <s v="0:Ignacio Cadarso"/>
    <s v="0:Ignacio"/>
    <s v=""/>
    <s v=""/>
    <m/>
    <s v="43555:Ignacio Cadarso"/>
    <n v="2"/>
  </r>
  <r>
    <x v="13"/>
    <x v="8"/>
    <n v="6.6"/>
    <n v="2"/>
    <s v="Cuart"/>
    <s v="ff615c1d-ee3e-4d36-ac2f-0bb89022b0d2"/>
    <n v="0"/>
    <s v="0:Ignacio Cadarso"/>
    <s v="0:Ignacio"/>
    <s v=""/>
    <s v=""/>
    <m/>
    <s v="43555:Ignacio Cadarso"/>
    <n v="2"/>
  </r>
  <r>
    <x v="13"/>
    <x v="9"/>
    <n v="14.5"/>
    <n v="3"/>
    <s v="Fed"/>
    <s v="9e06a2ab-c69a-4d90-9c3f-30b9e331fec1"/>
    <n v="0"/>
    <s v="0:Iñigo Rosas"/>
    <s v="0:"/>
    <s v=""/>
    <s v=""/>
    <m/>
    <s v="43555:Iñigo Rosas"/>
    <n v="2"/>
  </r>
  <r>
    <x v="13"/>
    <x v="9"/>
    <n v="13.3"/>
    <n v="3"/>
    <s v="Cuart"/>
    <s v="5e188a5b-f9a7-4c23-9bd5-8a77640fd0b9"/>
    <n v="0"/>
    <s v="0:Iñigo Rosas"/>
    <s v="0:"/>
    <s v=""/>
    <s v=""/>
    <m/>
    <s v="43555:Iñigo Rosas"/>
    <n v="2"/>
  </r>
  <r>
    <x v="13"/>
    <x v="10"/>
    <n v="19.600000000000001"/>
    <n v="4"/>
    <s v="Fed"/>
    <s v="fad247ab-9bd9-4121-8969-c91d0703882b"/>
    <n v="0"/>
    <s v="0:J. Enrique Gonzalez"/>
    <s v="0:Kike"/>
    <s v=""/>
    <s v=""/>
    <m/>
    <s v="43555:J. Enrique Gonzalez"/>
    <n v="2"/>
  </r>
  <r>
    <x v="13"/>
    <x v="10"/>
    <n v="18.100000000000009"/>
    <n v="3"/>
    <s v="Cuart"/>
    <s v="3eccd41d-ce03-443c-ba43-82ad3cb87807"/>
    <n v="0"/>
    <s v="0:J. Enrique Gonzalez"/>
    <s v="0:Kike"/>
    <s v=""/>
    <s v=""/>
    <m/>
    <s v="43555:J. Enrique Gonzalez"/>
    <n v="2"/>
  </r>
  <r>
    <x v="13"/>
    <x v="11"/>
    <n v="13.1"/>
    <n v="3"/>
    <s v="Fed"/>
    <s v="9df3802c-17f3-4f97-9720-70efe103a4f7"/>
    <n v="0"/>
    <s v="0:Javier Cervera"/>
    <s v="0:Virus"/>
    <s v=""/>
    <s v=""/>
    <m/>
    <s v="43555:Javier Cervera"/>
    <n v="2"/>
  </r>
  <r>
    <x v="13"/>
    <x v="11"/>
    <n v="13.2"/>
    <n v="3"/>
    <s v="Cuart"/>
    <s v="d55a274f-a496-4919-9bd5-857be1563128"/>
    <n v="0"/>
    <s v="0:Javier Cervera"/>
    <s v="0:Virus"/>
    <s v=""/>
    <s v=""/>
    <m/>
    <s v="43555:Javier Cervera"/>
    <n v="2"/>
  </r>
  <r>
    <x v="13"/>
    <x v="12"/>
    <n v="13.9"/>
    <n v="3"/>
    <s v="Fed"/>
    <s v="7b824df4-9ce7-4dd5-93df-f80be22af4bf"/>
    <n v="0"/>
    <s v="0:Javier Gonzalez Salvador"/>
    <s v="0:Javi"/>
    <s v=""/>
    <s v=""/>
    <m/>
    <s v="43555:Javier Gonzalez Salvador"/>
    <n v="2"/>
  </r>
  <r>
    <x v="13"/>
    <x v="12"/>
    <n v="10.399999999999999"/>
    <n v="2"/>
    <s v="Cuart"/>
    <s v="d0c4fd1d-73a8-4969-bb0c-bcff37759cc7"/>
    <n v="0"/>
    <s v="0:Javier Gonzalez Salvador"/>
    <s v="0:Javi"/>
    <s v=""/>
    <s v=""/>
    <m/>
    <s v="43555:Javier Gonzalez Salvador"/>
    <n v="2"/>
  </r>
  <r>
    <x v="13"/>
    <x v="13"/>
    <n v="20.9"/>
    <n v="4"/>
    <s v="Fed"/>
    <s v="a2f2b78f-4263-4b29-a53b-9e2af024b147"/>
    <n v="0"/>
    <s v="0:Jesus Touceda"/>
    <s v="0:Jesús"/>
    <s v=""/>
    <s v=""/>
    <m/>
    <s v="43555:Jesus Touceda"/>
    <n v="2"/>
  </r>
  <r>
    <x v="13"/>
    <x v="13"/>
    <n v="21"/>
    <n v="4"/>
    <s v="Cuart"/>
    <s v="0fd59622-eb57-48fb-b9f9-821f64e1ee34"/>
    <n v="0"/>
    <s v="0:Jesus Touceda"/>
    <s v="0:Jesús"/>
    <s v=""/>
    <s v=""/>
    <m/>
    <s v="43555:Jesus Touceda"/>
    <n v="2"/>
  </r>
  <r>
    <x v="13"/>
    <x v="14"/>
    <n v="7.6"/>
    <n v="2"/>
    <s v="Fed"/>
    <s v="35794ed3-4bfe-4cb6-811f-380ab3e1bc44"/>
    <n v="0"/>
    <s v="0:José Pablo Guil"/>
    <s v="0:JP"/>
    <s v=""/>
    <s v=""/>
    <m/>
    <s v="43555:José Pablo Guil"/>
    <n v="2"/>
  </r>
  <r>
    <x v="13"/>
    <x v="14"/>
    <n v="5.5999999999999979"/>
    <n v="2"/>
    <s v="Cuart"/>
    <s v="429397b5-990c-4e33-9f9f-32154fd60d32"/>
    <n v="0"/>
    <s v="0:José Pablo Guil"/>
    <s v="0:JP"/>
    <s v=""/>
    <s v=""/>
    <m/>
    <s v="43555:José Pablo Guil"/>
    <n v="2"/>
  </r>
  <r>
    <x v="13"/>
    <x v="15"/>
    <n v="17.100000000000001"/>
    <n v="3"/>
    <s v="Fed"/>
    <s v="a1476ed4-c1b4-4a42-93b4-d860de715645"/>
    <n v="0"/>
    <s v="0:Luis Escudero"/>
    <s v="0:Lucho"/>
    <s v=""/>
    <s v=""/>
    <m/>
    <s v="43555:Luis Escudero"/>
    <n v="2"/>
  </r>
  <r>
    <x v="13"/>
    <x v="15"/>
    <n v="16.8"/>
    <n v="3"/>
    <s v="Cuart"/>
    <s v="3a558f28-c658-4a4e-8c42-3855d35083ce"/>
    <n v="0"/>
    <s v="0:Luis Escudero"/>
    <s v="0:Lucho"/>
    <s v=""/>
    <s v=""/>
    <m/>
    <s v="43555:Luis Escudero"/>
    <n v="2"/>
  </r>
  <r>
    <x v="13"/>
    <x v="16"/>
    <n v="6.2"/>
    <n v="2"/>
    <s v="Fed"/>
    <s v="022b8ed7-927c-4d08-8c01-16e656846bd3"/>
    <n v="0"/>
    <s v="0:Nacho Gonzalez"/>
    <s v="0:Nacho"/>
    <s v=""/>
    <s v=""/>
    <m/>
    <s v="43555:Nacho Gonzalez"/>
    <n v="2"/>
  </r>
  <r>
    <x v="13"/>
    <x v="16"/>
    <n v="4.4000000000000004"/>
    <n v="1"/>
    <s v="Cuart"/>
    <s v="12e0e275-7457-494d-80fe-4da996377e57"/>
    <n v="0"/>
    <s v="0:Nacho Gonzalez"/>
    <s v="0:Nacho"/>
    <s v=""/>
    <s v=""/>
    <m/>
    <s v="43555:Nacho Gonzalez"/>
    <n v="2"/>
  </r>
  <r>
    <x v="13"/>
    <x v="17"/>
    <n v="13.4"/>
    <n v="3"/>
    <s v="Fed"/>
    <s v="f9e2fcd0-e246-4d70-b7f1-7e307503ae3a"/>
    <n v="0"/>
    <s v="0:Pablo Munitiz"/>
    <s v="0:Muni"/>
    <s v=""/>
    <s v=""/>
    <m/>
    <s v="43555:Pablo Munitiz"/>
    <n v="2"/>
  </r>
  <r>
    <x v="13"/>
    <x v="17"/>
    <n v="13.4"/>
    <n v="3"/>
    <s v="Cuart"/>
    <s v="5e3e61a0-3db4-41c3-8636-797f3bd6d157"/>
    <n v="0"/>
    <s v="0:Pablo Munitiz"/>
    <s v="0:Muni"/>
    <s v=""/>
    <s v=""/>
    <m/>
    <s v="43555:Pablo Munitiz"/>
    <n v="2"/>
  </r>
  <r>
    <x v="13"/>
    <x v="18"/>
    <n v="10.1"/>
    <n v="2"/>
    <s v="Fed"/>
    <s v="871cc6fe-a821-4785-b905-b66f0df0c9d3"/>
    <n v="0"/>
    <s v="0:Ricardo Muelas"/>
    <s v="0:"/>
    <s v=""/>
    <s v=""/>
    <m/>
    <s v="43555:Ricardo Muelas"/>
    <n v="2"/>
  </r>
  <r>
    <x v="13"/>
    <x v="18"/>
    <n v="9.6999999999999993"/>
    <n v="2"/>
    <s v="Cuart"/>
    <s v="28303100-48ba-42d1-9db2-7b531a4c7e07"/>
    <n v="0"/>
    <s v="0:Ricardo Muelas"/>
    <s v="0:"/>
    <s v=""/>
    <s v=""/>
    <m/>
    <s v="43555:Ricardo Muelas"/>
    <n v="2"/>
  </r>
  <r>
    <x v="14"/>
    <x v="0"/>
    <n v="8.5"/>
    <n v="2"/>
    <s v="Fed"/>
    <s v="931f35bb-47ac-4af2-bf6b-78b70d2ba884"/>
    <n v="0"/>
    <s v="0:Alfonso Hidalgo"/>
    <s v="0:Alfonso"/>
    <s v=""/>
    <s v=""/>
    <m/>
    <s v="43614:Alfonso Hidalgo"/>
    <n v="1"/>
  </r>
  <r>
    <x v="14"/>
    <x v="1"/>
    <n v="5.6"/>
    <n v="2"/>
    <s v="Fed"/>
    <s v="17dff4db-ad07-488c-8a30-08b2852c2590"/>
    <n v="0"/>
    <s v="0:Alvaro Aguirre"/>
    <s v="0:Gifu"/>
    <s v=""/>
    <s v=""/>
    <m/>
    <s v="43614:Alvaro Aguirre"/>
    <n v="1"/>
  </r>
  <r>
    <x v="14"/>
    <x v="2"/>
    <n v="14.6"/>
    <n v="3"/>
    <s v="Fed"/>
    <s v="9b414164-f5a0-4ee0-88a0-a85042ea5239"/>
    <n v="0"/>
    <s v="0:Alvaro Nieto"/>
    <s v="0:Alvaro"/>
    <s v=""/>
    <s v=""/>
    <m/>
    <s v="43614:Alvaro Nieto"/>
    <n v="1"/>
  </r>
  <r>
    <x v="14"/>
    <x v="3"/>
    <n v="7"/>
    <n v="2"/>
    <s v="Fed"/>
    <s v="54a7b97d-2081-40f2-bb55-f73dfc58aecd"/>
    <n v="0"/>
    <s v="0:Angel Hernandez"/>
    <s v="0:Angel"/>
    <s v=""/>
    <s v=""/>
    <m/>
    <s v="43614:Angel Hernandez"/>
    <n v="1"/>
  </r>
  <r>
    <x v="14"/>
    <x v="4"/>
    <n v="10.5"/>
    <n v="2"/>
    <s v="Fed"/>
    <s v="60774490-4720-41d3-9e38-9696ed13047a"/>
    <n v="0"/>
    <s v="0:David Sequera"/>
    <s v="0:David"/>
    <s v=""/>
    <s v=""/>
    <m/>
    <s v="43614:David Sequera"/>
    <n v="1"/>
  </r>
  <r>
    <x v="14"/>
    <x v="5"/>
    <n v="14"/>
    <n v="3"/>
    <s v="Fed"/>
    <s v="e15dddac-cabd-4407-b457-74397211a0a0"/>
    <n v="0"/>
    <s v="0:Francisco Alvarez"/>
    <s v="0:Paco"/>
    <s v=""/>
    <s v=""/>
    <m/>
    <s v="43614:Francisco Alvarez"/>
    <n v="1"/>
  </r>
  <r>
    <x v="14"/>
    <x v="6"/>
    <n v="13.2"/>
    <n v="3"/>
    <s v="Fed"/>
    <s v="f2a29f30-7f7c-40d8-92e8-869eac26fd1b"/>
    <n v="0"/>
    <s v="0:Francisco Hidalgo"/>
    <s v="0:Fran"/>
    <s v=""/>
    <s v=""/>
    <m/>
    <s v="43614:Francisco Hidalgo"/>
    <n v="1"/>
  </r>
  <r>
    <x v="14"/>
    <x v="7"/>
    <n v="17.100000000000001"/>
    <n v="3"/>
    <s v="Fed"/>
    <s v="fcdbf2d4-1893-4130-a455-daa324332a03"/>
    <n v="0"/>
    <s v="0:GLEZ JUAN JOSÉ"/>
    <s v="0:Juanjo"/>
    <s v=""/>
    <s v=""/>
    <m/>
    <s v="43614:GLEZ JUAN JOSÉ"/>
    <n v="1"/>
  </r>
  <r>
    <x v="14"/>
    <x v="8"/>
    <n v="5.5"/>
    <n v="2"/>
    <s v="Fed"/>
    <s v="ace41e1d-b7e8-44ed-85b1-ede4ff6e4f34"/>
    <n v="0"/>
    <s v="0:Ignacio Cadarso"/>
    <s v="0:Ignacio"/>
    <s v=""/>
    <s v=""/>
    <m/>
    <s v="43614:Ignacio Cadarso"/>
    <n v="1"/>
  </r>
  <r>
    <x v="14"/>
    <x v="9"/>
    <n v="14.5"/>
    <n v="3"/>
    <s v="Fed"/>
    <s v="144d2d85-86b5-4f0b-a015-c8f7aa5b82e7"/>
    <n v="0"/>
    <s v="0:Iñigo Rosas"/>
    <s v="0:"/>
    <s v=""/>
    <s v=""/>
    <m/>
    <s v="43614:Iñigo Rosas"/>
    <n v="1"/>
  </r>
  <r>
    <x v="14"/>
    <x v="10"/>
    <n v="19.7"/>
    <n v="4"/>
    <s v="Fed"/>
    <s v="b2b79b1e-d6e3-44fb-bb4b-d695cc712c10"/>
    <n v="0"/>
    <s v="0:J. Enrique Gonzalez"/>
    <s v="0:Kike"/>
    <s v=""/>
    <s v=""/>
    <m/>
    <s v="43614:J. Enrique Gonzalez"/>
    <n v="1"/>
  </r>
  <r>
    <x v="14"/>
    <x v="11"/>
    <n v="13.3"/>
    <n v="3"/>
    <s v="Fed"/>
    <s v="58f3d793-bfb9-4371-affb-bbe8ba980723"/>
    <n v="0"/>
    <s v="0:Javier Cervera"/>
    <s v="0:Virus"/>
    <s v=""/>
    <s v=""/>
    <m/>
    <s v="43614:Javier Cervera"/>
    <n v="1"/>
  </r>
  <r>
    <x v="14"/>
    <x v="12"/>
    <n v="14"/>
    <n v="3"/>
    <s v="Fed"/>
    <s v="fcff633f-c43f-44c0-962c-04b8538a6aa5"/>
    <n v="0"/>
    <s v="0:Javier Gonzalez Salvador"/>
    <s v="0:Javi"/>
    <s v=""/>
    <s v=""/>
    <m/>
    <s v="43614:Javier Gonzalez Salvador"/>
    <n v="1"/>
  </r>
  <r>
    <x v="14"/>
    <x v="13"/>
    <n v="21.1"/>
    <n v="4"/>
    <s v="Fed"/>
    <s v="9238b12d-c7f6-4972-8db7-4160f5045403"/>
    <n v="0"/>
    <s v="0:Jesus Touceda"/>
    <s v="0:Jesús"/>
    <s v=""/>
    <s v=""/>
    <m/>
    <s v="43614:Jesus Touceda"/>
    <n v="1"/>
  </r>
  <r>
    <x v="14"/>
    <x v="14"/>
    <n v="7.8"/>
    <n v="2"/>
    <s v="Fed"/>
    <s v="e0b28f0b-ab16-44ce-8f00-384297571242"/>
    <n v="0"/>
    <s v="0:José Pablo Guil"/>
    <s v="0:JP"/>
    <s v=""/>
    <s v=""/>
    <m/>
    <s v="43614:José Pablo Guil"/>
    <n v="1"/>
  </r>
  <r>
    <x v="14"/>
    <x v="15"/>
    <n v="17.3"/>
    <n v="3"/>
    <s v="Fed"/>
    <s v="5f0ce94c-2901-4632-ba9a-dd10eb9c0eb0"/>
    <n v="0"/>
    <s v="0:Luis Escudero"/>
    <s v="0:Lucho"/>
    <s v=""/>
    <s v=""/>
    <m/>
    <s v="43614:Luis Escudero"/>
    <n v="1"/>
  </r>
  <r>
    <x v="14"/>
    <x v="19"/>
    <n v="2.4"/>
    <n v="1"/>
    <s v="Fed"/>
    <s v="c94947a1-2ffd-4756-bf64-8c6c8f499ec0"/>
    <n v="0"/>
    <s v="0:Miguel Diaz Del Moral"/>
    <s v="0:Cañita"/>
    <s v=""/>
    <s v=""/>
    <m/>
    <s v="43614:Miguel Diaz Del Moral"/>
    <n v="1"/>
  </r>
  <r>
    <x v="14"/>
    <x v="16"/>
    <n v="6.1"/>
    <n v="2"/>
    <s v="Fed"/>
    <s v="0b18cb57-cd08-453a-8ddb-431a95c1b63a"/>
    <n v="0"/>
    <s v="0:Nacho Gonzalez"/>
    <s v="0:Nacho"/>
    <s v=""/>
    <s v=""/>
    <m/>
    <s v="43614:Nacho Gonzalez"/>
    <n v="1"/>
  </r>
  <r>
    <x v="14"/>
    <x v="17"/>
    <n v="13.4"/>
    <n v="3"/>
    <s v="Fed"/>
    <s v="eea78f4e-60ec-4bd8-bbcf-1607c8d598be"/>
    <n v="0"/>
    <s v="0:Pablo Munitiz"/>
    <s v="0:Muni"/>
    <s v=""/>
    <s v=""/>
    <m/>
    <s v="43614:Pablo Munitiz"/>
    <n v="1"/>
  </r>
  <r>
    <x v="15"/>
    <x v="0"/>
    <n v="8.6"/>
    <n v="2"/>
    <s v="Fed"/>
    <s v="8863867a-6f7f-40f8-9cd2-9e35ae5f5ab2"/>
    <n v="0"/>
    <s v="0:Alfonso Hidalgo"/>
    <s v="0:Alfonso"/>
    <s v=""/>
    <s v=""/>
    <m/>
    <s v="43655:Alfonso Hidalgo"/>
    <n v="1"/>
  </r>
  <r>
    <x v="15"/>
    <x v="1"/>
    <n v="5.7"/>
    <n v="2"/>
    <s v="Fed"/>
    <s v="c90eecaf-1138-49fc-af45-1317d249bf94"/>
    <n v="0"/>
    <s v="0:Alvaro Aguirre"/>
    <s v="0:Gifu"/>
    <s v=""/>
    <s v=""/>
    <m/>
    <s v="43655:Alvaro Aguirre"/>
    <n v="1"/>
  </r>
  <r>
    <x v="15"/>
    <x v="2"/>
    <n v="14.7"/>
    <n v="3"/>
    <s v="Fed"/>
    <s v="9d7d96ef-bb71-4d6f-8d85-fc54d6c31e2c"/>
    <n v="0"/>
    <s v="0:Alvaro Nieto"/>
    <s v="0:Alvaro"/>
    <s v=""/>
    <s v=""/>
    <m/>
    <s v="43655:Alvaro Nieto"/>
    <n v="1"/>
  </r>
  <r>
    <x v="15"/>
    <x v="3"/>
    <n v="7.1"/>
    <n v="2"/>
    <s v="Fed"/>
    <s v="7eed96f4-0d74-499b-b802-cc1864faf60f"/>
    <n v="0"/>
    <s v="0:Angel Hernandez"/>
    <s v="0:Angel"/>
    <s v=""/>
    <s v=""/>
    <m/>
    <s v="43655:Angel Hernandez"/>
    <n v="1"/>
  </r>
  <r>
    <x v="15"/>
    <x v="4"/>
    <n v="10.6"/>
    <n v="2"/>
    <s v="Fed"/>
    <s v="5b2c64e6-7e5c-42b3-91a6-f6f8da2e4bdf"/>
    <n v="0"/>
    <s v="0:David Sequera"/>
    <s v="0:David"/>
    <s v=""/>
    <s v=""/>
    <m/>
    <s v="43655:David Sequera"/>
    <n v="1"/>
  </r>
  <r>
    <x v="15"/>
    <x v="5"/>
    <n v="14"/>
    <n v="3"/>
    <s v="Fed"/>
    <s v="89eff9bd-4005-49ef-8cc8-8f6d7f1726eb"/>
    <n v="0"/>
    <s v="0:Francisco Alvarez"/>
    <s v="0:Paco"/>
    <s v=""/>
    <s v=""/>
    <m/>
    <s v="43655:Francisco Alvarez"/>
    <n v="1"/>
  </r>
  <r>
    <x v="15"/>
    <x v="6"/>
    <n v="13.4"/>
    <n v="3"/>
    <s v="Fed"/>
    <s v="da37d8e4-c5d6-42e1-a5e1-afa6414a3703"/>
    <n v="0"/>
    <s v="0:Francisco Hidalgo"/>
    <s v="0:Fran"/>
    <s v=""/>
    <s v=""/>
    <m/>
    <s v="43655:Francisco Hidalgo"/>
    <n v="1"/>
  </r>
  <r>
    <x v="15"/>
    <x v="7"/>
    <n v="17.100000000000001"/>
    <n v="3"/>
    <s v="Fed"/>
    <s v="07688fe4-2297-4e64-a7cb-b95004f5ff91"/>
    <n v="0"/>
    <s v="0:GLEZ JUAN JOSÉ"/>
    <s v="0:Juanjo"/>
    <s v=""/>
    <s v=""/>
    <m/>
    <s v="43655:GLEZ JUAN JOSÉ"/>
    <n v="1"/>
  </r>
  <r>
    <x v="15"/>
    <x v="8"/>
    <n v="5.6"/>
    <n v="2"/>
    <s v="Fed"/>
    <s v="0c14256c-82c9-4e59-9e1f-99584b70d95b"/>
    <n v="0"/>
    <s v="0:Ignacio Cadarso"/>
    <s v="0:Ignacio"/>
    <s v=""/>
    <s v=""/>
    <m/>
    <s v="43655:Ignacio Cadarso"/>
    <n v="1"/>
  </r>
  <r>
    <x v="15"/>
    <x v="9"/>
    <n v="14.5"/>
    <n v="3"/>
    <s v="Fed"/>
    <s v="3f2f7338-2b20-47a2-b93e-7321f1cc1b69"/>
    <n v="0"/>
    <s v="0:Iñigo Rosas"/>
    <s v="0:"/>
    <s v=""/>
    <s v=""/>
    <m/>
    <s v="43655:Iñigo Rosas"/>
    <n v="1"/>
  </r>
  <r>
    <x v="15"/>
    <x v="10"/>
    <n v="19.7"/>
    <n v="4"/>
    <s v="Fed"/>
    <s v="8b2a7779-2f61-40e3-bd8d-bfcf77bfafa1"/>
    <n v="0"/>
    <s v="0:J. Enrique Gonzalez"/>
    <s v="0:Kike"/>
    <s v=""/>
    <s v=""/>
    <m/>
    <s v="43655:J. Enrique Gonzalez"/>
    <n v="1"/>
  </r>
  <r>
    <x v="15"/>
    <x v="11"/>
    <n v="13.4"/>
    <n v="3"/>
    <s v="Fed"/>
    <s v="c752887d-2014-457d-9d5e-095c00df0e8f"/>
    <n v="0"/>
    <s v="0:Javier Cervera"/>
    <s v="0:Virus"/>
    <s v=""/>
    <s v=""/>
    <m/>
    <s v="43655:Javier Cervera"/>
    <n v="1"/>
  </r>
  <r>
    <x v="15"/>
    <x v="12"/>
    <n v="14"/>
    <n v="3"/>
    <s v="Fed"/>
    <s v="65b165ef-a31c-413c-a112-7937a55b9de8"/>
    <n v="0"/>
    <s v="0:Javier Gonzalez Salvador"/>
    <s v="0:Javi"/>
    <s v=""/>
    <s v=""/>
    <m/>
    <s v="43655:Javier Gonzalez Salvador"/>
    <n v="1"/>
  </r>
  <r>
    <x v="15"/>
    <x v="13"/>
    <n v="21.1"/>
    <n v="4"/>
    <s v="Fed"/>
    <s v="b836cfa6-c70c-4a8f-8cce-1e4c6e9ba727"/>
    <n v="0"/>
    <s v="0:Jesus Touceda"/>
    <s v="0:Jesús"/>
    <s v=""/>
    <s v=""/>
    <m/>
    <s v="43655:Jesus Touceda"/>
    <n v="1"/>
  </r>
  <r>
    <x v="15"/>
    <x v="14"/>
    <n v="7.3"/>
    <n v="2"/>
    <s v="Fed"/>
    <s v="41f1bc14-6c53-4452-8166-d5ccd4a60cbc"/>
    <n v="0"/>
    <s v="0:José Pablo Guil"/>
    <s v="0:JP"/>
    <s v=""/>
    <s v=""/>
    <m/>
    <s v="43655:José Pablo Guil"/>
    <n v="1"/>
  </r>
  <r>
    <x v="15"/>
    <x v="15"/>
    <n v="17.3"/>
    <n v="3"/>
    <s v="Fed"/>
    <s v="e696de5b-ff1c-484e-baf9-2c944f03792b"/>
    <n v="0"/>
    <s v="0:Luis Escudero"/>
    <s v="0:Lucho"/>
    <s v=""/>
    <s v=""/>
    <m/>
    <s v="43655:Luis Escudero"/>
    <n v="1"/>
  </r>
  <r>
    <x v="15"/>
    <x v="19"/>
    <n v="2.4"/>
    <n v="1"/>
    <s v="Fed"/>
    <s v="031fe0ec-c611-40ec-8172-280a80c00359"/>
    <n v="0"/>
    <s v="0:Miguel Diaz Del Moral"/>
    <s v="0:Cañita"/>
    <s v=""/>
    <s v=""/>
    <m/>
    <s v="43655:Miguel Diaz Del Moral"/>
    <n v="1"/>
  </r>
  <r>
    <x v="15"/>
    <x v="16"/>
    <n v="6.1"/>
    <n v="2"/>
    <s v="Fed"/>
    <s v="2fedf1d4-de97-47de-99f4-d0dff6eea289"/>
    <n v="0"/>
    <s v="0:Nacho Gonzalez"/>
    <s v="0:Nacho"/>
    <s v=""/>
    <s v=""/>
    <m/>
    <s v="43655:Nacho Gonzalez"/>
    <n v="1"/>
  </r>
  <r>
    <x v="15"/>
    <x v="17"/>
    <n v="13.4"/>
    <n v="3"/>
    <s v="Fed"/>
    <s v="e422a1e0-819b-493b-81fa-2cbfad48b44c"/>
    <n v="0"/>
    <s v="0:Pablo Munitiz"/>
    <s v="0:Muni"/>
    <s v=""/>
    <s v=""/>
    <m/>
    <s v="43655:Pablo Munitiz"/>
    <n v="1"/>
  </r>
  <r>
    <x v="16"/>
    <x v="0"/>
    <n v="7.6999999999999975"/>
    <n v="2"/>
    <s v="Cuart"/>
    <s v="212586f7-41cb-43c4-824a-7a7839a7120b"/>
    <n v="0"/>
    <s v="0:Alfonso Hidalgo"/>
    <s v="0:Alfonso"/>
    <s v=""/>
    <s v=""/>
    <m/>
    <s v="43659:Alfonso Hidalgo"/>
    <n v="1"/>
  </r>
  <r>
    <x v="16"/>
    <x v="1"/>
    <n v="5.0999999999999996"/>
    <n v="2"/>
    <s v="Cuart"/>
    <s v="799052ce-452c-4f52-b94f-de135ad21030"/>
    <n v="0"/>
    <s v="0:Alvaro Aguirre"/>
    <s v="0:Gifu"/>
    <s v=""/>
    <s v=""/>
    <m/>
    <s v="43659:Alvaro Aguirre"/>
    <n v="1"/>
  </r>
  <r>
    <x v="16"/>
    <x v="2"/>
    <n v="13.499999999999998"/>
    <n v="3"/>
    <s v="Cuart"/>
    <s v="bd0e3fc8-4f2d-4912-8667-8d9fbadd013a"/>
    <n v="0"/>
    <s v="0:Alvaro Nieto"/>
    <s v="0:Alvaro"/>
    <s v=""/>
    <s v=""/>
    <m/>
    <s v="43659:Alvaro Nieto"/>
    <n v="1"/>
  </r>
  <r>
    <x v="16"/>
    <x v="3"/>
    <n v="6.4999999999999982"/>
    <n v="2"/>
    <s v="Cuart"/>
    <s v="a9c5f0f8-96bd-41b8-99bd-d9465c7cc2b3"/>
    <n v="0"/>
    <s v="0:Angel Hernandez"/>
    <s v="0:Angel"/>
    <s v=""/>
    <s v=""/>
    <m/>
    <s v="43659:Angel Hernandez"/>
    <n v="1"/>
  </r>
  <r>
    <x v="16"/>
    <x v="4"/>
    <n v="10.699999999999998"/>
    <n v="2"/>
    <s v="Cuart"/>
    <s v="7504a8de-0be2-46e4-a91c-5e0ebc60bba3"/>
    <n v="0"/>
    <s v="0:David Sequera"/>
    <s v="0:David"/>
    <s v=""/>
    <s v=""/>
    <m/>
    <s v="43659:David Sequera"/>
    <n v="1"/>
  </r>
  <r>
    <x v="16"/>
    <x v="5"/>
    <n v="14.000000000000005"/>
    <n v="3"/>
    <s v="Cuart"/>
    <s v="f8783933-6553-410b-bc09-8404cb3943ec"/>
    <n v="0"/>
    <s v="0:Francisco Alvarez"/>
    <s v="0:Paco"/>
    <s v=""/>
    <s v=""/>
    <m/>
    <s v="43659:Francisco Alvarez"/>
    <n v="1"/>
  </r>
  <r>
    <x v="16"/>
    <x v="6"/>
    <n v="13.099999999999994"/>
    <n v="3"/>
    <s v="Cuart"/>
    <s v="5d771e11-56ca-411e-9ad5-507238c09a3e"/>
    <n v="0"/>
    <s v="0:Francisco Hidalgo"/>
    <s v="0:Fran"/>
    <s v=""/>
    <s v=""/>
    <m/>
    <s v="43659:Francisco Hidalgo"/>
    <n v="1"/>
  </r>
  <r>
    <x v="16"/>
    <x v="7"/>
    <n v="17.199999999999996"/>
    <n v="3"/>
    <s v="Cuart"/>
    <s v="0e57851d-0099-4e74-bafa-2fb5dd977263"/>
    <n v="0"/>
    <s v="0:GLEZ JUAN JOSÉ"/>
    <s v="0:Juanjo"/>
    <s v=""/>
    <s v=""/>
    <m/>
    <s v="43659:GLEZ JUAN JOSÉ"/>
    <n v="1"/>
  </r>
  <r>
    <x v="16"/>
    <x v="8"/>
    <n v="5.6999999999999975"/>
    <n v="2"/>
    <s v="Cuart"/>
    <s v="58573b7e-1018-45ac-8a7f-b5b71dd8e5d9"/>
    <n v="0"/>
    <s v="0:Ignacio Cadarso"/>
    <s v="0:Ignacio"/>
    <s v=""/>
    <s v=""/>
    <m/>
    <s v="43659:Ignacio Cadarso"/>
    <n v="1"/>
  </r>
  <r>
    <x v="16"/>
    <x v="9"/>
    <n v="13.3"/>
    <n v="3"/>
    <s v="Cuart"/>
    <s v="64162b9c-60ae-4fd9-8182-c7ae5accb6fe"/>
    <n v="0"/>
    <s v="0:Iñigo Rosas"/>
    <s v="0:"/>
    <s v=""/>
    <s v=""/>
    <m/>
    <s v="43659:Iñigo Rosas"/>
    <n v="1"/>
  </r>
  <r>
    <x v="16"/>
    <x v="10"/>
    <n v="17.500000000000011"/>
    <n v="3"/>
    <s v="Cuart"/>
    <s v="4f060d84-1db9-4775-9a6a-9f684f2dd69b"/>
    <n v="0"/>
    <s v="0:J. Enrique Gonzalez"/>
    <s v="0:Kike"/>
    <s v=""/>
    <s v=""/>
    <m/>
    <s v="43659:J. Enrique Gonzalez"/>
    <n v="1"/>
  </r>
  <r>
    <x v="16"/>
    <x v="11"/>
    <n v="13.299999999999994"/>
    <n v="3"/>
    <s v="Cuart"/>
    <s v="2e8d4282-b444-4ad8-b1f5-611c7e7f706c"/>
    <n v="0"/>
    <s v="0:Javier Cervera"/>
    <s v="0:Virus"/>
    <s v=""/>
    <s v=""/>
    <m/>
    <s v="43659:Javier Cervera"/>
    <n v="1"/>
  </r>
  <r>
    <x v="16"/>
    <x v="12"/>
    <n v="10.499999999999996"/>
    <n v="2"/>
    <s v="Cuart"/>
    <s v="0778699c-1423-4bf2-be9c-36d3092df53a"/>
    <n v="0"/>
    <s v="0:Javier Gonzalez Salvador"/>
    <s v="0:Javi"/>
    <s v=""/>
    <s v=""/>
    <m/>
    <s v="43659:Javier Gonzalez Salvador"/>
    <n v="1"/>
  </r>
  <r>
    <x v="16"/>
    <x v="13"/>
    <n v="21.100000000000005"/>
    <n v="4"/>
    <s v="Cuart"/>
    <s v="9000bc0c-94ae-40fb-8eb0-009c7c99b378"/>
    <n v="0"/>
    <s v="0:Jesus Touceda"/>
    <s v="0:Jesús"/>
    <s v=""/>
    <s v=""/>
    <m/>
    <s v="43659:Jesus Touceda"/>
    <n v="1"/>
  </r>
  <r>
    <x v="16"/>
    <x v="14"/>
    <n v="5.6999999999999966"/>
    <n v="2"/>
    <s v="Cuart"/>
    <s v="d6f7850f-e973-4099-b9a7-bd74c64869d3"/>
    <n v="0"/>
    <s v="0:José Pablo Guil"/>
    <s v="0:JP"/>
    <s v=""/>
    <s v=""/>
    <m/>
    <s v="43659:José Pablo Guil"/>
    <n v="1"/>
  </r>
  <r>
    <x v="16"/>
    <x v="15"/>
    <n v="16.8"/>
    <n v="3"/>
    <s v="Cuart"/>
    <s v="ba568305-844e-40c4-ba9c-242f527595b8"/>
    <n v="0"/>
    <s v="0:Luis Escudero"/>
    <s v="0:Lucho"/>
    <s v=""/>
    <s v=""/>
    <m/>
    <s v="43659:Luis Escudero"/>
    <n v="1"/>
  </r>
  <r>
    <x v="16"/>
    <x v="16"/>
    <n v="4.5"/>
    <n v="2"/>
    <s v="Cuart"/>
    <s v="380ef200-a1f5-4caf-9f7b-5eab420e2397"/>
    <n v="0"/>
    <s v="0:Nacho Gonzalez"/>
    <s v="0:Nacho"/>
    <s v=""/>
    <s v=""/>
    <m/>
    <s v="43659:Nacho Gonzalez"/>
    <n v="1"/>
  </r>
  <r>
    <x v="16"/>
    <x v="17"/>
    <n v="13.399999999999995"/>
    <n v="3"/>
    <s v="Cuart"/>
    <s v="050edf98-5284-4658-adaf-fd4f5a64dfa2"/>
    <n v="0"/>
    <s v="0:Pablo Munitiz"/>
    <s v="0:Muni"/>
    <s v=""/>
    <s v=""/>
    <m/>
    <s v="43659:Pablo Munitiz"/>
    <n v="1"/>
  </r>
  <r>
    <x v="17"/>
    <x v="0"/>
    <n v="8.6"/>
    <n v="2"/>
    <s v="Fed"/>
    <s v="757b6f7d-72f7-4f69-aad6-1ac562d69f1d"/>
    <n v="0"/>
    <s v="0:Alfonso Hidalgo"/>
    <s v="0:Alfonso"/>
    <s v=""/>
    <s v=""/>
    <m/>
    <s v="43714:Alfonso Hidalgo"/>
    <n v="1"/>
  </r>
  <r>
    <x v="17"/>
    <x v="1"/>
    <n v="4.3"/>
    <n v="1"/>
    <s v="Fed"/>
    <s v="cb4a9c25-3482-4d22-8571-403d515d48f8"/>
    <n v="0"/>
    <s v="0:Alvaro Aguirre"/>
    <s v="0:Gifu"/>
    <s v=""/>
    <s v=""/>
    <m/>
    <s v="43714:Alvaro Aguirre"/>
    <n v="1"/>
  </r>
  <r>
    <x v="17"/>
    <x v="2"/>
    <n v="13"/>
    <n v="3"/>
    <s v="Fed"/>
    <s v="3d5ced74-c204-4d99-9a0a-1c08ed4d51f6"/>
    <n v="0"/>
    <s v="0:Alvaro Nieto"/>
    <s v="0:Alvaro"/>
    <s v=""/>
    <s v=""/>
    <m/>
    <s v="43714:Alvaro Nieto"/>
    <n v="1"/>
  </r>
  <r>
    <x v="17"/>
    <x v="3"/>
    <n v="7.5"/>
    <n v="2"/>
    <s v="Fed"/>
    <s v="7871322a-7532-4ce5-ac62-ee1c5a1a0d35"/>
    <n v="0"/>
    <s v="0:Angel Hernandez"/>
    <s v="0:Angel"/>
    <s v=""/>
    <s v=""/>
    <m/>
    <s v="43714:Angel Hernandez"/>
    <n v="1"/>
  </r>
  <r>
    <x v="17"/>
    <x v="4"/>
    <n v="10.7"/>
    <n v="2"/>
    <s v="Fed"/>
    <s v="a162d70c-f307-4105-8b20-f4840d26ec86"/>
    <n v="0"/>
    <s v="0:David Sequera"/>
    <s v="0:David"/>
    <s v=""/>
    <s v=""/>
    <m/>
    <s v="43714:David Sequera"/>
    <n v="1"/>
  </r>
  <r>
    <x v="17"/>
    <x v="5"/>
    <n v="13.7"/>
    <n v="3"/>
    <s v="Fed"/>
    <s v="d8ac2f29-faa5-4bed-8ef0-dc67117f0fc3"/>
    <n v="0"/>
    <s v="0:Francisco Alvarez"/>
    <s v="0:Paco"/>
    <s v=""/>
    <s v=""/>
    <m/>
    <s v="43714:Francisco Alvarez"/>
    <n v="1"/>
  </r>
  <r>
    <x v="17"/>
    <x v="6"/>
    <n v="13.5"/>
    <n v="3"/>
    <s v="Fed"/>
    <s v="279c504b-aae9-4297-82c8-d2d14ac8c5e8"/>
    <n v="0"/>
    <s v="0:Francisco Hidalgo"/>
    <s v="0:Fran"/>
    <s v=""/>
    <s v=""/>
    <m/>
    <s v="43714:Francisco Hidalgo"/>
    <n v="1"/>
  </r>
  <r>
    <x v="17"/>
    <x v="7"/>
    <n v="17.100000000000001"/>
    <n v="3"/>
    <s v="Fed"/>
    <s v="d7b24eeb-7619-44ff-a1b3-ed191c4271db"/>
    <n v="0"/>
    <s v="0:GLEZ JUAN JOSÉ"/>
    <s v="0:Juanjo"/>
    <s v=""/>
    <s v=""/>
    <m/>
    <s v="43714:GLEZ JUAN JOSÉ"/>
    <n v="1"/>
  </r>
  <r>
    <x v="17"/>
    <x v="8"/>
    <n v="5.7"/>
    <n v="2"/>
    <s v="Fed"/>
    <s v="11fa3bfe-5028-4b4c-b250-b2fadebeefd9"/>
    <n v="0"/>
    <s v="0:Ignacio Cadarso"/>
    <s v="0:Ignacio"/>
    <s v=""/>
    <s v=""/>
    <m/>
    <s v="43714:Ignacio Cadarso"/>
    <n v="1"/>
  </r>
  <r>
    <x v="17"/>
    <x v="9"/>
    <n v="14.5"/>
    <n v="3"/>
    <s v="Fed"/>
    <s v="ee073709-b75d-455d-8f8a-ebad808cbbf5"/>
    <n v="0"/>
    <s v="0:Iñigo Rosas"/>
    <s v="0:"/>
    <s v=""/>
    <s v=""/>
    <m/>
    <s v="43714:Iñigo Rosas"/>
    <n v="1"/>
  </r>
  <r>
    <x v="17"/>
    <x v="10"/>
    <n v="17.600000000000001"/>
    <n v="3"/>
    <s v="Fed"/>
    <s v="e302db73-7017-4986-aadb-2693c6e3af27"/>
    <n v="0"/>
    <s v="0:J. Enrique Gonzalez"/>
    <s v="0:Kike"/>
    <s v=""/>
    <s v=""/>
    <m/>
    <s v="43714:J. Enrique Gonzalez"/>
    <n v="1"/>
  </r>
  <r>
    <x v="17"/>
    <x v="11"/>
    <n v="13.5"/>
    <n v="3"/>
    <s v="Fed"/>
    <s v="c3617e9f-1d93-428d-8f04-1009034ad194"/>
    <n v="0"/>
    <s v="0:Javier Cervera"/>
    <s v="0:Virus"/>
    <s v=""/>
    <s v=""/>
    <m/>
    <s v="43714:Javier Cervera"/>
    <n v="1"/>
  </r>
  <r>
    <x v="17"/>
    <x v="12"/>
    <n v="13.7"/>
    <n v="3"/>
    <s v="Fed"/>
    <s v="2ef88174-a96c-49cf-846c-4fd6723a9549"/>
    <n v="0"/>
    <s v="0:Javier Gonzalez Salvador"/>
    <s v="0:Javi"/>
    <s v=""/>
    <s v=""/>
    <m/>
    <s v="43714:Javier Gonzalez Salvador"/>
    <n v="1"/>
  </r>
  <r>
    <x v="17"/>
    <x v="13"/>
    <n v="21.2"/>
    <n v="4"/>
    <s v="Fed"/>
    <s v="138373b8-e622-4d0b-a664-7b5d398c15cd"/>
    <n v="0"/>
    <s v="0:Jesus Touceda"/>
    <s v="0:Jesús"/>
    <s v=""/>
    <s v=""/>
    <m/>
    <s v="43714:Jesus Touceda"/>
    <n v="1"/>
  </r>
  <r>
    <x v="17"/>
    <x v="14"/>
    <n v="7.3"/>
    <n v="2"/>
    <s v="Fed"/>
    <s v="5ec3b38a-c00e-444c-8997-dfc656f2f36f"/>
    <n v="0"/>
    <s v="0:José Pablo Guil"/>
    <s v="0:JP"/>
    <s v=""/>
    <s v=""/>
    <m/>
    <s v="43714:José Pablo Guil"/>
    <n v="1"/>
  </r>
  <r>
    <x v="17"/>
    <x v="15"/>
    <n v="17.3"/>
    <n v="3"/>
    <s v="Fed"/>
    <s v="202ddc78-d6c1-4415-a066-ba351a1b37b1"/>
    <n v="0"/>
    <s v="0:Luis Escudero"/>
    <s v="0:Lucho"/>
    <s v=""/>
    <s v=""/>
    <m/>
    <s v="43714:Luis Escudero"/>
    <n v="1"/>
  </r>
  <r>
    <x v="17"/>
    <x v="19"/>
    <n v="1.4"/>
    <n v="1"/>
    <s v="Fed"/>
    <s v="deaa088f-e8fd-4ab1-aeec-3c93ba637e67"/>
    <n v="0"/>
    <s v="0:Miguel Diaz Del Moral"/>
    <s v="0:Cañita"/>
    <s v=""/>
    <s v=""/>
    <m/>
    <s v="43714:Miguel Diaz Del Moral"/>
    <n v="1"/>
  </r>
  <r>
    <x v="17"/>
    <x v="16"/>
    <n v="5.9"/>
    <n v="2"/>
    <s v="Fed"/>
    <s v="1ea2a9da-879a-49aa-a633-fb28c1943db9"/>
    <n v="0"/>
    <s v="0:Nacho Gonzalez"/>
    <s v="0:Nacho"/>
    <s v=""/>
    <s v=""/>
    <m/>
    <s v="43714:Nacho Gonzalez"/>
    <n v="1"/>
  </r>
  <r>
    <x v="17"/>
    <x v="17"/>
    <n v="13.4"/>
    <n v="3"/>
    <s v="Fed"/>
    <s v="b9d5eea8-ee61-47f7-824f-364336ffdeaf"/>
    <n v="0"/>
    <s v="0:Pablo Munitiz"/>
    <s v="0:Muni"/>
    <s v=""/>
    <s v=""/>
    <m/>
    <s v="43714:Pablo Munitiz"/>
    <n v="1"/>
  </r>
  <r>
    <x v="18"/>
    <x v="0"/>
    <n v="7.7000000000000011"/>
    <n v="2"/>
    <s v="Cuart"/>
    <s v="c254de12-80a9-4419-9de8-d9702df8a4d2"/>
    <n v="0"/>
    <s v="0:Alfonso Hidalgo"/>
    <s v="0:Alfonso"/>
    <s v=""/>
    <s v=""/>
    <m/>
    <s v="43717:Alfonso Hidalgo"/>
    <n v="1"/>
  </r>
  <r>
    <x v="18"/>
    <x v="1"/>
    <n v="4.3999999999999995"/>
    <n v="1"/>
    <s v="Cuart"/>
    <s v="6b0c22f6-b909-4215-87f1-c0ed4c12b38a"/>
    <n v="0"/>
    <s v="0:Alvaro Aguirre"/>
    <s v="0:Gifu"/>
    <s v=""/>
    <s v=""/>
    <m/>
    <s v="43717:Alvaro Aguirre"/>
    <n v="1"/>
  </r>
  <r>
    <x v="18"/>
    <x v="2"/>
    <n v="13.099999999999994"/>
    <n v="3"/>
    <s v="Cuart"/>
    <s v="126f8aa2-7b54-4786-becc-f98c151a3427"/>
    <n v="0"/>
    <s v="0:Alvaro Nieto"/>
    <s v="0:Alvaro"/>
    <s v=""/>
    <s v=""/>
    <m/>
    <s v="43717:Alvaro Nieto"/>
    <n v="1"/>
  </r>
  <r>
    <x v="18"/>
    <x v="3"/>
    <n v="6.2999999999999972"/>
    <n v="2"/>
    <s v="Cuart"/>
    <s v="ac913aeb-825b-46f3-ae95-5e8d6bfb1846"/>
    <n v="0"/>
    <s v="0:Angel Hernandez"/>
    <s v="0:Angel"/>
    <s v=""/>
    <s v=""/>
    <m/>
    <s v="43717:Angel Hernandez"/>
    <n v="1"/>
  </r>
  <r>
    <x v="18"/>
    <x v="4"/>
    <n v="10.799999999999999"/>
    <n v="2"/>
    <s v="Cuart"/>
    <s v="85e1e968-2ca7-4ec9-851b-a1ec647561d0"/>
    <n v="0"/>
    <s v="0:David Sequera"/>
    <s v="0:David"/>
    <s v=""/>
    <s v=""/>
    <m/>
    <s v="43717:David Sequera"/>
    <n v="1"/>
  </r>
  <r>
    <x v="18"/>
    <x v="5"/>
    <n v="13.799999999999999"/>
    <n v="3"/>
    <s v="Cuart"/>
    <s v="f9364b43-c1aa-4d2d-a403-690019175005"/>
    <n v="0"/>
    <s v="0:Francisco Alvarez"/>
    <s v="0:Paco"/>
    <s v=""/>
    <s v=""/>
    <m/>
    <s v="43717:Francisco Alvarez"/>
    <n v="1"/>
  </r>
  <r>
    <x v="18"/>
    <x v="6"/>
    <n v="13.199999999999998"/>
    <n v="3"/>
    <s v="Cuart"/>
    <s v="1a0854f0-d9df-48af-bd70-55516398e172"/>
    <n v="0"/>
    <s v="0:Francisco Hidalgo"/>
    <s v="0:Fran"/>
    <s v=""/>
    <s v=""/>
    <m/>
    <s v="43717:Francisco Hidalgo"/>
    <n v="1"/>
  </r>
  <r>
    <x v="18"/>
    <x v="7"/>
    <n v="17.199999999999996"/>
    <n v="3"/>
    <s v="Cuart"/>
    <s v="c41104f3-2f29-4465-af30-44c9743232ee"/>
    <n v="0"/>
    <s v="0:GLEZ JUAN JOSÉ"/>
    <s v="0:Juanjo"/>
    <s v=""/>
    <s v=""/>
    <m/>
    <s v="43717:GLEZ JUAN JOSÉ"/>
    <n v="1"/>
  </r>
  <r>
    <x v="18"/>
    <x v="8"/>
    <n v="5.7999999999999963"/>
    <n v="2"/>
    <s v="Cuart"/>
    <s v="9e2b5e2a-247e-41b9-a8e5-f4816ed9f88c"/>
    <n v="0"/>
    <s v="0:Ignacio Cadarso"/>
    <s v="0:Ignacio"/>
    <s v=""/>
    <s v=""/>
    <m/>
    <s v="43717:Ignacio Cadarso"/>
    <n v="1"/>
  </r>
  <r>
    <x v="18"/>
    <x v="10"/>
    <n v="17.500000000000014"/>
    <n v="3"/>
    <s v="Cuart"/>
    <s v="f7b64332-c5d0-49c2-98aa-c50fc0d49abb"/>
    <n v="0"/>
    <s v="0:J. Enrique Gonzalez"/>
    <s v="0:Kike"/>
    <s v=""/>
    <s v=""/>
    <m/>
    <s v="43717:J. Enrique Gonzalez"/>
    <n v="1"/>
  </r>
  <r>
    <x v="18"/>
    <x v="11"/>
    <n v="13.399999999999997"/>
    <n v="3"/>
    <s v="Cuart"/>
    <s v="d6a7967c-d84d-4825-8bfd-a02772e1cee0"/>
    <n v="0"/>
    <s v="0:Javier Cervera"/>
    <s v="0:Virus"/>
    <s v=""/>
    <s v=""/>
    <m/>
    <s v="43717:Javier Cervera"/>
    <n v="1"/>
  </r>
  <r>
    <x v="18"/>
    <x v="12"/>
    <n v="10.6"/>
    <n v="2"/>
    <s v="Cuart"/>
    <s v="22477cf9-1604-4e0d-a4e0-d3eee7599a13"/>
    <n v="0"/>
    <s v="0:Javier Gonzalez Salvador"/>
    <s v="0:Javi"/>
    <s v=""/>
    <s v=""/>
    <m/>
    <s v="43717:Javier Gonzalez Salvador"/>
    <n v="1"/>
  </r>
  <r>
    <x v="18"/>
    <x v="13"/>
    <n v="21.20000000000001"/>
    <n v="4"/>
    <s v="Cuart"/>
    <s v="98eaba95-d8a2-4929-9208-489d6dac85b3"/>
    <n v="0"/>
    <s v="0:Jesus Touceda"/>
    <s v="0:Jesús"/>
    <s v=""/>
    <s v=""/>
    <m/>
    <s v="43717:Jesus Touceda"/>
    <n v="1"/>
  </r>
  <r>
    <x v="18"/>
    <x v="14"/>
    <n v="5.6999999999999966"/>
    <n v="2"/>
    <s v="Cuart"/>
    <s v="144739df-bfa8-4c78-a86b-4efa84ef41de"/>
    <n v="0"/>
    <s v="0:José Pablo Guil"/>
    <s v="0:JP"/>
    <s v=""/>
    <s v=""/>
    <m/>
    <s v="43717:José Pablo Guil"/>
    <n v="1"/>
  </r>
  <r>
    <x v="18"/>
    <x v="20"/>
    <n v="16.900000000000002"/>
    <n v="3"/>
    <s v="Cuart"/>
    <s v="3c174e30-8918-4a18-8b4a-bbef6892de39"/>
    <n v="0"/>
    <s v="0:Luis Escudero"/>
    <s v="0:"/>
    <s v=""/>
    <s v=""/>
    <m/>
    <s v="43717:Luis Escudero"/>
    <n v="1"/>
  </r>
  <r>
    <x v="18"/>
    <x v="16"/>
    <n v="4.5999999999999996"/>
    <n v="2"/>
    <s v="Cuart"/>
    <s v="19592f25-b169-4279-8892-3ec1f890d98a"/>
    <n v="0"/>
    <s v="0:Nacho Gonzalez"/>
    <s v="0:Nacho"/>
    <s v=""/>
    <s v=""/>
    <m/>
    <s v="43717:Nacho Gonzalez"/>
    <n v="1"/>
  </r>
  <r>
    <x v="18"/>
    <x v="17"/>
    <n v="13.4"/>
    <n v="3"/>
    <s v="Cuart"/>
    <s v="9cc09359-0996-4607-914f-c5b3711fbf0b"/>
    <n v="0"/>
    <s v="0:Pablo Munitiz"/>
    <s v="0:Muni"/>
    <s v=""/>
    <s v=""/>
    <m/>
    <s v="43717:Pablo Munitiz"/>
    <n v="1"/>
  </r>
  <r>
    <x v="19"/>
    <x v="0"/>
    <n v="8.6"/>
    <n v="2"/>
    <s v="Fed"/>
    <s v="a7c08162-72d7-4026-8f75-ed944bcb35d1"/>
    <n v="0"/>
    <s v="0:Alfonso Hidalgo"/>
    <s v="0:Alfonso"/>
    <s v=""/>
    <s v=""/>
    <m/>
    <s v="43755:Alfonso Hidalgo"/>
    <n v="1"/>
  </r>
  <r>
    <x v="19"/>
    <x v="1"/>
    <n v="4.7"/>
    <n v="2"/>
    <s v="Fed"/>
    <s v="0b9b209c-e6c8-4d68-bf7f-8661fd35094b"/>
    <n v="0"/>
    <s v="0:Alvaro Aguirre"/>
    <s v="0:Gifu"/>
    <s v=""/>
    <s v=""/>
    <m/>
    <s v="43755:Alvaro Aguirre"/>
    <n v="1"/>
  </r>
  <r>
    <x v="19"/>
    <x v="2"/>
    <n v="13.1"/>
    <n v="3"/>
    <s v="Fed"/>
    <s v="21358e8d-ad57-4789-b6d9-ddce346c7973"/>
    <n v="0"/>
    <s v="0:Alvaro Nieto"/>
    <s v="0:Alvaro"/>
    <s v=""/>
    <s v=""/>
    <m/>
    <s v="43755:Alvaro Nieto"/>
    <n v="1"/>
  </r>
  <r>
    <x v="19"/>
    <x v="3"/>
    <n v="7.2"/>
    <n v="2"/>
    <s v="Fed"/>
    <s v="48aa1a89-317c-401d-a2b9-11faac1f1f2c"/>
    <n v="0"/>
    <s v="0:Angel Hernandez"/>
    <s v="0:Angel"/>
    <s v=""/>
    <s v=""/>
    <m/>
    <s v="43755:Angel Hernandez"/>
    <n v="1"/>
  </r>
  <r>
    <x v="19"/>
    <x v="4"/>
    <n v="10.8"/>
    <n v="2"/>
    <s v="Fed"/>
    <s v="441ba6cd-db4e-4deb-a102-eb746d945046"/>
    <n v="0"/>
    <s v="0:David Sequera"/>
    <s v="0:David"/>
    <s v=""/>
    <s v=""/>
    <m/>
    <s v="43755:David Sequera"/>
    <n v="1"/>
  </r>
  <r>
    <x v="19"/>
    <x v="5"/>
    <n v="13.8"/>
    <n v="3"/>
    <s v="Fed"/>
    <s v="7bfb3222-d285-4bb7-b1d5-3f6ceb8104c4"/>
    <n v="0"/>
    <s v="0:Francisco Alvarez"/>
    <s v="0:Paco"/>
    <s v=""/>
    <s v=""/>
    <m/>
    <s v="43755:Francisco Alvarez"/>
    <n v="1"/>
  </r>
  <r>
    <x v="19"/>
    <x v="6"/>
    <n v="13.6"/>
    <n v="3"/>
    <s v="Fed"/>
    <s v="1d2f2d6f-d009-4a37-beb2-f982ffc5410f"/>
    <n v="0"/>
    <s v="0:Francisco Hidalgo"/>
    <s v="0:Fran"/>
    <s v=""/>
    <s v=""/>
    <m/>
    <s v="43755:Francisco Hidalgo"/>
    <n v="1"/>
  </r>
  <r>
    <x v="19"/>
    <x v="7"/>
    <n v="17.2"/>
    <n v="3"/>
    <s v="Fed"/>
    <s v="31a4c242-2e5d-4e1a-941c-4cc6f68ad13b"/>
    <n v="0"/>
    <s v="0:GLEZ JUAN JOSÉ"/>
    <s v="0:Juanjo"/>
    <s v=""/>
    <s v=""/>
    <m/>
    <s v="43755:GLEZ JUAN JOSÉ"/>
    <n v="1"/>
  </r>
  <r>
    <x v="19"/>
    <x v="8"/>
    <n v="5.8"/>
    <n v="2"/>
    <s v="Fed"/>
    <s v="116208cc-486a-42d9-8f65-d309b31e0e17"/>
    <n v="0"/>
    <s v="0:Ignacio Cadarso"/>
    <s v="0:Ignacio"/>
    <s v=""/>
    <s v=""/>
    <m/>
    <s v="43755:Ignacio Cadarso"/>
    <n v="1"/>
  </r>
  <r>
    <x v="19"/>
    <x v="10"/>
    <n v="17.600000000000001"/>
    <n v="3"/>
    <s v="Fed"/>
    <s v="5cfbef5c-5368-4072-b701-0666d2038378"/>
    <n v="0"/>
    <s v="0:J. Enrique Gonzalez"/>
    <s v="0:Kike"/>
    <s v=""/>
    <s v=""/>
    <m/>
    <s v="43755:J. Enrique Gonzalez"/>
    <n v="1"/>
  </r>
  <r>
    <x v="19"/>
    <x v="11"/>
    <n v="13.6"/>
    <n v="3"/>
    <s v="Fed"/>
    <s v="899f6278-b3ac-4e26-9ad3-cb80813bba6e"/>
    <n v="0"/>
    <s v="0:Javier Cervera"/>
    <s v="0:Virus"/>
    <s v=""/>
    <s v=""/>
    <m/>
    <s v="43755:Javier Cervera"/>
    <n v="1"/>
  </r>
  <r>
    <x v="19"/>
    <x v="12"/>
    <n v="13.8"/>
    <n v="3"/>
    <s v="Fed"/>
    <s v="e67bde40-1ced-41ad-afba-9639c1f30160"/>
    <n v="0"/>
    <s v="0:Javier Gonzalez Salvador"/>
    <s v="0:Javi"/>
    <s v=""/>
    <s v=""/>
    <m/>
    <s v="43755:Javier Gonzalez Salvador"/>
    <n v="1"/>
  </r>
  <r>
    <x v="19"/>
    <x v="13"/>
    <n v="21.2"/>
    <n v="4"/>
    <s v="Fed"/>
    <s v="8775ea1a-cd20-478a-835a-7fbcb3a5c70f"/>
    <n v="0"/>
    <s v="0:Jesus Touceda"/>
    <s v="0:Jesús"/>
    <s v=""/>
    <s v=""/>
    <m/>
    <s v="43755:Jesus Touceda"/>
    <n v="1"/>
  </r>
  <r>
    <x v="19"/>
    <x v="14"/>
    <n v="6.9"/>
    <n v="2"/>
    <s v="Fed"/>
    <s v="55ef820f-f041-4171-bc2c-ac9317868284"/>
    <n v="0"/>
    <s v="0:José Pablo Guil"/>
    <s v="0:JP"/>
    <s v=""/>
    <s v=""/>
    <m/>
    <s v="43755:José Pablo Guil"/>
    <n v="1"/>
  </r>
  <r>
    <x v="19"/>
    <x v="15"/>
    <n v="17.399999999999999"/>
    <n v="3"/>
    <s v="Fed"/>
    <s v="6b50bcfd-c813-49a0-ae3b-4b3de1c1b02e"/>
    <n v="0"/>
    <s v="0:Luis Escudero"/>
    <s v="0:Lucho"/>
    <s v=""/>
    <s v=""/>
    <m/>
    <s v="43755:Luis Escudero"/>
    <n v="1"/>
  </r>
  <r>
    <x v="19"/>
    <x v="19"/>
    <n v="1.7"/>
    <n v="1"/>
    <s v="Fed"/>
    <s v="9ec97565-5105-4da6-9b95-7675d4953045"/>
    <n v="0"/>
    <s v="0:Miguel Diaz Del Moral"/>
    <s v="0:Cañita"/>
    <s v=""/>
    <s v=""/>
    <m/>
    <s v="43755:Miguel Diaz Del Moral"/>
    <n v="1"/>
  </r>
  <r>
    <x v="19"/>
    <x v="16"/>
    <n v="5.9"/>
    <n v="2"/>
    <s v="Fed"/>
    <s v="505e3ca4-ac1b-4f04-a6c0-d555ce31ddc2"/>
    <n v="0"/>
    <s v="0:Nacho Gonzalez"/>
    <s v="0:Nacho"/>
    <s v=""/>
    <s v=""/>
    <m/>
    <s v="43755:Nacho Gonzalez"/>
    <n v="1"/>
  </r>
  <r>
    <x v="19"/>
    <x v="17"/>
    <n v="13.4"/>
    <n v="3"/>
    <s v="Fed"/>
    <s v="5bf5947d-0bd2-4a58-9054-859e918f47e3"/>
    <n v="0"/>
    <s v="0:Pablo Munitiz"/>
    <s v="0:Muni"/>
    <s v=""/>
    <s v=""/>
    <m/>
    <s v="43755:Pablo Munitiz"/>
    <n v="1"/>
  </r>
  <r>
    <x v="20"/>
    <x v="0"/>
    <n v="8.6"/>
    <n v="2"/>
    <s v="Fed"/>
    <s v="fe10037d-4e56-4c74-99c2-fbf5aff76b62"/>
    <n v="0"/>
    <s v="0:Alfonso Hidalgo"/>
    <s v="0:Alfonso"/>
    <s v=""/>
    <s v=""/>
    <m/>
    <s v="43784:Alfonso Hidalgo"/>
    <n v="1"/>
  </r>
  <r>
    <x v="20"/>
    <x v="1"/>
    <n v="4.7"/>
    <n v="2"/>
    <s v="Fed"/>
    <s v="10c9d69d-ac81-4971-99fd-6d9a5c026046"/>
    <n v="0"/>
    <s v="0:Alvaro Aguirre"/>
    <s v="0:Gifu"/>
    <s v=""/>
    <s v=""/>
    <m/>
    <s v="43784:Alvaro Aguirre"/>
    <n v="1"/>
  </r>
  <r>
    <x v="20"/>
    <x v="2"/>
    <n v="13.1"/>
    <n v="3"/>
    <s v="Fed"/>
    <s v="2a84eee4-f97d-435b-a532-01d65fa75881"/>
    <n v="0"/>
    <s v="0:Alvaro Nieto"/>
    <s v="0:Alvaro"/>
    <s v=""/>
    <s v=""/>
    <m/>
    <s v="43784:Alvaro Nieto"/>
    <n v="1"/>
  </r>
  <r>
    <x v="20"/>
    <x v="3"/>
    <n v="7.2"/>
    <n v="2"/>
    <s v="Fed"/>
    <s v="cd7dc121-39cd-403b-88d8-68f201a38f93"/>
    <n v="0"/>
    <s v="0:Angel Hernandez"/>
    <s v="0:Angel"/>
    <s v=""/>
    <s v=""/>
    <m/>
    <s v="43784:Angel Hernandez"/>
    <n v="1"/>
  </r>
  <r>
    <x v="20"/>
    <x v="4"/>
    <n v="10.9"/>
    <n v="2"/>
    <s v="Fed"/>
    <s v="7aa82f36-a256-4891-bc7d-e9e922ac0f0e"/>
    <n v="0"/>
    <s v="0:David Sequera"/>
    <s v="0:David"/>
    <s v=""/>
    <s v=""/>
    <m/>
    <s v="43784:David Sequera"/>
    <n v="1"/>
  </r>
  <r>
    <x v="20"/>
    <x v="5"/>
    <n v="13.9"/>
    <n v="3"/>
    <s v="Fed"/>
    <s v="b69da574-facf-4717-891f-55c472deb156"/>
    <n v="0"/>
    <s v="0:Francisco Alvarez"/>
    <s v="0:Paco"/>
    <s v=""/>
    <s v=""/>
    <m/>
    <s v="43784:Francisco Alvarez"/>
    <n v="1"/>
  </r>
  <r>
    <x v="20"/>
    <x v="6"/>
    <n v="13.6"/>
    <n v="3"/>
    <s v="Fed"/>
    <s v="80d64e30-e904-470e-813b-152834178b77"/>
    <n v="0"/>
    <s v="0:Francisco Hidalgo"/>
    <s v="0:Fran"/>
    <s v=""/>
    <s v=""/>
    <m/>
    <s v="43784:Francisco Hidalgo"/>
    <n v="1"/>
  </r>
  <r>
    <x v="20"/>
    <x v="7"/>
    <n v="17.2"/>
    <n v="3"/>
    <s v="Fed"/>
    <s v="badc7b40-6f45-42fb-a0bd-3db63e8cc87d"/>
    <n v="0"/>
    <s v="0:GLEZ JUAN JOSÉ"/>
    <s v="0:Juanjo"/>
    <s v=""/>
    <s v=""/>
    <m/>
    <s v="43784:GLEZ JUAN JOSÉ"/>
    <n v="1"/>
  </r>
  <r>
    <x v="20"/>
    <x v="8"/>
    <n v="5.8"/>
    <n v="2"/>
    <s v="Fed"/>
    <s v="9b4095d9-1f98-4549-aa6a-0452d58efeba"/>
    <n v="0"/>
    <s v="0:Ignacio Cadarso"/>
    <s v="0:Ignacio"/>
    <s v=""/>
    <s v=""/>
    <m/>
    <s v="43784:Ignacio Cadarso"/>
    <n v="1"/>
  </r>
  <r>
    <x v="20"/>
    <x v="10"/>
    <n v="17.600000000000001"/>
    <n v="3"/>
    <s v="Fed"/>
    <s v="87b3519d-f3bb-4ee5-b466-ffc27808439d"/>
    <n v="0"/>
    <s v="0:J. Enrique Gonzalez"/>
    <s v="0:Kike"/>
    <s v=""/>
    <s v=""/>
    <m/>
    <s v="43784:J. Enrique Gonzalez"/>
    <n v="1"/>
  </r>
  <r>
    <x v="20"/>
    <x v="11"/>
    <n v="13.7"/>
    <n v="3"/>
    <s v="Fed"/>
    <s v="d8c298af-275c-48f0-a341-41f771e5c988"/>
    <n v="0"/>
    <s v="0:Javier Cervera"/>
    <s v="0:Virus"/>
    <s v=""/>
    <s v=""/>
    <m/>
    <s v="43784:Javier Cervera"/>
    <n v="1"/>
  </r>
  <r>
    <x v="20"/>
    <x v="12"/>
    <n v="13.8"/>
    <n v="3"/>
    <s v="Fed"/>
    <s v="3cc60274-ffd6-49a4-be14-3a3ddd1fe229"/>
    <n v="0"/>
    <s v="0:Javier Gonzalez Salvador"/>
    <s v="0:Javi"/>
    <s v=""/>
    <s v=""/>
    <m/>
    <s v="43784:Javier Gonzalez Salvador"/>
    <n v="1"/>
  </r>
  <r>
    <x v="20"/>
    <x v="13"/>
    <n v="21.2"/>
    <n v="4"/>
    <s v="Fed"/>
    <s v="f09125ef-e320-43df-9663-e99736b6ef2a"/>
    <n v="0"/>
    <s v="0:Jesus Touceda"/>
    <s v="0:Jesús"/>
    <s v=""/>
    <s v=""/>
    <m/>
    <s v="43784:Jesus Touceda"/>
    <n v="1"/>
  </r>
  <r>
    <x v="20"/>
    <x v="14"/>
    <n v="6.9"/>
    <n v="2"/>
    <s v="Fed"/>
    <s v="82e5c5c2-fc8d-43ca-81f3-024e5fbf5a33"/>
    <n v="0"/>
    <s v="0:José Pablo Guil"/>
    <s v="0:JP"/>
    <s v=""/>
    <s v=""/>
    <m/>
    <s v="43784:José Pablo Guil"/>
    <n v="1"/>
  </r>
  <r>
    <x v="20"/>
    <x v="15"/>
    <n v="17.399999999999999"/>
    <n v="3"/>
    <s v="Fed"/>
    <s v="8634cab4-b5cd-4833-bd49-ee306f458403"/>
    <n v="0"/>
    <s v="0:Luis Escudero"/>
    <s v="0:Lucho"/>
    <s v=""/>
    <s v=""/>
    <m/>
    <s v="43784:Luis Escudero"/>
    <n v="1"/>
  </r>
  <r>
    <x v="20"/>
    <x v="19"/>
    <n v="1.4"/>
    <n v="1"/>
    <s v="Fed"/>
    <s v="34291a3f-e237-4e8e-9cc9-a78be94eccd7"/>
    <n v="0"/>
    <s v="0:Miguel Diaz Del Moral"/>
    <s v="0:Cañita"/>
    <s v=""/>
    <s v=""/>
    <m/>
    <s v="43784:Miguel Diaz Del Moral"/>
    <n v="1"/>
  </r>
  <r>
    <x v="20"/>
    <x v="16"/>
    <n v="5.9"/>
    <n v="2"/>
    <s v="Fed"/>
    <s v="eeb09359-07a0-460b-a293-884adbe9a734"/>
    <n v="0"/>
    <s v="0:Nacho Gonzalez"/>
    <s v="0:Nacho"/>
    <s v=""/>
    <s v=""/>
    <m/>
    <s v="43784:Nacho Gonzalez"/>
    <n v="1"/>
  </r>
  <r>
    <x v="20"/>
    <x v="17"/>
    <n v="13.4"/>
    <n v="3"/>
    <s v="Fed"/>
    <s v="bacfb43f-7bb3-4094-85f5-9aebb1d989d0"/>
    <n v="0"/>
    <s v="0:Pablo Munitiz"/>
    <s v="0:Muni"/>
    <s v=""/>
    <s v=""/>
    <m/>
    <s v="43784:Pablo Munitiz"/>
    <n v="1"/>
  </r>
  <r>
    <x v="21"/>
    <x v="0"/>
    <n v="7.8000000000000034"/>
    <n v="2"/>
    <s v="Cuart"/>
    <s v="1cf6e8be-c515-423d-bac2-b6bdc6ec80d3"/>
    <n v="0"/>
    <s v="0:Alfonso Hidalgo"/>
    <s v="0:Alfonso"/>
    <s v=""/>
    <s v=""/>
    <m/>
    <s v="43786:Alfonso Hidalgo"/>
    <n v="1"/>
  </r>
  <r>
    <x v="21"/>
    <x v="1"/>
    <n v="4.4999999999999991"/>
    <n v="1"/>
    <s v="Cuart"/>
    <s v="3ee1cf75-fd08-4da9-889f-db7c91ca96ae"/>
    <n v="0"/>
    <s v="0:Alvaro Aguirre"/>
    <s v="0:Gifu"/>
    <s v=""/>
    <s v=""/>
    <m/>
    <s v="43786:Alvaro Aguirre"/>
    <n v="1"/>
  </r>
  <r>
    <x v="21"/>
    <x v="2"/>
    <n v="13.199999999999998"/>
    <n v="3"/>
    <s v="Cuart"/>
    <s v="2c13aff2-e581-4104-b948-3dde4d27850c"/>
    <n v="0"/>
    <s v="0:Alvaro Nieto"/>
    <s v="0:Alvaro"/>
    <s v=""/>
    <s v=""/>
    <m/>
    <s v="43786:Alvaro Nieto"/>
    <n v="1"/>
  </r>
  <r>
    <x v="21"/>
    <x v="3"/>
    <n v="6.2999999999999972"/>
    <n v="2"/>
    <s v="Cuart"/>
    <s v="31d59610-2f18-4626-854e-05bc4ee694f7"/>
    <n v="0"/>
    <s v="0:Angel Hernandez"/>
    <s v="0:Angel"/>
    <s v=""/>
    <s v=""/>
    <m/>
    <s v="43786:Angel Hernandez"/>
    <n v="1"/>
  </r>
  <r>
    <x v="21"/>
    <x v="4"/>
    <n v="10.899999999999997"/>
    <n v="2"/>
    <s v="Cuart"/>
    <s v="8c2d11b1-c6c7-40c9-ba6c-6525aa46f1ef"/>
    <n v="0"/>
    <s v="0:David Sequera"/>
    <s v="0:David"/>
    <s v=""/>
    <s v=""/>
    <m/>
    <s v="43786:David Sequera"/>
    <n v="1"/>
  </r>
  <r>
    <x v="21"/>
    <x v="5"/>
    <n v="13.899999999999993"/>
    <n v="3"/>
    <s v="Cuart"/>
    <s v="6d6cb2c6-16d7-4b2b-a704-4cbd7f77bbec"/>
    <n v="0"/>
    <s v="0:Francisco Alvarez"/>
    <s v="0:Paco"/>
    <s v=""/>
    <s v=""/>
    <m/>
    <s v="43786:Francisco Alvarez"/>
    <n v="1"/>
  </r>
  <r>
    <x v="21"/>
    <x v="6"/>
    <n v="13.299999999999994"/>
    <n v="3"/>
    <s v="Cuart"/>
    <s v="20d623f6-57e5-4dd3-bc9f-596035e2dea7"/>
    <n v="0"/>
    <s v="0:Francisco Hidalgo"/>
    <s v="0:Fran"/>
    <s v=""/>
    <s v=""/>
    <m/>
    <s v="43786:Francisco Hidalgo"/>
    <n v="1"/>
  </r>
  <r>
    <x v="21"/>
    <x v="7"/>
    <n v="17.3"/>
    <n v="3"/>
    <s v="Cuart"/>
    <s v="2a496c75-bc46-4e74-9fec-678f8b908976"/>
    <n v="0"/>
    <s v="0:GLEZ JUAN JOSÉ"/>
    <s v="0:Juanjo"/>
    <s v=""/>
    <s v=""/>
    <m/>
    <s v="43786:GLEZ JUAN JOSÉ"/>
    <n v="1"/>
  </r>
  <r>
    <x v="21"/>
    <x v="8"/>
    <n v="4.6999999999999957"/>
    <n v="2"/>
    <s v="Cuart"/>
    <s v="4589d4ce-de8c-48e4-85bf-be3889bd9e49"/>
    <n v="0"/>
    <s v="0:Ignacio Cadarso"/>
    <s v="0:Ignacio"/>
    <s v=""/>
    <s v=""/>
    <m/>
    <s v="43786:Ignacio Cadarso"/>
    <n v="1"/>
  </r>
  <r>
    <x v="21"/>
    <x v="10"/>
    <n v="17.600000000000016"/>
    <n v="3"/>
    <s v="Cuart"/>
    <s v="3c795e44-def8-4593-8a71-3d0dd8b4da52"/>
    <n v="0"/>
    <s v="0:J. Enrique Gonzalez"/>
    <s v="0:Kike"/>
    <s v=""/>
    <s v=""/>
    <m/>
    <s v="43786:J. Enrique Gonzalez"/>
    <n v="1"/>
  </r>
  <r>
    <x v="21"/>
    <x v="11"/>
    <n v="13.499999999999993"/>
    <n v="3"/>
    <s v="Cuart"/>
    <s v="8137631e-8a18-429d-8364-83da904c47c7"/>
    <n v="0"/>
    <s v="0:Javier Cervera"/>
    <s v="0:Virus"/>
    <s v=""/>
    <s v=""/>
    <m/>
    <s v="43786:Javier Cervera"/>
    <n v="1"/>
  </r>
  <r>
    <x v="21"/>
    <x v="12"/>
    <n v="10.599999999999998"/>
    <n v="2"/>
    <s v="Cuart"/>
    <s v="b5974f5b-9f89-4a17-8fe8-f1997f8fab13"/>
    <n v="0"/>
    <s v="0:Javier Gonzalez Salvador"/>
    <s v="0:Javi"/>
    <s v=""/>
    <s v=""/>
    <m/>
    <s v="43786:Javier Gonzalez Salvador"/>
    <n v="1"/>
  </r>
  <r>
    <x v="21"/>
    <x v="13"/>
    <n v="21.299999999999997"/>
    <n v="4"/>
    <s v="Cuart"/>
    <s v="453c6ce2-3ec9-4176-8611-fa495fe77e97"/>
    <n v="0"/>
    <s v="0:Jesus Touceda"/>
    <s v="0:Jesús"/>
    <s v=""/>
    <s v=""/>
    <m/>
    <s v="43786:Jesus Touceda"/>
    <n v="1"/>
  </r>
  <r>
    <x v="21"/>
    <x v="14"/>
    <n v="5.4999999999999964"/>
    <n v="2"/>
    <s v="Cuart"/>
    <s v="a3818d30-7675-4e2f-b974-4e6b110cf132"/>
    <n v="0"/>
    <s v="0:José Pablo Guil"/>
    <s v="0:JP"/>
    <s v=""/>
    <s v=""/>
    <m/>
    <s v="43786:José Pablo Guil"/>
    <n v="1"/>
  </r>
  <r>
    <x v="21"/>
    <x v="15"/>
    <n v="16.900000000000002"/>
    <n v="3"/>
    <s v="Cuart"/>
    <s v="7736968f-83dd-40ae-8f75-169249009420"/>
    <n v="0"/>
    <s v="0:Luis Escudero"/>
    <s v="0:Lucho"/>
    <s v=""/>
    <s v=""/>
    <m/>
    <s v="43786:Luis Escudero"/>
    <n v="1"/>
  </r>
  <r>
    <x v="21"/>
    <x v="16"/>
    <n v="4.1999999999999993"/>
    <n v="1"/>
    <s v="Cuart"/>
    <s v="61e69504-9b64-4858-957d-2d05273132c9"/>
    <n v="0"/>
    <s v="0:Nacho Gonzalez"/>
    <s v="0:Nacho"/>
    <s v=""/>
    <s v=""/>
    <m/>
    <s v="43786:Nacho Gonzalez"/>
    <n v="1"/>
  </r>
  <r>
    <x v="21"/>
    <x v="17"/>
    <n v="13.4"/>
    <n v="3"/>
    <s v="Cuart"/>
    <s v="85bc67a3-4ce2-4d83-92a4-706374a83370"/>
    <n v="0"/>
    <s v="0:Pablo Munitiz"/>
    <s v="0:Muni"/>
    <s v=""/>
    <s v=""/>
    <m/>
    <s v="43786:Pablo Munitiz"/>
    <n v="1"/>
  </r>
  <r>
    <x v="22"/>
    <x v="0"/>
    <n v="8.6999999999999993"/>
    <n v="2"/>
    <s v="Fed"/>
    <s v="51404e41-ab29-443c-a5b9-583615112f4c"/>
    <n v="0"/>
    <s v="0:Alfonso Hidalgo"/>
    <s v="0:Alfonso"/>
    <s v=""/>
    <s v=""/>
    <m/>
    <s v="43816:Alfonso Hidalgo"/>
    <n v="2"/>
  </r>
  <r>
    <x v="22"/>
    <x v="0"/>
    <n v="7.900000000000003"/>
    <n v="2"/>
    <s v="Cuart"/>
    <s v="8821c00d-ee48-4a50-b7f1-24229a146e2b"/>
    <n v="0"/>
    <s v="0:Alfonso Hidalgo"/>
    <s v="0:Alfonso"/>
    <s v=""/>
    <s v=""/>
    <m/>
    <s v="43816:Alfonso Hidalgo"/>
    <n v="2"/>
  </r>
  <r>
    <x v="22"/>
    <x v="1"/>
    <n v="4.8"/>
    <n v="2"/>
    <s v="Fed"/>
    <s v="a11357de-4b09-46a2-bcaa-8c3d4185c88d"/>
    <n v="0"/>
    <s v="0:Alvaro Aguirre"/>
    <s v="0:Gifu"/>
    <s v=""/>
    <s v=""/>
    <m/>
    <s v="43816:Alvaro Aguirre"/>
    <n v="2"/>
  </r>
  <r>
    <x v="22"/>
    <x v="1"/>
    <n v="4.5999999999999988"/>
    <n v="2"/>
    <s v="Cuart"/>
    <s v="d6232498-f633-4ee2-bf44-3e083fe0e618"/>
    <n v="0"/>
    <s v="0:Alvaro Aguirre"/>
    <s v="0:Gifu"/>
    <s v=""/>
    <s v=""/>
    <m/>
    <s v="43816:Alvaro Aguirre"/>
    <n v="2"/>
  </r>
  <r>
    <x v="22"/>
    <x v="2"/>
    <n v="13.2"/>
    <n v="3"/>
    <s v="Fed"/>
    <s v="904d6317-d5d4-44f3-a6ce-f76df414cc2e"/>
    <n v="0"/>
    <s v="0:Alvaro Nieto"/>
    <s v="0:Alvaro"/>
    <s v=""/>
    <s v=""/>
    <m/>
    <s v="43816:Alvaro Nieto"/>
    <n v="2"/>
  </r>
  <r>
    <x v="22"/>
    <x v="2"/>
    <n v="13.2"/>
    <n v="3"/>
    <s v="Cuart"/>
    <s v="109923c7-de1b-477f-9fef-07da24b7ef2a"/>
    <n v="0"/>
    <s v="0:Alvaro Nieto"/>
    <s v="0:Alvaro"/>
    <s v=""/>
    <s v=""/>
    <m/>
    <s v="43816:Alvaro Nieto"/>
    <n v="2"/>
  </r>
  <r>
    <x v="22"/>
    <x v="3"/>
    <n v="7.2"/>
    <n v="2"/>
    <s v="Fed"/>
    <s v="8d781e6b-f65f-4b68-9e59-68321d998b06"/>
    <n v="0"/>
    <s v="0:Angel Hernandez"/>
    <s v="0:Angel"/>
    <s v=""/>
    <s v=""/>
    <m/>
    <s v="43816:Angel Hernandez"/>
    <n v="2"/>
  </r>
  <r>
    <x v="22"/>
    <x v="3"/>
    <n v="6.2999999999999972"/>
    <n v="2"/>
    <s v="Cuart"/>
    <s v="3420396b-6311-44b2-85a6-7b2060667333"/>
    <n v="0"/>
    <s v="0:Angel Hernandez"/>
    <s v="0:Angel"/>
    <s v=""/>
    <s v=""/>
    <m/>
    <s v="43816:Angel Hernandez"/>
    <n v="2"/>
  </r>
  <r>
    <x v="22"/>
    <x v="4"/>
    <n v="11.1"/>
    <n v="2"/>
    <s v="Fed"/>
    <s v="e76c47e8-9db9-4e7c-8bcb-20f98230ea9b"/>
    <n v="0"/>
    <s v="0:David Sequera"/>
    <s v="0:David"/>
    <s v=""/>
    <s v=""/>
    <m/>
    <s v="43816:David Sequera"/>
    <n v="2"/>
  </r>
  <r>
    <x v="22"/>
    <x v="4"/>
    <n v="10.999999999999998"/>
    <n v="2"/>
    <s v="Cuart"/>
    <s v="73a173e2-682d-4136-a91c-b57c9c4983ef"/>
    <n v="0"/>
    <s v="0:David Sequera"/>
    <s v="0:David"/>
    <s v=""/>
    <s v=""/>
    <m/>
    <s v="43816:David Sequera"/>
    <n v="2"/>
  </r>
  <r>
    <x v="22"/>
    <x v="5"/>
    <n v="13.9"/>
    <n v="3"/>
    <s v="Fed"/>
    <s v="9c8e9354-07c6-42c5-9359-988c4195e3a0"/>
    <n v="0"/>
    <s v="0:Francisco Alvarez"/>
    <s v="0:Paco"/>
    <s v=""/>
    <s v=""/>
    <m/>
    <s v="43816:Francisco Alvarez"/>
    <n v="2"/>
  </r>
  <r>
    <x v="22"/>
    <x v="5"/>
    <n v="13.899999999999993"/>
    <n v="3"/>
    <s v="Cuart"/>
    <s v="a525e60d-29b1-44cb-b6ae-a6fa66bd4e06"/>
    <n v="0"/>
    <s v="0:Francisco Alvarez"/>
    <s v="0:Paco"/>
    <s v=""/>
    <s v=""/>
    <m/>
    <s v="43816:Francisco Alvarez"/>
    <n v="2"/>
  </r>
  <r>
    <x v="22"/>
    <x v="6"/>
    <n v="13.7"/>
    <n v="3"/>
    <s v="Fed"/>
    <s v="ffdcf9db-0478-4e86-8a55-d9bef565e505"/>
    <n v="0"/>
    <s v="0:Francisco Hidalgo"/>
    <s v="0:Fran"/>
    <s v=""/>
    <s v=""/>
    <m/>
    <s v="43816:Francisco Hidalgo"/>
    <n v="2"/>
  </r>
  <r>
    <x v="22"/>
    <x v="6"/>
    <n v="13.399999999999997"/>
    <n v="3"/>
    <s v="Cuart"/>
    <s v="8e493bd3-571d-41b0-8ebe-77b840eaa474"/>
    <n v="0"/>
    <s v="0:Francisco Hidalgo"/>
    <s v="0:Fran"/>
    <s v=""/>
    <s v=""/>
    <m/>
    <s v="43816:Francisco Hidalgo"/>
    <n v="2"/>
  </r>
  <r>
    <x v="22"/>
    <x v="7"/>
    <n v="17.3"/>
    <n v="3"/>
    <s v="Fed"/>
    <s v="55c26adc-7fca-4e01-873d-f0daa9951d87"/>
    <n v="0"/>
    <s v="0:GLEZ JUAN JOSÉ"/>
    <s v="0:Juanjo"/>
    <s v=""/>
    <s v=""/>
    <m/>
    <s v="43816:GLEZ JUAN JOSÉ"/>
    <n v="2"/>
  </r>
  <r>
    <x v="22"/>
    <x v="7"/>
    <n v="17.3"/>
    <n v="3"/>
    <s v="Cuart"/>
    <s v="396b1023-e2d0-4109-b859-936024673b32"/>
    <n v="0"/>
    <s v="0:GLEZ JUAN JOSÉ"/>
    <s v="0:Juanjo"/>
    <s v=""/>
    <s v=""/>
    <m/>
    <s v="43816:GLEZ JUAN JOSÉ"/>
    <n v="2"/>
  </r>
  <r>
    <x v="22"/>
    <x v="8"/>
    <n v="5.9"/>
    <n v="2"/>
    <s v="Fed"/>
    <s v="9b78d38c-8926-4e3d-96a8-2daacc8186e1"/>
    <n v="0"/>
    <s v="0:Ignacio Cadarso"/>
    <s v="0:Ignacio"/>
    <s v=""/>
    <s v=""/>
    <m/>
    <s v="43816:Ignacio Cadarso"/>
    <n v="2"/>
  </r>
  <r>
    <x v="22"/>
    <x v="8"/>
    <n v="4.6999999999999957"/>
    <n v="2"/>
    <s v="Cuart"/>
    <s v="33cf0e64-faa6-4a94-b050-a18ffa140cfe"/>
    <n v="0"/>
    <s v="0:Ignacio Cadarso"/>
    <s v="0:Ignacio"/>
    <s v=""/>
    <s v=""/>
    <m/>
    <s v="43816:Ignacio Cadarso"/>
    <n v="2"/>
  </r>
  <r>
    <x v="22"/>
    <x v="10"/>
    <n v="17.8"/>
    <n v="3"/>
    <s v="Fed"/>
    <s v="2ecbef42-5d13-4210-a577-fad98f49294b"/>
    <n v="0"/>
    <s v="0:J. Enrique Gonzalez"/>
    <s v="0:Kike"/>
    <s v=""/>
    <s v=""/>
    <m/>
    <s v="43816:J. Enrique Gonzalez"/>
    <n v="2"/>
  </r>
  <r>
    <x v="22"/>
    <x v="10"/>
    <n v="17.700000000000003"/>
    <n v="3"/>
    <s v="Cuart"/>
    <s v="d92c2ff7-6f43-4b71-8189-64c0b0f44652"/>
    <n v="0"/>
    <s v="0:J. Enrique Gonzalez"/>
    <s v="0:Kike"/>
    <s v=""/>
    <s v=""/>
    <m/>
    <s v="43816:J. Enrique Gonzalez"/>
    <n v="2"/>
  </r>
  <r>
    <x v="22"/>
    <x v="11"/>
    <n v="13.8"/>
    <n v="3"/>
    <s v="Fed"/>
    <s v="63bf209e-1133-4cd8-9972-6f34dae2e27e"/>
    <n v="0"/>
    <s v="0:Javier Cervera"/>
    <s v="0:Virus"/>
    <s v=""/>
    <s v=""/>
    <m/>
    <s v="43816:Javier Cervera"/>
    <n v="2"/>
  </r>
  <r>
    <x v="22"/>
    <x v="11"/>
    <n v="13.599999999999996"/>
    <n v="3"/>
    <s v="Cuart"/>
    <s v="42d56b4b-06d6-4bcd-8465-25953c79c72d"/>
    <n v="0"/>
    <s v="0:Javier Cervera"/>
    <s v="0:Virus"/>
    <s v=""/>
    <s v=""/>
    <m/>
    <s v="43816:Javier Cervera"/>
    <n v="2"/>
  </r>
  <r>
    <x v="22"/>
    <x v="12"/>
    <n v="14"/>
    <n v="3"/>
    <s v="Fed"/>
    <s v="bf79f9d6-b602-42ef-ae35-724df652bb09"/>
    <n v="0"/>
    <s v="0:Javier Gonzalez Salvador"/>
    <s v="0:Javi"/>
    <s v=""/>
    <s v=""/>
    <m/>
    <s v="43816:Javier Gonzalez Salvador"/>
    <n v="2"/>
  </r>
  <r>
    <x v="22"/>
    <x v="12"/>
    <n v="10.699999999999996"/>
    <n v="2"/>
    <s v="Cuart"/>
    <s v="414c3ae0-c86d-4755-9ea8-8f6e9f869f5d"/>
    <n v="0"/>
    <s v="0:Javier Gonzalez Salvador"/>
    <s v="0:Javi"/>
    <s v=""/>
    <s v=""/>
    <m/>
    <s v="43816:Javier Gonzalez Salvador"/>
    <n v="2"/>
  </r>
  <r>
    <x v="22"/>
    <x v="13"/>
    <n v="21.4"/>
    <n v="4"/>
    <s v="Fed"/>
    <s v="e94f39ae-cf4c-4e6e-bba6-86da8a0806d0"/>
    <n v="0"/>
    <s v="0:Jesus Touceda"/>
    <s v="0:Jesús"/>
    <s v=""/>
    <s v=""/>
    <m/>
    <s v="43816:Jesus Touceda"/>
    <n v="2"/>
  </r>
  <r>
    <x v="22"/>
    <x v="13"/>
    <n v="21.299999999999997"/>
    <n v="4"/>
    <s v="Cuart"/>
    <s v="32f0f262-9220-4004-9aa6-1e1b6b765e66"/>
    <n v="0"/>
    <s v="0:Jesus Touceda"/>
    <s v="0:Jesús"/>
    <s v=""/>
    <s v=""/>
    <m/>
    <s v="43816:Jesus Touceda"/>
    <n v="2"/>
  </r>
  <r>
    <x v="22"/>
    <x v="14"/>
    <n v="6.9"/>
    <n v="2"/>
    <s v="Fed"/>
    <s v="75595a26-8938-46c1-9fbc-afc4d6e29c05"/>
    <n v="0"/>
    <s v="0:José Pablo Guil"/>
    <s v="0:JP"/>
    <s v=""/>
    <s v=""/>
    <m/>
    <s v="43816:José Pablo Guil"/>
    <n v="2"/>
  </r>
  <r>
    <x v="22"/>
    <x v="14"/>
    <n v="5.4999999999999964"/>
    <n v="2"/>
    <s v="Cuart"/>
    <s v="707987b0-5887-4f55-a315-83e7313da97a"/>
    <n v="0"/>
    <s v="0:José Pablo Guil"/>
    <s v="0:JP"/>
    <s v=""/>
    <s v=""/>
    <m/>
    <s v="43816:José Pablo Guil"/>
    <n v="2"/>
  </r>
  <r>
    <x v="22"/>
    <x v="15"/>
    <n v="17.399999999999999"/>
    <n v="3"/>
    <s v="Fed"/>
    <s v="8849f871-eab9-48a0-8e1a-ce0d51e8a0bf"/>
    <n v="0"/>
    <s v="0:Luis Escudero"/>
    <s v="0:Lucho"/>
    <s v=""/>
    <s v=""/>
    <m/>
    <s v="43816:Luis Escudero"/>
    <n v="2"/>
  </r>
  <r>
    <x v="22"/>
    <x v="15"/>
    <n v="16.900000000000002"/>
    <n v="3"/>
    <s v="Cuart"/>
    <s v="677cd606-ec32-44ec-abb3-7a273115b62b"/>
    <n v="0"/>
    <s v="0:Luis Escudero"/>
    <s v="0:Lucho"/>
    <s v=""/>
    <s v=""/>
    <m/>
    <s v="43816:Luis Escudero"/>
    <n v="2"/>
  </r>
  <r>
    <x v="22"/>
    <x v="19"/>
    <n v="1.5"/>
    <n v="1"/>
    <s v="Fed"/>
    <s v="87dbd0fe-b722-410c-9e76-62fa255be6a4"/>
    <n v="0"/>
    <s v="0:Miguel Diaz Del Moral"/>
    <s v="0:Cañita"/>
    <s v=""/>
    <s v=""/>
    <m/>
    <s v="43816:Miguel Diaz Del Moral"/>
    <n v="1"/>
  </r>
  <r>
    <x v="22"/>
    <x v="16"/>
    <n v="6.2"/>
    <n v="2"/>
    <s v="Fed"/>
    <s v="3f1baae1-127c-421f-b076-10695d015d6c"/>
    <n v="0"/>
    <s v="0:Nacho Gonzalez"/>
    <s v="0:Nacho"/>
    <s v=""/>
    <s v=""/>
    <m/>
    <s v="43816:Nacho Gonzalez"/>
    <n v="2"/>
  </r>
  <r>
    <x v="22"/>
    <x v="16"/>
    <n v="4.3"/>
    <n v="1"/>
    <s v="Cuart"/>
    <s v="8b794acb-045b-44d9-8802-835a1febac0a"/>
    <n v="0"/>
    <s v="0:Nacho Gonzalez"/>
    <s v="0:Nacho"/>
    <s v=""/>
    <s v=""/>
    <m/>
    <s v="43816:Nacho Gonzalez"/>
    <n v="2"/>
  </r>
  <r>
    <x v="22"/>
    <x v="17"/>
    <n v="13.4"/>
    <n v="3"/>
    <s v="Fed"/>
    <s v="f609f98f-7884-4b0e-b59a-d201624e4dd0"/>
    <n v="0"/>
    <s v="0:Pablo Munitiz"/>
    <s v="0:Muni"/>
    <s v=""/>
    <s v=""/>
    <m/>
    <s v="43816:Pablo Munitiz"/>
    <n v="2"/>
  </r>
  <r>
    <x v="22"/>
    <x v="17"/>
    <n v="13.4"/>
    <n v="3"/>
    <s v="Cuart"/>
    <s v="0c62caef-b4f6-4afe-8263-4e7e6d8b0e79"/>
    <n v="0"/>
    <s v="0:Pablo Munitiz"/>
    <s v="0:Muni"/>
    <s v=""/>
    <s v=""/>
    <m/>
    <s v="43816:Pablo Munitiz"/>
    <n v="2"/>
  </r>
  <r>
    <x v="23"/>
    <x v="0"/>
    <n v="8.6999999999999993"/>
    <n v="2"/>
    <s v="Fed"/>
    <s v="be5aed55-9a97-4464-b9d3-18786d45b9dd"/>
    <n v="0"/>
    <s v="0:Alfonso Hidalgo"/>
    <s v="0:Alfonso"/>
    <s v=""/>
    <s v=""/>
    <m/>
    <s v="43854:Alfonso Hidalgo"/>
    <n v="2"/>
  </r>
  <r>
    <x v="23"/>
    <x v="0"/>
    <n v="8.0000000000000036"/>
    <n v="2"/>
    <s v="Cuart"/>
    <s v="be57ff51-0b07-4c67-a131-26e59e127b93"/>
    <n v="0"/>
    <s v="0:Alfonso Hidalgo"/>
    <s v="0:Alfonso"/>
    <s v=""/>
    <s v=""/>
    <m/>
    <s v="43854:Alfonso Hidalgo"/>
    <n v="2"/>
  </r>
  <r>
    <x v="23"/>
    <x v="1"/>
    <n v="4.8"/>
    <n v="2"/>
    <s v="Fed"/>
    <s v="0d1cb912-a6cd-4a75-98a0-62bb2c1efd12"/>
    <n v="0"/>
    <s v="0:Alvaro Aguirre"/>
    <s v="0:Gifu"/>
    <s v=""/>
    <s v=""/>
    <m/>
    <s v="43854:Alvaro Aguirre"/>
    <n v="2"/>
  </r>
  <r>
    <x v="23"/>
    <x v="1"/>
    <n v="4.6999999999999984"/>
    <n v="2"/>
    <s v="Cuart"/>
    <s v="921b0275-1d61-46e9-ab19-ca9f0ad96129"/>
    <n v="0"/>
    <s v="0:Alvaro Aguirre"/>
    <s v="0:Gifu"/>
    <s v=""/>
    <s v=""/>
    <m/>
    <s v="43854:Alvaro Aguirre"/>
    <n v="2"/>
  </r>
  <r>
    <x v="23"/>
    <x v="2"/>
    <n v="13.2"/>
    <n v="3"/>
    <s v="Fed"/>
    <s v="23f26631-5664-4f7a-8cb2-89ef5fc17e46"/>
    <n v="0"/>
    <s v="0:Alvaro Nieto"/>
    <s v="0:Alvaro"/>
    <s v=""/>
    <s v=""/>
    <m/>
    <s v="43854:Alvaro Nieto"/>
    <n v="2"/>
  </r>
  <r>
    <x v="23"/>
    <x v="2"/>
    <n v="13.299999999999994"/>
    <n v="3"/>
    <s v="Cuart"/>
    <s v="bb23c9bf-5e5e-4033-80dd-17c3e78ea50e"/>
    <n v="0"/>
    <s v="0:Alvaro Nieto"/>
    <s v="0:Alvaro"/>
    <s v=""/>
    <s v=""/>
    <m/>
    <s v="43854:Alvaro Nieto"/>
    <n v="2"/>
  </r>
  <r>
    <x v="23"/>
    <x v="3"/>
    <n v="7.2"/>
    <n v="2"/>
    <s v="Fed"/>
    <s v="08d2eeba-c006-41c0-b247-21fe0045a340"/>
    <n v="0"/>
    <s v="0:Angel Hernandez"/>
    <s v="0:Angel"/>
    <s v=""/>
    <s v=""/>
    <m/>
    <s v="43854:Angel Hernandez"/>
    <n v="2"/>
  </r>
  <r>
    <x v="23"/>
    <x v="3"/>
    <n v="6.399999999999995"/>
    <n v="2"/>
    <s v="Cuart"/>
    <s v="9553f663-f6a9-47c6-a6d6-cc7a4086b98d"/>
    <n v="0"/>
    <s v="0:Angel Hernandez"/>
    <s v="0:Angel"/>
    <s v=""/>
    <s v=""/>
    <m/>
    <s v="43854:Angel Hernandez"/>
    <n v="2"/>
  </r>
  <r>
    <x v="23"/>
    <x v="4"/>
    <n v="11.1"/>
    <n v="2"/>
    <s v="Fed"/>
    <s v="556c3f78-0194-4c8a-a16b-8f91118995e0"/>
    <n v="0"/>
    <s v="0:David Sequera"/>
    <s v="0:David"/>
    <s v=""/>
    <s v=""/>
    <m/>
    <s v="43854:David Sequera"/>
    <n v="2"/>
  </r>
  <r>
    <x v="23"/>
    <x v="4"/>
    <n v="11.099999999999996"/>
    <n v="2"/>
    <s v="Cuart"/>
    <s v="51369535-1775-4860-8eeb-a0c0362e3665"/>
    <n v="0"/>
    <s v="0:David Sequera"/>
    <s v="0:David"/>
    <s v=""/>
    <s v=""/>
    <m/>
    <s v="43854:David Sequera"/>
    <n v="2"/>
  </r>
  <r>
    <x v="23"/>
    <x v="5"/>
    <n v="13.9"/>
    <n v="3"/>
    <s v="Fed"/>
    <s v="45db5d99-3c91-41fc-bbf7-805e52b2ae96"/>
    <n v="0"/>
    <s v="0:Francisco Alvarez"/>
    <s v="0:Paco"/>
    <s v=""/>
    <s v=""/>
    <m/>
    <s v="43854:Francisco Alvarez"/>
    <n v="2"/>
  </r>
  <r>
    <x v="23"/>
    <x v="5"/>
    <n v="13.999999999999996"/>
    <n v="3"/>
    <s v="Cuart"/>
    <s v="35d5ad7c-da99-4b5d-ae96-5f2b12ea87f0"/>
    <n v="0"/>
    <s v="0:Francisco Alvarez"/>
    <s v="0:Paco"/>
    <s v=""/>
    <s v=""/>
    <m/>
    <s v="43854:Francisco Alvarez"/>
    <n v="2"/>
  </r>
  <r>
    <x v="23"/>
    <x v="6"/>
    <n v="13.7"/>
    <n v="3"/>
    <s v="Fed"/>
    <s v="f54e5e94-991e-4ec9-a325-b877f0849913"/>
    <n v="0"/>
    <s v="0:Francisco Hidalgo"/>
    <s v="0:Fran"/>
    <s v=""/>
    <s v=""/>
    <m/>
    <s v="43854:Francisco Hidalgo"/>
    <n v="2"/>
  </r>
  <r>
    <x v="23"/>
    <x v="6"/>
    <n v="13.499999999999993"/>
    <n v="3"/>
    <s v="Cuart"/>
    <s v="17611abd-7209-40fb-91b2-f132ad08ab32"/>
    <n v="0"/>
    <s v="0:Francisco Hidalgo"/>
    <s v="0:Fran"/>
    <s v=""/>
    <s v=""/>
    <m/>
    <s v="43854:Francisco Hidalgo"/>
    <n v="2"/>
  </r>
  <r>
    <x v="23"/>
    <x v="7"/>
    <n v="17.3"/>
    <n v="3"/>
    <s v="Fed"/>
    <s v="185ad460-d7f1-4112-b5f5-5ce66b53ab01"/>
    <n v="0"/>
    <s v="0:GLEZ JUAN JOSÉ"/>
    <s v="0:Juanjo"/>
    <s v=""/>
    <s v=""/>
    <m/>
    <s v="43854:GLEZ JUAN JOSÉ"/>
    <n v="2"/>
  </r>
  <r>
    <x v="23"/>
    <x v="7"/>
    <n v="17.399999999999999"/>
    <n v="3"/>
    <s v="Cuart"/>
    <s v="6b28f876-2153-4655-9b09-9e2e1f1a3558"/>
    <n v="0"/>
    <s v="0:GLEZ JUAN JOSÉ"/>
    <s v="0:Juanjo"/>
    <s v=""/>
    <s v=""/>
    <m/>
    <s v="43854:GLEZ JUAN JOSÉ"/>
    <n v="2"/>
  </r>
  <r>
    <x v="23"/>
    <x v="8"/>
    <n v="5.9"/>
    <n v="2"/>
    <s v="Fed"/>
    <s v="c0955792-542e-4c0a-ab17-e97267582038"/>
    <n v="0"/>
    <s v="0:Ignacio Cadarso"/>
    <s v="0:Ignacio"/>
    <s v=""/>
    <s v=""/>
    <m/>
    <s v="43854:Ignacio Cadarso"/>
    <n v="2"/>
  </r>
  <r>
    <x v="23"/>
    <x v="8"/>
    <n v="4.7999999999999972"/>
    <n v="2"/>
    <s v="Cuart"/>
    <s v="ba64eac1-b024-4c9c-9c48-834b1b43aa69"/>
    <n v="0"/>
    <s v="0:Ignacio Cadarso"/>
    <s v="0:Ignacio"/>
    <s v=""/>
    <s v=""/>
    <m/>
    <s v="43854:Ignacio Cadarso"/>
    <n v="2"/>
  </r>
  <r>
    <x v="23"/>
    <x v="10"/>
    <n v="17.8"/>
    <n v="3"/>
    <s v="Fed"/>
    <s v="0dc5a6be-957e-40fd-8ee3-6878c5a05dbb"/>
    <n v="0"/>
    <s v="0:J. Enrique Gonzalez"/>
    <s v="0:Kike"/>
    <s v=""/>
    <s v=""/>
    <m/>
    <s v="43854:J. Enrique Gonzalez"/>
    <n v="2"/>
  </r>
  <r>
    <x v="23"/>
    <x v="10"/>
    <n v="17.800000000000011"/>
    <n v="3"/>
    <s v="Cuart"/>
    <s v="6765f10c-02cb-47b7-8a7e-b072d51b32c2"/>
    <n v="0"/>
    <s v="0:J. Enrique Gonzalez"/>
    <s v="0:Kike"/>
    <s v=""/>
    <s v=""/>
    <m/>
    <s v="43854:J. Enrique Gonzalez"/>
    <n v="2"/>
  </r>
  <r>
    <x v="23"/>
    <x v="11"/>
    <n v="13.8"/>
    <n v="3"/>
    <s v="Fed"/>
    <s v="b1e47aae-bbaa-4fd7-ba39-4b33b40b7792"/>
    <n v="0"/>
    <s v="0:Javier Cervera"/>
    <s v="0:Virus"/>
    <s v=""/>
    <s v=""/>
    <m/>
    <s v="43854:Javier Cervera"/>
    <n v="2"/>
  </r>
  <r>
    <x v="23"/>
    <x v="11"/>
    <n v="13.699999999999992"/>
    <n v="3"/>
    <s v="Cuart"/>
    <s v="6dfa02bc-c037-4111-b339-336de01b62ac"/>
    <n v="0"/>
    <s v="0:Javier Cervera"/>
    <s v="0:Virus"/>
    <s v=""/>
    <s v=""/>
    <m/>
    <s v="43854:Javier Cervera"/>
    <n v="2"/>
  </r>
  <r>
    <x v="23"/>
    <x v="12"/>
    <n v="14"/>
    <n v="3"/>
    <s v="Fed"/>
    <s v="4dc943ae-c975-4f76-a010-74825f67c945"/>
    <n v="0"/>
    <s v="0:Javier Gonzalez Salvador"/>
    <s v="0:Javi"/>
    <s v=""/>
    <s v=""/>
    <m/>
    <s v="43854:Javier Gonzalez Salvador"/>
    <n v="2"/>
  </r>
  <r>
    <x v="23"/>
    <x v="12"/>
    <n v="10.799999999999999"/>
    <n v="2"/>
    <s v="Cuart"/>
    <s v="17226d96-9dcf-4c01-ab7e-69e5cff71e8f"/>
    <n v="0"/>
    <s v="0:Javier Gonzalez Salvador"/>
    <s v="0:Javi"/>
    <s v=""/>
    <s v=""/>
    <m/>
    <s v="43854:Javier Gonzalez Salvador"/>
    <n v="2"/>
  </r>
  <r>
    <x v="23"/>
    <x v="13"/>
    <n v="21.4"/>
    <n v="4"/>
    <s v="Fed"/>
    <s v="92a4ce14-b4e6-4b18-bf4e-f8ac43059adf"/>
    <n v="0"/>
    <s v="0:Jesus Touceda"/>
    <s v="0:Jesús"/>
    <s v=""/>
    <s v=""/>
    <m/>
    <s v="43854:Jesus Touceda"/>
    <n v="2"/>
  </r>
  <r>
    <x v="23"/>
    <x v="13"/>
    <n v="21.400000000000002"/>
    <n v="4"/>
    <s v="Cuart"/>
    <s v="5dd1d5eb-08b8-4bd6-a4f9-8a077d3b82e4"/>
    <n v="0"/>
    <s v="0:Jesus Touceda"/>
    <s v="0:Jesús"/>
    <s v=""/>
    <s v=""/>
    <m/>
    <s v="43854:Jesus Touceda"/>
    <n v="2"/>
  </r>
  <r>
    <x v="23"/>
    <x v="14"/>
    <n v="6.9"/>
    <n v="2"/>
    <s v="Fed"/>
    <s v="c2943987-dd8f-4636-924e-d244559e68a6"/>
    <n v="0"/>
    <s v="0:José Pablo Guil"/>
    <s v="0:JP"/>
    <s v=""/>
    <s v=""/>
    <m/>
    <s v="43854:José Pablo Guil"/>
    <n v="2"/>
  </r>
  <r>
    <x v="23"/>
    <x v="14"/>
    <n v="5.5999999999999961"/>
    <n v="2"/>
    <s v="Cuart"/>
    <s v="acaab24e-a519-4d55-a9ee-fbc140699d2f"/>
    <n v="0"/>
    <s v="0:José Pablo Guil"/>
    <s v="0:JP"/>
    <s v=""/>
    <s v=""/>
    <m/>
    <s v="43854:José Pablo Guil"/>
    <n v="2"/>
  </r>
  <r>
    <x v="23"/>
    <x v="15"/>
    <n v="17.399999999999999"/>
    <n v="3"/>
    <s v="Fed"/>
    <s v="a8890ed4-f7a6-4cd7-ace6-58c484b43d31"/>
    <n v="0"/>
    <s v="0:Luis Escudero"/>
    <s v="0:Lucho"/>
    <s v=""/>
    <s v=""/>
    <m/>
    <s v="43854:Luis Escudero"/>
    <n v="2"/>
  </r>
  <r>
    <x v="23"/>
    <x v="15"/>
    <n v="16.999999999999996"/>
    <n v="3"/>
    <s v="Cuart"/>
    <s v="50e37c29-268c-47ef-a529-f73af05d65d5"/>
    <n v="0"/>
    <s v="0:Luis Escudero"/>
    <s v="0:Lucho"/>
    <s v=""/>
    <s v=""/>
    <m/>
    <s v="43854:Luis Escudero"/>
    <n v="2"/>
  </r>
  <r>
    <x v="23"/>
    <x v="19"/>
    <n v="1.4"/>
    <n v="1"/>
    <s v="Fed"/>
    <s v="e18b9177-7709-4d21-b93e-9f5f1bd5a409"/>
    <n v="0"/>
    <s v="0:Miguel Diaz Del Moral"/>
    <s v="0:Cañita"/>
    <s v=""/>
    <s v=""/>
    <m/>
    <s v="43854:Miguel Diaz Del Moral"/>
    <n v="1"/>
  </r>
  <r>
    <x v="23"/>
    <x v="16"/>
    <n v="6.2"/>
    <n v="2"/>
    <s v="Fed"/>
    <s v="78a08d40-29d4-4085-a7be-8274c153a6dc"/>
    <n v="0"/>
    <s v="0:Nacho Gonzalez"/>
    <s v="0:Nacho"/>
    <s v=""/>
    <s v=""/>
    <m/>
    <s v="43854:Nacho Gonzalez"/>
    <n v="2"/>
  </r>
  <r>
    <x v="23"/>
    <x v="16"/>
    <n v="4.3999999999999995"/>
    <n v="1"/>
    <s v="Cuart"/>
    <s v="ff62ebf3-6942-483e-aea6-708e2deeb046"/>
    <n v="0"/>
    <s v="0:Nacho Gonzalez"/>
    <s v="0:Nacho"/>
    <s v=""/>
    <s v=""/>
    <m/>
    <s v="43854:Nacho Gonzalez"/>
    <n v="2"/>
  </r>
  <r>
    <x v="23"/>
    <x v="17"/>
    <n v="13.4"/>
    <n v="3"/>
    <s v="Fed"/>
    <s v="c918352d-82cd-4b2d-809b-4b2c5a313e68"/>
    <n v="0"/>
    <s v="0:Pablo Munitiz"/>
    <s v="0:Muni"/>
    <s v=""/>
    <s v=""/>
    <m/>
    <s v="43854:Pablo Munitiz"/>
    <n v="2"/>
  </r>
  <r>
    <x v="23"/>
    <x v="17"/>
    <n v="13.4"/>
    <n v="3"/>
    <s v="Cuart"/>
    <s v="e68d789a-0dc1-4f7b-86c4-9febfa4021da"/>
    <n v="0"/>
    <s v="0:Pablo Munitiz"/>
    <s v="0:Muni"/>
    <s v=""/>
    <s v=""/>
    <m/>
    <s v="43854:Pablo Munitiz"/>
    <n v="2"/>
  </r>
  <r>
    <x v="24"/>
    <x v="0"/>
    <n v="8.6999999999999993"/>
    <n v="2"/>
    <s v="Fed"/>
    <s v="be60c3de-0dd5-4393-986c-e5698164ddaa"/>
    <n v="0"/>
    <s v="0:Alfonso Hidalgo"/>
    <s v="0:Alfonso"/>
    <s v=""/>
    <s v=""/>
    <m/>
    <s v="43879:Alfonso Hidalgo"/>
    <n v="2"/>
  </r>
  <r>
    <x v="24"/>
    <x v="0"/>
    <n v="8.0000000000000036"/>
    <n v="2"/>
    <s v="Cuart"/>
    <s v="196fc6d0-59ef-4a4b-8ecf-40e0ee02b9ae"/>
    <n v="0"/>
    <s v="0:Alfonso Hidalgo"/>
    <s v="0:Alfonso"/>
    <s v=""/>
    <s v=""/>
    <m/>
    <s v="43879:Alfonso Hidalgo"/>
    <n v="2"/>
  </r>
  <r>
    <x v="24"/>
    <x v="1"/>
    <n v="5"/>
    <n v="2"/>
    <s v="Fed"/>
    <s v="9132b250-4d02-4e23-a020-a24167c4dead"/>
    <n v="0"/>
    <s v="0:Alvaro Aguirre"/>
    <s v="0:Gifu"/>
    <s v=""/>
    <s v=""/>
    <m/>
    <s v="43879:Alvaro Aguirre"/>
    <n v="2"/>
  </r>
  <r>
    <x v="24"/>
    <x v="1"/>
    <n v="4.799999999999998"/>
    <n v="2"/>
    <s v="Cuart"/>
    <s v="a75f4fdb-d3bf-4eae-85af-8aa1b99e0e8a"/>
    <n v="0"/>
    <s v="0:Alvaro Aguirre"/>
    <s v="0:Gifu"/>
    <s v=""/>
    <s v=""/>
    <m/>
    <s v="43879:Alvaro Aguirre"/>
    <n v="2"/>
  </r>
  <r>
    <x v="24"/>
    <x v="2"/>
    <n v="13.2"/>
    <n v="3"/>
    <s v="Fed"/>
    <s v="975d7359-ecfb-4a3f-923a-6a0c6045c71f"/>
    <n v="0"/>
    <s v="0:Alvaro Nieto"/>
    <s v="0:Alvaro"/>
    <s v=""/>
    <s v=""/>
    <m/>
    <s v="43879:Alvaro Nieto"/>
    <n v="2"/>
  </r>
  <r>
    <x v="24"/>
    <x v="2"/>
    <n v="13.2"/>
    <n v="3"/>
    <s v="Cuart"/>
    <s v="fba173df-6b3b-44e3-869e-d37267a4dfe1"/>
    <n v="0"/>
    <s v="0:Alvaro Nieto"/>
    <s v="0:Alvaro"/>
    <s v=""/>
    <s v=""/>
    <m/>
    <s v="43879:Alvaro Nieto"/>
    <n v="2"/>
  </r>
  <r>
    <x v="24"/>
    <x v="3"/>
    <n v="7.3"/>
    <n v="2"/>
    <s v="Fed"/>
    <s v="6f834e2d-fe63-4bca-8355-9bf5d80ebdc9"/>
    <n v="0"/>
    <s v="0:Angel Hernandez"/>
    <s v="0:Angel"/>
    <s v=""/>
    <s v=""/>
    <m/>
    <s v="43879:Angel Hernandez"/>
    <n v="2"/>
  </r>
  <r>
    <x v="24"/>
    <x v="3"/>
    <n v="6.4999999999999938"/>
    <n v="2"/>
    <s v="Cuart"/>
    <s v="8308af22-4754-4242-90a3-b6005af6aff8"/>
    <n v="0"/>
    <s v="0:Angel Hernandez"/>
    <s v="0:Angel"/>
    <s v=""/>
    <s v=""/>
    <m/>
    <s v="43879:Angel Hernandez"/>
    <n v="2"/>
  </r>
  <r>
    <x v="24"/>
    <x v="4"/>
    <n v="10.9"/>
    <n v="2"/>
    <s v="Fed"/>
    <s v="32953aaa-2d86-4319-962d-fdd506492864"/>
    <n v="0"/>
    <s v="0:David Sequera"/>
    <s v="0:David"/>
    <s v=""/>
    <s v=""/>
    <m/>
    <s v="43879:David Sequera"/>
    <n v="2"/>
  </r>
  <r>
    <x v="24"/>
    <x v="4"/>
    <n v="10.499999999999998"/>
    <n v="2"/>
    <s v="Cuart"/>
    <s v="5f274d16-cd25-4319-a445-c76f5ebc0f66"/>
    <n v="0"/>
    <s v="0:David Sequera"/>
    <s v="0:David"/>
    <s v=""/>
    <s v=""/>
    <m/>
    <s v="43879:David Sequera"/>
    <n v="2"/>
  </r>
  <r>
    <x v="24"/>
    <x v="5"/>
    <n v="14"/>
    <n v="3"/>
    <s v="Fed"/>
    <s v="6eea0bf7-7584-4f6c-ad30-1c40e197bd56"/>
    <n v="0"/>
    <s v="0:Francisco Alvarez"/>
    <s v="0:Paco"/>
    <s v=""/>
    <s v=""/>
    <m/>
    <s v="43879:Francisco Alvarez"/>
    <n v="2"/>
  </r>
  <r>
    <x v="24"/>
    <x v="5"/>
    <n v="14"/>
    <n v="3"/>
    <s v="Cuart"/>
    <s v="54dff2cb-e4e3-4f69-bef9-8efe1e69738d"/>
    <n v="0"/>
    <s v="0:Francisco Alvarez"/>
    <s v="0:Paco"/>
    <s v=""/>
    <s v=""/>
    <m/>
    <s v="43879:Francisco Alvarez"/>
    <n v="2"/>
  </r>
  <r>
    <x v="24"/>
    <x v="6"/>
    <n v="13.8"/>
    <n v="3"/>
    <s v="Fed"/>
    <s v="3986495d-9960-4104-9b3a-f8566af031e5"/>
    <n v="0"/>
    <s v="0:Francisco Hidalgo"/>
    <s v="0:Fran"/>
    <s v=""/>
    <s v=""/>
    <m/>
    <s v="43879:Francisco Hidalgo"/>
    <n v="2"/>
  </r>
  <r>
    <x v="24"/>
    <x v="6"/>
    <n v="13.599999999999996"/>
    <n v="3"/>
    <s v="Cuart"/>
    <s v="d8cffecf-04c2-495a-9482-0b95bfbd38f9"/>
    <n v="0"/>
    <s v="0:Francisco Hidalgo"/>
    <s v="0:Fran"/>
    <s v=""/>
    <s v=""/>
    <m/>
    <s v="43879:Francisco Hidalgo"/>
    <n v="2"/>
  </r>
  <r>
    <x v="24"/>
    <x v="7"/>
    <n v="17.399999999999999"/>
    <n v="3"/>
    <s v="Fed"/>
    <s v="6d47fdb6-46cc-4cfa-b266-8bc7386f84ce"/>
    <n v="0"/>
    <s v="0:GLEZ JUAN JOSÉ"/>
    <s v="0:Juanjo"/>
    <s v=""/>
    <s v=""/>
    <m/>
    <s v="43879:GLEZ JUAN JOSÉ"/>
    <n v="2"/>
  </r>
  <r>
    <x v="24"/>
    <x v="7"/>
    <n v="17.399999999999999"/>
    <n v="3"/>
    <s v="Cuart"/>
    <s v="873a5710-0526-475c-a46f-161fffd728dd"/>
    <n v="0"/>
    <s v="0:GLEZ JUAN JOSÉ"/>
    <s v="0:Juanjo"/>
    <s v=""/>
    <s v=""/>
    <m/>
    <s v="43879:GLEZ JUAN JOSÉ"/>
    <n v="2"/>
  </r>
  <r>
    <x v="24"/>
    <x v="8"/>
    <n v="6"/>
    <n v="2"/>
    <s v="Fed"/>
    <s v="d711eb4d-1960-4f96-ba9b-08f7622b3f54"/>
    <n v="0"/>
    <s v="0:Ignacio Cadarso"/>
    <s v="0:Ignacio"/>
    <s v=""/>
    <s v=""/>
    <m/>
    <s v="43879:Ignacio Cadarso"/>
    <n v="2"/>
  </r>
  <r>
    <x v="24"/>
    <x v="8"/>
    <n v="4.8999999999999977"/>
    <n v="2"/>
    <s v="Cuart"/>
    <s v="04d9e29c-16c5-4e71-abf0-313648149952"/>
    <n v="0"/>
    <s v="0:Ignacio Cadarso"/>
    <s v="0:Ignacio"/>
    <s v=""/>
    <s v=""/>
    <m/>
    <s v="43879:Ignacio Cadarso"/>
    <n v="2"/>
  </r>
  <r>
    <x v="24"/>
    <x v="10"/>
    <n v="17.899999999999999"/>
    <n v="3"/>
    <s v="Fed"/>
    <s v="81132c63-b211-47f6-ad54-ad3edda2437d"/>
    <n v="0"/>
    <s v="0:J. Enrique Gonzalez"/>
    <s v="0:Kike"/>
    <s v=""/>
    <s v=""/>
    <m/>
    <s v="43879:J. Enrique Gonzalez"/>
    <n v="2"/>
  </r>
  <r>
    <x v="24"/>
    <x v="10"/>
    <n v="17.899999999999999"/>
    <n v="3"/>
    <s v="Cuart"/>
    <s v="390645c1-f1c5-4d84-850a-d1168eaf95e2"/>
    <n v="0"/>
    <s v="0:J. Enrique Gonzalez"/>
    <s v="0:Kike"/>
    <s v=""/>
    <s v=""/>
    <m/>
    <s v="43879:J. Enrique Gonzalez"/>
    <n v="2"/>
  </r>
  <r>
    <x v="24"/>
    <x v="11"/>
    <n v="13.9"/>
    <n v="3"/>
    <s v="Fed"/>
    <s v="8978170f-7228-425e-9f51-f424d8c93bd3"/>
    <n v="0"/>
    <s v="0:Javier Cervera"/>
    <s v="0:Virus"/>
    <s v=""/>
    <s v=""/>
    <m/>
    <s v="43879:Javier Cervera"/>
    <n v="2"/>
  </r>
  <r>
    <x v="24"/>
    <x v="11"/>
    <n v="13.799999999999995"/>
    <n v="3"/>
    <s v="Cuart"/>
    <s v="5263b31c-c6ab-4d31-97a2-6ad4ea2c6f64"/>
    <n v="0"/>
    <s v="0:Javier Cervera"/>
    <s v="0:Virus"/>
    <s v=""/>
    <s v=""/>
    <m/>
    <s v="43879:Javier Cervera"/>
    <n v="2"/>
  </r>
  <r>
    <x v="24"/>
    <x v="12"/>
    <n v="14.1"/>
    <n v="3"/>
    <s v="Fed"/>
    <s v="46b7afd1-e830-4a5d-b535-d57f4f18f62b"/>
    <n v="0"/>
    <s v="0:Javier Gonzalez Salvador"/>
    <s v="0:Javi"/>
    <s v=""/>
    <s v=""/>
    <m/>
    <s v="43879:Javier Gonzalez Salvador"/>
    <n v="2"/>
  </r>
  <r>
    <x v="24"/>
    <x v="12"/>
    <n v="10.899999999999997"/>
    <n v="2"/>
    <s v="Cuart"/>
    <s v="d882d364-5f97-4b8d-88b2-7de41d1b0ad6"/>
    <n v="0"/>
    <s v="0:Javier Gonzalez Salvador"/>
    <s v="0:Javi"/>
    <s v=""/>
    <s v=""/>
    <m/>
    <s v="43879:Javier Gonzalez Salvador"/>
    <n v="2"/>
  </r>
  <r>
    <x v="24"/>
    <x v="13"/>
    <n v="21.5"/>
    <n v="4"/>
    <s v="Fed"/>
    <s v="ed8ba683-503c-4958-ab8e-81514ad9e15b"/>
    <n v="0"/>
    <s v="0:Jesus Touceda"/>
    <s v="0:Jesús"/>
    <s v=""/>
    <s v=""/>
    <m/>
    <s v="43879:Jesus Touceda"/>
    <n v="2"/>
  </r>
  <r>
    <x v="24"/>
    <x v="13"/>
    <n v="21.500000000000004"/>
    <n v="4"/>
    <s v="Cuart"/>
    <s v="d52b905b-bf1a-40ab-b7a5-358ee621b160"/>
    <n v="0"/>
    <s v="0:Jesus Touceda"/>
    <s v="0:Jesús"/>
    <s v=""/>
    <s v=""/>
    <m/>
    <s v="43879:Jesus Touceda"/>
    <n v="2"/>
  </r>
  <r>
    <x v="24"/>
    <x v="14"/>
    <n v="7"/>
    <n v="2"/>
    <s v="Fed"/>
    <s v="ed708c0a-589f-4c6d-8983-aedf76fcd901"/>
    <n v="0"/>
    <s v="0:José Pablo Guil"/>
    <s v="0:JP"/>
    <s v=""/>
    <s v=""/>
    <m/>
    <s v="43879:José Pablo Guil"/>
    <n v="2"/>
  </r>
  <r>
    <x v="24"/>
    <x v="14"/>
    <n v="5.6999999999999957"/>
    <n v="2"/>
    <s v="Cuart"/>
    <s v="56409b2a-e232-494a-a1b8-ae4253e16a13"/>
    <n v="0"/>
    <s v="0:José Pablo Guil"/>
    <s v="0:JP"/>
    <s v=""/>
    <s v=""/>
    <m/>
    <s v="43879:José Pablo Guil"/>
    <n v="2"/>
  </r>
  <r>
    <x v="24"/>
    <x v="15"/>
    <n v="17.399999999999999"/>
    <n v="3"/>
    <s v="Fed"/>
    <s v="c3edec3f-1739-42d8-9b06-b6aa0cf72ab3"/>
    <n v="0"/>
    <s v="0:Luis Escudero"/>
    <s v="0:Lucho"/>
    <s v=""/>
    <s v=""/>
    <m/>
    <s v="43879:Luis Escudero"/>
    <n v="2"/>
  </r>
  <r>
    <x v="24"/>
    <x v="15"/>
    <n v="16.999999999999996"/>
    <n v="3"/>
    <s v="Cuart"/>
    <s v="d2ceeb1b-301e-42a5-a076-3fe97fbc0619"/>
    <n v="0"/>
    <s v="0:Luis Escudero"/>
    <s v="0:Lucho"/>
    <s v=""/>
    <s v=""/>
    <m/>
    <s v="43879:Luis Escudero"/>
    <n v="2"/>
  </r>
  <r>
    <x v="24"/>
    <x v="19"/>
    <n v="1.6"/>
    <n v="1"/>
    <s v="Fed"/>
    <s v="07e77bb6-3db2-43f8-9fbd-02a281d19a8b"/>
    <n v="0"/>
    <s v="0:Miguel Diaz Del Moral"/>
    <s v="0:Cañita"/>
    <s v=""/>
    <s v=""/>
    <m/>
    <s v="43879:Miguel Diaz Del Moral"/>
    <n v="1"/>
  </r>
  <r>
    <x v="24"/>
    <x v="16"/>
    <n v="6.2"/>
    <n v="2"/>
    <s v="Fed"/>
    <s v="30e6e98b-413d-4128-8cca-53ba09e189d5"/>
    <n v="0"/>
    <s v="0:Nacho Gonzalez"/>
    <s v="0:Nacho"/>
    <s v=""/>
    <s v=""/>
    <m/>
    <s v="43879:Nacho Gonzalez"/>
    <n v="2"/>
  </r>
  <r>
    <x v="24"/>
    <x v="16"/>
    <n v="4.3999999999999995"/>
    <n v="1"/>
    <s v="Cuart"/>
    <s v="f494c36c-d6b3-4c47-8764-1290ba663d68"/>
    <n v="0"/>
    <s v="0:Nacho Gonzalez"/>
    <s v="0:Nacho"/>
    <s v=""/>
    <s v=""/>
    <m/>
    <s v="43879:Nacho Gonzalez"/>
    <n v="2"/>
  </r>
  <r>
    <x v="24"/>
    <x v="17"/>
    <n v="13.4"/>
    <n v="3"/>
    <s v="Fed"/>
    <s v="be532310-fdb3-4bba-b661-6621168610a2"/>
    <n v="0"/>
    <s v="0:Pablo Munitiz"/>
    <s v="0:Muni"/>
    <s v=""/>
    <s v=""/>
    <m/>
    <s v="43879:Pablo Munitiz"/>
    <n v="2"/>
  </r>
  <r>
    <x v="24"/>
    <x v="17"/>
    <n v="13.4"/>
    <n v="3"/>
    <s v="Cuart"/>
    <s v="f955fd0e-1158-4261-95c3-bcf5b62380dc"/>
    <n v="0"/>
    <s v="0:Pablo Munitiz"/>
    <s v="0:Muni"/>
    <s v=""/>
    <s v=""/>
    <m/>
    <s v="43879:Pablo Munitiz"/>
    <n v="2"/>
  </r>
  <r>
    <x v="25"/>
    <x v="0"/>
    <n v="9.3000000000000007"/>
    <n v="2"/>
    <s v="Fed"/>
    <s v="86d8a859-5801-40a9-bd9f-f762b507d634"/>
    <n v="0"/>
    <s v="0:Alfonso Hidalgo"/>
    <s v="0:Alfonso"/>
    <s v=""/>
    <s v=""/>
    <m/>
    <s v="43992:Alfonso Hidalgo"/>
    <n v="2"/>
  </r>
  <r>
    <x v="25"/>
    <x v="0"/>
    <n v="8.0000000000000036"/>
    <n v="2"/>
    <s v="Cuart"/>
    <s v="718ca4ff-75ed-4b98-91bf-e33297bbf254"/>
    <n v="0"/>
    <s v="0:Alfonso Hidalgo"/>
    <s v="0:Alfonso"/>
    <s v=""/>
    <s v=""/>
    <m/>
    <s v="43992:Alfonso Hidalgo"/>
    <n v="2"/>
  </r>
  <r>
    <x v="25"/>
    <x v="1"/>
    <n v="4.8"/>
    <n v="2"/>
    <s v="Fed"/>
    <s v="1d102209-1958-4b1b-8815-205fb806fb8a"/>
    <n v="0"/>
    <s v="0:Alvaro Aguirre"/>
    <s v="0:Gifu"/>
    <s v=""/>
    <s v=""/>
    <m/>
    <s v="43992:Alvaro Aguirre"/>
    <n v="2"/>
  </r>
  <r>
    <x v="25"/>
    <x v="1"/>
    <n v="4.799999999999998"/>
    <n v="2"/>
    <s v="Cuart"/>
    <s v="22254c03-5478-4eba-b402-d0b060320d58"/>
    <n v="0"/>
    <s v="0:Alvaro Aguirre"/>
    <s v="0:Gifu"/>
    <s v=""/>
    <s v=""/>
    <m/>
    <s v="43992:Alvaro Aguirre"/>
    <n v="2"/>
  </r>
  <r>
    <x v="25"/>
    <x v="2"/>
    <n v="14.1"/>
    <n v="3"/>
    <s v="Fed"/>
    <s v="7fae8c8d-0917-44d0-bd0a-fa777cdbbd92"/>
    <n v="0"/>
    <s v="0:Alvaro Nieto"/>
    <s v="0:Alvaro"/>
    <s v=""/>
    <s v=""/>
    <m/>
    <s v="43992:Alvaro Nieto"/>
    <n v="2"/>
  </r>
  <r>
    <x v="25"/>
    <x v="2"/>
    <n v="13.2"/>
    <n v="3"/>
    <s v="Cuart"/>
    <s v="d1bc72ab-1057-4283-b2ca-f9e0d801a655"/>
    <n v="0"/>
    <s v="0:Alvaro Nieto"/>
    <s v="0:Alvaro"/>
    <s v=""/>
    <s v=""/>
    <m/>
    <s v="43992:Alvaro Nieto"/>
    <n v="2"/>
  </r>
  <r>
    <x v="25"/>
    <x v="3"/>
    <n v="8.3000000000000007"/>
    <n v="2"/>
    <s v="Fed"/>
    <s v="d2967550-b78b-40c3-9832-16e4c2c38769"/>
    <n v="0"/>
    <s v="0:Angel Hernandez"/>
    <s v="0:Angel"/>
    <s v=""/>
    <s v=""/>
    <m/>
    <s v="43992:Angel Hernandez"/>
    <n v="2"/>
  </r>
  <r>
    <x v="25"/>
    <x v="3"/>
    <n v="6.4999999999999938"/>
    <n v="2"/>
    <s v="Cuart"/>
    <s v="44a64815-9a06-430a-860c-01bed812247f"/>
    <n v="0"/>
    <s v="0:Angel Hernandez"/>
    <s v="0:Angel"/>
    <s v=""/>
    <s v=""/>
    <m/>
    <s v="43992:Angel Hernandez"/>
    <n v="2"/>
  </r>
  <r>
    <x v="25"/>
    <x v="4"/>
    <n v="11"/>
    <n v="2"/>
    <s v="Fed"/>
    <s v="50fa04ad-ad99-45a1-9aa9-b55a48deb6fa"/>
    <n v="0"/>
    <s v="0:David Sequera"/>
    <s v="0:David"/>
    <s v=""/>
    <s v=""/>
    <m/>
    <s v="43992:David Sequera"/>
    <n v="2"/>
  </r>
  <r>
    <x v="25"/>
    <x v="4"/>
    <n v="10.499999999999998"/>
    <n v="2"/>
    <s v="Cuart"/>
    <s v="d91de15e-bcab-47dd-aad0-0ef2ca8c7fb9"/>
    <n v="0"/>
    <s v="0:David Sequera"/>
    <s v="0:David"/>
    <s v=""/>
    <s v=""/>
    <m/>
    <s v="43992:David Sequera"/>
    <n v="2"/>
  </r>
  <r>
    <x v="25"/>
    <x v="5"/>
    <n v="16.2"/>
    <n v="3"/>
    <s v="Fed"/>
    <s v="15b60c81-4a84-4a72-be2a-57daeeffbf96"/>
    <n v="0"/>
    <s v="0:Francisco Alvarez"/>
    <s v="0:Paco"/>
    <s v=""/>
    <s v=""/>
    <m/>
    <s v="43992:Francisco Alvarez"/>
    <n v="2"/>
  </r>
  <r>
    <x v="25"/>
    <x v="5"/>
    <n v="14"/>
    <n v="3"/>
    <s v="Cuart"/>
    <s v="8c5e269f-14f6-459b-a8e2-cbab16737888"/>
    <n v="0"/>
    <s v="0:Francisco Alvarez"/>
    <s v="0:Paco"/>
    <s v=""/>
    <s v=""/>
    <m/>
    <s v="43992:Francisco Alvarez"/>
    <n v="2"/>
  </r>
  <r>
    <x v="25"/>
    <x v="6"/>
    <n v="15.3"/>
    <n v="3"/>
    <s v="Fed"/>
    <s v="db289010-3877-4027-9584-5076fc9a38db"/>
    <n v="0"/>
    <s v="0:Francisco Hidalgo"/>
    <s v="0:Fran"/>
    <s v=""/>
    <s v=""/>
    <m/>
    <s v="43992:Francisco Hidalgo"/>
    <n v="2"/>
  </r>
  <r>
    <x v="25"/>
    <x v="6"/>
    <n v="13.599999999999996"/>
    <n v="3"/>
    <s v="Cuart"/>
    <s v="2778a1fa-006b-4aa8-afc2-7da35eee7fb5"/>
    <n v="0"/>
    <s v="0:Francisco Hidalgo"/>
    <s v="0:Fran"/>
    <s v=""/>
    <s v=""/>
    <m/>
    <s v="43992:Francisco Hidalgo"/>
    <n v="2"/>
  </r>
  <r>
    <x v="25"/>
    <x v="7"/>
    <n v="18.2"/>
    <n v="3"/>
    <s v="Fed"/>
    <s v="e6ed5722-fa50-4ebb-8eb8-0cfadd77ae96"/>
    <n v="0"/>
    <s v="0:GLEZ JUAN JOSÉ"/>
    <s v="0:Juanjo"/>
    <s v=""/>
    <s v=""/>
    <m/>
    <s v="43992:GLEZ JUAN JOSÉ"/>
    <n v="2"/>
  </r>
  <r>
    <x v="25"/>
    <x v="7"/>
    <n v="17.399999999999999"/>
    <n v="3"/>
    <s v="Cuart"/>
    <s v="24efd80d-5fbe-4613-8380-ec0316eed709"/>
    <n v="0"/>
    <s v="0:GLEZ JUAN JOSÉ"/>
    <s v="0:Juanjo"/>
    <s v=""/>
    <s v=""/>
    <m/>
    <s v="43992:GLEZ JUAN JOSÉ"/>
    <n v="2"/>
  </r>
  <r>
    <x v="25"/>
    <x v="8"/>
    <n v="6.1"/>
    <n v="2"/>
    <s v="Fed"/>
    <s v="4a4d86ee-eecc-4d90-81d9-d838a6640c85"/>
    <n v="0"/>
    <s v="0:Ignacio Cadarso"/>
    <s v="0:Ignacio"/>
    <s v=""/>
    <s v=""/>
    <m/>
    <s v="43992:Ignacio Cadarso"/>
    <n v="2"/>
  </r>
  <r>
    <x v="25"/>
    <x v="8"/>
    <n v="4.8999999999999977"/>
    <n v="2"/>
    <s v="Cuart"/>
    <s v="6328a1fb-e07a-4de3-be67-d9eb7e7fbd9b"/>
    <n v="0"/>
    <s v="0:Ignacio Cadarso"/>
    <s v="0:Ignacio"/>
    <s v=""/>
    <s v=""/>
    <m/>
    <s v="43992:Ignacio Cadarso"/>
    <n v="2"/>
  </r>
  <r>
    <x v="25"/>
    <x v="10"/>
    <n v="20.100000000000001"/>
    <n v="4"/>
    <s v="Fed"/>
    <s v="ad84fb0e-894b-4e1b-8fdd-a3be1e898e2b"/>
    <n v="0"/>
    <s v="0:J. Enrique Gonzalez"/>
    <s v="0:Kike"/>
    <s v=""/>
    <s v=""/>
    <m/>
    <s v="43992:J. Enrique Gonzalez"/>
    <n v="2"/>
  </r>
  <r>
    <x v="25"/>
    <x v="10"/>
    <n v="17.899999999999999"/>
    <n v="3"/>
    <s v="Cuart"/>
    <s v="fc1fca13-38a1-4235-aae0-f343e9025f9b"/>
    <n v="0"/>
    <s v="0:J. Enrique Gonzalez"/>
    <s v="0:Kike"/>
    <s v=""/>
    <s v=""/>
    <m/>
    <s v="43992:J. Enrique Gonzalez"/>
    <n v="2"/>
  </r>
  <r>
    <x v="25"/>
    <x v="11"/>
    <n v="15.4"/>
    <n v="3"/>
    <s v="Fed"/>
    <s v="e6d9b9b6-2422-4204-bd95-fa13743c48f5"/>
    <n v="0"/>
    <s v="0:Javier Cervera"/>
    <s v="0:Virus"/>
    <s v=""/>
    <s v=""/>
    <m/>
    <s v="43992:Javier Cervera"/>
    <n v="2"/>
  </r>
  <r>
    <x v="25"/>
    <x v="11"/>
    <n v="13.799999999999995"/>
    <n v="3"/>
    <s v="Cuart"/>
    <s v="adc7da63-12bd-400e-a41d-299f275b0241"/>
    <n v="0"/>
    <s v="0:Javier Cervera"/>
    <s v="0:Virus"/>
    <s v=""/>
    <s v=""/>
    <m/>
    <s v="43992:Javier Cervera"/>
    <n v="2"/>
  </r>
  <r>
    <x v="25"/>
    <x v="12"/>
    <n v="15.2"/>
    <n v="3"/>
    <s v="Fed"/>
    <s v="615a7f8d-61e6-497a-a665-3f08793477a1"/>
    <n v="0"/>
    <s v="0:Javier Gonzalez Salvador"/>
    <s v="0:Javi"/>
    <s v=""/>
    <s v=""/>
    <m/>
    <s v="43992:Javier Gonzalez Salvador"/>
    <n v="2"/>
  </r>
  <r>
    <x v="25"/>
    <x v="12"/>
    <n v="10.899999999999997"/>
    <n v="2"/>
    <s v="Cuart"/>
    <s v="09def411-86b1-4f52-8b14-a2fb904919b4"/>
    <n v="0"/>
    <s v="0:Javier Gonzalez Salvador"/>
    <s v="0:Javi"/>
    <s v=""/>
    <s v=""/>
    <m/>
    <s v="43992:Javier Gonzalez Salvador"/>
    <n v="2"/>
  </r>
  <r>
    <x v="25"/>
    <x v="13"/>
    <n v="22.6"/>
    <n v="4"/>
    <s v="Fed"/>
    <s v="8b0ca66b-55c1-4861-95ba-62cb38e43938"/>
    <n v="0"/>
    <s v="0:Jesus Touceda"/>
    <s v="0:Jesús"/>
    <s v=""/>
    <s v=""/>
    <m/>
    <s v="43992:Jesus Touceda"/>
    <n v="2"/>
  </r>
  <r>
    <x v="25"/>
    <x v="13"/>
    <n v="21.500000000000004"/>
    <n v="4"/>
    <s v="Cuart"/>
    <s v="882b2548-ad87-475e-82b4-661533aa2680"/>
    <n v="0"/>
    <s v="0:Jesus Touceda"/>
    <s v="0:Jesús"/>
    <s v=""/>
    <s v=""/>
    <m/>
    <s v="43992:Jesus Touceda"/>
    <n v="2"/>
  </r>
  <r>
    <x v="25"/>
    <x v="14"/>
    <n v="6.9"/>
    <n v="2"/>
    <s v="Fed"/>
    <s v="621658ee-bbda-486c-b8dd-0565149c6807"/>
    <n v="0"/>
    <s v="0:José Pablo Guil"/>
    <s v="0:JP"/>
    <s v=""/>
    <s v=""/>
    <m/>
    <s v="43992:José Pablo Guil"/>
    <n v="2"/>
  </r>
  <r>
    <x v="25"/>
    <x v="14"/>
    <n v="5.6999999999999957"/>
    <n v="2"/>
    <s v="Cuart"/>
    <s v="d54d751f-9f01-4012-837b-5ab803ea0c18"/>
    <n v="0"/>
    <s v="0:José Pablo Guil"/>
    <s v="0:JP"/>
    <s v=""/>
    <s v=""/>
    <m/>
    <s v="43992:José Pablo Guil"/>
    <n v="2"/>
  </r>
  <r>
    <x v="25"/>
    <x v="15"/>
    <n v="18.3"/>
    <n v="3"/>
    <s v="Fed"/>
    <s v="66e249ff-ca25-45f3-a3cf-63cf6a05899a"/>
    <n v="0"/>
    <s v="0:Luis Escudero"/>
    <s v="0:Lucho"/>
    <s v=""/>
    <s v=""/>
    <m/>
    <s v="43992:Luis Escudero"/>
    <n v="2"/>
  </r>
  <r>
    <x v="25"/>
    <x v="15"/>
    <n v="16.999999999999996"/>
    <n v="3"/>
    <s v="Cuart"/>
    <s v="e1d9dd6e-19a2-45a0-b55a-395970985898"/>
    <n v="0"/>
    <s v="0:Luis Escudero"/>
    <s v="0:Lucho"/>
    <s v=""/>
    <s v=""/>
    <m/>
    <s v="43992:Luis Escudero"/>
    <n v="2"/>
  </r>
  <r>
    <x v="25"/>
    <x v="19"/>
    <n v="0.1"/>
    <n v="1"/>
    <s v="Fed"/>
    <s v="0d169cb8-7b56-4f10-95c5-ce0247cdbaa1"/>
    <n v="0"/>
    <s v="0:Miguel Diaz Del Moral"/>
    <s v="0:Cañita"/>
    <s v=""/>
    <s v=""/>
    <m/>
    <s v="43992:Miguel Diaz Del Moral"/>
    <n v="1"/>
  </r>
  <r>
    <x v="25"/>
    <x v="16"/>
    <n v="6.4"/>
    <n v="2"/>
    <s v="Fed"/>
    <s v="8a987d9a-a073-458c-8a02-78da6797eaff"/>
    <n v="0"/>
    <s v="0:Nacho Gonzalez"/>
    <s v="0:Nacho"/>
    <s v=""/>
    <s v=""/>
    <m/>
    <s v="43992:Nacho Gonzalez"/>
    <n v="2"/>
  </r>
  <r>
    <x v="25"/>
    <x v="16"/>
    <n v="4.3999999999999995"/>
    <n v="1"/>
    <s v="Cuart"/>
    <s v="74ec5fe7-66ad-4b89-8828-b08c3a32d202"/>
    <n v="0"/>
    <s v="0:Nacho Gonzalez"/>
    <s v="0:Nacho"/>
    <s v=""/>
    <s v=""/>
    <m/>
    <s v="43992:Nacho Gonzalez"/>
    <n v="2"/>
  </r>
  <r>
    <x v="25"/>
    <x v="17"/>
    <n v="13.7"/>
    <n v="3"/>
    <s v="Fed"/>
    <s v="7bcc339d-bb85-451c-9b1a-989d001a301f"/>
    <n v="0"/>
    <s v="0:Pablo Munitiz"/>
    <s v="0:Muni"/>
    <s v=""/>
    <s v=""/>
    <m/>
    <s v="43992:Pablo Munitiz"/>
    <n v="2"/>
  </r>
  <r>
    <x v="25"/>
    <x v="17"/>
    <n v="13.4"/>
    <n v="3"/>
    <s v="Cuart"/>
    <s v="85d48ad0-bd05-46e8-9ced-97a1918ab65c"/>
    <n v="0"/>
    <s v="0:Pablo Munitiz"/>
    <s v="0:Muni"/>
    <s v=""/>
    <s v=""/>
    <m/>
    <s v="43992:Pablo Munitiz"/>
    <n v="2"/>
  </r>
  <r>
    <x v="26"/>
    <x v="0"/>
    <n v="9.1"/>
    <n v="2"/>
    <s v="Fed"/>
    <s v="0b716776-876e-4225-9ca0-938576e44203"/>
    <n v="0"/>
    <s v="0:Alfonso Hidalgo"/>
    <s v="0:Alfonso"/>
    <s v=""/>
    <s v=""/>
    <m/>
    <s v="44090:Alfonso Hidalgo"/>
    <n v="2"/>
  </r>
  <r>
    <x v="26"/>
    <x v="0"/>
    <n v="8.1000000000000032"/>
    <n v="2"/>
    <s v="Cuart"/>
    <s v="25367194-7bd9-4ede-bfd2-a7deea293cd2"/>
    <n v="0"/>
    <s v="0:Alfonso Hidalgo"/>
    <s v="0:Alfonso"/>
    <s v=""/>
    <s v=""/>
    <m/>
    <s v="44090:Alfonso Hidalgo"/>
    <n v="2"/>
  </r>
  <r>
    <x v="26"/>
    <x v="1"/>
    <n v="5.6"/>
    <n v="2"/>
    <s v="Fed"/>
    <s v="c1c4ab8e-4ab3-493e-a863-37e9f29ab44e"/>
    <n v="0"/>
    <s v="0:Alvaro Aguirre"/>
    <s v="0:Gifu"/>
    <s v=""/>
    <s v=""/>
    <m/>
    <s v="44090:Alvaro Aguirre"/>
    <n v="2"/>
  </r>
  <r>
    <x v="26"/>
    <x v="1"/>
    <n v="4.8999999999999977"/>
    <n v="2"/>
    <s v="Cuart"/>
    <s v="67bef22d-d54d-4752-a55e-6ce4eb1f1973"/>
    <n v="0"/>
    <s v="0:Alvaro Aguirre"/>
    <s v="0:Gifu"/>
    <s v=""/>
    <s v=""/>
    <m/>
    <s v="44090:Alvaro Aguirre"/>
    <n v="2"/>
  </r>
  <r>
    <x v="26"/>
    <x v="2"/>
    <n v="14.1"/>
    <n v="3"/>
    <s v="Fed"/>
    <s v="73b90feb-1f70-4e9a-94a0-de23161ad2c5"/>
    <n v="0"/>
    <s v="0:Alvaro Nieto"/>
    <s v="0:Alvaro"/>
    <s v=""/>
    <s v=""/>
    <m/>
    <s v="44090:Alvaro Nieto"/>
    <n v="2"/>
  </r>
  <r>
    <x v="26"/>
    <x v="2"/>
    <n v="13.299999999999999"/>
    <n v="3"/>
    <s v="Cuart"/>
    <s v="f83012ae-af12-454e-a3fb-f020e54018a3"/>
    <n v="0"/>
    <s v="0:Alvaro Nieto"/>
    <s v="0:Alvaro"/>
    <s v=""/>
    <s v=""/>
    <m/>
    <s v="44090:Alvaro Nieto"/>
    <n v="2"/>
  </r>
  <r>
    <x v="26"/>
    <x v="3"/>
    <n v="7.4"/>
    <n v="2"/>
    <s v="Fed"/>
    <s v="f3d7b465-f4ea-4f5b-81a2-b3091f586550"/>
    <n v="0"/>
    <s v="0:Angel Hernandez"/>
    <s v="0:Angel"/>
    <s v=""/>
    <s v=""/>
    <m/>
    <s v="44090:Angel Hernandez"/>
    <n v="2"/>
  </r>
  <r>
    <x v="26"/>
    <x v="3"/>
    <n v="6.5999999999999934"/>
    <n v="2"/>
    <s v="Cuart"/>
    <s v="97884dbc-a63b-4fb7-8265-b451e2e42768"/>
    <n v="0"/>
    <s v="0:Angel Hernandez"/>
    <s v="0:Angel"/>
    <s v=""/>
    <s v=""/>
    <m/>
    <s v="44090:Angel Hernandez"/>
    <n v="2"/>
  </r>
  <r>
    <x v="26"/>
    <x v="4"/>
    <n v="11.4"/>
    <n v="2"/>
    <s v="Fed"/>
    <s v="b2acff63-2cae-4757-b865-023c33d861af"/>
    <n v="0"/>
    <s v="0:David Sequera"/>
    <s v="0:David"/>
    <s v=""/>
    <s v=""/>
    <m/>
    <s v="44090:David Sequera"/>
    <n v="2"/>
  </r>
  <r>
    <x v="26"/>
    <x v="4"/>
    <n v="10.599999999999998"/>
    <n v="2"/>
    <s v="Cuart"/>
    <s v="9dee201e-e006-4781-b83c-7e2fb9cca684"/>
    <n v="0"/>
    <s v="0:David Sequera"/>
    <s v="0:David"/>
    <s v=""/>
    <s v=""/>
    <m/>
    <s v="44090:David Sequera"/>
    <n v="2"/>
  </r>
  <r>
    <x v="26"/>
    <x v="5"/>
    <n v="16.2"/>
    <n v="3"/>
    <s v="Fed"/>
    <s v="cbfdb56b-662d-4f76-9b1e-53a01775bc27"/>
    <n v="0"/>
    <s v="0:Francisco Alvarez"/>
    <s v="0:Paco"/>
    <s v=""/>
    <s v=""/>
    <m/>
    <s v="44090:Francisco Alvarez"/>
    <n v="2"/>
  </r>
  <r>
    <x v="26"/>
    <x v="5"/>
    <n v="14.1"/>
    <n v="3"/>
    <s v="Cuart"/>
    <s v="2d321324-4993-4f2c-b525-d47387ce98a7"/>
    <n v="0"/>
    <s v="0:Francisco Alvarez"/>
    <s v="0:Paco"/>
    <s v=""/>
    <s v=""/>
    <m/>
    <s v="44090:Francisco Alvarez"/>
    <n v="2"/>
  </r>
  <r>
    <x v="26"/>
    <x v="6"/>
    <n v="15.3"/>
    <n v="3"/>
    <s v="Fed"/>
    <s v="02053ca9-efc2-4ca2-a105-a9b8066bb8b0"/>
    <n v="0"/>
    <s v="0:Francisco Hidalgo"/>
    <s v="0:Fran"/>
    <s v=""/>
    <s v=""/>
    <m/>
    <s v="44090:Francisco Hidalgo"/>
    <n v="2"/>
  </r>
  <r>
    <x v="26"/>
    <x v="6"/>
    <n v="13.699999999999996"/>
    <n v="3"/>
    <s v="Cuart"/>
    <s v="a833e08a-50da-4060-8a6f-3c66d38b91ee"/>
    <n v="0"/>
    <s v="0:Francisco Hidalgo"/>
    <s v="0:Fran"/>
    <s v=""/>
    <s v=""/>
    <m/>
    <s v="44090:Francisco Hidalgo"/>
    <n v="2"/>
  </r>
  <r>
    <x v="26"/>
    <x v="7"/>
    <n v="18.899999999999999"/>
    <n v="4"/>
    <s v="Fed"/>
    <s v="9fa521d4-d560-4f54-aa73-b4eb371b2154"/>
    <n v="0"/>
    <s v="0:GLEZ JUAN JOSÉ"/>
    <s v="0:Juanjo"/>
    <s v=""/>
    <s v=""/>
    <m/>
    <s v="44090:GLEZ JUAN JOSÉ"/>
    <n v="2"/>
  </r>
  <r>
    <x v="26"/>
    <x v="7"/>
    <n v="17.5"/>
    <n v="3"/>
    <s v="Cuart"/>
    <s v="53e44bfb-cf68-49b5-b52c-af1a73083f18"/>
    <n v="0"/>
    <s v="0:GLEZ JUAN JOSÉ"/>
    <s v="0:Juanjo"/>
    <s v=""/>
    <s v=""/>
    <m/>
    <s v="44090:GLEZ JUAN JOSÉ"/>
    <n v="2"/>
  </r>
  <r>
    <x v="26"/>
    <x v="8"/>
    <n v="5.6"/>
    <n v="2"/>
    <s v="Fed"/>
    <s v="7c661949-3311-498c-8f48-7861edda2271"/>
    <n v="0"/>
    <s v="0:Ignacio Cadarso"/>
    <s v="0:Ignacio"/>
    <s v=""/>
    <s v=""/>
    <m/>
    <s v="44090:Ignacio Cadarso"/>
    <n v="2"/>
  </r>
  <r>
    <x v="26"/>
    <x v="8"/>
    <n v="4.9999999999999973"/>
    <n v="2"/>
    <s v="Cuart"/>
    <s v="e235f712-7f24-48ec-be11-cd25712ff5af"/>
    <n v="0"/>
    <s v="0:Ignacio Cadarso"/>
    <s v="0:Ignacio"/>
    <s v=""/>
    <s v=""/>
    <m/>
    <s v="44090:Ignacio Cadarso"/>
    <n v="2"/>
  </r>
  <r>
    <x v="26"/>
    <x v="10"/>
    <n v="20.100000000000001"/>
    <n v="4"/>
    <s v="Fed"/>
    <s v="86e7628e-7528-4d47-b830-fee5e61cbc35"/>
    <n v="0"/>
    <s v="0:J. Enrique Gonzalez"/>
    <s v="0:Kike"/>
    <s v=""/>
    <s v=""/>
    <m/>
    <s v="44090:J. Enrique Gonzalez"/>
    <n v="2"/>
  </r>
  <r>
    <x v="26"/>
    <x v="10"/>
    <n v="18"/>
    <n v="3"/>
    <s v="Cuart"/>
    <s v="352c22a3-e169-4c4a-9fa0-340e00426010"/>
    <n v="0"/>
    <s v="0:J. Enrique Gonzalez"/>
    <s v="0:Kike"/>
    <s v=""/>
    <s v=""/>
    <m/>
    <s v="44090:J. Enrique Gonzalez"/>
    <n v="2"/>
  </r>
  <r>
    <x v="26"/>
    <x v="11"/>
    <n v="15.1"/>
    <n v="3"/>
    <s v="Fed"/>
    <s v="1427ac1c-1c2d-4336-bc37-d7d8beb32e76"/>
    <n v="0"/>
    <s v="0:Javier Cervera"/>
    <s v="0:Virus"/>
    <s v=""/>
    <s v=""/>
    <m/>
    <s v="44090:Javier Cervera"/>
    <n v="2"/>
  </r>
  <r>
    <x v="26"/>
    <x v="11"/>
    <n v="13.899999999999995"/>
    <n v="3"/>
    <s v="Cuart"/>
    <s v="19ed1063-ae11-4147-8f90-33e28da75956"/>
    <n v="0"/>
    <s v="0:Javier Cervera"/>
    <s v="0:Virus"/>
    <s v=""/>
    <s v=""/>
    <m/>
    <s v="44090:Javier Cervera"/>
    <n v="2"/>
  </r>
  <r>
    <x v="26"/>
    <x v="12"/>
    <n v="15.2"/>
    <n v="3"/>
    <s v="Fed"/>
    <s v="ae2bd36e-2ccb-4c81-9338-01594517357e"/>
    <n v="0"/>
    <s v="0:Javier Gonzalez Salvador"/>
    <s v="0:Javi"/>
    <s v=""/>
    <s v=""/>
    <m/>
    <s v="44090:Javier Gonzalez Salvador"/>
    <n v="2"/>
  </r>
  <r>
    <x v="26"/>
    <x v="12"/>
    <n v="10.999999999999996"/>
    <n v="2"/>
    <s v="Cuart"/>
    <s v="ee51831a-b6b4-4786-9e88-77f34e69c772"/>
    <n v="0"/>
    <s v="0:Javier Gonzalez Salvador"/>
    <s v="0:Javi"/>
    <s v=""/>
    <s v=""/>
    <m/>
    <s v="44090:Javier Gonzalez Salvador"/>
    <n v="2"/>
  </r>
  <r>
    <x v="26"/>
    <x v="13"/>
    <n v="22.7"/>
    <n v="4"/>
    <s v="Fed"/>
    <s v="fadfc7e1-1b01-4887-99d0-9b64fb747278"/>
    <n v="0"/>
    <s v="0:Jesus Touceda"/>
    <s v="0:Jesús"/>
    <s v=""/>
    <s v=""/>
    <m/>
    <s v="44090:Jesus Touceda"/>
    <n v="2"/>
  </r>
  <r>
    <x v="26"/>
    <x v="13"/>
    <n v="21.600000000000005"/>
    <n v="4"/>
    <s v="Cuart"/>
    <s v="f398bad9-0e82-4f0a-9a0c-d6e049c235df"/>
    <n v="0"/>
    <s v="0:Jesus Touceda"/>
    <s v="0:Jesús"/>
    <s v=""/>
    <s v=""/>
    <m/>
    <s v="44090:Jesus Touceda"/>
    <n v="2"/>
  </r>
  <r>
    <x v="26"/>
    <x v="14"/>
    <n v="6.9"/>
    <n v="2"/>
    <s v="Fed"/>
    <s v="763d309d-9110-4318-b629-3d3de6edaa1e"/>
    <n v="0"/>
    <s v="0:José Pablo Guil"/>
    <s v="0:JP"/>
    <s v=""/>
    <s v=""/>
    <m/>
    <s v="44090:José Pablo Guil"/>
    <n v="2"/>
  </r>
  <r>
    <x v="26"/>
    <x v="14"/>
    <n v="5.7999999999999954"/>
    <n v="2"/>
    <s v="Cuart"/>
    <s v="063bec6f-f65e-4c59-8d9a-6c07421daa3a"/>
    <n v="0"/>
    <s v="0:José Pablo Guil"/>
    <s v="0:JP"/>
    <s v=""/>
    <s v=""/>
    <m/>
    <s v="44090:José Pablo Guil"/>
    <n v="2"/>
  </r>
  <r>
    <x v="26"/>
    <x v="15"/>
    <n v="18.3"/>
    <n v="3"/>
    <s v="Fed"/>
    <s v="bd418411-ebfd-46c5-9ab1-38b7aec45c91"/>
    <n v="0"/>
    <s v="0:Luis Escudero"/>
    <s v="0:Lucho"/>
    <s v=""/>
    <s v=""/>
    <m/>
    <s v="44090:Luis Escudero"/>
    <n v="2"/>
  </r>
  <r>
    <x v="26"/>
    <x v="15"/>
    <n v="17.099999999999998"/>
    <n v="3"/>
    <s v="Cuart"/>
    <s v="d717f49c-766b-4710-a79b-638e7d2539a2"/>
    <n v="0"/>
    <s v="0:Luis Escudero"/>
    <s v="0:Lucho"/>
    <s v=""/>
    <s v=""/>
    <m/>
    <s v="44090:Luis Escudero"/>
    <n v="2"/>
  </r>
  <r>
    <x v="26"/>
    <x v="19"/>
    <n v="0.5"/>
    <n v="1"/>
    <s v="Fed"/>
    <s v="2f4d2c2a-02ea-442e-9540-712ee601cade"/>
    <n v="0"/>
    <s v="0:Miguel Diaz Del Moral"/>
    <s v="0:Cañita"/>
    <s v=""/>
    <s v=""/>
    <m/>
    <s v="44090:Miguel Diaz Del Moral"/>
    <n v="1"/>
  </r>
  <r>
    <x v="26"/>
    <x v="16"/>
    <n v="6.3"/>
    <n v="2"/>
    <s v="Fed"/>
    <s v="63108aa5-a865-4933-a350-ac441274df28"/>
    <n v="0"/>
    <s v="0:Nacho Gonzalez"/>
    <s v="0:Nacho"/>
    <s v=""/>
    <s v=""/>
    <m/>
    <s v="44090:Nacho Gonzalez"/>
    <n v="2"/>
  </r>
  <r>
    <x v="26"/>
    <x v="16"/>
    <n v="4.4999999999999991"/>
    <n v="1"/>
    <s v="Cuart"/>
    <s v="92d2d8fc-3356-4607-97c4-056465ab740d"/>
    <n v="0"/>
    <s v="0:Nacho Gonzalez"/>
    <s v="0:Nacho"/>
    <s v=""/>
    <s v=""/>
    <m/>
    <s v="44090:Nacho Gonzalez"/>
    <n v="2"/>
  </r>
  <r>
    <x v="26"/>
    <x v="17"/>
    <n v="13.7"/>
    <n v="3"/>
    <s v="Fed"/>
    <s v="35cd241b-b585-4840-8457-41f61568b531"/>
    <n v="0"/>
    <s v="0:Pablo Munitiz"/>
    <s v="0:Muni"/>
    <s v=""/>
    <s v=""/>
    <m/>
    <s v="44090:Pablo Munitiz"/>
    <n v="2"/>
  </r>
  <r>
    <x v="26"/>
    <x v="17"/>
    <n v="13.5"/>
    <n v="3"/>
    <s v="Cuart"/>
    <s v="20c3c1af-52d5-41c8-a85d-0811908ed5f8"/>
    <n v="0"/>
    <s v="0:Pablo Munitiz"/>
    <s v="0:Muni"/>
    <s v=""/>
    <s v=""/>
    <m/>
    <s v="44090:Pablo Munitiz"/>
    <n v="2"/>
  </r>
  <r>
    <x v="27"/>
    <x v="0"/>
    <n v="9.3000000000000007"/>
    <n v="2"/>
    <s v="Fed"/>
    <s v="681faa79-7e0b-4181-8cb4-599e946bf7f7"/>
    <n v="0"/>
    <s v="0:Alfonso Hidalgo"/>
    <s v="0:Alfonso"/>
    <s v=""/>
    <s v=""/>
    <m/>
    <s v="44178:Alfonso Hidalgo"/>
    <n v="2"/>
  </r>
  <r>
    <x v="27"/>
    <x v="0"/>
    <n v="8.2000000000000028"/>
    <n v="2"/>
    <s v="Cuart"/>
    <s v="55cb6335-3c30-4d62-8e78-cd7cc63b23c7"/>
    <n v="0"/>
    <s v="0:Alfonso Hidalgo"/>
    <s v="0:Alfonso"/>
    <s v=""/>
    <s v=""/>
    <m/>
    <s v="44178:Alfonso Hidalgo"/>
    <n v="2"/>
  </r>
  <r>
    <x v="27"/>
    <x v="1"/>
    <n v="6.3"/>
    <n v="2"/>
    <s v="Fed"/>
    <s v="65f92cb3-a627-4a6b-b0b3-4b54f6bec418"/>
    <n v="0"/>
    <s v="0:Alvaro Aguirre"/>
    <s v="0:Gifu"/>
    <s v=""/>
    <s v=""/>
    <m/>
    <s v="44178:Alvaro Aguirre"/>
    <n v="2"/>
  </r>
  <r>
    <x v="27"/>
    <x v="1"/>
    <n v="4.9999999999999973"/>
    <n v="2"/>
    <s v="Cuart"/>
    <s v="54e9182a-a3fe-44a6-a92b-d11ff754e97f"/>
    <n v="0"/>
    <s v="0:Alvaro Aguirre"/>
    <s v="0:Gifu"/>
    <s v=""/>
    <s v=""/>
    <m/>
    <s v="44178:Alvaro Aguirre"/>
    <n v="2"/>
  </r>
  <r>
    <x v="27"/>
    <x v="2"/>
    <n v="14"/>
    <n v="3"/>
    <s v="Fed"/>
    <s v="f5f8fa5e-3bd7-415d-8ebc-08093ed7d1ee"/>
    <n v="0"/>
    <s v="0:Alvaro Nieto"/>
    <s v="0:Alvaro"/>
    <s v=""/>
    <s v=""/>
    <m/>
    <s v="44178:Alvaro Nieto"/>
    <n v="2"/>
  </r>
  <r>
    <x v="27"/>
    <x v="2"/>
    <n v="13.299999999999999"/>
    <n v="3"/>
    <s v="Cuart"/>
    <s v="f3e3ba61-d31e-4097-9f86-8f96e167e527"/>
    <n v="0"/>
    <s v="0:Alvaro Nieto"/>
    <s v="0:Alvaro"/>
    <s v=""/>
    <s v=""/>
    <m/>
    <s v="44178:Alvaro Nieto"/>
    <n v="2"/>
  </r>
  <r>
    <x v="27"/>
    <x v="3"/>
    <n v="7.6"/>
    <n v="2"/>
    <s v="Fed"/>
    <s v="fbdc3946-b442-4329-bb13-bba342e67585"/>
    <n v="0"/>
    <s v="0:Angel Hernandez"/>
    <s v="0:Angel"/>
    <s v=""/>
    <s v=""/>
    <m/>
    <s v="44178:Angel Hernandez"/>
    <n v="2"/>
  </r>
  <r>
    <x v="27"/>
    <x v="3"/>
    <n v="6.6999999999999931"/>
    <n v="2"/>
    <s v="Cuart"/>
    <s v="1e378296-e079-41e4-a047-2b29d04676fa"/>
    <n v="0"/>
    <s v="0:Angel Hernandez"/>
    <s v="0:Angel"/>
    <s v=""/>
    <s v=""/>
    <m/>
    <s v="44178:Angel Hernandez"/>
    <n v="2"/>
  </r>
  <r>
    <x v="27"/>
    <x v="4"/>
    <n v="11.4"/>
    <n v="2"/>
    <s v="Fed"/>
    <s v="f2c461f4-37a9-4c74-ba86-9583f61639f5"/>
    <n v="0"/>
    <s v="0:David Sequera"/>
    <s v="0:David"/>
    <s v=""/>
    <s v=""/>
    <m/>
    <s v="44178:David Sequera"/>
    <n v="2"/>
  </r>
  <r>
    <x v="27"/>
    <x v="4"/>
    <n v="10.699999999999998"/>
    <n v="2"/>
    <s v="Cuart"/>
    <s v="9b65a198-0f7d-4ca3-9a37-7e32809301c3"/>
    <n v="0"/>
    <s v="0:David Sequera"/>
    <s v="0:David"/>
    <s v=""/>
    <s v=""/>
    <m/>
    <s v="44178:David Sequera"/>
    <n v="2"/>
  </r>
  <r>
    <x v="27"/>
    <x v="5"/>
    <n v="16.2"/>
    <n v="3"/>
    <s v="Fed"/>
    <s v="3269f25d-5067-433d-92d3-c37e5e51e121"/>
    <n v="0"/>
    <s v="0:Francisco Alvarez"/>
    <s v="0:Paco"/>
    <s v=""/>
    <s v=""/>
    <m/>
    <s v="44178:Francisco Alvarez"/>
    <n v="2"/>
  </r>
  <r>
    <x v="27"/>
    <x v="5"/>
    <n v="14.2"/>
    <n v="3"/>
    <s v="Cuart"/>
    <s v="953aefab-be01-4893-9804-cdb444988a1e"/>
    <n v="0"/>
    <s v="0:Francisco Alvarez"/>
    <s v="0:Paco"/>
    <s v=""/>
    <s v=""/>
    <m/>
    <s v="44178:Francisco Alvarez"/>
    <n v="2"/>
  </r>
  <r>
    <x v="27"/>
    <x v="6"/>
    <n v="14.7"/>
    <n v="3"/>
    <s v="Fed"/>
    <s v="123ed770-d4e6-4e58-9e42-a4e701d009af"/>
    <n v="0"/>
    <s v="0:Francisco Hidalgo"/>
    <s v="0:Fran"/>
    <s v=""/>
    <s v=""/>
    <m/>
    <s v="44178:Francisco Hidalgo"/>
    <n v="2"/>
  </r>
  <r>
    <x v="27"/>
    <x v="6"/>
    <n v="13.699999999999996"/>
    <n v="3"/>
    <s v="Cuart"/>
    <s v="25ff81df-b508-4258-b060-b0ab7bec6a3f"/>
    <n v="0"/>
    <s v="0:Francisco Hidalgo"/>
    <s v="0:Fran"/>
    <s v=""/>
    <s v=""/>
    <m/>
    <s v="44178:Francisco Hidalgo"/>
    <n v="2"/>
  </r>
  <r>
    <x v="27"/>
    <x v="7"/>
    <n v="18.600000000000001"/>
    <n v="4"/>
    <s v="Fed"/>
    <s v="ea4aa15a-7f7f-410b-9d60-49806f5634ea"/>
    <n v="0"/>
    <s v="0:GLEZ JUAN JOSÉ"/>
    <s v="0:Juanjo"/>
    <s v=""/>
    <s v=""/>
    <m/>
    <s v="44178:GLEZ JUAN JOSÉ"/>
    <n v="2"/>
  </r>
  <r>
    <x v="27"/>
    <x v="7"/>
    <n v="17.5"/>
    <n v="3"/>
    <s v="Cuart"/>
    <s v="dfa4b8f2-b86b-45d3-8800-2a21921ddebf"/>
    <n v="0"/>
    <s v="0:GLEZ JUAN JOSÉ"/>
    <s v="0:Juanjo"/>
    <s v=""/>
    <s v=""/>
    <m/>
    <s v="44178:GLEZ JUAN JOSÉ"/>
    <n v="2"/>
  </r>
  <r>
    <x v="27"/>
    <x v="8"/>
    <n v="5.9"/>
    <n v="2"/>
    <s v="Fed"/>
    <s v="ab29be26-c902-4c3f-a290-b34c814962d9"/>
    <n v="0"/>
    <s v="0:Ignacio Cadarso"/>
    <s v="0:Ignacio"/>
    <s v=""/>
    <s v=""/>
    <m/>
    <s v="44178:Ignacio Cadarso"/>
    <n v="2"/>
  </r>
  <r>
    <x v="27"/>
    <x v="8"/>
    <n v="5.099999999999997"/>
    <n v="2"/>
    <s v="Cuart"/>
    <s v="bf6ba657-ecbb-4614-a406-553bc8ab713b"/>
    <n v="0"/>
    <s v="0:Ignacio Cadarso"/>
    <s v="0:Ignacio"/>
    <s v=""/>
    <s v=""/>
    <m/>
    <s v="44178:Ignacio Cadarso"/>
    <n v="2"/>
  </r>
  <r>
    <x v="27"/>
    <x v="10"/>
    <n v="19.8"/>
    <n v="4"/>
    <s v="Fed"/>
    <s v="b2f1c978-b4f9-4e02-aa59-36e90bb8799b"/>
    <n v="0"/>
    <s v="0:J. Enrique Gonzalez"/>
    <s v="0:Kike"/>
    <s v=""/>
    <s v=""/>
    <m/>
    <s v="44178:J. Enrique Gonzalez"/>
    <n v="2"/>
  </r>
  <r>
    <x v="27"/>
    <x v="10"/>
    <n v="18.100000000000001"/>
    <n v="3"/>
    <s v="Cuart"/>
    <s v="12be7538-59c6-4f60-a1d5-d2515acf1ea5"/>
    <n v="0"/>
    <s v="0:J. Enrique Gonzalez"/>
    <s v="0:Kike"/>
    <s v=""/>
    <s v=""/>
    <m/>
    <s v="44178:J. Enrique Gonzalez"/>
    <n v="2"/>
  </r>
  <r>
    <x v="27"/>
    <x v="11"/>
    <n v="15.1"/>
    <n v="3"/>
    <s v="Fed"/>
    <s v="de4263d4-9de7-470d-947e-6caa09a8bba0"/>
    <n v="0"/>
    <s v="0:Javier Cervera"/>
    <s v="0:Virus"/>
    <s v=""/>
    <s v=""/>
    <m/>
    <s v="44178:Javier Cervera"/>
    <n v="2"/>
  </r>
  <r>
    <x v="27"/>
    <x v="11"/>
    <n v="13.999999999999995"/>
    <n v="3"/>
    <s v="Cuart"/>
    <s v="2424174b-3840-441e-b093-9849cc732492"/>
    <n v="0"/>
    <s v="0:Javier Cervera"/>
    <s v="0:Virus"/>
    <s v=""/>
    <s v=""/>
    <m/>
    <s v="44178:Javier Cervera"/>
    <n v="2"/>
  </r>
  <r>
    <x v="27"/>
    <x v="12"/>
    <n v="15.3"/>
    <n v="3"/>
    <s v="Fed"/>
    <s v="33fcaa3a-5d55-4b41-b43c-06ade9b4d71f"/>
    <n v="0"/>
    <s v="0:Javier Gonzalez Salvador"/>
    <s v="0:Javi"/>
    <s v=""/>
    <s v=""/>
    <m/>
    <s v="44178:Javier Gonzalez Salvador"/>
    <n v="2"/>
  </r>
  <r>
    <x v="27"/>
    <x v="12"/>
    <n v="11.099999999999996"/>
    <n v="2"/>
    <s v="Cuart"/>
    <s v="069498aa-ca60-4e34-994e-b4323c152ac2"/>
    <n v="0"/>
    <s v="0:Javier Gonzalez Salvador"/>
    <s v="0:Javi"/>
    <s v=""/>
    <s v=""/>
    <m/>
    <s v="44178:Javier Gonzalez Salvador"/>
    <n v="2"/>
  </r>
  <r>
    <x v="27"/>
    <x v="13"/>
    <n v="22.6"/>
    <n v="4"/>
    <s v="Fed"/>
    <s v="5649bd91-6874-4a05-b957-732c5ec63094"/>
    <n v="0"/>
    <s v="0:Jesus Touceda"/>
    <s v="0:Jesús"/>
    <s v=""/>
    <s v=""/>
    <m/>
    <s v="44178:Jesus Touceda"/>
    <n v="2"/>
  </r>
  <r>
    <x v="27"/>
    <x v="13"/>
    <n v="21.600000000000005"/>
    <n v="4"/>
    <s v="Cuart"/>
    <s v="f4b6fcb9-11fa-4598-84b9-6036ec6af044"/>
    <n v="0"/>
    <s v="0:Jesus Touceda"/>
    <s v="0:Jesús"/>
    <s v=""/>
    <s v=""/>
    <m/>
    <s v="44178:Jesus Touceda"/>
    <n v="2"/>
  </r>
  <r>
    <x v="27"/>
    <x v="14"/>
    <n v="6.9"/>
    <n v="2"/>
    <s v="Fed"/>
    <s v="ce9cc9d7-d7a0-49ca-84f3-e1d0328cb96d"/>
    <n v="0"/>
    <s v="0:José Pablo Guil"/>
    <s v="0:JP"/>
    <s v=""/>
    <s v=""/>
    <m/>
    <s v="44178:José Pablo Guil"/>
    <n v="2"/>
  </r>
  <r>
    <x v="27"/>
    <x v="14"/>
    <n v="5.7999999999999954"/>
    <n v="2"/>
    <s v="Cuart"/>
    <s v="8c262fec-9c67-40c1-acf6-fc68e42df07c"/>
    <n v="0"/>
    <s v="0:José Pablo Guil"/>
    <s v="0:JP"/>
    <s v=""/>
    <s v=""/>
    <m/>
    <s v="44178:José Pablo Guil"/>
    <n v="2"/>
  </r>
  <r>
    <x v="27"/>
    <x v="15"/>
    <n v="18.3"/>
    <n v="3"/>
    <s v="Fed"/>
    <s v="ce3d53d9-3754-42ac-9964-51d1afac8e9e"/>
    <n v="0"/>
    <s v="0:Luis Escudero"/>
    <s v="0:Lucho"/>
    <s v=""/>
    <s v=""/>
    <m/>
    <s v="44178:Luis Escudero"/>
    <n v="2"/>
  </r>
  <r>
    <x v="27"/>
    <x v="15"/>
    <n v="17.099999999999998"/>
    <n v="3"/>
    <s v="Cuart"/>
    <s v="4b3c8e7f-3175-4be5-9fb7-0d2bebce47a7"/>
    <n v="0"/>
    <s v="0:Luis Escudero"/>
    <s v="0:Lucho"/>
    <s v=""/>
    <s v=""/>
    <m/>
    <s v="44178:Luis Escudero"/>
    <n v="2"/>
  </r>
  <r>
    <x v="27"/>
    <x v="19"/>
    <n v="0.4"/>
    <n v="1"/>
    <s v="Fed"/>
    <s v="ed6753c0-26cb-430c-bc1f-9c854a9223b4"/>
    <n v="0"/>
    <s v="0:Miguel Diaz Del Moral"/>
    <s v="0:Cañita"/>
    <s v=""/>
    <s v=""/>
    <m/>
    <s v="44178:Miguel Diaz Del Moral"/>
    <n v="1"/>
  </r>
  <r>
    <x v="27"/>
    <x v="16"/>
    <n v="6.1"/>
    <n v="2"/>
    <s v="Fed"/>
    <s v="b0b57e95-55f8-4772-9f16-5cb27305ca9f"/>
    <n v="0"/>
    <s v="0:Nacho Gonzalez"/>
    <s v="0:Nacho"/>
    <s v=""/>
    <s v=""/>
    <m/>
    <s v="44178:Nacho Gonzalez"/>
    <n v="2"/>
  </r>
  <r>
    <x v="27"/>
    <x v="16"/>
    <n v="4.5999999999999988"/>
    <n v="1"/>
    <s v="Cuart"/>
    <s v="5e22e338-e1f0-4b2e-bbe7-08056f61e183"/>
    <n v="0"/>
    <s v="0:Nacho Gonzalez"/>
    <s v="0:Nacho"/>
    <s v=""/>
    <s v=""/>
    <m/>
    <s v="44178:Nacho Gonzalez"/>
    <n v="2"/>
  </r>
  <r>
    <x v="27"/>
    <x v="17"/>
    <n v="13.7"/>
    <n v="3"/>
    <s v="Fed"/>
    <s v="07a2f991-f5e1-4f80-844c-9303a8655284"/>
    <n v="0"/>
    <s v="0:Pablo Munitiz"/>
    <s v="0:Muni"/>
    <s v=""/>
    <s v=""/>
    <m/>
    <s v="44178:Pablo Munitiz"/>
    <n v="2"/>
  </r>
  <r>
    <x v="27"/>
    <x v="17"/>
    <n v="13.6"/>
    <n v="3"/>
    <s v="Cuart"/>
    <s v="84390ea9-e4e6-47e8-952b-c9e1b66aea44"/>
    <n v="0"/>
    <s v="0:Pablo Munitiz"/>
    <s v="0:Muni"/>
    <s v=""/>
    <s v=""/>
    <m/>
    <s v="44178:Pablo Munitiz"/>
    <n v="2"/>
  </r>
  <r>
    <x v="28"/>
    <x v="0"/>
    <n v="9.3000000000000007"/>
    <n v="2"/>
    <s v="Fed"/>
    <s v="eddcc6ec-7ac9-4edf-9803-39df07982076"/>
    <n v="0"/>
    <s v="0:Alfonso Hidalgo"/>
    <s v="0:Alfonso"/>
    <s v=""/>
    <s v=""/>
    <m/>
    <s v="44185:Alfonso Hidalgo"/>
    <n v="2"/>
  </r>
  <r>
    <x v="28"/>
    <x v="0"/>
    <n v="8.3000000000000025"/>
    <n v="2"/>
    <s v="Cuart"/>
    <s v="823d5a54-885c-4cbf-b92e-c8640e265fac"/>
    <n v="0"/>
    <s v="0:Alfonso Hidalgo"/>
    <s v="0:Alfonso"/>
    <s v=""/>
    <s v=""/>
    <m/>
    <s v="44185:Alfonso Hidalgo"/>
    <n v="2"/>
  </r>
  <r>
    <x v="28"/>
    <x v="1"/>
    <n v="6.4"/>
    <n v="2"/>
    <s v="Fed"/>
    <s v="44baf3fc-65be-4759-82f2-38130cd65869"/>
    <n v="0"/>
    <s v="0:Alvaro Aguirre"/>
    <s v="0:Gifu"/>
    <s v=""/>
    <s v=""/>
    <m/>
    <s v="44185:Alvaro Aguirre"/>
    <n v="2"/>
  </r>
  <r>
    <x v="28"/>
    <x v="1"/>
    <n v="5.099999999999997"/>
    <n v="2"/>
    <s v="Cuart"/>
    <s v="410a12ec-4822-4e21-aa2a-400cf645e3a9"/>
    <n v="0"/>
    <s v="0:Alvaro Aguirre"/>
    <s v="0:Gifu"/>
    <s v=""/>
    <s v=""/>
    <m/>
    <s v="44185:Alvaro Aguirre"/>
    <n v="2"/>
  </r>
  <r>
    <x v="28"/>
    <x v="2"/>
    <n v="14"/>
    <n v="3"/>
    <s v="Fed"/>
    <s v="3d0f9b33-0165-4928-994f-f509129de49b"/>
    <n v="0"/>
    <s v="0:Alvaro Nieto"/>
    <s v="0:Alvaro"/>
    <s v=""/>
    <s v=""/>
    <m/>
    <s v="44185:Alvaro Nieto"/>
    <n v="2"/>
  </r>
  <r>
    <x v="28"/>
    <x v="2"/>
    <n v="13.399999999999999"/>
    <n v="3"/>
    <s v="Cuart"/>
    <s v="d268e352-a219-4916-bb7c-3518ca2c4dc8"/>
    <n v="0"/>
    <s v="0:Alvaro Nieto"/>
    <s v="0:Alvaro"/>
    <s v=""/>
    <s v=""/>
    <m/>
    <s v="44185:Alvaro Nieto"/>
    <n v="2"/>
  </r>
  <r>
    <x v="28"/>
    <x v="3"/>
    <n v="7.6"/>
    <n v="2"/>
    <s v="Fed"/>
    <s v="0189d148-2c07-4775-acfa-9f0128417377"/>
    <n v="0"/>
    <s v="0:Angel Hernandez"/>
    <s v="0:Angel"/>
    <s v=""/>
    <s v=""/>
    <m/>
    <s v="44185:Angel Hernandez"/>
    <n v="2"/>
  </r>
  <r>
    <x v="28"/>
    <x v="3"/>
    <n v="6.7999999999999927"/>
    <n v="2"/>
    <s v="Cuart"/>
    <s v="4821f181-dcd3-4e30-be71-4172054c8b75"/>
    <n v="0"/>
    <s v="0:Angel Hernandez"/>
    <s v="0:Angel"/>
    <s v=""/>
    <s v=""/>
    <m/>
    <s v="44185:Angel Hernandez"/>
    <n v="2"/>
  </r>
  <r>
    <x v="28"/>
    <x v="4"/>
    <n v="11.2"/>
    <n v="2"/>
    <s v="Fed"/>
    <s v="1fbabd78-0572-40fa-b861-c09b420b2e7e"/>
    <n v="0"/>
    <s v="0:David Sequera"/>
    <s v="0:David"/>
    <s v=""/>
    <s v=""/>
    <m/>
    <s v="44185:David Sequera"/>
    <n v="2"/>
  </r>
  <r>
    <x v="28"/>
    <x v="4"/>
    <n v="10.799999999999997"/>
    <n v="2"/>
    <s v="Cuart"/>
    <s v="6ccedfe0-788f-43bf-bc03-329bdb35e568"/>
    <n v="0"/>
    <s v="0:David Sequera"/>
    <s v="0:David"/>
    <s v=""/>
    <s v=""/>
    <m/>
    <s v="44185:David Sequera"/>
    <n v="2"/>
  </r>
  <r>
    <x v="28"/>
    <x v="5"/>
    <n v="16.2"/>
    <n v="3"/>
    <s v="Fed"/>
    <s v="0d790584-ebad-484d-a194-d04221f1217e"/>
    <n v="0"/>
    <s v="0:Francisco Alvarez"/>
    <s v="0:Paco"/>
    <s v=""/>
    <s v=""/>
    <m/>
    <s v="44185:Francisco Alvarez"/>
    <n v="2"/>
  </r>
  <r>
    <x v="28"/>
    <x v="5"/>
    <n v="14.299999999999999"/>
    <n v="3"/>
    <s v="Cuart"/>
    <s v="342c97bf-351f-4c19-8241-4fc51d22a782"/>
    <n v="0"/>
    <s v="0:Francisco Alvarez"/>
    <s v="0:Paco"/>
    <s v=""/>
    <s v=""/>
    <m/>
    <s v="44185:Francisco Alvarez"/>
    <n v="2"/>
  </r>
  <r>
    <x v="28"/>
    <x v="6"/>
    <n v="14.3"/>
    <n v="3"/>
    <s v="Fed"/>
    <s v="dc092d66-28e8-45d7-96f0-ab938550ed4e"/>
    <n v="0"/>
    <s v="0:Francisco Hidalgo"/>
    <s v="0:Fran"/>
    <s v=""/>
    <s v=""/>
    <m/>
    <s v="44185:Francisco Hidalgo"/>
    <n v="2"/>
  </r>
  <r>
    <x v="28"/>
    <x v="6"/>
    <n v="13.699999999999996"/>
    <n v="3"/>
    <s v="Cuart"/>
    <s v="c5d1c187-48b0-43f0-8352-5bb793c5aa72"/>
    <n v="0"/>
    <s v="0:Francisco Hidalgo"/>
    <s v="0:Fran"/>
    <s v=""/>
    <s v=""/>
    <m/>
    <s v="44185:Francisco Hidalgo"/>
    <n v="2"/>
  </r>
  <r>
    <x v="28"/>
    <x v="7"/>
    <n v="18.8"/>
    <n v="4"/>
    <s v="Fed"/>
    <s v="68a7ac40-2e35-4b0d-af8f-75e9244451f6"/>
    <n v="0"/>
    <s v="0:GLEZ JUAN JOSÉ"/>
    <s v="0:Juanjo"/>
    <s v=""/>
    <s v=""/>
    <m/>
    <s v="44185:GLEZ JUAN JOSÉ"/>
    <n v="2"/>
  </r>
  <r>
    <x v="28"/>
    <x v="7"/>
    <n v="17.600000000000001"/>
    <n v="3"/>
    <s v="Cuart"/>
    <s v="0da0e4ef-cd5b-494c-9967-cee3a66db6cf"/>
    <n v="0"/>
    <s v="0:GLEZ JUAN JOSÉ"/>
    <s v="0:Juanjo"/>
    <s v=""/>
    <s v=""/>
    <m/>
    <s v="44185:GLEZ JUAN JOSÉ"/>
    <n v="2"/>
  </r>
  <r>
    <x v="28"/>
    <x v="8"/>
    <n v="5.9"/>
    <n v="2"/>
    <s v="Fed"/>
    <s v="d32a669a-ca9b-4470-b2f1-fc016ae2bf08"/>
    <n v="0"/>
    <s v="0:Ignacio Cadarso"/>
    <s v="0:Ignacio"/>
    <s v=""/>
    <s v=""/>
    <m/>
    <s v="44185:Ignacio Cadarso"/>
    <n v="2"/>
  </r>
  <r>
    <x v="28"/>
    <x v="8"/>
    <n v="5.1999999999999966"/>
    <n v="2"/>
    <s v="Cuart"/>
    <s v="855f151d-6cb4-4560-8fb5-5930f9831999"/>
    <n v="0"/>
    <s v="0:Ignacio Cadarso"/>
    <s v="0:Ignacio"/>
    <s v=""/>
    <s v=""/>
    <m/>
    <s v="44185:Ignacio Cadarso"/>
    <n v="2"/>
  </r>
  <r>
    <x v="28"/>
    <x v="10"/>
    <n v="19.5"/>
    <n v="4"/>
    <s v="Fed"/>
    <s v="b54ac271-03f7-4c15-84ef-d28209da8e2e"/>
    <n v="0"/>
    <s v="0:J. Enrique Gonzalez"/>
    <s v="0:Kike"/>
    <s v=""/>
    <s v=""/>
    <m/>
    <s v="44185:J. Enrique Gonzalez"/>
    <n v="2"/>
  </r>
  <r>
    <x v="28"/>
    <x v="10"/>
    <n v="18.100000000000001"/>
    <n v="3"/>
    <s v="Cuart"/>
    <s v="b6ee3e21-034a-49e3-9fe2-3ae5087f7612"/>
    <n v="0"/>
    <s v="0:J. Enrique Gonzalez"/>
    <s v="0:Kike"/>
    <s v=""/>
    <s v=""/>
    <m/>
    <s v="44185:J. Enrique Gonzalez"/>
    <n v="2"/>
  </r>
  <r>
    <x v="28"/>
    <x v="11"/>
    <n v="15.1"/>
    <n v="3"/>
    <s v="Fed"/>
    <s v="02f436df-d915-4cfd-bdd7-b6db38826c1c"/>
    <n v="0"/>
    <s v="0:Javier Cervera"/>
    <s v="0:Virus"/>
    <s v=""/>
    <s v=""/>
    <m/>
    <s v="44185:Javier Cervera"/>
    <n v="2"/>
  </r>
  <r>
    <x v="28"/>
    <x v="11"/>
    <n v="14.099999999999994"/>
    <n v="3"/>
    <s v="Cuart"/>
    <s v="25b418d1-cff9-4d78-ae97-109b0d5bba2b"/>
    <n v="0"/>
    <s v="0:Javier Cervera"/>
    <s v="0:Virus"/>
    <s v=""/>
    <s v=""/>
    <m/>
    <s v="44185:Javier Cervera"/>
    <n v="2"/>
  </r>
  <r>
    <x v="28"/>
    <x v="12"/>
    <n v="15.3"/>
    <n v="3"/>
    <s v="Fed"/>
    <s v="cd7f2b34-10ee-4f2f-bfd0-2c988e621611"/>
    <n v="0"/>
    <s v="0:Javier Gonzalez Salvador"/>
    <s v="0:Javi"/>
    <s v=""/>
    <s v=""/>
    <m/>
    <s v="44185:Javier Gonzalez Salvador"/>
    <n v="2"/>
  </r>
  <r>
    <x v="28"/>
    <x v="12"/>
    <n v="11.199999999999996"/>
    <n v="2"/>
    <s v="Cuart"/>
    <s v="c5858006-93e2-474a-9ee7-9ee769bd3cc3"/>
    <n v="0"/>
    <s v="0:Javier Gonzalez Salvador"/>
    <s v="0:Javi"/>
    <s v=""/>
    <s v=""/>
    <m/>
    <s v="44185:Javier Gonzalez Salvador"/>
    <n v="2"/>
  </r>
  <r>
    <x v="28"/>
    <x v="13"/>
    <n v="22.6"/>
    <n v="4"/>
    <s v="Fed"/>
    <s v="423bd7da-d4a7-4765-a37a-e1f9cde4599e"/>
    <n v="0"/>
    <s v="0:Jesus Touceda"/>
    <s v="0:Jesús"/>
    <s v=""/>
    <s v=""/>
    <m/>
    <s v="44185:Jesus Touceda"/>
    <n v="2"/>
  </r>
  <r>
    <x v="28"/>
    <x v="13"/>
    <n v="21.700000000000006"/>
    <n v="4"/>
    <s v="Cuart"/>
    <s v="8e2a6575-8fad-4fe4-abb3-9bf8f75515fa"/>
    <n v="0"/>
    <s v="0:Jesus Touceda"/>
    <s v="0:Jesús"/>
    <s v=""/>
    <s v=""/>
    <m/>
    <s v="44185:Jesus Touceda"/>
    <n v="2"/>
  </r>
  <r>
    <x v="28"/>
    <x v="14"/>
    <n v="6.5"/>
    <n v="2"/>
    <s v="Fed"/>
    <s v="c7f739f6-3ab1-4898-b85b-f631bd2913ed"/>
    <n v="0"/>
    <s v="0:José Pablo Guil"/>
    <s v="0:JP"/>
    <s v=""/>
    <s v=""/>
    <m/>
    <s v="44185:José Pablo Guil"/>
    <n v="2"/>
  </r>
  <r>
    <x v="28"/>
    <x v="14"/>
    <n v="5.7999999999999954"/>
    <n v="2"/>
    <s v="Cuart"/>
    <s v="107978c7-9c73-4709-930c-548d1db98f5c"/>
    <n v="0"/>
    <s v="0:José Pablo Guil"/>
    <s v="0:JP"/>
    <s v=""/>
    <s v=""/>
    <m/>
    <s v="44185:José Pablo Guil"/>
    <n v="2"/>
  </r>
  <r>
    <x v="28"/>
    <x v="15"/>
    <n v="18.3"/>
    <n v="3"/>
    <s v="Fed"/>
    <s v="e54be956-196c-48c7-9732-a346c8ec6334"/>
    <n v="0"/>
    <s v="0:Luis Escudero"/>
    <s v="0:Lucho"/>
    <s v=""/>
    <s v=""/>
    <m/>
    <s v="44185:Luis Escudero"/>
    <n v="2"/>
  </r>
  <r>
    <x v="28"/>
    <x v="15"/>
    <n v="17.099999999999998"/>
    <n v="3"/>
    <s v="Cuart"/>
    <s v="a1b4b28f-5cc2-4440-8ffd-3bc876da522c"/>
    <n v="0"/>
    <s v="0:Luis Escudero"/>
    <s v="0:Lucho"/>
    <s v=""/>
    <s v=""/>
    <m/>
    <s v="44185:Luis Escudero"/>
    <n v="2"/>
  </r>
  <r>
    <x v="28"/>
    <x v="19"/>
    <n v="0.4"/>
    <n v="1"/>
    <s v="Fed"/>
    <s v="94f85f69-f980-4e87-9513-2e6ec89d34bb"/>
    <n v="0"/>
    <s v="0:Miguel Diaz Del Moral"/>
    <s v="0:Cañita"/>
    <s v=""/>
    <s v=""/>
    <m/>
    <s v="44185:Miguel Diaz Del Moral"/>
    <n v="1"/>
  </r>
  <r>
    <x v="28"/>
    <x v="16"/>
    <n v="5.7"/>
    <n v="2"/>
    <s v="Fed"/>
    <s v="b65f956f-5f52-4853-92ee-c1bccc79930d"/>
    <n v="0"/>
    <s v="0:Nacho Gonzalez"/>
    <s v="0:Nacho"/>
    <s v=""/>
    <s v=""/>
    <m/>
    <s v="44185:Nacho Gonzalez"/>
    <n v="2"/>
  </r>
  <r>
    <x v="28"/>
    <x v="16"/>
    <n v="4.4999999999999991"/>
    <n v="1"/>
    <s v="Cuart"/>
    <s v="580d68a2-d847-4615-8d06-8e14922000cb"/>
    <n v="0"/>
    <s v="0:Nacho Gonzalez"/>
    <s v="0:Nacho"/>
    <s v=""/>
    <s v=""/>
    <m/>
    <s v="44185:Nacho Gonzalez"/>
    <n v="2"/>
  </r>
  <r>
    <x v="28"/>
    <x v="17"/>
    <n v="13.7"/>
    <n v="3"/>
    <s v="Fed"/>
    <s v="4b22f145-13e7-4201-95e1-8fc95203e5ed"/>
    <n v="0"/>
    <s v="0:Pablo Munitiz"/>
    <s v="0:Muni"/>
    <s v=""/>
    <s v=""/>
    <m/>
    <s v="44185:Pablo Munitiz"/>
    <n v="2"/>
  </r>
  <r>
    <x v="28"/>
    <x v="17"/>
    <n v="13.7"/>
    <n v="3"/>
    <s v="Cuart"/>
    <s v="35336ecb-92f4-4edf-92b7-40e7b08e2d46"/>
    <n v="0"/>
    <s v="0:Pablo Munitiz"/>
    <s v="0:Muni"/>
    <s v=""/>
    <s v=""/>
    <m/>
    <s v="44185:Pablo Munitiz"/>
    <n v="2"/>
  </r>
  <r>
    <x v="29"/>
    <x v="0"/>
    <n v="9.3000000000000007"/>
    <n v="2"/>
    <s v="Fed"/>
    <s v="0124e3f0-4e88-4a16-ad7d-416b522061d5"/>
    <n v="0"/>
    <s v="0:Alfonso Hidalgo"/>
    <s v="0:Alfonso"/>
    <s v=""/>
    <s v=""/>
    <m/>
    <s v="44241:Alfonso Hidalgo"/>
    <n v="1"/>
  </r>
  <r>
    <x v="29"/>
    <x v="1"/>
    <n v="6.4"/>
    <n v="2"/>
    <s v="Fed"/>
    <s v="86cc7e43-a74e-48be-be00-60b78644fb0a"/>
    <n v="0"/>
    <s v="0:Alvaro Aguirre"/>
    <s v="0:Gifu"/>
    <s v=""/>
    <s v=""/>
    <m/>
    <s v="44241:Alvaro Aguirre"/>
    <n v="1"/>
  </r>
  <r>
    <x v="29"/>
    <x v="2"/>
    <n v="14"/>
    <n v="3"/>
    <s v="Fed"/>
    <s v="0bed615d-1562-4d81-bfb0-9c89a65af178"/>
    <n v="0"/>
    <s v="0:Alvaro Nieto"/>
    <s v="0:Alvaro"/>
    <s v=""/>
    <s v=""/>
    <m/>
    <s v="44241:Alvaro Nieto"/>
    <n v="1"/>
  </r>
  <r>
    <x v="29"/>
    <x v="3"/>
    <n v="7.6"/>
    <n v="2"/>
    <s v="Fed"/>
    <s v="8b573613-429d-457d-9416-96971a55b38d"/>
    <n v="0"/>
    <s v="0:Angel Hernandez"/>
    <s v="0:Angel"/>
    <s v=""/>
    <s v=""/>
    <m/>
    <s v="44241:Angel Hernandez"/>
    <n v="1"/>
  </r>
  <r>
    <x v="29"/>
    <x v="4"/>
    <n v="11.2"/>
    <n v="2"/>
    <s v="Fed"/>
    <s v="0f60b4a3-6b2f-4c5b-8993-a7214976e011"/>
    <n v="0"/>
    <s v="0:David Sequera"/>
    <s v="0:David"/>
    <s v=""/>
    <s v=""/>
    <m/>
    <s v="44241:David Sequera"/>
    <n v="1"/>
  </r>
  <r>
    <x v="29"/>
    <x v="5"/>
    <n v="16.2"/>
    <n v="3"/>
    <s v="Fed"/>
    <s v="90fa20aa-107c-4cd8-a309-5718c44a4bcc"/>
    <n v="0"/>
    <s v="0:Francisco Alvarez"/>
    <s v="0:Paco"/>
    <s v=""/>
    <s v=""/>
    <m/>
    <s v="44241:Francisco Alvarez"/>
    <n v="1"/>
  </r>
  <r>
    <x v="29"/>
    <x v="6"/>
    <n v="14.3"/>
    <n v="3"/>
    <s v="Fed"/>
    <s v="e0970441-e0fd-4b64-9255-cb19c80ccb99"/>
    <n v="0"/>
    <s v="0:Francisco Hidalgo"/>
    <s v="0:Fran"/>
    <s v=""/>
    <s v=""/>
    <m/>
    <s v="44241:Francisco Hidalgo"/>
    <n v="1"/>
  </r>
  <r>
    <x v="29"/>
    <x v="7"/>
    <n v="18.8"/>
    <n v="4"/>
    <s v="Fed"/>
    <s v="43ed9313-ceaa-4516-8388-833730f85383"/>
    <n v="0"/>
    <s v="0:GLEZ JUAN JOSÉ"/>
    <s v="0:Juanjo"/>
    <s v=""/>
    <s v=""/>
    <m/>
    <s v="44241:GLEZ JUAN JOSÉ"/>
    <n v="1"/>
  </r>
  <r>
    <x v="29"/>
    <x v="8"/>
    <n v="5.9"/>
    <n v="2"/>
    <s v="Fed"/>
    <s v="9662f7bb-38f5-4bc0-82fb-32d792844efe"/>
    <n v="0"/>
    <s v="0:Ignacio Cadarso"/>
    <s v="0:Ignacio"/>
    <s v=""/>
    <s v=""/>
    <m/>
    <s v="44241:Ignacio Cadarso"/>
    <n v="1"/>
  </r>
  <r>
    <x v="29"/>
    <x v="10"/>
    <n v="19.5"/>
    <n v="4"/>
    <s v="Fed"/>
    <s v="81dfaf8d-0f6c-44bf-9a4c-ccdc3262a3d1"/>
    <n v="0"/>
    <s v="0:J. Enrique Gonzalez"/>
    <s v="0:Kike"/>
    <s v=""/>
    <s v=""/>
    <m/>
    <s v="44241:J. Enrique Gonzalez"/>
    <n v="1"/>
  </r>
  <r>
    <x v="29"/>
    <x v="11"/>
    <n v="15.1"/>
    <n v="3"/>
    <s v="Fed"/>
    <s v="0303fcf3-c597-4c3b-8344-e081b7245996"/>
    <n v="0"/>
    <s v="0:Javier Cervera"/>
    <s v="0:Virus"/>
    <s v=""/>
    <s v=""/>
    <m/>
    <s v="44241:Javier Cervera"/>
    <n v="1"/>
  </r>
  <r>
    <x v="29"/>
    <x v="12"/>
    <n v="15.3"/>
    <n v="3"/>
    <s v="Fed"/>
    <s v="c290de31-8bee-41f3-a46b-0b2de3e465df"/>
    <n v="0"/>
    <s v="0:Javier Gonzalez Salvador"/>
    <s v="0:Javi"/>
    <s v=""/>
    <s v=""/>
    <m/>
    <s v="44241:Javier Gonzalez Salvador"/>
    <n v="1"/>
  </r>
  <r>
    <x v="29"/>
    <x v="13"/>
    <n v="22.6"/>
    <n v="4"/>
    <s v="Fed"/>
    <s v="62f433a3-1dd2-48a3-a6f1-33dc00ff69cf"/>
    <n v="0"/>
    <s v="0:Jesus Touceda"/>
    <s v="0:Jesús"/>
    <s v=""/>
    <s v=""/>
    <m/>
    <s v="44241:Jesus Touceda"/>
    <n v="1"/>
  </r>
  <r>
    <x v="29"/>
    <x v="14"/>
    <n v="6.5"/>
    <n v="2"/>
    <s v="Fed"/>
    <s v="3119a1ec-32cf-47fb-a64b-8471d94011d0"/>
    <n v="0"/>
    <s v="0:José Pablo Guil"/>
    <s v="0:JP"/>
    <s v=""/>
    <s v=""/>
    <m/>
    <s v="44241:José Pablo Guil"/>
    <n v="1"/>
  </r>
  <r>
    <x v="29"/>
    <x v="15"/>
    <n v="18.3"/>
    <n v="3"/>
    <s v="Fed"/>
    <s v="ebd2e856-b52b-4625-bf69-dd456be2ab02"/>
    <n v="0"/>
    <s v="0:Luis Escudero"/>
    <s v="0:Lucho"/>
    <s v=""/>
    <s v=""/>
    <m/>
    <s v="44241:Luis Escudero"/>
    <n v="1"/>
  </r>
  <r>
    <x v="29"/>
    <x v="21"/>
    <n v="18.7"/>
    <n v="4"/>
    <s v="Fed"/>
    <s v="dce49388-1f72-485c-9049-39a9d322c98c"/>
    <n v="0"/>
    <s v="0:Miche Lopez"/>
    <s v="0:Miche"/>
    <s v=""/>
    <s v=""/>
    <m/>
    <s v="44241:Miche Lopez"/>
    <n v="1"/>
  </r>
  <r>
    <x v="29"/>
    <x v="19"/>
    <n v="0.5"/>
    <n v="1"/>
    <s v="Fed"/>
    <s v="b0bd556c-b8e8-4636-bb12-7ecaf1eccd75"/>
    <n v="0"/>
    <s v="0:Miguel Diaz Del Moral"/>
    <s v="0:Cañita"/>
    <s v=""/>
    <s v=""/>
    <m/>
    <s v="44241:Miguel Diaz Del Moral"/>
    <n v="1"/>
  </r>
  <r>
    <x v="29"/>
    <x v="16"/>
    <n v="5.7"/>
    <n v="2"/>
    <s v="Fed"/>
    <s v="64ed6799-92a6-48c1-b0d8-c0a24ba1e446"/>
    <n v="0"/>
    <s v="0:Nacho Gonzalez"/>
    <s v="0:Nacho"/>
    <s v=""/>
    <s v=""/>
    <m/>
    <s v="44241:Nacho Gonzalez"/>
    <n v="1"/>
  </r>
  <r>
    <x v="29"/>
    <x v="17"/>
    <n v="13.7"/>
    <n v="3"/>
    <s v="Fed"/>
    <s v="44de25ef-ae6a-4393-9627-d58c44c0af46"/>
    <n v="0"/>
    <s v="0:Pablo Munitiz"/>
    <s v="0:Muni"/>
    <s v=""/>
    <s v=""/>
    <m/>
    <s v="44241:Pablo Munitiz"/>
    <n v="1"/>
  </r>
  <r>
    <x v="30"/>
    <x v="0"/>
    <n v="9.3000000000000007"/>
    <n v="2"/>
    <s v="Fed"/>
    <s v="2fca7f52-8255-49db-a6c1-17e8b8079985"/>
    <n v="0"/>
    <s v="0:Alfonso Hidalgo"/>
    <s v="0:Alfonso"/>
    <s v=""/>
    <s v=""/>
    <m/>
    <s v="44255:Alfonso Hidalgo"/>
    <n v="1"/>
  </r>
  <r>
    <x v="30"/>
    <x v="1"/>
    <n v="6.2"/>
    <n v="2"/>
    <s v="Fed"/>
    <s v="ad04f76c-a60d-41a1-8bce-422ad558dd81"/>
    <n v="0"/>
    <s v="0:Alvaro Aguirre"/>
    <s v="0:Gifu"/>
    <s v=""/>
    <s v=""/>
    <m/>
    <s v="44255:Alvaro Aguirre"/>
    <n v="1"/>
  </r>
  <r>
    <x v="30"/>
    <x v="2"/>
    <n v="14"/>
    <n v="3"/>
    <s v="Fed"/>
    <s v="5c2e730a-3caf-4547-a58c-ef9dc516c0a2"/>
    <n v="0"/>
    <s v="0:Alvaro Nieto"/>
    <s v="0:Alvaro"/>
    <s v=""/>
    <s v=""/>
    <m/>
    <s v="44255:Alvaro Nieto"/>
    <n v="1"/>
  </r>
  <r>
    <x v="30"/>
    <x v="3"/>
    <n v="7.6"/>
    <n v="2"/>
    <s v="Fed"/>
    <s v="e11488e3-2d13-454c-be6e-b38f2161d3d5"/>
    <n v="0"/>
    <s v="0:Angel Hernandez"/>
    <s v="0:Angel"/>
    <s v=""/>
    <s v=""/>
    <m/>
    <s v="44255:Angel Hernandez"/>
    <n v="1"/>
  </r>
  <r>
    <x v="30"/>
    <x v="4"/>
    <n v="11.2"/>
    <n v="2"/>
    <s v="Fed"/>
    <s v="a42bd37a-c0e8-4275-a630-5b45e2b78cb0"/>
    <n v="0"/>
    <s v="0:David Sequera"/>
    <s v="0:David"/>
    <s v=""/>
    <s v=""/>
    <m/>
    <s v="44255:David Sequera"/>
    <n v="1"/>
  </r>
  <r>
    <x v="30"/>
    <x v="5"/>
    <n v="16.2"/>
    <n v="3"/>
    <s v="Fed"/>
    <s v="00f3c356-8eb0-4375-902a-ad85e141e101"/>
    <n v="0"/>
    <s v="0:Francisco Alvarez"/>
    <s v="0:Paco"/>
    <s v=""/>
    <s v=""/>
    <m/>
    <s v="44255:Francisco Alvarez"/>
    <n v="1"/>
  </r>
  <r>
    <x v="30"/>
    <x v="6"/>
    <n v="14.3"/>
    <n v="3"/>
    <s v="Fed"/>
    <s v="d62e87fd-a343-46b1-b138-bc5096e34c72"/>
    <n v="0"/>
    <s v="0:Francisco Hidalgo"/>
    <s v="0:Fran"/>
    <s v=""/>
    <s v=""/>
    <m/>
    <s v="44255:Francisco Hidalgo"/>
    <n v="1"/>
  </r>
  <r>
    <x v="30"/>
    <x v="7"/>
    <n v="18.8"/>
    <n v="4"/>
    <s v="Fed"/>
    <s v="663137bb-804d-4da3-948c-65788a2f7c2b"/>
    <n v="0"/>
    <s v="0:GLEZ JUAN JOSÉ"/>
    <s v="0:Juanjo"/>
    <s v=""/>
    <s v=""/>
    <m/>
    <s v="44255:GLEZ JUAN JOSÉ"/>
    <n v="1"/>
  </r>
  <r>
    <x v="30"/>
    <x v="8"/>
    <n v="5.9"/>
    <n v="2"/>
    <s v="Fed"/>
    <s v="15632d97-d6e3-4f49-80ef-9797a2e02450"/>
    <n v="0"/>
    <s v="0:Ignacio Cadarso"/>
    <s v="0:Ignacio"/>
    <s v=""/>
    <s v=""/>
    <m/>
    <s v="44255:Ignacio Cadarso"/>
    <n v="1"/>
  </r>
  <r>
    <x v="30"/>
    <x v="10"/>
    <n v="19.5"/>
    <n v="4"/>
    <s v="Fed"/>
    <s v="17cf476d-bac7-4ea7-af15-6649249c9445"/>
    <n v="0"/>
    <s v="0:J. Enrique Gonzalez"/>
    <s v="0:Kike"/>
    <s v=""/>
    <s v=""/>
    <m/>
    <s v="44255:J. Enrique Gonzalez"/>
    <n v="1"/>
  </r>
  <r>
    <x v="30"/>
    <x v="11"/>
    <n v="15.1"/>
    <n v="3"/>
    <s v="Fed"/>
    <s v="1d6e6186-f74f-4241-8015-9276ef717a04"/>
    <n v="0"/>
    <s v="0:Javier Cervera"/>
    <s v="0:Virus"/>
    <s v=""/>
    <s v=""/>
    <m/>
    <s v="44255:Javier Cervera"/>
    <n v="1"/>
  </r>
  <r>
    <x v="30"/>
    <x v="12"/>
    <n v="15.3"/>
    <n v="3"/>
    <s v="Fed"/>
    <s v="1edb27fa-2e5f-492f-9ee8-909e36d09ef2"/>
    <n v="0"/>
    <s v="0:Javier Gonzalez Salvador"/>
    <s v="0:Javi"/>
    <s v=""/>
    <s v=""/>
    <m/>
    <s v="44255:Javier Gonzalez Salvador"/>
    <n v="1"/>
  </r>
  <r>
    <x v="30"/>
    <x v="13"/>
    <n v="22.6"/>
    <n v="4"/>
    <s v="Fed"/>
    <s v="1849c72a-6168-4af3-b66a-54167905743e"/>
    <n v="0"/>
    <s v="0:Jesus Touceda"/>
    <s v="0:Jesús"/>
    <s v=""/>
    <s v=""/>
    <m/>
    <s v="44255:Jesus Touceda"/>
    <n v="1"/>
  </r>
  <r>
    <x v="30"/>
    <x v="14"/>
    <n v="6.5"/>
    <n v="2"/>
    <s v="Fed"/>
    <s v="5795aa52-df53-49ad-b09e-b33919f7c8af"/>
    <n v="0"/>
    <s v="0:José Pablo Guil"/>
    <s v="0:JP"/>
    <s v=""/>
    <s v=""/>
    <m/>
    <s v="44255:José Pablo Guil"/>
    <n v="1"/>
  </r>
  <r>
    <x v="30"/>
    <x v="15"/>
    <n v="18.3"/>
    <n v="3"/>
    <s v="Fed"/>
    <s v="5cb2cd58-694b-4682-ba2a-d7f2982e65a7"/>
    <n v="0"/>
    <s v="0:Luis Escudero"/>
    <s v="0:Lucho"/>
    <s v=""/>
    <s v=""/>
    <m/>
    <s v="44255:Luis Escudero"/>
    <n v="1"/>
  </r>
  <r>
    <x v="30"/>
    <x v="21"/>
    <n v="18.7"/>
    <n v="4"/>
    <s v="Fed"/>
    <s v="d06ea739-684a-478c-b943-345d3eaa3758"/>
    <n v="0"/>
    <s v="0:Miche Lopez"/>
    <s v="0:Miche"/>
    <s v=""/>
    <s v=""/>
    <m/>
    <s v="44255:Miche Lopez"/>
    <n v="1"/>
  </r>
  <r>
    <x v="30"/>
    <x v="19"/>
    <n v="0.7"/>
    <n v="1"/>
    <s v="Fed"/>
    <s v="b636c0d6-ce0f-4e04-a2cf-ab6ae5376943"/>
    <n v="0"/>
    <s v="0:Miguel Diaz Del Moral"/>
    <s v="0:Cañita"/>
    <s v=""/>
    <s v=""/>
    <m/>
    <s v="44255:Miguel Diaz Del Moral"/>
    <n v="1"/>
  </r>
  <r>
    <x v="30"/>
    <x v="16"/>
    <n v="5.7"/>
    <n v="2"/>
    <s v="Fed"/>
    <s v="7eb00878-b400-462a-9041-1f58bcad78be"/>
    <n v="0"/>
    <s v="0:Nacho Gonzalez"/>
    <s v="0:Nacho"/>
    <s v=""/>
    <s v=""/>
    <m/>
    <s v="44255:Nacho Gonzalez"/>
    <n v="1"/>
  </r>
  <r>
    <x v="30"/>
    <x v="17"/>
    <n v="13.7"/>
    <n v="3"/>
    <s v="Fed"/>
    <s v="418fea46-3750-4ec0-9641-4746d091beb8"/>
    <n v="0"/>
    <s v="0:Pablo Munitiz"/>
    <s v="0:Muni"/>
    <s v=""/>
    <s v=""/>
    <m/>
    <s v="44255:Pablo Munitiz"/>
    <n v="1"/>
  </r>
  <r>
    <x v="31"/>
    <x v="0"/>
    <n v="9.3000000000000007"/>
    <n v="2"/>
    <s v="Fed"/>
    <s v="531c1dfa-ac38-4814-bd73-a5ccf18ddbc4"/>
    <n v="0"/>
    <s v="0:Alfonso Hidalgo"/>
    <s v="0:Alfonso"/>
    <s v=""/>
    <s v=""/>
    <m/>
    <s v="44303:Alfonso Hidalgo"/>
    <n v="1"/>
  </r>
  <r>
    <x v="31"/>
    <x v="1"/>
    <n v="6.4"/>
    <n v="2"/>
    <s v="Fed"/>
    <s v="73f03a7d-a8b5-491c-b86b-d08ce1c6e66f"/>
    <n v="0"/>
    <s v="0:Alvaro Aguirre"/>
    <s v="0:Gifu"/>
    <s v=""/>
    <s v=""/>
    <m/>
    <s v="44303:Alvaro Aguirre"/>
    <n v="1"/>
  </r>
  <r>
    <x v="31"/>
    <x v="2"/>
    <n v="14.1"/>
    <n v="3"/>
    <s v="Fed"/>
    <s v="4334ac1a-a9cf-480a-9ba7-2123021e5678"/>
    <n v="0"/>
    <s v="0:Alvaro Nieto"/>
    <s v="0:Alvaro"/>
    <s v=""/>
    <s v=""/>
    <m/>
    <s v="44303:Alvaro Nieto"/>
    <n v="1"/>
  </r>
  <r>
    <x v="31"/>
    <x v="3"/>
    <n v="7.6"/>
    <n v="2"/>
    <s v="Fed"/>
    <s v="bcdb1d9d-17e6-4b6a-864e-7b8aeee6fb79"/>
    <n v="0"/>
    <s v="0:Angel Hernandez"/>
    <s v="0:Angel"/>
    <s v=""/>
    <s v=""/>
    <m/>
    <s v="44303:Angel Hernandez"/>
    <n v="1"/>
  </r>
  <r>
    <x v="31"/>
    <x v="4"/>
    <n v="12.2"/>
    <n v="3"/>
    <s v="Fed"/>
    <s v="eee09ac3-7b97-45f2-9842-85de75b664ab"/>
    <n v="0"/>
    <s v="0:David Sequera"/>
    <s v="0:David"/>
    <s v=""/>
    <s v=""/>
    <m/>
    <s v="44303:David Sequera"/>
    <n v="1"/>
  </r>
  <r>
    <x v="31"/>
    <x v="5"/>
    <n v="16.399999999999999"/>
    <n v="3"/>
    <s v="Fed"/>
    <s v="ead92836-1b86-45a6-8f02-fa288f9d1889"/>
    <n v="0"/>
    <s v="0:Francisco Alvarez"/>
    <s v="0:Paco"/>
    <s v=""/>
    <s v=""/>
    <m/>
    <s v="44303:Francisco Alvarez"/>
    <n v="1"/>
  </r>
  <r>
    <x v="31"/>
    <x v="6"/>
    <n v="13.7"/>
    <n v="3"/>
    <s v="Fed"/>
    <s v="dfe1584f-bbc5-4599-a7ca-4e3fe5900d97"/>
    <n v="0"/>
    <s v="0:Francisco Hidalgo"/>
    <s v="0:Fran"/>
    <s v=""/>
    <s v=""/>
    <m/>
    <s v="44303:Francisco Hidalgo"/>
    <n v="1"/>
  </r>
  <r>
    <x v="31"/>
    <x v="7"/>
    <n v="18.7"/>
    <n v="4"/>
    <s v="Fed"/>
    <s v="174021b6-5247-45ee-83d1-f461c8f90ef1"/>
    <n v="0"/>
    <s v="0:GLEZ JUAN JOSÉ"/>
    <s v="0:Juanjo"/>
    <s v=""/>
    <s v=""/>
    <m/>
    <s v="44303:GLEZ JUAN JOSÉ"/>
    <n v="1"/>
  </r>
  <r>
    <x v="31"/>
    <x v="8"/>
    <n v="6.5"/>
    <n v="2"/>
    <s v="Fed"/>
    <s v="7b9e47e4-21f4-4912-a799-bcb422770d80"/>
    <n v="0"/>
    <s v="0:Ignacio Cadarso"/>
    <s v="0:Ignacio"/>
    <s v=""/>
    <s v=""/>
    <m/>
    <s v="44303:Ignacio Cadarso"/>
    <n v="1"/>
  </r>
  <r>
    <x v="31"/>
    <x v="10"/>
    <n v="19.100000000000001"/>
    <n v="4"/>
    <s v="Fed"/>
    <s v="e9004155-de88-4098-aa1b-0e3fb11e2160"/>
    <n v="0"/>
    <s v="0:J. Enrique Gonzalez"/>
    <s v="0:Kike"/>
    <s v=""/>
    <s v=""/>
    <m/>
    <s v="44303:J. Enrique Gonzalez"/>
    <n v="1"/>
  </r>
  <r>
    <x v="31"/>
    <x v="11"/>
    <n v="15.1"/>
    <n v="3"/>
    <s v="Fed"/>
    <s v="2807571b-604c-4426-b503-3758364f7123"/>
    <n v="0"/>
    <s v="0:Javier Cervera"/>
    <s v="0:Virus"/>
    <s v=""/>
    <s v=""/>
    <m/>
    <s v="44303:Javier Cervera"/>
    <n v="1"/>
  </r>
  <r>
    <x v="31"/>
    <x v="12"/>
    <n v="15.7"/>
    <n v="3"/>
    <s v="Fed"/>
    <s v="810d3f24-5dc9-4804-913f-d6f4c33e091d"/>
    <n v="0"/>
    <s v="0:Javier Gonzalez Salvador"/>
    <s v="0:Javi"/>
    <s v=""/>
    <s v=""/>
    <m/>
    <s v="44303:Javier Gonzalez Salvador"/>
    <n v="1"/>
  </r>
  <r>
    <x v="31"/>
    <x v="13"/>
    <n v="22.6"/>
    <n v="4"/>
    <s v="Fed"/>
    <s v="e05c8ec5-e12b-4ffb-ab11-5a8c635fbb63"/>
    <n v="0"/>
    <s v="0:Jesus Touceda"/>
    <s v="0:Jesús"/>
    <s v=""/>
    <s v=""/>
    <m/>
    <s v="44303:Jesus Touceda"/>
    <n v="1"/>
  </r>
  <r>
    <x v="31"/>
    <x v="14"/>
    <n v="6.8"/>
    <n v="2"/>
    <s v="Fed"/>
    <s v="497974d2-1e76-40da-9c5e-23fac52243fd"/>
    <n v="0"/>
    <s v="0:José Pablo Guil"/>
    <s v="0:JP"/>
    <s v=""/>
    <s v=""/>
    <m/>
    <s v="44303:José Pablo Guil"/>
    <n v="1"/>
  </r>
  <r>
    <x v="31"/>
    <x v="15"/>
    <n v="18.3"/>
    <n v="3"/>
    <s v="Fed"/>
    <s v="ec99e45b-c376-4433-8561-7fc16baa935d"/>
    <n v="0"/>
    <s v="0:Luis Escudero"/>
    <s v="0:Lucho"/>
    <s v=""/>
    <s v=""/>
    <m/>
    <s v="44303:Luis Escudero"/>
    <n v="1"/>
  </r>
  <r>
    <x v="31"/>
    <x v="21"/>
    <n v="19.899999999999999"/>
    <n v="4"/>
    <s v="Fed"/>
    <s v="4988b366-d3e9-4926-9d58-442d74600f80"/>
    <n v="0"/>
    <s v="0:Miche Lopez"/>
    <s v="0:Miche"/>
    <s v=""/>
    <s v=""/>
    <m/>
    <s v="44303:Miche Lopez"/>
    <n v="1"/>
  </r>
  <r>
    <x v="31"/>
    <x v="19"/>
    <n v="1.1000000000000001"/>
    <n v="1"/>
    <s v="Fed"/>
    <s v="3a48a802-d19f-4893-963a-c49870f5626f"/>
    <n v="0"/>
    <s v="0:Miguel Diaz Del Moral"/>
    <s v="0:Cañita"/>
    <s v=""/>
    <s v=""/>
    <m/>
    <s v="44303:Miguel Diaz Del Moral"/>
    <n v="1"/>
  </r>
  <r>
    <x v="31"/>
    <x v="16"/>
    <n v="5.5"/>
    <n v="2"/>
    <s v="Fed"/>
    <s v="b072ff32-28d8-4841-aae8-3a18aaccea93"/>
    <n v="0"/>
    <s v="0:Nacho Gonzalez"/>
    <s v="0:Nacho"/>
    <s v=""/>
    <s v=""/>
    <m/>
    <s v="44303:Nacho Gonzalez"/>
    <n v="1"/>
  </r>
  <r>
    <x v="31"/>
    <x v="17"/>
    <n v="13.7"/>
    <n v="3"/>
    <s v="Fed"/>
    <s v="61fe3fef-42bb-44fa-8779-8f7f85c0532a"/>
    <n v="0"/>
    <s v="0:Pablo Munitiz"/>
    <s v="0:Muni"/>
    <s v=""/>
    <s v=""/>
    <m/>
    <s v="44303:Pablo Munitiz"/>
    <n v="1"/>
  </r>
  <r>
    <x v="32"/>
    <x v="0"/>
    <n v="9.3000000000000007"/>
    <n v="2"/>
    <s v="Fed"/>
    <s v="5aa9135c-8d1c-48be-9d8d-0f248d752ffe"/>
    <n v="0"/>
    <s v="0:Alfonso Hidalgo"/>
    <s v="0:Alfonso"/>
    <s v=""/>
    <s v=""/>
    <m/>
    <s v="44323:Alfonso Hidalgo"/>
    <n v="1"/>
  </r>
  <r>
    <x v="32"/>
    <x v="1"/>
    <n v="6.4"/>
    <n v="2"/>
    <s v="Fed"/>
    <s v="3fac0aca-651a-4252-b2cf-799c09754ce6"/>
    <n v="0"/>
    <s v="0:Alvaro Aguirre"/>
    <s v="0:Gifu"/>
    <s v=""/>
    <s v=""/>
    <m/>
    <s v="44323:Alvaro Aguirre"/>
    <n v="1"/>
  </r>
  <r>
    <x v="32"/>
    <x v="2"/>
    <n v="14.4"/>
    <n v="3"/>
    <s v="Fed"/>
    <s v="15f9a7e0-e52b-40ba-9345-dc0d33f16990"/>
    <n v="0"/>
    <s v="0:Alvaro Nieto"/>
    <s v="0:Alvaro"/>
    <s v=""/>
    <s v=""/>
    <m/>
    <s v="44323:Alvaro Nieto"/>
    <n v="1"/>
  </r>
  <r>
    <x v="32"/>
    <x v="3"/>
    <n v="7.6"/>
    <n v="2"/>
    <s v="Fed"/>
    <s v="e637878d-8026-435b-a7a4-bd53ec793c3e"/>
    <n v="0"/>
    <s v="0:Angel Hernandez"/>
    <s v="0:Angel"/>
    <s v=""/>
    <s v=""/>
    <m/>
    <s v="44323:Angel Hernandez"/>
    <n v="1"/>
  </r>
  <r>
    <x v="32"/>
    <x v="4"/>
    <n v="12.3"/>
    <n v="3"/>
    <s v="Fed"/>
    <s v="546ceaa3-8873-4cc1-938d-ae67fab47759"/>
    <n v="0"/>
    <s v="0:David Sequera"/>
    <s v="0:David"/>
    <s v=""/>
    <s v=""/>
    <m/>
    <s v="44323:David Sequera"/>
    <n v="1"/>
  </r>
  <r>
    <x v="32"/>
    <x v="5"/>
    <n v="16.399999999999999"/>
    <n v="3"/>
    <s v="Fed"/>
    <s v="89ee8ac9-4c84-43b0-aabb-505dc66f1588"/>
    <n v="0"/>
    <s v="0:Francisco Alvarez"/>
    <s v="0:Paco"/>
    <s v=""/>
    <s v=""/>
    <m/>
    <s v="44323:Francisco Alvarez"/>
    <n v="1"/>
  </r>
  <r>
    <x v="32"/>
    <x v="6"/>
    <n v="13.8"/>
    <n v="3"/>
    <s v="Fed"/>
    <s v="7451fbad-6fe6-409a-b597-023ad1aad3d8"/>
    <n v="0"/>
    <s v="0:Francisco Hidalgo"/>
    <s v="0:Fran"/>
    <s v=""/>
    <s v=""/>
    <m/>
    <s v="44323:Francisco Hidalgo"/>
    <n v="1"/>
  </r>
  <r>
    <x v="32"/>
    <x v="7"/>
    <n v="18.600000000000001"/>
    <n v="4"/>
    <s v="Fed"/>
    <s v="dbb597db-07d1-48a4-9ac1-b499c04296ad"/>
    <n v="0"/>
    <s v="0:GLEZ JUAN JOSÉ"/>
    <s v="0:Juanjo"/>
    <s v=""/>
    <s v=""/>
    <m/>
    <s v="44323:GLEZ JUAN JOSÉ"/>
    <n v="1"/>
  </r>
  <r>
    <x v="32"/>
    <x v="8"/>
    <n v="6.5"/>
    <n v="2"/>
    <s v="Fed"/>
    <s v="ff0c195b-dd28-4520-8f4d-5050769ff414"/>
    <n v="0"/>
    <s v="0:Ignacio Cadarso"/>
    <s v="0:Ignacio"/>
    <s v=""/>
    <s v=""/>
    <m/>
    <s v="44323:Ignacio Cadarso"/>
    <n v="1"/>
  </r>
  <r>
    <x v="32"/>
    <x v="10"/>
    <n v="18.8"/>
    <n v="4"/>
    <s v="Fed"/>
    <s v="c22cbe37-7d4a-4c69-8277-5fee80fd5a75"/>
    <n v="0"/>
    <s v="0:J. Enrique Gonzalez"/>
    <s v="0:Kike"/>
    <s v=""/>
    <s v=""/>
    <m/>
    <s v="44323:J. Enrique Gonzalez"/>
    <n v="1"/>
  </r>
  <r>
    <x v="32"/>
    <x v="11"/>
    <n v="15.5"/>
    <n v="3"/>
    <s v="Fed"/>
    <s v="32794a12-8cb0-4a24-aed4-309fc3d37b5e"/>
    <n v="0"/>
    <s v="0:Javier Cervera"/>
    <s v="0:Virus"/>
    <s v=""/>
    <s v=""/>
    <m/>
    <s v="44323:Javier Cervera"/>
    <n v="1"/>
  </r>
  <r>
    <x v="32"/>
    <x v="12"/>
    <n v="15.4"/>
    <n v="3"/>
    <s v="Fed"/>
    <s v="78cb5ecc-e1e6-43f4-bcb0-4005adf266aa"/>
    <n v="0"/>
    <s v="0:Javier Gonzalez Salvador"/>
    <s v="0:Javi"/>
    <s v=""/>
    <s v=""/>
    <m/>
    <s v="44323:Javier Gonzalez Salvador"/>
    <n v="1"/>
  </r>
  <r>
    <x v="32"/>
    <x v="13"/>
    <n v="22.6"/>
    <n v="4"/>
    <s v="Fed"/>
    <s v="cf315f03-0171-4e6f-b04b-6a2c098c215c"/>
    <n v="0"/>
    <s v="0:Jesus Touceda"/>
    <s v="0:Jesús"/>
    <s v=""/>
    <s v=""/>
    <m/>
    <s v="44323:Jesus Touceda"/>
    <n v="1"/>
  </r>
  <r>
    <x v="32"/>
    <x v="14"/>
    <n v="6.8"/>
    <n v="2"/>
    <s v="Fed"/>
    <s v="0f341d49-2d76-4291-b0a4-b13c7657b9bb"/>
    <n v="0"/>
    <s v="0:José Pablo Guil"/>
    <s v="0:JP"/>
    <s v=""/>
    <s v=""/>
    <m/>
    <s v="44323:José Pablo Guil"/>
    <n v="1"/>
  </r>
  <r>
    <x v="32"/>
    <x v="15"/>
    <n v="18.3"/>
    <n v="3"/>
    <s v="Fed"/>
    <s v="665527b3-e67b-4288-a837-a54b40c7440e"/>
    <n v="0"/>
    <s v="0:Luis Escudero"/>
    <s v="0:Lucho"/>
    <s v=""/>
    <s v=""/>
    <m/>
    <s v="44323:Luis Escudero"/>
    <n v="1"/>
  </r>
  <r>
    <x v="32"/>
    <x v="21"/>
    <n v="21.1"/>
    <n v="4"/>
    <s v="Fed"/>
    <s v="08f2f7a7-717a-4c63-9567-ceb077eb66c8"/>
    <n v="0"/>
    <s v="0:Miche Lopez"/>
    <s v="0:Miche"/>
    <s v=""/>
    <s v=""/>
    <m/>
    <s v="44323:Miche Lopez"/>
    <n v="1"/>
  </r>
  <r>
    <x v="32"/>
    <x v="19"/>
    <n v="-0.2"/>
    <n v="1"/>
    <s v="Fed"/>
    <s v="4912761e-7ba2-43c3-81a0-9318b20f7f68"/>
    <n v="0"/>
    <s v="0:Miguel Diaz Del Moral"/>
    <s v="0:Cañita"/>
    <s v=""/>
    <s v=""/>
    <m/>
    <s v="44323:Miguel Diaz Del Moral"/>
    <n v="1"/>
  </r>
  <r>
    <x v="32"/>
    <x v="16"/>
    <n v="5.5"/>
    <n v="2"/>
    <s v="Fed"/>
    <s v="bb3bb242-368c-4607-8bae-53b7f18c8bad"/>
    <n v="0"/>
    <s v="0:Nacho Gonzalez"/>
    <s v="0:Nacho"/>
    <s v=""/>
    <s v=""/>
    <m/>
    <s v="44323:Nacho Gonzalez"/>
    <n v="1"/>
  </r>
  <r>
    <x v="32"/>
    <x v="17"/>
    <n v="13.7"/>
    <n v="3"/>
    <s v="Fed"/>
    <s v="96508a14-2c0f-4862-915f-7f078a6df110"/>
    <n v="0"/>
    <s v="0:Pablo Munitiz"/>
    <s v="0:Muni"/>
    <s v=""/>
    <s v=""/>
    <m/>
    <s v="44323:Pablo Munitiz"/>
    <n v="1"/>
  </r>
  <r>
    <x v="33"/>
    <x v="0"/>
    <n v="9.3000000000000007"/>
    <n v="2"/>
    <s v="Fed"/>
    <s v="07a03ffa-35b4-4d87-8283-bc9994aaed9f"/>
    <n v="0"/>
    <s v="0:Alfonso Hidalgo"/>
    <s v="0:Alfonso"/>
    <s v=""/>
    <s v=""/>
    <m/>
    <s v="44331:Alfonso Hidalgo"/>
    <n v="1"/>
  </r>
  <r>
    <x v="33"/>
    <x v="1"/>
    <n v="6.6"/>
    <n v="2"/>
    <s v="Fed"/>
    <s v="23c4520f-9161-4eb0-a44b-7a016cf7c606"/>
    <n v="0"/>
    <s v="0:Alvaro Aguirre"/>
    <s v="0:Gifu"/>
    <s v=""/>
    <s v=""/>
    <m/>
    <s v="44331:Alvaro Aguirre"/>
    <n v="1"/>
  </r>
  <r>
    <x v="33"/>
    <x v="2"/>
    <n v="14.4"/>
    <n v="3"/>
    <s v="Fed"/>
    <s v="edced80e-2a3b-413f-819e-aa336f452261"/>
    <n v="0"/>
    <s v="0:Alvaro Nieto"/>
    <s v="0:Alvaro"/>
    <s v=""/>
    <s v=""/>
    <m/>
    <s v="44331:Alvaro Nieto"/>
    <n v="1"/>
  </r>
  <r>
    <x v="33"/>
    <x v="3"/>
    <n v="7.6"/>
    <n v="2"/>
    <s v="Fed"/>
    <s v="e47fd18d-0cbb-4eda-8594-907b88be3598"/>
    <n v="0"/>
    <s v="0:Angel Hernandez"/>
    <s v="0:Angel"/>
    <s v=""/>
    <s v=""/>
    <m/>
    <s v="44331:Angel Hernandez"/>
    <n v="1"/>
  </r>
  <r>
    <x v="33"/>
    <x v="4"/>
    <n v="12.4"/>
    <n v="3"/>
    <s v="Fed"/>
    <s v="3cbfe7e4-3f66-4613-b08b-274dd1f070f9"/>
    <n v="0"/>
    <s v="0:David Sequera"/>
    <s v="0:David"/>
    <s v=""/>
    <s v=""/>
    <m/>
    <s v="44331:David Sequera"/>
    <n v="1"/>
  </r>
  <r>
    <x v="33"/>
    <x v="5"/>
    <n v="16.399999999999999"/>
    <n v="3"/>
    <s v="Fed"/>
    <s v="0e7285ba-4381-4194-8ba1-b7c1c8c6f763"/>
    <n v="0"/>
    <s v="0:Francisco Alvarez"/>
    <s v="0:Paco"/>
    <s v=""/>
    <s v=""/>
    <m/>
    <s v="44331:Francisco Alvarez"/>
    <n v="1"/>
  </r>
  <r>
    <x v="33"/>
    <x v="6"/>
    <n v="13.8"/>
    <n v="3"/>
    <s v="Fed"/>
    <s v="30cdc1a3-08e8-407a-b229-af1298d1ef43"/>
    <n v="0"/>
    <s v="0:Francisco Hidalgo"/>
    <s v="0:Fran"/>
    <s v=""/>
    <s v=""/>
    <m/>
    <s v="44331:Francisco Hidalgo"/>
    <n v="1"/>
  </r>
  <r>
    <x v="33"/>
    <x v="7"/>
    <n v="18.600000000000001"/>
    <n v="4"/>
    <s v="Fed"/>
    <s v="611d5e1a-2350-4ab6-a4ec-c0b5bb58edb8"/>
    <n v="0"/>
    <s v="0:GLEZ JUAN JOSÉ"/>
    <s v="0:Juanjo"/>
    <s v=""/>
    <s v=""/>
    <m/>
    <s v="44331:GLEZ JUAN JOSÉ"/>
    <n v="1"/>
  </r>
  <r>
    <x v="33"/>
    <x v="8"/>
    <n v="6.5"/>
    <n v="2"/>
    <s v="Fed"/>
    <s v="ac0f22e2-1c02-4071-a21b-4dfaf076aceb"/>
    <n v="0"/>
    <s v="0:Ignacio Cadarso"/>
    <s v="0:Ignacio"/>
    <s v=""/>
    <s v=""/>
    <m/>
    <s v="44331:Ignacio Cadarso"/>
    <n v="1"/>
  </r>
  <r>
    <x v="33"/>
    <x v="10"/>
    <n v="18.8"/>
    <n v="4"/>
    <s v="Fed"/>
    <s v="7b589da5-dca5-4ec7-9988-2ad477f0f220"/>
    <n v="0"/>
    <s v="0:J. Enrique Gonzalez"/>
    <s v="0:Kike"/>
    <s v=""/>
    <s v=""/>
    <m/>
    <s v="44331:J. Enrique Gonzalez"/>
    <n v="1"/>
  </r>
  <r>
    <x v="33"/>
    <x v="11"/>
    <n v="15.5"/>
    <n v="3"/>
    <s v="Fed"/>
    <s v="e2c13212-02d4-45e8-9c39-3cd972f9c8d7"/>
    <n v="0"/>
    <s v="0:Javier Cervera"/>
    <s v="0:Virus"/>
    <s v=""/>
    <s v=""/>
    <m/>
    <s v="44331:Javier Cervera"/>
    <n v="1"/>
  </r>
  <r>
    <x v="33"/>
    <x v="12"/>
    <n v="15.4"/>
    <n v="3"/>
    <s v="Fed"/>
    <s v="39611027-7f58-4e44-8d23-706e114e47ad"/>
    <n v="0"/>
    <s v="0:Javier Gonzalez Salvador"/>
    <s v="0:Javi"/>
    <s v=""/>
    <s v=""/>
    <m/>
    <s v="44331:Javier Gonzalez Salvador"/>
    <n v="1"/>
  </r>
  <r>
    <x v="33"/>
    <x v="13"/>
    <n v="22.6"/>
    <n v="4"/>
    <s v="Fed"/>
    <s v="fc3182c2-545a-4d82-92f2-e30f94e47adc"/>
    <n v="0"/>
    <s v="0:Jesus Touceda"/>
    <s v="0:Jesús"/>
    <s v=""/>
    <s v=""/>
    <m/>
    <s v="44331:Jesus Touceda"/>
    <n v="1"/>
  </r>
  <r>
    <x v="33"/>
    <x v="14"/>
    <n v="6.8"/>
    <n v="2"/>
    <s v="Fed"/>
    <s v="6c13a4ca-6e90-44f1-8115-6e91e816b025"/>
    <n v="0"/>
    <s v="0:José Pablo Guil"/>
    <s v="0:JP"/>
    <s v=""/>
    <s v=""/>
    <m/>
    <s v="44331:José Pablo Guil"/>
    <n v="1"/>
  </r>
  <r>
    <x v="33"/>
    <x v="15"/>
    <n v="18.3"/>
    <n v="3"/>
    <s v="Fed"/>
    <s v="407f51a6-3070-4184-ab2e-6991652cecb1"/>
    <n v="0"/>
    <s v="0:Luis Escudero"/>
    <s v="0:Lucho"/>
    <s v=""/>
    <s v=""/>
    <m/>
    <s v="44331:Luis Escudero"/>
    <n v="1"/>
  </r>
  <r>
    <x v="33"/>
    <x v="21"/>
    <n v="21.1"/>
    <n v="4"/>
    <s v="Fed"/>
    <s v="ab477e1f-a388-4f85-a322-7d7df6c4b226"/>
    <n v="0"/>
    <s v="0:Miche Lopez"/>
    <s v="0:Miche"/>
    <s v=""/>
    <s v=""/>
    <m/>
    <s v="44331:Miche Lopez"/>
    <n v="1"/>
  </r>
  <r>
    <x v="33"/>
    <x v="19"/>
    <n v="-0.2"/>
    <n v="1"/>
    <s v="Fed"/>
    <s v="bb4bfd04-a7db-4997-a94a-bab6c847962a"/>
    <n v="0"/>
    <s v="0:Miguel Diaz Del Moral"/>
    <s v="0:Cañita"/>
    <s v=""/>
    <s v=""/>
    <m/>
    <s v="44331:Miguel Diaz Del Moral"/>
    <n v="1"/>
  </r>
  <r>
    <x v="33"/>
    <x v="16"/>
    <n v="5.6"/>
    <n v="2"/>
    <s v="Fed"/>
    <s v="635fff1a-8535-4891-921b-c3b8829998c4"/>
    <n v="0"/>
    <s v="0:Nacho Gonzalez"/>
    <s v="0:Nacho"/>
    <s v=""/>
    <s v=""/>
    <m/>
    <s v="44331:Nacho Gonzalez"/>
    <n v="1"/>
  </r>
  <r>
    <x v="33"/>
    <x v="17"/>
    <n v="13.7"/>
    <n v="3"/>
    <s v="Fed"/>
    <s v="c7f980d1-8092-4275-9d08-83ef5588fd36"/>
    <n v="0"/>
    <s v="0:Pablo Munitiz"/>
    <s v="0:Muni"/>
    <s v=""/>
    <s v=""/>
    <m/>
    <s v="44331:Pablo Munitiz"/>
    <n v="1"/>
  </r>
  <r>
    <x v="34"/>
    <x v="0"/>
    <n v="10.1"/>
    <n v="2"/>
    <s v="Fed"/>
    <s v="3a261f06-738b-44c7-9962-068e3ec1880c"/>
    <n v="0"/>
    <s v="0:Alfonso Hidalgo"/>
    <s v="0:Alfonso"/>
    <s v=""/>
    <s v=""/>
    <m/>
    <s v="44332:Alfonso Hidalgo"/>
    <n v="1"/>
  </r>
  <r>
    <x v="34"/>
    <x v="1"/>
    <n v="7.4"/>
    <n v="2"/>
    <s v="Fed"/>
    <s v="6e4be49e-f62b-42a3-b483-18b8542a1232"/>
    <n v="0"/>
    <s v="0:Alvaro Aguirre"/>
    <s v="0:Gifu"/>
    <s v=""/>
    <s v=""/>
    <m/>
    <s v="44332:Alvaro Aguirre"/>
    <n v="1"/>
  </r>
  <r>
    <x v="34"/>
    <x v="2"/>
    <n v="15"/>
    <n v="3"/>
    <s v="Fed"/>
    <s v="db4987b1-f4b0-4937-8fde-e576bbe18634"/>
    <n v="0"/>
    <s v="0:Alvaro Nieto"/>
    <s v="0:Alvaro"/>
    <s v=""/>
    <s v=""/>
    <m/>
    <s v="44332:Alvaro Nieto"/>
    <n v="1"/>
  </r>
  <r>
    <x v="34"/>
    <x v="3"/>
    <n v="7.6"/>
    <n v="2"/>
    <s v="Fed"/>
    <s v="d87e5c0c-c76f-4eca-8da1-522c8407faca"/>
    <n v="0"/>
    <s v="0:Angel Hernandez"/>
    <s v="0:Angel"/>
    <s v=""/>
    <s v=""/>
    <m/>
    <s v="44332:Angel Hernandez"/>
    <n v="1"/>
  </r>
  <r>
    <x v="34"/>
    <x v="4"/>
    <n v="12"/>
    <n v="3"/>
    <s v="Fed"/>
    <s v="be5bcb84-3c51-42d2-9042-6c39c87fe4f0"/>
    <n v="0"/>
    <s v="0:David Sequera"/>
    <s v="0:David"/>
    <s v=""/>
    <s v=""/>
    <m/>
    <s v="44332:David Sequera"/>
    <n v="1"/>
  </r>
  <r>
    <x v="34"/>
    <x v="5"/>
    <n v="16.100000000000001"/>
    <n v="3"/>
    <s v="Fed"/>
    <s v="22d959c6-2fc9-444b-9d96-2aefd7f1536b"/>
    <n v="0"/>
    <s v="0:Francisco Alvarez"/>
    <s v="0:Paco"/>
    <s v=""/>
    <s v=""/>
    <m/>
    <s v="44332:Francisco Alvarez"/>
    <n v="1"/>
  </r>
  <r>
    <x v="34"/>
    <x v="6"/>
    <n v="13.8"/>
    <n v="3"/>
    <s v="Fed"/>
    <s v="f6f075c4-de04-441b-83e5-96b522f932a0"/>
    <n v="0"/>
    <s v="0:Francisco Hidalgo"/>
    <s v="0:Fran"/>
    <s v=""/>
    <s v=""/>
    <m/>
    <s v="44332:Francisco Hidalgo"/>
    <n v="1"/>
  </r>
  <r>
    <x v="34"/>
    <x v="7"/>
    <n v="17.899999999999999"/>
    <n v="3"/>
    <s v="Fed"/>
    <s v="1594b128-8563-4b3f-b19e-b8c0242770c5"/>
    <n v="0"/>
    <s v="0:GLEZ JUAN JOSÉ"/>
    <s v="0:Juanjo"/>
    <s v=""/>
    <s v=""/>
    <m/>
    <s v="44332:GLEZ JUAN JOSÉ"/>
    <n v="1"/>
  </r>
  <r>
    <x v="34"/>
    <x v="8"/>
    <n v="6.6"/>
    <n v="2"/>
    <s v="Fed"/>
    <s v="caf4d179-653f-4b92-8d04-5083ed72840e"/>
    <n v="0"/>
    <s v="0:Ignacio Cadarso"/>
    <s v="0:Ignacio"/>
    <s v=""/>
    <s v=""/>
    <m/>
    <s v="44332:Ignacio Cadarso"/>
    <n v="1"/>
  </r>
  <r>
    <x v="34"/>
    <x v="10"/>
    <n v="19"/>
    <n v="4"/>
    <s v="Fed"/>
    <s v="f5eb99b2-5f36-40d7-8c56-33cfa3f8f467"/>
    <n v="0"/>
    <s v="0:J. Enrique Gonzalez"/>
    <s v="0:Kike"/>
    <s v=""/>
    <s v=""/>
    <m/>
    <s v="44332:J. Enrique Gonzalez"/>
    <n v="1"/>
  </r>
  <r>
    <x v="34"/>
    <x v="11"/>
    <n v="16"/>
    <n v="3"/>
    <s v="Fed"/>
    <s v="38544bae-b80c-4af2-8a89-26a6de80a7fb"/>
    <n v="0"/>
    <s v="0:Javier Cervera"/>
    <s v="0:Virus"/>
    <s v=""/>
    <s v=""/>
    <m/>
    <s v="44332:Javier Cervera"/>
    <n v="1"/>
  </r>
  <r>
    <x v="34"/>
    <x v="12"/>
    <n v="15.4"/>
    <n v="3"/>
    <s v="Fed"/>
    <s v="8f7ce260-bebe-46d0-9904-0397708d4937"/>
    <n v="0"/>
    <s v="0:Javier Gonzalez Salvador"/>
    <s v="0:Javi"/>
    <s v=""/>
    <s v=""/>
    <m/>
    <s v="44332:Javier Gonzalez Salvador"/>
    <n v="1"/>
  </r>
  <r>
    <x v="34"/>
    <x v="13"/>
    <n v="22.6"/>
    <n v="4"/>
    <s v="Fed"/>
    <s v="06b9f201-bfdd-42f6-a79c-21e81c1228fc"/>
    <n v="0"/>
    <s v="0:Jesus Touceda"/>
    <s v="0:Jesús"/>
    <s v=""/>
    <s v=""/>
    <m/>
    <s v="44332:Jesus Touceda"/>
    <n v="1"/>
  </r>
  <r>
    <x v="34"/>
    <x v="14"/>
    <n v="6.8"/>
    <n v="2"/>
    <s v="Fed"/>
    <s v="450434c7-7475-410c-be0f-b9082b1acd7f"/>
    <n v="0"/>
    <s v="0:José Pablo Guil"/>
    <s v="0:JP"/>
    <s v=""/>
    <s v=""/>
    <m/>
    <s v="44332:José Pablo Guil"/>
    <n v="1"/>
  </r>
  <r>
    <x v="34"/>
    <x v="15"/>
    <n v="18.3"/>
    <n v="3"/>
    <s v="Fed"/>
    <s v="4d612da4-4f6d-4e1d-8535-6357dc69614f"/>
    <n v="0"/>
    <s v="0:Luis Escudero"/>
    <s v="0:Lucho"/>
    <s v=""/>
    <s v=""/>
    <m/>
    <s v="44332:Luis Escudero"/>
    <n v="1"/>
  </r>
  <r>
    <x v="34"/>
    <x v="21"/>
    <n v="21.1"/>
    <n v="4"/>
    <s v="Fed"/>
    <s v="7faaddae-dd63-4864-b18f-93b4ba71ae0a"/>
    <n v="0"/>
    <s v="0:Miche Lopez"/>
    <s v="0:Miche"/>
    <s v=""/>
    <s v=""/>
    <m/>
    <s v="44332:Miche Lopez"/>
    <n v="1"/>
  </r>
  <r>
    <x v="34"/>
    <x v="19"/>
    <n v="-0.2"/>
    <n v="1"/>
    <s v="Fed"/>
    <s v="fcb0d6df-3281-4cec-8c05-3320d44893cd"/>
    <n v="0"/>
    <s v="0:Miguel Diaz Del Moral"/>
    <s v="0:Cañita"/>
    <s v=""/>
    <s v=""/>
    <m/>
    <s v="44332:Miguel Diaz Del Moral"/>
    <n v="1"/>
  </r>
  <r>
    <x v="34"/>
    <x v="16"/>
    <n v="5.7"/>
    <n v="2"/>
    <s v="Fed"/>
    <s v="32aa0314-e6d9-47a5-b61e-51fe8dd8b270"/>
    <n v="0"/>
    <s v="0:Nacho Gonzalez"/>
    <s v="0:Nacho"/>
    <s v=""/>
    <s v=""/>
    <m/>
    <s v="44332:Nacho Gonzalez"/>
    <n v="1"/>
  </r>
  <r>
    <x v="34"/>
    <x v="17"/>
    <n v="13.7"/>
    <n v="3"/>
    <s v="Fed"/>
    <s v="7ca6316f-d7ab-4be6-9246-1de1187bfcc9"/>
    <n v="0"/>
    <s v="0:Pablo Munitiz"/>
    <s v="0:Muni"/>
    <s v=""/>
    <s v=""/>
    <m/>
    <s v="44332:Pablo Munitiz"/>
    <n v="1"/>
  </r>
  <r>
    <x v="35"/>
    <x v="0"/>
    <n v="10.199999999999999"/>
    <n v="2"/>
    <s v="Fed"/>
    <s v="9e4bc71c-b0e0-480f-9249-86b25212fc3f"/>
    <n v="0"/>
    <s v="0:Alfonso Hidalgo"/>
    <s v="0:Alfonso"/>
    <s v=""/>
    <s v=""/>
    <m/>
    <s v="44352:Alfonso Hidalgo"/>
    <n v="1"/>
  </r>
  <r>
    <x v="35"/>
    <x v="1"/>
    <n v="7.4"/>
    <n v="2"/>
    <s v="Fed"/>
    <s v="b1dc3cc1-8148-4d1d-8747-8ab5ed62dbf1"/>
    <n v="0"/>
    <s v="0:Alvaro Aguirre"/>
    <s v="0:Gifu"/>
    <s v=""/>
    <s v=""/>
    <m/>
    <s v="44352:Alvaro Aguirre"/>
    <n v="1"/>
  </r>
  <r>
    <x v="35"/>
    <x v="2"/>
    <n v="13.9"/>
    <n v="3"/>
    <s v="Fed"/>
    <s v="b024bbda-9285-490b-b8bf-3857bd1f9239"/>
    <n v="0"/>
    <s v="0:Alvaro Nieto"/>
    <s v="0:Alvaro"/>
    <s v=""/>
    <s v=""/>
    <m/>
    <s v="44352:Alvaro Nieto"/>
    <n v="1"/>
  </r>
  <r>
    <x v="35"/>
    <x v="3"/>
    <n v="7.6"/>
    <n v="2"/>
    <s v="Fed"/>
    <s v="b0b31ea1-db79-4ac7-aa3a-d21cdd9ca60a"/>
    <n v="0"/>
    <s v="0:Angel Hernandez"/>
    <s v="0:Angel"/>
    <s v=""/>
    <s v=""/>
    <m/>
    <s v="44352:Angel Hernandez"/>
    <n v="1"/>
  </r>
  <r>
    <x v="35"/>
    <x v="4"/>
    <n v="11.6"/>
    <n v="3"/>
    <s v="Fed"/>
    <s v="863bce4c-3e64-4767-8591-160a21c10078"/>
    <n v="0"/>
    <s v="0:David Sequera"/>
    <s v="0:David"/>
    <s v=""/>
    <s v=""/>
    <m/>
    <s v="44352:David Sequera"/>
    <n v="1"/>
  </r>
  <r>
    <x v="35"/>
    <x v="5"/>
    <n v="16.100000000000001"/>
    <n v="3"/>
    <s v="Fed"/>
    <s v="f755baf6-bcdb-48eb-aaab-535c00c4c6af"/>
    <n v="0"/>
    <s v="0:Francisco Alvarez"/>
    <s v="0:Paco"/>
    <s v=""/>
    <s v=""/>
    <m/>
    <s v="44352:Francisco Alvarez"/>
    <n v="1"/>
  </r>
  <r>
    <x v="35"/>
    <x v="6"/>
    <n v="13.8"/>
    <n v="3"/>
    <s v="Fed"/>
    <s v="4a3dbe78-e33d-4757-8616-8d841bff83a5"/>
    <n v="0"/>
    <s v="0:Francisco Hidalgo"/>
    <s v="0:Fran"/>
    <s v=""/>
    <s v=""/>
    <m/>
    <s v="44352:Francisco Hidalgo"/>
    <n v="1"/>
  </r>
  <r>
    <x v="35"/>
    <x v="7"/>
    <n v="17.899999999999999"/>
    <n v="3"/>
    <s v="Fed"/>
    <s v="482b2e49-d56d-4658-9f76-6bed343e7e90"/>
    <n v="0"/>
    <s v="0:GLEZ JUAN JOSÉ"/>
    <s v="0:Juanjo"/>
    <s v=""/>
    <s v=""/>
    <m/>
    <s v="44352:GLEZ JUAN JOSÉ"/>
    <n v="1"/>
  </r>
  <r>
    <x v="35"/>
    <x v="8"/>
    <n v="6.8"/>
    <n v="2"/>
    <s v="Fed"/>
    <s v="487bba2f-dfef-4f63-a0be-500d3683db7a"/>
    <n v="0"/>
    <s v="0:Ignacio Cadarso"/>
    <s v="0:Ignacio"/>
    <s v=""/>
    <s v=""/>
    <m/>
    <s v="44352:Ignacio Cadarso"/>
    <n v="1"/>
  </r>
  <r>
    <x v="35"/>
    <x v="10"/>
    <n v="18.600000000000001"/>
    <n v="4"/>
    <s v="Fed"/>
    <s v="ff0085ca-ea4f-470b-8582-cd43bbdaf6f8"/>
    <n v="0"/>
    <s v="0:J. Enrique Gonzalez"/>
    <s v="0:Kike"/>
    <s v=""/>
    <s v=""/>
    <m/>
    <s v="44352:J. Enrique Gonzalez"/>
    <n v="1"/>
  </r>
  <r>
    <x v="35"/>
    <x v="11"/>
    <n v="16"/>
    <n v="3"/>
    <s v="Fed"/>
    <s v="8922eb73-540c-45a7-8c9e-9e10bd2dfa2b"/>
    <n v="0"/>
    <s v="0:Javier Cervera"/>
    <s v="0:Virus"/>
    <s v=""/>
    <s v=""/>
    <m/>
    <s v="44352:Javier Cervera"/>
    <n v="1"/>
  </r>
  <r>
    <x v="35"/>
    <x v="12"/>
    <n v="15.4"/>
    <n v="3"/>
    <s v="Fed"/>
    <s v="b206fd21-fdf3-44c1-8b4a-cede3a2b92a8"/>
    <n v="0"/>
    <s v="0:Javier Gonzalez Salvador"/>
    <s v="0:Javi"/>
    <s v=""/>
    <s v=""/>
    <m/>
    <s v="44352:Javier Gonzalez Salvador"/>
    <n v="1"/>
  </r>
  <r>
    <x v="35"/>
    <x v="13"/>
    <n v="22.6"/>
    <n v="4"/>
    <s v="Fed"/>
    <s v="f9944c55-fc50-408a-abe2-5138b20a242f"/>
    <n v="0"/>
    <s v="0:Jesus Touceda"/>
    <s v="0:Jesús"/>
    <s v=""/>
    <s v=""/>
    <m/>
    <s v="44352:Jesus Touceda"/>
    <n v="1"/>
  </r>
  <r>
    <x v="35"/>
    <x v="14"/>
    <n v="6.8"/>
    <n v="2"/>
    <s v="Fed"/>
    <s v="1a5b8399-cc83-409e-8edf-a0966bdf03fb"/>
    <n v="0"/>
    <s v="0:José Pablo Guil"/>
    <s v="0:JP"/>
    <s v=""/>
    <s v=""/>
    <m/>
    <s v="44352:José Pablo Guil"/>
    <n v="1"/>
  </r>
  <r>
    <x v="35"/>
    <x v="15"/>
    <n v="18.3"/>
    <n v="3"/>
    <s v="Fed"/>
    <s v="67d08f25-bae2-40b3-afb2-76d1023cf40d"/>
    <n v="0"/>
    <s v="0:Luis Escudero"/>
    <s v="0:Lucho"/>
    <s v=""/>
    <s v=""/>
    <m/>
    <s v="44352:Luis Escudero"/>
    <n v="1"/>
  </r>
  <r>
    <x v="35"/>
    <x v="21"/>
    <n v="22.1"/>
    <n v="4"/>
    <s v="Fed"/>
    <s v="7baa532e-9cda-4d7e-bbf3-515853a56dd7"/>
    <n v="0"/>
    <s v="0:Miche Lopez"/>
    <s v="0:Miche"/>
    <s v=""/>
    <s v=""/>
    <m/>
    <s v="44352:Miche Lopez"/>
    <n v="1"/>
  </r>
  <r>
    <x v="35"/>
    <x v="19"/>
    <n v="-0.1"/>
    <n v="1"/>
    <s v="Fed"/>
    <s v="6a8912b6-2045-4f26-b0a1-30d7e3a4ce16"/>
    <n v="0"/>
    <s v="0:Miguel Diaz Del Moral"/>
    <s v="0:Cañita"/>
    <s v=""/>
    <s v=""/>
    <m/>
    <s v="44352:Miguel Diaz Del Moral"/>
    <n v="1"/>
  </r>
  <r>
    <x v="35"/>
    <x v="16"/>
    <n v="6"/>
    <n v="2"/>
    <s v="Fed"/>
    <s v="917f35df-ce41-43dc-a6fb-f6ed483dcea6"/>
    <n v="0"/>
    <s v="0:Nacho Gonzalez"/>
    <s v="0:Nacho"/>
    <s v=""/>
    <s v=""/>
    <m/>
    <s v="44352:Nacho Gonzalez"/>
    <n v="1"/>
  </r>
  <r>
    <x v="35"/>
    <x v="17"/>
    <n v="13.7"/>
    <n v="3"/>
    <s v="Fed"/>
    <s v="25800c40-5ac9-40f3-ae99-f7f0c361e9d4"/>
    <n v="0"/>
    <s v="0:Pablo Munitiz"/>
    <s v="0:Muni"/>
    <s v=""/>
    <s v=""/>
    <m/>
    <s v="44352:Pablo Munitiz"/>
    <n v="1"/>
  </r>
  <r>
    <x v="36"/>
    <x v="0"/>
    <n v="10.199999999999999"/>
    <n v="2"/>
    <s v="Fed"/>
    <s v="c657a24b-cc29-43df-93c7-2cc4e0288a8f"/>
    <n v="0"/>
    <s v="0:Alfonso Hidalgo"/>
    <s v="0:Alfonso"/>
    <s v=""/>
    <s v=""/>
    <m/>
    <s v="44379:Alfonso Hidalgo"/>
    <n v="1"/>
  </r>
  <r>
    <x v="36"/>
    <x v="1"/>
    <n v="7.2"/>
    <n v="2"/>
    <s v="Fed"/>
    <s v="07afb653-c578-4f33-88f1-d9909c72ae91"/>
    <n v="0"/>
    <s v="0:Alvaro Aguirre"/>
    <s v="0:Gifu"/>
    <s v=""/>
    <s v=""/>
    <m/>
    <s v="44379:Alvaro Aguirre"/>
    <n v="1"/>
  </r>
  <r>
    <x v="36"/>
    <x v="2"/>
    <n v="13.1"/>
    <n v="3"/>
    <s v="Fed"/>
    <s v="26a3d8aa-f854-43e4-af00-adf2023506e2"/>
    <n v="0"/>
    <s v="0:Alvaro Nieto"/>
    <s v="0:Alvaro"/>
    <s v=""/>
    <s v=""/>
    <m/>
    <s v="44379:Alvaro Nieto"/>
    <n v="1"/>
  </r>
  <r>
    <x v="36"/>
    <x v="3"/>
    <n v="7.6"/>
    <n v="2"/>
    <s v="Fed"/>
    <s v="fa6fd9eb-0e96-4ade-8ad4-c27871a667ae"/>
    <n v="0"/>
    <s v="0:Angel Hernandez"/>
    <s v="0:Angel"/>
    <s v=""/>
    <s v=""/>
    <m/>
    <s v="44379:Angel Hernandez"/>
    <n v="1"/>
  </r>
  <r>
    <x v="36"/>
    <x v="4"/>
    <n v="11.1"/>
    <n v="2"/>
    <s v="Fed"/>
    <s v="90ccf8d0-004f-4891-9fa4-3e95b9c2ac1a"/>
    <n v="0"/>
    <s v="0:David Sequera"/>
    <s v="0:David"/>
    <s v=""/>
    <s v=""/>
    <m/>
    <s v="44379:David Sequera"/>
    <n v="1"/>
  </r>
  <r>
    <x v="36"/>
    <x v="5"/>
    <n v="15.700000000000001"/>
    <n v="3"/>
    <s v="Fed"/>
    <s v="75f51dbd-5990-4892-a6b7-9173dcd5f323"/>
    <n v="0"/>
    <s v="0:Francisco Alvarez"/>
    <s v="0:Paco"/>
    <s v=""/>
    <s v=""/>
    <m/>
    <s v="44379:Francisco Alvarez"/>
    <n v="1"/>
  </r>
  <r>
    <x v="36"/>
    <x v="6"/>
    <n v="13.8"/>
    <n v="3"/>
    <s v="Fed"/>
    <s v="8106b362-b99e-48da-9d0a-148c02dd6538"/>
    <n v="0"/>
    <s v="0:Francisco Hidalgo"/>
    <s v="0:Fran"/>
    <s v=""/>
    <s v=""/>
    <m/>
    <s v="44379:Francisco Hidalgo"/>
    <n v="1"/>
  </r>
  <r>
    <x v="36"/>
    <x v="7"/>
    <n v="17.899999999999999"/>
    <n v="3"/>
    <s v="Fed"/>
    <s v="e4b9e93b-f5a7-42da-9938-509674077de9"/>
    <n v="0"/>
    <s v="0:GLEZ JUAN JOSÉ"/>
    <s v="0:Juanjo"/>
    <s v=""/>
    <s v=""/>
    <m/>
    <s v="44379:GLEZ JUAN JOSÉ"/>
    <n v="1"/>
  </r>
  <r>
    <x v="36"/>
    <x v="8"/>
    <n v="6.8"/>
    <n v="2"/>
    <s v="Fed"/>
    <s v="42aa9c34-d294-4bb5-abc7-9fc3c776674d"/>
    <n v="0"/>
    <s v="0:Ignacio Cadarso"/>
    <s v="0:Ignacio"/>
    <s v=""/>
    <s v=""/>
    <m/>
    <s v="44379:Ignacio Cadarso"/>
    <n v="1"/>
  </r>
  <r>
    <x v="36"/>
    <x v="10"/>
    <n v="18.600000000000001"/>
    <n v="4"/>
    <s v="Fed"/>
    <s v="59fa7d7e-9bb2-4c60-aed9-0621a2b38f82"/>
    <n v="0"/>
    <s v="0:J. Enrique Gonzalez"/>
    <s v="0:Kike"/>
    <s v=""/>
    <s v=""/>
    <m/>
    <s v="44379:J. Enrique Gonzalez"/>
    <n v="1"/>
  </r>
  <r>
    <x v="36"/>
    <x v="11"/>
    <n v="16"/>
    <n v="3"/>
    <s v="Fed"/>
    <s v="a340cf2f-1e56-4bb2-b962-85350868023f"/>
    <n v="0"/>
    <s v="0:Javier Cervera"/>
    <s v="0:Virus"/>
    <s v=""/>
    <s v=""/>
    <m/>
    <s v="44379:Javier Cervera"/>
    <n v="1"/>
  </r>
  <r>
    <x v="36"/>
    <x v="12"/>
    <n v="15.5"/>
    <n v="3"/>
    <s v="Fed"/>
    <s v="a933d344-c3ea-4d9d-883a-9e2be50e3df9"/>
    <n v="0"/>
    <s v="0:Javier Gonzalez Salvador"/>
    <s v="0:Javi"/>
    <s v=""/>
    <s v=""/>
    <m/>
    <s v="44379:Javier Gonzalez Salvador"/>
    <n v="1"/>
  </r>
  <r>
    <x v="36"/>
    <x v="13"/>
    <n v="22.6"/>
    <n v="4"/>
    <s v="Fed"/>
    <s v="9c178c3d-ba6f-4089-bc8b-315414b5acb2"/>
    <n v="0"/>
    <s v="0:Jesus Touceda"/>
    <s v="0:Jesús"/>
    <s v=""/>
    <s v=""/>
    <m/>
    <s v="44379:Jesus Touceda"/>
    <n v="1"/>
  </r>
  <r>
    <x v="36"/>
    <x v="14"/>
    <n v="6.8"/>
    <n v="2"/>
    <s v="Fed"/>
    <s v="1bf54426-92a0-47c9-b082-25dcc42647c7"/>
    <n v="0"/>
    <s v="0:José Pablo Guil"/>
    <s v="0:JP"/>
    <s v=""/>
    <s v=""/>
    <m/>
    <s v="44379:José Pablo Guil"/>
    <n v="1"/>
  </r>
  <r>
    <x v="36"/>
    <x v="15"/>
    <n v="18.3"/>
    <n v="3"/>
    <s v="Fed"/>
    <s v="6e0243a7-baeb-43ba-903c-c03edadab5db"/>
    <n v="0"/>
    <s v="0:Luis Escudero"/>
    <s v="0:Lucho"/>
    <s v=""/>
    <s v=""/>
    <m/>
    <s v="44379:Luis Escudero"/>
    <n v="1"/>
  </r>
  <r>
    <x v="36"/>
    <x v="21"/>
    <n v="22.1"/>
    <n v="4"/>
    <s v="Fed"/>
    <s v="460c2421-ff61-449e-8b9a-1077b76b915f"/>
    <n v="0"/>
    <s v="0:Miche Lopez"/>
    <s v="0:Miche"/>
    <s v=""/>
    <s v=""/>
    <m/>
    <s v="44379:Miche Lopez"/>
    <n v="1"/>
  </r>
  <r>
    <x v="36"/>
    <x v="19"/>
    <n v="-0.1"/>
    <n v="1"/>
    <s v="Fed"/>
    <s v="ee8cc8cb-3457-4227-bcbb-2d176d1b2e0a"/>
    <n v="0"/>
    <s v="0:Miguel Diaz Del Moral"/>
    <s v="0:Cañita"/>
    <s v=""/>
    <s v=""/>
    <m/>
    <s v="44379:Miguel Diaz Del Moral"/>
    <n v="1"/>
  </r>
  <r>
    <x v="36"/>
    <x v="16"/>
    <n v="6"/>
    <n v="2"/>
    <s v="Fed"/>
    <s v="1c2b9dc1-ba07-4b81-b157-dc3e8e682348"/>
    <n v="0"/>
    <s v="0:Nacho Gonzalez"/>
    <s v="0:Nacho"/>
    <s v=""/>
    <s v=""/>
    <m/>
    <s v="44379:Nacho Gonzalez"/>
    <n v="1"/>
  </r>
  <r>
    <x v="36"/>
    <x v="17"/>
    <n v="13.7"/>
    <n v="3"/>
    <s v="Fed"/>
    <s v="b10854ef-a9ee-4dc3-b616-5bbb0c65330a"/>
    <n v="0"/>
    <s v="0:Pablo Munitiz"/>
    <s v="0:Muni"/>
    <s v=""/>
    <s v=""/>
    <m/>
    <s v="44379:Pablo Munitiz"/>
    <n v="1"/>
  </r>
  <r>
    <x v="37"/>
    <x v="0"/>
    <n v="10.199999999999999"/>
    <n v="2"/>
    <s v="Fed"/>
    <s v="0c3ad066-a848-48d3-bc8d-b30a32a934f3"/>
    <n v="0"/>
    <s v="0:Alfonso Hidalgo"/>
    <s v="0:Alfonso"/>
    <s v=""/>
    <s v=""/>
    <m/>
    <s v="44380:Alfonso Hidalgo"/>
    <n v="1"/>
  </r>
  <r>
    <x v="37"/>
    <x v="1"/>
    <n v="6.9"/>
    <n v="2"/>
    <s v="Fed"/>
    <s v="90f8cc42-83c0-4904-9b8c-a29a8b16b27b"/>
    <n v="0"/>
    <s v="0:Alvaro Aguirre"/>
    <s v="0:Gifu"/>
    <s v=""/>
    <s v=""/>
    <m/>
    <s v="44380:Alvaro Aguirre"/>
    <n v="1"/>
  </r>
  <r>
    <x v="37"/>
    <x v="2"/>
    <n v="12.8"/>
    <n v="3"/>
    <s v="Fed"/>
    <s v="a9003ed9-de06-4683-8c58-6c6395c5bb33"/>
    <n v="0"/>
    <s v="0:Alvaro Nieto"/>
    <s v="0:Alvaro"/>
    <s v=""/>
    <s v=""/>
    <m/>
    <s v="44380:Alvaro Nieto"/>
    <n v="1"/>
  </r>
  <r>
    <x v="37"/>
    <x v="3"/>
    <n v="7.6"/>
    <n v="2"/>
    <s v="Fed"/>
    <s v="7e92cbdb-0b69-46e2-8246-8b452ea0ff40"/>
    <n v="0"/>
    <s v="0:Angel Hernandez"/>
    <s v="0:Angel"/>
    <s v=""/>
    <s v=""/>
    <m/>
    <s v="44380:Angel Hernandez"/>
    <n v="1"/>
  </r>
  <r>
    <x v="37"/>
    <x v="4"/>
    <n v="11.1"/>
    <n v="2"/>
    <s v="Fed"/>
    <s v="09fc3f4e-2255-467e-829b-70a88447a4e8"/>
    <n v="0"/>
    <s v="0:David Sequera"/>
    <s v="0:David"/>
    <s v=""/>
    <s v=""/>
    <m/>
    <s v="44380:David Sequera"/>
    <n v="1"/>
  </r>
  <r>
    <x v="37"/>
    <x v="5"/>
    <n v="15.1"/>
    <n v="3"/>
    <s v="Fed"/>
    <s v="9304e95f-cce9-45b8-8100-2b95114b71a8"/>
    <n v="0"/>
    <s v="0:Francisco Alvarez"/>
    <s v="0:Paco"/>
    <s v=""/>
    <s v=""/>
    <m/>
    <s v="44380:Francisco Alvarez"/>
    <n v="1"/>
  </r>
  <r>
    <x v="37"/>
    <x v="6"/>
    <n v="14"/>
    <n v="3"/>
    <s v="Fed"/>
    <s v="2b83dcba-70ea-42a7-b31a-51ef4066171d"/>
    <n v="0"/>
    <s v="0:Francisco Hidalgo"/>
    <s v="0:Fran"/>
    <s v=""/>
    <s v=""/>
    <m/>
    <s v="44380:Francisco Hidalgo"/>
    <n v="1"/>
  </r>
  <r>
    <x v="37"/>
    <x v="7"/>
    <n v="17.899999999999999"/>
    <n v="3"/>
    <s v="Fed"/>
    <s v="3d1d85c9-3807-4bcb-8a45-54b094751557"/>
    <n v="0"/>
    <s v="0:GLEZ JUAN JOSÉ"/>
    <s v="0:Juanjo"/>
    <s v=""/>
    <s v=""/>
    <m/>
    <s v="44380:GLEZ JUAN JOSÉ"/>
    <n v="1"/>
  </r>
  <r>
    <x v="37"/>
    <x v="8"/>
    <n v="6.6"/>
    <n v="2"/>
    <s v="Fed"/>
    <s v="ac90644d-2a1b-4af9-a2dc-3f89e8f3d432"/>
    <n v="0"/>
    <s v="0:Ignacio Cadarso"/>
    <s v="0:Ignacio"/>
    <s v=""/>
    <s v=""/>
    <m/>
    <s v="44380:Ignacio Cadarso"/>
    <n v="1"/>
  </r>
  <r>
    <x v="37"/>
    <x v="10"/>
    <n v="18.399999999999999"/>
    <n v="3"/>
    <s v="Fed"/>
    <s v="aec77ecd-9ddb-4601-b920-fb258ef5e8e1"/>
    <n v="0"/>
    <s v="0:J. Enrique Gonzalez"/>
    <s v="0:Kike"/>
    <s v=""/>
    <s v=""/>
    <m/>
    <s v="44380:J. Enrique Gonzalez"/>
    <n v="1"/>
  </r>
  <r>
    <x v="37"/>
    <x v="11"/>
    <n v="16.3"/>
    <n v="3"/>
    <s v="Fed"/>
    <s v="cb1d2c09-1c11-4f05-bcb3-b49554b29563"/>
    <n v="0"/>
    <s v="0:Javier Cervera"/>
    <s v="0:Virus"/>
    <s v=""/>
    <s v=""/>
    <m/>
    <s v="44380:Javier Cervera"/>
    <n v="1"/>
  </r>
  <r>
    <x v="37"/>
    <x v="12"/>
    <n v="15.5"/>
    <n v="3"/>
    <s v="Fed"/>
    <s v="c4bc4493-456b-447a-a7de-6f0cf7d04217"/>
    <n v="0"/>
    <s v="0:Javier Gonzalez Salvador"/>
    <s v="0:Javi"/>
    <s v=""/>
    <s v=""/>
    <m/>
    <s v="44380:Javier Gonzalez Salvador"/>
    <n v="1"/>
  </r>
  <r>
    <x v="37"/>
    <x v="13"/>
    <n v="23.3"/>
    <n v="4"/>
    <s v="Fed"/>
    <s v="4ad7b931-b757-417a-ab0a-621b8f7b01f5"/>
    <n v="0"/>
    <s v="0:Jesus Touceda"/>
    <s v="0:Jesús"/>
    <s v=""/>
    <s v=""/>
    <m/>
    <s v="44380:Jesus Touceda"/>
    <n v="1"/>
  </r>
  <r>
    <x v="37"/>
    <x v="14"/>
    <n v="6.8"/>
    <n v="2"/>
    <s v="Fed"/>
    <s v="30697c36-af61-4a91-a27c-5e89b6a1e1e6"/>
    <n v="0"/>
    <s v="0:José Pablo Guil"/>
    <s v="0:JP"/>
    <s v=""/>
    <s v=""/>
    <m/>
    <s v="44380:José Pablo Guil"/>
    <n v="1"/>
  </r>
  <r>
    <x v="37"/>
    <x v="15"/>
    <n v="18.3"/>
    <n v="3"/>
    <s v="Fed"/>
    <s v="0b5eb6e0-d42f-4699-a584-f769a715f174"/>
    <n v="0"/>
    <s v="0:Luis Escudero"/>
    <s v="0:Lucho"/>
    <s v=""/>
    <s v=""/>
    <m/>
    <s v="44380:Luis Escudero"/>
    <n v="1"/>
  </r>
  <r>
    <x v="37"/>
    <x v="21"/>
    <n v="22.6"/>
    <n v="4"/>
    <s v="Fed"/>
    <s v="30650608-8ecd-4cbf-b582-f2035467b8a2"/>
    <n v="0"/>
    <s v="0:Miche Lopez"/>
    <s v="0:Miche"/>
    <s v=""/>
    <s v=""/>
    <m/>
    <s v="44380:Miche Lopez"/>
    <n v="1"/>
  </r>
  <r>
    <x v="37"/>
    <x v="19"/>
    <n v="-0.8"/>
    <n v="1"/>
    <s v="Fed"/>
    <s v="17ea5d54-961d-4cf8-b6eb-cdfe8ef2d161"/>
    <n v="0"/>
    <s v="0:Miguel Diaz Del Moral"/>
    <s v="0:Cañita"/>
    <s v=""/>
    <s v=""/>
    <m/>
    <s v="44380:Miguel Diaz Del Moral"/>
    <n v="1"/>
  </r>
  <r>
    <x v="37"/>
    <x v="16"/>
    <n v="6"/>
    <n v="2"/>
    <s v="Fed"/>
    <s v="c471e491-ccf2-4a76-a84d-405779310f25"/>
    <n v="0"/>
    <s v="0:Nacho Gonzalez"/>
    <s v="0:Nacho"/>
    <s v=""/>
    <s v=""/>
    <m/>
    <s v="44380:Nacho Gonzalez"/>
    <n v="1"/>
  </r>
  <r>
    <x v="37"/>
    <x v="17"/>
    <n v="13.7"/>
    <n v="3"/>
    <s v="Fed"/>
    <s v="be320e71-eaee-49f1-96bb-9ee577c7752e"/>
    <n v="0"/>
    <s v="0:Pablo Munitiz"/>
    <s v="0:Muni"/>
    <s v=""/>
    <s v=""/>
    <m/>
    <s v="44380:Pablo Munitiz"/>
    <n v="1"/>
  </r>
  <r>
    <x v="38"/>
    <x v="0"/>
    <n v="10.199999999999999"/>
    <n v="2"/>
    <s v="Fed"/>
    <s v="6fbf7c54-e8d8-4211-a4b2-5f6a3558964d"/>
    <n v="0"/>
    <s v="0:Alfonso Hidalgo"/>
    <s v="0:Alfonso"/>
    <s v=""/>
    <s v=""/>
    <m/>
    <s v="44450:Alfonso Hidalgo"/>
    <n v="1"/>
  </r>
  <r>
    <x v="38"/>
    <x v="1"/>
    <n v="6.5"/>
    <n v="2"/>
    <s v="Fed"/>
    <s v="7d597f60-3070-48ca-9469-b65be1ccc002"/>
    <n v="0"/>
    <s v="0:Alvaro Aguirre"/>
    <s v="0:Gifu"/>
    <s v=""/>
    <s v=""/>
    <m/>
    <s v="44450:Alvaro Aguirre"/>
    <n v="1"/>
  </r>
  <r>
    <x v="38"/>
    <x v="2"/>
    <n v="12.8"/>
    <n v="3"/>
    <s v="Fed"/>
    <s v="5d194a1d-720a-419a-b757-d92b3e1e74ea"/>
    <n v="0"/>
    <s v="0:Alvaro Nieto"/>
    <s v="0:Alvaro"/>
    <s v=""/>
    <s v=""/>
    <m/>
    <s v="44450:Alvaro Nieto"/>
    <n v="1"/>
  </r>
  <r>
    <x v="38"/>
    <x v="3"/>
    <n v="7.6"/>
    <n v="2"/>
    <s v="Fed"/>
    <s v="da71c89c-9e99-4d3b-8e26-c2ecf0272544"/>
    <n v="0"/>
    <s v="0:Angel Hernandez"/>
    <s v="0:Angel"/>
    <s v=""/>
    <s v=""/>
    <m/>
    <s v="44450:Angel Hernandez"/>
    <n v="1"/>
  </r>
  <r>
    <x v="38"/>
    <x v="4"/>
    <n v="11.1"/>
    <n v="2"/>
    <s v="Fed"/>
    <s v="8de7a468-6876-4725-b67b-a19f7946ed99"/>
    <n v="0"/>
    <s v="0:David Sequera"/>
    <s v="0:David"/>
    <s v=""/>
    <s v=""/>
    <m/>
    <s v="44450:David Sequera"/>
    <n v="1"/>
  </r>
  <r>
    <x v="38"/>
    <x v="5"/>
    <n v="15.1"/>
    <n v="3"/>
    <s v="Fed"/>
    <s v="1f3d9c52-e4d0-41e8-ba3f-3a42bb4e9ac0"/>
    <n v="0"/>
    <s v="0:Francisco Alvarez"/>
    <s v="0:Paco"/>
    <s v=""/>
    <s v=""/>
    <m/>
    <s v="44450:Francisco Alvarez"/>
    <n v="1"/>
  </r>
  <r>
    <x v="38"/>
    <x v="6"/>
    <n v="14"/>
    <n v="3"/>
    <s v="Fed"/>
    <s v="bf4af0a1-77ee-4cfa-8dd6-312284bb35bb"/>
    <n v="0"/>
    <s v="0:Francisco Hidalgo"/>
    <s v="0:Fran"/>
    <s v=""/>
    <s v=""/>
    <m/>
    <s v="44450:Francisco Hidalgo"/>
    <n v="1"/>
  </r>
  <r>
    <x v="38"/>
    <x v="7"/>
    <n v="17.899999999999999"/>
    <n v="3"/>
    <s v="Fed"/>
    <s v="8b5fb6ae-2321-46a2-b840-6b4935ea7093"/>
    <n v="0"/>
    <s v="0:GLEZ JUAN JOSÉ"/>
    <s v="0:Juanjo"/>
    <s v=""/>
    <s v=""/>
    <m/>
    <s v="44450:GLEZ JUAN JOSÉ"/>
    <n v="1"/>
  </r>
  <r>
    <x v="38"/>
    <x v="8"/>
    <n v="7.2"/>
    <n v="2"/>
    <s v="Fed"/>
    <s v="1401a9f7-cc59-4b14-96eb-748503be9708"/>
    <n v="0"/>
    <s v="0:Ignacio Cadarso"/>
    <s v="0:Ignacio"/>
    <s v=""/>
    <s v=""/>
    <m/>
    <s v="44450:Ignacio Cadarso"/>
    <n v="1"/>
  </r>
  <r>
    <x v="38"/>
    <x v="10"/>
    <n v="18.399999999999999"/>
    <n v="3"/>
    <s v="Fed"/>
    <s v="697d4ad2-b897-424e-8f17-13f4b9c0b90e"/>
    <n v="0"/>
    <s v="0:J. Enrique Gonzalez"/>
    <s v="0:Kike"/>
    <s v=""/>
    <s v=""/>
    <m/>
    <s v="44450:J. Enrique Gonzalez"/>
    <n v="1"/>
  </r>
  <r>
    <x v="38"/>
    <x v="11"/>
    <n v="16.5"/>
    <n v="3"/>
    <s v="Fed"/>
    <s v="65627792-b1de-43a1-ab9a-1a100ccc432c"/>
    <n v="0"/>
    <s v="0:Javier Cervera"/>
    <s v="0:Virus"/>
    <s v=""/>
    <s v=""/>
    <m/>
    <s v="44450:Javier Cervera"/>
    <n v="1"/>
  </r>
  <r>
    <x v="38"/>
    <x v="12"/>
    <n v="15.5"/>
    <n v="3"/>
    <s v="Fed"/>
    <s v="b6d96f7d-df06-47ec-b9a6-fefe1f65c2e4"/>
    <n v="0"/>
    <s v="0:Javier Gonzalez Salvador"/>
    <s v="0:Javi"/>
    <s v=""/>
    <s v=""/>
    <m/>
    <s v="44450:Javier Gonzalez Salvador"/>
    <n v="1"/>
  </r>
  <r>
    <x v="38"/>
    <x v="13"/>
    <n v="23.3"/>
    <n v="4"/>
    <s v="Fed"/>
    <s v="84787ce3-de5b-418a-9ef7-8d2a73cc61eb"/>
    <n v="0"/>
    <s v="0:Jesus Touceda"/>
    <s v="0:Jesús"/>
    <s v=""/>
    <s v=""/>
    <m/>
    <s v="44450:Jesus Touceda"/>
    <n v="1"/>
  </r>
  <r>
    <x v="38"/>
    <x v="14"/>
    <n v="6.5"/>
    <n v="2"/>
    <s v="Fed"/>
    <s v="98c3f15e-6464-49f0-a261-758f9b936c7c"/>
    <n v="0"/>
    <s v="0:José Pablo Guil"/>
    <s v="0:JP"/>
    <s v=""/>
    <s v=""/>
    <m/>
    <s v="44450:José Pablo Guil"/>
    <n v="1"/>
  </r>
  <r>
    <x v="38"/>
    <x v="15"/>
    <n v="18.3"/>
    <n v="3"/>
    <s v="Fed"/>
    <s v="ddf860be-d028-4a56-81a7-f29bb2877c98"/>
    <n v="0"/>
    <s v="0:Luis Escudero"/>
    <s v="0:Lucho"/>
    <s v=""/>
    <s v=""/>
    <m/>
    <s v="44450:Luis Escudero"/>
    <n v="1"/>
  </r>
  <r>
    <x v="38"/>
    <x v="21"/>
    <n v="22.6"/>
    <n v="4"/>
    <s v="Fed"/>
    <s v="5f44354a-5f6b-43ff-b585-7318742dda54"/>
    <n v="0"/>
    <s v="0:Miche Lopez"/>
    <s v="0:Miche"/>
    <s v=""/>
    <s v=""/>
    <m/>
    <s v="44450:Miche Lopez"/>
    <n v="1"/>
  </r>
  <r>
    <x v="38"/>
    <x v="19"/>
    <n v="-1.3"/>
    <n v="1"/>
    <s v="Fed"/>
    <s v="85837f68-4502-4364-8783-2ba07d8f5509"/>
    <n v="0"/>
    <s v="0:Miguel Diaz Del Moral"/>
    <s v="0:Cañita"/>
    <s v=""/>
    <s v=""/>
    <m/>
    <s v="44450:Miguel Diaz Del Moral"/>
    <n v="1"/>
  </r>
  <r>
    <x v="38"/>
    <x v="16"/>
    <n v="6"/>
    <n v="2"/>
    <s v="Fed"/>
    <s v="4c081801-1e4a-444b-b253-5c2daaeabe62"/>
    <n v="0"/>
    <s v="0:Nacho Gonzalez"/>
    <s v="0:Nacho"/>
    <s v=""/>
    <s v=""/>
    <m/>
    <s v="44450:Nacho Gonzalez"/>
    <n v="1"/>
  </r>
  <r>
    <x v="38"/>
    <x v="17"/>
    <n v="13.7"/>
    <n v="3"/>
    <s v="Fed"/>
    <s v="d86a714d-26ac-4e53-8240-e034b241cbdf"/>
    <n v="0"/>
    <s v="0:Pablo Munitiz"/>
    <s v="0:Muni"/>
    <s v=""/>
    <s v=""/>
    <m/>
    <s v="44450:Pablo Munitiz"/>
    <n v="1"/>
  </r>
  <r>
    <x v="39"/>
    <x v="0"/>
    <n v="10.4"/>
    <n v="2"/>
    <s v="Fed"/>
    <s v="8d01a2a7-2bda-4481-8282-669546bb73e1"/>
    <n v="0"/>
    <s v="0:Alfonso Hidalgo"/>
    <s v="0:Alfonso"/>
    <s v=""/>
    <s v=""/>
    <m/>
    <s v="44485:Alfonso Hidalgo"/>
    <n v="1"/>
  </r>
  <r>
    <x v="39"/>
    <x v="1"/>
    <n v="6.5"/>
    <n v="2"/>
    <s v="Fed"/>
    <s v="3cb8b844-857a-41f8-afcf-eff8c6b1ba04"/>
    <n v="0"/>
    <s v="0:Alvaro Aguirre"/>
    <s v="0:Gifu"/>
    <s v=""/>
    <s v=""/>
    <m/>
    <s v="44485:Alvaro Aguirre"/>
    <n v="1"/>
  </r>
  <r>
    <x v="39"/>
    <x v="2"/>
    <n v="12.7"/>
    <n v="3"/>
    <s v="Fed"/>
    <s v="09f3e9bf-929b-4478-a3bb-df8c406c4263"/>
    <n v="0"/>
    <s v="0:Alvaro Nieto"/>
    <s v="0:Alvaro"/>
    <s v=""/>
    <s v=""/>
    <m/>
    <s v="44485:Alvaro Nieto"/>
    <n v="1"/>
  </r>
  <r>
    <x v="39"/>
    <x v="3"/>
    <n v="7.6"/>
    <n v="2"/>
    <s v="Fed"/>
    <s v="71b8c2bc-7341-4a6d-bdb0-58864b6b5126"/>
    <n v="0"/>
    <s v="0:Angel Hernandez"/>
    <s v="0:Angel"/>
    <s v=""/>
    <s v=""/>
    <m/>
    <s v="44485:Angel Hernandez"/>
    <n v="1"/>
  </r>
  <r>
    <x v="39"/>
    <x v="4"/>
    <n v="11.1"/>
    <n v="2"/>
    <s v="Fed"/>
    <s v="c511add1-7f2d-44d5-97e2-71ffbf00e4f9"/>
    <n v="0"/>
    <s v="0:David Sequera"/>
    <s v="0:David"/>
    <s v=""/>
    <s v=""/>
    <m/>
    <s v="44485:David Sequera"/>
    <n v="1"/>
  </r>
  <r>
    <x v="39"/>
    <x v="5"/>
    <n v="14.8"/>
    <n v="3"/>
    <s v="Fed"/>
    <s v="19bfc3bf-6792-47c0-bda7-c6044d08593c"/>
    <n v="0"/>
    <s v="0:Francisco Alvarez"/>
    <s v="0:Paco"/>
    <s v=""/>
    <s v=""/>
    <m/>
    <s v="44485:Francisco Alvarez"/>
    <n v="1"/>
  </r>
  <r>
    <x v="39"/>
    <x v="6"/>
    <n v="14.1"/>
    <n v="3"/>
    <s v="Fed"/>
    <s v="e92b86aa-c78c-4871-97a8-fbf9125bfde2"/>
    <n v="0"/>
    <s v="0:Francisco Hidalgo"/>
    <s v="0:Fran"/>
    <s v=""/>
    <s v=""/>
    <m/>
    <s v="44485:Francisco Hidalgo"/>
    <n v="1"/>
  </r>
  <r>
    <x v="39"/>
    <x v="7"/>
    <n v="17.5"/>
    <n v="3"/>
    <s v="Fed"/>
    <s v="ebce622d-23de-42b3-b931-cc004a7f7334"/>
    <n v="0"/>
    <s v="0:GLEZ JUAN JOSÉ"/>
    <s v="0:Juanjo"/>
    <s v=""/>
    <s v=""/>
    <m/>
    <s v="44485:GLEZ JUAN JOSÉ"/>
    <n v="1"/>
  </r>
  <r>
    <x v="39"/>
    <x v="8"/>
    <n v="7.2"/>
    <n v="2"/>
    <s v="Fed"/>
    <s v="cf127af5-a0b2-4946-a02f-435d8113eb21"/>
    <n v="0"/>
    <s v="0:Ignacio Cadarso"/>
    <s v="0:Ignacio"/>
    <s v=""/>
    <s v=""/>
    <m/>
    <s v="44485:Ignacio Cadarso"/>
    <n v="1"/>
  </r>
  <r>
    <x v="39"/>
    <x v="10"/>
    <n v="17.899999999999999"/>
    <n v="3"/>
    <s v="Fed"/>
    <s v="9876f3f3-5340-4e00-b2e7-0d5d33a607f7"/>
    <n v="0"/>
    <s v="0:J. Enrique Gonzalez"/>
    <s v="0:Kike"/>
    <s v=""/>
    <s v=""/>
    <m/>
    <s v="44485:J. Enrique Gonzalez"/>
    <n v="1"/>
  </r>
  <r>
    <x v="39"/>
    <x v="11"/>
    <n v="16.399999999999999"/>
    <n v="3"/>
    <s v="Fed"/>
    <s v="179da6d9-c779-4a2c-9bd2-2a87bfa10d46"/>
    <n v="0"/>
    <s v="0:Javier Cervera"/>
    <s v="0:Virus"/>
    <s v=""/>
    <s v=""/>
    <m/>
    <s v="44485:Javier Cervera"/>
    <n v="1"/>
  </r>
  <r>
    <x v="39"/>
    <x v="12"/>
    <n v="15.4"/>
    <n v="3"/>
    <s v="Fed"/>
    <s v="1e049ff3-683d-44e0-baa5-5d4db058c8a5"/>
    <n v="0"/>
    <s v="0:Javier Gonzalez Salvador"/>
    <s v="0:Javi"/>
    <s v=""/>
    <s v=""/>
    <m/>
    <s v="44485:Javier Gonzalez Salvador"/>
    <n v="1"/>
  </r>
  <r>
    <x v="39"/>
    <x v="13"/>
    <n v="23.6"/>
    <n v="4"/>
    <s v="Fed"/>
    <s v="222fe255-ac48-438f-899c-5903c88feeae"/>
    <n v="0"/>
    <s v="0:Jesus Touceda"/>
    <s v="0:Jesús"/>
    <s v=""/>
    <s v=""/>
    <m/>
    <s v="44485:Jesus Touceda"/>
    <n v="1"/>
  </r>
  <r>
    <x v="39"/>
    <x v="14"/>
    <n v="6.1"/>
    <n v="2"/>
    <s v="Fed"/>
    <s v="9f343053-0f56-4db3-97d8-c23ba972bc07"/>
    <n v="0"/>
    <s v="0:José Pablo Guil"/>
    <s v="0:JP"/>
    <s v=""/>
    <s v=""/>
    <m/>
    <s v="44485:José Pablo Guil"/>
    <n v="1"/>
  </r>
  <r>
    <x v="39"/>
    <x v="15"/>
    <n v="18.3"/>
    <n v="3"/>
    <s v="Fed"/>
    <s v="ab38c5dd-53cd-4309-93ad-6f64963826bc"/>
    <n v="0"/>
    <s v="0:Luis Escudero"/>
    <s v="0:Lucho"/>
    <s v=""/>
    <s v=""/>
    <m/>
    <s v="44485:Luis Escudero"/>
    <n v="1"/>
  </r>
  <r>
    <x v="39"/>
    <x v="21"/>
    <n v="22.6"/>
    <n v="4"/>
    <s v="Fed"/>
    <s v="4dfba4f0-6c5e-4736-a09a-40a96fabd886"/>
    <n v="0"/>
    <s v="0:Miche Lopez"/>
    <s v="0:Miche"/>
    <s v=""/>
    <s v=""/>
    <m/>
    <s v="44485:Miche Lopez"/>
    <n v="1"/>
  </r>
  <r>
    <x v="39"/>
    <x v="19"/>
    <n v="-1.4"/>
    <n v="1"/>
    <s v="Fed"/>
    <s v="c8446b7e-dbe4-4aec-8b77-5858941ca234"/>
    <n v="0"/>
    <s v="0:Miguel Diaz Del Moral"/>
    <s v="0:Cañita"/>
    <s v=""/>
    <s v=""/>
    <m/>
    <s v="44485:Miguel Diaz Del Moral"/>
    <n v="1"/>
  </r>
  <r>
    <x v="39"/>
    <x v="16"/>
    <n v="5.8"/>
    <n v="2"/>
    <s v="Fed"/>
    <s v="b4efb485-1c90-472b-9027-3cb53f3241b3"/>
    <n v="0"/>
    <s v="0:Nacho Gonzalez"/>
    <s v="0:Nacho"/>
    <s v=""/>
    <s v=""/>
    <m/>
    <s v="44485:Nacho Gonzalez"/>
    <n v="1"/>
  </r>
  <r>
    <x v="39"/>
    <x v="17"/>
    <n v="13.7"/>
    <n v="3"/>
    <s v="Fed"/>
    <s v="d2454daf-cf4f-4c26-81f3-c5db62e381fb"/>
    <n v="0"/>
    <s v="0:Pablo Munitiz"/>
    <s v="0:Muni"/>
    <s v=""/>
    <s v=""/>
    <m/>
    <s v="44485:Pablo Munitiz"/>
    <n v="1"/>
  </r>
  <r>
    <x v="40"/>
    <x v="0"/>
    <n v="10.4"/>
    <n v="2"/>
    <s v="Fed"/>
    <s v="ca3d45d9-41fc-484b-9d59-d69943c642b6"/>
    <n v="0"/>
    <s v="0:Alfonso Hidalgo"/>
    <s v="0:Alfonso"/>
    <s v=""/>
    <s v=""/>
    <m/>
    <s v="44486:Alfonso Hidalgo"/>
    <n v="1"/>
  </r>
  <r>
    <x v="40"/>
    <x v="1"/>
    <n v="6.7"/>
    <n v="2"/>
    <s v="Fed"/>
    <s v="c1875413-edb2-4a29-9790-6f96f12680be"/>
    <n v="0"/>
    <s v="0:Alvaro Aguirre"/>
    <s v="0:Gifu"/>
    <s v=""/>
    <s v=""/>
    <m/>
    <s v="44486:Alvaro Aguirre"/>
    <n v="1"/>
  </r>
  <r>
    <x v="40"/>
    <x v="2"/>
    <n v="12.7"/>
    <n v="3"/>
    <s v="Fed"/>
    <s v="4be634fd-5b86-48b8-a5ba-555b5deab1b3"/>
    <n v="0"/>
    <s v="0:Alvaro Nieto"/>
    <s v="0:Alvaro"/>
    <s v=""/>
    <s v=""/>
    <m/>
    <s v="44486:Alvaro Nieto"/>
    <n v="1"/>
  </r>
  <r>
    <x v="40"/>
    <x v="3"/>
    <n v="7.6"/>
    <n v="2"/>
    <s v="Fed"/>
    <s v="b5c30aa4-dfed-4e3c-a18d-ee1c937f6496"/>
    <n v="0"/>
    <s v="0:Angel Hernandez"/>
    <s v="0:Angel"/>
    <s v=""/>
    <s v=""/>
    <m/>
    <s v="44486:Angel Hernandez"/>
    <n v="1"/>
  </r>
  <r>
    <x v="40"/>
    <x v="4"/>
    <n v="11.7"/>
    <n v="3"/>
    <s v="Fed"/>
    <s v="c41c35e3-1d63-461a-bb29-bcc62783c961"/>
    <n v="0"/>
    <s v="0:David Sequera"/>
    <s v="0:David"/>
    <s v=""/>
    <s v=""/>
    <m/>
    <s v="44486:David Sequera"/>
    <n v="1"/>
  </r>
  <r>
    <x v="40"/>
    <x v="5"/>
    <n v="14.8"/>
    <n v="3"/>
    <s v="Fed"/>
    <s v="1f127bb6-9234-4714-815a-586521054202"/>
    <n v="0"/>
    <s v="0:Francisco Alvarez"/>
    <s v="0:Paco"/>
    <s v=""/>
    <s v=""/>
    <m/>
    <s v="44486:Francisco Alvarez"/>
    <n v="1"/>
  </r>
  <r>
    <x v="40"/>
    <x v="6"/>
    <n v="14.1"/>
    <n v="3"/>
    <s v="Fed"/>
    <s v="b8012fb3-72f4-4868-b958-90731493e185"/>
    <n v="0"/>
    <s v="0:Francisco Hidalgo"/>
    <s v="0:Fran"/>
    <s v=""/>
    <s v=""/>
    <m/>
    <s v="44486:Francisco Hidalgo"/>
    <n v="1"/>
  </r>
  <r>
    <x v="40"/>
    <x v="7"/>
    <n v="17.8"/>
    <n v="3"/>
    <s v="Fed"/>
    <s v="dba587f6-6ed8-4dc2-a1f2-7521535e8a97"/>
    <n v="0"/>
    <s v="0:GLEZ JUAN JOSÉ"/>
    <s v="0:Juanjo"/>
    <s v=""/>
    <s v=""/>
    <m/>
    <s v="44486:GLEZ JUAN JOSÉ"/>
    <n v="1"/>
  </r>
  <r>
    <x v="40"/>
    <x v="8"/>
    <n v="7.2"/>
    <n v="2"/>
    <s v="Fed"/>
    <s v="22f496e3-72d0-4824-946b-db838afb6418"/>
    <n v="0"/>
    <s v="0:Ignacio Cadarso"/>
    <s v="0:Ignacio"/>
    <s v=""/>
    <s v=""/>
    <m/>
    <s v="44486:Ignacio Cadarso"/>
    <n v="1"/>
  </r>
  <r>
    <x v="40"/>
    <x v="10"/>
    <n v="17.899999999999999"/>
    <n v="3"/>
    <s v="Fed"/>
    <s v="f4d2aa10-7e2a-4844-9630-2857e65640e9"/>
    <n v="0"/>
    <s v="0:J. Enrique Gonzalez"/>
    <s v="0:Kike"/>
    <s v=""/>
    <s v=""/>
    <m/>
    <s v="44486:J. Enrique Gonzalez"/>
    <n v="1"/>
  </r>
  <r>
    <x v="40"/>
    <x v="11"/>
    <n v="16.399999999999999"/>
    <n v="3"/>
    <s v="Fed"/>
    <s v="f84ec957-11ba-4330-aec4-21c4e70e1bc5"/>
    <n v="0"/>
    <s v="0:Javier Cervera"/>
    <s v="0:Virus"/>
    <s v=""/>
    <s v=""/>
    <m/>
    <s v="44486:Javier Cervera"/>
    <n v="1"/>
  </r>
  <r>
    <x v="40"/>
    <x v="12"/>
    <n v="15.7"/>
    <n v="3"/>
    <s v="Fed"/>
    <s v="974e31dc-3399-4496-a1c8-cac25a01d083"/>
    <n v="0"/>
    <s v="0:Javier Gonzalez Salvador"/>
    <s v="0:Javi"/>
    <s v=""/>
    <s v=""/>
    <m/>
    <s v="44486:Javier Gonzalez Salvador"/>
    <n v="1"/>
  </r>
  <r>
    <x v="40"/>
    <x v="13"/>
    <n v="24.2"/>
    <n v="4"/>
    <s v="Fed"/>
    <s v="5fb5382d-51bc-4fbc-8b1a-d0a381ab0b8d"/>
    <n v="0"/>
    <s v="0:Jesus Touceda"/>
    <s v="0:Jesús"/>
    <s v=""/>
    <s v=""/>
    <m/>
    <s v="44486:Jesus Touceda"/>
    <n v="1"/>
  </r>
  <r>
    <x v="40"/>
    <x v="14"/>
    <n v="6.1"/>
    <n v="2"/>
    <s v="Fed"/>
    <s v="d43bb0bb-333b-4af9-a9df-9048af59fab7"/>
    <n v="0"/>
    <s v="0:José Pablo Guil"/>
    <s v="0:JP"/>
    <s v=""/>
    <s v=""/>
    <m/>
    <s v="44486:José Pablo Guil"/>
    <n v="1"/>
  </r>
  <r>
    <x v="40"/>
    <x v="15"/>
    <n v="18.3"/>
    <n v="3"/>
    <s v="Fed"/>
    <s v="7284e2b9-995d-430b-87e6-50c468d38bc4"/>
    <n v="0"/>
    <s v="0:Luis Escudero"/>
    <s v="0:Lucho"/>
    <s v=""/>
    <s v=""/>
    <m/>
    <s v="44486:Luis Escudero"/>
    <n v="1"/>
  </r>
  <r>
    <x v="40"/>
    <x v="21"/>
    <n v="22.6"/>
    <n v="4"/>
    <s v="Fed"/>
    <s v="12ff1e32-609c-403d-a7e0-2fd8ea93a478"/>
    <n v="0"/>
    <s v="0:Miche Lopez"/>
    <s v="0:Miche"/>
    <s v=""/>
    <s v=""/>
    <m/>
    <s v="44486:Miche Lopez"/>
    <n v="1"/>
  </r>
  <r>
    <x v="40"/>
    <x v="19"/>
    <n v="-1.4"/>
    <n v="1"/>
    <s v="Fed"/>
    <s v="f298009f-5252-449e-869d-ab3c2ac656ba"/>
    <n v="0"/>
    <s v="0:Miguel Diaz Del Moral"/>
    <s v="0:Cañita"/>
    <s v=""/>
    <s v=""/>
    <m/>
    <s v="44486:Miguel Diaz Del Moral"/>
    <n v="1"/>
  </r>
  <r>
    <x v="40"/>
    <x v="16"/>
    <n v="5.8"/>
    <n v="2"/>
    <s v="Fed"/>
    <s v="447b8c48-6ddf-4a5d-8f17-4964ca36e120"/>
    <n v="0"/>
    <s v="0:Nacho Gonzalez"/>
    <s v="0:Nacho"/>
    <s v=""/>
    <s v=""/>
    <m/>
    <s v="44486:Nacho Gonzalez"/>
    <n v="1"/>
  </r>
  <r>
    <x v="40"/>
    <x v="17"/>
    <n v="13.7"/>
    <n v="3"/>
    <s v="Fed"/>
    <s v="d7797368-1a87-4523-9f0a-6d65a840b2b7"/>
    <n v="0"/>
    <s v="0:Pablo Munitiz"/>
    <s v="0:Muni"/>
    <s v=""/>
    <s v=""/>
    <m/>
    <s v="44486:Pablo Munitiz"/>
    <n v="1"/>
  </r>
  <r>
    <x v="41"/>
    <x v="0"/>
    <n v="10.4"/>
    <n v="2"/>
    <s v="Fed"/>
    <s v="d4a48dba-8e28-4813-8391-1ffb7b8ca94a"/>
    <n v="0"/>
    <s v="0:Alfonso Hidalgo"/>
    <s v="0:Alfonso"/>
    <s v=""/>
    <s v=""/>
    <m/>
    <s v="44513:Alfonso Hidalgo"/>
    <n v="1"/>
  </r>
  <r>
    <x v="41"/>
    <x v="1"/>
    <n v="6.7"/>
    <n v="2"/>
    <s v="Fed"/>
    <s v="b755e563-8b28-4fb0-acd4-2abd950e51d3"/>
    <n v="0"/>
    <s v="0:Alvaro Aguirre"/>
    <s v="0:Gifu"/>
    <s v=""/>
    <s v=""/>
    <m/>
    <s v="44513:Alvaro Aguirre"/>
    <n v="1"/>
  </r>
  <r>
    <x v="41"/>
    <x v="2"/>
    <n v="12.7"/>
    <n v="3"/>
    <s v="Fed"/>
    <s v="292af2fb-350e-4d0b-b2aa-e403ba8d3828"/>
    <n v="0"/>
    <s v="0:Alvaro Nieto"/>
    <s v="0:Alvaro"/>
    <s v=""/>
    <s v=""/>
    <m/>
    <s v="44513:Alvaro Nieto"/>
    <n v="1"/>
  </r>
  <r>
    <x v="41"/>
    <x v="3"/>
    <n v="7.6"/>
    <n v="2"/>
    <s v="Fed"/>
    <s v="e5bbf07d-a941-4047-af8f-88dbe8bb964a"/>
    <n v="0"/>
    <s v="0:Angel Hernandez"/>
    <s v="0:Angel"/>
    <s v=""/>
    <s v=""/>
    <m/>
    <s v="44513:Angel Hernandez"/>
    <n v="1"/>
  </r>
  <r>
    <x v="41"/>
    <x v="4"/>
    <n v="12.2"/>
    <n v="3"/>
    <s v="Fed"/>
    <s v="0a713956-7921-4052-863f-df8e9c62541e"/>
    <n v="0"/>
    <s v="0:David Sequera"/>
    <s v="0:David"/>
    <s v=""/>
    <s v=""/>
    <m/>
    <s v="44513:David Sequera"/>
    <n v="1"/>
  </r>
  <r>
    <x v="41"/>
    <x v="5"/>
    <n v="14.8"/>
    <n v="3"/>
    <s v="Fed"/>
    <s v="f84d6b04-3786-4e65-92a4-e5fa4dc4b5e6"/>
    <n v="0"/>
    <s v="0:Francisco Alvarez"/>
    <s v="0:Paco"/>
    <s v=""/>
    <s v=""/>
    <m/>
    <s v="44513:Francisco Alvarez"/>
    <n v="1"/>
  </r>
  <r>
    <x v="41"/>
    <x v="6"/>
    <n v="13.2"/>
    <n v="3"/>
    <s v="Fed"/>
    <s v="a4419aba-0f72-42ed-a16f-4d2966b76ae2"/>
    <n v="0"/>
    <s v="0:Francisco Hidalgo"/>
    <s v="0:Fran"/>
    <s v=""/>
    <s v=""/>
    <m/>
    <s v="44513:Francisco Hidalgo"/>
    <n v="1"/>
  </r>
  <r>
    <x v="41"/>
    <x v="7"/>
    <n v="18.100000000000001"/>
    <n v="3"/>
    <s v="Fed"/>
    <s v="d8cfeb22-ad70-4f21-b6f2-a641236bc84e"/>
    <n v="0"/>
    <s v="0:GLEZ JUAN JOSÉ"/>
    <s v="0:Juanjo"/>
    <s v=""/>
    <s v=""/>
    <m/>
    <s v="44513:GLEZ JUAN JOSÉ"/>
    <n v="1"/>
  </r>
  <r>
    <x v="41"/>
    <x v="8"/>
    <n v="8"/>
    <n v="2"/>
    <s v="Fed"/>
    <s v="62081554-17f6-45fc-aa00-70ca7f26f881"/>
    <n v="0"/>
    <s v="0:Ignacio Cadarso"/>
    <s v="0:Ignacio"/>
    <s v=""/>
    <s v=""/>
    <m/>
    <s v="44513:Ignacio Cadarso"/>
    <n v="1"/>
  </r>
  <r>
    <x v="41"/>
    <x v="10"/>
    <n v="18.5"/>
    <n v="4"/>
    <s v="Fed"/>
    <s v="14e9d397-c714-4552-ba9e-cfe928928b58"/>
    <n v="0"/>
    <s v="0:J. Enrique Gonzalez"/>
    <s v="0:Kike"/>
    <s v=""/>
    <s v=""/>
    <m/>
    <s v="44513:J. Enrique Gonzalez"/>
    <n v="1"/>
  </r>
  <r>
    <x v="41"/>
    <x v="11"/>
    <n v="17"/>
    <n v="3"/>
    <s v="Fed"/>
    <s v="ac0b2d52-4cb5-43fe-9ffd-03c42cee1445"/>
    <n v="0"/>
    <s v="0:Javier Cervera"/>
    <s v="0:Virus"/>
    <s v=""/>
    <s v=""/>
    <m/>
    <s v="44513:Javier Cervera"/>
    <n v="1"/>
  </r>
  <r>
    <x v="41"/>
    <x v="12"/>
    <n v="15.7"/>
    <n v="3"/>
    <s v="Fed"/>
    <s v="40797a05-0102-40ab-91df-7670005d91bf"/>
    <n v="0"/>
    <s v="0:Javier Gonzalez Salvador"/>
    <s v="0:Javi"/>
    <s v=""/>
    <s v=""/>
    <m/>
    <s v="44513:Javier Gonzalez Salvador"/>
    <n v="1"/>
  </r>
  <r>
    <x v="41"/>
    <x v="13"/>
    <n v="25.1"/>
    <n v="4"/>
    <s v="Fed"/>
    <s v="77b3adfb-35bc-4f4f-b575-3997009eef86"/>
    <n v="0"/>
    <s v="0:Jesus Touceda"/>
    <s v="0:Jesús"/>
    <s v=""/>
    <s v=""/>
    <m/>
    <s v="44513:Jesus Touceda"/>
    <n v="1"/>
  </r>
  <r>
    <x v="41"/>
    <x v="14"/>
    <n v="6.7"/>
    <n v="2"/>
    <s v="Fed"/>
    <s v="964dfcf8-6589-446f-86a8-cca6558d4331"/>
    <n v="0"/>
    <s v="0:José Pablo Guil"/>
    <s v="0:JP"/>
    <s v=""/>
    <s v=""/>
    <m/>
    <s v="44513:José Pablo Guil"/>
    <n v="1"/>
  </r>
  <r>
    <x v="41"/>
    <x v="15"/>
    <n v="18.3"/>
    <n v="3"/>
    <s v="Fed"/>
    <s v="36dec50d-e709-4572-b7af-baaa524efce4"/>
    <n v="0"/>
    <s v="0:Luis Escudero"/>
    <s v="0:Lucho"/>
    <s v=""/>
    <s v=""/>
    <m/>
    <s v="44513:Luis Escudero"/>
    <n v="1"/>
  </r>
  <r>
    <x v="41"/>
    <x v="21"/>
    <n v="22.6"/>
    <n v="4"/>
    <s v="Fed"/>
    <s v="65e6faaa-b46f-48a1-8a0b-834e96238e62"/>
    <n v="0"/>
    <s v="0:Miche Lopez"/>
    <s v="0:Miche"/>
    <s v=""/>
    <s v=""/>
    <m/>
    <s v="44513:Miche Lopez"/>
    <n v="1"/>
  </r>
  <r>
    <x v="41"/>
    <x v="19"/>
    <n v="-1.4"/>
    <n v="1"/>
    <s v="Fed"/>
    <s v="13f4b149-6240-432e-a5ce-66f0df677ee1"/>
    <n v="0"/>
    <s v="0:Miguel Diaz Del Moral"/>
    <s v="0:Cañita"/>
    <s v=""/>
    <s v=""/>
    <m/>
    <s v="44513:Miguel Diaz Del Moral"/>
    <n v="1"/>
  </r>
  <r>
    <x v="41"/>
    <x v="16"/>
    <n v="5.8"/>
    <n v="2"/>
    <s v="Fed"/>
    <s v="4f98a005-3692-43bc-88d8-5690d86e82b4"/>
    <n v="0"/>
    <s v="0:Nacho Gonzalez"/>
    <s v="0:Nacho"/>
    <s v=""/>
    <s v=""/>
    <m/>
    <s v="44513:Nacho Gonzalez"/>
    <n v="1"/>
  </r>
  <r>
    <x v="41"/>
    <x v="17"/>
    <n v="13.7"/>
    <n v="3"/>
    <s v="Fed"/>
    <s v="8a517388-8d8e-44e4-b7d0-db20e463b87b"/>
    <n v="0"/>
    <s v="0:Pablo Munitiz"/>
    <s v="0:Muni"/>
    <s v=""/>
    <s v=""/>
    <m/>
    <s v="44513:Pablo Munitiz"/>
    <n v="1"/>
  </r>
  <r>
    <x v="42"/>
    <x v="0"/>
    <n v="11"/>
    <n v="2"/>
    <s v="Fed"/>
    <s v="0173b95d-8f22-483c-999e-cf127f109def"/>
    <n v="0"/>
    <s v="0:Alfonso Hidalgo"/>
    <s v="0:Alfonso"/>
    <s v=""/>
    <s v=""/>
    <m/>
    <s v="44541:Alfonso Hidalgo"/>
    <n v="1"/>
  </r>
  <r>
    <x v="42"/>
    <x v="1"/>
    <n v="6.9"/>
    <n v="2"/>
    <s v="Fed"/>
    <s v="167feeb0-59fa-482b-9d66-1104bc84e282"/>
    <n v="0"/>
    <s v="0:Alvaro Aguirre"/>
    <s v="0:Gifu"/>
    <s v=""/>
    <s v=""/>
    <m/>
    <s v="44541:Alvaro Aguirre"/>
    <n v="1"/>
  </r>
  <r>
    <x v="42"/>
    <x v="2"/>
    <n v="13.1"/>
    <n v="3"/>
    <s v="Fed"/>
    <s v="9d32b02e-c35a-48f8-bf6e-551047d7347c"/>
    <n v="0"/>
    <s v="0:Alvaro Nieto"/>
    <s v="0:Alvaro"/>
    <s v=""/>
    <s v=""/>
    <m/>
    <s v="44541:Alvaro Nieto"/>
    <n v="1"/>
  </r>
  <r>
    <x v="42"/>
    <x v="3"/>
    <n v="7.6"/>
    <n v="2"/>
    <s v="Fed"/>
    <s v="90cb88c7-f1ba-4da5-a15b-957ee30b36b0"/>
    <n v="0"/>
    <s v="0:Angel Hernandez"/>
    <s v="0:Angel"/>
    <s v=""/>
    <s v=""/>
    <m/>
    <s v="44541:Angel Hernandez"/>
    <n v="1"/>
  </r>
  <r>
    <x v="42"/>
    <x v="4"/>
    <n v="12.7"/>
    <n v="3"/>
    <s v="Fed"/>
    <s v="bf7f1718-890e-4ea2-aae4-26b00e0319be"/>
    <n v="0"/>
    <s v="0:David Sequera"/>
    <s v="0:David"/>
    <s v=""/>
    <s v=""/>
    <m/>
    <s v="44541:David Sequera"/>
    <n v="1"/>
  </r>
  <r>
    <x v="42"/>
    <x v="5"/>
    <n v="14.2"/>
    <n v="3"/>
    <s v="Fed"/>
    <s v="06ebf408-87bd-457a-9115-4e2f199377a2"/>
    <n v="0"/>
    <s v="0:Francisco Alvarez"/>
    <s v="0:Paco"/>
    <s v=""/>
    <s v=""/>
    <m/>
    <s v="44541:Francisco Alvarez"/>
    <n v="1"/>
  </r>
  <r>
    <x v="42"/>
    <x v="6"/>
    <n v="13.2"/>
    <n v="3"/>
    <s v="Fed"/>
    <s v="7d4b422d-32de-480e-939c-17b2ffc0fcc6"/>
    <n v="0"/>
    <s v="0:Francisco Hidalgo"/>
    <s v="0:Fran"/>
    <s v=""/>
    <s v=""/>
    <m/>
    <s v="44541:Francisco Hidalgo"/>
    <n v="1"/>
  </r>
  <r>
    <x v="42"/>
    <x v="7"/>
    <n v="18.100000000000001"/>
    <n v="3"/>
    <s v="Fed"/>
    <s v="c064b422-d83f-472e-9f80-1975433a4801"/>
    <n v="0"/>
    <s v="0:GLEZ JUAN JOSÉ"/>
    <s v="0:Juanjo"/>
    <s v=""/>
    <s v=""/>
    <m/>
    <s v="44541:GLEZ JUAN JOSÉ"/>
    <n v="1"/>
  </r>
  <r>
    <x v="42"/>
    <x v="8"/>
    <n v="8.4"/>
    <n v="2"/>
    <s v="Fed"/>
    <s v="c1286282-2f8b-44bc-8319-3901358a0f60"/>
    <n v="0"/>
    <s v="0:Ignacio Cadarso"/>
    <s v="0:Ignacio"/>
    <s v=""/>
    <s v=""/>
    <m/>
    <s v="44541:Ignacio Cadarso"/>
    <n v="1"/>
  </r>
  <r>
    <x v="42"/>
    <x v="10"/>
    <n v="18.8"/>
    <n v="4"/>
    <s v="Fed"/>
    <s v="9b8150b6-205a-4501-bc65-63c327513fd0"/>
    <n v="0"/>
    <s v="0:J. Enrique Gonzalez"/>
    <s v="0:Kike"/>
    <s v=""/>
    <s v=""/>
    <m/>
    <s v="44541:J. Enrique Gonzalez"/>
    <n v="1"/>
  </r>
  <r>
    <x v="42"/>
    <x v="11"/>
    <n v="17.2"/>
    <n v="3"/>
    <s v="Fed"/>
    <s v="f7f75d4c-a67b-4d13-bb09-a709e1220581"/>
    <n v="0"/>
    <s v="0:Javier Cervera"/>
    <s v="0:Virus"/>
    <s v=""/>
    <s v=""/>
    <m/>
    <s v="44541:Javier Cervera"/>
    <n v="1"/>
  </r>
  <r>
    <x v="42"/>
    <x v="12"/>
    <n v="16.399999999999999"/>
    <n v="3"/>
    <s v="Fed"/>
    <s v="ac371cc6-5b56-4b1d-95f7-b805af86c2d3"/>
    <n v="0"/>
    <s v="0:Javier Gonzalez Salvador"/>
    <s v="0:Javi"/>
    <s v=""/>
    <s v=""/>
    <m/>
    <s v="44541:Javier Gonzalez Salvador"/>
    <n v="1"/>
  </r>
  <r>
    <x v="42"/>
    <x v="13"/>
    <n v="25.6"/>
    <n v="4"/>
    <s v="Fed"/>
    <s v="9a56baff-941f-41ee-bd20-4ca2af472606"/>
    <n v="0"/>
    <s v="0:Jesus Touceda"/>
    <s v="0:Jesús"/>
    <s v=""/>
    <s v=""/>
    <m/>
    <s v="44541:Jesus Touceda"/>
    <n v="1"/>
  </r>
  <r>
    <x v="42"/>
    <x v="14"/>
    <n v="6.7"/>
    <n v="2"/>
    <s v="Fed"/>
    <s v="86cefaf7-17b9-4050-a59f-fafcb61ac9fa"/>
    <n v="0"/>
    <s v="0:José Pablo Guil"/>
    <s v="0:JP"/>
    <s v=""/>
    <s v=""/>
    <m/>
    <s v="44541:José Pablo Guil"/>
    <n v="1"/>
  </r>
  <r>
    <x v="42"/>
    <x v="15"/>
    <n v="18.5"/>
    <n v="4"/>
    <s v="Fed"/>
    <s v="cc6147d3-d599-4102-a24b-c6bee55b0af7"/>
    <n v="0"/>
    <s v="0:Luis Escudero"/>
    <s v="0:Lucho"/>
    <s v=""/>
    <s v=""/>
    <m/>
    <s v="44541:Luis Escudero"/>
    <n v="1"/>
  </r>
  <r>
    <x v="42"/>
    <x v="21"/>
    <n v="23.6"/>
    <n v="4"/>
    <s v="Fed"/>
    <s v="65d27efd-3ee8-4955-b44e-871bff704f36"/>
    <n v="0"/>
    <s v="0:Miche Lopez"/>
    <s v="0:Miche"/>
    <s v=""/>
    <s v=""/>
    <m/>
    <s v="44541:Miche Lopez"/>
    <n v="1"/>
  </r>
  <r>
    <x v="42"/>
    <x v="19"/>
    <n v="-1.4"/>
    <n v="1"/>
    <s v="Fed"/>
    <s v="4d0db8ff-09fc-4047-911a-27bb53ad8bdf"/>
    <n v="0"/>
    <s v="0:Miguel Diaz Del Moral"/>
    <s v="0:Cañita"/>
    <s v=""/>
    <s v=""/>
    <m/>
    <s v="44541:Miguel Diaz Del Moral"/>
    <n v="1"/>
  </r>
  <r>
    <x v="42"/>
    <x v="16"/>
    <n v="6.6"/>
    <n v="2"/>
    <s v="Fed"/>
    <s v="c5e538e4-fabe-4958-8988-969391cb7042"/>
    <n v="0"/>
    <s v="0:Nacho Gonzalez"/>
    <s v="0:Nacho"/>
    <s v=""/>
    <s v=""/>
    <m/>
    <s v="44541:Nacho Gonzalez"/>
    <n v="1"/>
  </r>
  <r>
    <x v="42"/>
    <x v="17"/>
    <n v="13.7"/>
    <n v="3"/>
    <s v="Fed"/>
    <s v="05fa8de5-d323-4919-8705-48718293fe4a"/>
    <n v="0"/>
    <s v="0:Pablo Munitiz"/>
    <s v="0:Muni"/>
    <s v=""/>
    <s v=""/>
    <m/>
    <s v="44541:Pablo Munitiz"/>
    <n v="1"/>
  </r>
  <r>
    <x v="43"/>
    <x v="0"/>
    <n v="10.6"/>
    <n v="2"/>
    <s v="Fed"/>
    <s v="da2b96c4-34d9-4642-b480-9cee9cdb6a0a"/>
    <n v="0"/>
    <s v="0:Alfonso Hidalgo"/>
    <s v="0:Alfonso"/>
    <s v=""/>
    <s v=""/>
    <m/>
    <s v="44546:Alfonso Hidalgo"/>
    <n v="1"/>
  </r>
  <r>
    <x v="43"/>
    <x v="1"/>
    <n v="7"/>
    <n v="2"/>
    <s v="Fed"/>
    <s v="897f2159-deed-4fad-b127-3e724d1ce025"/>
    <n v="0"/>
    <s v="0:Alvaro Aguirre"/>
    <s v="0:Gifu"/>
    <s v=""/>
    <s v=""/>
    <m/>
    <s v="44546:Alvaro Aguirre"/>
    <n v="1"/>
  </r>
  <r>
    <x v="43"/>
    <x v="2"/>
    <n v="13.1"/>
    <n v="3"/>
    <s v="Fed"/>
    <s v="41fb89ba-8748-41e8-8f10-68efbc7de02e"/>
    <n v="0"/>
    <s v="0:Alvaro Nieto"/>
    <s v="0:Alvaro"/>
    <s v=""/>
    <s v=""/>
    <m/>
    <s v="44546:Alvaro Nieto"/>
    <n v="1"/>
  </r>
  <r>
    <x v="43"/>
    <x v="3"/>
    <n v="7.6"/>
    <n v="2"/>
    <s v="Fed"/>
    <s v="d7fc2514-537c-4563-b420-7882ad21c1ac"/>
    <n v="0"/>
    <s v="0:Angel Hernandez"/>
    <s v="0:Angel"/>
    <s v=""/>
    <s v=""/>
    <m/>
    <s v="44546:Angel Hernandez"/>
    <n v="1"/>
  </r>
  <r>
    <x v="43"/>
    <x v="4"/>
    <n v="12.7"/>
    <n v="3"/>
    <s v="Fed"/>
    <s v="27aa222b-64e7-49a2-b930-0a236c8bb466"/>
    <n v="0"/>
    <s v="0:David Sequera"/>
    <s v="0:David"/>
    <s v=""/>
    <s v=""/>
    <m/>
    <s v="44546:David Sequera"/>
    <n v="1"/>
  </r>
  <r>
    <x v="43"/>
    <x v="5"/>
    <n v="14.2"/>
    <n v="3"/>
    <s v="Fed"/>
    <s v="6ed9b811-f92d-43b2-8ba3-0ac9255bcf54"/>
    <n v="0"/>
    <s v="0:Francisco Alvarez"/>
    <s v="0:Paco"/>
    <s v=""/>
    <s v=""/>
    <m/>
    <s v="44546:Francisco Alvarez"/>
    <n v="1"/>
  </r>
  <r>
    <x v="43"/>
    <x v="6"/>
    <n v="13.2"/>
    <n v="3"/>
    <s v="Fed"/>
    <s v="84ee7781-a561-4254-bcad-a94d8b1b8a0d"/>
    <n v="0"/>
    <s v="0:Francisco Hidalgo"/>
    <s v="0:Fran"/>
    <s v=""/>
    <s v=""/>
    <m/>
    <s v="44546:Francisco Hidalgo"/>
    <n v="1"/>
  </r>
  <r>
    <x v="43"/>
    <x v="7"/>
    <n v="18.600000000000001"/>
    <n v="4"/>
    <s v="Fed"/>
    <s v="2713e8ca-301b-4ac3-ab14-9a652c79993b"/>
    <n v="0"/>
    <s v="0:GLEZ JUAN JOSÉ"/>
    <s v="0:Juanjo"/>
    <s v=""/>
    <s v=""/>
    <m/>
    <s v="44546:GLEZ JUAN JOSÉ"/>
    <n v="1"/>
  </r>
  <r>
    <x v="43"/>
    <x v="8"/>
    <n v="8.4"/>
    <n v="2"/>
    <s v="Fed"/>
    <s v="726e9fba-ed3f-4ca6-9faf-3599236d5d79"/>
    <n v="0"/>
    <s v="0:Ignacio Cadarso"/>
    <s v="0:Ignacio"/>
    <s v=""/>
    <s v=""/>
    <m/>
    <s v="44546:Ignacio Cadarso"/>
    <n v="1"/>
  </r>
  <r>
    <x v="43"/>
    <x v="10"/>
    <n v="18.600000000000001"/>
    <n v="4"/>
    <s v="Fed"/>
    <s v="e118bc30-2b3a-416b-bda1-f202c20d60b8"/>
    <n v="0"/>
    <s v="0:J. Enrique Gonzalez"/>
    <s v="0:Kike"/>
    <s v=""/>
    <s v=""/>
    <m/>
    <s v="44546:J. Enrique Gonzalez"/>
    <n v="1"/>
  </r>
  <r>
    <x v="43"/>
    <x v="11"/>
    <n v="17.2"/>
    <n v="3"/>
    <s v="Fed"/>
    <s v="dc7c2220-f7e2-4e80-8dcc-9b7c698a1cac"/>
    <n v="0"/>
    <s v="0:Javier Cervera"/>
    <s v="0:Virus"/>
    <s v=""/>
    <s v=""/>
    <m/>
    <s v="44546:Javier Cervera"/>
    <n v="1"/>
  </r>
  <r>
    <x v="43"/>
    <x v="12"/>
    <n v="16.399999999999999"/>
    <n v="3"/>
    <s v="Fed"/>
    <s v="3c9a81f0-6d7c-4477-9708-7ad140fd7346"/>
    <n v="0"/>
    <s v="0:Javier Gonzalez Salvador"/>
    <s v="0:Javi"/>
    <s v=""/>
    <s v=""/>
    <m/>
    <s v="44546:Javier Gonzalez Salvador"/>
    <n v="1"/>
  </r>
  <r>
    <x v="43"/>
    <x v="13"/>
    <n v="25.6"/>
    <n v="4"/>
    <s v="Fed"/>
    <s v="ea9d710f-4f44-43d9-8eff-b6672ce80859"/>
    <n v="0"/>
    <s v="0:Jesus Touceda"/>
    <s v="0:Jesús"/>
    <s v=""/>
    <s v=""/>
    <m/>
    <s v="44546:Jesus Touceda"/>
    <n v="1"/>
  </r>
  <r>
    <x v="43"/>
    <x v="14"/>
    <n v="6.7"/>
    <n v="2"/>
    <s v="Fed"/>
    <s v="3d81cfcb-aa83-46ae-a129-ca5061d5fc5d"/>
    <n v="0"/>
    <s v="0:José Pablo Guil"/>
    <s v="0:JP"/>
    <s v=""/>
    <s v=""/>
    <m/>
    <s v="44546:José Pablo Guil"/>
    <n v="1"/>
  </r>
  <r>
    <x v="43"/>
    <x v="15"/>
    <n v="18.5"/>
    <n v="4"/>
    <s v="Fed"/>
    <s v="28c07721-2707-4471-afb6-81f0287b657f"/>
    <n v="0"/>
    <s v="0:Luis Escudero"/>
    <s v="0:Lucho"/>
    <s v=""/>
    <s v=""/>
    <m/>
    <s v="44546:Luis Escudero"/>
    <n v="1"/>
  </r>
  <r>
    <x v="43"/>
    <x v="21"/>
    <n v="23.6"/>
    <n v="4"/>
    <s v="Fed"/>
    <s v="d9737677-25fe-4a5c-a246-c5ccc6279cb8"/>
    <n v="0"/>
    <s v="0:Miche Lopez"/>
    <s v="0:Miche"/>
    <s v=""/>
    <s v=""/>
    <m/>
    <s v="44546:Miche Lopez"/>
    <n v="1"/>
  </r>
  <r>
    <x v="43"/>
    <x v="19"/>
    <n v="-0.9"/>
    <n v="1"/>
    <s v="Fed"/>
    <s v="0311e575-e74a-4a49-998e-8eb132c43705"/>
    <n v="0"/>
    <s v="0:Miguel Diaz Del Moral"/>
    <s v="0:Cañita"/>
    <s v=""/>
    <s v=""/>
    <m/>
    <s v="44546:Miguel Diaz Del Moral"/>
    <n v="1"/>
  </r>
  <r>
    <x v="43"/>
    <x v="16"/>
    <n v="6.4"/>
    <n v="2"/>
    <s v="Fed"/>
    <s v="b8c6318b-585a-4a8f-a9d6-91dc2e220a05"/>
    <n v="0"/>
    <s v="0:Nacho Gonzalez"/>
    <s v="0:Nacho"/>
    <s v=""/>
    <s v=""/>
    <m/>
    <s v="44546:Nacho Gonzalez"/>
    <n v="1"/>
  </r>
  <r>
    <x v="43"/>
    <x v="17"/>
    <n v="13.7"/>
    <n v="3"/>
    <s v="Fed"/>
    <s v="815b15e0-8ce2-44cf-941f-887acf5e3ecb"/>
    <n v="0"/>
    <s v="0:Pablo Munitiz"/>
    <s v="0:Muni"/>
    <s v=""/>
    <s v=""/>
    <m/>
    <s v="44546:Pablo Munitiz"/>
    <n v="1"/>
  </r>
  <r>
    <x v="44"/>
    <x v="0"/>
    <n v="10.9"/>
    <n v="2"/>
    <s v="Fed"/>
    <s v="e8c641fe-8f47-4e40-8c2e-a236a2a4e16e"/>
    <n v="0"/>
    <s v="0:Alfonso Hidalgo"/>
    <s v="0:Alfonso"/>
    <s v=""/>
    <s v=""/>
    <m/>
    <s v="44584:Alfonso Hidalgo"/>
    <n v="1"/>
  </r>
  <r>
    <x v="44"/>
    <x v="22"/>
    <n v="13.3"/>
    <n v="3"/>
    <s v="Fed"/>
    <s v="5e8cc955-cf35-47a9-821a-dd44ed53a0bb"/>
    <n v="0"/>
    <s v="0:Alfonso Zorrilla"/>
    <s v="0:A Zorrilla"/>
    <s v=""/>
    <s v=""/>
    <m/>
    <s v="44584:Alfonso Zorrilla"/>
    <n v="1"/>
  </r>
  <r>
    <x v="44"/>
    <x v="1"/>
    <n v="7.3"/>
    <n v="2"/>
    <s v="Fed"/>
    <s v="917c7110-2636-4987-ba35-afbd5f898c80"/>
    <n v="0"/>
    <s v="0:Alvaro Aguirre"/>
    <s v="0:Gifu"/>
    <s v=""/>
    <s v=""/>
    <m/>
    <s v="44584:Alvaro Aguirre"/>
    <n v="1"/>
  </r>
  <r>
    <x v="44"/>
    <x v="23"/>
    <n v="7.6"/>
    <n v="2"/>
    <s v="Fed"/>
    <s v="8ee748f2-1f63-4001-ad43-980651c31138"/>
    <n v="0"/>
    <s v="0:Alvaro Montoya"/>
    <s v="0:Monti"/>
    <s v=""/>
    <s v=""/>
    <m/>
    <s v="44584:Alvaro Montoya"/>
    <n v="1"/>
  </r>
  <r>
    <x v="44"/>
    <x v="2"/>
    <n v="13.1"/>
    <n v="3"/>
    <s v="Fed"/>
    <s v="d680b7a3-e9f7-4563-acc0-0832df78900a"/>
    <n v="0"/>
    <s v="0:Alvaro Nieto"/>
    <s v="0:Alvaro"/>
    <s v=""/>
    <s v=""/>
    <m/>
    <s v="44584:Alvaro Nieto"/>
    <n v="1"/>
  </r>
  <r>
    <x v="44"/>
    <x v="3"/>
    <n v="7.6"/>
    <n v="2"/>
    <s v="Fed"/>
    <s v="7632ad0f-1164-400f-968b-01fc19abcff0"/>
    <n v="0"/>
    <s v="0:Angel Hernandez"/>
    <s v="0:Angel"/>
    <s v=""/>
    <s v=""/>
    <m/>
    <s v="44584:Angel Hernandez"/>
    <n v="1"/>
  </r>
  <r>
    <x v="44"/>
    <x v="4"/>
    <n v="12.7"/>
    <n v="3"/>
    <s v="Fed"/>
    <s v="e91cf1f3-7344-42b5-890b-14a8b7d3fb82"/>
    <n v="0"/>
    <s v="0:David Sequera"/>
    <s v="0:David"/>
    <s v=""/>
    <s v=""/>
    <m/>
    <s v="44584:David Sequera"/>
    <n v="1"/>
  </r>
  <r>
    <x v="44"/>
    <x v="5"/>
    <n v="14.2"/>
    <n v="3"/>
    <s v="Fed"/>
    <s v="fc6ef49b-649f-4304-a831-59ad6e1b33e3"/>
    <n v="0"/>
    <s v="0:Francisco Alvarez"/>
    <s v="0:Paco"/>
    <s v=""/>
    <s v=""/>
    <m/>
    <s v="44584:Francisco Alvarez"/>
    <n v="1"/>
  </r>
  <r>
    <x v="44"/>
    <x v="6"/>
    <n v="12.4"/>
    <n v="3"/>
    <s v="Fed"/>
    <s v="2b44779a-08e0-43a1-afe7-767d5f36b705"/>
    <n v="0"/>
    <s v="0:Francisco Hidalgo"/>
    <s v="0:Fran"/>
    <s v=""/>
    <s v=""/>
    <m/>
    <s v="44584:Francisco Hidalgo"/>
    <n v="1"/>
  </r>
  <r>
    <x v="44"/>
    <x v="24"/>
    <n v="14.4"/>
    <n v="3"/>
    <s v="Fed"/>
    <s v="3ef861a9-34f9-41d4-88f7-fed374c97da8"/>
    <n v="0"/>
    <s v="0:Franck Benouniche"/>
    <s v="0:Franck"/>
    <s v=""/>
    <s v=""/>
    <m/>
    <s v="44584:Franck Benouniche"/>
    <n v="1"/>
  </r>
  <r>
    <x v="44"/>
    <x v="7"/>
    <n v="18.5"/>
    <n v="4"/>
    <s v="Fed"/>
    <s v="6ad772b6-3f1a-4ee4-b3d1-b46198469645"/>
    <n v="0"/>
    <s v="0:GLEZ JUAN JOSÉ"/>
    <s v="0:Juanjo"/>
    <s v=""/>
    <s v=""/>
    <m/>
    <s v="44584:GLEZ JUAN JOSÉ"/>
    <n v="1"/>
  </r>
  <r>
    <x v="44"/>
    <x v="8"/>
    <n v="8.3000000000000007"/>
    <n v="2"/>
    <s v="Fed"/>
    <s v="7671f18f-f128-4617-9d5e-b394968dd2db"/>
    <n v="0"/>
    <s v="0:Ignacio Cadarso"/>
    <s v="0:Ignacio"/>
    <s v=""/>
    <s v=""/>
    <m/>
    <s v="44584:Ignacio Cadarso"/>
    <n v="1"/>
  </r>
  <r>
    <x v="44"/>
    <x v="10"/>
    <n v="18"/>
    <n v="3"/>
    <s v="Fed"/>
    <s v="f5a01606-84e8-4092-8148-e436650df722"/>
    <n v="0"/>
    <s v="0:J. Enrique Gonzalez"/>
    <s v="0:Kike"/>
    <s v=""/>
    <s v=""/>
    <m/>
    <s v="44584:J. Enrique Gonzalez"/>
    <n v="1"/>
  </r>
  <r>
    <x v="44"/>
    <x v="11"/>
    <n v="16.899999999999999"/>
    <n v="3"/>
    <s v="Fed"/>
    <s v="10a35643-f7c7-41ae-863d-bd6cc1defb45"/>
    <n v="0"/>
    <s v="0:Javier Cervera"/>
    <s v="0:Virus"/>
    <s v=""/>
    <s v=""/>
    <m/>
    <s v="44584:Javier Cervera"/>
    <n v="1"/>
  </r>
  <r>
    <x v="44"/>
    <x v="25"/>
    <n v="10.8"/>
    <n v="2"/>
    <s v="Fed"/>
    <s v="0f0c6036-01f5-4624-b3bd-e458d9c85a46"/>
    <n v="0"/>
    <s v="0:Javier Chiralt"/>
    <s v="0:Chiralt"/>
    <s v=""/>
    <s v=""/>
    <m/>
    <s v="44584:Javier Chiralt"/>
    <n v="1"/>
  </r>
  <r>
    <x v="44"/>
    <x v="12"/>
    <n v="16.399999999999999"/>
    <n v="3"/>
    <s v="Fed"/>
    <s v="c826f857-cb48-4033-a279-767528970936"/>
    <n v="0"/>
    <s v="0:Javier Gonzalez Salvador"/>
    <s v="0:Javi"/>
    <s v=""/>
    <s v=""/>
    <m/>
    <s v="44584:Javier Gonzalez Salvador"/>
    <n v="1"/>
  </r>
  <r>
    <x v="44"/>
    <x v="26"/>
    <n v="24.8"/>
    <n v="4"/>
    <s v="Fed"/>
    <s v="db467d36-da02-42e0-9a44-88ec646eb073"/>
    <n v="0"/>
    <s v="0:Javier Lopez Gullón"/>
    <s v="0:Cuñao"/>
    <s v=""/>
    <s v=""/>
    <m/>
    <s v="44584:Javier Lopez Gullón"/>
    <n v="1"/>
  </r>
  <r>
    <x v="44"/>
    <x v="13"/>
    <n v="25.8"/>
    <n v="4"/>
    <s v="Fed"/>
    <s v="6d52d759-0f01-4160-a6d2-382cac664dbb"/>
    <n v="0"/>
    <s v="0:Jesus Touceda"/>
    <s v="0:Jesús"/>
    <s v=""/>
    <s v=""/>
    <m/>
    <s v="44584:Jesus Touceda"/>
    <n v="1"/>
  </r>
  <r>
    <x v="44"/>
    <x v="14"/>
    <n v="7.2"/>
    <n v="2"/>
    <s v="Fed"/>
    <s v="91ec4658-8147-4d36-8ca7-26cbe1c42adf"/>
    <n v="0"/>
    <s v="0:José Pablo Guil"/>
    <s v="0:JP"/>
    <s v=""/>
    <s v=""/>
    <m/>
    <s v="44584:José Pablo Guil"/>
    <n v="1"/>
  </r>
  <r>
    <x v="44"/>
    <x v="15"/>
    <n v="18.5"/>
    <n v="4"/>
    <s v="Fed"/>
    <s v="a3a1be76-bfe9-4e10-9d7d-b68b2718d79c"/>
    <n v="0"/>
    <s v="0:Luis Escudero"/>
    <s v="0:Lucho"/>
    <s v=""/>
    <s v=""/>
    <m/>
    <s v="44584:Luis Escudero"/>
    <n v="1"/>
  </r>
  <r>
    <x v="44"/>
    <x v="21"/>
    <n v="23.6"/>
    <n v="4"/>
    <s v="Fed"/>
    <s v="e05d5034-fe5d-4157-9a4f-7d9171ec395a"/>
    <n v="0"/>
    <s v="0:Miche Lopez"/>
    <s v="0:Miche"/>
    <s v=""/>
    <s v=""/>
    <m/>
    <s v="44584:Miche Lopez"/>
    <n v="1"/>
  </r>
  <r>
    <x v="44"/>
    <x v="19"/>
    <n v="-0.9"/>
    <n v="1"/>
    <s v="Fed"/>
    <s v="bc5bd983-c1bb-4c16-9767-67b873a87efb"/>
    <n v="0"/>
    <s v="0:Miguel Diaz Del Moral"/>
    <s v="0:Cañita"/>
    <s v=""/>
    <s v=""/>
    <m/>
    <s v="44584:Miguel Diaz Del Moral"/>
    <n v="1"/>
  </r>
  <r>
    <x v="44"/>
    <x v="27"/>
    <n v="8.1999999999999993"/>
    <n v="2"/>
    <s v="Fed"/>
    <s v="c760f00f-afbe-4b1f-906c-2911b9ac6dc7"/>
    <n v="0"/>
    <s v="0:Nacho Casas"/>
    <s v="0:Nachete"/>
    <s v=""/>
    <s v=""/>
    <m/>
    <s v="44584:Nacho Casas"/>
    <n v="1"/>
  </r>
  <r>
    <x v="44"/>
    <x v="16"/>
    <n v="6.6"/>
    <n v="2"/>
    <s v="Fed"/>
    <s v="4653c680-14cf-43d0-8a4f-54c51bcec5ff"/>
    <n v="0"/>
    <s v="0:Nacho Gonzalez"/>
    <s v="0:Nacho"/>
    <s v=""/>
    <s v=""/>
    <m/>
    <s v="44584:Nacho Gonzalez"/>
    <n v="1"/>
  </r>
  <r>
    <x v="44"/>
    <x v="17"/>
    <n v="13.7"/>
    <n v="3"/>
    <s v="Fed"/>
    <s v="26470e36-61a1-4a3c-b722-bc864c54da74"/>
    <n v="0"/>
    <s v="0:Pablo Munitiz"/>
    <s v="0:Muni"/>
    <s v=""/>
    <s v=""/>
    <m/>
    <s v="44584:Pablo Munitiz"/>
    <n v="1"/>
  </r>
  <r>
    <x v="44"/>
    <x v="28"/>
    <n v="17.899999999999999"/>
    <n v="3"/>
    <s v="Fed"/>
    <s v="f9040ac3-1c2f-4f57-98c6-fc4af406f730"/>
    <n v="0"/>
    <s v="0:Ruslan Kochman"/>
    <s v="0:Rus"/>
    <s v=""/>
    <s v=""/>
    <m/>
    <s v="44584:Ruslan Kochman"/>
    <n v="1"/>
  </r>
  <r>
    <x v="45"/>
    <x v="0"/>
    <n v="10.9"/>
    <n v="2"/>
    <s v="Fed"/>
    <s v="6046e20a-66e4-456f-8a6f-281ef698dbf5"/>
    <n v="0"/>
    <s v="0:Alfonso Hidalgo"/>
    <s v="0:Alfonso"/>
    <s v=""/>
    <s v=""/>
    <m/>
    <s v="44598:Alfonso Hidalgo"/>
    <n v="1"/>
  </r>
  <r>
    <x v="45"/>
    <x v="22"/>
    <n v="13.3"/>
    <n v="3"/>
    <s v="Fed"/>
    <s v="b4d27866-c005-4c56-a36f-35600f5f525f"/>
    <n v="0"/>
    <s v="0:Alfonso Zorrilla"/>
    <s v="0:A Zorrilla"/>
    <s v=""/>
    <s v=""/>
    <m/>
    <s v="44598:Alfonso Zorrilla"/>
    <n v="1"/>
  </r>
  <r>
    <x v="45"/>
    <x v="1"/>
    <n v="7.3"/>
    <n v="2"/>
    <s v="Fed"/>
    <s v="7663fbd6-c8b0-4cf8-b272-d20797f04863"/>
    <n v="0"/>
    <s v="0:Alvaro Aguirre"/>
    <s v="0:Gifu"/>
    <s v=""/>
    <s v=""/>
    <m/>
    <s v="44598:Alvaro Aguirre"/>
    <n v="1"/>
  </r>
  <r>
    <x v="45"/>
    <x v="23"/>
    <n v="7.6"/>
    <n v="2"/>
    <s v="Fed"/>
    <s v="f486c85c-a072-450e-a1e4-2f12885ec052"/>
    <n v="0"/>
    <s v="0:Alvaro Montoya"/>
    <s v="0:Monti"/>
    <s v=""/>
    <s v=""/>
    <m/>
    <s v="44598:Alvaro Montoya"/>
    <n v="1"/>
  </r>
  <r>
    <x v="45"/>
    <x v="2"/>
    <n v="13.1"/>
    <n v="3"/>
    <s v="Fed"/>
    <s v="7f8bbdca-d9cf-4b1b-9264-e93c54f849d4"/>
    <n v="0"/>
    <s v="0:Alvaro Nieto"/>
    <s v="0:Alvaro"/>
    <s v=""/>
    <s v=""/>
    <m/>
    <s v="44598:Alvaro Nieto"/>
    <n v="1"/>
  </r>
  <r>
    <x v="45"/>
    <x v="3"/>
    <n v="7.6"/>
    <n v="2"/>
    <s v="Fed"/>
    <s v="fbbac22e-4f9f-425b-a861-87df8445d4f8"/>
    <n v="0"/>
    <s v="0:Angel Hernandez"/>
    <s v="0:Angel"/>
    <s v=""/>
    <s v=""/>
    <m/>
    <s v="44598:Angel Hernandez"/>
    <n v="1"/>
  </r>
  <r>
    <x v="45"/>
    <x v="4"/>
    <n v="12.2"/>
    <n v="3"/>
    <s v="Fed"/>
    <s v="c150b0c2-9ac2-4910-8904-ae380061f55f"/>
    <n v="0"/>
    <s v="0:David Sequera"/>
    <s v="0:David"/>
    <s v=""/>
    <s v=""/>
    <m/>
    <s v="44598:David Sequera"/>
    <n v="1"/>
  </r>
  <r>
    <x v="45"/>
    <x v="29"/>
    <n v="19.3"/>
    <n v="4"/>
    <s v="Fed"/>
    <s v="28e29d79-8d6a-41a2-9017-8f56bc9fa04c"/>
    <n v="0"/>
    <s v="0:Enrique Gonzalez R"/>
    <s v="0:Enrique"/>
    <s v=""/>
    <s v=""/>
    <m/>
    <s v="44598:Enrique Gonzalez R"/>
    <n v="1"/>
  </r>
  <r>
    <x v="45"/>
    <x v="5"/>
    <n v="14.2"/>
    <n v="3"/>
    <s v="Fed"/>
    <s v="c7a3dbf9-a2c9-49a0-9ad8-c7168064a667"/>
    <n v="0"/>
    <s v="0:Francisco Alvarez"/>
    <s v="0:Paco"/>
    <s v=""/>
    <s v=""/>
    <m/>
    <s v="44598:Francisco Alvarez"/>
    <n v="1"/>
  </r>
  <r>
    <x v="45"/>
    <x v="6"/>
    <n v="12.4"/>
    <n v="3"/>
    <s v="Fed"/>
    <s v="e1dcb0e6-2570-4ea6-9e4b-8f8a1fbc2db4"/>
    <n v="0"/>
    <s v="0:Francisco Hidalgo"/>
    <s v="0:Fran"/>
    <s v=""/>
    <s v=""/>
    <m/>
    <s v="44598:Francisco Hidalgo"/>
    <n v="1"/>
  </r>
  <r>
    <x v="45"/>
    <x v="24"/>
    <n v="14.4"/>
    <n v="3"/>
    <s v="Fed"/>
    <s v="83fca811-bca7-40cf-8950-265e15ef525b"/>
    <n v="0"/>
    <s v="0:Franck Benouniche"/>
    <s v="0:Franck"/>
    <s v=""/>
    <s v=""/>
    <m/>
    <s v="44598:Franck Benouniche"/>
    <n v="1"/>
  </r>
  <r>
    <x v="45"/>
    <x v="7"/>
    <n v="18.5"/>
    <n v="4"/>
    <s v="Fed"/>
    <s v="859dd449-5ecf-4ffb-8535-52d8e5067c4d"/>
    <n v="0"/>
    <s v="0:GLEZ JUAN JOSÉ"/>
    <s v="0:Juanjo"/>
    <s v=""/>
    <s v=""/>
    <m/>
    <s v="44598:GLEZ JUAN JOSÉ"/>
    <n v="1"/>
  </r>
  <r>
    <x v="45"/>
    <x v="8"/>
    <n v="8.3000000000000007"/>
    <n v="2"/>
    <s v="Fed"/>
    <s v="db56b03b-15ee-4a84-9365-a23901272979"/>
    <n v="0"/>
    <s v="0:Ignacio Cadarso"/>
    <s v="0:Ignacio"/>
    <s v=""/>
    <s v=""/>
    <m/>
    <s v="44598:Ignacio Cadarso"/>
    <n v="1"/>
  </r>
  <r>
    <x v="45"/>
    <x v="10"/>
    <n v="18"/>
    <n v="3"/>
    <s v="Fed"/>
    <s v="b3b15f80-1743-4cb7-ba83-c310d9bf37ec"/>
    <n v="0"/>
    <s v="0:J. Enrique Gonzalez"/>
    <s v="0:Kike"/>
    <s v=""/>
    <s v=""/>
    <m/>
    <s v="44598:J. Enrique Gonzalez"/>
    <n v="1"/>
  </r>
  <r>
    <x v="45"/>
    <x v="11"/>
    <n v="17"/>
    <n v="3"/>
    <s v="Fed"/>
    <s v="d9dde2be-8b64-4bc0-96e3-46957e845311"/>
    <n v="0"/>
    <s v="0:Javier Cervera"/>
    <s v="0:Virus"/>
    <s v=""/>
    <s v=""/>
    <m/>
    <s v="44598:Javier Cervera"/>
    <n v="1"/>
  </r>
  <r>
    <x v="45"/>
    <x v="25"/>
    <n v="10.8"/>
    <n v="2"/>
    <s v="Fed"/>
    <s v="eee0afb6-9c12-4267-b6d3-ef9e77e075ab"/>
    <n v="0"/>
    <s v="0:Javier Chiralt"/>
    <s v="0:Chiralt"/>
    <s v=""/>
    <s v=""/>
    <m/>
    <s v="44598:Javier Chiralt"/>
    <n v="1"/>
  </r>
  <r>
    <x v="45"/>
    <x v="12"/>
    <n v="16.399999999999999"/>
    <n v="3"/>
    <s v="Fed"/>
    <s v="e8dafc1d-f524-4ad6-86ba-fbb0dc16ee32"/>
    <n v="0"/>
    <s v="0:Javier Gonzalez Salvador"/>
    <s v="0:Javi"/>
    <s v=""/>
    <s v=""/>
    <m/>
    <s v="44598:Javier Gonzalez Salvador"/>
    <n v="1"/>
  </r>
  <r>
    <x v="45"/>
    <x v="26"/>
    <n v="24.8"/>
    <n v="4"/>
    <s v="Fed"/>
    <s v="00e4e365-79f8-434e-8a4a-692a7e8ab114"/>
    <n v="0"/>
    <s v="0:Javier Lopez Gullón"/>
    <s v="0:Cuñao"/>
    <s v=""/>
    <s v=""/>
    <m/>
    <s v="44598:Javier Lopez Gullón"/>
    <n v="1"/>
  </r>
  <r>
    <x v="45"/>
    <x v="13"/>
    <n v="25.8"/>
    <n v="4"/>
    <s v="Fed"/>
    <s v="fcdf1265-7000-4e64-bbd4-c08f88976ef3"/>
    <n v="0"/>
    <s v="0:Jesus Touceda"/>
    <s v="0:Jesús"/>
    <s v=""/>
    <s v=""/>
    <m/>
    <s v="44598:Jesus Touceda"/>
    <n v="1"/>
  </r>
  <r>
    <x v="45"/>
    <x v="14"/>
    <n v="7.2"/>
    <n v="2"/>
    <s v="Fed"/>
    <s v="62892bde-7069-411e-a6f5-612b15809d44"/>
    <n v="0"/>
    <s v="0:José Pablo Guil"/>
    <s v="0:JP"/>
    <s v=""/>
    <s v=""/>
    <m/>
    <s v="44598:José Pablo Guil"/>
    <n v="1"/>
  </r>
  <r>
    <x v="45"/>
    <x v="15"/>
    <n v="18.5"/>
    <n v="4"/>
    <s v="Fed"/>
    <s v="1a5779ef-a782-4399-8846-acfd75fa9347"/>
    <n v="0"/>
    <s v="0:Luis Escudero"/>
    <s v="0:Lucho"/>
    <s v=""/>
    <s v=""/>
    <m/>
    <s v="44598:Luis Escudero"/>
    <n v="1"/>
  </r>
  <r>
    <x v="45"/>
    <x v="21"/>
    <n v="23.6"/>
    <n v="4"/>
    <s v="Fed"/>
    <s v="c9889950-d8a2-49c1-8253-a3d171ad04b9"/>
    <n v="0"/>
    <s v="0:Miche Lopez"/>
    <s v="0:Miche"/>
    <s v=""/>
    <s v=""/>
    <m/>
    <s v="44598:Miche Lopez"/>
    <n v="1"/>
  </r>
  <r>
    <x v="45"/>
    <x v="19"/>
    <n v="-0.9"/>
    <n v="1"/>
    <s v="Fed"/>
    <s v="dffd4c58-3e49-4e86-84b2-f104ee471d93"/>
    <n v="0"/>
    <s v="0:Miguel Diaz Del Moral"/>
    <s v="0:Cañita"/>
    <s v=""/>
    <s v=""/>
    <m/>
    <s v="44598:Miguel Diaz Del Moral"/>
    <n v="1"/>
  </r>
  <r>
    <x v="45"/>
    <x v="27"/>
    <n v="8.1"/>
    <n v="2"/>
    <s v="Fed"/>
    <s v="a049bc50-8fb8-47bd-b6ce-b8e88e738668"/>
    <n v="0"/>
    <s v="0:Nacho Casas"/>
    <s v="0:Nachete"/>
    <s v=""/>
    <s v=""/>
    <m/>
    <s v="44598:Nacho Casas"/>
    <n v="1"/>
  </r>
  <r>
    <x v="45"/>
    <x v="16"/>
    <n v="6.6"/>
    <n v="2"/>
    <s v="Fed"/>
    <s v="742076e2-e158-40b4-9b8d-eb47906fd739"/>
    <n v="0"/>
    <s v="0:Nacho Gonzalez"/>
    <s v="0:Nacho"/>
    <s v=""/>
    <s v=""/>
    <m/>
    <s v="44598:Nacho Gonzalez"/>
    <n v="1"/>
  </r>
  <r>
    <x v="45"/>
    <x v="17"/>
    <n v="13.7"/>
    <n v="3"/>
    <s v="Fed"/>
    <s v="90c33f48-bcdb-42ae-8d3e-3eca98f119cd"/>
    <n v="0"/>
    <s v="0:Pablo Munitiz"/>
    <s v="0:Muni"/>
    <s v=""/>
    <s v=""/>
    <m/>
    <s v="44598:Pablo Munitiz"/>
    <n v="1"/>
  </r>
  <r>
    <x v="45"/>
    <x v="28"/>
    <n v="17.3"/>
    <n v="3"/>
    <s v="Fed"/>
    <s v="71fc12c1-072c-4e6b-a649-ef200d38ed52"/>
    <n v="0"/>
    <s v="0:Ruslan Kochman"/>
    <s v="0:Rus"/>
    <s v=""/>
    <s v=""/>
    <m/>
    <s v="44598:Ruslan Kochman"/>
    <n v="1"/>
  </r>
  <r>
    <x v="46"/>
    <x v="0"/>
    <n v="10.4"/>
    <n v="2"/>
    <s v="Fed"/>
    <s v="76478f98-634d-4dcc-9f3a-2e17131eafc7"/>
    <n v="0"/>
    <s v="0:Alfonso Hidalgo"/>
    <s v="0:Alfonso"/>
    <s v=""/>
    <s v=""/>
    <m/>
    <s v="44599:Alfonso Hidalgo"/>
    <n v="1"/>
  </r>
  <r>
    <x v="46"/>
    <x v="22"/>
    <n v="13.3"/>
    <n v="3"/>
    <s v="Fed"/>
    <s v="1ab1c665-d74a-4a8d-977a-02161e741ed2"/>
    <n v="0"/>
    <s v="0:Alfonso Zorrilla"/>
    <s v="0:A Zorrilla"/>
    <s v=""/>
    <s v=""/>
    <m/>
    <s v="44599:Alfonso Zorrilla"/>
    <n v="1"/>
  </r>
  <r>
    <x v="46"/>
    <x v="1"/>
    <n v="7.3"/>
    <n v="2"/>
    <s v="Fed"/>
    <s v="3ee41e43-492e-45f0-97aa-249db77a0a3a"/>
    <n v="0"/>
    <s v="0:Alvaro Aguirre"/>
    <s v="0:Gifu"/>
    <s v=""/>
    <s v=""/>
    <m/>
    <s v="44599:Alvaro Aguirre"/>
    <n v="1"/>
  </r>
  <r>
    <x v="46"/>
    <x v="23"/>
    <n v="7.6"/>
    <n v="2"/>
    <s v="Fed"/>
    <s v="73fb4d33-8c4b-4e51-b0a3-8b196ec76a08"/>
    <n v="0"/>
    <s v="0:Alvaro Montoya"/>
    <s v="0:Monti"/>
    <s v=""/>
    <s v=""/>
    <m/>
    <s v="44599:Alvaro Montoya"/>
    <n v="1"/>
  </r>
  <r>
    <x v="46"/>
    <x v="2"/>
    <n v="13.1"/>
    <n v="3"/>
    <s v="Fed"/>
    <s v="dcda24c2-a03d-48b6-a945-b91a48dfb934"/>
    <n v="0"/>
    <s v="0:Alvaro Nieto"/>
    <s v="0:Alvaro"/>
    <s v=""/>
    <s v=""/>
    <m/>
    <s v="44599:Alvaro Nieto"/>
    <n v="1"/>
  </r>
  <r>
    <x v="46"/>
    <x v="3"/>
    <n v="7.7"/>
    <n v="2"/>
    <s v="Fed"/>
    <s v="64a3c3e8-3bc5-4e13-8c3a-72978135798d"/>
    <n v="0"/>
    <s v="0:Angel Hernandez"/>
    <s v="0:Angel"/>
    <s v=""/>
    <s v=""/>
    <m/>
    <s v="44599:Angel Hernandez"/>
    <n v="1"/>
  </r>
  <r>
    <x v="46"/>
    <x v="4"/>
    <n v="12.2"/>
    <n v="3"/>
    <s v="Fed"/>
    <s v="4c066d41-a66c-4de0-ad55-20b962425112"/>
    <n v="0"/>
    <s v="0:David Sequera"/>
    <s v="0:David"/>
    <s v=""/>
    <s v=""/>
    <m/>
    <s v="44599:David Sequera"/>
    <n v="1"/>
  </r>
  <r>
    <x v="46"/>
    <x v="29"/>
    <n v="19.3"/>
    <n v="4"/>
    <s v="Fed"/>
    <s v="e86619d7-206c-4c7f-b6b8-7119ac3d9eb7"/>
    <n v="0"/>
    <s v="0:Enrique Gonzalez R"/>
    <s v="0:Enrique"/>
    <s v=""/>
    <s v=""/>
    <m/>
    <s v="44599:Enrique Gonzalez R"/>
    <n v="1"/>
  </r>
  <r>
    <x v="46"/>
    <x v="5"/>
    <n v="14.2"/>
    <n v="3"/>
    <s v="Fed"/>
    <s v="46fafb1c-13c9-49da-9596-ccd142314299"/>
    <n v="0"/>
    <s v="0:Francisco Alvarez"/>
    <s v="0:Paco"/>
    <s v=""/>
    <s v=""/>
    <m/>
    <s v="44599:Francisco Alvarez"/>
    <n v="1"/>
  </r>
  <r>
    <x v="46"/>
    <x v="6"/>
    <n v="12.3"/>
    <n v="3"/>
    <s v="Fed"/>
    <s v="94b9658f-1eee-467f-be55-f44030a74948"/>
    <n v="0"/>
    <s v="0:Francisco Hidalgo"/>
    <s v="0:Fran"/>
    <s v=""/>
    <s v=""/>
    <m/>
    <s v="44599:Francisco Hidalgo"/>
    <n v="1"/>
  </r>
  <r>
    <x v="46"/>
    <x v="24"/>
    <n v="14.4"/>
    <n v="3"/>
    <s v="Fed"/>
    <s v="a26e8ef1-e395-4453-a434-00f1f8b2b014"/>
    <n v="0"/>
    <s v="0:Franck Benouniche"/>
    <s v="0:Franck"/>
    <s v=""/>
    <s v=""/>
    <m/>
    <s v="44599:Franck Benouniche"/>
    <n v="1"/>
  </r>
  <r>
    <x v="46"/>
    <x v="7"/>
    <n v="18.5"/>
    <n v="4"/>
    <s v="Fed"/>
    <s v="dc64e931-a2e6-45eb-abfb-16d19bcf089a"/>
    <n v="0"/>
    <s v="0:GLEZ JUAN JOSÉ"/>
    <s v="0:Juanjo"/>
    <s v=""/>
    <s v=""/>
    <m/>
    <s v="44599:GLEZ JUAN JOSÉ"/>
    <n v="1"/>
  </r>
  <r>
    <x v="46"/>
    <x v="8"/>
    <n v="8.3000000000000007"/>
    <n v="2"/>
    <s v="Fed"/>
    <s v="048f3f6e-46bf-4e3c-a940-c7106af3d055"/>
    <n v="0"/>
    <s v="0:Ignacio Cadarso"/>
    <s v="0:Ignacio"/>
    <s v=""/>
    <s v=""/>
    <m/>
    <s v="44599:Ignacio Cadarso"/>
    <n v="1"/>
  </r>
  <r>
    <x v="46"/>
    <x v="10"/>
    <n v="17.899999999999999"/>
    <n v="3"/>
    <s v="Fed"/>
    <s v="e622bdaa-abd1-4614-b881-89ea95340187"/>
    <n v="0"/>
    <s v="0:J. Enrique Gonzalez"/>
    <s v="0:Kike"/>
    <s v=""/>
    <s v=""/>
    <m/>
    <s v="44599:J. Enrique Gonzalez"/>
    <n v="1"/>
  </r>
  <r>
    <x v="46"/>
    <x v="11"/>
    <n v="16.8"/>
    <n v="3"/>
    <s v="Fed"/>
    <s v="66ada919-899c-4917-9dec-43f4bce49d51"/>
    <n v="0"/>
    <s v="0:Javier Cervera"/>
    <s v="0:Virus"/>
    <s v=""/>
    <s v=""/>
    <m/>
    <s v="44599:Javier Cervera"/>
    <n v="1"/>
  </r>
  <r>
    <x v="46"/>
    <x v="25"/>
    <n v="10.8"/>
    <n v="2"/>
    <s v="Fed"/>
    <s v="f77ca297-f34c-42ee-8330-ab8796b1e196"/>
    <n v="0"/>
    <s v="0:Javier Chiralt"/>
    <s v="0:Chiralt"/>
    <s v=""/>
    <s v=""/>
    <m/>
    <s v="44599:Javier Chiralt"/>
    <n v="1"/>
  </r>
  <r>
    <x v="46"/>
    <x v="12"/>
    <n v="16.399999999999999"/>
    <n v="3"/>
    <s v="Fed"/>
    <s v="9fa4ce87-08eb-405d-aeb8-5a8567df2613"/>
    <n v="0"/>
    <s v="0:Javier Gonzalez Salvador"/>
    <s v="0:Javi"/>
    <s v=""/>
    <s v=""/>
    <m/>
    <s v="44599:Javier Gonzalez Salvador"/>
    <n v="1"/>
  </r>
  <r>
    <x v="46"/>
    <x v="26"/>
    <n v="24.5"/>
    <n v="4"/>
    <s v="Fed"/>
    <s v="15475ef7-7aa5-4f18-a700-a8359155e14c"/>
    <n v="0"/>
    <s v="0:Javier Lopez Gullón"/>
    <s v="0:Cuñao"/>
    <s v=""/>
    <s v=""/>
    <m/>
    <s v="44599:Javier Lopez Gullón"/>
    <n v="1"/>
  </r>
  <r>
    <x v="46"/>
    <x v="13"/>
    <n v="25.6"/>
    <n v="4"/>
    <s v="Fed"/>
    <s v="b3995290-d5d7-4bb9-85b6-318a6c70d22d"/>
    <n v="0"/>
    <s v="0:Jesus Touceda"/>
    <s v="0:Jesús"/>
    <s v=""/>
    <s v=""/>
    <m/>
    <s v="44599:Jesus Touceda"/>
    <n v="1"/>
  </r>
  <r>
    <x v="46"/>
    <x v="14"/>
    <n v="7.2"/>
    <n v="2"/>
    <s v="Fed"/>
    <s v="241f4dfc-a250-4e62-831f-ab7ef2463dfd"/>
    <n v="0"/>
    <s v="0:José Pablo Guil"/>
    <s v="0:JP"/>
    <s v=""/>
    <s v=""/>
    <m/>
    <s v="44599:José Pablo Guil"/>
    <n v="1"/>
  </r>
  <r>
    <x v="46"/>
    <x v="15"/>
    <n v="18.5"/>
    <n v="4"/>
    <s v="Fed"/>
    <s v="6885e66e-fd85-4518-8ac0-ee3bcb7b78d4"/>
    <n v="0"/>
    <s v="0:Luis Escudero"/>
    <s v="0:Lucho"/>
    <s v=""/>
    <s v=""/>
    <m/>
    <s v="44599:Luis Escudero"/>
    <n v="1"/>
  </r>
  <r>
    <x v="46"/>
    <x v="21"/>
    <n v="23.8"/>
    <n v="4"/>
    <s v="Fed"/>
    <s v="69da751e-ae27-4f8f-9f39-6273ea988bf6"/>
    <n v="0"/>
    <s v="0:Miche Lopez"/>
    <s v="0:Miche"/>
    <s v=""/>
    <s v=""/>
    <m/>
    <s v="44599:Miche Lopez"/>
    <n v="1"/>
  </r>
  <r>
    <x v="46"/>
    <x v="19"/>
    <n v="-0.9"/>
    <n v="1"/>
    <s v="Fed"/>
    <s v="f1d52650-4e97-422b-8fe1-bb241292193a"/>
    <n v="0"/>
    <s v="0:Miguel Diaz Del Moral"/>
    <s v="0:Cañita"/>
    <s v=""/>
    <s v=""/>
    <m/>
    <s v="44599:Miguel Diaz Del Moral"/>
    <n v="1"/>
  </r>
  <r>
    <x v="46"/>
    <x v="27"/>
    <n v="8.1"/>
    <n v="2"/>
    <s v="Fed"/>
    <s v="b6591725-6c4b-40b5-b307-17d516e73939"/>
    <n v="0"/>
    <s v="0:Nacho Casas"/>
    <s v="0:Nachete"/>
    <s v=""/>
    <s v=""/>
    <m/>
    <s v="44599:Nacho Casas"/>
    <n v="1"/>
  </r>
  <r>
    <x v="46"/>
    <x v="16"/>
    <n v="6.9"/>
    <n v="2"/>
    <s v="Fed"/>
    <s v="a2ae588a-8999-4d95-b77a-e4753e44ce3f"/>
    <n v="0"/>
    <s v="0:Nacho Gonzalez"/>
    <s v="0:Nacho"/>
    <s v=""/>
    <s v=""/>
    <m/>
    <s v="44599:Nacho Gonzalez"/>
    <n v="1"/>
  </r>
  <r>
    <x v="46"/>
    <x v="17"/>
    <n v="13.7"/>
    <n v="3"/>
    <s v="Fed"/>
    <s v="7ba67800-b486-4c8d-af10-43292b231ec4"/>
    <n v="0"/>
    <s v="0:Pablo Munitiz"/>
    <s v="0:Muni"/>
    <s v=""/>
    <s v=""/>
    <m/>
    <s v="44599:Pablo Munitiz"/>
    <n v="1"/>
  </r>
  <r>
    <x v="46"/>
    <x v="28"/>
    <n v="17.8"/>
    <n v="3"/>
    <s v="Fed"/>
    <s v="d3103827-de16-4722-85d3-fae87689a46d"/>
    <n v="0"/>
    <s v="0:Ruslan Kochman"/>
    <s v="0:Rus"/>
    <s v=""/>
    <s v=""/>
    <m/>
    <s v="44599:Ruslan Kochman"/>
    <n v="1"/>
  </r>
  <r>
    <x v="47"/>
    <x v="0"/>
    <n v="11"/>
    <n v="2"/>
    <s v="Fed"/>
    <s v="94ac7f64-4bcf-4637-a866-86f1f1f48951"/>
    <n v="0"/>
    <s v="0:Alfonso Hidalgo"/>
    <s v="0:Alfonso"/>
    <s v=""/>
    <s v=""/>
    <m/>
    <s v="44632:Alfonso Hidalgo"/>
    <n v="1"/>
  </r>
  <r>
    <x v="47"/>
    <x v="22"/>
    <n v="13.3"/>
    <n v="3"/>
    <s v="Fed"/>
    <s v="7808747a-ee67-4b4b-b46a-b9d0ef82b373"/>
    <n v="0"/>
    <s v="0:Alfonso Zorrilla"/>
    <s v="0:A Zorrilla"/>
    <s v=""/>
    <s v=""/>
    <m/>
    <s v="44632:Alfonso Zorrilla"/>
    <n v="1"/>
  </r>
  <r>
    <x v="47"/>
    <x v="1"/>
    <n v="7"/>
    <n v="2"/>
    <s v="Fed"/>
    <s v="60fb6420-f6c0-4cb2-abae-c61b7ee78a93"/>
    <n v="0"/>
    <s v="0:Alvaro Aguirre"/>
    <s v="0:Gifu"/>
    <s v=""/>
    <s v=""/>
    <m/>
    <s v="44632:Alvaro Aguirre"/>
    <n v="1"/>
  </r>
  <r>
    <x v="47"/>
    <x v="23"/>
    <n v="7.6"/>
    <n v="2"/>
    <s v="Fed"/>
    <s v="9d6d6f06-7eb2-474a-8a7a-6bf72e279e3a"/>
    <n v="0"/>
    <s v="0:Alvaro Montoya"/>
    <s v="0:Monti"/>
    <s v=""/>
    <s v=""/>
    <m/>
    <s v="44632:Alvaro Montoya"/>
    <n v="1"/>
  </r>
  <r>
    <x v="47"/>
    <x v="2"/>
    <n v="12.6"/>
    <n v="3"/>
    <s v="Fed"/>
    <s v="bdf1473f-3fd2-4f60-86c1-b777343eaea1"/>
    <n v="0"/>
    <s v="0:Alvaro Nieto"/>
    <s v="0:Alvaro"/>
    <s v=""/>
    <s v=""/>
    <m/>
    <s v="44632:Alvaro Nieto"/>
    <n v="1"/>
  </r>
  <r>
    <x v="47"/>
    <x v="3"/>
    <n v="8"/>
    <n v="2"/>
    <s v="Fed"/>
    <s v="07084434-299c-4ba5-b7a3-b37119735030"/>
    <n v="0"/>
    <s v="0:Angel Hernandez"/>
    <s v="0:Angel"/>
    <s v=""/>
    <s v=""/>
    <m/>
    <s v="44632:Angel Hernandez"/>
    <n v="1"/>
  </r>
  <r>
    <x v="47"/>
    <x v="4"/>
    <n v="11.4"/>
    <n v="2"/>
    <s v="Fed"/>
    <s v="6224a919-b4e1-45d2-89b6-16059e943542"/>
    <n v="0"/>
    <s v="0:David Sequera"/>
    <s v="0:David"/>
    <s v=""/>
    <s v=""/>
    <m/>
    <s v="44632:David Sequera"/>
    <n v="1"/>
  </r>
  <r>
    <x v="47"/>
    <x v="29"/>
    <n v="19.3"/>
    <n v="4"/>
    <s v="Fed"/>
    <s v="267cd735-2986-45f8-b6fb-b31f697d754d"/>
    <n v="0"/>
    <s v="0:Enrique Gonzalez R"/>
    <s v="0:Enrique"/>
    <s v=""/>
    <s v=""/>
    <m/>
    <s v="44632:Enrique Gonzalez R"/>
    <n v="1"/>
  </r>
  <r>
    <x v="47"/>
    <x v="5"/>
    <n v="14.2"/>
    <n v="3"/>
    <s v="Fed"/>
    <s v="2da0cea1-8c87-4b2f-b50e-dafc6e5ddf4e"/>
    <n v="0"/>
    <s v="0:Francisco Alvarez"/>
    <s v="0:Paco"/>
    <s v=""/>
    <s v=""/>
    <m/>
    <s v="44632:Francisco Alvarez"/>
    <n v="1"/>
  </r>
  <r>
    <x v="47"/>
    <x v="6"/>
    <n v="12.1"/>
    <n v="3"/>
    <s v="Fed"/>
    <s v="7c6a5c7a-edb1-4386-a250-f78a612422ed"/>
    <n v="0"/>
    <s v="0:Francisco Hidalgo"/>
    <s v="0:Fran"/>
    <s v=""/>
    <s v=""/>
    <m/>
    <s v="44632:Francisco Hidalgo"/>
    <n v="1"/>
  </r>
  <r>
    <x v="47"/>
    <x v="24"/>
    <n v="14.4"/>
    <n v="3"/>
    <s v="Fed"/>
    <s v="ed948d18-ed53-4a0e-a1e7-36a2f5c71b9d"/>
    <n v="0"/>
    <s v="0:Franck Benouniche"/>
    <s v="0:Franck"/>
    <s v=""/>
    <s v=""/>
    <m/>
    <s v="44632:Franck Benouniche"/>
    <n v="1"/>
  </r>
  <r>
    <x v="47"/>
    <x v="7"/>
    <n v="18.5"/>
    <n v="4"/>
    <s v="Fed"/>
    <s v="9318cb3c-dd8d-4a12-9cee-6e66e20d723d"/>
    <n v="0"/>
    <s v="0:GLEZ JUAN JOSÉ"/>
    <s v="0:Juanjo"/>
    <s v=""/>
    <s v=""/>
    <m/>
    <s v="44632:GLEZ JUAN JOSÉ"/>
    <n v="1"/>
  </r>
  <r>
    <x v="47"/>
    <x v="8"/>
    <n v="8.3000000000000007"/>
    <n v="2"/>
    <s v="Fed"/>
    <s v="1e5abe12-0df0-4fb3-a3b4-31f632586109"/>
    <n v="0"/>
    <s v="0:Ignacio Cadarso"/>
    <s v="0:Ignacio"/>
    <s v=""/>
    <s v=""/>
    <m/>
    <s v="44632:Ignacio Cadarso"/>
    <n v="1"/>
  </r>
  <r>
    <x v="47"/>
    <x v="10"/>
    <n v="17.5"/>
    <n v="3"/>
    <s v="Fed"/>
    <s v="225e91d3-7cfa-4e46-be1b-7769487d1382"/>
    <n v="0"/>
    <s v="0:J. Enrique Gonzalez"/>
    <s v="0:Kike"/>
    <s v=""/>
    <s v=""/>
    <m/>
    <s v="44632:J. Enrique Gonzalez"/>
    <n v="1"/>
  </r>
  <r>
    <x v="47"/>
    <x v="11"/>
    <n v="16.8"/>
    <n v="3"/>
    <s v="Fed"/>
    <s v="1a22aefb-df9d-4ebf-826d-f4dbd58b9e5d"/>
    <n v="0"/>
    <s v="0:Javier Cervera"/>
    <s v="0:Virus"/>
    <s v=""/>
    <s v=""/>
    <m/>
    <s v="44632:Javier Cervera"/>
    <n v="1"/>
  </r>
  <r>
    <x v="47"/>
    <x v="25"/>
    <n v="10.8"/>
    <n v="2"/>
    <s v="Fed"/>
    <s v="6b83ec6c-0be4-44bd-ab19-9ceddf0b6dfc"/>
    <n v="0"/>
    <s v="0:Javier Chiralt"/>
    <s v="0:Chiralt"/>
    <s v=""/>
    <s v=""/>
    <m/>
    <s v="44632:Javier Chiralt"/>
    <n v="1"/>
  </r>
  <r>
    <x v="47"/>
    <x v="12"/>
    <n v="16.399999999999999"/>
    <n v="3"/>
    <s v="Fed"/>
    <s v="8bf4ca02-2040-4a53-bda0-c61f7e2e5dcb"/>
    <n v="0"/>
    <s v="0:Javier Gonzalez Salvador"/>
    <s v="0:Javi"/>
    <s v=""/>
    <s v=""/>
    <m/>
    <s v="44632:Javier Gonzalez Salvador"/>
    <n v="1"/>
  </r>
  <r>
    <x v="47"/>
    <x v="26"/>
    <n v="24.5"/>
    <n v="4"/>
    <s v="Fed"/>
    <s v="12cda722-877c-48d6-a46b-4b11269f3370"/>
    <n v="0"/>
    <s v="0:Javier Lopez Gullón"/>
    <s v="0:Cuñao"/>
    <s v=""/>
    <s v=""/>
    <m/>
    <s v="44632:Javier Lopez Gullón"/>
    <n v="1"/>
  </r>
  <r>
    <x v="47"/>
    <x v="13"/>
    <n v="25.8"/>
    <n v="4"/>
    <s v="Fed"/>
    <s v="8fd2b695-4ab8-492f-94d7-ffb378ff063d"/>
    <n v="0"/>
    <s v="0:Jesus Touceda"/>
    <s v="0:Jesús"/>
    <s v=""/>
    <s v=""/>
    <m/>
    <s v="44632:Jesus Touceda"/>
    <n v="1"/>
  </r>
  <r>
    <x v="47"/>
    <x v="14"/>
    <n v="7.2"/>
    <n v="2"/>
    <s v="Fed"/>
    <s v="d09fc64f-4cef-42f4-9ef4-54a95d4b1074"/>
    <n v="0"/>
    <s v="0:José Pablo Guil"/>
    <s v="0:JP"/>
    <s v=""/>
    <s v=""/>
    <m/>
    <s v="44632:José Pablo Guil"/>
    <n v="1"/>
  </r>
  <r>
    <x v="47"/>
    <x v="15"/>
    <n v="18.5"/>
    <n v="4"/>
    <s v="Fed"/>
    <s v="47598bf0-6c3b-42ee-9327-a4f00d79570c"/>
    <n v="0"/>
    <s v="0:Luis Escudero"/>
    <s v="0:Lucho"/>
    <s v=""/>
    <s v=""/>
    <m/>
    <s v="44632:Luis Escudero"/>
    <n v="1"/>
  </r>
  <r>
    <x v="47"/>
    <x v="21"/>
    <n v="24"/>
    <n v="4"/>
    <s v="Fed"/>
    <s v="447e597f-2010-42d3-af70-a0a609c851de"/>
    <n v="0"/>
    <s v="0:Miche Lopez"/>
    <s v="0:Miche"/>
    <s v=""/>
    <s v=""/>
    <m/>
    <s v="44632:Miche Lopez"/>
    <n v="1"/>
  </r>
  <r>
    <x v="47"/>
    <x v="19"/>
    <n v="-0.8"/>
    <n v="1"/>
    <s v="Fed"/>
    <s v="bda65adf-87bd-4770-ad58-cd1760c61a4c"/>
    <n v="0"/>
    <s v="0:Miguel Diaz Del Moral"/>
    <s v="0:Cañita"/>
    <s v=""/>
    <s v=""/>
    <m/>
    <s v="44632:Miguel Diaz Del Moral"/>
    <n v="1"/>
  </r>
  <r>
    <x v="47"/>
    <x v="27"/>
    <n v="8.1"/>
    <n v="2"/>
    <s v="Fed"/>
    <s v="ee706143-a576-4a37-93fe-ee18a2444db1"/>
    <n v="0"/>
    <s v="0:Nacho Casas"/>
    <s v="0:Nachete"/>
    <s v=""/>
    <s v=""/>
    <m/>
    <s v="44632:Nacho Casas"/>
    <n v="1"/>
  </r>
  <r>
    <x v="47"/>
    <x v="16"/>
    <n v="6.9"/>
    <n v="2"/>
    <s v="Fed"/>
    <s v="3c998610-5820-4060-917d-d6734fabeaf9"/>
    <n v="0"/>
    <s v="0:Nacho Gonzalez"/>
    <s v="0:Nacho"/>
    <s v=""/>
    <s v=""/>
    <m/>
    <s v="44632:Nacho Gonzalez"/>
    <n v="1"/>
  </r>
  <r>
    <x v="47"/>
    <x v="17"/>
    <n v="13.7"/>
    <n v="3"/>
    <s v="Fed"/>
    <s v="31c97f4a-93c8-4592-b812-75993b8b71d5"/>
    <n v="0"/>
    <s v="0:Pablo Munitiz"/>
    <s v="0:Muni"/>
    <s v=""/>
    <s v=""/>
    <m/>
    <s v="44632:Pablo Munitiz"/>
    <n v="1"/>
  </r>
  <r>
    <x v="47"/>
    <x v="28"/>
    <n v="18.2"/>
    <n v="3"/>
    <s v="Fed"/>
    <s v="b3b57c2a-6011-4966-bc80-b411abc42353"/>
    <n v="0"/>
    <s v="0:Ruslan Kochman"/>
    <s v="0:Rus"/>
    <s v=""/>
    <s v=""/>
    <m/>
    <s v="44632:Ruslan Kochman"/>
    <n v="1"/>
  </r>
  <r>
    <x v="48"/>
    <x v="0"/>
    <n v="11"/>
    <n v="2"/>
    <s v="Fed"/>
    <s v="a0b8962f-af06-46a6-aa5d-21d759ed4f40"/>
    <n v="0"/>
    <s v="0:Alfonso Hidalgo"/>
    <s v="0:Alfonso"/>
    <s v=""/>
    <s v=""/>
    <m/>
    <s v="44661:Alfonso Hidalgo"/>
    <n v="1"/>
  </r>
  <r>
    <x v="48"/>
    <x v="22"/>
    <n v="13.3"/>
    <n v="3"/>
    <s v="Fed"/>
    <s v="3f720450-af7c-45a8-854f-7c14467ac5b5"/>
    <n v="0"/>
    <s v="0:Alfonso Zorrilla"/>
    <s v="0:A Zorrilla"/>
    <s v=""/>
    <s v=""/>
    <m/>
    <s v="44661:Alfonso Zorrilla"/>
    <n v="1"/>
  </r>
  <r>
    <x v="48"/>
    <x v="1"/>
    <n v="6.9"/>
    <n v="2"/>
    <s v="Fed"/>
    <s v="d043e252-af43-4c85-8252-cba641b70afb"/>
    <n v="0"/>
    <s v="0:Alvaro Aguirre"/>
    <s v="0:Gifu"/>
    <s v=""/>
    <s v=""/>
    <m/>
    <s v="44661:Alvaro Aguirre"/>
    <n v="1"/>
  </r>
  <r>
    <x v="48"/>
    <x v="23"/>
    <n v="7.4"/>
    <n v="2"/>
    <s v="Fed"/>
    <s v="b0d303f6-a548-4291-9121-25655c6ee332"/>
    <n v="0"/>
    <s v="0:Alvaro Montoya"/>
    <s v="0:Monti"/>
    <s v=""/>
    <s v=""/>
    <m/>
    <s v="44661:Alvaro Montoya"/>
    <n v="1"/>
  </r>
  <r>
    <x v="48"/>
    <x v="2"/>
    <n v="12.6"/>
    <n v="3"/>
    <s v="Fed"/>
    <s v="73fb6e88-1651-4eaa-8ed2-3a741a2219d0"/>
    <n v="0"/>
    <s v="0:Alvaro Nieto"/>
    <s v="0:Alvaro"/>
    <s v=""/>
    <s v=""/>
    <m/>
    <s v="44661:Alvaro Nieto"/>
    <n v="1"/>
  </r>
  <r>
    <x v="48"/>
    <x v="3"/>
    <n v="8"/>
    <n v="2"/>
    <s v="Fed"/>
    <s v="8741b684-d6ed-450e-b4b9-eb0b51c7c894"/>
    <n v="0"/>
    <s v="0:Angel Hernandez"/>
    <s v="0:Angel"/>
    <s v=""/>
    <s v=""/>
    <m/>
    <s v="44661:Angel Hernandez"/>
    <n v="1"/>
  </r>
  <r>
    <x v="48"/>
    <x v="4"/>
    <n v="11.4"/>
    <n v="2"/>
    <s v="Fed"/>
    <s v="c09d753f-ad4c-4105-98c5-baff2b2f1c94"/>
    <n v="0"/>
    <s v="0:David Sequera"/>
    <s v="0:David"/>
    <s v=""/>
    <s v=""/>
    <m/>
    <s v="44661:David Sequera"/>
    <n v="1"/>
  </r>
  <r>
    <x v="48"/>
    <x v="29"/>
    <n v="15.5"/>
    <n v="3"/>
    <s v="Fed"/>
    <s v="c2babac4-4fbe-4500-9a58-460b278c0700"/>
    <n v="0"/>
    <s v="0:Enrique Gonzalez R"/>
    <s v="0:Enrique"/>
    <s v=""/>
    <s v=""/>
    <m/>
    <s v="44661:Enrique Gonzalez R"/>
    <n v="1"/>
  </r>
  <r>
    <x v="48"/>
    <x v="5"/>
    <n v="14.2"/>
    <n v="3"/>
    <s v="Fed"/>
    <s v="814d618e-77d0-4fa0-86b3-b44c9d72f80f"/>
    <n v="0"/>
    <s v="0:Francisco Alvarez"/>
    <s v="0:Paco"/>
    <s v=""/>
    <s v=""/>
    <m/>
    <s v="44661:Francisco Alvarez"/>
    <n v="1"/>
  </r>
  <r>
    <x v="48"/>
    <x v="6"/>
    <n v="12.1"/>
    <n v="3"/>
    <s v="Fed"/>
    <s v="23e805a4-c1da-48fe-bd6e-c091fbcaf310"/>
    <n v="0"/>
    <s v="0:Francisco Hidalgo"/>
    <s v="0:Fran"/>
    <s v=""/>
    <s v=""/>
    <m/>
    <s v="44661:Francisco Hidalgo"/>
    <n v="1"/>
  </r>
  <r>
    <x v="48"/>
    <x v="24"/>
    <n v="14.4"/>
    <n v="3"/>
    <s v="Fed"/>
    <s v="f589c4ab-5f0e-487d-811b-d1e91a6321d1"/>
    <n v="0"/>
    <s v="0:Franck Benouniche"/>
    <s v="0:Franck"/>
    <s v=""/>
    <s v=""/>
    <m/>
    <s v="44661:Franck Benouniche"/>
    <n v="1"/>
  </r>
  <r>
    <x v="48"/>
    <x v="7"/>
    <n v="18.5"/>
    <n v="4"/>
    <s v="Fed"/>
    <s v="ef63a26d-fd27-4745-add1-642d0b3dbc36"/>
    <n v="0"/>
    <s v="0:GLEZ JUAN JOSÉ"/>
    <s v="0:Juanjo"/>
    <s v=""/>
    <s v=""/>
    <m/>
    <s v="44661:GLEZ JUAN JOSÉ"/>
    <n v="1"/>
  </r>
  <r>
    <x v="48"/>
    <x v="8"/>
    <n v="8.3000000000000007"/>
    <n v="2"/>
    <s v="Fed"/>
    <s v="5aa7f0cf-beea-4eb3-8a87-b4784e98244b"/>
    <n v="0"/>
    <s v="0:Ignacio Cadarso"/>
    <s v="0:Ignacio"/>
    <s v=""/>
    <s v=""/>
    <m/>
    <s v="44661:Ignacio Cadarso"/>
    <n v="1"/>
  </r>
  <r>
    <x v="48"/>
    <x v="10"/>
    <n v="17.5"/>
    <n v="3"/>
    <s v="Fed"/>
    <s v="3cb554c4-e898-451e-ad84-6d2b74d13907"/>
    <n v="0"/>
    <s v="0:J. Enrique Gonzalez"/>
    <s v="0:Kike"/>
    <s v=""/>
    <s v=""/>
    <m/>
    <s v="44661:J. Enrique Gonzalez"/>
    <n v="1"/>
  </r>
  <r>
    <x v="48"/>
    <x v="11"/>
    <n v="17.2"/>
    <n v="3"/>
    <s v="Fed"/>
    <s v="4c3fb113-1623-4d1b-aedb-dfe0fb2fe729"/>
    <n v="0"/>
    <s v="0:Javier Cervera"/>
    <s v="0:Virus"/>
    <s v=""/>
    <s v=""/>
    <m/>
    <s v="44661:Javier Cervera"/>
    <n v="1"/>
  </r>
  <r>
    <x v="48"/>
    <x v="25"/>
    <n v="10.8"/>
    <n v="2"/>
    <s v="Fed"/>
    <s v="d853d422-42ff-4375-9bca-95537a27bf9a"/>
    <n v="0"/>
    <s v="0:Javier Chiralt"/>
    <s v="0:Chiralt"/>
    <s v=""/>
    <s v=""/>
    <m/>
    <s v="44661:Javier Chiralt"/>
    <n v="1"/>
  </r>
  <r>
    <x v="48"/>
    <x v="12"/>
    <n v="16.3"/>
    <n v="3"/>
    <s v="Fed"/>
    <s v="6457141a-1695-453d-bafc-4ee9f25f2cda"/>
    <n v="0"/>
    <s v="0:Javier Gonzalez Salvador"/>
    <s v="0:Javi"/>
    <s v=""/>
    <s v=""/>
    <m/>
    <s v="44661:Javier Gonzalez Salvador"/>
    <n v="1"/>
  </r>
  <r>
    <x v="48"/>
    <x v="26"/>
    <n v="22.8"/>
    <n v="4"/>
    <s v="Fed"/>
    <s v="e2c184dd-3caa-4f9b-a0e8-26ebecd3bb8f"/>
    <n v="0"/>
    <s v="0:Javier Lopez Gullón"/>
    <s v="0:Cuñao"/>
    <s v=""/>
    <s v=""/>
    <m/>
    <s v="44661:Javier Lopez Gullón"/>
    <n v="1"/>
  </r>
  <r>
    <x v="48"/>
    <x v="13"/>
    <n v="25.6"/>
    <n v="4"/>
    <s v="Fed"/>
    <s v="e2b46b23-1b11-4769-8f8a-390c18bbac83"/>
    <n v="0"/>
    <s v="0:Jesus Touceda"/>
    <s v="0:Jesús"/>
    <s v=""/>
    <s v=""/>
    <m/>
    <s v="44661:Jesus Touceda"/>
    <n v="1"/>
  </r>
  <r>
    <x v="48"/>
    <x v="14"/>
    <n v="7.3"/>
    <n v="2"/>
    <s v="Fed"/>
    <s v="b97b79c8-429f-4ff3-a38f-1025ab651006"/>
    <n v="0"/>
    <s v="0:José Pablo Guil"/>
    <s v="0:JP"/>
    <s v=""/>
    <s v=""/>
    <m/>
    <s v="44661:José Pablo Guil"/>
    <n v="1"/>
  </r>
  <r>
    <x v="48"/>
    <x v="15"/>
    <n v="18.5"/>
    <n v="4"/>
    <s v="Fed"/>
    <s v="387458aa-437a-4629-aa33-9e3c015c68f7"/>
    <n v="0"/>
    <s v="0:Luis Escudero"/>
    <s v="0:Lucho"/>
    <s v=""/>
    <s v=""/>
    <m/>
    <s v="44661:Luis Escudero"/>
    <n v="1"/>
  </r>
  <r>
    <x v="48"/>
    <x v="21"/>
    <n v="22.8"/>
    <n v="4"/>
    <s v="Fed"/>
    <s v="ea4d632d-728c-4a8b-815b-888bda9a7664"/>
    <n v="0"/>
    <s v="0:Miche Lopez"/>
    <s v="0:Miche"/>
    <s v=""/>
    <s v=""/>
    <m/>
    <s v="44661:Miche Lopez"/>
    <n v="1"/>
  </r>
  <r>
    <x v="48"/>
    <x v="19"/>
    <n v="0"/>
    <n v="1"/>
    <s v="Fed"/>
    <s v="f5f9c601-f241-40df-88d8-80979c680f7f"/>
    <n v="0"/>
    <s v="0:Miguel Diaz Del Moral"/>
    <s v="0:Cañita"/>
    <s v=""/>
    <s v=""/>
    <m/>
    <s v="44661:Miguel Diaz Del Moral"/>
    <n v="1"/>
  </r>
  <r>
    <x v="48"/>
    <x v="27"/>
    <n v="8.3000000000000007"/>
    <n v="2"/>
    <s v="Fed"/>
    <s v="a225ad0d-b45e-4068-bb94-10319b46719b"/>
    <n v="0"/>
    <s v="0:Nacho Casas"/>
    <s v="0:Nachete"/>
    <s v=""/>
    <s v=""/>
    <m/>
    <s v="44661:Nacho Casas"/>
    <n v="1"/>
  </r>
  <r>
    <x v="48"/>
    <x v="16"/>
    <n v="6.8"/>
    <n v="2"/>
    <s v="Fed"/>
    <s v="7fd553a5-74b0-4290-af55-cbac6d1affd8"/>
    <n v="0"/>
    <s v="0:Nacho Gonzalez"/>
    <s v="0:Nacho"/>
    <s v=""/>
    <s v=""/>
    <m/>
    <s v="44661:Nacho Gonzalez"/>
    <n v="1"/>
  </r>
  <r>
    <x v="48"/>
    <x v="17"/>
    <n v="13.7"/>
    <n v="3"/>
    <s v="Fed"/>
    <s v="b8213390-a54a-4ce6-a851-9de34ce0fa87"/>
    <n v="0"/>
    <s v="0:Pablo Munitiz"/>
    <s v="0:Muni"/>
    <s v=""/>
    <s v=""/>
    <m/>
    <s v="44661:Pablo Munitiz"/>
    <n v="1"/>
  </r>
  <r>
    <x v="48"/>
    <x v="28"/>
    <n v="17.7"/>
    <n v="3"/>
    <s v="Fed"/>
    <s v="9018547e-5235-4e8a-b91c-c56b35151438"/>
    <n v="0"/>
    <s v="0:Ruslan Kochman"/>
    <s v="0:Rus"/>
    <s v=""/>
    <s v=""/>
    <m/>
    <s v="44661:Ruslan Kochman"/>
    <n v="1"/>
  </r>
  <r>
    <x v="49"/>
    <x v="30"/>
    <n v="4.2"/>
    <n v="1"/>
    <s v="Fed"/>
    <s v="87558fe3-46c8-4afe-842d-5ba7023d8a4f"/>
    <n v="0"/>
    <s v="0:Alejandro Arcos"/>
    <s v="0:Alex"/>
    <s v=""/>
    <s v=""/>
    <m/>
    <s v="44688:Alejandro Arcos"/>
    <n v="1"/>
  </r>
  <r>
    <x v="49"/>
    <x v="0"/>
    <n v="11.1"/>
    <n v="2"/>
    <s v="Fed"/>
    <s v="3ab30610-c65b-45f4-b340-94202eeb2b2a"/>
    <n v="0"/>
    <s v="0:Alfonso Hidalgo"/>
    <s v="0:Alfonso"/>
    <s v=""/>
    <s v=""/>
    <m/>
    <s v="44688:Alfonso Hidalgo"/>
    <n v="1"/>
  </r>
  <r>
    <x v="49"/>
    <x v="22"/>
    <n v="13.6"/>
    <n v="3"/>
    <s v="Fed"/>
    <s v="a7d8bebd-9a10-413a-9130-c0d22a19808d"/>
    <n v="0"/>
    <s v="0:Alfonso Zorrilla"/>
    <s v="0:A Zorrilla"/>
    <s v=""/>
    <s v=""/>
    <m/>
    <s v="44688:Alfonso Zorrilla"/>
    <n v="1"/>
  </r>
  <r>
    <x v="49"/>
    <x v="1"/>
    <n v="6.8"/>
    <n v="2"/>
    <s v="Fed"/>
    <s v="fb114e44-1350-412c-80bf-2d3f11a0dc7e"/>
    <n v="0"/>
    <s v="0:Alvaro Aguirre"/>
    <s v="0:Gifu"/>
    <s v=""/>
    <s v=""/>
    <m/>
    <s v="44688:Alvaro Aguirre"/>
    <n v="1"/>
  </r>
  <r>
    <x v="49"/>
    <x v="23"/>
    <n v="7.5"/>
    <n v="2"/>
    <s v="Fed"/>
    <s v="7aaa3e7e-c831-4c07-898f-2e9ab95f05c5"/>
    <n v="0"/>
    <s v="0:Alvaro Montoya"/>
    <s v="0:Monti"/>
    <s v=""/>
    <s v=""/>
    <m/>
    <s v="44688:Alvaro Montoya"/>
    <n v="1"/>
  </r>
  <r>
    <x v="49"/>
    <x v="2"/>
    <n v="12.6"/>
    <n v="3"/>
    <s v="Fed"/>
    <s v="eb2123a9-a2a1-4b15-9178-726c6ac45aa0"/>
    <n v="0"/>
    <s v="0:Alvaro Nieto"/>
    <s v="0:Alvaro"/>
    <s v=""/>
    <s v=""/>
    <m/>
    <s v="44688:Alvaro Nieto"/>
    <n v="1"/>
  </r>
  <r>
    <x v="49"/>
    <x v="3"/>
    <n v="8"/>
    <n v="2"/>
    <s v="Fed"/>
    <s v="c93c8da1-de2f-4dd3-9627-a969b007be3d"/>
    <n v="0"/>
    <s v="0:Angel Hernandez"/>
    <s v="0:Angel"/>
    <s v=""/>
    <s v=""/>
    <m/>
    <s v="44688:Angel Hernandez"/>
    <n v="1"/>
  </r>
  <r>
    <x v="49"/>
    <x v="31"/>
    <n v="18.899999999999999"/>
    <n v="4"/>
    <s v="Fed"/>
    <s v="12cb82f5-3c8a-4bf0-aac2-71de444ef82a"/>
    <n v="0"/>
    <s v="0:Antonio Carmona"/>
    <s v="0:Antonio"/>
    <s v=""/>
    <s v=""/>
    <m/>
    <s v="44688:Antonio Carmona"/>
    <n v="1"/>
  </r>
  <r>
    <x v="49"/>
    <x v="4"/>
    <n v="10.9"/>
    <n v="2"/>
    <s v="Fed"/>
    <s v="ce0aad42-bc99-4eba-a8ea-9b0b8c33ea3f"/>
    <n v="0"/>
    <s v="0:David Sequera"/>
    <s v="0:David"/>
    <s v=""/>
    <s v=""/>
    <m/>
    <s v="44688:David Sequera"/>
    <n v="1"/>
  </r>
  <r>
    <x v="49"/>
    <x v="29"/>
    <n v="15.5"/>
    <n v="3"/>
    <s v="Fed"/>
    <s v="657aa7a9-73bc-47f8-b0ea-f8db07b59b06"/>
    <n v="0"/>
    <s v="0:Enrique Gonzalez R"/>
    <s v="0:Enrique"/>
    <s v=""/>
    <s v=""/>
    <m/>
    <s v="44688:Enrique Gonzalez R"/>
    <n v="1"/>
  </r>
  <r>
    <x v="49"/>
    <x v="5"/>
    <n v="14.2"/>
    <n v="3"/>
    <s v="Fed"/>
    <s v="a887ddc9-407f-4605-8eb7-1d933940f721"/>
    <n v="0"/>
    <s v="0:Francisco Alvarez"/>
    <s v="0:Paco"/>
    <s v=""/>
    <s v=""/>
    <m/>
    <s v="44688:Francisco Alvarez"/>
    <n v="1"/>
  </r>
  <r>
    <x v="49"/>
    <x v="6"/>
    <n v="12.2"/>
    <n v="3"/>
    <s v="Fed"/>
    <s v="c5cb71e8-6fc8-4798-b8da-7c2b3c7635cc"/>
    <n v="0"/>
    <s v="0:Francisco Hidalgo"/>
    <s v="0:Fran"/>
    <s v=""/>
    <s v=""/>
    <m/>
    <s v="44688:Francisco Hidalgo"/>
    <n v="1"/>
  </r>
  <r>
    <x v="49"/>
    <x v="24"/>
    <n v="14.4"/>
    <n v="3"/>
    <s v="Fed"/>
    <s v="5da00557-bf16-492d-8f38-8e55be8f4249"/>
    <n v="0"/>
    <s v="0:Franck Benouniche"/>
    <s v="0:Franck"/>
    <s v=""/>
    <s v=""/>
    <m/>
    <s v="44688:Franck Benouniche"/>
    <n v="1"/>
  </r>
  <r>
    <x v="49"/>
    <x v="7"/>
    <n v="18.2"/>
    <n v="3"/>
    <s v="Fed"/>
    <s v="bfb7d5a2-7171-4a27-8eab-248cca64fa3c"/>
    <n v="0"/>
    <s v="0:GLEZ JUAN JOSÉ"/>
    <s v="0:Juanjo"/>
    <s v=""/>
    <s v=""/>
    <m/>
    <s v="44688:GLEZ JUAN JOSÉ"/>
    <n v="1"/>
  </r>
  <r>
    <x v="49"/>
    <x v="8"/>
    <n v="8.3000000000000007"/>
    <n v="2"/>
    <s v="Fed"/>
    <s v="3236fee5-d783-4946-ba12-f6ae8fb70f90"/>
    <n v="0"/>
    <s v="0:Ignacio Cadarso"/>
    <s v="0:Ignacio"/>
    <s v=""/>
    <s v=""/>
    <m/>
    <s v="44688:Ignacio Cadarso"/>
    <n v="1"/>
  </r>
  <r>
    <x v="49"/>
    <x v="10"/>
    <n v="17.100000000000001"/>
    <n v="3"/>
    <s v="Fed"/>
    <s v="3c43e772-8cd3-4a17-ad0e-d3b8bd879ac9"/>
    <n v="0"/>
    <s v="0:J. Enrique Gonzalez"/>
    <s v="0:Kike"/>
    <s v=""/>
    <s v=""/>
    <m/>
    <s v="44688:J. Enrique Gonzalez"/>
    <n v="1"/>
  </r>
  <r>
    <x v="49"/>
    <x v="11"/>
    <n v="17.2"/>
    <n v="3"/>
    <s v="Fed"/>
    <s v="1bcb5501-92cd-4764-9998-bd21ef7045f5"/>
    <n v="0"/>
    <s v="0:Javier Cervera"/>
    <s v="0:Virus"/>
    <s v=""/>
    <s v=""/>
    <m/>
    <s v="44688:Javier Cervera"/>
    <n v="1"/>
  </r>
  <r>
    <x v="49"/>
    <x v="25"/>
    <n v="10.5"/>
    <n v="2"/>
    <s v="Fed"/>
    <s v="fa06752d-3a83-486f-9d16-327cdcb87d2b"/>
    <n v="0"/>
    <s v="0:Javier Chiralt"/>
    <s v="0:Chiralt"/>
    <s v=""/>
    <s v=""/>
    <m/>
    <s v="44688:Javier Chiralt"/>
    <n v="1"/>
  </r>
  <r>
    <x v="49"/>
    <x v="12"/>
    <n v="16.399999999999999"/>
    <n v="3"/>
    <s v="Fed"/>
    <s v="cd502f7f-6faf-4a5d-ab52-e5420d02d64e"/>
    <n v="0"/>
    <s v="0:Javier Gonzalez Salvador"/>
    <s v="0:Javi"/>
    <s v=""/>
    <s v=""/>
    <m/>
    <s v="44688:Javier Gonzalez Salvador"/>
    <n v="1"/>
  </r>
  <r>
    <x v="49"/>
    <x v="26"/>
    <n v="22.3"/>
    <n v="4"/>
    <s v="Fed"/>
    <s v="00e485ef-2e7d-41e5-948c-e917f66497f6"/>
    <n v="0"/>
    <s v="0:Javier Lopez Gullón"/>
    <s v="0:Cuñao"/>
    <s v=""/>
    <s v=""/>
    <m/>
    <s v="44688:Javier Lopez Gullón"/>
    <n v="1"/>
  </r>
  <r>
    <x v="49"/>
    <x v="13"/>
    <n v="25.6"/>
    <n v="4"/>
    <s v="Fed"/>
    <s v="2f7e0e16-8fe8-41e5-b895-e9cc300ad4d2"/>
    <n v="0"/>
    <s v="0:Jesus Touceda"/>
    <s v="0:Jesús"/>
    <s v=""/>
    <s v=""/>
    <m/>
    <s v="44688:Jesus Touceda"/>
    <n v="1"/>
  </r>
  <r>
    <x v="49"/>
    <x v="14"/>
    <n v="7.3"/>
    <n v="2"/>
    <s v="Fed"/>
    <s v="009c04e2-bbc5-468e-abd1-30169ce81a9e"/>
    <n v="0"/>
    <s v="0:José Pablo Guil"/>
    <s v="0:JP"/>
    <s v=""/>
    <s v=""/>
    <m/>
    <s v="44688:José Pablo Guil"/>
    <n v="1"/>
  </r>
  <r>
    <x v="49"/>
    <x v="15"/>
    <n v="18.5"/>
    <n v="4"/>
    <s v="Fed"/>
    <s v="62591cda-fd9b-4d1a-867d-568d168a8c87"/>
    <n v="0"/>
    <s v="0:Luis Escudero"/>
    <s v="0:Lucho"/>
    <s v=""/>
    <s v=""/>
    <m/>
    <s v="44688:Luis Escudero"/>
    <n v="1"/>
  </r>
  <r>
    <x v="49"/>
    <x v="21"/>
    <n v="22.8"/>
    <n v="4"/>
    <s v="Fed"/>
    <s v="ef8d063d-590b-4fcd-90a4-e9393afdecba"/>
    <n v="0"/>
    <s v="0:Miche Lopez"/>
    <s v="0:Miche"/>
    <s v=""/>
    <s v=""/>
    <m/>
    <s v="44688:Miche Lopez"/>
    <n v="1"/>
  </r>
  <r>
    <x v="49"/>
    <x v="19"/>
    <n v="-0.2"/>
    <n v="1"/>
    <s v="Fed"/>
    <s v="f5c294ab-6198-4a60-b109-7bc1789f4481"/>
    <n v="0"/>
    <s v="0:Miguel Diaz Del Moral"/>
    <s v="0:Cañita"/>
    <s v=""/>
    <s v=""/>
    <m/>
    <s v="44688:Miguel Diaz Del Moral"/>
    <n v="1"/>
  </r>
  <r>
    <x v="49"/>
    <x v="27"/>
    <n v="8.3000000000000007"/>
    <n v="2"/>
    <s v="Fed"/>
    <s v="534ddc70-c348-42b1-be1e-48f65d97a7ae"/>
    <n v="0"/>
    <s v="0:Nacho Casas"/>
    <s v="0:Nachete"/>
    <s v=""/>
    <s v=""/>
    <m/>
    <s v="44688:Nacho Casas"/>
    <n v="1"/>
  </r>
  <r>
    <x v="49"/>
    <x v="16"/>
    <n v="6.8"/>
    <n v="2"/>
    <s v="Fed"/>
    <s v="6697a929-301b-46c5-967c-fa6fb4023cea"/>
    <n v="0"/>
    <s v="0:Nacho Gonzalez"/>
    <s v="0:Nacho"/>
    <s v=""/>
    <s v=""/>
    <m/>
    <s v="44688:Nacho Gonzalez"/>
    <n v="1"/>
  </r>
  <r>
    <x v="49"/>
    <x v="17"/>
    <n v="13.7"/>
    <n v="3"/>
    <s v="Fed"/>
    <s v="e033a073-caca-489f-b323-3b648f8b868a"/>
    <n v="0"/>
    <s v="0:Pablo Munitiz"/>
    <s v="0:Muni"/>
    <s v=""/>
    <s v=""/>
    <m/>
    <s v="44688:Pablo Munitiz"/>
    <n v="1"/>
  </r>
  <r>
    <x v="49"/>
    <x v="28"/>
    <n v="17.3"/>
    <n v="3"/>
    <s v="Fed"/>
    <s v="69b1186c-6a89-4e8d-a163-a95275414a51"/>
    <n v="0"/>
    <s v="0:Ruslan Kochman"/>
    <s v="0:Rus"/>
    <s v=""/>
    <s v=""/>
    <m/>
    <s v="44688:Ruslan Kochman"/>
    <n v="1"/>
  </r>
  <r>
    <x v="50"/>
    <x v="30"/>
    <n v="3.9"/>
    <n v="1"/>
    <s v="Fed"/>
    <s v="3c95dddd-a4e9-45cb-9992-3805d2adec7b"/>
    <n v="0"/>
    <s v="0:Alejandro Arcos"/>
    <s v="0:Alex"/>
    <s v=""/>
    <s v=""/>
    <m/>
    <s v="44730:Alejandro Arcos"/>
    <n v="1"/>
  </r>
  <r>
    <x v="50"/>
    <x v="0"/>
    <n v="11"/>
    <n v="2"/>
    <s v="Fed"/>
    <s v="1297adc4-3efe-4c27-b8ff-ac8f29524ef7"/>
    <n v="0"/>
    <s v="0:Alfonso Hidalgo"/>
    <s v="0:Alfonso"/>
    <s v=""/>
    <s v=""/>
    <m/>
    <s v="44730:Alfonso Hidalgo"/>
    <n v="1"/>
  </r>
  <r>
    <x v="50"/>
    <x v="22"/>
    <n v="13.6"/>
    <n v="3"/>
    <s v="Fed"/>
    <s v="e88e6ca6-de5c-4037-a465-b5edf7c49f6f"/>
    <n v="0"/>
    <s v="0:Alfonso Zorrilla"/>
    <s v="0:A Zorrilla"/>
    <s v=""/>
    <s v=""/>
    <m/>
    <s v="44730:Alfonso Zorrilla"/>
    <n v="1"/>
  </r>
  <r>
    <x v="50"/>
    <x v="1"/>
    <n v="7.2"/>
    <n v="2"/>
    <s v="Fed"/>
    <s v="473acbed-b030-4949-8f54-5afdc7d32729"/>
    <n v="0"/>
    <s v="0:Alvaro Aguirre"/>
    <s v="0:Gifu"/>
    <s v=""/>
    <s v=""/>
    <m/>
    <s v="44730:Alvaro Aguirre"/>
    <n v="1"/>
  </r>
  <r>
    <x v="50"/>
    <x v="23"/>
    <n v="7.7"/>
    <n v="2"/>
    <s v="Fed"/>
    <s v="c2ae577e-b41a-4132-8d1e-016643043dc4"/>
    <n v="0"/>
    <s v="0:Alvaro Montoya"/>
    <s v="0:Monti"/>
    <s v=""/>
    <s v=""/>
    <m/>
    <s v="44730:Alvaro Montoya"/>
    <n v="1"/>
  </r>
  <r>
    <x v="50"/>
    <x v="2"/>
    <n v="12.6"/>
    <n v="3"/>
    <s v="Fed"/>
    <s v="ed848f26-dd82-437a-85d2-f36f01cb760a"/>
    <n v="0"/>
    <s v="0:Alvaro Nieto"/>
    <s v="0:Alvaro"/>
    <s v=""/>
    <s v=""/>
    <m/>
    <s v="44730:Alvaro Nieto"/>
    <n v="1"/>
  </r>
  <r>
    <x v="50"/>
    <x v="3"/>
    <n v="7.6"/>
    <n v="2"/>
    <s v="Fed"/>
    <s v="d0620503-9029-40ee-af2b-298f8e44f1dd"/>
    <n v="0"/>
    <s v="0:Angel Hernandez"/>
    <s v="0:Angel"/>
    <s v=""/>
    <s v=""/>
    <m/>
    <s v="44730:Angel Hernandez"/>
    <n v="1"/>
  </r>
  <r>
    <x v="50"/>
    <x v="31"/>
    <n v="18.899999999999999"/>
    <n v="4"/>
    <s v="Fed"/>
    <s v="a4f23a06-5a59-412a-a23e-75aebb37c0cb"/>
    <n v="0"/>
    <s v="0:Antonio Carmona"/>
    <s v="0:Antonio"/>
    <s v=""/>
    <s v=""/>
    <m/>
    <s v="44730:Antonio Carmona"/>
    <n v="1"/>
  </r>
  <r>
    <x v="50"/>
    <x v="4"/>
    <n v="11.1"/>
    <n v="2"/>
    <s v="Fed"/>
    <s v="c5ea762b-4c89-4871-8318-b2f273b16fb0"/>
    <n v="0"/>
    <s v="0:David Sequera"/>
    <s v="0:David"/>
    <s v=""/>
    <s v=""/>
    <m/>
    <s v="44730:David Sequera"/>
    <n v="1"/>
  </r>
  <r>
    <x v="50"/>
    <x v="29"/>
    <n v="15.6"/>
    <n v="3"/>
    <s v="Fed"/>
    <s v="ad6d1e96-131c-4799-897c-e3ab00408755"/>
    <n v="0"/>
    <s v="0:Enrique Gonzalez R"/>
    <s v="0:Enrique"/>
    <s v=""/>
    <s v=""/>
    <m/>
    <s v="44730:Enrique Gonzalez R"/>
    <n v="1"/>
  </r>
  <r>
    <x v="50"/>
    <x v="5"/>
    <n v="15.4"/>
    <n v="3"/>
    <s v="Fed"/>
    <s v="a3fffd0f-750d-40dc-8215-1cd8067b3950"/>
    <n v="0"/>
    <s v="0:Francisco Alvarez"/>
    <s v="0:Paco"/>
    <s v=""/>
    <s v=""/>
    <m/>
    <s v="44730:Francisco Alvarez"/>
    <n v="1"/>
  </r>
  <r>
    <x v="50"/>
    <x v="6"/>
    <n v="12.2"/>
    <n v="3"/>
    <s v="Fed"/>
    <s v="c4c4644b-59f8-4ec5-acaa-a3d3c91e4ccb"/>
    <n v="0"/>
    <s v="0:Francisco Hidalgo"/>
    <s v="0:Fran"/>
    <s v=""/>
    <s v=""/>
    <m/>
    <s v="44730:Francisco Hidalgo"/>
    <n v="1"/>
  </r>
  <r>
    <x v="50"/>
    <x v="24"/>
    <n v="14.4"/>
    <n v="3"/>
    <s v="Fed"/>
    <s v="6a0aba5c-f788-4001-a9d6-b772527a18c2"/>
    <n v="0"/>
    <s v="0:Franck Benouniche"/>
    <s v="0:Franck"/>
    <s v=""/>
    <s v=""/>
    <m/>
    <s v="44730:Franck Benouniche"/>
    <n v="1"/>
  </r>
  <r>
    <x v="50"/>
    <x v="7"/>
    <n v="18.2"/>
    <n v="3"/>
    <s v="Fed"/>
    <s v="350ddec8-4e56-44fd-b013-0b9b6fc6a611"/>
    <n v="0"/>
    <s v="0:GLEZ JUAN JOSÉ"/>
    <s v="0:Juanjo"/>
    <s v=""/>
    <s v=""/>
    <m/>
    <s v="44730:GLEZ JUAN JOSÉ"/>
    <n v="1"/>
  </r>
  <r>
    <x v="50"/>
    <x v="8"/>
    <n v="8.3000000000000007"/>
    <n v="2"/>
    <s v="Fed"/>
    <s v="d8ec0488-d02c-47ec-8dfd-5cb217852062"/>
    <n v="0"/>
    <s v="0:Ignacio Cadarso"/>
    <s v="0:Ignacio"/>
    <s v=""/>
    <s v=""/>
    <m/>
    <s v="44730:Ignacio Cadarso"/>
    <n v="1"/>
  </r>
  <r>
    <x v="50"/>
    <x v="10"/>
    <n v="17.3"/>
    <n v="3"/>
    <s v="Fed"/>
    <s v="12bea42f-ee1c-45e8-9e7e-65ae21df822e"/>
    <n v="0"/>
    <s v="0:J. Enrique Gonzalez"/>
    <s v="0:Kike"/>
    <s v=""/>
    <s v=""/>
    <m/>
    <s v="44730:J. Enrique Gonzalez"/>
    <n v="1"/>
  </r>
  <r>
    <x v="50"/>
    <x v="11"/>
    <n v="17.2"/>
    <n v="3"/>
    <s v="Fed"/>
    <s v="3e23274f-6857-45c1-b766-337e06a20f9d"/>
    <n v="0"/>
    <s v="0:Javier Cervera"/>
    <s v="0:Virus"/>
    <s v=""/>
    <s v=""/>
    <m/>
    <s v="44730:Javier Cervera"/>
    <n v="1"/>
  </r>
  <r>
    <x v="50"/>
    <x v="25"/>
    <n v="9.6999999999999993"/>
    <n v="2"/>
    <s v="Fed"/>
    <s v="0256cc42-105b-4039-a884-ffe12a1321e4"/>
    <n v="0"/>
    <s v="0:Javier Chiralt"/>
    <s v="0:Chiralt"/>
    <s v=""/>
    <s v=""/>
    <m/>
    <s v="44730:Javier Chiralt"/>
    <n v="1"/>
  </r>
  <r>
    <x v="50"/>
    <x v="12"/>
    <n v="16.399999999999999"/>
    <n v="3"/>
    <s v="Fed"/>
    <s v="de606760-76b1-4eeb-8ae4-1fadda388181"/>
    <n v="0"/>
    <s v="0:Javier Gonzalez Salvador"/>
    <s v="0:Javi"/>
    <s v=""/>
    <s v=""/>
    <m/>
    <s v="44730:Javier Gonzalez Salvador"/>
    <n v="1"/>
  </r>
  <r>
    <x v="50"/>
    <x v="26"/>
    <n v="22.3"/>
    <n v="4"/>
    <s v="Fed"/>
    <s v="a933cbdd-b01c-400c-8193-3dd28fa3009f"/>
    <n v="0"/>
    <s v="0:Javier Lopez Gullón"/>
    <s v="0:Cuñao"/>
    <s v=""/>
    <s v=""/>
    <m/>
    <s v="44730:Javier Lopez Gullón"/>
    <n v="1"/>
  </r>
  <r>
    <x v="50"/>
    <x v="13"/>
    <n v="25.3"/>
    <n v="4"/>
    <s v="Fed"/>
    <s v="e4b73b04-e26b-4fe0-b3eb-425131fb3393"/>
    <n v="0"/>
    <s v="0:Jesus Touceda"/>
    <s v="0:Jesús"/>
    <s v=""/>
    <s v=""/>
    <m/>
    <s v="44730:Jesus Touceda"/>
    <n v="1"/>
  </r>
  <r>
    <x v="50"/>
    <x v="14"/>
    <n v="7.3"/>
    <n v="2"/>
    <s v="Fed"/>
    <s v="2eb57519-b699-48d8-9840-0b308a449fd0"/>
    <n v="0"/>
    <s v="0:José Pablo Guil"/>
    <s v="0:JP"/>
    <s v=""/>
    <s v=""/>
    <m/>
    <s v="44730:José Pablo Guil"/>
    <n v="1"/>
  </r>
  <r>
    <x v="50"/>
    <x v="15"/>
    <n v="18.5"/>
    <n v="4"/>
    <s v="Fed"/>
    <s v="c41c4e86-ccf0-437c-b82c-60e686d4ac81"/>
    <n v="0"/>
    <s v="0:Luis Escudero"/>
    <s v="0:Lucho"/>
    <s v=""/>
    <s v=""/>
    <m/>
    <s v="44730:Luis Escudero"/>
    <n v="1"/>
  </r>
  <r>
    <x v="50"/>
    <x v="21"/>
    <n v="23.5"/>
    <n v="4"/>
    <s v="Fed"/>
    <s v="407de8c6-d8fa-4028-a8e1-ad3e122c6a22"/>
    <n v="0"/>
    <s v="0:Miche Lopez"/>
    <s v="0:Miche"/>
    <s v=""/>
    <s v=""/>
    <m/>
    <s v="44730:Miche Lopez"/>
    <n v="1"/>
  </r>
  <r>
    <x v="50"/>
    <x v="19"/>
    <n v="1"/>
    <n v="1"/>
    <s v="Fed"/>
    <s v="3c7e8e89-913a-4f08-8fe1-c958575557d6"/>
    <n v="0"/>
    <s v="0:Miguel Diaz Del Moral"/>
    <s v="0:Cañita"/>
    <s v=""/>
    <s v=""/>
    <m/>
    <s v="44730:Miguel Diaz Del Moral"/>
    <n v="1"/>
  </r>
  <r>
    <x v="50"/>
    <x v="27"/>
    <n v="7.3"/>
    <n v="2"/>
    <s v="Fed"/>
    <s v="3c95a190-9202-48c6-8b08-4803a1faf861"/>
    <n v="0"/>
    <s v="0:Nacho Casas"/>
    <s v="0:Nachete"/>
    <s v=""/>
    <s v=""/>
    <m/>
    <s v="44730:Nacho Casas"/>
    <n v="1"/>
  </r>
  <r>
    <x v="50"/>
    <x v="16"/>
    <n v="6.7"/>
    <n v="2"/>
    <s v="Fed"/>
    <s v="42405043-f04e-447d-a1c9-b488baf1461a"/>
    <n v="0"/>
    <s v="0:Nacho Gonzalez"/>
    <s v="0:Nacho"/>
    <s v=""/>
    <s v=""/>
    <m/>
    <s v="44730:Nacho Gonzalez"/>
    <n v="1"/>
  </r>
  <r>
    <x v="50"/>
    <x v="17"/>
    <n v="13.7"/>
    <n v="3"/>
    <s v="Fed"/>
    <s v="4dbc6bfc-e42a-49fe-9576-472fa480f223"/>
    <n v="0"/>
    <s v="0:Pablo Munitiz"/>
    <s v="0:Muni"/>
    <s v=""/>
    <s v=""/>
    <m/>
    <s v="44730:Pablo Munitiz"/>
    <n v="1"/>
  </r>
  <r>
    <x v="50"/>
    <x v="28"/>
    <n v="17.600000000000001"/>
    <n v="3"/>
    <s v="Fed"/>
    <s v="63026584-d633-421f-b72f-7531074398cd"/>
    <n v="0"/>
    <s v="0:Ruslan Kochman"/>
    <s v="0:Rus"/>
    <s v=""/>
    <s v=""/>
    <m/>
    <s v="44730:Ruslan Kochman"/>
    <n v="1"/>
  </r>
  <r>
    <x v="51"/>
    <x v="30"/>
    <n v="3.9"/>
    <n v="1"/>
    <s v="Fed"/>
    <s v="a8cb8c8e-d206-4bce-91cb-ee07960bd63d"/>
    <n v="0"/>
    <s v="0:Alejandro Arcos"/>
    <s v="0:Alex"/>
    <s v=""/>
    <s v=""/>
    <m/>
    <s v="44731:Alejandro Arcos"/>
    <n v="1"/>
  </r>
  <r>
    <x v="51"/>
    <x v="0"/>
    <n v="11.3"/>
    <n v="2"/>
    <s v="Fed"/>
    <s v="b1e898c4-7da5-4fd4-b4e9-55ed4ffde692"/>
    <n v="0"/>
    <s v="0:Alfonso Hidalgo"/>
    <s v="0:Alfonso"/>
    <s v=""/>
    <s v=""/>
    <m/>
    <s v="44731:Alfonso Hidalgo"/>
    <n v="1"/>
  </r>
  <r>
    <x v="51"/>
    <x v="22"/>
    <n v="13.6"/>
    <n v="3"/>
    <s v="Fed"/>
    <s v="d701d7e5-d92c-4d55-8dc4-9bfd0b6152ef"/>
    <n v="0"/>
    <s v="0:Alfonso Zorrilla"/>
    <s v="0:A Zorrilla"/>
    <s v=""/>
    <s v=""/>
    <m/>
    <s v="44731:Alfonso Zorrilla"/>
    <n v="1"/>
  </r>
  <r>
    <x v="51"/>
    <x v="1"/>
    <n v="7.2"/>
    <n v="2"/>
    <s v="Fed"/>
    <s v="a395fc22-c3f5-42ab-8760-285c3dbe16a4"/>
    <n v="0"/>
    <s v="0:Alvaro Aguirre"/>
    <s v="0:Gifu"/>
    <s v=""/>
    <s v=""/>
    <m/>
    <s v="44731:Alvaro Aguirre"/>
    <n v="1"/>
  </r>
  <r>
    <x v="51"/>
    <x v="23"/>
    <n v="7.7"/>
    <n v="2"/>
    <s v="Fed"/>
    <s v="2a258bda-42d4-406b-b53e-f41b3bd89265"/>
    <n v="0"/>
    <s v="0:Alvaro Montoya"/>
    <s v="0:Monti"/>
    <s v=""/>
    <s v=""/>
    <m/>
    <s v="44731:Alvaro Montoya"/>
    <n v="1"/>
  </r>
  <r>
    <x v="51"/>
    <x v="2"/>
    <n v="12.6"/>
    <n v="3"/>
    <s v="Fed"/>
    <s v="272d063e-d9fe-4861-9513-0833e215b62e"/>
    <n v="0"/>
    <s v="0:Alvaro Nieto"/>
    <s v="0:Alvaro"/>
    <s v=""/>
    <s v=""/>
    <m/>
    <s v="44731:Alvaro Nieto"/>
    <n v="1"/>
  </r>
  <r>
    <x v="51"/>
    <x v="3"/>
    <n v="7.2"/>
    <n v="2"/>
    <s v="Fed"/>
    <s v="563ba08a-28fe-41a9-811a-008ca3dc4aee"/>
    <n v="0"/>
    <s v="0:Angel Hernandez"/>
    <s v="0:Angel"/>
    <s v=""/>
    <s v=""/>
    <m/>
    <s v="44731:Angel Hernandez"/>
    <n v="1"/>
  </r>
  <r>
    <x v="51"/>
    <x v="31"/>
    <n v="18.899999999999999"/>
    <n v="4"/>
    <s v="Fed"/>
    <s v="fe3f2ca7-6444-481e-8f49-58b1536843c3"/>
    <n v="0"/>
    <s v="0:Antonio Carmona"/>
    <s v="0:Antonio"/>
    <s v=""/>
    <s v=""/>
    <m/>
    <s v="44731:Antonio Carmona"/>
    <n v="1"/>
  </r>
  <r>
    <x v="51"/>
    <x v="4"/>
    <n v="12.2"/>
    <n v="3"/>
    <s v="Fed"/>
    <s v="01aad789-c4c2-4194-8dac-4b5cd68fb068"/>
    <n v="0"/>
    <s v="0:David Sequera"/>
    <s v="0:David"/>
    <s v=""/>
    <s v=""/>
    <m/>
    <s v="44731:David Sequera"/>
    <n v="1"/>
  </r>
  <r>
    <x v="51"/>
    <x v="29"/>
    <n v="14.7"/>
    <n v="3"/>
    <s v="Fed"/>
    <s v="310181e3-821d-4213-8b56-bb31a25fda68"/>
    <n v="0"/>
    <s v="0:Enrique Gonzalez R"/>
    <s v="0:Enrique"/>
    <s v=""/>
    <s v=""/>
    <m/>
    <s v="44731:Enrique Gonzalez R"/>
    <n v="1"/>
  </r>
  <r>
    <x v="51"/>
    <x v="5"/>
    <n v="15.1"/>
    <n v="3"/>
    <s v="Fed"/>
    <s v="95455309-4020-4ba5-b6e9-d260dc519474"/>
    <n v="0"/>
    <s v="0:Francisco Alvarez"/>
    <s v="0:Paco"/>
    <s v=""/>
    <s v=""/>
    <m/>
    <s v="44731:Francisco Alvarez"/>
    <n v="1"/>
  </r>
  <r>
    <x v="51"/>
    <x v="6"/>
    <n v="12.2"/>
    <n v="3"/>
    <s v="Fed"/>
    <s v="174e2888-e3d2-43d9-8ab9-ecad791538c1"/>
    <n v="0"/>
    <s v="0:Francisco Hidalgo"/>
    <s v="0:Fran"/>
    <s v=""/>
    <s v=""/>
    <m/>
    <s v="44731:Francisco Hidalgo"/>
    <n v="1"/>
  </r>
  <r>
    <x v="51"/>
    <x v="24"/>
    <n v="14.4"/>
    <n v="3"/>
    <s v="Fed"/>
    <s v="32d02df6-7f24-4be1-8898-0d40dd287b26"/>
    <n v="0"/>
    <s v="0:Franck Benouniche"/>
    <s v="0:Franck"/>
    <s v=""/>
    <s v=""/>
    <m/>
    <s v="44731:Franck Benouniche"/>
    <n v="1"/>
  </r>
  <r>
    <x v="51"/>
    <x v="7"/>
    <n v="18.2"/>
    <n v="3"/>
    <s v="Fed"/>
    <s v="b21c6c74-9397-4082-9b70-ef8997ddb2a8"/>
    <n v="0"/>
    <s v="0:GLEZ JUAN JOSÉ"/>
    <s v="0:Juanjo"/>
    <s v=""/>
    <s v=""/>
    <m/>
    <s v="44731:GLEZ JUAN JOSÉ"/>
    <n v="1"/>
  </r>
  <r>
    <x v="51"/>
    <x v="8"/>
    <n v="7.9"/>
    <n v="2"/>
    <s v="Fed"/>
    <s v="cd3af2d4-88f9-4efa-bc48-c9c0b0ed754c"/>
    <n v="0"/>
    <s v="0:Ignacio Cadarso"/>
    <s v="0:Ignacio"/>
    <s v=""/>
    <s v=""/>
    <m/>
    <s v="44731:Ignacio Cadarso"/>
    <n v="1"/>
  </r>
  <r>
    <x v="51"/>
    <x v="10"/>
    <n v="17.3"/>
    <n v="3"/>
    <s v="Fed"/>
    <s v="4546712b-572b-4c79-b6d7-de2b06da00db"/>
    <n v="0"/>
    <s v="0:J. Enrique Gonzalez"/>
    <s v="0:Kike"/>
    <s v=""/>
    <s v=""/>
    <m/>
    <s v="44731:J. Enrique Gonzalez"/>
    <n v="1"/>
  </r>
  <r>
    <x v="51"/>
    <x v="11"/>
    <n v="17.5"/>
    <n v="3"/>
    <s v="Fed"/>
    <s v="ca8b7e3c-3e2d-4ede-98da-7ecbdd3479d6"/>
    <n v="0"/>
    <s v="0:Javier Cervera"/>
    <s v="0:Virus"/>
    <s v=""/>
    <s v=""/>
    <m/>
    <s v="44731:Javier Cervera"/>
    <n v="1"/>
  </r>
  <r>
    <x v="51"/>
    <x v="25"/>
    <n v="9.5"/>
    <n v="2"/>
    <s v="Fed"/>
    <s v="6a98e46f-890e-47b9-9fd8-49ab8836a82b"/>
    <n v="0"/>
    <s v="0:Javier Chiralt"/>
    <s v="0:Chiralt"/>
    <s v=""/>
    <s v=""/>
    <m/>
    <s v="44731:Javier Chiralt"/>
    <n v="1"/>
  </r>
  <r>
    <x v="51"/>
    <x v="12"/>
    <n v="16.5"/>
    <n v="3"/>
    <s v="Fed"/>
    <s v="65d6aec9-df19-4413-98a6-30c9b3cd6318"/>
    <n v="0"/>
    <s v="0:Javier Gonzalez Salvador"/>
    <s v="0:Javi"/>
    <s v=""/>
    <s v=""/>
    <m/>
    <s v="44731:Javier Gonzalez Salvador"/>
    <n v="1"/>
  </r>
  <r>
    <x v="51"/>
    <x v="26"/>
    <n v="22.3"/>
    <n v="4"/>
    <s v="Fed"/>
    <s v="8d7ac24d-f9f1-4377-97a1-59244a1d90d1"/>
    <n v="0"/>
    <s v="0:Javier Lopez Gullón"/>
    <s v="0:Cuñao"/>
    <s v=""/>
    <s v=""/>
    <m/>
    <s v="44731:Javier Lopez Gullón"/>
    <n v="1"/>
  </r>
  <r>
    <x v="51"/>
    <x v="13"/>
    <n v="25.3"/>
    <n v="4"/>
    <s v="Fed"/>
    <s v="0adad1c2-3fb3-4199-b49f-4d44f59efa13"/>
    <n v="0"/>
    <s v="0:Jesus Touceda"/>
    <s v="0:Jesús"/>
    <s v=""/>
    <s v=""/>
    <m/>
    <s v="44731:Jesus Touceda"/>
    <n v="1"/>
  </r>
  <r>
    <x v="51"/>
    <x v="14"/>
    <n v="7.3"/>
    <n v="2"/>
    <s v="Fed"/>
    <s v="a59eb70f-a329-4932-b2a8-63062f395169"/>
    <n v="0"/>
    <s v="0:José Pablo Guil"/>
    <s v="0:JP"/>
    <s v=""/>
    <s v=""/>
    <m/>
    <s v="44731:José Pablo Guil"/>
    <n v="1"/>
  </r>
  <r>
    <x v="51"/>
    <x v="15"/>
    <n v="18.5"/>
    <n v="4"/>
    <s v="Fed"/>
    <s v="50960d9d-7d1a-404a-90d2-9a885f85d335"/>
    <n v="0"/>
    <s v="0:Luis Escudero"/>
    <s v="0:Lucho"/>
    <s v=""/>
    <s v=""/>
    <m/>
    <s v="44731:Luis Escudero"/>
    <n v="1"/>
  </r>
  <r>
    <x v="51"/>
    <x v="21"/>
    <n v="23.5"/>
    <n v="4"/>
    <s v="Fed"/>
    <s v="df0d8ca0-2a98-46cf-b37f-72418c5ff708"/>
    <n v="0"/>
    <s v="0:Miche Lopez"/>
    <s v="0:Miche"/>
    <s v=""/>
    <s v=""/>
    <m/>
    <s v="44731:Miche Lopez"/>
    <n v="1"/>
  </r>
  <r>
    <x v="51"/>
    <x v="19"/>
    <n v="1.7"/>
    <n v="1"/>
    <s v="Fed"/>
    <s v="c21a283e-e437-468e-bd52-480cc6a7ec5e"/>
    <n v="0"/>
    <s v="0:Miguel Diaz Del Moral"/>
    <s v="0:Cañita"/>
    <s v=""/>
    <s v=""/>
    <m/>
    <s v="44731:Miguel Diaz Del Moral"/>
    <n v="1"/>
  </r>
  <r>
    <x v="51"/>
    <x v="27"/>
    <n v="7.3"/>
    <n v="2"/>
    <s v="Fed"/>
    <s v="18b5c9f4-b470-4f39-9e95-72049428d9c2"/>
    <n v="0"/>
    <s v="0:Nacho Casas"/>
    <s v="0:Nachete"/>
    <s v=""/>
    <s v=""/>
    <m/>
    <s v="44731:Nacho Casas"/>
    <n v="1"/>
  </r>
  <r>
    <x v="51"/>
    <x v="16"/>
    <n v="7"/>
    <n v="2"/>
    <s v="Fed"/>
    <s v="5d63e152-0bea-412f-89fb-286f3852f97c"/>
    <n v="0"/>
    <s v="0:Nacho Gonzalez"/>
    <s v="0:Nacho"/>
    <s v=""/>
    <s v=""/>
    <m/>
    <s v="44731:Nacho Gonzalez"/>
    <n v="1"/>
  </r>
  <r>
    <x v="51"/>
    <x v="17"/>
    <n v="13.7"/>
    <n v="3"/>
    <s v="Fed"/>
    <s v="73932c56-2090-40aa-88d8-40115f1926c0"/>
    <n v="0"/>
    <s v="0:Pablo Munitiz"/>
    <s v="0:Muni"/>
    <s v=""/>
    <s v=""/>
    <m/>
    <s v="44731:Pablo Munitiz"/>
    <n v="1"/>
  </r>
  <r>
    <x v="51"/>
    <x v="28"/>
    <n v="17.600000000000001"/>
    <n v="3"/>
    <s v="Fed"/>
    <s v="e1d0e687-d1fd-4f6b-a406-d0fea98031ef"/>
    <n v="0"/>
    <s v="0:Ruslan Kochman"/>
    <s v="0:Rus"/>
    <s v=""/>
    <s v=""/>
    <m/>
    <s v="44731:Ruslan Kochman"/>
    <n v="1"/>
  </r>
  <r>
    <x v="52"/>
    <x v="30"/>
    <n v="3.8"/>
    <n v="1"/>
    <s v="Fed"/>
    <s v="a559827d-e679-4215-be60-b411adc5a0bd"/>
    <n v="0"/>
    <s v="0:Alejandro Arcos"/>
    <s v="0:Alex"/>
    <s v=""/>
    <s v=""/>
    <m/>
    <s v="44732:Alejandro Arcos"/>
    <n v="1"/>
  </r>
  <r>
    <x v="52"/>
    <x v="0"/>
    <n v="11"/>
    <n v="2"/>
    <s v="Fed"/>
    <s v="8b20e7b8-dda8-4d19-80c3-28507292083d"/>
    <n v="0"/>
    <s v="0:Alfonso Hidalgo"/>
    <s v="0:Alfonso"/>
    <s v=""/>
    <s v=""/>
    <m/>
    <s v="44732:Alfonso Hidalgo"/>
    <n v="1"/>
  </r>
  <r>
    <x v="52"/>
    <x v="22"/>
    <n v="13.6"/>
    <n v="3"/>
    <s v="Fed"/>
    <s v="97f3cbca-4e0e-4c79-af49-d0d0661bf520"/>
    <n v="0"/>
    <s v="0:Alfonso Zorrilla"/>
    <s v="0:A Zorrilla"/>
    <s v=""/>
    <s v=""/>
    <m/>
    <s v="44732:Alfonso Zorrilla"/>
    <n v="1"/>
  </r>
  <r>
    <x v="52"/>
    <x v="1"/>
    <n v="7.2"/>
    <n v="2"/>
    <s v="Fed"/>
    <s v="891ba468-6177-4548-9ead-145dd58e5e03"/>
    <n v="0"/>
    <s v="0:Alvaro Aguirre"/>
    <s v="0:Gifu"/>
    <s v=""/>
    <s v=""/>
    <m/>
    <s v="44732:Alvaro Aguirre"/>
    <n v="1"/>
  </r>
  <r>
    <x v="52"/>
    <x v="23"/>
    <n v="7.7"/>
    <n v="2"/>
    <s v="Fed"/>
    <s v="ed1e3bc0-cd30-463f-a568-93c12f6bc83e"/>
    <n v="0"/>
    <s v="0:Alvaro Montoya"/>
    <s v="0:Monti"/>
    <s v=""/>
    <s v=""/>
    <m/>
    <s v="44732:Alvaro Montoya"/>
    <n v="1"/>
  </r>
  <r>
    <x v="52"/>
    <x v="2"/>
    <n v="12.6"/>
    <n v="3"/>
    <s v="Fed"/>
    <s v="0fa826ee-e8aa-4262-b117-f88925dda027"/>
    <n v="0"/>
    <s v="0:Alvaro Nieto"/>
    <s v="0:Alvaro"/>
    <s v=""/>
    <s v=""/>
    <m/>
    <s v="44732:Alvaro Nieto"/>
    <n v="1"/>
  </r>
  <r>
    <x v="52"/>
    <x v="3"/>
    <n v="7.2"/>
    <n v="2"/>
    <s v="Fed"/>
    <s v="6ce9bf1f-03fc-47c7-bea0-b6322e7678c6"/>
    <n v="0"/>
    <s v="0:Angel Hernandez"/>
    <s v="0:Angel"/>
    <s v=""/>
    <s v=""/>
    <m/>
    <s v="44732:Angel Hernandez"/>
    <n v="1"/>
  </r>
  <r>
    <x v="52"/>
    <x v="31"/>
    <n v="18.899999999999999"/>
    <n v="4"/>
    <s v="Fed"/>
    <s v="2ebbcbdf-d7b0-4ece-a36c-92451d191a6c"/>
    <n v="0"/>
    <s v="0:Antonio Carmona"/>
    <s v="0:Antonio"/>
    <s v=""/>
    <s v=""/>
    <m/>
    <s v="44732:Antonio Carmona"/>
    <n v="1"/>
  </r>
  <r>
    <x v="52"/>
    <x v="4"/>
    <n v="11.6"/>
    <n v="3"/>
    <s v="Fed"/>
    <s v="d5e4ea56-5234-456b-ae05-e6f6502b8a8d"/>
    <n v="0"/>
    <s v="0:David Sequera"/>
    <s v="0:David"/>
    <s v=""/>
    <s v=""/>
    <m/>
    <s v="44732:David Sequera"/>
    <n v="1"/>
  </r>
  <r>
    <x v="52"/>
    <x v="29"/>
    <n v="14.7"/>
    <n v="3"/>
    <s v="Fed"/>
    <s v="dc878c8e-6852-4650-bf0d-06f13838eed3"/>
    <n v="0"/>
    <s v="0:Enrique Gonzalez R"/>
    <s v="0:Enrique"/>
    <s v=""/>
    <s v=""/>
    <m/>
    <s v="44732:Enrique Gonzalez R"/>
    <n v="1"/>
  </r>
  <r>
    <x v="52"/>
    <x v="5"/>
    <n v="15.1"/>
    <n v="3"/>
    <s v="Fed"/>
    <s v="64200d25-0b36-416c-8900-46c75f76e1e8"/>
    <n v="0"/>
    <s v="0:Francisco Alvarez"/>
    <s v="0:Paco"/>
    <s v=""/>
    <s v=""/>
    <m/>
    <s v="44732:Francisco Alvarez"/>
    <n v="1"/>
  </r>
  <r>
    <x v="52"/>
    <x v="6"/>
    <n v="12.3"/>
    <n v="3"/>
    <s v="Fed"/>
    <s v="7f6a5e28-ce4b-4373-8a0f-ee4919c142b9"/>
    <n v="0"/>
    <s v="0:Francisco Hidalgo"/>
    <s v="0:Fran"/>
    <s v=""/>
    <s v=""/>
    <m/>
    <s v="44732:Francisco Hidalgo"/>
    <n v="1"/>
  </r>
  <r>
    <x v="52"/>
    <x v="24"/>
    <n v="14.4"/>
    <n v="3"/>
    <s v="Fed"/>
    <s v="f3ce0108-5cc4-4f7d-8734-651d17cdc670"/>
    <n v="0"/>
    <s v="0:Franck Benouniche"/>
    <s v="0:Franck"/>
    <s v=""/>
    <s v=""/>
    <m/>
    <s v="44732:Franck Benouniche"/>
    <n v="1"/>
  </r>
  <r>
    <x v="52"/>
    <x v="7"/>
    <n v="17.8"/>
    <n v="3"/>
    <s v="Fed"/>
    <s v="04c86ea2-2918-4ac0-b44c-f6df7bac8fba"/>
    <n v="0"/>
    <s v="0:GLEZ JUAN JOSÉ"/>
    <s v="0:Juanjo"/>
    <s v=""/>
    <s v=""/>
    <m/>
    <s v="44732:GLEZ JUAN JOSÉ"/>
    <n v="1"/>
  </r>
  <r>
    <x v="52"/>
    <x v="8"/>
    <n v="8"/>
    <n v="2"/>
    <s v="Fed"/>
    <s v="b219c49e-9a87-449f-bcc6-11bd8a7dd89f"/>
    <n v="0"/>
    <s v="0:Ignacio Cadarso"/>
    <s v="0:Ignacio"/>
    <s v=""/>
    <s v=""/>
    <m/>
    <s v="44732:Ignacio Cadarso"/>
    <n v="1"/>
  </r>
  <r>
    <x v="52"/>
    <x v="10"/>
    <n v="17.3"/>
    <n v="3"/>
    <s v="Fed"/>
    <s v="5e6dd266-cc24-4f2e-b366-6e757472b5f9"/>
    <n v="0"/>
    <s v="0:J. Enrique Gonzalez"/>
    <s v="0:Kike"/>
    <s v=""/>
    <s v=""/>
    <m/>
    <s v="44732:J. Enrique Gonzalez"/>
    <n v="1"/>
  </r>
  <r>
    <x v="52"/>
    <x v="11"/>
    <n v="17.2"/>
    <n v="3"/>
    <s v="Fed"/>
    <s v="2da54159-dccc-422e-8089-4af5b20cb34e"/>
    <n v="0"/>
    <s v="0:Javier Cervera"/>
    <s v="0:Virus"/>
    <s v=""/>
    <s v=""/>
    <m/>
    <s v="44732:Javier Cervera"/>
    <n v="1"/>
  </r>
  <r>
    <x v="52"/>
    <x v="25"/>
    <n v="10.1"/>
    <n v="2"/>
    <s v="Fed"/>
    <s v="d27487aa-bb76-451a-be4d-37c9fd6a9c36"/>
    <n v="0"/>
    <s v="0:Javier Chiralt"/>
    <s v="0:Chiralt"/>
    <s v=""/>
    <s v=""/>
    <m/>
    <s v="44732:Javier Chiralt"/>
    <n v="1"/>
  </r>
  <r>
    <x v="52"/>
    <x v="12"/>
    <n v="16.899999999999999"/>
    <n v="3"/>
    <s v="Fed"/>
    <s v="b54b8350-510c-4c32-9666-2d183973a4e0"/>
    <n v="0"/>
    <s v="0:Javier Gonzalez Salvador"/>
    <s v="0:Javi"/>
    <s v=""/>
    <s v=""/>
    <m/>
    <s v="44732:Javier Gonzalez Salvador"/>
    <n v="1"/>
  </r>
  <r>
    <x v="52"/>
    <x v="26"/>
    <n v="22.3"/>
    <n v="4"/>
    <s v="Fed"/>
    <s v="3cd15a64-c5a0-4f51-b366-e63e5d3dcf66"/>
    <n v="0"/>
    <s v="0:Javier Lopez Gullón"/>
    <s v="0:Cuñao"/>
    <s v=""/>
    <s v=""/>
    <m/>
    <s v="44732:Javier Lopez Gullón"/>
    <n v="1"/>
  </r>
  <r>
    <x v="52"/>
    <x v="13"/>
    <n v="25.3"/>
    <n v="4"/>
    <s v="Fed"/>
    <s v="f868974c-cbc8-4435-b985-2a2059a6d60b"/>
    <n v="0"/>
    <s v="0:Jesus Touceda"/>
    <s v="0:Jesús"/>
    <s v=""/>
    <s v=""/>
    <m/>
    <s v="44732:Jesus Touceda"/>
    <n v="1"/>
  </r>
  <r>
    <x v="52"/>
    <x v="14"/>
    <n v="7.3"/>
    <n v="2"/>
    <s v="Fed"/>
    <s v="b390cbff-5131-4817-9058-939feb19513c"/>
    <n v="0"/>
    <s v="0:José Pablo Guil"/>
    <s v="0:JP"/>
    <s v=""/>
    <s v=""/>
    <m/>
    <s v="44732:José Pablo Guil"/>
    <n v="1"/>
  </r>
  <r>
    <x v="52"/>
    <x v="15"/>
    <n v="18.5"/>
    <n v="4"/>
    <s v="Fed"/>
    <s v="e4225ab5-3b71-4a4a-87af-bc1edb1b1488"/>
    <n v="0"/>
    <s v="0:Luis Escudero"/>
    <s v="0:Lucho"/>
    <s v=""/>
    <s v=""/>
    <m/>
    <s v="44732:Luis Escudero"/>
    <n v="1"/>
  </r>
  <r>
    <x v="52"/>
    <x v="21"/>
    <n v="23.5"/>
    <n v="4"/>
    <s v="Fed"/>
    <s v="e0d70248-af14-458f-9ad0-0cac26bc9461"/>
    <n v="0"/>
    <s v="0:Miche Lopez"/>
    <s v="0:Miche"/>
    <s v=""/>
    <s v=""/>
    <m/>
    <s v="44732:Miche Lopez"/>
    <n v="1"/>
  </r>
  <r>
    <x v="52"/>
    <x v="19"/>
    <n v="1.7"/>
    <n v="1"/>
    <s v="Fed"/>
    <s v="c6f86202-4b04-447c-83d5-7079ff27b576"/>
    <n v="0"/>
    <s v="0:Miguel Diaz Del Moral"/>
    <s v="0:Cañita"/>
    <s v=""/>
    <s v=""/>
    <m/>
    <s v="44732:Miguel Diaz Del Moral"/>
    <n v="1"/>
  </r>
  <r>
    <x v="52"/>
    <x v="27"/>
    <n v="7.3"/>
    <n v="2"/>
    <s v="Fed"/>
    <s v="9c8e20ee-dca1-427a-b471-3d7d328090e2"/>
    <n v="0"/>
    <s v="0:Nacho Casas"/>
    <s v="0:Nachete"/>
    <s v=""/>
    <s v=""/>
    <m/>
    <s v="44732:Nacho Casas"/>
    <n v="1"/>
  </r>
  <r>
    <x v="52"/>
    <x v="16"/>
    <n v="6.6"/>
    <n v="2"/>
    <s v="Fed"/>
    <s v="d6d978bc-2609-4dd0-b872-fcf1b2d593c2"/>
    <n v="0"/>
    <s v="0:Nacho Gonzalez"/>
    <s v="0:Nacho"/>
    <s v=""/>
    <s v=""/>
    <m/>
    <s v="44732:Nacho Gonzalez"/>
    <n v="1"/>
  </r>
  <r>
    <x v="52"/>
    <x v="17"/>
    <n v="13.7"/>
    <n v="3"/>
    <s v="Fed"/>
    <s v="3066293e-82da-49ce-8780-77649aced126"/>
    <n v="0"/>
    <s v="0:Pablo Munitiz"/>
    <s v="0:Muni"/>
    <s v=""/>
    <s v=""/>
    <m/>
    <s v="44732:Pablo Munitiz"/>
    <n v="1"/>
  </r>
  <r>
    <x v="52"/>
    <x v="28"/>
    <n v="17.600000000000001"/>
    <n v="3"/>
    <s v="Fed"/>
    <s v="14c50f4b-d795-43ca-8a13-0fa4f82f9e2e"/>
    <n v="0"/>
    <s v="0:Ruslan Kochman"/>
    <s v="0:Rus"/>
    <s v=""/>
    <s v=""/>
    <m/>
    <s v="44732:Ruslan Kochman"/>
    <n v="1"/>
  </r>
  <r>
    <x v="53"/>
    <x v="30"/>
    <n v="3.5"/>
    <n v="1"/>
    <s v="Fed"/>
    <s v="6736d75f-3196-450c-9dbd-275f20eae7be"/>
    <n v="0"/>
    <s v="0:Alejandro Arcos"/>
    <s v="0:Alex"/>
    <s v=""/>
    <s v=""/>
    <m/>
    <s v="44751:Alejandro Arcos"/>
    <n v="1"/>
  </r>
  <r>
    <x v="53"/>
    <x v="0"/>
    <n v="10.4"/>
    <n v="2"/>
    <s v="Fed"/>
    <s v="29ac609e-949f-46dd-b275-863d7e6936e1"/>
    <n v="0"/>
    <s v="0:Alfonso Hidalgo"/>
    <s v="0:Alfonso"/>
    <s v=""/>
    <s v=""/>
    <m/>
    <s v="44751:Alfonso Hidalgo"/>
    <n v="1"/>
  </r>
  <r>
    <x v="53"/>
    <x v="22"/>
    <n v="13.6"/>
    <n v="3"/>
    <s v="Fed"/>
    <s v="53e8a707-d260-46f1-b322-6b481bfa4c34"/>
    <n v="0"/>
    <s v="0:Alfonso Zorrilla"/>
    <s v="0:A Zorrilla"/>
    <s v=""/>
    <s v=""/>
    <m/>
    <s v="44751:Alfonso Zorrilla"/>
    <n v="1"/>
  </r>
  <r>
    <x v="53"/>
    <x v="1"/>
    <n v="7.2"/>
    <n v="2"/>
    <s v="Fed"/>
    <s v="edbd72a1-0977-4c81-8601-0520ce259b94"/>
    <n v="0"/>
    <s v="0:Alvaro Aguirre"/>
    <s v="0:Gifu"/>
    <s v=""/>
    <s v=""/>
    <m/>
    <s v="44751:Alvaro Aguirre"/>
    <n v="1"/>
  </r>
  <r>
    <x v="53"/>
    <x v="23"/>
    <n v="7.7"/>
    <n v="2"/>
    <s v="Fed"/>
    <s v="0229c490-c82c-49bf-b063-140810c9ffa3"/>
    <n v="0"/>
    <s v="0:Alvaro Montoya"/>
    <s v="0:Monti"/>
    <s v=""/>
    <s v=""/>
    <m/>
    <s v="44751:Alvaro Montoya"/>
    <n v="1"/>
  </r>
  <r>
    <x v="53"/>
    <x v="2"/>
    <n v="12.6"/>
    <n v="3"/>
    <s v="Fed"/>
    <s v="3de60ea8-4b3c-4817-9471-d078c883f90f"/>
    <n v="0"/>
    <s v="0:Alvaro Nieto"/>
    <s v="0:Alvaro"/>
    <s v=""/>
    <s v=""/>
    <m/>
    <s v="44751:Alvaro Nieto"/>
    <n v="1"/>
  </r>
  <r>
    <x v="53"/>
    <x v="3"/>
    <n v="7.2"/>
    <n v="2"/>
    <s v="Fed"/>
    <s v="d0d3a1ca-ef14-4c98-94ba-1728676dda81"/>
    <n v="0"/>
    <s v="0:Angel Hernandez"/>
    <s v="0:Angel"/>
    <s v=""/>
    <s v=""/>
    <m/>
    <s v="44751:Angel Hernandez"/>
    <n v="1"/>
  </r>
  <r>
    <x v="53"/>
    <x v="31"/>
    <n v="18.899999999999999"/>
    <n v="4"/>
    <s v="Fed"/>
    <s v="03af2e56-fe40-48a6-a0b8-63824f29beb9"/>
    <n v="0"/>
    <s v="0:Antonio Carmona"/>
    <s v="0:Antonio"/>
    <s v=""/>
    <s v=""/>
    <m/>
    <s v="44751:Antonio Carmona"/>
    <n v="1"/>
  </r>
  <r>
    <x v="53"/>
    <x v="4"/>
    <n v="11.1"/>
    <n v="2"/>
    <s v="Fed"/>
    <s v="152ea055-b8f7-43ae-a179-08777785e8e3"/>
    <n v="0"/>
    <s v="0:David Sequera"/>
    <s v="0:David"/>
    <s v=""/>
    <s v=""/>
    <m/>
    <s v="44751:David Sequera"/>
    <n v="1"/>
  </r>
  <r>
    <x v="53"/>
    <x v="29"/>
    <n v="14.7"/>
    <n v="3"/>
    <s v="Fed"/>
    <s v="cfd3da1c-9258-4b4e-b9c1-11081e78a53f"/>
    <n v="0"/>
    <s v="0:Enrique Gonzalez R"/>
    <s v="0:Enrique"/>
    <s v=""/>
    <s v=""/>
    <m/>
    <s v="44751:Enrique Gonzalez R"/>
    <n v="1"/>
  </r>
  <r>
    <x v="53"/>
    <x v="5"/>
    <n v="15"/>
    <n v="3"/>
    <s v="Fed"/>
    <s v="3db1ccec-4027-4783-b2db-c7bdaefb65b4"/>
    <n v="0"/>
    <s v="0:Francisco Alvarez"/>
    <s v="0:Paco"/>
    <s v=""/>
    <s v=""/>
    <m/>
    <s v="44751:Francisco Alvarez"/>
    <n v="1"/>
  </r>
  <r>
    <x v="53"/>
    <x v="6"/>
    <n v="12.3"/>
    <n v="3"/>
    <s v="Fed"/>
    <s v="31520ed7-98a7-4018-94e3-e9462ed4ef0e"/>
    <n v="0"/>
    <s v="0:Francisco Hidalgo"/>
    <s v="0:Fran"/>
    <s v=""/>
    <s v=""/>
    <m/>
    <s v="44751:Francisco Hidalgo"/>
    <n v="1"/>
  </r>
  <r>
    <x v="53"/>
    <x v="24"/>
    <n v="14.4"/>
    <n v="3"/>
    <s v="Fed"/>
    <s v="438785ec-a2ed-44d8-88ba-5eb1b05e8233"/>
    <n v="0"/>
    <s v="0:Franck Benouniche"/>
    <s v="0:Franck"/>
    <s v=""/>
    <s v=""/>
    <m/>
    <s v="44751:Franck Benouniche"/>
    <n v="1"/>
  </r>
  <r>
    <x v="53"/>
    <x v="7"/>
    <n v="17.8"/>
    <n v="3"/>
    <s v="Fed"/>
    <s v="07e8d55e-2f04-4490-ae36-f08a0b9da29d"/>
    <n v="0"/>
    <s v="0:GLEZ JUAN JOSÉ"/>
    <s v="0:Juanjo"/>
    <s v=""/>
    <s v=""/>
    <m/>
    <s v="44751:GLEZ JUAN JOSÉ"/>
    <n v="1"/>
  </r>
  <r>
    <x v="53"/>
    <x v="8"/>
    <n v="8"/>
    <n v="2"/>
    <s v="Fed"/>
    <s v="01e3bd06-29a9-4bd8-ad27-59e205c8c997"/>
    <n v="0"/>
    <s v="0:Ignacio Cadarso"/>
    <s v="0:Ignacio"/>
    <s v=""/>
    <s v=""/>
    <m/>
    <s v="44751:Ignacio Cadarso"/>
    <n v="1"/>
  </r>
  <r>
    <x v="53"/>
    <x v="10"/>
    <n v="17.3"/>
    <n v="3"/>
    <s v="Fed"/>
    <s v="4015bd17-bc5c-4285-babc-ab6f581cd98e"/>
    <n v="0"/>
    <s v="0:J. Enrique Gonzalez"/>
    <s v="0:Kike"/>
    <s v=""/>
    <s v=""/>
    <m/>
    <s v="44751:J. Enrique Gonzalez"/>
    <n v="1"/>
  </r>
  <r>
    <x v="53"/>
    <x v="11"/>
    <n v="17.2"/>
    <n v="3"/>
    <s v="Fed"/>
    <s v="82ea5ad4-ab28-4bcf-8d28-0f48b9ed6be7"/>
    <n v="0"/>
    <s v="0:Javier Cervera"/>
    <s v="0:Virus"/>
    <s v=""/>
    <s v=""/>
    <m/>
    <s v="44751:Javier Cervera"/>
    <n v="1"/>
  </r>
  <r>
    <x v="53"/>
    <x v="25"/>
    <n v="10.1"/>
    <n v="2"/>
    <s v="Fed"/>
    <s v="274dd20a-fa83-441b-8be5-271fe68f56a1"/>
    <n v="0"/>
    <s v="0:Javier Chiralt"/>
    <s v="0:Chiralt"/>
    <s v=""/>
    <s v=""/>
    <m/>
    <s v="44751:Javier Chiralt"/>
    <n v="1"/>
  </r>
  <r>
    <x v="53"/>
    <x v="12"/>
    <n v="16.600000000000001"/>
    <n v="3"/>
    <s v="Fed"/>
    <s v="225e5fe4-8e04-47f3-bb67-453c99c78b22"/>
    <n v="0"/>
    <s v="0:Javier Gonzalez Salvador"/>
    <s v="0:Javi"/>
    <s v=""/>
    <s v=""/>
    <m/>
    <s v="44751:Javier Gonzalez Salvador"/>
    <n v="1"/>
  </r>
  <r>
    <x v="53"/>
    <x v="26"/>
    <n v="22.3"/>
    <n v="4"/>
    <s v="Fed"/>
    <s v="9a461398-1b10-43a8-b53d-c69376015966"/>
    <n v="0"/>
    <s v="0:Javier Lopez Gullón"/>
    <s v="0:Cuñao"/>
    <s v=""/>
    <s v=""/>
    <m/>
    <s v="44751:Javier Lopez Gullón"/>
    <n v="1"/>
  </r>
  <r>
    <x v="53"/>
    <x v="13"/>
    <n v="25.3"/>
    <n v="4"/>
    <s v="Fed"/>
    <s v="98db4a8f-c921-4d86-805b-568a848a8e00"/>
    <n v="0"/>
    <s v="0:Jesus Touceda"/>
    <s v="0:Jesús"/>
    <s v=""/>
    <s v=""/>
    <m/>
    <s v="44751:Jesus Touceda"/>
    <n v="1"/>
  </r>
  <r>
    <x v="53"/>
    <x v="14"/>
    <n v="7.3"/>
    <n v="2"/>
    <s v="Fed"/>
    <s v="a5952f85-5c30-4288-86ff-b8f5e8b284cf"/>
    <n v="0"/>
    <s v="0:José Pablo Guil"/>
    <s v="0:JP"/>
    <s v=""/>
    <s v=""/>
    <m/>
    <s v="44751:José Pablo Guil"/>
    <n v="1"/>
  </r>
  <r>
    <x v="53"/>
    <x v="15"/>
    <n v="18.5"/>
    <n v="4"/>
    <s v="Fed"/>
    <s v="17c1caac-1814-49e6-92a4-44419d750263"/>
    <n v="0"/>
    <s v="0:Luis Escudero"/>
    <s v="0:Lucho"/>
    <s v=""/>
    <s v=""/>
    <m/>
    <s v="44751:Luis Escudero"/>
    <n v="1"/>
  </r>
  <r>
    <x v="53"/>
    <x v="21"/>
    <n v="23.5"/>
    <n v="4"/>
    <s v="Fed"/>
    <s v="6623db58-b753-46b5-9fd0-5c1a246ce9f5"/>
    <n v="0"/>
    <s v="0:Miche Lopez"/>
    <s v="0:Miche"/>
    <s v=""/>
    <s v=""/>
    <m/>
    <s v="44751:Miche Lopez"/>
    <n v="1"/>
  </r>
  <r>
    <x v="53"/>
    <x v="19"/>
    <n v="1.3"/>
    <n v="1"/>
    <s v="Fed"/>
    <s v="4adfd890-2ac1-4893-a4ca-4735bcc3aa7b"/>
    <n v="0"/>
    <s v="0:Miguel Diaz Del Moral"/>
    <s v="0:Cañita"/>
    <s v=""/>
    <s v=""/>
    <m/>
    <s v="44751:Miguel Diaz Del Moral"/>
    <n v="1"/>
  </r>
  <r>
    <x v="53"/>
    <x v="27"/>
    <n v="7.3"/>
    <n v="2"/>
    <s v="Fed"/>
    <s v="6004e92b-6b7b-4e63-8fdc-cda49e2c37f3"/>
    <n v="0"/>
    <s v="0:Nacho Casas"/>
    <s v="0:Nachete"/>
    <s v=""/>
    <s v=""/>
    <m/>
    <s v="44751:Nacho Casas"/>
    <n v="1"/>
  </r>
  <r>
    <x v="53"/>
    <x v="16"/>
    <n v="6.4"/>
    <n v="2"/>
    <s v="Fed"/>
    <s v="2fa40f64-c218-49b1-ac92-7a92710cf1b2"/>
    <n v="0"/>
    <s v="0:Nacho Gonzalez"/>
    <s v="0:Nacho"/>
    <s v=""/>
    <s v=""/>
    <m/>
    <s v="44751:Nacho Gonzalez"/>
    <n v="1"/>
  </r>
  <r>
    <x v="53"/>
    <x v="17"/>
    <n v="13.7"/>
    <n v="3"/>
    <s v="Fed"/>
    <s v="ef792605-2465-4b19-a845-d27f0bbe0843"/>
    <n v="0"/>
    <s v="0:Pablo Munitiz"/>
    <s v="0:Muni"/>
    <s v=""/>
    <s v=""/>
    <m/>
    <s v="44751:Pablo Munitiz"/>
    <n v="1"/>
  </r>
  <r>
    <x v="53"/>
    <x v="28"/>
    <n v="17.600000000000001"/>
    <n v="3"/>
    <s v="Fed"/>
    <s v="af78243c-9012-451f-9a28-59c928b6ea96"/>
    <n v="0"/>
    <s v="0:Ruslan Kochman"/>
    <s v="0:Rus"/>
    <s v=""/>
    <s v=""/>
    <m/>
    <s v="44751:Ruslan Kochman"/>
    <n v="1"/>
  </r>
  <r>
    <x v="53"/>
    <x v="32"/>
    <n v="15.9"/>
    <n v="3"/>
    <s v="Fed"/>
    <s v="0f319651-fdb3-4165-8953-ccedadab87d1"/>
    <n v="0"/>
    <s v="0:Santi Diaz"/>
    <s v="0:Santi"/>
    <s v=""/>
    <s v=""/>
    <m/>
    <s v="44751:Santi Diaz"/>
    <n v="1"/>
  </r>
  <r>
    <x v="54"/>
    <x v="30"/>
    <n v="3.5"/>
    <n v="1"/>
    <s v="Fed"/>
    <s v="6745afea-569e-4f88-84c6-c1221d7a72f5"/>
    <n v="0"/>
    <s v="0:Alejandro Arcos"/>
    <s v="0:Alex"/>
    <s v=""/>
    <s v=""/>
    <m/>
    <s v="44763:Alejandro Arcos"/>
    <n v="1"/>
  </r>
  <r>
    <x v="54"/>
    <x v="0"/>
    <n v="10.4"/>
    <n v="2"/>
    <s v="Fed"/>
    <s v="acff1c74-805e-4898-a610-cfb934bb89dc"/>
    <n v="0"/>
    <s v="0:Alfonso Hidalgo"/>
    <s v="0:Alfonso"/>
    <s v=""/>
    <s v=""/>
    <m/>
    <s v="44763:Alfonso Hidalgo"/>
    <n v="1"/>
  </r>
  <r>
    <x v="54"/>
    <x v="22"/>
    <n v="13.6"/>
    <n v="3"/>
    <s v="Fed"/>
    <s v="9e5dd1ec-f924-474a-95d2-afbc675147e5"/>
    <n v="0"/>
    <s v="0:Alfonso Zorrilla"/>
    <s v="0:A Zorrilla"/>
    <s v=""/>
    <s v=""/>
    <m/>
    <s v="44763:Alfonso Zorrilla"/>
    <n v="1"/>
  </r>
  <r>
    <x v="54"/>
    <x v="1"/>
    <n v="7.1"/>
    <n v="2"/>
    <s v="Fed"/>
    <s v="bf220157-c13d-4c81-b091-f5dafd131b40"/>
    <n v="0"/>
    <s v="0:Alvaro Aguirre"/>
    <s v="0:Gifu"/>
    <s v=""/>
    <s v=""/>
    <m/>
    <s v="44763:Alvaro Aguirre"/>
    <n v="1"/>
  </r>
  <r>
    <x v="54"/>
    <x v="23"/>
    <n v="7.7"/>
    <n v="2"/>
    <s v="Fed"/>
    <s v="4b148822-18dc-4f3c-8d40-3d697673c730"/>
    <n v="0"/>
    <s v="0:Alvaro Montoya"/>
    <s v="0:Monti"/>
    <s v=""/>
    <s v=""/>
    <m/>
    <s v="44763:Alvaro Montoya"/>
    <n v="1"/>
  </r>
  <r>
    <x v="54"/>
    <x v="2"/>
    <n v="12.4"/>
    <n v="3"/>
    <s v="Fed"/>
    <s v="b4109460-0a3f-4f78-9229-fab755ed5ab0"/>
    <n v="0"/>
    <s v="0:Alvaro Nieto"/>
    <s v="0:Alvaro"/>
    <s v=""/>
    <s v=""/>
    <m/>
    <s v="44763:Alvaro Nieto"/>
    <n v="1"/>
  </r>
  <r>
    <x v="54"/>
    <x v="3"/>
    <n v="7.2"/>
    <n v="2"/>
    <s v="Fed"/>
    <s v="1bdacd31-60b9-4e29-88ee-b02eb7450719"/>
    <n v="0"/>
    <s v="0:Angel Hernandez"/>
    <s v="0:Angel"/>
    <s v=""/>
    <s v=""/>
    <m/>
    <s v="44763:Angel Hernandez"/>
    <n v="1"/>
  </r>
  <r>
    <x v="54"/>
    <x v="31"/>
    <n v="19.100000000000001"/>
    <n v="4"/>
    <s v="Fed"/>
    <s v="5e52190a-f6c4-401b-8546-6709b3d988b3"/>
    <n v="0"/>
    <s v="0:Antonio Carmona"/>
    <s v="0:Antonio"/>
    <s v=""/>
    <s v=""/>
    <m/>
    <s v="44763:Antonio Carmona"/>
    <n v="1"/>
  </r>
  <r>
    <x v="54"/>
    <x v="4"/>
    <n v="10.6"/>
    <n v="2"/>
    <s v="Fed"/>
    <s v="d503e2f7-b3cd-4eec-b0bb-bb963af5bb96"/>
    <n v="0"/>
    <s v="0:David Sequera"/>
    <s v="0:David"/>
    <s v=""/>
    <s v=""/>
    <m/>
    <s v="44763:David Sequera"/>
    <n v="1"/>
  </r>
  <r>
    <x v="54"/>
    <x v="29"/>
    <n v="14"/>
    <n v="3"/>
    <s v="Fed"/>
    <s v="f4e071cc-c321-4f48-ac6f-85a29a9df56c"/>
    <n v="0"/>
    <s v="0:Enrique Gonzalez R"/>
    <s v="0:Enrique"/>
    <s v=""/>
    <s v=""/>
    <m/>
    <s v="44763:Enrique Gonzalez R"/>
    <n v="1"/>
  </r>
  <r>
    <x v="54"/>
    <x v="5"/>
    <n v="15"/>
    <n v="3"/>
    <s v="Fed"/>
    <s v="9228971e-1534-4569-b33d-60bd17d7f946"/>
    <n v="0"/>
    <s v="0:Francisco Alvarez"/>
    <s v="0:Paco"/>
    <s v=""/>
    <s v=""/>
    <m/>
    <s v="44763:Francisco Alvarez"/>
    <n v="1"/>
  </r>
  <r>
    <x v="54"/>
    <x v="6"/>
    <n v="12.1"/>
    <n v="3"/>
    <s v="Fed"/>
    <s v="2aa36fde-5eee-44f2-90b8-352b6c90d39b"/>
    <n v="0"/>
    <s v="0:Francisco Hidalgo"/>
    <s v="0:Fran"/>
    <s v=""/>
    <s v=""/>
    <m/>
    <s v="44763:Francisco Hidalgo"/>
    <n v="1"/>
  </r>
  <r>
    <x v="54"/>
    <x v="24"/>
    <n v="14.4"/>
    <n v="3"/>
    <s v="Fed"/>
    <s v="a0053ead-a7c7-4173-88bd-d7b32912f402"/>
    <n v="0"/>
    <s v="0:Franck Benouniche"/>
    <s v="0:Franck"/>
    <s v=""/>
    <s v=""/>
    <m/>
    <s v="44763:Franck Benouniche"/>
    <n v="1"/>
  </r>
  <r>
    <x v="54"/>
    <x v="7"/>
    <n v="17.8"/>
    <n v="3"/>
    <s v="Fed"/>
    <s v="f2a38ce6-8983-46f6-9178-659697a372b7"/>
    <n v="0"/>
    <s v="0:GLEZ JUAN JOSÉ"/>
    <s v="0:Juanjo"/>
    <s v=""/>
    <s v=""/>
    <m/>
    <s v="44763:GLEZ JUAN JOSÉ"/>
    <n v="1"/>
  </r>
  <r>
    <x v="54"/>
    <x v="8"/>
    <n v="8"/>
    <n v="2"/>
    <s v="Fed"/>
    <s v="0b975d8d-03c2-4bbb-9ffe-2072b0ad7e9d"/>
    <n v="0"/>
    <s v="0:Ignacio Cadarso"/>
    <s v="0:Ignacio"/>
    <s v=""/>
    <s v=""/>
    <m/>
    <s v="44763:Ignacio Cadarso"/>
    <n v="1"/>
  </r>
  <r>
    <x v="54"/>
    <x v="10"/>
    <n v="17.3"/>
    <n v="3"/>
    <s v="Fed"/>
    <s v="a393e8f9-06e3-45e4-88a0-ffac973a7604"/>
    <n v="0"/>
    <s v="0:J. Enrique Gonzalez"/>
    <s v="0:Kike"/>
    <s v=""/>
    <s v=""/>
    <m/>
    <s v="44763:J. Enrique Gonzalez"/>
    <n v="1"/>
  </r>
  <r>
    <x v="54"/>
    <x v="11"/>
    <n v="17.3"/>
    <n v="3"/>
    <s v="Fed"/>
    <s v="58914950-e3c1-4a30-af10-ffa88e01f20e"/>
    <n v="0"/>
    <s v="0:Javier Cervera"/>
    <s v="0:Virus"/>
    <s v=""/>
    <s v=""/>
    <m/>
    <s v="44763:Javier Cervera"/>
    <n v="1"/>
  </r>
  <r>
    <x v="54"/>
    <x v="25"/>
    <n v="10.1"/>
    <n v="2"/>
    <s v="Fed"/>
    <s v="0682990e-3c9e-4017-8ba6-28bd092b2c61"/>
    <n v="0"/>
    <s v="0:Javier Chiralt"/>
    <s v="0:Chiralt"/>
    <s v=""/>
    <s v=""/>
    <m/>
    <s v="44763:Javier Chiralt"/>
    <n v="1"/>
  </r>
  <r>
    <x v="54"/>
    <x v="12"/>
    <n v="16.3"/>
    <n v="3"/>
    <s v="Fed"/>
    <s v="2fdadb88-8d37-49c0-8f46-5dfc9844944b"/>
    <n v="0"/>
    <s v="0:Javier Gonzalez Salvador"/>
    <s v="0:Javi"/>
    <s v=""/>
    <s v=""/>
    <m/>
    <s v="44763:Javier Gonzalez Salvador"/>
    <n v="1"/>
  </r>
  <r>
    <x v="54"/>
    <x v="26"/>
    <n v="22.3"/>
    <n v="4"/>
    <s v="Fed"/>
    <s v="5fa87818-b8c4-4b19-ac09-56401a567380"/>
    <n v="0"/>
    <s v="0:Javier Lopez Gullón"/>
    <s v="0:Cuñao"/>
    <s v=""/>
    <s v=""/>
    <m/>
    <s v="44763:Javier Lopez Gullón"/>
    <n v="1"/>
  </r>
  <r>
    <x v="54"/>
    <x v="13"/>
    <n v="25.3"/>
    <n v="4"/>
    <s v="Fed"/>
    <s v="db0651f9-1e07-4f8e-a49b-edd8f193cb22"/>
    <n v="0"/>
    <s v="0:Jesus Touceda"/>
    <s v="0:Jesús"/>
    <s v=""/>
    <s v=""/>
    <m/>
    <s v="44763:Jesus Touceda"/>
    <n v="1"/>
  </r>
  <r>
    <x v="54"/>
    <x v="14"/>
    <n v="7.3"/>
    <n v="2"/>
    <s v="Fed"/>
    <s v="f8e5c311-24bf-4901-8976-94ae0755c6d9"/>
    <n v="0"/>
    <s v="0:José Pablo Guil"/>
    <s v="0:JP"/>
    <s v=""/>
    <s v=""/>
    <m/>
    <s v="44763:José Pablo Guil"/>
    <n v="1"/>
  </r>
  <r>
    <x v="54"/>
    <x v="15"/>
    <n v="18.5"/>
    <n v="4"/>
    <s v="Fed"/>
    <s v="01f414e1-164d-44d3-a7f6-0d109ac91e66"/>
    <n v="0"/>
    <s v="0:Luis Escudero"/>
    <s v="0:Lucho"/>
    <s v=""/>
    <s v=""/>
    <m/>
    <s v="44763:Luis Escudero"/>
    <n v="1"/>
  </r>
  <r>
    <x v="54"/>
    <x v="21"/>
    <n v="23.6"/>
    <n v="4"/>
    <s v="Fed"/>
    <s v="01ec96fb-80fc-41bc-937d-0748abdf6096"/>
    <n v="0"/>
    <s v="0:Miche Lopez"/>
    <s v="0:Miche"/>
    <s v=""/>
    <s v=""/>
    <m/>
    <s v="44763:Miche Lopez"/>
    <n v="1"/>
  </r>
  <r>
    <x v="54"/>
    <x v="19"/>
    <n v="1.3"/>
    <n v="1"/>
    <s v="Fed"/>
    <s v="620458c1-cd51-4a01-90d1-7553104d83c6"/>
    <n v="0"/>
    <s v="0:Miguel Diaz Del Moral"/>
    <s v="0:Cañita"/>
    <s v=""/>
    <s v=""/>
    <m/>
    <s v="44763:Miguel Diaz Del Moral"/>
    <n v="1"/>
  </r>
  <r>
    <x v="54"/>
    <x v="27"/>
    <n v="7"/>
    <n v="2"/>
    <s v="Fed"/>
    <s v="d001b6f6-3110-4043-9d88-85d32af33a6c"/>
    <n v="0"/>
    <s v="0:Nacho Casas"/>
    <s v="0:Nachete"/>
    <s v=""/>
    <s v=""/>
    <m/>
    <s v="44763:Nacho Casas"/>
    <n v="1"/>
  </r>
  <r>
    <x v="54"/>
    <x v="16"/>
    <n v="6.4"/>
    <n v="2"/>
    <s v="Fed"/>
    <s v="994ccec2-0625-4360-8550-a32573fd8802"/>
    <n v="0"/>
    <s v="0:Nacho Gonzalez"/>
    <s v="0:Nacho"/>
    <s v=""/>
    <s v=""/>
    <m/>
    <s v="44763:Nacho Gonzalez"/>
    <n v="1"/>
  </r>
  <r>
    <x v="54"/>
    <x v="17"/>
    <n v="13.7"/>
    <n v="3"/>
    <s v="Fed"/>
    <s v="7595d6eb-ec47-4c1f-9e2d-50bdeca35d40"/>
    <n v="0"/>
    <s v="0:Pablo Munitiz"/>
    <s v="0:Muni"/>
    <s v=""/>
    <s v=""/>
    <m/>
    <s v="44763:Pablo Munitiz"/>
    <n v="1"/>
  </r>
  <r>
    <x v="54"/>
    <x v="28"/>
    <n v="17.600000000000001"/>
    <n v="3"/>
    <s v="Fed"/>
    <s v="1c6d497b-6c00-43e3-8bd8-2a71f41a546d"/>
    <n v="0"/>
    <s v="0:Ruslan Kochman"/>
    <s v="0:Rus"/>
    <s v=""/>
    <s v=""/>
    <m/>
    <s v="44763:Ruslan Kochman"/>
    <n v="1"/>
  </r>
  <r>
    <x v="54"/>
    <x v="32"/>
    <n v="16.399999999999999"/>
    <n v="3"/>
    <s v="Fed"/>
    <s v="a94c5691-9cef-4ccd-961c-7b8c40728868"/>
    <n v="0"/>
    <s v="0:Santi Diaz"/>
    <s v="0:Santi"/>
    <s v=""/>
    <s v=""/>
    <m/>
    <s v="44763:Santi Diaz"/>
    <n v="1"/>
  </r>
  <r>
    <x v="55"/>
    <x v="30"/>
    <n v="3"/>
    <n v="1"/>
    <s v="Fed"/>
    <s v="a3b6024d-5abd-44d3-9d42-51ed205a7612"/>
    <n v="0"/>
    <s v="0:Alejandro Arcos"/>
    <s v="0:Alex"/>
    <s v=""/>
    <s v=""/>
    <m/>
    <s v="44829:Alejandro Arcos"/>
    <n v="1"/>
  </r>
  <r>
    <x v="55"/>
    <x v="0"/>
    <n v="10.4"/>
    <n v="2"/>
    <s v="Fed"/>
    <s v="f626dea2-068f-4361-a5ce-005f798c89da"/>
    <n v="0"/>
    <s v="0:Alfonso Hidalgo"/>
    <s v="0:Alfonso"/>
    <s v=""/>
    <s v=""/>
    <m/>
    <s v="44829:Alfonso Hidalgo"/>
    <n v="1"/>
  </r>
  <r>
    <x v="55"/>
    <x v="22"/>
    <n v="13.6"/>
    <n v="3"/>
    <s v="Fed"/>
    <s v="541e5323-6b30-408e-9839-adcad1f1092a"/>
    <n v="0"/>
    <s v="0:Alfonso Zorrilla"/>
    <s v="0:A Zorrilla"/>
    <s v=""/>
    <s v=""/>
    <m/>
    <s v="44829:Alfonso Zorrilla"/>
    <n v="1"/>
  </r>
  <r>
    <x v="55"/>
    <x v="1"/>
    <n v="7.1"/>
    <n v="2"/>
    <s v="Fed"/>
    <s v="a446aab0-eb98-4c97-b41e-660acddf554a"/>
    <n v="0"/>
    <s v="0:Alvaro Aguirre"/>
    <s v="0:Gifu"/>
    <s v=""/>
    <s v=""/>
    <m/>
    <s v="44829:Alvaro Aguirre"/>
    <n v="1"/>
  </r>
  <r>
    <x v="55"/>
    <x v="23"/>
    <n v="7.7"/>
    <n v="2"/>
    <s v="Fed"/>
    <s v="eeaa3836-4aef-4ac2-8aa8-c879aee08e24"/>
    <n v="0"/>
    <s v="0:Alvaro Montoya"/>
    <s v="0:Monti"/>
    <s v=""/>
    <s v=""/>
    <m/>
    <s v="44829:Alvaro Montoya"/>
    <n v="1"/>
  </r>
  <r>
    <x v="55"/>
    <x v="2"/>
    <n v="12.4"/>
    <n v="3"/>
    <s v="Fed"/>
    <s v="333a4247-bd0c-4263-9e09-0c1feef3ad19"/>
    <n v="0"/>
    <s v="0:Alvaro Nieto"/>
    <s v="0:Alvaro"/>
    <s v=""/>
    <s v=""/>
    <m/>
    <s v="44829:Alvaro Nieto"/>
    <n v="1"/>
  </r>
  <r>
    <x v="55"/>
    <x v="3"/>
    <n v="6.9"/>
    <n v="2"/>
    <s v="Fed"/>
    <s v="ad0c8f52-2815-4799-a318-8e7027a77429"/>
    <n v="0"/>
    <s v="0:Angel Hernandez"/>
    <s v="0:Angel"/>
    <s v=""/>
    <s v=""/>
    <m/>
    <s v="44829:Angel Hernandez"/>
    <n v="1"/>
  </r>
  <r>
    <x v="55"/>
    <x v="31"/>
    <n v="19.100000000000001"/>
    <n v="4"/>
    <s v="Fed"/>
    <s v="5a0514f6-9ed7-4bb0-8266-880452ef14ed"/>
    <n v="0"/>
    <s v="0:Antonio Carmona"/>
    <s v="0:Antonio"/>
    <s v=""/>
    <s v=""/>
    <m/>
    <s v="44829:Antonio Carmona"/>
    <n v="1"/>
  </r>
  <r>
    <x v="55"/>
    <x v="33"/>
    <n v="26.5"/>
    <n v="5"/>
    <s v="Fed"/>
    <s v="53bdda9b-4de7-48dc-90e7-54fd4af5e670"/>
    <n v="0"/>
    <s v="0:Carlos Hijas"/>
    <s v="0:Hijas"/>
    <s v=""/>
    <s v=""/>
    <m/>
    <s v="44829:Carlos Hijas"/>
    <n v="1"/>
  </r>
  <r>
    <x v="55"/>
    <x v="34"/>
    <n v="1.7"/>
    <n v="1"/>
    <s v="Fed"/>
    <s v="c15d3d7f-1f0d-4de1-87d2-3734c6d00536"/>
    <n v="0"/>
    <s v="0:Carlos Maestro"/>
    <s v="0:Carlitos"/>
    <s v=""/>
    <s v=""/>
    <m/>
    <s v="44829:Carlos Maestro"/>
    <n v="1"/>
  </r>
  <r>
    <x v="55"/>
    <x v="4"/>
    <n v="10.6"/>
    <n v="2"/>
    <s v="Fed"/>
    <s v="7111e0bd-cc6d-4b35-8faa-b3a440d7972f"/>
    <n v="0"/>
    <s v="0:David Sequera"/>
    <s v="0:David"/>
    <s v=""/>
    <s v=""/>
    <m/>
    <s v="44829:David Sequera"/>
    <n v="1"/>
  </r>
  <r>
    <x v="55"/>
    <x v="29"/>
    <n v="14"/>
    <n v="3"/>
    <s v="Fed"/>
    <s v="f0062a76-455e-46be-9635-6870415cdb40"/>
    <n v="0"/>
    <s v="0:Enrique Gonzalez R"/>
    <s v="0:Enrique"/>
    <s v=""/>
    <s v=""/>
    <m/>
    <s v="44829:Enrique Gonzalez R"/>
    <n v="1"/>
  </r>
  <r>
    <x v="55"/>
    <x v="5"/>
    <n v="15"/>
    <n v="3"/>
    <s v="Fed"/>
    <s v="66d52616-c0db-4898-b304-fb4f50de9dc0"/>
    <n v="0"/>
    <s v="0:Francisco Alvarez"/>
    <s v="0:Paco"/>
    <s v=""/>
    <s v=""/>
    <m/>
    <s v="44829:Francisco Alvarez"/>
    <n v="1"/>
  </r>
  <r>
    <x v="55"/>
    <x v="6"/>
    <n v="12.1"/>
    <n v="3"/>
    <s v="Fed"/>
    <s v="5b8b583f-9037-47e8-b722-089288b5e708"/>
    <n v="0"/>
    <s v="0:Francisco Hidalgo"/>
    <s v="0:Fran"/>
    <s v=""/>
    <s v=""/>
    <m/>
    <s v="44829:Francisco Hidalgo"/>
    <n v="1"/>
  </r>
  <r>
    <x v="55"/>
    <x v="24"/>
    <n v="14.4"/>
    <n v="3"/>
    <s v="Fed"/>
    <s v="48d592d0-ef58-4e04-b21d-88ccc3445338"/>
    <n v="0"/>
    <s v="0:Franck Benouniche"/>
    <s v="0:Franck"/>
    <s v=""/>
    <s v=""/>
    <m/>
    <s v="44829:Franck Benouniche"/>
    <n v="1"/>
  </r>
  <r>
    <x v="55"/>
    <x v="7"/>
    <n v="17.8"/>
    <n v="3"/>
    <s v="Fed"/>
    <s v="7089e803-59d3-4e84-8d02-1524c1bf2df9"/>
    <n v="0"/>
    <s v="0:GLEZ JUAN JOSÉ"/>
    <s v="0:Juanjo"/>
    <s v=""/>
    <s v=""/>
    <m/>
    <s v="44829:GLEZ JUAN JOSÉ"/>
    <n v="1"/>
  </r>
  <r>
    <x v="55"/>
    <x v="8"/>
    <n v="8"/>
    <n v="2"/>
    <s v="Fed"/>
    <s v="00db5e25-2dd9-4d3d-ae38-16be28593031"/>
    <n v="0"/>
    <s v="0:Ignacio Cadarso"/>
    <s v="0:Ignacio"/>
    <s v=""/>
    <s v=""/>
    <m/>
    <s v="44829:Ignacio Cadarso"/>
    <n v="1"/>
  </r>
  <r>
    <x v="55"/>
    <x v="10"/>
    <n v="17.3"/>
    <n v="3"/>
    <s v="Fed"/>
    <s v="5b0b6713-963b-4088-bd3a-d31010c285aa"/>
    <n v="0"/>
    <s v="0:J. Enrique Gonzalez"/>
    <s v="0:Kike"/>
    <s v=""/>
    <s v=""/>
    <m/>
    <s v="44829:J. Enrique Gonzalez"/>
    <n v="1"/>
  </r>
  <r>
    <x v="55"/>
    <x v="35"/>
    <n v="10.7"/>
    <n v="2"/>
    <s v="Fed"/>
    <s v="5783e191-0a54-455f-a833-aa1fff5d38d5"/>
    <n v="0"/>
    <s v="0:Jaime Villanueva"/>
    <s v="0:Villanueva"/>
    <s v=""/>
    <s v=""/>
    <m/>
    <s v="44829:Jaime Villanueva"/>
    <n v="1"/>
  </r>
  <r>
    <x v="55"/>
    <x v="11"/>
    <n v="17.2"/>
    <n v="3"/>
    <s v="Fed"/>
    <s v="723eed56-0c08-4323-b56e-db1d20d46839"/>
    <n v="0"/>
    <s v="0:Javier Cervera"/>
    <s v="0:Virus"/>
    <s v=""/>
    <s v=""/>
    <m/>
    <s v="44829:Javier Cervera"/>
    <n v="1"/>
  </r>
  <r>
    <x v="55"/>
    <x v="25"/>
    <n v="10.1"/>
    <n v="2"/>
    <s v="Fed"/>
    <s v="bff275a9-431a-481f-87c8-6e13eba6168f"/>
    <n v="0"/>
    <s v="0:Javier Chiralt"/>
    <s v="0:Chiralt"/>
    <s v=""/>
    <s v=""/>
    <m/>
    <s v="44829:Javier Chiralt"/>
    <n v="1"/>
  </r>
  <r>
    <x v="55"/>
    <x v="12"/>
    <n v="16.3"/>
    <n v="3"/>
    <s v="Fed"/>
    <s v="da38d4b5-83c4-4733-a7fa-4fc802236029"/>
    <n v="0"/>
    <s v="0:Javier Gonzalez Salvador"/>
    <s v="0:Javi"/>
    <s v=""/>
    <s v=""/>
    <m/>
    <s v="44829:Javier Gonzalez Salvador"/>
    <n v="1"/>
  </r>
  <r>
    <x v="55"/>
    <x v="26"/>
    <n v="22.3"/>
    <n v="4"/>
    <s v="Fed"/>
    <s v="fcbca8ca-7523-4057-b7ca-605b7a883720"/>
    <n v="0"/>
    <s v="0:Javier Lopez Gullón"/>
    <s v="0:Cuñao"/>
    <s v=""/>
    <s v=""/>
    <m/>
    <s v="44829:Javier Lopez Gullón"/>
    <n v="1"/>
  </r>
  <r>
    <x v="55"/>
    <x v="13"/>
    <n v="25.3"/>
    <n v="4"/>
    <s v="Fed"/>
    <s v="569363b1-f77d-42bf-a7f4-3dad8accb008"/>
    <n v="0"/>
    <s v="0:Jesus Touceda"/>
    <s v="0:Jesús"/>
    <s v=""/>
    <s v=""/>
    <m/>
    <s v="44829:Jesus Touceda"/>
    <n v="1"/>
  </r>
  <r>
    <x v="55"/>
    <x v="14"/>
    <n v="7.5"/>
    <n v="2"/>
    <s v="Fed"/>
    <s v="033f3391-f2d1-4e6c-9fb5-035712caf4b3"/>
    <n v="0"/>
    <s v="0:José Pablo Guil"/>
    <s v="0:JP"/>
    <s v=""/>
    <s v=""/>
    <m/>
    <s v="44829:José Pablo Guil"/>
    <n v="1"/>
  </r>
  <r>
    <x v="55"/>
    <x v="36"/>
    <n v="21.4"/>
    <n v="4"/>
    <s v="Fed"/>
    <s v="47867ba6-f204-4c89-bc5e-b54597a1ba27"/>
    <n v="0"/>
    <s v="0:Juan Jose Aguado"/>
    <s v="0:Juancho"/>
    <s v=""/>
    <s v=""/>
    <m/>
    <s v="44829:Juan Jose Aguado"/>
    <n v="1"/>
  </r>
  <r>
    <x v="55"/>
    <x v="15"/>
    <n v="18.5"/>
    <n v="4"/>
    <s v="Fed"/>
    <s v="725e8eb8-715d-4419-906f-bad50b4cbede"/>
    <n v="0"/>
    <s v="0:Luis Escudero"/>
    <s v="0:Lucho"/>
    <s v=""/>
    <s v=""/>
    <m/>
    <s v="44829:Luis Escudero"/>
    <n v="1"/>
  </r>
  <r>
    <x v="55"/>
    <x v="21"/>
    <n v="23.6"/>
    <n v="4"/>
    <s v="Fed"/>
    <s v="48c2f2f0-b4fc-48f1-9050-c16bcbcbb769"/>
    <n v="0"/>
    <s v="0:Miche Lopez"/>
    <s v="0:Miche"/>
    <s v=""/>
    <s v=""/>
    <m/>
    <s v="44829:Miche Lopez"/>
    <n v="1"/>
  </r>
  <r>
    <x v="55"/>
    <x v="19"/>
    <n v="-0.1"/>
    <n v="1"/>
    <s v="Fed"/>
    <s v="b0b5aeff-ff32-4862-abe6-6bad9d81ffe7"/>
    <n v="0"/>
    <s v="0:Miguel Diaz Del Moral"/>
    <s v="0:Cañita"/>
    <s v=""/>
    <s v=""/>
    <m/>
    <s v="44829:Miguel Diaz Del Moral"/>
    <n v="1"/>
  </r>
  <r>
    <x v="55"/>
    <x v="27"/>
    <n v="7"/>
    <n v="2"/>
    <s v="Fed"/>
    <s v="2c70256a-bac7-4555-9200-952096db5f0b"/>
    <n v="0"/>
    <s v="0:Nacho Casas"/>
    <s v="0:Nachete"/>
    <s v=""/>
    <s v=""/>
    <m/>
    <s v="44829:Nacho Casas"/>
    <n v="1"/>
  </r>
  <r>
    <x v="55"/>
    <x v="16"/>
    <n v="6.4"/>
    <n v="2"/>
    <s v="Fed"/>
    <s v="c2d975cc-f717-4845-863e-845c1a36a2bd"/>
    <n v="0"/>
    <s v="0:Nacho Gonzalez"/>
    <s v="0:Nacho"/>
    <s v=""/>
    <s v=""/>
    <m/>
    <s v="44829:Nacho Gonzalez"/>
    <n v="1"/>
  </r>
  <r>
    <x v="55"/>
    <x v="17"/>
    <n v="13.7"/>
    <n v="3"/>
    <s v="Fed"/>
    <s v="3aff778a-35eb-4516-8eb9-6d70a39234ed"/>
    <n v="0"/>
    <s v="0:Pablo Munitiz"/>
    <s v="0:Muni"/>
    <s v=""/>
    <s v=""/>
    <m/>
    <s v="44829:Pablo Munitiz"/>
    <n v="1"/>
  </r>
  <r>
    <x v="55"/>
    <x v="28"/>
    <n v="17.600000000000001"/>
    <n v="3"/>
    <s v="Fed"/>
    <s v="a7c1ad80-9222-4f78-aa64-59f1b30a3242"/>
    <n v="0"/>
    <s v="0:Ruslan Kochman"/>
    <s v="0:Rus"/>
    <s v=""/>
    <s v=""/>
    <m/>
    <s v="44829:Ruslan Kochman"/>
    <n v="1"/>
  </r>
  <r>
    <x v="55"/>
    <x v="32"/>
    <n v="16.399999999999999"/>
    <n v="3"/>
    <s v="Fed"/>
    <s v="7a51cfdb-ef70-4d89-8dfb-72f55f04688a"/>
    <n v="0"/>
    <s v="0:Santi Diaz"/>
    <s v="0:Santi"/>
    <s v=""/>
    <s v=""/>
    <m/>
    <s v="44829:Santi Diaz"/>
    <n v="1"/>
  </r>
  <r>
    <x v="56"/>
    <x v="30"/>
    <n v="3.5"/>
    <n v="1"/>
    <s v="Fed"/>
    <s v="495d4054-25e6-4b4b-955c-04744d062164"/>
    <n v="0"/>
    <s v="0:Alejandro Arcos"/>
    <s v="0:Alex"/>
    <s v=""/>
    <s v=""/>
    <m/>
    <s v="44863:Alejandro Arcos"/>
    <n v="1"/>
  </r>
  <r>
    <x v="56"/>
    <x v="0"/>
    <n v="10.4"/>
    <n v="2"/>
    <s v="Fed"/>
    <s v="ae633e03-0104-4254-b934-371591f5809f"/>
    <n v="0"/>
    <s v="0:Alfonso Hidalgo"/>
    <s v="0:Alfonso"/>
    <s v=""/>
    <s v=""/>
    <m/>
    <s v="44863:Alfonso Hidalgo"/>
    <n v="1"/>
  </r>
  <r>
    <x v="56"/>
    <x v="22"/>
    <n v="13.6"/>
    <n v="3"/>
    <s v="Fed"/>
    <s v="600494f8-e4f7-4493-bab6-c767ae7c622a"/>
    <n v="0"/>
    <s v="0:Alfonso Zorrilla"/>
    <s v="0:A Zorrilla"/>
    <s v=""/>
    <s v=""/>
    <m/>
    <s v="44863:Alfonso Zorrilla"/>
    <n v="1"/>
  </r>
  <r>
    <x v="56"/>
    <x v="1"/>
    <n v="7"/>
    <n v="2"/>
    <s v="Fed"/>
    <s v="51676d10-4b9d-4785-b750-264cab34b95c"/>
    <n v="0"/>
    <s v="0:Alvaro Aguirre"/>
    <s v="0:Gifu"/>
    <s v=""/>
    <s v=""/>
    <m/>
    <s v="44863:Alvaro Aguirre"/>
    <n v="1"/>
  </r>
  <r>
    <x v="56"/>
    <x v="23"/>
    <n v="8.6999999999999993"/>
    <n v="2"/>
    <s v="Fed"/>
    <s v="5b9ab0c0-1439-426c-ab21-8a573e916c59"/>
    <n v="0"/>
    <s v="0:Alvaro Montoya"/>
    <s v="0:Monti"/>
    <s v=""/>
    <s v=""/>
    <m/>
    <s v="44863:Alvaro Montoya"/>
    <n v="1"/>
  </r>
  <r>
    <x v="56"/>
    <x v="2"/>
    <n v="12.3"/>
    <n v="3"/>
    <s v="Fed"/>
    <s v="918d85e8-c408-4f42-b304-9e8e798f7484"/>
    <n v="0"/>
    <s v="0:Alvaro Nieto"/>
    <s v="0:Alvaro"/>
    <s v=""/>
    <s v=""/>
    <m/>
    <s v="44863:Alvaro Nieto"/>
    <n v="1"/>
  </r>
  <r>
    <x v="56"/>
    <x v="3"/>
    <n v="7.3"/>
    <n v="2"/>
    <s v="Fed"/>
    <s v="51d127cf-0839-44c3-8669-ccf42163850b"/>
    <n v="0"/>
    <s v="0:Angel Hernandez"/>
    <s v="0:Angel"/>
    <s v=""/>
    <s v=""/>
    <m/>
    <s v="44863:Angel Hernandez"/>
    <n v="1"/>
  </r>
  <r>
    <x v="56"/>
    <x v="31"/>
    <n v="19.100000000000001"/>
    <n v="4"/>
    <s v="Fed"/>
    <s v="9cab8622-368d-49ae-9ef5-678bcf03048a"/>
    <n v="0"/>
    <s v="0:Antonio Carmona"/>
    <s v="0:Antonio"/>
    <s v=""/>
    <s v=""/>
    <m/>
    <s v="44863:Antonio Carmona"/>
    <n v="1"/>
  </r>
  <r>
    <x v="56"/>
    <x v="33"/>
    <n v="26.5"/>
    <n v="5"/>
    <s v="Fed"/>
    <s v="af739204-d83a-4244-a15a-9e9a9c196e4b"/>
    <n v="0"/>
    <s v="0:Carlos Hijas"/>
    <s v="0:Hijas"/>
    <s v=""/>
    <s v=""/>
    <m/>
    <s v="44863:Carlos Hijas"/>
    <n v="1"/>
  </r>
  <r>
    <x v="56"/>
    <x v="34"/>
    <n v="1.7"/>
    <n v="1"/>
    <s v="Fed"/>
    <s v="48a16b1b-983a-411f-818c-8e6f09d1b9c2"/>
    <n v="0"/>
    <s v="0:Carlos Maestro"/>
    <s v="0:Carlitos"/>
    <s v=""/>
    <s v=""/>
    <m/>
    <s v="44863:Carlos Maestro"/>
    <n v="1"/>
  </r>
  <r>
    <x v="56"/>
    <x v="4"/>
    <n v="10.4"/>
    <n v="2"/>
    <s v="Fed"/>
    <s v="9c41eedf-69ba-4083-9ba3-3a7a6d832caf"/>
    <n v="0"/>
    <s v="0:David Sequera"/>
    <s v="0:David"/>
    <s v=""/>
    <s v=""/>
    <m/>
    <s v="44863:David Sequera"/>
    <n v="1"/>
  </r>
  <r>
    <x v="56"/>
    <x v="29"/>
    <n v="14"/>
    <n v="3"/>
    <s v="Fed"/>
    <s v="89b15288-d46c-47e4-bbf8-9bed93925d66"/>
    <n v="0"/>
    <s v="0:Enrique Gonzalez R"/>
    <s v="0:Enrique"/>
    <s v=""/>
    <s v=""/>
    <m/>
    <s v="44863:Enrique Gonzalez R"/>
    <n v="1"/>
  </r>
  <r>
    <x v="56"/>
    <x v="5"/>
    <n v="15"/>
    <n v="3"/>
    <s v="Fed"/>
    <s v="01e0bf91-4233-4ae2-8fb0-c1cf8f0329d2"/>
    <n v="0"/>
    <s v="0:Francisco Alvarez"/>
    <s v="0:Paco"/>
    <s v=""/>
    <s v=""/>
    <m/>
    <s v="44863:Francisco Alvarez"/>
    <n v="1"/>
  </r>
  <r>
    <x v="56"/>
    <x v="6"/>
    <n v="11.9"/>
    <n v="3"/>
    <s v="Fed"/>
    <s v="f38f3477-20e5-45b6-9082-e5f43028e6a2"/>
    <n v="0"/>
    <s v="0:Francisco Hidalgo"/>
    <s v="0:Fran"/>
    <s v=""/>
    <s v=""/>
    <m/>
    <s v="44863:Francisco Hidalgo"/>
    <n v="1"/>
  </r>
  <r>
    <x v="56"/>
    <x v="24"/>
    <n v="14.4"/>
    <n v="3"/>
    <s v="Fed"/>
    <s v="7fdafabb-1645-4226-8911-4e7db87880be"/>
    <n v="0"/>
    <s v="0:Franck Benouniche"/>
    <s v="0:Franck"/>
    <s v=""/>
    <s v=""/>
    <m/>
    <s v="44863:Franck Benouniche"/>
    <n v="1"/>
  </r>
  <r>
    <x v="56"/>
    <x v="7"/>
    <n v="17.8"/>
    <n v="3"/>
    <s v="Fed"/>
    <s v="605a18ce-f28e-498a-9240-cffa19e149a5"/>
    <n v="0"/>
    <s v="0:GLEZ JUAN JOSÉ"/>
    <s v="0:Juanjo"/>
    <s v=""/>
    <s v=""/>
    <m/>
    <s v="44863:GLEZ JUAN JOSÉ"/>
    <n v="1"/>
  </r>
  <r>
    <x v="56"/>
    <x v="8"/>
    <n v="8.6999999999999993"/>
    <n v="2"/>
    <s v="Fed"/>
    <s v="a5696672-f905-48ba-8953-e812077d2e57"/>
    <n v="0"/>
    <s v="0:Ignacio Cadarso"/>
    <s v="0:Ignacio"/>
    <s v=""/>
    <s v=""/>
    <m/>
    <s v="44863:Ignacio Cadarso"/>
    <n v="1"/>
  </r>
  <r>
    <x v="56"/>
    <x v="10"/>
    <n v="17.3"/>
    <n v="3"/>
    <s v="Fed"/>
    <s v="9816ab77-461e-4575-aa75-8246420bdd48"/>
    <n v="0"/>
    <s v="0:J. Enrique Gonzalez"/>
    <s v="0:Kike"/>
    <s v=""/>
    <s v=""/>
    <m/>
    <s v="44863:J. Enrique Gonzalez"/>
    <n v="1"/>
  </r>
  <r>
    <x v="56"/>
    <x v="35"/>
    <n v="11.7"/>
    <n v="3"/>
    <s v="Fed"/>
    <s v="456f8354-2863-4d75-aac7-dfa686b953ef"/>
    <n v="0"/>
    <s v="0:Jaime Villanueva"/>
    <s v="0:Villanueva"/>
    <s v=""/>
    <s v=""/>
    <m/>
    <s v="44863:Jaime Villanueva"/>
    <n v="1"/>
  </r>
  <r>
    <x v="56"/>
    <x v="11"/>
    <n v="17.100000000000001"/>
    <n v="3"/>
    <s v="Fed"/>
    <s v="12e35526-a20b-41f0-bc28-c803da02b51b"/>
    <n v="0"/>
    <s v="0:Javier Cervera"/>
    <s v="0:Virus"/>
    <s v=""/>
    <s v=""/>
    <m/>
    <s v="44863:Javier Cervera"/>
    <n v="1"/>
  </r>
  <r>
    <x v="56"/>
    <x v="25"/>
    <n v="11"/>
    <n v="2"/>
    <s v="Fed"/>
    <s v="cd953ad0-cc1f-4496-b7eb-4cfa860ed24d"/>
    <n v="0"/>
    <s v="0:Javier Chiralt"/>
    <s v="0:Chiralt"/>
    <s v=""/>
    <s v=""/>
    <m/>
    <s v="44863:Javier Chiralt"/>
    <n v="1"/>
  </r>
  <r>
    <x v="56"/>
    <x v="12"/>
    <n v="16.3"/>
    <n v="3"/>
    <s v="Fed"/>
    <s v="3aec49ee-1e58-442d-a74b-b706b522afdb"/>
    <n v="0"/>
    <s v="0:Javier Gonzalez Salvador"/>
    <s v="0:Javi"/>
    <s v=""/>
    <s v=""/>
    <m/>
    <s v="44863:Javier Gonzalez Salvador"/>
    <n v="1"/>
  </r>
  <r>
    <x v="56"/>
    <x v="26"/>
    <n v="21.1"/>
    <n v="4"/>
    <s v="Fed"/>
    <s v="22168d30-ef36-46b1-992a-44259d9a43b3"/>
    <n v="0"/>
    <s v="0:Javier Lopez Gullón"/>
    <s v="0:Cuñao"/>
    <s v=""/>
    <s v=""/>
    <m/>
    <s v="44863:Javier Lopez Gullón"/>
    <n v="1"/>
  </r>
  <r>
    <x v="56"/>
    <x v="13"/>
    <n v="24.8"/>
    <n v="4"/>
    <s v="Fed"/>
    <s v="4fe52c68-1627-44bc-abf0-35fa68f97b38"/>
    <n v="0"/>
    <s v="0:Jesus Touceda"/>
    <s v="0:Jesús"/>
    <s v=""/>
    <s v=""/>
    <m/>
    <s v="44863:Jesus Touceda"/>
    <n v="1"/>
  </r>
  <r>
    <x v="56"/>
    <x v="14"/>
    <n v="7.5"/>
    <n v="2"/>
    <s v="Fed"/>
    <s v="a27d5a02-bd9b-462d-89d7-b40a71e9742e"/>
    <n v="0"/>
    <s v="0:José Pablo Guil"/>
    <s v="0:JP"/>
    <s v=""/>
    <s v=""/>
    <m/>
    <s v="44863:José Pablo Guil"/>
    <n v="1"/>
  </r>
  <r>
    <x v="56"/>
    <x v="36"/>
    <n v="21.1"/>
    <n v="4"/>
    <s v="Fed"/>
    <s v="46f7dcaf-f76d-44c4-8aa0-a44fb6b43c4f"/>
    <n v="0"/>
    <s v="0:Juan Jose Aguado"/>
    <s v="0:Juancho"/>
    <s v=""/>
    <s v=""/>
    <m/>
    <s v="44863:Juan Jose Aguado"/>
    <n v="1"/>
  </r>
  <r>
    <x v="56"/>
    <x v="15"/>
    <n v="18.5"/>
    <n v="4"/>
    <s v="Fed"/>
    <s v="e9ae6e34-66f3-406a-ba7b-c1e436082076"/>
    <n v="0"/>
    <s v="0:Luis Escudero"/>
    <s v="0:Lucho"/>
    <s v=""/>
    <s v=""/>
    <m/>
    <s v="44863:Luis Escudero"/>
    <n v="1"/>
  </r>
  <r>
    <x v="56"/>
    <x v="21"/>
    <n v="24"/>
    <n v="4"/>
    <s v="Fed"/>
    <s v="530e6ad0-d9ca-41bc-b956-9bbb0fdb0267"/>
    <n v="0"/>
    <s v="0:Miche Lopez"/>
    <s v="0:Miche"/>
    <s v=""/>
    <s v=""/>
    <m/>
    <s v="44863:Miche Lopez"/>
    <n v="1"/>
  </r>
  <r>
    <x v="56"/>
    <x v="19"/>
    <n v="-0.4"/>
    <n v="1"/>
    <s v="Fed"/>
    <s v="457ac751-f8e0-45a5-b16c-8eecf1708893"/>
    <n v="0"/>
    <s v="0:Miguel Diaz Del Moral"/>
    <s v="0:Cañita"/>
    <s v=""/>
    <s v=""/>
    <m/>
    <s v="44863:Miguel Diaz Del Moral"/>
    <n v="1"/>
  </r>
  <r>
    <x v="56"/>
    <x v="27"/>
    <n v="7"/>
    <n v="2"/>
    <s v="Fed"/>
    <s v="2cc10e07-f529-4a84-906b-bba55d7bf23d"/>
    <n v="0"/>
    <s v="0:Nacho Casas"/>
    <s v="0:Nachete"/>
    <s v=""/>
    <s v=""/>
    <m/>
    <s v="44863:Nacho Casas"/>
    <n v="1"/>
  </r>
  <r>
    <x v="56"/>
    <x v="16"/>
    <n v="6.4"/>
    <n v="2"/>
    <s v="Fed"/>
    <s v="9574dbfb-b788-49d2-9d09-3da7c075770e"/>
    <n v="0"/>
    <s v="0:Nacho Gonzalez"/>
    <s v="0:Nacho"/>
    <s v=""/>
    <s v=""/>
    <m/>
    <s v="44863:Nacho Gonzalez"/>
    <n v="1"/>
  </r>
  <r>
    <x v="56"/>
    <x v="17"/>
    <n v="13.7"/>
    <n v="3"/>
    <s v="Fed"/>
    <s v="564b4bee-b984-4f6c-b543-c0331fe03bce"/>
    <n v="0"/>
    <s v="0:Pablo Munitiz"/>
    <s v="0:Muni"/>
    <s v=""/>
    <s v=""/>
    <m/>
    <s v="44863:Pablo Munitiz"/>
    <n v="1"/>
  </r>
  <r>
    <x v="56"/>
    <x v="28"/>
    <n v="17.7"/>
    <n v="3"/>
    <s v="Fed"/>
    <s v="d17d14a2-6158-4453-a2bb-49ff46ffb9be"/>
    <n v="0"/>
    <s v="0:Ruslan Kochman"/>
    <s v="0:Rus"/>
    <s v=""/>
    <s v=""/>
    <m/>
    <s v="44863:Ruslan Kochman"/>
    <n v="1"/>
  </r>
  <r>
    <x v="56"/>
    <x v="32"/>
    <n v="16.399999999999999"/>
    <n v="3"/>
    <s v="Fed"/>
    <s v="f0ada8b8-2181-4b21-91ca-a0aef63bf419"/>
    <n v="0"/>
    <s v="0:Santi Diaz"/>
    <s v="0:Santi"/>
    <s v=""/>
    <s v=""/>
    <m/>
    <s v="44863:Santi Diaz"/>
    <n v="1"/>
  </r>
  <r>
    <x v="57"/>
    <x v="30"/>
    <n v="3.5"/>
    <n v="1"/>
    <s v="Fed"/>
    <s v="9ff36d17-8baa-4f3d-96e9-b87dd8a718ab"/>
    <n v="0"/>
    <s v="0:Alejandro Arcos"/>
    <s v="0:Alex"/>
    <s v=""/>
    <s v=""/>
    <m/>
    <s v="44884:Alejandro Arcos"/>
    <n v="1"/>
  </r>
  <r>
    <x v="57"/>
    <x v="0"/>
    <n v="10.4"/>
    <n v="2"/>
    <s v="Fed"/>
    <s v="2d5cbb20-737a-460d-8529-aec25b41bdcc"/>
    <n v="0"/>
    <s v="0:Alfonso Hidalgo"/>
    <s v="0:Alfonso"/>
    <s v=""/>
    <s v=""/>
    <m/>
    <s v="44884:Alfonso Hidalgo"/>
    <n v="1"/>
  </r>
  <r>
    <x v="57"/>
    <x v="22"/>
    <n v="14.1"/>
    <n v="3"/>
    <s v="Fed"/>
    <s v="d40162f1-9d7b-4f35-be7d-6890c3d4cb4f"/>
    <n v="0"/>
    <s v="0:Alfonso Zorrilla"/>
    <s v="0:A Zorrilla"/>
    <s v=""/>
    <s v=""/>
    <m/>
    <s v="44884:Alfonso Zorrilla"/>
    <n v="1"/>
  </r>
  <r>
    <x v="57"/>
    <x v="1"/>
    <n v="6.1"/>
    <n v="2"/>
    <s v="Fed"/>
    <s v="fc8b62b6-a010-4f09-83b0-2aaf843538bb"/>
    <n v="0"/>
    <s v="0:Alvaro Aguirre"/>
    <s v="0:Gifu"/>
    <s v=""/>
    <s v=""/>
    <m/>
    <s v="44884:Alvaro Aguirre"/>
    <n v="1"/>
  </r>
  <r>
    <x v="57"/>
    <x v="23"/>
    <n v="9.1999999999999993"/>
    <n v="2"/>
    <s v="Fed"/>
    <s v="47526f6f-cc28-4357-92f2-8105da36f344"/>
    <n v="0"/>
    <s v="0:Alvaro Montoya"/>
    <s v="0:Monti"/>
    <s v=""/>
    <s v=""/>
    <m/>
    <s v="44884:Alvaro Montoya"/>
    <n v="1"/>
  </r>
  <r>
    <x v="57"/>
    <x v="2"/>
    <n v="12.3"/>
    <n v="3"/>
    <s v="Fed"/>
    <s v="f42caa4a-8b2b-42ac-8044-f56d1f962c56"/>
    <n v="0"/>
    <s v="0:Alvaro Nieto"/>
    <s v="0:Alvaro"/>
    <s v=""/>
    <s v=""/>
    <m/>
    <s v="44884:Alvaro Nieto"/>
    <n v="1"/>
  </r>
  <r>
    <x v="57"/>
    <x v="3"/>
    <n v="7.2"/>
    <n v="2"/>
    <s v="Fed"/>
    <s v="396dcb99-97b9-4d72-ab62-bf584b6bfe6c"/>
    <n v="0"/>
    <s v="0:Angel Hernandez"/>
    <s v="0:Angel"/>
    <s v=""/>
    <s v=""/>
    <m/>
    <s v="44884:Angel Hernandez"/>
    <n v="1"/>
  </r>
  <r>
    <x v="57"/>
    <x v="31"/>
    <n v="19.100000000000001"/>
    <n v="4"/>
    <s v="Fed"/>
    <s v="59f611ae-32ef-4d9a-935a-ac751b3eb36a"/>
    <n v="0"/>
    <s v="0:Antonio Carmona"/>
    <s v="0:Antonio"/>
    <s v=""/>
    <s v=""/>
    <m/>
    <s v="44884:Antonio Carmona"/>
    <n v="1"/>
  </r>
  <r>
    <x v="57"/>
    <x v="33"/>
    <n v="26.5"/>
    <n v="5"/>
    <s v="Fed"/>
    <s v="8ffc6fe3-3d47-4bc6-930b-69c71d61707b"/>
    <n v="0"/>
    <s v="0:Carlos Hijas"/>
    <s v="0:Hijas"/>
    <s v=""/>
    <s v=""/>
    <m/>
    <s v="44884:Carlos Hijas"/>
    <n v="1"/>
  </r>
  <r>
    <x v="57"/>
    <x v="34"/>
    <n v="1.7"/>
    <n v="1"/>
    <s v="Fed"/>
    <s v="8101685a-3d66-4599-be7a-6c3043b1f949"/>
    <n v="0"/>
    <s v="0:Carlos Maestro"/>
    <s v="0:Carlitos"/>
    <s v=""/>
    <s v=""/>
    <m/>
    <s v="44884:Carlos Maestro"/>
    <n v="1"/>
  </r>
  <r>
    <x v="57"/>
    <x v="4"/>
    <n v="10.4"/>
    <n v="2"/>
    <s v="Fed"/>
    <s v="a65d151b-39c2-47bd-9139-69bf617bd011"/>
    <n v="0"/>
    <s v="0:David Sequera"/>
    <s v="0:David"/>
    <s v=""/>
    <s v=""/>
    <m/>
    <s v="44884:David Sequera"/>
    <n v="1"/>
  </r>
  <r>
    <x v="57"/>
    <x v="29"/>
    <n v="13.8"/>
    <n v="3"/>
    <s v="Fed"/>
    <s v="2b64d5e0-3209-46c6-a770-1d34b1508112"/>
    <n v="0"/>
    <s v="0:Enrique Gonzalez R"/>
    <s v="0:Enrique"/>
    <s v=""/>
    <s v=""/>
    <m/>
    <s v="44884:Enrique Gonzalez R"/>
    <n v="1"/>
  </r>
  <r>
    <x v="57"/>
    <x v="5"/>
    <n v="14.7"/>
    <n v="3"/>
    <s v="Fed"/>
    <s v="a6f1fc17-a1bd-43f2-a370-8c5cbcda5957"/>
    <n v="0"/>
    <s v="0:Francisco Alvarez"/>
    <s v="0:Paco"/>
    <s v=""/>
    <s v=""/>
    <m/>
    <s v="44884:Francisco Alvarez"/>
    <n v="1"/>
  </r>
  <r>
    <x v="57"/>
    <x v="6"/>
    <n v="11.9"/>
    <n v="3"/>
    <s v="Fed"/>
    <s v="de2012de-5f13-44a9-99fb-fe67279f9813"/>
    <n v="0"/>
    <s v="0:Francisco Hidalgo"/>
    <s v="0:Fran"/>
    <s v=""/>
    <s v=""/>
    <m/>
    <s v="44884:Francisco Hidalgo"/>
    <n v="1"/>
  </r>
  <r>
    <x v="57"/>
    <x v="24"/>
    <n v="14.4"/>
    <n v="3"/>
    <s v="Fed"/>
    <s v="592eb9c3-a70c-4695-bfa9-044a1a16e527"/>
    <n v="0"/>
    <s v="0:Franck Benouniche"/>
    <s v="0:Franck"/>
    <s v=""/>
    <s v=""/>
    <m/>
    <s v="44884:Franck Benouniche"/>
    <n v="1"/>
  </r>
  <r>
    <x v="57"/>
    <x v="7"/>
    <n v="18"/>
    <n v="3"/>
    <s v="Fed"/>
    <s v="bfd9fa9f-fe48-4201-a24f-b12c7a7f6861"/>
    <n v="0"/>
    <s v="0:GLEZ JUAN JOSÉ"/>
    <s v="0:Juanjo"/>
    <s v=""/>
    <s v=""/>
    <m/>
    <s v="44884:GLEZ JUAN JOSÉ"/>
    <n v="1"/>
  </r>
  <r>
    <x v="57"/>
    <x v="8"/>
    <n v="8.6999999999999993"/>
    <n v="2"/>
    <s v="Fed"/>
    <s v="4780ec30-964b-491b-8227-c913d04dca58"/>
    <n v="0"/>
    <s v="0:Ignacio Cadarso"/>
    <s v="0:Ignacio"/>
    <s v=""/>
    <s v=""/>
    <m/>
    <s v="44884:Ignacio Cadarso"/>
    <n v="1"/>
  </r>
  <r>
    <x v="57"/>
    <x v="37"/>
    <n v="23.7"/>
    <n v="4"/>
    <s v="Fed"/>
    <s v="17f82023-b9e6-4372-9e62-0cbe08a533da"/>
    <n v="0"/>
    <s v="0:Ignacio Gracia Charlez"/>
    <s v="0:I Gracia"/>
    <s v=""/>
    <s v=""/>
    <m/>
    <s v="44884:Ignacio Gracia Charlez"/>
    <n v="1"/>
  </r>
  <r>
    <x v="57"/>
    <x v="10"/>
    <n v="17.2"/>
    <n v="3"/>
    <s v="Fed"/>
    <s v="b1546ac1-388e-4660-bca6-cea7a43f5a3a"/>
    <n v="0"/>
    <s v="0:J. Enrique Gonzalez"/>
    <s v="0:Kike"/>
    <s v=""/>
    <s v=""/>
    <m/>
    <s v="44884:J. Enrique Gonzalez"/>
    <n v="1"/>
  </r>
  <r>
    <x v="57"/>
    <x v="35"/>
    <n v="11.7"/>
    <n v="3"/>
    <s v="Fed"/>
    <s v="4e0c2f23-79b3-4938-9fd8-e889d669f30d"/>
    <n v="0"/>
    <s v="0:Jaime Villanueva"/>
    <s v="0:Villanueva"/>
    <s v=""/>
    <s v=""/>
    <m/>
    <s v="44884:Jaime Villanueva"/>
    <n v="1"/>
  </r>
  <r>
    <x v="57"/>
    <x v="11"/>
    <n v="17.100000000000001"/>
    <n v="3"/>
    <s v="Fed"/>
    <s v="ef74e7b9-ffc3-4bfe-bfa7-e73a89a938d7"/>
    <n v="0"/>
    <s v="0:Javier Cervera"/>
    <s v="0:Virus"/>
    <s v=""/>
    <s v=""/>
    <m/>
    <s v="44884:Javier Cervera"/>
    <n v="1"/>
  </r>
  <r>
    <x v="57"/>
    <x v="25"/>
    <n v="11"/>
    <n v="2"/>
    <s v="Fed"/>
    <s v="6e8e3a31-c88d-4347-9fd3-dbbd3e9c54fd"/>
    <n v="0"/>
    <s v="0:Javier Chiralt"/>
    <s v="0:Chiralt"/>
    <s v=""/>
    <s v=""/>
    <m/>
    <s v="44884:Javier Chiralt"/>
    <n v="1"/>
  </r>
  <r>
    <x v="57"/>
    <x v="12"/>
    <n v="16.399999999999999"/>
    <n v="3"/>
    <s v="Fed"/>
    <s v="a7b7d4ba-d5b9-4b73-9dbf-dfbef0bf6534"/>
    <n v="0"/>
    <s v="0:Javier Gonzalez Salvador"/>
    <s v="0:Javi"/>
    <s v=""/>
    <s v=""/>
    <m/>
    <s v="44884:Javier Gonzalez Salvador"/>
    <n v="1"/>
  </r>
  <r>
    <x v="57"/>
    <x v="26"/>
    <n v="21.1"/>
    <n v="4"/>
    <s v="Fed"/>
    <s v="808dc215-4b8b-4714-a585-83a09357558e"/>
    <n v="0"/>
    <s v="0:Javier Lopez Gullón"/>
    <s v="0:Cuñao"/>
    <s v=""/>
    <s v=""/>
    <m/>
    <s v="44884:Javier Lopez Gullón"/>
    <n v="1"/>
  </r>
  <r>
    <x v="57"/>
    <x v="13"/>
    <n v="25.1"/>
    <n v="4"/>
    <s v="Fed"/>
    <s v="b4c4837b-5acf-4005-aba0-c2c857155aa5"/>
    <n v="0"/>
    <s v="0:Jesus Touceda"/>
    <s v="0:Jesús"/>
    <s v=""/>
    <s v=""/>
    <m/>
    <s v="44884:Jesus Touceda"/>
    <n v="1"/>
  </r>
  <r>
    <x v="57"/>
    <x v="38"/>
    <n v="23.6"/>
    <n v="4"/>
    <s v="Fed"/>
    <s v="2780b913-3267-4367-9165-3b0c83d17890"/>
    <n v="0"/>
    <s v="0:Jorge Alberto Martínez Sánchez"/>
    <s v="0:Jorge"/>
    <s v=""/>
    <s v=""/>
    <m/>
    <s v="44884:Jorge Alberto Martínez Sánchez"/>
    <n v="1"/>
  </r>
  <r>
    <x v="57"/>
    <x v="14"/>
    <n v="7.3"/>
    <n v="2"/>
    <s v="Fed"/>
    <s v="f6dd4df0-e820-4210-9747-a453f062fe3d"/>
    <n v="0"/>
    <s v="0:José Pablo Guil"/>
    <s v="0:JP"/>
    <s v=""/>
    <s v=""/>
    <m/>
    <s v="44884:José Pablo Guil"/>
    <n v="1"/>
  </r>
  <r>
    <x v="57"/>
    <x v="36"/>
    <n v="21.1"/>
    <n v="4"/>
    <s v="Fed"/>
    <s v="aaa1af52-3223-43a5-835e-65af82feaf22"/>
    <n v="0"/>
    <s v="0:Juan Jose Aguado"/>
    <s v="0:Juancho"/>
    <s v=""/>
    <s v=""/>
    <m/>
    <s v="44884:Juan Jose Aguado"/>
    <n v="1"/>
  </r>
  <r>
    <x v="57"/>
    <x v="15"/>
    <n v="18.5"/>
    <n v="4"/>
    <s v="Fed"/>
    <s v="9e5027e4-96fc-48fe-93cc-9e94b555dc88"/>
    <n v="0"/>
    <s v="0:Luis Escudero"/>
    <s v="0:Lucho"/>
    <s v=""/>
    <s v=""/>
    <m/>
    <s v="44884:Luis Escudero"/>
    <n v="1"/>
  </r>
  <r>
    <x v="57"/>
    <x v="21"/>
    <n v="24"/>
    <n v="4"/>
    <s v="Fed"/>
    <s v="59fb6835-90f1-4e17-b154-7ee3cc8ddfa3"/>
    <n v="0"/>
    <s v="0:Miche Lopez"/>
    <s v="0:Miche"/>
    <s v=""/>
    <s v=""/>
    <m/>
    <s v="44884:Miche Lopez"/>
    <n v="1"/>
  </r>
  <r>
    <x v="57"/>
    <x v="19"/>
    <n v="-0.4"/>
    <n v="1"/>
    <s v="Fed"/>
    <s v="23626887-576a-4ea8-afec-dfcf3e454347"/>
    <n v="0"/>
    <s v="0:Miguel Diaz Del Moral"/>
    <s v="0:Cañita"/>
    <s v=""/>
    <s v=""/>
    <m/>
    <s v="44884:Miguel Diaz Del Moral"/>
    <n v="1"/>
  </r>
  <r>
    <x v="57"/>
    <x v="27"/>
    <n v="7"/>
    <n v="2"/>
    <s v="Fed"/>
    <s v="b124d7ed-1355-45a3-a713-eb97fd22ae96"/>
    <n v="0"/>
    <s v="0:Nacho Casas"/>
    <s v="0:Nachete"/>
    <s v=""/>
    <s v=""/>
    <m/>
    <s v="44884:Nacho Casas"/>
    <n v="1"/>
  </r>
  <r>
    <x v="57"/>
    <x v="16"/>
    <n v="6.7"/>
    <n v="2"/>
    <s v="Fed"/>
    <s v="016c6503-4a09-489a-84a4-179ab854605d"/>
    <n v="0"/>
    <s v="0:Nacho Gonzalez"/>
    <s v="0:Nacho"/>
    <s v=""/>
    <s v=""/>
    <m/>
    <s v="44884:Nacho Gonzalez"/>
    <n v="1"/>
  </r>
  <r>
    <x v="57"/>
    <x v="17"/>
    <n v="13.7"/>
    <n v="3"/>
    <s v="Fed"/>
    <s v="66879795-6034-4ab8-9183-87065336dd59"/>
    <n v="0"/>
    <s v="0:Pablo Munitiz"/>
    <s v="0:Muni"/>
    <s v=""/>
    <s v=""/>
    <m/>
    <s v="44884:Pablo Munitiz"/>
    <n v="1"/>
  </r>
  <r>
    <x v="57"/>
    <x v="28"/>
    <n v="17.7"/>
    <n v="3"/>
    <s v="Fed"/>
    <s v="1f494220-5963-4866-a484-77dfc97c039e"/>
    <n v="0"/>
    <s v="0:Ruslan Kochman"/>
    <s v="0:Rus"/>
    <s v=""/>
    <s v=""/>
    <m/>
    <s v="44884:Ruslan Kochman"/>
    <n v="1"/>
  </r>
  <r>
    <x v="57"/>
    <x v="32"/>
    <n v="16.399999999999999"/>
    <n v="3"/>
    <s v="Fed"/>
    <s v="48f399e7-112c-483f-8410-0002cf43edc5"/>
    <n v="0"/>
    <s v="0:Santi Diaz"/>
    <s v="0:Santi"/>
    <s v=""/>
    <s v=""/>
    <m/>
    <s v="44884:Santi Diaz"/>
    <n v="1"/>
  </r>
  <r>
    <x v="58"/>
    <x v="30"/>
    <n v="3.5"/>
    <n v="1"/>
    <s v="Fed"/>
    <s v="656020f4-6f1a-46e1-8f0a-c7aae06068c2"/>
    <n v="0"/>
    <s v="0:Alejandro Arcos"/>
    <s v="0:Alex"/>
    <s v=""/>
    <s v=""/>
    <m/>
    <s v="44912:Alejandro Arcos"/>
    <n v="1"/>
  </r>
  <r>
    <x v="58"/>
    <x v="0"/>
    <n v="9.9"/>
    <n v="2"/>
    <s v="Fed"/>
    <s v="f67f1eb4-fd61-4144-9eb8-2215771b7eee"/>
    <n v="0"/>
    <s v="0:Alfonso Hidalgo"/>
    <s v="0:Alfonso"/>
    <s v=""/>
    <s v=""/>
    <m/>
    <s v="44912:Alfonso Hidalgo"/>
    <n v="1"/>
  </r>
  <r>
    <x v="58"/>
    <x v="22"/>
    <n v="14.1"/>
    <n v="3"/>
    <s v="Fed"/>
    <s v="f96b2e3f-0873-4a1c-8d33-d3ffc8fc27c4"/>
    <n v="0"/>
    <s v="0:Alfonso Zorrilla"/>
    <s v="0:A Zorrilla"/>
    <s v=""/>
    <s v=""/>
    <m/>
    <s v="44912:Alfonso Zorrilla"/>
    <n v="1"/>
  </r>
  <r>
    <x v="58"/>
    <x v="1"/>
    <n v="6.1"/>
    <n v="2"/>
    <s v="Fed"/>
    <s v="afbe19de-9b09-419f-b88d-38e4170a6921"/>
    <n v="0"/>
    <s v="0:Alvaro Aguirre"/>
    <s v="0:Gifu"/>
    <s v=""/>
    <s v=""/>
    <m/>
    <s v="44912:Alvaro Aguirre"/>
    <n v="1"/>
  </r>
  <r>
    <x v="58"/>
    <x v="23"/>
    <n v="9.4"/>
    <n v="2"/>
    <s v="Fed"/>
    <s v="f849797c-3430-49df-8c4e-90347f726891"/>
    <n v="0"/>
    <s v="0:Alvaro Montoya"/>
    <s v="0:Monti"/>
    <s v=""/>
    <s v=""/>
    <m/>
    <s v="44912:Alvaro Montoya"/>
    <n v="1"/>
  </r>
  <r>
    <x v="58"/>
    <x v="2"/>
    <n v="12.3"/>
    <n v="3"/>
    <s v="Fed"/>
    <s v="3c87df6c-79ae-4990-8ffb-9410a63058d5"/>
    <n v="0"/>
    <s v="0:Alvaro Nieto"/>
    <s v="0:Alvaro"/>
    <s v=""/>
    <s v=""/>
    <m/>
    <s v="44912:Alvaro Nieto"/>
    <n v="1"/>
  </r>
  <r>
    <x v="58"/>
    <x v="3"/>
    <n v="7.2"/>
    <n v="2"/>
    <s v="Fed"/>
    <s v="d6d979c2-e67e-4986-b784-c6ec04a25236"/>
    <n v="0"/>
    <s v="0:Angel Hernandez"/>
    <s v="0:Angel"/>
    <s v=""/>
    <s v=""/>
    <m/>
    <s v="44912:Angel Hernandez"/>
    <n v="1"/>
  </r>
  <r>
    <x v="58"/>
    <x v="31"/>
    <n v="18.899999999999999"/>
    <n v="4"/>
    <s v="Fed"/>
    <s v="9f3bc241-bef1-4c16-8e07-a63e9719f200"/>
    <n v="0"/>
    <s v="0:Antonio Carmona"/>
    <s v="0:Antonio"/>
    <s v=""/>
    <s v=""/>
    <m/>
    <s v="44912:Antonio Carmona"/>
    <n v="1"/>
  </r>
  <r>
    <x v="58"/>
    <x v="33"/>
    <n v="26.6"/>
    <n v="5"/>
    <s v="Fed"/>
    <s v="14f4428d-5b6e-4212-a4c3-3308d4919f25"/>
    <n v="0"/>
    <s v="0:Carlos Hijas"/>
    <s v="0:Hijas"/>
    <s v=""/>
    <s v=""/>
    <m/>
    <s v="44912:Carlos Hijas"/>
    <n v="1"/>
  </r>
  <r>
    <x v="58"/>
    <x v="34"/>
    <n v="1.5"/>
    <n v="1"/>
    <s v="Fed"/>
    <s v="44af4894-b635-4dae-8c32-8c72a71ac3d8"/>
    <n v="0"/>
    <s v="0:Carlos Maestro"/>
    <s v="0:Carlitos"/>
    <s v=""/>
    <s v=""/>
    <m/>
    <s v="44912:Carlos Maestro"/>
    <n v="1"/>
  </r>
  <r>
    <x v="58"/>
    <x v="4"/>
    <n v="10.4"/>
    <n v="2"/>
    <s v="Fed"/>
    <s v="1ca116c4-ef82-4d2d-a170-2453db5d6a99"/>
    <n v="0"/>
    <s v="0:David Sequera"/>
    <s v="0:David"/>
    <s v=""/>
    <s v=""/>
    <m/>
    <s v="44912:David Sequera"/>
    <n v="1"/>
  </r>
  <r>
    <x v="58"/>
    <x v="39"/>
    <n v="36"/>
    <n v="5"/>
    <s v="Fed"/>
    <s v="2523bae8-73f1-41d9-87c1-6559145c9ab3"/>
    <n v="0"/>
    <s v="0:Eduardo Buendía"/>
    <s v="0:Eduardo"/>
    <s v=""/>
    <s v=""/>
    <m/>
    <s v="44912:Eduardo Buendía"/>
    <n v="1"/>
  </r>
  <r>
    <x v="58"/>
    <x v="40"/>
    <n v="16.899999999999999"/>
    <n v="3"/>
    <s v="Fed"/>
    <s v="4e2df7ba-ea7a-4f0c-aacb-463d1df63837"/>
    <n v="0"/>
    <s v="0:Emiliano Buendía"/>
    <s v="0:Emi"/>
    <s v=""/>
    <s v=""/>
    <m/>
    <s v="44912:Emiliano Buendía"/>
    <n v="1"/>
  </r>
  <r>
    <x v="58"/>
    <x v="29"/>
    <n v="12.7"/>
    <n v="3"/>
    <s v="Fed"/>
    <s v="8394c8ad-bd91-4149-bb5e-f7a396bf7d3a"/>
    <n v="0"/>
    <s v="0:Enrique Gonzalez R"/>
    <s v="0:Enrique"/>
    <s v=""/>
    <s v=""/>
    <m/>
    <s v="44912:Enrique Gonzalez R"/>
    <n v="1"/>
  </r>
  <r>
    <x v="58"/>
    <x v="5"/>
    <n v="14.7"/>
    <n v="3"/>
    <s v="Fed"/>
    <s v="d86cf64f-3e10-4b6d-9626-f61746b2d0d1"/>
    <n v="0"/>
    <s v="0:Francisco Alvarez"/>
    <s v="0:Paco"/>
    <s v=""/>
    <s v=""/>
    <m/>
    <s v="44912:Francisco Alvarez"/>
    <n v="1"/>
  </r>
  <r>
    <x v="58"/>
    <x v="6"/>
    <n v="11.9"/>
    <n v="3"/>
    <s v="Fed"/>
    <s v="d15fe618-f636-4778-99b5-a91317a81bcc"/>
    <n v="0"/>
    <s v="0:Francisco Hidalgo"/>
    <s v="0:Fran"/>
    <s v=""/>
    <s v=""/>
    <m/>
    <s v="44912:Francisco Hidalgo"/>
    <n v="1"/>
  </r>
  <r>
    <x v="58"/>
    <x v="24"/>
    <n v="14.5"/>
    <n v="3"/>
    <s v="Fed"/>
    <s v="e7ed29b7-1de8-45cd-bd25-3888bff1eaf4"/>
    <n v="0"/>
    <s v="0:Franck Benouniche"/>
    <s v="0:Franck"/>
    <s v=""/>
    <s v=""/>
    <m/>
    <s v="44912:Franck Benouniche"/>
    <n v="1"/>
  </r>
  <r>
    <x v="58"/>
    <x v="7"/>
    <n v="18"/>
    <n v="3"/>
    <s v="Fed"/>
    <s v="17efdbb4-cb58-424a-bc5a-5deec256f523"/>
    <n v="0"/>
    <s v="0:GLEZ JUAN JOSÉ"/>
    <s v="0:Juanjo"/>
    <s v=""/>
    <s v=""/>
    <m/>
    <s v="44912:GLEZ JUAN JOSÉ"/>
    <n v="1"/>
  </r>
  <r>
    <x v="58"/>
    <x v="8"/>
    <n v="8.6999999999999993"/>
    <n v="2"/>
    <s v="Fed"/>
    <s v="f9d1e524-61ea-426f-a45c-9de6c6f14c96"/>
    <n v="0"/>
    <s v="0:Ignacio Cadarso"/>
    <s v="0:Ignacio"/>
    <s v=""/>
    <s v=""/>
    <m/>
    <s v="44912:Ignacio Cadarso"/>
    <n v="1"/>
  </r>
  <r>
    <x v="58"/>
    <x v="37"/>
    <n v="23.7"/>
    <n v="4"/>
    <s v="Fed"/>
    <s v="36765aa3-b486-4919-add4-98b83dda3bf8"/>
    <n v="0"/>
    <s v="0:Ignacio Gracia Charlez"/>
    <s v="0:I Gracia"/>
    <s v=""/>
    <s v=""/>
    <m/>
    <s v="44912:Ignacio Gracia Charlez"/>
    <n v="1"/>
  </r>
  <r>
    <x v="58"/>
    <x v="10"/>
    <n v="17.5"/>
    <n v="3"/>
    <s v="Fed"/>
    <s v="75b37a6a-47e8-4131-9b8e-6e5859e55992"/>
    <n v="0"/>
    <s v="0:J. Enrique Gonzalez"/>
    <s v="0:Kike"/>
    <s v=""/>
    <s v=""/>
    <m/>
    <s v="44912:J. Enrique Gonzalez"/>
    <n v="1"/>
  </r>
  <r>
    <x v="58"/>
    <x v="35"/>
    <n v="11.7"/>
    <n v="3"/>
    <s v="Fed"/>
    <s v="31f4ad2d-8c08-44b9-897a-b3311df49be6"/>
    <n v="0"/>
    <s v="0:Jaime Villanueva"/>
    <s v="0:Villanueva"/>
    <s v=""/>
    <s v=""/>
    <m/>
    <s v="44912:Jaime Villanueva"/>
    <n v="1"/>
  </r>
  <r>
    <x v="58"/>
    <x v="41"/>
    <n v="10.8"/>
    <n v="2"/>
    <s v="Fed"/>
    <s v="bcaaa362-79ce-4101-99fe-cf6e8ed09a72"/>
    <n v="0"/>
    <s v="0:Javier Arcos"/>
    <s v="0:J.Arcos"/>
    <s v=""/>
    <s v=""/>
    <m/>
    <s v="44912:Javier Arcos"/>
    <n v="1"/>
  </r>
  <r>
    <x v="58"/>
    <x v="11"/>
    <n v="16.899999999999999"/>
    <n v="3"/>
    <s v="Fed"/>
    <s v="c6fa19f2-dc42-42ce-91b2-20a4dc06b8db"/>
    <n v="0"/>
    <s v="0:Javier Cervera"/>
    <s v="0:Virus"/>
    <s v=""/>
    <s v=""/>
    <m/>
    <s v="44912:Javier Cervera"/>
    <n v="1"/>
  </r>
  <r>
    <x v="58"/>
    <x v="25"/>
    <n v="11"/>
    <n v="2"/>
    <s v="Fed"/>
    <s v="432603e9-27a8-4d45-8d88-642558115a34"/>
    <n v="0"/>
    <s v="0:Javier Chiralt"/>
    <s v="0:Chiralt"/>
    <s v=""/>
    <s v=""/>
    <m/>
    <s v="44912:Javier Chiralt"/>
    <n v="1"/>
  </r>
  <r>
    <x v="58"/>
    <x v="12"/>
    <n v="16.600000000000001"/>
    <n v="3"/>
    <s v="Fed"/>
    <s v="c18c298c-6cdf-45f6-b728-35ae901d24c6"/>
    <n v="0"/>
    <s v="0:Javier Gonzalez Salvador"/>
    <s v="0:Javi"/>
    <s v=""/>
    <s v=""/>
    <m/>
    <s v="44912:Javier Gonzalez Salvador"/>
    <n v="1"/>
  </r>
  <r>
    <x v="58"/>
    <x v="26"/>
    <n v="21.1"/>
    <n v="4"/>
    <s v="Fed"/>
    <s v="6a150713-0498-461b-9328-8e356a345672"/>
    <n v="0"/>
    <s v="0:Javier Lopez Gullón"/>
    <s v="0:Cuñao"/>
    <s v=""/>
    <s v=""/>
    <m/>
    <s v="44912:Javier Lopez Gullón"/>
    <n v="1"/>
  </r>
  <r>
    <x v="58"/>
    <x v="13"/>
    <n v="24.8"/>
    <n v="4"/>
    <s v="Fed"/>
    <s v="cb5a3548-9c38-4c2a-8e34-c242f0c88683"/>
    <n v="0"/>
    <s v="0:Jesus Touceda"/>
    <s v="0:Jesús"/>
    <s v=""/>
    <s v=""/>
    <m/>
    <s v="44912:Jesus Touceda"/>
    <n v="1"/>
  </r>
  <r>
    <x v="58"/>
    <x v="38"/>
    <n v="23.5"/>
    <n v="4"/>
    <s v="Fed"/>
    <s v="ee5d5ce4-d6bc-4d86-8881-9cb4f47466ce"/>
    <n v="0"/>
    <s v="0:Jorge Alberto Martínez Sánchez"/>
    <s v="0:Jorge"/>
    <s v=""/>
    <s v=""/>
    <m/>
    <s v="44912:Jorge Alberto Martínez Sánchez"/>
    <n v="1"/>
  </r>
  <r>
    <x v="58"/>
    <x v="14"/>
    <n v="7.3"/>
    <n v="2"/>
    <s v="Fed"/>
    <s v="5e51e4ba-7ec7-4d64-b825-04c43a8956e5"/>
    <n v="0"/>
    <s v="0:José Pablo Guil"/>
    <s v="0:JP"/>
    <s v=""/>
    <s v=""/>
    <m/>
    <s v="44912:José Pablo Guil"/>
    <n v="1"/>
  </r>
  <r>
    <x v="58"/>
    <x v="36"/>
    <n v="21.1"/>
    <n v="4"/>
    <s v="Fed"/>
    <s v="c215ace4-7dce-41df-a13d-aa32f8aed032"/>
    <n v="0"/>
    <s v="0:Juan Jose Aguado"/>
    <s v="0:Juancho"/>
    <s v=""/>
    <s v=""/>
    <m/>
    <s v="44912:Juan Jose Aguado"/>
    <n v="1"/>
  </r>
  <r>
    <x v="58"/>
    <x v="15"/>
    <n v="18.3"/>
    <n v="3"/>
    <s v="Fed"/>
    <s v="8035f1df-74af-4751-b3a0-3070b589961b"/>
    <n v="0"/>
    <s v="0:Luis Escudero"/>
    <s v="0:Lucho"/>
    <s v=""/>
    <s v=""/>
    <m/>
    <s v="44912:Luis Escudero"/>
    <n v="1"/>
  </r>
  <r>
    <x v="58"/>
    <x v="21"/>
    <n v="23.9"/>
    <n v="4"/>
    <s v="Fed"/>
    <s v="4e19755c-7e8d-41b7-bfdb-9fbc022b90b5"/>
    <n v="0"/>
    <s v="0:Miche Lopez"/>
    <s v="0:Miche"/>
    <s v=""/>
    <s v=""/>
    <m/>
    <s v="44912:Miche Lopez"/>
    <n v="1"/>
  </r>
  <r>
    <x v="58"/>
    <x v="19"/>
    <n v="-0.5"/>
    <n v="1"/>
    <s v="Fed"/>
    <s v="abf10269-3647-4633-9810-cac948264a05"/>
    <n v="0"/>
    <s v="0:Miguel Diaz Del Moral"/>
    <s v="0:Cañita"/>
    <s v=""/>
    <s v=""/>
    <m/>
    <s v="44912:Miguel Diaz Del Moral"/>
    <n v="1"/>
  </r>
  <r>
    <x v="58"/>
    <x v="27"/>
    <n v="7.4"/>
    <n v="2"/>
    <s v="Fed"/>
    <s v="7fc53fd4-a0d0-4ac5-8df6-6cb484c666d8"/>
    <n v="0"/>
    <s v="0:Nacho Casas"/>
    <s v="0:Nachete"/>
    <s v=""/>
    <s v=""/>
    <m/>
    <s v="44912:Nacho Casas"/>
    <n v="1"/>
  </r>
  <r>
    <x v="58"/>
    <x v="16"/>
    <n v="6.7"/>
    <n v="2"/>
    <s v="Fed"/>
    <s v="fe5d6179-b5e6-4aba-a637-642de3e33bd7"/>
    <n v="0"/>
    <s v="0:Nacho Gonzalez"/>
    <s v="0:Nacho"/>
    <s v=""/>
    <s v=""/>
    <m/>
    <s v="44912:Nacho Gonzalez"/>
    <n v="1"/>
  </r>
  <r>
    <x v="58"/>
    <x v="17"/>
    <n v="13.7"/>
    <n v="3"/>
    <s v="Fed"/>
    <s v="aa3b5370-3690-476d-afc5-78c547d7f146"/>
    <n v="0"/>
    <s v="0:Pablo Munitiz"/>
    <s v="0:Muni"/>
    <s v=""/>
    <s v=""/>
    <m/>
    <s v="44912:Pablo Munitiz"/>
    <n v="1"/>
  </r>
  <r>
    <x v="58"/>
    <x v="28"/>
    <n v="18.3"/>
    <n v="3"/>
    <s v="Fed"/>
    <s v="5e696329-315b-4bfd-b562-4c470198f82b"/>
    <n v="0"/>
    <s v="0:Ruslan Kochman"/>
    <s v="0:Rus"/>
    <s v=""/>
    <s v=""/>
    <m/>
    <s v="44912:Ruslan Kochman"/>
    <n v="1"/>
  </r>
  <r>
    <x v="58"/>
    <x v="32"/>
    <n v="16.399999999999999"/>
    <n v="3"/>
    <s v="Fed"/>
    <s v="079c29cc-5a11-4099-b772-68580f3ee40b"/>
    <n v="0"/>
    <s v="0:Santi Diaz"/>
    <s v="0:Santi"/>
    <s v=""/>
    <s v=""/>
    <m/>
    <s v="44912:Santi Diaz"/>
    <n v="1"/>
  </r>
  <r>
    <x v="59"/>
    <x v="30"/>
    <n v="3.5"/>
    <n v="1"/>
    <s v="Fed"/>
    <s v="0855d949-bd82-4418-ac31-f61e7fd6fb68"/>
    <n v="0"/>
    <s v="0:Alejandro Arcos"/>
    <s v="0:Alex"/>
    <s v=""/>
    <s v=""/>
    <m/>
    <s v="44942:Alejandro Arcos"/>
    <n v="1"/>
  </r>
  <r>
    <x v="59"/>
    <x v="0"/>
    <n v="9.9"/>
    <n v="2"/>
    <s v="Fed"/>
    <s v="84eb9961-e0ac-40db-ac56-8c1ee89d24e8"/>
    <n v="0"/>
    <s v="0:Alfonso Hidalgo"/>
    <s v="0:Alfonso"/>
    <s v=""/>
    <s v=""/>
    <m/>
    <s v="44942:Alfonso Hidalgo"/>
    <n v="1"/>
  </r>
  <r>
    <x v="59"/>
    <x v="22"/>
    <n v="14.1"/>
    <n v="3"/>
    <s v="Fed"/>
    <s v="f2ee1b13-204a-4540-bc46-181de04ffb86"/>
    <n v="0"/>
    <s v="0:Alfonso Zorrilla"/>
    <s v="0:A Zorrilla"/>
    <s v=""/>
    <s v=""/>
    <m/>
    <s v="44942:Alfonso Zorrilla"/>
    <n v="1"/>
  </r>
  <r>
    <x v="59"/>
    <x v="1"/>
    <n v="6.1"/>
    <n v="2"/>
    <s v="Fed"/>
    <s v="d3804881-8181-4def-bc0b-65ee6ee12377"/>
    <n v="0"/>
    <s v="0:Alvaro Aguirre"/>
    <s v="0:Gifu"/>
    <s v=""/>
    <s v=""/>
    <m/>
    <s v="44942:Alvaro Aguirre"/>
    <n v="1"/>
  </r>
  <r>
    <x v="59"/>
    <x v="23"/>
    <n v="9.4"/>
    <n v="2"/>
    <s v="Fed"/>
    <s v="b948e579-13f7-4402-8085-d191c5113443"/>
    <n v="0"/>
    <s v="0:Alvaro Montoya"/>
    <s v="0:Monti"/>
    <s v=""/>
    <s v=""/>
    <m/>
    <s v="44942:Alvaro Montoya"/>
    <n v="1"/>
  </r>
  <r>
    <x v="59"/>
    <x v="2"/>
    <n v="12.3"/>
    <n v="3"/>
    <s v="Fed"/>
    <s v="41b2143f-306f-4cb7-85ae-c0a483605149"/>
    <n v="0"/>
    <s v="0:Alvaro Nieto"/>
    <s v="0:Alvaro"/>
    <s v=""/>
    <s v=""/>
    <m/>
    <s v="44942:Alvaro Nieto"/>
    <n v="1"/>
  </r>
  <r>
    <x v="59"/>
    <x v="3"/>
    <n v="7.2"/>
    <n v="2"/>
    <s v="Fed"/>
    <s v="1773d21f-0c0f-4f30-9bdd-db52d8fb2875"/>
    <n v="0"/>
    <s v="0:Angel Hernandez"/>
    <s v="0:Angel"/>
    <s v=""/>
    <s v=""/>
    <m/>
    <s v="44942:Angel Hernandez"/>
    <n v="1"/>
  </r>
  <r>
    <x v="59"/>
    <x v="31"/>
    <n v="18.899999999999999"/>
    <n v="4"/>
    <s v="Fed"/>
    <s v="12366d52-dd65-48cc-9598-cb6bd7e7fb6e"/>
    <n v="0"/>
    <s v="0:Antonio Carmona"/>
    <s v="0:Antonio"/>
    <s v=""/>
    <s v=""/>
    <m/>
    <s v="44942:Antonio Carmona"/>
    <n v="1"/>
  </r>
  <r>
    <x v="59"/>
    <x v="33"/>
    <n v="26.6"/>
    <n v="5"/>
    <s v="Fed"/>
    <s v="ffd11a06-03c3-4472-bf34-9004db1294fc"/>
    <n v="0"/>
    <s v="0:Carlos Hijas"/>
    <s v="0:Hijas"/>
    <s v=""/>
    <s v=""/>
    <m/>
    <s v="44942:Carlos Hijas"/>
    <n v="1"/>
  </r>
  <r>
    <x v="59"/>
    <x v="34"/>
    <n v="1.5"/>
    <n v="1"/>
    <s v="Fed"/>
    <s v="d4d40110-f470-482b-ae04-b076147fbc77"/>
    <n v="0"/>
    <s v="0:Carlos Maestro"/>
    <s v="0:Carlitos"/>
    <s v=""/>
    <s v=""/>
    <m/>
    <s v="44942:Carlos Maestro"/>
    <n v="1"/>
  </r>
  <r>
    <x v="59"/>
    <x v="4"/>
    <n v="10.4"/>
    <n v="2"/>
    <s v="Fed"/>
    <s v="3359ee7f-3709-49cc-89d4-57d0b0e3cfa1"/>
    <n v="0"/>
    <s v="0:David Sequera"/>
    <s v="0:David"/>
    <s v=""/>
    <s v=""/>
    <m/>
    <s v="44942:David Sequera"/>
    <n v="1"/>
  </r>
  <r>
    <x v="59"/>
    <x v="39"/>
    <n v="36"/>
    <n v="5"/>
    <s v="Fed"/>
    <s v="a075b9ad-f038-4ea6-81fa-c9e1901d323c"/>
    <n v="0"/>
    <s v="0:Eduardo Buendía"/>
    <s v="0:Eduardo"/>
    <s v=""/>
    <s v=""/>
    <m/>
    <s v="44942:Eduardo Buendía"/>
    <n v="1"/>
  </r>
  <r>
    <x v="59"/>
    <x v="40"/>
    <n v="16.899999999999999"/>
    <n v="3"/>
    <s v="Fed"/>
    <s v="429bce4d-0ab7-43a5-90b8-67838e7b6c56"/>
    <n v="0"/>
    <s v="0:Emiliano Buendía"/>
    <s v="0:Emi"/>
    <s v=""/>
    <s v=""/>
    <m/>
    <s v="44942:Emiliano Buendía"/>
    <n v="1"/>
  </r>
  <r>
    <x v="59"/>
    <x v="29"/>
    <n v="12.7"/>
    <n v="3"/>
    <s v="Fed"/>
    <s v="c4d450a5-7cbd-4d1b-a9f6-e28ba0864880"/>
    <n v="0"/>
    <s v="0:Enrique Gonzalez R"/>
    <s v="0:Enrique"/>
    <s v=""/>
    <s v=""/>
    <m/>
    <s v="44942:Enrique Gonzalez R"/>
    <n v="1"/>
  </r>
  <r>
    <x v="59"/>
    <x v="5"/>
    <n v="14.7"/>
    <n v="3"/>
    <s v="Fed"/>
    <s v="29c56882-d8e4-4a26-a89b-021e4be5f68b"/>
    <n v="0"/>
    <s v="0:Francisco Alvarez"/>
    <s v="0:Paco"/>
    <s v=""/>
    <s v=""/>
    <m/>
    <s v="44942:Francisco Alvarez"/>
    <n v="1"/>
  </r>
  <r>
    <x v="59"/>
    <x v="6"/>
    <n v="11.9"/>
    <n v="3"/>
    <s v="Fed"/>
    <s v="8d3b800b-54f1-495e-b028-1c6db45624d2"/>
    <n v="0"/>
    <s v="0:Francisco Hidalgo"/>
    <s v="0:Fran"/>
    <s v=""/>
    <s v=""/>
    <m/>
    <s v="44942:Francisco Hidalgo"/>
    <n v="1"/>
  </r>
  <r>
    <x v="59"/>
    <x v="24"/>
    <n v="14.5"/>
    <n v="3"/>
    <s v="Fed"/>
    <s v="80398cd2-28e3-48a8-aba6-4108e57a93fd"/>
    <n v="0"/>
    <s v="0:Franck Benouniche"/>
    <s v="0:Franck"/>
    <s v=""/>
    <s v=""/>
    <m/>
    <s v="44942:Franck Benouniche"/>
    <n v="1"/>
  </r>
  <r>
    <x v="59"/>
    <x v="7"/>
    <n v="18"/>
    <n v="3"/>
    <s v="Fed"/>
    <s v="32cc8294-e77b-4a90-bd0d-0599fa496a74"/>
    <n v="0"/>
    <s v="0:GLEZ JUAN JOSÉ"/>
    <s v="0:Juanjo"/>
    <s v=""/>
    <s v=""/>
    <m/>
    <s v="44942:GLEZ JUAN JOSÉ"/>
    <n v="1"/>
  </r>
  <r>
    <x v="59"/>
    <x v="8"/>
    <n v="8.6999999999999993"/>
    <n v="2"/>
    <s v="Fed"/>
    <s v="f1f764a7-f3d5-4aae-974a-c9806ea87fca"/>
    <n v="0"/>
    <s v="0:Ignacio Cadarso"/>
    <s v="0:Ignacio"/>
    <s v=""/>
    <s v=""/>
    <m/>
    <s v="44942:Ignacio Cadarso"/>
    <n v="1"/>
  </r>
  <r>
    <x v="59"/>
    <x v="37"/>
    <n v="23.7"/>
    <n v="4"/>
    <s v="Fed"/>
    <s v="69bb694d-e706-4d02-beed-45c16b6c823f"/>
    <n v="0"/>
    <s v="0:Ignacio Gracia Charlez"/>
    <s v="0:I Gracia"/>
    <s v=""/>
    <s v=""/>
    <m/>
    <s v="44942:Ignacio Gracia Charlez"/>
    <n v="1"/>
  </r>
  <r>
    <x v="59"/>
    <x v="10"/>
    <n v="17.5"/>
    <n v="3"/>
    <s v="Fed"/>
    <s v="07e7f452-b109-4f5a-baae-538286e1aab4"/>
    <n v="0"/>
    <s v="0:J. Enrique Gonzalez"/>
    <s v="0:Kike"/>
    <s v=""/>
    <s v=""/>
    <m/>
    <s v="44942:J. Enrique Gonzalez"/>
    <n v="1"/>
  </r>
  <r>
    <x v="59"/>
    <x v="35"/>
    <n v="11.7"/>
    <n v="3"/>
    <s v="Fed"/>
    <s v="ab527676-e60e-4c0e-89d2-42e1586f47fc"/>
    <n v="0"/>
    <s v="0:Jaime Villanueva"/>
    <s v="0:Villanueva"/>
    <s v=""/>
    <s v=""/>
    <m/>
    <s v="44942:Jaime Villanueva"/>
    <n v="1"/>
  </r>
  <r>
    <x v="59"/>
    <x v="41"/>
    <n v="10.8"/>
    <n v="2"/>
    <s v="Fed"/>
    <s v="68fb2c7c-e5b6-4059-b34e-269b8adcf7ba"/>
    <n v="0"/>
    <s v="0:Javier Arcos"/>
    <s v="0:J.Arcos"/>
    <s v=""/>
    <s v=""/>
    <m/>
    <s v="44942:Javier Arcos"/>
    <n v="1"/>
  </r>
  <r>
    <x v="59"/>
    <x v="11"/>
    <n v="16.899999999999999"/>
    <n v="3"/>
    <s v="Fed"/>
    <s v="3f9a4d11-2f38-49c5-a526-d8567d312666"/>
    <n v="0"/>
    <s v="0:Javier Cervera"/>
    <s v="0:Virus"/>
    <s v=""/>
    <s v=""/>
    <m/>
    <s v="44942:Javier Cervera"/>
    <n v="1"/>
  </r>
  <r>
    <x v="59"/>
    <x v="25"/>
    <n v="11"/>
    <n v="2"/>
    <s v="Fed"/>
    <s v="8db46982-3f99-4449-b73e-220139bdac54"/>
    <n v="0"/>
    <s v="0:Javier Chiralt"/>
    <s v="0:Chiralt"/>
    <s v=""/>
    <s v=""/>
    <m/>
    <s v="44942:Javier Chiralt"/>
    <n v="1"/>
  </r>
  <r>
    <x v="59"/>
    <x v="12"/>
    <n v="16.600000000000001"/>
    <n v="3"/>
    <s v="Fed"/>
    <s v="95a699e9-4799-4748-9cd8-5c6f0732880d"/>
    <n v="0"/>
    <s v="0:Javier Gonzalez Salvador"/>
    <s v="0:Javi"/>
    <s v=""/>
    <s v=""/>
    <m/>
    <s v="44942:Javier Gonzalez Salvador"/>
    <n v="1"/>
  </r>
  <r>
    <x v="59"/>
    <x v="26"/>
    <n v="21.1"/>
    <n v="4"/>
    <s v="Fed"/>
    <s v="b2c3b852-c5e9-430a-aca6-ac623db5e421"/>
    <n v="0"/>
    <s v="0:Javier Lopez Gullón"/>
    <s v="0:Cuñao"/>
    <s v=""/>
    <s v=""/>
    <m/>
    <s v="44942:Javier Lopez Gullón"/>
    <n v="1"/>
  </r>
  <r>
    <x v="59"/>
    <x v="13"/>
    <n v="24.8"/>
    <n v="4"/>
    <s v="Fed"/>
    <s v="32228051-513a-496f-8ddc-6cef42ba1003"/>
    <n v="0"/>
    <s v="0:Jesus Touceda"/>
    <s v="0:Jesús"/>
    <s v=""/>
    <s v=""/>
    <m/>
    <s v="44942:Jesus Touceda"/>
    <n v="1"/>
  </r>
  <r>
    <x v="59"/>
    <x v="38"/>
    <n v="23.5"/>
    <n v="4"/>
    <s v="Fed"/>
    <s v="242a2ca6-08c8-45a0-bc80-ffb4d3c0270b"/>
    <n v="0"/>
    <s v="0:Jorge Alberto Martínez Sánchez"/>
    <s v="0:Jorge"/>
    <s v=""/>
    <s v=""/>
    <m/>
    <s v="44942:Jorge Alberto Martínez Sánchez"/>
    <n v="1"/>
  </r>
  <r>
    <x v="59"/>
    <x v="14"/>
    <n v="7.3"/>
    <n v="2"/>
    <s v="Fed"/>
    <s v="0d17cf25-8679-45ff-b5b0-c2850c5a57c5"/>
    <n v="0"/>
    <s v="0:José Pablo Guil"/>
    <s v="0:JP"/>
    <s v=""/>
    <s v=""/>
    <m/>
    <s v="44942:José Pablo Guil"/>
    <n v="1"/>
  </r>
  <r>
    <x v="59"/>
    <x v="36"/>
    <n v="21.1"/>
    <n v="4"/>
    <s v="Fed"/>
    <s v="05e4bbf2-9400-4963-83d0-1cad989d2717"/>
    <n v="0"/>
    <s v="0:Juan Jose Aguado"/>
    <s v="0:Juancho"/>
    <s v=""/>
    <s v=""/>
    <m/>
    <s v="44942:Juan Jose Aguado"/>
    <n v="1"/>
  </r>
  <r>
    <x v="59"/>
    <x v="15"/>
    <n v="18.3"/>
    <n v="3"/>
    <s v="Fed"/>
    <s v="384dfa6e-3a93-461a-baf0-054fa7e44251"/>
    <n v="0"/>
    <s v="0:Luis Escudero"/>
    <s v="0:Lucho"/>
    <s v=""/>
    <s v=""/>
    <m/>
    <s v="44942:Luis Escudero"/>
    <n v="1"/>
  </r>
  <r>
    <x v="59"/>
    <x v="21"/>
    <n v="23.9"/>
    <n v="4"/>
    <s v="Fed"/>
    <s v="0f778c43-7864-40a9-b7d8-b2adfc43025d"/>
    <n v="0"/>
    <s v="0:Miche Lopez"/>
    <s v="0:Miche"/>
    <s v=""/>
    <s v=""/>
    <m/>
    <s v="44942:Miche Lopez"/>
    <n v="1"/>
  </r>
  <r>
    <x v="59"/>
    <x v="19"/>
    <n v="-0.5"/>
    <n v="1"/>
    <s v="Fed"/>
    <s v="950faed5-ef48-4aa1-a763-0ed6cb14e0e6"/>
    <n v="0"/>
    <s v="0:Miguel Diaz Del Moral"/>
    <s v="0:Cañita"/>
    <s v=""/>
    <s v=""/>
    <m/>
    <s v="44942:Miguel Diaz Del Moral"/>
    <n v="1"/>
  </r>
  <r>
    <x v="59"/>
    <x v="27"/>
    <n v="7.4"/>
    <n v="2"/>
    <s v="Fed"/>
    <s v="a9be2055-0b9e-4df6-b6a3-888c641f4532"/>
    <n v="0"/>
    <s v="0:Nacho Casas"/>
    <s v="0:Nachete"/>
    <s v=""/>
    <s v=""/>
    <m/>
    <s v="44942:Nacho Casas"/>
    <n v="1"/>
  </r>
  <r>
    <x v="59"/>
    <x v="16"/>
    <n v="6.7"/>
    <n v="2"/>
    <s v="Fed"/>
    <s v="f69ec8ce-a55f-4983-b046-ddeef1616f56"/>
    <n v="0"/>
    <s v="0:Nacho Gonzalez"/>
    <s v="0:Nacho"/>
    <s v=""/>
    <s v=""/>
    <m/>
    <s v="44942:Nacho Gonzalez"/>
    <n v="1"/>
  </r>
  <r>
    <x v="59"/>
    <x v="17"/>
    <n v="13.7"/>
    <n v="3"/>
    <s v="Fed"/>
    <s v="4b97268e-d67a-4bc1-8e39-6c2191b5a9f4"/>
    <n v="0"/>
    <s v="0:Pablo Munitiz"/>
    <s v="0:Muni"/>
    <s v=""/>
    <s v=""/>
    <m/>
    <s v="44942:Pablo Munitiz"/>
    <n v="1"/>
  </r>
  <r>
    <x v="59"/>
    <x v="28"/>
    <n v="18.3"/>
    <n v="3"/>
    <s v="Fed"/>
    <s v="1ea914f3-9ef0-4c69-b018-dc6eca32c2d0"/>
    <n v="0"/>
    <s v="0:Ruslan Kochman"/>
    <s v="0:Rus"/>
    <s v=""/>
    <s v=""/>
    <m/>
    <s v="44942:Ruslan Kochman"/>
    <n v="1"/>
  </r>
  <r>
    <x v="59"/>
    <x v="32"/>
    <n v="16.399999999999999"/>
    <n v="3"/>
    <s v="Fed"/>
    <s v="c55711ce-5d83-4cc7-a82b-3b3443e88c94"/>
    <n v="0"/>
    <s v="0:Santi Diaz"/>
    <s v="0:Santi"/>
    <s v=""/>
    <s v=""/>
    <m/>
    <s v="44942:Santi Diaz"/>
    <n v="1"/>
  </r>
  <r>
    <x v="60"/>
    <x v="30"/>
    <n v="3.5"/>
    <n v="1"/>
    <s v="Fed"/>
    <s v="da33d82c-9068-42a9-a76e-a475979a8b6b"/>
    <n v="0"/>
    <s v="0:Alejandro Arcos"/>
    <s v="0:Alex"/>
    <s v=""/>
    <s v=""/>
    <m/>
    <s v="44976:Alejandro Arcos"/>
    <n v="1"/>
  </r>
  <r>
    <x v="60"/>
    <x v="0"/>
    <n v="9.9"/>
    <n v="2"/>
    <s v="Fed"/>
    <s v="3aebbc11-0b8b-4fab-8404-0993f4901aa2"/>
    <n v="0"/>
    <s v="0:Alfonso Hidalgo"/>
    <s v="0:Alfonso"/>
    <s v=""/>
    <s v=""/>
    <m/>
    <s v="44976:Alfonso Hidalgo"/>
    <n v="1"/>
  </r>
  <r>
    <x v="60"/>
    <x v="22"/>
    <n v="14.1"/>
    <n v="3"/>
    <s v="Fed"/>
    <s v="1ee1e0fd-9101-4d9e-a088-e77c97439196"/>
    <n v="0"/>
    <s v="0:Alfonso Zorrilla"/>
    <s v="0:A Zorrilla"/>
    <s v=""/>
    <s v=""/>
    <m/>
    <s v="44976:Alfonso Zorrilla"/>
    <n v="1"/>
  </r>
  <r>
    <x v="60"/>
    <x v="1"/>
    <n v="6.1"/>
    <n v="2"/>
    <s v="Fed"/>
    <s v="ef8b0c41-572c-482f-8f6a-b45d6ea26b70"/>
    <n v="0"/>
    <s v="0:Alvaro Aguirre"/>
    <s v="0:Gifu"/>
    <s v=""/>
    <s v=""/>
    <m/>
    <s v="44976:Alvaro Aguirre"/>
    <n v="1"/>
  </r>
  <r>
    <x v="60"/>
    <x v="23"/>
    <n v="9.4"/>
    <n v="2"/>
    <s v="Fed"/>
    <s v="85319103-55b1-49e3-92b6-31555189cba3"/>
    <n v="0"/>
    <s v="0:Alvaro Montoya"/>
    <s v="0:Monti"/>
    <s v=""/>
    <s v=""/>
    <m/>
    <s v="44976:Alvaro Montoya"/>
    <n v="1"/>
  </r>
  <r>
    <x v="60"/>
    <x v="2"/>
    <n v="12.3"/>
    <n v="3"/>
    <s v="Fed"/>
    <s v="1fbac23a-03fa-40f8-ac3a-25008dbe4abd"/>
    <n v="0"/>
    <s v="0:Alvaro Nieto"/>
    <s v="0:Alvaro"/>
    <s v=""/>
    <s v=""/>
    <m/>
    <s v="44976:Alvaro Nieto"/>
    <n v="1"/>
  </r>
  <r>
    <x v="60"/>
    <x v="3"/>
    <n v="7.2"/>
    <n v="2"/>
    <s v="Fed"/>
    <s v="2c83bc65-5bd4-4425-aeb8-c82b07b33f45"/>
    <n v="0"/>
    <s v="0:Angel Hernandez"/>
    <s v="0:Angel"/>
    <s v=""/>
    <s v=""/>
    <m/>
    <s v="44976:Angel Hernandez"/>
    <n v="1"/>
  </r>
  <r>
    <x v="60"/>
    <x v="31"/>
    <n v="18.899999999999999"/>
    <n v="4"/>
    <s v="Fed"/>
    <s v="dc939159-cbeb-4e52-9a6b-2790619447b1"/>
    <n v="0"/>
    <s v="0:Antonio Carmona"/>
    <s v="0:Antonio"/>
    <s v=""/>
    <s v=""/>
    <m/>
    <s v="44976:Antonio Carmona"/>
    <n v="1"/>
  </r>
  <r>
    <x v="60"/>
    <x v="33"/>
    <n v="26.6"/>
    <n v="5"/>
    <s v="Fed"/>
    <s v="06ee389f-ba21-4fe8-9179-3bd864324ca8"/>
    <n v="0"/>
    <s v="0:Carlos Hijas"/>
    <s v="0:Hijas"/>
    <s v=""/>
    <s v=""/>
    <m/>
    <s v="44976:Carlos Hijas"/>
    <n v="1"/>
  </r>
  <r>
    <x v="60"/>
    <x v="34"/>
    <n v="1.5"/>
    <n v="1"/>
    <s v="Fed"/>
    <s v="c8d17430-045c-4962-b72c-8c4b6d34a87a"/>
    <n v="0"/>
    <s v="0:Carlos Maestro"/>
    <s v="0:Carlitos"/>
    <s v=""/>
    <s v=""/>
    <m/>
    <s v="44976:Carlos Maestro"/>
    <n v="1"/>
  </r>
  <r>
    <x v="60"/>
    <x v="4"/>
    <n v="10.4"/>
    <n v="2"/>
    <s v="Fed"/>
    <s v="b013a076-eae6-4733-b2a2-238367e11def"/>
    <n v="0"/>
    <s v="0:David Sequera"/>
    <s v="0:David"/>
    <s v=""/>
    <s v=""/>
    <m/>
    <s v="44976:David Sequera"/>
    <n v="1"/>
  </r>
  <r>
    <x v="60"/>
    <x v="39"/>
    <n v="36"/>
    <n v="5"/>
    <s v="Fed"/>
    <s v="a87e0c9f-6412-48de-a13e-e12641709c24"/>
    <n v="0"/>
    <s v="0:Eduardo Buendía"/>
    <s v="0:Eduardo"/>
    <s v=""/>
    <s v=""/>
    <m/>
    <s v="44976:Eduardo Buendía"/>
    <n v="1"/>
  </r>
  <r>
    <x v="60"/>
    <x v="40"/>
    <n v="16.899999999999999"/>
    <n v="3"/>
    <s v="Fed"/>
    <s v="462ba901-2a83-4283-943e-29352c7c12f4"/>
    <n v="0"/>
    <s v="0:Emiliano Buendía"/>
    <s v="0:Emi"/>
    <s v=""/>
    <s v=""/>
    <m/>
    <s v="44976:Emiliano Buendía"/>
    <n v="1"/>
  </r>
  <r>
    <x v="60"/>
    <x v="29"/>
    <n v="12.7"/>
    <n v="3"/>
    <s v="Fed"/>
    <s v="3f7e84b6-bc33-4ed4-8df5-d3b778c4b4a3"/>
    <n v="0"/>
    <s v="0:Enrique Gonzalez R"/>
    <s v="0:Enrique"/>
    <s v=""/>
    <s v=""/>
    <m/>
    <s v="44976:Enrique Gonzalez R"/>
    <n v="1"/>
  </r>
  <r>
    <x v="60"/>
    <x v="5"/>
    <n v="14.7"/>
    <n v="3"/>
    <s v="Fed"/>
    <s v="e195efa9-3b85-4304-8bcd-d512ac20cd9e"/>
    <n v="0"/>
    <s v="0:Francisco Alvarez"/>
    <s v="0:Paco"/>
    <s v=""/>
    <s v=""/>
    <m/>
    <s v="44976:Francisco Alvarez"/>
    <n v="1"/>
  </r>
  <r>
    <x v="60"/>
    <x v="6"/>
    <n v="11.9"/>
    <n v="3"/>
    <s v="Fed"/>
    <s v="59e85fa6-46c6-4739-a5ca-6d4f35482ecb"/>
    <n v="0"/>
    <s v="0:Francisco Hidalgo"/>
    <s v="0:Fran"/>
    <s v=""/>
    <s v=""/>
    <m/>
    <s v="44976:Francisco Hidalgo"/>
    <n v="1"/>
  </r>
  <r>
    <x v="60"/>
    <x v="24"/>
    <n v="14.5"/>
    <n v="3"/>
    <s v="Fed"/>
    <s v="adcc012e-2cd1-40f8-b045-957ca6f8021e"/>
    <n v="0"/>
    <s v="0:Franck Benouniche"/>
    <s v="0:Franck"/>
    <s v=""/>
    <s v=""/>
    <m/>
    <s v="44976:Franck Benouniche"/>
    <n v="1"/>
  </r>
  <r>
    <x v="60"/>
    <x v="7"/>
    <n v="18"/>
    <n v="3"/>
    <s v="Fed"/>
    <s v="4462d1cd-89a4-4a58-9b6d-a7e605da6aad"/>
    <n v="0"/>
    <s v="0:GLEZ JUAN JOSÉ"/>
    <s v="0:Juanjo"/>
    <s v=""/>
    <s v=""/>
    <m/>
    <s v="44976:GLEZ JUAN JOSÉ"/>
    <n v="1"/>
  </r>
  <r>
    <x v="60"/>
    <x v="8"/>
    <n v="8.6999999999999993"/>
    <n v="2"/>
    <s v="Fed"/>
    <s v="0d41bace-d140-48df-bab1-408eb17cb934"/>
    <n v="0"/>
    <s v="0:Ignacio Cadarso"/>
    <s v="0:Ignacio"/>
    <s v=""/>
    <s v=""/>
    <m/>
    <s v="44976:Ignacio Cadarso"/>
    <n v="1"/>
  </r>
  <r>
    <x v="60"/>
    <x v="37"/>
    <n v="23.7"/>
    <n v="4"/>
    <s v="Fed"/>
    <s v="271a5bd3-57f0-464b-a32a-fbc6bcde99e1"/>
    <n v="0"/>
    <s v="0:Ignacio Gracia Charlez"/>
    <s v="0:I Gracia"/>
    <s v=""/>
    <s v=""/>
    <m/>
    <s v="44976:Ignacio Gracia Charlez"/>
    <n v="1"/>
  </r>
  <r>
    <x v="60"/>
    <x v="10"/>
    <n v="17.5"/>
    <n v="3"/>
    <s v="Fed"/>
    <s v="d6c8c808-df4b-4fe6-be4b-0bc18e770674"/>
    <n v="0"/>
    <s v="0:J. Enrique Gonzalez"/>
    <s v="0:Kike"/>
    <s v=""/>
    <s v=""/>
    <m/>
    <s v="44976:J. Enrique Gonzalez"/>
    <n v="1"/>
  </r>
  <r>
    <x v="60"/>
    <x v="35"/>
    <n v="9.5"/>
    <n v="2"/>
    <s v="Fed"/>
    <s v="9b18c5c5-f90f-4889-8a27-dc43f85780e6"/>
    <n v="0"/>
    <s v="0:Jaime Villanueva"/>
    <s v="0:Villanueva"/>
    <s v=""/>
    <s v=""/>
    <m/>
    <s v="44976:Jaime Villanueva"/>
    <n v="1"/>
  </r>
  <r>
    <x v="60"/>
    <x v="41"/>
    <n v="10.8"/>
    <n v="2"/>
    <s v="Fed"/>
    <s v="295030ec-6db3-4de6-a54b-02384ca3140f"/>
    <n v="0"/>
    <s v="0:Javier Arcos"/>
    <s v="0:J.Arcos"/>
    <s v=""/>
    <s v=""/>
    <m/>
    <s v="44976:Javier Arcos"/>
    <n v="1"/>
  </r>
  <r>
    <x v="60"/>
    <x v="11"/>
    <n v="16.899999999999999"/>
    <n v="3"/>
    <s v="Fed"/>
    <s v="26f3c390-bdd3-4e90-8e8e-bfb0d905d653"/>
    <n v="0"/>
    <s v="0:Javier Cervera"/>
    <s v="0:Virus"/>
    <s v=""/>
    <s v=""/>
    <m/>
    <s v="44976:Javier Cervera"/>
    <n v="1"/>
  </r>
  <r>
    <x v="60"/>
    <x v="25"/>
    <n v="11"/>
    <n v="2"/>
    <s v="Fed"/>
    <s v="29dddd2d-c7a3-4f53-87a3-1d8bd2e159a8"/>
    <n v="0"/>
    <s v="0:Javier Chiralt"/>
    <s v="0:Chiralt"/>
    <s v=""/>
    <s v=""/>
    <m/>
    <s v="44976:Javier Chiralt"/>
    <n v="1"/>
  </r>
  <r>
    <x v="60"/>
    <x v="12"/>
    <n v="16.600000000000001"/>
    <n v="3"/>
    <s v="Fed"/>
    <s v="ece34bd6-ad88-49e0-aba2-e67b1f2f1015"/>
    <n v="0"/>
    <s v="0:Javier Gonzalez Salvador"/>
    <s v="0:Javi"/>
    <s v=""/>
    <s v=""/>
    <m/>
    <s v="44976:Javier Gonzalez Salvador"/>
    <n v="1"/>
  </r>
  <r>
    <x v="60"/>
    <x v="26"/>
    <n v="21.1"/>
    <n v="4"/>
    <s v="Fed"/>
    <s v="87cabd77-cbb3-4fba-9755-b7d8510810b2"/>
    <n v="0"/>
    <s v="0:Javier Lopez Gullón"/>
    <s v="0:Cuñao"/>
    <s v=""/>
    <s v=""/>
    <m/>
    <s v="44976:Javier Lopez Gullón"/>
    <n v="1"/>
  </r>
  <r>
    <x v="60"/>
    <x v="13"/>
    <n v="24.8"/>
    <n v="4"/>
    <s v="Fed"/>
    <s v="aca09c4c-3ac5-443f-b966-045960e5b90f"/>
    <n v="0"/>
    <s v="0:Jesus Touceda"/>
    <s v="0:Jesús"/>
    <s v=""/>
    <s v=""/>
    <m/>
    <s v="44976:Jesus Touceda"/>
    <n v="1"/>
  </r>
  <r>
    <x v="60"/>
    <x v="38"/>
    <n v="23.5"/>
    <n v="4"/>
    <s v="Fed"/>
    <s v="8c643e05-30bd-4d11-add1-56ef77f11f88"/>
    <n v="0"/>
    <s v="0:Jorge Alberto Martínez Sánchez"/>
    <s v="0:Jorge"/>
    <s v=""/>
    <s v=""/>
    <m/>
    <s v="44976:Jorge Alberto Martínez Sánchez"/>
    <n v="1"/>
  </r>
  <r>
    <x v="60"/>
    <x v="14"/>
    <n v="7.3"/>
    <n v="2"/>
    <s v="Fed"/>
    <s v="c1cbcdbd-d119-40b6-8316-21dbcec4dea5"/>
    <n v="0"/>
    <s v="0:José Pablo Guil"/>
    <s v="0:JP"/>
    <s v=""/>
    <s v=""/>
    <m/>
    <s v="44976:José Pablo Guil"/>
    <n v="1"/>
  </r>
  <r>
    <x v="60"/>
    <x v="36"/>
    <n v="21.1"/>
    <n v="4"/>
    <s v="Fed"/>
    <s v="6e35d62c-5558-4dca-8706-2cf592a9c67f"/>
    <n v="0"/>
    <s v="0:Juan Jose Aguado"/>
    <s v="0:Juancho"/>
    <s v=""/>
    <s v=""/>
    <m/>
    <s v="44976:Juan Jose Aguado"/>
    <n v="1"/>
  </r>
  <r>
    <x v="60"/>
    <x v="15"/>
    <n v="18.3"/>
    <n v="3"/>
    <s v="Fed"/>
    <s v="0d48a8fc-76af-4cf3-928a-f6101a80fc28"/>
    <n v="0"/>
    <s v="0:Luis Escudero"/>
    <s v="0:Lucho"/>
    <s v=""/>
    <s v=""/>
    <m/>
    <s v="44976:Luis Escudero"/>
    <n v="1"/>
  </r>
  <r>
    <x v="60"/>
    <x v="21"/>
    <n v="23.9"/>
    <n v="4"/>
    <s v="Fed"/>
    <s v="fd90ade3-22c6-48b6-985b-b4a170835614"/>
    <n v="0"/>
    <s v="0:Miche Lopez"/>
    <s v="0:Miche"/>
    <s v=""/>
    <s v=""/>
    <m/>
    <s v="44976:Miche Lopez"/>
    <n v="1"/>
  </r>
  <r>
    <x v="60"/>
    <x v="19"/>
    <n v="-0.5"/>
    <n v="1"/>
    <s v="Fed"/>
    <s v="a2984d11-d758-4e73-9cd8-b25df6f47948"/>
    <n v="0"/>
    <s v="0:Miguel Diaz Del Moral"/>
    <s v="0:Cañita"/>
    <s v=""/>
    <s v=""/>
    <m/>
    <s v="44976:Miguel Diaz Del Moral"/>
    <n v="1"/>
  </r>
  <r>
    <x v="60"/>
    <x v="27"/>
    <n v="7.5"/>
    <n v="2"/>
    <s v="Fed"/>
    <s v="3fb8323a-b948-40fe-9c85-1113f41a4497"/>
    <n v="0"/>
    <s v="0:Nacho Casas"/>
    <s v="0:Nachete"/>
    <s v=""/>
    <s v=""/>
    <m/>
    <s v="44976:Nacho Casas"/>
    <n v="1"/>
  </r>
  <r>
    <x v="60"/>
    <x v="16"/>
    <n v="6.7"/>
    <n v="2"/>
    <s v="Fed"/>
    <s v="bd4ae0cf-e7f7-4210-a4fb-8c92661619f3"/>
    <n v="0"/>
    <s v="0:Nacho Gonzalez"/>
    <s v="0:Nacho"/>
    <s v=""/>
    <s v=""/>
    <m/>
    <s v="44976:Nacho Gonzalez"/>
    <n v="1"/>
  </r>
  <r>
    <x v="60"/>
    <x v="17"/>
    <n v="13.7"/>
    <n v="3"/>
    <s v="Fed"/>
    <s v="1181a0e2-6c94-41c5-814e-46010c45bf1b"/>
    <n v="0"/>
    <s v="0:Pablo Munitiz"/>
    <s v="0:Muni"/>
    <s v=""/>
    <s v=""/>
    <m/>
    <s v="44976:Pablo Munitiz"/>
    <n v="1"/>
  </r>
  <r>
    <x v="60"/>
    <x v="28"/>
    <n v="18.3"/>
    <n v="3"/>
    <s v="Fed"/>
    <s v="bb8581bc-862d-4940-8fbc-95c67c2e39fb"/>
    <n v="0"/>
    <s v="0:Ruslan Kochman"/>
    <s v="0:Rus"/>
    <s v=""/>
    <s v=""/>
    <m/>
    <s v="44976:Ruslan Kochman"/>
    <n v="1"/>
  </r>
  <r>
    <x v="60"/>
    <x v="32"/>
    <n v="16.399999999999999"/>
    <n v="3"/>
    <s v="Fed"/>
    <s v="d017aefd-3432-4b6a-93ac-b400565446a7"/>
    <n v="0"/>
    <s v="0:Santi Diaz"/>
    <s v="0:Santi"/>
    <s v=""/>
    <s v=""/>
    <m/>
    <s v="44976:Santi Diaz"/>
    <n v="1"/>
  </r>
  <r>
    <x v="61"/>
    <x v="30"/>
    <n v="3.5"/>
    <n v="1"/>
    <s v="Fed"/>
    <s v="04846571-47aa-4f2b-be5e-76a343148cab"/>
    <n v="0"/>
    <s v="0:Alejandro Arcos"/>
    <s v="0:Alex"/>
    <s v=""/>
    <s v=""/>
    <m/>
    <s v="45010:Alejandro Arcos"/>
    <n v="1"/>
  </r>
  <r>
    <x v="61"/>
    <x v="0"/>
    <n v="10.3"/>
    <n v="2"/>
    <s v="Fed"/>
    <s v="a45d697f-f764-496c-93c0-85965f952c97"/>
    <n v="0"/>
    <s v="0:Alfonso Hidalgo"/>
    <s v="0:Alfonso"/>
    <s v=""/>
    <s v=""/>
    <m/>
    <s v="45010:Alfonso Hidalgo"/>
    <n v="1"/>
  </r>
  <r>
    <x v="61"/>
    <x v="22"/>
    <n v="14.1"/>
    <n v="3"/>
    <s v="Fed"/>
    <s v="ad6b2b2c-cfd5-4d6d-94f7-686c1d7cb4b1"/>
    <n v="0"/>
    <s v="0:Alfonso Zorrilla"/>
    <s v="0:A Zorrilla"/>
    <s v=""/>
    <s v=""/>
    <m/>
    <s v="45010:Alfonso Zorrilla"/>
    <n v="1"/>
  </r>
  <r>
    <x v="61"/>
    <x v="1"/>
    <n v="6.1"/>
    <n v="2"/>
    <s v="Fed"/>
    <s v="c69fe7b9-9313-487a-8018-87721ced10f6"/>
    <n v="0"/>
    <s v="0:Alvaro Aguirre"/>
    <s v="0:Gifu"/>
    <s v=""/>
    <s v=""/>
    <m/>
    <s v="45010:Alvaro Aguirre"/>
    <n v="1"/>
  </r>
  <r>
    <x v="61"/>
    <x v="23"/>
    <n v="8.9"/>
    <n v="2"/>
    <s v="Fed"/>
    <s v="96611258-9bde-4d28-9b23-3a02122ccf96"/>
    <n v="0"/>
    <s v="0:Alvaro Montoya"/>
    <s v="0:Monti"/>
    <s v=""/>
    <s v=""/>
    <m/>
    <s v="45010:Alvaro Montoya"/>
    <n v="1"/>
  </r>
  <r>
    <x v="61"/>
    <x v="2"/>
    <n v="12.3"/>
    <n v="3"/>
    <s v="Fed"/>
    <s v="93dcbfb4-18d1-4d5e-a115-e9b58ac8ddd7"/>
    <n v="0"/>
    <s v="0:Alvaro Nieto"/>
    <s v="0:Alvaro"/>
    <s v=""/>
    <s v=""/>
    <m/>
    <s v="45010:Alvaro Nieto"/>
    <n v="1"/>
  </r>
  <r>
    <x v="61"/>
    <x v="3"/>
    <n v="7.9"/>
    <n v="2"/>
    <s v="Fed"/>
    <s v="6a43da8e-8314-40a3-8041-591a1bcba61c"/>
    <n v="0"/>
    <s v="0:Angel Hernandez"/>
    <s v="0:Angel"/>
    <s v=""/>
    <s v=""/>
    <m/>
    <s v="45010:Angel Hernandez"/>
    <n v="1"/>
  </r>
  <r>
    <x v="61"/>
    <x v="31"/>
    <n v="18.899999999999999"/>
    <n v="4"/>
    <s v="Fed"/>
    <s v="8ad2a33c-4675-4ca4-a731-88a053dc138a"/>
    <n v="0"/>
    <s v="0:Antonio Carmona"/>
    <s v="0:Antonio"/>
    <s v=""/>
    <s v=""/>
    <m/>
    <s v="45010:Antonio Carmona"/>
    <n v="1"/>
  </r>
  <r>
    <x v="61"/>
    <x v="34"/>
    <n v="1.7"/>
    <n v="1"/>
    <s v="Fed"/>
    <s v="0e0d0dc7-0c21-4471-8bdd-79c52af95c9a"/>
    <n v="0"/>
    <s v="0:Carlos Maestro"/>
    <s v="0:Carlitos"/>
    <s v=""/>
    <s v=""/>
    <m/>
    <s v="45010:Carlos Maestro"/>
    <n v="1"/>
  </r>
  <r>
    <x v="61"/>
    <x v="4"/>
    <n v="10.4"/>
    <n v="2"/>
    <s v="Fed"/>
    <s v="362520d7-e6ff-46a3-9cb4-a14f918b6f1a"/>
    <n v="0"/>
    <s v="0:David Sequera"/>
    <s v="0:David"/>
    <s v=""/>
    <s v=""/>
    <m/>
    <s v="45010:David Sequera"/>
    <n v="1"/>
  </r>
  <r>
    <x v="61"/>
    <x v="39"/>
    <n v="23.8"/>
    <n v="4"/>
    <s v="Fed"/>
    <s v="856fe2d2-1e71-4ed3-94a8-df3d00582775"/>
    <n v="0"/>
    <s v="0:Eduardo Buendía"/>
    <s v="0:Eduardo"/>
    <s v=""/>
    <s v=""/>
    <m/>
    <s v="45010:Eduardo Buendía"/>
    <n v="1"/>
  </r>
  <r>
    <x v="61"/>
    <x v="29"/>
    <n v="12.5"/>
    <n v="3"/>
    <s v="Fed"/>
    <s v="2ae8a36e-3950-428e-888f-2e6e8c85ef1e"/>
    <n v="0"/>
    <s v="0:Enrique Gonzalez R"/>
    <s v="0:Enrique"/>
    <s v=""/>
    <s v=""/>
    <m/>
    <s v="45010:Enrique Gonzalez R"/>
    <n v="1"/>
  </r>
  <r>
    <x v="61"/>
    <x v="5"/>
    <n v="14.6"/>
    <n v="3"/>
    <s v="Fed"/>
    <s v="434affcf-f001-4c6b-9860-186d0c5f1c99"/>
    <n v="0"/>
    <s v="0:Francisco Alvarez"/>
    <s v="0:Paco"/>
    <s v=""/>
    <s v=""/>
    <m/>
    <s v="45010:Francisco Alvarez"/>
    <n v="1"/>
  </r>
  <r>
    <x v="61"/>
    <x v="6"/>
    <n v="11.8"/>
    <n v="3"/>
    <s v="Fed"/>
    <s v="bf0f5966-1cdb-4bbe-aeec-a796c870701e"/>
    <n v="0"/>
    <s v="0:Francisco Hidalgo"/>
    <s v="0:Fran"/>
    <s v=""/>
    <s v=""/>
    <m/>
    <s v="45010:Francisco Hidalgo"/>
    <n v="1"/>
  </r>
  <r>
    <x v="61"/>
    <x v="24"/>
    <n v="14.5"/>
    <n v="3"/>
    <s v="Fed"/>
    <s v="2c58a8e1-3fb0-4cc8-9d1c-cb302aee505d"/>
    <n v="0"/>
    <s v="0:Franck Benouniche"/>
    <s v="0:Franck"/>
    <s v=""/>
    <s v=""/>
    <m/>
    <s v="45010:Franck Benouniche"/>
    <n v="1"/>
  </r>
  <r>
    <x v="61"/>
    <x v="7"/>
    <n v="19"/>
    <n v="4"/>
    <s v="Fed"/>
    <s v="8df63092-0b1c-4ea3-8147-2e1a5214ae07"/>
    <n v="0"/>
    <s v="0:GLEZ JUAN JOSÉ"/>
    <s v="0:Juanjo"/>
    <s v=""/>
    <s v=""/>
    <m/>
    <s v="45010:GLEZ JUAN JOSÉ"/>
    <n v="1"/>
  </r>
  <r>
    <x v="61"/>
    <x v="8"/>
    <n v="8.8000000000000007"/>
    <n v="2"/>
    <s v="Fed"/>
    <s v="0ddb8378-77cd-41ed-a130-6df2d908e0f3"/>
    <n v="0"/>
    <s v="0:Ignacio Cadarso"/>
    <s v="0:Ignacio"/>
    <s v=""/>
    <s v=""/>
    <m/>
    <s v="45010:Ignacio Cadarso"/>
    <n v="1"/>
  </r>
  <r>
    <x v="61"/>
    <x v="37"/>
    <n v="23.7"/>
    <n v="4"/>
    <s v="Fed"/>
    <s v="910874e4-92d6-4476-9db5-ae05db430200"/>
    <n v="0"/>
    <s v="0:Ignacio Gracia Charlez"/>
    <s v="0:I Gracia"/>
    <s v=""/>
    <s v=""/>
    <m/>
    <s v="45010:Ignacio Gracia Charlez"/>
    <n v="1"/>
  </r>
  <r>
    <x v="61"/>
    <x v="10"/>
    <n v="17.899999999999999"/>
    <n v="3"/>
    <s v="Fed"/>
    <s v="683b7321-1bdb-431f-b4b0-b430c5363c78"/>
    <n v="0"/>
    <s v="0:J. Enrique Gonzalez"/>
    <s v="0:Kike"/>
    <s v=""/>
    <s v=""/>
    <m/>
    <s v="45010:J. Enrique Gonzalez"/>
    <n v="1"/>
  </r>
  <r>
    <x v="61"/>
    <x v="35"/>
    <n v="9.9"/>
    <n v="2"/>
    <s v="Fed"/>
    <s v="95a436d4-1bd4-472f-a782-83d3daa3e426"/>
    <n v="0"/>
    <s v="0:Jaime Villanueva"/>
    <s v="0:Villanueva"/>
    <s v=""/>
    <s v=""/>
    <m/>
    <s v="45010:Jaime Villanueva"/>
    <n v="1"/>
  </r>
  <r>
    <x v="61"/>
    <x v="41"/>
    <n v="11"/>
    <n v="2"/>
    <s v="Fed"/>
    <s v="d6d7e2bc-a1b6-4991-a4be-d4924a8c4e21"/>
    <n v="0"/>
    <s v="0:Javier Arcos"/>
    <s v="0:J.Arcos"/>
    <s v=""/>
    <s v=""/>
    <m/>
    <s v="45010:Javier Arcos"/>
    <n v="1"/>
  </r>
  <r>
    <x v="61"/>
    <x v="42"/>
    <n v="12.1"/>
    <n v="3"/>
    <s v="Fed"/>
    <s v="84501758-1697-4588-93b4-ce3c41e57655"/>
    <n v="0"/>
    <s v="0:Javier Campo"/>
    <s v="0:Campo"/>
    <s v=""/>
    <s v=""/>
    <m/>
    <s v="45010:Javier Campo"/>
    <n v="1"/>
  </r>
  <r>
    <x v="61"/>
    <x v="11"/>
    <n v="16.7"/>
    <n v="3"/>
    <s v="Fed"/>
    <s v="5ceae8b0-e594-41df-b22f-aae4b242e7c8"/>
    <n v="0"/>
    <s v="0:Javier Cervera"/>
    <s v="0:Virus"/>
    <s v=""/>
    <s v=""/>
    <m/>
    <s v="45010:Javier Cervera"/>
    <n v="1"/>
  </r>
  <r>
    <x v="61"/>
    <x v="25"/>
    <n v="10.5"/>
    <n v="2"/>
    <s v="Fed"/>
    <s v="a573d6bb-cb31-459f-840a-5fdacc4496e0"/>
    <n v="0"/>
    <s v="0:Javier Chiralt"/>
    <s v="0:Chiralt"/>
    <s v=""/>
    <s v=""/>
    <m/>
    <s v="45010:Javier Chiralt"/>
    <n v="1"/>
  </r>
  <r>
    <x v="61"/>
    <x v="12"/>
    <n v="17.5"/>
    <n v="3"/>
    <s v="Fed"/>
    <s v="af352e22-be72-4af8-8e0f-17e063cbac34"/>
    <n v="0"/>
    <s v="0:Javier Gonzalez Salvador"/>
    <s v="0:Javi"/>
    <s v=""/>
    <s v=""/>
    <m/>
    <s v="45010:Javier Gonzalez Salvador"/>
    <n v="1"/>
  </r>
  <r>
    <x v="61"/>
    <x v="26"/>
    <n v="21"/>
    <n v="4"/>
    <s v="Fed"/>
    <s v="817bc9f8-f396-47df-acf1-a846a958ef1d"/>
    <n v="0"/>
    <s v="0:Javier Lopez Gullón"/>
    <s v="0:Cuñao"/>
    <s v=""/>
    <s v=""/>
    <m/>
    <s v="45010:Javier Lopez Gullón"/>
    <n v="1"/>
  </r>
  <r>
    <x v="61"/>
    <x v="13"/>
    <n v="23.9"/>
    <n v="4"/>
    <s v="Fed"/>
    <s v="adc5a3e9-1a98-44c5-ac1b-5f04cdf8d890"/>
    <n v="0"/>
    <s v="0:Jesus Touceda"/>
    <s v="0:Jesús"/>
    <s v=""/>
    <s v=""/>
    <m/>
    <s v="45010:Jesus Touceda"/>
    <n v="1"/>
  </r>
  <r>
    <x v="61"/>
    <x v="38"/>
    <n v="23.5"/>
    <n v="4"/>
    <s v="Fed"/>
    <s v="a416a3a6-1f9c-4763-8992-5a58fa3240de"/>
    <n v="0"/>
    <s v="0:Jorge Alberto Martínez Sánchez"/>
    <s v="0:Jorge"/>
    <s v=""/>
    <s v=""/>
    <m/>
    <s v="45010:Jorge Alberto Martínez Sánchez"/>
    <n v="1"/>
  </r>
  <r>
    <x v="61"/>
    <x v="14"/>
    <n v="7.4"/>
    <n v="2"/>
    <s v="Fed"/>
    <s v="0f606b10-852d-45e9-af49-79b4dd543342"/>
    <n v="0"/>
    <s v="0:José Pablo Guil"/>
    <s v="0:JP"/>
    <s v=""/>
    <s v=""/>
    <m/>
    <s v="45010:José Pablo Guil"/>
    <n v="1"/>
  </r>
  <r>
    <x v="61"/>
    <x v="36"/>
    <n v="21.1"/>
    <n v="4"/>
    <s v="Fed"/>
    <s v="f14b5334-ab5b-47c0-b7af-f601979146b3"/>
    <n v="0"/>
    <s v="0:Juan Jose Aguado"/>
    <s v="0:Juancho"/>
    <s v=""/>
    <s v=""/>
    <m/>
    <s v="45010:Juan Jose Aguado"/>
    <n v="1"/>
  </r>
  <r>
    <x v="61"/>
    <x v="43"/>
    <n v="34.200000000000003"/>
    <n v="5"/>
    <s v="Fed"/>
    <s v="41150646-6920-4996-9e85-cf4b7f13e78e"/>
    <n v="0"/>
    <s v="0:Juan Luis Nieto"/>
    <s v="0:Juan Luis"/>
    <s v=""/>
    <s v=""/>
    <m/>
    <s v="45010:Juan Luis Nieto"/>
    <n v="1"/>
  </r>
  <r>
    <x v="61"/>
    <x v="44"/>
    <n v="11.5"/>
    <n v="3"/>
    <s v="Fed"/>
    <s v="cdc9d8c5-bd7e-4431-987b-28b21a471b18"/>
    <n v="0"/>
    <s v="0:Luis Fernandez"/>
    <s v="0:Luis"/>
    <s v=""/>
    <s v=""/>
    <m/>
    <s v="45010:Luis Fernandez"/>
    <n v="1"/>
  </r>
  <r>
    <x v="61"/>
    <x v="21"/>
    <n v="22.3"/>
    <n v="4"/>
    <s v="Fed"/>
    <s v="3d7aa3b5-19e7-4c82-9db5-bdb2e8cdb79e"/>
    <n v="0"/>
    <s v="0:Miche Lopez"/>
    <s v="0:Miche"/>
    <s v=""/>
    <s v=""/>
    <m/>
    <s v="45010:Miche Lopez"/>
    <n v="1"/>
  </r>
  <r>
    <x v="61"/>
    <x v="27"/>
    <n v="7.1"/>
    <n v="2"/>
    <s v="Fed"/>
    <s v="14a824b8-04d8-49ac-93e9-56c80736324b"/>
    <n v="0"/>
    <s v="0:Nacho Casas"/>
    <s v="0:Nachete"/>
    <s v=""/>
    <s v=""/>
    <m/>
    <s v="45010:Nacho Casas"/>
    <n v="1"/>
  </r>
  <r>
    <x v="61"/>
    <x v="16"/>
    <n v="6.7"/>
    <n v="2"/>
    <s v="Fed"/>
    <s v="843cb70e-7682-4bb0-bfea-7d11005dc583"/>
    <n v="0"/>
    <s v="0:Nacho Gonzalez"/>
    <s v="0:Nacho"/>
    <s v=""/>
    <s v=""/>
    <m/>
    <s v="45010:Nacho Gonzalez"/>
    <n v="1"/>
  </r>
  <r>
    <x v="61"/>
    <x v="28"/>
    <n v="17.399999999999999"/>
    <n v="3"/>
    <s v="Fed"/>
    <s v="b6d6fc52-12ce-4c8f-aa76-3afcbbcd6aa0"/>
    <n v="0"/>
    <s v="0:Ruslan Kochman"/>
    <s v="0:Rus"/>
    <s v=""/>
    <s v=""/>
    <m/>
    <s v="45010:Ruslan Kochman"/>
    <n v="1"/>
  </r>
  <r>
    <x v="61"/>
    <x v="32"/>
    <n v="16.399999999999999"/>
    <n v="3"/>
    <s v="Fed"/>
    <s v="71c63ae9-3838-4ef6-b6af-16d6afd48952"/>
    <n v="0"/>
    <s v="0:Santi Diaz"/>
    <s v="0:Santi"/>
    <s v=""/>
    <s v=""/>
    <m/>
    <s v="45010:Santi Diaz"/>
    <n v="1"/>
  </r>
  <r>
    <x v="62"/>
    <x v="30"/>
    <n v="3.3"/>
    <n v="1"/>
    <s v="Fed"/>
    <s v="26417639-295b-4a02-bdfc-7b116ededad0"/>
    <n v="0"/>
    <s v="0:Alejandro Arcos"/>
    <s v="0:Alex"/>
    <s v=""/>
    <s v=""/>
    <m/>
    <s v="45031:Alejandro Arcos"/>
    <n v="1"/>
  </r>
  <r>
    <x v="62"/>
    <x v="0"/>
    <n v="10.1"/>
    <n v="2"/>
    <s v="Fed"/>
    <s v="8e55ae65-77a0-453a-9e84-0b369927d50b"/>
    <n v="0"/>
    <s v="0:Alfonso Hidalgo"/>
    <s v="0:Alfonso"/>
    <s v=""/>
    <s v=""/>
    <m/>
    <s v="45031:Alfonso Hidalgo"/>
    <n v="1"/>
  </r>
  <r>
    <x v="62"/>
    <x v="22"/>
    <n v="14.1"/>
    <n v="3"/>
    <s v="Fed"/>
    <s v="fdc0da64-5a7b-48b7-b04d-649ce381e163"/>
    <n v="0"/>
    <s v="0:Alfonso Zorrilla"/>
    <s v="0:A Zorrilla"/>
    <s v=""/>
    <s v=""/>
    <m/>
    <s v="45031:Alfonso Zorrilla"/>
    <n v="1"/>
  </r>
  <r>
    <x v="62"/>
    <x v="1"/>
    <n v="6.1"/>
    <n v="2"/>
    <s v="Fed"/>
    <s v="53ade158-c8b0-43ae-b5b4-ab2fda95186e"/>
    <n v="0"/>
    <s v="0:Alvaro Aguirre"/>
    <s v="0:Gifu"/>
    <s v=""/>
    <s v=""/>
    <m/>
    <s v="45031:Alvaro Aguirre"/>
    <n v="1"/>
  </r>
  <r>
    <x v="62"/>
    <x v="23"/>
    <n v="9.1999999999999993"/>
    <n v="2"/>
    <s v="Fed"/>
    <s v="31a175f3-a5f2-4c0f-9f89-0b41623c6820"/>
    <n v="0"/>
    <s v="0:Alvaro Montoya"/>
    <s v="0:Monti"/>
    <s v=""/>
    <s v=""/>
    <m/>
    <s v="45031:Alvaro Montoya"/>
    <n v="1"/>
  </r>
  <r>
    <x v="62"/>
    <x v="2"/>
    <n v="12.3"/>
    <n v="3"/>
    <s v="Fed"/>
    <s v="0250e95b-a66e-42f2-a490-a64841b6b98f"/>
    <n v="0"/>
    <s v="0:Alvaro Nieto"/>
    <s v="0:Alvaro"/>
    <s v=""/>
    <s v=""/>
    <m/>
    <s v="45031:Alvaro Nieto"/>
    <n v="1"/>
  </r>
  <r>
    <x v="62"/>
    <x v="3"/>
    <n v="7.9"/>
    <n v="2"/>
    <s v="Fed"/>
    <s v="b26e46b5-098a-4989-99f8-4aa4e162b612"/>
    <n v="0"/>
    <s v="0:Angel Hernandez"/>
    <s v="0:Angel"/>
    <s v=""/>
    <s v=""/>
    <m/>
    <s v="45031:Angel Hernandez"/>
    <n v="1"/>
  </r>
  <r>
    <x v="62"/>
    <x v="31"/>
    <n v="18.899999999999999"/>
    <n v="4"/>
    <s v="Fed"/>
    <s v="1a7a5889-9501-4156-b064-dd9f7ce7588c"/>
    <n v="0"/>
    <s v="0:Antonio Carmona"/>
    <s v="0:Antonio"/>
    <s v=""/>
    <s v=""/>
    <m/>
    <s v="45031:Antonio Carmona"/>
    <n v="1"/>
  </r>
  <r>
    <x v="62"/>
    <x v="34"/>
    <n v="1.7"/>
    <n v="1"/>
    <s v="Fed"/>
    <s v="2368a984-2051-4b5d-9bae-97f83c113e19"/>
    <n v="0"/>
    <s v="0:Carlos Maestro"/>
    <s v="0:Carlitos"/>
    <s v=""/>
    <s v=""/>
    <m/>
    <s v="45031:Carlos Maestro"/>
    <n v="1"/>
  </r>
  <r>
    <x v="62"/>
    <x v="4"/>
    <n v="10.6"/>
    <n v="2"/>
    <s v="Fed"/>
    <s v="4c7ada82-8041-4d24-9074-15bfd85a1ad5"/>
    <n v="0"/>
    <s v="0:David Sequera"/>
    <s v="0:David"/>
    <s v=""/>
    <s v=""/>
    <m/>
    <s v="45031:David Sequera"/>
    <n v="1"/>
  </r>
  <r>
    <x v="62"/>
    <x v="39"/>
    <n v="17.2"/>
    <n v="3"/>
    <s v="Fed"/>
    <s v="f6242e65-e55a-435e-ac1a-0200e1b2689f"/>
    <n v="0"/>
    <s v="0:Eduardo Buendía"/>
    <s v="0:Eduardo"/>
    <s v=""/>
    <s v=""/>
    <m/>
    <s v="45031:Eduardo Buendía"/>
    <n v="1"/>
  </r>
  <r>
    <x v="62"/>
    <x v="29"/>
    <n v="11.5"/>
    <n v="3"/>
    <s v="Fed"/>
    <s v="6744fde7-f248-4365-b99c-664dceaa3bca"/>
    <n v="0"/>
    <s v="0:Enrique Gonzalez R"/>
    <s v="0:Enrique"/>
    <s v=""/>
    <s v=""/>
    <m/>
    <s v="45031:Enrique Gonzalez R"/>
    <n v="1"/>
  </r>
  <r>
    <x v="62"/>
    <x v="5"/>
    <n v="14.6"/>
    <n v="3"/>
    <s v="Fed"/>
    <s v="fc47b2a8-a8ea-4443-adcb-72401f7ec4fe"/>
    <n v="0"/>
    <s v="0:Francisco Alvarez"/>
    <s v="0:Paco"/>
    <s v=""/>
    <s v=""/>
    <m/>
    <s v="45031:Francisco Alvarez"/>
    <n v="1"/>
  </r>
  <r>
    <x v="62"/>
    <x v="6"/>
    <n v="11.8"/>
    <n v="3"/>
    <s v="Fed"/>
    <s v="db33e330-3ead-440e-b72a-fc8deef9737a"/>
    <n v="0"/>
    <s v="0:Francisco Hidalgo"/>
    <s v="0:Fran"/>
    <s v=""/>
    <s v=""/>
    <m/>
    <s v="45031:Francisco Hidalgo"/>
    <n v="1"/>
  </r>
  <r>
    <x v="62"/>
    <x v="24"/>
    <n v="14.5"/>
    <n v="3"/>
    <s v="Fed"/>
    <s v="b31d6541-0741-43ce-84a9-697f55deed10"/>
    <n v="0"/>
    <s v="0:Franck Benouniche"/>
    <s v="0:Franck"/>
    <s v=""/>
    <s v=""/>
    <m/>
    <s v="45031:Franck Benouniche"/>
    <n v="1"/>
  </r>
  <r>
    <x v="62"/>
    <x v="7"/>
    <n v="19.100000000000001"/>
    <n v="4"/>
    <s v="Fed"/>
    <s v="7893c370-d4f8-4c1a-86c3-e9ed3f788fcb"/>
    <n v="0"/>
    <s v="0:GLEZ JUAN JOSÉ"/>
    <s v="0:Juanjo"/>
    <s v=""/>
    <s v=""/>
    <m/>
    <s v="45031:GLEZ JUAN JOSÉ"/>
    <n v="1"/>
  </r>
  <r>
    <x v="62"/>
    <x v="8"/>
    <n v="8.6"/>
    <n v="2"/>
    <s v="Fed"/>
    <s v="eef6b45d-ebff-41c8-8b67-f4afe7ebf0fc"/>
    <n v="0"/>
    <s v="0:Ignacio Cadarso"/>
    <s v="0:Ignacio"/>
    <s v=""/>
    <s v=""/>
    <m/>
    <s v="45031:Ignacio Cadarso"/>
    <n v="1"/>
  </r>
  <r>
    <x v="62"/>
    <x v="37"/>
    <n v="23.7"/>
    <n v="4"/>
    <s v="Fed"/>
    <s v="514d9c19-6d22-4873-a4ae-ef5779132ee4"/>
    <n v="0"/>
    <s v="0:Ignacio Gracia Charlez"/>
    <s v="0:I Gracia"/>
    <s v=""/>
    <s v=""/>
    <m/>
    <s v="45031:Ignacio Gracia Charlez"/>
    <n v="1"/>
  </r>
  <r>
    <x v="62"/>
    <x v="10"/>
    <n v="17.899999999999999"/>
    <n v="3"/>
    <s v="Fed"/>
    <s v="6ffd71b9-a7cc-4dfd-817e-9a902550469f"/>
    <n v="0"/>
    <s v="0:J. Enrique Gonzalez"/>
    <s v="0:Kike"/>
    <s v=""/>
    <s v=""/>
    <m/>
    <s v="45031:J. Enrique Gonzalez"/>
    <n v="1"/>
  </r>
  <r>
    <x v="62"/>
    <x v="35"/>
    <n v="9.9"/>
    <n v="2"/>
    <s v="Fed"/>
    <s v="396a6ea5-bb49-4a63-9bff-d4a006b4cb5a"/>
    <n v="0"/>
    <s v="0:Jaime Villanueva"/>
    <s v="0:Villanueva"/>
    <s v=""/>
    <s v=""/>
    <m/>
    <s v="45031:Jaime Villanueva"/>
    <n v="1"/>
  </r>
  <r>
    <x v="62"/>
    <x v="41"/>
    <n v="11"/>
    <n v="2"/>
    <s v="Fed"/>
    <s v="7ef6ffd8-a779-4009-a7ae-102ec222d16a"/>
    <n v="0"/>
    <s v="0:Javier Arcos"/>
    <s v="0:J.Arcos"/>
    <s v=""/>
    <s v=""/>
    <m/>
    <s v="45031:Javier Arcos"/>
    <n v="1"/>
  </r>
  <r>
    <x v="62"/>
    <x v="42"/>
    <n v="12.1"/>
    <n v="3"/>
    <s v="Fed"/>
    <s v="fb18a382-ae3c-4e8c-a974-00eb6cd2e414"/>
    <n v="0"/>
    <s v="0:Javier Campo"/>
    <s v="0:Campo"/>
    <s v=""/>
    <s v=""/>
    <m/>
    <s v="45031:Javier Campo"/>
    <n v="1"/>
  </r>
  <r>
    <x v="62"/>
    <x v="11"/>
    <n v="16.7"/>
    <n v="3"/>
    <s v="Fed"/>
    <s v="33b9a246-b3a8-4614-aec0-1d70f59c93fe"/>
    <n v="0"/>
    <s v="0:Javier Cervera"/>
    <s v="0:Virus"/>
    <s v=""/>
    <s v=""/>
    <m/>
    <s v="45031:Javier Cervera"/>
    <n v="1"/>
  </r>
  <r>
    <x v="62"/>
    <x v="25"/>
    <n v="10.5"/>
    <n v="2"/>
    <s v="Fed"/>
    <s v="75de4f64-f019-47fc-8e00-ccecd2621c3c"/>
    <n v="0"/>
    <s v="0:Javier Chiralt"/>
    <s v="0:Chiralt"/>
    <s v=""/>
    <s v=""/>
    <m/>
    <s v="45031:Javier Chiralt"/>
    <n v="1"/>
  </r>
  <r>
    <x v="62"/>
    <x v="12"/>
    <n v="17.2"/>
    <n v="3"/>
    <s v="Fed"/>
    <s v="92687930-f71e-442c-93bd-df5682e2bcff"/>
    <n v="0"/>
    <s v="0:Javier Gonzalez Salvador"/>
    <s v="0:Javi"/>
    <s v=""/>
    <s v=""/>
    <m/>
    <s v="45031:Javier Gonzalez Salvador"/>
    <n v="1"/>
  </r>
  <r>
    <x v="62"/>
    <x v="26"/>
    <n v="20.9"/>
    <n v="4"/>
    <s v="Fed"/>
    <s v="4bd84032-3274-422f-8ad6-e9e1bf4615dc"/>
    <n v="0"/>
    <s v="0:Javier Lopez Gullón"/>
    <s v="0:Cuñao"/>
    <s v=""/>
    <s v=""/>
    <m/>
    <s v="45031:Javier Lopez Gullón"/>
    <n v="1"/>
  </r>
  <r>
    <x v="62"/>
    <x v="13"/>
    <n v="23.5"/>
    <n v="4"/>
    <s v="Fed"/>
    <s v="5d0c3616-b526-4071-bb98-469fe1007c6a"/>
    <n v="0"/>
    <s v="0:Jesus Touceda"/>
    <s v="0:Jesús"/>
    <s v=""/>
    <s v=""/>
    <m/>
    <s v="45031:Jesus Touceda"/>
    <n v="1"/>
  </r>
  <r>
    <x v="62"/>
    <x v="38"/>
    <n v="23"/>
    <n v="4"/>
    <s v="Fed"/>
    <s v="d483d1f6-ff57-49dd-985a-f35d18d7344b"/>
    <n v="0"/>
    <s v="0:Jorge Alberto Martínez Sánchez"/>
    <s v="0:Jorge"/>
    <s v=""/>
    <s v=""/>
    <m/>
    <s v="45031:Jorge Alberto Martínez Sánchez"/>
    <n v="1"/>
  </r>
  <r>
    <x v="62"/>
    <x v="14"/>
    <n v="7.4"/>
    <n v="2"/>
    <s v="Fed"/>
    <s v="50cfef84-065c-4a10-9935-182ab80b1b9b"/>
    <n v="0"/>
    <s v="0:José Pablo Guil"/>
    <s v="0:JP"/>
    <s v=""/>
    <s v=""/>
    <m/>
    <s v="45031:José Pablo Guil"/>
    <n v="1"/>
  </r>
  <r>
    <x v="62"/>
    <x v="36"/>
    <n v="21.9"/>
    <n v="4"/>
    <s v="Fed"/>
    <s v="6be7e94f-c6d2-4210-a3a8-5f662c511e03"/>
    <n v="0"/>
    <s v="0:Juan Jose Aguado"/>
    <s v="0:Juancho"/>
    <s v=""/>
    <s v=""/>
    <m/>
    <s v="45031:Juan Jose Aguado"/>
    <n v="1"/>
  </r>
  <r>
    <x v="62"/>
    <x v="43"/>
    <n v="34.200000000000003"/>
    <n v="5"/>
    <s v="Fed"/>
    <s v="658c9684-79b8-484f-9dfa-6314983e6fef"/>
    <n v="0"/>
    <s v="0:Juan Luis Nieto"/>
    <s v="0:Juan Luis"/>
    <s v=""/>
    <s v=""/>
    <m/>
    <s v="45031:Juan Luis Nieto"/>
    <n v="1"/>
  </r>
  <r>
    <x v="62"/>
    <x v="44"/>
    <n v="11.9"/>
    <n v="3"/>
    <s v="Fed"/>
    <s v="bd02ed44-e445-461a-af94-5bfaa7e3a646"/>
    <n v="0"/>
    <s v="0:Luis Fernandez"/>
    <s v="0:Luis"/>
    <s v=""/>
    <s v=""/>
    <m/>
    <s v="45031:Luis Fernandez"/>
    <n v="1"/>
  </r>
  <r>
    <x v="62"/>
    <x v="21"/>
    <n v="22.7"/>
    <n v="4"/>
    <s v="Fed"/>
    <s v="1bcdbdae-05e6-44e9-94be-2f1b0a0c41e9"/>
    <n v="0"/>
    <s v="0:Miche Lopez"/>
    <s v="0:Miche"/>
    <s v=""/>
    <s v=""/>
    <m/>
    <s v="45031:Miche Lopez"/>
    <n v="1"/>
  </r>
  <r>
    <x v="62"/>
    <x v="27"/>
    <n v="7.1"/>
    <n v="2"/>
    <s v="Fed"/>
    <s v="402f068e-f59d-4c9b-aa00-c3b37dde960a"/>
    <n v="0"/>
    <s v="0:Nacho Casas"/>
    <s v="0:Nachete"/>
    <s v=""/>
    <s v=""/>
    <m/>
    <s v="45031:Nacho Casas"/>
    <n v="1"/>
  </r>
  <r>
    <x v="62"/>
    <x v="16"/>
    <n v="6.6"/>
    <n v="2"/>
    <s v="Fed"/>
    <s v="248a2872-e5ef-4050-971e-ff6d23a13f3b"/>
    <n v="0"/>
    <s v="0:Nacho Gonzalez"/>
    <s v="0:Nacho"/>
    <s v=""/>
    <s v=""/>
    <m/>
    <s v="45031:Nacho Gonzalez"/>
    <n v="1"/>
  </r>
  <r>
    <x v="62"/>
    <x v="28"/>
    <n v="16.7"/>
    <n v="3"/>
    <s v="Fed"/>
    <s v="ed04b2e0-d4a2-498a-bf94-68ae06f210ab"/>
    <n v="0"/>
    <s v="0:Ruslan Kochman"/>
    <s v="0:Rus"/>
    <s v=""/>
    <s v=""/>
    <m/>
    <s v="45031:Ruslan Kochman"/>
    <n v="1"/>
  </r>
  <r>
    <x v="62"/>
    <x v="32"/>
    <n v="16.399999999999999"/>
    <n v="3"/>
    <s v="Fed"/>
    <s v="8d197030-69d4-4b06-8f6c-902508e12749"/>
    <n v="0"/>
    <s v="0:Santi Diaz"/>
    <s v="0:Santi"/>
    <s v=""/>
    <s v=""/>
    <m/>
    <s v="45031:Santi Diaz"/>
    <n v="1"/>
  </r>
  <r>
    <x v="63"/>
    <x v="30"/>
    <n v="2.8"/>
    <n v="1"/>
    <s v="Fed"/>
    <s v="f1f72448-9de2-41c8-8aa5-ce8bf2b74cdf"/>
    <n v="0"/>
    <s v="0:Alejandro Arcos"/>
    <s v="0:Alex"/>
    <s v=""/>
    <s v=""/>
    <m/>
    <s v="45073:Alejandro Arcos"/>
    <n v="1"/>
  </r>
  <r>
    <x v="63"/>
    <x v="0"/>
    <n v="10.1"/>
    <n v="2"/>
    <s v="Fed"/>
    <s v="d71373f8-c28d-43a0-aa3b-a3cc6bc00bfb"/>
    <n v="0"/>
    <s v="0:Alfonso Hidalgo"/>
    <s v="0:Alfonso"/>
    <s v=""/>
    <s v=""/>
    <m/>
    <s v="45073:Alfonso Hidalgo"/>
    <n v="1"/>
  </r>
  <r>
    <x v="63"/>
    <x v="22"/>
    <n v="14.1"/>
    <n v="3"/>
    <s v="Fed"/>
    <s v="f1ba0ebb-3b26-4c85-bafc-460817f6101f"/>
    <n v="0"/>
    <s v="0:Alfonso Zorrilla"/>
    <s v="0:A Zorrilla"/>
    <s v=""/>
    <s v=""/>
    <m/>
    <s v="45073:Alfonso Zorrilla"/>
    <n v="1"/>
  </r>
  <r>
    <x v="63"/>
    <x v="1"/>
    <n v="6"/>
    <n v="2"/>
    <s v="Fed"/>
    <s v="aa08d799-d975-40d9-83d8-9a4e0c78f732"/>
    <n v="0"/>
    <s v="0:Alvaro Aguirre"/>
    <s v="0:Gifu"/>
    <s v=""/>
    <s v=""/>
    <m/>
    <s v="45073:Alvaro Aguirre"/>
    <n v="1"/>
  </r>
  <r>
    <x v="63"/>
    <x v="23"/>
    <n v="9.6"/>
    <n v="2"/>
    <s v="Fed"/>
    <s v="30c242ab-ca4a-48f6-85bd-8c2f2c3efa03"/>
    <n v="0"/>
    <s v="0:Alvaro Montoya"/>
    <s v="0:Monti"/>
    <s v=""/>
    <s v=""/>
    <m/>
    <s v="45073:Alvaro Montoya"/>
    <n v="1"/>
  </r>
  <r>
    <x v="63"/>
    <x v="2"/>
    <n v="12.3"/>
    <n v="3"/>
    <s v="Fed"/>
    <s v="a7d155f3-404e-4cc9-9630-5cd441806b9a"/>
    <n v="0"/>
    <s v="0:Alvaro Nieto"/>
    <s v="0:Alvaro"/>
    <s v=""/>
    <s v=""/>
    <m/>
    <s v="45073:Alvaro Nieto"/>
    <n v="1"/>
  </r>
  <r>
    <x v="63"/>
    <x v="3"/>
    <n v="8"/>
    <n v="2"/>
    <s v="Fed"/>
    <s v="cade72c0-1c5d-4e8a-bfde-72383a8b3b5a"/>
    <n v="0"/>
    <s v="0:Angel Hernandez"/>
    <s v="0:Angel"/>
    <s v=""/>
    <s v=""/>
    <m/>
    <s v="45073:Angel Hernandez"/>
    <n v="1"/>
  </r>
  <r>
    <x v="63"/>
    <x v="31"/>
    <n v="18.899999999999999"/>
    <n v="4"/>
    <s v="Fed"/>
    <s v="3bc46217-f644-41e1-bdc9-3f283a541f17"/>
    <n v="0"/>
    <s v="0:Antonio Carmona"/>
    <s v="0:Antonio"/>
    <s v=""/>
    <s v=""/>
    <m/>
    <s v="45073:Antonio Carmona"/>
    <n v="1"/>
  </r>
  <r>
    <x v="63"/>
    <x v="34"/>
    <n v="1.7"/>
    <n v="1"/>
    <s v="Fed"/>
    <s v="f483a31b-4b03-4eb7-97b6-4f679543c0fa"/>
    <n v="0"/>
    <s v="0:Carlos Maestro"/>
    <s v="0:Carlitos"/>
    <s v=""/>
    <s v=""/>
    <m/>
    <s v="45073:Carlos Maestro"/>
    <n v="1"/>
  </r>
  <r>
    <x v="63"/>
    <x v="4"/>
    <n v="11.2"/>
    <n v="2"/>
    <s v="Fed"/>
    <s v="9155df67-55e0-4bb8-9b72-7e87287047c9"/>
    <n v="0"/>
    <s v="0:David Sequera"/>
    <s v="0:David"/>
    <s v=""/>
    <s v=""/>
    <m/>
    <s v="45073:David Sequera"/>
    <n v="1"/>
  </r>
  <r>
    <x v="63"/>
    <x v="39"/>
    <n v="18.2"/>
    <n v="3"/>
    <s v="Fed"/>
    <s v="94ea089f-e4cb-41e0-a7ce-fd87a373d1fe"/>
    <n v="0"/>
    <s v="0:Eduardo Buendía"/>
    <s v="0:Eduardo"/>
    <s v=""/>
    <s v=""/>
    <m/>
    <s v="45073:Eduardo Buendía"/>
    <n v="1"/>
  </r>
  <r>
    <x v="63"/>
    <x v="29"/>
    <n v="11.5"/>
    <n v="3"/>
    <s v="Fed"/>
    <s v="ed282958-f4d2-4aac-ab05-2002410bcbb8"/>
    <n v="0"/>
    <s v="0:Enrique Gonzalez R"/>
    <s v="0:Enrique"/>
    <s v=""/>
    <s v=""/>
    <m/>
    <s v="45073:Enrique Gonzalez R"/>
    <n v="1"/>
  </r>
  <r>
    <x v="63"/>
    <x v="5"/>
    <n v="14.6"/>
    <n v="3"/>
    <s v="Fed"/>
    <s v="e546a3e0-e3e2-4fa0-b8b3-4a840a215295"/>
    <n v="0"/>
    <s v="0:Francisco Alvarez"/>
    <s v="0:Paco"/>
    <s v=""/>
    <s v=""/>
    <m/>
    <s v="45073:Francisco Alvarez"/>
    <n v="1"/>
  </r>
  <r>
    <x v="63"/>
    <x v="6"/>
    <n v="11.8"/>
    <n v="3"/>
    <s v="Fed"/>
    <s v="a6b28a9b-cc34-482c-86e4-6e4dc3f97479"/>
    <n v="0"/>
    <s v="0:Francisco Hidalgo"/>
    <s v="0:Fran"/>
    <s v=""/>
    <s v=""/>
    <m/>
    <s v="45073:Francisco Hidalgo"/>
    <n v="1"/>
  </r>
  <r>
    <x v="63"/>
    <x v="24"/>
    <n v="14.5"/>
    <n v="3"/>
    <s v="Fed"/>
    <s v="6168d946-45ba-4d8e-a994-2c11844153bd"/>
    <n v="0"/>
    <s v="0:Franck Benouniche"/>
    <s v="0:Franck"/>
    <s v=""/>
    <s v=""/>
    <m/>
    <s v="45073:Franck Benouniche"/>
    <n v="1"/>
  </r>
  <r>
    <x v="63"/>
    <x v="7"/>
    <n v="19.600000000000001"/>
    <n v="4"/>
    <s v="Fed"/>
    <s v="5ed662d2-ecfe-4dfc-b9b9-072bea3f8ee5"/>
    <n v="0"/>
    <s v="0:GLEZ JUAN JOSÉ"/>
    <s v="0:Juanjo"/>
    <s v=""/>
    <s v=""/>
    <m/>
    <s v="45073:GLEZ JUAN JOSÉ"/>
    <n v="1"/>
  </r>
  <r>
    <x v="63"/>
    <x v="8"/>
    <n v="8.9"/>
    <n v="2"/>
    <s v="Fed"/>
    <s v="30dc2039-e745-4133-96c5-25c10114a8d1"/>
    <n v="0"/>
    <s v="0:Ignacio Cadarso"/>
    <s v="0:Ignacio"/>
    <s v=""/>
    <s v=""/>
    <m/>
    <s v="45073:Ignacio Cadarso"/>
    <n v="1"/>
  </r>
  <r>
    <x v="63"/>
    <x v="37"/>
    <n v="23.7"/>
    <n v="4"/>
    <s v="Fed"/>
    <s v="d87d914d-00d7-4182-a44c-dbe227ebfa6f"/>
    <n v="0"/>
    <s v="0:Ignacio Gracia Charlez"/>
    <s v="0:I Gracia"/>
    <s v=""/>
    <s v=""/>
    <m/>
    <s v="45073:Ignacio Gracia Charlez"/>
    <n v="1"/>
  </r>
  <r>
    <x v="63"/>
    <x v="10"/>
    <n v="17.899999999999999"/>
    <n v="3"/>
    <s v="Fed"/>
    <s v="8436b4a3-9286-40d9-bc1a-4fff7d669149"/>
    <n v="0"/>
    <s v="0:J. Enrique Gonzalez"/>
    <s v="0:Kike"/>
    <s v=""/>
    <s v=""/>
    <m/>
    <s v="45073:J. Enrique Gonzalez"/>
    <n v="1"/>
  </r>
  <r>
    <x v="63"/>
    <x v="35"/>
    <n v="9.4"/>
    <n v="2"/>
    <s v="Fed"/>
    <s v="2266ea39-1241-4c43-8f36-5405995d3014"/>
    <n v="0"/>
    <s v="0:Jaime Villanueva"/>
    <s v="0:Villanueva"/>
    <s v=""/>
    <s v=""/>
    <m/>
    <s v="45073:Jaime Villanueva"/>
    <n v="1"/>
  </r>
  <r>
    <x v="63"/>
    <x v="41"/>
    <n v="11.5"/>
    <n v="3"/>
    <s v="Fed"/>
    <s v="dcfb2e70-a7dc-45fc-a48e-583eec44d729"/>
    <n v="0"/>
    <s v="0:Javier Arcos"/>
    <s v="0:J.Arcos"/>
    <s v=""/>
    <s v=""/>
    <m/>
    <s v="45073:Javier Arcos"/>
    <n v="1"/>
  </r>
  <r>
    <x v="63"/>
    <x v="42"/>
    <n v="12.4"/>
    <n v="3"/>
    <s v="Fed"/>
    <s v="540f008e-0723-459f-8ad9-21bd0836c164"/>
    <n v="0"/>
    <s v="0:Javier Campo"/>
    <s v="0:Campo"/>
    <s v=""/>
    <s v=""/>
    <m/>
    <s v="45073:Javier Campo"/>
    <n v="1"/>
  </r>
  <r>
    <x v="63"/>
    <x v="11"/>
    <n v="16.7"/>
    <n v="3"/>
    <s v="Fed"/>
    <s v="cdf22e30-da82-4f73-aa2c-f1a073851df9"/>
    <n v="0"/>
    <s v="0:Javier Cervera"/>
    <s v="0:Virus"/>
    <s v=""/>
    <s v=""/>
    <m/>
    <s v="45073:Javier Cervera"/>
    <n v="1"/>
  </r>
  <r>
    <x v="63"/>
    <x v="25"/>
    <n v="10.1"/>
    <n v="2"/>
    <s v="Fed"/>
    <s v="f929f49d-d478-4596-a066-9e44ca58be31"/>
    <n v="0"/>
    <s v="0:Javier Chiralt"/>
    <s v="0:Chiralt"/>
    <s v=""/>
    <s v=""/>
    <m/>
    <s v="45073:Javier Chiralt"/>
    <n v="1"/>
  </r>
  <r>
    <x v="63"/>
    <x v="12"/>
    <n v="17.2"/>
    <n v="3"/>
    <s v="Fed"/>
    <s v="2ab6a7d0-e3d1-445d-9d08-60b805070b0f"/>
    <n v="0"/>
    <s v="0:Javier Gonzalez Salvador"/>
    <s v="0:Javi"/>
    <s v=""/>
    <s v=""/>
    <m/>
    <s v="45073:Javier Gonzalez Salvador"/>
    <n v="1"/>
  </r>
  <r>
    <x v="63"/>
    <x v="26"/>
    <n v="20.9"/>
    <n v="4"/>
    <s v="Fed"/>
    <s v="0da8f903-bdaa-4ba4-8d9f-4ca5eef43bb5"/>
    <n v="0"/>
    <s v="0:Javier Lopez Gullón"/>
    <s v="0:Cuñao"/>
    <s v=""/>
    <s v=""/>
    <m/>
    <s v="45073:Javier Lopez Gullón"/>
    <n v="1"/>
  </r>
  <r>
    <x v="63"/>
    <x v="13"/>
    <n v="23.2"/>
    <n v="4"/>
    <s v="Fed"/>
    <s v="596286f5-89b2-412e-acf8-60f930408732"/>
    <n v="0"/>
    <s v="0:Jesus Touceda"/>
    <s v="0:Jesús"/>
    <s v=""/>
    <s v=""/>
    <m/>
    <s v="45073:Jesus Touceda"/>
    <n v="1"/>
  </r>
  <r>
    <x v="63"/>
    <x v="38"/>
    <n v="22.9"/>
    <n v="4"/>
    <s v="Fed"/>
    <s v="01bdef95-d26f-49b2-b7e8-4c27a9805bb7"/>
    <n v="0"/>
    <s v="0:Jorge Alberto Martínez Sánchez"/>
    <s v="0:Jorge"/>
    <s v=""/>
    <s v=""/>
    <m/>
    <s v="45073:Jorge Alberto Martínez Sánchez"/>
    <n v="1"/>
  </r>
  <r>
    <x v="63"/>
    <x v="45"/>
    <n v="24.8"/>
    <n v="4"/>
    <s v="Fed"/>
    <s v="cefb71d9-c213-4bff-8571-e4d6d5272041"/>
    <n v="0"/>
    <s v="0:Jose Antonio Santana"/>
    <s v="0:J Antonio"/>
    <s v=""/>
    <s v=""/>
    <m/>
    <s v="45073:Jose Antonio Santana"/>
    <n v="1"/>
  </r>
  <r>
    <x v="63"/>
    <x v="14"/>
    <n v="7.4"/>
    <n v="2"/>
    <s v="Fed"/>
    <s v="46eeb969-7efc-4022-8830-a29c12bf5e77"/>
    <n v="0"/>
    <s v="0:José Pablo Guil"/>
    <s v="0:JP"/>
    <s v=""/>
    <s v=""/>
    <m/>
    <s v="45073:José Pablo Guil"/>
    <n v="1"/>
  </r>
  <r>
    <x v="63"/>
    <x v="36"/>
    <n v="21.9"/>
    <n v="4"/>
    <s v="Fed"/>
    <s v="15c451fe-ba66-4f26-a7f2-11f16469e047"/>
    <n v="0"/>
    <s v="0:Juan Jose Aguado"/>
    <s v="0:Juancho"/>
    <s v=""/>
    <s v=""/>
    <m/>
    <s v="45073:Juan Jose Aguado"/>
    <n v="1"/>
  </r>
  <r>
    <x v="63"/>
    <x v="44"/>
    <n v="12.3"/>
    <n v="3"/>
    <s v="Fed"/>
    <s v="0ad18f03-f3f7-4dac-aaae-0e8657e17e14"/>
    <n v="0"/>
    <s v="0:Luis Fernandez"/>
    <s v="0:Luis"/>
    <s v=""/>
    <s v=""/>
    <m/>
    <s v="45073:Luis Fernandez"/>
    <n v="1"/>
  </r>
  <r>
    <x v="63"/>
    <x v="21"/>
    <n v="21.8"/>
    <n v="4"/>
    <s v="Fed"/>
    <s v="4d379ade-4fa3-4a40-9df3-a7f0f9ba81c0"/>
    <n v="0"/>
    <s v="0:Miche Lopez"/>
    <s v="0:Miche"/>
    <s v=""/>
    <s v=""/>
    <m/>
    <s v="45073:Miche Lopez"/>
    <n v="1"/>
  </r>
  <r>
    <x v="63"/>
    <x v="27"/>
    <n v="7.2"/>
    <n v="2"/>
    <s v="Fed"/>
    <s v="7790e8f5-02d0-4f92-8bbb-f296e290e317"/>
    <n v="0"/>
    <s v="0:Nacho Casas"/>
    <s v="0:Nachete"/>
    <s v=""/>
    <s v=""/>
    <m/>
    <s v="45073:Nacho Casas"/>
    <n v="1"/>
  </r>
  <r>
    <x v="63"/>
    <x v="16"/>
    <n v="6.6"/>
    <n v="2"/>
    <s v="Fed"/>
    <s v="0ba251e0-345d-4ba3-830c-cc90e32cb04a"/>
    <n v="0"/>
    <s v="0:Nacho Gonzalez"/>
    <s v="0:Nacho"/>
    <s v=""/>
    <s v=""/>
    <m/>
    <s v="45073:Nacho Gonzalez"/>
    <n v="1"/>
  </r>
  <r>
    <x v="63"/>
    <x v="28"/>
    <n v="17.100000000000001"/>
    <n v="3"/>
    <s v="Fed"/>
    <s v="87903170-67b5-4074-ab40-8d40245cc490"/>
    <n v="0"/>
    <s v="0:Ruslan Kochman"/>
    <s v="0:Rus"/>
    <s v=""/>
    <s v=""/>
    <m/>
    <s v="45073:Ruslan Kochman"/>
    <n v="1"/>
  </r>
  <r>
    <x v="63"/>
    <x v="32"/>
    <n v="16.399999999999999"/>
    <n v="3"/>
    <s v="Fed"/>
    <s v="d38960e3-e633-49f3-9a86-905e1aa51d8f"/>
    <n v="0"/>
    <s v="0:Santi Diaz"/>
    <s v="0:Santi"/>
    <s v=""/>
    <s v=""/>
    <m/>
    <s v="45073:Santi Diaz"/>
    <n v="1"/>
  </r>
  <r>
    <x v="64"/>
    <x v="30"/>
    <n v="2.0999999999999996"/>
    <n v="1"/>
    <s v="Fed"/>
    <s v="0c3962d4-88bc-47d2-8326-8f2a81d8f4dc"/>
    <n v="0"/>
    <s v="0:Alejandro Arcos"/>
    <s v="0:Alex"/>
    <s v=""/>
    <s v=""/>
    <m/>
    <s v="45074:Alejandro Arcos"/>
    <n v="1"/>
  </r>
  <r>
    <x v="64"/>
    <x v="0"/>
    <n v="10.1"/>
    <n v="2"/>
    <s v="Fed"/>
    <s v="f4e09f55-90e4-4eb9-8b3e-2bfa8d007cc1"/>
    <n v="0"/>
    <s v="0:Alfonso Hidalgo"/>
    <s v="0:Alfonso"/>
    <s v=""/>
    <s v=""/>
    <m/>
    <s v="45074:Alfonso Hidalgo"/>
    <n v="1"/>
  </r>
  <r>
    <x v="64"/>
    <x v="22"/>
    <n v="14.1"/>
    <n v="3"/>
    <s v="Fed"/>
    <s v="a3cacc4b-177e-401a-88bc-910d5005a28f"/>
    <n v="0"/>
    <s v="0:Alfonso Zorrilla"/>
    <s v="0:A Zorrilla"/>
    <s v=""/>
    <s v=""/>
    <m/>
    <s v="45074:Alfonso Zorrilla"/>
    <n v="1"/>
  </r>
  <r>
    <x v="64"/>
    <x v="1"/>
    <n v="6.2"/>
    <n v="2"/>
    <s v="Fed"/>
    <s v="7ae6aeff-fb6e-46de-af9a-bb7bcd869ccd"/>
    <n v="0"/>
    <s v="0:Alvaro Aguirre"/>
    <s v="0:Gifu"/>
    <s v=""/>
    <s v=""/>
    <m/>
    <s v="45074:Alvaro Aguirre"/>
    <n v="1"/>
  </r>
  <r>
    <x v="64"/>
    <x v="23"/>
    <n v="9.6"/>
    <n v="2"/>
    <s v="Fed"/>
    <s v="0c8f94b6-e3c0-4be7-a6cf-0d9d117de191"/>
    <n v="0"/>
    <s v="0:Alvaro Montoya"/>
    <s v="0:Monti"/>
    <s v=""/>
    <s v=""/>
    <m/>
    <s v="45074:Alvaro Montoya"/>
    <n v="1"/>
  </r>
  <r>
    <x v="64"/>
    <x v="2"/>
    <n v="12.3"/>
    <n v="3"/>
    <s v="Fed"/>
    <s v="fdcbe346-562f-4f72-9ba0-519294fce737"/>
    <n v="0"/>
    <s v="0:Alvaro Nieto"/>
    <s v="0:Alvaro"/>
    <s v=""/>
    <s v=""/>
    <m/>
    <s v="45074:Alvaro Nieto"/>
    <n v="1"/>
  </r>
  <r>
    <x v="64"/>
    <x v="3"/>
    <n v="8"/>
    <n v="2"/>
    <s v="Fed"/>
    <s v="48954f09-97d0-4b3f-97e2-0f0f4be95296"/>
    <n v="0"/>
    <s v="0:Angel Hernandez"/>
    <s v="0:Angel"/>
    <s v=""/>
    <s v=""/>
    <m/>
    <s v="45074:Angel Hernandez"/>
    <n v="1"/>
  </r>
  <r>
    <x v="64"/>
    <x v="31"/>
    <n v="19.099999999999998"/>
    <n v="4"/>
    <s v="Fed"/>
    <s v="e2d8d801-e15f-4241-91bf-0e7cda777494"/>
    <n v="0"/>
    <s v="0:Antonio Carmona"/>
    <s v="0:Antonio"/>
    <s v=""/>
    <s v=""/>
    <m/>
    <s v="45074:Antonio Carmona"/>
    <n v="1"/>
  </r>
  <r>
    <x v="64"/>
    <x v="34"/>
    <n v="1.7"/>
    <n v="1"/>
    <s v="Fed"/>
    <s v="405c1214-8635-4d35-9ac4-6f3d12246c62"/>
    <n v="0"/>
    <s v="0:Carlos Maestro"/>
    <s v="0:Carlitos"/>
    <s v=""/>
    <s v=""/>
    <m/>
    <s v="45074:Carlos Maestro"/>
    <n v="1"/>
  </r>
  <r>
    <x v="64"/>
    <x v="4"/>
    <n v="11.399999999999999"/>
    <n v="2"/>
    <s v="Fed"/>
    <s v="0235c6bb-a3c4-4bc7-a51b-f25fe11b90da"/>
    <n v="0"/>
    <s v="0:David Sequera"/>
    <s v="0:David"/>
    <s v=""/>
    <s v=""/>
    <m/>
    <s v="45074:David Sequera"/>
    <n v="1"/>
  </r>
  <r>
    <x v="64"/>
    <x v="39"/>
    <n v="14.299999999999999"/>
    <n v="3"/>
    <s v="Fed"/>
    <s v="2f39427e-e035-4608-9a57-6489e8885bf3"/>
    <n v="0"/>
    <s v="0:Eduardo Buendía"/>
    <s v="0:Eduardo"/>
    <s v=""/>
    <s v=""/>
    <m/>
    <s v="45074:Eduardo Buendía"/>
    <n v="1"/>
  </r>
  <r>
    <x v="64"/>
    <x v="29"/>
    <n v="11.4"/>
    <n v="2"/>
    <s v="Fed"/>
    <s v="10fce4a1-1a77-4758-823f-fa37631c3bab"/>
    <n v="0"/>
    <s v="0:Enrique Gonzalez R"/>
    <s v="0:Enrique"/>
    <s v=""/>
    <s v=""/>
    <m/>
    <s v="45074:Enrique Gonzalez R"/>
    <n v="1"/>
  </r>
  <r>
    <x v="64"/>
    <x v="5"/>
    <n v="14.6"/>
    <n v="3"/>
    <s v="Fed"/>
    <s v="c8500151-6231-47de-badb-7cec2d9755f0"/>
    <n v="0"/>
    <s v="0:Francisco Alvarez"/>
    <s v="0:Paco"/>
    <s v=""/>
    <s v=""/>
    <m/>
    <s v="45074:Francisco Alvarez"/>
    <n v="1"/>
  </r>
  <r>
    <x v="64"/>
    <x v="6"/>
    <n v="11.8"/>
    <n v="3"/>
    <s v="Fed"/>
    <s v="fbd0cb95-e179-4d5c-8993-9a55f46c8a39"/>
    <n v="0"/>
    <s v="0:Francisco Hidalgo"/>
    <s v="0:Fran"/>
    <s v=""/>
    <s v=""/>
    <m/>
    <s v="45074:Francisco Hidalgo"/>
    <n v="1"/>
  </r>
  <r>
    <x v="64"/>
    <x v="24"/>
    <n v="14.5"/>
    <n v="3"/>
    <s v="Fed"/>
    <s v="012c4299-d738-448d-b276-e24a3dc10666"/>
    <n v="0"/>
    <s v="0:Franck Benouniche"/>
    <s v="0:Franck"/>
    <s v=""/>
    <s v=""/>
    <m/>
    <s v="45074:Franck Benouniche"/>
    <n v="1"/>
  </r>
  <r>
    <x v="64"/>
    <x v="7"/>
    <n v="19.600000000000001"/>
    <n v="4"/>
    <s v="Fed"/>
    <s v="894f947a-f0bf-4a02-8942-2cb6cc8b1b61"/>
    <n v="0"/>
    <s v="0:GLEZ JUAN JOSÉ"/>
    <s v="0:Juanjo"/>
    <s v=""/>
    <s v=""/>
    <m/>
    <s v="45074:GLEZ JUAN JOSÉ"/>
    <n v="1"/>
  </r>
  <r>
    <x v="64"/>
    <x v="8"/>
    <n v="9.1"/>
    <n v="2"/>
    <s v="Fed"/>
    <s v="9e99a93b-af78-435b-8457-4a49dbc975a2"/>
    <n v="0"/>
    <s v="0:Ignacio Cadarso"/>
    <s v="0:Ignacio"/>
    <s v=""/>
    <s v=""/>
    <m/>
    <s v="45074:Ignacio Cadarso"/>
    <n v="1"/>
  </r>
  <r>
    <x v="64"/>
    <x v="37"/>
    <n v="23.7"/>
    <n v="4"/>
    <s v="Fed"/>
    <s v="14cc31e0-0029-4cbb-945d-6349987039ba"/>
    <n v="0"/>
    <s v="0:Ignacio Gracia Charlez"/>
    <s v="0:I Gracia"/>
    <s v=""/>
    <s v=""/>
    <m/>
    <s v="45074:Ignacio Gracia Charlez"/>
    <n v="1"/>
  </r>
  <r>
    <x v="64"/>
    <x v="10"/>
    <n v="17.899999999999999"/>
    <n v="3"/>
    <s v="Fed"/>
    <s v="caaf3017-6aaf-4209-a60e-8d1e40db8674"/>
    <n v="0"/>
    <s v="0:J. Enrique Gonzalez"/>
    <s v="0:Kike"/>
    <s v=""/>
    <s v=""/>
    <m/>
    <s v="45074:J. Enrique Gonzalez"/>
    <n v="1"/>
  </r>
  <r>
    <x v="64"/>
    <x v="35"/>
    <n v="9.4"/>
    <n v="2"/>
    <s v="Fed"/>
    <s v="733f72f6-0475-40de-99ee-1a9245ba361d"/>
    <n v="0"/>
    <s v="0:Jaime Villanueva"/>
    <s v="0:Villanueva"/>
    <s v=""/>
    <s v=""/>
    <m/>
    <s v="45074:Jaime Villanueva"/>
    <n v="1"/>
  </r>
  <r>
    <x v="64"/>
    <x v="41"/>
    <n v="11.7"/>
    <n v="3"/>
    <s v="Fed"/>
    <s v="2811b5d4-1ece-4314-92af-36db32b843fd"/>
    <n v="0"/>
    <s v="0:Javier Arcos"/>
    <s v="0:J.Arcos"/>
    <s v=""/>
    <s v=""/>
    <m/>
    <s v="45074:Javier Arcos"/>
    <n v="1"/>
  </r>
  <r>
    <x v="64"/>
    <x v="42"/>
    <n v="12.4"/>
    <n v="3"/>
    <s v="Fed"/>
    <s v="171e612f-e55f-4fe1-a406-235ec636ba0f"/>
    <n v="0"/>
    <s v="0:Javier Campo"/>
    <s v="0:Campo"/>
    <s v=""/>
    <s v=""/>
    <m/>
    <s v="45074:Javier Campo"/>
    <n v="1"/>
  </r>
  <r>
    <x v="64"/>
    <x v="11"/>
    <n v="16.399999999999999"/>
    <n v="3"/>
    <s v="Fed"/>
    <s v="0451633b-4c49-494f-a158-de17bba032a1"/>
    <n v="0"/>
    <s v="0:Javier Cervera"/>
    <s v="0:Virus"/>
    <s v=""/>
    <s v=""/>
    <m/>
    <s v="45074:Javier Cervera"/>
    <n v="1"/>
  </r>
  <r>
    <x v="64"/>
    <x v="25"/>
    <n v="9.9"/>
    <n v="2"/>
    <s v="Fed"/>
    <s v="41be492a-4a6e-4c8b-9ef6-f3d9bdf31a7e"/>
    <n v="0"/>
    <s v="0:Javier Chiralt"/>
    <s v="0:Chiralt"/>
    <s v=""/>
    <s v=""/>
    <m/>
    <s v="45074:Javier Chiralt"/>
    <n v="1"/>
  </r>
  <r>
    <x v="64"/>
    <x v="12"/>
    <n v="17.2"/>
    <n v="3"/>
    <s v="Fed"/>
    <s v="a11f45f3-ba82-45e5-bfd3-668fe14fbabf"/>
    <n v="0"/>
    <s v="0:Javier Gonzalez Salvador"/>
    <s v="0:Javi"/>
    <s v=""/>
    <s v=""/>
    <m/>
    <s v="45074:Javier Gonzalez Salvador"/>
    <n v="1"/>
  </r>
  <r>
    <x v="64"/>
    <x v="26"/>
    <n v="20.9"/>
    <n v="4"/>
    <s v="Fed"/>
    <s v="437b7f9e-a8f6-43f0-ae50-0d1daa3c24f7"/>
    <n v="0"/>
    <s v="0:Javier Lopez Gullón"/>
    <s v="0:Cuñao"/>
    <s v=""/>
    <s v=""/>
    <m/>
    <s v="45074:Javier Lopez Gullón"/>
    <n v="1"/>
  </r>
  <r>
    <x v="64"/>
    <x v="13"/>
    <n v="23.2"/>
    <n v="4"/>
    <s v="Fed"/>
    <s v="2f04515b-4100-4dc0-9257-a344936dea77"/>
    <n v="0"/>
    <s v="0:Jesus Touceda"/>
    <s v="0:Jesús"/>
    <s v=""/>
    <s v=""/>
    <m/>
    <s v="45074:Jesus Touceda"/>
    <n v="1"/>
  </r>
  <r>
    <x v="64"/>
    <x v="38"/>
    <n v="22.5"/>
    <n v="4"/>
    <s v="Fed"/>
    <s v="32b5dc58-6e98-4c29-946b-10e12d64ad32"/>
    <n v="0"/>
    <s v="0:Jorge Alberto Martínez Sánchez"/>
    <s v="0:Jorge"/>
    <s v=""/>
    <s v=""/>
    <m/>
    <s v="45074:Jorge Alberto Martínez Sánchez"/>
    <n v="1"/>
  </r>
  <r>
    <x v="64"/>
    <x v="45"/>
    <n v="25.2"/>
    <n v="4"/>
    <s v="Fed"/>
    <s v="639c0f06-fe12-43a9-bf69-e455b8674156"/>
    <n v="0"/>
    <s v="0:Jose Antonio Santana"/>
    <s v="0:J Antonio"/>
    <s v=""/>
    <s v=""/>
    <m/>
    <s v="45074:Jose Antonio Santana"/>
    <n v="1"/>
  </r>
  <r>
    <x v="64"/>
    <x v="14"/>
    <n v="7.4"/>
    <n v="2"/>
    <s v="Fed"/>
    <s v="b4e793b9-9a39-4b54-911b-c29f73e6edad"/>
    <n v="0"/>
    <s v="0:José Pablo Guil"/>
    <s v="0:JP"/>
    <s v=""/>
    <s v=""/>
    <m/>
    <s v="45074:José Pablo Guil"/>
    <n v="1"/>
  </r>
  <r>
    <x v="64"/>
    <x v="36"/>
    <n v="21.9"/>
    <n v="4"/>
    <s v="Fed"/>
    <s v="24b5af1e-ea39-409a-b981-6d1091187155"/>
    <n v="0"/>
    <s v="0:Juan Jose Aguado"/>
    <s v="0:Juancho"/>
    <s v=""/>
    <s v=""/>
    <m/>
    <s v="45074:Juan Jose Aguado"/>
    <n v="1"/>
  </r>
  <r>
    <x v="64"/>
    <x v="44"/>
    <n v="12.3"/>
    <n v="3"/>
    <s v="Fed"/>
    <s v="efe334d8-ace7-4abf-a44e-8d86699d93d2"/>
    <n v="0"/>
    <s v="0:Luis Fernandez"/>
    <s v="0:Luis"/>
    <s v=""/>
    <s v=""/>
    <m/>
    <s v="45074:Luis Fernandez"/>
    <n v="1"/>
  </r>
  <r>
    <x v="64"/>
    <x v="21"/>
    <n v="20.8"/>
    <n v="4"/>
    <s v="Fed"/>
    <s v="6e3a17f6-719c-40f9-9cc9-323b074edab7"/>
    <n v="0"/>
    <s v="0:Miche Lopez"/>
    <s v="0:Miche"/>
    <s v=""/>
    <s v=""/>
    <m/>
    <s v="45074:Miche Lopez"/>
    <n v="1"/>
  </r>
  <r>
    <x v="64"/>
    <x v="27"/>
    <n v="7"/>
    <n v="2"/>
    <s v="Fed"/>
    <s v="313e6868-4087-499c-a176-0a6c056c9411"/>
    <n v="0"/>
    <s v="0:Nacho Casas"/>
    <s v="0:Nachete"/>
    <s v=""/>
    <s v=""/>
    <m/>
    <s v="45074:Nacho Casas"/>
    <n v="1"/>
  </r>
  <r>
    <x v="64"/>
    <x v="16"/>
    <n v="6.3"/>
    <n v="2"/>
    <s v="Fed"/>
    <s v="ffedf250-18b9-4ac5-aaa5-b2f86a1c4435"/>
    <n v="0"/>
    <s v="0:Nacho Gonzalez"/>
    <s v="0:Nacho"/>
    <s v=""/>
    <s v=""/>
    <m/>
    <s v="45074:Nacho Gonzalez"/>
    <n v="1"/>
  </r>
  <r>
    <x v="64"/>
    <x v="28"/>
    <n v="17.100000000000001"/>
    <n v="3"/>
    <s v="Fed"/>
    <s v="3c0bdb26-a53c-4ce4-8266-09b8a6dde90f"/>
    <n v="0"/>
    <s v="0:Ruslan Kochman"/>
    <s v="0:Rus"/>
    <s v=""/>
    <s v=""/>
    <m/>
    <s v="45074:Ruslan Kochman"/>
    <n v="1"/>
  </r>
  <r>
    <x v="64"/>
    <x v="32"/>
    <n v="16.399999999999999"/>
    <n v="3"/>
    <s v="Fed"/>
    <s v="e06530b9-8045-4b9c-bb69-0aba2c662ef8"/>
    <n v="0"/>
    <s v="0:Santi Diaz"/>
    <s v="0:Santi"/>
    <s v=""/>
    <s v=""/>
    <m/>
    <s v="45074:Santi Diaz"/>
    <n v="1"/>
  </r>
  <r>
    <x v="65"/>
    <x v="30"/>
    <n v="1.899999999999999"/>
    <n v="1"/>
    <s v="Fed"/>
    <s v="d5b6f656-e235-4ca8-b23e-be19d19cd670"/>
    <n v="0"/>
    <s v="0:Alejandro Arcos"/>
    <s v="0:Alex"/>
    <s v=""/>
    <s v=""/>
    <m/>
    <s v="45108:Alejandro Arcos"/>
    <n v="1"/>
  </r>
  <r>
    <x v="65"/>
    <x v="0"/>
    <n v="10.7"/>
    <n v="2"/>
    <s v="Fed"/>
    <s v="38d25e5c-23aa-4c1d-a5f9-77bf105c2e8b"/>
    <n v="0"/>
    <s v="0:Alfonso Hidalgo"/>
    <s v="0:Alfonso"/>
    <s v=""/>
    <s v=""/>
    <m/>
    <s v="45108:Alfonso Hidalgo"/>
    <n v="1"/>
  </r>
  <r>
    <x v="65"/>
    <x v="22"/>
    <n v="14.1"/>
    <n v="3"/>
    <s v="Fed"/>
    <s v="69b038cf-dc02-498e-a1c2-c1381101f5bd"/>
    <n v="0"/>
    <s v="0:Alfonso Zorrilla"/>
    <s v="0:A Zorrilla"/>
    <s v=""/>
    <s v=""/>
    <m/>
    <s v="45108:Alfonso Zorrilla"/>
    <n v="1"/>
  </r>
  <r>
    <x v="65"/>
    <x v="1"/>
    <n v="6"/>
    <n v="2"/>
    <s v="Fed"/>
    <s v="49b3b058-afb1-42bf-9130-5171c61e17b3"/>
    <n v="0"/>
    <s v="0:Alvaro Aguirre"/>
    <s v="0:Gifu"/>
    <s v=""/>
    <s v=""/>
    <m/>
    <s v="45108:Alvaro Aguirre"/>
    <n v="1"/>
  </r>
  <r>
    <x v="65"/>
    <x v="23"/>
    <n v="9.2000000000000028"/>
    <n v="2"/>
    <s v="Fed"/>
    <s v="20b60cc2-13af-4102-af09-52a30fe5e2c7"/>
    <n v="0"/>
    <s v="0:Alvaro Montoya"/>
    <s v="0:Monti"/>
    <s v=""/>
    <s v=""/>
    <m/>
    <s v="45108:Alvaro Montoya"/>
    <n v="1"/>
  </r>
  <r>
    <x v="65"/>
    <x v="2"/>
    <n v="12.7"/>
    <n v="3"/>
    <s v="Fed"/>
    <s v="d8319c27-d443-49ee-b2f7-58557d3d9f91"/>
    <n v="0"/>
    <s v="0:Alvaro Nieto"/>
    <s v="0:Alvaro"/>
    <s v=""/>
    <s v=""/>
    <m/>
    <s v="45108:Alvaro Nieto"/>
    <n v="1"/>
  </r>
  <r>
    <x v="65"/>
    <x v="3"/>
    <n v="8"/>
    <n v="2"/>
    <s v="Fed"/>
    <s v="740e2250-f403-4779-af30-748bcaa57c17"/>
    <n v="0"/>
    <s v="0:Angel Hernandez"/>
    <s v="0:Angel"/>
    <s v=""/>
    <s v=""/>
    <m/>
    <s v="45108:Angel Hernandez"/>
    <n v="1"/>
  </r>
  <r>
    <x v="65"/>
    <x v="31"/>
    <n v="19.100000000000001"/>
    <n v="4"/>
    <s v="Fed"/>
    <s v="2409d801-3f22-428a-8141-d9ed6e8b334e"/>
    <n v="0"/>
    <s v="0:Antonio Carmona"/>
    <s v="0:Antonio"/>
    <s v=""/>
    <s v=""/>
    <m/>
    <s v="45108:Antonio Carmona"/>
    <n v="1"/>
  </r>
  <r>
    <x v="65"/>
    <x v="34"/>
    <n v="1.6999999999999988"/>
    <n v="1"/>
    <s v="Fed"/>
    <s v="53bbd4ce-2084-4174-81a2-1803caba8d49"/>
    <n v="0"/>
    <s v="0:Carlos Maestro"/>
    <s v="0:Carlitos"/>
    <s v=""/>
    <s v=""/>
    <m/>
    <s v="45108:Carlos Maestro"/>
    <n v="1"/>
  </r>
  <r>
    <x v="65"/>
    <x v="4"/>
    <n v="11.400000000000011"/>
    <n v="2"/>
    <s v="Fed"/>
    <s v="10c331b3-318e-48d7-8965-d082c050cfd5"/>
    <n v="0"/>
    <s v="0:David Sequera"/>
    <s v="0:David"/>
    <s v=""/>
    <s v=""/>
    <m/>
    <s v="45108:David Sequera"/>
    <n v="1"/>
  </r>
  <r>
    <x v="65"/>
    <x v="39"/>
    <n v="15.8"/>
    <n v="3"/>
    <s v="Fed"/>
    <s v="16f77036-8a9a-45de-8d20-18c963f4b7ef"/>
    <n v="0"/>
    <s v="0:Eduardo Buendía"/>
    <s v="0:Eduardo"/>
    <s v=""/>
    <s v=""/>
    <m/>
    <s v="45108:Eduardo Buendía"/>
    <n v="1"/>
  </r>
  <r>
    <x v="65"/>
    <x v="29"/>
    <n v="11.4"/>
    <n v="2"/>
    <s v="Fed"/>
    <s v="6f2e4586-b3f8-4e81-944a-c4c730d18d93"/>
    <n v="0"/>
    <s v="0:Enrique Gonzalez R"/>
    <s v="0:Enrique"/>
    <s v=""/>
    <s v=""/>
    <m/>
    <s v="45108:Enrique Gonzalez R"/>
    <n v="1"/>
  </r>
  <r>
    <x v="65"/>
    <x v="5"/>
    <n v="15.000000000000002"/>
    <n v="3"/>
    <s v="Fed"/>
    <s v="2daa0155-9259-4384-9383-ee713fd7fd2e"/>
    <n v="0"/>
    <s v="0:Francisco Alvarez"/>
    <s v="0:Paco"/>
    <s v=""/>
    <s v=""/>
    <m/>
    <s v="45108:Francisco Alvarez"/>
    <n v="1"/>
  </r>
  <r>
    <x v="65"/>
    <x v="6"/>
    <n v="12.199999999999998"/>
    <n v="3"/>
    <s v="Fed"/>
    <s v="13f15322-97c1-40e9-b6d9-3ab663f4c5fe"/>
    <n v="0"/>
    <s v="0:Francisco Hidalgo"/>
    <s v="0:Fran"/>
    <s v=""/>
    <s v=""/>
    <m/>
    <s v="45108:Francisco Hidalgo"/>
    <n v="1"/>
  </r>
  <r>
    <x v="65"/>
    <x v="24"/>
    <n v="14.499999999999998"/>
    <n v="3"/>
    <s v="Fed"/>
    <s v="72bf6fd6-7d03-48de-a71c-ee19e3023314"/>
    <n v="0"/>
    <s v="0:Franck Benouniche"/>
    <s v="0:Franck"/>
    <s v=""/>
    <s v=""/>
    <m/>
    <s v="45108:Franck Benouniche"/>
    <n v="1"/>
  </r>
  <r>
    <x v="65"/>
    <x v="7"/>
    <n v="20"/>
    <n v="4"/>
    <s v="Fed"/>
    <s v="d62a4c45-cfa1-47c8-847e-e4827a89bdbd"/>
    <n v="0"/>
    <s v="0:GLEZ JUAN JOSÉ"/>
    <s v="0:Juanjo"/>
    <s v=""/>
    <s v=""/>
    <m/>
    <s v="45108:GLEZ JUAN JOSÉ"/>
    <n v="1"/>
  </r>
  <r>
    <x v="65"/>
    <x v="8"/>
    <n v="9.1000000000000085"/>
    <n v="2"/>
    <s v="Fed"/>
    <s v="a02c5c4d-859e-420f-be9b-f1c4d20f226c"/>
    <n v="0"/>
    <s v="0:Ignacio Cadarso"/>
    <s v="0:Ignacio"/>
    <s v=""/>
    <s v=""/>
    <m/>
    <s v="45108:Ignacio Cadarso"/>
    <n v="1"/>
  </r>
  <r>
    <x v="65"/>
    <x v="37"/>
    <n v="23.7"/>
    <n v="4"/>
    <s v="Fed"/>
    <s v="ad93dd39-79c4-4666-9e33-5a07fcbb5d60"/>
    <n v="0"/>
    <s v="0:Ignacio Gracia Charlez"/>
    <s v="0:I Gracia"/>
    <s v=""/>
    <s v=""/>
    <m/>
    <s v="45108:Ignacio Gracia Charlez"/>
    <n v="1"/>
  </r>
  <r>
    <x v="65"/>
    <x v="10"/>
    <n v="17.600000000000001"/>
    <n v="3"/>
    <s v="Fed"/>
    <s v="e945a18d-22ab-4806-8c81-26586ff6fe91"/>
    <n v="0"/>
    <s v="0:J. Enrique Gonzalez"/>
    <s v="0:Kike"/>
    <s v=""/>
    <s v=""/>
    <m/>
    <s v="45108:J. Enrique Gonzalez"/>
    <n v="1"/>
  </r>
  <r>
    <x v="65"/>
    <x v="35"/>
    <n v="9.3000000000000007"/>
    <n v="2"/>
    <s v="Fed"/>
    <s v="ef899a16-eb4d-43d5-8eea-efe928c5a847"/>
    <n v="0"/>
    <s v="0:Jaime Villanueva"/>
    <s v="0:Villanueva"/>
    <s v=""/>
    <s v=""/>
    <m/>
    <s v="45108:Jaime Villanueva"/>
    <n v="1"/>
  </r>
  <r>
    <x v="65"/>
    <x v="41"/>
    <n v="11.699999999999998"/>
    <n v="3"/>
    <s v="Fed"/>
    <s v="a329d269-bcd5-48d8-a127-b7476535165b"/>
    <n v="0"/>
    <s v="0:Javier Arcos"/>
    <s v="0:J.Arcos"/>
    <s v=""/>
    <s v=""/>
    <m/>
    <s v="45108:Javier Arcos"/>
    <n v="1"/>
  </r>
  <r>
    <x v="65"/>
    <x v="42"/>
    <n v="12.399999999999995"/>
    <n v="3"/>
    <s v="Fed"/>
    <s v="95bae53c-35ee-48fa-b39a-3d7a4a131024"/>
    <n v="0"/>
    <s v="0:Javier Campo"/>
    <s v="0:Campo"/>
    <s v=""/>
    <s v=""/>
    <m/>
    <s v="45108:Javier Campo"/>
    <n v="1"/>
  </r>
  <r>
    <x v="65"/>
    <x v="11"/>
    <n v="16.799999999999997"/>
    <n v="3"/>
    <s v="Fed"/>
    <s v="2db7a729-ca72-49c6-a489-1a4a476a8adc"/>
    <n v="0"/>
    <s v="0:Javier Cervera"/>
    <s v="0:Virus"/>
    <s v=""/>
    <s v=""/>
    <m/>
    <s v="45108:Javier Cervera"/>
    <n v="1"/>
  </r>
  <r>
    <x v="65"/>
    <x v="25"/>
    <n v="9.7999999999999989"/>
    <n v="2"/>
    <s v="Fed"/>
    <s v="f78ee466-4923-44be-9da2-8b8ad11f8b68"/>
    <n v="0"/>
    <s v="0:Javier Chiralt"/>
    <s v="0:Chiralt"/>
    <s v=""/>
    <s v=""/>
    <m/>
    <s v="45108:Javier Chiralt"/>
    <n v="1"/>
  </r>
  <r>
    <x v="65"/>
    <x v="12"/>
    <n v="17.200000000000003"/>
    <n v="3"/>
    <s v="Fed"/>
    <s v="f27f688b-d1d2-4d99-8df4-528c989ed08f"/>
    <n v="0"/>
    <s v="0:Javier Gonzalez Salvador"/>
    <s v="0:Javi"/>
    <s v=""/>
    <s v=""/>
    <m/>
    <s v="45108:Javier Gonzalez Salvador"/>
    <n v="1"/>
  </r>
  <r>
    <x v="65"/>
    <x v="26"/>
    <n v="20.9"/>
    <n v="4"/>
    <s v="Fed"/>
    <s v="f8b72b61-22cc-4c07-b1c7-64ef7e616620"/>
    <n v="0"/>
    <s v="0:Javier Lopez Gullón"/>
    <s v="0:Cuñao"/>
    <s v=""/>
    <s v=""/>
    <m/>
    <s v="45108:Javier Lopez Gullón"/>
    <n v="1"/>
  </r>
  <r>
    <x v="65"/>
    <x v="13"/>
    <n v="23.2"/>
    <n v="4"/>
    <s v="Fed"/>
    <s v="5bd47f0f-cc37-40c7-a58f-2682da8d9f18"/>
    <n v="0"/>
    <s v="0:Jesus Touceda"/>
    <s v="0:Jesús"/>
    <s v=""/>
    <s v=""/>
    <m/>
    <s v="45108:Jesus Touceda"/>
    <n v="1"/>
  </r>
  <r>
    <x v="65"/>
    <x v="38"/>
    <n v="22"/>
    <n v="4"/>
    <s v="Fed"/>
    <s v="5f4ec5de-beeb-496f-90d5-cf97426c7cf2"/>
    <n v="0"/>
    <s v="0:Jorge Alberto Martínez Sánchez"/>
    <s v="0:Jorge"/>
    <s v=""/>
    <s v=""/>
    <m/>
    <s v="45108:Jorge Alberto Martínez Sánchez"/>
    <n v="1"/>
  </r>
  <r>
    <x v="65"/>
    <x v="45"/>
    <n v="26.499999999999986"/>
    <n v="4"/>
    <s v="Fed"/>
    <s v="ab1ae6cb-8840-41d1-af21-69b10aadd159"/>
    <n v="0"/>
    <s v="0:Jose Antonio Santana"/>
    <s v="0:J Antonio"/>
    <s v=""/>
    <s v=""/>
    <m/>
    <s v="45108:Jose Antonio Santana"/>
    <n v="1"/>
  </r>
  <r>
    <x v="65"/>
    <x v="14"/>
    <n v="7.3999999999999977"/>
    <n v="2"/>
    <s v="Fed"/>
    <s v="fe82a318-fcf8-48d3-9dec-00a84643eaf0"/>
    <n v="0"/>
    <s v="0:José Pablo Guil"/>
    <s v="0:JP"/>
    <s v=""/>
    <s v=""/>
    <m/>
    <s v="45108:José Pablo Guil"/>
    <n v="1"/>
  </r>
  <r>
    <x v="65"/>
    <x v="36"/>
    <n v="20.300000000000004"/>
    <n v="4"/>
    <s v="Fed"/>
    <s v="661b74f7-40c2-4d81-b5f7-1d82757d5e5e"/>
    <n v="0"/>
    <s v="0:Juan Jose Aguado"/>
    <s v="0:Juancho"/>
    <s v=""/>
    <s v=""/>
    <m/>
    <s v="45108:Juan Jose Aguado"/>
    <n v="1"/>
  </r>
  <r>
    <x v="65"/>
    <x v="44"/>
    <n v="12.29999999999999"/>
    <n v="3"/>
    <s v="Fed"/>
    <s v="33b51a11-55ba-4df4-82dd-65aa108d569b"/>
    <n v="0"/>
    <s v="0:Luis Fernandez"/>
    <s v="0:Luis"/>
    <s v=""/>
    <s v=""/>
    <m/>
    <s v="45108:Luis Fernandez"/>
    <n v="1"/>
  </r>
  <r>
    <x v="65"/>
    <x v="21"/>
    <n v="19.500000000000011"/>
    <n v="4"/>
    <s v="Fed"/>
    <s v="bfaa32ab-8e9b-4b8e-85bf-d72f3c74aeaf"/>
    <n v="0"/>
    <s v="0:Miche Lopez"/>
    <s v="0:Miche"/>
    <s v=""/>
    <s v=""/>
    <m/>
    <s v="45108:Miche Lopez"/>
    <n v="1"/>
  </r>
  <r>
    <x v="65"/>
    <x v="27"/>
    <n v="7.2999999999999972"/>
    <n v="2"/>
    <s v="Fed"/>
    <s v="c2e50c3b-7e96-4023-bbec-71e355e2c7b6"/>
    <n v="0"/>
    <s v="0:Nacho Casas"/>
    <s v="0:Nachete"/>
    <s v=""/>
    <s v=""/>
    <m/>
    <s v="45108:Nacho Casas"/>
    <n v="1"/>
  </r>
  <r>
    <x v="65"/>
    <x v="16"/>
    <n v="6.3999999999999995"/>
    <n v="2"/>
    <s v="Fed"/>
    <s v="00bb15f0-0820-41c3-969a-b5383c832d0f"/>
    <n v="0"/>
    <s v="0:Nacho Gonzalez"/>
    <s v="0:Nacho"/>
    <s v=""/>
    <s v=""/>
    <m/>
    <s v="45108:Nacho Gonzalez"/>
    <n v="1"/>
  </r>
  <r>
    <x v="65"/>
    <x v="28"/>
    <n v="16.400000000000002"/>
    <n v="3"/>
    <s v="Fed"/>
    <s v="93edc66b-f232-46e3-8ead-3af7913be0e0"/>
    <n v="0"/>
    <s v="0:Ruslan Kochman"/>
    <s v="0:Rus"/>
    <s v=""/>
    <s v=""/>
    <m/>
    <s v="45108:Ruslan Kochman"/>
    <n v="1"/>
  </r>
  <r>
    <x v="65"/>
    <x v="32"/>
    <n v="16.399999999999999"/>
    <n v="3"/>
    <s v="Fed"/>
    <s v="0c0bdb6b-eb49-46d9-8c77-f6e06e9b5b60"/>
    <n v="0"/>
    <s v="0:Santi Diaz"/>
    <s v="0:Santi"/>
    <s v=""/>
    <s v=""/>
    <m/>
    <s v="45108:Santi Diaz"/>
    <n v="1"/>
  </r>
  <r>
    <x v="66"/>
    <x v="30"/>
    <n v="1.2999999999999994"/>
    <n v="1"/>
    <s v="Fed"/>
    <s v="4f7932d9-8aeb-4e0a-86c1-b2508316d2e2"/>
    <n v="0"/>
    <s v="0:Alejandro Arcos"/>
    <s v="0:Alex"/>
    <s v=""/>
    <s v=""/>
    <m/>
    <s v="45129:Alejandro Arcos"/>
    <n v="1"/>
  </r>
  <r>
    <x v="66"/>
    <x v="0"/>
    <n v="11.3"/>
    <n v="2"/>
    <s v="Fed"/>
    <s v="624f54dd-bcc0-4546-9a19-fe4954aff63a"/>
    <n v="0"/>
    <s v="0:Alfonso Hidalgo"/>
    <s v="0:Alfonso"/>
    <s v=""/>
    <s v=""/>
    <m/>
    <s v="45129:Alfonso Hidalgo"/>
    <n v="1"/>
  </r>
  <r>
    <x v="66"/>
    <x v="22"/>
    <n v="14.1"/>
    <n v="3"/>
    <s v="Fed"/>
    <s v="f18bcb12-8e73-4b3a-8e0a-9485cc22dc8e"/>
    <n v="0"/>
    <s v="0:Alfonso Zorrilla"/>
    <s v="0:A Zorrilla"/>
    <s v=""/>
    <s v=""/>
    <m/>
    <s v="45129:Alfonso Zorrilla"/>
    <n v="1"/>
  </r>
  <r>
    <x v="66"/>
    <x v="1"/>
    <n v="6"/>
    <n v="2"/>
    <s v="Fed"/>
    <s v="0c72d1db-9c29-4edb-bb92-d7124a2e7cb5"/>
    <n v="0"/>
    <s v="0:Alvaro Aguirre"/>
    <s v="0:Gifu"/>
    <s v=""/>
    <s v=""/>
    <m/>
    <s v="45129:Alvaro Aguirre"/>
    <n v="1"/>
  </r>
  <r>
    <x v="66"/>
    <x v="23"/>
    <n v="9.6000000000000014"/>
    <n v="2"/>
    <s v="Fed"/>
    <s v="93861467-7f83-4542-b8ca-e58c02e89a60"/>
    <n v="0"/>
    <s v="0:Alvaro Montoya"/>
    <s v="0:Monti"/>
    <s v=""/>
    <s v=""/>
    <m/>
    <s v="45129:Alvaro Montoya"/>
    <n v="1"/>
  </r>
  <r>
    <x v="66"/>
    <x v="2"/>
    <n v="12.7"/>
    <n v="3"/>
    <s v="Fed"/>
    <s v="db1565d3-df30-4ada-a80a-42444355029a"/>
    <n v="0"/>
    <s v="0:Alvaro Nieto"/>
    <s v="0:Alvaro"/>
    <s v=""/>
    <s v=""/>
    <m/>
    <s v="45129:Alvaro Nieto"/>
    <n v="1"/>
  </r>
  <r>
    <x v="66"/>
    <x v="3"/>
    <n v="8"/>
    <n v="2"/>
    <s v="Fed"/>
    <s v="c749d7b4-5e11-4c61-bd22-aec7ed5d5f75"/>
    <n v="0"/>
    <s v="0:Angel Hernandez"/>
    <s v="0:Angel"/>
    <s v=""/>
    <s v=""/>
    <m/>
    <s v="45129:Angel Hernandez"/>
    <n v="1"/>
  </r>
  <r>
    <x v="66"/>
    <x v="31"/>
    <n v="19.8"/>
    <n v="4"/>
    <s v="Fed"/>
    <s v="f0a0e76f-4d67-4f8a-b774-5d8a8b0db820"/>
    <n v="0"/>
    <s v="0:Antonio Carmona"/>
    <s v="0:Antonio"/>
    <s v=""/>
    <s v=""/>
    <m/>
    <s v="45129:Antonio Carmona"/>
    <n v="1"/>
  </r>
  <r>
    <x v="66"/>
    <x v="34"/>
    <n v="1.6999999999999988"/>
    <n v="1"/>
    <s v="Fed"/>
    <s v="88e90490-0b5e-43e4-b507-7b8c2883a4b6"/>
    <n v="0"/>
    <s v="0:Carlos Maestro"/>
    <s v="0:Carlitos"/>
    <s v=""/>
    <s v=""/>
    <m/>
    <s v="45129:Carlos Maestro"/>
    <n v="1"/>
  </r>
  <r>
    <x v="66"/>
    <x v="4"/>
    <n v="11.400000000000011"/>
    <n v="2"/>
    <s v="Fed"/>
    <s v="510d1c76-e41f-4023-98bd-f59c0f5e6376"/>
    <n v="0"/>
    <s v="0:David Sequera"/>
    <s v="0:David"/>
    <s v=""/>
    <s v=""/>
    <m/>
    <s v="45129:David Sequera"/>
    <n v="1"/>
  </r>
  <r>
    <x v="66"/>
    <x v="39"/>
    <n v="15.8"/>
    <n v="3"/>
    <s v="Fed"/>
    <s v="10549f45-da15-4577-b866-2072c7b53098"/>
    <n v="0"/>
    <s v="0:Eduardo Buendía"/>
    <s v="0:Eduardo"/>
    <s v=""/>
    <s v=""/>
    <m/>
    <s v="45129:Eduardo Buendía"/>
    <n v="1"/>
  </r>
  <r>
    <x v="66"/>
    <x v="29"/>
    <n v="11.4"/>
    <n v="2"/>
    <s v="Fed"/>
    <s v="2cbf24f4-6f40-46c1-a727-03c10952e684"/>
    <n v="0"/>
    <s v="0:Enrique Gonzalez R"/>
    <s v="0:Enrique"/>
    <s v=""/>
    <s v=""/>
    <m/>
    <s v="45129:Enrique Gonzalez R"/>
    <n v="1"/>
  </r>
  <r>
    <x v="66"/>
    <x v="5"/>
    <n v="15.000000000000002"/>
    <n v="3"/>
    <s v="Fed"/>
    <s v="6f51d062-56b1-45d3-9840-f492fc56b6c5"/>
    <n v="0"/>
    <s v="0:Francisco Alvarez"/>
    <s v="0:Paco"/>
    <s v=""/>
    <s v=""/>
    <m/>
    <s v="45129:Francisco Alvarez"/>
    <n v="1"/>
  </r>
  <r>
    <x v="66"/>
    <x v="6"/>
    <n v="12.199999999999998"/>
    <n v="3"/>
    <s v="Fed"/>
    <s v="fa46b96d-489e-4bb6-95e8-32818be1932e"/>
    <n v="0"/>
    <s v="0:Francisco Hidalgo"/>
    <s v="0:Fran"/>
    <s v=""/>
    <s v=""/>
    <m/>
    <s v="45129:Francisco Hidalgo"/>
    <n v="1"/>
  </r>
  <r>
    <x v="66"/>
    <x v="24"/>
    <n v="14.499999999999998"/>
    <n v="3"/>
    <s v="Fed"/>
    <s v="bc86a634-dd3c-403f-9f2f-4617efecda88"/>
    <n v="0"/>
    <s v="0:Franck Benouniche"/>
    <s v="0:Franck"/>
    <s v=""/>
    <s v=""/>
    <m/>
    <s v="45129:Franck Benouniche"/>
    <n v="1"/>
  </r>
  <r>
    <x v="66"/>
    <x v="7"/>
    <n v="20"/>
    <n v="4"/>
    <s v="Fed"/>
    <s v="1f31bd69-940e-4c56-a36f-116ef805f550"/>
    <n v="0"/>
    <s v="0:GLEZ JUAN JOSÉ"/>
    <s v="0:Juanjo"/>
    <s v=""/>
    <s v=""/>
    <m/>
    <s v="45129:GLEZ JUAN JOSÉ"/>
    <n v="1"/>
  </r>
  <r>
    <x v="66"/>
    <x v="8"/>
    <n v="9.1000000000000085"/>
    <n v="2"/>
    <s v="Fed"/>
    <s v="da1254ae-9b6e-445d-a845-6bce3c4c21e3"/>
    <n v="0"/>
    <s v="0:Ignacio Cadarso"/>
    <s v="0:Ignacio"/>
    <s v=""/>
    <s v=""/>
    <m/>
    <s v="45129:Ignacio Cadarso"/>
    <n v="1"/>
  </r>
  <r>
    <x v="66"/>
    <x v="37"/>
    <n v="23.7"/>
    <n v="4"/>
    <s v="Fed"/>
    <s v="ecd8d04a-600b-43e4-ad03-134b14ae9f32"/>
    <n v="0"/>
    <s v="0:Ignacio Gracia Charlez"/>
    <s v="0:I Gracia"/>
    <s v=""/>
    <s v=""/>
    <m/>
    <s v="45129:Ignacio Gracia Charlez"/>
    <n v="1"/>
  </r>
  <r>
    <x v="66"/>
    <x v="10"/>
    <n v="17.7"/>
    <n v="3"/>
    <s v="Fed"/>
    <s v="40a54277-21ba-4c1c-b96c-50b13f77813c"/>
    <n v="0"/>
    <s v="0:J. Enrique Gonzalez"/>
    <s v="0:Kike"/>
    <s v=""/>
    <s v=""/>
    <m/>
    <s v="45129:J. Enrique Gonzalez"/>
    <n v="1"/>
  </r>
  <r>
    <x v="66"/>
    <x v="35"/>
    <n v="8.9"/>
    <n v="2"/>
    <s v="Fed"/>
    <s v="a0a73e01-e64e-4734-961f-438dba11b939"/>
    <n v="0"/>
    <s v="0:Jaime Villanueva"/>
    <s v="0:Villanueva"/>
    <s v=""/>
    <s v=""/>
    <m/>
    <s v="45129:Jaime Villanueva"/>
    <n v="1"/>
  </r>
  <r>
    <x v="66"/>
    <x v="41"/>
    <n v="11.299999999999999"/>
    <n v="2"/>
    <s v="Fed"/>
    <s v="05df65e8-0dfd-41db-8df7-0f27d5690135"/>
    <n v="0"/>
    <s v="0:Javier Arcos"/>
    <s v="0:J.Arcos"/>
    <s v=""/>
    <s v=""/>
    <m/>
    <s v="45129:Javier Arcos"/>
    <n v="1"/>
  </r>
  <r>
    <x v="66"/>
    <x v="42"/>
    <n v="12.399999999999995"/>
    <n v="3"/>
    <s v="Fed"/>
    <s v="0b666670-9b3c-451b-8bea-c02f4b459690"/>
    <n v="0"/>
    <s v="0:Javier Campo"/>
    <s v="0:Campo"/>
    <s v=""/>
    <s v=""/>
    <m/>
    <s v="45129:Javier Campo"/>
    <n v="1"/>
  </r>
  <r>
    <x v="66"/>
    <x v="11"/>
    <n v="16.599999999999994"/>
    <n v="3"/>
    <s v="Fed"/>
    <s v="c7c966a7-3489-44ee-9b57-0d8cd92db224"/>
    <n v="0"/>
    <s v="0:Javier Cervera"/>
    <s v="0:Virus"/>
    <s v=""/>
    <s v=""/>
    <m/>
    <s v="45129:Javier Cervera"/>
    <n v="1"/>
  </r>
  <r>
    <x v="66"/>
    <x v="25"/>
    <n v="9.7999999999999989"/>
    <n v="2"/>
    <s v="Fed"/>
    <s v="73769925-d6b3-4fe3-861e-9841841fa42f"/>
    <n v="0"/>
    <s v="0:Javier Chiralt"/>
    <s v="0:Chiralt"/>
    <s v=""/>
    <s v=""/>
    <m/>
    <s v="45129:Javier Chiralt"/>
    <n v="1"/>
  </r>
  <r>
    <x v="66"/>
    <x v="12"/>
    <n v="17.100000000000001"/>
    <n v="3"/>
    <s v="Fed"/>
    <s v="274089c4-3fbb-41f1-9a5c-2ab238e2cdb2"/>
    <n v="0"/>
    <s v="0:Javier Gonzalez Salvador"/>
    <s v="0:Javi"/>
    <s v=""/>
    <s v=""/>
    <m/>
    <s v="45129:Javier Gonzalez Salvador"/>
    <n v="1"/>
  </r>
  <r>
    <x v="66"/>
    <x v="26"/>
    <n v="20.9"/>
    <n v="4"/>
    <s v="Fed"/>
    <s v="267cfb49-4e56-4d34-bbbd-37e930aced96"/>
    <n v="0"/>
    <s v="0:Javier Lopez Gullón"/>
    <s v="0:Cuñao"/>
    <s v=""/>
    <s v=""/>
    <m/>
    <s v="45129:Javier Lopez Gullón"/>
    <n v="1"/>
  </r>
  <r>
    <x v="66"/>
    <x v="13"/>
    <n v="22.8"/>
    <n v="4"/>
    <s v="Fed"/>
    <s v="44221bcb-63b3-4413-ad92-da92ea6ed664"/>
    <n v="0"/>
    <s v="0:Jesus Touceda"/>
    <s v="0:Jesús"/>
    <s v=""/>
    <s v=""/>
    <m/>
    <s v="45129:Jesus Touceda"/>
    <n v="1"/>
  </r>
  <r>
    <x v="66"/>
    <x v="38"/>
    <n v="21.6"/>
    <n v="4"/>
    <s v="Fed"/>
    <s v="7ff92c70-cc55-495c-94c5-480a8473e3d8"/>
    <n v="0"/>
    <s v="0:Jorge Alberto Martínez Sánchez"/>
    <s v="0:Jorge"/>
    <s v=""/>
    <s v=""/>
    <m/>
    <s v="45129:Jorge Alberto Martínez Sánchez"/>
    <n v="1"/>
  </r>
  <r>
    <x v="66"/>
    <x v="45"/>
    <n v="26.199999999999992"/>
    <n v="4"/>
    <s v="Fed"/>
    <s v="2cfcda9d-0bc5-4deb-af5e-47db22543c1f"/>
    <n v="0"/>
    <s v="0:Jose Antonio Santana"/>
    <s v="0:J Antonio"/>
    <s v=""/>
    <s v=""/>
    <m/>
    <s v="45129:Jose Antonio Santana"/>
    <n v="1"/>
  </r>
  <r>
    <x v="66"/>
    <x v="14"/>
    <n v="7.3999999999999977"/>
    <n v="2"/>
    <s v="Fed"/>
    <s v="0d9835a8-1271-4517-a603-4d3d7ecd8b33"/>
    <n v="0"/>
    <s v="0:José Pablo Guil"/>
    <s v="0:JP"/>
    <s v=""/>
    <s v=""/>
    <m/>
    <s v="45129:José Pablo Guil"/>
    <n v="1"/>
  </r>
  <r>
    <x v="66"/>
    <x v="36"/>
    <n v="20.300000000000004"/>
    <n v="4"/>
    <s v="Fed"/>
    <s v="57b53f66-7903-4af6-bfa6-1955e22ca4e5"/>
    <n v="0"/>
    <s v="0:Juan Jose Aguado"/>
    <s v="0:Juancho"/>
    <s v=""/>
    <s v=""/>
    <m/>
    <s v="45129:Juan Jose Aguado"/>
    <n v="1"/>
  </r>
  <r>
    <x v="66"/>
    <x v="44"/>
    <n v="10.6"/>
    <n v="2"/>
    <s v="Fed"/>
    <s v="24ddd5b8-470f-41f8-99fe-cc0aabef7e84"/>
    <n v="0"/>
    <s v="0:Luis Fernandez"/>
    <s v="0:Luis"/>
    <s v=""/>
    <s v=""/>
    <m/>
    <s v="45129:Luis Fernandez"/>
    <n v="1"/>
  </r>
  <r>
    <x v="66"/>
    <x v="21"/>
    <n v="19.500000000000011"/>
    <n v="4"/>
    <s v="Fed"/>
    <s v="60c49475-8bc2-4f2f-962a-7f4f2bfe4300"/>
    <n v="0"/>
    <s v="0:Miche Lopez"/>
    <s v="0:Miche"/>
    <s v=""/>
    <s v=""/>
    <m/>
    <s v="45129:Miche Lopez"/>
    <n v="1"/>
  </r>
  <r>
    <x v="66"/>
    <x v="27"/>
    <n v="6.7999999999999972"/>
    <n v="2"/>
    <s v="Fed"/>
    <s v="bdb1befd-9c6f-41af-ac9b-c125b76af753"/>
    <n v="0"/>
    <s v="0:Nacho Casas"/>
    <s v="0:Nachete"/>
    <s v=""/>
    <s v=""/>
    <m/>
    <s v="45129:Nacho Casas"/>
    <n v="1"/>
  </r>
  <r>
    <x v="66"/>
    <x v="16"/>
    <n v="6.3999999999999995"/>
    <n v="2"/>
    <s v="Fed"/>
    <s v="70f19c53-8e87-4df4-8f66-c39c52d89130"/>
    <n v="0"/>
    <s v="0:Nacho Gonzalez"/>
    <s v="0:Nacho"/>
    <s v=""/>
    <s v=""/>
    <m/>
    <s v="45129:Nacho Gonzalez"/>
    <n v="1"/>
  </r>
  <r>
    <x v="66"/>
    <x v="28"/>
    <n v="16.400000000000002"/>
    <n v="3"/>
    <s v="Fed"/>
    <s v="21a03b25-506b-40ee-b721-04e5a381fb86"/>
    <n v="0"/>
    <s v="0:Ruslan Kochman"/>
    <s v="0:Rus"/>
    <s v=""/>
    <s v=""/>
    <m/>
    <s v="45129:Ruslan Kochman"/>
    <n v="1"/>
  </r>
  <r>
    <x v="66"/>
    <x v="32"/>
    <n v="16.399999999999999"/>
    <n v="3"/>
    <s v="Fed"/>
    <s v="b572e26f-c736-4d16-aaea-a5ff8bbc115a"/>
    <n v="0"/>
    <s v="0:Santi Diaz"/>
    <s v="0:Santi"/>
    <s v=""/>
    <s v=""/>
    <m/>
    <s v="45129:Santi Diaz"/>
    <n v="1"/>
  </r>
  <r>
    <x v="67"/>
    <x v="30"/>
    <n v="0.99999999999999845"/>
    <n v="1"/>
    <s v="Fed"/>
    <s v="2b1af0bb-853a-4c4b-b196-948ec9785340"/>
    <n v="0"/>
    <s v="0:Alejandro Arcos"/>
    <s v="0:Alex"/>
    <s v=""/>
    <s v=""/>
    <m/>
    <s v="45192:Alejandro Arcos"/>
    <n v="1"/>
  </r>
  <r>
    <x v="67"/>
    <x v="0"/>
    <n v="11.3"/>
    <n v="2"/>
    <s v="Fed"/>
    <s v="70632de5-0b59-4a6e-91eb-5a8f7071a048"/>
    <n v="0"/>
    <s v="0:Alfonso Hidalgo"/>
    <s v="0:Alfonso"/>
    <s v=""/>
    <s v=""/>
    <m/>
    <s v="45192:Alfonso Hidalgo"/>
    <n v="1"/>
  </r>
  <r>
    <x v="67"/>
    <x v="22"/>
    <n v="14.1"/>
    <n v="3"/>
    <s v="Fed"/>
    <s v="94333afb-1f5d-42b5-9d6e-26e7ab14c184"/>
    <n v="0"/>
    <s v="0:Alfonso Zorrilla"/>
    <s v="0:A Zorrilla"/>
    <s v=""/>
    <s v=""/>
    <m/>
    <s v="45192:Alfonso Zorrilla"/>
    <n v="1"/>
  </r>
  <r>
    <x v="67"/>
    <x v="1"/>
    <n v="5.6"/>
    <n v="2"/>
    <s v="Fed"/>
    <s v="b0ca9813-bbe6-4c4a-b5eb-27b1a6843f04"/>
    <n v="0"/>
    <s v="0:Alvaro Aguirre"/>
    <s v="0:Gifu"/>
    <s v=""/>
    <s v=""/>
    <m/>
    <s v="45192:Alvaro Aguirre"/>
    <n v="1"/>
  </r>
  <r>
    <x v="67"/>
    <x v="23"/>
    <n v="9.6000000000000032"/>
    <n v="2"/>
    <s v="Fed"/>
    <s v="dedef2ee-7031-449f-822a-510cf8fba1ac"/>
    <n v="0"/>
    <s v="0:Alvaro Montoya"/>
    <s v="0:Monti"/>
    <s v=""/>
    <s v=""/>
    <m/>
    <s v="45192:Alvaro Montoya"/>
    <n v="1"/>
  </r>
  <r>
    <x v="67"/>
    <x v="2"/>
    <n v="12.9"/>
    <n v="3"/>
    <s v="Fed"/>
    <s v="6c02d52b-f524-4623-bee5-37d6a3bde45e"/>
    <n v="0"/>
    <s v="0:Alvaro Nieto"/>
    <s v="0:Alvaro"/>
    <s v=""/>
    <s v=""/>
    <m/>
    <s v="45192:Alvaro Nieto"/>
    <n v="1"/>
  </r>
  <r>
    <x v="67"/>
    <x v="3"/>
    <n v="8"/>
    <n v="2"/>
    <s v="Fed"/>
    <s v="b11b17eb-da56-4a41-aff2-2b8a19e8f6b9"/>
    <n v="0"/>
    <s v="0:Angel Hernandez"/>
    <s v="0:Angel"/>
    <s v=""/>
    <s v=""/>
    <m/>
    <s v="45192:Angel Hernandez"/>
    <n v="1"/>
  </r>
  <r>
    <x v="67"/>
    <x v="31"/>
    <n v="19.8"/>
    <n v="4"/>
    <s v="Fed"/>
    <s v="2b228227-9810-4f33-834f-c68edbe33f98"/>
    <n v="0"/>
    <s v="0:Antonio Carmona"/>
    <s v="0:Antonio"/>
    <s v=""/>
    <s v=""/>
    <m/>
    <s v="45192:Antonio Carmona"/>
    <n v="1"/>
  </r>
  <r>
    <x v="67"/>
    <x v="34"/>
    <n v="0.99999999999999933"/>
    <n v="1"/>
    <s v="Fed"/>
    <s v="6c4095df-13c8-421f-b15f-a5fb40456338"/>
    <n v="0"/>
    <s v="0:Carlos Maestro"/>
    <s v="0:Carlitos"/>
    <s v=""/>
    <s v=""/>
    <m/>
    <s v="45192:Carlos Maestro"/>
    <n v="1"/>
  </r>
  <r>
    <x v="67"/>
    <x v="4"/>
    <n v="11.10000000000001"/>
    <n v="2"/>
    <s v="Fed"/>
    <s v="f73d1dcb-9f3a-43b3-8ea6-b9ac0552a5e9"/>
    <n v="0"/>
    <s v="0:David Sequera"/>
    <s v="0:David"/>
    <s v=""/>
    <s v=""/>
    <m/>
    <s v="45192:David Sequera"/>
    <n v="1"/>
  </r>
  <r>
    <x v="67"/>
    <x v="39"/>
    <n v="16.7"/>
    <n v="3"/>
    <s v="Fed"/>
    <s v="1daed540-99ea-4974-b6d9-f0a36e0c47f8"/>
    <n v="0"/>
    <s v="0:Eduardo Buendía"/>
    <s v="0:Eduardo"/>
    <s v=""/>
    <s v=""/>
    <m/>
    <s v="45192:Eduardo Buendía"/>
    <n v="1"/>
  </r>
  <r>
    <x v="67"/>
    <x v="29"/>
    <n v="11.2"/>
    <n v="2"/>
    <s v="Fed"/>
    <s v="51a2f8e5-504d-4f4a-9485-e8716b02ac5b"/>
    <n v="0"/>
    <s v="0:Enrique Gonzalez R"/>
    <s v="0:Enrique"/>
    <s v=""/>
    <s v=""/>
    <m/>
    <s v="45192:Enrique Gonzalez R"/>
    <n v="1"/>
  </r>
  <r>
    <x v="67"/>
    <x v="5"/>
    <n v="15"/>
    <n v="3"/>
    <s v="Fed"/>
    <s v="83b8e2a1-635c-47df-adc1-d3d852d1ae66"/>
    <n v="0"/>
    <s v="0:Francisco Alvarez"/>
    <s v="0:Paco"/>
    <s v=""/>
    <s v=""/>
    <m/>
    <s v="45192:Francisco Alvarez"/>
    <n v="1"/>
  </r>
  <r>
    <x v="67"/>
    <x v="6"/>
    <n v="12.199999999999998"/>
    <n v="3"/>
    <s v="Fed"/>
    <s v="46274668-ff01-4e1e-80eb-f698d3191da2"/>
    <n v="0"/>
    <s v="0:Francisco Hidalgo"/>
    <s v="0:Fran"/>
    <s v=""/>
    <s v=""/>
    <m/>
    <s v="45192:Francisco Hidalgo"/>
    <n v="1"/>
  </r>
  <r>
    <x v="67"/>
    <x v="24"/>
    <n v="14.499999999999998"/>
    <n v="3"/>
    <s v="Fed"/>
    <s v="b78cd71a-cc18-4f2b-b1f8-2710a17526c5"/>
    <n v="0"/>
    <s v="0:Franck Benouniche"/>
    <s v="0:Franck"/>
    <s v=""/>
    <s v=""/>
    <m/>
    <s v="45192:Franck Benouniche"/>
    <n v="1"/>
  </r>
  <r>
    <x v="67"/>
    <x v="7"/>
    <n v="19.2"/>
    <n v="4"/>
    <s v="Fed"/>
    <s v="493a5c2c-6481-4899-aaf2-c15e05e26699"/>
    <n v="0"/>
    <s v="0:GLEZ JUAN JOSÉ"/>
    <s v="0:Juanjo"/>
    <s v=""/>
    <s v=""/>
    <m/>
    <s v="45192:GLEZ JUAN JOSÉ"/>
    <n v="1"/>
  </r>
  <r>
    <x v="67"/>
    <x v="8"/>
    <n v="8.600000000000005"/>
    <n v="2"/>
    <s v="Fed"/>
    <s v="100ba1af-d0f2-433c-8f2e-4f33bb17fa58"/>
    <n v="0"/>
    <s v="0:Ignacio Cadarso"/>
    <s v="0:Ignacio"/>
    <s v=""/>
    <s v=""/>
    <m/>
    <s v="45192:Ignacio Cadarso"/>
    <n v="1"/>
  </r>
  <r>
    <x v="67"/>
    <x v="37"/>
    <n v="23.7"/>
    <n v="4"/>
    <s v="Fed"/>
    <s v="248643b3-6418-42ab-94e0-edaa9a3b566e"/>
    <n v="0"/>
    <s v="0:Ignacio Gracia Charlez"/>
    <s v="0:I Gracia"/>
    <s v=""/>
    <s v=""/>
    <m/>
    <s v="45192:Ignacio Gracia Charlez"/>
    <n v="1"/>
  </r>
  <r>
    <x v="67"/>
    <x v="10"/>
    <n v="18.2"/>
    <n v="3"/>
    <s v="Fed"/>
    <s v="a6fa1ce8-4e45-405c-aca9-d25b3c453a41"/>
    <n v="0"/>
    <s v="0:J. Enrique Gonzalez"/>
    <s v="0:Kike"/>
    <s v=""/>
    <s v=""/>
    <m/>
    <s v="45192:J. Enrique Gonzalez"/>
    <n v="1"/>
  </r>
  <r>
    <x v="67"/>
    <x v="35"/>
    <n v="8.9"/>
    <n v="2"/>
    <s v="Fed"/>
    <s v="b0439cf0-d632-4791-8435-64e32443a81a"/>
    <n v="0"/>
    <s v="0:Jaime Villanueva"/>
    <s v="0:Villanueva"/>
    <s v=""/>
    <s v=""/>
    <m/>
    <s v="45192:Jaime Villanueva"/>
    <n v="1"/>
  </r>
  <r>
    <x v="67"/>
    <x v="41"/>
    <n v="12.4"/>
    <n v="3"/>
    <s v="Fed"/>
    <s v="330a9228-f480-4ba6-97c7-9fd04b319d61"/>
    <n v="0"/>
    <s v="0:Javier Arcos"/>
    <s v="0:J.Arcos"/>
    <s v=""/>
    <s v=""/>
    <m/>
    <s v="45192:Javier Arcos"/>
    <n v="1"/>
  </r>
  <r>
    <x v="67"/>
    <x v="42"/>
    <n v="12.399999999999995"/>
    <n v="3"/>
    <s v="Fed"/>
    <s v="b82b17a7-a939-41b9-927a-c76632ed6718"/>
    <n v="0"/>
    <s v="0:Javier Campo"/>
    <s v="0:Campo"/>
    <s v=""/>
    <s v=""/>
    <m/>
    <s v="45192:Javier Campo"/>
    <n v="1"/>
  </r>
  <r>
    <x v="67"/>
    <x v="11"/>
    <n v="16.600000000000001"/>
    <n v="3"/>
    <s v="Fed"/>
    <s v="95d2b5b3-2864-4b4c-aff6-d94867306c8a"/>
    <n v="0"/>
    <s v="0:Javier Cervera"/>
    <s v="0:Virus"/>
    <s v=""/>
    <s v=""/>
    <m/>
    <s v="45192:Javier Cervera"/>
    <n v="1"/>
  </r>
  <r>
    <x v="67"/>
    <x v="25"/>
    <n v="9.8000000000000007"/>
    <n v="2"/>
    <s v="Fed"/>
    <s v="14dc6ccf-576d-435c-929a-14033a20a4b2"/>
    <n v="0"/>
    <s v="0:Javier Chiralt"/>
    <s v="0:Chiralt"/>
    <s v=""/>
    <s v=""/>
    <m/>
    <s v="45192:Javier Chiralt"/>
    <n v="1"/>
  </r>
  <r>
    <x v="67"/>
    <x v="12"/>
    <n v="17.100000000000001"/>
    <n v="3"/>
    <s v="Fed"/>
    <s v="892c10f1-af35-40f6-a15c-49d12eeafc52"/>
    <n v="0"/>
    <s v="0:Javier Gonzalez Salvador"/>
    <s v="0:Javi"/>
    <s v=""/>
    <s v=""/>
    <m/>
    <s v="45192:Javier Gonzalez Salvador"/>
    <n v="1"/>
  </r>
  <r>
    <x v="67"/>
    <x v="26"/>
    <n v="20.9"/>
    <n v="4"/>
    <s v="Fed"/>
    <s v="e97868ef-7159-4e0f-a3fe-f1c5463e9b0a"/>
    <n v="0"/>
    <s v="0:Javier Lopez Gullón"/>
    <s v="0:Cuñao"/>
    <s v=""/>
    <s v=""/>
    <m/>
    <s v="45192:Javier Lopez Gullón"/>
    <n v="1"/>
  </r>
  <r>
    <x v="67"/>
    <x v="13"/>
    <n v="22.1"/>
    <n v="4"/>
    <s v="Fed"/>
    <s v="f621844b-fcd0-46a6-b199-d6a19d5c9595"/>
    <n v="0"/>
    <s v="0:Jesus Touceda"/>
    <s v="0:Jesús"/>
    <s v=""/>
    <s v=""/>
    <m/>
    <s v="45192:Jesus Touceda"/>
    <n v="1"/>
  </r>
  <r>
    <x v="67"/>
    <x v="38"/>
    <n v="20.8"/>
    <n v="4"/>
    <s v="Fed"/>
    <s v="696608de-6a3f-48db-99b8-f44e5e4cdc0c"/>
    <n v="0"/>
    <s v="0:Jorge Alberto Martínez Sánchez"/>
    <s v="0:Jorge"/>
    <s v=""/>
    <s v=""/>
    <m/>
    <s v="45192:Jorge Alberto Martínez Sánchez"/>
    <n v="1"/>
  </r>
  <r>
    <x v="67"/>
    <x v="45"/>
    <n v="26.499999999999986"/>
    <n v="4"/>
    <s v="Fed"/>
    <s v="00246e7d-a16e-43e6-82cd-d2842864d50f"/>
    <n v="0"/>
    <s v="0:Jose Antonio Santana"/>
    <s v="0:J Antonio"/>
    <s v=""/>
    <s v=""/>
    <m/>
    <s v="45192:Jose Antonio Santana"/>
    <n v="1"/>
  </r>
  <r>
    <x v="67"/>
    <x v="14"/>
    <n v="7.7999999999999989"/>
    <n v="2"/>
    <s v="Fed"/>
    <s v="d257089a-e657-4912-8ef7-def184e7c625"/>
    <n v="0"/>
    <s v="0:José Pablo Guil"/>
    <s v="0:JP"/>
    <s v=""/>
    <s v=""/>
    <m/>
    <s v="45192:José Pablo Guil"/>
    <n v="1"/>
  </r>
  <r>
    <x v="67"/>
    <x v="36"/>
    <n v="21.2"/>
    <n v="4"/>
    <s v="Fed"/>
    <s v="f3b99495-2811-4a23-b20e-7ac2e8a7f882"/>
    <n v="0"/>
    <s v="0:Juan Jose Aguado"/>
    <s v="0:Juancho"/>
    <s v=""/>
    <s v=""/>
    <m/>
    <s v="45192:Juan Jose Aguado"/>
    <n v="1"/>
  </r>
  <r>
    <x v="67"/>
    <x v="44"/>
    <n v="9.9"/>
    <n v="2"/>
    <s v="Fed"/>
    <s v="ed18c4be-b5df-4b6c-a5d8-8ad74b347dc1"/>
    <n v="0"/>
    <s v="0:Luis Fernandez"/>
    <s v="0:Luis"/>
    <s v=""/>
    <s v=""/>
    <m/>
    <s v="45192:Luis Fernandez"/>
    <n v="1"/>
  </r>
  <r>
    <x v="67"/>
    <x v="21"/>
    <n v="19.500000000000011"/>
    <n v="4"/>
    <s v="Fed"/>
    <s v="b76bad8f-80d8-4a47-8506-f41ee9fcef20"/>
    <n v="0"/>
    <s v="0:Miche Lopez"/>
    <s v="0:Miche"/>
    <s v=""/>
    <s v=""/>
    <m/>
    <s v="45192:Miche Lopez"/>
    <n v="1"/>
  </r>
  <r>
    <x v="67"/>
    <x v="27"/>
    <n v="7.1999999999999975"/>
    <n v="2"/>
    <s v="Fed"/>
    <s v="3dbcd825-bf76-4dac-bd1b-6bb3da19418b"/>
    <n v="0"/>
    <s v="0:Nacho Casas"/>
    <s v="0:Nachete"/>
    <s v=""/>
    <s v=""/>
    <m/>
    <s v="45192:Nacho Casas"/>
    <n v="1"/>
  </r>
  <r>
    <x v="67"/>
    <x v="16"/>
    <n v="5.9999999999999973"/>
    <n v="2"/>
    <s v="Fed"/>
    <s v="ec46d758-0fd6-4f07-b591-95f7c0e2bd24"/>
    <n v="0"/>
    <s v="0:Nacho Gonzalez"/>
    <s v="0:Nacho"/>
    <s v=""/>
    <s v=""/>
    <m/>
    <s v="45192:Nacho Gonzalez"/>
    <n v="1"/>
  </r>
  <r>
    <x v="67"/>
    <x v="28"/>
    <n v="16.299999999999997"/>
    <n v="3"/>
    <s v="Fed"/>
    <s v="c7229cfd-220d-4ddb-b6a2-6cfbd8183e25"/>
    <n v="0"/>
    <s v="0:Ruslan Kochman"/>
    <s v="0:Rus"/>
    <s v=""/>
    <s v=""/>
    <m/>
    <s v="45192:Ruslan Kochman"/>
    <n v="1"/>
  </r>
  <r>
    <x v="67"/>
    <x v="32"/>
    <n v="16.399999999999999"/>
    <n v="3"/>
    <s v="Fed"/>
    <s v="9d6dd6c2-a6a1-402c-81f2-7a3180a4d37c"/>
    <n v="0"/>
    <s v="0:Santi Diaz"/>
    <s v="0:Santi"/>
    <s v=""/>
    <s v=""/>
    <m/>
    <s v="45192:Santi Diaz"/>
    <n v="1"/>
  </r>
  <r>
    <x v="68"/>
    <x v="30"/>
    <n v="0.99999999999999845"/>
    <n v="1"/>
    <s v="Fed"/>
    <s v="48822748-54b2-488b-b392-71196880413d"/>
    <n v="0"/>
    <s v="0:Alejandro Arcos"/>
    <s v="0:Alex"/>
    <s v=""/>
    <s v=""/>
    <m/>
    <s v="45220:Alejandro Arcos"/>
    <n v="1"/>
  </r>
  <r>
    <x v="68"/>
    <x v="0"/>
    <n v="11.3"/>
    <n v="2"/>
    <s v="Fed"/>
    <s v="0df912b7-762f-403a-8efe-67772194d0c8"/>
    <n v="0"/>
    <s v="0:Alfonso Hidalgo"/>
    <s v="0:Alfonso"/>
    <s v=""/>
    <s v=""/>
    <m/>
    <s v="45220:Alfonso Hidalgo"/>
    <n v="1"/>
  </r>
  <r>
    <x v="68"/>
    <x v="22"/>
    <n v="14.1"/>
    <n v="3"/>
    <s v="Fed"/>
    <s v="a018b1b7-761d-4fbb-af34-90ab7b773967"/>
    <n v="0"/>
    <s v="0:Alfonso Zorrilla"/>
    <s v="0:A Zorrilla"/>
    <s v=""/>
    <s v=""/>
    <m/>
    <s v="45220:Alfonso Zorrilla"/>
    <n v="1"/>
  </r>
  <r>
    <x v="68"/>
    <x v="1"/>
    <n v="5.6"/>
    <n v="2"/>
    <s v="Fed"/>
    <s v="2b7ddabc-c387-4017-8e93-0a5fef01e5e5"/>
    <n v="0"/>
    <s v="0:Alvaro Aguirre"/>
    <s v="0:Gifu"/>
    <s v=""/>
    <s v=""/>
    <m/>
    <s v="45220:Alvaro Aguirre"/>
    <n v="1"/>
  </r>
  <r>
    <x v="68"/>
    <x v="23"/>
    <n v="9.2000000000000011"/>
    <n v="2"/>
    <s v="Fed"/>
    <s v="f6b32688-4fce-4386-9169-a0e17654cc36"/>
    <n v="0"/>
    <s v="0:Alvaro Montoya"/>
    <s v="0:Monti"/>
    <s v=""/>
    <s v=""/>
    <m/>
    <s v="45220:Alvaro Montoya"/>
    <n v="1"/>
  </r>
  <r>
    <x v="68"/>
    <x v="2"/>
    <n v="12.9"/>
    <n v="3"/>
    <s v="Fed"/>
    <s v="cbb0dd2e-dc18-4e96-9c40-409a93b8c103"/>
    <n v="0"/>
    <s v="0:Alvaro Nieto"/>
    <s v="0:Alvaro"/>
    <s v=""/>
    <s v=""/>
    <m/>
    <s v="45220:Alvaro Nieto"/>
    <n v="1"/>
  </r>
  <r>
    <x v="68"/>
    <x v="3"/>
    <n v="8"/>
    <n v="2"/>
    <s v="Fed"/>
    <s v="3fd3c6be-a894-4b18-886e-8214c563e50a"/>
    <n v="0"/>
    <s v="0:Angel Hernandez"/>
    <s v="0:Angel"/>
    <s v=""/>
    <s v=""/>
    <m/>
    <s v="45220:Angel Hernandez"/>
    <n v="1"/>
  </r>
  <r>
    <x v="68"/>
    <x v="31"/>
    <n v="19.8"/>
    <n v="4"/>
    <s v="Fed"/>
    <s v="a4ea55a6-bf71-4be4-ada3-34b989782c9a"/>
    <n v="0"/>
    <s v="0:Antonio Carmona"/>
    <s v="0:Antonio"/>
    <s v=""/>
    <s v=""/>
    <m/>
    <s v="45220:Antonio Carmona"/>
    <n v="1"/>
  </r>
  <r>
    <x v="68"/>
    <x v="34"/>
    <n v="0.7999999999999996"/>
    <n v="1"/>
    <s v="Fed"/>
    <s v="8ab4f2f5-f372-4a58-9eab-7e9b391e5437"/>
    <n v="0"/>
    <s v="0:Carlos Maestro"/>
    <s v="0:Carlitos"/>
    <s v=""/>
    <s v=""/>
    <m/>
    <s v="45220:Carlos Maestro"/>
    <n v="1"/>
  </r>
  <r>
    <x v="68"/>
    <x v="4"/>
    <n v="10.700000000000001"/>
    <n v="2"/>
    <s v="Fed"/>
    <s v="69d4cf47-b348-40be-8de8-75033d654beb"/>
    <n v="0"/>
    <s v="0:David Sequera"/>
    <s v="0:David"/>
    <s v=""/>
    <s v=""/>
    <m/>
    <s v="45220:David Sequera"/>
    <n v="1"/>
  </r>
  <r>
    <x v="68"/>
    <x v="39"/>
    <n v="12.5"/>
    <n v="3"/>
    <s v="Fed"/>
    <s v="3f4eaacf-ed42-440d-9760-0e480bdbd55b"/>
    <n v="0"/>
    <s v="0:Eduardo Buendía"/>
    <s v="0:Eduardo"/>
    <s v=""/>
    <s v=""/>
    <m/>
    <s v="45220:Eduardo Buendía"/>
    <n v="1"/>
  </r>
  <r>
    <x v="68"/>
    <x v="29"/>
    <n v="11.599999999999998"/>
    <n v="3"/>
    <s v="Fed"/>
    <s v="2394f569-2195-46ef-9655-2347e6a49a59"/>
    <n v="0"/>
    <s v="0:Enrique Gonzalez R"/>
    <s v="0:Enrique"/>
    <s v=""/>
    <s v=""/>
    <m/>
    <s v="45220:Enrique Gonzalez R"/>
    <n v="1"/>
  </r>
  <r>
    <x v="68"/>
    <x v="5"/>
    <n v="15"/>
    <n v="3"/>
    <s v="Fed"/>
    <s v="8f183242-faf6-4b32-bc85-ac4c8dd87a59"/>
    <n v="0"/>
    <s v="0:Francisco Alvarez"/>
    <s v="0:Paco"/>
    <s v=""/>
    <s v=""/>
    <m/>
    <s v="45220:Francisco Alvarez"/>
    <n v="1"/>
  </r>
  <r>
    <x v="68"/>
    <x v="6"/>
    <n v="12.199999999999998"/>
    <n v="3"/>
    <s v="Fed"/>
    <s v="1739287e-c67d-460a-981f-f3f3df66de95"/>
    <n v="0"/>
    <s v="0:Francisco Hidalgo"/>
    <s v="0:Fran"/>
    <s v=""/>
    <s v=""/>
    <m/>
    <s v="45220:Francisco Hidalgo"/>
    <n v="1"/>
  </r>
  <r>
    <x v="68"/>
    <x v="24"/>
    <n v="14.499999999999998"/>
    <n v="3"/>
    <s v="Fed"/>
    <s v="4a1cdd40-bedb-4cae-aae4-01eae185a3b4"/>
    <n v="0"/>
    <s v="0:Franck Benouniche"/>
    <s v="0:Franck"/>
    <s v=""/>
    <s v=""/>
    <m/>
    <s v="45220:Franck Benouniche"/>
    <n v="1"/>
  </r>
  <r>
    <x v="68"/>
    <x v="7"/>
    <n v="19.600000000000001"/>
    <n v="4"/>
    <s v="Fed"/>
    <s v="bea0f8e3-1090-486f-b26c-d97ed28011bb"/>
    <n v="0"/>
    <s v="0:GLEZ JUAN JOSÉ"/>
    <s v="0:Juanjo"/>
    <s v=""/>
    <s v=""/>
    <m/>
    <s v="45220:GLEZ JUAN JOSÉ"/>
    <n v="1"/>
  </r>
  <r>
    <x v="68"/>
    <x v="8"/>
    <n v="8.600000000000005"/>
    <n v="2"/>
    <s v="Fed"/>
    <s v="11b09d53-edee-41c6-9c20-8032c1ece6e4"/>
    <n v="0"/>
    <s v="0:Ignacio Cadarso"/>
    <s v="0:Ignacio"/>
    <s v=""/>
    <s v=""/>
    <m/>
    <s v="45220:Ignacio Cadarso"/>
    <n v="1"/>
  </r>
  <r>
    <x v="68"/>
    <x v="37"/>
    <n v="23.7"/>
    <n v="4"/>
    <s v="Fed"/>
    <s v="50872f07-883c-4102-9f06-3d4aee762856"/>
    <n v="0"/>
    <s v="0:Ignacio Gracia Charlez"/>
    <s v="0:I Gracia"/>
    <s v=""/>
    <s v=""/>
    <m/>
    <s v="45220:Ignacio Gracia Charlez"/>
    <n v="1"/>
  </r>
  <r>
    <x v="68"/>
    <x v="10"/>
    <n v="18.600000000000001"/>
    <n v="4"/>
    <s v="Fed"/>
    <s v="a9d3a8c4-b304-4832-96c5-517824631353"/>
    <n v="0"/>
    <s v="0:J. Enrique Gonzalez"/>
    <s v="0:Kike"/>
    <s v=""/>
    <s v=""/>
    <m/>
    <s v="45220:J. Enrique Gonzalez"/>
    <n v="1"/>
  </r>
  <r>
    <x v="68"/>
    <x v="35"/>
    <n v="8.9"/>
    <n v="2"/>
    <s v="Fed"/>
    <s v="6886456d-963d-470f-b2a2-88c0a4245d6c"/>
    <n v="0"/>
    <s v="0:Jaime Villanueva"/>
    <s v="0:Villanueva"/>
    <s v=""/>
    <s v=""/>
    <m/>
    <s v="45220:Jaime Villanueva"/>
    <n v="1"/>
  </r>
  <r>
    <x v="68"/>
    <x v="41"/>
    <n v="11.799999999999999"/>
    <n v="3"/>
    <s v="Fed"/>
    <s v="1c563eb1-882b-4698-ac0d-60338a8c32da"/>
    <n v="0"/>
    <s v="0:Javier Arcos"/>
    <s v="0:J.Arcos"/>
    <s v=""/>
    <s v=""/>
    <m/>
    <s v="45220:Javier Arcos"/>
    <n v="1"/>
  </r>
  <r>
    <x v="68"/>
    <x v="42"/>
    <n v="11.199999999999992"/>
    <n v="2"/>
    <s v="Fed"/>
    <s v="bf185074-cce2-4eaa-992a-558d59a0a41c"/>
    <n v="0"/>
    <s v="0:Javier Campo"/>
    <s v="0:Campo"/>
    <s v=""/>
    <s v=""/>
    <m/>
    <s v="45220:Javier Campo"/>
    <n v="1"/>
  </r>
  <r>
    <x v="68"/>
    <x v="11"/>
    <n v="16.600000000000001"/>
    <n v="3"/>
    <s v="Fed"/>
    <s v="6e779482-f5fb-4bb0-b13e-38fdec1048d3"/>
    <n v="0"/>
    <s v="0:Javier Cervera"/>
    <s v="0:Virus"/>
    <s v=""/>
    <s v=""/>
    <m/>
    <s v="45220:Javier Cervera"/>
    <n v="1"/>
  </r>
  <r>
    <x v="68"/>
    <x v="25"/>
    <n v="9.8000000000000007"/>
    <n v="2"/>
    <s v="Fed"/>
    <s v="b8f11454-9610-454c-abe7-50c8cb7e82d8"/>
    <n v="0"/>
    <s v="0:Javier Chiralt"/>
    <s v="0:Chiralt"/>
    <s v=""/>
    <s v=""/>
    <m/>
    <s v="45220:Javier Chiralt"/>
    <n v="1"/>
  </r>
  <r>
    <x v="68"/>
    <x v="12"/>
    <n v="17.5"/>
    <n v="3"/>
    <s v="Fed"/>
    <s v="e8c9333d-cb5a-4c06-a4ac-40729efddffa"/>
    <n v="0"/>
    <s v="0:Javier Gonzalez Salvador"/>
    <s v="0:Javi"/>
    <s v=""/>
    <s v=""/>
    <m/>
    <s v="45220:Javier Gonzalez Salvador"/>
    <n v="1"/>
  </r>
  <r>
    <x v="68"/>
    <x v="26"/>
    <n v="20.9"/>
    <n v="4"/>
    <s v="Fed"/>
    <s v="885984c9-1d12-411a-8097-ad8beb626f5f"/>
    <n v="0"/>
    <s v="0:Javier Lopez Gullón"/>
    <s v="0:Cuñao"/>
    <s v=""/>
    <s v=""/>
    <m/>
    <s v="45220:Javier Lopez Gullón"/>
    <n v="1"/>
  </r>
  <r>
    <x v="68"/>
    <x v="13"/>
    <n v="22.1"/>
    <n v="4"/>
    <s v="Fed"/>
    <s v="8a24e7b4-2ab3-4e41-82ed-1614818dc5c9"/>
    <n v="0"/>
    <s v="0:Jesus Touceda"/>
    <s v="0:Jesús"/>
    <s v=""/>
    <s v=""/>
    <m/>
    <s v="45220:Jesus Touceda"/>
    <n v="1"/>
  </r>
  <r>
    <x v="68"/>
    <x v="38"/>
    <n v="21.5"/>
    <n v="4"/>
    <s v="Fed"/>
    <s v="8aad2acb-7d0b-428f-8381-e583035c493f"/>
    <n v="0"/>
    <s v="0:Jorge Alberto Martínez Sánchez"/>
    <s v="0:Jorge"/>
    <s v=""/>
    <s v=""/>
    <m/>
    <s v="45220:Jorge Alberto Martínez Sánchez"/>
    <n v="1"/>
  </r>
  <r>
    <x v="68"/>
    <x v="45"/>
    <n v="26.499999999999986"/>
    <n v="4"/>
    <s v="Fed"/>
    <s v="1890d376-92bc-43dd-9d7c-8a5dc143b4bd"/>
    <n v="0"/>
    <s v="0:Jose Antonio Santana"/>
    <s v="0:J Antonio"/>
    <s v=""/>
    <s v=""/>
    <m/>
    <s v="45220:Jose Antonio Santana"/>
    <n v="1"/>
  </r>
  <r>
    <x v="68"/>
    <x v="14"/>
    <n v="8.2999999999999989"/>
    <n v="2"/>
    <s v="Fed"/>
    <s v="aa6cd8c5-07c1-4258-975c-af2553650b53"/>
    <n v="0"/>
    <s v="0:José Pablo Guil"/>
    <s v="0:JP"/>
    <s v=""/>
    <s v=""/>
    <m/>
    <s v="45220:José Pablo Guil"/>
    <n v="1"/>
  </r>
  <r>
    <x v="68"/>
    <x v="36"/>
    <n v="21.2"/>
    <n v="4"/>
    <s v="Fed"/>
    <s v="3e2df97d-708b-49a2-b2ab-c0795353edfa"/>
    <n v="0"/>
    <s v="0:Juan Jose Aguado"/>
    <s v="0:Juancho"/>
    <s v=""/>
    <s v=""/>
    <m/>
    <s v="45220:Juan Jose Aguado"/>
    <n v="1"/>
  </r>
  <r>
    <x v="68"/>
    <x v="44"/>
    <n v="9.9"/>
    <n v="2"/>
    <s v="Fed"/>
    <s v="ca2b42b9-ac91-4d4b-b4b3-48fe0f9149a2"/>
    <n v="0"/>
    <s v="0:Luis Fernandez"/>
    <s v="0:Luis"/>
    <s v=""/>
    <s v=""/>
    <m/>
    <s v="45220:Luis Fernandez"/>
    <n v="1"/>
  </r>
  <r>
    <x v="68"/>
    <x v="21"/>
    <n v="19.500000000000011"/>
    <n v="4"/>
    <s v="Fed"/>
    <s v="1916fcdf-8d88-452f-aea1-b0407d9906fd"/>
    <n v="0"/>
    <s v="0:Miche Lopez"/>
    <s v="0:Miche"/>
    <s v=""/>
    <s v=""/>
    <m/>
    <s v="45220:Miche Lopez"/>
    <n v="1"/>
  </r>
  <r>
    <x v="68"/>
    <x v="27"/>
    <n v="7.1999999999999975"/>
    <n v="2"/>
    <s v="Fed"/>
    <s v="0728bf6a-d767-4e08-96ff-61ad1103ea6b"/>
    <n v="0"/>
    <s v="0:Nacho Casas"/>
    <s v="0:Nachete"/>
    <s v=""/>
    <s v=""/>
    <m/>
    <s v="45220:Nacho Casas"/>
    <n v="1"/>
  </r>
  <r>
    <x v="68"/>
    <x v="16"/>
    <n v="5.9999999999999973"/>
    <n v="2"/>
    <s v="Fed"/>
    <s v="7c9423eb-deb4-45f3-a838-9cb832d721aa"/>
    <n v="0"/>
    <s v="0:Nacho Gonzalez"/>
    <s v="0:Nacho"/>
    <s v=""/>
    <s v=""/>
    <m/>
    <s v="45220:Nacho Gonzalez"/>
    <n v="1"/>
  </r>
  <r>
    <x v="68"/>
    <x v="28"/>
    <n v="16.299999999999997"/>
    <n v="3"/>
    <s v="Fed"/>
    <s v="c2a6e5e9-07fc-4130-8de6-4b4774a89a0a"/>
    <n v="0"/>
    <s v="0:Ruslan Kochman"/>
    <s v="0:Rus"/>
    <s v=""/>
    <s v=""/>
    <m/>
    <s v="45220:Ruslan Kochman"/>
    <n v="1"/>
  </r>
  <r>
    <x v="68"/>
    <x v="32"/>
    <n v="16.399999999999999"/>
    <n v="3"/>
    <s v="Fed"/>
    <s v="0c0af869-4eae-4000-a8d3-88b974334cb0"/>
    <n v="0"/>
    <s v="0:Santi Diaz"/>
    <s v="0:Santi"/>
    <s v=""/>
    <s v=""/>
    <m/>
    <s v="45220:Santi Diaz"/>
    <n v="1"/>
  </r>
  <r>
    <x v="69"/>
    <x v="30"/>
    <n v="0.99999999999999889"/>
    <n v="1"/>
    <s v="Fed"/>
    <s v="2a08cc95-bac8-472f-b497-f903bb9185ed"/>
    <n v="0"/>
    <s v="0:Alejandro Arcos"/>
    <s v="0:Alex"/>
    <s v=""/>
    <s v=""/>
    <m/>
    <s v="45248:Alejandro Arcos"/>
    <n v="1"/>
  </r>
  <r>
    <x v="69"/>
    <x v="0"/>
    <n v="11.3"/>
    <n v="2"/>
    <s v="Fed"/>
    <s v="b7425bf2-0932-42c2-bd52-4007978fcc4e"/>
    <n v="0"/>
    <s v="0:Alfonso Hidalgo"/>
    <s v="0:Alfonso"/>
    <s v=""/>
    <s v=""/>
    <m/>
    <s v="45248:Alfonso Hidalgo"/>
    <n v="1"/>
  </r>
  <r>
    <x v="69"/>
    <x v="22"/>
    <n v="14.1"/>
    <n v="3"/>
    <s v="Fed"/>
    <s v="02709a93-5988-4d9f-bf4f-9afd7b3479c0"/>
    <n v="0"/>
    <s v="0:Alfonso Zorrilla"/>
    <s v="0:A Zorrilla"/>
    <s v=""/>
    <s v=""/>
    <m/>
    <s v="45248:Alfonso Zorrilla"/>
    <n v="1"/>
  </r>
  <r>
    <x v="69"/>
    <x v="1"/>
    <n v="5.4"/>
    <n v="2"/>
    <s v="Fed"/>
    <s v="36172d49-562b-43ca-9392-bb61d0af0e3d"/>
    <n v="0"/>
    <s v="0:Alvaro Aguirre"/>
    <s v="0:Gifu"/>
    <s v=""/>
    <s v=""/>
    <m/>
    <s v="45248:Alvaro Aguirre"/>
    <n v="1"/>
  </r>
  <r>
    <x v="69"/>
    <x v="23"/>
    <n v="9.1000000000000032"/>
    <n v="2"/>
    <s v="Fed"/>
    <s v="15baf010-e129-451e-89ef-81d11bf5919e"/>
    <n v="0"/>
    <s v="0:Alvaro Montoya"/>
    <s v="0:Monti"/>
    <s v=""/>
    <s v=""/>
    <m/>
    <s v="45248:Alvaro Montoya"/>
    <n v="1"/>
  </r>
  <r>
    <x v="69"/>
    <x v="2"/>
    <n v="12.9"/>
    <n v="3"/>
    <s v="Fed"/>
    <s v="d25a77af-254c-43ca-8b51-5f16fb3dfb57"/>
    <n v="0"/>
    <s v="0:Alvaro Nieto"/>
    <s v="0:Alvaro"/>
    <s v=""/>
    <s v=""/>
    <m/>
    <s v="45248:Alvaro Nieto"/>
    <n v="1"/>
  </r>
  <r>
    <x v="69"/>
    <x v="3"/>
    <n v="8"/>
    <n v="2"/>
    <s v="Fed"/>
    <s v="9f92b8fb-c97a-48e3-936e-4572c487cebd"/>
    <n v="0"/>
    <s v="0:Angel Hernandez"/>
    <s v="0:Angel"/>
    <s v=""/>
    <s v=""/>
    <m/>
    <s v="45248:Angel Hernandez"/>
    <n v="1"/>
  </r>
  <r>
    <x v="69"/>
    <x v="31"/>
    <n v="19.8"/>
    <n v="4"/>
    <s v="Fed"/>
    <s v="fab4bc00-157f-4a67-a1c8-207404e9f41e"/>
    <n v="0"/>
    <s v="0:Antonio Carmona"/>
    <s v="0:Antonio"/>
    <s v=""/>
    <s v=""/>
    <m/>
    <s v="45248:Antonio Carmona"/>
    <n v="1"/>
  </r>
  <r>
    <x v="69"/>
    <x v="34"/>
    <n v="0.7999999999999996"/>
    <n v="1"/>
    <s v="Fed"/>
    <s v="99d358e3-1e11-4394-a0aa-c9ad137b192e"/>
    <n v="0"/>
    <s v="0:Carlos Maestro"/>
    <s v="0:Carlitos"/>
    <s v=""/>
    <s v=""/>
    <m/>
    <s v="45248:Carlos Maestro"/>
    <n v="1"/>
  </r>
  <r>
    <x v="69"/>
    <x v="4"/>
    <n v="11.200000000000001"/>
    <n v="2"/>
    <s v="Fed"/>
    <s v="b08c77d1-809a-4c6d-8f86-2f8ebb40fd8b"/>
    <n v="0"/>
    <s v="0:David Sequera"/>
    <s v="0:David"/>
    <s v=""/>
    <s v=""/>
    <m/>
    <s v="45248:David Sequera"/>
    <n v="1"/>
  </r>
  <r>
    <x v="69"/>
    <x v="39"/>
    <n v="13.1"/>
    <n v="3"/>
    <s v="Fed"/>
    <s v="f85337ef-799b-44f5-b7ba-54d703b3ba27"/>
    <n v="0"/>
    <s v="0:Eduardo Buendía"/>
    <s v="0:Eduardo"/>
    <s v=""/>
    <s v=""/>
    <m/>
    <s v="45248:Eduardo Buendía"/>
    <n v="1"/>
  </r>
  <r>
    <x v="69"/>
    <x v="29"/>
    <n v="12.699999999999998"/>
    <n v="3"/>
    <s v="Fed"/>
    <s v="ba6fc42d-3291-4742-a220-07fb3706c475"/>
    <n v="0"/>
    <s v="0:Enrique Gonzalez R"/>
    <s v="0:Enrique"/>
    <s v=""/>
    <s v=""/>
    <m/>
    <s v="45248:Enrique Gonzalez R"/>
    <n v="1"/>
  </r>
  <r>
    <x v="69"/>
    <x v="5"/>
    <n v="15.000000000000002"/>
    <n v="3"/>
    <s v="Fed"/>
    <s v="8edfca4b-23de-4679-ba7a-d628320c3012"/>
    <n v="0"/>
    <s v="0:Francisco Alvarez"/>
    <s v="0:Paco"/>
    <s v=""/>
    <s v=""/>
    <m/>
    <s v="45248:Francisco Alvarez"/>
    <n v="1"/>
  </r>
  <r>
    <x v="69"/>
    <x v="6"/>
    <n v="12.199999999999998"/>
    <n v="3"/>
    <s v="Fed"/>
    <s v="c95d4ab6-b3ba-4920-885c-56ea5144fc77"/>
    <n v="0"/>
    <s v="0:Francisco Hidalgo"/>
    <s v="0:Fran"/>
    <s v=""/>
    <s v=""/>
    <m/>
    <s v="45248:Francisco Hidalgo"/>
    <n v="1"/>
  </r>
  <r>
    <x v="69"/>
    <x v="24"/>
    <n v="14.5"/>
    <n v="3"/>
    <s v="Fed"/>
    <s v="1c6b0265-7eb3-488f-9285-2a6691410b3b"/>
    <n v="0"/>
    <s v="0:Franck Benouniche"/>
    <s v="0:Franck"/>
    <s v=""/>
    <s v=""/>
    <m/>
    <s v="45248:Franck Benouniche"/>
    <n v="1"/>
  </r>
  <r>
    <x v="69"/>
    <x v="7"/>
    <n v="19.600000000000001"/>
    <n v="4"/>
    <s v="Fed"/>
    <s v="2f57260c-d9e6-407b-b8e2-4f0f6c89002e"/>
    <n v="0"/>
    <s v="0:GLEZ JUAN JOSÉ"/>
    <s v="0:Juanjo"/>
    <s v=""/>
    <s v=""/>
    <m/>
    <s v="45248:GLEZ JUAN JOSÉ"/>
    <n v="1"/>
  </r>
  <r>
    <x v="69"/>
    <x v="8"/>
    <n v="8.600000000000005"/>
    <n v="2"/>
    <s v="Fed"/>
    <s v="09f1cdac-8976-4149-ae2c-b1a8d5c6298a"/>
    <n v="0"/>
    <s v="0:Ignacio Cadarso"/>
    <s v="0:Ignacio"/>
    <s v=""/>
    <s v=""/>
    <m/>
    <s v="45248:Ignacio Cadarso"/>
    <n v="1"/>
  </r>
  <r>
    <x v="69"/>
    <x v="37"/>
    <n v="23.7"/>
    <n v="4"/>
    <s v="Fed"/>
    <s v="75441efc-292b-4b60-a4d8-a6e3d8758bbd"/>
    <n v="0"/>
    <s v="0:Ignacio Gracia Charlez"/>
    <s v="0:I Gracia"/>
    <s v=""/>
    <s v=""/>
    <m/>
    <s v="45248:Ignacio Gracia Charlez"/>
    <n v="1"/>
  </r>
  <r>
    <x v="69"/>
    <x v="10"/>
    <n v="18.600000000000001"/>
    <n v="4"/>
    <s v="Fed"/>
    <s v="d75bff73-87f7-440a-9698-5103ddb7fcf0"/>
    <n v="0"/>
    <s v="0:J. Enrique Gonzalez"/>
    <s v="0:Kike"/>
    <s v=""/>
    <s v=""/>
    <m/>
    <s v="45248:J. Enrique Gonzalez"/>
    <n v="1"/>
  </r>
  <r>
    <x v="69"/>
    <x v="35"/>
    <n v="8.9"/>
    <n v="2"/>
    <s v="Fed"/>
    <s v="9c442e35-b875-447c-b620-67f0cd47d5cb"/>
    <n v="0"/>
    <s v="0:Jaime Villanueva"/>
    <s v="0:Villanueva"/>
    <s v=""/>
    <s v=""/>
    <m/>
    <s v="45248:Jaime Villanueva"/>
    <n v="1"/>
  </r>
  <r>
    <x v="69"/>
    <x v="41"/>
    <n v="11.799999999999999"/>
    <n v="3"/>
    <s v="Fed"/>
    <s v="7246ec74-5c30-4035-9741-c3664359fc70"/>
    <n v="0"/>
    <s v="0:Javier Arcos"/>
    <s v="0:J.Arcos"/>
    <s v=""/>
    <s v=""/>
    <m/>
    <s v="45248:Javier Arcos"/>
    <n v="1"/>
  </r>
  <r>
    <x v="69"/>
    <x v="42"/>
    <n v="11.199999999999992"/>
    <n v="2"/>
    <s v="Fed"/>
    <s v="53fe9133-5e46-4e94-89f7-e6fbf248ca75"/>
    <n v="0"/>
    <s v="0:Javier Campo"/>
    <s v="0:Campo"/>
    <s v=""/>
    <s v=""/>
    <m/>
    <s v="45248:Javier Campo"/>
    <n v="1"/>
  </r>
  <r>
    <x v="69"/>
    <x v="11"/>
    <n v="16.600000000000001"/>
    <n v="3"/>
    <s v="Fed"/>
    <s v="35d3b1fa-8fe4-4391-a1b6-6c99947832a9"/>
    <n v="0"/>
    <s v="0:Javier Cervera"/>
    <s v="0:Virus"/>
    <s v=""/>
    <s v=""/>
    <m/>
    <s v="45248:Javier Cervera"/>
    <n v="1"/>
  </r>
  <r>
    <x v="69"/>
    <x v="25"/>
    <n v="10.1"/>
    <n v="2"/>
    <s v="Fed"/>
    <s v="e15079af-fb9a-483b-bc14-bac5a045f59d"/>
    <n v="0"/>
    <s v="0:Javier Chiralt"/>
    <s v="0:Chiralt"/>
    <s v=""/>
    <s v=""/>
    <m/>
    <s v="45248:Javier Chiralt"/>
    <n v="1"/>
  </r>
  <r>
    <x v="69"/>
    <x v="12"/>
    <n v="17.5"/>
    <n v="3"/>
    <s v="Fed"/>
    <s v="a1d9bd98-69dd-45e2-b481-a1ddd7094b7b"/>
    <n v="0"/>
    <s v="0:Javier Gonzalez Salvador"/>
    <s v="0:Javi"/>
    <s v=""/>
    <s v=""/>
    <m/>
    <s v="45248:Javier Gonzalez Salvador"/>
    <n v="1"/>
  </r>
  <r>
    <x v="69"/>
    <x v="26"/>
    <n v="20.9"/>
    <n v="4"/>
    <s v="Fed"/>
    <s v="6b0a224c-d751-42ff-96f1-257513b3c469"/>
    <n v="0"/>
    <s v="0:Javier Lopez Gullón"/>
    <s v="0:Cuñao"/>
    <s v=""/>
    <s v=""/>
    <m/>
    <s v="45248:Javier Lopez Gullón"/>
    <n v="1"/>
  </r>
  <r>
    <x v="69"/>
    <x v="13"/>
    <n v="22.3"/>
    <n v="4"/>
    <s v="Fed"/>
    <s v="b3452bb2-8821-44c1-8ec2-b4ff9ed653fe"/>
    <n v="0"/>
    <s v="0:Jesus Touceda"/>
    <s v="0:Jesús"/>
    <s v=""/>
    <s v=""/>
    <m/>
    <s v="45248:Jesus Touceda"/>
    <n v="1"/>
  </r>
  <r>
    <x v="69"/>
    <x v="38"/>
    <n v="21.1"/>
    <n v="4"/>
    <s v="Fed"/>
    <s v="264001b0-3e05-46f1-aba7-908a93b76129"/>
    <n v="0"/>
    <s v="0:Jorge Alberto Martínez Sánchez"/>
    <s v="0:Jorge"/>
    <s v=""/>
    <s v=""/>
    <m/>
    <s v="45248:Jorge Alberto Martínez Sánchez"/>
    <n v="1"/>
  </r>
  <r>
    <x v="69"/>
    <x v="45"/>
    <n v="26.499999999999986"/>
    <n v="4"/>
    <s v="Fed"/>
    <s v="89b4fcfd-6851-4421-8a9a-2a19ee2901e8"/>
    <n v="0"/>
    <s v="0:Jose Antonio Santana"/>
    <s v="0:J Antonio"/>
    <s v=""/>
    <s v=""/>
    <m/>
    <s v="45248:Jose Antonio Santana"/>
    <n v="1"/>
  </r>
  <r>
    <x v="69"/>
    <x v="14"/>
    <n v="8.2999999999999989"/>
    <n v="2"/>
    <s v="Fed"/>
    <s v="bfd913c1-41ff-449d-96be-26d44aa69229"/>
    <n v="0"/>
    <s v="0:José Pablo Guil"/>
    <s v="0:JP"/>
    <s v=""/>
    <s v=""/>
    <m/>
    <s v="45248:José Pablo Guil"/>
    <n v="1"/>
  </r>
  <r>
    <x v="69"/>
    <x v="36"/>
    <n v="20.2"/>
    <n v="4"/>
    <s v="Fed"/>
    <s v="36e1e0cb-2013-4c00-b5a8-4d7ba63045f3"/>
    <n v="0"/>
    <s v="0:Juan Jose Aguado"/>
    <s v="0:Juancho"/>
    <s v=""/>
    <s v=""/>
    <m/>
    <s v="45248:Juan Jose Aguado"/>
    <n v="1"/>
  </r>
  <r>
    <x v="69"/>
    <x v="44"/>
    <n v="9.9"/>
    <n v="2"/>
    <s v="Fed"/>
    <s v="006d993f-20dd-489e-9e34-adbf35d90484"/>
    <n v="0"/>
    <s v="0:Luis Fernandez"/>
    <s v="0:Luis"/>
    <s v=""/>
    <s v=""/>
    <m/>
    <s v="45248:Luis Fernandez"/>
    <n v="1"/>
  </r>
  <r>
    <x v="69"/>
    <x v="21"/>
    <n v="19.400000000000002"/>
    <n v="4"/>
    <s v="Fed"/>
    <s v="f0434e20-fcbe-46c6-94c3-0edb9aea0749"/>
    <n v="0"/>
    <s v="0:Miche Lopez"/>
    <s v="0:Miche"/>
    <s v=""/>
    <s v=""/>
    <m/>
    <s v="45248:Miche Lopez"/>
    <n v="1"/>
  </r>
  <r>
    <x v="69"/>
    <x v="27"/>
    <n v="6.9999999999999973"/>
    <n v="2"/>
    <s v="Fed"/>
    <s v="a32b75e4-5c68-4dbe-b0cf-48bdd7a02fb8"/>
    <n v="0"/>
    <s v="0:Nacho Casas"/>
    <s v="0:Nachete"/>
    <s v=""/>
    <s v=""/>
    <m/>
    <s v="45248:Nacho Casas"/>
    <n v="1"/>
  </r>
  <r>
    <x v="69"/>
    <x v="16"/>
    <n v="5.9999999999999973"/>
    <n v="2"/>
    <s v="Fed"/>
    <s v="ebd44346-c125-4bad-846e-8580945e1e58"/>
    <n v="0"/>
    <s v="0:Nacho Gonzalez"/>
    <s v="0:Nacho"/>
    <s v=""/>
    <s v=""/>
    <m/>
    <s v="45248:Nacho Gonzalez"/>
    <n v="1"/>
  </r>
  <r>
    <x v="69"/>
    <x v="28"/>
    <n v="16.100000000000001"/>
    <n v="3"/>
    <s v="Fed"/>
    <s v="e69e54a9-114e-4b47-9036-e7b38ce77a7d"/>
    <n v="0"/>
    <s v="0:Ruslan Kochman"/>
    <s v="0:Rus"/>
    <s v=""/>
    <s v=""/>
    <m/>
    <s v="45248:Ruslan Kochman"/>
    <n v="1"/>
  </r>
  <r>
    <x v="69"/>
    <x v="32"/>
    <n v="16.399999999999999"/>
    <n v="3"/>
    <s v="Fed"/>
    <s v="8e2affc0-a2f4-409b-aaf6-a9c9e08ff65a"/>
    <n v="0"/>
    <s v="0:Santi Diaz"/>
    <s v="0:Santi"/>
    <s v=""/>
    <s v=""/>
    <m/>
    <s v="45248:Santi Diaz"/>
    <n v="1"/>
  </r>
  <r>
    <x v="70"/>
    <x v="30"/>
    <n v="0.99999999999999889"/>
    <n v="1"/>
    <s v="Fed"/>
    <s v="1c4d3e35-5e36-402a-b15d-1f00eb7b1c60"/>
    <n v="0"/>
    <s v="0:Alejandro Arcos"/>
    <s v="0:Alex"/>
    <s v=""/>
    <s v=""/>
    <m/>
    <s v="45276:Alejandro Arcos"/>
    <n v="1"/>
  </r>
  <r>
    <x v="70"/>
    <x v="0"/>
    <n v="11.3"/>
    <n v="2"/>
    <s v="Fed"/>
    <s v="fb6297df-8764-42eb-87bc-e88ba326ae3f"/>
    <n v="0"/>
    <s v="0:Alfonso Hidalgo"/>
    <s v="0:Alfonso"/>
    <s v=""/>
    <s v=""/>
    <m/>
    <s v="45276:Alfonso Hidalgo"/>
    <n v="1"/>
  </r>
  <r>
    <x v="70"/>
    <x v="22"/>
    <n v="14.1"/>
    <n v="3"/>
    <s v="Fed"/>
    <s v="152e7203-7db4-4e43-b59c-2e937ae6ae23"/>
    <n v="0"/>
    <s v="0:Alfonso Zorrilla"/>
    <s v="0:A Zorrilla"/>
    <s v=""/>
    <s v=""/>
    <m/>
    <s v="45276:Alfonso Zorrilla"/>
    <n v="1"/>
  </r>
  <r>
    <x v="70"/>
    <x v="1"/>
    <n v="5.4"/>
    <n v="2"/>
    <s v="Fed"/>
    <s v="fcfd7e92-2be4-402e-9318-81f28135a255"/>
    <n v="0"/>
    <s v="0:Alvaro Aguirre"/>
    <s v="0:Gifu"/>
    <s v=""/>
    <s v=""/>
    <m/>
    <s v="45276:Alvaro Aguirre"/>
    <n v="1"/>
  </r>
  <r>
    <x v="70"/>
    <x v="23"/>
    <n v="9.1000000000000032"/>
    <n v="2"/>
    <s v="Fed"/>
    <s v="eb5b7d7e-b177-4cce-a024-ad2b781aaf50"/>
    <n v="0"/>
    <s v="0:Alvaro Montoya"/>
    <s v="0:Monti"/>
    <s v=""/>
    <s v=""/>
    <m/>
    <s v="45276:Alvaro Montoya"/>
    <n v="1"/>
  </r>
  <r>
    <x v="70"/>
    <x v="2"/>
    <n v="12.9"/>
    <n v="3"/>
    <s v="Fed"/>
    <s v="0ac25c80-4b62-4828-a590-9d832c38f4de"/>
    <n v="0"/>
    <s v="0:Alvaro Nieto"/>
    <s v="0:Alvaro"/>
    <s v=""/>
    <s v=""/>
    <m/>
    <s v="45276:Alvaro Nieto"/>
    <n v="1"/>
  </r>
  <r>
    <x v="70"/>
    <x v="3"/>
    <n v="8"/>
    <n v="2"/>
    <s v="Fed"/>
    <s v="6d8a93ce-b35d-4cea-b8f2-ebd7c8e25e23"/>
    <n v="0"/>
    <s v="0:Angel Hernandez"/>
    <s v="0:Angel"/>
    <s v=""/>
    <s v=""/>
    <m/>
    <s v="45276:Angel Hernandez"/>
    <n v="1"/>
  </r>
  <r>
    <x v="70"/>
    <x v="31"/>
    <n v="19.3"/>
    <n v="4"/>
    <s v="Fed"/>
    <s v="16b8e9cd-e112-435f-8f1a-268399443af9"/>
    <n v="0"/>
    <s v="0:Antonio Carmona"/>
    <s v="0:Antonio"/>
    <s v=""/>
    <s v=""/>
    <m/>
    <s v="45276:Antonio Carmona"/>
    <n v="1"/>
  </r>
  <r>
    <x v="70"/>
    <x v="34"/>
    <n v="0.7999999999999996"/>
    <n v="1"/>
    <s v="Fed"/>
    <s v="cbbc93b6-7f7b-4f38-a7a9-36f8d96cf700"/>
    <n v="0"/>
    <s v="0:Carlos Maestro"/>
    <s v="0:Carlitos"/>
    <s v=""/>
    <s v=""/>
    <m/>
    <s v="45276:Carlos Maestro"/>
    <n v="1"/>
  </r>
  <r>
    <x v="70"/>
    <x v="4"/>
    <n v="11.200000000000001"/>
    <n v="2"/>
    <s v="Fed"/>
    <s v="dbb4968c-f0f5-41ae-893f-297911867a1f"/>
    <n v="0"/>
    <s v="0:David Sequera"/>
    <s v="0:David"/>
    <s v=""/>
    <s v=""/>
    <m/>
    <s v="45276:David Sequera"/>
    <n v="1"/>
  </r>
  <r>
    <x v="70"/>
    <x v="39"/>
    <n v="13.1"/>
    <n v="3"/>
    <s v="Fed"/>
    <s v="dec69301-8df1-4b54-98b7-9a542e7670af"/>
    <n v="0"/>
    <s v="0:Eduardo Buendía"/>
    <s v="0:Eduardo"/>
    <s v=""/>
    <s v=""/>
    <m/>
    <s v="45276:Eduardo Buendía"/>
    <n v="1"/>
  </r>
  <r>
    <x v="70"/>
    <x v="29"/>
    <n v="12.699999999999998"/>
    <n v="3"/>
    <s v="Fed"/>
    <s v="8dfea502-6121-4dd8-87fe-bb0f8e2be650"/>
    <n v="0"/>
    <s v="0:Enrique Gonzalez R"/>
    <s v="0:Enrique"/>
    <s v=""/>
    <s v=""/>
    <m/>
    <s v="45276:Enrique Gonzalez R"/>
    <n v="1"/>
  </r>
  <r>
    <x v="70"/>
    <x v="5"/>
    <n v="15.1"/>
    <n v="3"/>
    <s v="Fed"/>
    <s v="8df76532-fa24-4901-810a-4a31aa8b6f7f"/>
    <n v="0"/>
    <s v="0:Francisco Alvarez"/>
    <s v="0:Paco"/>
    <s v=""/>
    <s v=""/>
    <m/>
    <s v="45276:Francisco Alvarez"/>
    <n v="1"/>
  </r>
  <r>
    <x v="70"/>
    <x v="6"/>
    <n v="12.199999999999998"/>
    <n v="3"/>
    <s v="Fed"/>
    <s v="f153492a-a6bf-418c-b496-74c8aa05b505"/>
    <n v="0"/>
    <s v="0:Francisco Hidalgo"/>
    <s v="0:Fran"/>
    <s v=""/>
    <s v=""/>
    <m/>
    <s v="45276:Francisco Hidalgo"/>
    <n v="1"/>
  </r>
  <r>
    <x v="70"/>
    <x v="24"/>
    <n v="14.5"/>
    <n v="3"/>
    <s v="Fed"/>
    <s v="ab14540a-1d39-495f-ba55-8235ee08a139"/>
    <n v="0"/>
    <s v="0:Franck Benouniche"/>
    <s v="0:Franck"/>
    <s v=""/>
    <s v=""/>
    <m/>
    <s v="45276:Franck Benouniche"/>
    <n v="1"/>
  </r>
  <r>
    <x v="70"/>
    <x v="7"/>
    <n v="20.5"/>
    <n v="4"/>
    <s v="Fed"/>
    <s v="c43a497d-c2be-4c9a-862e-41fac56d059e"/>
    <n v="0"/>
    <s v="0:GLEZ JUAN JOSÉ"/>
    <s v="0:Juanjo"/>
    <s v=""/>
    <s v=""/>
    <m/>
    <s v="45276:GLEZ JUAN JOSÉ"/>
    <n v="1"/>
  </r>
  <r>
    <x v="70"/>
    <x v="8"/>
    <n v="8"/>
    <n v="2"/>
    <s v="Fed"/>
    <s v="ab3bf04c-07fb-49ea-bd82-b65721b25f0f"/>
    <n v="0"/>
    <s v="0:Ignacio Cadarso"/>
    <s v="0:Ignacio"/>
    <s v=""/>
    <s v=""/>
    <m/>
    <s v="45276:Ignacio Cadarso"/>
    <n v="1"/>
  </r>
  <r>
    <x v="70"/>
    <x v="37"/>
    <n v="23.7"/>
    <n v="4"/>
    <s v="Fed"/>
    <s v="8fb73426-2dad-47cf-b826-b036b0185d88"/>
    <n v="0"/>
    <s v="0:Ignacio Gracia Charlez"/>
    <s v="0:I Gracia"/>
    <s v=""/>
    <s v=""/>
    <m/>
    <s v="45276:Ignacio Gracia Charlez"/>
    <n v="1"/>
  </r>
  <r>
    <x v="70"/>
    <x v="10"/>
    <n v="19.100000000000001"/>
    <n v="4"/>
    <s v="Fed"/>
    <s v="d7488677-ef65-4d27-9f14-aec4392fb0ff"/>
    <n v="0"/>
    <s v="0:J. Enrique Gonzalez"/>
    <s v="0:Kike"/>
    <s v=""/>
    <s v=""/>
    <m/>
    <s v="45276:J. Enrique Gonzalez"/>
    <n v="1"/>
  </r>
  <r>
    <x v="70"/>
    <x v="35"/>
    <n v="8.9"/>
    <n v="2"/>
    <s v="Fed"/>
    <s v="7b27cd93-16b7-48a5-af18-81f59d6a2080"/>
    <n v="0"/>
    <s v="0:Jaime Villanueva"/>
    <s v="0:Villanueva"/>
    <s v=""/>
    <s v=""/>
    <m/>
    <s v="45276:Jaime Villanueva"/>
    <n v="1"/>
  </r>
  <r>
    <x v="70"/>
    <x v="41"/>
    <n v="11.799999999999999"/>
    <n v="3"/>
    <s v="Fed"/>
    <s v="772de81a-6801-463d-8a99-3342bf38d36b"/>
    <n v="0"/>
    <s v="0:Javier Arcos"/>
    <s v="0:J.Arcos"/>
    <s v=""/>
    <s v=""/>
    <m/>
    <s v="45276:Javier Arcos"/>
    <n v="1"/>
  </r>
  <r>
    <x v="70"/>
    <x v="42"/>
    <n v="11.199999999999992"/>
    <n v="2"/>
    <s v="Fed"/>
    <s v="2aef3a10-616b-4701-bb62-228e1b00726c"/>
    <n v="0"/>
    <s v="0:Javier Campo"/>
    <s v="0:Campo"/>
    <s v=""/>
    <s v=""/>
    <m/>
    <s v="45276:Javier Campo"/>
    <n v="1"/>
  </r>
  <r>
    <x v="70"/>
    <x v="11"/>
    <n v="16.600000000000001"/>
    <n v="3"/>
    <s v="Fed"/>
    <s v="e2f0110c-8e63-46e6-9f5d-250e435063fe"/>
    <n v="0"/>
    <s v="0:Javier Cervera"/>
    <s v="0:Virus"/>
    <s v=""/>
    <s v=""/>
    <m/>
    <s v="45276:Javier Cervera"/>
    <n v="1"/>
  </r>
  <r>
    <x v="70"/>
    <x v="25"/>
    <n v="10.1"/>
    <n v="2"/>
    <s v="Fed"/>
    <s v="10833a0c-8647-4574-90e4-960cc9cbbe75"/>
    <n v="0"/>
    <s v="0:Javier Chiralt"/>
    <s v="0:Chiralt"/>
    <s v=""/>
    <s v=""/>
    <m/>
    <s v="45276:Javier Chiralt"/>
    <n v="1"/>
  </r>
  <r>
    <x v="70"/>
    <x v="12"/>
    <n v="17.5"/>
    <n v="3"/>
    <s v="Fed"/>
    <s v="50a53bc4-4e42-4ea0-ba41-757b2f57d22d"/>
    <n v="0"/>
    <s v="0:Javier Gonzalez Salvador"/>
    <s v="0:Javi"/>
    <s v=""/>
    <s v=""/>
    <m/>
    <s v="45276:Javier Gonzalez Salvador"/>
    <n v="1"/>
  </r>
  <r>
    <x v="70"/>
    <x v="26"/>
    <n v="20.9"/>
    <n v="4"/>
    <s v="Fed"/>
    <s v="e9263af0-1a51-4842-b7d1-39317e9ba034"/>
    <n v="0"/>
    <s v="0:Javier Lopez Gullón"/>
    <s v="0:Cuñao"/>
    <s v=""/>
    <s v=""/>
    <m/>
    <s v="45276:Javier Lopez Gullón"/>
    <n v="1"/>
  </r>
  <r>
    <x v="70"/>
    <x v="13"/>
    <n v="22.2"/>
    <n v="4"/>
    <s v="Fed"/>
    <s v="800c65f3-6e40-4b7d-98ef-15d272aefd8d"/>
    <n v="0"/>
    <s v="0:Jesus Touceda"/>
    <s v="0:Jesús"/>
    <s v=""/>
    <s v=""/>
    <m/>
    <s v="45276:Jesus Touceda"/>
    <n v="1"/>
  </r>
  <r>
    <x v="70"/>
    <x v="38"/>
    <n v="21.1"/>
    <n v="4"/>
    <s v="Fed"/>
    <s v="6ae636ae-6331-45d1-9b83-899cfefa9406"/>
    <n v="0"/>
    <s v="0:Jorge Alberto Martínez Sánchez"/>
    <s v="0:Jorge"/>
    <s v=""/>
    <s v=""/>
    <m/>
    <s v="45276:Jorge Alberto Martínez Sánchez"/>
    <n v="1"/>
  </r>
  <r>
    <x v="70"/>
    <x v="45"/>
    <n v="26.499999999999986"/>
    <n v="4"/>
    <s v="Fed"/>
    <s v="b890522a-64b4-4490-adac-92c3495f63d5"/>
    <n v="0"/>
    <s v="0:Jose Antonio Santana"/>
    <s v="0:J Antonio"/>
    <s v=""/>
    <s v=""/>
    <m/>
    <s v="45276:Jose Antonio Santana"/>
    <n v="1"/>
  </r>
  <r>
    <x v="70"/>
    <x v="14"/>
    <n v="8.1"/>
    <n v="2"/>
    <s v="Fed"/>
    <s v="7844b9eb-3796-4791-ae34-437d7b157bfc"/>
    <n v="0"/>
    <s v="0:José Pablo Guil"/>
    <s v="0:JP"/>
    <s v=""/>
    <s v=""/>
    <m/>
    <s v="45276:José Pablo Guil"/>
    <n v="1"/>
  </r>
  <r>
    <x v="70"/>
    <x v="36"/>
    <n v="20.2"/>
    <n v="4"/>
    <s v="Fed"/>
    <s v="ae68b668-cb80-401c-9c5e-fd88c2c5a253"/>
    <n v="0"/>
    <s v="0:Juan Jose Aguado"/>
    <s v="0:Juancho"/>
    <s v=""/>
    <s v=""/>
    <m/>
    <s v="45276:Juan Jose Aguado"/>
    <n v="1"/>
  </r>
  <r>
    <x v="70"/>
    <x v="44"/>
    <n v="9.9"/>
    <n v="2"/>
    <s v="Fed"/>
    <s v="37366812-679b-42d2-8410-ae4f8489d6cc"/>
    <n v="0"/>
    <s v="0:Luis Fernandez"/>
    <s v="0:Luis"/>
    <s v=""/>
    <s v=""/>
    <m/>
    <s v="45276:Luis Fernandez"/>
    <n v="1"/>
  </r>
  <r>
    <x v="70"/>
    <x v="21"/>
    <n v="18.8"/>
    <n v="4"/>
    <s v="Fed"/>
    <s v="c49ee35b-c789-4037-966d-b7523796a38b"/>
    <n v="0"/>
    <s v="0:Miche Lopez"/>
    <s v="0:Miche"/>
    <s v=""/>
    <s v=""/>
    <m/>
    <s v="45276:Miche Lopez"/>
    <n v="1"/>
  </r>
  <r>
    <x v="70"/>
    <x v="27"/>
    <n v="6.3"/>
    <n v="2"/>
    <s v="Fed"/>
    <s v="cc61126a-5562-44df-b0af-449c2e25745f"/>
    <n v="0"/>
    <s v="0:Nacho Casas"/>
    <s v="0:Nachete"/>
    <s v=""/>
    <s v=""/>
    <m/>
    <s v="45276:Nacho Casas"/>
    <n v="1"/>
  </r>
  <r>
    <x v="70"/>
    <x v="16"/>
    <n v="6"/>
    <n v="2"/>
    <s v="Fed"/>
    <s v="e640b7b7-3e6c-47be-a3e1-da30e023329a"/>
    <n v="0"/>
    <s v="0:Nacho Gonzalez"/>
    <s v="0:Nacho"/>
    <s v=""/>
    <s v=""/>
    <m/>
    <s v="45276:Nacho Gonzalez"/>
    <n v="1"/>
  </r>
  <r>
    <x v="70"/>
    <x v="28"/>
    <n v="16.100000000000001"/>
    <n v="3"/>
    <s v="Fed"/>
    <s v="fd28177e-4c59-42fa-a47c-92bbd32ad373"/>
    <n v="0"/>
    <s v="0:Ruslan Kochman"/>
    <s v="0:Rus"/>
    <s v=""/>
    <s v=""/>
    <m/>
    <s v="45276:Ruslan Kochman"/>
    <n v="1"/>
  </r>
  <r>
    <x v="70"/>
    <x v="32"/>
    <n v="16.399999999999999"/>
    <n v="3"/>
    <s v="Fed"/>
    <s v="c39d3d1f-60c3-4e00-8d8d-57b6b1427bf0"/>
    <n v="0"/>
    <s v="0:Santi Diaz"/>
    <s v="0:Santi"/>
    <s v=""/>
    <s v=""/>
    <m/>
    <s v="45276:Santi Diaz"/>
    <n v="1"/>
  </r>
  <r>
    <x v="71"/>
    <x v="30"/>
    <n v="1.2"/>
    <n v="1"/>
    <s v="Fed"/>
    <s v="976f75f5-b70e-42e5-adfa-adaa294f117d"/>
    <n v="0"/>
    <s v="0:Alejandro Arcos"/>
    <s v="0:Alex"/>
    <s v=""/>
    <s v=""/>
    <m/>
    <s v="45332:Alejandro Arcos"/>
    <n v="1"/>
  </r>
  <r>
    <x v="71"/>
    <x v="0"/>
    <n v="11.3"/>
    <n v="2"/>
    <s v="Fed"/>
    <s v="eed7fcaf-0924-4cb4-808b-02311943ff45"/>
    <n v="0"/>
    <s v="0:Alfonso Hidalgo"/>
    <s v="0:Alfonso"/>
    <s v=""/>
    <s v=""/>
    <m/>
    <s v="45332:Alfonso Hidalgo"/>
    <n v="1"/>
  </r>
  <r>
    <x v="71"/>
    <x v="22"/>
    <n v="14.1"/>
    <n v="3"/>
    <s v="Fed"/>
    <s v="5c686798-ca99-4c1e-83b0-aa36f509f870"/>
    <n v="0"/>
    <s v="0:Alfonso Zorrilla"/>
    <s v="0:A Zorrilla"/>
    <s v=""/>
    <s v=""/>
    <m/>
    <s v="45332:Alfonso Zorrilla"/>
    <n v="1"/>
  </r>
  <r>
    <x v="71"/>
    <x v="1"/>
    <n v="5.0999999999999996"/>
    <n v="2"/>
    <s v="Fed"/>
    <s v="c0efe7d1-6f1b-40f1-a3ca-5d30b57af715"/>
    <n v="0"/>
    <s v="0:Alvaro Aguirre"/>
    <s v="0:Gifu"/>
    <s v=""/>
    <s v=""/>
    <m/>
    <s v="45332:Alvaro Aguirre"/>
    <n v="1"/>
  </r>
  <r>
    <x v="71"/>
    <x v="23"/>
    <n v="9.1000000000000032"/>
    <n v="2"/>
    <s v="Fed"/>
    <s v="ae8efe9c-30b2-421e-bd9e-46b74a137c00"/>
    <n v="0"/>
    <s v="0:Alvaro Montoya"/>
    <s v="0:Monti"/>
    <s v=""/>
    <s v=""/>
    <m/>
    <s v="45332:Alvaro Montoya"/>
    <n v="1"/>
  </r>
  <r>
    <x v="71"/>
    <x v="2"/>
    <n v="12.9"/>
    <n v="3"/>
    <s v="Fed"/>
    <s v="22139e8c-1219-4bd2-9ab0-ab611c469507"/>
    <n v="0"/>
    <s v="0:Alvaro Nieto"/>
    <s v="0:Alvaro"/>
    <s v=""/>
    <s v=""/>
    <m/>
    <s v="45332:Alvaro Nieto"/>
    <n v="1"/>
  </r>
  <r>
    <x v="71"/>
    <x v="3"/>
    <n v="8"/>
    <n v="2"/>
    <s v="Fed"/>
    <s v="2303de0a-38ca-4b12-9a9b-cd8ab19ec65e"/>
    <n v="0"/>
    <s v="0:Angel Hernandez"/>
    <s v="0:Angel"/>
    <s v=""/>
    <s v=""/>
    <m/>
    <s v="45332:Angel Hernandez"/>
    <n v="1"/>
  </r>
  <r>
    <x v="71"/>
    <x v="31"/>
    <n v="19.2"/>
    <n v="4"/>
    <s v="Fed"/>
    <s v="e4b3c37c-b1a7-406f-a216-dada84c7860d"/>
    <n v="0"/>
    <s v="0:Antonio Carmona"/>
    <s v="0:Antonio"/>
    <s v=""/>
    <s v=""/>
    <m/>
    <s v="45332:Antonio Carmona"/>
    <n v="1"/>
  </r>
  <r>
    <x v="71"/>
    <x v="34"/>
    <n v="1"/>
    <n v="1"/>
    <s v="Fed"/>
    <s v="0fd5615d-be9e-457e-9807-70520e0bdb5b"/>
    <n v="0"/>
    <s v="0:Carlos Maestro"/>
    <s v="0:Carlitos"/>
    <s v=""/>
    <s v=""/>
    <m/>
    <s v="45332:Carlos Maestro"/>
    <n v="1"/>
  </r>
  <r>
    <x v="71"/>
    <x v="4"/>
    <n v="11.4"/>
    <n v="2"/>
    <s v="Fed"/>
    <s v="da365cde-6c5d-4f84-a004-c1310d2917c8"/>
    <n v="0"/>
    <s v="0:David Sequera"/>
    <s v="0:David"/>
    <s v=""/>
    <s v=""/>
    <m/>
    <s v="45332:David Sequera"/>
    <n v="1"/>
  </r>
  <r>
    <x v="71"/>
    <x v="39"/>
    <n v="13.1"/>
    <n v="3"/>
    <s v="Fed"/>
    <s v="13bca8b6-b104-48be-9402-7063de322142"/>
    <n v="0"/>
    <s v="0:Eduardo Buendía"/>
    <s v="0:Eduardo"/>
    <s v=""/>
    <s v=""/>
    <m/>
    <s v="45332:Eduardo Buendía"/>
    <n v="1"/>
  </r>
  <r>
    <x v="71"/>
    <x v="29"/>
    <n v="12.7"/>
    <n v="3"/>
    <s v="Fed"/>
    <s v="230c92fd-6d0f-42ab-8d55-8fd4285639df"/>
    <n v="0"/>
    <s v="0:Enrique Gonzalez R"/>
    <s v="0:Enrique"/>
    <s v=""/>
    <s v=""/>
    <m/>
    <s v="45332:Enrique Gonzalez R"/>
    <n v="1"/>
  </r>
  <r>
    <x v="71"/>
    <x v="5"/>
    <n v="15.2"/>
    <n v="3"/>
    <s v="Fed"/>
    <s v="c8db0fcc-dbb3-4114-afd2-4c6110979313"/>
    <n v="0"/>
    <s v="0:Francisco Alvarez"/>
    <s v="0:Paco"/>
    <s v=""/>
    <s v=""/>
    <m/>
    <s v="45332:Francisco Alvarez"/>
    <n v="1"/>
  </r>
  <r>
    <x v="71"/>
    <x v="6"/>
    <n v="12.6"/>
    <n v="3"/>
    <s v="Fed"/>
    <s v="d6b68b77-e812-485b-a668-7990a63807da"/>
    <n v="0"/>
    <s v="0:Francisco Hidalgo"/>
    <s v="0:Fran"/>
    <s v=""/>
    <s v=""/>
    <m/>
    <s v="45332:Francisco Hidalgo"/>
    <n v="1"/>
  </r>
  <r>
    <x v="71"/>
    <x v="24"/>
    <n v="14.5"/>
    <n v="3"/>
    <s v="Fed"/>
    <s v="a7e2a3ef-ad26-43e3-ba81-dcde9f6b3c0d"/>
    <n v="0"/>
    <s v="0:Franck Benouniche"/>
    <s v="0:Franck"/>
    <s v=""/>
    <s v=""/>
    <m/>
    <s v="45332:Franck Benouniche"/>
    <n v="1"/>
  </r>
  <r>
    <x v="71"/>
    <x v="7"/>
    <n v="20.5"/>
    <n v="4"/>
    <s v="Fed"/>
    <s v="22f1fe00-d2c0-449f-9f17-d4c7934d1bc6"/>
    <n v="0"/>
    <s v="0:GLEZ JUAN JOSÉ"/>
    <s v="0:Juanjo"/>
    <s v=""/>
    <s v=""/>
    <m/>
    <s v="45332:GLEZ JUAN JOSÉ"/>
    <n v="1"/>
  </r>
  <r>
    <x v="71"/>
    <x v="8"/>
    <n v="8.1"/>
    <n v="2"/>
    <s v="Fed"/>
    <s v="d153fe64-513e-4bbd-8713-65ffa0ffe2fe"/>
    <n v="0"/>
    <s v="0:Ignacio Cadarso"/>
    <s v="0:Ignacio"/>
    <s v=""/>
    <s v=""/>
    <m/>
    <s v="45332:Ignacio Cadarso"/>
    <n v="1"/>
  </r>
  <r>
    <x v="71"/>
    <x v="37"/>
    <n v="23.7"/>
    <n v="4"/>
    <s v="Fed"/>
    <s v="6c562d87-06b8-4c3f-995b-6423b710e798"/>
    <n v="0"/>
    <s v="0:Ignacio Gracia Charlez"/>
    <s v="0:I Gracia"/>
    <s v=""/>
    <s v=""/>
    <m/>
    <s v="45332:Ignacio Gracia Charlez"/>
    <n v="1"/>
  </r>
  <r>
    <x v="71"/>
    <x v="10"/>
    <n v="18.899999999999999"/>
    <n v="4"/>
    <s v="Fed"/>
    <s v="2d13c3ca-a62b-4a4f-b8a4-08f8abb42f81"/>
    <n v="0"/>
    <s v="0:J. Enrique Gonzalez"/>
    <s v="0:Kike"/>
    <s v=""/>
    <s v=""/>
    <m/>
    <s v="45332:J. Enrique Gonzalez"/>
    <n v="1"/>
  </r>
  <r>
    <x v="71"/>
    <x v="35"/>
    <n v="8.9"/>
    <n v="2"/>
    <s v="Fed"/>
    <s v="3ee7f524-adc0-4b18-8dc2-e36772514fc6"/>
    <n v="0"/>
    <s v="0:Jaime Villanueva"/>
    <s v="0:Villanueva"/>
    <s v=""/>
    <s v=""/>
    <m/>
    <s v="45332:Jaime Villanueva"/>
    <n v="1"/>
  </r>
  <r>
    <x v="71"/>
    <x v="41"/>
    <n v="11.6"/>
    <n v="3"/>
    <s v="Fed"/>
    <s v="991ffd38-2195-4a02-8d98-10eec23fd40a"/>
    <n v="0"/>
    <s v="0:Javier Arcos"/>
    <s v="0:J.Arcos"/>
    <s v=""/>
    <s v=""/>
    <m/>
    <s v="45332:Javier Arcos"/>
    <n v="1"/>
  </r>
  <r>
    <x v="71"/>
    <x v="42"/>
    <n v="11.199999999999992"/>
    <n v="2"/>
    <s v="Fed"/>
    <s v="f850900c-2cbf-47cd-89a5-b55bde6ab622"/>
    <n v="0"/>
    <s v="0:Javier Campo"/>
    <s v="0:Campo"/>
    <s v=""/>
    <s v=""/>
    <m/>
    <s v="45332:Javier Campo"/>
    <n v="1"/>
  </r>
  <r>
    <x v="71"/>
    <x v="11"/>
    <n v="16.600000000000001"/>
    <n v="3"/>
    <s v="Fed"/>
    <s v="4493d264-0e12-4c96-ae27-f69d96a3d724"/>
    <n v="0"/>
    <s v="0:Javier Cervera"/>
    <s v="0:Virus"/>
    <s v=""/>
    <s v=""/>
    <m/>
    <s v="45332:Javier Cervera"/>
    <n v="1"/>
  </r>
  <r>
    <x v="71"/>
    <x v="25"/>
    <n v="10.1"/>
    <n v="2"/>
    <s v="Fed"/>
    <s v="a1342279-ffc1-440f-bbea-2d980391355a"/>
    <n v="0"/>
    <s v="0:Javier Chiralt"/>
    <s v="0:Chiralt"/>
    <s v=""/>
    <s v=""/>
    <m/>
    <s v="45332:Javier Chiralt"/>
    <n v="1"/>
  </r>
  <r>
    <x v="71"/>
    <x v="12"/>
    <n v="17.5"/>
    <n v="3"/>
    <s v="Fed"/>
    <s v="d0927126-8a8b-458f-80b0-6fb199c0ac1e"/>
    <n v="0"/>
    <s v="0:Javier Gonzalez Salvador"/>
    <s v="0:Javi"/>
    <s v=""/>
    <s v=""/>
    <m/>
    <s v="45332:Javier Gonzalez Salvador"/>
    <n v="1"/>
  </r>
  <r>
    <x v="71"/>
    <x v="26"/>
    <n v="20.9"/>
    <n v="4"/>
    <s v="Fed"/>
    <s v="56d16138-409f-40c2-b89d-84801908095a"/>
    <n v="0"/>
    <s v="0:Javier Lopez Gullón"/>
    <s v="0:Cuñao"/>
    <s v=""/>
    <s v=""/>
    <m/>
    <s v="45332:Javier Lopez Gullón"/>
    <n v="1"/>
  </r>
  <r>
    <x v="71"/>
    <x v="13"/>
    <n v="22.2"/>
    <n v="4"/>
    <s v="Fed"/>
    <s v="9af82436-773d-49ee-a075-5505bd7a99f2"/>
    <n v="0"/>
    <s v="0:Jesus Touceda"/>
    <s v="0:Jesús"/>
    <s v=""/>
    <s v=""/>
    <m/>
    <s v="45332:Jesus Touceda"/>
    <n v="1"/>
  </r>
  <r>
    <x v="71"/>
    <x v="38"/>
    <n v="21.1"/>
    <n v="4"/>
    <s v="Fed"/>
    <s v="56c53264-9f33-419a-bb91-7d464580da0c"/>
    <n v="0"/>
    <s v="0:Jorge Alberto Martínez Sánchez"/>
    <s v="0:Jorge"/>
    <s v=""/>
    <s v=""/>
    <m/>
    <s v="45332:Jorge Alberto Martínez Sánchez"/>
    <n v="1"/>
  </r>
  <r>
    <x v="71"/>
    <x v="45"/>
    <n v="26.499999999999986"/>
    <n v="4"/>
    <s v="Fed"/>
    <s v="e6760427-7523-4ec9-b607-32453b65d45b"/>
    <n v="0"/>
    <s v="0:Jose Antonio Santana"/>
    <s v="0:J Antonio"/>
    <s v=""/>
    <s v=""/>
    <m/>
    <s v="45332:Jose Antonio Santana"/>
    <n v="1"/>
  </r>
  <r>
    <x v="71"/>
    <x v="14"/>
    <n v="8.1"/>
    <n v="2"/>
    <s v="Fed"/>
    <s v="22a4c9ad-dd71-4445-b6ce-53fcc4589b20"/>
    <n v="0"/>
    <s v="0:José Pablo Guil"/>
    <s v="0:JP"/>
    <s v=""/>
    <s v=""/>
    <m/>
    <s v="45332:José Pablo Guil"/>
    <n v="1"/>
  </r>
  <r>
    <x v="71"/>
    <x v="36"/>
    <n v="20.6"/>
    <n v="4"/>
    <s v="Fed"/>
    <s v="df9e4c83-a725-4895-b6cd-8dd80414502d"/>
    <n v="0"/>
    <s v="0:Juan Jose Aguado"/>
    <s v="0:Juancho"/>
    <s v=""/>
    <s v=""/>
    <m/>
    <s v="45332:Juan Jose Aguado"/>
    <n v="1"/>
  </r>
  <r>
    <x v="71"/>
    <x v="44"/>
    <n v="9.9"/>
    <n v="2"/>
    <s v="Fed"/>
    <s v="dcb9a3da-2c5f-4e5c-b529-34bc4fcc99c4"/>
    <n v="0"/>
    <s v="0:Luis Fernandez"/>
    <s v="0:Luis"/>
    <s v=""/>
    <s v=""/>
    <m/>
    <s v="45332:Luis Fernandez"/>
    <n v="1"/>
  </r>
  <r>
    <x v="71"/>
    <x v="21"/>
    <n v="19"/>
    <n v="4"/>
    <s v="Fed"/>
    <s v="af58d53e-c2cc-4dce-9ab6-6f49b94d4e98"/>
    <n v="0"/>
    <s v="0:Miche Lopez"/>
    <s v="0:Miche"/>
    <s v=""/>
    <s v=""/>
    <m/>
    <s v="45332:Miche Lopez"/>
    <n v="1"/>
  </r>
  <r>
    <x v="71"/>
    <x v="27"/>
    <n v="6.2"/>
    <n v="2"/>
    <s v="Fed"/>
    <s v="06810b71-d1db-4236-9a56-e33294099bd8"/>
    <n v="0"/>
    <s v="0:Nacho Casas"/>
    <s v="0:Nachete"/>
    <s v=""/>
    <s v=""/>
    <m/>
    <s v="45332:Nacho Casas"/>
    <n v="1"/>
  </r>
  <r>
    <x v="71"/>
    <x v="16"/>
    <n v="6"/>
    <n v="2"/>
    <s v="Fed"/>
    <s v="551f278e-8038-4250-9c04-cb24ba6891ae"/>
    <n v="0"/>
    <s v="0:Nacho Gonzalez"/>
    <s v="0:Nacho"/>
    <s v=""/>
    <s v=""/>
    <m/>
    <s v="45332:Nacho Gonzalez"/>
    <n v="1"/>
  </r>
  <r>
    <x v="71"/>
    <x v="28"/>
    <n v="16.100000000000001"/>
    <n v="3"/>
    <s v="Fed"/>
    <s v="ac1a1eaf-cdf3-492d-8984-bfe63de40fdd"/>
    <n v="0"/>
    <s v="0:Ruslan Kochman"/>
    <s v="0:Rus"/>
    <s v=""/>
    <s v=""/>
    <m/>
    <s v="45332:Ruslan Kochman"/>
    <n v="1"/>
  </r>
  <r>
    <x v="71"/>
    <x v="32"/>
    <n v="16.399999999999999"/>
    <n v="3"/>
    <s v="Fed"/>
    <s v="baacd874-5c48-440b-8eb2-7fd8b8bb46d5"/>
    <n v="0"/>
    <s v="0:Santi Diaz"/>
    <s v="0:Santi"/>
    <s v=""/>
    <s v=""/>
    <m/>
    <s v="45332:Santi Diaz"/>
    <n v="1"/>
  </r>
  <r>
    <x v="72"/>
    <x v="30"/>
    <n v="1.2"/>
    <n v="1"/>
    <s v="Fed"/>
    <s v="ec45820b-cd7c-42f8-bc48-0253357b16b5"/>
    <n v="0"/>
    <s v="0:Alejandro Arcos"/>
    <s v="0:Alex"/>
    <s v=""/>
    <s v=""/>
    <m/>
    <s v="45346:Alejandro Arcos"/>
    <n v="1"/>
  </r>
  <r>
    <x v="72"/>
    <x v="0"/>
    <n v="11.3"/>
    <n v="2"/>
    <s v="Fed"/>
    <s v="6ba8ebc1-4edf-42dc-a6f2-0e61bdbfb00c"/>
    <n v="0"/>
    <s v="0:Alfonso Hidalgo"/>
    <s v="0:Alfonso"/>
    <s v=""/>
    <s v=""/>
    <m/>
    <s v="45346:Alfonso Hidalgo"/>
    <n v="1"/>
  </r>
  <r>
    <x v="72"/>
    <x v="22"/>
    <n v="14.1"/>
    <n v="3"/>
    <s v="Fed"/>
    <s v="888062e7-9205-4108-94e9-27d30a9c0935"/>
    <n v="0"/>
    <s v="0:Alfonso Zorrilla"/>
    <s v="0:A Zorrilla"/>
    <s v=""/>
    <s v=""/>
    <m/>
    <s v="45346:Alfonso Zorrilla"/>
    <n v="1"/>
  </r>
  <r>
    <x v="72"/>
    <x v="1"/>
    <n v="5.0999999999999996"/>
    <n v="2"/>
    <s v="Fed"/>
    <s v="7b70bd63-5610-4b5b-a326-33bf1d439215"/>
    <n v="0"/>
    <s v="0:Alvaro Aguirre"/>
    <s v="0:Gifu"/>
    <s v=""/>
    <s v=""/>
    <m/>
    <s v="45346:Alvaro Aguirre"/>
    <n v="1"/>
  </r>
  <r>
    <x v="72"/>
    <x v="23"/>
    <n v="9.1000000000000032"/>
    <n v="2"/>
    <s v="Fed"/>
    <s v="e589df66-e26d-42a4-860d-a89c79d6a15b"/>
    <n v="0"/>
    <s v="0:Alvaro Montoya"/>
    <s v="0:Monti"/>
    <s v=""/>
    <s v=""/>
    <m/>
    <s v="45346:Alvaro Montoya"/>
    <n v="1"/>
  </r>
  <r>
    <x v="72"/>
    <x v="2"/>
    <n v="12.9"/>
    <n v="3"/>
    <s v="Fed"/>
    <s v="97be3962-5c0b-445d-806c-5092a7119843"/>
    <n v="0"/>
    <s v="0:Alvaro Nieto"/>
    <s v="0:Alvaro"/>
    <s v=""/>
    <s v=""/>
    <m/>
    <s v="45346:Alvaro Nieto"/>
    <n v="1"/>
  </r>
  <r>
    <x v="72"/>
    <x v="3"/>
    <n v="8"/>
    <n v="2"/>
    <s v="Fed"/>
    <s v="310188fa-afb4-49a9-a567-b359a5467557"/>
    <n v="0"/>
    <s v="0:Angel Hernandez"/>
    <s v="0:Angel"/>
    <s v=""/>
    <s v=""/>
    <m/>
    <s v="45346:Angel Hernandez"/>
    <n v="1"/>
  </r>
  <r>
    <x v="72"/>
    <x v="31"/>
    <n v="19.2"/>
    <n v="4"/>
    <s v="Fed"/>
    <s v="12f35cce-e742-4dc6-acbf-5297323c2961"/>
    <n v="0"/>
    <s v="0:Antonio Carmona"/>
    <s v="0:Antonio"/>
    <s v=""/>
    <s v=""/>
    <m/>
    <s v="45346:Antonio Carmona"/>
    <n v="1"/>
  </r>
  <r>
    <x v="72"/>
    <x v="34"/>
    <n v="1"/>
    <n v="1"/>
    <s v="Fed"/>
    <s v="9f127961-2684-4e91-86f0-0d9ee73a8524"/>
    <n v="0"/>
    <s v="0:Carlos Maestro"/>
    <s v="0:Carlitos"/>
    <s v=""/>
    <s v=""/>
    <m/>
    <s v="45346:Carlos Maestro"/>
    <n v="1"/>
  </r>
  <r>
    <x v="72"/>
    <x v="4"/>
    <n v="11.4"/>
    <n v="2"/>
    <s v="Fed"/>
    <s v="ba7e8901-6d89-468b-be0e-599c272c432f"/>
    <n v="0"/>
    <s v="0:David Sequera"/>
    <s v="0:David"/>
    <s v=""/>
    <s v=""/>
    <m/>
    <s v="45346:David Sequera"/>
    <n v="1"/>
  </r>
  <r>
    <x v="72"/>
    <x v="39"/>
    <n v="13.1"/>
    <n v="3"/>
    <s v="Fed"/>
    <s v="e25d3a5c-5ac0-42b8-b5d0-cde4f3a14f5f"/>
    <n v="0"/>
    <s v="0:Eduardo Buendía"/>
    <s v="0:Eduardo"/>
    <s v=""/>
    <s v=""/>
    <m/>
    <s v="45346:Eduardo Buendía"/>
    <n v="1"/>
  </r>
  <r>
    <x v="72"/>
    <x v="29"/>
    <n v="12.7"/>
    <n v="3"/>
    <s v="Fed"/>
    <s v="45041e9f-99be-4a79-b7d4-e78f2bd59163"/>
    <n v="0"/>
    <s v="0:Enrique Gonzalez R"/>
    <s v="0:Enrique"/>
    <s v=""/>
    <s v=""/>
    <m/>
    <s v="45346:Enrique Gonzalez R"/>
    <n v="1"/>
  </r>
  <r>
    <x v="72"/>
    <x v="5"/>
    <n v="15.2"/>
    <n v="3"/>
    <s v="Fed"/>
    <s v="59f403ec-69f1-4dcb-8696-3bceb9fa7e9b"/>
    <n v="0"/>
    <s v="0:Francisco Alvarez"/>
    <s v="0:Paco"/>
    <s v=""/>
    <s v=""/>
    <m/>
    <s v="45346:Francisco Alvarez"/>
    <n v="1"/>
  </r>
  <r>
    <x v="72"/>
    <x v="6"/>
    <n v="12.6"/>
    <n v="3"/>
    <s v="Fed"/>
    <s v="095cf8f8-84ff-476e-8c87-8710421d14fb"/>
    <n v="0"/>
    <s v="0:Francisco Hidalgo"/>
    <s v="0:Fran"/>
    <s v=""/>
    <s v=""/>
    <m/>
    <s v="45346:Francisco Hidalgo"/>
    <n v="1"/>
  </r>
  <r>
    <x v="72"/>
    <x v="24"/>
    <n v="14.5"/>
    <n v="3"/>
    <s v="Fed"/>
    <s v="1e213d08-1a3a-4765-bfc2-7d233744db26"/>
    <n v="0"/>
    <s v="0:Franck Benouniche"/>
    <s v="0:Franck"/>
    <s v=""/>
    <s v=""/>
    <m/>
    <s v="45346:Franck Benouniche"/>
    <n v="1"/>
  </r>
  <r>
    <x v="72"/>
    <x v="7"/>
    <n v="20.5"/>
    <n v="4"/>
    <s v="Fed"/>
    <s v="c502faf4-83d5-41e2-ab8a-a396e34ea33a"/>
    <n v="0"/>
    <s v="0:GLEZ JUAN JOSÉ"/>
    <s v="0:Juanjo"/>
    <s v=""/>
    <s v=""/>
    <m/>
    <s v="45346:GLEZ JUAN JOSÉ"/>
    <n v="1"/>
  </r>
  <r>
    <x v="72"/>
    <x v="8"/>
    <n v="8.1"/>
    <n v="2"/>
    <s v="Fed"/>
    <s v="e6bc8907-c816-442e-a92b-c9c889d4477d"/>
    <n v="0"/>
    <s v="0:Ignacio Cadarso"/>
    <s v="0:Ignacio"/>
    <s v=""/>
    <s v=""/>
    <m/>
    <s v="45346:Ignacio Cadarso"/>
    <n v="1"/>
  </r>
  <r>
    <x v="72"/>
    <x v="37"/>
    <n v="23.7"/>
    <n v="4"/>
    <s v="Fed"/>
    <s v="9016ac38-b538-4cdd-b409-3202ffb67bd3"/>
    <n v="0"/>
    <s v="0:Ignacio Gracia Charlez"/>
    <s v="0:I Gracia"/>
    <s v=""/>
    <s v=""/>
    <m/>
    <s v="45346:Ignacio Gracia Charlez"/>
    <n v="1"/>
  </r>
  <r>
    <x v="72"/>
    <x v="10"/>
    <n v="18.899999999999999"/>
    <n v="4"/>
    <s v="Fed"/>
    <s v="d4993515-b2b3-4820-8ad7-de50090fae23"/>
    <n v="0"/>
    <s v="0:J. Enrique Gonzalez"/>
    <s v="0:Kike"/>
    <s v=""/>
    <s v=""/>
    <m/>
    <s v="45346:J. Enrique Gonzalez"/>
    <n v="1"/>
  </r>
  <r>
    <x v="72"/>
    <x v="35"/>
    <n v="8.9"/>
    <n v="2"/>
    <s v="Fed"/>
    <s v="e23a19af-696a-4b50-8b67-f075928dddad"/>
    <n v="0"/>
    <s v="0:Jaime Villanueva"/>
    <s v="0:Villanueva"/>
    <s v=""/>
    <s v=""/>
    <m/>
    <s v="45346:Jaime Villanueva"/>
    <n v="1"/>
  </r>
  <r>
    <x v="72"/>
    <x v="41"/>
    <n v="11.6"/>
    <n v="3"/>
    <s v="Fed"/>
    <s v="7b52aef9-46c5-495f-963a-92f7a2773e1d"/>
    <n v="0"/>
    <s v="0:Javier Arcos"/>
    <s v="0:J.Arcos"/>
    <s v=""/>
    <s v=""/>
    <m/>
    <s v="45346:Javier Arcos"/>
    <n v="1"/>
  </r>
  <r>
    <x v="72"/>
    <x v="42"/>
    <n v="11.199999999999992"/>
    <n v="2"/>
    <s v="Fed"/>
    <s v="40bd1de3-e9fd-403f-9440-862f29f7feca"/>
    <n v="0"/>
    <s v="0:Javier Campo"/>
    <s v="0:Campo"/>
    <s v=""/>
    <s v=""/>
    <m/>
    <s v="45346:Javier Campo"/>
    <n v="1"/>
  </r>
  <r>
    <x v="72"/>
    <x v="11"/>
    <n v="16.600000000000001"/>
    <n v="3"/>
    <s v="Fed"/>
    <s v="80953e7f-58bf-4342-a7b7-49374554a37e"/>
    <n v="0"/>
    <s v="0:Javier Cervera"/>
    <s v="0:Virus"/>
    <s v=""/>
    <s v=""/>
    <m/>
    <s v="45346:Javier Cervera"/>
    <n v="1"/>
  </r>
  <r>
    <x v="72"/>
    <x v="25"/>
    <n v="10.1"/>
    <n v="2"/>
    <s v="Fed"/>
    <s v="a7ef0699-af3c-4c73-8659-8145b2607a8d"/>
    <n v="0"/>
    <s v="0:Javier Chiralt"/>
    <s v="0:Chiralt"/>
    <s v=""/>
    <s v=""/>
    <m/>
    <s v="45346:Javier Chiralt"/>
    <n v="1"/>
  </r>
  <r>
    <x v="72"/>
    <x v="12"/>
    <n v="17.5"/>
    <n v="3"/>
    <s v="Fed"/>
    <s v="cce2b921-2fae-4143-b8d9-cd901a0ea044"/>
    <n v="0"/>
    <s v="0:Javier Gonzalez Salvador"/>
    <s v="0:Javi"/>
    <s v=""/>
    <s v=""/>
    <m/>
    <s v="45346:Javier Gonzalez Salvador"/>
    <n v="1"/>
  </r>
  <r>
    <x v="72"/>
    <x v="26"/>
    <n v="20.9"/>
    <n v="4"/>
    <s v="Fed"/>
    <s v="abcf761b-ab32-4943-b084-c8b244ce5811"/>
    <n v="0"/>
    <s v="0:Javier Lopez Gullón"/>
    <s v="0:Cuñao"/>
    <s v=""/>
    <s v=""/>
    <m/>
    <s v="45346:Javier Lopez Gullón"/>
    <n v="1"/>
  </r>
  <r>
    <x v="72"/>
    <x v="13"/>
    <n v="22.2"/>
    <n v="4"/>
    <s v="Fed"/>
    <s v="2b05c13e-0d0a-4540-a5b4-6e0df5848d32"/>
    <n v="0"/>
    <s v="0:Jesus Touceda"/>
    <s v="0:Jesús"/>
    <s v=""/>
    <s v=""/>
    <m/>
    <s v="45346:Jesus Touceda"/>
    <n v="1"/>
  </r>
  <r>
    <x v="72"/>
    <x v="38"/>
    <n v="21.1"/>
    <n v="4"/>
    <s v="Fed"/>
    <s v="e9a29402-4c8b-45c8-9336-1e419ca86256"/>
    <n v="0"/>
    <s v="0:Jorge Alberto Martínez Sánchez"/>
    <s v="0:Jorge"/>
    <s v=""/>
    <s v=""/>
    <m/>
    <s v="45346:Jorge Alberto Martínez Sánchez"/>
    <n v="1"/>
  </r>
  <r>
    <x v="72"/>
    <x v="45"/>
    <n v="26.499999999999986"/>
    <n v="4"/>
    <s v="Fed"/>
    <s v="eff83137-340d-4b80-9a24-01a51968c177"/>
    <n v="0"/>
    <s v="0:Jose Antonio Santana"/>
    <s v="0:J Antonio"/>
    <s v=""/>
    <s v=""/>
    <m/>
    <s v="45346:Jose Antonio Santana"/>
    <n v="1"/>
  </r>
  <r>
    <x v="72"/>
    <x v="14"/>
    <n v="8.1"/>
    <n v="2"/>
    <s v="Fed"/>
    <s v="cd26e82e-f4d5-45da-a258-550b99365330"/>
    <n v="0"/>
    <s v="0:José Pablo Guil"/>
    <s v="0:JP"/>
    <s v=""/>
    <s v=""/>
    <m/>
    <s v="45346:José Pablo Guil"/>
    <n v="1"/>
  </r>
  <r>
    <x v="72"/>
    <x v="36"/>
    <n v="20.6"/>
    <n v="4"/>
    <s v="Fed"/>
    <s v="1bfe62e6-aebf-4246-97b8-9b74d1520349"/>
    <n v="0"/>
    <s v="0:Juan Jose Aguado"/>
    <s v="0:Juancho"/>
    <s v=""/>
    <s v=""/>
    <m/>
    <s v="45346:Juan Jose Aguado"/>
    <n v="1"/>
  </r>
  <r>
    <x v="72"/>
    <x v="44"/>
    <n v="9.9"/>
    <n v="2"/>
    <s v="Fed"/>
    <s v="d47a8a62-b494-4ac4-a8db-63cd31223f23"/>
    <n v="0"/>
    <s v="0:Luis Fernandez"/>
    <s v="0:Luis"/>
    <s v=""/>
    <s v=""/>
    <m/>
    <s v="45346:Luis Fernandez"/>
    <n v="1"/>
  </r>
  <r>
    <x v="72"/>
    <x v="21"/>
    <n v="19"/>
    <n v="4"/>
    <s v="Fed"/>
    <s v="a6e5025d-5906-4918-a836-25cfc6027c66"/>
    <n v="0"/>
    <s v="0:Miche Lopez"/>
    <s v="0:Miche"/>
    <s v=""/>
    <s v=""/>
    <m/>
    <s v="45346:Miche Lopez"/>
    <n v="1"/>
  </r>
  <r>
    <x v="72"/>
    <x v="27"/>
    <n v="6.2"/>
    <n v="2"/>
    <s v="Fed"/>
    <s v="3b110aa6-b4e7-4c45-b608-a229e35b43d7"/>
    <n v="0"/>
    <s v="0:Nacho Casas"/>
    <s v="0:Nachete"/>
    <s v=""/>
    <s v=""/>
    <m/>
    <s v="45346:Nacho Casas"/>
    <n v="1"/>
  </r>
  <r>
    <x v="72"/>
    <x v="16"/>
    <n v="6"/>
    <n v="2"/>
    <s v="Fed"/>
    <s v="82ddf960-6959-4346-8c87-36e232131eac"/>
    <n v="0"/>
    <s v="0:Nacho Gonzalez"/>
    <s v="0:Nacho"/>
    <s v=""/>
    <s v=""/>
    <m/>
    <s v="45346:Nacho Gonzalez"/>
    <n v="1"/>
  </r>
  <r>
    <x v="72"/>
    <x v="28"/>
    <n v="16.100000000000001"/>
    <n v="3"/>
    <s v="Fed"/>
    <s v="2b4f496d-5560-490a-9bfd-505df445c2d4"/>
    <n v="0"/>
    <s v="0:Ruslan Kochman"/>
    <s v="0:Rus"/>
    <s v=""/>
    <s v=""/>
    <m/>
    <s v="45346:Ruslan Kochman"/>
    <n v="1"/>
  </r>
  <r>
    <x v="72"/>
    <x v="32"/>
    <n v="16.399999999999999"/>
    <n v="3"/>
    <s v="Fed"/>
    <s v="7869e36b-13ed-41b7-88c4-523ff58903b1"/>
    <n v="0"/>
    <s v="0:Santi Diaz"/>
    <s v="0:Santi"/>
    <s v=""/>
    <s v=""/>
    <m/>
    <s v="45346:Santi Diaz"/>
    <n v="1"/>
  </r>
  <r>
    <x v="73"/>
    <x v="30"/>
    <n v="1.3"/>
    <n v="1"/>
    <s v="Fed"/>
    <m/>
    <n v="0"/>
    <s v="0:Alejandro Arcos"/>
    <s v="0:Alex"/>
    <s v=""/>
    <s v=""/>
    <m/>
    <s v="45360:Alejandro Arcos"/>
    <n v="1"/>
  </r>
  <r>
    <x v="73"/>
    <x v="0"/>
    <n v="11.3"/>
    <n v="2"/>
    <s v="Fed"/>
    <m/>
    <n v="0"/>
    <s v="0:Alfonso Hidalgo"/>
    <s v="0:Alfonso"/>
    <s v=""/>
    <s v=""/>
    <m/>
    <s v="45360:Alfonso Hidalgo"/>
    <n v="1"/>
  </r>
  <r>
    <x v="73"/>
    <x v="22"/>
    <n v="14.1"/>
    <n v="3"/>
    <s v="Fed"/>
    <m/>
    <n v="0"/>
    <s v="0:Alfonso Zorrilla"/>
    <s v="0:A Zorrilla"/>
    <s v=""/>
    <s v=""/>
    <m/>
    <s v="45360:Alfonso Zorrilla"/>
    <n v="1"/>
  </r>
  <r>
    <x v="73"/>
    <x v="1"/>
    <n v="5.0999999999999996"/>
    <n v="2"/>
    <s v="Fed"/>
    <m/>
    <n v="0"/>
    <s v="0:Alvaro Aguirre"/>
    <s v="0:Gifu"/>
    <s v=""/>
    <s v=""/>
    <m/>
    <s v="45360:Alvaro Aguirre"/>
    <n v="1"/>
  </r>
  <r>
    <x v="73"/>
    <x v="23"/>
    <n v="9.1000000000000032"/>
    <n v="2"/>
    <s v="Fed"/>
    <m/>
    <n v="0"/>
    <s v="0:Alvaro Montoya"/>
    <s v="0:Monti"/>
    <s v=""/>
    <s v=""/>
    <m/>
    <s v="45360:Alvaro Montoya"/>
    <n v="1"/>
  </r>
  <r>
    <x v="73"/>
    <x v="2"/>
    <n v="13.6"/>
    <n v="3"/>
    <s v="Fed"/>
    <m/>
    <n v="0"/>
    <s v="0:Alvaro Nieto"/>
    <s v="0:Alvaro"/>
    <s v=""/>
    <s v=""/>
    <m/>
    <s v="45360:Alvaro Nieto"/>
    <n v="1"/>
  </r>
  <r>
    <x v="73"/>
    <x v="3"/>
    <n v="7.8"/>
    <n v="2"/>
    <s v="Fed"/>
    <m/>
    <n v="0"/>
    <s v="0:Angel Hernandez"/>
    <s v="0:Angel"/>
    <s v=""/>
    <s v=""/>
    <m/>
    <s v="45360:Angel Hernandez"/>
    <n v="1"/>
  </r>
  <r>
    <x v="73"/>
    <x v="31"/>
    <n v="19.2"/>
    <n v="4"/>
    <s v="Fed"/>
    <m/>
    <n v="0"/>
    <s v="0:Antonio Carmona"/>
    <s v="0:Antonio"/>
    <s v=""/>
    <s v=""/>
    <m/>
    <s v="45360:Antonio Carmona"/>
    <n v="1"/>
  </r>
  <r>
    <x v="73"/>
    <x v="34"/>
    <n v="1"/>
    <n v="1"/>
    <s v="Fed"/>
    <m/>
    <n v="0"/>
    <s v="0:Carlos Maestro"/>
    <s v="0:Carlitos"/>
    <s v=""/>
    <s v=""/>
    <m/>
    <s v="45360:Carlos Maestro"/>
    <n v="1"/>
  </r>
  <r>
    <x v="73"/>
    <x v="4"/>
    <n v="12.8"/>
    <n v="3"/>
    <s v="Fed"/>
    <m/>
    <n v="0"/>
    <s v="0:David Sequera"/>
    <s v="0:David"/>
    <s v=""/>
    <s v=""/>
    <m/>
    <s v="45360:David Sequera"/>
    <n v="1"/>
  </r>
  <r>
    <x v="73"/>
    <x v="39"/>
    <n v="13.6"/>
    <n v="3"/>
    <s v="Fed"/>
    <m/>
    <n v="0"/>
    <s v="0:Eduardo Buendía"/>
    <s v="0:Eduardo"/>
    <s v=""/>
    <s v=""/>
    <m/>
    <s v="45360:Eduardo Buendía"/>
    <n v="1"/>
  </r>
  <r>
    <x v="73"/>
    <x v="29"/>
    <n v="13"/>
    <n v="3"/>
    <s v="Fed"/>
    <m/>
    <n v="0"/>
    <s v="0:Enrique Gonzalez R"/>
    <s v="0:Enrique"/>
    <s v=""/>
    <s v=""/>
    <m/>
    <s v="45360:Enrique Gonzalez R"/>
    <n v="1"/>
  </r>
  <r>
    <x v="73"/>
    <x v="5"/>
    <n v="15.2"/>
    <n v="3"/>
    <s v="Fed"/>
    <m/>
    <n v="0"/>
    <s v="0:Francisco Alvarez"/>
    <s v="0:Paco"/>
    <s v=""/>
    <s v=""/>
    <m/>
    <s v="45360:Francisco Alvarez"/>
    <n v="1"/>
  </r>
  <r>
    <x v="73"/>
    <x v="6"/>
    <n v="12.7"/>
    <n v="3"/>
    <s v="Fed"/>
    <m/>
    <n v="0"/>
    <s v="0:Francisco Hidalgo"/>
    <s v="0:Fran"/>
    <s v=""/>
    <s v=""/>
    <m/>
    <s v="45360:Francisco Hidalgo"/>
    <n v="1"/>
  </r>
  <r>
    <x v="73"/>
    <x v="24"/>
    <n v="15"/>
    <n v="3"/>
    <s v="Fed"/>
    <m/>
    <n v="0"/>
    <s v="0:Franck Benouniche"/>
    <s v="0:Franck"/>
    <s v=""/>
    <s v=""/>
    <m/>
    <s v="45360:Franck Benouniche"/>
    <n v="1"/>
  </r>
  <r>
    <x v="73"/>
    <x v="7"/>
    <n v="20.9"/>
    <n v="4"/>
    <s v="Fed"/>
    <m/>
    <n v="0"/>
    <s v="0:GLEZ JUAN JOSÉ"/>
    <s v="0:Juanjo"/>
    <s v=""/>
    <s v=""/>
    <m/>
    <s v="45360:GLEZ JUAN JOSÉ"/>
    <n v="1"/>
  </r>
  <r>
    <x v="73"/>
    <x v="8"/>
    <n v="8.1"/>
    <n v="2"/>
    <s v="Fed"/>
    <m/>
    <n v="0"/>
    <s v="0:Ignacio Cadarso"/>
    <s v="0:Ignacio"/>
    <s v=""/>
    <s v=""/>
    <m/>
    <s v="45360:Ignacio Cadarso"/>
    <n v="1"/>
  </r>
  <r>
    <x v="73"/>
    <x v="37"/>
    <n v="23.7"/>
    <n v="4"/>
    <s v="Fed"/>
    <m/>
    <n v="0"/>
    <s v="0:Ignacio Gracia Charlez"/>
    <s v="0:I Gracia"/>
    <s v=""/>
    <s v=""/>
    <m/>
    <s v="45360:Ignacio Gracia Charlez"/>
    <n v="1"/>
  </r>
  <r>
    <x v="73"/>
    <x v="10"/>
    <n v="18.899999999999999"/>
    <n v="4"/>
    <s v="Fed"/>
    <m/>
    <n v="0"/>
    <s v="0:J. Enrique Gonzalez"/>
    <s v="0:Kike"/>
    <s v=""/>
    <s v=""/>
    <m/>
    <s v="45360:J. Enrique Gonzalez"/>
    <n v="1"/>
  </r>
  <r>
    <x v="73"/>
    <x v="35"/>
    <n v="8.9"/>
    <n v="2"/>
    <s v="Fed"/>
    <m/>
    <n v="0"/>
    <s v="0:Jaime Villanueva"/>
    <s v="0:Villanueva"/>
    <s v=""/>
    <s v=""/>
    <m/>
    <s v="45360:Jaime Villanueva"/>
    <n v="1"/>
  </r>
  <r>
    <x v="73"/>
    <x v="41"/>
    <n v="11.6"/>
    <n v="3"/>
    <s v="Fed"/>
    <m/>
    <n v="0"/>
    <s v="0:Javier Arcos"/>
    <s v="0:J.Arcos"/>
    <s v=""/>
    <s v=""/>
    <m/>
    <s v="45360:Javier Arcos"/>
    <n v="1"/>
  </r>
  <r>
    <x v="73"/>
    <x v="42"/>
    <n v="11.199999999999992"/>
    <n v="2"/>
    <s v="Fed"/>
    <m/>
    <n v="0"/>
    <s v="0:Javier Campo"/>
    <s v="0:Campo"/>
    <s v=""/>
    <s v=""/>
    <m/>
    <s v="45360:Javier Campo"/>
    <n v="1"/>
  </r>
  <r>
    <x v="73"/>
    <x v="11"/>
    <n v="17.100000000000001"/>
    <n v="3"/>
    <s v="Fed"/>
    <m/>
    <n v="0"/>
    <s v="0:Javier Cervera"/>
    <s v="0:Virus"/>
    <s v=""/>
    <s v=""/>
    <m/>
    <s v="45360:Javier Cervera"/>
    <n v="1"/>
  </r>
  <r>
    <x v="73"/>
    <x v="25"/>
    <n v="10.1"/>
    <n v="2"/>
    <s v="Fed"/>
    <m/>
    <n v="0"/>
    <s v="0:Javier Chiralt"/>
    <s v="0:Chiralt"/>
    <s v=""/>
    <s v=""/>
    <m/>
    <s v="45360:Javier Chiralt"/>
    <n v="1"/>
  </r>
  <r>
    <x v="73"/>
    <x v="46"/>
    <n v="16.7"/>
    <n v="3"/>
    <s v="Fed"/>
    <m/>
    <n v="0"/>
    <s v="0:Javier Dodero de Solano"/>
    <s v="0:Dodero"/>
    <s v=""/>
    <s v=""/>
    <m/>
    <s v="45360:Javier Dodero de Solano"/>
    <n v="1"/>
  </r>
  <r>
    <x v="73"/>
    <x v="12"/>
    <n v="18"/>
    <n v="3"/>
    <s v="Fed"/>
    <m/>
    <n v="0"/>
    <s v="0:Javier Gonzalez Salvador"/>
    <s v="0:Javi"/>
    <s v=""/>
    <s v=""/>
    <m/>
    <s v="45360:Javier Gonzalez Salvador"/>
    <n v="1"/>
  </r>
  <r>
    <x v="73"/>
    <x v="26"/>
    <n v="20.9"/>
    <n v="4"/>
    <s v="Fed"/>
    <m/>
    <n v="0"/>
    <s v="0:Javier Lopez Gullón"/>
    <s v="0:Cuñao"/>
    <s v=""/>
    <s v=""/>
    <m/>
    <s v="45360:Javier Lopez Gullón"/>
    <n v="1"/>
  </r>
  <r>
    <x v="73"/>
    <x v="13"/>
    <n v="21.6"/>
    <n v="4"/>
    <s v="Fed"/>
    <m/>
    <n v="0"/>
    <s v="0:Jesus Touceda"/>
    <s v="0:Jesús"/>
    <s v=""/>
    <s v=""/>
    <m/>
    <s v="45360:Jesus Touceda"/>
    <n v="1"/>
  </r>
  <r>
    <x v="73"/>
    <x v="38"/>
    <n v="21.1"/>
    <n v="4"/>
    <s v="Fed"/>
    <m/>
    <n v="0"/>
    <s v="0:Jorge Alberto Martínez Sánchez"/>
    <s v="0:Jorge"/>
    <s v=""/>
    <s v=""/>
    <m/>
    <s v="45360:Jorge Alberto Martínez Sánchez"/>
    <n v="1"/>
  </r>
  <r>
    <x v="73"/>
    <x v="45"/>
    <n v="26.499999999999986"/>
    <n v="4"/>
    <s v="Fed"/>
    <m/>
    <n v="0"/>
    <s v="0:Jose Antonio Santana"/>
    <s v="0:J Antonio"/>
    <s v=""/>
    <s v=""/>
    <m/>
    <s v="45360:Jose Antonio Santana"/>
    <n v="1"/>
  </r>
  <r>
    <x v="73"/>
    <x v="14"/>
    <n v="8.6999999999999993"/>
    <n v="2"/>
    <s v="Fed"/>
    <m/>
    <n v="0"/>
    <s v="0:José Pablo Guil"/>
    <s v="0:JP"/>
    <s v=""/>
    <s v=""/>
    <m/>
    <s v="45360:José Pablo Guil"/>
    <n v="1"/>
  </r>
  <r>
    <x v="73"/>
    <x v="36"/>
    <n v="20.6"/>
    <n v="4"/>
    <s v="Fed"/>
    <m/>
    <n v="0"/>
    <s v="0:Juan Jose Aguado"/>
    <s v="0:Juancho"/>
    <s v=""/>
    <s v=""/>
    <m/>
    <s v="45360:Juan Jose Aguado"/>
    <n v="1"/>
  </r>
  <r>
    <x v="73"/>
    <x v="44"/>
    <n v="9.9"/>
    <n v="2"/>
    <s v="Fed"/>
    <m/>
    <n v="0"/>
    <s v="0:Luis Fernandez"/>
    <s v="0:Luis"/>
    <s v=""/>
    <s v=""/>
    <m/>
    <s v="45360:Luis Fernandez"/>
    <n v="1"/>
  </r>
  <r>
    <x v="73"/>
    <x v="21"/>
    <n v="19"/>
    <n v="4"/>
    <s v="Fed"/>
    <m/>
    <n v="0"/>
    <s v="0:Miche Lopez"/>
    <s v="0:Miche"/>
    <s v=""/>
    <s v=""/>
    <m/>
    <s v="45360:Miche Lopez"/>
    <n v="1"/>
  </r>
  <r>
    <x v="73"/>
    <x v="27"/>
    <n v="6.3"/>
    <n v="2"/>
    <s v="Fed"/>
    <m/>
    <n v="0"/>
    <s v="0:Nacho Casas"/>
    <s v="0:Nachete"/>
    <s v=""/>
    <s v=""/>
    <m/>
    <s v="45360:Nacho Casas"/>
    <n v="1"/>
  </r>
  <r>
    <x v="73"/>
    <x v="16"/>
    <n v="6"/>
    <n v="2"/>
    <s v="Fed"/>
    <m/>
    <n v="0"/>
    <s v="0:Nacho Gonzalez"/>
    <s v="0:Nacho"/>
    <s v=""/>
    <s v=""/>
    <m/>
    <s v="45360:Nacho Gonzalez"/>
    <n v="1"/>
  </r>
  <r>
    <x v="73"/>
    <x v="28"/>
    <n v="16.100000000000001"/>
    <n v="3"/>
    <s v="Fed"/>
    <m/>
    <n v="0"/>
    <s v="0:Ruslan Kochman"/>
    <s v="0:Rus"/>
    <s v=""/>
    <s v=""/>
    <m/>
    <s v="45360:Ruslan Kochman"/>
    <n v="1"/>
  </r>
  <r>
    <x v="73"/>
    <x v="32"/>
    <n v="16.399999999999999"/>
    <n v="3"/>
    <s v="Fed"/>
    <m/>
    <n v="0"/>
    <s v="0:Santi Diaz"/>
    <s v="0:Santi"/>
    <s v=""/>
    <s v=""/>
    <m/>
    <s v="45360:Santi Diaz"/>
    <n v="1"/>
  </r>
  <r>
    <x v="74"/>
    <x v="30"/>
    <n v="1.3"/>
    <n v="1"/>
    <s v="Fed"/>
    <m/>
    <n v="0"/>
    <s v="0:Alejandro Arcos"/>
    <s v="0:Alex"/>
    <s v=""/>
    <s v=""/>
    <m/>
    <s v="45409:Alejandro Arcos"/>
    <n v="1"/>
  </r>
  <r>
    <x v="74"/>
    <x v="0"/>
    <n v="12.1"/>
    <n v="3"/>
    <s v="Fed"/>
    <m/>
    <n v="0"/>
    <s v="0:Alfonso Hidalgo"/>
    <s v="0:Alfonso"/>
    <s v=""/>
    <s v=""/>
    <m/>
    <s v="45409:Alfonso Hidalgo"/>
    <n v="1"/>
  </r>
  <r>
    <x v="74"/>
    <x v="22"/>
    <n v="14.1"/>
    <n v="3"/>
    <s v="Fed"/>
    <m/>
    <n v="0"/>
    <s v="0:Alfonso Zorrilla"/>
    <s v="0:A Zorrilla"/>
    <s v=""/>
    <s v=""/>
    <m/>
    <s v="45409:Alfonso Zorrilla"/>
    <n v="1"/>
  </r>
  <r>
    <x v="74"/>
    <x v="1"/>
    <n v="5.7"/>
    <n v="2"/>
    <s v="Fed"/>
    <m/>
    <n v="0"/>
    <s v="0:Alvaro Aguirre"/>
    <s v="0:Gifu"/>
    <s v=""/>
    <s v=""/>
    <m/>
    <s v="45409:Alvaro Aguirre"/>
    <n v="1"/>
  </r>
  <r>
    <x v="74"/>
    <x v="23"/>
    <n v="9.4"/>
    <n v="2"/>
    <s v="Fed"/>
    <m/>
    <n v="0"/>
    <s v="0:Alvaro Montoya"/>
    <s v="0:Monti"/>
    <s v=""/>
    <s v=""/>
    <m/>
    <s v="45409:Alvaro Montoya"/>
    <n v="1"/>
  </r>
  <r>
    <x v="74"/>
    <x v="2"/>
    <n v="13.7"/>
    <n v="3"/>
    <s v="Fed"/>
    <m/>
    <n v="0"/>
    <s v="0:Alvaro Nieto"/>
    <s v="0:Alvaro"/>
    <s v=""/>
    <s v=""/>
    <m/>
    <s v="45409:Alvaro Nieto"/>
    <n v="1"/>
  </r>
  <r>
    <x v="74"/>
    <x v="3"/>
    <n v="7.8"/>
    <n v="2"/>
    <s v="Fed"/>
    <m/>
    <n v="0"/>
    <s v="0:Angel Hernandez"/>
    <s v="0:Angel"/>
    <s v=""/>
    <s v=""/>
    <m/>
    <s v="45409:Angel Hernandez"/>
    <n v="1"/>
  </r>
  <r>
    <x v="74"/>
    <x v="47"/>
    <n v="15"/>
    <n v="3"/>
    <s v="Fed"/>
    <m/>
    <n v="0"/>
    <s v="0:Angel Santana"/>
    <s v="0:A.Santana"/>
    <s v=""/>
    <s v=""/>
    <m/>
    <s v="45409:Angel Santana"/>
    <n v="1"/>
  </r>
  <r>
    <x v="74"/>
    <x v="31"/>
    <n v="19.2"/>
    <n v="4"/>
    <s v="Fed"/>
    <m/>
    <n v="0"/>
    <s v="0:Antonio Carmona"/>
    <s v="0:Antonio"/>
    <s v=""/>
    <s v=""/>
    <m/>
    <s v="45409:Antonio Carmona"/>
    <n v="1"/>
  </r>
  <r>
    <x v="74"/>
    <x v="34"/>
    <n v="1"/>
    <n v="1"/>
    <s v="Fed"/>
    <m/>
    <n v="0"/>
    <s v="0:Carlos Maestro"/>
    <s v="0:Carlitos"/>
    <s v=""/>
    <s v=""/>
    <m/>
    <s v="45409:Carlos Maestro"/>
    <n v="1"/>
  </r>
  <r>
    <x v="74"/>
    <x v="4"/>
    <n v="13.4"/>
    <n v="3"/>
    <s v="Fed"/>
    <m/>
    <n v="0"/>
    <s v="0:David Sequera"/>
    <s v="0:David"/>
    <s v=""/>
    <s v=""/>
    <m/>
    <s v="45409:David Sequera"/>
    <n v="1"/>
  </r>
  <r>
    <x v="74"/>
    <x v="39"/>
    <n v="11.7"/>
    <n v="3"/>
    <s v="Fed"/>
    <m/>
    <n v="0"/>
    <s v="0:Eduardo Buendía"/>
    <s v="0:Eduardo"/>
    <s v=""/>
    <s v=""/>
    <m/>
    <s v="45409:Eduardo Buendía"/>
    <n v="1"/>
  </r>
  <r>
    <x v="74"/>
    <x v="29"/>
    <n v="13"/>
    <n v="3"/>
    <s v="Fed"/>
    <m/>
    <n v="0"/>
    <s v="0:Enrique Gonzalez R"/>
    <s v="0:Enrique"/>
    <s v=""/>
    <s v=""/>
    <m/>
    <s v="45409:Enrique Gonzalez R"/>
    <n v="1"/>
  </r>
  <r>
    <x v="74"/>
    <x v="5"/>
    <n v="15.7"/>
    <n v="3"/>
    <s v="Fed"/>
    <m/>
    <n v="0"/>
    <s v="0:Francisco Alvarez"/>
    <s v="0:Paco"/>
    <s v=""/>
    <s v=""/>
    <m/>
    <s v="45409:Francisco Alvarez"/>
    <n v="1"/>
  </r>
  <r>
    <x v="74"/>
    <x v="6"/>
    <n v="12.7"/>
    <n v="3"/>
    <s v="Fed"/>
    <m/>
    <n v="0"/>
    <s v="0:Francisco Hidalgo"/>
    <s v="0:Fran"/>
    <s v=""/>
    <s v=""/>
    <m/>
    <s v="45409:Francisco Hidalgo"/>
    <n v="1"/>
  </r>
  <r>
    <x v="74"/>
    <x v="24"/>
    <n v="15"/>
    <n v="3"/>
    <s v="Fed"/>
    <m/>
    <n v="0"/>
    <s v="0:Franck Benouniche"/>
    <s v="0:Franck"/>
    <s v=""/>
    <s v=""/>
    <m/>
    <s v="45409:Franck Benouniche"/>
    <n v="1"/>
  </r>
  <r>
    <x v="74"/>
    <x v="7"/>
    <n v="21.1"/>
    <n v="4"/>
    <s v="Fed"/>
    <m/>
    <n v="0"/>
    <s v="0:GLEZ JUAN JOSÉ"/>
    <s v="0:Juanjo"/>
    <s v=""/>
    <s v=""/>
    <m/>
    <s v="45409:GLEZ JUAN JOSÉ"/>
    <n v="1"/>
  </r>
  <r>
    <x v="74"/>
    <x v="8"/>
    <n v="8.1"/>
    <n v="2"/>
    <s v="Fed"/>
    <m/>
    <n v="0"/>
    <s v="0:Ignacio Cadarso"/>
    <s v="0:Ignacio"/>
    <s v=""/>
    <s v=""/>
    <m/>
    <s v="45409:Ignacio Cadarso"/>
    <n v="1"/>
  </r>
  <r>
    <x v="74"/>
    <x v="37"/>
    <n v="23.7"/>
    <n v="4"/>
    <s v="Fed"/>
    <m/>
    <n v="0"/>
    <s v="0:Ignacio Gracia Charlez"/>
    <s v="0:I Gracia"/>
    <s v=""/>
    <s v=""/>
    <m/>
    <s v="45409:Ignacio Gracia Charlez"/>
    <n v="1"/>
  </r>
  <r>
    <x v="74"/>
    <x v="10"/>
    <n v="18.899999999999999"/>
    <n v="4"/>
    <s v="Fed"/>
    <m/>
    <n v="0"/>
    <s v="0:J. Enrique Gonzalez"/>
    <s v="0:Kike"/>
    <s v=""/>
    <s v=""/>
    <m/>
    <s v="45409:J. Enrique Gonzalez"/>
    <n v="1"/>
  </r>
  <r>
    <x v="74"/>
    <x v="35"/>
    <n v="9.1999999999999993"/>
    <n v="2"/>
    <s v="Fed"/>
    <m/>
    <n v="0"/>
    <s v="0:Jaime Villanueva"/>
    <s v="0:Villanueva"/>
    <s v=""/>
    <s v=""/>
    <m/>
    <s v="45409:Jaime Villanueva"/>
    <n v="1"/>
  </r>
  <r>
    <x v="74"/>
    <x v="41"/>
    <n v="11.7"/>
    <n v="3"/>
    <s v="Fed"/>
    <m/>
    <n v="0"/>
    <s v="0:Javier Arcos"/>
    <s v="0:J.Arcos"/>
    <s v=""/>
    <s v=""/>
    <m/>
    <s v="45409:Javier Arcos"/>
    <n v="1"/>
  </r>
  <r>
    <x v="74"/>
    <x v="42"/>
    <n v="11.199999999999992"/>
    <n v="2"/>
    <s v="Fed"/>
    <m/>
    <n v="0"/>
    <s v="0:Javier Campo"/>
    <s v="0:Campo"/>
    <s v=""/>
    <s v=""/>
    <m/>
    <s v="45409:Javier Campo"/>
    <n v="1"/>
  </r>
  <r>
    <x v="74"/>
    <x v="11"/>
    <n v="18.3"/>
    <n v="3"/>
    <s v="Fed"/>
    <m/>
    <n v="0"/>
    <s v="0:Javier Cervera"/>
    <s v="0:Virus"/>
    <s v=""/>
    <s v=""/>
    <m/>
    <s v="45409:Javier Cervera"/>
    <n v="1"/>
  </r>
  <r>
    <x v="74"/>
    <x v="25"/>
    <n v="10.1"/>
    <n v="2"/>
    <s v="Fed"/>
    <m/>
    <n v="0"/>
    <s v="0:Javier Chiralt"/>
    <s v="0:Chiralt"/>
    <s v=""/>
    <s v=""/>
    <m/>
    <s v="45409:Javier Chiralt"/>
    <n v="1"/>
  </r>
  <r>
    <x v="74"/>
    <x v="46"/>
    <n v="16.7"/>
    <n v="3"/>
    <s v="Fed"/>
    <m/>
    <n v="0"/>
    <s v="0:Javier Dodero de Solano"/>
    <s v="0:Dodero"/>
    <s v=""/>
    <s v=""/>
    <m/>
    <s v="45409:Javier Dodero de Solano"/>
    <n v="1"/>
  </r>
  <r>
    <x v="74"/>
    <x v="12"/>
    <n v="18.5"/>
    <n v="4"/>
    <s v="Fed"/>
    <m/>
    <n v="0"/>
    <s v="0:Javier Gonzalez Salvador"/>
    <s v="0:Javi"/>
    <s v=""/>
    <s v=""/>
    <m/>
    <s v="45409:Javier Gonzalez Salvador"/>
    <n v="1"/>
  </r>
  <r>
    <x v="74"/>
    <x v="26"/>
    <n v="20.9"/>
    <n v="4"/>
    <s v="Fed"/>
    <m/>
    <n v="0"/>
    <s v="0:Javier Lopez Gullón"/>
    <s v="0:Cuñao"/>
    <s v=""/>
    <s v=""/>
    <m/>
    <s v="45409:Javier Lopez Gullón"/>
    <n v="1"/>
  </r>
  <r>
    <x v="74"/>
    <x v="13"/>
    <n v="21.9"/>
    <n v="4"/>
    <s v="Fed"/>
    <m/>
    <n v="0"/>
    <s v="0:Jesus Touceda"/>
    <s v="0:Jesús"/>
    <s v=""/>
    <s v=""/>
    <m/>
    <s v="45409:Jesus Touceda"/>
    <n v="1"/>
  </r>
  <r>
    <x v="74"/>
    <x v="38"/>
    <n v="20.8"/>
    <n v="4"/>
    <s v="Fed"/>
    <m/>
    <n v="0"/>
    <s v="0:Jorge Alberto Martínez Sánchez"/>
    <s v="0:Jorge"/>
    <s v=""/>
    <s v=""/>
    <m/>
    <s v="45409:Jorge Alberto Martínez Sánchez"/>
    <n v="1"/>
  </r>
  <r>
    <x v="74"/>
    <x v="45"/>
    <n v="26.499999999999986"/>
    <n v="4"/>
    <s v="Fed"/>
    <m/>
    <n v="0"/>
    <s v="0:Jose Antonio Santana"/>
    <s v="0:J Antonio"/>
    <s v=""/>
    <s v=""/>
    <m/>
    <s v="45409:Jose Antonio Santana"/>
    <n v="1"/>
  </r>
  <r>
    <x v="74"/>
    <x v="14"/>
    <n v="8.6999999999999993"/>
    <n v="2"/>
    <s v="Fed"/>
    <m/>
    <n v="0"/>
    <s v="0:José Pablo Guil"/>
    <s v="0:JP"/>
    <s v=""/>
    <s v=""/>
    <m/>
    <s v="45409:José Pablo Guil"/>
    <n v="1"/>
  </r>
  <r>
    <x v="74"/>
    <x v="36"/>
    <n v="18"/>
    <n v="3"/>
    <s v="Fed"/>
    <m/>
    <n v="0"/>
    <s v="0:Juan Jose Aguado"/>
    <s v="0:Juancho"/>
    <s v=""/>
    <s v=""/>
    <m/>
    <s v="45409:Juan Jose Aguado"/>
    <n v="1"/>
  </r>
  <r>
    <x v="74"/>
    <x v="44"/>
    <n v="9.9"/>
    <n v="2"/>
    <s v="Fed"/>
    <m/>
    <n v="0"/>
    <s v="0:Luis Fernandez"/>
    <s v="0:Luis"/>
    <s v=""/>
    <s v=""/>
    <m/>
    <s v="45409:Luis Fernandez"/>
    <n v="1"/>
  </r>
  <r>
    <x v="74"/>
    <x v="21"/>
    <n v="19"/>
    <n v="4"/>
    <s v="Fed"/>
    <m/>
    <n v="0"/>
    <s v="0:Miche Lopez"/>
    <s v="0:Miche"/>
    <s v=""/>
    <s v=""/>
    <m/>
    <s v="45409:Miche Lopez"/>
    <n v="1"/>
  </r>
  <r>
    <x v="74"/>
    <x v="27"/>
    <n v="5.9"/>
    <n v="2"/>
    <s v="Fed"/>
    <m/>
    <n v="0"/>
    <s v="0:Nacho Casas"/>
    <s v="0:Nachete"/>
    <s v=""/>
    <s v=""/>
    <m/>
    <s v="45409:Nacho Casas"/>
    <n v="1"/>
  </r>
  <r>
    <x v="74"/>
    <x v="16"/>
    <n v="6.1"/>
    <n v="2"/>
    <s v="Fed"/>
    <m/>
    <n v="0"/>
    <s v="0:Nacho Gonzalez"/>
    <s v="0:Nacho"/>
    <s v=""/>
    <s v=""/>
    <m/>
    <s v="45409:Nacho Gonzalez"/>
    <n v="1"/>
  </r>
  <r>
    <x v="74"/>
    <x v="28"/>
    <n v="16.600000000000001"/>
    <n v="3"/>
    <s v="Fed"/>
    <m/>
    <n v="0"/>
    <s v="0:Ruslan Kochman"/>
    <s v="0:Rus"/>
    <s v=""/>
    <s v=""/>
    <m/>
    <s v="45409:Ruslan Kochman"/>
    <n v="1"/>
  </r>
  <r>
    <x v="74"/>
    <x v="32"/>
    <n v="16.399999999999999"/>
    <n v="3"/>
    <s v="Fed"/>
    <m/>
    <n v="0"/>
    <s v="0:Santi Diaz"/>
    <s v="0:Santi"/>
    <s v=""/>
    <s v=""/>
    <m/>
    <s v="45409:Santi Diaz"/>
    <n v="1"/>
  </r>
  <r>
    <x v="75"/>
    <x v="30"/>
    <n v="1.3"/>
    <n v="1"/>
    <s v="Fed"/>
    <m/>
    <n v="0"/>
    <s v="0:Alejandro Arcos"/>
    <s v="0:Alex"/>
    <s v=""/>
    <s v=""/>
    <n v="1"/>
    <s v="45430:Alejandro Arcos"/>
    <n v="1"/>
  </r>
  <r>
    <x v="75"/>
    <x v="0"/>
    <n v="12.2"/>
    <n v="3"/>
    <s v="Fed"/>
    <m/>
    <n v="0"/>
    <s v="0:Alfonso Hidalgo"/>
    <s v="0:Alfonso"/>
    <s v=""/>
    <s v=""/>
    <n v="2"/>
    <s v="45430:Alfonso Hidalgo"/>
    <n v="1"/>
  </r>
  <r>
    <x v="75"/>
    <x v="22"/>
    <n v="14.1"/>
    <n v="3"/>
    <s v="Fed"/>
    <m/>
    <n v="0"/>
    <s v="0:Alfonso Zorrilla"/>
    <s v="0:A Zorrilla"/>
    <s v=""/>
    <s v=""/>
    <n v="3"/>
    <s v="45430:Alfonso Zorrilla"/>
    <n v="1"/>
  </r>
  <r>
    <x v="75"/>
    <x v="1"/>
    <n v="5.7"/>
    <n v="2"/>
    <s v="Fed"/>
    <m/>
    <n v="0"/>
    <s v="0:Alvaro Aguirre"/>
    <s v="0:Gifu"/>
    <s v=""/>
    <s v=""/>
    <n v="4"/>
    <s v="45430:Alvaro Aguirre"/>
    <n v="1"/>
  </r>
  <r>
    <x v="75"/>
    <x v="23"/>
    <n v="9.4"/>
    <n v="2"/>
    <s v="Fed"/>
    <m/>
    <n v="0"/>
    <s v="0:Alvaro Montoya"/>
    <s v="0:Monti"/>
    <s v=""/>
    <s v=""/>
    <n v="5"/>
    <s v="45430:Alvaro Montoya"/>
    <n v="1"/>
  </r>
  <r>
    <x v="75"/>
    <x v="2"/>
    <n v="13.7"/>
    <n v="3"/>
    <s v="Fed"/>
    <m/>
    <n v="0"/>
    <s v="0:Alvaro Nieto"/>
    <s v="0:Alvaro"/>
    <s v=""/>
    <s v=""/>
    <n v="6"/>
    <s v="45430:Alvaro Nieto"/>
    <n v="1"/>
  </r>
  <r>
    <x v="75"/>
    <x v="3"/>
    <n v="7.8"/>
    <n v="2"/>
    <s v="Fed"/>
    <m/>
    <n v="0"/>
    <s v="0:Angel Hernandez"/>
    <s v="0:Angel"/>
    <s v=""/>
    <s v=""/>
    <n v="8"/>
    <s v="45430:Angel Hernandez"/>
    <n v="1"/>
  </r>
  <r>
    <x v="75"/>
    <x v="47"/>
    <n v="14.8"/>
    <n v="3"/>
    <s v="Fed"/>
    <m/>
    <n v="0"/>
    <s v="0:Angel Santana"/>
    <s v="0:A.Santana"/>
    <s v=""/>
    <s v=""/>
    <n v="7"/>
    <s v="45430:Angel Santana"/>
    <n v="1"/>
  </r>
  <r>
    <x v="75"/>
    <x v="31"/>
    <n v="20"/>
    <n v="4"/>
    <s v="Fed"/>
    <m/>
    <n v="0"/>
    <s v="0:Antonio Carmona"/>
    <s v="0:Antonio"/>
    <s v=""/>
    <s v=""/>
    <n v="9"/>
    <s v="45430:Antonio Carmona"/>
    <n v="1"/>
  </r>
  <r>
    <x v="75"/>
    <x v="34"/>
    <n v="1.2"/>
    <n v="1"/>
    <s v="Fed"/>
    <m/>
    <n v="0"/>
    <s v="0:Carlos Maestro"/>
    <s v="0:Carlitos"/>
    <s v=""/>
    <s v=""/>
    <n v="10"/>
    <s v="45430:Carlos Maestro"/>
    <n v="1"/>
  </r>
  <r>
    <x v="75"/>
    <x v="4"/>
    <n v="13.6"/>
    <n v="3"/>
    <s v="Fed"/>
    <m/>
    <n v="0"/>
    <s v="0:David Sequera"/>
    <s v="0:David"/>
    <s v=""/>
    <s v=""/>
    <n v="11"/>
    <s v="45430:David Sequera"/>
    <n v="1"/>
  </r>
  <r>
    <x v="75"/>
    <x v="39"/>
    <n v="11.7"/>
    <n v="3"/>
    <s v="Fed"/>
    <m/>
    <n v="0"/>
    <s v="0:Eduardo Buendía"/>
    <s v="0:Eduardo"/>
    <s v=""/>
    <s v=""/>
    <n v="12"/>
    <s v="45430:Eduardo Buendía"/>
    <n v="1"/>
  </r>
  <r>
    <x v="75"/>
    <x v="29"/>
    <n v="13.2"/>
    <n v="3"/>
    <s v="Fed"/>
    <m/>
    <n v="0"/>
    <s v="0:Enrique Gonzalez R"/>
    <s v="0:Enrique"/>
    <s v=""/>
    <s v=""/>
    <n v="37"/>
    <s v="45430:Enrique Gonzalez R"/>
    <n v="1"/>
  </r>
  <r>
    <x v="75"/>
    <x v="5"/>
    <n v="15.8"/>
    <n v="3"/>
    <s v="Fed"/>
    <m/>
    <n v="0"/>
    <s v="0:Francisco Alvarez"/>
    <s v="0:Paco"/>
    <s v=""/>
    <s v=""/>
    <n v="13"/>
    <s v="45430:Francisco Alvarez"/>
    <n v="1"/>
  </r>
  <r>
    <x v="75"/>
    <x v="6"/>
    <n v="13"/>
    <n v="3"/>
    <s v="Fed"/>
    <m/>
    <n v="0"/>
    <s v="0:Francisco Hidalgo"/>
    <s v="0:Fran"/>
    <s v=""/>
    <s v=""/>
    <n v="14"/>
    <s v="45430:Francisco Hidalgo"/>
    <n v="1"/>
  </r>
  <r>
    <x v="75"/>
    <x v="24"/>
    <n v="15"/>
    <n v="3"/>
    <s v="Fed"/>
    <m/>
    <n v="0"/>
    <s v="0:Franck Benouniche"/>
    <s v="0:Franck"/>
    <s v=""/>
    <s v=""/>
    <n v="17"/>
    <s v="45430:Franck Benouniche"/>
    <n v="1"/>
  </r>
  <r>
    <x v="75"/>
    <x v="7"/>
    <n v="20.6"/>
    <n v="4"/>
    <s v="Fed"/>
    <m/>
    <n v="0"/>
    <s v="0:GLEZ JUAN JOSÉ"/>
    <s v="0:Juanjo"/>
    <s v=""/>
    <s v=""/>
    <n v="32"/>
    <s v="45430:GLEZ JUAN JOSÉ"/>
    <n v="1"/>
  </r>
  <r>
    <x v="75"/>
    <x v="8"/>
    <n v="8.1"/>
    <n v="2"/>
    <s v="Fed"/>
    <m/>
    <n v="0"/>
    <s v="0:Ignacio Cadarso"/>
    <s v="0:Ignacio"/>
    <s v=""/>
    <s v=""/>
    <n v="18"/>
    <s v="45430:Ignacio Cadarso"/>
    <n v="1"/>
  </r>
  <r>
    <x v="75"/>
    <x v="37"/>
    <n v="23.7"/>
    <n v="4"/>
    <s v="Fed"/>
    <m/>
    <n v="0"/>
    <s v="0:Ignacio Gracia Charlez"/>
    <s v="0:I Gracia"/>
    <s v=""/>
    <s v=""/>
    <n v="21"/>
    <s v="45430:Ignacio Gracia Charlez"/>
    <n v="1"/>
  </r>
  <r>
    <x v="75"/>
    <x v="10"/>
    <n v="19.3"/>
    <n v="4"/>
    <s v="Fed"/>
    <m/>
    <n v="0"/>
    <s v="0:J. Enrique Gonzalez"/>
    <s v="0:Kike"/>
    <s v=""/>
    <s v=""/>
    <n v="35"/>
    <s v="45430:J. Enrique Gonzalez"/>
    <n v="1"/>
  </r>
  <r>
    <x v="75"/>
    <x v="35"/>
    <n v="9.5"/>
    <n v="2"/>
    <s v="Fed"/>
    <m/>
    <n v="0"/>
    <s v="0:Jaime Villanueva"/>
    <s v="0:Villanueva"/>
    <s v=""/>
    <s v=""/>
    <n v="22"/>
    <s v="45430:Jaime Villanueva"/>
    <n v="1"/>
  </r>
  <r>
    <x v="75"/>
    <x v="41"/>
    <n v="12.1"/>
    <n v="3"/>
    <s v="Fed"/>
    <m/>
    <n v="0"/>
    <s v="0:Javier Arcos"/>
    <s v="0:J.Arcos"/>
    <s v=""/>
    <s v=""/>
    <n v="24"/>
    <s v="45430:Javier Arcos"/>
    <n v="1"/>
  </r>
  <r>
    <x v="75"/>
    <x v="42"/>
    <n v="11.199999999999992"/>
    <n v="2"/>
    <s v="Fed"/>
    <m/>
    <n v="0"/>
    <s v="0:Javier Campo"/>
    <s v="0:Campo"/>
    <s v=""/>
    <s v=""/>
    <n v="25"/>
    <s v="45430:Javier Campo"/>
    <n v="1"/>
  </r>
  <r>
    <x v="75"/>
    <x v="11"/>
    <n v="18.3"/>
    <n v="3"/>
    <s v="Fed"/>
    <m/>
    <n v="0"/>
    <s v="0:Javier Cervera"/>
    <s v="0:Virus"/>
    <s v=""/>
    <s v=""/>
    <n v="26"/>
    <s v="45430:Javier Cervera"/>
    <n v="1"/>
  </r>
  <r>
    <x v="75"/>
    <x v="25"/>
    <n v="10.1"/>
    <n v="2"/>
    <s v="Fed"/>
    <m/>
    <n v="0"/>
    <s v="0:Javier Chiralt"/>
    <s v="0:Chiralt"/>
    <s v=""/>
    <s v=""/>
    <n v="23"/>
    <s v="45430:Javier Chiralt"/>
    <n v="1"/>
  </r>
  <r>
    <x v="75"/>
    <x v="46"/>
    <n v="16.7"/>
    <n v="3"/>
    <s v="Fed"/>
    <m/>
    <n v="0"/>
    <s v="0:Javier Dodero de Solano"/>
    <s v="0:Dodero"/>
    <s v=""/>
    <s v=""/>
    <n v="27"/>
    <s v="45430:Javier Dodero de Solano"/>
    <n v="1"/>
  </r>
  <r>
    <x v="75"/>
    <x v="12"/>
    <n v="19.399999999999999"/>
    <n v="4"/>
    <s v="Fed"/>
    <m/>
    <n v="0"/>
    <s v="0:Javier Gonzalez Salvador"/>
    <s v="0:Javi"/>
    <s v=""/>
    <s v=""/>
    <n v="16"/>
    <s v="45430:Javier Gonzalez Salvador"/>
    <n v="1"/>
  </r>
  <r>
    <x v="75"/>
    <x v="26"/>
    <n v="20.9"/>
    <n v="4"/>
    <s v="Fed"/>
    <m/>
    <n v="0"/>
    <s v="0:Javier Lopez Gullón"/>
    <s v="0:Cuñao"/>
    <s v=""/>
    <s v=""/>
    <n v="15"/>
    <s v="45430:Javier Lopez Gullón"/>
    <n v="1"/>
  </r>
  <r>
    <x v="75"/>
    <x v="13"/>
    <n v="21.9"/>
    <n v="4"/>
    <s v="Fed"/>
    <m/>
    <n v="0"/>
    <s v="0:Jesus Touceda"/>
    <s v="0:Jesús"/>
    <s v=""/>
    <s v=""/>
    <n v="28"/>
    <s v="45430:Jesus Touceda"/>
    <n v="1"/>
  </r>
  <r>
    <x v="75"/>
    <x v="38"/>
    <n v="20.8"/>
    <n v="4"/>
    <s v="Fed"/>
    <m/>
    <n v="0"/>
    <s v="0:Jorge Alberto Martínez Sánchez"/>
    <s v="0:Jorge"/>
    <s v=""/>
    <s v=""/>
    <n v="29"/>
    <s v="45430:Jorge Alberto Martínez Sánchez"/>
    <n v="1"/>
  </r>
  <r>
    <x v="75"/>
    <x v="45"/>
    <n v="26.499999999999986"/>
    <n v="4"/>
    <s v="Fed"/>
    <m/>
    <n v="0"/>
    <s v="0:Jose Antonio Santana"/>
    <s v="0:J Antonio"/>
    <s v=""/>
    <s v=""/>
    <n v="30"/>
    <s v="45430:Jose Antonio Santana"/>
    <n v="1"/>
  </r>
  <r>
    <x v="75"/>
    <x v="14"/>
    <n v="8.6999999999999993"/>
    <n v="2"/>
    <s v="Fed"/>
    <m/>
    <n v="0"/>
    <s v="0:José Pablo Guil"/>
    <s v="0:JP"/>
    <s v=""/>
    <s v=""/>
    <n v="31"/>
    <s v="45430:José Pablo Guil"/>
    <n v="1"/>
  </r>
  <r>
    <x v="75"/>
    <x v="36"/>
    <n v="18"/>
    <n v="3"/>
    <s v="Fed"/>
    <m/>
    <n v="0"/>
    <s v="0:Juan Jose Aguado"/>
    <s v="0:Juancho"/>
    <s v=""/>
    <s v=""/>
    <n v="33"/>
    <s v="45430:Juan Jose Aguado"/>
    <n v="1"/>
  </r>
  <r>
    <x v="75"/>
    <x v="48"/>
    <n v="20.3"/>
    <n v="4"/>
    <s v="Fed"/>
    <m/>
    <n v="0"/>
    <s v="0:Juan Sanz"/>
    <s v="0:JuanSanz"/>
    <s v=""/>
    <s v=""/>
    <n v="34"/>
    <s v="45430:Juan Sanz"/>
    <n v="1"/>
  </r>
  <r>
    <x v="75"/>
    <x v="44"/>
    <n v="9.9"/>
    <n v="2"/>
    <s v="Fed"/>
    <m/>
    <n v="0"/>
    <s v="0:Luis Fernandez"/>
    <s v="0:Luis"/>
    <s v=""/>
    <s v=""/>
    <n v="36"/>
    <s v="45430:Luis Fernandez"/>
    <n v="1"/>
  </r>
  <r>
    <x v="75"/>
    <x v="21"/>
    <n v="19"/>
    <n v="4"/>
    <s v="Fed"/>
    <m/>
    <n v="0"/>
    <s v="0:Miche Lopez"/>
    <s v="0:Miche"/>
    <s v=""/>
    <s v=""/>
    <n v="41"/>
    <s v="45430:Miche Lopez"/>
    <n v="1"/>
  </r>
  <r>
    <x v="75"/>
    <x v="27"/>
    <n v="5.9"/>
    <n v="2"/>
    <s v="Fed"/>
    <m/>
    <n v="0"/>
    <s v="0:Nacho Casas"/>
    <s v="0:Nachete"/>
    <s v=""/>
    <s v=""/>
    <n v="19"/>
    <s v="45430:Nacho Casas"/>
    <n v="1"/>
  </r>
  <r>
    <x v="75"/>
    <x v="16"/>
    <n v="6.1"/>
    <n v="2"/>
    <s v="Fed"/>
    <m/>
    <n v="0"/>
    <s v="0:Nacho Gonzalez"/>
    <s v="0:Nacho"/>
    <s v=""/>
    <s v=""/>
    <n v="20"/>
    <s v="45430:Nacho Gonzalez"/>
    <n v="1"/>
  </r>
  <r>
    <x v="75"/>
    <x v="28"/>
    <n v="16.600000000000001"/>
    <n v="3"/>
    <s v="Fed"/>
    <m/>
    <n v="0"/>
    <s v="0:Ruslan Kochman"/>
    <s v="0:Rus"/>
    <s v=""/>
    <s v=""/>
    <n v="38"/>
    <s v="45430:Ruslan Kochman"/>
    <n v="1"/>
  </r>
  <r>
    <x v="75"/>
    <x v="32"/>
    <n v="16.399999999999999"/>
    <n v="3"/>
    <s v="Fed"/>
    <m/>
    <n v="0"/>
    <s v="0:Santi Diaz"/>
    <s v="0:Santi"/>
    <s v=""/>
    <s v=""/>
    <n v="39"/>
    <s v="45430:Santi Diaz"/>
    <n v="1"/>
  </r>
  <r>
    <x v="75"/>
    <x v="49"/>
    <n v="13"/>
    <n v="3"/>
    <s v="Fed"/>
    <m/>
    <n v="0"/>
    <s v="0:Thomas Dauterman"/>
    <s v="0:Tom"/>
    <s v=""/>
    <s v=""/>
    <n v="40"/>
    <s v="45430:Thomas Dauterman"/>
    <n v="1"/>
  </r>
  <r>
    <x v="76"/>
    <x v="30"/>
    <n v="1.3"/>
    <n v="1"/>
    <s v="Fed"/>
    <m/>
    <n v="0"/>
    <s v="0:Alejandro Arcos"/>
    <s v="0:Alex"/>
    <s v=""/>
    <s v=""/>
    <m/>
    <s v="45431:Alejandro Arcos"/>
    <n v="1"/>
  </r>
  <r>
    <x v="76"/>
    <x v="0"/>
    <n v="12.2"/>
    <n v="3"/>
    <s v="Fed"/>
    <m/>
    <n v="0"/>
    <s v="0:Alfonso Hidalgo"/>
    <s v="0:Alfonso"/>
    <s v=""/>
    <s v=""/>
    <m/>
    <s v="45431:Alfonso Hidalgo"/>
    <n v="1"/>
  </r>
  <r>
    <x v="76"/>
    <x v="22"/>
    <n v="14.1"/>
    <n v="3"/>
    <s v="Fed"/>
    <m/>
    <n v="0"/>
    <s v="0:Alfonso Zorrilla"/>
    <s v="0:A Zorrilla"/>
    <s v=""/>
    <s v=""/>
    <m/>
    <s v="45431:Alfonso Zorrilla"/>
    <n v="1"/>
  </r>
  <r>
    <x v="76"/>
    <x v="1"/>
    <n v="5.5"/>
    <n v="2"/>
    <s v="Fed"/>
    <m/>
    <n v="0"/>
    <s v="0:Alvaro Aguirre"/>
    <s v="0:Gifu"/>
    <s v=""/>
    <s v=""/>
    <m/>
    <s v="45431:Alvaro Aguirre"/>
    <n v="1"/>
  </r>
  <r>
    <x v="76"/>
    <x v="23"/>
    <n v="9.4"/>
    <n v="2"/>
    <s v="Fed"/>
    <m/>
    <n v="0"/>
    <s v="0:Alvaro Montoya"/>
    <s v="0:Monti"/>
    <s v=""/>
    <s v=""/>
    <m/>
    <s v="45431:Alvaro Montoya"/>
    <n v="1"/>
  </r>
  <r>
    <x v="76"/>
    <x v="2"/>
    <n v="13.6"/>
    <n v="3"/>
    <s v="Fed"/>
    <m/>
    <n v="0"/>
    <s v="0:Alvaro Nieto"/>
    <s v="0:Alvaro"/>
    <s v=""/>
    <s v=""/>
    <m/>
    <s v="45431:Alvaro Nieto"/>
    <n v="1"/>
  </r>
  <r>
    <x v="76"/>
    <x v="3"/>
    <n v="8.6"/>
    <n v="2"/>
    <s v="Fed"/>
    <m/>
    <n v="0"/>
    <s v="0:Angel Hernandez"/>
    <s v="0:Angel"/>
    <s v=""/>
    <s v=""/>
    <m/>
    <s v="45431:Angel Hernandez"/>
    <n v="1"/>
  </r>
  <r>
    <x v="76"/>
    <x v="47"/>
    <n v="14.8"/>
    <n v="3"/>
    <s v="Fed"/>
    <m/>
    <n v="0"/>
    <s v="0:Angel Santana"/>
    <s v="0:A.Santana"/>
    <s v=""/>
    <s v=""/>
    <m/>
    <s v="45431:Angel Santana"/>
    <n v="1"/>
  </r>
  <r>
    <x v="76"/>
    <x v="31"/>
    <n v="20"/>
    <n v="4"/>
    <s v="Fed"/>
    <m/>
    <n v="0"/>
    <s v="0:Antonio Carmona"/>
    <s v="0:Antonio"/>
    <s v=""/>
    <s v=""/>
    <m/>
    <s v="45431:Antonio Carmona"/>
    <n v="1"/>
  </r>
  <r>
    <x v="76"/>
    <x v="34"/>
    <n v="1.2"/>
    <n v="1"/>
    <s v="Fed"/>
    <m/>
    <n v="0"/>
    <s v="0:Carlos Maestro"/>
    <s v="0:Carlitos"/>
    <s v=""/>
    <s v=""/>
    <m/>
    <s v="45431:Carlos Maestro"/>
    <n v="1"/>
  </r>
  <r>
    <x v="76"/>
    <x v="4"/>
    <n v="13.7"/>
    <n v="3"/>
    <s v="Fed"/>
    <m/>
    <n v="0"/>
    <s v="0:David Sequera"/>
    <s v="0:David"/>
    <s v=""/>
    <s v=""/>
    <m/>
    <s v="45431:David Sequera"/>
    <n v="1"/>
  </r>
  <r>
    <x v="76"/>
    <x v="39"/>
    <n v="11.7"/>
    <n v="3"/>
    <s v="Fed"/>
    <m/>
    <n v="0"/>
    <s v="0:Eduardo Buendía"/>
    <s v="0:Eduardo"/>
    <s v=""/>
    <s v=""/>
    <m/>
    <s v="45431:Eduardo Buendía"/>
    <n v="1"/>
  </r>
  <r>
    <x v="76"/>
    <x v="29"/>
    <n v="13.1"/>
    <n v="3"/>
    <s v="Fed"/>
    <m/>
    <n v="0"/>
    <s v="0:Enrique Gonzalez R"/>
    <s v="0:Enrique"/>
    <s v=""/>
    <s v=""/>
    <m/>
    <s v="45431:Enrique Gonzalez R"/>
    <n v="1"/>
  </r>
  <r>
    <x v="76"/>
    <x v="5"/>
    <n v="15.7"/>
    <n v="3"/>
    <s v="Fed"/>
    <m/>
    <n v="0"/>
    <s v="0:Francisco Alvarez"/>
    <s v="0:Paco"/>
    <s v=""/>
    <s v=""/>
    <m/>
    <s v="45431:Francisco Alvarez"/>
    <n v="1"/>
  </r>
  <r>
    <x v="76"/>
    <x v="6"/>
    <n v="13.1"/>
    <n v="3"/>
    <s v="Fed"/>
    <m/>
    <n v="0"/>
    <s v="0:Francisco Hidalgo"/>
    <s v="0:Fran"/>
    <s v=""/>
    <s v=""/>
    <m/>
    <s v="45431:Francisco Hidalgo"/>
    <n v="1"/>
  </r>
  <r>
    <x v="76"/>
    <x v="24"/>
    <n v="15"/>
    <n v="3"/>
    <s v="Fed"/>
    <m/>
    <n v="0"/>
    <s v="0:Franck Benouniche"/>
    <s v="0:Franck"/>
    <s v=""/>
    <s v=""/>
    <m/>
    <s v="45431:Franck Benouniche"/>
    <n v="1"/>
  </r>
  <r>
    <x v="76"/>
    <x v="7"/>
    <n v="20.8"/>
    <n v="4"/>
    <s v="Fed"/>
    <m/>
    <n v="0"/>
    <s v="0:GLEZ JUAN JOSÉ"/>
    <s v="0:Juanjo"/>
    <s v=""/>
    <s v=""/>
    <m/>
    <s v="45431:GLEZ JUAN JOSÉ"/>
    <n v="1"/>
  </r>
  <r>
    <x v="76"/>
    <x v="8"/>
    <n v="8.1"/>
    <n v="2"/>
    <s v="Fed"/>
    <m/>
    <n v="0"/>
    <s v="0:Ignacio Cadarso"/>
    <s v="0:Ignacio"/>
    <s v=""/>
    <s v=""/>
    <m/>
    <s v="45431:Ignacio Cadarso"/>
    <n v="1"/>
  </r>
  <r>
    <x v="76"/>
    <x v="37"/>
    <n v="23.7"/>
    <n v="4"/>
    <s v="Fed"/>
    <m/>
    <n v="0"/>
    <s v="0:Ignacio Gracia Charlez"/>
    <s v="0:I Gracia"/>
    <s v=""/>
    <s v=""/>
    <m/>
    <s v="45431:Ignacio Gracia Charlez"/>
    <n v="1"/>
  </r>
  <r>
    <x v="76"/>
    <x v="10"/>
    <n v="19.3"/>
    <n v="4"/>
    <s v="Fed"/>
    <m/>
    <n v="0"/>
    <s v="0:J. Enrique Gonzalez"/>
    <s v="0:Kike"/>
    <s v=""/>
    <s v=""/>
    <m/>
    <s v="45431:J. Enrique Gonzalez"/>
    <n v="1"/>
  </r>
  <r>
    <x v="76"/>
    <x v="35"/>
    <n v="9.5"/>
    <n v="2"/>
    <s v="Fed"/>
    <m/>
    <n v="0"/>
    <s v="0:Jaime Villanueva"/>
    <s v="0:Villanueva"/>
    <s v=""/>
    <s v=""/>
    <m/>
    <s v="45431:Jaime Villanueva"/>
    <n v="1"/>
  </r>
  <r>
    <x v="76"/>
    <x v="41"/>
    <n v="12.1"/>
    <n v="3"/>
    <s v="Fed"/>
    <m/>
    <n v="0"/>
    <s v="0:Javier Arcos"/>
    <s v="0:J.Arcos"/>
    <s v=""/>
    <s v=""/>
    <m/>
    <s v="45431:Javier Arcos"/>
    <n v="1"/>
  </r>
  <r>
    <x v="76"/>
    <x v="42"/>
    <n v="11.199999999999992"/>
    <n v="2"/>
    <s v="Fed"/>
    <m/>
    <n v="0"/>
    <s v="0:Javier Campo"/>
    <s v="0:Campo"/>
    <s v=""/>
    <s v=""/>
    <m/>
    <s v="45431:Javier Campo"/>
    <n v="1"/>
  </r>
  <r>
    <x v="76"/>
    <x v="11"/>
    <n v="18.5"/>
    <n v="4"/>
    <s v="Fed"/>
    <m/>
    <n v="0"/>
    <s v="0:Javier Cervera"/>
    <s v="0:Virus"/>
    <s v=""/>
    <s v=""/>
    <m/>
    <s v="45431:Javier Cervera"/>
    <n v="1"/>
  </r>
  <r>
    <x v="76"/>
    <x v="25"/>
    <n v="10.1"/>
    <n v="2"/>
    <s v="Fed"/>
    <m/>
    <n v="0"/>
    <s v="0:Javier Chiralt"/>
    <s v="0:Chiralt"/>
    <s v=""/>
    <s v=""/>
    <m/>
    <s v="45431:Javier Chiralt"/>
    <n v="1"/>
  </r>
  <r>
    <x v="76"/>
    <x v="46"/>
    <n v="16.7"/>
    <n v="3"/>
    <s v="Fed"/>
    <m/>
    <n v="0"/>
    <s v="0:Javier Dodero de Solano"/>
    <s v="0:Dodero"/>
    <s v=""/>
    <s v=""/>
    <m/>
    <s v="45431:Javier Dodero de Solano"/>
    <n v="1"/>
  </r>
  <r>
    <x v="76"/>
    <x v="12"/>
    <n v="19.399999999999999"/>
    <n v="4"/>
    <s v="Fed"/>
    <m/>
    <n v="0"/>
    <s v="0:Javier Gonzalez Salvador"/>
    <s v="0:Javi"/>
    <s v=""/>
    <s v=""/>
    <m/>
    <s v="45431:Javier Gonzalez Salvador"/>
    <n v="1"/>
  </r>
  <r>
    <x v="76"/>
    <x v="26"/>
    <n v="20.9"/>
    <n v="4"/>
    <s v="Fed"/>
    <m/>
    <n v="0"/>
    <s v="0:Javier Lopez Gullón"/>
    <s v="0:Cuñao"/>
    <s v=""/>
    <s v=""/>
    <m/>
    <s v="45431:Javier Lopez Gullón"/>
    <n v="1"/>
  </r>
  <r>
    <x v="76"/>
    <x v="13"/>
    <n v="22"/>
    <n v="4"/>
    <s v="Fed"/>
    <m/>
    <n v="0"/>
    <s v="0:Jesus Touceda"/>
    <s v="0:Jesús"/>
    <s v=""/>
    <s v=""/>
    <m/>
    <s v="45431:Jesus Touceda"/>
    <n v="1"/>
  </r>
  <r>
    <x v="76"/>
    <x v="38"/>
    <n v="20.8"/>
    <n v="4"/>
    <s v="Fed"/>
    <m/>
    <n v="0"/>
    <s v="0:Jorge Alberto Martínez Sánchez"/>
    <s v="0:Jorge"/>
    <s v=""/>
    <s v=""/>
    <m/>
    <s v="45431:Jorge Alberto Martínez Sánchez"/>
    <n v="1"/>
  </r>
  <r>
    <x v="76"/>
    <x v="45"/>
    <n v="26.499999999999986"/>
    <n v="4"/>
    <s v="Fed"/>
    <m/>
    <n v="0"/>
    <s v="0:Jose Antonio Santana"/>
    <s v="0:J Antonio"/>
    <s v=""/>
    <s v=""/>
    <m/>
    <s v="45431:Jose Antonio Santana"/>
    <n v="1"/>
  </r>
  <r>
    <x v="76"/>
    <x v="14"/>
    <n v="8.3000000000000007"/>
    <n v="2"/>
    <s v="Fed"/>
    <m/>
    <n v="0"/>
    <s v="0:José Pablo Guil"/>
    <s v="0:JP"/>
    <s v=""/>
    <s v=""/>
    <m/>
    <s v="45431:José Pablo Guil"/>
    <n v="1"/>
  </r>
  <r>
    <x v="76"/>
    <x v="36"/>
    <n v="18"/>
    <n v="3"/>
    <s v="Fed"/>
    <m/>
    <n v="0"/>
    <s v="0:Juan Jose Aguado"/>
    <s v="0:Juancho"/>
    <s v=""/>
    <s v=""/>
    <m/>
    <s v="45431:Juan Jose Aguado"/>
    <n v="1"/>
  </r>
  <r>
    <x v="76"/>
    <x v="48"/>
    <n v="20.6"/>
    <n v="4"/>
    <s v="Fed"/>
    <m/>
    <n v="0"/>
    <s v="0:Juan Sanz"/>
    <s v="0:JuanSanz"/>
    <s v=""/>
    <s v=""/>
    <m/>
    <s v="45431:Juan Sanz"/>
    <n v="1"/>
  </r>
  <r>
    <x v="76"/>
    <x v="44"/>
    <n v="10.199999999999999"/>
    <n v="2"/>
    <s v="Fed"/>
    <m/>
    <n v="0"/>
    <s v="0:Luis Fernandez"/>
    <s v="0:Luis"/>
    <s v=""/>
    <s v=""/>
    <m/>
    <s v="45431:Luis Fernandez"/>
    <n v="1"/>
  </r>
  <r>
    <x v="76"/>
    <x v="21"/>
    <n v="19"/>
    <n v="4"/>
    <s v="Fed"/>
    <m/>
    <n v="0"/>
    <s v="0:Miche Lopez"/>
    <s v="0:Miche"/>
    <s v=""/>
    <s v=""/>
    <m/>
    <s v="45431:Miche Lopez"/>
    <n v="1"/>
  </r>
  <r>
    <x v="76"/>
    <x v="27"/>
    <n v="5.9"/>
    <n v="2"/>
    <s v="Fed"/>
    <m/>
    <n v="0"/>
    <s v="0:Nacho Casas"/>
    <s v="0:Nachete"/>
    <s v=""/>
    <s v=""/>
    <m/>
    <s v="45431:Nacho Casas"/>
    <n v="1"/>
  </r>
  <r>
    <x v="76"/>
    <x v="16"/>
    <n v="6.3"/>
    <n v="2"/>
    <s v="Fed"/>
    <m/>
    <n v="0"/>
    <s v="0:Nacho Gonzalez"/>
    <s v="0:Nacho"/>
    <s v=""/>
    <s v=""/>
    <m/>
    <s v="45431:Nacho Gonzalez"/>
    <n v="1"/>
  </r>
  <r>
    <x v="76"/>
    <x v="28"/>
    <n v="16.600000000000001"/>
    <n v="3"/>
    <s v="Fed"/>
    <m/>
    <n v="0"/>
    <s v="0:Ruslan Kochman"/>
    <s v="0:Rus"/>
    <s v=""/>
    <s v=""/>
    <m/>
    <s v="45431:Ruslan Kochman"/>
    <n v="1"/>
  </r>
  <r>
    <x v="76"/>
    <x v="32"/>
    <n v="16.399999999999999"/>
    <n v="3"/>
    <s v="Fed"/>
    <m/>
    <n v="0"/>
    <s v="0:Santi Diaz"/>
    <s v="0:Santi"/>
    <s v=""/>
    <s v=""/>
    <m/>
    <s v="45431:Santi Diaz"/>
    <n v="1"/>
  </r>
  <r>
    <x v="76"/>
    <x v="49"/>
    <n v="13.6"/>
    <n v="3"/>
    <s v="Fed"/>
    <m/>
    <n v="0"/>
    <s v="0:Thomas Dauterman"/>
    <s v="0:Tom"/>
    <s v=""/>
    <s v=""/>
    <m/>
    <s v="45431:Thomas Dauterman"/>
    <n v="1"/>
  </r>
  <r>
    <x v="77"/>
    <x v="30"/>
    <n v="1.7"/>
    <n v="1"/>
    <s v="Fed"/>
    <m/>
    <n v="0"/>
    <s v="0:Alejandro Arcos"/>
    <s v="0:Alex"/>
    <s v=""/>
    <s v=""/>
    <m/>
    <s v="45444:Alejandro Arcos"/>
    <n v="1"/>
  </r>
  <r>
    <x v="77"/>
    <x v="0"/>
    <n v="12.5"/>
    <n v="3"/>
    <s v="Fed"/>
    <m/>
    <n v="0"/>
    <s v="0:Alfonso Hidalgo"/>
    <s v="0:Alfonso"/>
    <s v=""/>
    <s v=""/>
    <m/>
    <s v="45444:Alfonso Hidalgo"/>
    <n v="1"/>
  </r>
  <r>
    <x v="77"/>
    <x v="22"/>
    <n v="14.1"/>
    <n v="3"/>
    <s v="Fed"/>
    <m/>
    <n v="0"/>
    <s v="0:Alfonso Zorrilla"/>
    <s v="0:A Zorrilla"/>
    <s v=""/>
    <s v=""/>
    <m/>
    <s v="45444:Alfonso Zorrilla"/>
    <n v="1"/>
  </r>
  <r>
    <x v="77"/>
    <x v="1"/>
    <n v="5.5"/>
    <n v="2"/>
    <s v="Fed"/>
    <m/>
    <n v="0"/>
    <s v="0:Alvaro Aguirre"/>
    <s v="0:Gifu"/>
    <s v=""/>
    <s v=""/>
    <m/>
    <s v="45444:Alvaro Aguirre"/>
    <n v="1"/>
  </r>
  <r>
    <x v="77"/>
    <x v="23"/>
    <n v="9.1"/>
    <n v="2"/>
    <s v="Fed"/>
    <m/>
    <n v="0"/>
    <s v="0:Alvaro Montoya"/>
    <s v="0:Monti"/>
    <s v=""/>
    <s v=""/>
    <m/>
    <s v="45444:Alvaro Montoya"/>
    <n v="1"/>
  </r>
  <r>
    <x v="77"/>
    <x v="2"/>
    <n v="13.9"/>
    <n v="3"/>
    <s v="Fed"/>
    <m/>
    <n v="0"/>
    <s v="0:Alvaro Nieto"/>
    <s v="0:Alvaro"/>
    <s v=""/>
    <s v=""/>
    <m/>
    <s v="45444:Alvaro Nieto"/>
    <n v="1"/>
  </r>
  <r>
    <x v="77"/>
    <x v="3"/>
    <n v="8.8000000000000007"/>
    <n v="2"/>
    <s v="Fed"/>
    <m/>
    <n v="0"/>
    <s v="0:Angel Hernandez"/>
    <s v="0:Angel"/>
    <s v=""/>
    <s v=""/>
    <m/>
    <s v="45444:Angel Hernandez"/>
    <n v="1"/>
  </r>
  <r>
    <x v="77"/>
    <x v="47"/>
    <n v="14.8"/>
    <n v="3"/>
    <s v="Fed"/>
    <m/>
    <n v="0"/>
    <s v="0:Angel Santana"/>
    <s v="0:A.Santana"/>
    <s v=""/>
    <s v=""/>
    <m/>
    <s v="45444:Angel Santana"/>
    <n v="1"/>
  </r>
  <r>
    <x v="77"/>
    <x v="31"/>
    <n v="20.2"/>
    <n v="4"/>
    <s v="Fed"/>
    <m/>
    <n v="0"/>
    <s v="0:Antonio Carmona"/>
    <s v="0:Antonio"/>
    <s v=""/>
    <s v=""/>
    <m/>
    <s v="45444:Antonio Carmona"/>
    <n v="1"/>
  </r>
  <r>
    <x v="77"/>
    <x v="34"/>
    <n v="1.2"/>
    <n v="1"/>
    <s v="Fed"/>
    <m/>
    <n v="0"/>
    <s v="0:Carlos Maestro"/>
    <s v="0:Carlitos"/>
    <s v=""/>
    <s v=""/>
    <m/>
    <s v="45444:Carlos Maestro"/>
    <n v="1"/>
  </r>
  <r>
    <x v="77"/>
    <x v="4"/>
    <n v="14"/>
    <n v="3"/>
    <s v="Fed"/>
    <m/>
    <n v="0"/>
    <s v="0:David Sequera"/>
    <s v="0:David"/>
    <s v=""/>
    <s v=""/>
    <m/>
    <s v="45444:David Sequera"/>
    <n v="1"/>
  </r>
  <r>
    <x v="77"/>
    <x v="39"/>
    <n v="11.7"/>
    <n v="3"/>
    <s v="Fed"/>
    <m/>
    <n v="0"/>
    <s v="0:Eduardo Buendía"/>
    <s v="0:Eduardo"/>
    <s v=""/>
    <s v=""/>
    <m/>
    <s v="45444:Eduardo Buendía"/>
    <n v="1"/>
  </r>
  <r>
    <x v="77"/>
    <x v="29"/>
    <n v="12.4"/>
    <n v="3"/>
    <s v="Fed"/>
    <m/>
    <n v="0"/>
    <s v="0:Enrique Gonzalez R"/>
    <s v="0:Enrique"/>
    <s v=""/>
    <s v=""/>
    <m/>
    <s v="45444:Enrique Gonzalez R"/>
    <n v="1"/>
  </r>
  <r>
    <x v="77"/>
    <x v="5"/>
    <n v="15.7"/>
    <n v="3"/>
    <s v="Fed"/>
    <m/>
    <n v="0"/>
    <s v="0:Francisco Alvarez"/>
    <s v="0:Paco"/>
    <s v=""/>
    <s v=""/>
    <m/>
    <s v="45444:Francisco Alvarez"/>
    <n v="1"/>
  </r>
  <r>
    <x v="77"/>
    <x v="6"/>
    <n v="13.1"/>
    <n v="3"/>
    <s v="Fed"/>
    <m/>
    <n v="0"/>
    <s v="0:Francisco Hidalgo"/>
    <s v="0:Fran"/>
    <s v=""/>
    <s v=""/>
    <m/>
    <s v="45444:Francisco Hidalgo"/>
    <n v="1"/>
  </r>
  <r>
    <x v="77"/>
    <x v="24"/>
    <n v="15"/>
    <n v="3"/>
    <s v="Fed"/>
    <m/>
    <n v="0"/>
    <s v="0:Franck Benouniche"/>
    <s v="0:Franck"/>
    <s v=""/>
    <s v=""/>
    <m/>
    <s v="45444:Franck Benouniche"/>
    <n v="1"/>
  </r>
  <r>
    <x v="77"/>
    <x v="7"/>
    <n v="20.3"/>
    <n v="4"/>
    <s v="Fed"/>
    <m/>
    <n v="0"/>
    <s v="0:GLEZ JUAN JOSÉ"/>
    <s v="0:Juanjo"/>
    <s v=""/>
    <s v=""/>
    <m/>
    <s v="45444:GLEZ JUAN JOSÉ"/>
    <n v="1"/>
  </r>
  <r>
    <x v="77"/>
    <x v="8"/>
    <n v="7.9"/>
    <n v="2"/>
    <s v="Fed"/>
    <m/>
    <n v="0"/>
    <s v="0:Ignacio Cadarso"/>
    <s v="0:Ignacio"/>
    <s v=""/>
    <s v=""/>
    <m/>
    <s v="45444:Ignacio Cadarso"/>
    <n v="1"/>
  </r>
  <r>
    <x v="77"/>
    <x v="37"/>
    <n v="23.7"/>
    <n v="4"/>
    <s v="Fed"/>
    <m/>
    <n v="0"/>
    <s v="0:Ignacio Gracia Charlez"/>
    <s v="0:I Gracia"/>
    <s v=""/>
    <s v=""/>
    <m/>
    <s v="45444:Ignacio Gracia Charlez"/>
    <n v="1"/>
  </r>
  <r>
    <x v="77"/>
    <x v="10"/>
    <n v="19.399999999999999"/>
    <n v="4"/>
    <s v="Fed"/>
    <m/>
    <n v="0"/>
    <s v="0:J. Enrique Gonzalez"/>
    <s v="0:Kike"/>
    <s v=""/>
    <s v=""/>
    <m/>
    <s v="45444:J. Enrique Gonzalez"/>
    <n v="1"/>
  </r>
  <r>
    <x v="77"/>
    <x v="35"/>
    <n v="9.5"/>
    <n v="2"/>
    <s v="Fed"/>
    <m/>
    <n v="0"/>
    <s v="0:Jaime Villanueva"/>
    <s v="0:Villanueva"/>
    <s v=""/>
    <s v=""/>
    <m/>
    <s v="45444:Jaime Villanueva"/>
    <n v="1"/>
  </r>
  <r>
    <x v="77"/>
    <x v="41"/>
    <n v="11.3"/>
    <n v="2"/>
    <s v="Fed"/>
    <m/>
    <n v="0"/>
    <s v="0:Javier Arcos"/>
    <s v="0:J.Arcos"/>
    <s v=""/>
    <s v=""/>
    <m/>
    <s v="45444:Javier Arcos"/>
    <n v="1"/>
  </r>
  <r>
    <x v="77"/>
    <x v="42"/>
    <n v="11.199999999999992"/>
    <n v="2"/>
    <s v="Fed"/>
    <m/>
    <n v="0"/>
    <s v="0:Javier Campo"/>
    <s v="0:Campo"/>
    <s v=""/>
    <s v=""/>
    <m/>
    <s v="45444:Javier Campo"/>
    <n v="1"/>
  </r>
  <r>
    <x v="77"/>
    <x v="11"/>
    <n v="18.5"/>
    <n v="4"/>
    <s v="Fed"/>
    <m/>
    <n v="0"/>
    <s v="0:Javier Cervera"/>
    <s v="0:Virus"/>
    <s v=""/>
    <s v=""/>
    <m/>
    <s v="45444:Javier Cervera"/>
    <n v="1"/>
  </r>
  <r>
    <x v="77"/>
    <x v="25"/>
    <n v="10.9"/>
    <n v="2"/>
    <s v="Fed"/>
    <m/>
    <n v="0"/>
    <s v="0:Javier Chiralt"/>
    <s v="0:Chiralt"/>
    <s v=""/>
    <s v=""/>
    <m/>
    <s v="45444:Javier Chiralt"/>
    <n v="1"/>
  </r>
  <r>
    <x v="77"/>
    <x v="46"/>
    <n v="17.5"/>
    <n v="3"/>
    <s v="Fed"/>
    <m/>
    <n v="0"/>
    <s v="0:Javier Dodero de Solano"/>
    <s v="0:Dodero"/>
    <s v=""/>
    <s v=""/>
    <m/>
    <s v="45444:Javier Dodero de Solano"/>
    <n v="1"/>
  </r>
  <r>
    <x v="77"/>
    <x v="12"/>
    <n v="19"/>
    <n v="4"/>
    <s v="Fed"/>
    <m/>
    <n v="0"/>
    <s v="0:Javier Gonzalez Salvador"/>
    <s v="0:Javi"/>
    <s v=""/>
    <s v=""/>
    <m/>
    <s v="45444:Javier Gonzalez Salvador"/>
    <n v="1"/>
  </r>
  <r>
    <x v="77"/>
    <x v="26"/>
    <n v="20.9"/>
    <n v="4"/>
    <s v="Fed"/>
    <m/>
    <n v="0"/>
    <s v="0:Javier Lopez Gullón"/>
    <s v="0:Cuñao"/>
    <s v=""/>
    <s v=""/>
    <m/>
    <s v="45444:Javier Lopez Gullón"/>
    <n v="1"/>
  </r>
  <r>
    <x v="77"/>
    <x v="13"/>
    <n v="21.6"/>
    <n v="4"/>
    <s v="Fed"/>
    <m/>
    <n v="0"/>
    <s v="0:Jesus Touceda"/>
    <s v="0:Jesús"/>
    <s v=""/>
    <s v=""/>
    <m/>
    <s v="45444:Jesus Touceda"/>
    <n v="1"/>
  </r>
  <r>
    <x v="77"/>
    <x v="38"/>
    <n v="20.5"/>
    <n v="4"/>
    <s v="Fed"/>
    <m/>
    <n v="0"/>
    <s v="0:Jorge Alberto Martínez Sánchez"/>
    <s v="0:Jorge"/>
    <s v=""/>
    <s v=""/>
    <m/>
    <s v="45444:Jorge Alberto Martínez Sánchez"/>
    <n v="1"/>
  </r>
  <r>
    <x v="77"/>
    <x v="45"/>
    <n v="26.499999999999986"/>
    <n v="4"/>
    <s v="Fed"/>
    <m/>
    <n v="0"/>
    <s v="0:Jose Antonio Santana"/>
    <s v="0:J Antonio"/>
    <s v=""/>
    <s v=""/>
    <m/>
    <s v="45444:Jose Antonio Santana"/>
    <n v="1"/>
  </r>
  <r>
    <x v="77"/>
    <x v="14"/>
    <n v="8.3000000000000007"/>
    <n v="2"/>
    <s v="Fed"/>
    <m/>
    <n v="0"/>
    <s v="0:José Pablo Guil"/>
    <s v="0:JP"/>
    <s v=""/>
    <s v=""/>
    <m/>
    <s v="45444:José Pablo Guil"/>
    <n v="1"/>
  </r>
  <r>
    <x v="77"/>
    <x v="36"/>
    <n v="17.2"/>
    <n v="3"/>
    <s v="Fed"/>
    <m/>
    <n v="0"/>
    <s v="0:Juan Jose Aguado"/>
    <s v="0:Juancho"/>
    <s v=""/>
    <s v=""/>
    <m/>
    <s v="45444:Juan Jose Aguado"/>
    <n v="1"/>
  </r>
  <r>
    <x v="77"/>
    <x v="48"/>
    <n v="20.100000000000001"/>
    <n v="4"/>
    <s v="Fed"/>
    <m/>
    <n v="0"/>
    <s v="0:Juan Sanz"/>
    <s v="0:JuanSanz"/>
    <s v=""/>
    <s v=""/>
    <m/>
    <s v="45444:Juan Sanz"/>
    <n v="1"/>
  </r>
  <r>
    <x v="77"/>
    <x v="44"/>
    <n v="10"/>
    <n v="2"/>
    <s v="Fed"/>
    <m/>
    <n v="0"/>
    <s v="0:Luis Fernandez"/>
    <s v="0:Luis"/>
    <s v=""/>
    <s v=""/>
    <m/>
    <s v="45444:Luis Fernandez"/>
    <n v="1"/>
  </r>
  <r>
    <x v="77"/>
    <x v="21"/>
    <n v="19"/>
    <n v="4"/>
    <s v="Fed"/>
    <m/>
    <n v="0"/>
    <s v="0:Miche Lopez"/>
    <s v="0:Miche"/>
    <s v=""/>
    <s v=""/>
    <m/>
    <s v="45444:Miche Lopez"/>
    <n v="1"/>
  </r>
  <r>
    <x v="77"/>
    <x v="27"/>
    <n v="6.1"/>
    <n v="2"/>
    <s v="Fed"/>
    <m/>
    <n v="0"/>
    <s v="0:Nacho Casas"/>
    <s v="0:Nachete"/>
    <s v=""/>
    <s v=""/>
    <m/>
    <s v="45444:Nacho Casas"/>
    <n v="1"/>
  </r>
  <r>
    <x v="77"/>
    <x v="16"/>
    <n v="6.2"/>
    <n v="2"/>
    <s v="Fed"/>
    <m/>
    <n v="0"/>
    <s v="0:Nacho Gonzalez"/>
    <s v="0:Nacho"/>
    <s v=""/>
    <s v=""/>
    <m/>
    <s v="45444:Nacho Gonzalez"/>
    <n v="1"/>
  </r>
  <r>
    <x v="77"/>
    <x v="28"/>
    <n v="16.600000000000001"/>
    <n v="3"/>
    <s v="Fed"/>
    <m/>
    <n v="0"/>
    <s v="0:Ruslan Kochman"/>
    <s v="0:Rus"/>
    <s v=""/>
    <s v=""/>
    <m/>
    <s v="45444:Ruslan Kochman"/>
    <n v="1"/>
  </r>
  <r>
    <x v="77"/>
    <x v="32"/>
    <n v="16.399999999999999"/>
    <n v="3"/>
    <s v="Fed"/>
    <m/>
    <n v="0"/>
    <s v="0:Santi Diaz"/>
    <s v="0:Santi"/>
    <s v=""/>
    <s v=""/>
    <m/>
    <s v="45444:Santi Diaz"/>
    <n v="1"/>
  </r>
  <r>
    <x v="77"/>
    <x v="49"/>
    <n v="13.4"/>
    <n v="3"/>
    <s v="Fed"/>
    <m/>
    <n v="0"/>
    <s v="0:Thomas Dauterman"/>
    <s v="0:Tom"/>
    <s v=""/>
    <s v=""/>
    <m/>
    <s v="45444:Thomas Dauterman"/>
    <n v="1"/>
  </r>
  <r>
    <x v="78"/>
    <x v="30"/>
    <n v="1.7"/>
    <n v="1"/>
    <s v="Fed"/>
    <m/>
    <n v="0"/>
    <s v="0:Alejandro Arcos"/>
    <s v="0:Alex"/>
    <s v=""/>
    <s v=""/>
    <m/>
    <s v="45479:Alejandro Arcos"/>
    <n v="1"/>
  </r>
  <r>
    <x v="78"/>
    <x v="0"/>
    <n v="13.1"/>
    <n v="3"/>
    <s v="Fed"/>
    <m/>
    <n v="0"/>
    <s v="0:Alfonso Hidalgo"/>
    <s v="0:Alfonso"/>
    <s v=""/>
    <s v=""/>
    <m/>
    <s v="45479:Alfonso Hidalgo"/>
    <n v="1"/>
  </r>
  <r>
    <x v="78"/>
    <x v="22"/>
    <n v="14.1"/>
    <n v="3"/>
    <s v="Fed"/>
    <m/>
    <n v="0"/>
    <s v="0:Alfonso Zorrilla"/>
    <s v="0:A Zorrilla"/>
    <s v=""/>
    <s v=""/>
    <m/>
    <s v="45479:Alfonso Zorrilla"/>
    <n v="1"/>
  </r>
  <r>
    <x v="78"/>
    <x v="1"/>
    <n v="5.5"/>
    <n v="2"/>
    <s v="Fed"/>
    <m/>
    <n v="0"/>
    <s v="0:Alvaro Aguirre"/>
    <s v="0:Gifu"/>
    <s v=""/>
    <s v=""/>
    <m/>
    <s v="45479:Alvaro Aguirre"/>
    <n v="1"/>
  </r>
  <r>
    <x v="78"/>
    <x v="23"/>
    <n v="9.1"/>
    <n v="2"/>
    <s v="Fed"/>
    <m/>
    <n v="0"/>
    <s v="0:Alvaro Montoya"/>
    <s v="0:Monti"/>
    <s v=""/>
    <s v=""/>
    <m/>
    <s v="45479:Alvaro Montoya"/>
    <n v="1"/>
  </r>
  <r>
    <x v="78"/>
    <x v="2"/>
    <n v="13.9"/>
    <n v="3"/>
    <s v="Fed"/>
    <m/>
    <n v="0"/>
    <s v="0:Alvaro Nieto"/>
    <s v="0:Alvaro"/>
    <s v=""/>
    <s v=""/>
    <m/>
    <s v="45479:Alvaro Nieto"/>
    <n v="1"/>
  </r>
  <r>
    <x v="78"/>
    <x v="3"/>
    <n v="8.8000000000000007"/>
    <n v="2"/>
    <s v="Fed"/>
    <m/>
    <n v="0"/>
    <s v="0:Angel Hernandez"/>
    <s v="0:Angel"/>
    <s v=""/>
    <s v=""/>
    <m/>
    <s v="45479:Angel Hernandez"/>
    <n v="1"/>
  </r>
  <r>
    <x v="78"/>
    <x v="47"/>
    <n v="11"/>
    <n v="2"/>
    <s v="Fed"/>
    <m/>
    <n v="0"/>
    <s v="0:Angel Santana"/>
    <s v="0:A.Santana"/>
    <s v=""/>
    <s v=""/>
    <m/>
    <s v="45479:Angel Santana"/>
    <n v="1"/>
  </r>
  <r>
    <x v="78"/>
    <x v="31"/>
    <n v="20.6"/>
    <n v="4"/>
    <s v="Fed"/>
    <m/>
    <n v="0"/>
    <s v="0:Antonio Carmona"/>
    <s v="0:Antonio"/>
    <s v=""/>
    <s v=""/>
    <m/>
    <s v="45479:Antonio Carmona"/>
    <n v="1"/>
  </r>
  <r>
    <x v="78"/>
    <x v="34"/>
    <n v="1.2"/>
    <n v="1"/>
    <s v="Fed"/>
    <m/>
    <n v="0"/>
    <s v="0:Carlos Maestro"/>
    <s v="0:Carlitos"/>
    <s v=""/>
    <s v=""/>
    <m/>
    <s v="45479:Carlos Maestro"/>
    <n v="1"/>
  </r>
  <r>
    <x v="78"/>
    <x v="4"/>
    <n v="14"/>
    <n v="3"/>
    <s v="Fed"/>
    <m/>
    <n v="0"/>
    <s v="0:David Sequera"/>
    <s v="0:David"/>
    <s v=""/>
    <s v=""/>
    <m/>
    <s v="45479:David Sequera"/>
    <n v="1"/>
  </r>
  <r>
    <x v="78"/>
    <x v="39"/>
    <n v="11.7"/>
    <n v="3"/>
    <s v="Fed"/>
    <m/>
    <n v="0"/>
    <s v="0:Eduardo Buendía"/>
    <s v="0:Eduardo"/>
    <s v=""/>
    <s v=""/>
    <m/>
    <s v="45479:Eduardo Buendía"/>
    <n v="1"/>
  </r>
  <r>
    <x v="78"/>
    <x v="29"/>
    <n v="12.4"/>
    <n v="3"/>
    <s v="Fed"/>
    <m/>
    <n v="0"/>
    <s v="0:Enrique Gonzalez R"/>
    <s v="0:Enrique"/>
    <s v=""/>
    <s v=""/>
    <m/>
    <s v="45479:Enrique Gonzalez R"/>
    <n v="1"/>
  </r>
  <r>
    <x v="78"/>
    <x v="5"/>
    <n v="15.2"/>
    <n v="3"/>
    <s v="Fed"/>
    <m/>
    <n v="0"/>
    <s v="0:Francisco Alvarez"/>
    <s v="0:Paco"/>
    <s v=""/>
    <s v=""/>
    <m/>
    <s v="45479:Francisco Alvarez"/>
    <n v="1"/>
  </r>
  <r>
    <x v="78"/>
    <x v="6"/>
    <n v="13.1"/>
    <n v="3"/>
    <s v="Fed"/>
    <m/>
    <n v="0"/>
    <s v="0:Francisco Hidalgo"/>
    <s v="0:Fran"/>
    <s v=""/>
    <s v=""/>
    <m/>
    <s v="45479:Francisco Hidalgo"/>
    <n v="1"/>
  </r>
  <r>
    <x v="78"/>
    <x v="24"/>
    <n v="15"/>
    <n v="3"/>
    <s v="Fed"/>
    <m/>
    <n v="0"/>
    <s v="0:Franck Benouniche"/>
    <s v="0:Franck"/>
    <s v=""/>
    <s v=""/>
    <m/>
    <s v="45479:Franck Benouniche"/>
    <n v="1"/>
  </r>
  <r>
    <x v="78"/>
    <x v="7"/>
    <n v="20.3"/>
    <n v="4"/>
    <s v="Fed"/>
    <m/>
    <n v="0"/>
    <s v="0:GLEZ JUAN JOSÉ"/>
    <s v="0:Juanjo"/>
    <s v=""/>
    <s v=""/>
    <m/>
    <s v="45479:GLEZ JUAN JOSÉ"/>
    <n v="1"/>
  </r>
  <r>
    <x v="78"/>
    <x v="8"/>
    <n v="7.9"/>
    <n v="2"/>
    <s v="Fed"/>
    <m/>
    <n v="0"/>
    <s v="0:Ignacio Cadarso"/>
    <s v="0:Ignacio"/>
    <s v=""/>
    <s v=""/>
    <m/>
    <s v="45479:Ignacio Cadarso"/>
    <n v="1"/>
  </r>
  <r>
    <x v="78"/>
    <x v="37"/>
    <n v="23.7"/>
    <n v="4"/>
    <s v="Fed"/>
    <m/>
    <n v="0"/>
    <s v="0:Ignacio Gracia Charlez"/>
    <s v="0:I Gracia"/>
    <s v=""/>
    <s v=""/>
    <m/>
    <s v="45479:Ignacio Gracia Charlez"/>
    <n v="1"/>
  </r>
  <r>
    <x v="78"/>
    <x v="10"/>
    <n v="19.8"/>
    <n v="4"/>
    <s v="Fed"/>
    <m/>
    <n v="0"/>
    <s v="0:J. Enrique Gonzalez"/>
    <s v="0:Kike"/>
    <s v=""/>
    <s v=""/>
    <m/>
    <s v="45479:J. Enrique Gonzalez"/>
    <n v="1"/>
  </r>
  <r>
    <x v="78"/>
    <x v="35"/>
    <n v="9.1"/>
    <n v="2"/>
    <s v="Fed"/>
    <m/>
    <n v="0"/>
    <s v="0:Jaime Villanueva"/>
    <s v="0:Villanueva"/>
    <s v=""/>
    <s v=""/>
    <m/>
    <s v="45479:Jaime Villanueva"/>
    <n v="1"/>
  </r>
  <r>
    <x v="78"/>
    <x v="41"/>
    <n v="11.3"/>
    <n v="2"/>
    <s v="Fed"/>
    <m/>
    <n v="0"/>
    <s v="0:Javier Arcos"/>
    <s v="0:J.Arcos"/>
    <s v=""/>
    <s v=""/>
    <m/>
    <s v="45479:Javier Arcos"/>
    <n v="1"/>
  </r>
  <r>
    <x v="78"/>
    <x v="42"/>
    <n v="11.199999999999992"/>
    <n v="2"/>
    <s v="Fed"/>
    <m/>
    <n v="0"/>
    <s v="0:Javier Campo"/>
    <s v="0:Campo"/>
    <s v=""/>
    <s v=""/>
    <m/>
    <s v="45479:Javier Campo"/>
    <n v="1"/>
  </r>
  <r>
    <x v="78"/>
    <x v="11"/>
    <n v="18.5"/>
    <n v="4"/>
    <s v="Fed"/>
    <m/>
    <n v="0"/>
    <s v="0:Javier Cervera"/>
    <s v="0:Virus"/>
    <s v=""/>
    <s v=""/>
    <m/>
    <s v="45479:Javier Cervera"/>
    <n v="1"/>
  </r>
  <r>
    <x v="78"/>
    <x v="25"/>
    <n v="10.9"/>
    <n v="2"/>
    <s v="Fed"/>
    <m/>
    <n v="0"/>
    <s v="0:Javier Chiralt"/>
    <s v="0:Chiralt"/>
    <s v=""/>
    <s v=""/>
    <m/>
    <s v="45479:Javier Chiralt"/>
    <n v="1"/>
  </r>
  <r>
    <x v="78"/>
    <x v="46"/>
    <n v="17.5"/>
    <n v="3"/>
    <s v="Fed"/>
    <m/>
    <n v="0"/>
    <s v="0:Javier Dodero de Solano"/>
    <s v="0:Dodero"/>
    <s v=""/>
    <s v=""/>
    <m/>
    <s v="45479:Javier Dodero de Solano"/>
    <n v="1"/>
  </r>
  <r>
    <x v="78"/>
    <x v="12"/>
    <n v="18.899999999999999"/>
    <n v="4"/>
    <s v="Fed"/>
    <m/>
    <n v="0"/>
    <s v="0:Javier Gonzalez Salvador"/>
    <s v="0:Javi"/>
    <s v=""/>
    <s v=""/>
    <m/>
    <s v="45479:Javier Gonzalez Salvador"/>
    <n v="1"/>
  </r>
  <r>
    <x v="78"/>
    <x v="26"/>
    <n v="20.9"/>
    <n v="4"/>
    <s v="Fed"/>
    <m/>
    <n v="0"/>
    <s v="0:Javier Lopez Gullón"/>
    <s v="0:Cuñao"/>
    <s v=""/>
    <s v=""/>
    <m/>
    <s v="45479:Javier Lopez Gullón"/>
    <n v="1"/>
  </r>
  <r>
    <x v="78"/>
    <x v="13"/>
    <n v="21.3"/>
    <n v="4"/>
    <s v="Fed"/>
    <m/>
    <n v="0"/>
    <s v="0:Jesus Touceda"/>
    <s v="0:Jesús"/>
    <s v=""/>
    <s v=""/>
    <m/>
    <s v="45479:Jesus Touceda"/>
    <n v="1"/>
  </r>
  <r>
    <x v="78"/>
    <x v="38"/>
    <n v="20.100000000000001"/>
    <n v="4"/>
    <s v="Fed"/>
    <m/>
    <n v="0"/>
    <s v="0:Jorge Alberto Martínez Sánchez"/>
    <s v="0:Jorge"/>
    <s v=""/>
    <s v=""/>
    <m/>
    <s v="45479:Jorge Alberto Martínez Sánchez"/>
    <n v="1"/>
  </r>
  <r>
    <x v="78"/>
    <x v="50"/>
    <n v="20.2"/>
    <n v="4"/>
    <s v="Fed"/>
    <m/>
    <n v="0"/>
    <s v="0:Jorge Maestro Aguilera"/>
    <s v="0:JMaestro"/>
    <s v=""/>
    <s v=""/>
    <m/>
    <s v="45479:Jorge Maestro Aguilera"/>
    <n v="1"/>
  </r>
  <r>
    <x v="78"/>
    <x v="45"/>
    <n v="26.2"/>
    <n v="4"/>
    <s v="Fed"/>
    <m/>
    <n v="0"/>
    <s v="0:Jose Antonio Santana"/>
    <s v="0:J Antonio"/>
    <s v=""/>
    <s v=""/>
    <m/>
    <s v="45479:Jose Antonio Santana"/>
    <n v="1"/>
  </r>
  <r>
    <x v="78"/>
    <x v="14"/>
    <n v="8.6"/>
    <n v="2"/>
    <s v="Fed"/>
    <m/>
    <n v="0"/>
    <s v="0:José Pablo Guil"/>
    <s v="0:JP"/>
    <s v=""/>
    <s v=""/>
    <m/>
    <s v="45479:José Pablo Guil"/>
    <n v="1"/>
  </r>
  <r>
    <x v="78"/>
    <x v="36"/>
    <n v="17.2"/>
    <n v="3"/>
    <s v="Fed"/>
    <m/>
    <n v="0"/>
    <s v="0:Juan Jose Aguado"/>
    <s v="0:Juancho"/>
    <s v=""/>
    <s v=""/>
    <m/>
    <s v="45479:Juan Jose Aguado"/>
    <n v="1"/>
  </r>
  <r>
    <x v="78"/>
    <x v="48"/>
    <n v="20.3"/>
    <n v="4"/>
    <s v="Fed"/>
    <m/>
    <n v="0"/>
    <s v="0:Juan Sanz"/>
    <s v="0:JuanSanz"/>
    <s v=""/>
    <s v=""/>
    <m/>
    <s v="45479:Juan Sanz"/>
    <n v="1"/>
  </r>
  <r>
    <x v="78"/>
    <x v="44"/>
    <n v="10.1"/>
    <n v="2"/>
    <s v="Fed"/>
    <m/>
    <n v="0"/>
    <s v="0:Luis Fernandez"/>
    <s v="0:Luis"/>
    <s v=""/>
    <s v=""/>
    <m/>
    <s v="45479:Luis Fernandez"/>
    <n v="1"/>
  </r>
  <r>
    <x v="78"/>
    <x v="21"/>
    <n v="18.600000000000001"/>
    <n v="4"/>
    <s v="Fed"/>
    <m/>
    <n v="0"/>
    <s v="0:Miche Lopez"/>
    <s v="0:Miche"/>
    <s v=""/>
    <s v=""/>
    <m/>
    <s v="45479:Miche Lopez"/>
    <n v="1"/>
  </r>
  <r>
    <x v="78"/>
    <x v="27"/>
    <n v="5.9"/>
    <n v="2"/>
    <s v="Fed"/>
    <m/>
    <n v="0"/>
    <s v="0:Nacho Casas"/>
    <s v="0:Nachete"/>
    <s v=""/>
    <s v=""/>
    <m/>
    <s v="45479:Nacho Casas"/>
    <n v="1"/>
  </r>
  <r>
    <x v="78"/>
    <x v="16"/>
    <n v="6.2"/>
    <n v="2"/>
    <s v="Fed"/>
    <m/>
    <n v="0"/>
    <s v="0:Nacho Gonzalez"/>
    <s v="0:Nacho"/>
    <s v=""/>
    <s v=""/>
    <m/>
    <s v="45479:Nacho Gonzalez"/>
    <n v="1"/>
  </r>
  <r>
    <x v="78"/>
    <x v="28"/>
    <n v="16.600000000000001"/>
    <n v="3"/>
    <s v="Fed"/>
    <m/>
    <n v="0"/>
    <s v="0:Ruslan Kochman"/>
    <s v="0:Rus"/>
    <s v=""/>
    <s v=""/>
    <m/>
    <s v="45479:Ruslan Kochman"/>
    <n v="1"/>
  </r>
  <r>
    <x v="78"/>
    <x v="32"/>
    <n v="16.399999999999999"/>
    <n v="3"/>
    <s v="Fed"/>
    <m/>
    <n v="0"/>
    <s v="0:Santi Diaz"/>
    <s v="0:Santi"/>
    <s v=""/>
    <s v=""/>
    <m/>
    <s v="45479:Santi Diaz"/>
    <n v="1"/>
  </r>
  <r>
    <x v="78"/>
    <x v="49"/>
    <n v="14.1"/>
    <n v="3"/>
    <s v="Fed"/>
    <m/>
    <n v="0"/>
    <s v="0:Thomas Dauterman"/>
    <s v="0:Tom"/>
    <s v=""/>
    <s v=""/>
    <m/>
    <s v="45479:Thomas Dauterman"/>
    <n v="1"/>
  </r>
  <r>
    <x v="79"/>
    <x v="30"/>
    <n v="1.2"/>
    <n v="1"/>
    <s v="Fed"/>
    <m/>
    <n v="0"/>
    <s v="0:Alejandro Arcos"/>
    <s v="0:Alex"/>
    <s v=""/>
    <s v=""/>
    <m/>
    <s v="45577:Alejandro Arcos"/>
    <n v="1"/>
  </r>
  <r>
    <x v="79"/>
    <x v="0"/>
    <n v="13.1"/>
    <n v="3"/>
    <s v="Fed"/>
    <m/>
    <n v="0"/>
    <s v="0:Alfonso Hidalgo"/>
    <s v="0:Alfonso"/>
    <s v=""/>
    <s v=""/>
    <m/>
    <s v="45577:Alfonso Hidalgo"/>
    <n v="1"/>
  </r>
  <r>
    <x v="79"/>
    <x v="22"/>
    <n v="15"/>
    <n v="3"/>
    <s v="Fed"/>
    <m/>
    <n v="0"/>
    <s v="0:Alfonso Zorrilla"/>
    <s v="0:A Zorrilla"/>
    <s v=""/>
    <s v=""/>
    <m/>
    <s v="45577:Alfonso Zorrilla"/>
    <n v="1"/>
  </r>
  <r>
    <x v="79"/>
    <x v="1"/>
    <n v="5.0999999999999996"/>
    <n v="2"/>
    <s v="Fed"/>
    <m/>
    <n v="0"/>
    <s v="0:Alvaro Aguirre"/>
    <s v="0:Gifu"/>
    <s v=""/>
    <s v=""/>
    <m/>
    <s v="45577:Alvaro Aguirre"/>
    <n v="1"/>
  </r>
  <r>
    <x v="79"/>
    <x v="23"/>
    <n v="9.1"/>
    <n v="2"/>
    <s v="Fed"/>
    <m/>
    <n v="0"/>
    <s v="0:Alvaro Montoya"/>
    <s v="0:Monti"/>
    <s v=""/>
    <s v=""/>
    <m/>
    <s v="45577:Alvaro Montoya"/>
    <n v="1"/>
  </r>
  <r>
    <x v="79"/>
    <x v="2"/>
    <n v="15.1"/>
    <n v="3"/>
    <s v="Fed"/>
    <m/>
    <n v="0"/>
    <s v="0:Alvaro Nieto"/>
    <s v="0:Alvaro"/>
    <s v=""/>
    <s v=""/>
    <m/>
    <s v="45577:Alvaro Nieto"/>
    <n v="1"/>
  </r>
  <r>
    <x v="79"/>
    <x v="3"/>
    <n v="9.3000000000000007"/>
    <n v="2"/>
    <s v="Fed"/>
    <m/>
    <n v="0"/>
    <s v="0:Angel Hernandez"/>
    <s v="0:Angel"/>
    <s v=""/>
    <s v=""/>
    <m/>
    <s v="45577:Angel Hernandez"/>
    <n v="1"/>
  </r>
  <r>
    <x v="79"/>
    <x v="47"/>
    <n v="8.3000000000000007"/>
    <n v="2"/>
    <s v="Fed"/>
    <m/>
    <n v="0"/>
    <s v="0:Angel Santana"/>
    <s v="0:A.Santana"/>
    <s v=""/>
    <s v=""/>
    <m/>
    <s v="45577:Angel Santana"/>
    <n v="1"/>
  </r>
  <r>
    <x v="79"/>
    <x v="31"/>
    <n v="19.3"/>
    <n v="4"/>
    <s v="Fed"/>
    <m/>
    <n v="0"/>
    <s v="0:Antonio Carmona"/>
    <s v="0:Antonio"/>
    <s v=""/>
    <s v=""/>
    <m/>
    <s v="45577:Antonio Carmona"/>
    <n v="1"/>
  </r>
  <r>
    <x v="79"/>
    <x v="34"/>
    <n v="1.3"/>
    <n v="1"/>
    <s v="Fed"/>
    <m/>
    <n v="0"/>
    <s v="0:Carlos Maestro"/>
    <s v="0:Carlitos"/>
    <s v=""/>
    <s v=""/>
    <m/>
    <s v="45577:Carlos Maestro"/>
    <n v="1"/>
  </r>
  <r>
    <x v="79"/>
    <x v="4"/>
    <n v="14.4"/>
    <n v="3"/>
    <s v="Fed"/>
    <m/>
    <n v="0"/>
    <s v="0:David Sequera"/>
    <s v="0:David"/>
    <s v=""/>
    <s v=""/>
    <m/>
    <s v="45577:David Sequera"/>
    <n v="1"/>
  </r>
  <r>
    <x v="79"/>
    <x v="39"/>
    <n v="8.9"/>
    <n v="2"/>
    <s v="Fed"/>
    <m/>
    <n v="0"/>
    <s v="0:Eduardo Buendía"/>
    <s v="0:Eduardo"/>
    <s v=""/>
    <s v=""/>
    <m/>
    <s v="45577:Eduardo Buendía"/>
    <n v="1"/>
  </r>
  <r>
    <x v="79"/>
    <x v="29"/>
    <n v="12.9"/>
    <n v="3"/>
    <s v="Fed"/>
    <m/>
    <n v="0"/>
    <s v="0:Enrique Gonzalez R"/>
    <s v="0:Enrique"/>
    <s v=""/>
    <s v=""/>
    <m/>
    <s v="45577:Enrique Gonzalez R"/>
    <n v="1"/>
  </r>
  <r>
    <x v="79"/>
    <x v="5"/>
    <n v="16.100000000000001"/>
    <n v="3"/>
    <s v="Fed"/>
    <m/>
    <n v="0"/>
    <s v="0:Francisco Alvarez"/>
    <s v="0:Paco"/>
    <s v=""/>
    <s v=""/>
    <m/>
    <s v="45577:Francisco Alvarez"/>
    <n v="1"/>
  </r>
  <r>
    <x v="79"/>
    <x v="6"/>
    <n v="13.6"/>
    <n v="3"/>
    <s v="Fed"/>
    <m/>
    <n v="0"/>
    <s v="0:Francisco Hidalgo"/>
    <s v="0:Fran"/>
    <s v=""/>
    <s v=""/>
    <m/>
    <s v="45577:Francisco Hidalgo"/>
    <n v="1"/>
  </r>
  <r>
    <x v="79"/>
    <x v="24"/>
    <n v="15"/>
    <n v="3"/>
    <s v="Fed"/>
    <m/>
    <n v="0"/>
    <s v="0:Franck Benouniche"/>
    <s v="0:Franck"/>
    <s v=""/>
    <s v=""/>
    <m/>
    <s v="45577:Franck Benouniche"/>
    <n v="1"/>
  </r>
  <r>
    <x v="79"/>
    <x v="7"/>
    <n v="19.399999999999999"/>
    <n v="4"/>
    <s v="Fed"/>
    <m/>
    <n v="0"/>
    <s v="0:GLEZ JUAN JOSÉ"/>
    <s v="0:Juanjo"/>
    <s v=""/>
    <s v=""/>
    <m/>
    <s v="45577:GLEZ JUAN JOSÉ"/>
    <n v="1"/>
  </r>
  <r>
    <x v="79"/>
    <x v="8"/>
    <n v="7.7"/>
    <n v="2"/>
    <s v="Fed"/>
    <m/>
    <n v="0"/>
    <s v="0:Ignacio Cadarso"/>
    <s v="0:Ignacio"/>
    <s v=""/>
    <s v=""/>
    <m/>
    <s v="45577:Ignacio Cadarso"/>
    <n v="1"/>
  </r>
  <r>
    <x v="79"/>
    <x v="37"/>
    <n v="23.7"/>
    <n v="4"/>
    <s v="Fed"/>
    <m/>
    <n v="0"/>
    <s v="0:Ignacio Gracia Charlez"/>
    <s v="0:I Gracia"/>
    <s v=""/>
    <s v=""/>
    <m/>
    <s v="45577:Ignacio Gracia Charlez"/>
    <n v="1"/>
  </r>
  <r>
    <x v="79"/>
    <x v="10"/>
    <n v="19.2"/>
    <n v="4"/>
    <s v="Fed"/>
    <m/>
    <n v="0"/>
    <s v="0:J. Enrique Gonzalez"/>
    <s v="0:Kike"/>
    <s v=""/>
    <s v=""/>
    <m/>
    <s v="45577:J. Enrique Gonzalez"/>
    <n v="1"/>
  </r>
  <r>
    <x v="79"/>
    <x v="35"/>
    <n v="9"/>
    <n v="2"/>
    <s v="Fed"/>
    <m/>
    <n v="0"/>
    <s v="0:Jaime Villanueva"/>
    <s v="0:Villanueva"/>
    <s v=""/>
    <s v=""/>
    <m/>
    <s v="45577:Jaime Villanueva"/>
    <n v="1"/>
  </r>
  <r>
    <x v="79"/>
    <x v="41"/>
    <n v="10.4"/>
    <n v="2"/>
    <s v="Fed"/>
    <m/>
    <n v="0"/>
    <s v="0:Javier Arcos"/>
    <s v="0:J.Arcos"/>
    <s v=""/>
    <s v=""/>
    <m/>
    <s v="45577:Javier Arcos"/>
    <n v="1"/>
  </r>
  <r>
    <x v="79"/>
    <x v="42"/>
    <n v="11.199999999999992"/>
    <n v="2"/>
    <s v="Fed"/>
    <m/>
    <n v="0"/>
    <s v="0:Javier Campo"/>
    <s v="0:Campo"/>
    <s v=""/>
    <s v=""/>
    <m/>
    <s v="45577:Javier Campo"/>
    <n v="1"/>
  </r>
  <r>
    <x v="79"/>
    <x v="11"/>
    <n v="18.399999999999999"/>
    <n v="3"/>
    <s v="Fed"/>
    <m/>
    <n v="0"/>
    <s v="0:Javier Cervera"/>
    <s v="0:Virus"/>
    <s v=""/>
    <s v=""/>
    <m/>
    <s v="45577:Javier Cervera"/>
    <n v="1"/>
  </r>
  <r>
    <x v="79"/>
    <x v="25"/>
    <n v="10.6"/>
    <n v="2"/>
    <s v="Fed"/>
    <m/>
    <n v="0"/>
    <s v="0:Javier Chiralt"/>
    <s v="0:Chiralt"/>
    <s v=""/>
    <s v=""/>
    <m/>
    <s v="45577:Javier Chiralt"/>
    <n v="1"/>
  </r>
  <r>
    <x v="79"/>
    <x v="46"/>
    <n v="17.5"/>
    <n v="3"/>
    <s v="Fed"/>
    <m/>
    <n v="0"/>
    <s v="0:Javier Dodero de Solano"/>
    <s v="0:Dodero"/>
    <s v=""/>
    <s v=""/>
    <m/>
    <s v="45577:Javier Dodero de Solano"/>
    <n v="1"/>
  </r>
  <r>
    <x v="79"/>
    <x v="12"/>
    <n v="19.3"/>
    <n v="4"/>
    <s v="Fed"/>
    <m/>
    <n v="0"/>
    <s v="0:Javier Gonzalez Salvador"/>
    <s v="0:Javi"/>
    <s v=""/>
    <s v=""/>
    <m/>
    <s v="45577:Javier Gonzalez Salvador"/>
    <n v="1"/>
  </r>
  <r>
    <x v="79"/>
    <x v="26"/>
    <n v="20.9"/>
    <n v="4"/>
    <s v="Fed"/>
    <m/>
    <n v="0"/>
    <s v="0:Javier Lopez Gullón"/>
    <s v="0:Cuñao"/>
    <s v=""/>
    <s v=""/>
    <m/>
    <s v="45577:Javier Lopez Gullón"/>
    <n v="1"/>
  </r>
  <r>
    <x v="79"/>
    <x v="13"/>
    <n v="21.1"/>
    <n v="4"/>
    <s v="Fed"/>
    <m/>
    <n v="0"/>
    <s v="0:Jesus Touceda"/>
    <s v="0:Jesús"/>
    <s v=""/>
    <s v=""/>
    <m/>
    <s v="45577:Jesus Touceda"/>
    <n v="1"/>
  </r>
  <r>
    <x v="79"/>
    <x v="38"/>
    <n v="19.399999999999999"/>
    <n v="4"/>
    <s v="Fed"/>
    <m/>
    <n v="0"/>
    <s v="0:Jorge Alberto Martínez Sánchez"/>
    <s v="0:Jorge"/>
    <s v=""/>
    <s v=""/>
    <m/>
    <s v="45577:Jorge Alberto Martínez Sánchez"/>
    <n v="1"/>
  </r>
  <r>
    <x v="79"/>
    <x v="50"/>
    <n v="20.2"/>
    <n v="4"/>
    <s v="Fed"/>
    <m/>
    <n v="0"/>
    <s v="0:Jorge Maestro Aguilera"/>
    <s v="0:JMaestro"/>
    <s v=""/>
    <s v=""/>
    <m/>
    <s v="45577:Jorge Maestro Aguilera"/>
    <n v="1"/>
  </r>
  <r>
    <x v="79"/>
    <x v="45"/>
    <n v="26.4"/>
    <n v="4"/>
    <s v="Fed"/>
    <m/>
    <n v="0"/>
    <s v="0:Jose Antonio Santana"/>
    <s v="0:J Antonio"/>
    <s v=""/>
    <s v=""/>
    <m/>
    <s v="45577:Jose Antonio Santana"/>
    <n v="1"/>
  </r>
  <r>
    <x v="79"/>
    <x v="14"/>
    <n v="9.1"/>
    <n v="2"/>
    <s v="Fed"/>
    <m/>
    <n v="0"/>
    <s v="0:José Pablo Guil"/>
    <s v="0:JP"/>
    <s v=""/>
    <s v=""/>
    <m/>
    <s v="45577:José Pablo Guil"/>
    <n v="1"/>
  </r>
  <r>
    <x v="79"/>
    <x v="36"/>
    <n v="15.4"/>
    <n v="3"/>
    <s v="Fed"/>
    <m/>
    <n v="0"/>
    <s v="0:Juan Jose Aguado"/>
    <s v="0:Juancho"/>
    <s v=""/>
    <s v=""/>
    <m/>
    <s v="45577:Juan Jose Aguado"/>
    <n v="1"/>
  </r>
  <r>
    <x v="79"/>
    <x v="48"/>
    <n v="18.5"/>
    <n v="4"/>
    <s v="Fed"/>
    <m/>
    <n v="0"/>
    <s v="0:Juan Sanz"/>
    <s v="0:JuanSanz"/>
    <s v=""/>
    <s v=""/>
    <m/>
    <s v="45577:Juan Sanz"/>
    <n v="1"/>
  </r>
  <r>
    <x v="79"/>
    <x v="44"/>
    <n v="10.4"/>
    <n v="2"/>
    <s v="Fed"/>
    <m/>
    <n v="0"/>
    <s v="0:Luis Fernandez"/>
    <s v="0:Luis"/>
    <s v=""/>
    <s v=""/>
    <m/>
    <s v="45577:Luis Fernandez"/>
    <n v="1"/>
  </r>
  <r>
    <x v="79"/>
    <x v="21"/>
    <n v="18"/>
    <n v="3"/>
    <s v="Fed"/>
    <m/>
    <n v="0"/>
    <s v="0:Miche Lopez"/>
    <s v="0:Miche"/>
    <s v=""/>
    <s v=""/>
    <m/>
    <s v="45577:Miche Lopez"/>
    <n v="1"/>
  </r>
  <r>
    <x v="79"/>
    <x v="27"/>
    <n v="5.2"/>
    <n v="2"/>
    <s v="Fed"/>
    <m/>
    <n v="0"/>
    <s v="0:Nacho Casas"/>
    <s v="0:Nachete"/>
    <s v=""/>
    <s v=""/>
    <m/>
    <s v="45577:Nacho Casas"/>
    <n v="1"/>
  </r>
  <r>
    <x v="79"/>
    <x v="16"/>
    <n v="4.7"/>
    <n v="2"/>
    <s v="Fed"/>
    <m/>
    <n v="0"/>
    <s v="0:Nacho Gonzalez"/>
    <s v="0:Nacho"/>
    <s v=""/>
    <s v=""/>
    <m/>
    <s v="45577:Nacho Gonzalez"/>
    <n v="1"/>
  </r>
  <r>
    <x v="79"/>
    <x v="28"/>
    <n v="16.600000000000001"/>
    <n v="3"/>
    <s v="Fed"/>
    <m/>
    <n v="0"/>
    <s v="0:Ruslan Kochman"/>
    <s v="0:Rus"/>
    <s v=""/>
    <s v=""/>
    <m/>
    <s v="45577:Ruslan Kochman"/>
    <n v="1"/>
  </r>
  <r>
    <x v="79"/>
    <x v="32"/>
    <n v="16.399999999999999"/>
    <n v="3"/>
    <s v="Fed"/>
    <m/>
    <n v="0"/>
    <s v="0:Santi Diaz"/>
    <s v="0:Santi"/>
    <s v=""/>
    <s v=""/>
    <m/>
    <s v="45577:Santi Diaz"/>
    <n v="1"/>
  </r>
  <r>
    <x v="79"/>
    <x v="49"/>
    <n v="13.9"/>
    <n v="3"/>
    <s v="Fed"/>
    <m/>
    <n v="0"/>
    <s v="0:Thomas Dauterman"/>
    <s v="0:Tom"/>
    <s v=""/>
    <s v=""/>
    <m/>
    <s v="45577:Thomas Dauterman"/>
    <n v="1"/>
  </r>
  <r>
    <x v="80"/>
    <x v="30"/>
    <n v="1.2"/>
    <n v="1"/>
    <s v="Fed"/>
    <m/>
    <n v="0"/>
    <s v="0:Alejandro Arcos"/>
    <s v="0:Alex"/>
    <s v=""/>
    <s v=""/>
    <m/>
    <s v="45612:Alejandro Arcos"/>
    <n v="1"/>
  </r>
  <r>
    <x v="80"/>
    <x v="0"/>
    <n v="12.2"/>
    <n v="3"/>
    <s v="Fed"/>
    <m/>
    <n v="0"/>
    <s v="0:Alfonso Hidalgo"/>
    <s v="0:Alfonso"/>
    <s v=""/>
    <s v=""/>
    <m/>
    <s v="45612:Alfonso Hidalgo"/>
    <n v="1"/>
  </r>
  <r>
    <x v="80"/>
    <x v="22"/>
    <n v="15"/>
    <n v="3"/>
    <s v="Fed"/>
    <m/>
    <n v="0"/>
    <s v="0:Alfonso Zorrilla"/>
    <s v="0:A Zorrilla"/>
    <s v=""/>
    <s v=""/>
    <m/>
    <s v="45612:Alfonso Zorrilla"/>
    <n v="1"/>
  </r>
  <r>
    <x v="80"/>
    <x v="1"/>
    <n v="5.4"/>
    <n v="2"/>
    <s v="Fed"/>
    <m/>
    <n v="0"/>
    <s v="0:Alvaro Aguirre"/>
    <s v="0:Gifu"/>
    <s v=""/>
    <s v=""/>
    <m/>
    <s v="45612:Alvaro Aguirre"/>
    <n v="1"/>
  </r>
  <r>
    <x v="80"/>
    <x v="23"/>
    <n v="9.1"/>
    <n v="2"/>
    <s v="Fed"/>
    <m/>
    <n v="0"/>
    <s v="0:Alvaro Montoya"/>
    <s v="0:Monti"/>
    <s v=""/>
    <s v=""/>
    <m/>
    <s v="45612:Alvaro Montoya"/>
    <n v="1"/>
  </r>
  <r>
    <x v="80"/>
    <x v="2"/>
    <n v="15.2"/>
    <n v="3"/>
    <s v="Fed"/>
    <m/>
    <n v="0"/>
    <s v="0:Alvaro Nieto"/>
    <s v="0:Alvaro"/>
    <s v=""/>
    <s v=""/>
    <m/>
    <s v="45612:Alvaro Nieto"/>
    <n v="1"/>
  </r>
  <r>
    <x v="80"/>
    <x v="3"/>
    <n v="9.5"/>
    <n v="2"/>
    <s v="Fed"/>
    <m/>
    <n v="0"/>
    <s v="0:Angel Hernandez"/>
    <s v="0:Angel"/>
    <s v=""/>
    <s v=""/>
    <m/>
    <s v="45612:Angel Hernandez"/>
    <n v="1"/>
  </r>
  <r>
    <x v="80"/>
    <x v="47"/>
    <n v="7.5"/>
    <n v="2"/>
    <s v="Fed"/>
    <m/>
    <n v="0"/>
    <s v="0:Angel Santana"/>
    <s v="0:A.Santana"/>
    <s v=""/>
    <s v=""/>
    <m/>
    <s v="45612:Angel Santana"/>
    <n v="1"/>
  </r>
  <r>
    <x v="80"/>
    <x v="31"/>
    <n v="19.3"/>
    <n v="4"/>
    <s v="Fed"/>
    <m/>
    <n v="0"/>
    <s v="0:Antonio Carmona"/>
    <s v="0:Antonio"/>
    <s v=""/>
    <s v=""/>
    <m/>
    <s v="45612:Antonio Carmona"/>
    <n v="1"/>
  </r>
  <r>
    <x v="80"/>
    <x v="34"/>
    <n v="1.3"/>
    <n v="1"/>
    <s v="Fed"/>
    <m/>
    <n v="0"/>
    <s v="0:Carlos Maestro"/>
    <s v="0:Carlitos"/>
    <s v=""/>
    <s v=""/>
    <m/>
    <s v="45612:Carlos Maestro"/>
    <n v="1"/>
  </r>
  <r>
    <x v="80"/>
    <x v="4"/>
    <n v="14.4"/>
    <n v="3"/>
    <s v="Fed"/>
    <m/>
    <n v="0"/>
    <s v="0:David Sequera"/>
    <s v="0:David"/>
    <s v=""/>
    <s v=""/>
    <m/>
    <s v="45612:David Sequera"/>
    <n v="1"/>
  </r>
  <r>
    <x v="80"/>
    <x v="39"/>
    <n v="9.8000000000000007"/>
    <n v="2"/>
    <s v="Fed"/>
    <m/>
    <n v="0"/>
    <s v="0:Eduardo Buendía"/>
    <s v="0:Eduardo"/>
    <s v=""/>
    <s v=""/>
    <m/>
    <s v="45612:Eduardo Buendía"/>
    <n v="1"/>
  </r>
  <r>
    <x v="80"/>
    <x v="29"/>
    <n v="13.3"/>
    <n v="3"/>
    <s v="Fed"/>
    <m/>
    <n v="0"/>
    <s v="0:Enrique Gonzalez R"/>
    <s v="0:Enrique"/>
    <s v=""/>
    <s v=""/>
    <m/>
    <s v="45612:Enrique Gonzalez R"/>
    <n v="1"/>
  </r>
  <r>
    <x v="80"/>
    <x v="5"/>
    <n v="16.100000000000001"/>
    <n v="3"/>
    <s v="Fed"/>
    <m/>
    <n v="0"/>
    <s v="0:Francisco Alvarez"/>
    <s v="0:Paco"/>
    <s v=""/>
    <s v=""/>
    <m/>
    <s v="45612:Francisco Alvarez"/>
    <n v="1"/>
  </r>
  <r>
    <x v="80"/>
    <x v="6"/>
    <n v="13.6"/>
    <n v="3"/>
    <s v="Fed"/>
    <m/>
    <n v="0"/>
    <s v="0:Francisco Hidalgo"/>
    <s v="0:Fran"/>
    <s v=""/>
    <s v=""/>
    <m/>
    <s v="45612:Francisco Hidalgo"/>
    <n v="1"/>
  </r>
  <r>
    <x v="80"/>
    <x v="24"/>
    <n v="15"/>
    <n v="3"/>
    <s v="Fed"/>
    <m/>
    <n v="0"/>
    <s v="0:Franck Benouniche"/>
    <s v="0:Franck"/>
    <s v=""/>
    <s v=""/>
    <m/>
    <s v="45612:Franck Benouniche"/>
    <n v="1"/>
  </r>
  <r>
    <x v="80"/>
    <x v="7"/>
    <n v="19.399999999999999"/>
    <n v="4"/>
    <s v="Fed"/>
    <m/>
    <n v="0"/>
    <s v="0:GLEZ JUAN JOSÉ"/>
    <s v="0:Juanjo"/>
    <s v=""/>
    <s v=""/>
    <m/>
    <s v="45612:GLEZ JUAN JOSÉ"/>
    <n v="1"/>
  </r>
  <r>
    <x v="80"/>
    <x v="8"/>
    <n v="7.2"/>
    <n v="2"/>
    <s v="Fed"/>
    <m/>
    <n v="0"/>
    <s v="0:Ignacio Cadarso"/>
    <s v="0:Ignacio"/>
    <s v=""/>
    <s v=""/>
    <m/>
    <s v="45612:Ignacio Cadarso"/>
    <n v="1"/>
  </r>
  <r>
    <x v="80"/>
    <x v="37"/>
    <n v="23.7"/>
    <n v="4"/>
    <s v="Fed"/>
    <m/>
    <n v="0"/>
    <s v="0:Ignacio Gracia Charlez"/>
    <s v="0:I Gracia"/>
    <s v=""/>
    <s v=""/>
    <m/>
    <s v="45612:Ignacio Gracia Charlez"/>
    <n v="1"/>
  </r>
  <r>
    <x v="80"/>
    <x v="10"/>
    <n v="19.2"/>
    <n v="4"/>
    <s v="Fed"/>
    <m/>
    <n v="0"/>
    <s v="0:J. Enrique Gonzalez"/>
    <s v="0:Kike"/>
    <s v=""/>
    <s v=""/>
    <m/>
    <s v="45612:J. Enrique Gonzalez"/>
    <n v="1"/>
  </r>
  <r>
    <x v="80"/>
    <x v="35"/>
    <n v="8"/>
    <n v="2"/>
    <s v="Fed"/>
    <m/>
    <n v="0"/>
    <s v="0:Jaime Villanueva"/>
    <s v="0:Villanueva"/>
    <s v=""/>
    <s v=""/>
    <m/>
    <s v="45612:Jaime Villanueva"/>
    <n v="1"/>
  </r>
  <r>
    <x v="80"/>
    <x v="41"/>
    <n v="10.4"/>
    <n v="2"/>
    <s v="Fed"/>
    <m/>
    <n v="0"/>
    <s v="0:Javier Arcos"/>
    <s v="0:J.Arcos"/>
    <s v=""/>
    <s v=""/>
    <m/>
    <s v="45612:Javier Arcos"/>
    <n v="1"/>
  </r>
  <r>
    <x v="80"/>
    <x v="42"/>
    <n v="11.199999999999992"/>
    <n v="2"/>
    <s v="Fed"/>
    <m/>
    <n v="0"/>
    <s v="0:Javier Campo"/>
    <s v="0:Campo"/>
    <s v=""/>
    <s v=""/>
    <m/>
    <s v="45612:Javier Campo"/>
    <n v="1"/>
  </r>
  <r>
    <x v="80"/>
    <x v="11"/>
    <n v="18.399999999999999"/>
    <n v="3"/>
    <s v="Fed"/>
    <m/>
    <n v="0"/>
    <s v="0:Javier Cervera"/>
    <s v="0:Virus"/>
    <s v=""/>
    <s v=""/>
    <m/>
    <s v="45612:Javier Cervera"/>
    <n v="1"/>
  </r>
  <r>
    <x v="80"/>
    <x v="25"/>
    <n v="10.6"/>
    <n v="2"/>
    <s v="Fed"/>
    <m/>
    <n v="0"/>
    <s v="0:Javier Chiralt"/>
    <s v="0:Chiralt"/>
    <s v=""/>
    <s v=""/>
    <m/>
    <s v="45612:Javier Chiralt"/>
    <n v="1"/>
  </r>
  <r>
    <x v="80"/>
    <x v="46"/>
    <n v="17.5"/>
    <n v="3"/>
    <s v="Fed"/>
    <m/>
    <n v="0"/>
    <s v="0:Javier Dodero de Solano"/>
    <s v="0:Dodero"/>
    <s v=""/>
    <s v=""/>
    <m/>
    <s v="45612:Javier Dodero de Solano"/>
    <n v="1"/>
  </r>
  <r>
    <x v="80"/>
    <x v="12"/>
    <n v="19.3"/>
    <n v="4"/>
    <s v="Fed"/>
    <m/>
    <n v="0"/>
    <s v="0:Javier Gonzalez Salvador"/>
    <s v="0:Javi"/>
    <s v=""/>
    <s v=""/>
    <m/>
    <s v="45612:Javier Gonzalez Salvador"/>
    <n v="1"/>
  </r>
  <r>
    <x v="80"/>
    <x v="26"/>
    <n v="20.9"/>
    <n v="4"/>
    <s v="Fed"/>
    <m/>
    <n v="0"/>
    <s v="0:Javier Lopez Gullón"/>
    <s v="0:Cuñao"/>
    <s v=""/>
    <s v=""/>
    <m/>
    <s v="45612:Javier Lopez Gullón"/>
    <n v="1"/>
  </r>
  <r>
    <x v="80"/>
    <x v="13"/>
    <n v="21.1"/>
    <n v="4"/>
    <s v="Fed"/>
    <m/>
    <n v="0"/>
    <s v="0:Jesus Touceda"/>
    <s v="0:Jesús"/>
    <s v=""/>
    <s v=""/>
    <m/>
    <s v="45612:Jesus Touceda"/>
    <n v="1"/>
  </r>
  <r>
    <x v="80"/>
    <x v="38"/>
    <n v="18.600000000000001"/>
    <n v="4"/>
    <s v="Fed"/>
    <m/>
    <n v="0"/>
    <s v="0:Jorge Alberto Martínez Sánchez"/>
    <s v="0:Jorge"/>
    <s v=""/>
    <s v=""/>
    <m/>
    <s v="45612:Jorge Alberto Martínez Sánchez"/>
    <n v="1"/>
  </r>
  <r>
    <x v="80"/>
    <x v="50"/>
    <n v="17.5"/>
    <n v="3"/>
    <s v="Fed"/>
    <m/>
    <n v="0"/>
    <s v="0:Jorge Maestro Aguilera"/>
    <s v="0:JMaestro"/>
    <s v=""/>
    <s v=""/>
    <m/>
    <s v="45612:Jorge Maestro Aguilera"/>
    <n v="1"/>
  </r>
  <r>
    <x v="80"/>
    <x v="45"/>
    <n v="26.4"/>
    <n v="4"/>
    <s v="Fed"/>
    <m/>
    <n v="0"/>
    <s v="0:Jose Antonio Santana"/>
    <s v="0:J Antonio"/>
    <s v=""/>
    <s v=""/>
    <m/>
    <s v="45612:Jose Antonio Santana"/>
    <n v="1"/>
  </r>
  <r>
    <x v="80"/>
    <x v="14"/>
    <n v="7.3"/>
    <n v="2"/>
    <s v="Fed"/>
    <m/>
    <n v="0"/>
    <s v="0:José Pablo Guil"/>
    <s v="0:JP"/>
    <s v=""/>
    <s v=""/>
    <m/>
    <s v="45612:José Pablo Guil"/>
    <n v="1"/>
  </r>
  <r>
    <x v="80"/>
    <x v="36"/>
    <n v="15.1"/>
    <n v="3"/>
    <s v="Fed"/>
    <m/>
    <n v="0"/>
    <s v="0:Juan Jose Aguado"/>
    <s v="0:Juancho"/>
    <s v=""/>
    <s v=""/>
    <m/>
    <s v="45612:Juan Jose Aguado"/>
    <n v="1"/>
  </r>
  <r>
    <x v="80"/>
    <x v="48"/>
    <n v="17.2"/>
    <n v="3"/>
    <s v="Fed"/>
    <m/>
    <n v="0"/>
    <s v="0:Juan Sanz"/>
    <s v="0:JuanSanz"/>
    <s v=""/>
    <s v=""/>
    <m/>
    <s v="45612:Juan Sanz"/>
    <n v="1"/>
  </r>
  <r>
    <x v="80"/>
    <x v="44"/>
    <n v="10.4"/>
    <n v="2"/>
    <s v="Fed"/>
    <m/>
    <n v="0"/>
    <s v="0:Luis Fernandez"/>
    <s v="0:Luis"/>
    <s v=""/>
    <s v=""/>
    <m/>
    <s v="45612:Luis Fernandez"/>
    <n v="1"/>
  </r>
  <r>
    <x v="80"/>
    <x v="21"/>
    <n v="18"/>
    <n v="3"/>
    <s v="Fed"/>
    <m/>
    <n v="0"/>
    <s v="0:Miche Lopez"/>
    <s v="0:Miche"/>
    <s v=""/>
    <s v=""/>
    <m/>
    <s v="45612:Miche Lopez"/>
    <n v="1"/>
  </r>
  <r>
    <x v="80"/>
    <x v="27"/>
    <n v="5.2"/>
    <n v="2"/>
    <s v="Fed"/>
    <m/>
    <n v="0"/>
    <s v="0:Nacho Casas"/>
    <s v="0:Nachete"/>
    <s v=""/>
    <s v=""/>
    <m/>
    <s v="45612:Nacho Casas"/>
    <n v="1"/>
  </r>
  <r>
    <x v="80"/>
    <x v="16"/>
    <n v="4.7"/>
    <n v="2"/>
    <s v="Fed"/>
    <m/>
    <n v="0"/>
    <s v="0:Nacho Gonzalez"/>
    <s v="0:Nacho"/>
    <s v=""/>
    <s v=""/>
    <m/>
    <s v="45612:Nacho Gonzalez"/>
    <n v="1"/>
  </r>
  <r>
    <x v="80"/>
    <x v="28"/>
    <n v="16.600000000000001"/>
    <n v="3"/>
    <s v="Fed"/>
    <m/>
    <n v="0"/>
    <s v="0:Ruslan Kochman"/>
    <s v="0:Rus"/>
    <s v=""/>
    <s v=""/>
    <m/>
    <s v="45612:Ruslan Kochman"/>
    <n v="1"/>
  </r>
  <r>
    <x v="80"/>
    <x v="32"/>
    <n v="16.399999999999999"/>
    <n v="3"/>
    <s v="Fed"/>
    <m/>
    <n v="0"/>
    <s v="0:Santi Diaz"/>
    <s v="0:Santi"/>
    <s v=""/>
    <s v=""/>
    <m/>
    <s v="45612:Santi Diaz"/>
    <n v="1"/>
  </r>
  <r>
    <x v="80"/>
    <x v="49"/>
    <n v="13.9"/>
    <n v="3"/>
    <s v="Fed"/>
    <m/>
    <n v="0"/>
    <s v="0:Thomas Dauterman"/>
    <s v="0:Tom"/>
    <s v=""/>
    <s v=""/>
    <m/>
    <s v="45612:Thomas Dauterman"/>
    <n v="1"/>
  </r>
  <r>
    <x v="81"/>
    <x v="30"/>
    <n v="1.2"/>
    <n v="1"/>
    <s v="Fed"/>
    <m/>
    <n v="0"/>
    <s v="0:Alejandro Arcos"/>
    <s v="0:Alex"/>
    <s v=""/>
    <s v=""/>
    <m/>
    <s v="45626:Alejandro Arcos"/>
    <n v="1"/>
  </r>
  <r>
    <x v="81"/>
    <x v="0"/>
    <n v="11.9"/>
    <n v="3"/>
    <s v="Fed"/>
    <m/>
    <n v="0"/>
    <s v="0:Alfonso Hidalgo"/>
    <s v="0:Alfonso"/>
    <s v=""/>
    <s v=""/>
    <m/>
    <s v="45626:Alfonso Hidalgo"/>
    <n v="1"/>
  </r>
  <r>
    <x v="81"/>
    <x v="22"/>
    <n v="15"/>
    <n v="3"/>
    <s v="Fed"/>
    <m/>
    <n v="0"/>
    <s v="0:Alfonso Zorrilla"/>
    <s v="0:A Zorrilla"/>
    <s v=""/>
    <s v=""/>
    <m/>
    <s v="45626:Alfonso Zorrilla"/>
    <n v="1"/>
  </r>
  <r>
    <x v="81"/>
    <x v="1"/>
    <n v="5.7"/>
    <n v="2"/>
    <s v="Fed"/>
    <m/>
    <n v="0"/>
    <s v="0:Alvaro Aguirre"/>
    <s v="0:Gifu"/>
    <s v=""/>
    <s v=""/>
    <m/>
    <s v="45626:Alvaro Aguirre"/>
    <n v="1"/>
  </r>
  <r>
    <x v="81"/>
    <x v="23"/>
    <n v="9.1999999999999993"/>
    <n v="2"/>
    <s v="Fed"/>
    <m/>
    <n v="0"/>
    <s v="0:Alvaro Montoya"/>
    <s v="0:Monti"/>
    <s v=""/>
    <s v=""/>
    <m/>
    <s v="45626:Alvaro Montoya"/>
    <n v="1"/>
  </r>
  <r>
    <x v="81"/>
    <x v="2"/>
    <n v="15.2"/>
    <n v="3"/>
    <s v="Fed"/>
    <m/>
    <n v="0"/>
    <s v="0:Alvaro Nieto"/>
    <s v="0:Alvaro"/>
    <s v=""/>
    <s v=""/>
    <m/>
    <s v="45626:Alvaro Nieto"/>
    <n v="1"/>
  </r>
  <r>
    <x v="81"/>
    <x v="3"/>
    <n v="9.6999999999999993"/>
    <n v="2"/>
    <s v="Fed"/>
    <m/>
    <n v="0"/>
    <s v="0:Angel Hernandez"/>
    <s v="0:Angel"/>
    <s v=""/>
    <s v=""/>
    <m/>
    <s v="45626:Angel Hernandez"/>
    <n v="1"/>
  </r>
  <r>
    <x v="81"/>
    <x v="47"/>
    <n v="6.9"/>
    <n v="2"/>
    <s v="Fed"/>
    <m/>
    <n v="0"/>
    <s v="0:Angel Santana"/>
    <s v="0:A.Santana"/>
    <s v=""/>
    <s v=""/>
    <m/>
    <s v="45626:Angel Santana"/>
    <n v="1"/>
  </r>
  <r>
    <x v="81"/>
    <x v="31"/>
    <n v="19.399999999999999"/>
    <n v="4"/>
    <s v="Fed"/>
    <m/>
    <n v="0"/>
    <s v="0:Antonio Carmona"/>
    <s v="0:Antonio"/>
    <s v=""/>
    <s v=""/>
    <m/>
    <s v="45626:Antonio Carmona"/>
    <n v="1"/>
  </r>
  <r>
    <x v="81"/>
    <x v="34"/>
    <n v="1.3"/>
    <n v="1"/>
    <s v="Fed"/>
    <m/>
    <n v="0"/>
    <s v="0:Carlos Maestro"/>
    <s v="0:Carlitos"/>
    <s v=""/>
    <s v=""/>
    <m/>
    <s v="45626:Carlos Maestro"/>
    <n v="1"/>
  </r>
  <r>
    <x v="81"/>
    <x v="4"/>
    <n v="14.4"/>
    <n v="3"/>
    <s v="Fed"/>
    <m/>
    <n v="0"/>
    <s v="0:David Sequera"/>
    <s v="0:David"/>
    <s v=""/>
    <s v=""/>
    <m/>
    <s v="45626:David Sequera"/>
    <n v="1"/>
  </r>
  <r>
    <x v="81"/>
    <x v="39"/>
    <n v="9.8000000000000007"/>
    <n v="2"/>
    <s v="Fed"/>
    <m/>
    <n v="0"/>
    <s v="0:Eduardo Buendía"/>
    <s v="0:Eduardo"/>
    <s v=""/>
    <s v=""/>
    <m/>
    <s v="45626:Eduardo Buendía"/>
    <n v="1"/>
  </r>
  <r>
    <x v="81"/>
    <x v="29"/>
    <n v="12.5"/>
    <n v="3"/>
    <s v="Fed"/>
    <m/>
    <n v="0"/>
    <s v="0:Enrique Gonzalez R"/>
    <s v="0:Enrique"/>
    <s v=""/>
    <s v=""/>
    <m/>
    <s v="45626:Enrique Gonzalez R"/>
    <n v="1"/>
  </r>
  <r>
    <x v="81"/>
    <x v="5"/>
    <n v="16.100000000000001"/>
    <n v="3"/>
    <s v="Fed"/>
    <m/>
    <n v="0"/>
    <s v="0:Francisco Alvarez"/>
    <s v="0:Paco"/>
    <s v=""/>
    <s v=""/>
    <m/>
    <s v="45626:Francisco Alvarez"/>
    <n v="1"/>
  </r>
  <r>
    <x v="81"/>
    <x v="6"/>
    <n v="14.4"/>
    <n v="3"/>
    <s v="Fed"/>
    <m/>
    <n v="0"/>
    <s v="0:Francisco Hidalgo"/>
    <s v="0:Fran"/>
    <s v=""/>
    <s v=""/>
    <m/>
    <s v="45626:Francisco Hidalgo"/>
    <n v="1"/>
  </r>
  <r>
    <x v="81"/>
    <x v="24"/>
    <n v="15"/>
    <n v="3"/>
    <s v="Fed"/>
    <m/>
    <n v="0"/>
    <s v="0:Franck Benouniche"/>
    <s v="0:Franck"/>
    <s v=""/>
    <s v=""/>
    <m/>
    <s v="45626:Franck Benouniche"/>
    <n v="1"/>
  </r>
  <r>
    <x v="81"/>
    <x v="7"/>
    <n v="19.399999999999999"/>
    <n v="4"/>
    <s v="Fed"/>
    <m/>
    <n v="0"/>
    <s v="0:GLEZ JUAN JOSÉ"/>
    <s v="0:Juanjo"/>
    <s v=""/>
    <s v=""/>
    <m/>
    <s v="45626:GLEZ JUAN JOSÉ"/>
    <n v="1"/>
  </r>
  <r>
    <x v="81"/>
    <x v="8"/>
    <n v="6.8"/>
    <n v="2"/>
    <s v="Fed"/>
    <m/>
    <n v="0"/>
    <s v="0:Ignacio Cadarso"/>
    <s v="0:Ignacio"/>
    <s v=""/>
    <s v=""/>
    <m/>
    <s v="45626:Ignacio Cadarso"/>
    <n v="1"/>
  </r>
  <r>
    <x v="81"/>
    <x v="37"/>
    <n v="23.7"/>
    <n v="4"/>
    <s v="Fed"/>
    <m/>
    <n v="0"/>
    <s v="0:Ignacio Gracia Charlez"/>
    <s v="0:I Gracia"/>
    <s v=""/>
    <s v=""/>
    <m/>
    <s v="45626:Ignacio Gracia Charlez"/>
    <n v="1"/>
  </r>
  <r>
    <x v="81"/>
    <x v="10"/>
    <n v="19.399999999999999"/>
    <n v="4"/>
    <s v="Fed"/>
    <m/>
    <n v="0"/>
    <s v="0:J. Enrique Gonzalez"/>
    <s v="0:Kike"/>
    <s v=""/>
    <s v=""/>
    <m/>
    <s v="45626:J. Enrique Gonzalez"/>
    <n v="1"/>
  </r>
  <r>
    <x v="81"/>
    <x v="35"/>
    <n v="8"/>
    <n v="2"/>
    <s v="Fed"/>
    <m/>
    <n v="0"/>
    <s v="0:Jaime Villanueva"/>
    <s v="0:Villanueva"/>
    <s v=""/>
    <s v=""/>
    <m/>
    <s v="45626:Jaime Villanueva"/>
    <n v="1"/>
  </r>
  <r>
    <x v="81"/>
    <x v="41"/>
    <n v="10.4"/>
    <n v="2"/>
    <s v="Fed"/>
    <m/>
    <n v="0"/>
    <s v="0:Javier Arcos"/>
    <s v="0:J.Arcos"/>
    <s v=""/>
    <s v=""/>
    <m/>
    <s v="45626:Javier Arcos"/>
    <n v="1"/>
  </r>
  <r>
    <x v="81"/>
    <x v="42"/>
    <n v="11.199999999999992"/>
    <n v="2"/>
    <s v="Fed"/>
    <m/>
    <n v="0"/>
    <s v="0:Javier Campo"/>
    <s v="0:Campo"/>
    <s v=""/>
    <s v=""/>
    <m/>
    <s v="45626:Javier Campo"/>
    <n v="1"/>
  </r>
  <r>
    <x v="81"/>
    <x v="11"/>
    <n v="18.399999999999999"/>
    <n v="3"/>
    <s v="Fed"/>
    <m/>
    <n v="0"/>
    <s v="0:Javier Cervera"/>
    <s v="0:Virus"/>
    <s v=""/>
    <s v=""/>
    <m/>
    <s v="45626:Javier Cervera"/>
    <n v="1"/>
  </r>
  <r>
    <x v="81"/>
    <x v="25"/>
    <n v="10.6"/>
    <n v="2"/>
    <s v="Fed"/>
    <m/>
    <n v="0"/>
    <s v="0:Javier Chiralt"/>
    <s v="0:Chiralt"/>
    <s v=""/>
    <s v=""/>
    <m/>
    <s v="45626:Javier Chiralt"/>
    <n v="1"/>
  </r>
  <r>
    <x v="81"/>
    <x v="46"/>
    <n v="17.5"/>
    <n v="3"/>
    <s v="Fed"/>
    <m/>
    <n v="0"/>
    <s v="0:Javier Dodero de Solano"/>
    <s v="0:Dodero"/>
    <s v=""/>
    <s v=""/>
    <m/>
    <s v="45626:Javier Dodero de Solano"/>
    <n v="1"/>
  </r>
  <r>
    <x v="81"/>
    <x v="12"/>
    <n v="19.3"/>
    <n v="4"/>
    <s v="Fed"/>
    <m/>
    <n v="0"/>
    <s v="0:Javier Gonzalez Salvador"/>
    <s v="0:Javi"/>
    <s v=""/>
    <s v=""/>
    <m/>
    <s v="45626:Javier Gonzalez Salvador"/>
    <n v="1"/>
  </r>
  <r>
    <x v="81"/>
    <x v="26"/>
    <n v="20.9"/>
    <n v="4"/>
    <s v="Fed"/>
    <m/>
    <n v="0"/>
    <s v="0:Javier Lopez Gullón"/>
    <s v="0:Cuñao"/>
    <s v=""/>
    <s v=""/>
    <m/>
    <s v="45626:Javier Lopez Gullón"/>
    <n v="1"/>
  </r>
  <r>
    <x v="81"/>
    <x v="13"/>
    <n v="21.1"/>
    <n v="4"/>
    <s v="Fed"/>
    <m/>
    <n v="0"/>
    <s v="0:Jesus Touceda"/>
    <s v="0:Jesús"/>
    <s v=""/>
    <s v=""/>
    <m/>
    <s v="45626:Jesus Touceda"/>
    <n v="1"/>
  </r>
  <r>
    <x v="81"/>
    <x v="38"/>
    <n v="18.600000000000001"/>
    <n v="4"/>
    <s v="Fed"/>
    <m/>
    <n v="0"/>
    <s v="0:Jorge Alberto Martínez Sánchez"/>
    <s v="0:Jorge"/>
    <s v=""/>
    <s v=""/>
    <m/>
    <s v="45626:Jorge Alberto Martínez Sánchez"/>
    <n v="1"/>
  </r>
  <r>
    <x v="81"/>
    <x v="50"/>
    <n v="17.5"/>
    <n v="3"/>
    <s v="Fed"/>
    <m/>
    <n v="0"/>
    <s v="0:Jorge Maestro Aguilera"/>
    <s v="0:JMaestro"/>
    <s v=""/>
    <s v=""/>
    <m/>
    <s v="45626:Jorge Maestro Aguilera"/>
    <n v="1"/>
  </r>
  <r>
    <x v="81"/>
    <x v="45"/>
    <n v="26.2"/>
    <n v="4"/>
    <s v="Fed"/>
    <m/>
    <n v="0"/>
    <s v="0:Jose Antonio Santana"/>
    <s v="0:J Antonio"/>
    <s v=""/>
    <s v=""/>
    <m/>
    <s v="45626:Jose Antonio Santana"/>
    <n v="1"/>
  </r>
  <r>
    <x v="81"/>
    <x v="14"/>
    <n v="7.2"/>
    <n v="2"/>
    <s v="Fed"/>
    <m/>
    <n v="0"/>
    <s v="0:José Pablo Guil"/>
    <s v="0:JP"/>
    <s v=""/>
    <s v=""/>
    <m/>
    <s v="45626:José Pablo Guil"/>
    <n v="1"/>
  </r>
  <r>
    <x v="81"/>
    <x v="36"/>
    <n v="15.1"/>
    <n v="3"/>
    <s v="Fed"/>
    <m/>
    <n v="0"/>
    <s v="0:Juan Jose Aguado"/>
    <s v="0:Juancho"/>
    <s v=""/>
    <s v=""/>
    <m/>
    <s v="45626:Juan Jose Aguado"/>
    <n v="1"/>
  </r>
  <r>
    <x v="81"/>
    <x v="48"/>
    <n v="17.2"/>
    <n v="3"/>
    <s v="Fed"/>
    <m/>
    <n v="0"/>
    <s v="0:Juan Sanz"/>
    <s v="0:JuanSanz"/>
    <s v=""/>
    <s v=""/>
    <m/>
    <s v="45626:Juan Sanz"/>
    <n v="1"/>
  </r>
  <r>
    <x v="81"/>
    <x v="44"/>
    <n v="10"/>
    <n v="2"/>
    <s v="Fed"/>
    <m/>
    <n v="0"/>
    <s v="0:Luis Fernandez"/>
    <s v="0:Luis"/>
    <s v=""/>
    <s v=""/>
    <m/>
    <s v="45626:Luis Fernandez"/>
    <n v="1"/>
  </r>
  <r>
    <x v="81"/>
    <x v="21"/>
    <n v="18"/>
    <n v="3"/>
    <s v="Fed"/>
    <m/>
    <n v="0"/>
    <s v="0:Miche Lopez"/>
    <s v="0:Miche"/>
    <s v=""/>
    <s v=""/>
    <m/>
    <s v="45626:Miche Lopez"/>
    <n v="1"/>
  </r>
  <r>
    <x v="81"/>
    <x v="27"/>
    <n v="5.2"/>
    <n v="2"/>
    <s v="Fed"/>
    <m/>
    <n v="0"/>
    <s v="0:Nacho Casas"/>
    <s v="0:Nachete"/>
    <s v=""/>
    <s v=""/>
    <m/>
    <s v="45626:Nacho Casas"/>
    <n v="1"/>
  </r>
  <r>
    <x v="81"/>
    <x v="16"/>
    <n v="4.7"/>
    <n v="2"/>
    <s v="Fed"/>
    <m/>
    <n v="0"/>
    <s v="0:Nacho Gonzalez"/>
    <s v="0:Nacho"/>
    <s v=""/>
    <s v=""/>
    <m/>
    <s v="45626:Nacho Gonzalez"/>
    <n v="1"/>
  </r>
  <r>
    <x v="81"/>
    <x v="28"/>
    <n v="16.600000000000001"/>
    <n v="3"/>
    <s v="Fed"/>
    <m/>
    <n v="0"/>
    <s v="0:Ruslan Kochman"/>
    <s v="0:Rus"/>
    <s v=""/>
    <s v=""/>
    <m/>
    <s v="45626:Ruslan Kochman"/>
    <n v="1"/>
  </r>
  <r>
    <x v="81"/>
    <x v="32"/>
    <n v="16.399999999999999"/>
    <n v="3"/>
    <s v="Fed"/>
    <m/>
    <n v="0"/>
    <s v="0:Santi Diaz"/>
    <s v="0:Santi"/>
    <s v=""/>
    <s v=""/>
    <m/>
    <s v="45626:Santi Diaz"/>
    <n v="1"/>
  </r>
  <r>
    <x v="81"/>
    <x v="49"/>
    <n v="13.9"/>
    <n v="3"/>
    <s v="Fed"/>
    <m/>
    <n v="0"/>
    <s v="0:Thomas Dauterman"/>
    <s v="0:Tom"/>
    <s v=""/>
    <s v=""/>
    <m/>
    <s v="45626:Thomas Dauterman"/>
    <n v="1"/>
  </r>
  <r>
    <x v="82"/>
    <x v="30"/>
    <n v="1.2"/>
    <n v="1"/>
    <s v="Fed"/>
    <m/>
    <n v="0"/>
    <s v="0:Alejandro Arcos"/>
    <s v="0:Alex"/>
    <s v=""/>
    <s v=""/>
    <m/>
    <s v="45647:Alejandro Arcos"/>
    <n v="1"/>
  </r>
  <r>
    <x v="82"/>
    <x v="0"/>
    <n v="12.3"/>
    <n v="3"/>
    <s v="Fed"/>
    <m/>
    <n v="0"/>
    <s v="0:Alfonso Hidalgo"/>
    <s v="0:Alfonso"/>
    <s v=""/>
    <s v=""/>
    <m/>
    <s v="45647:Alfonso Hidalgo"/>
    <n v="1"/>
  </r>
  <r>
    <x v="82"/>
    <x v="22"/>
    <n v="15"/>
    <n v="3"/>
    <s v="Fed"/>
    <m/>
    <n v="0"/>
    <s v="0:Alfonso Zorrilla"/>
    <s v="0:A Zorrilla"/>
    <s v=""/>
    <s v=""/>
    <m/>
    <s v="45647:Alfonso Zorrilla"/>
    <n v="1"/>
  </r>
  <r>
    <x v="82"/>
    <x v="1"/>
    <n v="6"/>
    <n v="2"/>
    <s v="Fed"/>
    <m/>
    <n v="0"/>
    <s v="0:Alvaro Aguirre"/>
    <s v="0:Gifu"/>
    <s v=""/>
    <s v=""/>
    <m/>
    <s v="45647:Alvaro Aguirre"/>
    <n v="1"/>
  </r>
  <r>
    <x v="82"/>
    <x v="23"/>
    <n v="9.1999999999999993"/>
    <n v="2"/>
    <s v="Fed"/>
    <m/>
    <n v="0"/>
    <s v="0:Alvaro Montoya"/>
    <s v="0:Monti"/>
    <s v=""/>
    <s v=""/>
    <m/>
    <s v="45647:Alvaro Montoya"/>
    <n v="1"/>
  </r>
  <r>
    <x v="82"/>
    <x v="2"/>
    <n v="15.2"/>
    <n v="3"/>
    <s v="Fed"/>
    <m/>
    <n v="0"/>
    <s v="0:Alvaro Nieto"/>
    <s v="0:Alvaro"/>
    <s v=""/>
    <s v=""/>
    <m/>
    <s v="45647:Alvaro Nieto"/>
    <n v="1"/>
  </r>
  <r>
    <x v="82"/>
    <x v="3"/>
    <n v="9.4"/>
    <n v="2"/>
    <s v="Fed"/>
    <m/>
    <n v="0"/>
    <s v="0:Angel Hernandez"/>
    <s v="0:Angel"/>
    <s v=""/>
    <s v=""/>
    <m/>
    <s v="45647:Angel Hernandez"/>
    <n v="1"/>
  </r>
  <r>
    <x v="82"/>
    <x v="47"/>
    <n v="6.8"/>
    <n v="2"/>
    <s v="Fed"/>
    <m/>
    <n v="0"/>
    <s v="0:Angel Santana"/>
    <s v="0:A.Santana"/>
    <s v=""/>
    <s v=""/>
    <m/>
    <s v="45647:Angel Santana"/>
    <n v="1"/>
  </r>
  <r>
    <x v="82"/>
    <x v="31"/>
    <n v="18.899999999999999"/>
    <n v="4"/>
    <s v="Fed"/>
    <m/>
    <n v="0"/>
    <s v="0:Antonio Carmona"/>
    <s v="0:Antonio"/>
    <s v=""/>
    <s v=""/>
    <m/>
    <s v="45647:Antonio Carmona"/>
    <n v="1"/>
  </r>
  <r>
    <x v="82"/>
    <x v="34"/>
    <n v="1.1000000000000001"/>
    <n v="1"/>
    <s v="Fed"/>
    <m/>
    <n v="0"/>
    <s v="0:Carlos Maestro"/>
    <s v="0:Carlitos"/>
    <s v=""/>
    <s v=""/>
    <m/>
    <s v="45647:Carlos Maestro"/>
    <n v="1"/>
  </r>
  <r>
    <x v="82"/>
    <x v="4"/>
    <n v="14.7"/>
    <n v="3"/>
    <s v="Fed"/>
    <m/>
    <n v="0"/>
    <s v="0:David Sequera"/>
    <s v="0:David"/>
    <s v=""/>
    <s v=""/>
    <m/>
    <s v="45647:David Sequera"/>
    <n v="1"/>
  </r>
  <r>
    <x v="82"/>
    <x v="39"/>
    <n v="8.8000000000000007"/>
    <n v="2"/>
    <s v="Fed"/>
    <m/>
    <n v="0"/>
    <s v="0:Eduardo Buendía"/>
    <s v="0:Eduardo"/>
    <s v=""/>
    <s v=""/>
    <m/>
    <s v="45647:Eduardo Buendía"/>
    <n v="1"/>
  </r>
  <r>
    <x v="82"/>
    <x v="29"/>
    <n v="13.4"/>
    <n v="3"/>
    <s v="Fed"/>
    <m/>
    <n v="0"/>
    <s v="0:Enrique Gonzalez R"/>
    <s v="0:Enrique"/>
    <s v=""/>
    <s v=""/>
    <m/>
    <s v="45647:Enrique Gonzalez R"/>
    <n v="1"/>
  </r>
  <r>
    <x v="82"/>
    <x v="5"/>
    <n v="15.5"/>
    <n v="3"/>
    <s v="Fed"/>
    <m/>
    <n v="0"/>
    <s v="0:Francisco Alvarez"/>
    <s v="0:Paco"/>
    <s v=""/>
    <s v=""/>
    <m/>
    <s v="45647:Francisco Alvarez"/>
    <n v="1"/>
  </r>
  <r>
    <x v="82"/>
    <x v="6"/>
    <n v="14.4"/>
    <n v="3"/>
    <s v="Fed"/>
    <m/>
    <n v="0"/>
    <s v="0:Francisco Hidalgo"/>
    <s v="0:Fran"/>
    <s v=""/>
    <s v=""/>
    <m/>
    <s v="45647:Francisco Hidalgo"/>
    <n v="1"/>
  </r>
  <r>
    <x v="82"/>
    <x v="24"/>
    <n v="15"/>
    <n v="3"/>
    <s v="Fed"/>
    <m/>
    <n v="0"/>
    <s v="0:Franck Benouniche"/>
    <s v="0:Franck"/>
    <s v=""/>
    <s v=""/>
    <m/>
    <s v="45647:Franck Benouniche"/>
    <n v="1"/>
  </r>
  <r>
    <x v="82"/>
    <x v="7"/>
    <n v="19.399999999999999"/>
    <n v="4"/>
    <s v="Fed"/>
    <m/>
    <n v="0"/>
    <s v="0:GLEZ JUAN JOSÉ"/>
    <s v="0:Juanjo"/>
    <s v=""/>
    <s v=""/>
    <m/>
    <s v="45647:GLEZ JUAN JOSÉ"/>
    <n v="1"/>
  </r>
  <r>
    <x v="82"/>
    <x v="8"/>
    <n v="6.8"/>
    <n v="2"/>
    <s v="Fed"/>
    <m/>
    <n v="0"/>
    <s v="0:Ignacio Cadarso"/>
    <s v="0:Ignacio"/>
    <s v=""/>
    <s v=""/>
    <m/>
    <s v="45647:Ignacio Cadarso"/>
    <n v="1"/>
  </r>
  <r>
    <x v="82"/>
    <x v="37"/>
    <n v="23.7"/>
    <n v="4"/>
    <s v="Fed"/>
    <m/>
    <n v="0"/>
    <s v="0:Ignacio Gracia Charlez"/>
    <s v="0:I Gracia"/>
    <s v=""/>
    <s v=""/>
    <m/>
    <s v="45647:Ignacio Gracia Charlez"/>
    <n v="1"/>
  </r>
  <r>
    <x v="82"/>
    <x v="10"/>
    <n v="19.600000000000001"/>
    <n v="4"/>
    <s v="Fed"/>
    <m/>
    <n v="0"/>
    <s v="0:J. Enrique Gonzalez"/>
    <s v="0:Kike"/>
    <s v=""/>
    <s v=""/>
    <m/>
    <s v="45647:J. Enrique Gonzalez"/>
    <n v="1"/>
  </r>
  <r>
    <x v="82"/>
    <x v="35"/>
    <n v="8"/>
    <n v="2"/>
    <s v="Fed"/>
    <m/>
    <n v="0"/>
    <s v="0:Jaime Villanueva"/>
    <s v="0:Villanueva"/>
    <s v=""/>
    <s v=""/>
    <m/>
    <s v="45647:Jaime Villanueva"/>
    <n v="1"/>
  </r>
  <r>
    <x v="82"/>
    <x v="41"/>
    <n v="10.4"/>
    <n v="2"/>
    <s v="Fed"/>
    <m/>
    <n v="0"/>
    <s v="0:Javier Arcos"/>
    <s v="0:J.Arcos"/>
    <s v=""/>
    <s v=""/>
    <m/>
    <s v="45647:Javier Arcos"/>
    <n v="1"/>
  </r>
  <r>
    <x v="82"/>
    <x v="42"/>
    <n v="11.199999999999992"/>
    <n v="2"/>
    <s v="Fed"/>
    <m/>
    <n v="0"/>
    <s v="0:Javier Campo"/>
    <s v="0:Campo"/>
    <s v=""/>
    <s v=""/>
    <m/>
    <s v="45647:Javier Campo"/>
    <n v="1"/>
  </r>
  <r>
    <x v="82"/>
    <x v="11"/>
    <n v="18.399999999999999"/>
    <n v="3"/>
    <s v="Fed"/>
    <m/>
    <n v="0"/>
    <s v="0:Javier Cervera"/>
    <s v="0:Virus"/>
    <s v=""/>
    <s v=""/>
    <m/>
    <s v="45647:Javier Cervera"/>
    <n v="1"/>
  </r>
  <r>
    <x v="82"/>
    <x v="25"/>
    <n v="10.6"/>
    <n v="2"/>
    <s v="Fed"/>
    <m/>
    <n v="0"/>
    <s v="0:Javier Chiralt"/>
    <s v="0:Chiralt"/>
    <s v=""/>
    <s v=""/>
    <m/>
    <s v="45647:Javier Chiralt"/>
    <n v="1"/>
  </r>
  <r>
    <x v="82"/>
    <x v="46"/>
    <n v="17.5"/>
    <n v="3"/>
    <s v="Fed"/>
    <m/>
    <n v="0"/>
    <s v="0:Javier Dodero de Solano"/>
    <s v="0:Dodero"/>
    <s v=""/>
    <s v=""/>
    <m/>
    <s v="45647:Javier Dodero de Solano"/>
    <n v="1"/>
  </r>
  <r>
    <x v="82"/>
    <x v="12"/>
    <n v="19.3"/>
    <n v="4"/>
    <s v="Fed"/>
    <m/>
    <n v="0"/>
    <s v="0:Javier Gonzalez Salvador"/>
    <s v="0:Javi"/>
    <s v=""/>
    <s v=""/>
    <m/>
    <s v="45647:Javier Gonzalez Salvador"/>
    <n v="1"/>
  </r>
  <r>
    <x v="82"/>
    <x v="26"/>
    <n v="20.9"/>
    <n v="4"/>
    <s v="Fed"/>
    <m/>
    <n v="0"/>
    <s v="0:Javier Lopez Gullón"/>
    <s v="0:Cuñao"/>
    <s v=""/>
    <s v=""/>
    <m/>
    <s v="45647:Javier Lopez Gullón"/>
    <n v="1"/>
  </r>
  <r>
    <x v="82"/>
    <x v="51"/>
    <n v="12.9"/>
    <n v="3"/>
    <s v="Fed"/>
    <m/>
    <n v="0"/>
    <s v="0:Jesús Otero"/>
    <s v="0:Otero"/>
    <s v=""/>
    <s v=""/>
    <m/>
    <s v="45647:Jesús Otero"/>
    <n v="1"/>
  </r>
  <r>
    <x v="82"/>
    <x v="13"/>
    <n v="21.9"/>
    <n v="4"/>
    <s v="Fed"/>
    <m/>
    <n v="0"/>
    <s v="0:Jesus Touceda"/>
    <s v="0:Jesús"/>
    <s v=""/>
    <s v=""/>
    <m/>
    <s v="45647:Jesus Touceda"/>
    <n v="1"/>
  </r>
  <r>
    <x v="82"/>
    <x v="38"/>
    <n v="18.600000000000001"/>
    <n v="4"/>
    <s v="Fed"/>
    <m/>
    <n v="0"/>
    <s v="0:Jorge Alberto Martínez Sánchez"/>
    <s v="0:Jorge"/>
    <s v=""/>
    <s v=""/>
    <m/>
    <s v="45647:Jorge Alberto Martínez Sánchez"/>
    <n v="1"/>
  </r>
  <r>
    <x v="82"/>
    <x v="50"/>
    <n v="18.399999999999999"/>
    <n v="3"/>
    <s v="Fed"/>
    <m/>
    <n v="0"/>
    <s v="0:Jorge Maestro Aguilera"/>
    <s v="0:JMaestro"/>
    <s v=""/>
    <s v=""/>
    <m/>
    <s v="45647:Jorge Maestro Aguilera"/>
    <n v="1"/>
  </r>
  <r>
    <x v="82"/>
    <x v="45"/>
    <n v="25.7"/>
    <n v="4"/>
    <s v="Fed"/>
    <m/>
    <n v="0"/>
    <s v="0:Jose Antonio Santana"/>
    <s v="0:J Antonio"/>
    <s v=""/>
    <s v=""/>
    <m/>
    <s v="45647:Jose Antonio Santana"/>
    <n v="1"/>
  </r>
  <r>
    <x v="82"/>
    <x v="14"/>
    <n v="6.8"/>
    <n v="2"/>
    <s v="Fed"/>
    <m/>
    <n v="0"/>
    <s v="0:José Pablo Guil"/>
    <s v="0:JP"/>
    <s v=""/>
    <s v=""/>
    <m/>
    <s v="45647:José Pablo Guil"/>
    <n v="1"/>
  </r>
  <r>
    <x v="82"/>
    <x v="36"/>
    <n v="15.1"/>
    <n v="3"/>
    <s v="Fed"/>
    <m/>
    <n v="0"/>
    <s v="0:Juan Jose Aguado"/>
    <s v="0:Juancho"/>
    <s v=""/>
    <s v=""/>
    <m/>
    <s v="45647:Juan Jose Aguado"/>
    <n v="1"/>
  </r>
  <r>
    <x v="82"/>
    <x v="48"/>
    <n v="16.600000000000001"/>
    <n v="3"/>
    <s v="Fed"/>
    <m/>
    <n v="0"/>
    <s v="0:Juan Sanz"/>
    <s v="0:JuanSanz"/>
    <s v=""/>
    <s v=""/>
    <m/>
    <s v="45647:Juan Sanz"/>
    <n v="1"/>
  </r>
  <r>
    <x v="82"/>
    <x v="44"/>
    <n v="9.6"/>
    <n v="2"/>
    <s v="Fed"/>
    <m/>
    <n v="0"/>
    <s v="0:Luis Fernandez"/>
    <s v="0:Luis"/>
    <s v=""/>
    <s v=""/>
    <m/>
    <s v="45647:Luis Fernandez"/>
    <n v="1"/>
  </r>
  <r>
    <x v="82"/>
    <x v="21"/>
    <n v="18.399999999999999"/>
    <n v="3"/>
    <s v="Fed"/>
    <m/>
    <n v="0"/>
    <s v="0:Miche Lopez"/>
    <s v="0:Miche"/>
    <s v=""/>
    <s v=""/>
    <m/>
    <s v="45647:Miche Lopez"/>
    <n v="1"/>
  </r>
  <r>
    <x v="82"/>
    <x v="27"/>
    <n v="5.2"/>
    <n v="2"/>
    <s v="Fed"/>
    <m/>
    <n v="0"/>
    <s v="0:Nacho Casas"/>
    <s v="0:Nachete"/>
    <s v=""/>
    <s v=""/>
    <m/>
    <s v="45647:Nacho Casas"/>
    <n v="1"/>
  </r>
  <r>
    <x v="82"/>
    <x v="16"/>
    <n v="4.7"/>
    <n v="2"/>
    <s v="Fed"/>
    <m/>
    <n v="0"/>
    <s v="0:Nacho Gonzalez"/>
    <s v="0:Nacho"/>
    <s v=""/>
    <s v=""/>
    <m/>
    <s v="45647:Nacho Gonzalez"/>
    <n v="1"/>
  </r>
  <r>
    <x v="82"/>
    <x v="28"/>
    <n v="17.100000000000001"/>
    <n v="3"/>
    <s v="Fed"/>
    <m/>
    <n v="0"/>
    <s v="0:Ruslan Kochman"/>
    <s v="0:Rus"/>
    <s v=""/>
    <s v=""/>
    <m/>
    <s v="45647:Ruslan Kochman"/>
    <n v="1"/>
  </r>
  <r>
    <x v="82"/>
    <x v="32"/>
    <n v="16.399999999999999"/>
    <n v="3"/>
    <s v="Fed"/>
    <m/>
    <n v="0"/>
    <s v="0:Santi Diaz"/>
    <s v="0:Santi"/>
    <s v=""/>
    <s v=""/>
    <m/>
    <s v="45647:Santi Diaz"/>
    <n v="1"/>
  </r>
  <r>
    <x v="82"/>
    <x v="49"/>
    <n v="13.9"/>
    <n v="3"/>
    <s v="Fed"/>
    <m/>
    <n v="0"/>
    <s v="0:Thomas Dauterman"/>
    <s v="0:Tom"/>
    <s v=""/>
    <s v=""/>
    <m/>
    <s v="45647:Thomas Dauterman"/>
    <n v="1"/>
  </r>
  <r>
    <x v="83"/>
    <x v="30"/>
    <n v="1.2"/>
    <n v="1"/>
    <s v="Fed"/>
    <m/>
    <n v="0"/>
    <s v="0:Alejandro Arcos"/>
    <s v="0:Alex"/>
    <s v=""/>
    <s v=""/>
    <m/>
    <s v="45668:Alejandro Arcos"/>
    <n v="1"/>
  </r>
  <r>
    <x v="83"/>
    <x v="0"/>
    <n v="12.3"/>
    <n v="3"/>
    <s v="Fed"/>
    <m/>
    <n v="0"/>
    <s v="0:Alfonso Hidalgo"/>
    <s v="0:Alfonso"/>
    <s v=""/>
    <s v=""/>
    <m/>
    <s v="45668:Alfonso Hidalgo"/>
    <n v="1"/>
  </r>
  <r>
    <x v="83"/>
    <x v="22"/>
    <n v="15"/>
    <n v="3"/>
    <s v="Fed"/>
    <m/>
    <n v="0"/>
    <s v="0:Alfonso Zorrilla"/>
    <s v="0:A Zorrilla"/>
    <s v=""/>
    <s v=""/>
    <m/>
    <s v="45668:Alfonso Zorrilla"/>
    <n v="1"/>
  </r>
  <r>
    <x v="83"/>
    <x v="1"/>
    <n v="6"/>
    <n v="2"/>
    <s v="Fed"/>
    <m/>
    <n v="0"/>
    <s v="0:Alvaro Aguirre"/>
    <s v="0:Gifu"/>
    <s v=""/>
    <s v=""/>
    <m/>
    <s v="45668:Alvaro Aguirre"/>
    <n v="1"/>
  </r>
  <r>
    <x v="83"/>
    <x v="23"/>
    <n v="8.8000000000000007"/>
    <n v="2"/>
    <s v="Fed"/>
    <m/>
    <n v="0"/>
    <s v="0:Alvaro Montoya"/>
    <s v="0:Monti"/>
    <s v=""/>
    <s v=""/>
    <m/>
    <s v="45668:Alvaro Montoya"/>
    <n v="1"/>
  </r>
  <r>
    <x v="83"/>
    <x v="2"/>
    <n v="15.2"/>
    <n v="3"/>
    <s v="Fed"/>
    <m/>
    <n v="0"/>
    <s v="0:Alvaro Nieto"/>
    <s v="0:Alvaro"/>
    <s v=""/>
    <s v=""/>
    <m/>
    <s v="45668:Alvaro Nieto"/>
    <n v="1"/>
  </r>
  <r>
    <x v="83"/>
    <x v="3"/>
    <n v="8.6999999999999993"/>
    <n v="2"/>
    <s v="Fed"/>
    <m/>
    <n v="0"/>
    <s v="0:Angel Hernandez"/>
    <s v="0:Angel"/>
    <s v=""/>
    <s v=""/>
    <m/>
    <s v="45668:Angel Hernandez"/>
    <n v="1"/>
  </r>
  <r>
    <x v="83"/>
    <x v="47"/>
    <n v="6.3"/>
    <n v="2"/>
    <s v="Fed"/>
    <m/>
    <n v="0"/>
    <s v="0:Angel Santana"/>
    <s v="0:A.Santana"/>
    <s v=""/>
    <s v=""/>
    <m/>
    <s v="45668:Angel Santana"/>
    <n v="1"/>
  </r>
  <r>
    <x v="83"/>
    <x v="31"/>
    <n v="18.899999999999999"/>
    <n v="4"/>
    <s v="Fed"/>
    <m/>
    <n v="0"/>
    <s v="0:Antonio Carmona"/>
    <s v="0:Antonio"/>
    <s v=""/>
    <s v=""/>
    <m/>
    <s v="45668:Antonio Carmona"/>
    <n v="1"/>
  </r>
  <r>
    <x v="83"/>
    <x v="34"/>
    <n v="1.3"/>
    <n v="1"/>
    <s v="Fed"/>
    <m/>
    <n v="0"/>
    <s v="0:Carlos Maestro"/>
    <s v="0:Carlitos"/>
    <s v=""/>
    <s v=""/>
    <m/>
    <s v="45668:Carlos Maestro"/>
    <n v="1"/>
  </r>
  <r>
    <x v="83"/>
    <x v="4"/>
    <n v="14.3"/>
    <n v="3"/>
    <s v="Fed"/>
    <m/>
    <n v="0"/>
    <s v="0:David Sequera"/>
    <s v="0:David"/>
    <s v=""/>
    <s v=""/>
    <m/>
    <s v="45668:David Sequera"/>
    <n v="1"/>
  </r>
  <r>
    <x v="83"/>
    <x v="39"/>
    <n v="8.8000000000000007"/>
    <n v="2"/>
    <s v="Fed"/>
    <m/>
    <n v="0"/>
    <s v="0:Eduardo Buendía"/>
    <s v="0:Eduardo"/>
    <s v=""/>
    <s v=""/>
    <m/>
    <s v="45668:Eduardo Buendía"/>
    <n v="1"/>
  </r>
  <r>
    <x v="83"/>
    <x v="29"/>
    <n v="13.5"/>
    <n v="3"/>
    <s v="Fed"/>
    <m/>
    <n v="0"/>
    <s v="0:Enrique Gonzalez R"/>
    <s v="0:Enrique"/>
    <s v=""/>
    <s v=""/>
    <m/>
    <s v="45668:Enrique Gonzalez R"/>
    <n v="1"/>
  </r>
  <r>
    <x v="83"/>
    <x v="5"/>
    <n v="15.7"/>
    <n v="3"/>
    <s v="Fed"/>
    <m/>
    <n v="0"/>
    <s v="0:Francisco Alvarez"/>
    <s v="0:Paco"/>
    <s v=""/>
    <s v=""/>
    <m/>
    <s v="45668:Francisco Alvarez"/>
    <n v="1"/>
  </r>
  <r>
    <x v="83"/>
    <x v="6"/>
    <n v="14.3"/>
    <n v="3"/>
    <s v="Fed"/>
    <m/>
    <n v="0"/>
    <s v="0:Francisco Hidalgo"/>
    <s v="0:Fran"/>
    <s v=""/>
    <s v=""/>
    <m/>
    <s v="45668:Francisco Hidalgo"/>
    <n v="1"/>
  </r>
  <r>
    <x v="83"/>
    <x v="24"/>
    <n v="15"/>
    <n v="3"/>
    <s v="Fed"/>
    <m/>
    <n v="0"/>
    <s v="0:Franck Benouniche"/>
    <s v="0:Franck"/>
    <s v=""/>
    <s v=""/>
    <m/>
    <s v="45668:Franck Benouniche"/>
    <n v="1"/>
  </r>
  <r>
    <x v="83"/>
    <x v="7"/>
    <n v="19.399999999999999"/>
    <n v="4"/>
    <s v="Fed"/>
    <m/>
    <n v="0"/>
    <s v="0:GLEZ JUAN JOSÉ"/>
    <s v="0:Juanjo"/>
    <s v=""/>
    <s v=""/>
    <m/>
    <s v="45668:GLEZ JUAN JOSÉ"/>
    <n v="1"/>
  </r>
  <r>
    <x v="83"/>
    <x v="8"/>
    <n v="6.8"/>
    <n v="2"/>
    <s v="Fed"/>
    <m/>
    <n v="0"/>
    <s v="0:Ignacio Cadarso"/>
    <s v="0:Ignacio"/>
    <s v=""/>
    <s v=""/>
    <m/>
    <s v="45668:Ignacio Cadarso"/>
    <n v="1"/>
  </r>
  <r>
    <x v="83"/>
    <x v="37"/>
    <n v="23.7"/>
    <n v="4"/>
    <s v="Fed"/>
    <m/>
    <n v="0"/>
    <s v="0:Ignacio Gracia Charlez"/>
    <s v="0:I Gracia"/>
    <s v=""/>
    <s v=""/>
    <m/>
    <s v="45668:Ignacio Gracia Charlez"/>
    <n v="1"/>
  </r>
  <r>
    <x v="83"/>
    <x v="10"/>
    <n v="19.600000000000001"/>
    <n v="4"/>
    <s v="Fed"/>
    <m/>
    <n v="0"/>
    <s v="0:J. Enrique Gonzalez"/>
    <s v="0:Kike"/>
    <s v=""/>
    <s v=""/>
    <m/>
    <s v="45668:J. Enrique Gonzalez"/>
    <n v="1"/>
  </r>
  <r>
    <x v="83"/>
    <x v="35"/>
    <n v="8"/>
    <n v="2"/>
    <s v="Fed"/>
    <m/>
    <n v="0"/>
    <s v="0:Jaime Villanueva"/>
    <s v="0:Villanueva"/>
    <s v=""/>
    <s v=""/>
    <m/>
    <s v="45668:Jaime Villanueva"/>
    <n v="1"/>
  </r>
  <r>
    <x v="83"/>
    <x v="41"/>
    <n v="10.1"/>
    <n v="2"/>
    <s v="Fed"/>
    <m/>
    <n v="0"/>
    <s v="0:Javier Arcos"/>
    <s v="0:J.Arcos"/>
    <s v=""/>
    <s v=""/>
    <m/>
    <s v="45668:Javier Arcos"/>
    <n v="1"/>
  </r>
  <r>
    <x v="83"/>
    <x v="42"/>
    <n v="11.199999999999992"/>
    <n v="2"/>
    <s v="Fed"/>
    <m/>
    <n v="0"/>
    <s v="0:Javier Campo"/>
    <s v="0:Campo"/>
    <s v=""/>
    <s v=""/>
    <m/>
    <s v="45668:Javier Campo"/>
    <n v="1"/>
  </r>
  <r>
    <x v="83"/>
    <x v="11"/>
    <n v="18.399999999999999"/>
    <n v="3"/>
    <s v="Fed"/>
    <m/>
    <n v="0"/>
    <s v="0:Javier Cervera"/>
    <s v="0:Virus"/>
    <s v=""/>
    <s v=""/>
    <m/>
    <s v="45668:Javier Cervera"/>
    <n v="1"/>
  </r>
  <r>
    <x v="83"/>
    <x v="25"/>
    <n v="10.6"/>
    <n v="2"/>
    <s v="Fed"/>
    <m/>
    <n v="0"/>
    <s v="0:Javier Chiralt"/>
    <s v="0:Chiralt"/>
    <s v=""/>
    <s v=""/>
    <m/>
    <s v="45668:Javier Chiralt"/>
    <n v="1"/>
  </r>
  <r>
    <x v="83"/>
    <x v="46"/>
    <n v="17.5"/>
    <n v="3"/>
    <s v="Fed"/>
    <m/>
    <n v="0"/>
    <s v="0:Javier Dodero de Solano"/>
    <s v="0:Dodero"/>
    <s v=""/>
    <s v=""/>
    <m/>
    <s v="45668:Javier Dodero de Solano"/>
    <n v="1"/>
  </r>
  <r>
    <x v="83"/>
    <x v="12"/>
    <n v="19.3"/>
    <n v="4"/>
    <s v="Fed"/>
    <m/>
    <n v="0"/>
    <s v="0:Javier Gonzalez Salvador"/>
    <s v="0:Javi"/>
    <s v=""/>
    <s v=""/>
    <m/>
    <s v="45668:Javier Gonzalez Salvador"/>
    <n v="1"/>
  </r>
  <r>
    <x v="83"/>
    <x v="26"/>
    <n v="20.9"/>
    <n v="4"/>
    <s v="Fed"/>
    <m/>
    <n v="0"/>
    <s v="0:Javier Lopez Gullón"/>
    <s v="0:Cuñao"/>
    <s v=""/>
    <s v=""/>
    <m/>
    <s v="45668:Javier Lopez Gullón"/>
    <n v="1"/>
  </r>
  <r>
    <x v="83"/>
    <x v="51"/>
    <n v="12.9"/>
    <n v="3"/>
    <s v="Fed"/>
    <m/>
    <n v="0"/>
    <s v="0:Jesús Otero"/>
    <s v="0:Otero"/>
    <s v=""/>
    <s v=""/>
    <m/>
    <s v="45668:Jesús Otero"/>
    <n v="1"/>
  </r>
  <r>
    <x v="83"/>
    <x v="13"/>
    <n v="21.9"/>
    <n v="4"/>
    <s v="Fed"/>
    <m/>
    <n v="0"/>
    <s v="0:Jesus Touceda"/>
    <s v="0:Jesús"/>
    <s v=""/>
    <s v=""/>
    <m/>
    <s v="45668:Jesus Touceda"/>
    <n v="1"/>
  </r>
  <r>
    <x v="83"/>
    <x v="52"/>
    <n v="20.2"/>
    <n v="4"/>
    <s v="Fed"/>
    <m/>
    <n v="0"/>
    <s v="0:Joaquín Sánchez"/>
    <s v="0:Joaco"/>
    <s v=""/>
    <s v=""/>
    <m/>
    <s v="45668:Joaquín Sánchez"/>
    <n v="1"/>
  </r>
  <r>
    <x v="83"/>
    <x v="38"/>
    <n v="18.600000000000001"/>
    <n v="4"/>
    <s v="Fed"/>
    <m/>
    <n v="0"/>
    <s v="0:Jorge Alberto Martínez Sánchez"/>
    <s v="0:Jorge"/>
    <s v=""/>
    <s v=""/>
    <m/>
    <s v="45668:Jorge Alberto Martínez Sánchez"/>
    <n v="1"/>
  </r>
  <r>
    <x v="83"/>
    <x v="50"/>
    <n v="18.399999999999999"/>
    <n v="3"/>
    <s v="Fed"/>
    <m/>
    <n v="0"/>
    <s v="0:Jorge Maestro Aguilera"/>
    <s v="0:JMaestro"/>
    <s v=""/>
    <s v=""/>
    <m/>
    <s v="45668:Jorge Maestro Aguilera"/>
    <n v="1"/>
  </r>
  <r>
    <x v="83"/>
    <x v="45"/>
    <n v="25.5"/>
    <n v="4"/>
    <s v="Fed"/>
    <m/>
    <n v="0"/>
    <s v="0:Jose Antonio Santana"/>
    <s v="0:J Antonio"/>
    <s v=""/>
    <s v=""/>
    <m/>
    <s v="45668:Jose Antonio Santana"/>
    <n v="1"/>
  </r>
  <r>
    <x v="83"/>
    <x v="14"/>
    <n v="7"/>
    <n v="2"/>
    <s v="Fed"/>
    <m/>
    <n v="0"/>
    <s v="0:José Pablo Guil"/>
    <s v="0:JP"/>
    <s v=""/>
    <s v=""/>
    <m/>
    <s v="45668:José Pablo Guil"/>
    <n v="1"/>
  </r>
  <r>
    <x v="83"/>
    <x v="36"/>
    <n v="15.1"/>
    <n v="3"/>
    <s v="Fed"/>
    <m/>
    <n v="0"/>
    <s v="0:Juan Jose Aguado"/>
    <s v="0:Juancho"/>
    <s v=""/>
    <s v=""/>
    <m/>
    <s v="45668:Juan Jose Aguado"/>
    <n v="1"/>
  </r>
  <r>
    <x v="83"/>
    <x v="48"/>
    <n v="16.600000000000001"/>
    <n v="3"/>
    <s v="Fed"/>
    <m/>
    <n v="0"/>
    <s v="0:Juan Sanz"/>
    <s v="0:JuanSanz"/>
    <s v=""/>
    <s v=""/>
    <m/>
    <s v="45668:Juan Sanz"/>
    <n v="1"/>
  </r>
  <r>
    <x v="83"/>
    <x v="44"/>
    <n v="10.199999999999999"/>
    <n v="2"/>
    <s v="Fed"/>
    <m/>
    <n v="0"/>
    <s v="0:Luis Fernandez"/>
    <s v="0:Luis"/>
    <s v=""/>
    <s v=""/>
    <m/>
    <s v="45668:Luis Fernandez"/>
    <n v="1"/>
  </r>
  <r>
    <x v="83"/>
    <x v="21"/>
    <n v="18.399999999999999"/>
    <n v="3"/>
    <s v="Fed"/>
    <m/>
    <n v="0"/>
    <s v="0:Miche Lopez"/>
    <s v="0:Miche"/>
    <s v=""/>
    <s v=""/>
    <m/>
    <s v="45668:Miche Lopez"/>
    <n v="1"/>
  </r>
  <r>
    <x v="83"/>
    <x v="27"/>
    <n v="5.2"/>
    <n v="2"/>
    <s v="Fed"/>
    <m/>
    <n v="0"/>
    <s v="0:Nacho Casas"/>
    <s v="0:Nachete"/>
    <s v=""/>
    <s v=""/>
    <m/>
    <s v="45668:Nacho Casas"/>
    <n v="1"/>
  </r>
  <r>
    <x v="83"/>
    <x v="16"/>
    <n v="4.7"/>
    <n v="2"/>
    <s v="Fed"/>
    <m/>
    <n v="0"/>
    <s v="0:Nacho Gonzalez"/>
    <s v="0:Nacho"/>
    <s v=""/>
    <s v=""/>
    <m/>
    <s v="45668:Nacho Gonzalez"/>
    <n v="1"/>
  </r>
  <r>
    <x v="83"/>
    <x v="28"/>
    <n v="17.8"/>
    <n v="3"/>
    <s v="Fed"/>
    <m/>
    <n v="0"/>
    <s v="0:Ruslan Kochman"/>
    <s v="0:Rus"/>
    <s v=""/>
    <s v=""/>
    <m/>
    <s v="45668:Ruslan Kochman"/>
    <n v="1"/>
  </r>
  <r>
    <x v="83"/>
    <x v="32"/>
    <n v="16.399999999999999"/>
    <n v="3"/>
    <s v="Fed"/>
    <m/>
    <n v="0"/>
    <s v="0:Santi Diaz"/>
    <s v="0:Santi"/>
    <s v=""/>
    <s v=""/>
    <m/>
    <s v="45668:Santi Diaz"/>
    <n v="1"/>
  </r>
  <r>
    <x v="83"/>
    <x v="49"/>
    <n v="13.9"/>
    <n v="3"/>
    <s v="Fed"/>
    <m/>
    <n v="0"/>
    <s v="0:Thomas Dauterman"/>
    <s v="0:Tom"/>
    <s v=""/>
    <s v=""/>
    <m/>
    <s v="45668:Thomas Dauterman"/>
    <n v="1"/>
  </r>
  <r>
    <x v="84"/>
    <x v="30"/>
    <n v="1.2"/>
    <n v="1"/>
    <s v="Fed"/>
    <m/>
    <n v="0"/>
    <s v="0:Alejandro Arcos"/>
    <s v="0:Alex"/>
    <s v=""/>
    <s v=""/>
    <m/>
    <s v="45703:Alejandro Arcos"/>
    <n v="1"/>
  </r>
  <r>
    <x v="84"/>
    <x v="0"/>
    <n v="12.3"/>
    <n v="3"/>
    <s v="Fed"/>
    <m/>
    <n v="0"/>
    <s v="0:Alfonso Hidalgo"/>
    <s v="0:Alfonso"/>
    <s v=""/>
    <s v=""/>
    <m/>
    <s v="45703:Alfonso Hidalgo"/>
    <n v="1"/>
  </r>
  <r>
    <x v="84"/>
    <x v="1"/>
    <n v="6"/>
    <n v="2"/>
    <s v="Fed"/>
    <m/>
    <n v="0"/>
    <s v="0:Alvaro Aguirre"/>
    <s v="0:Gifu"/>
    <s v=""/>
    <s v=""/>
    <m/>
    <s v="45703:Alvaro Aguirre"/>
    <n v="1"/>
  </r>
  <r>
    <x v="84"/>
    <x v="23"/>
    <n v="8.8000000000000007"/>
    <n v="2"/>
    <s v="Fed"/>
    <m/>
    <n v="0"/>
    <s v="0:Alvaro Montoya"/>
    <s v="0:Monti"/>
    <s v=""/>
    <s v=""/>
    <m/>
    <s v="45703:Alvaro Montoya"/>
    <n v="1"/>
  </r>
  <r>
    <x v="84"/>
    <x v="2"/>
    <n v="15.2"/>
    <n v="3"/>
    <s v="Fed"/>
    <m/>
    <n v="0"/>
    <s v="0:Alvaro Nieto"/>
    <s v="0:Alvaro"/>
    <s v=""/>
    <s v=""/>
    <m/>
    <s v="45703:Alvaro Nieto"/>
    <n v="1"/>
  </r>
  <r>
    <x v="84"/>
    <x v="3"/>
    <n v="8.6999999999999993"/>
    <n v="2"/>
    <s v="Fed"/>
    <m/>
    <n v="0"/>
    <s v="0:Angel Hernandez"/>
    <s v="0:Angel"/>
    <s v=""/>
    <s v=""/>
    <m/>
    <s v="45703:Angel Hernandez"/>
    <n v="1"/>
  </r>
  <r>
    <x v="84"/>
    <x v="47"/>
    <n v="6.5"/>
    <n v="2"/>
    <s v="Fed"/>
    <m/>
    <n v="0"/>
    <s v="0:Angel Santana"/>
    <s v="0:A.Santana"/>
    <s v=""/>
    <s v=""/>
    <m/>
    <s v="45703:Angel Santana"/>
    <n v="1"/>
  </r>
  <r>
    <x v="84"/>
    <x v="31"/>
    <n v="18.899999999999999"/>
    <n v="4"/>
    <s v="Fed"/>
    <m/>
    <n v="0"/>
    <s v="0:Antonio Carmona"/>
    <s v="0:Antonio"/>
    <s v=""/>
    <s v=""/>
    <m/>
    <s v="45703:Antonio Carmona"/>
    <n v="1"/>
  </r>
  <r>
    <x v="84"/>
    <x v="34"/>
    <n v="1.3"/>
    <n v="1"/>
    <s v="Fed"/>
    <m/>
    <n v="0"/>
    <s v="0:Carlos Maestro"/>
    <s v="0:Carlitos"/>
    <s v=""/>
    <s v=""/>
    <m/>
    <s v="45703:Carlos Maestro"/>
    <n v="1"/>
  </r>
  <r>
    <x v="84"/>
    <x v="4"/>
    <n v="14.3"/>
    <n v="3"/>
    <s v="Fed"/>
    <m/>
    <n v="0"/>
    <s v="0:David Sequera"/>
    <s v="0:David"/>
    <s v=""/>
    <s v=""/>
    <m/>
    <s v="45703:David Sequera"/>
    <n v="1"/>
  </r>
  <r>
    <x v="84"/>
    <x v="39"/>
    <n v="8.8000000000000007"/>
    <n v="2"/>
    <s v="Fed"/>
    <m/>
    <n v="0"/>
    <s v="0:Eduardo Buendía"/>
    <s v="0:Eduardo"/>
    <s v=""/>
    <s v=""/>
    <m/>
    <s v="45703:Eduardo Buendía"/>
    <n v="1"/>
  </r>
  <r>
    <x v="84"/>
    <x v="29"/>
    <n v="13.1"/>
    <n v="3"/>
    <s v="Fed"/>
    <m/>
    <n v="0"/>
    <s v="0:Enrique Gonzalez R"/>
    <s v="0:Enrique"/>
    <s v=""/>
    <s v=""/>
    <m/>
    <s v="45703:Enrique Gonzalez R"/>
    <n v="1"/>
  </r>
  <r>
    <x v="84"/>
    <x v="5"/>
    <n v="15.7"/>
    <n v="3"/>
    <s v="Fed"/>
    <m/>
    <n v="0"/>
    <s v="0:Francisco Alvarez"/>
    <s v="0:Paco"/>
    <s v=""/>
    <s v=""/>
    <m/>
    <s v="45703:Francisco Alvarez"/>
    <n v="1"/>
  </r>
  <r>
    <x v="84"/>
    <x v="6"/>
    <n v="14.3"/>
    <n v="3"/>
    <s v="Fed"/>
    <m/>
    <n v="0"/>
    <s v="0:Francisco Hidalgo"/>
    <s v="0:Fran"/>
    <s v=""/>
    <s v=""/>
    <m/>
    <s v="45703:Francisco Hidalgo"/>
    <n v="1"/>
  </r>
  <r>
    <x v="84"/>
    <x v="24"/>
    <n v="15"/>
    <n v="3"/>
    <s v="Fed"/>
    <m/>
    <n v="0"/>
    <s v="0:Franck Benouniche"/>
    <s v="0:Franck"/>
    <s v=""/>
    <s v=""/>
    <m/>
    <s v="45703:Franck Benouniche"/>
    <n v="1"/>
  </r>
  <r>
    <x v="84"/>
    <x v="7"/>
    <n v="19.399999999999999"/>
    <n v="4"/>
    <s v="Fed"/>
    <m/>
    <n v="0"/>
    <s v="0:GLEZ JUAN JOSÉ"/>
    <s v="0:Juanjo"/>
    <s v=""/>
    <s v=""/>
    <m/>
    <s v="45703:GLEZ JUAN JOSÉ"/>
    <n v="1"/>
  </r>
  <r>
    <x v="84"/>
    <x v="8"/>
    <n v="6.8"/>
    <n v="2"/>
    <s v="Fed"/>
    <m/>
    <n v="0"/>
    <s v="0:Ignacio Cadarso"/>
    <s v="0:Ignacio"/>
    <s v=""/>
    <s v=""/>
    <m/>
    <s v="45703:Ignacio Cadarso"/>
    <n v="1"/>
  </r>
  <r>
    <x v="84"/>
    <x v="10"/>
    <n v="19.600000000000001"/>
    <n v="4"/>
    <s v="Fed"/>
    <m/>
    <n v="0"/>
    <s v="0:J. Enrique Gonzalez"/>
    <s v="0:Kike"/>
    <s v=""/>
    <s v=""/>
    <m/>
    <s v="45703:J. Enrique Gonzalez"/>
    <n v="1"/>
  </r>
  <r>
    <x v="84"/>
    <x v="53"/>
    <n v="11.2"/>
    <n v="2"/>
    <s v="Fed"/>
    <m/>
    <n v="0"/>
    <s v="0:Jaime de la Cal"/>
    <s v="0:Jaime"/>
    <s v=""/>
    <s v=""/>
    <m/>
    <s v="45703:Jaime de la Cal"/>
    <n v="1"/>
  </r>
  <r>
    <x v="84"/>
    <x v="41"/>
    <n v="10.1"/>
    <n v="2"/>
    <s v="Fed"/>
    <m/>
    <n v="0"/>
    <s v="0:Javier Arcos"/>
    <s v="0:J.Arcos"/>
    <s v=""/>
    <s v=""/>
    <m/>
    <s v="45703:Javier Arcos"/>
    <n v="1"/>
  </r>
  <r>
    <x v="84"/>
    <x v="11"/>
    <n v="18.399999999999999"/>
    <n v="3"/>
    <s v="Fed"/>
    <m/>
    <n v="0"/>
    <s v="0:Javier Cervera"/>
    <s v="0:Virus"/>
    <s v=""/>
    <s v=""/>
    <m/>
    <s v="45703:Javier Cervera"/>
    <n v="1"/>
  </r>
  <r>
    <x v="84"/>
    <x v="25"/>
    <n v="10.6"/>
    <n v="2"/>
    <s v="Fed"/>
    <m/>
    <n v="0"/>
    <s v="0:Javier Chiralt"/>
    <s v="0:Chiralt"/>
    <s v=""/>
    <s v=""/>
    <m/>
    <s v="45703:Javier Chiralt"/>
    <n v="1"/>
  </r>
  <r>
    <x v="84"/>
    <x v="12"/>
    <n v="19.3"/>
    <n v="4"/>
    <s v="Fed"/>
    <m/>
    <n v="0"/>
    <s v="0:Javier Gonzalez Salvador"/>
    <s v="0:Javi"/>
    <s v=""/>
    <s v=""/>
    <m/>
    <s v="45703:Javier Gonzalez Salvador"/>
    <n v="1"/>
  </r>
  <r>
    <x v="84"/>
    <x v="26"/>
    <n v="20.9"/>
    <n v="4"/>
    <s v="Fed"/>
    <m/>
    <n v="0"/>
    <s v="0:Javier Lopez Gullón"/>
    <s v="0:Cuñao"/>
    <s v=""/>
    <s v=""/>
    <m/>
    <s v="45703:Javier Lopez Gullón"/>
    <n v="1"/>
  </r>
  <r>
    <x v="84"/>
    <x v="13"/>
    <n v="21.9"/>
    <n v="4"/>
    <s v="Fed"/>
    <m/>
    <n v="0"/>
    <s v="0:Jesus Touceda"/>
    <s v="0:Jesús"/>
    <s v=""/>
    <s v=""/>
    <m/>
    <s v="45703:Jesus Touceda"/>
    <n v="1"/>
  </r>
  <r>
    <x v="84"/>
    <x v="52"/>
    <n v="20.2"/>
    <n v="4"/>
    <s v="Fed"/>
    <m/>
    <n v="0"/>
    <s v="0:Joaquín Sánchez"/>
    <s v="0:Joaco"/>
    <s v=""/>
    <s v=""/>
    <m/>
    <s v="45703:Joaquín Sánchez"/>
    <n v="1"/>
  </r>
  <r>
    <x v="84"/>
    <x v="38"/>
    <n v="18.600000000000001"/>
    <n v="4"/>
    <s v="Fed"/>
    <m/>
    <n v="0"/>
    <s v="0:Jorge Alberto Martínez Sánchez"/>
    <s v="0:Jorge"/>
    <s v=""/>
    <s v=""/>
    <m/>
    <s v="45703:Jorge Alberto Martínez Sánchez"/>
    <n v="1"/>
  </r>
  <r>
    <x v="84"/>
    <x v="45"/>
    <n v="25.5"/>
    <n v="4"/>
    <s v="Fed"/>
    <m/>
    <n v="0"/>
    <s v="0:Jose Antonio Santana"/>
    <s v="0:J Antonio"/>
    <s v=""/>
    <s v=""/>
    <m/>
    <s v="45703:Jose Antonio Santana"/>
    <n v="1"/>
  </r>
  <r>
    <x v="84"/>
    <x v="14"/>
    <n v="7"/>
    <n v="2"/>
    <s v="Fed"/>
    <m/>
    <n v="0"/>
    <s v="0:José Pablo Guil"/>
    <s v="0:JP"/>
    <s v=""/>
    <s v=""/>
    <m/>
    <s v="45703:José Pablo Guil"/>
    <n v="1"/>
  </r>
  <r>
    <x v="84"/>
    <x v="36"/>
    <n v="15.1"/>
    <n v="3"/>
    <s v="Fed"/>
    <m/>
    <n v="0"/>
    <s v="0:Juan Jose Aguado"/>
    <s v="0:Juancho"/>
    <s v=""/>
    <s v=""/>
    <m/>
    <s v="45703:Juan Jose Aguado"/>
    <n v="1"/>
  </r>
  <r>
    <x v="84"/>
    <x v="48"/>
    <n v="16.600000000000001"/>
    <n v="3"/>
    <s v="Fed"/>
    <m/>
    <n v="0"/>
    <s v="0:Juan Sanz"/>
    <s v="0:JuanSanz"/>
    <s v=""/>
    <s v=""/>
    <m/>
    <s v="45703:Juan Sanz"/>
    <n v="1"/>
  </r>
  <r>
    <x v="84"/>
    <x v="44"/>
    <n v="10.199999999999999"/>
    <n v="2"/>
    <s v="Fed"/>
    <m/>
    <n v="0"/>
    <s v="0:Luis Fernandez"/>
    <s v="0:Luis"/>
    <s v=""/>
    <s v=""/>
    <m/>
    <s v="45703:Luis Fernandez"/>
    <n v="1"/>
  </r>
  <r>
    <x v="84"/>
    <x v="21"/>
    <n v="18.5"/>
    <n v="4"/>
    <s v="Fed"/>
    <m/>
    <n v="0"/>
    <s v="0:Miche Lopez"/>
    <s v="0:Miche"/>
    <s v=""/>
    <s v=""/>
    <m/>
    <s v="45703:Miche Lopez"/>
    <n v="1"/>
  </r>
  <r>
    <x v="84"/>
    <x v="54"/>
    <n v="7.3"/>
    <n v="2"/>
    <s v="Fed"/>
    <m/>
    <n v="0"/>
    <s v="0:Miguel Angel Aguilera"/>
    <s v="0:M Angel"/>
    <s v=""/>
    <s v=""/>
    <m/>
    <s v="45703:Miguel Angel Aguilera"/>
    <n v="1"/>
  </r>
  <r>
    <x v="84"/>
    <x v="27"/>
    <n v="5.2"/>
    <n v="2"/>
    <s v="Fed"/>
    <m/>
    <n v="0"/>
    <s v="0:Nacho Casas"/>
    <s v="0:Nachete"/>
    <s v=""/>
    <s v=""/>
    <m/>
    <s v="45703:Nacho Casas"/>
    <n v="1"/>
  </r>
  <r>
    <x v="84"/>
    <x v="16"/>
    <n v="4.7"/>
    <n v="2"/>
    <s v="Fed"/>
    <m/>
    <n v="0"/>
    <s v="0:Nacho Gonzalez"/>
    <s v="0:Nacho"/>
    <s v=""/>
    <s v=""/>
    <m/>
    <s v="45703:Nacho Gonzalez"/>
    <n v="1"/>
  </r>
  <r>
    <x v="84"/>
    <x v="28"/>
    <n v="17.8"/>
    <n v="3"/>
    <s v="Fed"/>
    <m/>
    <n v="0"/>
    <s v="0:Ruslan Kochman"/>
    <s v="0:Rus"/>
    <s v=""/>
    <s v=""/>
    <m/>
    <s v="45703:Ruslan Kochman"/>
    <n v="1"/>
  </r>
  <r>
    <x v="84"/>
    <x v="32"/>
    <n v="16.399999999999999"/>
    <n v="3"/>
    <s v="Fed"/>
    <m/>
    <n v="0"/>
    <s v="0:Santi Diaz"/>
    <s v="0:Santi"/>
    <s v=""/>
    <s v=""/>
    <m/>
    <s v="45703:Santi Diaz"/>
    <n v="1"/>
  </r>
  <r>
    <x v="84"/>
    <x v="49"/>
    <n v="13.9"/>
    <n v="3"/>
    <s v="Fed"/>
    <m/>
    <n v="0"/>
    <s v="0:Thomas Dauterman"/>
    <s v="0:Tom"/>
    <s v=""/>
    <s v=""/>
    <m/>
    <s v="45703:Thomas Dauterman"/>
    <n v="1"/>
  </r>
  <r>
    <x v="85"/>
    <x v="30"/>
    <n v="0.9"/>
    <n v="1"/>
    <s v="Fed"/>
    <m/>
    <n v="0"/>
    <s v="0:Alejandro Arcos"/>
    <s v="0:Alex"/>
    <s v=""/>
    <s v=""/>
    <m/>
    <s v="45738:Alejandro Arcos"/>
    <n v="1"/>
  </r>
  <r>
    <x v="85"/>
    <x v="0"/>
    <n v="12.3"/>
    <n v="3"/>
    <s v="Fed"/>
    <m/>
    <n v="0"/>
    <s v="0:Alfonso Hidalgo"/>
    <s v="0:Alfonso"/>
    <s v=""/>
    <s v=""/>
    <m/>
    <s v="45738:Alfonso Hidalgo"/>
    <n v="1"/>
  </r>
  <r>
    <x v="85"/>
    <x v="1"/>
    <n v="6.4"/>
    <n v="2"/>
    <s v="Fed"/>
    <m/>
    <n v="0"/>
    <s v="0:Alvaro Aguirre"/>
    <s v="0:Gifu"/>
    <s v=""/>
    <s v=""/>
    <m/>
    <s v="45738:Alvaro Aguirre"/>
    <n v="1"/>
  </r>
  <r>
    <x v="85"/>
    <x v="23"/>
    <n v="8.8000000000000007"/>
    <n v="2"/>
    <s v="Fed"/>
    <m/>
    <n v="0"/>
    <s v="0:Alvaro Montoya"/>
    <s v="0:Monti"/>
    <s v=""/>
    <s v=""/>
    <m/>
    <s v="45738:Alvaro Montoya"/>
    <n v="1"/>
  </r>
  <r>
    <x v="85"/>
    <x v="2"/>
    <n v="15.2"/>
    <n v="3"/>
    <s v="Fed"/>
    <m/>
    <n v="0"/>
    <s v="0:Alvaro Nieto"/>
    <s v="0:Alvaro"/>
    <s v=""/>
    <s v=""/>
    <m/>
    <s v="45738:Alvaro Nieto"/>
    <n v="1"/>
  </r>
  <r>
    <x v="85"/>
    <x v="3"/>
    <n v="8.5"/>
    <n v="2"/>
    <s v="Fed"/>
    <m/>
    <n v="0"/>
    <s v="0:Angel Hernandez"/>
    <s v="0:Angel"/>
    <s v=""/>
    <s v=""/>
    <m/>
    <s v="45738:Angel Hernandez"/>
    <n v="1"/>
  </r>
  <r>
    <x v="85"/>
    <x v="47"/>
    <n v="6.3"/>
    <n v="2"/>
    <s v="Fed"/>
    <m/>
    <n v="0"/>
    <s v="0:Angel Santana"/>
    <s v="0:A.Santana"/>
    <s v=""/>
    <s v=""/>
    <m/>
    <s v="45738:Angel Santana"/>
    <n v="1"/>
  </r>
  <r>
    <x v="85"/>
    <x v="31"/>
    <n v="18.899999999999999"/>
    <n v="4"/>
    <s v="Fed"/>
    <m/>
    <n v="0"/>
    <s v="0:Antonio Carmona"/>
    <s v="0:Antonio"/>
    <s v=""/>
    <s v=""/>
    <m/>
    <s v="45738:Antonio Carmona"/>
    <n v="1"/>
  </r>
  <r>
    <x v="85"/>
    <x v="34"/>
    <n v="1.5"/>
    <n v="1"/>
    <s v="Fed"/>
    <m/>
    <n v="0"/>
    <s v="0:Carlos Maestro"/>
    <s v="0:Carlitos"/>
    <s v=""/>
    <s v=""/>
    <m/>
    <s v="45738:Carlos Maestro"/>
    <n v="1"/>
  </r>
  <r>
    <x v="85"/>
    <x v="4"/>
    <n v="14.3"/>
    <n v="3"/>
    <s v="Fed"/>
    <m/>
    <n v="0"/>
    <s v="0:David Sequera"/>
    <s v="0:David"/>
    <s v=""/>
    <s v=""/>
    <m/>
    <s v="45738:David Sequera"/>
    <n v="1"/>
  </r>
  <r>
    <x v="85"/>
    <x v="39"/>
    <n v="8.8000000000000007"/>
    <n v="2"/>
    <s v="Fed"/>
    <m/>
    <n v="0"/>
    <s v="0:Eduardo Buendía"/>
    <s v="0:Eduardo"/>
    <s v=""/>
    <s v=""/>
    <m/>
    <s v="45738:Eduardo Buendía"/>
    <n v="1"/>
  </r>
  <r>
    <x v="85"/>
    <x v="29"/>
    <n v="13.8"/>
    <n v="3"/>
    <s v="Fed"/>
    <m/>
    <n v="0"/>
    <s v="0:Enrique Gonzalez R"/>
    <s v="0:Enrique"/>
    <s v=""/>
    <s v=""/>
    <m/>
    <s v="45738:Enrique Gonzalez R"/>
    <n v="1"/>
  </r>
  <r>
    <x v="85"/>
    <x v="5"/>
    <n v="15.9"/>
    <n v="3"/>
    <s v="Fed"/>
    <m/>
    <n v="0"/>
    <s v="0:Francisco Alvarez"/>
    <s v="0:Paco"/>
    <s v=""/>
    <s v=""/>
    <m/>
    <s v="45738:Francisco Alvarez"/>
    <n v="1"/>
  </r>
  <r>
    <x v="85"/>
    <x v="6"/>
    <n v="14.3"/>
    <n v="3"/>
    <s v="Fed"/>
    <m/>
    <n v="0"/>
    <s v="0:Francisco Hidalgo"/>
    <s v="0:Fran"/>
    <s v=""/>
    <s v=""/>
    <m/>
    <s v="45738:Francisco Hidalgo"/>
    <n v="1"/>
  </r>
  <r>
    <x v="85"/>
    <x v="24"/>
    <n v="15"/>
    <n v="3"/>
    <s v="Fed"/>
    <m/>
    <n v="0"/>
    <s v="0:Franck Benouniche"/>
    <s v="0:Franck"/>
    <s v=""/>
    <s v=""/>
    <m/>
    <s v="45738:Franck Benouniche"/>
    <n v="1"/>
  </r>
  <r>
    <x v="85"/>
    <x v="7"/>
    <n v="19.399999999999999"/>
    <n v="4"/>
    <s v="Fed"/>
    <m/>
    <n v="0"/>
    <s v="0:GLEZ JUAN JOSÉ"/>
    <s v="0:Juanjo"/>
    <s v=""/>
    <s v=""/>
    <m/>
    <s v="45738:GLEZ JUAN JOSÉ"/>
    <n v="1"/>
  </r>
  <r>
    <x v="85"/>
    <x v="8"/>
    <n v="6.8"/>
    <n v="2"/>
    <s v="Fed"/>
    <m/>
    <n v="0"/>
    <s v="0:Ignacio Cadarso"/>
    <s v="0:Ignacio"/>
    <s v=""/>
    <s v=""/>
    <m/>
    <s v="45738:Ignacio Cadarso"/>
    <n v="1"/>
  </r>
  <r>
    <x v="85"/>
    <x v="10"/>
    <n v="19.5"/>
    <n v="4"/>
    <s v="Fed"/>
    <m/>
    <n v="0"/>
    <s v="0:J. Enrique Gonzalez"/>
    <s v="0:Kike"/>
    <s v=""/>
    <s v=""/>
    <m/>
    <s v="45738:J. Enrique Gonzalez"/>
    <n v="1"/>
  </r>
  <r>
    <x v="85"/>
    <x v="53"/>
    <n v="8.8000000000000007"/>
    <n v="2"/>
    <s v="Fed"/>
    <m/>
    <n v="0"/>
    <s v="0:Jaime de la Cal"/>
    <s v="0:Jaime"/>
    <s v=""/>
    <s v=""/>
    <m/>
    <s v="45738:Jaime de la Cal"/>
    <n v="1"/>
  </r>
  <r>
    <x v="85"/>
    <x v="41"/>
    <n v="10.5"/>
    <n v="2"/>
    <s v="Fed"/>
    <m/>
    <n v="0"/>
    <s v="0:Javier Arcos"/>
    <s v="0:J.Arcos"/>
    <s v=""/>
    <s v=""/>
    <m/>
    <s v="45738:Javier Arcos"/>
    <n v="1"/>
  </r>
  <r>
    <x v="85"/>
    <x v="11"/>
    <n v="18.2"/>
    <n v="3"/>
    <s v="Fed"/>
    <m/>
    <n v="0"/>
    <s v="0:Javier Cervera"/>
    <s v="0:Virus"/>
    <s v=""/>
    <s v=""/>
    <m/>
    <s v="45738:Javier Cervera"/>
    <n v="1"/>
  </r>
  <r>
    <x v="85"/>
    <x v="25"/>
    <n v="10.6"/>
    <n v="2"/>
    <s v="Fed"/>
    <m/>
    <n v="0"/>
    <s v="0:Javier Chiralt"/>
    <s v="0:Chiralt"/>
    <s v=""/>
    <s v=""/>
    <m/>
    <s v="45738:Javier Chiralt"/>
    <n v="1"/>
  </r>
  <r>
    <x v="85"/>
    <x v="12"/>
    <n v="19.600000000000001"/>
    <n v="4"/>
    <s v="Fed"/>
    <m/>
    <n v="0"/>
    <s v="0:Javier Gonzalez Salvador"/>
    <s v="0:Javi"/>
    <s v=""/>
    <s v=""/>
    <m/>
    <s v="45738:Javier Gonzalez Salvador"/>
    <n v="1"/>
  </r>
  <r>
    <x v="85"/>
    <x v="26"/>
    <n v="20.9"/>
    <n v="4"/>
    <s v="Fed"/>
    <m/>
    <n v="0"/>
    <s v="0:Javier Lopez Gullón"/>
    <s v="0:Cuñao"/>
    <s v=""/>
    <s v=""/>
    <m/>
    <s v="45738:Javier Lopez Gullón"/>
    <n v="1"/>
  </r>
  <r>
    <x v="85"/>
    <x v="13"/>
    <n v="21.8"/>
    <n v="4"/>
    <s v="Fed"/>
    <m/>
    <n v="0"/>
    <s v="0:Jesus Touceda"/>
    <s v="0:Jesús"/>
    <s v=""/>
    <s v=""/>
    <m/>
    <s v="45738:Jesus Touceda"/>
    <n v="1"/>
  </r>
  <r>
    <x v="85"/>
    <x v="52"/>
    <n v="20.6"/>
    <n v="4"/>
    <s v="Fed"/>
    <m/>
    <n v="0"/>
    <s v="0:Joaquín Sánchez"/>
    <s v="0:Joaco"/>
    <s v=""/>
    <s v=""/>
    <m/>
    <s v="45738:Joaquín Sánchez"/>
    <n v="1"/>
  </r>
  <r>
    <x v="85"/>
    <x v="38"/>
    <n v="19.2"/>
    <n v="4"/>
    <s v="Fed"/>
    <m/>
    <n v="0"/>
    <s v="0:Jorge Alberto Martínez Sánchez"/>
    <s v="0:Jorge"/>
    <s v=""/>
    <s v=""/>
    <m/>
    <s v="45738:Jorge Alberto Martínez Sánchez"/>
    <n v="1"/>
  </r>
  <r>
    <x v="85"/>
    <x v="45"/>
    <n v="25.7"/>
    <n v="4"/>
    <s v="Fed"/>
    <m/>
    <n v="0"/>
    <s v="0:Jose Antonio Santana"/>
    <s v="0:J Antonio"/>
    <s v=""/>
    <s v=""/>
    <m/>
    <s v="45738:Jose Antonio Santana"/>
    <n v="1"/>
  </r>
  <r>
    <x v="85"/>
    <x v="14"/>
    <n v="6.8"/>
    <n v="2"/>
    <s v="Fed"/>
    <m/>
    <n v="0"/>
    <s v="0:José Pablo Guil"/>
    <s v="0:JP"/>
    <s v=""/>
    <s v=""/>
    <m/>
    <s v="45738:José Pablo Guil"/>
    <n v="1"/>
  </r>
  <r>
    <x v="85"/>
    <x v="36"/>
    <n v="15.1"/>
    <n v="3"/>
    <s v="Fed"/>
    <m/>
    <n v="0"/>
    <s v="0:Juan Jose Aguado"/>
    <s v="0:Juancho"/>
    <s v=""/>
    <s v=""/>
    <m/>
    <s v="45738:Juan Jose Aguado"/>
    <n v="1"/>
  </r>
  <r>
    <x v="85"/>
    <x v="48"/>
    <n v="16.5"/>
    <n v="3"/>
    <s v="Fed"/>
    <m/>
    <n v="0"/>
    <s v="0:Juan Sanz"/>
    <s v="0:JuanSanz"/>
    <s v=""/>
    <s v=""/>
    <m/>
    <s v="45738:Juan Sanz"/>
    <n v="1"/>
  </r>
  <r>
    <x v="85"/>
    <x v="44"/>
    <n v="11"/>
    <n v="2"/>
    <s v="Fed"/>
    <m/>
    <n v="0"/>
    <s v="0:Luis Fernandez"/>
    <s v="0:Luis"/>
    <s v=""/>
    <s v=""/>
    <m/>
    <s v="45738:Luis Fernandez"/>
    <n v="1"/>
  </r>
  <r>
    <x v="85"/>
    <x v="21"/>
    <n v="18.5"/>
    <n v="4"/>
    <s v="Fed"/>
    <m/>
    <n v="0"/>
    <s v="0:Miche Lopez"/>
    <s v="0:Miche"/>
    <s v=""/>
    <s v=""/>
    <m/>
    <s v="45738:Miche Lopez"/>
    <n v="1"/>
  </r>
  <r>
    <x v="85"/>
    <x v="54"/>
    <n v="7.2"/>
    <n v="2"/>
    <s v="Fed"/>
    <m/>
    <n v="0"/>
    <s v="0:Miguel Angel Aguilera"/>
    <s v="0:M Angel"/>
    <s v=""/>
    <s v=""/>
    <m/>
    <s v="45738:Miguel Angel Aguilera"/>
    <n v="1"/>
  </r>
  <r>
    <x v="85"/>
    <x v="27"/>
    <n v="5.2"/>
    <n v="2"/>
    <s v="Fed"/>
    <m/>
    <n v="0"/>
    <s v="0:Nacho Casas"/>
    <s v="0:Nachete"/>
    <s v=""/>
    <s v=""/>
    <m/>
    <s v="45738:Nacho Casas"/>
    <n v="1"/>
  </r>
  <r>
    <x v="85"/>
    <x v="16"/>
    <n v="4.7"/>
    <n v="2"/>
    <s v="Fed"/>
    <m/>
    <n v="0"/>
    <s v="0:Nacho Gonzalez"/>
    <s v="0:Nacho"/>
    <s v=""/>
    <s v=""/>
    <m/>
    <s v="45738:Nacho Gonzalez"/>
    <n v="1"/>
  </r>
  <r>
    <x v="85"/>
    <x v="28"/>
    <n v="17.8"/>
    <n v="3"/>
    <s v="Fed"/>
    <m/>
    <n v="0"/>
    <s v="0:Ruslan Kochman"/>
    <s v="0:Rus"/>
    <s v=""/>
    <s v=""/>
    <m/>
    <s v="45738:Ruslan Kochman"/>
    <n v="1"/>
  </r>
  <r>
    <x v="85"/>
    <x v="32"/>
    <n v="16.399999999999999"/>
    <n v="3"/>
    <s v="Fed"/>
    <m/>
    <n v="0"/>
    <s v="0:Santi Diaz"/>
    <s v="0:Santi"/>
    <s v=""/>
    <s v=""/>
    <m/>
    <s v="45738:Santi Diaz"/>
    <n v="1"/>
  </r>
  <r>
    <x v="85"/>
    <x v="49"/>
    <n v="13.9"/>
    <n v="3"/>
    <s v="Fed"/>
    <m/>
    <n v="0"/>
    <s v="0:Thomas Dauterman"/>
    <s v="0:Tom"/>
    <s v=""/>
    <s v=""/>
    <m/>
    <s v="45738:Thomas Dauterman"/>
    <n v="1"/>
  </r>
  <r>
    <x v="86"/>
    <x v="30"/>
    <n v="0.9"/>
    <n v="1"/>
    <s v="Fed"/>
    <m/>
    <n v="0"/>
    <s v="0:Alejandro Arcos"/>
    <s v="0:Alex"/>
    <s v=""/>
    <s v=""/>
    <m/>
    <s v="45774:Alejandro Arcos"/>
    <n v="1"/>
  </r>
  <r>
    <x v="86"/>
    <x v="0"/>
    <n v="11.6"/>
    <n v="3"/>
    <s v="Fed"/>
    <m/>
    <n v="0"/>
    <s v="0:Alfonso Hidalgo"/>
    <s v="0:Alfonso"/>
    <s v=""/>
    <s v=""/>
    <m/>
    <s v="45774:Alfonso Hidalgo"/>
    <n v="1"/>
  </r>
  <r>
    <x v="86"/>
    <x v="1"/>
    <n v="6.4"/>
    <n v="2"/>
    <s v="Fed"/>
    <m/>
    <n v="0"/>
    <s v="0:Alvaro Aguirre"/>
    <s v="0:Gifu"/>
    <s v=""/>
    <s v=""/>
    <m/>
    <s v="45774:Alvaro Aguirre"/>
    <n v="1"/>
  </r>
  <r>
    <x v="86"/>
    <x v="23"/>
    <n v="9"/>
    <n v="2"/>
    <s v="Fed"/>
    <m/>
    <n v="0"/>
    <s v="0:Alvaro Montoya"/>
    <s v="0:Monti"/>
    <s v=""/>
    <s v=""/>
    <m/>
    <s v="45774:Alvaro Montoya"/>
    <n v="1"/>
  </r>
  <r>
    <x v="86"/>
    <x v="2"/>
    <n v="15.2"/>
    <n v="3"/>
    <s v="Fed"/>
    <m/>
    <n v="0"/>
    <s v="0:Alvaro Nieto"/>
    <s v="0:Alvaro"/>
    <s v=""/>
    <s v=""/>
    <m/>
    <s v="45774:Alvaro Nieto"/>
    <n v="1"/>
  </r>
  <r>
    <x v="86"/>
    <x v="3"/>
    <n v="8.8000000000000007"/>
    <n v="2"/>
    <s v="Fed"/>
    <m/>
    <n v="0"/>
    <s v="0:Angel Hernandez"/>
    <s v="0:Angel"/>
    <s v=""/>
    <s v=""/>
    <m/>
    <s v="45774:Angel Hernandez"/>
    <n v="1"/>
  </r>
  <r>
    <x v="86"/>
    <x v="47"/>
    <n v="6.1"/>
    <n v="2"/>
    <s v="Fed"/>
    <m/>
    <n v="0"/>
    <s v="0:Angel Santana"/>
    <s v="0:A.Santana"/>
    <s v=""/>
    <s v=""/>
    <m/>
    <s v="45774:Angel Santana"/>
    <n v="1"/>
  </r>
  <r>
    <x v="86"/>
    <x v="31"/>
    <n v="19.2"/>
    <n v="4"/>
    <s v="Fed"/>
    <m/>
    <n v="0"/>
    <s v="0:Antonio Carmona"/>
    <s v="0:Antonio"/>
    <s v=""/>
    <s v=""/>
    <m/>
    <s v="45774:Antonio Carmona"/>
    <n v="1"/>
  </r>
  <r>
    <x v="86"/>
    <x v="34"/>
    <n v="1.5"/>
    <n v="1"/>
    <s v="Fed"/>
    <m/>
    <n v="0"/>
    <s v="0:Carlos Maestro"/>
    <s v="0:Carlitos"/>
    <s v=""/>
    <s v=""/>
    <m/>
    <s v="45774:Carlos Maestro"/>
    <n v="1"/>
  </r>
  <r>
    <x v="86"/>
    <x v="4"/>
    <n v="14.3"/>
    <n v="3"/>
    <s v="Fed"/>
    <m/>
    <n v="0"/>
    <s v="0:David Sequera"/>
    <s v="0:David"/>
    <s v=""/>
    <s v=""/>
    <m/>
    <s v="45774:David Sequera"/>
    <n v="1"/>
  </r>
  <r>
    <x v="86"/>
    <x v="39"/>
    <n v="8.1999999999999993"/>
    <n v="2"/>
    <s v="Fed"/>
    <m/>
    <n v="0"/>
    <s v="0:Eduardo Buendía"/>
    <s v="0:Eduardo"/>
    <s v=""/>
    <s v=""/>
    <m/>
    <s v="45774:Eduardo Buendía"/>
    <n v="1"/>
  </r>
  <r>
    <x v="86"/>
    <x v="29"/>
    <n v="13.4"/>
    <n v="3"/>
    <s v="Fed"/>
    <m/>
    <n v="0"/>
    <s v="0:Enrique Gonzalez R"/>
    <s v="0:Enrique"/>
    <s v=""/>
    <s v=""/>
    <m/>
    <s v="45774:Enrique Gonzalez R"/>
    <n v="1"/>
  </r>
  <r>
    <x v="86"/>
    <x v="5"/>
    <n v="15.9"/>
    <n v="3"/>
    <s v="Fed"/>
    <m/>
    <n v="0"/>
    <s v="0:Francisco Alvarez"/>
    <s v="0:Paco"/>
    <s v=""/>
    <s v=""/>
    <m/>
    <s v="45774:Francisco Alvarez"/>
    <n v="1"/>
  </r>
  <r>
    <x v="86"/>
    <x v="6"/>
    <n v="14.4"/>
    <n v="3"/>
    <s v="Fed"/>
    <m/>
    <n v="0"/>
    <s v="0:Francisco Hidalgo"/>
    <s v="0:Fran"/>
    <s v=""/>
    <s v=""/>
    <m/>
    <s v="45774:Francisco Hidalgo"/>
    <n v="1"/>
  </r>
  <r>
    <x v="86"/>
    <x v="24"/>
    <n v="15"/>
    <n v="3"/>
    <s v="Fed"/>
    <m/>
    <n v="0"/>
    <s v="0:Franck Benouniche"/>
    <s v="0:Franck"/>
    <s v=""/>
    <s v=""/>
    <m/>
    <s v="45774:Franck Benouniche"/>
    <n v="1"/>
  </r>
  <r>
    <x v="86"/>
    <x v="7"/>
    <n v="20.5"/>
    <n v="4"/>
    <s v="Fed"/>
    <m/>
    <n v="0"/>
    <s v="0:GLEZ JUAN JOSÉ"/>
    <s v="0:Juanjo"/>
    <s v=""/>
    <s v=""/>
    <m/>
    <s v="45774:GLEZ JUAN JOSÉ"/>
    <n v="1"/>
  </r>
  <r>
    <x v="86"/>
    <x v="8"/>
    <n v="6.8"/>
    <n v="2"/>
    <s v="Fed"/>
    <m/>
    <n v="0"/>
    <s v="0:Ignacio Cadarso"/>
    <s v="0:Ignacio"/>
    <s v=""/>
    <s v=""/>
    <m/>
    <s v="45774:Ignacio Cadarso"/>
    <n v="1"/>
  </r>
  <r>
    <x v="86"/>
    <x v="10"/>
    <n v="19.5"/>
    <n v="4"/>
    <s v="Fed"/>
    <m/>
    <n v="0"/>
    <s v="0:J. Enrique Gonzalez"/>
    <s v="0:Kike"/>
    <s v=""/>
    <s v=""/>
    <m/>
    <s v="45774:J. Enrique Gonzalez"/>
    <n v="1"/>
  </r>
  <r>
    <x v="86"/>
    <x v="53"/>
    <n v="9.8000000000000007"/>
    <n v="2"/>
    <s v="Fed"/>
    <m/>
    <n v="0"/>
    <s v="0:Jaime de la Cal"/>
    <s v="0:Jaime"/>
    <s v=""/>
    <s v=""/>
    <m/>
    <s v="45774:Jaime de la Cal"/>
    <n v="1"/>
  </r>
  <r>
    <x v="86"/>
    <x v="55"/>
    <n v="2.6"/>
    <n v="1"/>
    <s v="Fed"/>
    <m/>
    <n v="0"/>
    <s v="0:Jaime Orlando Larregui"/>
    <s v="0:Orlando"/>
    <s v=""/>
    <s v=""/>
    <m/>
    <s v="45774:Jaime Orlando Larregui"/>
    <n v="1"/>
  </r>
  <r>
    <x v="86"/>
    <x v="41"/>
    <n v="10.5"/>
    <n v="2"/>
    <s v="Fed"/>
    <m/>
    <n v="0"/>
    <s v="0:Javier Arcos"/>
    <s v="0:J.Arcos"/>
    <s v=""/>
    <s v=""/>
    <m/>
    <s v="45774:Javier Arcos"/>
    <n v="1"/>
  </r>
  <r>
    <x v="86"/>
    <x v="11"/>
    <n v="18.2"/>
    <n v="3"/>
    <s v="Fed"/>
    <m/>
    <n v="0"/>
    <s v="0:Javier Cervera"/>
    <s v="0:Virus"/>
    <s v=""/>
    <s v=""/>
    <m/>
    <s v="45774:Javier Cervera"/>
    <n v="1"/>
  </r>
  <r>
    <x v="86"/>
    <x v="25"/>
    <n v="10.6"/>
    <n v="2"/>
    <s v="Fed"/>
    <m/>
    <n v="0"/>
    <s v="0:Javier Chiralt"/>
    <s v="0:Chiralt"/>
    <s v=""/>
    <s v=""/>
    <m/>
    <s v="45774:Javier Chiralt"/>
    <n v="1"/>
  </r>
  <r>
    <x v="86"/>
    <x v="12"/>
    <n v="20.100000000000001"/>
    <n v="4"/>
    <s v="Fed"/>
    <m/>
    <n v="0"/>
    <s v="0:Javier Gonzalez Salvador"/>
    <s v="0:Javi"/>
    <s v=""/>
    <s v=""/>
    <m/>
    <s v="45774:Javier Gonzalez Salvador"/>
    <n v="1"/>
  </r>
  <r>
    <x v="86"/>
    <x v="26"/>
    <n v="20.9"/>
    <n v="4"/>
    <s v="Fed"/>
    <m/>
    <n v="0"/>
    <s v="0:Javier Lopez Gullón"/>
    <s v="0:Cuñao"/>
    <s v=""/>
    <s v=""/>
    <m/>
    <s v="45774:Javier Lopez Gullón"/>
    <n v="1"/>
  </r>
  <r>
    <x v="86"/>
    <x v="13"/>
    <n v="21.9"/>
    <n v="4"/>
    <s v="Fed"/>
    <m/>
    <n v="0"/>
    <s v="0:Jesus Touceda"/>
    <s v="0:Jesús"/>
    <s v=""/>
    <s v=""/>
    <m/>
    <s v="45774:Jesus Touceda"/>
    <n v="1"/>
  </r>
  <r>
    <x v="86"/>
    <x v="52"/>
    <n v="20.6"/>
    <n v="4"/>
    <s v="Fed"/>
    <m/>
    <n v="0"/>
    <s v="0:Joaquín Sánchez"/>
    <s v="0:Joaco"/>
    <s v=""/>
    <s v=""/>
    <m/>
    <s v="45774:Joaquín Sánchez"/>
    <n v="1"/>
  </r>
  <r>
    <x v="86"/>
    <x v="38"/>
    <n v="18.5"/>
    <n v="4"/>
    <s v="Fed"/>
    <m/>
    <n v="0"/>
    <s v="0:Jorge Alberto Martínez Sánchez"/>
    <s v="0:Jorge"/>
    <s v=""/>
    <s v=""/>
    <m/>
    <s v="45774:Jorge Alberto Martínez Sánchez"/>
    <n v="1"/>
  </r>
  <r>
    <x v="86"/>
    <x v="45"/>
    <n v="25.7"/>
    <n v="4"/>
    <s v="Fed"/>
    <m/>
    <n v="0"/>
    <s v="0:Jose Antonio Santana"/>
    <s v="0:J Antonio"/>
    <s v=""/>
    <s v=""/>
    <m/>
    <s v="45774:Jose Antonio Santana"/>
    <n v="1"/>
  </r>
  <r>
    <x v="86"/>
    <x v="14"/>
    <n v="6.8"/>
    <n v="2"/>
    <s v="Fed"/>
    <m/>
    <n v="0"/>
    <s v="0:José Pablo Guil"/>
    <s v="0:JP"/>
    <s v=""/>
    <s v=""/>
    <m/>
    <s v="45774:José Pablo Guil"/>
    <n v="1"/>
  </r>
  <r>
    <x v="86"/>
    <x v="36"/>
    <n v="15.1"/>
    <n v="3"/>
    <s v="Fed"/>
    <m/>
    <n v="0"/>
    <s v="0:Juan Jose Aguado"/>
    <s v="0:Juancho"/>
    <s v=""/>
    <s v=""/>
    <m/>
    <s v="45774:Juan Jose Aguado"/>
    <n v="1"/>
  </r>
  <r>
    <x v="86"/>
    <x v="48"/>
    <n v="16.3"/>
    <n v="3"/>
    <s v="Fed"/>
    <m/>
    <n v="0"/>
    <s v="0:Juan Sanz"/>
    <s v="0:JuanSanz"/>
    <s v=""/>
    <s v=""/>
    <m/>
    <s v="45774:Juan Sanz"/>
    <n v="1"/>
  </r>
  <r>
    <x v="86"/>
    <x v="44"/>
    <n v="12"/>
    <n v="3"/>
    <s v="Fed"/>
    <m/>
    <n v="0"/>
    <s v="0:Luis Fernandez"/>
    <s v="0:Luis"/>
    <s v=""/>
    <s v=""/>
    <m/>
    <s v="45774:Luis Fernandez"/>
    <n v="1"/>
  </r>
  <r>
    <x v="86"/>
    <x v="21"/>
    <n v="19.100000000000001"/>
    <n v="4"/>
    <s v="Fed"/>
    <m/>
    <n v="0"/>
    <s v="0:Miche Lopez"/>
    <s v="0:Miche"/>
    <s v=""/>
    <s v=""/>
    <m/>
    <s v="45774:Miche Lopez"/>
    <n v="1"/>
  </r>
  <r>
    <x v="86"/>
    <x v="54"/>
    <n v="7.8"/>
    <n v="2"/>
    <s v="Fed"/>
    <m/>
    <n v="0"/>
    <s v="0:Miguel Angel Aguilera"/>
    <s v="0:M Angel"/>
    <s v=""/>
    <s v=""/>
    <m/>
    <s v="45774:Miguel Angel Aguilera"/>
    <n v="1"/>
  </r>
  <r>
    <x v="86"/>
    <x v="27"/>
    <n v="5.2"/>
    <n v="2"/>
    <s v="Fed"/>
    <m/>
    <n v="0"/>
    <s v="0:Nacho Casas"/>
    <s v="0:Nachete"/>
    <s v=""/>
    <s v=""/>
    <m/>
    <s v="45774:Nacho Casas"/>
    <n v="1"/>
  </r>
  <r>
    <x v="86"/>
    <x v="16"/>
    <n v="4.7"/>
    <n v="2"/>
    <s v="Fed"/>
    <m/>
    <n v="0"/>
    <s v="0:Nacho Gonzalez"/>
    <s v="0:Nacho"/>
    <s v=""/>
    <s v=""/>
    <m/>
    <s v="45774:Nacho Gonzalez"/>
    <n v="1"/>
  </r>
  <r>
    <x v="86"/>
    <x v="28"/>
    <n v="17.899999999999999"/>
    <n v="3"/>
    <s v="Fed"/>
    <m/>
    <n v="0"/>
    <s v="0:Ruslan Kochman"/>
    <s v="0:Rus"/>
    <s v=""/>
    <s v=""/>
    <m/>
    <s v="45774:Ruslan Kochman"/>
    <n v="1"/>
  </r>
  <r>
    <x v="86"/>
    <x v="32"/>
    <n v="16.399999999999999"/>
    <n v="3"/>
    <s v="Fed"/>
    <m/>
    <n v="0"/>
    <s v="0:Santi Diaz"/>
    <s v="0:Santi"/>
    <s v=""/>
    <s v=""/>
    <m/>
    <s v="45774:Santi Diaz"/>
    <n v="1"/>
  </r>
  <r>
    <x v="86"/>
    <x v="49"/>
    <n v="14.2"/>
    <n v="3"/>
    <s v="Fed"/>
    <m/>
    <n v="0"/>
    <s v="0:Thomas Dauterman"/>
    <s v="0:Tom"/>
    <s v=""/>
    <s v=""/>
    <m/>
    <s v="45774:Thomas Dauterman"/>
    <n v="1"/>
  </r>
  <r>
    <x v="86"/>
    <x v="56"/>
    <n v="18.600000000000001"/>
    <n v="4"/>
    <s v="Fed"/>
    <m/>
    <n v="0"/>
    <s v="0:Victor Morillo"/>
    <s v="0:Victor"/>
    <s v=""/>
    <s v=""/>
    <m/>
    <s v="45774:Victor Morillo"/>
    <n v="1"/>
  </r>
  <r>
    <x v="87"/>
    <x v="30"/>
    <n v="0.6"/>
    <n v="1"/>
    <s v="Fed"/>
    <m/>
    <n v="0"/>
    <s v="0:Alejandro Arcos"/>
    <s v="0:Alex"/>
    <s v=""/>
    <s v=""/>
    <m/>
    <s v="45794:Alejandro Arcos"/>
    <n v="1"/>
  </r>
  <r>
    <x v="87"/>
    <x v="0"/>
    <n v="11.6"/>
    <n v="3"/>
    <s v="Fed"/>
    <m/>
    <n v="0"/>
    <s v="0:Alfonso Hidalgo"/>
    <s v="0:Alfonso"/>
    <s v=""/>
    <s v=""/>
    <m/>
    <s v="45794:Alfonso Hidalgo"/>
    <n v="1"/>
  </r>
  <r>
    <x v="87"/>
    <x v="1"/>
    <n v="6.4"/>
    <n v="2"/>
    <s v="Fed"/>
    <m/>
    <n v="0"/>
    <s v="0:Alvaro Aguirre"/>
    <s v="0:Gifu"/>
    <s v=""/>
    <s v=""/>
    <m/>
    <s v="45794:Alvaro Aguirre"/>
    <n v="1"/>
  </r>
  <r>
    <x v="87"/>
    <x v="23"/>
    <n v="8.6"/>
    <n v="2"/>
    <s v="Fed"/>
    <m/>
    <n v="0"/>
    <s v="0:Alvaro Montoya"/>
    <s v="0:Monti"/>
    <s v=""/>
    <s v=""/>
    <m/>
    <s v="45794:Alvaro Montoya"/>
    <n v="1"/>
  </r>
  <r>
    <x v="87"/>
    <x v="2"/>
    <n v="15.2"/>
    <n v="3"/>
    <s v="Fed"/>
    <m/>
    <n v="0"/>
    <s v="0:Alvaro Nieto"/>
    <s v="0:Alvaro"/>
    <s v=""/>
    <s v=""/>
    <m/>
    <s v="45794:Alvaro Nieto"/>
    <n v="1"/>
  </r>
  <r>
    <x v="87"/>
    <x v="3"/>
    <n v="8.1999999999999993"/>
    <n v="2"/>
    <s v="Fed"/>
    <m/>
    <n v="0"/>
    <s v="0:Angel Hernandez"/>
    <s v="0:Angel"/>
    <s v=""/>
    <s v=""/>
    <m/>
    <s v="45794:Angel Hernandez"/>
    <n v="1"/>
  </r>
  <r>
    <x v="87"/>
    <x v="47"/>
    <n v="6.1"/>
    <n v="2"/>
    <s v="Fed"/>
    <m/>
    <n v="0"/>
    <s v="0:Angel Santana"/>
    <s v="0:A.Santana"/>
    <s v=""/>
    <s v=""/>
    <m/>
    <s v="45794:Angel Santana"/>
    <n v="1"/>
  </r>
  <r>
    <x v="87"/>
    <x v="31"/>
    <n v="18.899999999999999"/>
    <n v="4"/>
    <s v="Fed"/>
    <m/>
    <n v="0"/>
    <s v="0:Antonio Carmona"/>
    <s v="0:Antonio"/>
    <s v=""/>
    <s v=""/>
    <m/>
    <s v="45794:Antonio Carmona"/>
    <n v="1"/>
  </r>
  <r>
    <x v="87"/>
    <x v="34"/>
    <n v="1.6"/>
    <n v="1"/>
    <s v="Fed"/>
    <m/>
    <n v="0"/>
    <s v="0:Carlos Maestro"/>
    <s v="0:Carlitos"/>
    <s v=""/>
    <s v=""/>
    <m/>
    <s v="45794:Carlos Maestro"/>
    <n v="1"/>
  </r>
  <r>
    <x v="87"/>
    <x v="4"/>
    <n v="14.2"/>
    <n v="3"/>
    <s v="Fed"/>
    <m/>
    <n v="0"/>
    <s v="0:David Sequera"/>
    <s v="0:David"/>
    <s v=""/>
    <s v=""/>
    <m/>
    <s v="45794:David Sequera"/>
    <n v="1"/>
  </r>
  <r>
    <x v="87"/>
    <x v="39"/>
    <n v="8.4"/>
    <n v="2"/>
    <s v="Fed"/>
    <m/>
    <n v="0"/>
    <s v="0:Eduardo Buendía"/>
    <s v="0:Eduardo"/>
    <s v=""/>
    <s v=""/>
    <m/>
    <s v="45794:Eduardo Buendía"/>
    <n v="1"/>
  </r>
  <r>
    <x v="87"/>
    <x v="29"/>
    <n v="13.4"/>
    <n v="3"/>
    <s v="Fed"/>
    <m/>
    <n v="0"/>
    <s v="0:Enrique Gonzalez R"/>
    <s v="0:Enrique"/>
    <s v=""/>
    <s v=""/>
    <m/>
    <s v="45794:Enrique Gonzalez R"/>
    <n v="1"/>
  </r>
  <r>
    <x v="87"/>
    <x v="5"/>
    <n v="15.9"/>
    <n v="3"/>
    <s v="Fed"/>
    <m/>
    <n v="0"/>
    <s v="0:Francisco Alvarez"/>
    <s v="0:Paco"/>
    <s v=""/>
    <s v=""/>
    <m/>
    <s v="45794:Francisco Alvarez"/>
    <n v="1"/>
  </r>
  <r>
    <x v="87"/>
    <x v="6"/>
    <n v="14.4"/>
    <n v="3"/>
    <s v="Fed"/>
    <m/>
    <n v="0"/>
    <s v="0:Francisco Hidalgo"/>
    <s v="0:Fran"/>
    <s v=""/>
    <s v=""/>
    <m/>
    <s v="45794:Francisco Hidalgo"/>
    <n v="1"/>
  </r>
  <r>
    <x v="87"/>
    <x v="24"/>
    <n v="15"/>
    <n v="3"/>
    <s v="Fed"/>
    <m/>
    <n v="0"/>
    <s v="0:Franck Benouniche"/>
    <s v="0:Franck"/>
    <s v=""/>
    <s v=""/>
    <m/>
    <s v="45794:Franck Benouniche"/>
    <n v="1"/>
  </r>
  <r>
    <x v="87"/>
    <x v="7"/>
    <n v="20.6"/>
    <n v="4"/>
    <s v="Fed"/>
    <m/>
    <n v="0"/>
    <s v="0:GLEZ JUAN JOSÉ"/>
    <s v="0:Juanjo"/>
    <s v=""/>
    <s v=""/>
    <m/>
    <s v="45794:GLEZ JUAN JOSÉ"/>
    <n v="1"/>
  </r>
  <r>
    <x v="87"/>
    <x v="8"/>
    <n v="7"/>
    <n v="2"/>
    <s v="Fed"/>
    <m/>
    <n v="0"/>
    <s v="0:Ignacio Cadarso"/>
    <s v="0:Ignacio"/>
    <s v=""/>
    <s v=""/>
    <m/>
    <s v="45794:Ignacio Cadarso"/>
    <n v="1"/>
  </r>
  <r>
    <x v="87"/>
    <x v="10"/>
    <n v="19.7"/>
    <n v="4"/>
    <s v="Fed"/>
    <m/>
    <n v="0"/>
    <s v="0:J. Enrique Gonzalez"/>
    <s v="0:Kike"/>
    <s v=""/>
    <s v=""/>
    <m/>
    <s v="45794:J. Enrique Gonzalez"/>
    <n v="1"/>
  </r>
  <r>
    <x v="87"/>
    <x v="53"/>
    <n v="10.8"/>
    <n v="2"/>
    <s v="Fed"/>
    <m/>
    <n v="0"/>
    <s v="0:Jaime de la Cal"/>
    <s v="0:Jaime"/>
    <s v=""/>
    <s v=""/>
    <m/>
    <s v="45794:Jaime de la Cal"/>
    <n v="1"/>
  </r>
  <r>
    <x v="87"/>
    <x v="41"/>
    <n v="10.5"/>
    <n v="2"/>
    <s v="Fed"/>
    <m/>
    <n v="0"/>
    <s v="0:Javier Arcos"/>
    <s v="0:J.Arcos"/>
    <s v=""/>
    <s v=""/>
    <m/>
    <s v="45794:Javier Arcos"/>
    <n v="1"/>
  </r>
  <r>
    <x v="87"/>
    <x v="11"/>
    <n v="18.2"/>
    <n v="3"/>
    <s v="Fed"/>
    <m/>
    <n v="0"/>
    <s v="0:Javier Cervera"/>
    <s v="0:Virus"/>
    <s v=""/>
    <s v=""/>
    <m/>
    <s v="45794:Javier Cervera"/>
    <n v="1"/>
  </r>
  <r>
    <x v="87"/>
    <x v="25"/>
    <n v="10.6"/>
    <n v="2"/>
    <s v="Fed"/>
    <m/>
    <n v="0"/>
    <s v="0:Javier Chiralt"/>
    <s v="0:Chiralt"/>
    <s v=""/>
    <s v=""/>
    <m/>
    <s v="45794:Javier Chiralt"/>
    <n v="1"/>
  </r>
  <r>
    <x v="87"/>
    <x v="12"/>
    <n v="20.100000000000001"/>
    <n v="4"/>
    <s v="Fed"/>
    <m/>
    <n v="0"/>
    <s v="0:Javier Gonzalez Salvador"/>
    <s v="0:Javi"/>
    <s v=""/>
    <s v=""/>
    <m/>
    <s v="45794:Javier Gonzalez Salvador"/>
    <n v="1"/>
  </r>
  <r>
    <x v="87"/>
    <x v="26"/>
    <n v="21.9"/>
    <n v="4"/>
    <s v="Fed"/>
    <m/>
    <n v="0"/>
    <s v="0:Javier Lopez Gullón"/>
    <s v="0:Cuñao"/>
    <s v=""/>
    <s v=""/>
    <m/>
    <s v="45794:Javier Lopez Gullón"/>
    <n v="1"/>
  </r>
  <r>
    <x v="87"/>
    <x v="13"/>
    <n v="21.9"/>
    <n v="4"/>
    <s v="Fed"/>
    <m/>
    <n v="0"/>
    <s v="0:Jesus Touceda"/>
    <s v="0:Jesús"/>
    <s v=""/>
    <s v=""/>
    <m/>
    <s v="45794:Jesus Touceda"/>
    <n v="1"/>
  </r>
  <r>
    <x v="87"/>
    <x v="52"/>
    <n v="20.6"/>
    <n v="4"/>
    <s v="Fed"/>
    <m/>
    <n v="0"/>
    <s v="0:Joaquín Sánchez"/>
    <s v="0:Joaco"/>
    <s v=""/>
    <s v=""/>
    <m/>
    <s v="45794:Joaquín Sánchez"/>
    <n v="1"/>
  </r>
  <r>
    <x v="87"/>
    <x v="38"/>
    <n v="18.3"/>
    <n v="3"/>
    <s v="Fed"/>
    <m/>
    <n v="0"/>
    <s v="0:Jorge Alberto Martínez Sánchez"/>
    <s v="0:Jorge"/>
    <s v=""/>
    <s v=""/>
    <m/>
    <s v="45794:Jorge Alberto Martínez Sánchez"/>
    <n v="1"/>
  </r>
  <r>
    <x v="87"/>
    <x v="45"/>
    <n v="25.7"/>
    <n v="4"/>
    <s v="Fed"/>
    <m/>
    <n v="0"/>
    <s v="0:Jose Antonio Santana"/>
    <s v="0:J Antonio"/>
    <s v=""/>
    <s v=""/>
    <m/>
    <s v="45794:Jose Antonio Santana"/>
    <n v="1"/>
  </r>
  <r>
    <x v="87"/>
    <x v="14"/>
    <n v="7.2"/>
    <n v="2"/>
    <s v="Fed"/>
    <m/>
    <n v="0"/>
    <s v="0:José Pablo Guil"/>
    <s v="0:JP"/>
    <s v=""/>
    <s v=""/>
    <m/>
    <s v="45794:José Pablo Guil"/>
    <n v="1"/>
  </r>
  <r>
    <x v="87"/>
    <x v="36"/>
    <n v="15.1"/>
    <n v="3"/>
    <s v="Fed"/>
    <m/>
    <n v="0"/>
    <s v="0:Juan Jose Aguado"/>
    <s v="0:Juancho"/>
    <s v=""/>
    <s v=""/>
    <m/>
    <s v="45794:Juan Jose Aguado"/>
    <n v="1"/>
  </r>
  <r>
    <x v="87"/>
    <x v="48"/>
    <n v="17.100000000000001"/>
    <n v="3"/>
    <s v="Fed"/>
    <m/>
    <n v="0"/>
    <s v="0:Juan Sanz"/>
    <s v="0:JuanSanz"/>
    <s v=""/>
    <s v=""/>
    <m/>
    <s v="45794:Juan Sanz"/>
    <n v="1"/>
  </r>
  <r>
    <x v="87"/>
    <x v="44"/>
    <n v="12"/>
    <n v="3"/>
    <s v="Fed"/>
    <m/>
    <n v="0"/>
    <s v="0:Luis Fernandez"/>
    <s v="0:Luis"/>
    <s v=""/>
    <s v=""/>
    <m/>
    <s v="45794:Luis Fernandez"/>
    <n v="1"/>
  </r>
  <r>
    <x v="87"/>
    <x v="21"/>
    <n v="20.100000000000001"/>
    <n v="4"/>
    <s v="Fed"/>
    <m/>
    <n v="0"/>
    <s v="0:Miche Lopez"/>
    <s v="0:Miche"/>
    <s v=""/>
    <s v=""/>
    <m/>
    <s v="45794:Miche Lopez"/>
    <n v="1"/>
  </r>
  <r>
    <x v="87"/>
    <x v="54"/>
    <n v="7.8"/>
    <n v="2"/>
    <s v="Fed"/>
    <m/>
    <n v="0"/>
    <s v="0:Miguel Angel Aguilera"/>
    <s v="0:M Angel"/>
    <s v=""/>
    <s v=""/>
    <m/>
    <s v="45794:Miguel Angel Aguilera"/>
    <n v="1"/>
  </r>
  <r>
    <x v="87"/>
    <x v="27"/>
    <n v="5.2"/>
    <n v="2"/>
    <s v="Fed"/>
    <m/>
    <n v="0"/>
    <s v="0:Nacho Casas"/>
    <s v="0:Nachete"/>
    <s v=""/>
    <s v=""/>
    <m/>
    <s v="45794:Nacho Casas"/>
    <n v="1"/>
  </r>
  <r>
    <x v="87"/>
    <x v="16"/>
    <n v="4.7"/>
    <n v="2"/>
    <s v="Fed"/>
    <m/>
    <n v="0"/>
    <s v="0:Nacho Gonzalez"/>
    <s v="0:Nacho"/>
    <s v=""/>
    <s v=""/>
    <m/>
    <s v="45794:Nacho Gonzalez"/>
    <n v="1"/>
  </r>
  <r>
    <x v="87"/>
    <x v="28"/>
    <n v="17.899999999999999"/>
    <n v="3"/>
    <s v="Fed"/>
    <m/>
    <n v="0"/>
    <s v="0:Ruslan Kochman"/>
    <s v="0:Rus"/>
    <s v=""/>
    <s v=""/>
    <m/>
    <s v="45794:Ruslan Kochman"/>
    <n v="1"/>
  </r>
  <r>
    <x v="87"/>
    <x v="32"/>
    <n v="16.399999999999999"/>
    <n v="3"/>
    <s v="Fed"/>
    <m/>
    <n v="0"/>
    <s v="0:Santi Diaz"/>
    <s v="0:Santi"/>
    <s v=""/>
    <s v=""/>
    <m/>
    <s v="45794:Santi Diaz"/>
    <n v="1"/>
  </r>
  <r>
    <x v="87"/>
    <x v="49"/>
    <n v="14.2"/>
    <n v="3"/>
    <s v="Fed"/>
    <m/>
    <n v="0"/>
    <s v="0:Thomas Dauterman"/>
    <s v="0:Tom"/>
    <s v=""/>
    <s v=""/>
    <m/>
    <s v="45794:Thomas Dauterman"/>
    <n v="1"/>
  </r>
  <r>
    <x v="88"/>
    <x v="30"/>
    <n v="0.6"/>
    <n v="1"/>
    <s v="Fed"/>
    <m/>
    <n v="0"/>
    <s v="0:Alejandro Arcos"/>
    <s v="0:Alex"/>
    <s v=""/>
    <s v=""/>
    <m/>
    <s v="45795:Alejandro Arcos"/>
    <n v="1"/>
  </r>
  <r>
    <x v="88"/>
    <x v="0"/>
    <n v="11.6"/>
    <n v="3"/>
    <s v="Fed"/>
    <m/>
    <n v="0"/>
    <s v="0:Alfonso Hidalgo"/>
    <s v="0:Alfonso"/>
    <s v=""/>
    <s v=""/>
    <m/>
    <s v="45795:Alfonso Hidalgo"/>
    <n v="1"/>
  </r>
  <r>
    <x v="88"/>
    <x v="1"/>
    <n v="6.4"/>
    <n v="2"/>
    <s v="Fed"/>
    <m/>
    <n v="0"/>
    <s v="0:Alvaro Aguirre"/>
    <s v="0:Gifu"/>
    <s v=""/>
    <s v=""/>
    <m/>
    <s v="45795:Alvaro Aguirre"/>
    <n v="1"/>
  </r>
  <r>
    <x v="88"/>
    <x v="23"/>
    <n v="7.8"/>
    <n v="2"/>
    <s v="Fed"/>
    <m/>
    <n v="0"/>
    <s v="0:Alvaro Montoya"/>
    <s v="0:Monti"/>
    <s v=""/>
    <s v=""/>
    <m/>
    <s v="45795:Alvaro Montoya"/>
    <n v="1"/>
  </r>
  <r>
    <x v="88"/>
    <x v="2"/>
    <n v="15.2"/>
    <n v="3"/>
    <s v="Fed"/>
    <m/>
    <n v="0"/>
    <s v="0:Alvaro Nieto"/>
    <s v="0:Alvaro"/>
    <s v=""/>
    <s v=""/>
    <m/>
    <s v="45795:Alvaro Nieto"/>
    <n v="1"/>
  </r>
  <r>
    <x v="88"/>
    <x v="3"/>
    <n v="8"/>
    <n v="2"/>
    <s v="Fed"/>
    <m/>
    <n v="0"/>
    <s v="0:Angel Hernandez"/>
    <s v="0:Angel"/>
    <s v=""/>
    <s v=""/>
    <m/>
    <s v="45795:Angel Hernandez"/>
    <n v="1"/>
  </r>
  <r>
    <x v="88"/>
    <x v="47"/>
    <n v="6.1"/>
    <n v="2"/>
    <s v="Fed"/>
    <m/>
    <n v="0"/>
    <s v="0:Angel Santana"/>
    <s v="0:A.Santana"/>
    <s v=""/>
    <s v=""/>
    <m/>
    <s v="45795:Angel Santana"/>
    <n v="1"/>
  </r>
  <r>
    <x v="88"/>
    <x v="31"/>
    <n v="18.899999999999999"/>
    <n v="4"/>
    <s v="Fed"/>
    <m/>
    <n v="0"/>
    <s v="0:Antonio Carmona"/>
    <s v="0:Antonio"/>
    <s v=""/>
    <s v=""/>
    <m/>
    <s v="45795:Antonio Carmona"/>
    <n v="1"/>
  </r>
  <r>
    <x v="88"/>
    <x v="34"/>
    <n v="1.6"/>
    <n v="1"/>
    <s v="Fed"/>
    <m/>
    <n v="0"/>
    <s v="0:Carlos Maestro"/>
    <s v="0:Carlitos"/>
    <s v=""/>
    <s v=""/>
    <m/>
    <s v="45795:Carlos Maestro"/>
    <n v="1"/>
  </r>
  <r>
    <x v="88"/>
    <x v="4"/>
    <n v="14.2"/>
    <n v="3"/>
    <s v="Fed"/>
    <m/>
    <n v="0"/>
    <s v="0:David Sequera"/>
    <s v="0:David"/>
    <s v=""/>
    <s v=""/>
    <m/>
    <s v="45795:David Sequera"/>
    <n v="1"/>
  </r>
  <r>
    <x v="88"/>
    <x v="39"/>
    <n v="8.4"/>
    <n v="2"/>
    <s v="Fed"/>
    <m/>
    <n v="0"/>
    <s v="0:Eduardo Buendía"/>
    <s v="0:Eduardo"/>
    <s v=""/>
    <s v=""/>
    <m/>
    <s v="45795:Eduardo Buendía"/>
    <n v="1"/>
  </r>
  <r>
    <x v="88"/>
    <x v="29"/>
    <n v="13.4"/>
    <n v="3"/>
    <s v="Fed"/>
    <m/>
    <n v="0"/>
    <s v="0:Enrique Gonzalez R"/>
    <s v="0:Enrique"/>
    <s v=""/>
    <s v=""/>
    <m/>
    <s v="45795:Enrique Gonzalez R"/>
    <n v="1"/>
  </r>
  <r>
    <x v="88"/>
    <x v="5"/>
    <n v="15.9"/>
    <n v="3"/>
    <s v="Fed"/>
    <m/>
    <n v="0"/>
    <s v="0:Francisco Alvarez"/>
    <s v="0:Paco"/>
    <s v=""/>
    <s v=""/>
    <m/>
    <s v="45795:Francisco Alvarez"/>
    <n v="1"/>
  </r>
  <r>
    <x v="88"/>
    <x v="6"/>
    <n v="14.4"/>
    <n v="3"/>
    <s v="Fed"/>
    <m/>
    <n v="0"/>
    <s v="0:Francisco Hidalgo"/>
    <s v="0:Fran"/>
    <s v=""/>
    <s v=""/>
    <m/>
    <s v="45795:Francisco Hidalgo"/>
    <n v="1"/>
  </r>
  <r>
    <x v="88"/>
    <x v="24"/>
    <n v="15"/>
    <n v="3"/>
    <s v="Fed"/>
    <m/>
    <n v="0"/>
    <s v="0:Franck Benouniche"/>
    <s v="0:Franck"/>
    <s v=""/>
    <s v=""/>
    <m/>
    <s v="45795:Franck Benouniche"/>
    <n v="1"/>
  </r>
  <r>
    <x v="88"/>
    <x v="7"/>
    <n v="20.6"/>
    <n v="4"/>
    <s v="Fed"/>
    <m/>
    <n v="0"/>
    <s v="0:GLEZ JUAN JOSÉ"/>
    <s v="0:Juanjo"/>
    <s v=""/>
    <s v=""/>
    <m/>
    <s v="45795:GLEZ JUAN JOSÉ"/>
    <n v="1"/>
  </r>
  <r>
    <x v="88"/>
    <x v="8"/>
    <n v="7"/>
    <n v="2"/>
    <s v="Fed"/>
    <m/>
    <n v="0"/>
    <s v="0:Ignacio Cadarso"/>
    <s v="0:Ignacio"/>
    <s v=""/>
    <s v=""/>
    <m/>
    <s v="45795:Ignacio Cadarso"/>
    <n v="1"/>
  </r>
  <r>
    <x v="88"/>
    <x v="10"/>
    <n v="19.7"/>
    <n v="4"/>
    <s v="Fed"/>
    <m/>
    <n v="0"/>
    <s v="0:J. Enrique Gonzalez"/>
    <s v="0:Kike"/>
    <s v=""/>
    <s v=""/>
    <m/>
    <s v="45795:J. Enrique Gonzalez"/>
    <n v="1"/>
  </r>
  <r>
    <x v="88"/>
    <x v="53"/>
    <n v="10.8"/>
    <n v="2"/>
    <s v="Fed"/>
    <m/>
    <n v="0"/>
    <s v="0:Jaime de la Cal"/>
    <s v="0:Jaime"/>
    <s v=""/>
    <s v=""/>
    <m/>
    <s v="45795:Jaime de la Cal"/>
    <n v="1"/>
  </r>
  <r>
    <x v="88"/>
    <x v="41"/>
    <n v="10.5"/>
    <n v="2"/>
    <s v="Fed"/>
    <m/>
    <n v="0"/>
    <s v="0:Javier Arcos"/>
    <s v="0:J.Arcos"/>
    <s v=""/>
    <s v=""/>
    <m/>
    <s v="45795:Javier Arcos"/>
    <n v="1"/>
  </r>
  <r>
    <x v="88"/>
    <x v="11"/>
    <n v="18.8"/>
    <n v="4"/>
    <s v="Fed"/>
    <m/>
    <n v="0"/>
    <s v="0:Javier Cervera"/>
    <s v="0:Virus"/>
    <s v=""/>
    <s v=""/>
    <m/>
    <s v="45795:Javier Cervera"/>
    <n v="1"/>
  </r>
  <r>
    <x v="88"/>
    <x v="25"/>
    <n v="10.5"/>
    <n v="2"/>
    <s v="Fed"/>
    <m/>
    <n v="0"/>
    <s v="0:Javier Chiralt"/>
    <s v="0:Chiralt"/>
    <s v=""/>
    <s v=""/>
    <m/>
    <s v="45795:Javier Chiralt"/>
    <n v="1"/>
  </r>
  <r>
    <x v="88"/>
    <x v="12"/>
    <n v="20.100000000000001"/>
    <n v="4"/>
    <s v="Fed"/>
    <m/>
    <n v="0"/>
    <s v="0:Javier Gonzalez Salvador"/>
    <s v="0:Javi"/>
    <s v=""/>
    <s v=""/>
    <m/>
    <s v="45795:Javier Gonzalez Salvador"/>
    <n v="1"/>
  </r>
  <r>
    <x v="88"/>
    <x v="26"/>
    <n v="22.2"/>
    <n v="4"/>
    <s v="Fed"/>
    <m/>
    <n v="0"/>
    <s v="0:Javier Lopez Gullón"/>
    <s v="0:Cuñao"/>
    <s v=""/>
    <s v=""/>
    <m/>
    <s v="45795:Javier Lopez Gullón"/>
    <n v="1"/>
  </r>
  <r>
    <x v="88"/>
    <x v="13"/>
    <n v="22.1"/>
    <n v="4"/>
    <s v="Fed"/>
    <m/>
    <n v="0"/>
    <s v="0:Jesus Touceda"/>
    <s v="0:Jesús"/>
    <s v=""/>
    <s v=""/>
    <m/>
    <s v="45795:Jesus Touceda"/>
    <n v="1"/>
  </r>
  <r>
    <x v="88"/>
    <x v="52"/>
    <n v="20.6"/>
    <n v="4"/>
    <s v="Fed"/>
    <m/>
    <n v="0"/>
    <s v="0:Joaquín Sánchez"/>
    <s v="0:Joaco"/>
    <s v=""/>
    <s v=""/>
    <m/>
    <s v="45795:Joaquín Sánchez"/>
    <n v="1"/>
  </r>
  <r>
    <x v="88"/>
    <x v="38"/>
    <n v="18.3"/>
    <n v="3"/>
    <s v="Fed"/>
    <m/>
    <n v="0"/>
    <s v="0:Jorge Alberto Martínez Sánchez"/>
    <s v="0:Jorge"/>
    <s v=""/>
    <s v=""/>
    <m/>
    <s v="45795:Jorge Alberto Martínez Sánchez"/>
    <n v="1"/>
  </r>
  <r>
    <x v="88"/>
    <x v="45"/>
    <n v="25.7"/>
    <n v="4"/>
    <s v="Fed"/>
    <m/>
    <n v="0"/>
    <s v="0:Jose Antonio Santana"/>
    <s v="0:J Antonio"/>
    <s v=""/>
    <s v=""/>
    <m/>
    <s v="45795:Jose Antonio Santana"/>
    <n v="1"/>
  </r>
  <r>
    <x v="88"/>
    <x v="14"/>
    <n v="7.2"/>
    <n v="2"/>
    <s v="Fed"/>
    <m/>
    <n v="0"/>
    <s v="0:José Pablo Guil"/>
    <s v="0:JP"/>
    <s v=""/>
    <s v=""/>
    <m/>
    <s v="45795:José Pablo Guil"/>
    <n v="1"/>
  </r>
  <r>
    <x v="88"/>
    <x v="36"/>
    <n v="15.1"/>
    <n v="3"/>
    <s v="Fed"/>
    <m/>
    <n v="0"/>
    <s v="0:Juan Jose Aguado"/>
    <s v="0:Juancho"/>
    <s v=""/>
    <s v=""/>
    <m/>
    <s v="45795:Juan Jose Aguado"/>
    <n v="1"/>
  </r>
  <r>
    <x v="88"/>
    <x v="48"/>
    <n v="17.100000000000001"/>
    <n v="3"/>
    <s v="Fed"/>
    <m/>
    <n v="0"/>
    <s v="0:Juan Sanz"/>
    <s v="0:JuanSanz"/>
    <s v=""/>
    <s v=""/>
    <m/>
    <s v="45795:Juan Sanz"/>
    <n v="1"/>
  </r>
  <r>
    <x v="88"/>
    <x v="44"/>
    <n v="12.2"/>
    <n v="3"/>
    <s v="Fed"/>
    <m/>
    <n v="0"/>
    <s v="0:Luis Fernandez"/>
    <s v="0:Luis"/>
    <s v=""/>
    <s v=""/>
    <m/>
    <s v="45795:Luis Fernandez"/>
    <n v="1"/>
  </r>
  <r>
    <x v="88"/>
    <x v="21"/>
    <n v="20.100000000000001"/>
    <n v="4"/>
    <s v="Fed"/>
    <m/>
    <n v="0"/>
    <s v="0:Miche Lopez"/>
    <s v="0:Miche"/>
    <s v=""/>
    <s v=""/>
    <m/>
    <s v="45795:Miche Lopez"/>
    <n v="1"/>
  </r>
  <r>
    <x v="88"/>
    <x v="54"/>
    <n v="7.8"/>
    <n v="2"/>
    <s v="Fed"/>
    <m/>
    <n v="0"/>
    <s v="0:Miguel Angel Aguilera"/>
    <s v="0:M Angel"/>
    <s v=""/>
    <s v=""/>
    <m/>
    <s v="45795:Miguel Angel Aguilera"/>
    <n v="1"/>
  </r>
  <r>
    <x v="88"/>
    <x v="27"/>
    <n v="5.2"/>
    <n v="2"/>
    <s v="Fed"/>
    <m/>
    <n v="0"/>
    <s v="0:Nacho Casas"/>
    <s v="0:Nachete"/>
    <s v=""/>
    <s v=""/>
    <m/>
    <s v="45795:Nacho Casas"/>
    <n v="1"/>
  </r>
  <r>
    <x v="88"/>
    <x v="16"/>
    <n v="4.7"/>
    <n v="2"/>
    <s v="Fed"/>
    <m/>
    <n v="0"/>
    <s v="0:Nacho Gonzalez"/>
    <s v="0:Nacho"/>
    <s v=""/>
    <s v=""/>
    <m/>
    <s v="45795:Nacho Gonzalez"/>
    <n v="1"/>
  </r>
  <r>
    <x v="88"/>
    <x v="28"/>
    <n v="17.899999999999999"/>
    <n v="3"/>
    <s v="Fed"/>
    <m/>
    <n v="0"/>
    <s v="0:Ruslan Kochman"/>
    <s v="0:Rus"/>
    <s v=""/>
    <s v=""/>
    <m/>
    <s v="45795:Ruslan Kochman"/>
    <n v="1"/>
  </r>
  <r>
    <x v="88"/>
    <x v="32"/>
    <n v="16.399999999999999"/>
    <n v="3"/>
    <s v="Fed"/>
    <m/>
    <n v="0"/>
    <s v="0:Santi Diaz"/>
    <s v="0:Santi"/>
    <s v=""/>
    <s v=""/>
    <m/>
    <s v="45795:Santi Diaz"/>
    <n v="1"/>
  </r>
  <r>
    <x v="88"/>
    <x v="49"/>
    <n v="14.2"/>
    <n v="3"/>
    <s v="Fed"/>
    <m/>
    <n v="0"/>
    <s v="0:Thomas Dauterman"/>
    <s v="0:Tom"/>
    <s v=""/>
    <s v=""/>
    <m/>
    <s v="45795:Thomas Dauterman"/>
    <n v="1"/>
  </r>
  <r>
    <x v="89"/>
    <x v="16"/>
    <n v="5"/>
    <n v="2"/>
    <s v="Fed"/>
    <m/>
    <n v="0"/>
    <s v="0:Nacho Gonzalez"/>
    <s v="0:Nacho"/>
    <s v=""/>
    <s v=""/>
    <m/>
    <s v="45829:Nacho Gonzalez"/>
    <n v="1"/>
  </r>
  <r>
    <x v="89"/>
    <x v="8"/>
    <n v="6.9"/>
    <n v="2"/>
    <s v="Fed"/>
    <m/>
    <n v="0"/>
    <s v="0:Ignacio Cadarso"/>
    <s v="0:Ignacio"/>
    <s v=""/>
    <s v=""/>
    <m/>
    <s v="45829:Ignacio Cadarso"/>
    <n v="1"/>
  </r>
  <r>
    <x v="89"/>
    <x v="0"/>
    <n v="11.5"/>
    <n v="3"/>
    <s v="Fed"/>
    <m/>
    <n v="0"/>
    <s v="0:Alfonso Hidalgo"/>
    <s v="0:Alfonso"/>
    <s v=""/>
    <s v=""/>
    <m/>
    <s v="45829:Alfonso Hidalgo"/>
    <n v="1"/>
  </r>
  <r>
    <x v="89"/>
    <x v="5"/>
    <n v="15.2"/>
    <n v="3"/>
    <s v="Fed"/>
    <m/>
    <n v="0"/>
    <s v="0:Francisco Alvarez"/>
    <s v="0:Paco"/>
    <s v=""/>
    <s v=""/>
    <m/>
    <s v="45829:Francisco Alvarez"/>
    <n v="1"/>
  </r>
  <r>
    <x v="89"/>
    <x v="1"/>
    <n v="6.7"/>
    <n v="2"/>
    <s v="Fed"/>
    <m/>
    <n v="0"/>
    <s v="0:Alvaro Aguirre"/>
    <s v="0:Gifu"/>
    <s v=""/>
    <s v=""/>
    <m/>
    <s v="45829:Alvaro Aguirre"/>
    <n v="1"/>
  </r>
  <r>
    <x v="89"/>
    <x v="14"/>
    <n v="7"/>
    <n v="2"/>
    <s v="Fed"/>
    <m/>
    <n v="0"/>
    <s v="0:José Pablo Guil"/>
    <s v="0:JP"/>
    <s v=""/>
    <s v=""/>
    <m/>
    <s v="45829:José Pablo Guil"/>
    <n v="1"/>
  </r>
  <r>
    <x v="89"/>
    <x v="12"/>
    <n v="20.2"/>
    <n v="4"/>
    <s v="Fed"/>
    <m/>
    <n v="0"/>
    <s v="0:Javier Gonzalez Salvador"/>
    <s v="0:Javi"/>
    <s v=""/>
    <s v=""/>
    <m/>
    <s v="45829:Javier Gonzalez Salvador"/>
    <n v="1"/>
  </r>
  <r>
    <x v="89"/>
    <x v="10"/>
    <n v="19.7"/>
    <n v="4"/>
    <s v="Fed"/>
    <m/>
    <n v="0"/>
    <s v="0:J. Enrique Gonzalez"/>
    <s v="0:Kike"/>
    <s v=""/>
    <s v=""/>
    <m/>
    <s v="45829:J. Enrique Gonzalez"/>
    <n v="1"/>
  </r>
  <r>
    <x v="89"/>
    <x v="2"/>
    <n v="15.1"/>
    <n v="3"/>
    <s v="Fed"/>
    <m/>
    <n v="0"/>
    <s v="0:Alvaro Nieto"/>
    <s v="0:Alvaro"/>
    <s v=""/>
    <s v=""/>
    <m/>
    <s v="45829:Alvaro Nieto"/>
    <n v="1"/>
  </r>
  <r>
    <x v="89"/>
    <x v="4"/>
    <n v="14.2"/>
    <n v="3"/>
    <s v="Fed"/>
    <m/>
    <n v="0"/>
    <s v="0:David Sequera"/>
    <s v="0:David"/>
    <s v=""/>
    <s v=""/>
    <m/>
    <s v="45829:David Sequera"/>
    <n v="1"/>
  </r>
  <r>
    <x v="89"/>
    <x v="3"/>
    <n v="7"/>
    <n v="2"/>
    <s v="Fed"/>
    <m/>
    <n v="0"/>
    <s v="0:Angel Hernandez"/>
    <s v="0:Angel"/>
    <s v=""/>
    <s v=""/>
    <m/>
    <s v="45829:Angel Hernandez"/>
    <n v="1"/>
  </r>
  <r>
    <x v="89"/>
    <x v="7"/>
    <n v="20.9"/>
    <n v="4"/>
    <s v="Fed"/>
    <m/>
    <n v="0"/>
    <s v="0:GLEZ JUAN JOSÉ"/>
    <s v="0:Juanjo"/>
    <s v=""/>
    <s v=""/>
    <m/>
    <s v="45829:GLEZ JUAN JOSÉ"/>
    <n v="1"/>
  </r>
  <r>
    <x v="89"/>
    <x v="13"/>
    <n v="22.6"/>
    <n v="4"/>
    <s v="Fed"/>
    <m/>
    <n v="0"/>
    <s v="0:Jesus Touceda"/>
    <s v="0:Jesús"/>
    <s v=""/>
    <s v=""/>
    <m/>
    <s v="45829:Jesus Touceda"/>
    <n v="1"/>
  </r>
  <r>
    <x v="89"/>
    <x v="11"/>
    <n v="18.8"/>
    <n v="4"/>
    <s v="Fed"/>
    <m/>
    <n v="0"/>
    <s v="0:Javier Cervera"/>
    <s v="0:Virus"/>
    <s v=""/>
    <s v=""/>
    <m/>
    <s v="45829:Javier Cervera"/>
    <n v="1"/>
  </r>
  <r>
    <x v="89"/>
    <x v="6"/>
    <n v="14.6"/>
    <n v="3"/>
    <s v="Fed"/>
    <m/>
    <n v="0"/>
    <s v="0:Francisco Hidalgo"/>
    <s v="0:Fran"/>
    <s v=""/>
    <s v=""/>
    <m/>
    <s v="45829:Francisco Hidalgo"/>
    <n v="1"/>
  </r>
  <r>
    <x v="89"/>
    <x v="21"/>
    <n v="19.5"/>
    <n v="4"/>
    <s v="Fed"/>
    <m/>
    <n v="0"/>
    <s v="0:Miche Lopez"/>
    <s v="0:Miche"/>
    <s v=""/>
    <s v=""/>
    <m/>
    <s v="45829:Miche Lopez"/>
    <n v="1"/>
  </r>
  <r>
    <x v="89"/>
    <x v="23"/>
    <n v="7.5"/>
    <n v="2"/>
    <s v="Fed"/>
    <m/>
    <n v="0"/>
    <s v="0:Alvaro Montoya"/>
    <s v="0:Monti"/>
    <s v=""/>
    <s v=""/>
    <m/>
    <s v="45829:Alvaro Montoya"/>
    <n v="1"/>
  </r>
  <r>
    <x v="89"/>
    <x v="28"/>
    <n v="17.2"/>
    <n v="3"/>
    <s v="Fed"/>
    <m/>
    <n v="0"/>
    <s v="0:Ruslan Kochman"/>
    <s v="0:Rus"/>
    <s v=""/>
    <s v=""/>
    <m/>
    <s v="45829:Ruslan Kochman"/>
    <n v="1"/>
  </r>
  <r>
    <x v="89"/>
    <x v="27"/>
    <n v="5.2"/>
    <n v="2"/>
    <s v="Fed"/>
    <m/>
    <n v="0"/>
    <s v="0:Nacho Casas"/>
    <s v="0:Nachete"/>
    <s v=""/>
    <s v=""/>
    <m/>
    <s v="45829:Nacho Casas"/>
    <n v="1"/>
  </r>
  <r>
    <x v="89"/>
    <x v="24"/>
    <n v="15"/>
    <n v="3"/>
    <s v="Fed"/>
    <m/>
    <n v="0"/>
    <s v="0:Franck Benouniche"/>
    <s v="0:Franck"/>
    <s v=""/>
    <s v=""/>
    <m/>
    <s v="45829:Franck Benouniche"/>
    <n v="1"/>
  </r>
  <r>
    <x v="89"/>
    <x v="26"/>
    <n v="22.2"/>
    <n v="4"/>
    <s v="Fed"/>
    <m/>
    <n v="0"/>
    <s v="0:Javier Lopez Gullón"/>
    <s v="0:Cuñao"/>
    <s v=""/>
    <s v=""/>
    <m/>
    <s v="45829:Javier Lopez Gullón"/>
    <n v="1"/>
  </r>
  <r>
    <x v="89"/>
    <x v="25"/>
    <n v="10.5"/>
    <n v="2"/>
    <s v="Fed"/>
    <m/>
    <n v="0"/>
    <s v="0:Javier Chiralt"/>
    <s v="0:Chiralt"/>
    <s v=""/>
    <s v=""/>
    <m/>
    <s v="45829:Javier Chiralt"/>
    <n v="1"/>
  </r>
  <r>
    <x v="89"/>
    <x v="29"/>
    <n v="12.7"/>
    <n v="3"/>
    <s v="Fed"/>
    <m/>
    <n v="0"/>
    <s v="0:Enrique Gonzalez R"/>
    <s v="0:Enrique"/>
    <s v=""/>
    <s v=""/>
    <m/>
    <s v="45829:Enrique Gonzalez R"/>
    <n v="1"/>
  </r>
  <r>
    <x v="89"/>
    <x v="30"/>
    <n v="1"/>
    <n v="1"/>
    <s v="Fed"/>
    <m/>
    <n v="0"/>
    <s v="0:Alejandro Arcos"/>
    <s v="0:Alex"/>
    <s v=""/>
    <s v=""/>
    <m/>
    <s v="45829:Alejandro Arcos"/>
    <n v="1"/>
  </r>
  <r>
    <x v="89"/>
    <x v="31"/>
    <n v="19.600000000000001"/>
    <n v="4"/>
    <s v="Fed"/>
    <m/>
    <n v="0"/>
    <s v="0:Antonio Carmona"/>
    <s v="0:Antonio"/>
    <s v=""/>
    <s v=""/>
    <m/>
    <s v="45829:Antonio Carmona"/>
    <n v="1"/>
  </r>
  <r>
    <x v="89"/>
    <x v="32"/>
    <n v="16.399999999999999"/>
    <n v="3"/>
    <s v="Fed"/>
    <m/>
    <n v="0"/>
    <s v="0:Santi Diaz"/>
    <s v="0:Santi"/>
    <s v=""/>
    <s v=""/>
    <m/>
    <s v="45829:Santi Diaz"/>
    <n v="1"/>
  </r>
  <r>
    <x v="89"/>
    <x v="36"/>
    <n v="15.1"/>
    <n v="3"/>
    <s v="Fed"/>
    <m/>
    <n v="0"/>
    <s v="0:Juan Jose Aguado"/>
    <s v="0:Juancho"/>
    <s v=""/>
    <s v=""/>
    <m/>
    <s v="45829:Juan Jose Aguado"/>
    <n v="1"/>
  </r>
  <r>
    <x v="89"/>
    <x v="34"/>
    <n v="2.2000000000000002"/>
    <n v="1"/>
    <s v="Fed"/>
    <m/>
    <n v="0"/>
    <s v="0:Carlos Maestro"/>
    <s v="0:Carlitos"/>
    <s v=""/>
    <s v=""/>
    <m/>
    <s v="45829:Carlos Maestro"/>
    <n v="1"/>
  </r>
  <r>
    <x v="89"/>
    <x v="38"/>
    <n v="18.3"/>
    <n v="3"/>
    <s v="Fed"/>
    <m/>
    <n v="0"/>
    <s v="0:Jorge Alberto Martínez Sánchez"/>
    <s v="0:Jorge"/>
    <s v=""/>
    <s v=""/>
    <m/>
    <s v="45829:Jorge Alberto Martínez Sánchez"/>
    <n v="1"/>
  </r>
  <r>
    <x v="89"/>
    <x v="39"/>
    <n v="7.9"/>
    <n v="2"/>
    <s v="Fed"/>
    <m/>
    <n v="0"/>
    <s v="0:Eduardo Buendía"/>
    <s v="0:Eduardo"/>
    <s v=""/>
    <s v=""/>
    <m/>
    <s v="45829:Eduardo Buendía"/>
    <n v="1"/>
  </r>
  <r>
    <x v="89"/>
    <x v="41"/>
    <n v="11.1"/>
    <n v="2"/>
    <s v="Fed"/>
    <m/>
    <n v="0"/>
    <s v="0:Javier Arcos"/>
    <s v="0:J.Arcos"/>
    <s v=""/>
    <s v=""/>
    <m/>
    <s v="45829:Javier Arcos"/>
    <n v="1"/>
  </r>
  <r>
    <x v="89"/>
    <x v="44"/>
    <n v="11.8"/>
    <n v="3"/>
    <s v="Fed"/>
    <m/>
    <n v="0"/>
    <s v="0:Luis Fernandez"/>
    <s v="0:Luis"/>
    <s v=""/>
    <s v=""/>
    <m/>
    <s v="45829:Luis Fernandez"/>
    <n v="1"/>
  </r>
  <r>
    <x v="89"/>
    <x v="45"/>
    <n v="25.9"/>
    <n v="4"/>
    <s v="Fed"/>
    <m/>
    <n v="0"/>
    <s v="0:Jose Antonio Santana"/>
    <s v="0:J Antonio"/>
    <s v=""/>
    <s v=""/>
    <m/>
    <s v="45829:Jose Antonio Santana"/>
    <n v="1"/>
  </r>
  <r>
    <x v="89"/>
    <x v="47"/>
    <n v="5.8"/>
    <n v="2"/>
    <s v="Fed"/>
    <m/>
    <n v="0"/>
    <s v="0:Angel Santana"/>
    <s v="0:A.Santana"/>
    <s v=""/>
    <s v=""/>
    <m/>
    <s v="45829:Angel Santana"/>
    <n v="1"/>
  </r>
  <r>
    <x v="89"/>
    <x v="49"/>
    <n v="16.100000000000001"/>
    <n v="3"/>
    <s v="Fed"/>
    <m/>
    <n v="0"/>
    <s v="0:Thomas Dauterman"/>
    <s v="0:Tom"/>
    <s v=""/>
    <s v=""/>
    <m/>
    <s v="45829:Thomas Dauterman"/>
    <n v="1"/>
  </r>
  <r>
    <x v="89"/>
    <x v="48"/>
    <n v="17.8"/>
    <n v="3"/>
    <s v="Fed"/>
    <m/>
    <n v="0"/>
    <s v="0:Juan Sanz"/>
    <s v="0:JuanSanz"/>
    <s v=""/>
    <s v=""/>
    <m/>
    <s v="45829:Juan Sanz"/>
    <n v="1"/>
  </r>
  <r>
    <x v="89"/>
    <x v="52"/>
    <n v="20.7"/>
    <n v="4"/>
    <s v="Fed"/>
    <m/>
    <n v="0"/>
    <s v="0:Joaquín Sánchez"/>
    <s v="0:Joaco"/>
    <s v=""/>
    <s v=""/>
    <m/>
    <s v="45829:Joaquín Sánchez"/>
    <n v="1"/>
  </r>
  <r>
    <x v="89"/>
    <x v="54"/>
    <n v="7.8"/>
    <n v="2"/>
    <s v="Fed"/>
    <m/>
    <n v="0"/>
    <s v="0:Miguel Angel Aguilera"/>
    <s v="0:M Angel"/>
    <s v=""/>
    <s v=""/>
    <m/>
    <s v="45829:Miguel Angel Aguilera"/>
    <n v="1"/>
  </r>
  <r>
    <x v="89"/>
    <x v="53"/>
    <n v="9.8000000000000007"/>
    <n v="2"/>
    <s v="Fed"/>
    <m/>
    <n v="0"/>
    <s v="0:Jaime de la Cal"/>
    <s v="0:Jaime"/>
    <s v=""/>
    <s v=""/>
    <m/>
    <s v="45829:Jaime de la Cal"/>
    <n v="1"/>
  </r>
  <r>
    <x v="90"/>
    <x v="16"/>
    <n v="5"/>
    <n v="2"/>
    <s v="Fed"/>
    <m/>
    <n v="0"/>
    <s v="0:Nacho Gonzalez"/>
    <s v="0:Nacho"/>
    <s v=""/>
    <s v=""/>
    <m/>
    <s v="45851:Nacho Gonzalez"/>
    <n v="1"/>
  </r>
  <r>
    <x v="90"/>
    <x v="8"/>
    <n v="6.9"/>
    <n v="2"/>
    <s v="Fed"/>
    <m/>
    <n v="0"/>
    <s v="0:Ignacio Cadarso"/>
    <s v="0:Ignacio"/>
    <s v=""/>
    <s v=""/>
    <m/>
    <s v="45851:Ignacio Cadarso"/>
    <n v="1"/>
  </r>
  <r>
    <x v="90"/>
    <x v="0"/>
    <n v="11.5"/>
    <n v="3"/>
    <s v="Fed"/>
    <m/>
    <n v="0"/>
    <s v="0:Alfonso Hidalgo"/>
    <s v="0:Alfonso"/>
    <s v=""/>
    <s v=""/>
    <m/>
    <s v="45851:Alfonso Hidalgo"/>
    <n v="1"/>
  </r>
  <r>
    <x v="90"/>
    <x v="5"/>
    <n v="14.7"/>
    <n v="3"/>
    <s v="Fed"/>
    <m/>
    <n v="0"/>
    <s v="0:Francisco Alvarez"/>
    <s v="0:Paco"/>
    <s v=""/>
    <s v=""/>
    <m/>
    <s v="45851:Francisco Alvarez"/>
    <n v="1"/>
  </r>
  <r>
    <x v="90"/>
    <x v="1"/>
    <n v="6.1"/>
    <n v="2"/>
    <s v="Fed"/>
    <m/>
    <n v="0"/>
    <s v="0:Alvaro Aguirre"/>
    <s v="0:Gifu"/>
    <s v=""/>
    <s v=""/>
    <m/>
    <s v="45851:Alvaro Aguirre"/>
    <n v="1"/>
  </r>
  <r>
    <x v="90"/>
    <x v="14"/>
    <n v="7"/>
    <n v="2"/>
    <s v="Fed"/>
    <m/>
    <n v="0"/>
    <s v="0:José Pablo Guil"/>
    <s v="0:JP"/>
    <s v=""/>
    <s v=""/>
    <m/>
    <s v="45851:José Pablo Guil"/>
    <n v="1"/>
  </r>
  <r>
    <x v="90"/>
    <x v="12"/>
    <n v="19.600000000000001"/>
    <n v="4"/>
    <s v="Fed"/>
    <m/>
    <n v="0"/>
    <s v="0:Javier Gonzalez Salvador"/>
    <s v="0:Javi"/>
    <s v=""/>
    <s v=""/>
    <m/>
    <s v="45851:Javier Gonzalez Salvador"/>
    <n v="1"/>
  </r>
  <r>
    <x v="90"/>
    <x v="10"/>
    <n v="19.399999999999999"/>
    <n v="4"/>
    <s v="Fed"/>
    <m/>
    <n v="0"/>
    <s v="0:J. Enrique Gonzalez"/>
    <s v="0:Kike"/>
    <s v=""/>
    <s v=""/>
    <m/>
    <s v="45851:J. Enrique Gonzalez"/>
    <n v="1"/>
  </r>
  <r>
    <x v="90"/>
    <x v="2"/>
    <n v="15.1"/>
    <n v="3"/>
    <s v="Fed"/>
    <m/>
    <n v="0"/>
    <s v="0:Alvaro Nieto"/>
    <s v="0:Alvaro"/>
    <s v=""/>
    <s v=""/>
    <m/>
    <s v="45851:Alvaro Nieto"/>
    <n v="1"/>
  </r>
  <r>
    <x v="90"/>
    <x v="4"/>
    <n v="14.2"/>
    <n v="3"/>
    <s v="Fed"/>
    <m/>
    <n v="0"/>
    <s v="0:David Sequera"/>
    <s v="0:David"/>
    <s v=""/>
    <s v=""/>
    <m/>
    <s v="45851:David Sequera"/>
    <n v="1"/>
  </r>
  <r>
    <x v="90"/>
    <x v="3"/>
    <n v="7"/>
    <n v="2"/>
    <s v="Fed"/>
    <m/>
    <n v="0"/>
    <s v="0:Angel Hernandez"/>
    <s v="0:Angel"/>
    <s v=""/>
    <s v=""/>
    <m/>
    <s v="45851:Angel Hernandez"/>
    <n v="1"/>
  </r>
  <r>
    <x v="90"/>
    <x v="7"/>
    <n v="20.9"/>
    <n v="4"/>
    <s v="Fed"/>
    <m/>
    <n v="0"/>
    <s v="0:GLEZ JUAN JOSÉ"/>
    <s v="0:Juanjo"/>
    <s v=""/>
    <s v=""/>
    <m/>
    <s v="45851:GLEZ JUAN JOSÉ"/>
    <n v="1"/>
  </r>
  <r>
    <x v="90"/>
    <x v="13"/>
    <n v="22.6"/>
    <n v="4"/>
    <s v="Fed"/>
    <m/>
    <n v="0"/>
    <s v="0:Jesus Touceda"/>
    <s v="0:Jesús"/>
    <s v=""/>
    <s v=""/>
    <m/>
    <s v="45851:Jesus Touceda"/>
    <n v="1"/>
  </r>
  <r>
    <x v="90"/>
    <x v="11"/>
    <n v="18.8"/>
    <n v="4"/>
    <s v="Fed"/>
    <m/>
    <n v="0"/>
    <s v="0:Javier Cervera"/>
    <s v="0:Virus"/>
    <s v=""/>
    <s v=""/>
    <m/>
    <s v="45851:Javier Cervera"/>
    <n v="1"/>
  </r>
  <r>
    <x v="90"/>
    <x v="6"/>
    <n v="14.6"/>
    <n v="3"/>
    <s v="Fed"/>
    <m/>
    <n v="0"/>
    <s v="0:Francisco Hidalgo"/>
    <s v="0:Fran"/>
    <s v=""/>
    <s v=""/>
    <m/>
    <s v="45851:Francisco Hidalgo"/>
    <n v="1"/>
  </r>
  <r>
    <x v="90"/>
    <x v="21"/>
    <n v="19.5"/>
    <n v="4"/>
    <s v="Fed"/>
    <m/>
    <n v="0"/>
    <s v="0:Miche Lopez"/>
    <s v="0:Miche"/>
    <s v=""/>
    <s v=""/>
    <m/>
    <s v="45851:Miche Lopez"/>
    <n v="1"/>
  </r>
  <r>
    <x v="90"/>
    <x v="23"/>
    <n v="7.5"/>
    <n v="2"/>
    <s v="Fed"/>
    <m/>
    <n v="0"/>
    <s v="0:Alvaro Montoya"/>
    <s v="0:Monti"/>
    <s v=""/>
    <s v=""/>
    <m/>
    <s v="45851:Alvaro Montoya"/>
    <n v="1"/>
  </r>
  <r>
    <x v="90"/>
    <x v="28"/>
    <n v="17.2"/>
    <n v="3"/>
    <s v="Fed"/>
    <m/>
    <n v="0"/>
    <s v="0:Ruslan Kochman"/>
    <s v="0:Rus"/>
    <s v=""/>
    <s v=""/>
    <m/>
    <s v="45851:Ruslan Kochman"/>
    <n v="1"/>
  </r>
  <r>
    <x v="90"/>
    <x v="27"/>
    <n v="5.2"/>
    <n v="2"/>
    <s v="Fed"/>
    <m/>
    <n v="0"/>
    <s v="0:Nacho Casas"/>
    <s v="0:Nachete"/>
    <s v=""/>
    <s v=""/>
    <m/>
    <s v="45851:Nacho Casas"/>
    <n v="1"/>
  </r>
  <r>
    <x v="90"/>
    <x v="24"/>
    <n v="15"/>
    <n v="3"/>
    <s v="Fed"/>
    <m/>
    <n v="0"/>
    <s v="0:Franck Benouniche"/>
    <s v="0:Franck"/>
    <s v=""/>
    <s v=""/>
    <m/>
    <s v="45851:Franck Benouniche"/>
    <n v="1"/>
  </r>
  <r>
    <x v="90"/>
    <x v="26"/>
    <n v="22.2"/>
    <n v="4"/>
    <s v="Fed"/>
    <m/>
    <n v="0"/>
    <s v="0:Javier Lopez Gullón"/>
    <s v="0:Cuñao"/>
    <s v=""/>
    <s v=""/>
    <m/>
    <s v="45851:Javier Lopez Gullón"/>
    <n v="1"/>
  </r>
  <r>
    <x v="90"/>
    <x v="25"/>
    <n v="10.5"/>
    <n v="2"/>
    <s v="Fed"/>
    <m/>
    <n v="0"/>
    <s v="0:Javier Chiralt"/>
    <s v="0:Chiralt"/>
    <s v=""/>
    <s v=""/>
    <m/>
    <s v="45851:Javier Chiralt"/>
    <n v="1"/>
  </r>
  <r>
    <x v="90"/>
    <x v="29"/>
    <n v="12.7"/>
    <n v="3"/>
    <s v="Fed"/>
    <m/>
    <n v="0"/>
    <s v="0:Enrique Gonzalez R"/>
    <s v="0:Enrique"/>
    <s v=""/>
    <s v=""/>
    <m/>
    <s v="45851:Enrique Gonzalez R"/>
    <n v="1"/>
  </r>
  <r>
    <x v="90"/>
    <x v="30"/>
    <n v="1.7"/>
    <n v="1"/>
    <s v="Fed"/>
    <m/>
    <n v="0"/>
    <s v="0:Alejandro Arcos"/>
    <s v="0:Alex"/>
    <s v=""/>
    <s v=""/>
    <m/>
    <s v="45851:Alejandro Arcos"/>
    <n v="1"/>
  </r>
  <r>
    <x v="90"/>
    <x v="31"/>
    <n v="19.899999999999999"/>
    <n v="4"/>
    <s v="Fed"/>
    <m/>
    <n v="0"/>
    <s v="0:Antonio Carmona"/>
    <s v="0:Antonio"/>
    <s v=""/>
    <s v=""/>
    <m/>
    <s v="45851:Antonio Carmona"/>
    <n v="1"/>
  </r>
  <r>
    <x v="90"/>
    <x v="32"/>
    <n v="16.399999999999999"/>
    <n v="3"/>
    <s v="Fed"/>
    <m/>
    <n v="0"/>
    <s v="0:Santi Diaz"/>
    <s v="0:Santi"/>
    <s v=""/>
    <s v=""/>
    <m/>
    <s v="45851:Santi Diaz"/>
    <n v="1"/>
  </r>
  <r>
    <x v="90"/>
    <x v="36"/>
    <n v="15.1"/>
    <n v="3"/>
    <s v="Fed"/>
    <m/>
    <n v="0"/>
    <s v="0:Juan Jose Aguado"/>
    <s v="0:Juancho"/>
    <s v=""/>
    <s v=""/>
    <m/>
    <s v="45851:Juan Jose Aguado"/>
    <n v="1"/>
  </r>
  <r>
    <x v="90"/>
    <x v="34"/>
    <n v="2.2000000000000002"/>
    <n v="1"/>
    <s v="Fed"/>
    <m/>
    <n v="0"/>
    <s v="0:Carlos Maestro"/>
    <s v="0:Carlitos"/>
    <s v=""/>
    <s v=""/>
    <m/>
    <s v="45851:Carlos Maestro"/>
    <n v="1"/>
  </r>
  <r>
    <x v="90"/>
    <x v="38"/>
    <n v="17.5"/>
    <n v="3"/>
    <s v="Fed"/>
    <m/>
    <n v="0"/>
    <s v="0:Jorge Alberto Martínez Sánchez"/>
    <s v="0:Jorge"/>
    <s v=""/>
    <s v=""/>
    <m/>
    <s v="45851:Jorge Alberto Martínez Sánchez"/>
    <n v="1"/>
  </r>
  <r>
    <x v="90"/>
    <x v="39"/>
    <n v="7.9"/>
    <n v="2"/>
    <s v="Fed"/>
    <m/>
    <n v="0"/>
    <s v="0:Eduardo Buendía"/>
    <s v="0:Eduardo"/>
    <s v=""/>
    <s v=""/>
    <m/>
    <s v="45851:Eduardo Buendía"/>
    <n v="1"/>
  </r>
  <r>
    <x v="90"/>
    <x v="41"/>
    <n v="11.1"/>
    <n v="2"/>
    <s v="Fed"/>
    <m/>
    <n v="0"/>
    <s v="0:Javier Arcos"/>
    <s v="0:J.Arcos"/>
    <s v=""/>
    <s v=""/>
    <m/>
    <s v="45851:Javier Arcos"/>
    <n v="1"/>
  </r>
  <r>
    <x v="90"/>
    <x v="44"/>
    <n v="11.8"/>
    <n v="3"/>
    <s v="Fed"/>
    <m/>
    <n v="0"/>
    <s v="0:Luis Fernandez"/>
    <s v="0:Luis"/>
    <s v=""/>
    <s v=""/>
    <m/>
    <s v="45851:Luis Fernandez"/>
    <n v="1"/>
  </r>
  <r>
    <x v="90"/>
    <x v="45"/>
    <n v="24.4"/>
    <n v="4"/>
    <s v="Fed"/>
    <m/>
    <n v="0"/>
    <s v="0:Jose Antonio Santana"/>
    <s v="0:J Antonio"/>
    <s v=""/>
    <s v=""/>
    <m/>
    <s v="45851:Jose Antonio Santana"/>
    <n v="1"/>
  </r>
  <r>
    <x v="90"/>
    <x v="47"/>
    <n v="4.2"/>
    <n v="1"/>
    <s v="Fed"/>
    <m/>
    <n v="0"/>
    <s v="0:Angel Santana"/>
    <s v="0:A.Santana"/>
    <s v=""/>
    <s v=""/>
    <m/>
    <s v="45851:Angel Santana"/>
    <n v="1"/>
  </r>
  <r>
    <x v="90"/>
    <x v="49"/>
    <n v="16.2"/>
    <n v="3"/>
    <s v="Fed"/>
    <m/>
    <n v="0"/>
    <s v="0:Thomas Dauterman"/>
    <s v="0:Tom"/>
    <s v=""/>
    <s v=""/>
    <m/>
    <s v="45851:Thomas Dauterman"/>
    <n v="1"/>
  </r>
  <r>
    <x v="90"/>
    <x v="48"/>
    <n v="17.8"/>
    <n v="3"/>
    <s v="Fed"/>
    <m/>
    <n v="0"/>
    <s v="0:Juan Sanz"/>
    <s v="0:JuanSanz"/>
    <s v=""/>
    <s v=""/>
    <m/>
    <s v="45851:Juan Sanz"/>
    <n v="1"/>
  </r>
  <r>
    <x v="90"/>
    <x v="52"/>
    <n v="20.7"/>
    <n v="4"/>
    <s v="Fed"/>
    <m/>
    <n v="0"/>
    <s v="0:Joaquín Sánchez"/>
    <s v="0:Joaco"/>
    <s v=""/>
    <s v=""/>
    <m/>
    <s v="45851:Joaquín Sánchez"/>
    <n v="1"/>
  </r>
  <r>
    <x v="90"/>
    <x v="54"/>
    <n v="8"/>
    <n v="2"/>
    <s v="Fed"/>
    <m/>
    <n v="0"/>
    <s v="0:Miguel Angel Aguilera"/>
    <s v="0:M Angel"/>
    <s v=""/>
    <s v=""/>
    <m/>
    <s v="45851:Miguel Angel Aguilera"/>
    <n v="1"/>
  </r>
  <r>
    <x v="90"/>
    <x v="53"/>
    <n v="9.8000000000000007"/>
    <n v="2"/>
    <s v="Fed"/>
    <m/>
    <n v="0"/>
    <s v="0:Jaime de la Cal"/>
    <s v="0:Jaime"/>
    <s v=""/>
    <s v=""/>
    <m/>
    <s v="45851:Jaime de la Cal"/>
    <n v="1"/>
  </r>
  <r>
    <x v="91"/>
    <x v="16"/>
    <n v="5"/>
    <n v="2"/>
    <s v="Fed"/>
    <m/>
    <n v="0"/>
    <s v="0:Nacho Gonzalez"/>
    <s v="0:Nacho"/>
    <s v=""/>
    <s v=""/>
    <m/>
    <s v="45920:Nacho Gonzalez"/>
    <n v="1"/>
  </r>
  <r>
    <x v="91"/>
    <x v="8"/>
    <n v="6.4"/>
    <n v="2"/>
    <s v="Fed"/>
    <m/>
    <n v="0"/>
    <s v="0:Ignacio Cadarso"/>
    <s v="0:Ignacio"/>
    <s v=""/>
    <s v=""/>
    <m/>
    <s v="45920:Ignacio Cadarso"/>
    <n v="1"/>
  </r>
  <r>
    <x v="91"/>
    <x v="0"/>
    <n v="11.3"/>
    <n v="2"/>
    <s v="Fed"/>
    <m/>
    <n v="0"/>
    <s v="0:Alfonso Hidalgo"/>
    <s v="0:Alfonso"/>
    <s v=""/>
    <s v=""/>
    <m/>
    <s v="45920:Alfonso Hidalgo"/>
    <n v="1"/>
  </r>
  <r>
    <x v="91"/>
    <x v="5"/>
    <n v="14.8"/>
    <n v="3"/>
    <s v="Fed"/>
    <m/>
    <n v="0"/>
    <s v="0:Francisco Alvarez"/>
    <s v="0:Paco"/>
    <s v=""/>
    <s v=""/>
    <m/>
    <s v="45920:Francisco Alvarez"/>
    <n v="1"/>
  </r>
  <r>
    <x v="91"/>
    <x v="1"/>
    <n v="6.5"/>
    <n v="2"/>
    <s v="Fed"/>
    <m/>
    <n v="0"/>
    <s v="0:Alvaro Aguirre"/>
    <s v="0:Gifu"/>
    <s v=""/>
    <s v=""/>
    <m/>
    <s v="45920:Alvaro Aguirre"/>
    <n v="1"/>
  </r>
  <r>
    <x v="91"/>
    <x v="14"/>
    <n v="7.2"/>
    <n v="2"/>
    <s v="Fed"/>
    <m/>
    <n v="0"/>
    <s v="0:José Pablo Guil"/>
    <s v="0:JP"/>
    <s v=""/>
    <s v=""/>
    <m/>
    <s v="45920:José Pablo Guil"/>
    <n v="1"/>
  </r>
  <r>
    <x v="91"/>
    <x v="12"/>
    <n v="19.3"/>
    <n v="4"/>
    <s v="Fed"/>
    <m/>
    <n v="0"/>
    <s v="0:Javier Gonzalez Salvador"/>
    <s v="0:Javi"/>
    <s v=""/>
    <s v=""/>
    <m/>
    <s v="45920:Javier Gonzalez Salvador"/>
    <n v="1"/>
  </r>
  <r>
    <x v="91"/>
    <x v="10"/>
    <n v="18.8"/>
    <n v="4"/>
    <s v="Fed"/>
    <m/>
    <n v="0"/>
    <s v="0:J. Enrique Gonzalez"/>
    <s v="0:Kike"/>
    <s v=""/>
    <s v=""/>
    <m/>
    <s v="45920:J. Enrique Gonzalez"/>
    <n v="1"/>
  </r>
  <r>
    <x v="91"/>
    <x v="2"/>
    <n v="15.1"/>
    <n v="3"/>
    <s v="Fed"/>
    <m/>
    <n v="0"/>
    <s v="0:Alvaro Nieto"/>
    <s v="0:Alvaro"/>
    <s v=""/>
    <s v=""/>
    <m/>
    <s v="45920:Alvaro Nieto"/>
    <n v="1"/>
  </r>
  <r>
    <x v="91"/>
    <x v="4"/>
    <n v="13.5"/>
    <n v="3"/>
    <s v="Fed"/>
    <m/>
    <n v="0"/>
    <s v="0:David Sequera"/>
    <s v="0:David"/>
    <s v=""/>
    <s v=""/>
    <m/>
    <s v="45920:David Sequera"/>
    <n v="1"/>
  </r>
  <r>
    <x v="91"/>
    <x v="3"/>
    <n v="6.7"/>
    <n v="2"/>
    <s v="Fed"/>
    <m/>
    <n v="0"/>
    <s v="0:Angel Hernandez"/>
    <s v="0:Angel"/>
    <s v=""/>
    <s v=""/>
    <m/>
    <s v="45920:Angel Hernandez"/>
    <n v="1"/>
  </r>
  <r>
    <x v="91"/>
    <x v="7"/>
    <n v="20.5"/>
    <n v="4"/>
    <s v="Fed"/>
    <m/>
    <n v="0"/>
    <s v="0:GLEZ JUAN JOSÉ"/>
    <s v="0:Juanjo"/>
    <s v=""/>
    <s v=""/>
    <m/>
    <s v="45920:GLEZ JUAN JOSÉ"/>
    <n v="1"/>
  </r>
  <r>
    <x v="91"/>
    <x v="13"/>
    <n v="22.1"/>
    <n v="4"/>
    <s v="Fed"/>
    <m/>
    <n v="0"/>
    <s v="0:Jesus Touceda"/>
    <s v="0:Jesús"/>
    <s v=""/>
    <s v=""/>
    <m/>
    <s v="45920:Jesus Touceda"/>
    <n v="1"/>
  </r>
  <r>
    <x v="91"/>
    <x v="11"/>
    <n v="18.8"/>
    <n v="4"/>
    <s v="Fed"/>
    <m/>
    <n v="0"/>
    <s v="0:Javier Cervera"/>
    <s v="0:Virus"/>
    <s v=""/>
    <s v=""/>
    <m/>
    <s v="45920:Javier Cervera"/>
    <n v="1"/>
  </r>
  <r>
    <x v="91"/>
    <x v="6"/>
    <n v="14.6"/>
    <n v="3"/>
    <s v="Fed"/>
    <m/>
    <n v="0"/>
    <s v="0:Francisco Hidalgo"/>
    <s v="0:Fran"/>
    <s v=""/>
    <s v=""/>
    <m/>
    <s v="45920:Francisco Hidalgo"/>
    <n v="1"/>
  </r>
  <r>
    <x v="91"/>
    <x v="21"/>
    <n v="19.600000000000001"/>
    <n v="4"/>
    <s v="Fed"/>
    <m/>
    <n v="0"/>
    <s v="0:Miche Lopez"/>
    <s v="0:Miche"/>
    <s v=""/>
    <s v=""/>
    <m/>
    <s v="45920:Miche Lopez"/>
    <n v="1"/>
  </r>
  <r>
    <x v="91"/>
    <x v="23"/>
    <n v="6.1"/>
    <n v="2"/>
    <s v="Fed"/>
    <m/>
    <n v="0"/>
    <s v="0:Alvaro Montoya"/>
    <s v="0:Monti"/>
    <s v=""/>
    <s v=""/>
    <m/>
    <s v="45920:Alvaro Montoya"/>
    <n v="1"/>
  </r>
  <r>
    <x v="91"/>
    <x v="28"/>
    <n v="17.2"/>
    <n v="3"/>
    <s v="Fed"/>
    <m/>
    <n v="0"/>
    <s v="0:Ruslan Kochman"/>
    <s v="0:Rus"/>
    <s v=""/>
    <s v=""/>
    <m/>
    <s v="45920:Ruslan Kochman"/>
    <n v="1"/>
  </r>
  <r>
    <x v="91"/>
    <x v="27"/>
    <n v="5.2"/>
    <n v="2"/>
    <s v="Fed"/>
    <m/>
    <n v="0"/>
    <s v="0:Nacho Casas"/>
    <s v="0:Nachete"/>
    <s v=""/>
    <s v=""/>
    <m/>
    <s v="45920:Nacho Casas"/>
    <n v="1"/>
  </r>
  <r>
    <x v="91"/>
    <x v="24"/>
    <n v="15"/>
    <n v="3"/>
    <s v="Fed"/>
    <m/>
    <n v="0"/>
    <s v="0:Franck Benouniche"/>
    <s v="0:Franck"/>
    <s v=""/>
    <s v=""/>
    <m/>
    <s v="45920:Franck Benouniche"/>
    <n v="1"/>
  </r>
  <r>
    <x v="91"/>
    <x v="26"/>
    <n v="21.5"/>
    <n v="4"/>
    <s v="Fed"/>
    <m/>
    <n v="0"/>
    <s v="0:Javier Lopez Gullón"/>
    <s v="0:Cuñao"/>
    <s v=""/>
    <s v=""/>
    <m/>
    <s v="45920:Javier Lopez Gullón"/>
    <n v="1"/>
  </r>
  <r>
    <x v="91"/>
    <x v="25"/>
    <n v="10.5"/>
    <n v="2"/>
    <s v="Fed"/>
    <m/>
    <n v="0"/>
    <s v="0:Javier Chiralt"/>
    <s v="0:Chiralt"/>
    <s v=""/>
    <s v=""/>
    <m/>
    <s v="45920:Javier Chiralt"/>
    <n v="1"/>
  </r>
  <r>
    <x v="91"/>
    <x v="29"/>
    <n v="12.7"/>
    <n v="3"/>
    <s v="Fed"/>
    <m/>
    <n v="0"/>
    <s v="0:Enrique Gonzalez R"/>
    <s v="0:Enrique"/>
    <s v=""/>
    <s v=""/>
    <m/>
    <s v="45920:Enrique Gonzalez R"/>
    <n v="1"/>
  </r>
  <r>
    <x v="91"/>
    <x v="30"/>
    <n v="2.1"/>
    <n v="1"/>
    <s v="Fed"/>
    <m/>
    <n v="0"/>
    <s v="0:Alejandro Arcos"/>
    <s v="0:Alex"/>
    <s v=""/>
    <s v=""/>
    <m/>
    <s v="45920:Alejandro Arcos"/>
    <n v="1"/>
  </r>
  <r>
    <x v="91"/>
    <x v="31"/>
    <n v="20"/>
    <n v="4"/>
    <s v="Fed"/>
    <m/>
    <n v="0"/>
    <s v="0:Antonio Carmona"/>
    <s v="0:Antonio"/>
    <s v=""/>
    <s v=""/>
    <m/>
    <s v="45920:Antonio Carmona"/>
    <n v="1"/>
  </r>
  <r>
    <x v="91"/>
    <x v="32"/>
    <n v="16.100000000000001"/>
    <n v="3"/>
    <s v="Fed"/>
    <m/>
    <n v="0"/>
    <s v="0:Santi Diaz"/>
    <s v="0:Santi"/>
    <s v=""/>
    <s v=""/>
    <m/>
    <s v="45920:Santi Diaz"/>
    <n v="1"/>
  </r>
  <r>
    <x v="91"/>
    <x v="36"/>
    <n v="15.1"/>
    <n v="3"/>
    <s v="Fed"/>
    <m/>
    <n v="0"/>
    <s v="0:Juan Jose Aguado"/>
    <s v="0:Juancho"/>
    <s v=""/>
    <s v=""/>
    <m/>
    <s v="45920:Juan Jose Aguado"/>
    <n v="1"/>
  </r>
  <r>
    <x v="91"/>
    <x v="34"/>
    <n v="1.7"/>
    <n v="1"/>
    <s v="Fed"/>
    <m/>
    <n v="0"/>
    <s v="0:Carlos Maestro"/>
    <s v="0:Carlitos"/>
    <s v=""/>
    <s v=""/>
    <m/>
    <s v="45920:Carlos Maestro"/>
    <n v="1"/>
  </r>
  <r>
    <x v="91"/>
    <x v="38"/>
    <n v="17.5"/>
    <n v="3"/>
    <s v="Fed"/>
    <m/>
    <n v="0"/>
    <s v="0:Jorge Alberto Martínez Sánchez"/>
    <s v="0:Jorge"/>
    <s v=""/>
    <s v=""/>
    <m/>
    <s v="45920:Jorge Alberto Martínez Sánchez"/>
    <n v="1"/>
  </r>
  <r>
    <x v="91"/>
    <x v="39"/>
    <n v="7.9"/>
    <n v="2"/>
    <s v="Fed"/>
    <m/>
    <n v="0"/>
    <s v="0:Eduardo Buendía"/>
    <s v="0:Eduardo"/>
    <s v=""/>
    <s v=""/>
    <m/>
    <s v="45920:Eduardo Buendía"/>
    <n v="1"/>
  </r>
  <r>
    <x v="91"/>
    <x v="41"/>
    <n v="10.6"/>
    <n v="2"/>
    <s v="Fed"/>
    <m/>
    <n v="0"/>
    <s v="0:Javier Arcos"/>
    <s v="0:J.Arcos"/>
    <s v=""/>
    <s v=""/>
    <m/>
    <s v="45920:Javier Arcos"/>
    <n v="1"/>
  </r>
  <r>
    <x v="91"/>
    <x v="44"/>
    <n v="11.8"/>
    <n v="3"/>
    <s v="Fed"/>
    <m/>
    <n v="0"/>
    <s v="0:Luis Fernandez"/>
    <s v="0:Luis"/>
    <s v=""/>
    <s v=""/>
    <m/>
    <s v="45920:Luis Fernandez"/>
    <n v="1"/>
  </r>
  <r>
    <x v="91"/>
    <x v="45"/>
    <n v="24.4"/>
    <n v="4"/>
    <s v="Fed"/>
    <m/>
    <n v="0"/>
    <s v="0:Jose Antonio Santana"/>
    <s v="0:J Antonio"/>
    <s v=""/>
    <s v=""/>
    <m/>
    <s v="45920:Jose Antonio Santana"/>
    <n v="1"/>
  </r>
  <r>
    <x v="91"/>
    <x v="47"/>
    <n v="4"/>
    <n v="1"/>
    <s v="Fed"/>
    <m/>
    <n v="0"/>
    <s v="0:Angel Santana"/>
    <s v="0:A.Santana"/>
    <s v=""/>
    <s v=""/>
    <m/>
    <s v="45920:Angel Santana"/>
    <n v="1"/>
  </r>
  <r>
    <x v="91"/>
    <x v="49"/>
    <n v="16"/>
    <n v="3"/>
    <s v="Fed"/>
    <m/>
    <n v="0"/>
    <s v="0:Thomas Dauterman"/>
    <s v="0:Tom"/>
    <s v=""/>
    <s v=""/>
    <m/>
    <s v="45920:Thomas Dauterman"/>
    <n v="1"/>
  </r>
  <r>
    <x v="91"/>
    <x v="48"/>
    <n v="17.8"/>
    <n v="3"/>
    <s v="Fed"/>
    <m/>
    <n v="0"/>
    <s v="0:Juan Sanz"/>
    <s v="0:JuanSanz"/>
    <s v=""/>
    <s v=""/>
    <m/>
    <s v="45920:Juan Sanz"/>
    <n v="1"/>
  </r>
  <r>
    <x v="91"/>
    <x v="52"/>
    <n v="20.7"/>
    <n v="4"/>
    <s v="Fed"/>
    <m/>
    <n v="0"/>
    <s v="0:Joaquín Sánchez"/>
    <s v="0:Joaco"/>
    <s v=""/>
    <s v=""/>
    <m/>
    <s v="45920:Joaquín Sánchez"/>
    <n v="1"/>
  </r>
  <r>
    <x v="91"/>
    <x v="54"/>
    <n v="8"/>
    <n v="2"/>
    <s v="Fed"/>
    <m/>
    <n v="0"/>
    <s v="0:Miguel Angel Aguilera"/>
    <s v="0:M Angel"/>
    <s v=""/>
    <s v=""/>
    <m/>
    <s v="45920:Miguel Angel Aguilera"/>
    <n v="1"/>
  </r>
  <r>
    <x v="91"/>
    <x v="53"/>
    <n v="9.8000000000000007"/>
    <n v="2"/>
    <s v="Fed"/>
    <m/>
    <n v="0"/>
    <s v="0:Jaime de la Cal"/>
    <s v="0:Jaime"/>
    <s v=""/>
    <s v=""/>
    <m/>
    <s v="45920:Jaime de la Cal"/>
    <n v="1"/>
  </r>
  <r>
    <x v="92"/>
    <x v="16"/>
    <n v="5.0999999999999996"/>
    <n v="2"/>
    <s v="Fed"/>
    <m/>
    <n v="1"/>
    <s v="1:Nacho Gonzalez"/>
    <s v="1:Nacho"/>
    <n v="187"/>
    <n v="5"/>
    <m/>
    <s v="45948:Nacho Gonzalez"/>
    <n v="1"/>
  </r>
  <r>
    <x v="92"/>
    <x v="8"/>
    <n v="6.2"/>
    <n v="2"/>
    <s v="Fed"/>
    <m/>
    <n v="1"/>
    <s v="1:Ignacio Cadarso"/>
    <s v="1:Ignacio"/>
    <n v="335"/>
    <n v="8"/>
    <m/>
    <s v="45948:Ignacio Cadarso"/>
    <n v="1"/>
  </r>
  <r>
    <x v="92"/>
    <x v="0"/>
    <n v="11.5"/>
    <n v="3"/>
    <s v="Fed"/>
    <m/>
    <n v="1"/>
    <s v="1:Alfonso Hidalgo"/>
    <s v="1:Alfonso"/>
    <n v="1091"/>
    <n v="18"/>
    <m/>
    <s v="45948:Alfonso Hidalgo"/>
    <n v="1"/>
  </r>
  <r>
    <x v="92"/>
    <x v="5"/>
    <n v="14.8"/>
    <n v="3"/>
    <s v="Fed"/>
    <m/>
    <n v="1"/>
    <s v="1:Francisco Alvarez"/>
    <s v="1:Paco"/>
    <n v="1669"/>
    <n v="21"/>
    <m/>
    <s v="45948:Francisco Alvarez"/>
    <n v="1"/>
  </r>
  <r>
    <x v="92"/>
    <x v="1"/>
    <n v="6.5"/>
    <n v="2"/>
    <s v="Fed"/>
    <m/>
    <n v="1"/>
    <s v="1:Alvaro Aguirre"/>
    <s v="1:Gifu"/>
    <n v="384"/>
    <n v="9"/>
    <m/>
    <s v="45948:Alvaro Aguirre"/>
    <n v="1"/>
  </r>
  <r>
    <x v="92"/>
    <x v="14"/>
    <n v="7.4"/>
    <n v="2"/>
    <s v="Fed"/>
    <m/>
    <n v="1"/>
    <s v="1:José Pablo Guil"/>
    <s v="1:JP"/>
    <n v="570"/>
    <n v="11"/>
    <m/>
    <s v="45948:José Pablo Guil"/>
    <n v="1"/>
  </r>
  <r>
    <x v="92"/>
    <x v="12"/>
    <n v="19.3"/>
    <n v="4"/>
    <s v="Fed"/>
    <m/>
    <n v="1"/>
    <s v="1:Javier Gonzalez Salvador"/>
    <s v="1:Javi"/>
    <n v="2346"/>
    <n v="33"/>
    <m/>
    <s v="45948:Javier Gonzalez Salvador"/>
    <n v="1"/>
  </r>
  <r>
    <x v="92"/>
    <x v="10"/>
    <n v="18.8"/>
    <n v="4"/>
    <s v="Fed"/>
    <m/>
    <n v="1"/>
    <s v="1:J. Enrique Gonzalez"/>
    <s v="1:Kike"/>
    <n v="2274"/>
    <n v="31"/>
    <m/>
    <s v="45948:J. Enrique Gonzalez"/>
    <n v="1"/>
  </r>
  <r>
    <x v="92"/>
    <x v="2"/>
    <n v="15.5"/>
    <n v="3"/>
    <s v="Fed"/>
    <m/>
    <n v="1"/>
    <s v="1:Alvaro Nieto"/>
    <s v="1:Alvaro"/>
    <n v="1788"/>
    <n v="25"/>
    <m/>
    <s v="45948:Alvaro Nieto"/>
    <n v="1"/>
  </r>
  <r>
    <x v="92"/>
    <x v="4"/>
    <n v="11.4"/>
    <n v="2"/>
    <s v="Fed"/>
    <m/>
    <n v="1"/>
    <s v="1:David Sequera"/>
    <s v="1:David"/>
    <n v="1079"/>
    <n v="17"/>
    <m/>
    <s v="45948:David Sequera"/>
    <n v="1"/>
  </r>
  <r>
    <x v="92"/>
    <x v="3"/>
    <n v="7"/>
    <n v="2"/>
    <s v="Fed"/>
    <m/>
    <n v="1"/>
    <s v="1:Angel Hernandez"/>
    <s v="1:Angel"/>
    <n v="482"/>
    <n v="10"/>
    <m/>
    <s v="45948:Angel Hernandez"/>
    <n v="1"/>
  </r>
  <r>
    <x v="92"/>
    <x v="7"/>
    <n v="20.9"/>
    <n v="4"/>
    <s v="Fed"/>
    <m/>
    <n v="1"/>
    <s v="1:GLEZ JUAN JOSÉ"/>
    <s v="1:Juanjo"/>
    <n v="2476"/>
    <n v="35"/>
    <m/>
    <s v="45948:GLEZ JUAN JOSÉ"/>
    <n v="1"/>
  </r>
  <r>
    <x v="92"/>
    <x v="13"/>
    <n v="22.4"/>
    <n v="4"/>
    <s v="Fed"/>
    <m/>
    <n v="1"/>
    <s v="1:Jesus Touceda"/>
    <s v="1:Jesús"/>
    <n v="2612"/>
    <n v="39"/>
    <m/>
    <s v="45948:Jesus Touceda"/>
    <n v="1"/>
  </r>
  <r>
    <x v="92"/>
    <x v="11"/>
    <n v="19"/>
    <n v="4"/>
    <s v="Fed"/>
    <m/>
    <n v="1"/>
    <s v="1:Javier Cervera"/>
    <s v="1:Virus"/>
    <n v="2310"/>
    <n v="32"/>
    <m/>
    <s v="45948:Javier Cervera"/>
    <n v="1"/>
  </r>
  <r>
    <x v="92"/>
    <x v="6"/>
    <n v="15.3"/>
    <n v="3"/>
    <s v="Fed"/>
    <m/>
    <n v="1"/>
    <s v="1:Francisco Hidalgo"/>
    <s v="1:Fran"/>
    <n v="1765"/>
    <n v="24"/>
    <m/>
    <s v="45948:Francisco Hidalgo"/>
    <n v="1"/>
  </r>
  <r>
    <x v="92"/>
    <x v="21"/>
    <n v="19.899999999999999"/>
    <n v="4"/>
    <s v="Fed"/>
    <m/>
    <n v="1"/>
    <s v="1:Miche Lopez"/>
    <s v="1:Miche"/>
    <n v="2418"/>
    <n v="34"/>
    <m/>
    <s v="45948:Miche Lopez"/>
    <n v="1"/>
  </r>
  <r>
    <x v="92"/>
    <x v="23"/>
    <n v="5.6"/>
    <n v="2"/>
    <s v="Fed"/>
    <m/>
    <n v="1"/>
    <s v="1:Alvaro Montoya"/>
    <s v="1:Monti"/>
    <n v="243"/>
    <n v="7"/>
    <m/>
    <s v="45948:Alvaro Montoya"/>
    <n v="1"/>
  </r>
  <r>
    <x v="92"/>
    <x v="28"/>
    <n v="17.600000000000001"/>
    <n v="3"/>
    <s v="Fed"/>
    <m/>
    <n v="1"/>
    <s v="1:Ruslan Kochman"/>
    <s v="1:Rus"/>
    <n v="2097"/>
    <n v="29"/>
    <m/>
    <s v="45948:Ruslan Kochman"/>
    <n v="1"/>
  </r>
  <r>
    <x v="92"/>
    <x v="27"/>
    <n v="5.2"/>
    <n v="2"/>
    <s v="Fed"/>
    <m/>
    <n v="1"/>
    <s v="1:Nacho Casas"/>
    <s v="1:Nachete"/>
    <n v="195"/>
    <n v="6"/>
    <m/>
    <s v="45948:Nacho Casas"/>
    <n v="1"/>
  </r>
  <r>
    <x v="92"/>
    <x v="24"/>
    <n v="15"/>
    <n v="3"/>
    <s v="Fed"/>
    <m/>
    <n v="1"/>
    <s v="1:Franck Benouniche"/>
    <s v="1:Franck"/>
    <n v="1677"/>
    <n v="22"/>
    <m/>
    <s v="45948:Franck Benouniche"/>
    <n v="1"/>
  </r>
  <r>
    <x v="92"/>
    <x v="26"/>
    <n v="21.5"/>
    <n v="4"/>
    <s v="Fed"/>
    <m/>
    <n v="1"/>
    <s v="1:Javier Lopez Gullón"/>
    <s v="1:Cuñao"/>
    <n v="2564"/>
    <n v="38"/>
    <m/>
    <s v="45948:Javier Lopez Gullón"/>
    <n v="1"/>
  </r>
  <r>
    <x v="92"/>
    <x v="25"/>
    <n v="10.3"/>
    <n v="2"/>
    <s v="Fed"/>
    <m/>
    <n v="1"/>
    <s v="1:Javier Chiralt"/>
    <s v="1:Chiralt"/>
    <n v="919"/>
    <n v="15"/>
    <m/>
    <s v="45948:Javier Chiralt"/>
    <n v="1"/>
  </r>
  <r>
    <x v="92"/>
    <x v="29"/>
    <n v="11.8"/>
    <n v="3"/>
    <s v="Fed"/>
    <m/>
    <n v="1"/>
    <s v="1:Enrique Gonzalez R"/>
    <s v="1:Enrique"/>
    <n v="1123"/>
    <n v="19"/>
    <m/>
    <s v="45948:Enrique Gonzalez R"/>
    <n v="1"/>
  </r>
  <r>
    <x v="92"/>
    <x v="30"/>
    <n v="2.1"/>
    <n v="1"/>
    <s v="Fed"/>
    <m/>
    <n v="1"/>
    <s v="1:Alejandro Arcos"/>
    <s v="1:Alex"/>
    <n v="106"/>
    <n v="2"/>
    <m/>
    <s v="45948:Alejandro Arcos"/>
    <n v="1"/>
  </r>
  <r>
    <x v="92"/>
    <x v="31"/>
    <n v="21.2"/>
    <n v="4"/>
    <s v="Fed"/>
    <m/>
    <n v="1"/>
    <s v="1:Antonio Carmona"/>
    <s v="1:Antonio"/>
    <n v="2535"/>
    <n v="36"/>
    <m/>
    <s v="45948:Antonio Carmona"/>
    <n v="1"/>
  </r>
  <r>
    <x v="92"/>
    <x v="32"/>
    <n v="15.6"/>
    <n v="3"/>
    <s v="Fed"/>
    <m/>
    <n v="1"/>
    <s v="1:Santi Diaz"/>
    <s v="1:Santi"/>
    <n v="1797"/>
    <n v="26"/>
    <m/>
    <s v="45948:Santi Diaz"/>
    <n v="1"/>
  </r>
  <r>
    <x v="92"/>
    <x v="36"/>
    <n v="15.1"/>
    <n v="3"/>
    <s v="Fed"/>
    <m/>
    <n v="1"/>
    <s v="1:Juan Jose Aguado"/>
    <s v="1:Juancho"/>
    <n v="1713"/>
    <n v="23"/>
    <m/>
    <s v="45948:Juan Jose Aguado"/>
    <n v="1"/>
  </r>
  <r>
    <x v="92"/>
    <x v="34"/>
    <n v="1.4"/>
    <n v="1"/>
    <s v="Fed"/>
    <m/>
    <n v="1"/>
    <s v="1:Carlos Maestro"/>
    <s v="1:Carlitos"/>
    <n v="75"/>
    <n v="1"/>
    <m/>
    <s v="45948:Carlos Maestro"/>
    <n v="1"/>
  </r>
  <r>
    <x v="92"/>
    <x v="38"/>
    <n v="15.8"/>
    <n v="3"/>
    <s v="Fed"/>
    <m/>
    <n v="1"/>
    <s v="1:Jorge Alberto Martínez Sánchez"/>
    <s v="1:Jorge"/>
    <n v="1808"/>
    <n v="27"/>
    <m/>
    <s v="45948:Jorge Alberto Martínez Sánchez"/>
    <n v="1"/>
  </r>
  <r>
    <x v="92"/>
    <x v="39"/>
    <n v="7.9"/>
    <n v="2"/>
    <s v="Fed"/>
    <m/>
    <n v="1"/>
    <s v="1:Eduardo Buendía"/>
    <s v="1:Eduardo"/>
    <n v="647"/>
    <n v="12"/>
    <m/>
    <s v="45948:Eduardo Buendía"/>
    <n v="1"/>
  </r>
  <r>
    <x v="92"/>
    <x v="41"/>
    <n v="10.7"/>
    <n v="2"/>
    <s v="Fed"/>
    <m/>
    <n v="1"/>
    <s v="1:Javier Arcos"/>
    <s v="1:J.Arcos"/>
    <n v="980"/>
    <n v="16"/>
    <m/>
    <s v="45948:Javier Arcos"/>
    <n v="1"/>
  </r>
  <r>
    <x v="92"/>
    <x v="44"/>
    <n v="11.8"/>
    <n v="3"/>
    <s v="Fed"/>
    <m/>
    <n v="1"/>
    <s v="1:Luis Fernandez"/>
    <s v="1:Luis"/>
    <n v="1123"/>
    <n v="19"/>
    <m/>
    <s v="45948:Luis Fernandez"/>
    <n v="1"/>
  </r>
  <r>
    <x v="92"/>
    <x v="45"/>
    <n v="24.4"/>
    <n v="4"/>
    <s v="Fed"/>
    <m/>
    <n v="1"/>
    <s v="1:Jose Antonio Santana"/>
    <s v="1:J Antonio"/>
    <n v="2699"/>
    <n v="40"/>
    <m/>
    <s v="45948:Jose Antonio Santana"/>
    <n v="1"/>
  </r>
  <r>
    <x v="92"/>
    <x v="47"/>
    <n v="3.1"/>
    <n v="1"/>
    <s v="Fed"/>
    <m/>
    <n v="1"/>
    <s v="1:Angel Santana"/>
    <s v="1:A.Santana"/>
    <n v="115"/>
    <n v="3"/>
    <m/>
    <s v="45948:Angel Santana"/>
    <n v="1"/>
  </r>
  <r>
    <x v="92"/>
    <x v="49"/>
    <n v="16"/>
    <n v="3"/>
    <s v="Fed"/>
    <m/>
    <n v="1"/>
    <s v="1:Thomas Dauterman"/>
    <s v="1:Tom"/>
    <n v="1817"/>
    <n v="28"/>
    <m/>
    <s v="45948:Thomas Dauterman"/>
    <n v="1"/>
  </r>
  <r>
    <x v="92"/>
    <x v="48"/>
    <n v="17.8"/>
    <n v="3"/>
    <s v="Fed"/>
    <m/>
    <n v="1"/>
    <s v="1:Juan Sanz"/>
    <s v="1:JuanSanz"/>
    <n v="2119"/>
    <n v="30"/>
    <m/>
    <s v="45948:Juan Sanz"/>
    <n v="1"/>
  </r>
  <r>
    <x v="92"/>
    <x v="52"/>
    <n v="21.3"/>
    <n v="4"/>
    <s v="Fed"/>
    <m/>
    <n v="1"/>
    <s v="1:Joaquín Sánchez"/>
    <s v="1:Joaco"/>
    <n v="2544"/>
    <n v="37"/>
    <m/>
    <s v="45948:Joaquín Sánchez"/>
    <n v="1"/>
  </r>
  <r>
    <x v="92"/>
    <x v="54"/>
    <n v="8.1999999999999993"/>
    <n v="2"/>
    <s v="Fed"/>
    <m/>
    <n v="1"/>
    <s v="1:Miguel Angel Aguilera"/>
    <s v="1:M Angel"/>
    <n v="701"/>
    <n v="13"/>
    <m/>
    <s v="45948:Miguel Angel Aguilera"/>
    <n v="1"/>
  </r>
  <r>
    <x v="92"/>
    <x v="53"/>
    <n v="9.8000000000000007"/>
    <n v="2"/>
    <s v="Fed"/>
    <m/>
    <n v="1"/>
    <s v="1:Jaime de la Cal"/>
    <s v="1:Jaime"/>
    <n v="848"/>
    <n v="14"/>
    <m/>
    <s v="45948:Jaime de la Cal"/>
    <n v="1"/>
  </r>
  <r>
    <x v="92"/>
    <x v="55"/>
    <n v="3.8"/>
    <n v="1"/>
    <s v="Fed"/>
    <m/>
    <n v="1"/>
    <s v="1:Jaime Orlando Larregui"/>
    <s v="1:Orlando"/>
    <n v="125"/>
    <n v="4"/>
    <m/>
    <s v="45948:Jaime Orlando Larregui"/>
    <n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d v="2022-07-21T00:00:00"/>
    <x v="0"/>
    <n v="6.4"/>
    <s v="Ignacio González Salvador"/>
    <n v="1"/>
    <n v="1"/>
    <x v="0"/>
    <n v="1"/>
  </r>
  <r>
    <d v="2022-07-21T00:00:00"/>
    <x v="1"/>
    <n v="7"/>
    <s v="Ignacio Casas Martín"/>
    <n v="1"/>
    <n v="2"/>
    <x v="1"/>
    <n v="2"/>
  </r>
  <r>
    <d v="2022-07-21T00:00:00"/>
    <x v="2"/>
    <n v="7.1"/>
    <s v="Alvaro Aguirre Rodriguez"/>
    <n v="1"/>
    <n v="3"/>
    <x v="2"/>
    <n v="3"/>
  </r>
  <r>
    <d v="2022-07-21T00:00:00"/>
    <x v="3"/>
    <n v="7.2"/>
    <s v="Angel Hernandez Rilova"/>
    <n v="1"/>
    <n v="4"/>
    <x v="3"/>
    <n v="4"/>
  </r>
  <r>
    <d v="2022-07-21T00:00:00"/>
    <x v="4"/>
    <n v="7.7"/>
    <s v="Alvaro Montoya Soler"/>
    <n v="1"/>
    <n v="5"/>
    <x v="3"/>
    <n v="1"/>
  </r>
  <r>
    <d v="2022-07-21T00:00:00"/>
    <x v="5"/>
    <n v="8"/>
    <s v="Ignacio Cadarso Amador"/>
    <n v="1"/>
    <n v="6"/>
    <x v="2"/>
    <n v="2"/>
  </r>
  <r>
    <d v="2022-07-21T00:00:00"/>
    <x v="6"/>
    <n v="10.1"/>
    <s v="Javier Chiralt Perez"/>
    <n v="1"/>
    <n v="7"/>
    <x v="1"/>
    <n v="3"/>
  </r>
  <r>
    <d v="2022-07-21T00:00:00"/>
    <x v="7"/>
    <n v="10.4"/>
    <s v="Alfonso Hidalgo Lopez de Ayala"/>
    <n v="1"/>
    <n v="8"/>
    <x v="0"/>
    <n v="4"/>
  </r>
  <r>
    <d v="2022-07-21T00:00:00"/>
    <x v="8"/>
    <n v="10.6"/>
    <s v="David Sequera Merino"/>
    <n v="1"/>
    <n v="9"/>
    <x v="0"/>
    <n v="1"/>
  </r>
  <r>
    <d v="2022-07-21T00:00:00"/>
    <x v="9"/>
    <n v="12.1"/>
    <s v="Francisco Hidalgo Lopez de Ayala"/>
    <n v="1"/>
    <n v="10"/>
    <x v="1"/>
    <n v="2"/>
  </r>
  <r>
    <d v="2022-07-21T00:00:00"/>
    <x v="10"/>
    <n v="12.4"/>
    <s v="Alvaro Nieto Esteban"/>
    <n v="1"/>
    <n v="11"/>
    <x v="2"/>
    <n v="3"/>
  </r>
  <r>
    <d v="2022-07-21T00:00:00"/>
    <x v="11"/>
    <n v="14"/>
    <s v="Pablo Enrique Gonzalez Ramirez"/>
    <n v="1"/>
    <n v="12"/>
    <x v="3"/>
    <n v="4"/>
  </r>
  <r>
    <d v="2022-07-21T00:00:00"/>
    <x v="12"/>
    <n v="14.4"/>
    <s v="Franck Benouniche Founier"/>
    <n v="1"/>
    <n v="13"/>
    <x v="3"/>
    <n v="1"/>
  </r>
  <r>
    <d v="2022-07-21T00:00:00"/>
    <x v="13"/>
    <n v="15"/>
    <s v="Francisco Alvarez Oliva"/>
    <n v="1"/>
    <n v="14"/>
    <x v="2"/>
    <n v="2"/>
  </r>
  <r>
    <d v="2022-07-21T00:00:00"/>
    <x v="14"/>
    <n v="16.3"/>
    <s v="Francisco Javier Gonzalez Salvador"/>
    <n v="1"/>
    <n v="15"/>
    <x v="1"/>
    <n v="3"/>
  </r>
  <r>
    <d v="2022-07-21T00:00:00"/>
    <x v="15"/>
    <n v="17.3"/>
    <s v="Javier Cervera Rodriguez"/>
    <n v="1"/>
    <n v="16"/>
    <x v="0"/>
    <n v="4"/>
  </r>
  <r>
    <d v="2022-07-21T00:00:00"/>
    <x v="16"/>
    <n v="17.3"/>
    <s v="Julio Enrique Gonzalez Salvador"/>
    <n v="1"/>
    <n v="16"/>
    <x v="0"/>
    <n v="1"/>
  </r>
  <r>
    <d v="2022-07-21T00:00:00"/>
    <x v="17"/>
    <n v="17.600000000000001"/>
    <s v="Ruslan Kochman"/>
    <n v="1"/>
    <n v="18"/>
    <x v="1"/>
    <n v="2"/>
  </r>
  <r>
    <d v="2022-07-21T00:00:00"/>
    <x v="18"/>
    <n v="17.8"/>
    <s v="Juan José Gonzalez Salvador"/>
    <n v="1"/>
    <n v="19"/>
    <x v="2"/>
    <n v="3"/>
  </r>
  <r>
    <d v="2022-07-21T00:00:00"/>
    <x v="19"/>
    <n v="22.3"/>
    <s v="Francisco Javier Lopez Gullón"/>
    <n v="1"/>
    <n v="20"/>
    <x v="3"/>
    <n v="4"/>
  </r>
  <r>
    <d v="2022-07-21T00:00:00"/>
    <x v="20"/>
    <n v="23.6"/>
    <s v="Vicente Lopez Calderón"/>
    <n v="1"/>
    <n v="21"/>
    <x v="3"/>
    <n v="1"/>
  </r>
  <r>
    <d v="2022-07-21T00:00:00"/>
    <x v="21"/>
    <n v="25.3"/>
    <s v="Jesus Rodriguez Touceda"/>
    <n v="1"/>
    <n v="22"/>
    <x v="2"/>
    <n v="2"/>
  </r>
  <r>
    <d v="2022-07-21T00:00:00"/>
    <x v="22"/>
    <n v="1.3"/>
    <s v="Miguel Diaz del Moral Berdun"/>
    <n v="0"/>
    <s v="n.a."/>
    <x v="4"/>
    <m/>
  </r>
  <r>
    <d v="2022-07-21T00:00:00"/>
    <x v="23"/>
    <n v="3.5"/>
    <s v="Alejandro Arcos Campillo"/>
    <n v="0"/>
    <s v="n.a."/>
    <x v="4"/>
    <m/>
  </r>
  <r>
    <d v="2022-07-21T00:00:00"/>
    <x v="24"/>
    <n v="7.3"/>
    <s v="José Pablo Guil Salvador"/>
    <n v="0"/>
    <s v="n.a."/>
    <x v="4"/>
    <m/>
  </r>
  <r>
    <d v="2022-07-21T00:00:00"/>
    <x v="25"/>
    <n v="13.6"/>
    <s v="Alfonso Zorrilla"/>
    <n v="0"/>
    <s v="n.a."/>
    <x v="4"/>
    <m/>
  </r>
  <r>
    <d v="2022-07-21T00:00:00"/>
    <x v="26"/>
    <n v="13.7"/>
    <s v="Pablo Munitiz San Martin"/>
    <n v="0"/>
    <s v="n.a."/>
    <x v="4"/>
    <m/>
  </r>
  <r>
    <d v="2022-07-21T00:00:00"/>
    <x v="27"/>
    <n v="16.399999999999999"/>
    <s v="Santiago Diaz Dominguez"/>
    <n v="0"/>
    <s v="n.a."/>
    <x v="4"/>
    <m/>
  </r>
  <r>
    <d v="2022-07-21T00:00:00"/>
    <x v="28"/>
    <n v="18.5"/>
    <s v="Luis Manuel Escudero Mas"/>
    <n v="0"/>
    <s v="n.a."/>
    <x v="4"/>
    <m/>
  </r>
  <r>
    <d v="2022-07-21T00:00:00"/>
    <x v="29"/>
    <n v="19.100000000000001"/>
    <s v="Antonio Carmona Quesada"/>
    <n v="0"/>
    <s v="n.a."/>
    <x v="4"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5">
  <r>
    <x v="0"/>
    <s v="Alfonso"/>
    <d v="2020-09-11T00:00:00"/>
    <s v="B Santander"/>
    <x v="0"/>
    <s v="Stableford"/>
    <n v="31"/>
    <m/>
    <x v="0"/>
    <m/>
  </r>
  <r>
    <x v="1"/>
    <s v="Gifu"/>
    <d v="2020-09-11T00:00:00"/>
    <s v="B Santander"/>
    <x v="0"/>
    <s v="Stableford"/>
    <n v="34"/>
    <m/>
    <x v="0"/>
    <m/>
  </r>
  <r>
    <x v="2"/>
    <s v="Alvaro"/>
    <d v="2020-09-11T00:00:00"/>
    <s v="B Santander"/>
    <x v="0"/>
    <s v="Stableford"/>
    <n v="22"/>
    <m/>
    <x v="0"/>
    <m/>
  </r>
  <r>
    <x v="3"/>
    <s v="Angel"/>
    <m/>
    <m/>
    <x v="1"/>
    <m/>
    <m/>
    <m/>
    <x v="1"/>
    <m/>
  </r>
  <r>
    <x v="4"/>
    <s v="David"/>
    <d v="2020-09-11T00:00:00"/>
    <s v="B Santander"/>
    <x v="0"/>
    <s v="Stableford"/>
    <n v="20"/>
    <m/>
    <x v="0"/>
    <m/>
  </r>
  <r>
    <x v="5"/>
    <s v="Paco"/>
    <m/>
    <m/>
    <x v="1"/>
    <m/>
    <m/>
    <m/>
    <x v="1"/>
    <m/>
  </r>
  <r>
    <x v="6"/>
    <s v="Fran"/>
    <m/>
    <m/>
    <x v="1"/>
    <m/>
    <m/>
    <m/>
    <x v="1"/>
    <m/>
  </r>
  <r>
    <x v="7"/>
    <s v="Ignacio"/>
    <m/>
    <m/>
    <x v="1"/>
    <m/>
    <m/>
    <m/>
    <x v="1"/>
    <m/>
  </r>
  <r>
    <x v="8"/>
    <s v="Nacho"/>
    <d v="2020-09-11T00:00:00"/>
    <s v="B Santander"/>
    <x v="0"/>
    <s v="Stableford"/>
    <n v="40"/>
    <m/>
    <x v="0"/>
    <m/>
  </r>
  <r>
    <x v="9"/>
    <s v="Virus"/>
    <m/>
    <m/>
    <x v="1"/>
    <m/>
    <m/>
    <m/>
    <x v="1"/>
    <m/>
  </r>
  <r>
    <x v="10"/>
    <s v="Javi"/>
    <m/>
    <m/>
    <x v="1"/>
    <m/>
    <m/>
    <m/>
    <x v="1"/>
    <m/>
  </r>
  <r>
    <x v="11"/>
    <s v="Jesús"/>
    <m/>
    <m/>
    <x v="1"/>
    <m/>
    <m/>
    <m/>
    <x v="1"/>
    <m/>
  </r>
  <r>
    <x v="12"/>
    <s v="JP"/>
    <d v="2020-09-11T00:00:00"/>
    <s v="B Santander"/>
    <x v="0"/>
    <s v="Stableford"/>
    <n v="28"/>
    <m/>
    <x v="0"/>
    <m/>
  </r>
  <r>
    <x v="13"/>
    <s v="Juanjo"/>
    <m/>
    <m/>
    <x v="1"/>
    <m/>
    <m/>
    <m/>
    <x v="1"/>
    <m/>
  </r>
  <r>
    <x v="14"/>
    <s v="Kike"/>
    <m/>
    <m/>
    <x v="1"/>
    <m/>
    <m/>
    <m/>
    <x v="1"/>
    <m/>
  </r>
  <r>
    <x v="15"/>
    <s v="Lucho"/>
    <m/>
    <m/>
    <x v="1"/>
    <m/>
    <m/>
    <m/>
    <x v="1"/>
    <m/>
  </r>
  <r>
    <x v="16"/>
    <s v="Cañita"/>
    <m/>
    <m/>
    <x v="1"/>
    <m/>
    <m/>
    <m/>
    <x v="1"/>
    <m/>
  </r>
  <r>
    <x v="17"/>
    <s v="Muni"/>
    <m/>
    <m/>
    <x v="1"/>
    <m/>
    <m/>
    <m/>
    <x v="1"/>
    <m/>
  </r>
  <r>
    <x v="18"/>
    <s v="Ricardo"/>
    <m/>
    <m/>
    <x v="1"/>
    <m/>
    <m/>
    <m/>
    <x v="1"/>
    <m/>
  </r>
  <r>
    <x v="19"/>
    <s v="Iñigo"/>
    <m/>
    <m/>
    <x v="1"/>
    <m/>
    <m/>
    <m/>
    <x v="1"/>
    <m/>
  </r>
  <r>
    <x v="20"/>
    <s v="Miche"/>
    <m/>
    <m/>
    <x v="1"/>
    <m/>
    <m/>
    <m/>
    <x v="1"/>
    <m/>
  </r>
  <r>
    <x v="0"/>
    <s v="Alfonso"/>
    <d v="2020-02-29T00:00:00"/>
    <s v="La Faisanera"/>
    <x v="0"/>
    <s v="Dobles"/>
    <n v="1"/>
    <s v="9&amp;8"/>
    <x v="2"/>
    <m/>
  </r>
  <r>
    <x v="1"/>
    <s v="Gifu"/>
    <d v="2020-02-29T00:00:00"/>
    <s v="La Faisanera"/>
    <x v="0"/>
    <s v="Individual"/>
    <n v="0"/>
    <s v="4&amp;2"/>
    <x v="2"/>
    <m/>
  </r>
  <r>
    <x v="2"/>
    <s v="Alvaro"/>
    <d v="2020-02-29T00:00:00"/>
    <s v="La Faisanera"/>
    <x v="0"/>
    <s v="Dobles"/>
    <n v="1"/>
    <s v="4&amp;3"/>
    <x v="2"/>
    <m/>
  </r>
  <r>
    <x v="3"/>
    <s v="Angel"/>
    <m/>
    <m/>
    <x v="1"/>
    <m/>
    <m/>
    <m/>
    <x v="1"/>
    <m/>
  </r>
  <r>
    <x v="4"/>
    <s v="David"/>
    <d v="2020-02-29T00:00:00"/>
    <s v="La Faisanera"/>
    <x v="0"/>
    <s v="Dobles"/>
    <n v="1"/>
    <s v="5&amp;3"/>
    <x v="2"/>
    <m/>
  </r>
  <r>
    <x v="5"/>
    <s v="Paco"/>
    <m/>
    <m/>
    <x v="1"/>
    <m/>
    <m/>
    <m/>
    <x v="1"/>
    <m/>
  </r>
  <r>
    <x v="6"/>
    <s v="Fran"/>
    <d v="2020-02-29T00:00:00"/>
    <s v="La Faisanera"/>
    <x v="0"/>
    <s v="Dobles"/>
    <n v="1"/>
    <s v="9&amp;8"/>
    <x v="2"/>
    <m/>
  </r>
  <r>
    <x v="7"/>
    <s v="Ignacio"/>
    <d v="2020-02-29T00:00:00"/>
    <s v="La Faisanera"/>
    <x v="0"/>
    <s v="Dobles"/>
    <n v="1"/>
    <s v="5&amp;3"/>
    <x v="2"/>
    <m/>
  </r>
  <r>
    <x v="8"/>
    <s v="Nacho"/>
    <d v="2020-02-29T00:00:00"/>
    <s v="La Faisanera"/>
    <x v="0"/>
    <s v="Dobles"/>
    <n v="1"/>
    <s v="4&amp;3"/>
    <x v="2"/>
    <m/>
  </r>
  <r>
    <x v="9"/>
    <s v="Virus"/>
    <m/>
    <m/>
    <x v="1"/>
    <m/>
    <m/>
    <m/>
    <x v="1"/>
    <m/>
  </r>
  <r>
    <x v="10"/>
    <s v="Javi"/>
    <m/>
    <m/>
    <x v="1"/>
    <m/>
    <m/>
    <m/>
    <x v="1"/>
    <m/>
  </r>
  <r>
    <x v="11"/>
    <s v="Jesús"/>
    <m/>
    <m/>
    <x v="1"/>
    <m/>
    <m/>
    <m/>
    <x v="1"/>
    <m/>
  </r>
  <r>
    <x v="12"/>
    <s v="JP"/>
    <d v="2020-02-29T00:00:00"/>
    <s v="La Faisanera"/>
    <x v="0"/>
    <s v="Individual"/>
    <n v="1"/>
    <s v="5&amp;3"/>
    <x v="2"/>
    <m/>
  </r>
  <r>
    <x v="13"/>
    <s v="Juanjo"/>
    <m/>
    <m/>
    <x v="1"/>
    <m/>
    <m/>
    <m/>
    <x v="1"/>
    <m/>
  </r>
  <r>
    <x v="14"/>
    <s v="Kike"/>
    <m/>
    <m/>
    <x v="1"/>
    <m/>
    <m/>
    <m/>
    <x v="1"/>
    <m/>
  </r>
  <r>
    <x v="15"/>
    <s v="Lucho"/>
    <m/>
    <m/>
    <x v="1"/>
    <m/>
    <m/>
    <m/>
    <x v="1"/>
    <m/>
  </r>
  <r>
    <x v="16"/>
    <s v="Cañita"/>
    <m/>
    <m/>
    <x v="1"/>
    <m/>
    <m/>
    <m/>
    <x v="1"/>
    <m/>
  </r>
  <r>
    <x v="17"/>
    <s v="Muni"/>
    <m/>
    <m/>
    <x v="1"/>
    <m/>
    <m/>
    <m/>
    <x v="1"/>
    <m/>
  </r>
  <r>
    <x v="18"/>
    <s v="Ricardo"/>
    <m/>
    <m/>
    <x v="1"/>
    <m/>
    <m/>
    <m/>
    <x v="1"/>
    <m/>
  </r>
  <r>
    <x v="19"/>
    <s v="Iñigo"/>
    <m/>
    <m/>
    <x v="1"/>
    <m/>
    <m/>
    <m/>
    <x v="1"/>
    <m/>
  </r>
  <r>
    <x v="20"/>
    <s v="Miche"/>
    <m/>
    <m/>
    <x v="1"/>
    <m/>
    <m/>
    <m/>
    <x v="1"/>
    <m/>
  </r>
  <r>
    <x v="0"/>
    <s v="Alfonso"/>
    <d v="2021-09-12T00:00:00"/>
    <s v="El Encín"/>
    <x v="0"/>
    <s v="Stableford"/>
    <n v="34"/>
    <m/>
    <x v="3"/>
    <n v="4.5"/>
  </r>
  <r>
    <x v="1"/>
    <s v="Gifu"/>
    <m/>
    <m/>
    <x v="1"/>
    <m/>
    <m/>
    <m/>
    <x v="1"/>
    <m/>
  </r>
  <r>
    <x v="2"/>
    <s v="Alvaro"/>
    <m/>
    <m/>
    <x v="1"/>
    <m/>
    <m/>
    <m/>
    <x v="1"/>
    <m/>
  </r>
  <r>
    <x v="3"/>
    <s v="Angel"/>
    <m/>
    <m/>
    <x v="1"/>
    <m/>
    <m/>
    <m/>
    <x v="1"/>
    <m/>
  </r>
  <r>
    <x v="4"/>
    <s v="David"/>
    <m/>
    <m/>
    <x v="1"/>
    <m/>
    <m/>
    <m/>
    <x v="1"/>
    <m/>
  </r>
  <r>
    <x v="5"/>
    <s v="Paco"/>
    <m/>
    <m/>
    <x v="1"/>
    <m/>
    <m/>
    <m/>
    <x v="1"/>
    <m/>
  </r>
  <r>
    <x v="6"/>
    <s v="Fran"/>
    <m/>
    <m/>
    <x v="1"/>
    <m/>
    <m/>
    <m/>
    <x v="1"/>
    <m/>
  </r>
  <r>
    <x v="7"/>
    <s v="Ignacio"/>
    <m/>
    <m/>
    <x v="1"/>
    <m/>
    <m/>
    <m/>
    <x v="1"/>
    <m/>
  </r>
  <r>
    <x v="8"/>
    <s v="Nacho"/>
    <d v="2021-09-12T00:00:00"/>
    <s v="El Encín"/>
    <x v="0"/>
    <s v="Stableford"/>
    <n v="36"/>
    <m/>
    <x v="3"/>
    <n v="4.5"/>
  </r>
  <r>
    <x v="9"/>
    <s v="Virus"/>
    <d v="2021-09-12T00:00:00"/>
    <s v="El Encín"/>
    <x v="0"/>
    <s v="Stableford"/>
    <n v="33"/>
    <m/>
    <x v="3"/>
    <n v="4.5"/>
  </r>
  <r>
    <x v="10"/>
    <s v="Javi"/>
    <m/>
    <m/>
    <x v="1"/>
    <m/>
    <m/>
    <m/>
    <x v="1"/>
    <m/>
  </r>
  <r>
    <x v="11"/>
    <s v="Jesús"/>
    <m/>
    <m/>
    <x v="1"/>
    <m/>
    <m/>
    <m/>
    <x v="1"/>
    <m/>
  </r>
  <r>
    <x v="12"/>
    <s v="JP"/>
    <d v="2021-09-12T00:00:00"/>
    <s v="El Encín"/>
    <x v="0"/>
    <s v="Stableford"/>
    <n v="37"/>
    <m/>
    <x v="3"/>
    <n v="4.5"/>
  </r>
  <r>
    <x v="13"/>
    <s v="Juanjo"/>
    <d v="2021-09-12T00:00:00"/>
    <s v="El Encín"/>
    <x v="0"/>
    <s v="Stableford"/>
    <n v="27"/>
    <m/>
    <x v="3"/>
    <n v="4.5"/>
  </r>
  <r>
    <x v="14"/>
    <s v="Kike"/>
    <m/>
    <m/>
    <x v="1"/>
    <m/>
    <m/>
    <m/>
    <x v="1"/>
    <m/>
  </r>
  <r>
    <x v="15"/>
    <s v="Lucho"/>
    <m/>
    <m/>
    <x v="1"/>
    <m/>
    <m/>
    <m/>
    <x v="1"/>
    <m/>
  </r>
  <r>
    <x v="16"/>
    <s v="Cañita"/>
    <m/>
    <m/>
    <x v="1"/>
    <m/>
    <m/>
    <m/>
    <x v="1"/>
    <m/>
  </r>
  <r>
    <x v="17"/>
    <s v="Muni"/>
    <m/>
    <m/>
    <x v="1"/>
    <m/>
    <m/>
    <m/>
    <x v="1"/>
    <m/>
  </r>
  <r>
    <x v="18"/>
    <s v="Ricardo"/>
    <m/>
    <m/>
    <x v="1"/>
    <m/>
    <m/>
    <m/>
    <x v="1"/>
    <m/>
  </r>
  <r>
    <x v="19"/>
    <s v="Iñigo"/>
    <m/>
    <m/>
    <x v="1"/>
    <m/>
    <m/>
    <m/>
    <x v="1"/>
    <m/>
  </r>
  <r>
    <x v="20"/>
    <s v="Miche"/>
    <m/>
    <m/>
    <x v="1"/>
    <m/>
    <m/>
    <m/>
    <x v="1"/>
    <m/>
  </r>
  <r>
    <x v="0"/>
    <s v="Alfonso"/>
    <m/>
    <m/>
    <x v="1"/>
    <m/>
    <m/>
    <m/>
    <x v="1"/>
    <m/>
  </r>
  <r>
    <x v="1"/>
    <s v="Gifu"/>
    <m/>
    <m/>
    <x v="1"/>
    <m/>
    <m/>
    <m/>
    <x v="1"/>
    <m/>
  </r>
  <r>
    <x v="2"/>
    <s v="Alvaro"/>
    <m/>
    <m/>
    <x v="1"/>
    <m/>
    <m/>
    <m/>
    <x v="1"/>
    <m/>
  </r>
  <r>
    <x v="3"/>
    <s v="Angel"/>
    <m/>
    <m/>
    <x v="1"/>
    <m/>
    <m/>
    <m/>
    <x v="1"/>
    <m/>
  </r>
  <r>
    <x v="4"/>
    <s v="David"/>
    <m/>
    <m/>
    <x v="1"/>
    <m/>
    <m/>
    <m/>
    <x v="1"/>
    <m/>
  </r>
  <r>
    <x v="5"/>
    <s v="Paco"/>
    <m/>
    <m/>
    <x v="1"/>
    <m/>
    <m/>
    <m/>
    <x v="1"/>
    <m/>
  </r>
  <r>
    <x v="6"/>
    <s v="Fran"/>
    <m/>
    <m/>
    <x v="1"/>
    <m/>
    <m/>
    <m/>
    <x v="1"/>
    <m/>
  </r>
  <r>
    <x v="7"/>
    <s v="Ignacio"/>
    <d v="2021-10-23T00:00:00"/>
    <s v="El Robledal"/>
    <x v="2"/>
    <s v="Stableford"/>
    <n v="29"/>
    <m/>
    <x v="3"/>
    <n v="0"/>
  </r>
  <r>
    <x v="8"/>
    <s v="Nacho"/>
    <m/>
    <m/>
    <x v="1"/>
    <m/>
    <m/>
    <m/>
    <x v="1"/>
    <m/>
  </r>
  <r>
    <x v="9"/>
    <s v="Virus"/>
    <d v="2021-10-23T00:00:00"/>
    <s v="El Robledal"/>
    <x v="2"/>
    <s v="Stableford"/>
    <n v="30"/>
    <m/>
    <x v="3"/>
    <n v="0"/>
  </r>
  <r>
    <x v="10"/>
    <s v="Javi"/>
    <m/>
    <m/>
    <x v="1"/>
    <m/>
    <m/>
    <m/>
    <x v="1"/>
    <m/>
  </r>
  <r>
    <x v="11"/>
    <s v="Jesús"/>
    <d v="2021-10-23T00:00:00"/>
    <s v="El Robledal"/>
    <x v="2"/>
    <s v="Stableford"/>
    <n v="24"/>
    <m/>
    <x v="3"/>
    <n v="0"/>
  </r>
  <r>
    <x v="12"/>
    <s v="JP"/>
    <m/>
    <m/>
    <x v="1"/>
    <m/>
    <m/>
    <m/>
    <x v="1"/>
    <m/>
  </r>
  <r>
    <x v="13"/>
    <s v="Juanjo"/>
    <d v="2021-10-23T00:00:00"/>
    <s v="El Robledal"/>
    <x v="2"/>
    <s v="Stableford"/>
    <n v="18"/>
    <m/>
    <x v="3"/>
    <n v="0"/>
  </r>
  <r>
    <x v="14"/>
    <s v="Kike"/>
    <d v="2021-10-23T00:00:00"/>
    <s v="El Robledal"/>
    <x v="2"/>
    <s v="Stableford"/>
    <n v="30"/>
    <m/>
    <x v="3"/>
    <n v="0"/>
  </r>
  <r>
    <x v="15"/>
    <s v="Lucho"/>
    <m/>
    <m/>
    <x v="1"/>
    <m/>
    <m/>
    <m/>
    <x v="1"/>
    <m/>
  </r>
  <r>
    <x v="16"/>
    <s v="Cañita"/>
    <m/>
    <m/>
    <x v="1"/>
    <m/>
    <m/>
    <m/>
    <x v="1"/>
    <m/>
  </r>
  <r>
    <x v="17"/>
    <s v="Muni"/>
    <m/>
    <m/>
    <x v="1"/>
    <m/>
    <m/>
    <m/>
    <x v="1"/>
    <m/>
  </r>
  <r>
    <x v="18"/>
    <s v="Ricardo"/>
    <m/>
    <m/>
    <x v="1"/>
    <m/>
    <m/>
    <m/>
    <x v="1"/>
    <m/>
  </r>
  <r>
    <x v="19"/>
    <s v="Iñigo"/>
    <m/>
    <m/>
    <x v="1"/>
    <m/>
    <m/>
    <m/>
    <x v="1"/>
    <m/>
  </r>
  <r>
    <x v="20"/>
    <s v="Miche"/>
    <m/>
    <m/>
    <x v="1"/>
    <m/>
    <m/>
    <m/>
    <x v="1"/>
    <m/>
  </r>
  <r>
    <x v="0"/>
    <s v="Alfonso"/>
    <m/>
    <m/>
    <x v="1"/>
    <m/>
    <m/>
    <m/>
    <x v="1"/>
    <m/>
  </r>
  <r>
    <x v="1"/>
    <s v="Gifu"/>
    <d v="2021-11-06T00:00:00"/>
    <s v="Centro Nacional"/>
    <x v="3"/>
    <s v="Stableford"/>
    <n v="34"/>
    <m/>
    <x v="3"/>
    <n v="22.5"/>
  </r>
  <r>
    <x v="2"/>
    <s v="Alvaro"/>
    <m/>
    <m/>
    <x v="1"/>
    <m/>
    <m/>
    <m/>
    <x v="1"/>
    <m/>
  </r>
  <r>
    <x v="3"/>
    <s v="Angel"/>
    <m/>
    <m/>
    <x v="1"/>
    <m/>
    <m/>
    <m/>
    <x v="1"/>
    <m/>
  </r>
  <r>
    <x v="4"/>
    <s v="David"/>
    <d v="2021-11-06T00:00:00"/>
    <s v="Centro Nacional"/>
    <x v="3"/>
    <s v="Stableford"/>
    <n v="33"/>
    <m/>
    <x v="3"/>
    <n v="22.5"/>
  </r>
  <r>
    <x v="5"/>
    <s v="Paco"/>
    <m/>
    <m/>
    <x v="1"/>
    <m/>
    <m/>
    <m/>
    <x v="1"/>
    <m/>
  </r>
  <r>
    <x v="6"/>
    <s v="Fran"/>
    <d v="2021-11-06T00:00:00"/>
    <s v="Centro Nacional"/>
    <x v="3"/>
    <s v="Stableford"/>
    <n v="28"/>
    <m/>
    <x v="3"/>
    <n v="22.5"/>
  </r>
  <r>
    <x v="7"/>
    <s v="Ignacio"/>
    <m/>
    <m/>
    <x v="1"/>
    <m/>
    <m/>
    <m/>
    <x v="1"/>
    <m/>
  </r>
  <r>
    <x v="8"/>
    <s v="Nacho"/>
    <m/>
    <m/>
    <x v="1"/>
    <m/>
    <m/>
    <m/>
    <x v="1"/>
    <m/>
  </r>
  <r>
    <x v="9"/>
    <s v="Virus"/>
    <m/>
    <m/>
    <x v="1"/>
    <m/>
    <m/>
    <m/>
    <x v="1"/>
    <m/>
  </r>
  <r>
    <x v="10"/>
    <s v="Javi"/>
    <d v="2021-11-06T00:00:00"/>
    <s v="Centro Nacional"/>
    <x v="3"/>
    <s v="Stableford"/>
    <n v="39"/>
    <m/>
    <x v="3"/>
    <n v="22.5"/>
  </r>
  <r>
    <x v="11"/>
    <s v="Jesús"/>
    <m/>
    <m/>
    <x v="1"/>
    <m/>
    <m/>
    <m/>
    <x v="1"/>
    <m/>
  </r>
  <r>
    <x v="12"/>
    <s v="JP"/>
    <d v="2021-11-06T00:00:00"/>
    <s v="Centro Nacional"/>
    <x v="3"/>
    <s v="Stableford"/>
    <n v="25"/>
    <m/>
    <x v="3"/>
    <n v="22.5"/>
  </r>
  <r>
    <x v="13"/>
    <s v="Juanjo"/>
    <m/>
    <m/>
    <x v="1"/>
    <m/>
    <m/>
    <m/>
    <x v="1"/>
    <m/>
  </r>
  <r>
    <x v="14"/>
    <s v="Kike"/>
    <m/>
    <m/>
    <x v="1"/>
    <m/>
    <m/>
    <m/>
    <x v="1"/>
    <m/>
  </r>
  <r>
    <x v="15"/>
    <s v="Lucho"/>
    <m/>
    <m/>
    <x v="1"/>
    <m/>
    <m/>
    <m/>
    <x v="1"/>
    <m/>
  </r>
  <r>
    <x v="16"/>
    <s v="Cañita"/>
    <m/>
    <m/>
    <x v="1"/>
    <m/>
    <m/>
    <m/>
    <x v="1"/>
    <m/>
  </r>
  <r>
    <x v="17"/>
    <s v="Muni"/>
    <m/>
    <m/>
    <x v="1"/>
    <m/>
    <m/>
    <m/>
    <x v="1"/>
    <m/>
  </r>
  <r>
    <x v="18"/>
    <s v="Ricardo"/>
    <m/>
    <m/>
    <x v="1"/>
    <m/>
    <m/>
    <m/>
    <x v="1"/>
    <m/>
  </r>
  <r>
    <x v="19"/>
    <s v="Iñigo"/>
    <m/>
    <m/>
    <x v="1"/>
    <m/>
    <m/>
    <m/>
    <x v="1"/>
    <m/>
  </r>
  <r>
    <x v="20"/>
    <s v="Miche"/>
    <m/>
    <m/>
    <x v="1"/>
    <m/>
    <m/>
    <m/>
    <x v="1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596CCC-6245-4B20-A670-33B2460AEC2B}" name="TablaDinámica4" cacheId="0" applyNumberFormats="0" applyBorderFormats="0" applyFontFormats="0" applyPatternFormats="0" applyAlignmentFormats="0" applyWidthHeightFormats="1" dataCaption="Valores" updatedVersion="8" minRefreshableVersion="3" rowGrandTotals="0" itemPrintTitles="1" createdVersion="8" indent="0" compact="0" compactData="0" gridDropZones="1" multipleFieldFilters="0">
  <location ref="A3:H44" firstHeaderRow="2" firstDataRow="2" firstDataCol="2"/>
  <pivotFields count="13">
    <pivotField axis="axisRow" compact="0" outline="0" showAll="0">
      <items count="41">
        <item x="0"/>
        <item x="1"/>
        <item x="31"/>
        <item x="2"/>
        <item x="3"/>
        <item x="29"/>
        <item x="4"/>
        <item x="5"/>
        <item x="30"/>
        <item x="6"/>
        <item x="7"/>
        <item x="9"/>
        <item x="10"/>
        <item x="11"/>
        <item x="12"/>
        <item x="13"/>
        <item x="14"/>
        <item x="33"/>
        <item x="15"/>
        <item x="34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35"/>
        <item x="8"/>
        <item x="16"/>
        <item x="32"/>
        <item x="36"/>
        <item x="37"/>
        <item x="38"/>
        <item x="39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ascending" defaultSubtotal="0">
      <items count="9">
        <item h="1" m="1" x="5"/>
        <item m="1" x="2"/>
        <item m="1" x="7"/>
        <item m="1" x="6"/>
        <item m="1" x="8"/>
        <item m="1" x="3"/>
        <item m="1" x="4"/>
        <item m="1" x="1"/>
        <item x="0"/>
      </items>
    </pivotField>
  </pivotFields>
  <rowFields count="2">
    <field x="12"/>
    <field x="0"/>
  </rowFields>
  <rowItems count="40">
    <i>
      <x v="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</rowItems>
  <colItems count="1">
    <i/>
  </colItems>
  <formats count="15">
    <format dxfId="104">
      <pivotArea outline="0" fieldPosition="0">
        <references count="2">
          <reference field="0" count="3" selected="0">
            <x v="1"/>
            <x v="12"/>
            <x v="31"/>
          </reference>
          <reference field="12" count="1" selected="0">
            <x v="1"/>
          </reference>
        </references>
      </pivotArea>
    </format>
    <format dxfId="103">
      <pivotArea dataOnly="0" labelOnly="1" outline="0" fieldPosition="0">
        <references count="1">
          <reference field="12" count="1">
            <x v="1"/>
          </reference>
        </references>
      </pivotArea>
    </format>
    <format dxfId="102">
      <pivotArea dataOnly="0" labelOnly="1" outline="0" fieldPosition="0">
        <references count="2">
          <reference field="0" count="3">
            <x v="1"/>
            <x v="12"/>
            <x v="31"/>
          </reference>
          <reference field="12" count="1" selected="0">
            <x v="1"/>
          </reference>
        </references>
      </pivotArea>
    </format>
    <format dxfId="101">
      <pivotArea dataOnly="0" labelOnly="1" outline="0" offset="IV1" fieldPosition="0">
        <references count="1">
          <reference field="12" count="1">
            <x v="3"/>
          </reference>
        </references>
      </pivotArea>
    </format>
    <format dxfId="100">
      <pivotArea dataOnly="0" labelOnly="1" outline="0" offset="IV1" fieldPosition="0">
        <references count="1">
          <reference field="12" count="1">
            <x v="5"/>
          </reference>
        </references>
      </pivotArea>
    </format>
    <format dxfId="99">
      <pivotArea dataOnly="0" labelOnly="1" outline="0" offset="IV1" fieldPosition="0">
        <references count="1">
          <reference field="12" count="1">
            <x v="7"/>
          </reference>
        </references>
      </pivotArea>
    </format>
    <format dxfId="98">
      <pivotArea dataOnly="0" labelOnly="1" outline="0" offset="IV256" fieldPosition="0">
        <references count="1">
          <reference field="12" count="1">
            <x v="3"/>
          </reference>
        </references>
      </pivotArea>
    </format>
    <format dxfId="97">
      <pivotArea dataOnly="0" labelOnly="1" outline="0" offset="IV256" fieldPosition="0">
        <references count="1">
          <reference field="12" count="1">
            <x v="5"/>
          </reference>
        </references>
      </pivotArea>
    </format>
    <format dxfId="96">
      <pivotArea dataOnly="0" labelOnly="1" outline="0" offset="IV256" fieldPosition="0">
        <references count="1">
          <reference field="12" count="1">
            <x v="7"/>
          </reference>
        </references>
      </pivotArea>
    </format>
    <format dxfId="95">
      <pivotArea dataOnly="0" outline="0" fieldPosition="0">
        <references count="1">
          <reference field="12" count="1">
            <x v="3"/>
          </reference>
        </references>
      </pivotArea>
    </format>
    <format dxfId="94">
      <pivotArea dataOnly="0" outline="0" fieldPosition="0">
        <references count="1">
          <reference field="12" count="1">
            <x v="5"/>
          </reference>
        </references>
      </pivotArea>
    </format>
    <format dxfId="93">
      <pivotArea dataOnly="0" outline="0" fieldPosition="0">
        <references count="1">
          <reference field="12" count="1">
            <x v="7"/>
          </reference>
        </references>
      </pivotArea>
    </format>
    <format dxfId="92">
      <pivotArea dataOnly="0" labelOnly="1" outline="0" fieldPosition="0">
        <references count="2">
          <reference field="0" count="4">
            <x v="5"/>
            <x v="13"/>
            <x v="16"/>
            <x v="39"/>
          </reference>
          <reference field="12" count="1" selected="0">
            <x v="3"/>
          </reference>
        </references>
      </pivotArea>
    </format>
    <format dxfId="91">
      <pivotArea dataOnly="0" labelOnly="1" outline="0" fieldPosition="0">
        <references count="2">
          <reference field="0" count="4">
            <x v="3"/>
            <x v="10"/>
            <x v="11"/>
            <x v="24"/>
          </reference>
          <reference field="12" count="1" selected="0">
            <x v="5"/>
          </reference>
        </references>
      </pivotArea>
    </format>
    <format dxfId="90">
      <pivotArea dataOnly="0" labelOnly="1" outline="0" fieldPosition="0">
        <references count="2">
          <reference field="0" count="4">
            <x v="0"/>
            <x v="28"/>
            <x v="29"/>
            <x v="33"/>
          </reference>
          <reference field="12" count="1" selected="0">
            <x v="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9517C4-0AF7-4A2A-B56C-B8849B76E2E4}" name="TablaDinámica1" cacheId="1" applyNumberFormats="0" applyBorderFormats="0" applyFontFormats="0" applyPatternFormats="0" applyAlignmentFormats="0" applyWidthHeightFormats="1" dataCaption="Valores" updatedVersion="8" minRefreshableVersion="3" itemPrintTitles="1" createdVersion="8" indent="0" compact="0" compactData="0" gridDropZones="1" multipleFieldFilters="0">
  <location ref="P3:Q42" firstHeaderRow="2" firstDataRow="2" firstDataCol="1" rowPageCount="1" colPageCount="1"/>
  <pivotFields count="14">
    <pivotField axis="axisPage" compact="0" numFmtId="14" outline="0" showAll="0">
      <items count="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m="1" x="93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t="default"/>
      </items>
    </pivotField>
    <pivotField axis="axisRow" compact="0" outline="0" showAll="0" sortType="ascending">
      <items count="59">
        <item x="30"/>
        <item x="0"/>
        <item x="22"/>
        <item x="1"/>
        <item x="23"/>
        <item x="2"/>
        <item x="3"/>
        <item x="31"/>
        <item x="33"/>
        <item x="34"/>
        <item x="4"/>
        <item x="39"/>
        <item x="40"/>
        <item x="29"/>
        <item x="5"/>
        <item x="6"/>
        <item x="24"/>
        <item x="7"/>
        <item x="8"/>
        <item x="37"/>
        <item x="9"/>
        <item x="10"/>
        <item x="35"/>
        <item x="41"/>
        <item x="11"/>
        <item x="25"/>
        <item x="12"/>
        <item x="26"/>
        <item x="13"/>
        <item x="38"/>
        <item x="14"/>
        <item x="36"/>
        <item x="15"/>
        <item x="20"/>
        <item x="21"/>
        <item x="19"/>
        <item x="27"/>
        <item x="16"/>
        <item x="17"/>
        <item x="18"/>
        <item x="28"/>
        <item x="32"/>
        <item m="1" x="57"/>
        <item x="44"/>
        <item x="42"/>
        <item x="43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"/>
  </rowFields>
  <rowItems count="38">
    <i>
      <x v="9"/>
    </i>
    <i>
      <x/>
    </i>
    <i>
      <x v="3"/>
    </i>
    <i>
      <x v="37"/>
    </i>
    <i>
      <x v="36"/>
    </i>
    <i>
      <x v="30"/>
    </i>
    <i>
      <x v="6"/>
    </i>
    <i>
      <x v="18"/>
    </i>
    <i>
      <x v="4"/>
    </i>
    <i>
      <x v="22"/>
    </i>
    <i>
      <x v="1"/>
    </i>
    <i>
      <x v="10"/>
    </i>
    <i>
      <x v="25"/>
    </i>
    <i>
      <x v="23"/>
    </i>
    <i>
      <x v="43"/>
    </i>
    <i>
      <x v="15"/>
    </i>
    <i>
      <x v="44"/>
    </i>
    <i>
      <x v="5"/>
    </i>
    <i>
      <x v="13"/>
    </i>
    <i>
      <x v="2"/>
    </i>
    <i>
      <x v="16"/>
    </i>
    <i>
      <x v="14"/>
    </i>
    <i>
      <x v="41"/>
    </i>
    <i>
      <x v="24"/>
    </i>
    <i>
      <x v="40"/>
    </i>
    <i>
      <x v="26"/>
    </i>
    <i>
      <x v="21"/>
    </i>
    <i>
      <x v="7"/>
    </i>
    <i>
      <x v="17"/>
    </i>
    <i>
      <x v="27"/>
    </i>
    <i>
      <x v="31"/>
    </i>
    <i>
      <x v="34"/>
    </i>
    <i>
      <x v="29"/>
    </i>
    <i>
      <x v="19"/>
    </i>
    <i>
      <x v="11"/>
    </i>
    <i>
      <x v="28"/>
    </i>
    <i>
      <x v="45"/>
    </i>
    <i t="grand">
      <x/>
    </i>
  </rowItems>
  <colItems count="1">
    <i/>
  </colItems>
  <pageFields count="1">
    <pageField fld="0" item="62" hier="-1"/>
  </pageFields>
  <dataFields count="1">
    <dataField name="Suma de Handicap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99AD61-2FBC-4D31-B4A6-9E9BD8B08A64}" name="TablaDinámica11" cacheId="2" applyNumberFormats="0" applyBorderFormats="0" applyFontFormats="0" applyPatternFormats="0" applyAlignmentFormats="0" applyWidthHeightFormats="1" dataCaption="Valores" updatedVersion="8" minRefreshableVersion="3" rowGrandTotals="0" itemPrintTitles="1" createdVersion="8" indent="0" compact="0" compactData="0" gridDropZones="1" multipleFieldFilters="0">
  <location ref="A3:D30" firstHeaderRow="1" firstDataRow="2" firstDataCol="2"/>
  <pivotFields count="8">
    <pivotField compact="0" numFmtId="14" outline="0" showAll="0"/>
    <pivotField axis="axisRow" compact="0" outline="0" showAll="0" sortType="ascending">
      <items count="31">
        <item x="23"/>
        <item x="7"/>
        <item x="25"/>
        <item x="2"/>
        <item x="4"/>
        <item x="10"/>
        <item x="3"/>
        <item x="29"/>
        <item x="8"/>
        <item x="11"/>
        <item x="13"/>
        <item x="9"/>
        <item x="12"/>
        <item x="18"/>
        <item x="5"/>
        <item x="16"/>
        <item x="15"/>
        <item x="6"/>
        <item x="14"/>
        <item x="19"/>
        <item x="21"/>
        <item x="24"/>
        <item x="28"/>
        <item x="22"/>
        <item x="1"/>
        <item x="0"/>
        <item x="26"/>
        <item x="17"/>
        <item x="27"/>
        <item x="2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numFmtId="164" outline="0" showAll="0"/>
    <pivotField compact="0" outline="0" showAll="0"/>
    <pivotField compact="0" outline="0" showAll="0"/>
    <pivotField dataField="1" compact="0" outline="0" showAll="0"/>
    <pivotField axis="axisRow" compact="0" outline="0" showAll="0">
      <items count="6">
        <item x="0"/>
        <item x="1"/>
        <item x="2"/>
        <item x="3"/>
        <item h="1" x="4"/>
        <item t="default"/>
      </items>
    </pivotField>
    <pivotField compact="0" outline="0" showAll="0"/>
  </pivotFields>
  <rowFields count="2">
    <field x="6"/>
    <field x="1"/>
  </rowFields>
  <rowItems count="26">
    <i>
      <x/>
      <x v="25"/>
    </i>
    <i r="1">
      <x v="1"/>
    </i>
    <i r="1">
      <x v="8"/>
    </i>
    <i r="1">
      <x v="15"/>
    </i>
    <i r="1">
      <x v="16"/>
    </i>
    <i t="default">
      <x/>
    </i>
    <i>
      <x v="1"/>
      <x v="24"/>
    </i>
    <i r="1">
      <x v="17"/>
    </i>
    <i r="1">
      <x v="11"/>
    </i>
    <i r="1">
      <x v="18"/>
    </i>
    <i r="1">
      <x v="27"/>
    </i>
    <i t="default">
      <x v="1"/>
    </i>
    <i>
      <x v="2"/>
      <x v="3"/>
    </i>
    <i r="1">
      <x v="14"/>
    </i>
    <i r="1">
      <x v="5"/>
    </i>
    <i r="1">
      <x v="10"/>
    </i>
    <i r="1">
      <x v="13"/>
    </i>
    <i r="1">
      <x v="20"/>
    </i>
    <i t="default">
      <x v="2"/>
    </i>
    <i>
      <x v="3"/>
      <x v="6"/>
    </i>
    <i r="1">
      <x v="4"/>
    </i>
    <i r="1">
      <x v="9"/>
    </i>
    <i r="1">
      <x v="12"/>
    </i>
    <i r="1">
      <x v="19"/>
    </i>
    <i r="1">
      <x v="29"/>
    </i>
    <i t="default">
      <x v="3"/>
    </i>
  </rowItems>
  <colFields count="1">
    <field x="-2"/>
  </colFields>
  <colItems count="2">
    <i>
      <x/>
    </i>
    <i i="1">
      <x v="1"/>
    </i>
  </colItems>
  <dataFields count="2">
    <dataField name=" Hdcp" fld="2" subtotal="average" baseField="1" baseItem="25" numFmtId="165"/>
    <dataField name=" RkHdcp" fld="5" subtotal="average" baseField="1" baseItem="1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1F8D32-9BD5-4659-A475-92380B8F251D}" name="TablaDinámica1" cacheId="3" applyNumberFormats="0" applyBorderFormats="0" applyFontFormats="0" applyPatternFormats="0" applyAlignmentFormats="0" applyWidthHeightFormats="1" dataCaption="Valores" grandTotalCaption="Total" updatedVersion="8" minRefreshableVersion="3" itemPrintTitles="1" createdVersion="7" indent="0" compact="0" compactData="0" gridDropZones="1" multipleFieldFilters="0">
  <location ref="A3:E18" firstHeaderRow="1" firstDataRow="2" firstDataCol="1" rowPageCount="1" colPageCount="1"/>
  <pivotFields count="10">
    <pivotField axis="axisRow" compact="0" outline="0" showAll="0" sortType="descending">
      <items count="22">
        <item x="0"/>
        <item x="1"/>
        <item x="2"/>
        <item x="3"/>
        <item x="4"/>
        <item x="5"/>
        <item x="6"/>
        <item x="13"/>
        <item x="7"/>
        <item h="1" x="19"/>
        <item x="14"/>
        <item x="9"/>
        <item x="10"/>
        <item x="11"/>
        <item x="12"/>
        <item h="1" x="15"/>
        <item x="20"/>
        <item h="1" x="16"/>
        <item x="8"/>
        <item x="17"/>
        <item h="1" x="1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axis="axisCol" compact="0" outline="0" showAll="0">
      <items count="5">
        <item x="0"/>
        <item x="2"/>
        <item x="3"/>
        <item h="1" x="1"/>
        <item t="default"/>
      </items>
    </pivotField>
    <pivotField compact="0" outline="0" showAll="0"/>
    <pivotField compact="0" outline="0" showAll="0"/>
    <pivotField compact="0" outline="0" showAll="0"/>
    <pivotField axis="axisPage" compact="0" outline="0" showAll="0">
      <items count="5">
        <item x="2"/>
        <item x="0"/>
        <item x="3"/>
        <item x="1"/>
        <item t="default"/>
      </items>
    </pivotField>
    <pivotField dataField="1" compact="0" outline="0" showAll="0"/>
  </pivotFields>
  <rowFields count="1">
    <field x="0"/>
  </rowFields>
  <rowItems count="14">
    <i>
      <x v="12"/>
    </i>
    <i>
      <x v="4"/>
    </i>
    <i>
      <x v="1"/>
    </i>
    <i>
      <x v="6"/>
    </i>
    <i>
      <x v="14"/>
    </i>
    <i>
      <x v="18"/>
    </i>
    <i>
      <x/>
    </i>
    <i>
      <x v="11"/>
    </i>
    <i>
      <x v="7"/>
    </i>
    <i>
      <x v="10"/>
    </i>
    <i>
      <x v="2"/>
    </i>
    <i>
      <x v="13"/>
    </i>
    <i>
      <x v="8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pageFields count="1">
    <pageField fld="8" hier="-1"/>
  </pageFields>
  <dataFields count="1">
    <dataField name="Promedio de Puntos" fld="9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C871C0-DE24-4A12-A1FB-9AB7C529764B}" name="TablaDinámica1" cacheId="0" applyNumberFormats="0" applyBorderFormats="0" applyFontFormats="0" applyPatternFormats="0" applyAlignmentFormats="0" applyWidthHeightFormats="1" dataCaption="Valores" updatedVersion="8" minRefreshableVersion="3" rowGrandTotals="0" itemPrintTitles="1" createdVersion="8" indent="0" compact="0" compactData="0" gridDropZones="1" multipleFieldFilters="0">
  <location ref="A3:H5" firstHeaderRow="2" firstDataRow="2" firstDataCol="2"/>
  <pivotFields count="13">
    <pivotField axis="axisRow" compact="0" outline="0" showAll="0">
      <items count="41">
        <item x="0"/>
        <item x="1"/>
        <item x="31"/>
        <item x="2"/>
        <item x="3"/>
        <item x="29"/>
        <item x="4"/>
        <item x="5"/>
        <item x="30"/>
        <item x="6"/>
        <item x="7"/>
        <item x="9"/>
        <item x="10"/>
        <item x="11"/>
        <item x="12"/>
        <item x="13"/>
        <item x="14"/>
        <item x="15"/>
        <item x="34"/>
        <item x="17"/>
        <item x="18"/>
        <item x="19"/>
        <item x="20"/>
        <item x="21"/>
        <item x="23"/>
        <item x="24"/>
        <item x="25"/>
        <item x="26"/>
        <item x="27"/>
        <item x="28"/>
        <item x="35"/>
        <item x="22"/>
        <item x="33"/>
        <item x="8"/>
        <item x="16"/>
        <item x="32"/>
        <item x="36"/>
        <item x="37"/>
        <item x="38"/>
        <item x="39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name="Partidos" compact="0" outline="0" showAll="0" sortType="descending" defaultSubtotal="0"/>
    <pivotField compact="0" outline="0" showAll="0" sortType="descending" defaultSubtotal="0"/>
    <pivotField axis="axisRow" compact="0" outline="0" showAll="0">
      <items count="9">
        <item h="1" m="1" x="2"/>
        <item m="1" x="4"/>
        <item m="1" x="5"/>
        <item m="1" x="6"/>
        <item m="1" x="3"/>
        <item m="1" x="1"/>
        <item m="1" x="7"/>
        <item h="1" x="0"/>
        <item t="default"/>
      </items>
    </pivotField>
    <pivotField compact="0" outline="0" showAll="0"/>
  </pivotFields>
  <rowFields count="2">
    <field x="11"/>
    <field x="0"/>
  </rowFields>
  <colItems count="1">
    <i/>
  </colItems>
  <formats count="10">
    <format dxfId="23">
      <pivotArea dataOnly="0" outline="0" fieldPosition="0">
        <references count="1">
          <reference field="0" count="3">
            <x v="15"/>
            <x v="21"/>
            <x v="23"/>
          </reference>
        </references>
      </pivotArea>
    </format>
    <format dxfId="22">
      <pivotArea dataOnly="0" outline="0" fieldPosition="0">
        <references count="1">
          <reference field="0" count="4">
            <x v="18"/>
            <x v="20"/>
            <x v="27"/>
            <x v="28"/>
          </reference>
        </references>
      </pivotArea>
    </format>
    <format dxfId="21">
      <pivotArea dataOnly="0" outline="0" fieldPosition="0">
        <references count="1">
          <reference field="0" count="4">
            <x v="3"/>
            <x v="6"/>
            <x v="11"/>
            <x v="19"/>
          </reference>
        </references>
      </pivotArea>
    </format>
    <format dxfId="20">
      <pivotArea dataOnly="0" outline="0" fieldPosition="0">
        <references count="1">
          <reference field="0" count="1">
            <x v="10"/>
          </reference>
        </references>
      </pivotArea>
    </format>
    <format dxfId="19">
      <pivotArea dataOnly="0" outline="0" fieldPosition="0">
        <references count="1">
          <reference field="0" count="1">
            <x v="6"/>
          </reference>
        </references>
      </pivotArea>
    </format>
    <format dxfId="18">
      <pivotArea dataOnly="0" outline="0" fieldPosition="0">
        <references count="1">
          <reference field="0" count="1">
            <x v="16"/>
          </reference>
        </references>
      </pivotArea>
    </format>
    <format dxfId="17">
      <pivotArea dataOnly="0" outline="0" fieldPosition="0">
        <references count="1">
          <reference field="0" count="1">
            <x v="15"/>
          </reference>
        </references>
      </pivotArea>
    </format>
    <format dxfId="16">
      <pivotArea dataOnly="0" outline="0" fieldPosition="0">
        <references count="1">
          <reference field="0" count="1">
            <x v="21"/>
          </reference>
        </references>
      </pivotArea>
    </format>
    <format dxfId="15">
      <pivotArea dataOnly="0" labelOnly="1" outline="0" fieldPosition="0">
        <references count="1">
          <reference field="0" count="0"/>
        </references>
      </pivotArea>
    </format>
    <format dxfId="14">
      <pivotArea dataOnly="0" outline="0" fieldPosition="0">
        <references count="1">
          <reference field="11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2" xr16:uid="{00000000-0016-0000-0500-000000000000}" autoFormatId="16" applyNumberFormats="0" applyBorderFormats="0" applyFontFormats="0" applyPatternFormats="0" applyAlignmentFormats="0" applyWidthHeightFormats="0">
  <queryTableRefresh nextId="9">
    <queryTableFields count="8">
      <queryTableField id="1" name="Fecha" tableColumnId="1"/>
      <queryTableField id="2" name="Nombre" tableColumnId="2"/>
      <queryTableField id="3" name="HandicapActual" tableColumnId="3"/>
      <queryTableField id="4" name="Licencia" tableColumnId="4"/>
      <queryTableField id="5" name="HandicapAnterior" tableColumnId="5"/>
      <queryTableField id="6" name="Mote" tableColumnId="6"/>
      <queryTableField id="7" name="Nombre y Apellidos" tableColumnId="7"/>
      <queryTableField id="8" name="Fecha:Jugador" tableColumnId="8"/>
    </queryTableFields>
  </queryTableRefresh>
</queryTable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AB3A61-4358-404C-9DD4-2D82E922D11D}" name="dJugador" displayName="dJugador" ref="A1:O61" totalsRowShown="0">
  <autoFilter ref="A1:O61" xr:uid="{A587C9F1-741F-6A46-A1AD-34CB2C248331}"/>
  <tableColumns count="15">
    <tableColumn id="1" xr3:uid="{95002F85-23E2-AE40-BA25-63C3D88199FF}" name="Orden"/>
    <tableColumn id="2" xr3:uid="{6362DC93-BE00-9848-B1BD-AA7EB428FCAB}" name="Nombre"/>
    <tableColumn id="5" xr3:uid="{4BAE31EA-8B7B-F04B-94A8-56EBCD79E8D9}" name="Licencia"/>
    <tableColumn id="3" xr3:uid="{D16C9C33-58BE-3745-A708-6E5DB7645163}" name="Mote"/>
    <tableColumn id="4" xr3:uid="{89AB4413-F421-814C-A986-64DBFB1022B8}" name="Icono" dataDxfId="160"/>
    <tableColumn id="13" xr3:uid="{8C9A0A1F-AF54-E44F-B7CA-232BE5FF1221}" name="Movil" dataDxfId="159"/>
    <tableColumn id="14" xr3:uid="{317A9509-0EFE-634B-9EB3-C6BCBDC45E22}" name="Email"/>
    <tableColumn id="7" xr3:uid="{1ABC7888-2FD7-4D55-AE06-3FFEB31AAA1A}" name="Nombre y Apellidos" dataDxfId="158"/>
    <tableColumn id="6" xr3:uid="{6741CF18-3B69-0C4A-892A-22308FEAC53D}" name="2019-2020"/>
    <tableColumn id="8" xr3:uid="{EF4E42E7-9DA4-4AB2-B9C3-F8B5C8E2FA80}" name="2021"/>
    <tableColumn id="9" xr3:uid="{B999A62A-9F60-4691-B7A5-5FE79A50CE5D}" name="2022"/>
    <tableColumn id="10" xr3:uid="{BB8510D1-84E4-477B-A004-29C9A850AA29}" name="2023"/>
    <tableColumn id="11" xr3:uid="{F7283AEE-AAF8-4516-BB06-175DE026FED7}" name="2024"/>
    <tableColumn id="12" xr3:uid="{26FCE13C-F4B7-499C-9D25-867FE14A74C4}" name="2025"/>
    <tableColumn id="15" xr3:uid="{4EEEA725-B8F0-4B88-B764-D0443B86B96C}" name="202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3F55F99-8961-3E40-8E77-FCBC5C9234A5}" name="dCalendario" displayName="dCalendario" ref="A1:S35" totalsRowShown="0">
  <autoFilter ref="A1:S35" xr:uid="{F0A43350-8D8E-3C48-B526-035F21AC5ED8}"/>
  <sortState xmlns:xlrd2="http://schemas.microsoft.com/office/spreadsheetml/2017/richdata2" ref="A2:R12">
    <sortCondition ref="A1:A12"/>
  </sortState>
  <tableColumns count="19">
    <tableColumn id="1" xr3:uid="{352FF1FD-8008-794B-A334-2F6174525FD4}" name="Fecha" dataDxfId="157"/>
    <tableColumn id="17" xr3:uid="{4985824C-F4F3-442E-BFAA-ABAC95ECF2F6}" name="Temporada" dataDxfId="156"/>
    <tableColumn id="2" xr3:uid="{146B6AEE-5B61-C24C-A08F-8D37381F53A6}" name="NºTorneo"/>
    <tableColumn id="3" xr3:uid="{5FACBC1A-4E40-2940-A805-71506F9A9AFE}" name="Campo" dataDxfId="155"/>
    <tableColumn id="8" xr3:uid="{01AC9FD5-535A-471E-8FE8-410229EF1303}" name="Barras"/>
    <tableColumn id="4" xr3:uid="{D90CB361-0CE8-7747-8CFF-187EB9865B58}" name="TorneoID"/>
    <tableColumn id="5" xr3:uid="{DB52AACB-375E-F24C-86A6-561BA87D6C6D}" name="Organizado"/>
    <tableColumn id="6" xr3:uid="{30496BAB-034C-004C-842E-6C1879438DBA}" name="RdosQuitar"/>
    <tableColumn id="7" xr3:uid="{1AC97DB1-E802-E842-8964-BD4591E08492}" name="NºTornPunt" dataDxfId="154">
      <calculatedColumnFormula>+dCalendario[[#This Row],[NºTorneo]]-dCalendario[[#This Row],[RdosQuitar]]</calculatedColumnFormula>
    </tableColumn>
    <tableColumn id="9" xr3:uid="{2C09782D-3751-4E26-BCCD-BF14C1B62D5F}" name="Campo-Barras" dataDxfId="153">
      <calculatedColumnFormula>+dCalendario[[#This Row],[Campo]]&amp;"-"&amp;dCalendario[[#This Row],[Barras]]</calculatedColumnFormula>
    </tableColumn>
    <tableColumn id="10" xr3:uid="{88CC88CF-30DE-ED47-A6C1-EB82EFF40EC5}" name="Tee Salida"/>
    <tableColumn id="11" xr3:uid="{D1AAA96E-68C1-4749-BF42-C07E27356004}" name="Salidas"/>
    <tableColumn id="12" xr3:uid="{BA88DFFA-80AF-48D7-88D5-A84997CD5ACA}" name="DiaSem" dataDxfId="152">
      <calculatedColumnFormula>+WEEKDAY(dCalendario[[#This Row],[Fecha]],2)</calculatedColumnFormula>
    </tableColumn>
    <tableColumn id="13" xr3:uid="{A043AAAB-8D34-4D92-9384-FCD5D0AB7D44}" name="Precio" dataDxfId="151"/>
    <tableColumn id="19" xr3:uid="{1BEFA1F9-F11A-42A9-A40F-A31C39657D1E}" name="Salida"/>
    <tableColumn id="18" xr3:uid="{D108186F-C7C2-4B89-9A68-5B73A3E79281}" name="Hora"/>
    <tableColumn id="15" xr3:uid="{CFA4B158-91B2-46BF-B186-1FCFE993409A}" name="Observaciones" dataDxfId="150"/>
    <tableColumn id="16" xr3:uid="{DFFA0ABC-08C5-4654-A513-C91D49CC60D4}" name="Competicion" dataDxfId="149"/>
    <tableColumn id="14" xr3:uid="{063576C3-1E99-4DF5-95F0-E3B0EC8C3CB9}" name="Temp-Ntorn" dataDxfId="148">
      <calculatedColumnFormula>+dCalendario[[#This Row],[Temporada]]&amp;":"&amp;dCalendario[[#This Row],[NºTorneo]]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49F75923-A10C-4553-AA57-28556A783DBC}" name="dPuntosEquipos" displayName="dPuntosEquipos" ref="A1:C28" totalsRowShown="0">
  <autoFilter ref="A1:C28" xr:uid="{49F75923-A10C-4553-AA57-28556A783DBC}"/>
  <tableColumns count="3">
    <tableColumn id="3" xr3:uid="{E7CEF257-9AF3-4031-9FB8-F8BDFF043075}" name="Temporada"/>
    <tableColumn id="1" xr3:uid="{AF5935D9-385E-49C0-9A90-5138BD8AF74D}" name="Pos"/>
    <tableColumn id="2" xr3:uid="{0C3754D5-FB48-4B41-8477-29E38ED83F5E}" name="Puntos">
      <calculatedColumnFormula>+C1-25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62434FC2-CEAE-4EE4-9A14-7E6813B3A514}" name="Puntos_Equipos_Asistencia" displayName="Puntos_Equipos_Asistencia" ref="F1:H10" totalsRowShown="0">
  <autoFilter ref="F1:H10" xr:uid="{62434FC2-CEAE-4EE4-9A14-7E6813B3A514}"/>
  <tableColumns count="3">
    <tableColumn id="1" xr3:uid="{72CF2360-54DA-4850-89D0-B3D0CE4C7F46}" name="Temporada"/>
    <tableColumn id="2" xr3:uid="{12378902-EE93-4623-AE9D-D5BA16C6DC6D}" name="Jugador Nº"/>
    <tableColumn id="3" xr3:uid="{86C32FAA-16DE-4491-9995-0EFE04BF8A97}" name="Punto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61C93223-E6B2-4E8B-8046-04C62A3656FC}" name="dTipoCalculo" displayName="dTipoCalculo" ref="A1:B3" totalsRowShown="0">
  <autoFilter ref="A1:B3" xr:uid="{61C93223-E6B2-4E8B-8046-04C62A3656FC}"/>
  <tableColumns count="2">
    <tableColumn id="1" xr3:uid="{0B844675-0176-4B8C-84BD-769C4D0A7677}" name="Calculo"/>
    <tableColumn id="2" xr3:uid="{FDD23D2B-8B9E-4D86-94F7-D313B27B09D6}" name="IdCalculo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A7D9C2A-9F44-43CC-B3B7-D0FB4981A1CB}" name="fDescalificados" displayName="fDescalificados" ref="A1:D2" totalsRowShown="0">
  <autoFilter ref="A1:D2" xr:uid="{85AB8C08-BD01-42E4-921E-B16295B1DB0E}"/>
  <tableColumns count="4">
    <tableColumn id="4" xr3:uid="{C37CA498-5AC1-4234-9916-5DBDDF522CBC}" name="Temporada" dataDxfId="147"/>
    <tableColumn id="1" xr3:uid="{D12E4137-82CA-4689-BE42-C23740320D67}" name="Nº Torneo" dataDxfId="146"/>
    <tableColumn id="2" xr3:uid="{00BAFE52-B337-4721-A2E4-7A10A7C8CFDF}" name="Nombre" dataDxfId="145"/>
    <tableColumn id="3" xr3:uid="{3383A665-C7F9-46A6-86BA-CD9CADDD9380}" name="Motivo" dataDxfId="144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E88448D5-05E1-4E58-A0BF-1ACD2E99D78C}" name="dHandicapActual" displayName="dHandicapActual" ref="A1:H662" tableType="queryTable" totalsRowShown="0">
  <autoFilter ref="A1:H662" xr:uid="{E88448D5-05E1-4E58-A0BF-1ACD2E99D78C}"/>
  <tableColumns count="8">
    <tableColumn id="1" xr3:uid="{29AD004A-1BEF-46FC-9775-FDFE452D9462}" uniqueName="1" name="Fecha" queryTableFieldId="1" dataDxfId="143"/>
    <tableColumn id="2" xr3:uid="{43E28715-F2E8-49A5-A568-2E62C71B8F25}" uniqueName="2" name="Nombre" queryTableFieldId="2" dataDxfId="142"/>
    <tableColumn id="3" xr3:uid="{4AFC54A0-3BFF-4E1A-B1D2-54E8C4C2060F}" uniqueName="3" name="HandicapActual" queryTableFieldId="3"/>
    <tableColumn id="4" xr3:uid="{24C73DB4-068F-40EB-A41E-F8537792D03F}" uniqueName="4" name="Licencia" queryTableFieldId="4" dataDxfId="141"/>
    <tableColumn id="5" xr3:uid="{4FFAC93C-E7FD-4A1B-B2F5-59DD1C83ECE9}" uniqueName="5" name="HandicapAnterior" queryTableFieldId="5"/>
    <tableColumn id="6" xr3:uid="{F8216C04-E49E-4D1A-9BA1-5E4EF746B29F}" uniqueName="6" name="Mote" queryTableFieldId="6" dataDxfId="140"/>
    <tableColumn id="7" xr3:uid="{F88D6ACD-FA2B-4DC5-B8DB-85AA4A1777AA}" uniqueName="7" name="Nombre y Apellidos" queryTableFieldId="7" dataDxfId="139"/>
    <tableColumn id="8" xr3:uid="{940516F8-E2B6-4B1F-8307-D1E3B440C849}" uniqueName="8" name="Fecha:Jugador" queryTableFieldId="8" dataDxfId="138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D9E792F-801D-614D-BBC5-25B3F4830EB9}" name="dHdcp" displayName="dHdcp" ref="A1:N2803" totalsRowShown="0">
  <autoFilter ref="A1:N2803" xr:uid="{CC11A42A-F1CE-394F-91C8-8EA185AA60BD}"/>
  <sortState xmlns:xlrd2="http://schemas.microsoft.com/office/spreadsheetml/2017/richdata2" ref="A2:N2607">
    <sortCondition ref="A2:A2607"/>
    <sortCondition ref="B2:B2607"/>
  </sortState>
  <tableColumns count="14">
    <tableColumn id="1" xr3:uid="{2520DB68-BE27-9044-84AE-BD32096014BD}" name="Fecha" dataDxfId="137"/>
    <tableColumn id="2" xr3:uid="{AF9A7CB0-D64B-D44C-ADB0-68494F7698BB}" name="Nombre"/>
    <tableColumn id="3" xr3:uid="{1321DC02-7B99-324A-B7EF-E46C7812DC56}" name="Handicap" dataDxfId="136"/>
    <tableColumn id="4" xr3:uid="{61D47C42-6764-C349-8E95-8C92A1DD000E}" name="Cat"/>
    <tableColumn id="5" xr3:uid="{E7E27D9E-7582-834E-94BD-286B50765000}" name="Tipo"/>
    <tableColumn id="6" xr3:uid="{A97B056F-540E-4827-8903-F3D740FA9FEB}" name="__PowerAppsId__" dataDxfId="135"/>
    <tableColumn id="7" xr3:uid="{0598C37A-08E8-49A8-941C-3BD88CBE5684}" name="Maximo" dataDxfId="134">
      <calculatedColumnFormula>+IF(dHdcp[[#This Row],[Fecha]]=MAX(dHdcp[Fecha]),1,0)</calculatedColumnFormula>
    </tableColumn>
    <tableColumn id="8" xr3:uid="{C7F93305-226B-4B8C-996A-A8B9A8644603}" name="CodUltHand" dataDxfId="133">
      <calculatedColumnFormula>+dHdcp[[#This Row],[Maximo]]&amp;":"&amp;dHdcp[[#This Row],[Nombre]]</calculatedColumnFormula>
    </tableColumn>
    <tableColumn id="9" xr3:uid="{F149D611-B143-4848-85C3-D4243FD8CFCA}" name="UltHandMote" dataDxfId="132">
      <calculatedColumnFormula>+dHdcp[[#This Row],[Maximo]]&amp;":"&amp;_xlfn.XLOOKUP(dHdcp[[#This Row],[Nombre]],dJugador[Nombre],dJugador[Mote],"",0)</calculatedColumnFormula>
    </tableColumn>
    <tableColumn id="10" xr3:uid="{BFB3F073-86CD-40E0-8479-39AD214FA846}" name="Ranking" dataDxfId="131">
      <calculatedColumnFormula>+IF(dHdcp[[#This Row],[Maximo]]=0,"",_xlfn.RANK.EQ(dHdcp[[#This Row],[Handicap]],dHdcp[Handicap],1))</calculatedColumnFormula>
    </tableColumn>
    <tableColumn id="11" xr3:uid="{69189390-C36D-476E-98D0-1A3C5D4491B3}" name="Pos" dataDxfId="130">
      <calculatedColumnFormula>IFERROR(+_xlfn.RANK.EQ(dHdcp[[#This Row],[Ranking]],dHdcp[Ranking],1),"")</calculatedColumnFormula>
    </tableColumn>
    <tableColumn id="12" xr3:uid="{3BD344C5-B577-41CD-9603-6D971589EE41}" name="Orden" dataDxfId="129"/>
    <tableColumn id="13" xr3:uid="{78ABFDFF-D2C3-4812-BE63-DFA2AA858585}" name="Columna1" dataDxfId="128">
      <calculatedColumnFormula>+dHdcp[[#This Row],[Fecha]]&amp;":"&amp;dHdcp[[#This Row],[Nombre]]</calculatedColumnFormula>
    </tableColumn>
    <tableColumn id="14" xr3:uid="{B90B589B-8CD8-4C56-8943-4A043F66B753}" name="Columna2" dataDxfId="127">
      <calculatedColumnFormula>+COUNTIF(dHdcp[Columna1],dHdcp[[#This Row],[Columna1]])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EA01DEA3-782D-4DF8-8E7A-03812A795C5A}" name="dEquipos" displayName="dEquipos" ref="A1:E26" totalsRowShown="0">
  <autoFilter ref="A1:E26" xr:uid="{EA01DEA3-782D-4DF8-8E7A-03812A795C5A}"/>
  <tableColumns count="5">
    <tableColumn id="1" xr3:uid="{11FEE611-9C5B-4BAE-A5B2-F546A9823FC2}" name="Temporada"/>
    <tableColumn id="2" xr3:uid="{6F75CB57-F0EC-4D92-8BD0-EB47BE8D4766}" name="NEquipo"/>
    <tableColumn id="3" xr3:uid="{DE2F28CE-D894-4A05-8E85-02E31FC58A70}" name="Nombre Equipo"/>
    <tableColumn id="5" xr3:uid="{4F5FD14D-6449-4573-B66F-E962ADE26265}" name="Equipo:Temp" dataDxfId="126">
      <calculatedColumnFormula>+dEquipos[[#This Row],[Temporada]]&amp;":"&amp;dEquipos[[#This Row],[NEquipo]]</calculatedColumnFormula>
    </tableColumn>
    <tableColumn id="4" xr3:uid="{31C16588-1B61-489C-A99D-68DD8F39467D}" name="Logo" dataDxfId="125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25ECDBF-4FE5-4750-895F-9EEE37A6A0F7}" name="dJugadorEquipo" displayName="dJugadorEquipo" ref="A1:H116" totalsRowShown="0">
  <autoFilter ref="A1:H116" xr:uid="{025ECDBF-4FE5-4750-895F-9EEE37A6A0F7}"/>
  <sortState xmlns:xlrd2="http://schemas.microsoft.com/office/spreadsheetml/2017/richdata2" ref="A74:H114">
    <sortCondition ref="G2:G114"/>
  </sortState>
  <tableColumns count="8">
    <tableColumn id="1" xr3:uid="{F0D1CD58-02AE-40C1-BED1-E7755D655AA6}" name="Temporada"/>
    <tableColumn id="2" xr3:uid="{9FC0BE94-2CE2-4C5D-9737-5FD322674EAF}" name="Jugador"/>
    <tableColumn id="3" xr3:uid="{A966F6C2-CDC2-487B-96F4-AF854CC1E001}" name="RkEquipo"/>
    <tableColumn id="4" xr3:uid="{860EC0B7-2373-4CC2-97E2-A8B9FB94D63C}" name="Equipo"/>
    <tableColumn id="6" xr3:uid="{119DE3C8-EC07-4611-92E7-5FC95268AF0F}" name="Mote" dataDxfId="164">
      <calculatedColumnFormula>+_xlfn.XLOOKUP(dJugadorEquipo[[#This Row],[Jugador]],dJugador[Nombre],dJugador[Mote],"",0)</calculatedColumnFormula>
    </tableColumn>
    <tableColumn id="7" xr3:uid="{814973F8-AAD8-499D-87A8-634496D44D86}" name="NombreEq" dataDxfId="163">
      <calculatedColumnFormula>+_xlfn.XLOOKUP(dJugadorEquipo[[#This Row],[Equipo:Temp]],dEquipos[Equipo:Temp],dEquipos[Nombre Equipo],"",0)</calculatedColumnFormula>
    </tableColumn>
    <tableColumn id="5" xr3:uid="{8E4F2540-0639-40BC-820F-9F214DD9B1D5}" name="Equipo:Temp" dataDxfId="162">
      <calculatedColumnFormula>+dJugadorEquipo[[#This Row],[Temporada]]&amp;":"&amp;dJugadorEquipo[[#This Row],[Equipo]]</calculatedColumnFormula>
    </tableColumn>
    <tableColumn id="8" xr3:uid="{4E563840-E850-4C54-BF7E-85520D948AA3}" name="Columna1" dataDxfId="161">
      <calculatedColumnFormula>+_xlfn.XLOOKUP(dJugadorEquipo[[#This Row],[Equipo:Temp]],dEquipos[Equipo:Temp],dEquipos[Nombre Equipo],"",0)</calculatedColumnFormula>
    </tableColumn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3A7D792A-A1D8-4D82-83C1-7B8B2CB099EC}" name="Tabla28" displayName="Tabla28" ref="A1:F39" totalsRowShown="0" headerRowDxfId="124" dataDxfId="122" headerRowBorderDxfId="123" tableBorderDxfId="121">
  <autoFilter ref="A1:F39" xr:uid="{3A7D792A-A1D8-4D82-83C1-7B8B2CB099EC}"/>
  <sortState xmlns:xlrd2="http://schemas.microsoft.com/office/spreadsheetml/2017/richdata2" ref="A2:F39">
    <sortCondition ref="C1:C39"/>
  </sortState>
  <tableColumns count="6">
    <tableColumn id="1" xr3:uid="{41CAD624-55D8-4B0E-94C7-D2D0B0DB054E}" name="Temporada" dataDxfId="120"/>
    <tableColumn id="2" xr3:uid="{25042B33-FD14-436A-B594-4A49035F3DDF}" name="Jugador" dataDxfId="119"/>
    <tableColumn id="4" xr3:uid="{00E84922-4660-445B-BF25-4525AACABF12}" name="Mote" dataDxfId="118"/>
    <tableColumn id="3" xr3:uid="{B65F35B5-B9BC-4D7A-B69C-DB8AF883FD05}" name="Liga CSC" dataDxfId="117"/>
    <tableColumn id="5" xr3:uid="{BDD22566-9ABB-4840-A581-080B19DDEB0F}" name="NombreLiga" dataDxfId="116">
      <calculatedColumnFormula>+_xlfn.XLOOKUP(Tabla28[[#This Row],[Liga:Temp]],Tabla29[Temp:Código],Tabla29[Abreviado],"",0)</calculatedColumnFormula>
    </tableColumn>
    <tableColumn id="6" xr3:uid="{2A034C7A-6EB5-441B-AEE8-2AD481B52623}" name="Liga:Temp" dataDxfId="115">
      <calculatedColumnFormula>+Tabla28[[#This Row],[Temporada]]&amp;":"&amp;Tabla28[[#This Row],[Liga CSC]]</calculatedColumnFormula>
    </tableColumn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44C166E4-C09C-4954-8146-02F55A78293D}" name="Tabla29" displayName="Tabla29" ref="A1:E3" totalsRowShown="0">
  <autoFilter ref="A1:E3" xr:uid="{44C166E4-C09C-4954-8146-02F55A78293D}"/>
  <tableColumns count="5">
    <tableColumn id="1" xr3:uid="{04A51D65-2386-4669-A364-117281547133}" name="Temporada"/>
    <tableColumn id="2" xr3:uid="{95576108-F750-4136-96DB-5FF0E459F4C0}" name="Código"/>
    <tableColumn id="3" xr3:uid="{4E71FCB8-08D3-48E6-A2C5-A36D116023FE}" name="Nombre"/>
    <tableColumn id="4" xr3:uid="{C1E0E464-B069-47CB-8023-B8BA7A03C5F4}" name="Temp:Código">
      <calculatedColumnFormula>+Tabla29[[#This Row],[Temporada]]&amp;":"&amp;Tabla29[[#This Row],[Código]]</calculatedColumnFormula>
    </tableColumn>
    <tableColumn id="5" xr3:uid="{002A988F-194B-4ABA-A0B2-532E625C4741}" name="Abreviado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7C5FEA6B-740D-459F-95D7-C031AD51F4E9}" name="Tabla26" displayName="Tabla26" ref="G1:N38" totalsRowShown="0">
  <autoFilter ref="G1:N38" xr:uid="{7C5FEA6B-740D-459F-95D7-C031AD51F4E9}"/>
  <tableColumns count="8">
    <tableColumn id="7" xr3:uid="{4DB95C17-AB3F-4222-B682-9E3F6BFD3533}" name="NºEqu"/>
    <tableColumn id="1" xr3:uid="{E13A03A5-47D4-4C59-832A-1EB113CB6979}" name="Equipo"/>
    <tableColumn id="2" xr3:uid="{84440F1F-3267-47D6-8C6D-1D4504C3EB62}" name="Jugador"/>
    <tableColumn id="3" xr3:uid="{07ECC3E6-A877-4BB0-A8B6-CAC3598B595C}" name="RKEquipo"/>
    <tableColumn id="4" xr3:uid="{9949C811-0313-4F90-BF18-C17AC6071CED}" name="Partidos"/>
    <tableColumn id="5" xr3:uid="{796572EF-D91A-4A8A-9FBF-BBEACEB7D676}" name="Hdcp"/>
    <tableColumn id="6" xr3:uid="{236684B8-D75A-4B85-9B4C-B8041703142C}" name="Estado"/>
    <tableColumn id="8" xr3:uid="{9425D1FD-570E-4829-8032-9F614DDFD3E3}" name="Columna1" dataDxfId="114">
      <calculatedColumnFormula>+Tabla26[[#This Row],[NºEqu]]&amp;":"&amp;Tabla26[[#This Row],[RKEquipo]]</calculatedColumnFormula>
    </tableColumn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600EC80-A597-EB41-8F32-AC34F7C753BA}" name="dTipoTorn" displayName="dTipoTorn" ref="A1:C9" totalsRowShown="0">
  <autoFilter ref="A1:C9" xr:uid="{146E5DF5-6CCE-8B4F-AB33-D46BCAD5BF5B}"/>
  <tableColumns count="3">
    <tableColumn id="3" xr3:uid="{3D802837-44B6-4860-A960-B29F98DCA26E}" name="Temporada"/>
    <tableColumn id="1" xr3:uid="{D3684C03-EA77-CA4E-AE0F-340A33C91671}" name="TorneoID"/>
    <tableColumn id="2" xr3:uid="{B07B34A7-424D-0141-9218-18481E38542E}" name="Tipo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5D972A7-986E-1E48-8EF5-1651856A671A}" name="dPuntosTipoTorneo" displayName="dPuntosTipoTorneo" ref="A1:F73" totalsRowShown="0">
  <autoFilter ref="A1:F73" xr:uid="{796F3704-32F0-B546-BB77-F490AD0F0B68}"/>
  <tableColumns count="6">
    <tableColumn id="6" xr3:uid="{BC5E23D8-F695-4456-92ED-3B4E948C7D82}" name="Temporada"/>
    <tableColumn id="1" xr3:uid="{24583831-76D9-7144-A0AC-10A5326B8170}" name="Rk"/>
    <tableColumn id="2" xr3:uid="{85047AFB-D907-204F-BA78-6EF2A67A7D28}" name="1"/>
    <tableColumn id="3" xr3:uid="{02B6150B-0FAC-0A43-A1EB-90700F00E147}" name="2"/>
    <tableColumn id="4" xr3:uid="{D020D92B-8AFB-444A-A46D-0D2B08CDCBBB}" name="3"/>
    <tableColumn id="5" xr3:uid="{16F7F06C-053A-6C45-B901-6E734C1B511E}" name="4" dataDxfId="113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5473AE20-3B91-481B-A9EF-17BFF1D28039}" name="golpesTheFinal" displayName="golpesTheFinal" ref="L1:N26" totalsRowShown="0">
  <autoFilter ref="L1:N26" xr:uid="{5473AE20-3B91-481B-A9EF-17BFF1D28039}"/>
  <tableColumns count="3">
    <tableColumn id="1" xr3:uid="{EE05913E-2680-4A79-86FE-D89B0B7C40DE}" name="Clasificación"/>
    <tableColumn id="2" xr3:uid="{3E34163C-8049-4B27-9E1E-CDDC1C4F77C0}" name="Golpes"/>
    <tableColumn id="3" xr3:uid="{CB0D4E82-7866-4ED3-A5EF-7B9039ED4259}" name="vs Primero" dataDxfId="112">
      <calculatedColumnFormula>+golpesTheFinal[[#This Row],[Golpes]]-$M$2</calculatedColumnFormula>
    </tableColumn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8A8ED7FD-C40F-4593-9895-EA3DB9D91021}" name="GolpesFinal2022" displayName="GolpesFinal2022" ref="P1:R24" totalsRowShown="0">
  <autoFilter ref="P1:R24" xr:uid="{8A8ED7FD-C40F-4593-9895-EA3DB9D91021}"/>
  <tableColumns count="3">
    <tableColumn id="1" xr3:uid="{4572BC63-3B96-4D31-B940-6BB70EFD1551}" name="Jugador"/>
    <tableColumn id="2" xr3:uid="{9CD76EDE-AB65-4E21-9A0A-402147975BBA}" name="Golpes+">
      <calculatedColumnFormula>+golpesTheFinal[[#This Row],[vs Primero]]</calculatedColumnFormula>
    </tableColumn>
    <tableColumn id="3" xr3:uid="{A3AB3466-851E-4672-8D14-8E41499B1214}" name="Golpes-" dataDxfId="111">
      <calculatedColumnFormula>+golpesTheFinal[[#This Row],[Golpes]]</calculatedColumnFormula>
    </tableColumn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AA1F6C8-AFDD-4199-AA5A-8B9C5C891B7D}" name="dHoyoVuelta" displayName="dHoyoVuelta" ref="A1:B19" totalsRowShown="0">
  <autoFilter ref="A1:B19" xr:uid="{B519C139-1039-4789-B41C-8F16DC34EE8F}"/>
  <tableColumns count="2">
    <tableColumn id="1" xr3:uid="{7A779A36-D206-4FE9-B28E-9A727179182B}" name="Hoyo">
      <calculatedColumnFormula>+A1+1</calculatedColumnFormula>
    </tableColumn>
    <tableColumn id="2" xr3:uid="{3476C3C5-B166-404B-A47F-F8AA1212AD33}" name="Vuelta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B7D8F464-A725-4EB4-B901-1ED361861470}" name="PuntosRanking" displayName="PuntosRanking" ref="A1:F290" totalsRowShown="0" headerRowBorderDxfId="110">
  <autoFilter ref="A1:F290" xr:uid="{B7D8F464-A725-4EB4-B901-1ED361861470}"/>
  <tableColumns count="6">
    <tableColumn id="1" xr3:uid="{AA2BD449-6229-43B2-8BDD-8F22F207D312}" name="Mote"/>
    <tableColumn id="2" xr3:uid="{D79886DB-0C6D-42C3-871F-D6C1806556EE}" name="Puntos" dataDxfId="109"/>
    <tableColumn id="3" xr3:uid="{1ED1D8D5-01E2-4425-8C52-8D284B57394A}" name="Torneos" dataDxfId="108"/>
    <tableColumn id="4" xr3:uid="{0DC4EC78-C5E9-455B-8E00-A9AF89C90054}" name="__PowerAppsId__" dataDxfId="107"/>
    <tableColumn id="5" xr3:uid="{0A60BC88-0FCC-48E4-9D19-05720469A323}" name="Máximo" dataDxfId="106">
      <calculatedColumnFormula>+IF(PuntosRanking[[#This Row],[Torneos]]=MAX(PuntosRanking[Torneos]),1,"")</calculatedColumnFormula>
    </tableColumn>
    <tableColumn id="6" xr3:uid="{3886D069-14C5-4535-B9F9-2644A422325F}" name="Columna1" dataDxfId="105">
      <calculatedColumnFormula>+PuntosRanking[[#This Row],[Mote]]&amp;"_"&amp;PuntosRanking[[#This Row],[Máximo]]</calculatedColumnFormula>
    </tableColumn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63F6A2C-F57F-4001-97F1-FF7E5D58B6CA}" name="Asistente_Torneo" displayName="Asistente_Torneo" ref="A1:M41" totalsRowShown="0" headerRowDxfId="89" headerRowBorderDxfId="88" tableBorderDxfId="87" totalsRowBorderDxfId="86">
  <autoFilter ref="A1:M41" xr:uid="{963F6A2C-F57F-4001-97F1-FF7E5D58B6CA}"/>
  <sortState xmlns:xlrd2="http://schemas.microsoft.com/office/spreadsheetml/2017/richdata2" ref="A2:M37">
    <sortCondition descending="1" ref="B2:B37"/>
    <sortCondition ref="A2:A37"/>
  </sortState>
  <tableColumns count="13">
    <tableColumn id="1" xr3:uid="{8135D00A-8C28-4D78-BAAC-31743727A175}" name="Nombre" dataDxfId="85"/>
    <tableColumn id="2" xr3:uid="{D9712DC0-8646-4A12-9145-F3658E4F2F68}" name="2023" dataDxfId="84">
      <calculatedColumnFormula>+VLOOKUP(A2,dJugador[[#All],[Nombre]:[Nombre y Apellidos]],8,FALSE)</calculatedColumnFormula>
    </tableColumn>
    <tableColumn id="3" xr3:uid="{D337C60E-1364-42C1-B95B-DCCB205C35AB}" name="1" dataDxfId="83"/>
    <tableColumn id="4" xr3:uid="{513906CB-AD5B-476C-BBAC-7C5685F7A635}" name="2" dataDxfId="82"/>
    <tableColumn id="5" xr3:uid="{E685C57B-1BCF-4616-9B9E-BA3A202E1468}" name="3"/>
    <tableColumn id="6" xr3:uid="{9A78167E-991A-4D3D-94BA-10A572CAF9A8}" name="4"/>
    <tableColumn id="7" xr3:uid="{4EA74ADA-1FA1-4BC0-9EE8-A918559163A6}" name="5"/>
    <tableColumn id="8" xr3:uid="{26FF1914-A767-425E-BA3F-5FB76021E151}" name="6"/>
    <tableColumn id="9" xr3:uid="{3D783DAA-5965-4F4A-B5A9-AFBB3F26DB03}" name="7" dataDxfId="81"/>
    <tableColumn id="10" xr3:uid="{6E14EFED-4DAC-498A-B24D-B23CDF6B823D}" name="8" dataDxfId="80"/>
    <tableColumn id="11" xr3:uid="{CB46AEF6-3633-4960-889F-78E41F0C9A40}" name="9"/>
    <tableColumn id="12" xr3:uid="{90A97883-AC4C-4F7B-8359-79691E6B40D2}" name="10" dataDxfId="79"/>
    <tableColumn id="13" xr3:uid="{40AE59D2-D885-4C38-B4D6-7F874C2FD0F6}" name="11" dataDxfId="78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239F6DD-3415-4DD7-B472-63F20400A85E}" name="Invitados" displayName="Invitados" ref="A1:M9" totalsRowShown="0" headerRowDxfId="77" dataDxfId="76">
  <autoFilter ref="A1:M9" xr:uid="{5239F6DD-3415-4DD7-B472-63F20400A85E}"/>
  <tableColumns count="13">
    <tableColumn id="1" xr3:uid="{E277157A-3017-4D75-AD75-18EE0B40EAC9}" name="Nombre" dataDxfId="75"/>
    <tableColumn id="2" xr3:uid="{0CFC846A-9F99-4D65-BDC9-CF7DB1B9B1B7}" name="2023" dataDxfId="74"/>
    <tableColumn id="3" xr3:uid="{08395530-B5C3-420F-84DC-110B9E33804C}" name="1" dataDxfId="73"/>
    <tableColumn id="4" xr3:uid="{7AA096F9-F0A3-494B-9E21-1FF0D91B833F}" name="2" dataDxfId="72"/>
    <tableColumn id="5" xr3:uid="{0C3BB7B9-032E-452E-8B92-8B63B045B719}" name="3" dataDxfId="71"/>
    <tableColumn id="6" xr3:uid="{B86F45F8-B482-463D-A3FA-2310C0344620}" name="4" dataDxfId="70"/>
    <tableColumn id="7" xr3:uid="{8BCABD0F-4F1E-490B-83E4-928EB80E6365}" name="5" dataDxfId="69"/>
    <tableColumn id="8" xr3:uid="{F5F578D5-AC76-4D87-80E5-46F5D6F1F55F}" name="6" dataDxfId="68"/>
    <tableColumn id="9" xr3:uid="{DC6ABABE-0028-4AE1-BEE1-2A83BA89B2E8}" name="7" dataDxfId="67"/>
    <tableColumn id="10" xr3:uid="{2228DAC6-EB42-4A54-BAC4-79BA243939FD}" name="8" dataDxfId="66"/>
    <tableColumn id="11" xr3:uid="{F87DADA1-F251-4594-9B2A-0669D7331E66}" name="9" dataDxfId="65"/>
    <tableColumn id="12" xr3:uid="{0D6ED77D-B34F-4059-B209-76C1EE669055}" name="10" dataDxfId="64"/>
    <tableColumn id="13" xr3:uid="{8EA0D836-A12F-48F0-B158-DFB876477220}" name="11" dataDxfId="63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6F820C54-1D7E-4AD6-AE1C-A34CF285A042}" name="DesarrolloPartidos" displayName="DesarrolloPartidos" ref="A1:K776" totalsRowShown="0">
  <autoFilter ref="A1:K776" xr:uid="{6F820C54-1D7E-4AD6-AE1C-A34CF285A042}"/>
  <tableColumns count="11">
    <tableColumn id="1" xr3:uid="{B8FD3782-2F74-4CB5-A559-D65A9D962655}" name="Jugadores" dataDxfId="62" totalsRowDxfId="61">
      <calculatedColumnFormula>+IF(ROW(A1)=1,10,IF(A1=E1,A1+1,A1))</calculatedColumnFormula>
    </tableColumn>
    <tableColumn id="2" xr3:uid="{0671520D-9F75-4B90-A5B0-A0CEDF5F1B07}" name="N_Partidos">
      <calculatedColumnFormula>+ROUNDUP(A2/4,0)</calculatedColumnFormula>
    </tableColumn>
    <tableColumn id="3" xr3:uid="{0A3384BB-F314-415D-8F4C-FE75DB601BB7}" name="Partidos_3">
      <calculatedColumnFormula>+(B2-A2/4)/0.25</calculatedColumnFormula>
    </tableColumn>
    <tableColumn id="4" xr3:uid="{8C0CAD7A-974D-474C-A8D0-BDB98856A2EB}" name="Partidos_4">
      <calculatedColumnFormula>+B2-C2</calculatedColumnFormula>
    </tableColumn>
    <tableColumn id="5" xr3:uid="{136B51AF-2073-4C55-8B73-E536F2265054}" name="Orden">
      <calculatedColumnFormula>+IF(ROW(E1)=1,1,IF(E1=A1,1,E1+1))</calculatedColumnFormula>
    </tableColumn>
    <tableColumn id="6" xr3:uid="{FD1F538D-AFA8-4C0A-BC51-EE19568ACE39}" name="JugEnPart3" dataDxfId="60" totalsRowDxfId="59">
      <calculatedColumnFormula>3*DesarrolloPartidos[[#This Row],[Partidos_3]]</calculatedColumnFormula>
    </tableColumn>
    <tableColumn id="7" xr3:uid="{B0E5569C-D9DC-4004-869D-866B1623584D}" name="PartidosSolo3" dataDxfId="58" totalsRowDxfId="57">
      <calculatedColumnFormula>IF(DesarrolloPartidos[[#This Row],[Partidos_3]]=0,0,ROUNDUP(DesarrolloPartidos[[#This Row],[Orden]]/DesarrolloPartidos[[#This Row],[JugEnPart3]]*DesarrolloPartidos[[#This Row],[Partidos_3]],0))</calculatedColumnFormula>
    </tableColumn>
    <tableColumn id="9" xr3:uid="{198EE13C-6F55-4C9A-8CFC-7A751C66B234}" name="Partidos4" dataDxfId="56" totalsRowDxfId="55">
      <calculatedColumnFormula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calculatedColumnFormula>
    </tableColumn>
    <tableColumn id="8" xr3:uid="{C2F7D79A-87BC-46C0-9893-D298D3A8D4EE}" name="Partidos3" dataDxfId="54" totalsRowDxfId="53">
      <calculatedColumnFormula>IF(AND(DesarrolloPartidos[[#This Row],[PartidosSolo3]]&lt;=DesarrolloPartidos[[#This Row],[Partidos_3]],DesarrolloPartidos[[#This Row],[PartidosSolo3]]&lt;&gt;0),DesarrolloPartidos[[#This Row],[PartidosSolo3]],"")</calculatedColumnFormula>
    </tableColumn>
    <tableColumn id="10" xr3:uid="{3A9A6B60-A6D2-4FDA-B270-AFC0DACF6E08}" name="PartidoAsig" dataDxfId="52">
      <calculatedColumnFormula>+IF(DesarrolloPartidos[[#This Row],[Partidos3]]="",DesarrolloPartidos[[#This Row],[Partidos4]],DesarrolloPartidos[[#This Row],[Partidos3]])</calculatedColumnFormula>
    </tableColumn>
    <tableColumn id="11" xr3:uid="{8347AC41-AA5E-46ED-B79E-B77857FC8A37}" name="Jug_Pos" dataDxfId="51">
      <calculatedColumnFormula>+DesarrolloPartidos[[#This Row],[Jugadores]]&amp;":"&amp;DesarrolloPartidos[[#This Row],[Orden]]</calculatedColumnFormula>
    </tableColumn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444AB7A9-078B-4BF5-B8A3-5B608BD507F9}" name="dKPI" displayName="dKPI" ref="A1:D10" totalsRowShown="0">
  <autoFilter ref="A1:D10" xr:uid="{76B31ECB-1047-474B-BAB5-835667FFC22C}"/>
  <tableColumns count="4">
    <tableColumn id="1" xr3:uid="{22CFD8ED-35F8-485B-A768-38AFB77900D3}" name="IdKPI">
      <calculatedColumnFormula>+A1+1</calculatedColumnFormula>
    </tableColumn>
    <tableColumn id="2" xr3:uid="{4B8F52AD-6449-468A-91E6-88424C7D15C5}" name="KPI"/>
    <tableColumn id="3" xr3:uid="{0F5AB18C-A71C-4C3C-9252-AA222B71E47B}" name="Tipo KPI"/>
    <tableColumn id="4" xr3:uid="{DFD65193-876B-42CB-A5A1-511B695D81AA}" name="Medida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AE4E798A-BEEA-41D6-8542-792F19D2A82A}" name="Tabla17" displayName="Tabla17" ref="A1:K30" totalsRowShown="0">
  <autoFilter ref="A1:K30" xr:uid="{AE4E798A-BEEA-41D6-8542-792F19D2A82A}"/>
  <sortState xmlns:xlrd2="http://schemas.microsoft.com/office/spreadsheetml/2017/richdata2" ref="A2:G30">
    <sortCondition ref="F2:F30"/>
  </sortState>
  <tableColumns count="11">
    <tableColumn id="1" xr3:uid="{B25CD255-1B5C-4372-B037-FA849AC1A6B6}" name="Fecha" dataDxfId="50"/>
    <tableColumn id="2" xr3:uid="{BA49897F-A79B-4E64-9E06-0618307C9FFB}" name="Jugador"/>
    <tableColumn id="3" xr3:uid="{B443D3D2-08CD-4EE0-A8EC-5F473660C240}" name="Hdcp" dataDxfId="49"/>
    <tableColumn id="4" xr3:uid="{24057CEF-1289-4BCA-A51C-19A20AC8DFA6}" name="CatOf"/>
    <tableColumn id="5" xr3:uid="{C5614257-65C0-4727-8103-33586E1F20EB}" name="Cuart2023"/>
    <tableColumn id="6" xr3:uid="{4FA73A4F-AA8E-4C6F-8B3C-35765C67CE2A}" name="DifMedia" dataCellStyle="Millares">
      <calculatedColumnFormula>+Tabla17[[#This Row],[Hdcp]]-AVERAGE(Tabla17[Hdcp])</calculatedColumnFormula>
    </tableColumn>
    <tableColumn id="7" xr3:uid="{872A4CF9-ABC6-4AFE-BEBC-29EF9B28B097}" name="Cat Cuart" dataDxfId="48">
      <calculatedColumnFormula>+IF(Tabla17[[#This Row],[DifMedia]]&lt;0,1,2)</calculatedColumnFormula>
    </tableColumn>
    <tableColumn id="8" xr3:uid="{D31E8DE9-0713-4084-B1A9-46AAC84483F0}" name="Delegac Voto"/>
    <tableColumn id="9" xr3:uid="{AC208ABE-A04B-46D0-84B9-BDBAB6375C0D}" name="Asistentes"/>
    <tableColumn id="10" xr3:uid="{63A2B1B3-20B1-49A1-8818-B51F50B09B7B}" name="Columna1"/>
    <tableColumn id="11" xr3:uid="{C9761095-E6CC-491E-8639-B7752ABAA8BF}" name="Columna2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B10D08DF-8A17-45D0-B377-7FBCB1ACC636}" name="Tabla18" displayName="Tabla18" ref="A1:D32" totalsRowShown="0">
  <tableColumns count="4">
    <tableColumn id="1" xr3:uid="{822D4275-7C53-4534-A26F-C8E297B3B83F}" name="Rk"/>
    <tableColumn id="3" xr3:uid="{048FDF8D-7158-4842-9BE5-C6F49FE945A3}" name="Normal"/>
    <tableColumn id="4" xr3:uid="{4696BDC1-3762-47D0-AD96-CD5920EE8985}" name="Major"/>
    <tableColumn id="5" xr3:uid="{A243A6C8-3329-4F90-9A8A-CE11A1C5C226}" name="The Final" dataDxfId="47">
      <calculatedColumnFormula>+Tabla18[[#This Row],[Major]]*3</calculatedColumnFormula>
    </tableColumn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20CF7B3B-84C7-4DF8-B380-895704515C65}" name="Tabla13" displayName="Tabla13" ref="A1:H31" totalsRowShown="0" headerRowDxfId="46" dataDxfId="45" tableBorderDxfId="44">
  <autoFilter ref="A1:H31" xr:uid="{20CF7B3B-84C7-4DF8-B380-895704515C65}"/>
  <sortState xmlns:xlrd2="http://schemas.microsoft.com/office/spreadsheetml/2017/richdata2" ref="A2:H31">
    <sortCondition descending="1" ref="E2:E31"/>
    <sortCondition ref="C2:C31"/>
  </sortState>
  <tableColumns count="8">
    <tableColumn id="1" xr3:uid="{D3029472-4CDA-48B3-939A-A12DCF5C1A6A}" name="Fecha" dataDxfId="43"/>
    <tableColumn id="2" xr3:uid="{60EA103D-9460-4A1D-87BD-C16661FD77B5}" name="Jugador" dataDxfId="42"/>
    <tableColumn id="3" xr3:uid="{3B5A7210-F21D-49BD-A747-3955E3649058}" name="Hdcp" dataDxfId="41"/>
    <tableColumn id="4" xr3:uid="{B9330C16-2E80-4EB2-888F-6513123FF6DB}" name="Socio" dataDxfId="40">
      <calculatedColumnFormula>+VLOOKUP(Tabla13[[#This Row],[Jugador]],dJugador[[Nombre]:[Nombre y Apellidos]],7,FALSE)</calculatedColumnFormula>
    </tableColumn>
    <tableColumn id="5" xr3:uid="{77EBB996-8651-4F23-A75D-8BC0952D5BBF}" name="Inscrito MP" dataDxfId="39"/>
    <tableColumn id="6" xr3:uid="{02B5EF05-B308-4842-807C-512FC61C4A6E}" name="RkHdcp" dataDxfId="38"/>
    <tableColumn id="7" xr3:uid="{998E2568-DE89-4770-B7F6-154908813AF9}" name="Grupo" dataDxfId="37"/>
    <tableColumn id="8" xr3:uid="{7D5C22C5-802D-4C05-B2A1-D21DAB947FF4}" name="Opc 2" dataDxfId="36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9BA5F1A-557B-44AE-8282-6982DBA5E120}" name="CSC" displayName="CSC" ref="A1:J106" totalsRowShown="0" dataDxfId="35">
  <autoFilter ref="A1:J106" xr:uid="{39BA5F1A-557B-44AE-8282-6982DBA5E120}"/>
  <tableColumns count="10">
    <tableColumn id="1" xr3:uid="{735422C1-C0CD-4ABA-ACB7-BC60E9D8975C}" name="Nombre" dataDxfId="34"/>
    <tableColumn id="2" xr3:uid="{6A62AAD3-DD65-4B73-A631-6E4173289CEF}" name="Mote" dataDxfId="33"/>
    <tableColumn id="3" xr3:uid="{54634DCD-F203-4004-A95F-B43E3D9AEEF7}" name="Fecha CSC" dataDxfId="32"/>
    <tableColumn id="4" xr3:uid="{6A81D8C1-6017-45C6-ADB5-63A30FD3BD06}" name="Campo" dataDxfId="31"/>
    <tableColumn id="5" xr3:uid="{91554A31-7711-4441-93AF-7FB7FC1EE8F9}" name="Prueba" dataDxfId="30"/>
    <tableColumn id="6" xr3:uid="{70DEC521-28AB-4755-9F12-5842BF6FC073}" name="Tipo" dataDxfId="29"/>
    <tableColumn id="7" xr3:uid="{824D180B-680A-4539-A8E5-0D4F4C6F777B}" name="Resultado" dataDxfId="28"/>
    <tableColumn id="8" xr3:uid="{E4F7971B-1104-4B4E-B5F5-1076880A3D4D}" name="W-L" dataDxfId="27"/>
    <tableColumn id="9" xr3:uid="{F7DCF57D-6409-4DDD-8755-20BB191AD2CE}" name="Tipo Torneo" dataDxfId="26"/>
    <tableColumn id="10" xr3:uid="{E04A4783-CA8E-A44A-A492-358125FD07ED}" name="Puntos" dataDxfId="25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4721D1A-B702-C944-9E41-233090E1708D}" name="dCat_Handic" displayName="dCat_Handic" ref="A1:C7" totalsRowShown="0" headerRowCellStyle="Normal 2" dataCellStyle="Normal 2">
  <autoFilter ref="A1:C7" xr:uid="{4FAA83E7-3A6D-954D-B8B9-F97E2E07B8F3}"/>
  <tableColumns count="3">
    <tableColumn id="1" xr3:uid="{FCAD1636-CB0A-7146-9FF0-83659DD79CC3}" name="Cat" dataCellStyle="Normal 2">
      <calculatedColumnFormula>A1+1</calculatedColumnFormula>
    </tableColumn>
    <tableColumn id="2" xr3:uid="{7B30CDC4-D936-6242-9C0D-EF3360003F2B}" name="Min" dataCellStyle="Normal 2">
      <calculatedColumnFormula>C1+0.1</calculatedColumnFormula>
    </tableColumn>
    <tableColumn id="3" xr3:uid="{AD7E6F23-DBCE-074D-B3E0-76F5FDCF36DD}" name="Max" dataCellStyle="Normal 2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C4579830-081A-4A36-B60D-FCDE2019559E}" name="Tabla19" displayName="Tabla19" ref="A1:C8" totalsRowShown="0">
  <autoFilter ref="A1:C8" xr:uid="{C4579830-081A-4A36-B60D-FCDE2019559E}"/>
  <tableColumns count="3">
    <tableColumn id="1" xr3:uid="{18FB0067-BFF6-4233-A6E6-08DEA941F1D7}" name="Fecha" dataDxfId="24"/>
    <tableColumn id="2" xr3:uid="{FC311AAD-9D6C-4279-B1C9-5EAA25C9E410}" name="Campo"/>
    <tableColumn id="3" xr3:uid="{4182CA25-58EF-4A97-BD61-2588A9B96575}" name="CSC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A97B52E-22F4-42CB-A33A-779443E818A2}" name="PuntosUltimoTorneo" displayName="PuntosUltimoTorneo" ref="C1:M21" totalsRowShown="0">
  <autoFilter ref="C1:M21" xr:uid="{9A97B52E-22F4-42CB-A33A-779443E818A2}"/>
  <tableColumns count="11">
    <tableColumn id="1" xr3:uid="{C0C31492-3769-4BF9-A179-79E675E7F002}" name="Pos" dataDxfId="13"/>
    <tableColumn id="2" xr3:uid="{5EE30C86-B71A-4AFE-93D3-6F235B4CDD2D}" name="Golpes"/>
    <tableColumn id="3" xr3:uid="{BB98C020-5339-4517-8C77-B6C1BF33423B}" name="Jugadores">
      <calculatedColumnFormula>+E1</calculatedColumnFormula>
    </tableColumn>
    <tableColumn id="4" xr3:uid="{40F7AC9D-9510-49DD-9EBD-77AFD060F2CB}" name="Neto">
      <calculatedColumnFormula>+IF(C2&gt;E2,"",D2-VLOOKUP(E2,$C$2:$D$21,2,FALSE))</calculatedColumnFormula>
    </tableColumn>
    <tableColumn id="5" xr3:uid="{8712B4BA-EDBB-46B4-B529-138658C2F037}" name="Jugador" dataDxfId="12">
      <calculatedColumnFormula>+IFERROR(VLOOKUP(PuntosUltimoTorneo[[#This Row],[Pos]],$R$2:$V$16,3,FALSE),"")</calculatedColumnFormula>
    </tableColumn>
    <tableColumn id="6" xr3:uid="{8356B865-92AE-4C16-9DA3-B31BEDEB6BE6}" name="Partidos 3"/>
    <tableColumn id="7" xr3:uid="{7C832D51-BAF2-497B-B61C-E9AC356EC53E}" name="Partidos 4"/>
    <tableColumn id="8" xr3:uid="{236D98FB-D0E4-47F9-A2C6-8360BA102ABA}" name="1"/>
    <tableColumn id="9" xr3:uid="{23080AA2-3115-4927-9880-8315CC8E44E8}" name="2"/>
    <tableColumn id="10" xr3:uid="{060CB6DB-E808-40B0-8AD7-460EDA953E6B}" name="3"/>
    <tableColumn id="11" xr3:uid="{479A9E84-BFAA-45AE-BF75-A5D654401F81}" name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falvarezoliva@gmail.com" TargetMode="External"/><Relationship Id="rId3" Type="http://schemas.openxmlformats.org/officeDocument/2006/relationships/hyperlink" Target="mailto:despacho@cerveraprocurador.com" TargetMode="External"/><Relationship Id="rId7" Type="http://schemas.openxmlformats.org/officeDocument/2006/relationships/hyperlink" Target="mailto:Buendiamdp@hotmail.com" TargetMode="External"/><Relationship Id="rId12" Type="http://schemas.openxmlformats.org/officeDocument/2006/relationships/table" Target="../tables/table1.xml"/><Relationship Id="rId2" Type="http://schemas.openxmlformats.org/officeDocument/2006/relationships/hyperlink" Target="mailto:davidsequera@icloud.com" TargetMode="External"/><Relationship Id="rId1" Type="http://schemas.openxmlformats.org/officeDocument/2006/relationships/hyperlink" Target="mailto:aaguirrerodriguez@gmail.com" TargetMode="External"/><Relationship Id="rId6" Type="http://schemas.openxmlformats.org/officeDocument/2006/relationships/hyperlink" Target="mailto:ncasmartin0@gmail.com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mailto:alvaro@bestmedia.es" TargetMode="External"/><Relationship Id="rId10" Type="http://schemas.openxmlformats.org/officeDocument/2006/relationships/hyperlink" Target="mailto:javigorgol@gmail.com" TargetMode="External"/><Relationship Id="rId4" Type="http://schemas.openxmlformats.org/officeDocument/2006/relationships/hyperlink" Target="mailto:hidalgoalfonso66@gmail.com" TargetMode="External"/><Relationship Id="rId9" Type="http://schemas.openxmlformats.org/officeDocument/2006/relationships/hyperlink" Target="mailto:victormorilloae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ibb.co/wdyhy4T" TargetMode="External"/><Relationship Id="rId13" Type="http://schemas.openxmlformats.org/officeDocument/2006/relationships/hyperlink" Target="https://es.wikipedia.org/wiki/Bandera_de_Espa%C3%B1a" TargetMode="External"/><Relationship Id="rId3" Type="http://schemas.openxmlformats.org/officeDocument/2006/relationships/hyperlink" Target="https://ibb.co/HXx9bz7" TargetMode="External"/><Relationship Id="rId7" Type="http://schemas.openxmlformats.org/officeDocument/2006/relationships/hyperlink" Target="https://es.wikipedia.org/wiki/Bandera_de_Espa%C3%B1a" TargetMode="External"/><Relationship Id="rId12" Type="http://schemas.openxmlformats.org/officeDocument/2006/relationships/hyperlink" Target="https://ibb.co/w74qxYK" TargetMode="External"/><Relationship Id="rId2" Type="http://schemas.openxmlformats.org/officeDocument/2006/relationships/hyperlink" Target="https://ibb.co/pWsfYvm" TargetMode="External"/><Relationship Id="rId16" Type="http://schemas.openxmlformats.org/officeDocument/2006/relationships/table" Target="../tables/table9.xml"/><Relationship Id="rId1" Type="http://schemas.openxmlformats.org/officeDocument/2006/relationships/hyperlink" Target="https://ibb.co/wdyhy4T" TargetMode="External"/><Relationship Id="rId6" Type="http://schemas.openxmlformats.org/officeDocument/2006/relationships/hyperlink" Target="https://es.wikipedia.org/wiki/Bandera_de_Espa%C3%B1a" TargetMode="External"/><Relationship Id="rId11" Type="http://schemas.openxmlformats.org/officeDocument/2006/relationships/hyperlink" Target="https://ibb.co/gSLH5z0" TargetMode="External"/><Relationship Id="rId5" Type="http://schemas.openxmlformats.org/officeDocument/2006/relationships/hyperlink" Target="https://ibb.co/w74qxYK" TargetMode="External"/><Relationship Id="rId15" Type="http://schemas.openxmlformats.org/officeDocument/2006/relationships/printerSettings" Target="../printerSettings/printerSettings3.bin"/><Relationship Id="rId10" Type="http://schemas.openxmlformats.org/officeDocument/2006/relationships/hyperlink" Target="https://ibb.co/HXx9bz7" TargetMode="External"/><Relationship Id="rId4" Type="http://schemas.openxmlformats.org/officeDocument/2006/relationships/hyperlink" Target="https://ibb.co/gSLH5z0" TargetMode="External"/><Relationship Id="rId9" Type="http://schemas.openxmlformats.org/officeDocument/2006/relationships/hyperlink" Target="https://ibb.co/pWsfYvm" TargetMode="External"/><Relationship Id="rId14" Type="http://schemas.openxmlformats.org/officeDocument/2006/relationships/hyperlink" Target="https://es.wikipedia.org/wiki/Bandera_de_Espa%C3%B1a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.xml"/><Relationship Id="rId2" Type="http://schemas.openxmlformats.org/officeDocument/2006/relationships/table" Target="../tables/table16.xml"/><Relationship Id="rId1" Type="http://schemas.openxmlformats.org/officeDocument/2006/relationships/table" Target="../tables/table15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0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3.xml"/><Relationship Id="rId1" Type="http://schemas.openxmlformats.org/officeDocument/2006/relationships/printerSettings" Target="../printerSettings/printerSettings5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3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0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148AC-2004-C645-BF19-E99650D6D351}">
  <dimension ref="A1:AF73"/>
  <sheetViews>
    <sheetView tabSelected="1" topLeftCell="A43" zoomScale="80" zoomScaleNormal="80" workbookViewId="0">
      <selection activeCell="O45" sqref="O45"/>
    </sheetView>
  </sheetViews>
  <sheetFormatPr baseColWidth="10" defaultColWidth="10.75" defaultRowHeight="15.75"/>
  <cols>
    <col min="1" max="1" width="8.75" bestFit="1" customWidth="1"/>
    <col min="2" max="2" width="27.25" bestFit="1" customWidth="1"/>
    <col min="3" max="3" width="12" bestFit="1" customWidth="1"/>
    <col min="4" max="4" width="9.25" bestFit="1" customWidth="1"/>
    <col min="5" max="5" width="14.875" bestFit="1" customWidth="1"/>
    <col min="6" max="6" width="22.5" bestFit="1" customWidth="1"/>
    <col min="7" max="7" width="30.625" bestFit="1" customWidth="1"/>
    <col min="8" max="8" width="30.75" bestFit="1" customWidth="1"/>
    <col min="9" max="9" width="12.25" bestFit="1" customWidth="1"/>
    <col min="10" max="14" width="7.5" bestFit="1" customWidth="1"/>
  </cols>
  <sheetData>
    <row r="1" spans="1:32">
      <c r="A1" t="s">
        <v>68</v>
      </c>
      <c r="B1" t="s">
        <v>0</v>
      </c>
      <c r="C1" t="s">
        <v>67</v>
      </c>
      <c r="D1" t="s">
        <v>1</v>
      </c>
      <c r="E1" t="s">
        <v>2</v>
      </c>
      <c r="F1" t="s">
        <v>2451</v>
      </c>
      <c r="G1" t="s">
        <v>2452</v>
      </c>
      <c r="H1" t="s">
        <v>101</v>
      </c>
      <c r="I1" t="s">
        <v>85</v>
      </c>
      <c r="J1" t="s">
        <v>133</v>
      </c>
      <c r="K1" t="s">
        <v>216</v>
      </c>
      <c r="L1" t="s">
        <v>358</v>
      </c>
      <c r="M1" t="s">
        <v>462</v>
      </c>
      <c r="N1" t="s">
        <v>2565</v>
      </c>
      <c r="O1" t="s">
        <v>3312</v>
      </c>
    </row>
    <row r="2" spans="1:32" ht="44.25">
      <c r="A2">
        <v>1</v>
      </c>
      <c r="B2" t="s">
        <v>3</v>
      </c>
      <c r="C2" t="s">
        <v>61</v>
      </c>
      <c r="D2" t="s">
        <v>4</v>
      </c>
      <c r="E2" s="1" t="s">
        <v>100</v>
      </c>
      <c r="H2" t="s">
        <v>102</v>
      </c>
      <c r="I2" t="s">
        <v>86</v>
      </c>
      <c r="J2" t="s">
        <v>86</v>
      </c>
      <c r="K2" t="s">
        <v>86</v>
      </c>
      <c r="L2" t="s">
        <v>86</v>
      </c>
      <c r="M2" t="s">
        <v>86</v>
      </c>
      <c r="N2" t="s">
        <v>86</v>
      </c>
      <c r="O2" t="s">
        <v>86</v>
      </c>
      <c r="W2" s="6" t="s">
        <v>5</v>
      </c>
      <c r="AF2" t="s">
        <v>124</v>
      </c>
    </row>
    <row r="3" spans="1:32" ht="44.25">
      <c r="A3">
        <v>2</v>
      </c>
      <c r="B3" t="s">
        <v>6</v>
      </c>
      <c r="C3" t="s">
        <v>60</v>
      </c>
      <c r="D3" t="s">
        <v>7</v>
      </c>
      <c r="E3" s="1" t="s">
        <v>8</v>
      </c>
      <c r="H3" t="s">
        <v>103</v>
      </c>
      <c r="I3" t="s">
        <v>86</v>
      </c>
      <c r="J3" t="s">
        <v>86</v>
      </c>
      <c r="K3" t="s">
        <v>86</v>
      </c>
      <c r="L3" t="s">
        <v>86</v>
      </c>
      <c r="M3" t="s">
        <v>86</v>
      </c>
      <c r="N3" t="s">
        <v>86</v>
      </c>
      <c r="O3" t="s">
        <v>86</v>
      </c>
      <c r="AF3" t="s">
        <v>125</v>
      </c>
    </row>
    <row r="4" spans="1:32" ht="44.25">
      <c r="A4">
        <v>3</v>
      </c>
      <c r="B4" t="s">
        <v>9</v>
      </c>
      <c r="C4" t="s">
        <v>55</v>
      </c>
      <c r="D4" t="s">
        <v>10</v>
      </c>
      <c r="E4" s="1" t="s">
        <v>11</v>
      </c>
      <c r="F4" t="s">
        <v>2459</v>
      </c>
      <c r="G4" s="101" t="s">
        <v>2460</v>
      </c>
      <c r="H4" t="s">
        <v>104</v>
      </c>
      <c r="I4" t="s">
        <v>86</v>
      </c>
      <c r="J4" t="s">
        <v>86</v>
      </c>
      <c r="K4" t="s">
        <v>86</v>
      </c>
      <c r="L4" t="s">
        <v>86</v>
      </c>
      <c r="M4" t="s">
        <v>86</v>
      </c>
      <c r="N4" t="s">
        <v>86</v>
      </c>
      <c r="O4" t="s">
        <v>86</v>
      </c>
      <c r="AF4" t="s">
        <v>126</v>
      </c>
    </row>
    <row r="5" spans="1:32" ht="44.25">
      <c r="A5">
        <v>4</v>
      </c>
      <c r="B5" t="s">
        <v>12</v>
      </c>
      <c r="C5" t="s">
        <v>57</v>
      </c>
      <c r="D5" t="s">
        <v>13</v>
      </c>
      <c r="E5" s="1" t="s">
        <v>14</v>
      </c>
      <c r="G5" s="97" t="s">
        <v>2545</v>
      </c>
      <c r="H5" t="s">
        <v>112</v>
      </c>
      <c r="I5" t="s">
        <v>86</v>
      </c>
      <c r="J5" t="s">
        <v>86</v>
      </c>
      <c r="K5" t="s">
        <v>86</v>
      </c>
      <c r="L5" t="s">
        <v>86</v>
      </c>
      <c r="M5" t="s">
        <v>86</v>
      </c>
      <c r="N5" t="s">
        <v>86</v>
      </c>
      <c r="O5" t="s">
        <v>86</v>
      </c>
      <c r="AF5" t="s">
        <v>127</v>
      </c>
    </row>
    <row r="6" spans="1:32" ht="44.25">
      <c r="A6">
        <v>5</v>
      </c>
      <c r="B6" t="s">
        <v>15</v>
      </c>
      <c r="C6" t="s">
        <v>54</v>
      </c>
      <c r="D6" t="s">
        <v>16</v>
      </c>
      <c r="E6" s="1" t="s">
        <v>17</v>
      </c>
      <c r="F6">
        <v>666450522</v>
      </c>
      <c r="G6" s="101" t="s">
        <v>2453</v>
      </c>
      <c r="H6" t="s">
        <v>105</v>
      </c>
      <c r="I6" t="s">
        <v>86</v>
      </c>
      <c r="J6" t="s">
        <v>86</v>
      </c>
      <c r="K6" t="s">
        <v>86</v>
      </c>
      <c r="L6" t="s">
        <v>86</v>
      </c>
      <c r="M6" t="s">
        <v>86</v>
      </c>
      <c r="N6" t="s">
        <v>86</v>
      </c>
      <c r="O6" t="s">
        <v>86</v>
      </c>
      <c r="AF6" t="s">
        <v>128</v>
      </c>
    </row>
    <row r="7" spans="1:32" ht="44.25">
      <c r="A7">
        <v>6</v>
      </c>
      <c r="B7" t="s">
        <v>18</v>
      </c>
      <c r="C7" t="s">
        <v>114</v>
      </c>
      <c r="D7" t="s">
        <v>19</v>
      </c>
      <c r="E7" s="1" t="s">
        <v>95</v>
      </c>
      <c r="H7" t="s">
        <v>113</v>
      </c>
      <c r="I7" t="s">
        <v>86</v>
      </c>
      <c r="J7" t="s">
        <v>86</v>
      </c>
      <c r="K7" t="s">
        <v>86</v>
      </c>
      <c r="L7" t="s">
        <v>86</v>
      </c>
      <c r="M7" t="s">
        <v>86</v>
      </c>
      <c r="N7" t="s">
        <v>86</v>
      </c>
      <c r="O7" t="s">
        <v>86</v>
      </c>
      <c r="AF7" t="s">
        <v>129</v>
      </c>
    </row>
    <row r="8" spans="1:32" ht="44.25">
      <c r="A8">
        <v>7</v>
      </c>
      <c r="B8" t="s">
        <v>20</v>
      </c>
      <c r="C8" t="s">
        <v>59</v>
      </c>
      <c r="D8" t="s">
        <v>21</v>
      </c>
      <c r="E8" s="1" t="s">
        <v>362</v>
      </c>
      <c r="H8" t="s">
        <v>2609</v>
      </c>
      <c r="I8" t="s">
        <v>86</v>
      </c>
      <c r="J8" t="s">
        <v>86</v>
      </c>
      <c r="K8" t="s">
        <v>86</v>
      </c>
      <c r="L8" t="s">
        <v>86</v>
      </c>
      <c r="M8" t="s">
        <v>86</v>
      </c>
      <c r="N8" t="s">
        <v>86</v>
      </c>
      <c r="O8" t="s">
        <v>86</v>
      </c>
      <c r="U8" s="6" t="s">
        <v>362</v>
      </c>
      <c r="V8" s="6" t="s">
        <v>22</v>
      </c>
      <c r="AE8" t="s">
        <v>131</v>
      </c>
      <c r="AF8" t="s">
        <v>130</v>
      </c>
    </row>
    <row r="9" spans="1:32" ht="52.5">
      <c r="A9">
        <v>8</v>
      </c>
      <c r="B9" t="s">
        <v>23</v>
      </c>
      <c r="C9" t="s">
        <v>120</v>
      </c>
      <c r="D9" t="s">
        <v>24</v>
      </c>
      <c r="E9" s="7" t="s">
        <v>122</v>
      </c>
      <c r="H9" t="s">
        <v>107</v>
      </c>
      <c r="I9" t="s">
        <v>86</v>
      </c>
      <c r="J9" t="s">
        <v>86</v>
      </c>
      <c r="K9" t="s">
        <v>86</v>
      </c>
      <c r="L9" t="s">
        <v>86</v>
      </c>
      <c r="M9" t="s">
        <v>86</v>
      </c>
      <c r="N9" t="s">
        <v>86</v>
      </c>
      <c r="O9" t="s">
        <v>86</v>
      </c>
    </row>
    <row r="10" spans="1:32" ht="44.25">
      <c r="A10">
        <v>9</v>
      </c>
      <c r="B10" t="s">
        <v>25</v>
      </c>
      <c r="C10" t="s">
        <v>252</v>
      </c>
      <c r="D10" t="s">
        <v>26</v>
      </c>
      <c r="E10" s="1" t="s">
        <v>27</v>
      </c>
      <c r="H10" t="s">
        <v>115</v>
      </c>
      <c r="I10" t="s">
        <v>86</v>
      </c>
      <c r="J10" t="s">
        <v>86</v>
      </c>
      <c r="K10" t="s">
        <v>86</v>
      </c>
      <c r="L10" t="s">
        <v>86</v>
      </c>
      <c r="M10" t="s">
        <v>86</v>
      </c>
      <c r="N10" t="s">
        <v>86</v>
      </c>
      <c r="O10" t="s">
        <v>86</v>
      </c>
    </row>
    <row r="11" spans="1:32" ht="44.25">
      <c r="A11">
        <v>10</v>
      </c>
      <c r="B11" t="s">
        <v>28</v>
      </c>
      <c r="C11" t="s">
        <v>65</v>
      </c>
      <c r="D11" t="s">
        <v>29</v>
      </c>
      <c r="E11" s="5" t="s">
        <v>94</v>
      </c>
      <c r="H11" t="s">
        <v>116</v>
      </c>
      <c r="I11" t="s">
        <v>86</v>
      </c>
      <c r="J11" t="s">
        <v>86</v>
      </c>
      <c r="K11" t="s">
        <v>87</v>
      </c>
      <c r="L11" t="s">
        <v>87</v>
      </c>
      <c r="M11" t="s">
        <v>87</v>
      </c>
      <c r="N11" t="s">
        <v>87</v>
      </c>
      <c r="O11" t="s">
        <v>87</v>
      </c>
    </row>
    <row r="12" spans="1:32" ht="44.25">
      <c r="A12">
        <v>11</v>
      </c>
      <c r="B12" t="s">
        <v>30</v>
      </c>
      <c r="C12" t="s">
        <v>56</v>
      </c>
      <c r="D12" t="s">
        <v>31</v>
      </c>
      <c r="E12" s="1" t="s">
        <v>32</v>
      </c>
      <c r="F12" s="11" t="s">
        <v>2454</v>
      </c>
      <c r="G12" s="101" t="s">
        <v>2455</v>
      </c>
      <c r="H12" t="s">
        <v>108</v>
      </c>
      <c r="I12" t="s">
        <v>86</v>
      </c>
      <c r="J12" t="s">
        <v>86</v>
      </c>
      <c r="K12" t="s">
        <v>86</v>
      </c>
      <c r="L12" t="s">
        <v>86</v>
      </c>
      <c r="M12" t="s">
        <v>86</v>
      </c>
      <c r="N12" t="s">
        <v>86</v>
      </c>
      <c r="O12" t="s">
        <v>86</v>
      </c>
    </row>
    <row r="13" spans="1:32" ht="52.5">
      <c r="A13">
        <v>12</v>
      </c>
      <c r="B13" t="s">
        <v>33</v>
      </c>
      <c r="C13" t="s">
        <v>343</v>
      </c>
      <c r="D13" t="s">
        <v>34</v>
      </c>
      <c r="E13" s="5" t="s">
        <v>363</v>
      </c>
      <c r="H13" t="s">
        <v>109</v>
      </c>
      <c r="I13" t="s">
        <v>86</v>
      </c>
      <c r="J13" t="s">
        <v>87</v>
      </c>
      <c r="K13" t="s">
        <v>86</v>
      </c>
      <c r="L13" t="s">
        <v>86</v>
      </c>
      <c r="M13" t="s">
        <v>86</v>
      </c>
      <c r="N13" t="s">
        <v>86</v>
      </c>
      <c r="O13" t="s">
        <v>86</v>
      </c>
      <c r="T13" s="13" t="s">
        <v>253</v>
      </c>
      <c r="U13" t="s">
        <v>323</v>
      </c>
      <c r="V13" s="7" t="s">
        <v>121</v>
      </c>
      <c r="W13" s="8" t="s">
        <v>99</v>
      </c>
      <c r="X13" s="13" t="s">
        <v>247</v>
      </c>
      <c r="Y13" t="s">
        <v>363</v>
      </c>
    </row>
    <row r="14" spans="1:32" ht="44.25">
      <c r="A14">
        <v>13</v>
      </c>
      <c r="B14" t="s">
        <v>35</v>
      </c>
      <c r="C14" t="s">
        <v>63</v>
      </c>
      <c r="D14" t="s">
        <v>36</v>
      </c>
      <c r="E14" s="5" t="s">
        <v>98</v>
      </c>
      <c r="H14" t="s">
        <v>110</v>
      </c>
      <c r="I14" t="s">
        <v>86</v>
      </c>
      <c r="J14" t="s">
        <v>86</v>
      </c>
      <c r="K14" t="s">
        <v>86</v>
      </c>
      <c r="L14" t="s">
        <v>86</v>
      </c>
      <c r="M14" t="s">
        <v>86</v>
      </c>
      <c r="N14" t="s">
        <v>86</v>
      </c>
      <c r="O14" t="s">
        <v>86</v>
      </c>
    </row>
    <row r="15" spans="1:32" ht="52.5">
      <c r="A15">
        <v>14</v>
      </c>
      <c r="B15" t="s">
        <v>41</v>
      </c>
      <c r="C15" t="s">
        <v>254</v>
      </c>
      <c r="D15" t="s">
        <v>42</v>
      </c>
      <c r="E15" s="7" t="s">
        <v>121</v>
      </c>
      <c r="H15" t="s">
        <v>117</v>
      </c>
      <c r="I15" t="s">
        <v>86</v>
      </c>
      <c r="J15" t="s">
        <v>86</v>
      </c>
      <c r="K15" t="s">
        <v>86</v>
      </c>
      <c r="L15" t="s">
        <v>86</v>
      </c>
      <c r="M15" t="s">
        <v>86</v>
      </c>
      <c r="N15" t="s">
        <v>86</v>
      </c>
      <c r="O15" t="s">
        <v>86</v>
      </c>
    </row>
    <row r="16" spans="1:32" ht="44.25">
      <c r="A16">
        <v>15</v>
      </c>
      <c r="B16" t="s">
        <v>43</v>
      </c>
      <c r="C16" t="s">
        <v>64</v>
      </c>
      <c r="D16" t="s">
        <v>44</v>
      </c>
      <c r="E16" s="1" t="s">
        <v>45</v>
      </c>
      <c r="H16" t="s">
        <v>118</v>
      </c>
      <c r="I16" t="s">
        <v>86</v>
      </c>
      <c r="J16" t="s">
        <v>87</v>
      </c>
      <c r="K16" t="s">
        <v>87</v>
      </c>
      <c r="L16" t="s">
        <v>87</v>
      </c>
      <c r="M16" t="s">
        <v>87</v>
      </c>
      <c r="N16" t="s">
        <v>87</v>
      </c>
      <c r="O16" t="s">
        <v>87</v>
      </c>
    </row>
    <row r="17" spans="1:23" ht="44.25">
      <c r="A17">
        <v>16</v>
      </c>
      <c r="B17" t="s">
        <v>46</v>
      </c>
      <c r="C17" t="s">
        <v>62</v>
      </c>
      <c r="D17" t="s">
        <v>47</v>
      </c>
      <c r="E17" s="1" t="s">
        <v>48</v>
      </c>
      <c r="F17" t="s">
        <v>2457</v>
      </c>
      <c r="G17" s="101" t="s">
        <v>2458</v>
      </c>
      <c r="H17" t="s">
        <v>106</v>
      </c>
      <c r="I17" t="s">
        <v>86</v>
      </c>
      <c r="J17" t="s">
        <v>86</v>
      </c>
      <c r="K17" t="s">
        <v>86</v>
      </c>
      <c r="L17" t="s">
        <v>86</v>
      </c>
      <c r="M17" t="s">
        <v>86</v>
      </c>
      <c r="N17" t="s">
        <v>86</v>
      </c>
      <c r="O17" t="s">
        <v>86</v>
      </c>
    </row>
    <row r="18" spans="1:23" ht="69">
      <c r="A18">
        <v>17</v>
      </c>
      <c r="B18" t="s">
        <v>49</v>
      </c>
      <c r="C18" t="s">
        <v>58</v>
      </c>
      <c r="D18" t="s">
        <v>50</v>
      </c>
      <c r="E18" s="4" t="s">
        <v>96</v>
      </c>
      <c r="H18" t="s">
        <v>111</v>
      </c>
      <c r="I18" t="s">
        <v>86</v>
      </c>
      <c r="J18" t="s">
        <v>86</v>
      </c>
      <c r="K18" t="s">
        <v>86</v>
      </c>
      <c r="L18" t="s">
        <v>86</v>
      </c>
      <c r="M18" t="s">
        <v>86</v>
      </c>
      <c r="N18" t="s">
        <v>86</v>
      </c>
      <c r="O18" t="s">
        <v>86</v>
      </c>
    </row>
    <row r="19" spans="1:23" ht="69">
      <c r="A19">
        <v>18</v>
      </c>
      <c r="B19" t="s">
        <v>51</v>
      </c>
      <c r="C19" t="s">
        <v>66</v>
      </c>
      <c r="D19" t="s">
        <v>52</v>
      </c>
      <c r="E19" s="1" t="s">
        <v>53</v>
      </c>
      <c r="H19" t="s">
        <v>119</v>
      </c>
      <c r="I19" t="s">
        <v>87</v>
      </c>
      <c r="J19" t="s">
        <v>87</v>
      </c>
      <c r="K19" t="s">
        <v>87</v>
      </c>
      <c r="L19" t="s">
        <v>87</v>
      </c>
      <c r="M19" t="s">
        <v>87</v>
      </c>
      <c r="N19" t="s">
        <v>87</v>
      </c>
      <c r="O19" t="s">
        <v>87</v>
      </c>
      <c r="V19" s="4" t="s">
        <v>97</v>
      </c>
      <c r="W19" s="5" t="s">
        <v>48</v>
      </c>
    </row>
    <row r="20" spans="1:23" ht="44.25">
      <c r="A20">
        <v>19</v>
      </c>
      <c r="B20" t="s">
        <v>135</v>
      </c>
      <c r="C20" t="s">
        <v>134</v>
      </c>
      <c r="D20" t="s">
        <v>123</v>
      </c>
      <c r="E20" s="1" t="s">
        <v>131</v>
      </c>
      <c r="H20" t="s">
        <v>132</v>
      </c>
      <c r="I20" t="s">
        <v>87</v>
      </c>
      <c r="J20" t="s">
        <v>86</v>
      </c>
      <c r="K20" t="s">
        <v>86</v>
      </c>
      <c r="L20" t="s">
        <v>86</v>
      </c>
      <c r="M20" t="s">
        <v>86</v>
      </c>
      <c r="N20" t="s">
        <v>86</v>
      </c>
      <c r="O20" t="s">
        <v>86</v>
      </c>
    </row>
    <row r="21" spans="1:23" ht="44.25">
      <c r="A21">
        <v>20</v>
      </c>
      <c r="B21" t="s">
        <v>201</v>
      </c>
      <c r="C21" t="s">
        <v>209</v>
      </c>
      <c r="D21" t="s">
        <v>202</v>
      </c>
      <c r="E21" s="1" t="s">
        <v>324</v>
      </c>
      <c r="F21" t="s">
        <v>2461</v>
      </c>
      <c r="G21" s="101" t="s">
        <v>2462</v>
      </c>
      <c r="H21" t="s">
        <v>213</v>
      </c>
      <c r="I21" t="s">
        <v>87</v>
      </c>
      <c r="J21" t="s">
        <v>227</v>
      </c>
      <c r="K21" t="s">
        <v>86</v>
      </c>
      <c r="L21" t="s">
        <v>86</v>
      </c>
      <c r="M21" t="s">
        <v>86</v>
      </c>
      <c r="N21" t="s">
        <v>86</v>
      </c>
      <c r="O21" t="s">
        <v>86</v>
      </c>
      <c r="T21" t="s">
        <v>324</v>
      </c>
      <c r="U21" s="5" t="s">
        <v>220</v>
      </c>
    </row>
    <row r="22" spans="1:23" ht="44.25">
      <c r="A22">
        <v>21</v>
      </c>
      <c r="B22" t="s">
        <v>203</v>
      </c>
      <c r="C22" t="s">
        <v>212</v>
      </c>
      <c r="D22" t="s">
        <v>204</v>
      </c>
      <c r="E22" s="1" t="s">
        <v>223</v>
      </c>
      <c r="H22" t="s">
        <v>203</v>
      </c>
      <c r="I22" t="s">
        <v>87</v>
      </c>
      <c r="J22" t="s">
        <v>227</v>
      </c>
      <c r="K22" t="s">
        <v>86</v>
      </c>
      <c r="L22" t="s">
        <v>86</v>
      </c>
      <c r="M22" t="s">
        <v>86</v>
      </c>
      <c r="N22" t="s">
        <v>86</v>
      </c>
      <c r="O22" t="s">
        <v>86</v>
      </c>
    </row>
    <row r="23" spans="1:23" ht="44.25">
      <c r="A23">
        <v>22</v>
      </c>
      <c r="B23" t="s">
        <v>205</v>
      </c>
      <c r="C23" t="s">
        <v>211</v>
      </c>
      <c r="D23" t="s">
        <v>206</v>
      </c>
      <c r="E23" s="1" t="s">
        <v>224</v>
      </c>
      <c r="F23" t="s">
        <v>2463</v>
      </c>
      <c r="G23" s="101" t="s">
        <v>2464</v>
      </c>
      <c r="H23" t="s">
        <v>214</v>
      </c>
      <c r="I23" t="s">
        <v>87</v>
      </c>
      <c r="J23" t="s">
        <v>227</v>
      </c>
      <c r="K23" t="s">
        <v>86</v>
      </c>
      <c r="L23" t="s">
        <v>86</v>
      </c>
      <c r="M23" t="s">
        <v>86</v>
      </c>
      <c r="N23" t="s">
        <v>86</v>
      </c>
      <c r="O23" t="s">
        <v>86</v>
      </c>
      <c r="U23" s="5" t="s">
        <v>364</v>
      </c>
    </row>
    <row r="24" spans="1:23" ht="44.25">
      <c r="A24">
        <v>23</v>
      </c>
      <c r="B24" t="s">
        <v>207</v>
      </c>
      <c r="C24" t="s">
        <v>210</v>
      </c>
      <c r="D24" t="s">
        <v>208</v>
      </c>
      <c r="E24" s="1" t="s">
        <v>222</v>
      </c>
      <c r="H24" t="s">
        <v>215</v>
      </c>
      <c r="I24" t="s">
        <v>87</v>
      </c>
      <c r="J24" t="s">
        <v>227</v>
      </c>
      <c r="K24" t="s">
        <v>86</v>
      </c>
      <c r="L24" t="s">
        <v>86</v>
      </c>
      <c r="M24" t="s">
        <v>86</v>
      </c>
      <c r="N24" t="s">
        <v>86</v>
      </c>
      <c r="O24" t="s">
        <v>86</v>
      </c>
    </row>
    <row r="25" spans="1:23" ht="44.25">
      <c r="A25">
        <v>24</v>
      </c>
      <c r="B25" t="s">
        <v>217</v>
      </c>
      <c r="C25" t="s">
        <v>219</v>
      </c>
      <c r="D25" t="s">
        <v>218</v>
      </c>
      <c r="E25" s="1" t="s">
        <v>221</v>
      </c>
      <c r="H25" t="s">
        <v>2610</v>
      </c>
      <c r="I25" t="s">
        <v>87</v>
      </c>
      <c r="J25" t="s">
        <v>87</v>
      </c>
      <c r="K25" t="s">
        <v>86</v>
      </c>
      <c r="L25" t="s">
        <v>86</v>
      </c>
      <c r="M25" t="s">
        <v>86</v>
      </c>
      <c r="N25" t="s">
        <v>86</v>
      </c>
      <c r="O25" t="s">
        <v>86</v>
      </c>
    </row>
    <row r="26" spans="1:23" ht="44.25">
      <c r="A26">
        <v>25</v>
      </c>
      <c r="B26" t="s">
        <v>225</v>
      </c>
      <c r="C26" t="s">
        <v>244</v>
      </c>
      <c r="D26" t="s">
        <v>226</v>
      </c>
      <c r="E26" s="1" t="s">
        <v>263</v>
      </c>
      <c r="H26" t="s">
        <v>228</v>
      </c>
      <c r="I26" t="s">
        <v>87</v>
      </c>
      <c r="J26" t="s">
        <v>87</v>
      </c>
      <c r="K26" t="s">
        <v>86</v>
      </c>
      <c r="L26" t="s">
        <v>86</v>
      </c>
      <c r="M26" t="s">
        <v>86</v>
      </c>
      <c r="N26" t="s">
        <v>86</v>
      </c>
      <c r="O26" t="s">
        <v>86</v>
      </c>
    </row>
    <row r="27" spans="1:23" ht="44.25">
      <c r="A27">
        <v>26</v>
      </c>
      <c r="B27" t="s">
        <v>229</v>
      </c>
      <c r="C27" t="s">
        <v>231</v>
      </c>
      <c r="D27" t="s">
        <v>230</v>
      </c>
      <c r="E27" s="1" t="s">
        <v>232</v>
      </c>
      <c r="H27" t="s">
        <v>229</v>
      </c>
      <c r="I27" t="s">
        <v>87</v>
      </c>
      <c r="J27" t="s">
        <v>227</v>
      </c>
      <c r="K27" t="s">
        <v>227</v>
      </c>
      <c r="L27" t="s">
        <v>227</v>
      </c>
      <c r="M27" t="s">
        <v>227</v>
      </c>
      <c r="N27" t="s">
        <v>227</v>
      </c>
      <c r="O27" t="s">
        <v>227</v>
      </c>
    </row>
    <row r="28" spans="1:23" ht="44.25">
      <c r="A28">
        <v>27</v>
      </c>
      <c r="B28" t="s">
        <v>248</v>
      </c>
      <c r="C28" t="s">
        <v>250</v>
      </c>
      <c r="D28" t="s">
        <v>249</v>
      </c>
      <c r="E28" s="1" t="s">
        <v>322</v>
      </c>
      <c r="H28" t="s">
        <v>251</v>
      </c>
      <c r="I28" t="s">
        <v>87</v>
      </c>
      <c r="J28" t="s">
        <v>87</v>
      </c>
      <c r="K28" t="s">
        <v>86</v>
      </c>
      <c r="L28" t="s">
        <v>86</v>
      </c>
      <c r="M28" t="s">
        <v>86</v>
      </c>
      <c r="N28" t="s">
        <v>86</v>
      </c>
      <c r="O28" t="s">
        <v>86</v>
      </c>
    </row>
    <row r="29" spans="1:23" ht="44.25">
      <c r="A29">
        <v>28</v>
      </c>
      <c r="B29" t="s">
        <v>259</v>
      </c>
      <c r="C29" t="s">
        <v>261</v>
      </c>
      <c r="D29" t="s">
        <v>262</v>
      </c>
      <c r="E29" s="1" t="s">
        <v>360</v>
      </c>
      <c r="H29" t="s">
        <v>260</v>
      </c>
      <c r="I29" t="s">
        <v>87</v>
      </c>
      <c r="J29" t="s">
        <v>87</v>
      </c>
      <c r="K29" t="s">
        <v>227</v>
      </c>
      <c r="L29" t="s">
        <v>86</v>
      </c>
      <c r="M29" t="s">
        <v>86</v>
      </c>
      <c r="N29" t="s">
        <v>86</v>
      </c>
      <c r="O29" t="s">
        <v>86</v>
      </c>
    </row>
    <row r="30" spans="1:23" ht="44.25">
      <c r="A30">
        <v>29</v>
      </c>
      <c r="B30" t="s">
        <v>264</v>
      </c>
      <c r="C30" t="s">
        <v>266</v>
      </c>
      <c r="D30" t="s">
        <v>265</v>
      </c>
      <c r="E30" s="1"/>
      <c r="H30" t="s">
        <v>267</v>
      </c>
      <c r="I30" t="s">
        <v>87</v>
      </c>
      <c r="J30" t="s">
        <v>87</v>
      </c>
      <c r="K30" t="s">
        <v>227</v>
      </c>
      <c r="L30" t="s">
        <v>86</v>
      </c>
      <c r="M30" t="s">
        <v>86</v>
      </c>
      <c r="N30" t="s">
        <v>86</v>
      </c>
      <c r="O30" t="s">
        <v>86</v>
      </c>
    </row>
    <row r="31" spans="1:23" ht="44.25">
      <c r="A31">
        <v>30</v>
      </c>
      <c r="B31" t="s">
        <v>271</v>
      </c>
      <c r="C31" t="s">
        <v>269</v>
      </c>
      <c r="D31" t="s">
        <v>268</v>
      </c>
      <c r="E31" s="1"/>
      <c r="H31" t="s">
        <v>270</v>
      </c>
      <c r="I31" t="s">
        <v>87</v>
      </c>
      <c r="J31" t="s">
        <v>87</v>
      </c>
      <c r="K31" t="s">
        <v>227</v>
      </c>
      <c r="L31" t="s">
        <v>227</v>
      </c>
      <c r="M31" t="s">
        <v>227</v>
      </c>
      <c r="N31" t="s">
        <v>86</v>
      </c>
      <c r="O31" t="s">
        <v>86</v>
      </c>
    </row>
    <row r="32" spans="1:23" ht="44.25">
      <c r="A32">
        <v>31</v>
      </c>
      <c r="B32" t="s">
        <v>293</v>
      </c>
      <c r="C32" t="s">
        <v>373</v>
      </c>
      <c r="D32" t="s">
        <v>381</v>
      </c>
      <c r="E32" s="1" t="s">
        <v>427</v>
      </c>
      <c r="H32" t="s">
        <v>287</v>
      </c>
      <c r="I32" t="s">
        <v>87</v>
      </c>
      <c r="J32" t="s">
        <v>87</v>
      </c>
      <c r="K32" t="s">
        <v>227</v>
      </c>
      <c r="L32" t="s">
        <v>86</v>
      </c>
      <c r="M32" t="s">
        <v>86</v>
      </c>
      <c r="N32" t="s">
        <v>86</v>
      </c>
      <c r="O32" t="s">
        <v>86</v>
      </c>
    </row>
    <row r="33" spans="1:24" ht="44.25">
      <c r="A33">
        <v>32</v>
      </c>
      <c r="B33" t="s">
        <v>289</v>
      </c>
      <c r="C33" t="s">
        <v>372</v>
      </c>
      <c r="D33" t="s">
        <v>2623</v>
      </c>
      <c r="E33" s="1"/>
      <c r="H33" t="s">
        <v>288</v>
      </c>
      <c r="I33" t="s">
        <v>87</v>
      </c>
      <c r="J33" t="s">
        <v>87</v>
      </c>
      <c r="K33" t="s">
        <v>227</v>
      </c>
      <c r="L33" t="s">
        <v>227</v>
      </c>
      <c r="M33" t="s">
        <v>227</v>
      </c>
      <c r="N33" t="s">
        <v>227</v>
      </c>
      <c r="O33" t="s">
        <v>86</v>
      </c>
    </row>
    <row r="34" spans="1:24" ht="44.25">
      <c r="A34">
        <v>33</v>
      </c>
      <c r="B34" t="s">
        <v>290</v>
      </c>
      <c r="C34" t="s">
        <v>371</v>
      </c>
      <c r="D34" t="s">
        <v>294</v>
      </c>
      <c r="E34" s="1"/>
      <c r="H34" t="s">
        <v>285</v>
      </c>
      <c r="I34" t="s">
        <v>87</v>
      </c>
      <c r="J34" t="s">
        <v>87</v>
      </c>
      <c r="K34" t="s">
        <v>227</v>
      </c>
      <c r="L34" t="s">
        <v>87</v>
      </c>
      <c r="M34" t="s">
        <v>87</v>
      </c>
      <c r="N34" t="s">
        <v>87</v>
      </c>
      <c r="O34" t="s">
        <v>87</v>
      </c>
    </row>
    <row r="35" spans="1:24" ht="44.25">
      <c r="A35">
        <v>34</v>
      </c>
      <c r="B35" t="s">
        <v>291</v>
      </c>
      <c r="C35">
        <v>4401188458</v>
      </c>
      <c r="D35" t="s">
        <v>431</v>
      </c>
      <c r="E35" s="1" t="s">
        <v>428</v>
      </c>
      <c r="H35" t="s">
        <v>286</v>
      </c>
      <c r="I35" t="s">
        <v>87</v>
      </c>
      <c r="J35" t="s">
        <v>87</v>
      </c>
      <c r="K35" t="s">
        <v>227</v>
      </c>
      <c r="L35" t="s">
        <v>86</v>
      </c>
      <c r="M35" t="s">
        <v>86</v>
      </c>
      <c r="N35" t="s">
        <v>86</v>
      </c>
      <c r="O35" t="s">
        <v>86</v>
      </c>
      <c r="T35" t="s">
        <v>361</v>
      </c>
    </row>
    <row r="36" spans="1:24" ht="44.25">
      <c r="A36">
        <v>35</v>
      </c>
      <c r="B36" t="s">
        <v>297</v>
      </c>
      <c r="C36" t="s">
        <v>296</v>
      </c>
      <c r="D36" t="s">
        <v>382</v>
      </c>
      <c r="E36" s="1"/>
      <c r="H36" t="s">
        <v>297</v>
      </c>
      <c r="I36" t="s">
        <v>87</v>
      </c>
      <c r="J36" t="s">
        <v>87</v>
      </c>
      <c r="K36" t="s">
        <v>227</v>
      </c>
      <c r="L36" t="s">
        <v>86</v>
      </c>
      <c r="M36" t="s">
        <v>86</v>
      </c>
      <c r="N36" t="s">
        <v>86</v>
      </c>
      <c r="O36" t="s">
        <v>86</v>
      </c>
    </row>
    <row r="37" spans="1:24" ht="44.25">
      <c r="A37">
        <v>36</v>
      </c>
      <c r="B37" t="s">
        <v>298</v>
      </c>
      <c r="C37" t="s">
        <v>300</v>
      </c>
      <c r="D37" t="s">
        <v>299</v>
      </c>
      <c r="E37" s="1"/>
      <c r="H37" t="s">
        <v>298</v>
      </c>
      <c r="I37" t="s">
        <v>87</v>
      </c>
      <c r="J37" t="s">
        <v>87</v>
      </c>
      <c r="K37" t="s">
        <v>227</v>
      </c>
      <c r="L37" t="s">
        <v>227</v>
      </c>
      <c r="M37" t="s">
        <v>227</v>
      </c>
      <c r="N37" t="s">
        <v>227</v>
      </c>
      <c r="O37" t="s">
        <v>227</v>
      </c>
    </row>
    <row r="38" spans="1:24" ht="44.25">
      <c r="A38">
        <v>37</v>
      </c>
      <c r="B38" t="s">
        <v>326</v>
      </c>
      <c r="C38" t="s">
        <v>331</v>
      </c>
      <c r="D38" t="s">
        <v>327</v>
      </c>
      <c r="E38" s="1" t="s">
        <v>429</v>
      </c>
      <c r="F38" t="s">
        <v>2456</v>
      </c>
      <c r="G38" s="97" t="s">
        <v>2465</v>
      </c>
      <c r="H38" t="s">
        <v>330</v>
      </c>
      <c r="I38" t="s">
        <v>87</v>
      </c>
      <c r="J38" t="s">
        <v>87</v>
      </c>
      <c r="K38" t="s">
        <v>227</v>
      </c>
      <c r="L38" t="s">
        <v>86</v>
      </c>
      <c r="M38" t="s">
        <v>86</v>
      </c>
      <c r="N38" t="s">
        <v>86</v>
      </c>
      <c r="O38" t="s">
        <v>86</v>
      </c>
      <c r="T38" t="s">
        <v>429</v>
      </c>
      <c r="U38" s="6" t="s">
        <v>374</v>
      </c>
      <c r="W38" t="s">
        <v>430</v>
      </c>
      <c r="X38" t="s">
        <v>429</v>
      </c>
    </row>
    <row r="39" spans="1:24" ht="44.25">
      <c r="A39">
        <v>38</v>
      </c>
      <c r="B39" t="s">
        <v>328</v>
      </c>
      <c r="C39" t="s">
        <v>332</v>
      </c>
      <c r="D39" t="s">
        <v>329</v>
      </c>
      <c r="E39" s="1" t="s">
        <v>359</v>
      </c>
      <c r="H39" t="s">
        <v>333</v>
      </c>
      <c r="I39" t="s">
        <v>87</v>
      </c>
      <c r="J39" t="s">
        <v>87</v>
      </c>
      <c r="K39" t="s">
        <v>227</v>
      </c>
      <c r="L39" t="s">
        <v>86</v>
      </c>
      <c r="M39" t="s">
        <v>86</v>
      </c>
      <c r="N39" t="s">
        <v>86</v>
      </c>
      <c r="O39" t="s">
        <v>86</v>
      </c>
    </row>
    <row r="40" spans="1:24" ht="44.25">
      <c r="A40">
        <v>39</v>
      </c>
      <c r="B40" t="s">
        <v>341</v>
      </c>
      <c r="C40">
        <v>1017680906</v>
      </c>
      <c r="D40" t="s">
        <v>339</v>
      </c>
      <c r="E40" s="1"/>
      <c r="H40" t="s">
        <v>340</v>
      </c>
      <c r="I40" t="s">
        <v>87</v>
      </c>
      <c r="J40" t="s">
        <v>87</v>
      </c>
      <c r="K40" t="s">
        <v>227</v>
      </c>
      <c r="L40" t="s">
        <v>227</v>
      </c>
      <c r="M40" t="s">
        <v>227</v>
      </c>
      <c r="N40" t="s">
        <v>227</v>
      </c>
      <c r="O40" t="s">
        <v>227</v>
      </c>
    </row>
    <row r="41" spans="1:24" ht="44.25">
      <c r="A41">
        <v>40</v>
      </c>
      <c r="B41" t="s">
        <v>375</v>
      </c>
      <c r="C41" t="s">
        <v>377</v>
      </c>
      <c r="D41" t="s">
        <v>376</v>
      </c>
      <c r="E41" s="1" t="s">
        <v>426</v>
      </c>
      <c r="H41" t="s">
        <v>375</v>
      </c>
      <c r="I41" t="s">
        <v>87</v>
      </c>
      <c r="J41" t="s">
        <v>87</v>
      </c>
      <c r="K41" t="s">
        <v>87</v>
      </c>
      <c r="L41" t="s">
        <v>86</v>
      </c>
      <c r="M41" t="s">
        <v>86</v>
      </c>
      <c r="N41" t="s">
        <v>86</v>
      </c>
      <c r="O41" t="s">
        <v>86</v>
      </c>
    </row>
    <row r="42" spans="1:24" ht="44.25">
      <c r="A42">
        <v>41</v>
      </c>
      <c r="B42" t="s">
        <v>378</v>
      </c>
      <c r="C42" t="s">
        <v>380</v>
      </c>
      <c r="D42" t="s">
        <v>78</v>
      </c>
      <c r="E42" s="1"/>
      <c r="H42" t="s">
        <v>379</v>
      </c>
      <c r="I42" t="s">
        <v>87</v>
      </c>
      <c r="J42" t="s">
        <v>87</v>
      </c>
      <c r="K42" t="s">
        <v>87</v>
      </c>
      <c r="L42" t="s">
        <v>227</v>
      </c>
      <c r="M42" t="s">
        <v>227</v>
      </c>
      <c r="N42" t="s">
        <v>227</v>
      </c>
      <c r="O42" t="s">
        <v>227</v>
      </c>
    </row>
    <row r="43" spans="1:24" ht="44.25">
      <c r="A43">
        <v>42</v>
      </c>
      <c r="B43" t="s">
        <v>383</v>
      </c>
      <c r="C43" t="s">
        <v>385</v>
      </c>
      <c r="D43" t="s">
        <v>384</v>
      </c>
      <c r="E43" s="1"/>
      <c r="F43" s="94"/>
      <c r="G43" s="94"/>
      <c r="H43" t="s">
        <v>386</v>
      </c>
      <c r="I43" t="s">
        <v>87</v>
      </c>
      <c r="J43" t="s">
        <v>87</v>
      </c>
      <c r="K43" t="s">
        <v>87</v>
      </c>
      <c r="L43" t="s">
        <v>227</v>
      </c>
      <c r="M43" t="s">
        <v>227</v>
      </c>
      <c r="N43" t="s">
        <v>227</v>
      </c>
      <c r="O43" t="s">
        <v>227</v>
      </c>
    </row>
    <row r="44" spans="1:24" ht="44.25">
      <c r="A44">
        <v>43</v>
      </c>
      <c r="B44" t="s">
        <v>388</v>
      </c>
      <c r="C44" t="s">
        <v>389</v>
      </c>
      <c r="D44" t="s">
        <v>391</v>
      </c>
      <c r="E44" s="1"/>
      <c r="H44" t="s">
        <v>390</v>
      </c>
      <c r="I44" t="s">
        <v>87</v>
      </c>
      <c r="J44" t="s">
        <v>87</v>
      </c>
      <c r="K44" t="s">
        <v>87</v>
      </c>
      <c r="L44" t="s">
        <v>86</v>
      </c>
      <c r="M44" t="s">
        <v>86</v>
      </c>
      <c r="N44" t="s">
        <v>86</v>
      </c>
      <c r="O44" t="s">
        <v>86</v>
      </c>
    </row>
    <row r="45" spans="1:24" ht="44.25">
      <c r="A45">
        <v>44</v>
      </c>
      <c r="B45" t="s">
        <v>2466</v>
      </c>
      <c r="C45" t="s">
        <v>2468</v>
      </c>
      <c r="D45" t="s">
        <v>2467</v>
      </c>
      <c r="E45" s="1"/>
      <c r="H45" t="s">
        <v>2466</v>
      </c>
      <c r="I45" t="s">
        <v>87</v>
      </c>
      <c r="J45" t="s">
        <v>87</v>
      </c>
      <c r="K45" t="s">
        <v>87</v>
      </c>
      <c r="L45" t="s">
        <v>87</v>
      </c>
      <c r="M45" t="s">
        <v>227</v>
      </c>
      <c r="N45" t="s">
        <v>227</v>
      </c>
      <c r="O45" t="s">
        <v>227</v>
      </c>
    </row>
    <row r="46" spans="1:24" ht="44.25">
      <c r="A46">
        <v>45</v>
      </c>
      <c r="B46" t="s">
        <v>2469</v>
      </c>
      <c r="C46" s="47" t="s">
        <v>2550</v>
      </c>
      <c r="D46" t="s">
        <v>2470</v>
      </c>
      <c r="E46" s="1" t="s">
        <v>2599</v>
      </c>
      <c r="H46" t="s">
        <v>2472</v>
      </c>
      <c r="I46" t="s">
        <v>87</v>
      </c>
      <c r="J46" t="s">
        <v>87</v>
      </c>
      <c r="K46" t="s">
        <v>87</v>
      </c>
      <c r="L46" t="s">
        <v>87</v>
      </c>
      <c r="M46" t="s">
        <v>86</v>
      </c>
      <c r="N46" t="s">
        <v>86</v>
      </c>
      <c r="O46" t="s">
        <v>86</v>
      </c>
    </row>
    <row r="47" spans="1:24" ht="44.25">
      <c r="A47">
        <v>46</v>
      </c>
      <c r="B47" t="s">
        <v>2473</v>
      </c>
      <c r="C47" t="s">
        <v>2475</v>
      </c>
      <c r="D47" t="s">
        <v>2474</v>
      </c>
      <c r="E47" s="1"/>
      <c r="H47" t="s">
        <v>2473</v>
      </c>
      <c r="I47" t="s">
        <v>87</v>
      </c>
      <c r="J47" t="s">
        <v>87</v>
      </c>
      <c r="K47" t="s">
        <v>87</v>
      </c>
      <c r="L47" t="s">
        <v>87</v>
      </c>
      <c r="M47" t="s">
        <v>227</v>
      </c>
      <c r="N47" t="s">
        <v>86</v>
      </c>
      <c r="O47" t="s">
        <v>86</v>
      </c>
    </row>
    <row r="48" spans="1:24" ht="44.25">
      <c r="A48">
        <v>47</v>
      </c>
      <c r="B48" t="s">
        <v>2516</v>
      </c>
      <c r="C48" t="s">
        <v>2518</v>
      </c>
      <c r="D48" t="s">
        <v>2517</v>
      </c>
      <c r="E48" s="1" t="s">
        <v>323</v>
      </c>
      <c r="H48" t="s">
        <v>2519</v>
      </c>
      <c r="I48" t="s">
        <v>87</v>
      </c>
      <c r="J48" t="s">
        <v>87</v>
      </c>
      <c r="K48" t="s">
        <v>87</v>
      </c>
      <c r="L48" t="s">
        <v>87</v>
      </c>
      <c r="M48" t="s">
        <v>86</v>
      </c>
      <c r="N48" t="s">
        <v>86</v>
      </c>
      <c r="O48" t="s">
        <v>86</v>
      </c>
    </row>
    <row r="49" spans="1:15" ht="44.25">
      <c r="A49">
        <v>48</v>
      </c>
      <c r="B49" t="s">
        <v>2540</v>
      </c>
      <c r="C49" t="s">
        <v>2542</v>
      </c>
      <c r="D49" t="s">
        <v>2541</v>
      </c>
      <c r="E49" s="1"/>
      <c r="H49" t="s">
        <v>2540</v>
      </c>
      <c r="I49" t="s">
        <v>87</v>
      </c>
      <c r="J49" t="s">
        <v>87</v>
      </c>
      <c r="K49" t="s">
        <v>87</v>
      </c>
      <c r="L49" t="s">
        <v>87</v>
      </c>
      <c r="M49" t="s">
        <v>227</v>
      </c>
      <c r="N49" t="s">
        <v>227</v>
      </c>
      <c r="O49" t="s">
        <v>227</v>
      </c>
    </row>
    <row r="50" spans="1:15" ht="44.25">
      <c r="A50">
        <v>49</v>
      </c>
      <c r="B50" t="s">
        <v>2560</v>
      </c>
      <c r="C50" s="11" t="s">
        <v>2559</v>
      </c>
      <c r="D50" t="s">
        <v>2558</v>
      </c>
      <c r="E50" s="1"/>
      <c r="H50" t="s">
        <v>2557</v>
      </c>
      <c r="I50" t="s">
        <v>87</v>
      </c>
      <c r="J50" t="s">
        <v>87</v>
      </c>
      <c r="K50" t="s">
        <v>87</v>
      </c>
      <c r="L50" t="s">
        <v>87</v>
      </c>
      <c r="M50" t="s">
        <v>227</v>
      </c>
      <c r="N50" t="s">
        <v>227</v>
      </c>
      <c r="O50" t="s">
        <v>227</v>
      </c>
    </row>
    <row r="51" spans="1:15" ht="44.25">
      <c r="A51">
        <v>50</v>
      </c>
      <c r="B51" t="s">
        <v>2561</v>
      </c>
      <c r="C51" t="s">
        <v>2563</v>
      </c>
      <c r="D51" t="s">
        <v>2562</v>
      </c>
      <c r="E51" s="1"/>
      <c r="H51" t="s">
        <v>2564</v>
      </c>
      <c r="I51" t="s">
        <v>87</v>
      </c>
      <c r="J51" t="s">
        <v>87</v>
      </c>
      <c r="K51" t="s">
        <v>87</v>
      </c>
      <c r="L51" t="s">
        <v>87</v>
      </c>
      <c r="M51" t="s">
        <v>227</v>
      </c>
      <c r="N51" t="s">
        <v>86</v>
      </c>
      <c r="O51" t="s">
        <v>86</v>
      </c>
    </row>
    <row r="52" spans="1:15" ht="44.25">
      <c r="A52">
        <v>51</v>
      </c>
      <c r="B52" t="s">
        <v>2603</v>
      </c>
      <c r="C52" t="s">
        <v>2604</v>
      </c>
      <c r="D52" t="s">
        <v>2605</v>
      </c>
      <c r="E52" s="1"/>
      <c r="F52" s="1"/>
      <c r="H52" t="s">
        <v>2603</v>
      </c>
      <c r="I52" t="s">
        <v>87</v>
      </c>
      <c r="J52" t="s">
        <v>87</v>
      </c>
      <c r="K52" t="s">
        <v>87</v>
      </c>
      <c r="L52" t="s">
        <v>87</v>
      </c>
      <c r="M52" t="s">
        <v>87</v>
      </c>
      <c r="N52" t="s">
        <v>227</v>
      </c>
      <c r="O52" t="s">
        <v>227</v>
      </c>
    </row>
    <row r="53" spans="1:15" ht="44.25">
      <c r="A53">
        <v>52</v>
      </c>
      <c r="B53" t="s">
        <v>2606</v>
      </c>
      <c r="C53" t="s">
        <v>2607</v>
      </c>
      <c r="D53" t="s">
        <v>292</v>
      </c>
      <c r="E53" s="1"/>
      <c r="F53" s="1"/>
      <c r="H53" t="s">
        <v>2606</v>
      </c>
      <c r="I53" t="s">
        <v>87</v>
      </c>
      <c r="J53" t="s">
        <v>87</v>
      </c>
      <c r="K53" t="s">
        <v>87</v>
      </c>
      <c r="L53" t="s">
        <v>87</v>
      </c>
      <c r="M53" t="s">
        <v>87</v>
      </c>
      <c r="N53" t="s">
        <v>86</v>
      </c>
      <c r="O53" t="s">
        <v>86</v>
      </c>
    </row>
    <row r="54" spans="1:15" ht="44.25">
      <c r="A54">
        <v>53</v>
      </c>
      <c r="B54" t="s">
        <v>2625</v>
      </c>
      <c r="C54" t="s">
        <v>2626</v>
      </c>
      <c r="D54" t="s">
        <v>2627</v>
      </c>
      <c r="E54" s="1"/>
      <c r="F54" s="11" t="s">
        <v>3314</v>
      </c>
      <c r="G54" s="97" t="s">
        <v>3313</v>
      </c>
      <c r="H54" t="s">
        <v>2628</v>
      </c>
      <c r="I54" t="s">
        <v>87</v>
      </c>
      <c r="J54" t="s">
        <v>87</v>
      </c>
      <c r="K54" t="s">
        <v>87</v>
      </c>
      <c r="L54" t="s">
        <v>87</v>
      </c>
      <c r="M54" t="s">
        <v>87</v>
      </c>
      <c r="N54" t="s">
        <v>227</v>
      </c>
      <c r="O54" t="s">
        <v>86</v>
      </c>
    </row>
    <row r="55" spans="1:15" ht="44.25">
      <c r="A55">
        <v>54</v>
      </c>
      <c r="B55" t="s">
        <v>2631</v>
      </c>
      <c r="C55" t="s">
        <v>2632</v>
      </c>
      <c r="D55" t="s">
        <v>2633</v>
      </c>
      <c r="E55" s="1"/>
      <c r="F55" s="1"/>
      <c r="H55" t="s">
        <v>2631</v>
      </c>
      <c r="I55" t="s">
        <v>87</v>
      </c>
      <c r="J55" t="s">
        <v>87</v>
      </c>
      <c r="K55" t="s">
        <v>87</v>
      </c>
      <c r="L55" t="s">
        <v>87</v>
      </c>
      <c r="M55" t="s">
        <v>87</v>
      </c>
      <c r="N55" t="s">
        <v>227</v>
      </c>
      <c r="O55" t="s">
        <v>227</v>
      </c>
    </row>
    <row r="56" spans="1:15" ht="44.25">
      <c r="A56">
        <v>55</v>
      </c>
      <c r="B56" t="s">
        <v>3317</v>
      </c>
      <c r="C56" s="128" t="s">
        <v>3324</v>
      </c>
      <c r="D56" t="s">
        <v>3318</v>
      </c>
      <c r="E56" s="1"/>
      <c r="F56" s="1"/>
      <c r="H56" t="s">
        <v>3325</v>
      </c>
      <c r="I56" t="s">
        <v>87</v>
      </c>
      <c r="J56" t="s">
        <v>87</v>
      </c>
      <c r="K56" t="s">
        <v>87</v>
      </c>
      <c r="L56" t="s">
        <v>87</v>
      </c>
      <c r="M56" t="s">
        <v>87</v>
      </c>
      <c r="N56" t="s">
        <v>87</v>
      </c>
      <c r="O56" t="s">
        <v>86</v>
      </c>
    </row>
    <row r="57" spans="1:15" ht="44.25">
      <c r="A57">
        <v>56</v>
      </c>
      <c r="B57" t="s">
        <v>3319</v>
      </c>
      <c r="C57" t="s">
        <v>3321</v>
      </c>
      <c r="D57" t="s">
        <v>3320</v>
      </c>
      <c r="E57" s="1"/>
      <c r="F57" s="1"/>
      <c r="G57" s="97" t="s">
        <v>3322</v>
      </c>
      <c r="H57" t="s">
        <v>3323</v>
      </c>
      <c r="I57" t="s">
        <v>87</v>
      </c>
      <c r="J57" t="s">
        <v>87</v>
      </c>
      <c r="K57" t="s">
        <v>87</v>
      </c>
      <c r="L57" t="s">
        <v>87</v>
      </c>
      <c r="M57" t="s">
        <v>87</v>
      </c>
      <c r="N57" t="s">
        <v>87</v>
      </c>
      <c r="O57" t="s">
        <v>227</v>
      </c>
    </row>
    <row r="58" spans="1:15">
      <c r="A58">
        <v>57</v>
      </c>
      <c r="B58" t="s">
        <v>3326</v>
      </c>
      <c r="C58" t="s">
        <v>3327</v>
      </c>
      <c r="D58" t="s">
        <v>3328</v>
      </c>
      <c r="E58" s="1"/>
      <c r="F58" s="1" t="s">
        <v>3329</v>
      </c>
      <c r="H58" t="s">
        <v>3330</v>
      </c>
      <c r="I58" t="s">
        <v>87</v>
      </c>
      <c r="J58" t="s">
        <v>87</v>
      </c>
      <c r="K58" t="s">
        <v>87</v>
      </c>
      <c r="L58" t="s">
        <v>87</v>
      </c>
      <c r="M58" t="s">
        <v>87</v>
      </c>
      <c r="N58" t="s">
        <v>87</v>
      </c>
      <c r="O58" t="s">
        <v>86</v>
      </c>
    </row>
    <row r="59" spans="1:15">
      <c r="A59">
        <v>58</v>
      </c>
      <c r="B59" t="s">
        <v>3331</v>
      </c>
      <c r="C59" t="s">
        <v>3332</v>
      </c>
      <c r="D59" t="s">
        <v>3333</v>
      </c>
      <c r="E59" s="1"/>
      <c r="F59" s="1" t="s">
        <v>3334</v>
      </c>
      <c r="G59" s="97" t="s">
        <v>3335</v>
      </c>
      <c r="H59" t="s">
        <v>3336</v>
      </c>
      <c r="I59" t="s">
        <v>87</v>
      </c>
      <c r="J59" t="s">
        <v>87</v>
      </c>
      <c r="K59" t="s">
        <v>87</v>
      </c>
      <c r="L59" t="s">
        <v>87</v>
      </c>
      <c r="M59" t="s">
        <v>87</v>
      </c>
      <c r="N59" t="s">
        <v>87</v>
      </c>
      <c r="O59" t="s">
        <v>86</v>
      </c>
    </row>
    <row r="60" spans="1:15">
      <c r="A60">
        <v>59</v>
      </c>
      <c r="B60" t="s">
        <v>3337</v>
      </c>
      <c r="C60" t="s">
        <v>3338</v>
      </c>
      <c r="D60" t="s">
        <v>3339</v>
      </c>
      <c r="E60" s="1"/>
      <c r="F60" s="1"/>
      <c r="H60" t="s">
        <v>3337</v>
      </c>
      <c r="I60" t="s">
        <v>87</v>
      </c>
      <c r="J60" t="s">
        <v>87</v>
      </c>
      <c r="K60" t="s">
        <v>87</v>
      </c>
      <c r="L60" t="s">
        <v>87</v>
      </c>
      <c r="M60" t="s">
        <v>87</v>
      </c>
      <c r="N60" t="s">
        <v>87</v>
      </c>
      <c r="O60" t="s">
        <v>227</v>
      </c>
    </row>
    <row r="61" spans="1:15">
      <c r="A61">
        <v>60</v>
      </c>
      <c r="B61" t="s">
        <v>3340</v>
      </c>
      <c r="C61" t="s">
        <v>3341</v>
      </c>
      <c r="D61" t="s">
        <v>3342</v>
      </c>
      <c r="E61" s="1"/>
      <c r="F61" s="1"/>
      <c r="H61" t="s">
        <v>3340</v>
      </c>
      <c r="I61" t="s">
        <v>87</v>
      </c>
      <c r="J61" t="s">
        <v>87</v>
      </c>
      <c r="K61" t="s">
        <v>87</v>
      </c>
      <c r="L61" t="s">
        <v>87</v>
      </c>
      <c r="M61" t="s">
        <v>87</v>
      </c>
      <c r="N61" t="s">
        <v>87</v>
      </c>
      <c r="O61" t="s">
        <v>227</v>
      </c>
    </row>
    <row r="65" spans="5:7">
      <c r="E65" s="18" t="s">
        <v>2471</v>
      </c>
      <c r="F65" t="s">
        <v>2548</v>
      </c>
    </row>
    <row r="66" spans="5:7">
      <c r="E66" s="47" t="s">
        <v>2550</v>
      </c>
      <c r="F66" t="s">
        <v>2549</v>
      </c>
    </row>
    <row r="68" spans="5:7">
      <c r="E68" t="s">
        <v>54</v>
      </c>
      <c r="F68" t="s">
        <v>105</v>
      </c>
      <c r="G68" t="s">
        <v>2453</v>
      </c>
    </row>
    <row r="69" spans="5:7">
      <c r="E69" t="s">
        <v>209</v>
      </c>
      <c r="F69" t="s">
        <v>213</v>
      </c>
      <c r="G69" t="s">
        <v>2462</v>
      </c>
    </row>
    <row r="72" spans="5:7">
      <c r="E72" t="s">
        <v>56</v>
      </c>
      <c r="F72" t="s">
        <v>108</v>
      </c>
      <c r="G72" t="s">
        <v>2455</v>
      </c>
    </row>
    <row r="73" spans="5:7">
      <c r="E73" t="s">
        <v>62</v>
      </c>
      <c r="F73" t="s">
        <v>106</v>
      </c>
      <c r="G73" t="s">
        <v>2458</v>
      </c>
    </row>
  </sheetData>
  <phoneticPr fontId="25" type="noConversion"/>
  <hyperlinks>
    <hyperlink ref="G6" r:id="rId1" xr:uid="{F3D89779-8318-E74C-892C-C10278BB9958}"/>
    <hyperlink ref="G12" r:id="rId2" xr:uid="{96372FED-32CE-C74B-B364-01FD5D569CBC}"/>
    <hyperlink ref="G17" r:id="rId3" xr:uid="{1E0A6B99-3639-EA4A-A877-428BEA44D3AE}"/>
    <hyperlink ref="G4" r:id="rId4" xr:uid="{0B09F98B-D038-1743-995F-ABA5549351F4}"/>
    <hyperlink ref="G21" r:id="rId5" xr:uid="{C7C83FB3-A236-A74F-9192-89D798AF6AA1}"/>
    <hyperlink ref="G23" r:id="rId6" xr:uid="{4C81F7FB-CBA0-5643-A2BB-5059314F227E}"/>
    <hyperlink ref="G38" r:id="rId7" xr:uid="{3FA64791-D12C-C041-9538-5C403C2E5508}"/>
    <hyperlink ref="G5" r:id="rId8" xr:uid="{E3A970DB-3343-4BBA-9B97-C57C7879191B}"/>
    <hyperlink ref="G54" r:id="rId9" xr:uid="{B9F8E8EB-2418-4B43-9423-9555BFE7B6B0}"/>
    <hyperlink ref="G57" r:id="rId10" xr:uid="{8D754E91-1920-4136-BE51-7D63D496F6E4}"/>
  </hyperlinks>
  <pageMargins left="0.7" right="0.7" top="0.75" bottom="0.75" header="0.3" footer="0.3"/>
  <pageSetup paperSize="9" orientation="portrait" r:id="rId11"/>
  <tableParts count="1">
    <tablePart r:id="rId1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AA16C-CA67-CA4D-8681-99220DE93A8E}">
  <dimension ref="A1:U35"/>
  <sheetViews>
    <sheetView zoomScale="85" zoomScaleNormal="85" workbookViewId="0">
      <selection activeCell="G7" sqref="G7"/>
    </sheetView>
  </sheetViews>
  <sheetFormatPr baseColWidth="10" defaultColWidth="10.75" defaultRowHeight="15.75" outlineLevelCol="1"/>
  <cols>
    <col min="1" max="1" width="14.875" customWidth="1"/>
    <col min="2" max="2" width="9.375" customWidth="1"/>
    <col min="3" max="3" width="11.75" bestFit="1" customWidth="1"/>
    <col min="4" max="4" width="11.75" customWidth="1"/>
    <col min="5" max="6" width="10.75" customWidth="1"/>
    <col min="7" max="7" width="12.75" customWidth="1" outlineLevel="1"/>
    <col min="8" max="8" width="12.5" customWidth="1" outlineLevel="1"/>
    <col min="9" max="9" width="13.25" customWidth="1" outlineLevel="1"/>
    <col min="10" max="10" width="10.75" customWidth="1" outlineLevel="1"/>
    <col min="11" max="11" width="8.5" customWidth="1" outlineLevel="1"/>
    <col min="12" max="12" width="8.75" customWidth="1" outlineLevel="1"/>
    <col min="13" max="13" width="9.25" customWidth="1" outlineLevel="1"/>
    <col min="14" max="14" width="8.25" bestFit="1" customWidth="1"/>
    <col min="16" max="16" width="8" bestFit="1" customWidth="1"/>
    <col min="17" max="17" width="23.875" bestFit="1" customWidth="1"/>
  </cols>
  <sheetData>
    <row r="1" spans="1:21">
      <c r="A1" t="s">
        <v>69</v>
      </c>
      <c r="B1" t="s">
        <v>138</v>
      </c>
      <c r="C1" t="s">
        <v>93</v>
      </c>
      <c r="D1" t="s">
        <v>78</v>
      </c>
      <c r="E1" t="s">
        <v>141</v>
      </c>
      <c r="F1" t="s">
        <v>88</v>
      </c>
      <c r="G1" t="s">
        <v>79</v>
      </c>
      <c r="H1" t="s">
        <v>82</v>
      </c>
      <c r="I1" t="s">
        <v>83</v>
      </c>
      <c r="J1" t="s">
        <v>143</v>
      </c>
      <c r="K1" t="s">
        <v>144</v>
      </c>
      <c r="L1" t="s">
        <v>241</v>
      </c>
      <c r="M1" t="s">
        <v>246</v>
      </c>
      <c r="N1" t="s">
        <v>366</v>
      </c>
      <c r="O1" t="s">
        <v>439</v>
      </c>
      <c r="P1" t="s">
        <v>301</v>
      </c>
      <c r="Q1" t="s">
        <v>367</v>
      </c>
      <c r="R1" t="s">
        <v>437</v>
      </c>
      <c r="S1" t="s">
        <v>2567</v>
      </c>
      <c r="U1" t="s">
        <v>2566</v>
      </c>
    </row>
    <row r="2" spans="1:21">
      <c r="A2" s="2">
        <v>45346</v>
      </c>
      <c r="B2">
        <v>2024</v>
      </c>
      <c r="C2">
        <v>1</v>
      </c>
      <c r="D2" t="s">
        <v>365</v>
      </c>
      <c r="E2" t="s">
        <v>142</v>
      </c>
      <c r="F2">
        <v>2</v>
      </c>
      <c r="G2" t="s">
        <v>31</v>
      </c>
      <c r="H2">
        <v>0</v>
      </c>
      <c r="I2">
        <f>+dCalendario[[#This Row],[NºTorneo]]-dCalendario[[#This Row],[RdosQuitar]]</f>
        <v>1</v>
      </c>
      <c r="J2" t="str">
        <f>+dCalendario[[#This Row],[Campo]]&amp;"-"&amp;dCalendario[[#This Row],[Barras]]</f>
        <v>Retamares-Amarillas</v>
      </c>
      <c r="K2">
        <v>1</v>
      </c>
      <c r="L2" t="s">
        <v>242</v>
      </c>
      <c r="M2">
        <f>+WEEKDAY(dCalendario[[#This Row],[Fecha]],2)</f>
        <v>6</v>
      </c>
      <c r="N2">
        <v>60</v>
      </c>
      <c r="O2" t="s">
        <v>440</v>
      </c>
      <c r="P2" s="106" t="s">
        <v>2521</v>
      </c>
      <c r="Q2" t="s">
        <v>441</v>
      </c>
      <c r="R2" t="s">
        <v>438</v>
      </c>
      <c r="S2" t="str">
        <f>+dCalendario[[#This Row],[Temporada]]&amp;":"&amp;dCalendario[[#This Row],[NºTorneo]]</f>
        <v>2024:1</v>
      </c>
      <c r="U2" s="29">
        <f>+dCalendario[[#This Row],[NºTornPunt]]/dCalendario[[#This Row],[NºTorneo]]</f>
        <v>1</v>
      </c>
    </row>
    <row r="3" spans="1:21">
      <c r="A3" s="2">
        <v>45360</v>
      </c>
      <c r="B3">
        <v>2024</v>
      </c>
      <c r="C3">
        <v>2</v>
      </c>
      <c r="D3" t="s">
        <v>454</v>
      </c>
      <c r="E3" t="s">
        <v>142</v>
      </c>
      <c r="F3">
        <v>2</v>
      </c>
      <c r="G3" t="s">
        <v>31</v>
      </c>
      <c r="H3">
        <v>1</v>
      </c>
      <c r="I3">
        <f>+dCalendario[[#This Row],[NºTorneo]]-dCalendario[[#This Row],[RdosQuitar]]</f>
        <v>1</v>
      </c>
      <c r="J3" t="str">
        <f>+dCalendario[[#This Row],[Campo]]&amp;"-"&amp;dCalendario[[#This Row],[Barras]]</f>
        <v>El Encin-Amarillas</v>
      </c>
      <c r="L3" t="s">
        <v>242</v>
      </c>
      <c r="M3">
        <f>+WEEKDAY(dCalendario[[#This Row],[Fecha]],2)</f>
        <v>6</v>
      </c>
      <c r="P3" s="54"/>
      <c r="R3" t="s">
        <v>438</v>
      </c>
      <c r="S3" t="str">
        <f>+dCalendario[[#This Row],[Temporada]]&amp;":"&amp;dCalendario[[#This Row],[NºTorneo]]</f>
        <v>2024:2</v>
      </c>
      <c r="U3" s="29">
        <f>+dCalendario[[#This Row],[NºTornPunt]]/dCalendario[[#This Row],[NºTorneo]]</f>
        <v>0.5</v>
      </c>
    </row>
    <row r="4" spans="1:21">
      <c r="A4" s="2">
        <v>45409</v>
      </c>
      <c r="B4">
        <v>2024</v>
      </c>
      <c r="C4">
        <v>3</v>
      </c>
      <c r="D4" t="s">
        <v>355</v>
      </c>
      <c r="E4" t="s">
        <v>142</v>
      </c>
      <c r="F4">
        <v>2</v>
      </c>
      <c r="G4" t="s">
        <v>31</v>
      </c>
      <c r="H4">
        <v>1</v>
      </c>
      <c r="I4">
        <f>+dCalendario[[#This Row],[NºTorneo]]-dCalendario[[#This Row],[RdosQuitar]]</f>
        <v>2</v>
      </c>
      <c r="J4" t="str">
        <f>+dCalendario[[#This Row],[Campo]]&amp;"-"&amp;dCalendario[[#This Row],[Barras]]</f>
        <v>Cabanillas-Amarillas</v>
      </c>
      <c r="L4" t="s">
        <v>243</v>
      </c>
      <c r="M4">
        <f>+WEEKDAY(dCalendario[[#This Row],[Fecha]],2)</f>
        <v>6</v>
      </c>
      <c r="R4" t="s">
        <v>438</v>
      </c>
      <c r="S4" t="str">
        <f>+dCalendario[[#This Row],[Temporada]]&amp;":"&amp;dCalendario[[#This Row],[NºTorneo]]</f>
        <v>2024:3</v>
      </c>
      <c r="U4" s="29">
        <f>+dCalendario[[#This Row],[NºTornPunt]]/dCalendario[[#This Row],[NºTorneo]]</f>
        <v>0.66666666666666663</v>
      </c>
    </row>
    <row r="5" spans="1:21">
      <c r="A5" s="2">
        <v>45430</v>
      </c>
      <c r="B5">
        <v>2024</v>
      </c>
      <c r="C5">
        <v>4</v>
      </c>
      <c r="D5" t="s">
        <v>455</v>
      </c>
      <c r="E5" t="s">
        <v>142</v>
      </c>
      <c r="F5">
        <v>3</v>
      </c>
      <c r="G5" t="s">
        <v>31</v>
      </c>
      <c r="H5">
        <v>1</v>
      </c>
      <c r="I5">
        <f>+dCalendario[[#This Row],[NºTorneo]]-dCalendario[[#This Row],[RdosQuitar]]</f>
        <v>3</v>
      </c>
      <c r="J5" t="str">
        <f>+dCalendario[[#This Row],[Campo]]&amp;"-"&amp;dCalendario[[#This Row],[Barras]]</f>
        <v>Saldaña-Amarillas</v>
      </c>
      <c r="L5" t="s">
        <v>242</v>
      </c>
      <c r="M5">
        <f>+WEEKDAY(dCalendario[[#This Row],[Fecha]],2)</f>
        <v>6</v>
      </c>
      <c r="N5">
        <v>40</v>
      </c>
      <c r="O5" t="s">
        <v>440</v>
      </c>
      <c r="P5" s="106" t="s">
        <v>2522</v>
      </c>
      <c r="R5" t="s">
        <v>438</v>
      </c>
      <c r="S5" t="str">
        <f>+dCalendario[[#This Row],[Temporada]]&amp;":"&amp;dCalendario[[#This Row],[NºTorneo]]</f>
        <v>2024:4</v>
      </c>
      <c r="U5" s="29">
        <f>+dCalendario[[#This Row],[NºTornPunt]]/dCalendario[[#This Row],[NºTorneo]]</f>
        <v>0.75</v>
      </c>
    </row>
    <row r="6" spans="1:21">
      <c r="A6" s="2">
        <v>45431</v>
      </c>
      <c r="B6">
        <v>2024</v>
      </c>
      <c r="C6">
        <v>5</v>
      </c>
      <c r="D6" t="s">
        <v>245</v>
      </c>
      <c r="E6" t="s">
        <v>142</v>
      </c>
      <c r="F6">
        <v>2</v>
      </c>
      <c r="G6" t="s">
        <v>31</v>
      </c>
      <c r="H6">
        <v>1</v>
      </c>
      <c r="I6">
        <f>+dCalendario[[#This Row],[NºTorneo]]-dCalendario[[#This Row],[RdosQuitar]]</f>
        <v>4</v>
      </c>
      <c r="J6" t="str">
        <f>+dCalendario[[#This Row],[Campo]]&amp;"-"&amp;dCalendario[[#This Row],[Barras]]</f>
        <v>Lerma-Amarillas</v>
      </c>
      <c r="L6" t="s">
        <v>243</v>
      </c>
      <c r="M6">
        <f>+WEEKDAY(dCalendario[[#This Row],[Fecha]],2)</f>
        <v>7</v>
      </c>
      <c r="N6">
        <v>40</v>
      </c>
      <c r="O6" t="s">
        <v>440</v>
      </c>
      <c r="P6" s="106" t="s">
        <v>2522</v>
      </c>
      <c r="Q6" t="s">
        <v>457</v>
      </c>
      <c r="R6" t="s">
        <v>438</v>
      </c>
      <c r="S6" t="str">
        <f>+dCalendario[[#This Row],[Temporada]]&amp;":"&amp;dCalendario[[#This Row],[NºTorneo]]</f>
        <v>2024:5</v>
      </c>
      <c r="U6" s="29">
        <f>+dCalendario[[#This Row],[NºTornPunt]]/dCalendario[[#This Row],[NºTorneo]]</f>
        <v>0.8</v>
      </c>
    </row>
    <row r="7" spans="1:21">
      <c r="A7" s="2">
        <v>45444</v>
      </c>
      <c r="B7">
        <v>2024</v>
      </c>
      <c r="C7">
        <v>6</v>
      </c>
      <c r="D7" t="s">
        <v>456</v>
      </c>
      <c r="E7" t="s">
        <v>142</v>
      </c>
      <c r="F7">
        <v>3</v>
      </c>
      <c r="G7" t="s">
        <v>31</v>
      </c>
      <c r="H7">
        <v>2</v>
      </c>
      <c r="I7">
        <f>+dCalendario[[#This Row],[NºTorneo]]-dCalendario[[#This Row],[RdosQuitar]]</f>
        <v>4</v>
      </c>
      <c r="J7" t="str">
        <f>+dCalendario[[#This Row],[Campo]]&amp;"-"&amp;dCalendario[[#This Row],[Barras]]</f>
        <v>Calatayud-Amarillas</v>
      </c>
      <c r="L7" t="s">
        <v>243</v>
      </c>
      <c r="M7">
        <f>+WEEKDAY(dCalendario[[#This Row],[Fecha]],2)</f>
        <v>6</v>
      </c>
      <c r="N7">
        <v>40</v>
      </c>
      <c r="O7" t="s">
        <v>440</v>
      </c>
      <c r="P7" s="106" t="s">
        <v>2523</v>
      </c>
      <c r="R7" t="s">
        <v>438</v>
      </c>
      <c r="S7" t="str">
        <f>+dCalendario[[#This Row],[Temporada]]&amp;":"&amp;dCalendario[[#This Row],[NºTorneo]]</f>
        <v>2024:6</v>
      </c>
      <c r="U7" s="29">
        <f>+dCalendario[[#This Row],[NºTornPunt]]/dCalendario[[#This Row],[NºTorneo]]</f>
        <v>0.66666666666666663</v>
      </c>
    </row>
    <row r="8" spans="1:21">
      <c r="A8" s="2">
        <v>45479</v>
      </c>
      <c r="B8">
        <v>2024</v>
      </c>
      <c r="C8">
        <v>7</v>
      </c>
      <c r="D8" t="s">
        <v>2443</v>
      </c>
      <c r="E8" t="s">
        <v>142</v>
      </c>
      <c r="F8">
        <v>3</v>
      </c>
      <c r="G8" t="s">
        <v>31</v>
      </c>
      <c r="H8">
        <v>2</v>
      </c>
      <c r="I8">
        <f>+dCalendario[[#This Row],[NºTorneo]]-dCalendario[[#This Row],[RdosQuitar]]</f>
        <v>5</v>
      </c>
      <c r="J8" t="str">
        <f>+dCalendario[[#This Row],[Campo]]&amp;"-"&amp;dCalendario[[#This Row],[Barras]]</f>
        <v>Palomarejos-Amarillas</v>
      </c>
      <c r="L8" t="s">
        <v>243</v>
      </c>
      <c r="M8">
        <f>+WEEKDAY(dCalendario[[#This Row],[Fecha]],2)</f>
        <v>6</v>
      </c>
      <c r="N8">
        <v>47</v>
      </c>
      <c r="O8" t="s">
        <v>2543</v>
      </c>
      <c r="P8" s="106" t="s">
        <v>2544</v>
      </c>
      <c r="R8" t="s">
        <v>438</v>
      </c>
      <c r="S8" t="str">
        <f>+dCalendario[[#This Row],[Temporada]]&amp;":"&amp;dCalendario[[#This Row],[NºTorneo]]</f>
        <v>2024:7</v>
      </c>
      <c r="U8" s="29">
        <f>+dCalendario[[#This Row],[NºTornPunt]]/dCalendario[[#This Row],[NºTorneo]]</f>
        <v>0.7142857142857143</v>
      </c>
    </row>
    <row r="9" spans="1:21">
      <c r="A9" s="2">
        <v>45577</v>
      </c>
      <c r="B9">
        <v>2024</v>
      </c>
      <c r="C9">
        <v>8</v>
      </c>
      <c r="D9" t="s">
        <v>147</v>
      </c>
      <c r="E9" t="s">
        <v>142</v>
      </c>
      <c r="F9">
        <v>2</v>
      </c>
      <c r="G9" t="s">
        <v>31</v>
      </c>
      <c r="H9">
        <v>3</v>
      </c>
      <c r="I9">
        <f>+dCalendario[[#This Row],[NºTorneo]]-dCalendario[[#This Row],[RdosQuitar]]</f>
        <v>5</v>
      </c>
      <c r="J9" t="str">
        <f>+dCalendario[[#This Row],[Campo]]&amp;"-"&amp;dCalendario[[#This Row],[Barras]]</f>
        <v>La Faisanera-Amarillas</v>
      </c>
      <c r="L9" t="s">
        <v>243</v>
      </c>
      <c r="M9">
        <f>+WEEKDAY(dCalendario[[#This Row],[Fecha]],2)</f>
        <v>6</v>
      </c>
      <c r="N9">
        <v>39</v>
      </c>
      <c r="O9" t="s">
        <v>2543</v>
      </c>
      <c r="P9" s="106" t="s">
        <v>2546</v>
      </c>
      <c r="R9" t="s">
        <v>438</v>
      </c>
      <c r="S9" t="str">
        <f>+dCalendario[[#This Row],[Temporada]]&amp;":"&amp;dCalendario[[#This Row],[NºTorneo]]</f>
        <v>2024:8</v>
      </c>
      <c r="U9" s="29">
        <f>+dCalendario[[#This Row],[NºTornPunt]]/dCalendario[[#This Row],[NºTorneo]]</f>
        <v>0.625</v>
      </c>
    </row>
    <row r="10" spans="1:21">
      <c r="A10" s="2">
        <v>45612</v>
      </c>
      <c r="B10">
        <v>2024</v>
      </c>
      <c r="C10">
        <v>9</v>
      </c>
      <c r="D10" t="s">
        <v>461</v>
      </c>
      <c r="E10" t="s">
        <v>142</v>
      </c>
      <c r="F10">
        <v>2</v>
      </c>
      <c r="G10" t="s">
        <v>31</v>
      </c>
      <c r="H10">
        <v>2</v>
      </c>
      <c r="I10">
        <f>+dCalendario[[#This Row],[NºTorneo]]-dCalendario[[#This Row],[RdosQuitar]]</f>
        <v>7</v>
      </c>
      <c r="J10" t="str">
        <f>+dCalendario[[#This Row],[Campo]]&amp;"-"&amp;dCalendario[[#This Row],[Barras]]</f>
        <v>Naturávila-Amarillas</v>
      </c>
      <c r="L10" t="s">
        <v>243</v>
      </c>
      <c r="M10">
        <f>+WEEKDAY(dCalendario[[#This Row],[Fecha]],2)</f>
        <v>6</v>
      </c>
      <c r="N10">
        <v>30</v>
      </c>
      <c r="O10" t="s">
        <v>2543</v>
      </c>
      <c r="P10" s="106" t="s">
        <v>2546</v>
      </c>
      <c r="Q10" t="s">
        <v>458</v>
      </c>
      <c r="R10" t="s">
        <v>438</v>
      </c>
      <c r="S10" t="str">
        <f>+dCalendario[[#This Row],[Temporada]]&amp;":"&amp;dCalendario[[#This Row],[NºTorneo]]</f>
        <v>2024:9</v>
      </c>
      <c r="U10" s="29">
        <f>+dCalendario[[#This Row],[NºTornPunt]]/dCalendario[[#This Row],[NºTorneo]]</f>
        <v>0.77777777777777779</v>
      </c>
    </row>
    <row r="11" spans="1:21">
      <c r="A11" s="2">
        <v>45626</v>
      </c>
      <c r="B11">
        <v>2024</v>
      </c>
      <c r="C11">
        <v>10</v>
      </c>
      <c r="D11" t="s">
        <v>354</v>
      </c>
      <c r="E11" t="s">
        <v>142</v>
      </c>
      <c r="F11">
        <v>3</v>
      </c>
      <c r="G11" t="s">
        <v>31</v>
      </c>
      <c r="H11">
        <v>3</v>
      </c>
      <c r="I11">
        <f>+dCalendario[[#This Row],[NºTorneo]]-dCalendario[[#This Row],[RdosQuitar]]</f>
        <v>7</v>
      </c>
      <c r="J11" t="str">
        <f>+dCalendario[[#This Row],[Campo]]&amp;"-"&amp;dCalendario[[#This Row],[Barras]]</f>
        <v>Layos-Amarillas</v>
      </c>
      <c r="L11" t="s">
        <v>243</v>
      </c>
      <c r="M11">
        <f>+WEEKDAY(dCalendario[[#This Row],[Fecha]],2)</f>
        <v>6</v>
      </c>
      <c r="N11">
        <v>40</v>
      </c>
      <c r="O11" t="s">
        <v>2543</v>
      </c>
      <c r="P11" s="106" t="s">
        <v>2546</v>
      </c>
      <c r="Q11" t="s">
        <v>459</v>
      </c>
      <c r="R11" t="s">
        <v>438</v>
      </c>
      <c r="S11" t="str">
        <f>+dCalendario[[#This Row],[Temporada]]&amp;":"&amp;dCalendario[[#This Row],[NºTorneo]]</f>
        <v>2024:10</v>
      </c>
      <c r="U11" s="29">
        <f>+dCalendario[[#This Row],[NºTornPunt]]/dCalendario[[#This Row],[NºTorneo]]</f>
        <v>0.7</v>
      </c>
    </row>
    <row r="12" spans="1:21">
      <c r="A12" s="2">
        <v>45647</v>
      </c>
      <c r="B12">
        <v>2024</v>
      </c>
      <c r="C12">
        <v>11</v>
      </c>
      <c r="D12" t="s">
        <v>460</v>
      </c>
      <c r="E12" t="s">
        <v>142</v>
      </c>
      <c r="F12">
        <v>1</v>
      </c>
      <c r="G12" t="s">
        <v>31</v>
      </c>
      <c r="H12">
        <v>3</v>
      </c>
      <c r="I12">
        <f>+dCalendario[[#This Row],[NºTorneo]]-dCalendario[[#This Row],[RdosQuitar]]</f>
        <v>8</v>
      </c>
      <c r="J12" t="str">
        <f>+dCalendario[[#This Row],[Campo]]&amp;"-"&amp;dCalendario[[#This Row],[Barras]]</f>
        <v>Santander-Amarillas</v>
      </c>
      <c r="L12" t="s">
        <v>243</v>
      </c>
      <c r="M12">
        <f>+WEEKDAY(dCalendario[[#This Row],[Fecha]],2)</f>
        <v>6</v>
      </c>
      <c r="N12">
        <v>71</v>
      </c>
      <c r="O12" t="s">
        <v>2543</v>
      </c>
      <c r="P12" s="106" t="s">
        <v>2522</v>
      </c>
      <c r="R12" t="s">
        <v>438</v>
      </c>
      <c r="S12" t="str">
        <f>+dCalendario[[#This Row],[Temporada]]&amp;":"&amp;dCalendario[[#This Row],[NºTorneo]]</f>
        <v>2024:11</v>
      </c>
      <c r="U12" s="29">
        <f>+dCalendario[[#This Row],[NºTornPunt]]/dCalendario[[#This Row],[NºTorneo]]</f>
        <v>0.72727272727272729</v>
      </c>
    </row>
    <row r="13" spans="1:21">
      <c r="A13" s="2">
        <v>45703</v>
      </c>
      <c r="B13">
        <v>2025</v>
      </c>
      <c r="C13">
        <v>1</v>
      </c>
      <c r="D13" t="s">
        <v>354</v>
      </c>
      <c r="E13" t="s">
        <v>142</v>
      </c>
      <c r="F13">
        <v>2</v>
      </c>
      <c r="G13" t="s">
        <v>31</v>
      </c>
      <c r="H13">
        <v>0</v>
      </c>
      <c r="I13">
        <f>+dCalendario[[#This Row],[NºTorneo]]-dCalendario[[#This Row],[RdosQuitar]]</f>
        <v>1</v>
      </c>
      <c r="J13" t="str">
        <f>+dCalendario[[#This Row],[Campo]]&amp;"-"&amp;dCalendario[[#This Row],[Barras]]</f>
        <v>Layos-Amarillas</v>
      </c>
      <c r="L13" t="s">
        <v>242</v>
      </c>
      <c r="M13">
        <f>+WEEKDAY(dCalendario[[#This Row],[Fecha]],2)</f>
        <v>6</v>
      </c>
      <c r="N13">
        <v>40</v>
      </c>
      <c r="O13" t="s">
        <v>2543</v>
      </c>
      <c r="P13" s="123" t="s">
        <v>2608</v>
      </c>
      <c r="Q13" t="s">
        <v>2598</v>
      </c>
      <c r="R13" t="s">
        <v>438</v>
      </c>
      <c r="S13" t="str">
        <f>+dCalendario[[#This Row],[Temporada]]&amp;":"&amp;dCalendario[[#This Row],[NºTorneo]]</f>
        <v>2025:1</v>
      </c>
    </row>
    <row r="14" spans="1:21">
      <c r="A14" s="2">
        <v>45738</v>
      </c>
      <c r="B14">
        <v>2025</v>
      </c>
      <c r="C14">
        <v>2</v>
      </c>
      <c r="D14" t="s">
        <v>454</v>
      </c>
      <c r="E14" t="s">
        <v>142</v>
      </c>
      <c r="F14">
        <v>2</v>
      </c>
      <c r="G14" t="s">
        <v>31</v>
      </c>
      <c r="H14">
        <v>1</v>
      </c>
      <c r="I14">
        <f>+dCalendario[[#This Row],[NºTorneo]]-dCalendario[[#This Row],[RdosQuitar]]</f>
        <v>1</v>
      </c>
      <c r="J14" t="str">
        <f>+dCalendario[[#This Row],[Campo]]&amp;"-"&amp;dCalendario[[#This Row],[Barras]]</f>
        <v>El Encin-Amarillas</v>
      </c>
      <c r="L14" t="s">
        <v>242</v>
      </c>
      <c r="M14">
        <f>+WEEKDAY(dCalendario[[#This Row],[Fecha]],2)</f>
        <v>6</v>
      </c>
      <c r="N14">
        <v>56</v>
      </c>
      <c r="O14" t="s">
        <v>2629</v>
      </c>
      <c r="P14" s="123" t="s">
        <v>2521</v>
      </c>
      <c r="R14" t="s">
        <v>438</v>
      </c>
      <c r="S14" t="str">
        <f>+dCalendario[[#This Row],[Temporada]]&amp;":"&amp;dCalendario[[#This Row],[NºTorneo]]</f>
        <v>2025:2</v>
      </c>
    </row>
    <row r="15" spans="1:21">
      <c r="A15" s="2">
        <v>45774</v>
      </c>
      <c r="B15">
        <v>2025</v>
      </c>
      <c r="C15">
        <v>3</v>
      </c>
      <c r="D15" t="s">
        <v>461</v>
      </c>
      <c r="E15" t="s">
        <v>142</v>
      </c>
      <c r="F15">
        <v>2</v>
      </c>
      <c r="G15" t="s">
        <v>31</v>
      </c>
      <c r="H15">
        <v>1</v>
      </c>
      <c r="I15">
        <f>+dCalendario[[#This Row],[NºTorneo]]-dCalendario[[#This Row],[RdosQuitar]]</f>
        <v>2</v>
      </c>
      <c r="J15" t="str">
        <f>+dCalendario[[#This Row],[Campo]]&amp;"-"&amp;dCalendario[[#This Row],[Barras]]</f>
        <v>Naturávila-Amarillas</v>
      </c>
      <c r="L15" t="s">
        <v>242</v>
      </c>
      <c r="M15">
        <f>+WEEKDAY(dCalendario[[#This Row],[Fecha]],2)</f>
        <v>7</v>
      </c>
      <c r="N15">
        <v>35</v>
      </c>
      <c r="O15" t="s">
        <v>2543</v>
      </c>
      <c r="P15" s="123" t="s">
        <v>2522</v>
      </c>
      <c r="Q15" t="s">
        <v>2630</v>
      </c>
      <c r="R15" t="s">
        <v>438</v>
      </c>
      <c r="S15" t="str">
        <f>+dCalendario[[#This Row],[Temporada]]&amp;":"&amp;dCalendario[[#This Row],[NºTorneo]]</f>
        <v>2025:3</v>
      </c>
    </row>
    <row r="16" spans="1:21">
      <c r="A16" s="2">
        <v>45794</v>
      </c>
      <c r="B16">
        <v>2025</v>
      </c>
      <c r="C16">
        <v>4</v>
      </c>
      <c r="D16" t="s">
        <v>455</v>
      </c>
      <c r="E16" t="s">
        <v>142</v>
      </c>
      <c r="F16">
        <v>3</v>
      </c>
      <c r="G16" t="s">
        <v>31</v>
      </c>
      <c r="H16">
        <v>1</v>
      </c>
      <c r="I16">
        <f>+dCalendario[[#This Row],[NºTorneo]]-dCalendario[[#This Row],[RdosQuitar]]</f>
        <v>3</v>
      </c>
      <c r="J16" t="str">
        <f>+dCalendario[[#This Row],[Campo]]&amp;"-"&amp;dCalendario[[#This Row],[Barras]]</f>
        <v>Saldaña-Amarillas</v>
      </c>
      <c r="L16" t="s">
        <v>243</v>
      </c>
      <c r="M16">
        <f>+WEEKDAY(dCalendario[[#This Row],[Fecha]],2)</f>
        <v>6</v>
      </c>
      <c r="N16">
        <v>44</v>
      </c>
      <c r="O16" t="s">
        <v>2543</v>
      </c>
      <c r="P16" s="123" t="s">
        <v>2636</v>
      </c>
      <c r="Q16" t="s">
        <v>2634</v>
      </c>
      <c r="R16" t="s">
        <v>438</v>
      </c>
      <c r="S16" t="str">
        <f>+dCalendario[[#This Row],[Temporada]]&amp;":"&amp;dCalendario[[#This Row],[NºTorneo]]</f>
        <v>2025:4</v>
      </c>
    </row>
    <row r="17" spans="1:19">
      <c r="A17" s="2">
        <v>45795</v>
      </c>
      <c r="B17">
        <v>2025</v>
      </c>
      <c r="C17">
        <v>5</v>
      </c>
      <c r="D17" t="s">
        <v>245</v>
      </c>
      <c r="E17" t="s">
        <v>142</v>
      </c>
      <c r="F17">
        <v>2</v>
      </c>
      <c r="G17" t="s">
        <v>31</v>
      </c>
      <c r="H17">
        <v>1</v>
      </c>
      <c r="I17">
        <f>+dCalendario[[#This Row],[NºTorneo]]-dCalendario[[#This Row],[RdosQuitar]]</f>
        <v>4</v>
      </c>
      <c r="J17" t="str">
        <f>+dCalendario[[#This Row],[Campo]]&amp;"-"&amp;dCalendario[[#This Row],[Barras]]</f>
        <v>Lerma-Amarillas</v>
      </c>
      <c r="L17" t="s">
        <v>243</v>
      </c>
      <c r="M17">
        <f>+WEEKDAY(dCalendario[[#This Row],[Fecha]],2)</f>
        <v>7</v>
      </c>
      <c r="N17">
        <v>44</v>
      </c>
      <c r="O17" t="s">
        <v>2629</v>
      </c>
      <c r="P17" s="123" t="s">
        <v>2522</v>
      </c>
      <c r="Q17" t="s">
        <v>2635</v>
      </c>
      <c r="R17" t="s">
        <v>438</v>
      </c>
      <c r="S17" t="str">
        <f>+dCalendario[[#This Row],[Temporada]]&amp;":"&amp;dCalendario[[#This Row],[NºTorneo]]</f>
        <v>2025:5</v>
      </c>
    </row>
    <row r="18" spans="1:19">
      <c r="A18" s="2">
        <v>45829</v>
      </c>
      <c r="B18">
        <v>2025</v>
      </c>
      <c r="C18">
        <v>6</v>
      </c>
      <c r="D18" s="25" t="s">
        <v>456</v>
      </c>
      <c r="E18" t="s">
        <v>142</v>
      </c>
      <c r="F18">
        <v>3</v>
      </c>
      <c r="G18" t="s">
        <v>31</v>
      </c>
      <c r="H18">
        <v>2</v>
      </c>
      <c r="I18">
        <f>+dCalendario[[#This Row],[NºTorneo]]-dCalendario[[#This Row],[RdosQuitar]]</f>
        <v>4</v>
      </c>
      <c r="J18" t="str">
        <f>+dCalendario[[#This Row],[Campo]]&amp;"-"&amp;dCalendario[[#This Row],[Barras]]</f>
        <v>Calatayud-Amarillas</v>
      </c>
      <c r="L18" t="s">
        <v>243</v>
      </c>
      <c r="M18">
        <f>+WEEKDAY(dCalendario[[#This Row],[Fecha]],2)</f>
        <v>6</v>
      </c>
      <c r="N18">
        <v>42</v>
      </c>
      <c r="O18" t="s">
        <v>2629</v>
      </c>
      <c r="P18" s="123" t="s">
        <v>2636</v>
      </c>
      <c r="Q18" t="s">
        <v>2624</v>
      </c>
      <c r="R18" t="s">
        <v>438</v>
      </c>
      <c r="S18" t="str">
        <f>+dCalendario[[#This Row],[Temporada]]&amp;":"&amp;dCalendario[[#This Row],[NºTorneo]]</f>
        <v>2025:6</v>
      </c>
    </row>
    <row r="19" spans="1:19">
      <c r="A19" s="2">
        <v>45851</v>
      </c>
      <c r="B19">
        <v>2025</v>
      </c>
      <c r="C19">
        <v>7</v>
      </c>
      <c r="D19" t="s">
        <v>2443</v>
      </c>
      <c r="E19" t="s">
        <v>142</v>
      </c>
      <c r="F19">
        <v>2</v>
      </c>
      <c r="G19" t="s">
        <v>31</v>
      </c>
      <c r="H19">
        <v>2</v>
      </c>
      <c r="I19">
        <f>+dCalendario[[#This Row],[NºTorneo]]-dCalendario[[#This Row],[RdosQuitar]]</f>
        <v>5</v>
      </c>
      <c r="J19" t="str">
        <f>+dCalendario[[#This Row],[Campo]]&amp;"-"&amp;dCalendario[[#This Row],[Barras]]</f>
        <v>Palomarejos-Amarillas</v>
      </c>
      <c r="L19" t="s">
        <v>243</v>
      </c>
      <c r="M19">
        <f>+WEEKDAY(dCalendario[[#This Row],[Fecha]],2)</f>
        <v>7</v>
      </c>
      <c r="N19">
        <v>48</v>
      </c>
      <c r="O19" t="s">
        <v>2543</v>
      </c>
      <c r="P19" s="123" t="s">
        <v>2636</v>
      </c>
      <c r="R19" t="s">
        <v>438</v>
      </c>
      <c r="S19" t="str">
        <f>+dCalendario[[#This Row],[Temporada]]&amp;":"&amp;dCalendario[[#This Row],[NºTorneo]]</f>
        <v>2025:7</v>
      </c>
    </row>
    <row r="20" spans="1:19">
      <c r="A20" s="2">
        <v>45920</v>
      </c>
      <c r="B20">
        <v>2025</v>
      </c>
      <c r="C20">
        <v>8</v>
      </c>
      <c r="D20" t="s">
        <v>461</v>
      </c>
      <c r="E20" t="s">
        <v>142</v>
      </c>
      <c r="F20">
        <v>2</v>
      </c>
      <c r="G20" t="s">
        <v>31</v>
      </c>
      <c r="H20">
        <v>3</v>
      </c>
      <c r="I20">
        <f>+dCalendario[[#This Row],[NºTorneo]]-dCalendario[[#This Row],[RdosQuitar]]</f>
        <v>5</v>
      </c>
      <c r="J20" t="str">
        <f>+dCalendario[[#This Row],[Campo]]&amp;"-"&amp;dCalendario[[#This Row],[Barras]]</f>
        <v>Naturávila-Amarillas</v>
      </c>
      <c r="L20" t="s">
        <v>243</v>
      </c>
      <c r="M20">
        <f>+WEEKDAY(dCalendario[[#This Row],[Fecha]],2)</f>
        <v>6</v>
      </c>
      <c r="N20">
        <v>22.5</v>
      </c>
      <c r="P20" s="108"/>
      <c r="Q20" t="s">
        <v>2597</v>
      </c>
      <c r="R20" t="s">
        <v>438</v>
      </c>
      <c r="S20" t="str">
        <f>+dCalendario[[#This Row],[Temporada]]&amp;":"&amp;dCalendario[[#This Row],[NºTorneo]]</f>
        <v>2025:8</v>
      </c>
    </row>
    <row r="21" spans="1:19">
      <c r="A21" s="2">
        <v>45948</v>
      </c>
      <c r="B21">
        <v>2025</v>
      </c>
      <c r="C21">
        <v>9</v>
      </c>
      <c r="D21" t="s">
        <v>147</v>
      </c>
      <c r="E21" t="s">
        <v>142</v>
      </c>
      <c r="F21">
        <v>2</v>
      </c>
      <c r="G21" t="s">
        <v>31</v>
      </c>
      <c r="H21">
        <v>2</v>
      </c>
      <c r="I21">
        <f>+dCalendario[[#This Row],[NºTorneo]]-dCalendario[[#This Row],[RdosQuitar]]</f>
        <v>7</v>
      </c>
      <c r="J21" t="str">
        <f>+dCalendario[[#This Row],[Campo]]&amp;"-"&amp;dCalendario[[#This Row],[Barras]]</f>
        <v>La Faisanera-Amarillas</v>
      </c>
      <c r="L21" t="s">
        <v>243</v>
      </c>
      <c r="M21">
        <f>+WEEKDAY(dCalendario[[#This Row],[Fecha]],2)</f>
        <v>6</v>
      </c>
      <c r="N21">
        <v>42</v>
      </c>
      <c r="O21" t="s">
        <v>2543</v>
      </c>
      <c r="P21" s="123" t="s">
        <v>2636</v>
      </c>
      <c r="R21" t="s">
        <v>438</v>
      </c>
      <c r="S21" t="str">
        <f>+dCalendario[[#This Row],[Temporada]]&amp;":"&amp;dCalendario[[#This Row],[NºTorneo]]</f>
        <v>2025:9</v>
      </c>
    </row>
    <row r="22" spans="1:19">
      <c r="A22" s="2">
        <v>45983</v>
      </c>
      <c r="B22">
        <v>2025</v>
      </c>
      <c r="C22">
        <v>10</v>
      </c>
      <c r="D22" s="25" t="s">
        <v>354</v>
      </c>
      <c r="E22" t="s">
        <v>142</v>
      </c>
      <c r="F22">
        <v>3</v>
      </c>
      <c r="G22" t="s">
        <v>31</v>
      </c>
      <c r="H22">
        <v>3</v>
      </c>
      <c r="I22">
        <f>+dCalendario[[#This Row],[NºTorneo]]-dCalendario[[#This Row],[RdosQuitar]]</f>
        <v>7</v>
      </c>
      <c r="J22" t="str">
        <f>+dCalendario[[#This Row],[Campo]]&amp;"-"&amp;dCalendario[[#This Row],[Barras]]</f>
        <v>Layos-Amarillas</v>
      </c>
      <c r="L22" t="s">
        <v>243</v>
      </c>
      <c r="M22">
        <f>+WEEKDAY(dCalendario[[#This Row],[Fecha]],2)</f>
        <v>6</v>
      </c>
      <c r="N22">
        <v>40</v>
      </c>
      <c r="O22" t="s">
        <v>2543</v>
      </c>
      <c r="P22" s="123" t="s">
        <v>2636</v>
      </c>
      <c r="Q22" t="s">
        <v>2598</v>
      </c>
      <c r="R22" t="s">
        <v>438</v>
      </c>
      <c r="S22" t="str">
        <f>+dCalendario[[#This Row],[Temporada]]&amp;":"&amp;dCalendario[[#This Row],[NºTorneo]]</f>
        <v>2025:10</v>
      </c>
    </row>
    <row r="23" spans="1:19">
      <c r="A23" s="2">
        <v>45990</v>
      </c>
      <c r="B23">
        <v>2025</v>
      </c>
      <c r="C23">
        <v>11</v>
      </c>
      <c r="D23" t="s">
        <v>2611</v>
      </c>
      <c r="E23" t="s">
        <v>142</v>
      </c>
      <c r="F23">
        <v>1</v>
      </c>
      <c r="G23" t="s">
        <v>31</v>
      </c>
      <c r="H23">
        <v>3</v>
      </c>
      <c r="I23">
        <f>+dCalendario[[#This Row],[NºTorneo]]-dCalendario[[#This Row],[RdosQuitar]]</f>
        <v>8</v>
      </c>
      <c r="J23" t="str">
        <f>+dCalendario[[#This Row],[Campo]]&amp;"-"&amp;dCalendario[[#This Row],[Barras]]</f>
        <v>Olivar-Amarillas</v>
      </c>
      <c r="L23" t="s">
        <v>243</v>
      </c>
      <c r="M23">
        <f>+WEEKDAY(dCalendario[[#This Row],[Fecha]],2)</f>
        <v>6</v>
      </c>
      <c r="N23">
        <v>55</v>
      </c>
      <c r="O23" t="s">
        <v>2629</v>
      </c>
      <c r="P23" s="123" t="s">
        <v>3303</v>
      </c>
      <c r="Q23" t="s">
        <v>3304</v>
      </c>
      <c r="R23" t="s">
        <v>438</v>
      </c>
      <c r="S23" t="str">
        <f>+dCalendario[[#This Row],[Temporada]]&amp;":"&amp;dCalendario[[#This Row],[NºTorneo]]</f>
        <v>2025:11</v>
      </c>
    </row>
    <row r="24" spans="1:19">
      <c r="A24" s="2">
        <v>46075</v>
      </c>
      <c r="B24">
        <v>2026</v>
      </c>
      <c r="C24">
        <v>1</v>
      </c>
      <c r="D24" t="s">
        <v>460</v>
      </c>
      <c r="E24" t="s">
        <v>142</v>
      </c>
      <c r="F24">
        <v>2</v>
      </c>
      <c r="G24" t="s">
        <v>31</v>
      </c>
      <c r="H24">
        <v>0</v>
      </c>
      <c r="I24">
        <f>+dCalendario[[#This Row],[NºTorneo]]-dCalendario[[#This Row],[RdosQuitar]]</f>
        <v>1</v>
      </c>
      <c r="J24" t="str">
        <f>+dCalendario[[#This Row],[Campo]]&amp;"-"&amp;dCalendario[[#This Row],[Barras]]</f>
        <v>Santander-Amarillas</v>
      </c>
      <c r="L24" t="s">
        <v>242</v>
      </c>
      <c r="M24">
        <f>+WEEKDAY(dCalendario[[#This Row],[Fecha]],2)</f>
        <v>7</v>
      </c>
      <c r="R24" t="s">
        <v>438</v>
      </c>
      <c r="S24" t="str">
        <f>+dCalendario[[#This Row],[Temporada]]&amp;":"&amp;dCalendario[[#This Row],[NºTorneo]]</f>
        <v>2026:1</v>
      </c>
    </row>
    <row r="25" spans="1:19">
      <c r="A25" s="2">
        <v>46102</v>
      </c>
      <c r="B25">
        <v>2026</v>
      </c>
      <c r="C25">
        <v>2</v>
      </c>
      <c r="D25" t="s">
        <v>2443</v>
      </c>
      <c r="E25" t="s">
        <v>142</v>
      </c>
      <c r="F25">
        <v>2</v>
      </c>
      <c r="G25" t="s">
        <v>31</v>
      </c>
      <c r="H25">
        <v>1</v>
      </c>
      <c r="I25">
        <f>+dCalendario[[#This Row],[NºTorneo]]-dCalendario[[#This Row],[RdosQuitar]]</f>
        <v>1</v>
      </c>
      <c r="J25" t="str">
        <f>+dCalendario[[#This Row],[Campo]]&amp;"-"&amp;dCalendario[[#This Row],[Barras]]</f>
        <v>Palomarejos-Amarillas</v>
      </c>
      <c r="L25" t="s">
        <v>242</v>
      </c>
      <c r="M25">
        <f>+WEEKDAY(dCalendario[[#This Row],[Fecha]],2)</f>
        <v>6</v>
      </c>
      <c r="R25" t="s">
        <v>438</v>
      </c>
      <c r="S25" t="str">
        <f>+dCalendario[[#This Row],[Temporada]]&amp;":"&amp;dCalendario[[#This Row],[NºTorneo]]</f>
        <v>2026:2</v>
      </c>
    </row>
    <row r="26" spans="1:19">
      <c r="A26" s="2">
        <v>46137</v>
      </c>
      <c r="B26">
        <v>2026</v>
      </c>
      <c r="C26">
        <v>3</v>
      </c>
      <c r="D26" t="s">
        <v>461</v>
      </c>
      <c r="E26" t="s">
        <v>142</v>
      </c>
      <c r="F26">
        <v>2</v>
      </c>
      <c r="G26" t="s">
        <v>31</v>
      </c>
      <c r="H26">
        <v>1</v>
      </c>
      <c r="I26">
        <f>+dCalendario[[#This Row],[NºTorneo]]-dCalendario[[#This Row],[RdosQuitar]]</f>
        <v>2</v>
      </c>
      <c r="J26" t="str">
        <f>+dCalendario[[#This Row],[Campo]]&amp;"-"&amp;dCalendario[[#This Row],[Barras]]</f>
        <v>Naturávila-Amarillas</v>
      </c>
      <c r="L26" t="s">
        <v>242</v>
      </c>
      <c r="M26">
        <f>+WEEKDAY(dCalendario[[#This Row],[Fecha]],2)</f>
        <v>6</v>
      </c>
      <c r="R26" t="s">
        <v>438</v>
      </c>
      <c r="S26" t="str">
        <f>+dCalendario[[#This Row],[Temporada]]&amp;":"&amp;dCalendario[[#This Row],[NºTorneo]]</f>
        <v>2026:3</v>
      </c>
    </row>
    <row r="27" spans="1:19">
      <c r="A27" s="2">
        <v>46172</v>
      </c>
      <c r="B27">
        <v>2026</v>
      </c>
      <c r="C27">
        <v>4</v>
      </c>
      <c r="D27" t="s">
        <v>455</v>
      </c>
      <c r="E27" t="s">
        <v>142</v>
      </c>
      <c r="F27">
        <v>3</v>
      </c>
      <c r="G27" t="s">
        <v>31</v>
      </c>
      <c r="H27">
        <v>1</v>
      </c>
      <c r="I27">
        <f>+dCalendario[[#This Row],[NºTorneo]]-dCalendario[[#This Row],[RdosQuitar]]</f>
        <v>3</v>
      </c>
      <c r="J27" t="str">
        <f>+dCalendario[[#This Row],[Campo]]&amp;"-"&amp;dCalendario[[#This Row],[Barras]]</f>
        <v>Saldaña-Amarillas</v>
      </c>
      <c r="L27" t="s">
        <v>243</v>
      </c>
      <c r="M27">
        <f>+WEEKDAY(dCalendario[[#This Row],[Fecha]],2)</f>
        <v>6</v>
      </c>
      <c r="R27" t="s">
        <v>438</v>
      </c>
      <c r="S27" t="str">
        <f>+dCalendario[[#This Row],[Temporada]]&amp;":"&amp;dCalendario[[#This Row],[NºTorneo]]</f>
        <v>2026:4</v>
      </c>
    </row>
    <row r="28" spans="1:19">
      <c r="A28" s="2">
        <v>46173</v>
      </c>
      <c r="B28">
        <v>2026</v>
      </c>
      <c r="C28">
        <v>5</v>
      </c>
      <c r="D28" t="s">
        <v>245</v>
      </c>
      <c r="E28" t="s">
        <v>142</v>
      </c>
      <c r="F28">
        <v>2</v>
      </c>
      <c r="G28" t="s">
        <v>31</v>
      </c>
      <c r="H28">
        <v>1</v>
      </c>
      <c r="I28">
        <f>+dCalendario[[#This Row],[NºTorneo]]-dCalendario[[#This Row],[RdosQuitar]]</f>
        <v>4</v>
      </c>
      <c r="J28" t="str">
        <f>+dCalendario[[#This Row],[Campo]]&amp;"-"&amp;dCalendario[[#This Row],[Barras]]</f>
        <v>Lerma-Amarillas</v>
      </c>
      <c r="L28" t="s">
        <v>243</v>
      </c>
      <c r="M28">
        <f>+WEEKDAY(dCalendario[[#This Row],[Fecha]],2)</f>
        <v>7</v>
      </c>
      <c r="R28" t="s">
        <v>438</v>
      </c>
      <c r="S28" t="str">
        <f>+dCalendario[[#This Row],[Temporada]]&amp;":"&amp;dCalendario[[#This Row],[NºTorneo]]</f>
        <v>2026:5</v>
      </c>
    </row>
    <row r="29" spans="1:19">
      <c r="A29" s="2">
        <v>46200</v>
      </c>
      <c r="B29">
        <v>2026</v>
      </c>
      <c r="C29">
        <v>6</v>
      </c>
      <c r="D29" t="s">
        <v>354</v>
      </c>
      <c r="E29" t="s">
        <v>142</v>
      </c>
      <c r="F29">
        <v>2</v>
      </c>
      <c r="G29" t="s">
        <v>31</v>
      </c>
      <c r="H29">
        <v>2</v>
      </c>
      <c r="I29">
        <f>+dCalendario[[#This Row],[NºTorneo]]-dCalendario[[#This Row],[RdosQuitar]]</f>
        <v>4</v>
      </c>
      <c r="J29" t="str">
        <f>+dCalendario[[#This Row],[Campo]]&amp;"-"&amp;dCalendario[[#This Row],[Barras]]</f>
        <v>Layos-Amarillas</v>
      </c>
      <c r="L29" t="s">
        <v>243</v>
      </c>
      <c r="M29">
        <f>+WEEKDAY(dCalendario[[#This Row],[Fecha]],2)</f>
        <v>6</v>
      </c>
      <c r="R29" t="s">
        <v>438</v>
      </c>
      <c r="S29" t="str">
        <f>+dCalendario[[#This Row],[Temporada]]&amp;":"&amp;dCalendario[[#This Row],[NºTorneo]]</f>
        <v>2026:6</v>
      </c>
    </row>
    <row r="30" spans="1:19">
      <c r="A30" s="2">
        <v>46221</v>
      </c>
      <c r="B30">
        <v>2026</v>
      </c>
      <c r="C30">
        <v>7</v>
      </c>
      <c r="D30" t="s">
        <v>3305</v>
      </c>
      <c r="E30" t="s">
        <v>142</v>
      </c>
      <c r="F30">
        <v>2</v>
      </c>
      <c r="G30" t="s">
        <v>31</v>
      </c>
      <c r="H30">
        <v>2</v>
      </c>
      <c r="I30">
        <f>+dCalendario[[#This Row],[NºTorneo]]-dCalendario[[#This Row],[RdosQuitar]]</f>
        <v>5</v>
      </c>
      <c r="J30" t="str">
        <f>+dCalendario[[#This Row],[Campo]]&amp;"-"&amp;dCalendario[[#This Row],[Barras]]</f>
        <v>Desert Spring-Amarillas</v>
      </c>
      <c r="L30" t="s">
        <v>243</v>
      </c>
      <c r="M30">
        <f>+WEEKDAY(dCalendario[[#This Row],[Fecha]],2)</f>
        <v>6</v>
      </c>
      <c r="R30" t="s">
        <v>438</v>
      </c>
      <c r="S30" t="str">
        <f>+dCalendario[[#This Row],[Temporada]]&amp;":"&amp;dCalendario[[#This Row],[NºTorneo]]</f>
        <v>2026:7</v>
      </c>
    </row>
    <row r="31" spans="1:19">
      <c r="A31" s="2">
        <v>46222</v>
      </c>
      <c r="B31">
        <v>2026</v>
      </c>
      <c r="C31">
        <v>8</v>
      </c>
      <c r="D31" t="s">
        <v>3306</v>
      </c>
      <c r="E31" t="s">
        <v>142</v>
      </c>
      <c r="F31">
        <v>2</v>
      </c>
      <c r="G31" t="s">
        <v>31</v>
      </c>
      <c r="H31">
        <v>3</v>
      </c>
      <c r="I31">
        <f>+dCalendario[[#This Row],[NºTorneo]]-dCalendario[[#This Row],[RdosQuitar]]</f>
        <v>5</v>
      </c>
      <c r="J31" t="str">
        <f>+dCalendario[[#This Row],[Campo]]&amp;"-"&amp;dCalendario[[#This Row],[Barras]]</f>
        <v>Aguilón-Amarillas</v>
      </c>
      <c r="L31" t="s">
        <v>243</v>
      </c>
      <c r="M31">
        <f>+WEEKDAY(dCalendario[[#This Row],[Fecha]],2)</f>
        <v>7</v>
      </c>
      <c r="R31" t="s">
        <v>438</v>
      </c>
      <c r="S31" t="str">
        <f>+dCalendario[[#This Row],[Temporada]]&amp;":"&amp;dCalendario[[#This Row],[NºTorneo]]</f>
        <v>2026:8</v>
      </c>
    </row>
    <row r="32" spans="1:19">
      <c r="A32" s="2">
        <v>46277</v>
      </c>
      <c r="B32">
        <v>2026</v>
      </c>
      <c r="C32">
        <v>9</v>
      </c>
      <c r="D32" t="s">
        <v>147</v>
      </c>
      <c r="E32" t="s">
        <v>142</v>
      </c>
      <c r="F32">
        <v>3</v>
      </c>
      <c r="G32" t="s">
        <v>31</v>
      </c>
      <c r="H32">
        <v>3</v>
      </c>
      <c r="I32">
        <f>+dCalendario[[#This Row],[NºTorneo]]-dCalendario[[#This Row],[RdosQuitar]]</f>
        <v>6</v>
      </c>
      <c r="J32" t="str">
        <f>+dCalendario[[#This Row],[Campo]]&amp;"-"&amp;dCalendario[[#This Row],[Barras]]</f>
        <v>La Faisanera-Amarillas</v>
      </c>
      <c r="L32" t="s">
        <v>243</v>
      </c>
      <c r="M32">
        <f>+WEEKDAY(dCalendario[[#This Row],[Fecha]],2)</f>
        <v>6</v>
      </c>
      <c r="R32" t="s">
        <v>438</v>
      </c>
      <c r="S32" t="str">
        <f>+dCalendario[[#This Row],[Temporada]]&amp;":"&amp;dCalendario[[#This Row],[NºTorneo]]</f>
        <v>2026:9</v>
      </c>
    </row>
    <row r="33" spans="1:19">
      <c r="A33" s="2">
        <v>46313</v>
      </c>
      <c r="B33">
        <v>2026</v>
      </c>
      <c r="C33">
        <v>10</v>
      </c>
      <c r="D33" t="s">
        <v>461</v>
      </c>
      <c r="E33" t="s">
        <v>142</v>
      </c>
      <c r="F33">
        <v>2</v>
      </c>
      <c r="G33" t="s">
        <v>31</v>
      </c>
      <c r="H33">
        <v>3</v>
      </c>
      <c r="I33">
        <f>+dCalendario[[#This Row],[NºTorneo]]-dCalendario[[#This Row],[RdosQuitar]]</f>
        <v>7</v>
      </c>
      <c r="J33" t="str">
        <f>+dCalendario[[#This Row],[Campo]]&amp;"-"&amp;dCalendario[[#This Row],[Barras]]</f>
        <v>Naturávila-Amarillas</v>
      </c>
      <c r="L33" t="s">
        <v>243</v>
      </c>
      <c r="M33">
        <f>+WEEKDAY(dCalendario[[#This Row],[Fecha]],2)</f>
        <v>7</v>
      </c>
      <c r="R33" t="s">
        <v>438</v>
      </c>
      <c r="S33" t="str">
        <f>+dCalendario[[#This Row],[Temporada]]&amp;":"&amp;dCalendario[[#This Row],[NºTorneo]]</f>
        <v>2026:10</v>
      </c>
    </row>
    <row r="34" spans="1:19">
      <c r="A34" s="2">
        <v>46348</v>
      </c>
      <c r="B34">
        <v>2026</v>
      </c>
      <c r="C34">
        <v>11</v>
      </c>
      <c r="D34" t="s">
        <v>454</v>
      </c>
      <c r="E34" t="s">
        <v>142</v>
      </c>
      <c r="F34">
        <v>3</v>
      </c>
      <c r="G34" t="s">
        <v>31</v>
      </c>
      <c r="H34">
        <v>3</v>
      </c>
      <c r="I34">
        <f>+dCalendario[[#This Row],[NºTorneo]]-dCalendario[[#This Row],[RdosQuitar]]</f>
        <v>8</v>
      </c>
      <c r="J34" t="str">
        <f>+dCalendario[[#This Row],[Campo]]&amp;"-"&amp;dCalendario[[#This Row],[Barras]]</f>
        <v>El Encin-Amarillas</v>
      </c>
      <c r="L34" t="s">
        <v>243</v>
      </c>
      <c r="M34">
        <f>+WEEKDAY(dCalendario[[#This Row],[Fecha]],2)</f>
        <v>7</v>
      </c>
      <c r="R34" t="s">
        <v>438</v>
      </c>
      <c r="S34" t="str">
        <f>+dCalendario[[#This Row],[Temporada]]&amp;":"&amp;dCalendario[[#This Row],[NºTorneo]]</f>
        <v>2026:11</v>
      </c>
    </row>
    <row r="35" spans="1:19">
      <c r="A35" s="2">
        <v>46375</v>
      </c>
      <c r="B35">
        <v>2026</v>
      </c>
      <c r="C35">
        <v>12</v>
      </c>
      <c r="D35" t="s">
        <v>460</v>
      </c>
      <c r="E35" t="s">
        <v>142</v>
      </c>
      <c r="F35">
        <v>1</v>
      </c>
      <c r="G35" t="s">
        <v>31</v>
      </c>
      <c r="H35">
        <v>4</v>
      </c>
      <c r="I35">
        <f>+dCalendario[[#This Row],[NºTorneo]]-dCalendario[[#This Row],[RdosQuitar]]</f>
        <v>8</v>
      </c>
      <c r="J35" t="str">
        <f>+dCalendario[[#This Row],[Campo]]&amp;"-"&amp;dCalendario[[#This Row],[Barras]]</f>
        <v>Santander-Amarillas</v>
      </c>
      <c r="L35" t="s">
        <v>243</v>
      </c>
      <c r="M35">
        <f>+WEEKDAY(dCalendario[[#This Row],[Fecha]],2)</f>
        <v>6</v>
      </c>
      <c r="R35" t="s">
        <v>438</v>
      </c>
      <c r="S35" t="str">
        <f>+dCalendario[[#This Row],[Temporada]]&amp;":"&amp;dCalendario[[#This Row],[NºTorneo]]</f>
        <v>2026:12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2827B-44EA-436F-9D42-ED69CC92E7F8}">
  <dimension ref="A1:H28"/>
  <sheetViews>
    <sheetView workbookViewId="0">
      <selection activeCell="A2" sqref="A2:H28"/>
    </sheetView>
  </sheetViews>
  <sheetFormatPr baseColWidth="10" defaultColWidth="10.75" defaultRowHeight="15.75"/>
  <cols>
    <col min="1" max="1" width="12.25" bestFit="1" customWidth="1"/>
    <col min="2" max="2" width="5.875" bestFit="1" customWidth="1"/>
    <col min="3" max="3" width="8.5" bestFit="1" customWidth="1"/>
    <col min="4" max="4" width="2.25" customWidth="1"/>
    <col min="5" max="5" width="1.625" customWidth="1"/>
    <col min="6" max="6" width="11.875" customWidth="1"/>
    <col min="7" max="7" width="11.625" customWidth="1"/>
  </cols>
  <sheetData>
    <row r="1" spans="1:8">
      <c r="A1" t="s">
        <v>138</v>
      </c>
      <c r="B1" t="s">
        <v>177</v>
      </c>
      <c r="C1" t="s">
        <v>166</v>
      </c>
      <c r="F1" t="s">
        <v>138</v>
      </c>
      <c r="G1" t="s">
        <v>2612</v>
      </c>
      <c r="H1" t="s">
        <v>166</v>
      </c>
    </row>
    <row r="2" spans="1:8">
      <c r="A2">
        <v>2024</v>
      </c>
      <c r="B2">
        <v>1</v>
      </c>
      <c r="C2">
        <v>500</v>
      </c>
      <c r="F2">
        <v>2025</v>
      </c>
      <c r="G2">
        <v>1</v>
      </c>
      <c r="H2">
        <v>10</v>
      </c>
    </row>
    <row r="3" spans="1:8">
      <c r="A3">
        <v>2024</v>
      </c>
      <c r="B3">
        <v>2</v>
      </c>
      <c r="C3">
        <v>400</v>
      </c>
      <c r="F3">
        <v>2025</v>
      </c>
      <c r="G3">
        <v>2</v>
      </c>
      <c r="H3">
        <v>20</v>
      </c>
    </row>
    <row r="4" spans="1:8">
      <c r="A4">
        <v>2024</v>
      </c>
      <c r="B4">
        <v>3</v>
      </c>
      <c r="C4">
        <v>300</v>
      </c>
      <c r="F4">
        <v>2025</v>
      </c>
      <c r="G4">
        <v>3</v>
      </c>
      <c r="H4">
        <v>30</v>
      </c>
    </row>
    <row r="5" spans="1:8">
      <c r="A5">
        <v>2024</v>
      </c>
      <c r="B5">
        <v>4</v>
      </c>
      <c r="C5">
        <v>200</v>
      </c>
      <c r="F5">
        <v>2025</v>
      </c>
      <c r="G5">
        <v>4</v>
      </c>
      <c r="H5">
        <v>40</v>
      </c>
    </row>
    <row r="6" spans="1:8">
      <c r="A6">
        <v>2024</v>
      </c>
      <c r="B6">
        <v>5</v>
      </c>
      <c r="C6">
        <f>+C5-25</f>
        <v>175</v>
      </c>
      <c r="F6">
        <v>2026</v>
      </c>
      <c r="G6">
        <v>1</v>
      </c>
      <c r="H6">
        <v>10</v>
      </c>
    </row>
    <row r="7" spans="1:8">
      <c r="A7">
        <v>2024</v>
      </c>
      <c r="B7">
        <v>6</v>
      </c>
      <c r="C7">
        <f>+C6-25</f>
        <v>150</v>
      </c>
      <c r="F7">
        <v>2026</v>
      </c>
      <c r="G7">
        <v>2</v>
      </c>
      <c r="H7">
        <v>20</v>
      </c>
    </row>
    <row r="8" spans="1:8">
      <c r="A8">
        <v>2024</v>
      </c>
      <c r="B8">
        <v>7</v>
      </c>
      <c r="C8">
        <f>+C7-25</f>
        <v>125</v>
      </c>
      <c r="F8">
        <v>2026</v>
      </c>
      <c r="G8">
        <v>3</v>
      </c>
      <c r="H8">
        <v>30</v>
      </c>
    </row>
    <row r="9" spans="1:8">
      <c r="A9">
        <v>2024</v>
      </c>
      <c r="B9">
        <v>8</v>
      </c>
      <c r="C9">
        <f>+C8-25</f>
        <v>100</v>
      </c>
      <c r="F9">
        <v>2026</v>
      </c>
      <c r="G9">
        <v>4</v>
      </c>
      <c r="H9">
        <v>40</v>
      </c>
    </row>
    <row r="10" spans="1:8">
      <c r="A10">
        <v>2024</v>
      </c>
      <c r="B10">
        <v>9</v>
      </c>
      <c r="C10">
        <f>+C9-25</f>
        <v>75</v>
      </c>
      <c r="F10">
        <v>2026</v>
      </c>
      <c r="G10">
        <v>5</v>
      </c>
      <c r="H10">
        <v>50</v>
      </c>
    </row>
    <row r="11" spans="1:8">
      <c r="A11">
        <v>2025</v>
      </c>
      <c r="B11">
        <v>1</v>
      </c>
      <c r="C11">
        <v>500</v>
      </c>
    </row>
    <row r="12" spans="1:8">
      <c r="A12">
        <v>2025</v>
      </c>
      <c r="B12">
        <v>2</v>
      </c>
      <c r="C12">
        <v>400</v>
      </c>
    </row>
    <row r="13" spans="1:8">
      <c r="A13">
        <v>2025</v>
      </c>
      <c r="B13">
        <v>3</v>
      </c>
      <c r="C13">
        <v>300</v>
      </c>
    </row>
    <row r="14" spans="1:8">
      <c r="A14">
        <v>2025</v>
      </c>
      <c r="B14">
        <v>4</v>
      </c>
      <c r="C14">
        <v>200</v>
      </c>
    </row>
    <row r="15" spans="1:8">
      <c r="A15">
        <v>2025</v>
      </c>
      <c r="B15">
        <v>5</v>
      </c>
      <c r="C15">
        <f>+C14-25</f>
        <v>175</v>
      </c>
    </row>
    <row r="16" spans="1:8">
      <c r="A16">
        <v>2025</v>
      </c>
      <c r="B16">
        <v>6</v>
      </c>
      <c r="C16">
        <f>+C15-25</f>
        <v>150</v>
      </c>
    </row>
    <row r="17" spans="1:3">
      <c r="A17">
        <v>2025</v>
      </c>
      <c r="B17">
        <v>7</v>
      </c>
      <c r="C17">
        <f>+C16-25</f>
        <v>125</v>
      </c>
    </row>
    <row r="18" spans="1:3">
      <c r="A18">
        <v>2025</v>
      </c>
      <c r="B18">
        <v>8</v>
      </c>
      <c r="C18">
        <f>+C17-25</f>
        <v>100</v>
      </c>
    </row>
    <row r="19" spans="1:3">
      <c r="A19">
        <v>2025</v>
      </c>
      <c r="B19">
        <v>9</v>
      </c>
      <c r="C19">
        <f>+C18-25</f>
        <v>75</v>
      </c>
    </row>
    <row r="20" spans="1:3">
      <c r="A20">
        <v>2026</v>
      </c>
      <c r="B20">
        <v>1</v>
      </c>
      <c r="C20">
        <v>500</v>
      </c>
    </row>
    <row r="21" spans="1:3">
      <c r="A21">
        <v>2026</v>
      </c>
      <c r="B21">
        <v>2</v>
      </c>
      <c r="C21">
        <v>400</v>
      </c>
    </row>
    <row r="22" spans="1:3">
      <c r="A22">
        <v>2026</v>
      </c>
      <c r="B22">
        <v>3</v>
      </c>
      <c r="C22">
        <v>300</v>
      </c>
    </row>
    <row r="23" spans="1:3">
      <c r="A23">
        <v>2026</v>
      </c>
      <c r="B23">
        <v>4</v>
      </c>
      <c r="C23">
        <v>200</v>
      </c>
    </row>
    <row r="24" spans="1:3">
      <c r="A24">
        <v>2026</v>
      </c>
      <c r="B24">
        <v>5</v>
      </c>
      <c r="C24">
        <f>+C23-25</f>
        <v>175</v>
      </c>
    </row>
    <row r="25" spans="1:3">
      <c r="A25">
        <v>2026</v>
      </c>
      <c r="B25">
        <v>6</v>
      </c>
      <c r="C25">
        <f>+C24-25</f>
        <v>150</v>
      </c>
    </row>
    <row r="26" spans="1:3">
      <c r="A26">
        <v>2026</v>
      </c>
      <c r="B26">
        <v>7</v>
      </c>
      <c r="C26">
        <f>+C25-25</f>
        <v>125</v>
      </c>
    </row>
    <row r="27" spans="1:3">
      <c r="A27">
        <v>2026</v>
      </c>
      <c r="B27">
        <v>8</v>
      </c>
      <c r="C27">
        <f>+C26-25</f>
        <v>100</v>
      </c>
    </row>
    <row r="28" spans="1:3">
      <c r="A28">
        <v>2026</v>
      </c>
      <c r="B28">
        <v>9</v>
      </c>
      <c r="C28">
        <f>+C27-25</f>
        <v>75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9F7A9-52B9-4AEA-B4B9-15B085F1E9BA}">
  <dimension ref="A1:B3"/>
  <sheetViews>
    <sheetView workbookViewId="0">
      <selection activeCell="B2" sqref="B2"/>
    </sheetView>
  </sheetViews>
  <sheetFormatPr baseColWidth="10" defaultColWidth="10.875" defaultRowHeight="15.75"/>
  <sheetData>
    <row r="1" spans="1:2">
      <c r="A1" t="s">
        <v>2600</v>
      </c>
      <c r="B1" t="s">
        <v>2601</v>
      </c>
    </row>
    <row r="2" spans="1:2">
      <c r="A2" t="s">
        <v>179</v>
      </c>
      <c r="B2">
        <v>1</v>
      </c>
    </row>
    <row r="3" spans="1:2">
      <c r="A3" t="s">
        <v>2602</v>
      </c>
      <c r="B3">
        <v>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475C0-7164-4C19-BD32-4C4D0B90BB7B}">
  <dimension ref="A1:D2"/>
  <sheetViews>
    <sheetView workbookViewId="0">
      <selection activeCell="B2" sqref="B2"/>
    </sheetView>
  </sheetViews>
  <sheetFormatPr baseColWidth="10" defaultColWidth="10.75" defaultRowHeight="15.75"/>
  <cols>
    <col min="1" max="1" width="11.625" customWidth="1"/>
    <col min="2" max="2" width="15.375" bestFit="1" customWidth="1"/>
    <col min="3" max="3" width="16.5" bestFit="1" customWidth="1"/>
    <col min="4" max="4" width="12.5" customWidth="1"/>
  </cols>
  <sheetData>
    <row r="1" spans="1:4">
      <c r="A1" t="s">
        <v>138</v>
      </c>
      <c r="B1" t="s">
        <v>137</v>
      </c>
      <c r="C1" t="s">
        <v>0</v>
      </c>
      <c r="D1" t="s">
        <v>136</v>
      </c>
    </row>
    <row r="2" spans="1:4">
      <c r="A2" s="67"/>
      <c r="B2" s="47"/>
      <c r="C2" s="18"/>
      <c r="D2" s="18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0DD95-ED2E-42F5-89BE-B01CD7477207}">
  <sheetPr>
    <tabColor theme="9" tint="-0.249977111117893"/>
  </sheetPr>
  <dimension ref="A1:H662"/>
  <sheetViews>
    <sheetView topLeftCell="A625" workbookViewId="0">
      <selection activeCell="A624" sqref="A624:C662"/>
    </sheetView>
  </sheetViews>
  <sheetFormatPr baseColWidth="10" defaultColWidth="10.875" defaultRowHeight="15.75"/>
  <cols>
    <col min="1" max="1" width="10.375" bestFit="1" customWidth="1"/>
    <col min="2" max="2" width="26.5" bestFit="1" customWidth="1"/>
    <col min="3" max="3" width="16.375" bestFit="1" customWidth="1"/>
    <col min="4" max="4" width="11.75" bestFit="1" customWidth="1"/>
    <col min="5" max="5" width="18.25" bestFit="1" customWidth="1"/>
    <col min="6" max="6" width="9" bestFit="1" customWidth="1"/>
    <col min="7" max="7" width="30.125" bestFit="1" customWidth="1"/>
    <col min="8" max="8" width="36.75" bestFit="1" customWidth="1"/>
  </cols>
  <sheetData>
    <row r="1" spans="1:8">
      <c r="A1" t="s">
        <v>69</v>
      </c>
      <c r="B1" t="s">
        <v>0</v>
      </c>
      <c r="C1" t="s">
        <v>2638</v>
      </c>
      <c r="D1" t="s">
        <v>67</v>
      </c>
      <c r="E1" t="s">
        <v>2639</v>
      </c>
      <c r="F1" t="s">
        <v>1</v>
      </c>
      <c r="G1" t="s">
        <v>101</v>
      </c>
      <c r="H1" t="s">
        <v>2640</v>
      </c>
    </row>
    <row r="2" spans="1:8">
      <c r="A2" s="2">
        <v>45697</v>
      </c>
      <c r="B2" t="s">
        <v>3</v>
      </c>
      <c r="C2">
        <v>4.7</v>
      </c>
      <c r="D2" t="s">
        <v>61</v>
      </c>
      <c r="E2">
        <v>4.7</v>
      </c>
      <c r="F2" t="s">
        <v>4</v>
      </c>
      <c r="G2" t="s">
        <v>102</v>
      </c>
      <c r="H2" t="s">
        <v>2641</v>
      </c>
    </row>
    <row r="3" spans="1:8">
      <c r="A3" s="2">
        <v>45699</v>
      </c>
      <c r="B3" t="s">
        <v>3</v>
      </c>
      <c r="C3">
        <v>4.7</v>
      </c>
      <c r="D3" t="s">
        <v>61</v>
      </c>
      <c r="E3">
        <v>4.7</v>
      </c>
      <c r="F3" t="s">
        <v>4</v>
      </c>
      <c r="G3" t="s">
        <v>102</v>
      </c>
      <c r="H3" t="s">
        <v>2642</v>
      </c>
    </row>
    <row r="4" spans="1:8">
      <c r="A4" s="2">
        <v>45697</v>
      </c>
      <c r="B4" t="s">
        <v>6</v>
      </c>
      <c r="C4">
        <v>6.8</v>
      </c>
      <c r="D4" t="s">
        <v>60</v>
      </c>
      <c r="E4">
        <v>6.8</v>
      </c>
      <c r="F4" t="s">
        <v>7</v>
      </c>
      <c r="G4" t="s">
        <v>103</v>
      </c>
      <c r="H4" t="s">
        <v>2643</v>
      </c>
    </row>
    <row r="5" spans="1:8">
      <c r="A5" s="2">
        <v>45699</v>
      </c>
      <c r="B5" t="s">
        <v>6</v>
      </c>
      <c r="C5">
        <v>6.8</v>
      </c>
      <c r="D5" t="s">
        <v>60</v>
      </c>
      <c r="E5">
        <v>6.8</v>
      </c>
      <c r="F5" t="s">
        <v>7</v>
      </c>
      <c r="G5" t="s">
        <v>103</v>
      </c>
      <c r="H5" t="s">
        <v>2644</v>
      </c>
    </row>
    <row r="6" spans="1:8">
      <c r="A6" s="2">
        <v>45697</v>
      </c>
      <c r="B6" t="s">
        <v>9</v>
      </c>
      <c r="C6">
        <v>12.3</v>
      </c>
      <c r="D6" t="s">
        <v>55</v>
      </c>
      <c r="E6">
        <v>12.3</v>
      </c>
      <c r="F6" t="s">
        <v>10</v>
      </c>
      <c r="G6" t="s">
        <v>104</v>
      </c>
      <c r="H6" t="s">
        <v>2645</v>
      </c>
    </row>
    <row r="7" spans="1:8">
      <c r="A7" s="2">
        <v>45699</v>
      </c>
      <c r="B7" t="s">
        <v>9</v>
      </c>
      <c r="C7">
        <v>12.3</v>
      </c>
      <c r="D7" t="s">
        <v>55</v>
      </c>
      <c r="E7">
        <v>12.3</v>
      </c>
      <c r="F7" t="s">
        <v>10</v>
      </c>
      <c r="G7" t="s">
        <v>104</v>
      </c>
      <c r="H7" t="s">
        <v>2646</v>
      </c>
    </row>
    <row r="8" spans="1:8">
      <c r="A8" s="2">
        <v>45697</v>
      </c>
      <c r="B8" t="s">
        <v>12</v>
      </c>
      <c r="C8">
        <v>15.7</v>
      </c>
      <c r="D8" t="s">
        <v>57</v>
      </c>
      <c r="E8">
        <v>15.5</v>
      </c>
      <c r="F8" t="s">
        <v>13</v>
      </c>
      <c r="G8" t="s">
        <v>112</v>
      </c>
      <c r="H8" t="s">
        <v>2647</v>
      </c>
    </row>
    <row r="9" spans="1:8">
      <c r="A9" s="2">
        <v>45699</v>
      </c>
      <c r="B9" t="s">
        <v>12</v>
      </c>
      <c r="C9">
        <v>15.7</v>
      </c>
      <c r="D9" t="s">
        <v>57</v>
      </c>
      <c r="E9">
        <v>15.5</v>
      </c>
      <c r="F9" t="s">
        <v>13</v>
      </c>
      <c r="G9" t="s">
        <v>112</v>
      </c>
      <c r="H9" t="s">
        <v>2648</v>
      </c>
    </row>
    <row r="10" spans="1:8">
      <c r="A10" s="2">
        <v>45697</v>
      </c>
      <c r="B10" t="s">
        <v>15</v>
      </c>
      <c r="C10">
        <v>6</v>
      </c>
      <c r="D10" t="s">
        <v>54</v>
      </c>
      <c r="E10">
        <v>5.7</v>
      </c>
      <c r="F10" t="s">
        <v>16</v>
      </c>
      <c r="G10" t="s">
        <v>105</v>
      </c>
      <c r="H10" t="s">
        <v>2649</v>
      </c>
    </row>
    <row r="11" spans="1:8">
      <c r="A11" s="2">
        <v>45699</v>
      </c>
      <c r="B11" t="s">
        <v>15</v>
      </c>
      <c r="C11">
        <v>6</v>
      </c>
      <c r="D11" t="s">
        <v>54</v>
      </c>
      <c r="E11">
        <v>5.7</v>
      </c>
      <c r="F11" t="s">
        <v>16</v>
      </c>
      <c r="G11" t="s">
        <v>105</v>
      </c>
      <c r="H11" t="s">
        <v>2650</v>
      </c>
    </row>
    <row r="12" spans="1:8">
      <c r="A12" s="2">
        <v>45697</v>
      </c>
      <c r="B12" t="s">
        <v>18</v>
      </c>
      <c r="C12">
        <v>7</v>
      </c>
      <c r="D12" t="s">
        <v>114</v>
      </c>
      <c r="E12">
        <v>6.8</v>
      </c>
      <c r="F12" t="s">
        <v>19</v>
      </c>
      <c r="G12" t="s">
        <v>113</v>
      </c>
      <c r="H12" t="s">
        <v>2651</v>
      </c>
    </row>
    <row r="13" spans="1:8">
      <c r="A13" s="2">
        <v>45699</v>
      </c>
      <c r="B13" t="s">
        <v>18</v>
      </c>
      <c r="C13">
        <v>7</v>
      </c>
      <c r="D13" t="s">
        <v>114</v>
      </c>
      <c r="E13">
        <v>6.8</v>
      </c>
      <c r="F13" t="s">
        <v>19</v>
      </c>
      <c r="G13" t="s">
        <v>113</v>
      </c>
      <c r="H13" t="s">
        <v>2652</v>
      </c>
    </row>
    <row r="14" spans="1:8">
      <c r="A14" s="2">
        <v>45697</v>
      </c>
      <c r="B14" t="s">
        <v>20</v>
      </c>
      <c r="C14">
        <v>19.3</v>
      </c>
      <c r="D14" t="s">
        <v>59</v>
      </c>
      <c r="E14">
        <v>19.3</v>
      </c>
      <c r="F14" t="s">
        <v>21</v>
      </c>
      <c r="G14" t="s">
        <v>2609</v>
      </c>
      <c r="H14" t="s">
        <v>2653</v>
      </c>
    </row>
    <row r="15" spans="1:8">
      <c r="A15" s="2">
        <v>45699</v>
      </c>
      <c r="B15" t="s">
        <v>20</v>
      </c>
      <c r="C15">
        <v>19.3</v>
      </c>
      <c r="D15" t="s">
        <v>59</v>
      </c>
      <c r="E15">
        <v>19.3</v>
      </c>
      <c r="F15" t="s">
        <v>21</v>
      </c>
      <c r="G15" t="s">
        <v>2609</v>
      </c>
      <c r="H15" t="s">
        <v>2654</v>
      </c>
    </row>
    <row r="16" spans="1:8">
      <c r="A16" s="2">
        <v>45697</v>
      </c>
      <c r="B16" t="s">
        <v>23</v>
      </c>
      <c r="C16">
        <v>19.600000000000001</v>
      </c>
      <c r="D16" t="s">
        <v>120</v>
      </c>
      <c r="E16">
        <v>19.399999999999999</v>
      </c>
      <c r="F16" t="s">
        <v>24</v>
      </c>
      <c r="G16" t="s">
        <v>107</v>
      </c>
      <c r="H16" t="s">
        <v>2655</v>
      </c>
    </row>
    <row r="17" spans="1:8">
      <c r="A17" s="2">
        <v>45699</v>
      </c>
      <c r="B17" t="s">
        <v>23</v>
      </c>
      <c r="C17">
        <v>19.600000000000001</v>
      </c>
      <c r="D17" t="s">
        <v>120</v>
      </c>
      <c r="E17">
        <v>19.399999999999999</v>
      </c>
      <c r="F17" t="s">
        <v>24</v>
      </c>
      <c r="G17" t="s">
        <v>107</v>
      </c>
      <c r="H17" t="s">
        <v>2656</v>
      </c>
    </row>
    <row r="18" spans="1:8">
      <c r="A18" s="2">
        <v>45697</v>
      </c>
      <c r="B18" t="s">
        <v>25</v>
      </c>
      <c r="C18">
        <v>15.2</v>
      </c>
      <c r="D18" t="s">
        <v>252</v>
      </c>
      <c r="E18">
        <v>15.2</v>
      </c>
      <c r="F18" t="s">
        <v>26</v>
      </c>
      <c r="G18" t="s">
        <v>115</v>
      </c>
      <c r="H18" t="s">
        <v>2657</v>
      </c>
    </row>
    <row r="19" spans="1:8">
      <c r="A19" s="2">
        <v>45699</v>
      </c>
      <c r="B19" t="s">
        <v>25</v>
      </c>
      <c r="C19">
        <v>15.2</v>
      </c>
      <c r="D19" t="s">
        <v>252</v>
      </c>
      <c r="E19">
        <v>15.2</v>
      </c>
      <c r="F19" t="s">
        <v>26</v>
      </c>
      <c r="G19" t="s">
        <v>115</v>
      </c>
      <c r="H19" t="s">
        <v>2658</v>
      </c>
    </row>
    <row r="20" spans="1:8">
      <c r="A20" s="2">
        <v>45697</v>
      </c>
      <c r="B20" t="s">
        <v>30</v>
      </c>
      <c r="C20">
        <v>14.3</v>
      </c>
      <c r="D20" t="s">
        <v>56</v>
      </c>
      <c r="E20">
        <v>14.7</v>
      </c>
      <c r="F20" t="s">
        <v>31</v>
      </c>
      <c r="G20" t="s">
        <v>108</v>
      </c>
      <c r="H20" t="s">
        <v>2659</v>
      </c>
    </row>
    <row r="21" spans="1:8">
      <c r="A21" s="2">
        <v>45699</v>
      </c>
      <c r="B21" t="s">
        <v>30</v>
      </c>
      <c r="C21">
        <v>14.3</v>
      </c>
      <c r="D21" t="s">
        <v>56</v>
      </c>
      <c r="E21">
        <v>14.7</v>
      </c>
      <c r="F21" t="s">
        <v>31</v>
      </c>
      <c r="G21" t="s">
        <v>108</v>
      </c>
      <c r="H21" t="s">
        <v>2660</v>
      </c>
    </row>
    <row r="22" spans="1:8">
      <c r="A22" s="2">
        <v>45697</v>
      </c>
      <c r="B22" t="s">
        <v>33</v>
      </c>
      <c r="C22">
        <v>8.6999999999999993</v>
      </c>
      <c r="D22" t="s">
        <v>343</v>
      </c>
      <c r="E22">
        <v>9.4</v>
      </c>
      <c r="F22" t="s">
        <v>34</v>
      </c>
      <c r="G22" t="s">
        <v>109</v>
      </c>
      <c r="H22" t="s">
        <v>2661</v>
      </c>
    </row>
    <row r="23" spans="1:8">
      <c r="A23" s="2">
        <v>45699</v>
      </c>
      <c r="B23" t="s">
        <v>33</v>
      </c>
      <c r="C23">
        <v>8.6999999999999993</v>
      </c>
      <c r="D23" t="s">
        <v>343</v>
      </c>
      <c r="E23">
        <v>9.4</v>
      </c>
      <c r="F23" t="s">
        <v>34</v>
      </c>
      <c r="G23" t="s">
        <v>109</v>
      </c>
      <c r="H23" t="s">
        <v>2662</v>
      </c>
    </row>
    <row r="24" spans="1:8">
      <c r="A24" s="2">
        <v>45697</v>
      </c>
      <c r="B24" t="s">
        <v>35</v>
      </c>
      <c r="C24">
        <v>19.399999999999999</v>
      </c>
      <c r="D24" t="s">
        <v>63</v>
      </c>
      <c r="E24">
        <v>19.399999999999999</v>
      </c>
      <c r="F24" t="s">
        <v>36</v>
      </c>
      <c r="G24" t="s">
        <v>110</v>
      </c>
      <c r="H24" t="s">
        <v>2663</v>
      </c>
    </row>
    <row r="25" spans="1:8">
      <c r="A25" s="2">
        <v>45699</v>
      </c>
      <c r="B25" t="s">
        <v>35</v>
      </c>
      <c r="C25">
        <v>19.399999999999999</v>
      </c>
      <c r="D25" t="s">
        <v>63</v>
      </c>
      <c r="E25">
        <v>19.399999999999999</v>
      </c>
      <c r="F25" t="s">
        <v>36</v>
      </c>
      <c r="G25" t="s">
        <v>110</v>
      </c>
      <c r="H25" t="s">
        <v>2664</v>
      </c>
    </row>
    <row r="26" spans="1:8">
      <c r="A26" s="2">
        <v>45697</v>
      </c>
      <c r="B26" t="s">
        <v>41</v>
      </c>
      <c r="C26">
        <v>21.9</v>
      </c>
      <c r="D26" t="s">
        <v>254</v>
      </c>
      <c r="E26">
        <v>21.9</v>
      </c>
      <c r="F26" t="s">
        <v>42</v>
      </c>
      <c r="G26" t="s">
        <v>117</v>
      </c>
      <c r="H26" t="s">
        <v>2665</v>
      </c>
    </row>
    <row r="27" spans="1:8">
      <c r="A27" s="2">
        <v>45699</v>
      </c>
      <c r="B27" t="s">
        <v>41</v>
      </c>
      <c r="C27">
        <v>21.9</v>
      </c>
      <c r="D27" t="s">
        <v>254</v>
      </c>
      <c r="E27">
        <v>21.9</v>
      </c>
      <c r="F27" t="s">
        <v>42</v>
      </c>
      <c r="G27" t="s">
        <v>117</v>
      </c>
      <c r="H27" t="s">
        <v>2666</v>
      </c>
    </row>
    <row r="28" spans="1:8">
      <c r="A28" s="2">
        <v>45697</v>
      </c>
      <c r="B28" t="s">
        <v>46</v>
      </c>
      <c r="C28">
        <v>18.399999999999999</v>
      </c>
      <c r="D28" t="s">
        <v>62</v>
      </c>
      <c r="E28">
        <v>18.399999999999999</v>
      </c>
      <c r="F28" t="s">
        <v>47</v>
      </c>
      <c r="G28" t="s">
        <v>106</v>
      </c>
      <c r="H28" t="s">
        <v>2667</v>
      </c>
    </row>
    <row r="29" spans="1:8">
      <c r="A29" s="2">
        <v>45699</v>
      </c>
      <c r="B29" t="s">
        <v>46</v>
      </c>
      <c r="C29">
        <v>18.399999999999999</v>
      </c>
      <c r="D29" t="s">
        <v>62</v>
      </c>
      <c r="E29">
        <v>18.399999999999999</v>
      </c>
      <c r="F29" t="s">
        <v>47</v>
      </c>
      <c r="G29" t="s">
        <v>106</v>
      </c>
      <c r="H29" t="s">
        <v>2668</v>
      </c>
    </row>
    <row r="30" spans="1:8">
      <c r="A30" s="2">
        <v>45697</v>
      </c>
      <c r="B30" t="s">
        <v>49</v>
      </c>
      <c r="C30">
        <v>14.3</v>
      </c>
      <c r="D30" t="s">
        <v>58</v>
      </c>
      <c r="E30">
        <v>14.4</v>
      </c>
      <c r="F30" t="s">
        <v>50</v>
      </c>
      <c r="G30" t="s">
        <v>111</v>
      </c>
      <c r="H30" t="s">
        <v>2669</v>
      </c>
    </row>
    <row r="31" spans="1:8">
      <c r="A31" s="2">
        <v>45699</v>
      </c>
      <c r="B31" t="s">
        <v>49</v>
      </c>
      <c r="C31">
        <v>14.3</v>
      </c>
      <c r="D31" t="s">
        <v>58</v>
      </c>
      <c r="E31">
        <v>14.4</v>
      </c>
      <c r="F31" t="s">
        <v>50</v>
      </c>
      <c r="G31" t="s">
        <v>111</v>
      </c>
      <c r="H31" t="s">
        <v>2670</v>
      </c>
    </row>
    <row r="32" spans="1:8">
      <c r="A32" s="2">
        <v>45697</v>
      </c>
      <c r="B32" t="s">
        <v>135</v>
      </c>
      <c r="C32">
        <v>18.5</v>
      </c>
      <c r="D32" t="s">
        <v>134</v>
      </c>
      <c r="E32">
        <v>18.399999999999999</v>
      </c>
      <c r="F32" t="s">
        <v>123</v>
      </c>
      <c r="G32" t="s">
        <v>132</v>
      </c>
      <c r="H32" t="s">
        <v>2671</v>
      </c>
    </row>
    <row r="33" spans="1:8">
      <c r="A33" s="2">
        <v>45697</v>
      </c>
      <c r="B33" t="s">
        <v>201</v>
      </c>
      <c r="C33">
        <v>8.8000000000000007</v>
      </c>
      <c r="D33" t="s">
        <v>209</v>
      </c>
      <c r="E33">
        <v>9.1999999999999993</v>
      </c>
      <c r="F33" t="s">
        <v>202</v>
      </c>
      <c r="G33" t="s">
        <v>213</v>
      </c>
      <c r="H33" t="s">
        <v>2672</v>
      </c>
    </row>
    <row r="34" spans="1:8">
      <c r="A34" s="2">
        <v>45697</v>
      </c>
      <c r="B34" t="s">
        <v>203</v>
      </c>
      <c r="C34">
        <v>17.8</v>
      </c>
      <c r="D34" t="s">
        <v>212</v>
      </c>
      <c r="E34">
        <v>17.100000000000001</v>
      </c>
      <c r="F34" t="s">
        <v>204</v>
      </c>
      <c r="G34" t="s">
        <v>203</v>
      </c>
      <c r="H34" t="s">
        <v>2673</v>
      </c>
    </row>
    <row r="35" spans="1:8">
      <c r="A35" s="2">
        <v>45697</v>
      </c>
      <c r="B35" t="s">
        <v>205</v>
      </c>
      <c r="C35">
        <v>5.2</v>
      </c>
      <c r="D35" t="s">
        <v>211</v>
      </c>
      <c r="E35">
        <v>5.2</v>
      </c>
      <c r="F35" t="s">
        <v>206</v>
      </c>
      <c r="G35" t="s">
        <v>214</v>
      </c>
      <c r="H35" t="s">
        <v>2674</v>
      </c>
    </row>
    <row r="36" spans="1:8">
      <c r="A36" s="2">
        <v>45697</v>
      </c>
      <c r="B36" t="s">
        <v>207</v>
      </c>
      <c r="C36">
        <v>15</v>
      </c>
      <c r="D36" t="s">
        <v>210</v>
      </c>
      <c r="E36">
        <v>14.5</v>
      </c>
      <c r="F36" t="s">
        <v>208</v>
      </c>
      <c r="G36" t="s">
        <v>215</v>
      </c>
      <c r="H36" t="s">
        <v>2675</v>
      </c>
    </row>
    <row r="37" spans="1:8">
      <c r="A37" s="2">
        <v>45697</v>
      </c>
      <c r="B37" t="s">
        <v>217</v>
      </c>
      <c r="C37">
        <v>20.9</v>
      </c>
      <c r="D37" t="s">
        <v>219</v>
      </c>
      <c r="E37">
        <v>20.9</v>
      </c>
      <c r="F37" t="s">
        <v>218</v>
      </c>
      <c r="G37" t="s">
        <v>2610</v>
      </c>
      <c r="H37" t="s">
        <v>2676</v>
      </c>
    </row>
    <row r="38" spans="1:8">
      <c r="A38" s="2">
        <v>45697</v>
      </c>
      <c r="B38" t="s">
        <v>225</v>
      </c>
      <c r="C38">
        <v>10.6</v>
      </c>
      <c r="D38" t="s">
        <v>244</v>
      </c>
      <c r="E38">
        <v>10.9</v>
      </c>
      <c r="F38" t="s">
        <v>226</v>
      </c>
      <c r="G38" t="s">
        <v>228</v>
      </c>
      <c r="H38" t="s">
        <v>2677</v>
      </c>
    </row>
    <row r="39" spans="1:8">
      <c r="A39" s="2">
        <v>45697</v>
      </c>
      <c r="B39" t="s">
        <v>248</v>
      </c>
      <c r="C39">
        <v>13.1</v>
      </c>
      <c r="D39" t="s">
        <v>250</v>
      </c>
      <c r="E39">
        <v>13.5</v>
      </c>
      <c r="F39" t="s">
        <v>249</v>
      </c>
      <c r="G39" t="s">
        <v>251</v>
      </c>
      <c r="H39" t="s">
        <v>2678</v>
      </c>
    </row>
    <row r="40" spans="1:8">
      <c r="A40" s="2">
        <v>45697</v>
      </c>
      <c r="B40" t="s">
        <v>259</v>
      </c>
      <c r="C40">
        <v>1.2</v>
      </c>
      <c r="D40" t="s">
        <v>261</v>
      </c>
      <c r="E40">
        <v>1.2</v>
      </c>
      <c r="F40" t="s">
        <v>262</v>
      </c>
      <c r="G40" t="s">
        <v>260</v>
      </c>
      <c r="H40" t="s">
        <v>2679</v>
      </c>
    </row>
    <row r="41" spans="1:8">
      <c r="A41" s="2">
        <v>45697</v>
      </c>
      <c r="B41" t="s">
        <v>264</v>
      </c>
      <c r="C41">
        <v>18.899999999999999</v>
      </c>
      <c r="D41" t="s">
        <v>266</v>
      </c>
      <c r="E41">
        <v>18.899999999999999</v>
      </c>
      <c r="F41" t="s">
        <v>265</v>
      </c>
      <c r="G41" t="s">
        <v>267</v>
      </c>
      <c r="H41" t="s">
        <v>2680</v>
      </c>
    </row>
    <row r="42" spans="1:8">
      <c r="A42" s="2">
        <v>45697</v>
      </c>
      <c r="B42" t="s">
        <v>271</v>
      </c>
      <c r="C42">
        <v>16.399999999999999</v>
      </c>
      <c r="D42" t="s">
        <v>269</v>
      </c>
      <c r="E42">
        <v>15.9</v>
      </c>
      <c r="F42" t="s">
        <v>268</v>
      </c>
      <c r="G42" t="s">
        <v>270</v>
      </c>
      <c r="H42" t="s">
        <v>2681</v>
      </c>
    </row>
    <row r="43" spans="1:8">
      <c r="A43" s="2">
        <v>45697</v>
      </c>
      <c r="B43" t="s">
        <v>293</v>
      </c>
      <c r="C43">
        <v>15.1</v>
      </c>
      <c r="D43" t="s">
        <v>373</v>
      </c>
      <c r="E43">
        <v>15.1</v>
      </c>
      <c r="F43" t="s">
        <v>381</v>
      </c>
      <c r="G43" t="s">
        <v>287</v>
      </c>
      <c r="H43" t="s">
        <v>2682</v>
      </c>
    </row>
    <row r="44" spans="1:8">
      <c r="A44" s="2">
        <v>45697</v>
      </c>
      <c r="B44" t="s">
        <v>291</v>
      </c>
      <c r="C44">
        <v>1.3</v>
      </c>
      <c r="D44" t="s">
        <v>2637</v>
      </c>
      <c r="E44">
        <v>1.3</v>
      </c>
      <c r="F44" t="s">
        <v>431</v>
      </c>
      <c r="G44" t="s">
        <v>286</v>
      </c>
      <c r="H44" t="s">
        <v>2683</v>
      </c>
    </row>
    <row r="45" spans="1:8">
      <c r="A45" s="2">
        <v>45697</v>
      </c>
      <c r="B45" t="s">
        <v>297</v>
      </c>
      <c r="C45">
        <v>18.600000000000001</v>
      </c>
      <c r="D45" t="s">
        <v>296</v>
      </c>
      <c r="E45">
        <v>18.600000000000001</v>
      </c>
      <c r="F45" t="s">
        <v>382</v>
      </c>
      <c r="G45" t="s">
        <v>297</v>
      </c>
      <c r="H45" t="s">
        <v>2684</v>
      </c>
    </row>
    <row r="46" spans="1:8">
      <c r="A46" s="2">
        <v>45697</v>
      </c>
      <c r="B46" t="s">
        <v>326</v>
      </c>
      <c r="C46">
        <v>8.8000000000000007</v>
      </c>
      <c r="D46" t="s">
        <v>331</v>
      </c>
      <c r="E46">
        <v>9.8000000000000007</v>
      </c>
      <c r="F46" t="s">
        <v>327</v>
      </c>
      <c r="G46" t="s">
        <v>330</v>
      </c>
      <c r="H46" t="s">
        <v>2685</v>
      </c>
    </row>
    <row r="47" spans="1:8">
      <c r="A47" s="2">
        <v>45697</v>
      </c>
      <c r="B47" t="s">
        <v>328</v>
      </c>
      <c r="C47">
        <v>10.1</v>
      </c>
      <c r="D47" t="s">
        <v>332</v>
      </c>
      <c r="E47">
        <v>10.4</v>
      </c>
      <c r="F47" t="s">
        <v>329</v>
      </c>
      <c r="G47" t="s">
        <v>333</v>
      </c>
      <c r="H47" t="s">
        <v>2686</v>
      </c>
    </row>
    <row r="48" spans="1:8">
      <c r="A48" s="2">
        <v>45697</v>
      </c>
      <c r="B48" t="s">
        <v>375</v>
      </c>
      <c r="C48">
        <v>10.199999999999999</v>
      </c>
      <c r="D48" t="s">
        <v>377</v>
      </c>
      <c r="E48">
        <v>9.6</v>
      </c>
      <c r="F48" t="s">
        <v>376</v>
      </c>
      <c r="G48" t="s">
        <v>375</v>
      </c>
      <c r="H48" t="s">
        <v>2687</v>
      </c>
    </row>
    <row r="49" spans="1:8">
      <c r="A49" s="2">
        <v>45697</v>
      </c>
      <c r="B49" t="s">
        <v>388</v>
      </c>
      <c r="C49">
        <v>25.5</v>
      </c>
      <c r="D49" t="s">
        <v>389</v>
      </c>
      <c r="E49">
        <v>25.5</v>
      </c>
      <c r="F49" t="s">
        <v>391</v>
      </c>
      <c r="G49" t="s">
        <v>390</v>
      </c>
      <c r="H49" t="s">
        <v>2688</v>
      </c>
    </row>
    <row r="50" spans="1:8">
      <c r="A50" s="2">
        <v>45697</v>
      </c>
      <c r="B50" t="s">
        <v>2469</v>
      </c>
      <c r="C50">
        <v>5.6</v>
      </c>
      <c r="D50" t="s">
        <v>2550</v>
      </c>
      <c r="E50">
        <v>5.6</v>
      </c>
      <c r="F50" t="s">
        <v>2470</v>
      </c>
      <c r="G50" t="s">
        <v>2472</v>
      </c>
      <c r="H50" t="s">
        <v>2689</v>
      </c>
    </row>
    <row r="51" spans="1:8">
      <c r="A51" s="2">
        <v>45697</v>
      </c>
      <c r="B51" t="s">
        <v>2473</v>
      </c>
      <c r="C51">
        <v>13.9</v>
      </c>
      <c r="D51" t="s">
        <v>2475</v>
      </c>
      <c r="E51">
        <v>13.9</v>
      </c>
      <c r="F51" t="s">
        <v>2474</v>
      </c>
      <c r="G51" t="s">
        <v>2473</v>
      </c>
      <c r="H51" t="s">
        <v>2690</v>
      </c>
    </row>
    <row r="52" spans="1:8">
      <c r="A52" s="2">
        <v>45697</v>
      </c>
      <c r="B52" t="s">
        <v>2516</v>
      </c>
      <c r="C52">
        <v>16.600000000000001</v>
      </c>
      <c r="D52" t="s">
        <v>2518</v>
      </c>
      <c r="E52">
        <v>16.600000000000001</v>
      </c>
      <c r="F52" t="s">
        <v>2517</v>
      </c>
      <c r="G52" t="s">
        <v>2519</v>
      </c>
      <c r="H52" t="s">
        <v>2691</v>
      </c>
    </row>
    <row r="53" spans="1:8">
      <c r="A53" s="2">
        <v>45697</v>
      </c>
      <c r="B53" t="s">
        <v>2561</v>
      </c>
      <c r="C53">
        <v>20.2</v>
      </c>
      <c r="D53" t="s">
        <v>2563</v>
      </c>
      <c r="E53">
        <v>20</v>
      </c>
      <c r="F53" t="s">
        <v>2562</v>
      </c>
      <c r="G53" t="s">
        <v>2564</v>
      </c>
      <c r="H53" t="s">
        <v>2692</v>
      </c>
    </row>
    <row r="54" spans="1:8">
      <c r="A54" s="2">
        <v>45699</v>
      </c>
      <c r="B54" t="s">
        <v>135</v>
      </c>
      <c r="C54">
        <v>18.5</v>
      </c>
      <c r="D54" t="s">
        <v>134</v>
      </c>
      <c r="E54">
        <v>18.399999999999999</v>
      </c>
      <c r="F54" t="s">
        <v>123</v>
      </c>
      <c r="G54" t="s">
        <v>132</v>
      </c>
      <c r="H54" t="s">
        <v>2693</v>
      </c>
    </row>
    <row r="55" spans="1:8">
      <c r="A55" s="2">
        <v>45699</v>
      </c>
      <c r="B55" t="s">
        <v>201</v>
      </c>
      <c r="C55">
        <v>8.8000000000000007</v>
      </c>
      <c r="D55" t="s">
        <v>209</v>
      </c>
      <c r="E55">
        <v>9.1999999999999993</v>
      </c>
      <c r="F55" t="s">
        <v>202</v>
      </c>
      <c r="G55" t="s">
        <v>213</v>
      </c>
      <c r="H55" t="s">
        <v>2694</v>
      </c>
    </row>
    <row r="56" spans="1:8">
      <c r="A56" s="2">
        <v>45699</v>
      </c>
      <c r="B56" t="s">
        <v>203</v>
      </c>
      <c r="C56">
        <v>17.8</v>
      </c>
      <c r="D56" t="s">
        <v>212</v>
      </c>
      <c r="E56">
        <v>17.100000000000001</v>
      </c>
      <c r="F56" t="s">
        <v>204</v>
      </c>
      <c r="G56" t="s">
        <v>203</v>
      </c>
      <c r="H56" t="s">
        <v>2695</v>
      </c>
    </row>
    <row r="57" spans="1:8">
      <c r="A57" s="2">
        <v>45699</v>
      </c>
      <c r="B57" t="s">
        <v>205</v>
      </c>
      <c r="C57">
        <v>5.2</v>
      </c>
      <c r="D57" t="s">
        <v>211</v>
      </c>
      <c r="E57">
        <v>5.2</v>
      </c>
      <c r="F57" t="s">
        <v>206</v>
      </c>
      <c r="G57" t="s">
        <v>214</v>
      </c>
      <c r="H57" t="s">
        <v>2696</v>
      </c>
    </row>
    <row r="58" spans="1:8">
      <c r="A58" s="2">
        <v>45699</v>
      </c>
      <c r="B58" t="s">
        <v>207</v>
      </c>
      <c r="C58">
        <v>15</v>
      </c>
      <c r="D58" t="s">
        <v>210</v>
      </c>
      <c r="E58">
        <v>14.5</v>
      </c>
      <c r="F58" t="s">
        <v>208</v>
      </c>
      <c r="G58" t="s">
        <v>215</v>
      </c>
      <c r="H58" t="s">
        <v>2697</v>
      </c>
    </row>
    <row r="59" spans="1:8">
      <c r="A59" s="2">
        <v>45699</v>
      </c>
      <c r="B59" t="s">
        <v>217</v>
      </c>
      <c r="C59">
        <v>20.9</v>
      </c>
      <c r="D59" t="s">
        <v>219</v>
      </c>
      <c r="E59">
        <v>20.9</v>
      </c>
      <c r="F59" t="s">
        <v>218</v>
      </c>
      <c r="G59" t="s">
        <v>2610</v>
      </c>
      <c r="H59" t="s">
        <v>2698</v>
      </c>
    </row>
    <row r="60" spans="1:8">
      <c r="A60" s="2">
        <v>45699</v>
      </c>
      <c r="B60" t="s">
        <v>225</v>
      </c>
      <c r="C60">
        <v>10.6</v>
      </c>
      <c r="D60" t="s">
        <v>244</v>
      </c>
      <c r="E60">
        <v>10.9</v>
      </c>
      <c r="F60" t="s">
        <v>226</v>
      </c>
      <c r="G60" t="s">
        <v>228</v>
      </c>
      <c r="H60" t="s">
        <v>2699</v>
      </c>
    </row>
    <row r="61" spans="1:8">
      <c r="A61" s="2">
        <v>45699</v>
      </c>
      <c r="B61" t="s">
        <v>248</v>
      </c>
      <c r="C61">
        <v>13.1</v>
      </c>
      <c r="D61" t="s">
        <v>250</v>
      </c>
      <c r="E61">
        <v>13.5</v>
      </c>
      <c r="F61" t="s">
        <v>249</v>
      </c>
      <c r="G61" t="s">
        <v>251</v>
      </c>
      <c r="H61" t="s">
        <v>2700</v>
      </c>
    </row>
    <row r="62" spans="1:8">
      <c r="A62" s="2">
        <v>45699</v>
      </c>
      <c r="B62" t="s">
        <v>259</v>
      </c>
      <c r="C62">
        <v>1.2</v>
      </c>
      <c r="D62" t="s">
        <v>261</v>
      </c>
      <c r="E62">
        <v>1.2</v>
      </c>
      <c r="F62" t="s">
        <v>262</v>
      </c>
      <c r="G62" t="s">
        <v>260</v>
      </c>
      <c r="H62" t="s">
        <v>2701</v>
      </c>
    </row>
    <row r="63" spans="1:8">
      <c r="A63" s="2">
        <v>45699</v>
      </c>
      <c r="B63" t="s">
        <v>264</v>
      </c>
      <c r="C63">
        <v>18.899999999999999</v>
      </c>
      <c r="D63" t="s">
        <v>266</v>
      </c>
      <c r="E63">
        <v>18.899999999999999</v>
      </c>
      <c r="F63" t="s">
        <v>265</v>
      </c>
      <c r="G63" t="s">
        <v>267</v>
      </c>
      <c r="H63" t="s">
        <v>2702</v>
      </c>
    </row>
    <row r="64" spans="1:8">
      <c r="A64" s="2">
        <v>45699</v>
      </c>
      <c r="B64" t="s">
        <v>271</v>
      </c>
      <c r="C64">
        <v>16.399999999999999</v>
      </c>
      <c r="D64" t="s">
        <v>269</v>
      </c>
      <c r="E64">
        <v>15.9</v>
      </c>
      <c r="F64" t="s">
        <v>268</v>
      </c>
      <c r="G64" t="s">
        <v>270</v>
      </c>
      <c r="H64" t="s">
        <v>2703</v>
      </c>
    </row>
    <row r="65" spans="1:8">
      <c r="A65" s="2">
        <v>45699</v>
      </c>
      <c r="B65" t="s">
        <v>293</v>
      </c>
      <c r="C65">
        <v>15.1</v>
      </c>
      <c r="D65" t="s">
        <v>373</v>
      </c>
      <c r="E65">
        <v>15.1</v>
      </c>
      <c r="F65" t="s">
        <v>381</v>
      </c>
      <c r="G65" t="s">
        <v>287</v>
      </c>
      <c r="H65" t="s">
        <v>2704</v>
      </c>
    </row>
    <row r="66" spans="1:8">
      <c r="A66" s="2">
        <v>45699</v>
      </c>
      <c r="B66" t="s">
        <v>291</v>
      </c>
      <c r="C66">
        <v>1.3</v>
      </c>
      <c r="D66" t="s">
        <v>2637</v>
      </c>
      <c r="E66">
        <v>1.3</v>
      </c>
      <c r="F66" t="s">
        <v>431</v>
      </c>
      <c r="G66" t="s">
        <v>286</v>
      </c>
      <c r="H66" t="s">
        <v>2705</v>
      </c>
    </row>
    <row r="67" spans="1:8">
      <c r="A67" s="2">
        <v>45699</v>
      </c>
      <c r="B67" t="s">
        <v>297</v>
      </c>
      <c r="C67">
        <v>18.600000000000001</v>
      </c>
      <c r="D67" t="s">
        <v>296</v>
      </c>
      <c r="E67">
        <v>18.600000000000001</v>
      </c>
      <c r="F67" t="s">
        <v>382</v>
      </c>
      <c r="G67" t="s">
        <v>297</v>
      </c>
      <c r="H67" t="s">
        <v>2706</v>
      </c>
    </row>
    <row r="68" spans="1:8">
      <c r="A68" s="2">
        <v>45699</v>
      </c>
      <c r="B68" t="s">
        <v>326</v>
      </c>
      <c r="C68">
        <v>8.8000000000000007</v>
      </c>
      <c r="D68" t="s">
        <v>331</v>
      </c>
      <c r="E68">
        <v>9.8000000000000007</v>
      </c>
      <c r="F68" t="s">
        <v>327</v>
      </c>
      <c r="G68" t="s">
        <v>330</v>
      </c>
      <c r="H68" t="s">
        <v>2707</v>
      </c>
    </row>
    <row r="69" spans="1:8">
      <c r="A69" s="2">
        <v>45699</v>
      </c>
      <c r="B69" t="s">
        <v>328</v>
      </c>
      <c r="C69">
        <v>10.1</v>
      </c>
      <c r="D69" t="s">
        <v>332</v>
      </c>
      <c r="E69">
        <v>10.4</v>
      </c>
      <c r="F69" t="s">
        <v>329</v>
      </c>
      <c r="G69" t="s">
        <v>333</v>
      </c>
      <c r="H69" t="s">
        <v>2708</v>
      </c>
    </row>
    <row r="70" spans="1:8">
      <c r="A70" s="2">
        <v>45699</v>
      </c>
      <c r="B70" t="s">
        <v>375</v>
      </c>
      <c r="C70">
        <v>10.199999999999999</v>
      </c>
      <c r="D70" t="s">
        <v>377</v>
      </c>
      <c r="E70">
        <v>9.6</v>
      </c>
      <c r="F70" t="s">
        <v>376</v>
      </c>
      <c r="G70" t="s">
        <v>375</v>
      </c>
      <c r="H70" t="s">
        <v>2709</v>
      </c>
    </row>
    <row r="71" spans="1:8">
      <c r="A71" s="2">
        <v>45699</v>
      </c>
      <c r="B71" t="s">
        <v>388</v>
      </c>
      <c r="C71">
        <v>25.5</v>
      </c>
      <c r="D71" t="s">
        <v>389</v>
      </c>
      <c r="E71">
        <v>25.5</v>
      </c>
      <c r="F71" t="s">
        <v>391</v>
      </c>
      <c r="G71" t="s">
        <v>390</v>
      </c>
      <c r="H71" t="s">
        <v>2710</v>
      </c>
    </row>
    <row r="72" spans="1:8">
      <c r="A72" s="2">
        <v>45699</v>
      </c>
      <c r="B72" t="s">
        <v>2469</v>
      </c>
      <c r="C72">
        <v>6.5</v>
      </c>
      <c r="D72" t="s">
        <v>2550</v>
      </c>
      <c r="E72">
        <v>5.6</v>
      </c>
      <c r="F72" t="s">
        <v>2470</v>
      </c>
      <c r="G72" t="s">
        <v>2472</v>
      </c>
      <c r="H72" t="s">
        <v>2711</v>
      </c>
    </row>
    <row r="73" spans="1:8">
      <c r="A73" s="2">
        <v>45699</v>
      </c>
      <c r="B73" t="s">
        <v>2473</v>
      </c>
      <c r="C73">
        <v>13.9</v>
      </c>
      <c r="D73" t="s">
        <v>2475</v>
      </c>
      <c r="E73">
        <v>13.9</v>
      </c>
      <c r="F73" t="s">
        <v>2474</v>
      </c>
      <c r="G73" t="s">
        <v>2473</v>
      </c>
      <c r="H73" t="s">
        <v>2712</v>
      </c>
    </row>
    <row r="74" spans="1:8">
      <c r="A74" s="2">
        <v>45699</v>
      </c>
      <c r="B74" t="s">
        <v>2516</v>
      </c>
      <c r="C74">
        <v>16.600000000000001</v>
      </c>
      <c r="D74" t="s">
        <v>2518</v>
      </c>
      <c r="E74">
        <v>16.600000000000001</v>
      </c>
      <c r="F74" t="s">
        <v>2517</v>
      </c>
      <c r="G74" t="s">
        <v>2519</v>
      </c>
      <c r="H74" t="s">
        <v>2713</v>
      </c>
    </row>
    <row r="75" spans="1:8">
      <c r="A75" s="2">
        <v>45699</v>
      </c>
      <c r="B75" t="s">
        <v>2561</v>
      </c>
      <c r="C75">
        <v>20.2</v>
      </c>
      <c r="D75" t="s">
        <v>2563</v>
      </c>
      <c r="E75">
        <v>20</v>
      </c>
      <c r="F75" t="s">
        <v>2562</v>
      </c>
      <c r="G75" t="s">
        <v>2564</v>
      </c>
      <c r="H75" t="s">
        <v>2714</v>
      </c>
    </row>
    <row r="76" spans="1:8">
      <c r="A76" s="2">
        <v>45699</v>
      </c>
      <c r="B76" t="s">
        <v>2603</v>
      </c>
      <c r="C76">
        <v>7.3</v>
      </c>
      <c r="D76" t="s">
        <v>2604</v>
      </c>
      <c r="E76">
        <v>7.3</v>
      </c>
      <c r="F76" t="s">
        <v>2605</v>
      </c>
      <c r="G76" t="s">
        <v>2603</v>
      </c>
      <c r="H76" t="s">
        <v>2715</v>
      </c>
    </row>
    <row r="77" spans="1:8">
      <c r="A77" s="2">
        <v>45699</v>
      </c>
      <c r="B77" t="s">
        <v>2606</v>
      </c>
      <c r="C77">
        <v>11.2</v>
      </c>
      <c r="D77" t="s">
        <v>2607</v>
      </c>
      <c r="E77">
        <v>11.2</v>
      </c>
      <c r="F77" t="s">
        <v>292</v>
      </c>
      <c r="G77" t="s">
        <v>2606</v>
      </c>
      <c r="H77" t="s">
        <v>2716</v>
      </c>
    </row>
    <row r="78" spans="1:8">
      <c r="A78" s="2">
        <v>45705</v>
      </c>
      <c r="B78" t="s">
        <v>3</v>
      </c>
      <c r="C78">
        <v>4.7</v>
      </c>
      <c r="D78" t="s">
        <v>61</v>
      </c>
      <c r="E78">
        <v>4.7</v>
      </c>
      <c r="F78" t="s">
        <v>4</v>
      </c>
      <c r="G78" t="s">
        <v>102</v>
      </c>
      <c r="H78" t="s">
        <v>2717</v>
      </c>
    </row>
    <row r="79" spans="1:8">
      <c r="A79" s="2">
        <v>45705</v>
      </c>
      <c r="B79" t="s">
        <v>6</v>
      </c>
      <c r="C79">
        <v>6.8</v>
      </c>
      <c r="D79" t="s">
        <v>60</v>
      </c>
      <c r="E79">
        <v>6.8</v>
      </c>
      <c r="F79" t="s">
        <v>7</v>
      </c>
      <c r="G79" t="s">
        <v>103</v>
      </c>
      <c r="H79" t="s">
        <v>2718</v>
      </c>
    </row>
    <row r="80" spans="1:8">
      <c r="A80" s="2">
        <v>45705</v>
      </c>
      <c r="B80" t="s">
        <v>9</v>
      </c>
      <c r="C80">
        <v>12.3</v>
      </c>
      <c r="D80" t="s">
        <v>55</v>
      </c>
      <c r="E80">
        <v>12.3</v>
      </c>
      <c r="F80" t="s">
        <v>10</v>
      </c>
      <c r="G80" t="s">
        <v>104</v>
      </c>
      <c r="H80" t="s">
        <v>2719</v>
      </c>
    </row>
    <row r="81" spans="1:8">
      <c r="A81" s="2">
        <v>45705</v>
      </c>
      <c r="B81" t="s">
        <v>12</v>
      </c>
      <c r="C81">
        <v>15.7</v>
      </c>
      <c r="D81" t="s">
        <v>57</v>
      </c>
      <c r="E81">
        <v>15.7</v>
      </c>
      <c r="F81" t="s">
        <v>13</v>
      </c>
      <c r="G81" t="s">
        <v>112</v>
      </c>
      <c r="H81" t="s">
        <v>2720</v>
      </c>
    </row>
    <row r="82" spans="1:8">
      <c r="A82" s="2">
        <v>45705</v>
      </c>
      <c r="B82" t="s">
        <v>15</v>
      </c>
      <c r="C82">
        <v>6</v>
      </c>
      <c r="D82" t="s">
        <v>54</v>
      </c>
      <c r="E82">
        <v>6</v>
      </c>
      <c r="F82" t="s">
        <v>16</v>
      </c>
      <c r="G82" t="s">
        <v>105</v>
      </c>
      <c r="H82" t="s">
        <v>2721</v>
      </c>
    </row>
    <row r="83" spans="1:8">
      <c r="A83" s="2">
        <v>45705</v>
      </c>
      <c r="B83" t="s">
        <v>18</v>
      </c>
      <c r="C83">
        <v>6.8</v>
      </c>
      <c r="D83" t="s">
        <v>114</v>
      </c>
      <c r="E83">
        <v>7</v>
      </c>
      <c r="F83" t="s">
        <v>19</v>
      </c>
      <c r="G83" t="s">
        <v>113</v>
      </c>
      <c r="H83" t="s">
        <v>2722</v>
      </c>
    </row>
    <row r="84" spans="1:8">
      <c r="A84" s="2">
        <v>45705</v>
      </c>
      <c r="B84" t="s">
        <v>20</v>
      </c>
      <c r="C84">
        <v>19.3</v>
      </c>
      <c r="D84" t="s">
        <v>59</v>
      </c>
      <c r="E84">
        <v>19.3</v>
      </c>
      <c r="F84" t="s">
        <v>21</v>
      </c>
      <c r="G84" t="s">
        <v>2609</v>
      </c>
      <c r="H84" t="s">
        <v>2723</v>
      </c>
    </row>
    <row r="85" spans="1:8">
      <c r="A85" s="2">
        <v>45705</v>
      </c>
      <c r="B85" t="s">
        <v>23</v>
      </c>
      <c r="C85">
        <v>19.5</v>
      </c>
      <c r="D85" t="s">
        <v>120</v>
      </c>
      <c r="E85">
        <v>19.600000000000001</v>
      </c>
      <c r="F85" t="s">
        <v>24</v>
      </c>
      <c r="G85" t="s">
        <v>107</v>
      </c>
      <c r="H85" t="s">
        <v>2724</v>
      </c>
    </row>
    <row r="86" spans="1:8">
      <c r="A86" s="2">
        <v>45705</v>
      </c>
      <c r="B86" t="s">
        <v>25</v>
      </c>
      <c r="C86">
        <v>15.2</v>
      </c>
      <c r="D86" t="s">
        <v>252</v>
      </c>
      <c r="E86">
        <v>15.2</v>
      </c>
      <c r="F86" t="s">
        <v>26</v>
      </c>
      <c r="G86" t="s">
        <v>115</v>
      </c>
      <c r="H86" t="s">
        <v>2725</v>
      </c>
    </row>
    <row r="87" spans="1:8">
      <c r="A87" s="2">
        <v>45705</v>
      </c>
      <c r="B87" t="s">
        <v>30</v>
      </c>
      <c r="C87">
        <v>14.3</v>
      </c>
      <c r="D87" t="s">
        <v>56</v>
      </c>
      <c r="E87">
        <v>14.3</v>
      </c>
      <c r="F87" t="s">
        <v>31</v>
      </c>
      <c r="G87" t="s">
        <v>108</v>
      </c>
      <c r="H87" t="s">
        <v>2726</v>
      </c>
    </row>
    <row r="88" spans="1:8">
      <c r="A88" s="2">
        <v>45705</v>
      </c>
      <c r="B88" t="s">
        <v>33</v>
      </c>
      <c r="C88">
        <v>8.5</v>
      </c>
      <c r="D88" t="s">
        <v>343</v>
      </c>
      <c r="E88">
        <v>8.6999999999999993</v>
      </c>
      <c r="F88" t="s">
        <v>34</v>
      </c>
      <c r="G88" t="s">
        <v>109</v>
      </c>
      <c r="H88" t="s">
        <v>2727</v>
      </c>
    </row>
    <row r="89" spans="1:8">
      <c r="A89" s="2">
        <v>45705</v>
      </c>
      <c r="B89" t="s">
        <v>35</v>
      </c>
      <c r="C89">
        <v>19.399999999999999</v>
      </c>
      <c r="D89" t="s">
        <v>63</v>
      </c>
      <c r="E89">
        <v>19.399999999999999</v>
      </c>
      <c r="F89" t="s">
        <v>36</v>
      </c>
      <c r="G89" t="s">
        <v>110</v>
      </c>
      <c r="H89" t="s">
        <v>2728</v>
      </c>
    </row>
    <row r="90" spans="1:8">
      <c r="A90" s="2">
        <v>45705</v>
      </c>
      <c r="B90" t="s">
        <v>41</v>
      </c>
      <c r="C90">
        <v>21.9</v>
      </c>
      <c r="D90" t="s">
        <v>254</v>
      </c>
      <c r="E90">
        <v>21.9</v>
      </c>
      <c r="F90" t="s">
        <v>42</v>
      </c>
      <c r="G90" t="s">
        <v>117</v>
      </c>
      <c r="H90" t="s">
        <v>2729</v>
      </c>
    </row>
    <row r="91" spans="1:8">
      <c r="A91" s="2">
        <v>45705</v>
      </c>
      <c r="B91" t="s">
        <v>46</v>
      </c>
      <c r="C91">
        <v>17.7</v>
      </c>
      <c r="D91" t="s">
        <v>62</v>
      </c>
      <c r="E91">
        <v>18.399999999999999</v>
      </c>
      <c r="F91" t="s">
        <v>47</v>
      </c>
      <c r="G91" t="s">
        <v>106</v>
      </c>
      <c r="H91" t="s">
        <v>2730</v>
      </c>
    </row>
    <row r="92" spans="1:8">
      <c r="A92" s="2">
        <v>45705</v>
      </c>
      <c r="B92" t="s">
        <v>49</v>
      </c>
      <c r="C92">
        <v>14.3</v>
      </c>
      <c r="D92" t="s">
        <v>58</v>
      </c>
      <c r="E92">
        <v>14.4</v>
      </c>
      <c r="F92" t="s">
        <v>50</v>
      </c>
      <c r="G92" t="s">
        <v>111</v>
      </c>
      <c r="H92" t="s">
        <v>2731</v>
      </c>
    </row>
    <row r="93" spans="1:8">
      <c r="A93" s="2">
        <v>45705</v>
      </c>
      <c r="B93" t="s">
        <v>135</v>
      </c>
      <c r="C93">
        <v>18.5</v>
      </c>
      <c r="D93" t="s">
        <v>134</v>
      </c>
      <c r="E93">
        <v>18.5</v>
      </c>
      <c r="F93" t="s">
        <v>123</v>
      </c>
      <c r="G93" t="s">
        <v>132</v>
      </c>
      <c r="H93" t="s">
        <v>2732</v>
      </c>
    </row>
    <row r="94" spans="1:8">
      <c r="A94" s="2">
        <v>45705</v>
      </c>
      <c r="B94" t="s">
        <v>201</v>
      </c>
      <c r="C94">
        <v>8.8000000000000007</v>
      </c>
      <c r="D94" t="s">
        <v>209</v>
      </c>
      <c r="E94">
        <v>9.1999999999999993</v>
      </c>
      <c r="F94" t="s">
        <v>202</v>
      </c>
      <c r="G94" t="s">
        <v>213</v>
      </c>
      <c r="H94" t="s">
        <v>2733</v>
      </c>
    </row>
    <row r="95" spans="1:8">
      <c r="A95" s="2">
        <v>45705</v>
      </c>
      <c r="B95" t="s">
        <v>203</v>
      </c>
      <c r="C95">
        <v>17.8</v>
      </c>
      <c r="D95" t="s">
        <v>212</v>
      </c>
      <c r="E95">
        <v>17.100000000000001</v>
      </c>
      <c r="F95" t="s">
        <v>204</v>
      </c>
      <c r="G95" t="s">
        <v>203</v>
      </c>
      <c r="H95" t="s">
        <v>2734</v>
      </c>
    </row>
    <row r="96" spans="1:8">
      <c r="A96" s="2">
        <v>45705</v>
      </c>
      <c r="B96" t="s">
        <v>205</v>
      </c>
      <c r="C96">
        <v>5.2</v>
      </c>
      <c r="D96" t="s">
        <v>211</v>
      </c>
      <c r="E96">
        <v>5.2</v>
      </c>
      <c r="F96" t="s">
        <v>206</v>
      </c>
      <c r="G96" t="s">
        <v>214</v>
      </c>
      <c r="H96" t="s">
        <v>2735</v>
      </c>
    </row>
    <row r="97" spans="1:8">
      <c r="A97" s="2">
        <v>45705</v>
      </c>
      <c r="B97" t="s">
        <v>207</v>
      </c>
      <c r="C97">
        <v>15</v>
      </c>
      <c r="D97" t="s">
        <v>210</v>
      </c>
      <c r="E97">
        <v>14.5</v>
      </c>
      <c r="F97" t="s">
        <v>208</v>
      </c>
      <c r="G97" t="s">
        <v>215</v>
      </c>
      <c r="H97" t="s">
        <v>2736</v>
      </c>
    </row>
    <row r="98" spans="1:8">
      <c r="A98" s="2">
        <v>45705</v>
      </c>
      <c r="B98" t="s">
        <v>217</v>
      </c>
      <c r="C98">
        <v>20.9</v>
      </c>
      <c r="D98" t="s">
        <v>219</v>
      </c>
      <c r="E98">
        <v>20.9</v>
      </c>
      <c r="F98" t="s">
        <v>218</v>
      </c>
      <c r="G98" t="s">
        <v>2610</v>
      </c>
      <c r="H98" t="s">
        <v>2737</v>
      </c>
    </row>
    <row r="99" spans="1:8">
      <c r="A99" s="2">
        <v>45705</v>
      </c>
      <c r="B99" t="s">
        <v>225</v>
      </c>
      <c r="C99">
        <v>10.6</v>
      </c>
      <c r="D99" t="s">
        <v>244</v>
      </c>
      <c r="E99">
        <v>10.9</v>
      </c>
      <c r="F99" t="s">
        <v>226</v>
      </c>
      <c r="G99" t="s">
        <v>228</v>
      </c>
      <c r="H99" t="s">
        <v>2738</v>
      </c>
    </row>
    <row r="100" spans="1:8">
      <c r="A100" s="2">
        <v>45705</v>
      </c>
      <c r="B100" t="s">
        <v>248</v>
      </c>
      <c r="C100">
        <v>13.4</v>
      </c>
      <c r="D100" t="s">
        <v>250</v>
      </c>
      <c r="E100">
        <v>13.1</v>
      </c>
      <c r="F100" t="s">
        <v>249</v>
      </c>
      <c r="G100" t="s">
        <v>251</v>
      </c>
      <c r="H100" t="s">
        <v>2739</v>
      </c>
    </row>
    <row r="101" spans="1:8">
      <c r="A101" s="2">
        <v>45705</v>
      </c>
      <c r="B101" t="s">
        <v>259</v>
      </c>
      <c r="C101">
        <v>0.9</v>
      </c>
      <c r="D101" t="s">
        <v>261</v>
      </c>
      <c r="E101">
        <v>1.2</v>
      </c>
      <c r="F101" t="s">
        <v>262</v>
      </c>
      <c r="G101" t="s">
        <v>260</v>
      </c>
      <c r="H101" t="s">
        <v>2740</v>
      </c>
    </row>
    <row r="102" spans="1:8">
      <c r="A102" s="2">
        <v>45705</v>
      </c>
      <c r="B102" t="s">
        <v>264</v>
      </c>
      <c r="C102">
        <v>18.899999999999999</v>
      </c>
      <c r="D102" t="s">
        <v>266</v>
      </c>
      <c r="E102">
        <v>18.899999999999999</v>
      </c>
      <c r="F102" t="s">
        <v>265</v>
      </c>
      <c r="G102" t="s">
        <v>267</v>
      </c>
      <c r="H102" t="s">
        <v>2741</v>
      </c>
    </row>
    <row r="103" spans="1:8">
      <c r="A103" s="2">
        <v>45705</v>
      </c>
      <c r="B103" t="s">
        <v>271</v>
      </c>
      <c r="C103">
        <v>16.399999999999999</v>
      </c>
      <c r="D103" t="s">
        <v>269</v>
      </c>
      <c r="E103">
        <v>15.9</v>
      </c>
      <c r="F103" t="s">
        <v>268</v>
      </c>
      <c r="G103" t="s">
        <v>270</v>
      </c>
      <c r="H103" t="s">
        <v>2742</v>
      </c>
    </row>
    <row r="104" spans="1:8">
      <c r="A104" s="2">
        <v>45705</v>
      </c>
      <c r="B104" t="s">
        <v>293</v>
      </c>
      <c r="C104">
        <v>15.1</v>
      </c>
      <c r="D104" t="s">
        <v>373</v>
      </c>
      <c r="E104">
        <v>15.1</v>
      </c>
      <c r="F104" t="s">
        <v>381</v>
      </c>
      <c r="G104" t="s">
        <v>287</v>
      </c>
      <c r="H104" t="s">
        <v>2743</v>
      </c>
    </row>
    <row r="105" spans="1:8">
      <c r="A105" s="2">
        <v>45705</v>
      </c>
      <c r="B105" t="s">
        <v>291</v>
      </c>
      <c r="C105">
        <v>1.3</v>
      </c>
      <c r="D105" t="s">
        <v>2637</v>
      </c>
      <c r="E105">
        <v>1.3</v>
      </c>
      <c r="F105" t="s">
        <v>431</v>
      </c>
      <c r="G105" t="s">
        <v>286</v>
      </c>
      <c r="H105" t="s">
        <v>2744</v>
      </c>
    </row>
    <row r="106" spans="1:8">
      <c r="A106" s="2">
        <v>45705</v>
      </c>
      <c r="B106" t="s">
        <v>297</v>
      </c>
      <c r="C106">
        <v>19.2</v>
      </c>
      <c r="D106" t="s">
        <v>296</v>
      </c>
      <c r="E106">
        <v>18.600000000000001</v>
      </c>
      <c r="F106" t="s">
        <v>382</v>
      </c>
      <c r="G106" t="s">
        <v>297</v>
      </c>
      <c r="H106" t="s">
        <v>2745</v>
      </c>
    </row>
    <row r="107" spans="1:8">
      <c r="A107" s="2">
        <v>45705</v>
      </c>
      <c r="B107" t="s">
        <v>326</v>
      </c>
      <c r="C107">
        <v>8.8000000000000007</v>
      </c>
      <c r="D107" t="s">
        <v>331</v>
      </c>
      <c r="E107">
        <v>9.8000000000000007</v>
      </c>
      <c r="F107" t="s">
        <v>327</v>
      </c>
      <c r="G107" t="s">
        <v>330</v>
      </c>
      <c r="H107" t="s">
        <v>2746</v>
      </c>
    </row>
    <row r="108" spans="1:8">
      <c r="A108" s="2">
        <v>45705</v>
      </c>
      <c r="B108" t="s">
        <v>328</v>
      </c>
      <c r="C108">
        <v>10.5</v>
      </c>
      <c r="D108" t="s">
        <v>332</v>
      </c>
      <c r="E108">
        <v>10.1</v>
      </c>
      <c r="F108" t="s">
        <v>329</v>
      </c>
      <c r="G108" t="s">
        <v>333</v>
      </c>
      <c r="H108" t="s">
        <v>2747</v>
      </c>
    </row>
    <row r="109" spans="1:8">
      <c r="A109" s="2">
        <v>45705</v>
      </c>
      <c r="B109" t="s">
        <v>375</v>
      </c>
      <c r="C109">
        <v>11</v>
      </c>
      <c r="D109" t="s">
        <v>377</v>
      </c>
      <c r="E109">
        <v>10.199999999999999</v>
      </c>
      <c r="F109" t="s">
        <v>376</v>
      </c>
      <c r="G109" t="s">
        <v>375</v>
      </c>
      <c r="H109" t="s">
        <v>2748</v>
      </c>
    </row>
    <row r="110" spans="1:8">
      <c r="A110" s="2">
        <v>45705</v>
      </c>
      <c r="B110" t="s">
        <v>388</v>
      </c>
      <c r="C110">
        <v>25.7</v>
      </c>
      <c r="D110" t="s">
        <v>389</v>
      </c>
      <c r="E110">
        <v>25.5</v>
      </c>
      <c r="F110" t="s">
        <v>391</v>
      </c>
      <c r="G110" t="s">
        <v>390</v>
      </c>
      <c r="H110" t="s">
        <v>2749</v>
      </c>
    </row>
    <row r="111" spans="1:8">
      <c r="A111" s="2">
        <v>45705</v>
      </c>
      <c r="B111" t="s">
        <v>2469</v>
      </c>
      <c r="C111">
        <v>6.5</v>
      </c>
      <c r="D111" t="s">
        <v>2550</v>
      </c>
      <c r="E111">
        <v>6.5</v>
      </c>
      <c r="F111" t="s">
        <v>2470</v>
      </c>
      <c r="G111" t="s">
        <v>2472</v>
      </c>
      <c r="H111" t="s">
        <v>2750</v>
      </c>
    </row>
    <row r="112" spans="1:8">
      <c r="A112" s="2">
        <v>45705</v>
      </c>
      <c r="B112" t="s">
        <v>2473</v>
      </c>
      <c r="C112">
        <v>13.9</v>
      </c>
      <c r="D112" t="s">
        <v>2475</v>
      </c>
      <c r="E112">
        <v>13.9</v>
      </c>
      <c r="F112" t="s">
        <v>2474</v>
      </c>
      <c r="G112" t="s">
        <v>2473</v>
      </c>
      <c r="H112" t="s">
        <v>2751</v>
      </c>
    </row>
    <row r="113" spans="1:8">
      <c r="A113" s="2">
        <v>45705</v>
      </c>
      <c r="B113" t="s">
        <v>2516</v>
      </c>
      <c r="C113">
        <v>16.5</v>
      </c>
      <c r="D113" t="s">
        <v>2518</v>
      </c>
      <c r="E113">
        <v>16.600000000000001</v>
      </c>
      <c r="F113" t="s">
        <v>2517</v>
      </c>
      <c r="G113" t="s">
        <v>2519</v>
      </c>
      <c r="H113" t="s">
        <v>2752</v>
      </c>
    </row>
    <row r="114" spans="1:8">
      <c r="A114" s="2">
        <v>45705</v>
      </c>
      <c r="B114" t="s">
        <v>2561</v>
      </c>
      <c r="C114">
        <v>20.3</v>
      </c>
      <c r="D114" t="s">
        <v>2563</v>
      </c>
      <c r="E114">
        <v>20.2</v>
      </c>
      <c r="F114" t="s">
        <v>2562</v>
      </c>
      <c r="G114" t="s">
        <v>2564</v>
      </c>
      <c r="H114" t="s">
        <v>2753</v>
      </c>
    </row>
    <row r="115" spans="1:8">
      <c r="A115" s="2">
        <v>45705</v>
      </c>
      <c r="B115" t="s">
        <v>2603</v>
      </c>
      <c r="C115">
        <v>7.3</v>
      </c>
      <c r="D115" t="s">
        <v>2604</v>
      </c>
      <c r="E115">
        <v>7.3</v>
      </c>
      <c r="F115" t="s">
        <v>2605</v>
      </c>
      <c r="G115" t="s">
        <v>2603</v>
      </c>
      <c r="H115" t="s">
        <v>2754</v>
      </c>
    </row>
    <row r="116" spans="1:8">
      <c r="A116" s="2">
        <v>45705</v>
      </c>
      <c r="B116" t="s">
        <v>2606</v>
      </c>
      <c r="C116">
        <v>8.8000000000000007</v>
      </c>
      <c r="D116" t="s">
        <v>2607</v>
      </c>
      <c r="E116">
        <v>11.2</v>
      </c>
      <c r="F116" t="s">
        <v>292</v>
      </c>
      <c r="G116" t="s">
        <v>2606</v>
      </c>
      <c r="H116" t="s">
        <v>2755</v>
      </c>
    </row>
    <row r="117" spans="1:8">
      <c r="A117" s="2">
        <v>45713</v>
      </c>
      <c r="B117" t="s">
        <v>3</v>
      </c>
      <c r="C117">
        <v>4.7</v>
      </c>
      <c r="D117" t="s">
        <v>61</v>
      </c>
      <c r="E117">
        <v>4.7</v>
      </c>
      <c r="F117" t="s">
        <v>4</v>
      </c>
      <c r="G117" t="s">
        <v>102</v>
      </c>
      <c r="H117" t="s">
        <v>2756</v>
      </c>
    </row>
    <row r="118" spans="1:8">
      <c r="A118" s="2">
        <v>45713</v>
      </c>
      <c r="B118" t="s">
        <v>6</v>
      </c>
      <c r="C118">
        <v>6.8</v>
      </c>
      <c r="D118" t="s">
        <v>60</v>
      </c>
      <c r="E118">
        <v>6.8</v>
      </c>
      <c r="F118" t="s">
        <v>7</v>
      </c>
      <c r="G118" t="s">
        <v>103</v>
      </c>
      <c r="H118" t="s">
        <v>2757</v>
      </c>
    </row>
    <row r="119" spans="1:8">
      <c r="A119" s="2">
        <v>45713</v>
      </c>
      <c r="B119" t="s">
        <v>9</v>
      </c>
      <c r="C119">
        <v>12.3</v>
      </c>
      <c r="D119" t="s">
        <v>55</v>
      </c>
      <c r="E119">
        <v>12.3</v>
      </c>
      <c r="F119" t="s">
        <v>10</v>
      </c>
      <c r="G119" t="s">
        <v>104</v>
      </c>
      <c r="H119" t="s">
        <v>2758</v>
      </c>
    </row>
    <row r="120" spans="1:8">
      <c r="A120" s="2">
        <v>45713</v>
      </c>
      <c r="B120" t="s">
        <v>12</v>
      </c>
      <c r="C120">
        <v>15.7</v>
      </c>
      <c r="D120" t="s">
        <v>57</v>
      </c>
      <c r="E120">
        <v>15.7</v>
      </c>
      <c r="F120" t="s">
        <v>13</v>
      </c>
      <c r="G120" t="s">
        <v>112</v>
      </c>
      <c r="H120" t="s">
        <v>2759</v>
      </c>
    </row>
    <row r="121" spans="1:8">
      <c r="A121" s="2">
        <v>45713</v>
      </c>
      <c r="B121" t="s">
        <v>15</v>
      </c>
      <c r="C121">
        <v>6.4</v>
      </c>
      <c r="D121" t="s">
        <v>54</v>
      </c>
      <c r="E121">
        <v>6</v>
      </c>
      <c r="F121" t="s">
        <v>16</v>
      </c>
      <c r="G121" t="s">
        <v>105</v>
      </c>
      <c r="H121" t="s">
        <v>2760</v>
      </c>
    </row>
    <row r="122" spans="1:8">
      <c r="A122" s="2">
        <v>45713</v>
      </c>
      <c r="B122" t="s">
        <v>18</v>
      </c>
      <c r="C122">
        <v>6.8</v>
      </c>
      <c r="D122" t="s">
        <v>114</v>
      </c>
      <c r="E122">
        <v>7</v>
      </c>
      <c r="F122" t="s">
        <v>19</v>
      </c>
      <c r="G122" t="s">
        <v>113</v>
      </c>
      <c r="H122" t="s">
        <v>2761</v>
      </c>
    </row>
    <row r="123" spans="1:8">
      <c r="A123" s="2">
        <v>45713</v>
      </c>
      <c r="B123" t="s">
        <v>20</v>
      </c>
      <c r="C123">
        <v>19.3</v>
      </c>
      <c r="D123" t="s">
        <v>59</v>
      </c>
      <c r="E123">
        <v>19.3</v>
      </c>
      <c r="F123" t="s">
        <v>21</v>
      </c>
      <c r="G123" t="s">
        <v>2609</v>
      </c>
      <c r="H123" t="s">
        <v>2762</v>
      </c>
    </row>
    <row r="124" spans="1:8">
      <c r="A124" s="2">
        <v>45713</v>
      </c>
      <c r="B124" t="s">
        <v>23</v>
      </c>
      <c r="C124">
        <v>19.5</v>
      </c>
      <c r="D124" t="s">
        <v>120</v>
      </c>
      <c r="E124">
        <v>19.600000000000001</v>
      </c>
      <c r="F124" t="s">
        <v>24</v>
      </c>
      <c r="G124" t="s">
        <v>107</v>
      </c>
      <c r="H124" t="s">
        <v>2763</v>
      </c>
    </row>
    <row r="125" spans="1:8">
      <c r="A125" s="2">
        <v>45713</v>
      </c>
      <c r="B125" t="s">
        <v>25</v>
      </c>
      <c r="C125">
        <v>15.2</v>
      </c>
      <c r="D125" t="s">
        <v>252</v>
      </c>
      <c r="E125">
        <v>15.2</v>
      </c>
      <c r="F125" t="s">
        <v>26</v>
      </c>
      <c r="G125" t="s">
        <v>115</v>
      </c>
      <c r="H125" t="s">
        <v>2764</v>
      </c>
    </row>
    <row r="126" spans="1:8">
      <c r="A126" s="2">
        <v>45713</v>
      </c>
      <c r="B126" t="s">
        <v>30</v>
      </c>
      <c r="C126">
        <v>14.3</v>
      </c>
      <c r="D126" t="s">
        <v>56</v>
      </c>
      <c r="E126">
        <v>14.3</v>
      </c>
      <c r="F126" t="s">
        <v>31</v>
      </c>
      <c r="G126" t="s">
        <v>108</v>
      </c>
      <c r="H126" t="s">
        <v>2765</v>
      </c>
    </row>
    <row r="127" spans="1:8">
      <c r="A127" s="2">
        <v>45713</v>
      </c>
      <c r="B127" t="s">
        <v>33</v>
      </c>
      <c r="C127">
        <v>8.5</v>
      </c>
      <c r="D127" t="s">
        <v>343</v>
      </c>
      <c r="E127">
        <v>8.6999999999999993</v>
      </c>
      <c r="F127" t="s">
        <v>34</v>
      </c>
      <c r="G127" t="s">
        <v>109</v>
      </c>
      <c r="H127" t="s">
        <v>2766</v>
      </c>
    </row>
    <row r="128" spans="1:8">
      <c r="A128" s="2">
        <v>45713</v>
      </c>
      <c r="B128" t="s">
        <v>35</v>
      </c>
      <c r="C128">
        <v>19.399999999999999</v>
      </c>
      <c r="D128" t="s">
        <v>63</v>
      </c>
      <c r="E128">
        <v>19.399999999999999</v>
      </c>
      <c r="F128" t="s">
        <v>36</v>
      </c>
      <c r="G128" t="s">
        <v>110</v>
      </c>
      <c r="H128" t="s">
        <v>2767</v>
      </c>
    </row>
    <row r="129" spans="1:8">
      <c r="A129" s="2">
        <v>45713</v>
      </c>
      <c r="B129" t="s">
        <v>41</v>
      </c>
      <c r="C129">
        <v>21.8</v>
      </c>
      <c r="D129" t="s">
        <v>254</v>
      </c>
      <c r="E129">
        <v>21.9</v>
      </c>
      <c r="F129" t="s">
        <v>42</v>
      </c>
      <c r="G129" t="s">
        <v>117</v>
      </c>
      <c r="H129" t="s">
        <v>2768</v>
      </c>
    </row>
    <row r="130" spans="1:8">
      <c r="A130" s="2">
        <v>45713</v>
      </c>
      <c r="B130" t="s">
        <v>46</v>
      </c>
      <c r="C130">
        <v>17.7</v>
      </c>
      <c r="D130" t="s">
        <v>62</v>
      </c>
      <c r="E130">
        <v>18.399999999999999</v>
      </c>
      <c r="F130" t="s">
        <v>47</v>
      </c>
      <c r="G130" t="s">
        <v>106</v>
      </c>
      <c r="H130" t="s">
        <v>2769</v>
      </c>
    </row>
    <row r="131" spans="1:8">
      <c r="A131" s="2">
        <v>45713</v>
      </c>
      <c r="B131" t="s">
        <v>49</v>
      </c>
      <c r="C131">
        <v>14.3</v>
      </c>
      <c r="D131" t="s">
        <v>58</v>
      </c>
      <c r="E131">
        <v>14.4</v>
      </c>
      <c r="F131" t="s">
        <v>50</v>
      </c>
      <c r="G131" t="s">
        <v>111</v>
      </c>
      <c r="H131" t="s">
        <v>2770</v>
      </c>
    </row>
    <row r="132" spans="1:8">
      <c r="A132" s="2">
        <v>45713</v>
      </c>
      <c r="B132" t="s">
        <v>135</v>
      </c>
      <c r="C132">
        <v>18.5</v>
      </c>
      <c r="D132" t="s">
        <v>134</v>
      </c>
      <c r="E132">
        <v>18.5</v>
      </c>
      <c r="F132" t="s">
        <v>123</v>
      </c>
      <c r="G132" t="s">
        <v>132</v>
      </c>
      <c r="H132" t="s">
        <v>2771</v>
      </c>
    </row>
    <row r="133" spans="1:8">
      <c r="A133" s="2">
        <v>45713</v>
      </c>
      <c r="B133" t="s">
        <v>201</v>
      </c>
      <c r="C133">
        <v>8.8000000000000007</v>
      </c>
      <c r="D133" t="s">
        <v>209</v>
      </c>
      <c r="E133">
        <v>9.1999999999999993</v>
      </c>
      <c r="F133" t="s">
        <v>202</v>
      </c>
      <c r="G133" t="s">
        <v>213</v>
      </c>
      <c r="H133" t="s">
        <v>2772</v>
      </c>
    </row>
    <row r="134" spans="1:8">
      <c r="A134" s="2">
        <v>45713</v>
      </c>
      <c r="B134" t="s">
        <v>203</v>
      </c>
      <c r="C134">
        <v>17.8</v>
      </c>
      <c r="D134" t="s">
        <v>212</v>
      </c>
      <c r="E134">
        <v>17.100000000000001</v>
      </c>
      <c r="F134" t="s">
        <v>204</v>
      </c>
      <c r="G134" t="s">
        <v>203</v>
      </c>
      <c r="H134" t="s">
        <v>2773</v>
      </c>
    </row>
    <row r="135" spans="1:8">
      <c r="A135" s="2">
        <v>45713</v>
      </c>
      <c r="B135" t="s">
        <v>205</v>
      </c>
      <c r="C135">
        <v>5.2</v>
      </c>
      <c r="D135" t="s">
        <v>211</v>
      </c>
      <c r="E135">
        <v>5.2</v>
      </c>
      <c r="F135" t="s">
        <v>206</v>
      </c>
      <c r="G135" t="s">
        <v>214</v>
      </c>
      <c r="H135" t="s">
        <v>2774</v>
      </c>
    </row>
    <row r="136" spans="1:8">
      <c r="A136" s="2">
        <v>45713</v>
      </c>
      <c r="B136" t="s">
        <v>207</v>
      </c>
      <c r="C136">
        <v>15</v>
      </c>
      <c r="D136" t="s">
        <v>210</v>
      </c>
      <c r="E136">
        <v>14.5</v>
      </c>
      <c r="F136" t="s">
        <v>208</v>
      </c>
      <c r="G136" t="s">
        <v>215</v>
      </c>
      <c r="H136" t="s">
        <v>2775</v>
      </c>
    </row>
    <row r="137" spans="1:8">
      <c r="A137" s="2">
        <v>45713</v>
      </c>
      <c r="B137" t="s">
        <v>217</v>
      </c>
      <c r="C137">
        <v>20.9</v>
      </c>
      <c r="D137" t="s">
        <v>219</v>
      </c>
      <c r="E137">
        <v>20.9</v>
      </c>
      <c r="F137" t="s">
        <v>218</v>
      </c>
      <c r="G137" t="s">
        <v>2610</v>
      </c>
      <c r="H137" t="s">
        <v>2776</v>
      </c>
    </row>
    <row r="138" spans="1:8">
      <c r="A138" s="2">
        <v>45713</v>
      </c>
      <c r="B138" t="s">
        <v>225</v>
      </c>
      <c r="C138">
        <v>10.6</v>
      </c>
      <c r="D138" t="s">
        <v>244</v>
      </c>
      <c r="E138">
        <v>10.9</v>
      </c>
      <c r="F138" t="s">
        <v>226</v>
      </c>
      <c r="G138" t="s">
        <v>228</v>
      </c>
      <c r="H138" t="s">
        <v>2777</v>
      </c>
    </row>
    <row r="139" spans="1:8">
      <c r="A139" s="2">
        <v>45713</v>
      </c>
      <c r="B139" t="s">
        <v>248</v>
      </c>
      <c r="C139">
        <v>13.4</v>
      </c>
      <c r="D139" t="s">
        <v>250</v>
      </c>
      <c r="E139">
        <v>13.1</v>
      </c>
      <c r="F139" t="s">
        <v>249</v>
      </c>
      <c r="G139" t="s">
        <v>251</v>
      </c>
      <c r="H139" t="s">
        <v>2778</v>
      </c>
    </row>
    <row r="140" spans="1:8">
      <c r="A140" s="2">
        <v>45713</v>
      </c>
      <c r="B140" t="s">
        <v>259</v>
      </c>
      <c r="C140">
        <v>0.9</v>
      </c>
      <c r="D140" t="s">
        <v>261</v>
      </c>
      <c r="E140">
        <v>1.2</v>
      </c>
      <c r="F140" t="s">
        <v>262</v>
      </c>
      <c r="G140" t="s">
        <v>260</v>
      </c>
      <c r="H140" t="s">
        <v>2779</v>
      </c>
    </row>
    <row r="141" spans="1:8">
      <c r="A141" s="2">
        <v>45713</v>
      </c>
      <c r="B141" t="s">
        <v>264</v>
      </c>
      <c r="C141">
        <v>18.899999999999999</v>
      </c>
      <c r="D141" t="s">
        <v>266</v>
      </c>
      <c r="E141">
        <v>18.899999999999999</v>
      </c>
      <c r="F141" t="s">
        <v>265</v>
      </c>
      <c r="G141" t="s">
        <v>267</v>
      </c>
      <c r="H141" t="s">
        <v>2780</v>
      </c>
    </row>
    <row r="142" spans="1:8">
      <c r="A142" s="2">
        <v>45713</v>
      </c>
      <c r="B142" t="s">
        <v>271</v>
      </c>
      <c r="C142">
        <v>16.399999999999999</v>
      </c>
      <c r="D142" t="s">
        <v>269</v>
      </c>
      <c r="E142">
        <v>15.9</v>
      </c>
      <c r="F142" t="s">
        <v>268</v>
      </c>
      <c r="G142" t="s">
        <v>270</v>
      </c>
      <c r="H142" t="s">
        <v>2781</v>
      </c>
    </row>
    <row r="143" spans="1:8">
      <c r="A143" s="2">
        <v>45713</v>
      </c>
      <c r="B143" t="s">
        <v>293</v>
      </c>
      <c r="C143">
        <v>15.1</v>
      </c>
      <c r="D143" t="s">
        <v>373</v>
      </c>
      <c r="E143">
        <v>15.1</v>
      </c>
      <c r="F143" t="s">
        <v>381</v>
      </c>
      <c r="G143" t="s">
        <v>287</v>
      </c>
      <c r="H143" t="s">
        <v>2782</v>
      </c>
    </row>
    <row r="144" spans="1:8">
      <c r="A144" s="2">
        <v>45713</v>
      </c>
      <c r="B144" t="s">
        <v>291</v>
      </c>
      <c r="C144">
        <v>1.3</v>
      </c>
      <c r="D144" t="s">
        <v>2637</v>
      </c>
      <c r="E144">
        <v>1.3</v>
      </c>
      <c r="F144" t="s">
        <v>431</v>
      </c>
      <c r="G144" t="s">
        <v>286</v>
      </c>
      <c r="H144" t="s">
        <v>2783</v>
      </c>
    </row>
    <row r="145" spans="1:8">
      <c r="A145" s="2">
        <v>45713</v>
      </c>
      <c r="B145" t="s">
        <v>297</v>
      </c>
      <c r="C145">
        <v>19.2</v>
      </c>
      <c r="D145" t="s">
        <v>296</v>
      </c>
      <c r="E145">
        <v>18.600000000000001</v>
      </c>
      <c r="F145" t="s">
        <v>382</v>
      </c>
      <c r="G145" t="s">
        <v>297</v>
      </c>
      <c r="H145" t="s">
        <v>2784</v>
      </c>
    </row>
    <row r="146" spans="1:8">
      <c r="A146" s="2">
        <v>45713</v>
      </c>
      <c r="B146" t="s">
        <v>326</v>
      </c>
      <c r="C146">
        <v>8.8000000000000007</v>
      </c>
      <c r="D146" t="s">
        <v>331</v>
      </c>
      <c r="E146">
        <v>9.8000000000000007</v>
      </c>
      <c r="F146" t="s">
        <v>327</v>
      </c>
      <c r="G146" t="s">
        <v>330</v>
      </c>
      <c r="H146" t="s">
        <v>2785</v>
      </c>
    </row>
    <row r="147" spans="1:8">
      <c r="A147" s="2">
        <v>45713</v>
      </c>
      <c r="B147" t="s">
        <v>328</v>
      </c>
      <c r="C147">
        <v>10.5</v>
      </c>
      <c r="D147" t="s">
        <v>332</v>
      </c>
      <c r="E147">
        <v>10.1</v>
      </c>
      <c r="F147" t="s">
        <v>329</v>
      </c>
      <c r="G147" t="s">
        <v>333</v>
      </c>
      <c r="H147" t="s">
        <v>2786</v>
      </c>
    </row>
    <row r="148" spans="1:8">
      <c r="A148" s="2">
        <v>45713</v>
      </c>
      <c r="B148" t="s">
        <v>375</v>
      </c>
      <c r="C148">
        <v>11</v>
      </c>
      <c r="D148" t="s">
        <v>377</v>
      </c>
      <c r="E148">
        <v>10.199999999999999</v>
      </c>
      <c r="F148" t="s">
        <v>376</v>
      </c>
      <c r="G148" t="s">
        <v>375</v>
      </c>
      <c r="H148" t="s">
        <v>2787</v>
      </c>
    </row>
    <row r="149" spans="1:8">
      <c r="A149" s="2">
        <v>45713</v>
      </c>
      <c r="B149" t="s">
        <v>388</v>
      </c>
      <c r="C149">
        <v>25.7</v>
      </c>
      <c r="D149" t="s">
        <v>389</v>
      </c>
      <c r="E149">
        <v>25.5</v>
      </c>
      <c r="F149" t="s">
        <v>391</v>
      </c>
      <c r="G149" t="s">
        <v>390</v>
      </c>
      <c r="H149" t="s">
        <v>2788</v>
      </c>
    </row>
    <row r="150" spans="1:8">
      <c r="A150" s="2">
        <v>45713</v>
      </c>
      <c r="B150" t="s">
        <v>2469</v>
      </c>
      <c r="C150">
        <v>6.3</v>
      </c>
      <c r="D150" t="s">
        <v>2550</v>
      </c>
      <c r="E150">
        <v>6.5</v>
      </c>
      <c r="F150" t="s">
        <v>2470</v>
      </c>
      <c r="G150" t="s">
        <v>2472</v>
      </c>
      <c r="H150" t="s">
        <v>2789</v>
      </c>
    </row>
    <row r="151" spans="1:8">
      <c r="A151" s="2">
        <v>45713</v>
      </c>
      <c r="B151" t="s">
        <v>2473</v>
      </c>
      <c r="C151">
        <v>13.9</v>
      </c>
      <c r="D151" t="s">
        <v>2475</v>
      </c>
      <c r="E151">
        <v>13.9</v>
      </c>
      <c r="F151" t="s">
        <v>2474</v>
      </c>
      <c r="G151" t="s">
        <v>2473</v>
      </c>
      <c r="H151" t="s">
        <v>2790</v>
      </c>
    </row>
    <row r="152" spans="1:8">
      <c r="A152" s="2">
        <v>45713</v>
      </c>
      <c r="B152" t="s">
        <v>2516</v>
      </c>
      <c r="C152">
        <v>16.5</v>
      </c>
      <c r="D152" t="s">
        <v>2518</v>
      </c>
      <c r="E152">
        <v>16.5</v>
      </c>
      <c r="F152" t="s">
        <v>2517</v>
      </c>
      <c r="G152" t="s">
        <v>2519</v>
      </c>
      <c r="H152" t="s">
        <v>2791</v>
      </c>
    </row>
    <row r="153" spans="1:8">
      <c r="A153" s="2">
        <v>45713</v>
      </c>
      <c r="B153" t="s">
        <v>2561</v>
      </c>
      <c r="C153">
        <v>20.6</v>
      </c>
      <c r="D153" t="s">
        <v>2563</v>
      </c>
      <c r="E153">
        <v>20.3</v>
      </c>
      <c r="F153" t="s">
        <v>2562</v>
      </c>
      <c r="G153" t="s">
        <v>2564</v>
      </c>
      <c r="H153" t="s">
        <v>2792</v>
      </c>
    </row>
    <row r="154" spans="1:8">
      <c r="A154" s="2">
        <v>45713</v>
      </c>
      <c r="B154" t="s">
        <v>2603</v>
      </c>
      <c r="C154">
        <v>7.2</v>
      </c>
      <c r="D154" t="s">
        <v>2604</v>
      </c>
      <c r="E154">
        <v>7.3</v>
      </c>
      <c r="F154" t="s">
        <v>2605</v>
      </c>
      <c r="G154" t="s">
        <v>2603</v>
      </c>
      <c r="H154" t="s">
        <v>2793</v>
      </c>
    </row>
    <row r="155" spans="1:8">
      <c r="A155" s="2">
        <v>45713</v>
      </c>
      <c r="B155" t="s">
        <v>2606</v>
      </c>
      <c r="C155">
        <v>8.8000000000000007</v>
      </c>
      <c r="D155" t="s">
        <v>2607</v>
      </c>
      <c r="E155">
        <v>11.2</v>
      </c>
      <c r="F155" t="s">
        <v>292</v>
      </c>
      <c r="G155" t="s">
        <v>2606</v>
      </c>
      <c r="H155" t="s">
        <v>2794</v>
      </c>
    </row>
    <row r="156" spans="1:8">
      <c r="A156" s="2">
        <v>45731</v>
      </c>
      <c r="B156" t="s">
        <v>3</v>
      </c>
      <c r="C156">
        <v>4.7</v>
      </c>
      <c r="D156" t="s">
        <v>61</v>
      </c>
      <c r="E156">
        <v>4.7</v>
      </c>
      <c r="F156" t="s">
        <v>4</v>
      </c>
      <c r="G156" t="s">
        <v>102</v>
      </c>
      <c r="H156" t="s">
        <v>2795</v>
      </c>
    </row>
    <row r="157" spans="1:8">
      <c r="A157" s="2">
        <v>45731</v>
      </c>
      <c r="B157" t="s">
        <v>6</v>
      </c>
      <c r="C157">
        <v>6.8</v>
      </c>
      <c r="D157" t="s">
        <v>60</v>
      </c>
      <c r="E157">
        <v>6.8</v>
      </c>
      <c r="F157" t="s">
        <v>7</v>
      </c>
      <c r="G157" t="s">
        <v>103</v>
      </c>
      <c r="H157" t="s">
        <v>2796</v>
      </c>
    </row>
    <row r="158" spans="1:8">
      <c r="A158" s="2">
        <v>45731</v>
      </c>
      <c r="B158" t="s">
        <v>9</v>
      </c>
      <c r="C158">
        <v>12.3</v>
      </c>
      <c r="D158" t="s">
        <v>55</v>
      </c>
      <c r="E158">
        <v>12.3</v>
      </c>
      <c r="F158" t="s">
        <v>10</v>
      </c>
      <c r="G158" t="s">
        <v>104</v>
      </c>
      <c r="H158" t="s">
        <v>2797</v>
      </c>
    </row>
    <row r="159" spans="1:8">
      <c r="A159" s="2">
        <v>45731</v>
      </c>
      <c r="B159" t="s">
        <v>12</v>
      </c>
      <c r="C159">
        <v>15.9</v>
      </c>
      <c r="D159" t="s">
        <v>57</v>
      </c>
      <c r="E159">
        <v>15.7</v>
      </c>
      <c r="F159" t="s">
        <v>13</v>
      </c>
      <c r="G159" t="s">
        <v>112</v>
      </c>
      <c r="H159" t="s">
        <v>2798</v>
      </c>
    </row>
    <row r="160" spans="1:8">
      <c r="A160" s="2">
        <v>45731</v>
      </c>
      <c r="B160" t="s">
        <v>15</v>
      </c>
      <c r="C160">
        <v>6.4</v>
      </c>
      <c r="D160" t="s">
        <v>54</v>
      </c>
      <c r="E160">
        <v>6.4</v>
      </c>
      <c r="F160" t="s">
        <v>16</v>
      </c>
      <c r="G160" t="s">
        <v>105</v>
      </c>
      <c r="H160" t="s">
        <v>2799</v>
      </c>
    </row>
    <row r="161" spans="1:8">
      <c r="A161" s="2">
        <v>45731</v>
      </c>
      <c r="B161" t="s">
        <v>18</v>
      </c>
      <c r="C161">
        <v>6.8</v>
      </c>
      <c r="D161" t="s">
        <v>114</v>
      </c>
      <c r="E161">
        <v>6.8</v>
      </c>
      <c r="F161" t="s">
        <v>19</v>
      </c>
      <c r="G161" t="s">
        <v>113</v>
      </c>
      <c r="H161" t="s">
        <v>2800</v>
      </c>
    </row>
    <row r="162" spans="1:8">
      <c r="A162" s="2">
        <v>45731</v>
      </c>
      <c r="B162" t="s">
        <v>20</v>
      </c>
      <c r="C162">
        <v>19.600000000000001</v>
      </c>
      <c r="D162" t="s">
        <v>59</v>
      </c>
      <c r="E162">
        <v>19.3</v>
      </c>
      <c r="F162" t="s">
        <v>21</v>
      </c>
      <c r="G162" t="s">
        <v>2609</v>
      </c>
      <c r="H162" t="s">
        <v>2801</v>
      </c>
    </row>
    <row r="163" spans="1:8">
      <c r="A163" s="2">
        <v>45731</v>
      </c>
      <c r="B163" t="s">
        <v>23</v>
      </c>
      <c r="C163">
        <v>19.5</v>
      </c>
      <c r="D163" t="s">
        <v>120</v>
      </c>
      <c r="E163">
        <v>19.600000000000001</v>
      </c>
      <c r="F163" t="s">
        <v>24</v>
      </c>
      <c r="G163" t="s">
        <v>107</v>
      </c>
      <c r="H163" t="s">
        <v>2802</v>
      </c>
    </row>
    <row r="164" spans="1:8">
      <c r="A164" s="2">
        <v>45731</v>
      </c>
      <c r="B164" t="s">
        <v>25</v>
      </c>
      <c r="C164">
        <v>15.2</v>
      </c>
      <c r="D164" t="s">
        <v>252</v>
      </c>
      <c r="E164">
        <v>15.2</v>
      </c>
      <c r="F164" t="s">
        <v>26</v>
      </c>
      <c r="G164" t="s">
        <v>115</v>
      </c>
      <c r="H164" t="s">
        <v>2803</v>
      </c>
    </row>
    <row r="165" spans="1:8">
      <c r="A165" s="2">
        <v>45731</v>
      </c>
      <c r="B165" t="s">
        <v>30</v>
      </c>
      <c r="C165">
        <v>14.3</v>
      </c>
      <c r="D165" t="s">
        <v>56</v>
      </c>
      <c r="E165">
        <v>14.3</v>
      </c>
      <c r="F165" t="s">
        <v>31</v>
      </c>
      <c r="G165" t="s">
        <v>108</v>
      </c>
      <c r="H165" t="s">
        <v>2804</v>
      </c>
    </row>
    <row r="166" spans="1:8">
      <c r="A166" s="2">
        <v>45731</v>
      </c>
      <c r="B166" t="s">
        <v>33</v>
      </c>
      <c r="C166">
        <v>8.5</v>
      </c>
      <c r="D166" t="s">
        <v>343</v>
      </c>
      <c r="E166">
        <v>8.5</v>
      </c>
      <c r="F166" t="s">
        <v>34</v>
      </c>
      <c r="G166" t="s">
        <v>109</v>
      </c>
      <c r="H166" t="s">
        <v>2805</v>
      </c>
    </row>
    <row r="167" spans="1:8">
      <c r="A167" s="2">
        <v>45731</v>
      </c>
      <c r="B167" t="s">
        <v>35</v>
      </c>
      <c r="C167">
        <v>19.399999999999999</v>
      </c>
      <c r="D167" t="s">
        <v>63</v>
      </c>
      <c r="E167">
        <v>19.399999999999999</v>
      </c>
      <c r="F167" t="s">
        <v>36</v>
      </c>
      <c r="G167" t="s">
        <v>110</v>
      </c>
      <c r="H167" t="s">
        <v>2806</v>
      </c>
    </row>
    <row r="168" spans="1:8">
      <c r="A168" s="2">
        <v>45731</v>
      </c>
      <c r="B168" t="s">
        <v>41</v>
      </c>
      <c r="C168">
        <v>21.8</v>
      </c>
      <c r="D168" t="s">
        <v>254</v>
      </c>
      <c r="E168">
        <v>21.8</v>
      </c>
      <c r="F168" t="s">
        <v>42</v>
      </c>
      <c r="G168" t="s">
        <v>117</v>
      </c>
      <c r="H168" t="s">
        <v>2807</v>
      </c>
    </row>
    <row r="169" spans="1:8">
      <c r="A169" s="2">
        <v>45731</v>
      </c>
      <c r="B169" t="s">
        <v>46</v>
      </c>
      <c r="C169">
        <v>18.2</v>
      </c>
      <c r="D169" t="s">
        <v>62</v>
      </c>
      <c r="E169">
        <v>17.7</v>
      </c>
      <c r="F169" t="s">
        <v>47</v>
      </c>
      <c r="G169" t="s">
        <v>106</v>
      </c>
      <c r="H169" t="s">
        <v>2808</v>
      </c>
    </row>
    <row r="170" spans="1:8">
      <c r="A170" s="2">
        <v>45731</v>
      </c>
      <c r="B170" t="s">
        <v>49</v>
      </c>
      <c r="C170">
        <v>14.3</v>
      </c>
      <c r="D170" t="s">
        <v>58</v>
      </c>
      <c r="E170">
        <v>14.4</v>
      </c>
      <c r="F170" t="s">
        <v>50</v>
      </c>
      <c r="G170" t="s">
        <v>111</v>
      </c>
      <c r="H170" t="s">
        <v>2809</v>
      </c>
    </row>
    <row r="171" spans="1:8">
      <c r="A171" s="2">
        <v>45731</v>
      </c>
      <c r="B171" t="s">
        <v>135</v>
      </c>
      <c r="C171">
        <v>18.5</v>
      </c>
      <c r="D171" t="s">
        <v>134</v>
      </c>
      <c r="E171">
        <v>18.5</v>
      </c>
      <c r="F171" t="s">
        <v>123</v>
      </c>
      <c r="G171" t="s">
        <v>132</v>
      </c>
      <c r="H171" t="s">
        <v>2810</v>
      </c>
    </row>
    <row r="172" spans="1:8">
      <c r="A172" s="2">
        <v>45731</v>
      </c>
      <c r="B172" t="s">
        <v>201</v>
      </c>
      <c r="C172">
        <v>8.8000000000000007</v>
      </c>
      <c r="D172" t="s">
        <v>209</v>
      </c>
      <c r="E172">
        <v>8.8000000000000007</v>
      </c>
      <c r="F172" t="s">
        <v>202</v>
      </c>
      <c r="G172" t="s">
        <v>213</v>
      </c>
      <c r="H172" t="s">
        <v>2811</v>
      </c>
    </row>
    <row r="173" spans="1:8">
      <c r="A173" s="2">
        <v>45731</v>
      </c>
      <c r="B173" t="s">
        <v>203</v>
      </c>
      <c r="C173">
        <v>17.8</v>
      </c>
      <c r="D173" t="s">
        <v>212</v>
      </c>
      <c r="E173">
        <v>17.100000000000001</v>
      </c>
      <c r="F173" t="s">
        <v>204</v>
      </c>
      <c r="G173" t="s">
        <v>203</v>
      </c>
      <c r="H173" t="s">
        <v>2812</v>
      </c>
    </row>
    <row r="174" spans="1:8">
      <c r="A174" s="2">
        <v>45731</v>
      </c>
      <c r="B174" t="s">
        <v>205</v>
      </c>
      <c r="C174">
        <v>5.2</v>
      </c>
      <c r="D174" t="s">
        <v>211</v>
      </c>
      <c r="E174">
        <v>5.2</v>
      </c>
      <c r="F174" t="s">
        <v>206</v>
      </c>
      <c r="G174" t="s">
        <v>214</v>
      </c>
      <c r="H174" t="s">
        <v>2813</v>
      </c>
    </row>
    <row r="175" spans="1:8">
      <c r="A175" s="2">
        <v>45731</v>
      </c>
      <c r="B175" t="s">
        <v>207</v>
      </c>
      <c r="C175">
        <v>15</v>
      </c>
      <c r="D175" t="s">
        <v>210</v>
      </c>
      <c r="E175">
        <v>14.5</v>
      </c>
      <c r="F175" t="s">
        <v>208</v>
      </c>
      <c r="G175" t="s">
        <v>215</v>
      </c>
      <c r="H175" t="s">
        <v>2814</v>
      </c>
    </row>
    <row r="176" spans="1:8">
      <c r="A176" s="2">
        <v>45731</v>
      </c>
      <c r="B176" t="s">
        <v>217</v>
      </c>
      <c r="C176">
        <v>20.9</v>
      </c>
      <c r="D176" t="s">
        <v>219</v>
      </c>
      <c r="E176">
        <v>20.9</v>
      </c>
      <c r="F176" t="s">
        <v>218</v>
      </c>
      <c r="G176" t="s">
        <v>2610</v>
      </c>
      <c r="H176" t="s">
        <v>2815</v>
      </c>
    </row>
    <row r="177" spans="1:8">
      <c r="A177" s="2">
        <v>45731</v>
      </c>
      <c r="B177" t="s">
        <v>225</v>
      </c>
      <c r="C177">
        <v>10.6</v>
      </c>
      <c r="D177" t="s">
        <v>244</v>
      </c>
      <c r="E177">
        <v>10.9</v>
      </c>
      <c r="F177" t="s">
        <v>226</v>
      </c>
      <c r="G177" t="s">
        <v>228</v>
      </c>
      <c r="H177" t="s">
        <v>2816</v>
      </c>
    </row>
    <row r="178" spans="1:8">
      <c r="A178" s="2">
        <v>45731</v>
      </c>
      <c r="B178" t="s">
        <v>248</v>
      </c>
      <c r="C178">
        <v>13.8</v>
      </c>
      <c r="D178" t="s">
        <v>250</v>
      </c>
      <c r="E178">
        <v>13.4</v>
      </c>
      <c r="F178" t="s">
        <v>249</v>
      </c>
      <c r="G178" t="s">
        <v>251</v>
      </c>
      <c r="H178" t="s">
        <v>2817</v>
      </c>
    </row>
    <row r="179" spans="1:8">
      <c r="A179" s="2">
        <v>45731</v>
      </c>
      <c r="B179" t="s">
        <v>259</v>
      </c>
      <c r="C179">
        <v>0.9</v>
      </c>
      <c r="D179" t="s">
        <v>261</v>
      </c>
      <c r="E179">
        <v>1.2</v>
      </c>
      <c r="F179" t="s">
        <v>262</v>
      </c>
      <c r="G179" t="s">
        <v>260</v>
      </c>
      <c r="H179" t="s">
        <v>2818</v>
      </c>
    </row>
    <row r="180" spans="1:8">
      <c r="A180" s="2">
        <v>45731</v>
      </c>
      <c r="B180" t="s">
        <v>264</v>
      </c>
      <c r="C180">
        <v>18.899999999999999</v>
      </c>
      <c r="D180" t="s">
        <v>266</v>
      </c>
      <c r="E180">
        <v>18.899999999999999</v>
      </c>
      <c r="F180" t="s">
        <v>265</v>
      </c>
      <c r="G180" t="s">
        <v>267</v>
      </c>
      <c r="H180" t="s">
        <v>2819</v>
      </c>
    </row>
    <row r="181" spans="1:8">
      <c r="A181" s="2">
        <v>45731</v>
      </c>
      <c r="B181" t="s">
        <v>271</v>
      </c>
      <c r="C181">
        <v>16.399999999999999</v>
      </c>
      <c r="D181" t="s">
        <v>269</v>
      </c>
      <c r="E181">
        <v>15.9</v>
      </c>
      <c r="F181" t="s">
        <v>268</v>
      </c>
      <c r="G181" t="s">
        <v>270</v>
      </c>
      <c r="H181" t="s">
        <v>2820</v>
      </c>
    </row>
    <row r="182" spans="1:8">
      <c r="A182" s="2">
        <v>45731</v>
      </c>
      <c r="B182" t="s">
        <v>293</v>
      </c>
      <c r="C182">
        <v>15.1</v>
      </c>
      <c r="D182" t="s">
        <v>373</v>
      </c>
      <c r="E182">
        <v>15.1</v>
      </c>
      <c r="F182" t="s">
        <v>381</v>
      </c>
      <c r="G182" t="s">
        <v>287</v>
      </c>
      <c r="H182" t="s">
        <v>2821</v>
      </c>
    </row>
    <row r="183" spans="1:8">
      <c r="A183" s="2">
        <v>45731</v>
      </c>
      <c r="B183" t="s">
        <v>291</v>
      </c>
      <c r="C183">
        <v>1.5</v>
      </c>
      <c r="D183" t="s">
        <v>2637</v>
      </c>
      <c r="E183">
        <v>1.3</v>
      </c>
      <c r="F183" t="s">
        <v>431</v>
      </c>
      <c r="G183" t="s">
        <v>286</v>
      </c>
      <c r="H183" t="s">
        <v>2822</v>
      </c>
    </row>
    <row r="184" spans="1:8">
      <c r="A184" s="2">
        <v>45731</v>
      </c>
      <c r="B184" t="s">
        <v>297</v>
      </c>
      <c r="C184">
        <v>19.2</v>
      </c>
      <c r="D184" t="s">
        <v>296</v>
      </c>
      <c r="E184">
        <v>18.600000000000001</v>
      </c>
      <c r="F184" t="s">
        <v>382</v>
      </c>
      <c r="G184" t="s">
        <v>297</v>
      </c>
      <c r="H184" t="s">
        <v>2823</v>
      </c>
    </row>
    <row r="185" spans="1:8">
      <c r="A185" s="2">
        <v>45731</v>
      </c>
      <c r="B185" t="s">
        <v>326</v>
      </c>
      <c r="C185">
        <v>8.8000000000000007</v>
      </c>
      <c r="D185" t="s">
        <v>331</v>
      </c>
      <c r="E185">
        <v>9.8000000000000007</v>
      </c>
      <c r="F185" t="s">
        <v>327</v>
      </c>
      <c r="G185" t="s">
        <v>330</v>
      </c>
      <c r="H185" t="s">
        <v>2824</v>
      </c>
    </row>
    <row r="186" spans="1:8">
      <c r="A186" s="2">
        <v>45731</v>
      </c>
      <c r="B186" t="s">
        <v>328</v>
      </c>
      <c r="C186">
        <v>10.5</v>
      </c>
      <c r="D186" t="s">
        <v>332</v>
      </c>
      <c r="E186">
        <v>10.1</v>
      </c>
      <c r="F186" t="s">
        <v>329</v>
      </c>
      <c r="G186" t="s">
        <v>333</v>
      </c>
      <c r="H186" t="s">
        <v>2825</v>
      </c>
    </row>
    <row r="187" spans="1:8">
      <c r="A187" s="2">
        <v>45731</v>
      </c>
      <c r="B187" t="s">
        <v>375</v>
      </c>
      <c r="C187">
        <v>11</v>
      </c>
      <c r="D187" t="s">
        <v>377</v>
      </c>
      <c r="E187">
        <v>10.199999999999999</v>
      </c>
      <c r="F187" t="s">
        <v>376</v>
      </c>
      <c r="G187" t="s">
        <v>375</v>
      </c>
      <c r="H187" t="s">
        <v>2826</v>
      </c>
    </row>
    <row r="188" spans="1:8">
      <c r="A188" s="2">
        <v>45731</v>
      </c>
      <c r="B188" t="s">
        <v>388</v>
      </c>
      <c r="C188">
        <v>25.7</v>
      </c>
      <c r="D188" t="s">
        <v>389</v>
      </c>
      <c r="E188">
        <v>25.7</v>
      </c>
      <c r="F188" t="s">
        <v>391</v>
      </c>
      <c r="G188" t="s">
        <v>390</v>
      </c>
      <c r="H188" t="s">
        <v>2827</v>
      </c>
    </row>
    <row r="189" spans="1:8">
      <c r="A189" s="2">
        <v>45731</v>
      </c>
      <c r="B189" t="s">
        <v>2469</v>
      </c>
      <c r="C189">
        <v>6.3</v>
      </c>
      <c r="D189" t="s">
        <v>2550</v>
      </c>
      <c r="E189">
        <v>6.3</v>
      </c>
      <c r="F189" t="s">
        <v>2470</v>
      </c>
      <c r="G189" t="s">
        <v>2472</v>
      </c>
      <c r="H189" t="s">
        <v>2828</v>
      </c>
    </row>
    <row r="190" spans="1:8">
      <c r="A190" s="2">
        <v>45731</v>
      </c>
      <c r="B190" t="s">
        <v>2473</v>
      </c>
      <c r="C190">
        <v>13.9</v>
      </c>
      <c r="D190" t="s">
        <v>2475</v>
      </c>
      <c r="E190">
        <v>13.9</v>
      </c>
      <c r="F190" t="s">
        <v>2474</v>
      </c>
      <c r="G190" t="s">
        <v>2473</v>
      </c>
      <c r="H190" t="s">
        <v>2829</v>
      </c>
    </row>
    <row r="191" spans="1:8">
      <c r="A191" s="2">
        <v>45731</v>
      </c>
      <c r="B191" t="s">
        <v>2516</v>
      </c>
      <c r="C191">
        <v>16.5</v>
      </c>
      <c r="D191" t="s">
        <v>2518</v>
      </c>
      <c r="E191">
        <v>16.5</v>
      </c>
      <c r="F191" t="s">
        <v>2517</v>
      </c>
      <c r="G191" t="s">
        <v>2519</v>
      </c>
      <c r="H191" t="s">
        <v>2830</v>
      </c>
    </row>
    <row r="192" spans="1:8">
      <c r="A192" s="2">
        <v>45731</v>
      </c>
      <c r="B192" t="s">
        <v>2561</v>
      </c>
      <c r="C192">
        <v>20.6</v>
      </c>
      <c r="D192" t="s">
        <v>2563</v>
      </c>
      <c r="E192">
        <v>20.3</v>
      </c>
      <c r="F192" t="s">
        <v>2562</v>
      </c>
      <c r="G192" t="s">
        <v>2564</v>
      </c>
      <c r="H192" t="s">
        <v>2831</v>
      </c>
    </row>
    <row r="193" spans="1:8">
      <c r="A193" s="2">
        <v>45731</v>
      </c>
      <c r="B193" t="s">
        <v>2603</v>
      </c>
      <c r="C193">
        <v>7.2</v>
      </c>
      <c r="D193" t="s">
        <v>2604</v>
      </c>
      <c r="E193">
        <v>7.3</v>
      </c>
      <c r="F193" t="s">
        <v>2605</v>
      </c>
      <c r="G193" t="s">
        <v>2603</v>
      </c>
      <c r="H193" t="s">
        <v>2832</v>
      </c>
    </row>
    <row r="194" spans="1:8">
      <c r="A194" s="2">
        <v>45731</v>
      </c>
      <c r="B194" t="s">
        <v>2606</v>
      </c>
      <c r="C194">
        <v>8.8000000000000007</v>
      </c>
      <c r="D194" t="s">
        <v>2607</v>
      </c>
      <c r="E194">
        <v>8.8000000000000007</v>
      </c>
      <c r="F194" t="s">
        <v>292</v>
      </c>
      <c r="G194" t="s">
        <v>2606</v>
      </c>
      <c r="H194" t="s">
        <v>2833</v>
      </c>
    </row>
    <row r="195" spans="1:8">
      <c r="A195" s="2">
        <v>45740</v>
      </c>
      <c r="B195" t="s">
        <v>3</v>
      </c>
      <c r="C195">
        <v>4.7</v>
      </c>
      <c r="D195" t="s">
        <v>61</v>
      </c>
      <c r="E195">
        <v>4.7</v>
      </c>
      <c r="F195" t="s">
        <v>4</v>
      </c>
      <c r="G195" t="s">
        <v>102</v>
      </c>
      <c r="H195" t="s">
        <v>2834</v>
      </c>
    </row>
    <row r="196" spans="1:8">
      <c r="A196" s="2">
        <v>45740</v>
      </c>
      <c r="B196" t="s">
        <v>6</v>
      </c>
      <c r="C196">
        <v>6.8</v>
      </c>
      <c r="D196" t="s">
        <v>60</v>
      </c>
      <c r="E196">
        <v>6.8</v>
      </c>
      <c r="F196" t="s">
        <v>7</v>
      </c>
      <c r="G196" t="s">
        <v>103</v>
      </c>
      <c r="H196" t="s">
        <v>2835</v>
      </c>
    </row>
    <row r="197" spans="1:8">
      <c r="A197" s="2">
        <v>45740</v>
      </c>
      <c r="B197" t="s">
        <v>9</v>
      </c>
      <c r="C197">
        <v>11.6</v>
      </c>
      <c r="D197" t="s">
        <v>55</v>
      </c>
      <c r="E197">
        <v>12.3</v>
      </c>
      <c r="F197" t="s">
        <v>10</v>
      </c>
      <c r="G197" t="s">
        <v>104</v>
      </c>
      <c r="H197" t="s">
        <v>2836</v>
      </c>
    </row>
    <row r="198" spans="1:8">
      <c r="A198" s="2">
        <v>45740</v>
      </c>
      <c r="B198" t="s">
        <v>12</v>
      </c>
      <c r="C198">
        <v>15.9</v>
      </c>
      <c r="D198" t="s">
        <v>57</v>
      </c>
      <c r="E198">
        <v>15.7</v>
      </c>
      <c r="F198" t="s">
        <v>13</v>
      </c>
      <c r="G198" t="s">
        <v>112</v>
      </c>
      <c r="H198" t="s">
        <v>2837</v>
      </c>
    </row>
    <row r="199" spans="1:8">
      <c r="A199" s="2">
        <v>45740</v>
      </c>
      <c r="B199" t="s">
        <v>15</v>
      </c>
      <c r="C199">
        <v>6.4</v>
      </c>
      <c r="D199" t="s">
        <v>54</v>
      </c>
      <c r="E199">
        <v>6.4</v>
      </c>
      <c r="F199" t="s">
        <v>16</v>
      </c>
      <c r="G199" t="s">
        <v>105</v>
      </c>
      <c r="H199" t="s">
        <v>2838</v>
      </c>
    </row>
    <row r="200" spans="1:8">
      <c r="A200" s="2">
        <v>45740</v>
      </c>
      <c r="B200" t="s">
        <v>18</v>
      </c>
      <c r="C200">
        <v>6.8</v>
      </c>
      <c r="D200" t="s">
        <v>114</v>
      </c>
      <c r="E200">
        <v>6.8</v>
      </c>
      <c r="F200" t="s">
        <v>19</v>
      </c>
      <c r="G200" t="s">
        <v>113</v>
      </c>
      <c r="H200" t="s">
        <v>2839</v>
      </c>
    </row>
    <row r="201" spans="1:8">
      <c r="A201" s="2">
        <v>45740</v>
      </c>
      <c r="B201" t="s">
        <v>20</v>
      </c>
      <c r="C201">
        <v>20.100000000000001</v>
      </c>
      <c r="D201" t="s">
        <v>59</v>
      </c>
      <c r="E201">
        <v>19.600000000000001</v>
      </c>
      <c r="F201" t="s">
        <v>21</v>
      </c>
      <c r="G201" t="s">
        <v>2609</v>
      </c>
      <c r="H201" t="s">
        <v>2840</v>
      </c>
    </row>
    <row r="202" spans="1:8">
      <c r="A202" s="2">
        <v>45740</v>
      </c>
      <c r="B202" t="s">
        <v>23</v>
      </c>
      <c r="C202">
        <v>19.5</v>
      </c>
      <c r="D202" t="s">
        <v>120</v>
      </c>
      <c r="E202">
        <v>19.600000000000001</v>
      </c>
      <c r="F202" t="s">
        <v>24</v>
      </c>
      <c r="G202" t="s">
        <v>107</v>
      </c>
      <c r="H202" t="s">
        <v>2841</v>
      </c>
    </row>
    <row r="203" spans="1:8">
      <c r="A203" s="2">
        <v>45740</v>
      </c>
      <c r="B203" t="s">
        <v>25</v>
      </c>
      <c r="C203">
        <v>15.2</v>
      </c>
      <c r="D203" t="s">
        <v>252</v>
      </c>
      <c r="E203">
        <v>15.2</v>
      </c>
      <c r="F203" t="s">
        <v>26</v>
      </c>
      <c r="G203" t="s">
        <v>115</v>
      </c>
      <c r="H203" t="s">
        <v>2842</v>
      </c>
    </row>
    <row r="204" spans="1:8">
      <c r="A204" s="2">
        <v>45740</v>
      </c>
      <c r="B204" t="s">
        <v>30</v>
      </c>
      <c r="C204">
        <v>14.3</v>
      </c>
      <c r="D204" t="s">
        <v>56</v>
      </c>
      <c r="E204">
        <v>14.3</v>
      </c>
      <c r="F204" t="s">
        <v>31</v>
      </c>
      <c r="G204" t="s">
        <v>108</v>
      </c>
      <c r="H204" t="s">
        <v>2843</v>
      </c>
    </row>
    <row r="205" spans="1:8">
      <c r="A205" s="2">
        <v>45740</v>
      </c>
      <c r="B205" t="s">
        <v>33</v>
      </c>
      <c r="C205">
        <v>8.5</v>
      </c>
      <c r="D205" t="s">
        <v>343</v>
      </c>
      <c r="E205">
        <v>8.5</v>
      </c>
      <c r="F205" t="s">
        <v>34</v>
      </c>
      <c r="G205" t="s">
        <v>109</v>
      </c>
      <c r="H205" t="s">
        <v>2844</v>
      </c>
    </row>
    <row r="206" spans="1:8">
      <c r="A206" s="2">
        <v>45740</v>
      </c>
      <c r="B206" t="s">
        <v>35</v>
      </c>
      <c r="C206">
        <v>20.2</v>
      </c>
      <c r="D206" t="s">
        <v>63</v>
      </c>
      <c r="E206">
        <v>19.399999999999999</v>
      </c>
      <c r="F206" t="s">
        <v>36</v>
      </c>
      <c r="G206" t="s">
        <v>110</v>
      </c>
      <c r="H206" t="s">
        <v>2845</v>
      </c>
    </row>
    <row r="207" spans="1:8">
      <c r="A207" s="2">
        <v>45740</v>
      </c>
      <c r="B207" t="s">
        <v>41</v>
      </c>
      <c r="C207">
        <v>21.9</v>
      </c>
      <c r="D207" t="s">
        <v>254</v>
      </c>
      <c r="E207">
        <v>21.8</v>
      </c>
      <c r="F207" t="s">
        <v>42</v>
      </c>
      <c r="G207" t="s">
        <v>117</v>
      </c>
      <c r="H207" t="s">
        <v>2846</v>
      </c>
    </row>
    <row r="208" spans="1:8">
      <c r="A208" s="2">
        <v>45740</v>
      </c>
      <c r="B208" t="s">
        <v>46</v>
      </c>
      <c r="C208">
        <v>18.2</v>
      </c>
      <c r="D208" t="s">
        <v>62</v>
      </c>
      <c r="E208">
        <v>17.7</v>
      </c>
      <c r="F208" t="s">
        <v>47</v>
      </c>
      <c r="G208" t="s">
        <v>106</v>
      </c>
      <c r="H208" t="s">
        <v>2847</v>
      </c>
    </row>
    <row r="209" spans="1:8">
      <c r="A209" s="2">
        <v>45740</v>
      </c>
      <c r="B209" t="s">
        <v>49</v>
      </c>
      <c r="C209">
        <v>14.4</v>
      </c>
      <c r="D209" t="s">
        <v>58</v>
      </c>
      <c r="E209">
        <v>14.3</v>
      </c>
      <c r="F209" t="s">
        <v>50</v>
      </c>
      <c r="G209" t="s">
        <v>111</v>
      </c>
      <c r="H209" t="s">
        <v>2848</v>
      </c>
    </row>
    <row r="210" spans="1:8">
      <c r="A210" s="2">
        <v>45740</v>
      </c>
      <c r="B210" t="s">
        <v>135</v>
      </c>
      <c r="C210">
        <v>19.100000000000001</v>
      </c>
      <c r="D210" t="s">
        <v>134</v>
      </c>
      <c r="E210">
        <v>18.5</v>
      </c>
      <c r="F210" t="s">
        <v>123</v>
      </c>
      <c r="G210" t="s">
        <v>132</v>
      </c>
      <c r="H210" t="s">
        <v>2849</v>
      </c>
    </row>
    <row r="211" spans="1:8">
      <c r="A211" s="2">
        <v>45740</v>
      </c>
      <c r="B211" t="s">
        <v>201</v>
      </c>
      <c r="C211">
        <v>9</v>
      </c>
      <c r="D211" t="s">
        <v>209</v>
      </c>
      <c r="E211">
        <v>8.8000000000000007</v>
      </c>
      <c r="F211" t="s">
        <v>202</v>
      </c>
      <c r="G211" t="s">
        <v>213</v>
      </c>
      <c r="H211" t="s">
        <v>2850</v>
      </c>
    </row>
    <row r="212" spans="1:8">
      <c r="A212" s="2">
        <v>45740</v>
      </c>
      <c r="B212" t="s">
        <v>203</v>
      </c>
      <c r="C212">
        <v>17.899999999999999</v>
      </c>
      <c r="D212" t="s">
        <v>212</v>
      </c>
      <c r="E212">
        <v>17.8</v>
      </c>
      <c r="F212" t="s">
        <v>204</v>
      </c>
      <c r="G212" t="s">
        <v>203</v>
      </c>
      <c r="H212" t="s">
        <v>2851</v>
      </c>
    </row>
    <row r="213" spans="1:8">
      <c r="A213" s="2">
        <v>45740</v>
      </c>
      <c r="B213" t="s">
        <v>205</v>
      </c>
      <c r="C213">
        <v>5.2</v>
      </c>
      <c r="D213" t="s">
        <v>211</v>
      </c>
      <c r="E213">
        <v>5.2</v>
      </c>
      <c r="F213" t="s">
        <v>206</v>
      </c>
      <c r="G213" t="s">
        <v>214</v>
      </c>
      <c r="H213" t="s">
        <v>2852</v>
      </c>
    </row>
    <row r="214" spans="1:8">
      <c r="A214" s="2">
        <v>45740</v>
      </c>
      <c r="B214" t="s">
        <v>207</v>
      </c>
      <c r="C214">
        <v>15</v>
      </c>
      <c r="D214" t="s">
        <v>210</v>
      </c>
      <c r="E214">
        <v>14.5</v>
      </c>
      <c r="F214" t="s">
        <v>208</v>
      </c>
      <c r="G214" t="s">
        <v>215</v>
      </c>
      <c r="H214" t="s">
        <v>2853</v>
      </c>
    </row>
    <row r="215" spans="1:8">
      <c r="A215" s="2">
        <v>45740</v>
      </c>
      <c r="B215" t="s">
        <v>217</v>
      </c>
      <c r="C215">
        <v>20.9</v>
      </c>
      <c r="D215" t="s">
        <v>219</v>
      </c>
      <c r="E215">
        <v>20.9</v>
      </c>
      <c r="F215" t="s">
        <v>218</v>
      </c>
      <c r="G215" t="s">
        <v>2610</v>
      </c>
      <c r="H215" t="s">
        <v>2854</v>
      </c>
    </row>
    <row r="216" spans="1:8">
      <c r="A216" s="2">
        <v>45740</v>
      </c>
      <c r="B216" t="s">
        <v>225</v>
      </c>
      <c r="C216">
        <v>10.6</v>
      </c>
      <c r="D216" t="s">
        <v>244</v>
      </c>
      <c r="E216">
        <v>10.9</v>
      </c>
      <c r="F216" t="s">
        <v>226</v>
      </c>
      <c r="G216" t="s">
        <v>228</v>
      </c>
      <c r="H216" t="s">
        <v>2855</v>
      </c>
    </row>
    <row r="217" spans="1:8">
      <c r="A217" s="2">
        <v>45740</v>
      </c>
      <c r="B217" t="s">
        <v>248</v>
      </c>
      <c r="C217">
        <v>13.8</v>
      </c>
      <c r="D217" t="s">
        <v>250</v>
      </c>
      <c r="E217">
        <v>13.4</v>
      </c>
      <c r="F217" t="s">
        <v>249</v>
      </c>
      <c r="G217" t="s">
        <v>251</v>
      </c>
      <c r="H217" t="s">
        <v>2856</v>
      </c>
    </row>
    <row r="218" spans="1:8">
      <c r="A218" s="2">
        <v>45740</v>
      </c>
      <c r="B218" t="s">
        <v>259</v>
      </c>
      <c r="C218">
        <v>0.9</v>
      </c>
      <c r="D218" t="s">
        <v>261</v>
      </c>
      <c r="E218">
        <v>1.2</v>
      </c>
      <c r="F218" t="s">
        <v>262</v>
      </c>
      <c r="G218" t="s">
        <v>260</v>
      </c>
      <c r="H218" t="s">
        <v>2857</v>
      </c>
    </row>
    <row r="219" spans="1:8">
      <c r="A219" s="2">
        <v>45740</v>
      </c>
      <c r="B219" t="s">
        <v>264</v>
      </c>
      <c r="C219">
        <v>18.899999999999999</v>
      </c>
      <c r="D219" t="s">
        <v>266</v>
      </c>
      <c r="E219">
        <v>18.899999999999999</v>
      </c>
      <c r="F219" t="s">
        <v>265</v>
      </c>
      <c r="G219" t="s">
        <v>267</v>
      </c>
      <c r="H219" t="s">
        <v>2858</v>
      </c>
    </row>
    <row r="220" spans="1:8">
      <c r="A220" s="2">
        <v>45740</v>
      </c>
      <c r="B220" t="s">
        <v>271</v>
      </c>
      <c r="C220">
        <v>16.399999999999999</v>
      </c>
      <c r="D220" t="s">
        <v>269</v>
      </c>
      <c r="E220">
        <v>16.399999999999999</v>
      </c>
      <c r="F220" t="s">
        <v>268</v>
      </c>
      <c r="G220" t="s">
        <v>270</v>
      </c>
      <c r="H220" t="s">
        <v>2859</v>
      </c>
    </row>
    <row r="221" spans="1:8">
      <c r="A221" s="2">
        <v>45740</v>
      </c>
      <c r="B221" t="s">
        <v>293</v>
      </c>
      <c r="C221">
        <v>15.1</v>
      </c>
      <c r="D221" t="s">
        <v>373</v>
      </c>
      <c r="E221">
        <v>15.1</v>
      </c>
      <c r="F221" t="s">
        <v>381</v>
      </c>
      <c r="G221" t="s">
        <v>287</v>
      </c>
      <c r="H221" t="s">
        <v>2860</v>
      </c>
    </row>
    <row r="222" spans="1:8">
      <c r="A222" s="2">
        <v>45740</v>
      </c>
      <c r="B222" t="s">
        <v>291</v>
      </c>
      <c r="C222">
        <v>1.5</v>
      </c>
      <c r="D222" t="s">
        <v>2637</v>
      </c>
      <c r="E222">
        <v>1.3</v>
      </c>
      <c r="F222" t="s">
        <v>431</v>
      </c>
      <c r="G222" t="s">
        <v>286</v>
      </c>
      <c r="H222" t="s">
        <v>2861</v>
      </c>
    </row>
    <row r="223" spans="1:8">
      <c r="A223" s="2">
        <v>45740</v>
      </c>
      <c r="B223" t="s">
        <v>297</v>
      </c>
      <c r="C223">
        <v>18.5</v>
      </c>
      <c r="D223" t="s">
        <v>296</v>
      </c>
      <c r="E223">
        <v>19.2</v>
      </c>
      <c r="F223" t="s">
        <v>382</v>
      </c>
      <c r="G223" t="s">
        <v>297</v>
      </c>
      <c r="H223" t="s">
        <v>2862</v>
      </c>
    </row>
    <row r="224" spans="1:8">
      <c r="A224" s="2">
        <v>45740</v>
      </c>
      <c r="B224" t="s">
        <v>326</v>
      </c>
      <c r="C224">
        <v>8.1999999999999993</v>
      </c>
      <c r="D224" t="s">
        <v>331</v>
      </c>
      <c r="E224">
        <v>8.8000000000000007</v>
      </c>
      <c r="F224" t="s">
        <v>327</v>
      </c>
      <c r="G224" t="s">
        <v>330</v>
      </c>
      <c r="H224" t="s">
        <v>2863</v>
      </c>
    </row>
    <row r="225" spans="1:8">
      <c r="A225" s="2">
        <v>45740</v>
      </c>
      <c r="B225" t="s">
        <v>328</v>
      </c>
      <c r="C225">
        <v>10.5</v>
      </c>
      <c r="D225" t="s">
        <v>332</v>
      </c>
      <c r="E225">
        <v>10.5</v>
      </c>
      <c r="F225" t="s">
        <v>329</v>
      </c>
      <c r="G225" t="s">
        <v>333</v>
      </c>
      <c r="H225" t="s">
        <v>2864</v>
      </c>
    </row>
    <row r="226" spans="1:8">
      <c r="A226" s="2">
        <v>45740</v>
      </c>
      <c r="B226" t="s">
        <v>375</v>
      </c>
      <c r="C226">
        <v>11</v>
      </c>
      <c r="D226" t="s">
        <v>377</v>
      </c>
      <c r="E226">
        <v>10.199999999999999</v>
      </c>
      <c r="F226" t="s">
        <v>376</v>
      </c>
      <c r="G226" t="s">
        <v>375</v>
      </c>
      <c r="H226" t="s">
        <v>2865</v>
      </c>
    </row>
    <row r="227" spans="1:8">
      <c r="A227" s="2">
        <v>45740</v>
      </c>
      <c r="B227" t="s">
        <v>388</v>
      </c>
      <c r="C227">
        <v>25.7</v>
      </c>
      <c r="D227" t="s">
        <v>389</v>
      </c>
      <c r="E227">
        <v>25.7</v>
      </c>
      <c r="F227" t="s">
        <v>391</v>
      </c>
      <c r="G227" t="s">
        <v>390</v>
      </c>
      <c r="H227" t="s">
        <v>2866</v>
      </c>
    </row>
    <row r="228" spans="1:8">
      <c r="A228" s="2">
        <v>45740</v>
      </c>
      <c r="B228" t="s">
        <v>2469</v>
      </c>
      <c r="C228">
        <v>6.1</v>
      </c>
      <c r="D228" t="s">
        <v>2550</v>
      </c>
      <c r="E228">
        <v>6.3</v>
      </c>
      <c r="F228" t="s">
        <v>2470</v>
      </c>
      <c r="G228" t="s">
        <v>2472</v>
      </c>
      <c r="H228" t="s">
        <v>2867</v>
      </c>
    </row>
    <row r="229" spans="1:8">
      <c r="A229" s="2">
        <v>45740</v>
      </c>
      <c r="B229" t="s">
        <v>2473</v>
      </c>
      <c r="C229">
        <v>14.2</v>
      </c>
      <c r="D229" t="s">
        <v>2475</v>
      </c>
      <c r="E229">
        <v>13.9</v>
      </c>
      <c r="F229" t="s">
        <v>2474</v>
      </c>
      <c r="G229" t="s">
        <v>2473</v>
      </c>
      <c r="H229" t="s">
        <v>2868</v>
      </c>
    </row>
    <row r="230" spans="1:8">
      <c r="A230" s="2">
        <v>45740</v>
      </c>
      <c r="B230" t="s">
        <v>2516</v>
      </c>
      <c r="C230">
        <v>16.3</v>
      </c>
      <c r="D230" t="s">
        <v>2518</v>
      </c>
      <c r="E230">
        <v>16.5</v>
      </c>
      <c r="F230" t="s">
        <v>2517</v>
      </c>
      <c r="G230" t="s">
        <v>2519</v>
      </c>
      <c r="H230" t="s">
        <v>2869</v>
      </c>
    </row>
    <row r="231" spans="1:8">
      <c r="A231" s="2">
        <v>45740</v>
      </c>
      <c r="B231" t="s">
        <v>2561</v>
      </c>
      <c r="C231">
        <v>20.6</v>
      </c>
      <c r="D231" t="s">
        <v>2563</v>
      </c>
      <c r="E231">
        <v>20.3</v>
      </c>
      <c r="F231" t="s">
        <v>2562</v>
      </c>
      <c r="G231" t="s">
        <v>2564</v>
      </c>
      <c r="H231" t="s">
        <v>2870</v>
      </c>
    </row>
    <row r="232" spans="1:8">
      <c r="A232" s="2">
        <v>45740</v>
      </c>
      <c r="B232" t="s">
        <v>2603</v>
      </c>
      <c r="C232">
        <v>7.8</v>
      </c>
      <c r="D232" t="s">
        <v>2604</v>
      </c>
      <c r="E232">
        <v>7.2</v>
      </c>
      <c r="F232" t="s">
        <v>2605</v>
      </c>
      <c r="G232" t="s">
        <v>2603</v>
      </c>
      <c r="H232" t="s">
        <v>2871</v>
      </c>
    </row>
    <row r="233" spans="1:8">
      <c r="A233" s="2">
        <v>45740</v>
      </c>
      <c r="B233" t="s">
        <v>2606</v>
      </c>
      <c r="C233">
        <v>9.8000000000000007</v>
      </c>
      <c r="D233" t="s">
        <v>2607</v>
      </c>
      <c r="E233">
        <v>8.8000000000000007</v>
      </c>
      <c r="F233" t="s">
        <v>292</v>
      </c>
      <c r="G233" t="s">
        <v>2606</v>
      </c>
      <c r="H233" t="s">
        <v>2872</v>
      </c>
    </row>
    <row r="234" spans="1:8">
      <c r="A234" s="2">
        <v>45770</v>
      </c>
      <c r="B234" t="s">
        <v>3</v>
      </c>
      <c r="C234">
        <v>4.7</v>
      </c>
      <c r="D234" t="s">
        <v>61</v>
      </c>
      <c r="E234">
        <v>4.7</v>
      </c>
      <c r="F234" t="s">
        <v>4</v>
      </c>
      <c r="G234" t="s">
        <v>102</v>
      </c>
      <c r="H234" t="s">
        <v>2873</v>
      </c>
    </row>
    <row r="235" spans="1:8">
      <c r="A235" s="2">
        <v>45770</v>
      </c>
      <c r="B235" t="s">
        <v>6</v>
      </c>
      <c r="C235">
        <v>6.8</v>
      </c>
      <c r="D235" t="s">
        <v>60</v>
      </c>
      <c r="E235">
        <v>6.8</v>
      </c>
      <c r="F235" t="s">
        <v>7</v>
      </c>
      <c r="G235" t="s">
        <v>103</v>
      </c>
      <c r="H235" t="s">
        <v>2874</v>
      </c>
    </row>
    <row r="236" spans="1:8">
      <c r="A236" s="2">
        <v>45770</v>
      </c>
      <c r="B236" t="s">
        <v>9</v>
      </c>
      <c r="C236">
        <v>11.6</v>
      </c>
      <c r="D236" t="s">
        <v>55</v>
      </c>
      <c r="E236">
        <v>11.6</v>
      </c>
      <c r="F236" t="s">
        <v>10</v>
      </c>
      <c r="G236" t="s">
        <v>104</v>
      </c>
      <c r="H236" t="s">
        <v>2875</v>
      </c>
    </row>
    <row r="237" spans="1:8">
      <c r="A237" s="2">
        <v>45770</v>
      </c>
      <c r="B237" t="s">
        <v>12</v>
      </c>
      <c r="C237">
        <v>15.9</v>
      </c>
      <c r="D237" t="s">
        <v>57</v>
      </c>
      <c r="E237">
        <v>15.9</v>
      </c>
      <c r="F237" t="s">
        <v>13</v>
      </c>
      <c r="G237" t="s">
        <v>112</v>
      </c>
      <c r="H237" t="s">
        <v>2876</v>
      </c>
    </row>
    <row r="238" spans="1:8">
      <c r="A238" s="2">
        <v>45770</v>
      </c>
      <c r="B238" t="s">
        <v>15</v>
      </c>
      <c r="C238">
        <v>6.4</v>
      </c>
      <c r="D238" t="s">
        <v>54</v>
      </c>
      <c r="E238">
        <v>6.4</v>
      </c>
      <c r="F238" t="s">
        <v>16</v>
      </c>
      <c r="G238" t="s">
        <v>105</v>
      </c>
      <c r="H238" t="s">
        <v>2877</v>
      </c>
    </row>
    <row r="239" spans="1:8">
      <c r="A239" s="2">
        <v>45770</v>
      </c>
      <c r="B239" t="s">
        <v>18</v>
      </c>
      <c r="C239">
        <v>6.8</v>
      </c>
      <c r="D239" t="s">
        <v>114</v>
      </c>
      <c r="E239">
        <v>6.8</v>
      </c>
      <c r="F239" t="s">
        <v>19</v>
      </c>
      <c r="G239" t="s">
        <v>113</v>
      </c>
      <c r="H239" t="s">
        <v>2878</v>
      </c>
    </row>
    <row r="240" spans="1:8">
      <c r="A240" s="2">
        <v>45770</v>
      </c>
      <c r="B240" t="s">
        <v>20</v>
      </c>
      <c r="C240">
        <v>20.100000000000001</v>
      </c>
      <c r="D240" t="s">
        <v>59</v>
      </c>
      <c r="E240">
        <v>20.100000000000001</v>
      </c>
      <c r="F240" t="s">
        <v>21</v>
      </c>
      <c r="G240" t="s">
        <v>2609</v>
      </c>
      <c r="H240" t="s">
        <v>2879</v>
      </c>
    </row>
    <row r="241" spans="1:8">
      <c r="A241" s="2">
        <v>45770</v>
      </c>
      <c r="B241" t="s">
        <v>23</v>
      </c>
      <c r="C241">
        <v>19.5</v>
      </c>
      <c r="D241" t="s">
        <v>120</v>
      </c>
      <c r="E241">
        <v>19.5</v>
      </c>
      <c r="F241" t="s">
        <v>24</v>
      </c>
      <c r="G241" t="s">
        <v>107</v>
      </c>
      <c r="H241" t="s">
        <v>2880</v>
      </c>
    </row>
    <row r="242" spans="1:8">
      <c r="A242" s="2">
        <v>45770</v>
      </c>
      <c r="B242" t="s">
        <v>25</v>
      </c>
      <c r="C242">
        <v>15.2</v>
      </c>
      <c r="D242" t="s">
        <v>252</v>
      </c>
      <c r="E242">
        <v>15.2</v>
      </c>
      <c r="F242" t="s">
        <v>26</v>
      </c>
      <c r="G242" t="s">
        <v>115</v>
      </c>
      <c r="H242" t="s">
        <v>2881</v>
      </c>
    </row>
    <row r="243" spans="1:8">
      <c r="A243" s="2">
        <v>45770</v>
      </c>
      <c r="B243" t="s">
        <v>30</v>
      </c>
      <c r="C243">
        <v>14.3</v>
      </c>
      <c r="D243" t="s">
        <v>56</v>
      </c>
      <c r="E243">
        <v>14.3</v>
      </c>
      <c r="F243" t="s">
        <v>31</v>
      </c>
      <c r="G243" t="s">
        <v>108</v>
      </c>
      <c r="H243" t="s">
        <v>2882</v>
      </c>
    </row>
    <row r="244" spans="1:8">
      <c r="A244" s="2">
        <v>45770</v>
      </c>
      <c r="B244" t="s">
        <v>33</v>
      </c>
      <c r="C244">
        <v>8.8000000000000007</v>
      </c>
      <c r="D244" t="s">
        <v>343</v>
      </c>
      <c r="E244">
        <v>8.5</v>
      </c>
      <c r="F244" t="s">
        <v>34</v>
      </c>
      <c r="G244" t="s">
        <v>109</v>
      </c>
      <c r="H244" t="s">
        <v>2883</v>
      </c>
    </row>
    <row r="245" spans="1:8">
      <c r="A245" s="2">
        <v>45770</v>
      </c>
      <c r="B245" t="s">
        <v>35</v>
      </c>
      <c r="C245">
        <v>20.5</v>
      </c>
      <c r="D245" t="s">
        <v>63</v>
      </c>
      <c r="E245">
        <v>20.2</v>
      </c>
      <c r="F245" t="s">
        <v>36</v>
      </c>
      <c r="G245" t="s">
        <v>110</v>
      </c>
      <c r="H245" t="s">
        <v>2884</v>
      </c>
    </row>
    <row r="246" spans="1:8">
      <c r="A246" s="2">
        <v>45770</v>
      </c>
      <c r="B246" t="s">
        <v>41</v>
      </c>
      <c r="C246">
        <v>21.9</v>
      </c>
      <c r="D246" t="s">
        <v>254</v>
      </c>
      <c r="E246">
        <v>21.8</v>
      </c>
      <c r="F246" t="s">
        <v>42</v>
      </c>
      <c r="G246" t="s">
        <v>117</v>
      </c>
      <c r="H246" t="s">
        <v>2885</v>
      </c>
    </row>
    <row r="247" spans="1:8">
      <c r="A247" s="2">
        <v>45770</v>
      </c>
      <c r="B247" t="s">
        <v>46</v>
      </c>
      <c r="C247">
        <v>18.2</v>
      </c>
      <c r="D247" t="s">
        <v>62</v>
      </c>
      <c r="E247">
        <v>17.7</v>
      </c>
      <c r="F247" t="s">
        <v>47</v>
      </c>
      <c r="G247" t="s">
        <v>106</v>
      </c>
      <c r="H247" t="s">
        <v>2886</v>
      </c>
    </row>
    <row r="248" spans="1:8">
      <c r="A248" s="2">
        <v>45770</v>
      </c>
      <c r="B248" t="s">
        <v>49</v>
      </c>
      <c r="C248">
        <v>14.4</v>
      </c>
      <c r="D248" t="s">
        <v>58</v>
      </c>
      <c r="E248">
        <v>14.4</v>
      </c>
      <c r="F248" t="s">
        <v>50</v>
      </c>
      <c r="G248" t="s">
        <v>111</v>
      </c>
      <c r="H248" t="s">
        <v>2887</v>
      </c>
    </row>
    <row r="249" spans="1:8">
      <c r="A249" s="2">
        <v>45770</v>
      </c>
      <c r="B249" t="s">
        <v>135</v>
      </c>
      <c r="C249">
        <v>19.100000000000001</v>
      </c>
      <c r="D249" t="s">
        <v>134</v>
      </c>
      <c r="E249">
        <v>19.100000000000001</v>
      </c>
      <c r="F249" t="s">
        <v>123</v>
      </c>
      <c r="G249" t="s">
        <v>132</v>
      </c>
      <c r="H249" t="s">
        <v>2888</v>
      </c>
    </row>
    <row r="250" spans="1:8">
      <c r="A250" s="2">
        <v>45770</v>
      </c>
      <c r="B250" t="s">
        <v>201</v>
      </c>
      <c r="C250">
        <v>9</v>
      </c>
      <c r="D250" t="s">
        <v>209</v>
      </c>
      <c r="E250">
        <v>8.8000000000000007</v>
      </c>
      <c r="F250" t="s">
        <v>202</v>
      </c>
      <c r="G250" t="s">
        <v>213</v>
      </c>
      <c r="H250" t="s">
        <v>2889</v>
      </c>
    </row>
    <row r="251" spans="1:8">
      <c r="A251" s="2">
        <v>45770</v>
      </c>
      <c r="B251" t="s">
        <v>203</v>
      </c>
      <c r="C251">
        <v>17.899999999999999</v>
      </c>
      <c r="D251" t="s">
        <v>212</v>
      </c>
      <c r="E251">
        <v>17.8</v>
      </c>
      <c r="F251" t="s">
        <v>204</v>
      </c>
      <c r="G251" t="s">
        <v>203</v>
      </c>
      <c r="H251" t="s">
        <v>2890</v>
      </c>
    </row>
    <row r="252" spans="1:8">
      <c r="A252" s="2">
        <v>45770</v>
      </c>
      <c r="B252" t="s">
        <v>205</v>
      </c>
      <c r="C252">
        <v>5.2</v>
      </c>
      <c r="D252" t="s">
        <v>211</v>
      </c>
      <c r="E252">
        <v>5.2</v>
      </c>
      <c r="F252" t="s">
        <v>206</v>
      </c>
      <c r="G252" t="s">
        <v>214</v>
      </c>
      <c r="H252" t="s">
        <v>2891</v>
      </c>
    </row>
    <row r="253" spans="1:8">
      <c r="A253" s="2">
        <v>45770</v>
      </c>
      <c r="B253" t="s">
        <v>207</v>
      </c>
      <c r="C253">
        <v>15</v>
      </c>
      <c r="D253" t="s">
        <v>210</v>
      </c>
      <c r="E253">
        <v>14.5</v>
      </c>
      <c r="F253" t="s">
        <v>208</v>
      </c>
      <c r="G253" t="s">
        <v>215</v>
      </c>
      <c r="H253" t="s">
        <v>2892</v>
      </c>
    </row>
    <row r="254" spans="1:8">
      <c r="A254" s="2">
        <v>45770</v>
      </c>
      <c r="B254" t="s">
        <v>217</v>
      </c>
      <c r="C254">
        <v>20.9</v>
      </c>
      <c r="D254" t="s">
        <v>219</v>
      </c>
      <c r="E254">
        <v>20.9</v>
      </c>
      <c r="F254" t="s">
        <v>218</v>
      </c>
      <c r="G254" t="s">
        <v>2610</v>
      </c>
      <c r="H254" t="s">
        <v>2893</v>
      </c>
    </row>
    <row r="255" spans="1:8">
      <c r="A255" s="2">
        <v>45770</v>
      </c>
      <c r="B255" t="s">
        <v>225</v>
      </c>
      <c r="C255">
        <v>10.6</v>
      </c>
      <c r="D255" t="s">
        <v>244</v>
      </c>
      <c r="E255">
        <v>10.9</v>
      </c>
      <c r="F255" t="s">
        <v>226</v>
      </c>
      <c r="G255" t="s">
        <v>228</v>
      </c>
      <c r="H255" t="s">
        <v>2894</v>
      </c>
    </row>
    <row r="256" spans="1:8">
      <c r="A256" s="2">
        <v>45770</v>
      </c>
      <c r="B256" t="s">
        <v>248</v>
      </c>
      <c r="C256">
        <v>13.4</v>
      </c>
      <c r="D256" t="s">
        <v>250</v>
      </c>
      <c r="E256">
        <v>13.8</v>
      </c>
      <c r="F256" t="s">
        <v>249</v>
      </c>
      <c r="G256" t="s">
        <v>251</v>
      </c>
      <c r="H256" t="s">
        <v>2895</v>
      </c>
    </row>
    <row r="257" spans="1:8">
      <c r="A257" s="2">
        <v>45770</v>
      </c>
      <c r="B257" t="s">
        <v>259</v>
      </c>
      <c r="C257">
        <v>0.9</v>
      </c>
      <c r="D257" t="s">
        <v>261</v>
      </c>
      <c r="E257">
        <v>1.2</v>
      </c>
      <c r="F257" t="s">
        <v>262</v>
      </c>
      <c r="G257" t="s">
        <v>260</v>
      </c>
      <c r="H257" t="s">
        <v>2896</v>
      </c>
    </row>
    <row r="258" spans="1:8">
      <c r="A258" s="2">
        <v>45770</v>
      </c>
      <c r="B258" t="s">
        <v>264</v>
      </c>
      <c r="C258">
        <v>19.2</v>
      </c>
      <c r="D258" t="s">
        <v>266</v>
      </c>
      <c r="E258">
        <v>18.899999999999999</v>
      </c>
      <c r="F258" t="s">
        <v>265</v>
      </c>
      <c r="G258" t="s">
        <v>267</v>
      </c>
      <c r="H258" t="s">
        <v>2897</v>
      </c>
    </row>
    <row r="259" spans="1:8">
      <c r="A259" s="2">
        <v>45770</v>
      </c>
      <c r="B259" t="s">
        <v>271</v>
      </c>
      <c r="C259">
        <v>16.399999999999999</v>
      </c>
      <c r="D259" t="s">
        <v>269</v>
      </c>
      <c r="E259">
        <v>16.399999999999999</v>
      </c>
      <c r="F259" t="s">
        <v>268</v>
      </c>
      <c r="G259" t="s">
        <v>270</v>
      </c>
      <c r="H259" t="s">
        <v>2898</v>
      </c>
    </row>
    <row r="260" spans="1:8">
      <c r="A260" s="2">
        <v>45770</v>
      </c>
      <c r="B260" t="s">
        <v>293</v>
      </c>
      <c r="C260">
        <v>15.1</v>
      </c>
      <c r="D260" t="s">
        <v>373</v>
      </c>
      <c r="E260">
        <v>15.1</v>
      </c>
      <c r="F260" t="s">
        <v>381</v>
      </c>
      <c r="G260" t="s">
        <v>287</v>
      </c>
      <c r="H260" t="s">
        <v>2899</v>
      </c>
    </row>
    <row r="261" spans="1:8">
      <c r="A261" s="2">
        <v>45770</v>
      </c>
      <c r="B261" t="s">
        <v>291</v>
      </c>
      <c r="C261">
        <v>1.5</v>
      </c>
      <c r="D261" t="s">
        <v>2637</v>
      </c>
      <c r="E261">
        <v>1.6</v>
      </c>
      <c r="F261" t="s">
        <v>431</v>
      </c>
      <c r="G261" t="s">
        <v>286</v>
      </c>
      <c r="H261" t="s">
        <v>2900</v>
      </c>
    </row>
    <row r="262" spans="1:8">
      <c r="A262" s="2">
        <v>45770</v>
      </c>
      <c r="B262" t="s">
        <v>297</v>
      </c>
      <c r="C262">
        <v>18.5</v>
      </c>
      <c r="D262" t="s">
        <v>296</v>
      </c>
      <c r="E262">
        <v>19.2</v>
      </c>
      <c r="F262" t="s">
        <v>382</v>
      </c>
      <c r="G262" t="s">
        <v>297</v>
      </c>
      <c r="H262" t="s">
        <v>2901</v>
      </c>
    </row>
    <row r="263" spans="1:8">
      <c r="A263" s="2">
        <v>45770</v>
      </c>
      <c r="B263" t="s">
        <v>326</v>
      </c>
      <c r="C263">
        <v>8.1999999999999993</v>
      </c>
      <c r="D263" t="s">
        <v>331</v>
      </c>
      <c r="E263">
        <v>8.8000000000000007</v>
      </c>
      <c r="F263" t="s">
        <v>327</v>
      </c>
      <c r="G263" t="s">
        <v>330</v>
      </c>
      <c r="H263" t="s">
        <v>2902</v>
      </c>
    </row>
    <row r="264" spans="1:8">
      <c r="A264" s="2">
        <v>45770</v>
      </c>
      <c r="B264" t="s">
        <v>328</v>
      </c>
      <c r="C264">
        <v>10.5</v>
      </c>
      <c r="D264" t="s">
        <v>332</v>
      </c>
      <c r="E264">
        <v>10.5</v>
      </c>
      <c r="F264" t="s">
        <v>329</v>
      </c>
      <c r="G264" t="s">
        <v>333</v>
      </c>
      <c r="H264" t="s">
        <v>2903</v>
      </c>
    </row>
    <row r="265" spans="1:8">
      <c r="A265" s="2">
        <v>45770</v>
      </c>
      <c r="B265" t="s">
        <v>375</v>
      </c>
      <c r="C265">
        <v>12</v>
      </c>
      <c r="D265" t="s">
        <v>377</v>
      </c>
      <c r="E265">
        <v>11</v>
      </c>
      <c r="F265" t="s">
        <v>376</v>
      </c>
      <c r="G265" t="s">
        <v>375</v>
      </c>
      <c r="H265" t="s">
        <v>2904</v>
      </c>
    </row>
    <row r="266" spans="1:8">
      <c r="A266" s="2">
        <v>45770</v>
      </c>
      <c r="B266" t="s">
        <v>388</v>
      </c>
      <c r="C266">
        <v>25.7</v>
      </c>
      <c r="D266" t="s">
        <v>389</v>
      </c>
      <c r="E266">
        <v>25.7</v>
      </c>
      <c r="F266" t="s">
        <v>391</v>
      </c>
      <c r="G266" t="s">
        <v>390</v>
      </c>
      <c r="H266" t="s">
        <v>2905</v>
      </c>
    </row>
    <row r="267" spans="1:8">
      <c r="A267" s="2">
        <v>45770</v>
      </c>
      <c r="B267" t="s">
        <v>2469</v>
      </c>
      <c r="C267">
        <v>6.1</v>
      </c>
      <c r="D267" t="s">
        <v>2550</v>
      </c>
      <c r="E267">
        <v>6.3</v>
      </c>
      <c r="F267" t="s">
        <v>2470</v>
      </c>
      <c r="G267" t="s">
        <v>2472</v>
      </c>
      <c r="H267" t="s">
        <v>2906</v>
      </c>
    </row>
    <row r="268" spans="1:8">
      <c r="A268" s="2">
        <v>45770</v>
      </c>
      <c r="B268" t="s">
        <v>2473</v>
      </c>
      <c r="C268">
        <v>14.2</v>
      </c>
      <c r="D268" t="s">
        <v>2475</v>
      </c>
      <c r="E268">
        <v>13.9</v>
      </c>
      <c r="F268" t="s">
        <v>2474</v>
      </c>
      <c r="G268" t="s">
        <v>2473</v>
      </c>
      <c r="H268" t="s">
        <v>2907</v>
      </c>
    </row>
    <row r="269" spans="1:8">
      <c r="A269" s="2">
        <v>45770</v>
      </c>
      <c r="B269" t="s">
        <v>2516</v>
      </c>
      <c r="C269">
        <v>16.3</v>
      </c>
      <c r="D269" t="s">
        <v>2518</v>
      </c>
      <c r="E269">
        <v>16.5</v>
      </c>
      <c r="F269" t="s">
        <v>2517</v>
      </c>
      <c r="G269" t="s">
        <v>2519</v>
      </c>
      <c r="H269" t="s">
        <v>2908</v>
      </c>
    </row>
    <row r="270" spans="1:8">
      <c r="A270" s="2">
        <v>45770</v>
      </c>
      <c r="B270" t="s">
        <v>2561</v>
      </c>
      <c r="C270">
        <v>20.6</v>
      </c>
      <c r="D270" t="s">
        <v>2563</v>
      </c>
      <c r="E270">
        <v>20.3</v>
      </c>
      <c r="F270" t="s">
        <v>2562</v>
      </c>
      <c r="G270" t="s">
        <v>2564</v>
      </c>
      <c r="H270" t="s">
        <v>2909</v>
      </c>
    </row>
    <row r="271" spans="1:8">
      <c r="A271" s="2">
        <v>45770</v>
      </c>
      <c r="B271" t="s">
        <v>2603</v>
      </c>
      <c r="C271">
        <v>7.8</v>
      </c>
      <c r="D271" t="s">
        <v>2604</v>
      </c>
      <c r="E271">
        <v>7.2</v>
      </c>
      <c r="F271" t="s">
        <v>2605</v>
      </c>
      <c r="G271" t="s">
        <v>2603</v>
      </c>
      <c r="H271" t="s">
        <v>2910</v>
      </c>
    </row>
    <row r="272" spans="1:8">
      <c r="A272" s="2">
        <v>45770</v>
      </c>
      <c r="B272" t="s">
        <v>2606</v>
      </c>
      <c r="C272">
        <v>9.8000000000000007</v>
      </c>
      <c r="D272" t="s">
        <v>2607</v>
      </c>
      <c r="E272">
        <v>8.8000000000000007</v>
      </c>
      <c r="F272" t="s">
        <v>292</v>
      </c>
      <c r="G272" t="s">
        <v>2606</v>
      </c>
      <c r="H272" t="s">
        <v>2911</v>
      </c>
    </row>
    <row r="273" spans="1:8">
      <c r="A273" s="2">
        <v>45790</v>
      </c>
      <c r="B273" t="s">
        <v>3</v>
      </c>
      <c r="C273">
        <v>4.7</v>
      </c>
      <c r="D273" t="s">
        <v>61</v>
      </c>
      <c r="E273">
        <v>4.7</v>
      </c>
      <c r="F273" t="s">
        <v>4</v>
      </c>
      <c r="G273" t="s">
        <v>102</v>
      </c>
      <c r="H273" t="s">
        <v>2912</v>
      </c>
    </row>
    <row r="274" spans="1:8">
      <c r="A274" s="2">
        <v>45790</v>
      </c>
      <c r="B274" t="s">
        <v>6</v>
      </c>
      <c r="C274">
        <v>7</v>
      </c>
      <c r="D274" t="s">
        <v>60</v>
      </c>
      <c r="E274">
        <v>6.8</v>
      </c>
      <c r="F274" t="s">
        <v>7</v>
      </c>
      <c r="G274" t="s">
        <v>103</v>
      </c>
      <c r="H274" t="s">
        <v>2913</v>
      </c>
    </row>
    <row r="275" spans="1:8">
      <c r="A275" s="2">
        <v>45790</v>
      </c>
      <c r="B275" t="s">
        <v>9</v>
      </c>
      <c r="C275">
        <v>11.6</v>
      </c>
      <c r="D275" t="s">
        <v>55</v>
      </c>
      <c r="E275">
        <v>11.6</v>
      </c>
      <c r="F275" t="s">
        <v>10</v>
      </c>
      <c r="G275" t="s">
        <v>104</v>
      </c>
      <c r="H275" t="s">
        <v>2914</v>
      </c>
    </row>
    <row r="276" spans="1:8">
      <c r="A276" s="2">
        <v>45790</v>
      </c>
      <c r="B276" t="s">
        <v>12</v>
      </c>
      <c r="C276">
        <v>15.9</v>
      </c>
      <c r="D276" t="s">
        <v>57</v>
      </c>
      <c r="E276">
        <v>15.9</v>
      </c>
      <c r="F276" t="s">
        <v>13</v>
      </c>
      <c r="G276" t="s">
        <v>112</v>
      </c>
      <c r="H276" t="s">
        <v>2915</v>
      </c>
    </row>
    <row r="277" spans="1:8">
      <c r="A277" s="2">
        <v>45790</v>
      </c>
      <c r="B277" t="s">
        <v>15</v>
      </c>
      <c r="C277">
        <v>6.4</v>
      </c>
      <c r="D277" t="s">
        <v>54</v>
      </c>
      <c r="E277">
        <v>6.4</v>
      </c>
      <c r="F277" t="s">
        <v>16</v>
      </c>
      <c r="G277" t="s">
        <v>105</v>
      </c>
      <c r="H277" t="s">
        <v>2916</v>
      </c>
    </row>
    <row r="278" spans="1:8">
      <c r="A278" s="2">
        <v>45790</v>
      </c>
      <c r="B278" t="s">
        <v>18</v>
      </c>
      <c r="C278">
        <v>7.2</v>
      </c>
      <c r="D278" t="s">
        <v>114</v>
      </c>
      <c r="E278">
        <v>7.2</v>
      </c>
      <c r="F278" t="s">
        <v>19</v>
      </c>
      <c r="G278" t="s">
        <v>113</v>
      </c>
      <c r="H278" t="s">
        <v>2917</v>
      </c>
    </row>
    <row r="279" spans="1:8">
      <c r="A279" s="2">
        <v>45790</v>
      </c>
      <c r="B279" t="s">
        <v>20</v>
      </c>
      <c r="C279">
        <v>20.100000000000001</v>
      </c>
      <c r="D279" t="s">
        <v>59</v>
      </c>
      <c r="E279">
        <v>20.100000000000001</v>
      </c>
      <c r="F279" t="s">
        <v>21</v>
      </c>
      <c r="G279" t="s">
        <v>2609</v>
      </c>
      <c r="H279" t="s">
        <v>2918</v>
      </c>
    </row>
    <row r="280" spans="1:8">
      <c r="A280" s="2">
        <v>45790</v>
      </c>
      <c r="B280" t="s">
        <v>23</v>
      </c>
      <c r="C280">
        <v>19.7</v>
      </c>
      <c r="D280" t="s">
        <v>120</v>
      </c>
      <c r="E280">
        <v>19.5</v>
      </c>
      <c r="F280" t="s">
        <v>24</v>
      </c>
      <c r="G280" t="s">
        <v>107</v>
      </c>
      <c r="H280" t="s">
        <v>2919</v>
      </c>
    </row>
    <row r="281" spans="1:8">
      <c r="A281" s="2">
        <v>45790</v>
      </c>
      <c r="B281" t="s">
        <v>25</v>
      </c>
      <c r="C281">
        <v>15.2</v>
      </c>
      <c r="D281" t="s">
        <v>252</v>
      </c>
      <c r="E281">
        <v>15.2</v>
      </c>
      <c r="F281" t="s">
        <v>26</v>
      </c>
      <c r="G281" t="s">
        <v>115</v>
      </c>
      <c r="H281" t="s">
        <v>2920</v>
      </c>
    </row>
    <row r="282" spans="1:8">
      <c r="A282" s="2">
        <v>45790</v>
      </c>
      <c r="B282" t="s">
        <v>30</v>
      </c>
      <c r="C282">
        <v>14.2</v>
      </c>
      <c r="D282" t="s">
        <v>56</v>
      </c>
      <c r="E282">
        <v>14.3</v>
      </c>
      <c r="F282" t="s">
        <v>31</v>
      </c>
      <c r="G282" t="s">
        <v>108</v>
      </c>
      <c r="H282" t="s">
        <v>2921</v>
      </c>
    </row>
    <row r="283" spans="1:8">
      <c r="A283" s="2">
        <v>45790</v>
      </c>
      <c r="B283" t="s">
        <v>33</v>
      </c>
      <c r="C283">
        <v>8.1999999999999993</v>
      </c>
      <c r="D283" t="s">
        <v>343</v>
      </c>
      <c r="E283">
        <v>8.1999999999999993</v>
      </c>
      <c r="F283" t="s">
        <v>34</v>
      </c>
      <c r="G283" t="s">
        <v>109</v>
      </c>
      <c r="H283" t="s">
        <v>2922</v>
      </c>
    </row>
    <row r="284" spans="1:8">
      <c r="A284" s="2">
        <v>45790</v>
      </c>
      <c r="B284" t="s">
        <v>35</v>
      </c>
      <c r="C284">
        <v>20.6</v>
      </c>
      <c r="D284" t="s">
        <v>63</v>
      </c>
      <c r="E284">
        <v>20.5</v>
      </c>
      <c r="F284" t="s">
        <v>36</v>
      </c>
      <c r="G284" t="s">
        <v>110</v>
      </c>
      <c r="H284" t="s">
        <v>2923</v>
      </c>
    </row>
    <row r="285" spans="1:8">
      <c r="A285" s="2">
        <v>45790</v>
      </c>
      <c r="B285" t="s">
        <v>41</v>
      </c>
      <c r="C285">
        <v>21.9</v>
      </c>
      <c r="D285" t="s">
        <v>254</v>
      </c>
      <c r="E285">
        <v>21.9</v>
      </c>
      <c r="F285" t="s">
        <v>42</v>
      </c>
      <c r="G285" t="s">
        <v>117</v>
      </c>
      <c r="H285" t="s">
        <v>2924</v>
      </c>
    </row>
    <row r="286" spans="1:8">
      <c r="A286" s="2">
        <v>45790</v>
      </c>
      <c r="B286" t="s">
        <v>46</v>
      </c>
      <c r="C286">
        <v>18.2</v>
      </c>
      <c r="D286" t="s">
        <v>62</v>
      </c>
      <c r="E286">
        <v>18.2</v>
      </c>
      <c r="F286" t="s">
        <v>47</v>
      </c>
      <c r="G286" t="s">
        <v>106</v>
      </c>
      <c r="H286" t="s">
        <v>2925</v>
      </c>
    </row>
    <row r="287" spans="1:8">
      <c r="A287" s="2">
        <v>45790</v>
      </c>
      <c r="B287" t="s">
        <v>49</v>
      </c>
      <c r="C287">
        <v>14.4</v>
      </c>
      <c r="D287" t="s">
        <v>58</v>
      </c>
      <c r="E287">
        <v>14.4</v>
      </c>
      <c r="F287" t="s">
        <v>50</v>
      </c>
      <c r="G287" t="s">
        <v>111</v>
      </c>
      <c r="H287" t="s">
        <v>2926</v>
      </c>
    </row>
    <row r="288" spans="1:8">
      <c r="A288" s="2">
        <v>45790</v>
      </c>
      <c r="B288" t="s">
        <v>135</v>
      </c>
      <c r="C288">
        <v>20.100000000000001</v>
      </c>
      <c r="D288" t="s">
        <v>134</v>
      </c>
      <c r="E288">
        <v>19.100000000000001</v>
      </c>
      <c r="F288" t="s">
        <v>123</v>
      </c>
      <c r="G288" t="s">
        <v>132</v>
      </c>
      <c r="H288" t="s">
        <v>2927</v>
      </c>
    </row>
    <row r="289" spans="1:8">
      <c r="A289" s="2">
        <v>45790</v>
      </c>
      <c r="B289" t="s">
        <v>201</v>
      </c>
      <c r="C289">
        <v>8.6</v>
      </c>
      <c r="D289" t="s">
        <v>209</v>
      </c>
      <c r="E289">
        <v>9</v>
      </c>
      <c r="F289" t="s">
        <v>202</v>
      </c>
      <c r="G289" t="s">
        <v>213</v>
      </c>
      <c r="H289" t="s">
        <v>2928</v>
      </c>
    </row>
    <row r="290" spans="1:8">
      <c r="A290" s="2">
        <v>45790</v>
      </c>
      <c r="B290" t="s">
        <v>203</v>
      </c>
      <c r="C290">
        <v>17.899999999999999</v>
      </c>
      <c r="D290" t="s">
        <v>212</v>
      </c>
      <c r="E290">
        <v>17.899999999999999</v>
      </c>
      <c r="F290" t="s">
        <v>204</v>
      </c>
      <c r="G290" t="s">
        <v>203</v>
      </c>
      <c r="H290" t="s">
        <v>2929</v>
      </c>
    </row>
    <row r="291" spans="1:8">
      <c r="A291" s="2">
        <v>45790</v>
      </c>
      <c r="B291" t="s">
        <v>205</v>
      </c>
      <c r="C291">
        <v>5.2</v>
      </c>
      <c r="D291" t="s">
        <v>211</v>
      </c>
      <c r="E291">
        <v>5.2</v>
      </c>
      <c r="F291" t="s">
        <v>206</v>
      </c>
      <c r="G291" t="s">
        <v>214</v>
      </c>
      <c r="H291" t="s">
        <v>2930</v>
      </c>
    </row>
    <row r="292" spans="1:8">
      <c r="A292" s="2">
        <v>45790</v>
      </c>
      <c r="B292" t="s">
        <v>207</v>
      </c>
      <c r="C292">
        <v>15</v>
      </c>
      <c r="D292" t="s">
        <v>210</v>
      </c>
      <c r="E292">
        <v>14.5</v>
      </c>
      <c r="F292" t="s">
        <v>208</v>
      </c>
      <c r="G292" t="s">
        <v>215</v>
      </c>
      <c r="H292" t="s">
        <v>2931</v>
      </c>
    </row>
    <row r="293" spans="1:8">
      <c r="A293" s="2">
        <v>45790</v>
      </c>
      <c r="B293" t="s">
        <v>217</v>
      </c>
      <c r="C293">
        <v>21.9</v>
      </c>
      <c r="D293" t="s">
        <v>219</v>
      </c>
      <c r="E293">
        <v>20.9</v>
      </c>
      <c r="F293" t="s">
        <v>218</v>
      </c>
      <c r="G293" t="s">
        <v>2610</v>
      </c>
      <c r="H293" t="s">
        <v>2932</v>
      </c>
    </row>
    <row r="294" spans="1:8">
      <c r="A294" s="2">
        <v>45790</v>
      </c>
      <c r="B294" t="s">
        <v>225</v>
      </c>
      <c r="C294">
        <v>10.6</v>
      </c>
      <c r="D294" t="s">
        <v>244</v>
      </c>
      <c r="E294">
        <v>10.9</v>
      </c>
      <c r="F294" t="s">
        <v>226</v>
      </c>
      <c r="G294" t="s">
        <v>228</v>
      </c>
      <c r="H294" t="s">
        <v>2933</v>
      </c>
    </row>
    <row r="295" spans="1:8">
      <c r="A295" s="2">
        <v>45790</v>
      </c>
      <c r="B295" t="s">
        <v>248</v>
      </c>
      <c r="C295">
        <v>13.4</v>
      </c>
      <c r="D295" t="s">
        <v>250</v>
      </c>
      <c r="E295">
        <v>13.4</v>
      </c>
      <c r="F295" t="s">
        <v>249</v>
      </c>
      <c r="G295" t="s">
        <v>251</v>
      </c>
      <c r="H295" t="s">
        <v>2934</v>
      </c>
    </row>
    <row r="296" spans="1:8">
      <c r="A296" s="2">
        <v>45790</v>
      </c>
      <c r="B296" t="s">
        <v>259</v>
      </c>
      <c r="C296">
        <v>0.6</v>
      </c>
      <c r="D296" t="s">
        <v>261</v>
      </c>
      <c r="E296">
        <v>0.9</v>
      </c>
      <c r="F296" t="s">
        <v>262</v>
      </c>
      <c r="G296" t="s">
        <v>260</v>
      </c>
      <c r="H296" t="s">
        <v>2935</v>
      </c>
    </row>
    <row r="297" spans="1:8">
      <c r="A297" s="2">
        <v>45790</v>
      </c>
      <c r="B297" t="s">
        <v>264</v>
      </c>
      <c r="C297">
        <v>18.899999999999999</v>
      </c>
      <c r="D297" t="s">
        <v>266</v>
      </c>
      <c r="E297">
        <v>18.899999999999999</v>
      </c>
      <c r="F297" t="s">
        <v>265</v>
      </c>
      <c r="G297" t="s">
        <v>267</v>
      </c>
      <c r="H297" t="s">
        <v>2936</v>
      </c>
    </row>
    <row r="298" spans="1:8">
      <c r="A298" s="2">
        <v>45790</v>
      </c>
      <c r="B298" t="s">
        <v>271</v>
      </c>
      <c r="C298">
        <v>16.399999999999999</v>
      </c>
      <c r="D298" t="s">
        <v>269</v>
      </c>
      <c r="E298">
        <v>16.399999999999999</v>
      </c>
      <c r="F298" t="s">
        <v>268</v>
      </c>
      <c r="G298" t="s">
        <v>270</v>
      </c>
      <c r="H298" t="s">
        <v>2937</v>
      </c>
    </row>
    <row r="299" spans="1:8">
      <c r="A299" s="2">
        <v>45790</v>
      </c>
      <c r="B299" t="s">
        <v>293</v>
      </c>
      <c r="C299">
        <v>15.1</v>
      </c>
      <c r="D299" t="s">
        <v>373</v>
      </c>
      <c r="E299">
        <v>15.1</v>
      </c>
      <c r="F299" t="s">
        <v>381</v>
      </c>
      <c r="G299" t="s">
        <v>287</v>
      </c>
      <c r="H299" t="s">
        <v>2938</v>
      </c>
    </row>
    <row r="300" spans="1:8">
      <c r="A300" s="2">
        <v>45790</v>
      </c>
      <c r="B300" t="s">
        <v>291</v>
      </c>
      <c r="C300">
        <v>1.6</v>
      </c>
      <c r="D300" t="s">
        <v>2637</v>
      </c>
      <c r="E300">
        <v>1.5</v>
      </c>
      <c r="F300" t="s">
        <v>431</v>
      </c>
      <c r="G300" t="s">
        <v>286</v>
      </c>
      <c r="H300" t="s">
        <v>2939</v>
      </c>
    </row>
    <row r="301" spans="1:8">
      <c r="A301" s="2">
        <v>45790</v>
      </c>
      <c r="B301" t="s">
        <v>297</v>
      </c>
      <c r="C301">
        <v>18.3</v>
      </c>
      <c r="D301" t="s">
        <v>296</v>
      </c>
      <c r="E301">
        <v>18.5</v>
      </c>
      <c r="F301" t="s">
        <v>382</v>
      </c>
      <c r="G301" t="s">
        <v>297</v>
      </c>
      <c r="H301" t="s">
        <v>2940</v>
      </c>
    </row>
    <row r="302" spans="1:8">
      <c r="A302" s="2">
        <v>45790</v>
      </c>
      <c r="B302" t="s">
        <v>326</v>
      </c>
      <c r="C302">
        <v>8.4</v>
      </c>
      <c r="D302" t="s">
        <v>331</v>
      </c>
      <c r="E302">
        <v>8.1999999999999993</v>
      </c>
      <c r="F302" t="s">
        <v>327</v>
      </c>
      <c r="G302" t="s">
        <v>330</v>
      </c>
      <c r="H302" t="s">
        <v>2941</v>
      </c>
    </row>
    <row r="303" spans="1:8">
      <c r="A303" s="2">
        <v>45790</v>
      </c>
      <c r="B303" t="s">
        <v>328</v>
      </c>
      <c r="C303">
        <v>10.5</v>
      </c>
      <c r="D303" t="s">
        <v>332</v>
      </c>
      <c r="E303">
        <v>10.5</v>
      </c>
      <c r="F303" t="s">
        <v>329</v>
      </c>
      <c r="G303" t="s">
        <v>333</v>
      </c>
      <c r="H303" t="s">
        <v>2942</v>
      </c>
    </row>
    <row r="304" spans="1:8">
      <c r="A304" s="2">
        <v>45790</v>
      </c>
      <c r="B304" t="s">
        <v>375</v>
      </c>
      <c r="C304">
        <v>12</v>
      </c>
      <c r="D304" t="s">
        <v>377</v>
      </c>
      <c r="E304">
        <v>11</v>
      </c>
      <c r="F304" t="s">
        <v>376</v>
      </c>
      <c r="G304" t="s">
        <v>375</v>
      </c>
      <c r="H304" t="s">
        <v>2943</v>
      </c>
    </row>
    <row r="305" spans="1:8">
      <c r="A305" s="2">
        <v>45790</v>
      </c>
      <c r="B305" t="s">
        <v>388</v>
      </c>
      <c r="C305">
        <v>25.7</v>
      </c>
      <c r="D305" t="s">
        <v>389</v>
      </c>
      <c r="E305">
        <v>25.7</v>
      </c>
      <c r="F305" t="s">
        <v>391</v>
      </c>
      <c r="G305" t="s">
        <v>390</v>
      </c>
      <c r="H305" t="s">
        <v>2944</v>
      </c>
    </row>
    <row r="306" spans="1:8">
      <c r="A306" s="2">
        <v>45790</v>
      </c>
      <c r="B306" t="s">
        <v>2469</v>
      </c>
      <c r="C306">
        <v>6.1</v>
      </c>
      <c r="D306" t="s">
        <v>2550</v>
      </c>
      <c r="E306">
        <v>6.3</v>
      </c>
      <c r="F306" t="s">
        <v>2470</v>
      </c>
      <c r="G306" t="s">
        <v>2472</v>
      </c>
      <c r="H306" t="s">
        <v>2945</v>
      </c>
    </row>
    <row r="307" spans="1:8">
      <c r="A307" s="2">
        <v>45790</v>
      </c>
      <c r="B307" t="s">
        <v>2473</v>
      </c>
      <c r="C307">
        <v>14.2</v>
      </c>
      <c r="D307" t="s">
        <v>2475</v>
      </c>
      <c r="E307">
        <v>13.9</v>
      </c>
      <c r="F307" t="s">
        <v>2474</v>
      </c>
      <c r="G307" t="s">
        <v>2473</v>
      </c>
      <c r="H307" t="s">
        <v>2946</v>
      </c>
    </row>
    <row r="308" spans="1:8">
      <c r="A308" s="2">
        <v>45790</v>
      </c>
      <c r="B308" t="s">
        <v>2516</v>
      </c>
      <c r="C308">
        <v>17.100000000000001</v>
      </c>
      <c r="D308" t="s">
        <v>2518</v>
      </c>
      <c r="E308">
        <v>16.3</v>
      </c>
      <c r="F308" t="s">
        <v>2517</v>
      </c>
      <c r="G308" t="s">
        <v>2519</v>
      </c>
      <c r="H308" t="s">
        <v>2947</v>
      </c>
    </row>
    <row r="309" spans="1:8">
      <c r="A309" s="2">
        <v>45790</v>
      </c>
      <c r="B309" t="s">
        <v>2561</v>
      </c>
      <c r="C309">
        <v>20.6</v>
      </c>
      <c r="D309" t="s">
        <v>2563</v>
      </c>
      <c r="E309">
        <v>20.3</v>
      </c>
      <c r="F309" t="s">
        <v>2562</v>
      </c>
      <c r="G309" t="s">
        <v>2564</v>
      </c>
      <c r="H309" t="s">
        <v>2948</v>
      </c>
    </row>
    <row r="310" spans="1:8">
      <c r="A310" s="2">
        <v>45790</v>
      </c>
      <c r="B310" t="s">
        <v>2603</v>
      </c>
      <c r="C310">
        <v>7.8</v>
      </c>
      <c r="D310" t="s">
        <v>2604</v>
      </c>
      <c r="E310">
        <v>7.2</v>
      </c>
      <c r="F310" t="s">
        <v>2605</v>
      </c>
      <c r="G310" t="s">
        <v>2603</v>
      </c>
      <c r="H310" t="s">
        <v>2949</v>
      </c>
    </row>
    <row r="311" spans="1:8">
      <c r="A311" s="2">
        <v>45790</v>
      </c>
      <c r="B311" t="s">
        <v>2606</v>
      </c>
      <c r="C311">
        <v>10.8</v>
      </c>
      <c r="D311" t="s">
        <v>2607</v>
      </c>
      <c r="E311">
        <v>9.8000000000000007</v>
      </c>
      <c r="F311" t="s">
        <v>292</v>
      </c>
      <c r="G311" t="s">
        <v>2606</v>
      </c>
      <c r="H311" t="s">
        <v>2950</v>
      </c>
    </row>
    <row r="312" spans="1:8">
      <c r="A312" s="2">
        <v>45802</v>
      </c>
      <c r="B312" t="s">
        <v>3</v>
      </c>
      <c r="C312">
        <v>5</v>
      </c>
      <c r="D312" t="s">
        <v>61</v>
      </c>
      <c r="E312">
        <v>4.7</v>
      </c>
      <c r="F312" t="s">
        <v>4</v>
      </c>
      <c r="G312" t="s">
        <v>102</v>
      </c>
      <c r="H312" t="s">
        <v>2951</v>
      </c>
    </row>
    <row r="313" spans="1:8">
      <c r="A313" s="2">
        <v>45802</v>
      </c>
      <c r="B313" t="s">
        <v>6</v>
      </c>
      <c r="C313">
        <v>7</v>
      </c>
      <c r="D313" t="s">
        <v>60</v>
      </c>
      <c r="E313">
        <v>7</v>
      </c>
      <c r="F313" t="s">
        <v>7</v>
      </c>
      <c r="G313" t="s">
        <v>103</v>
      </c>
      <c r="H313" t="s">
        <v>2952</v>
      </c>
    </row>
    <row r="314" spans="1:8">
      <c r="A314" s="2">
        <v>45802</v>
      </c>
      <c r="B314" t="s">
        <v>9</v>
      </c>
      <c r="C314">
        <v>11.5</v>
      </c>
      <c r="D314" t="s">
        <v>55</v>
      </c>
      <c r="E314">
        <v>11.6</v>
      </c>
      <c r="F314" t="s">
        <v>10</v>
      </c>
      <c r="G314" t="s">
        <v>104</v>
      </c>
      <c r="H314" t="s">
        <v>2953</v>
      </c>
    </row>
    <row r="315" spans="1:8">
      <c r="A315" s="2">
        <v>45802</v>
      </c>
      <c r="B315" t="s">
        <v>12</v>
      </c>
      <c r="C315">
        <v>15.9</v>
      </c>
      <c r="D315" t="s">
        <v>57</v>
      </c>
      <c r="E315">
        <v>15.9</v>
      </c>
      <c r="F315" t="s">
        <v>13</v>
      </c>
      <c r="G315" t="s">
        <v>112</v>
      </c>
      <c r="H315" t="s">
        <v>2954</v>
      </c>
    </row>
    <row r="316" spans="1:8">
      <c r="A316" s="2">
        <v>45802</v>
      </c>
      <c r="B316" t="s">
        <v>15</v>
      </c>
      <c r="C316">
        <v>6.8</v>
      </c>
      <c r="D316" t="s">
        <v>54</v>
      </c>
      <c r="E316">
        <v>6.5</v>
      </c>
      <c r="F316" t="s">
        <v>16</v>
      </c>
      <c r="G316" t="s">
        <v>105</v>
      </c>
      <c r="H316" t="s">
        <v>2955</v>
      </c>
    </row>
    <row r="317" spans="1:8">
      <c r="A317" s="2">
        <v>45802</v>
      </c>
      <c r="B317" t="s">
        <v>18</v>
      </c>
      <c r="C317">
        <v>7</v>
      </c>
      <c r="D317" t="s">
        <v>114</v>
      </c>
      <c r="E317">
        <v>7.2</v>
      </c>
      <c r="F317" t="s">
        <v>19</v>
      </c>
      <c r="G317" t="s">
        <v>113</v>
      </c>
      <c r="H317" t="s">
        <v>2956</v>
      </c>
    </row>
    <row r="318" spans="1:8">
      <c r="A318" s="2">
        <v>45802</v>
      </c>
      <c r="B318" t="s">
        <v>20</v>
      </c>
      <c r="C318">
        <v>20.2</v>
      </c>
      <c r="D318" t="s">
        <v>59</v>
      </c>
      <c r="E318">
        <v>20.100000000000001</v>
      </c>
      <c r="F318" t="s">
        <v>21</v>
      </c>
      <c r="G318" t="s">
        <v>2609</v>
      </c>
      <c r="H318" t="s">
        <v>2957</v>
      </c>
    </row>
    <row r="319" spans="1:8">
      <c r="A319" s="2">
        <v>45802</v>
      </c>
      <c r="B319" t="s">
        <v>23</v>
      </c>
      <c r="C319">
        <v>19.7</v>
      </c>
      <c r="D319" t="s">
        <v>120</v>
      </c>
      <c r="E319">
        <v>19.5</v>
      </c>
      <c r="F319" t="s">
        <v>24</v>
      </c>
      <c r="G319" t="s">
        <v>107</v>
      </c>
      <c r="H319" t="s">
        <v>2958</v>
      </c>
    </row>
    <row r="320" spans="1:8">
      <c r="A320" s="2">
        <v>45802</v>
      </c>
      <c r="B320" t="s">
        <v>25</v>
      </c>
      <c r="C320">
        <v>15.2</v>
      </c>
      <c r="D320" t="s">
        <v>252</v>
      </c>
      <c r="E320">
        <v>15.2</v>
      </c>
      <c r="F320" t="s">
        <v>26</v>
      </c>
      <c r="G320" t="s">
        <v>115</v>
      </c>
      <c r="H320" t="s">
        <v>2959</v>
      </c>
    </row>
    <row r="321" spans="1:8">
      <c r="A321" s="2">
        <v>45802</v>
      </c>
      <c r="B321" t="s">
        <v>30</v>
      </c>
      <c r="C321">
        <v>14.2</v>
      </c>
      <c r="D321" t="s">
        <v>56</v>
      </c>
      <c r="E321">
        <v>14.2</v>
      </c>
      <c r="F321" t="s">
        <v>31</v>
      </c>
      <c r="G321" t="s">
        <v>108</v>
      </c>
      <c r="H321" t="s">
        <v>2960</v>
      </c>
    </row>
    <row r="322" spans="1:8">
      <c r="A322" s="2">
        <v>45802</v>
      </c>
      <c r="B322" t="s">
        <v>33</v>
      </c>
      <c r="C322">
        <v>7.4</v>
      </c>
      <c r="D322" t="s">
        <v>343</v>
      </c>
      <c r="E322">
        <v>8</v>
      </c>
      <c r="F322" t="s">
        <v>34</v>
      </c>
      <c r="G322" t="s">
        <v>109</v>
      </c>
      <c r="H322" t="s">
        <v>2961</v>
      </c>
    </row>
    <row r="323" spans="1:8">
      <c r="A323" s="2">
        <v>45802</v>
      </c>
      <c r="B323" t="s">
        <v>35</v>
      </c>
      <c r="C323">
        <v>20.9</v>
      </c>
      <c r="D323" t="s">
        <v>63</v>
      </c>
      <c r="E323">
        <v>20.6</v>
      </c>
      <c r="F323" t="s">
        <v>36</v>
      </c>
      <c r="G323" t="s">
        <v>110</v>
      </c>
      <c r="H323" t="s">
        <v>2962</v>
      </c>
    </row>
    <row r="324" spans="1:8">
      <c r="A324" s="2">
        <v>45802</v>
      </c>
      <c r="B324" t="s">
        <v>41</v>
      </c>
      <c r="C324">
        <v>22.9</v>
      </c>
      <c r="D324" t="s">
        <v>254</v>
      </c>
      <c r="E324">
        <v>22.1</v>
      </c>
      <c r="F324" t="s">
        <v>42</v>
      </c>
      <c r="G324" t="s">
        <v>117</v>
      </c>
      <c r="H324" t="s">
        <v>2963</v>
      </c>
    </row>
    <row r="325" spans="1:8">
      <c r="A325" s="2">
        <v>45802</v>
      </c>
      <c r="B325" t="s">
        <v>46</v>
      </c>
      <c r="C325">
        <v>18.8</v>
      </c>
      <c r="D325" t="s">
        <v>62</v>
      </c>
      <c r="E325">
        <v>18.8</v>
      </c>
      <c r="F325" t="s">
        <v>47</v>
      </c>
      <c r="G325" t="s">
        <v>106</v>
      </c>
      <c r="H325" t="s">
        <v>2964</v>
      </c>
    </row>
    <row r="326" spans="1:8">
      <c r="A326" s="2">
        <v>45802</v>
      </c>
      <c r="B326" t="s">
        <v>49</v>
      </c>
      <c r="C326">
        <v>14.4</v>
      </c>
      <c r="D326" t="s">
        <v>58</v>
      </c>
      <c r="E326">
        <v>14.4</v>
      </c>
      <c r="F326" t="s">
        <v>50</v>
      </c>
      <c r="G326" t="s">
        <v>111</v>
      </c>
      <c r="H326" t="s">
        <v>2965</v>
      </c>
    </row>
    <row r="327" spans="1:8">
      <c r="A327" s="2">
        <v>45802</v>
      </c>
      <c r="B327" t="s">
        <v>135</v>
      </c>
      <c r="C327">
        <v>20.100000000000001</v>
      </c>
      <c r="D327" t="s">
        <v>134</v>
      </c>
      <c r="E327">
        <v>20.100000000000001</v>
      </c>
      <c r="F327" t="s">
        <v>123</v>
      </c>
      <c r="G327" t="s">
        <v>132</v>
      </c>
      <c r="H327" t="s">
        <v>2966</v>
      </c>
    </row>
    <row r="328" spans="1:8">
      <c r="A328" s="2">
        <v>45802</v>
      </c>
      <c r="B328" t="s">
        <v>201</v>
      </c>
      <c r="C328">
        <v>7.5</v>
      </c>
      <c r="D328" t="s">
        <v>209</v>
      </c>
      <c r="E328">
        <v>7.8</v>
      </c>
      <c r="F328" t="s">
        <v>202</v>
      </c>
      <c r="G328" t="s">
        <v>213</v>
      </c>
      <c r="H328" t="s">
        <v>2967</v>
      </c>
    </row>
    <row r="329" spans="1:8">
      <c r="A329" s="2">
        <v>45802</v>
      </c>
      <c r="B329" t="s">
        <v>203</v>
      </c>
      <c r="C329">
        <v>17.2</v>
      </c>
      <c r="D329" t="s">
        <v>212</v>
      </c>
      <c r="E329">
        <v>17.2</v>
      </c>
      <c r="F329" t="s">
        <v>204</v>
      </c>
      <c r="G329" t="s">
        <v>203</v>
      </c>
      <c r="H329" t="s">
        <v>2968</v>
      </c>
    </row>
    <row r="330" spans="1:8">
      <c r="A330" s="2">
        <v>45802</v>
      </c>
      <c r="B330" t="s">
        <v>205</v>
      </c>
      <c r="C330">
        <v>5.2</v>
      </c>
      <c r="D330" t="s">
        <v>211</v>
      </c>
      <c r="E330">
        <v>5.2</v>
      </c>
      <c r="F330" t="s">
        <v>206</v>
      </c>
      <c r="G330" t="s">
        <v>214</v>
      </c>
      <c r="H330" t="s">
        <v>2969</v>
      </c>
    </row>
    <row r="331" spans="1:8">
      <c r="A331" s="2">
        <v>45802</v>
      </c>
      <c r="B331" t="s">
        <v>207</v>
      </c>
      <c r="C331">
        <v>15</v>
      </c>
      <c r="D331" t="s">
        <v>210</v>
      </c>
      <c r="E331">
        <v>14.5</v>
      </c>
      <c r="F331" t="s">
        <v>208</v>
      </c>
      <c r="G331" t="s">
        <v>215</v>
      </c>
      <c r="H331" t="s">
        <v>2970</v>
      </c>
    </row>
    <row r="332" spans="1:8">
      <c r="A332" s="2">
        <v>45802</v>
      </c>
      <c r="B332" t="s">
        <v>217</v>
      </c>
      <c r="C332">
        <v>22.2</v>
      </c>
      <c r="D332" t="s">
        <v>219</v>
      </c>
      <c r="E332">
        <v>22.2</v>
      </c>
      <c r="F332" t="s">
        <v>218</v>
      </c>
      <c r="G332" t="s">
        <v>2610</v>
      </c>
      <c r="H332" t="s">
        <v>2971</v>
      </c>
    </row>
    <row r="333" spans="1:8">
      <c r="A333" s="2">
        <v>45802</v>
      </c>
      <c r="B333" t="s">
        <v>225</v>
      </c>
      <c r="C333">
        <v>10.7</v>
      </c>
      <c r="D333" t="s">
        <v>244</v>
      </c>
      <c r="E333">
        <v>10.5</v>
      </c>
      <c r="F333" t="s">
        <v>226</v>
      </c>
      <c r="G333" t="s">
        <v>228</v>
      </c>
      <c r="H333" t="s">
        <v>2972</v>
      </c>
    </row>
    <row r="334" spans="1:8">
      <c r="A334" s="2">
        <v>45802</v>
      </c>
      <c r="B334" t="s">
        <v>248</v>
      </c>
      <c r="C334">
        <v>13.1</v>
      </c>
      <c r="D334" t="s">
        <v>250</v>
      </c>
      <c r="E334">
        <v>13.4</v>
      </c>
      <c r="F334" t="s">
        <v>249</v>
      </c>
      <c r="G334" t="s">
        <v>251</v>
      </c>
      <c r="H334" t="s">
        <v>2973</v>
      </c>
    </row>
    <row r="335" spans="1:8">
      <c r="A335" s="2">
        <v>45802</v>
      </c>
      <c r="B335" t="s">
        <v>259</v>
      </c>
      <c r="C335">
        <v>0.6</v>
      </c>
      <c r="D335" t="s">
        <v>261</v>
      </c>
      <c r="E335">
        <v>0.9</v>
      </c>
      <c r="F335" t="s">
        <v>262</v>
      </c>
      <c r="G335" t="s">
        <v>260</v>
      </c>
      <c r="H335" t="s">
        <v>2974</v>
      </c>
    </row>
    <row r="336" spans="1:8">
      <c r="A336" s="2">
        <v>45802</v>
      </c>
      <c r="B336" t="s">
        <v>264</v>
      </c>
      <c r="C336">
        <v>18.8</v>
      </c>
      <c r="D336" t="s">
        <v>266</v>
      </c>
      <c r="E336">
        <v>18.899999999999999</v>
      </c>
      <c r="F336" t="s">
        <v>265</v>
      </c>
      <c r="G336" t="s">
        <v>267</v>
      </c>
      <c r="H336" t="s">
        <v>2975</v>
      </c>
    </row>
    <row r="337" spans="1:8">
      <c r="A337" s="2">
        <v>45802</v>
      </c>
      <c r="B337" t="s">
        <v>271</v>
      </c>
      <c r="C337">
        <v>16.399999999999999</v>
      </c>
      <c r="D337" t="s">
        <v>269</v>
      </c>
      <c r="E337">
        <v>16.399999999999999</v>
      </c>
      <c r="F337" t="s">
        <v>268</v>
      </c>
      <c r="G337" t="s">
        <v>270</v>
      </c>
      <c r="H337" t="s">
        <v>2976</v>
      </c>
    </row>
    <row r="338" spans="1:8">
      <c r="A338" s="2">
        <v>45802</v>
      </c>
      <c r="B338" t="s">
        <v>293</v>
      </c>
      <c r="C338">
        <v>15.1</v>
      </c>
      <c r="D338" t="s">
        <v>373</v>
      </c>
      <c r="E338">
        <v>15.1</v>
      </c>
      <c r="F338" t="s">
        <v>381</v>
      </c>
      <c r="G338" t="s">
        <v>287</v>
      </c>
      <c r="H338" t="s">
        <v>2977</v>
      </c>
    </row>
    <row r="339" spans="1:8">
      <c r="A339" s="2">
        <v>45802</v>
      </c>
      <c r="B339" t="s">
        <v>291</v>
      </c>
      <c r="C339">
        <v>1.8</v>
      </c>
      <c r="D339" t="s">
        <v>2637</v>
      </c>
      <c r="E339">
        <v>1.6</v>
      </c>
      <c r="F339" t="s">
        <v>431</v>
      </c>
      <c r="G339" t="s">
        <v>286</v>
      </c>
      <c r="H339" t="s">
        <v>2978</v>
      </c>
    </row>
    <row r="340" spans="1:8">
      <c r="A340" s="2">
        <v>45802</v>
      </c>
      <c r="B340" t="s">
        <v>297</v>
      </c>
      <c r="C340">
        <v>18.3</v>
      </c>
      <c r="D340" t="s">
        <v>296</v>
      </c>
      <c r="E340">
        <v>18.3</v>
      </c>
      <c r="F340" t="s">
        <v>382</v>
      </c>
      <c r="G340" t="s">
        <v>297</v>
      </c>
      <c r="H340" t="s">
        <v>2979</v>
      </c>
    </row>
    <row r="341" spans="1:8">
      <c r="A341" s="2">
        <v>45802</v>
      </c>
      <c r="B341" t="s">
        <v>326</v>
      </c>
      <c r="C341">
        <v>7.9</v>
      </c>
      <c r="D341" t="s">
        <v>331</v>
      </c>
      <c r="E341">
        <v>8.4</v>
      </c>
      <c r="F341" t="s">
        <v>327</v>
      </c>
      <c r="G341" t="s">
        <v>330</v>
      </c>
      <c r="H341" t="s">
        <v>2980</v>
      </c>
    </row>
    <row r="342" spans="1:8">
      <c r="A342" s="2">
        <v>45802</v>
      </c>
      <c r="B342" t="s">
        <v>328</v>
      </c>
      <c r="C342">
        <v>10.5</v>
      </c>
      <c r="D342" t="s">
        <v>332</v>
      </c>
      <c r="E342">
        <v>10.5</v>
      </c>
      <c r="F342" t="s">
        <v>329</v>
      </c>
      <c r="G342" t="s">
        <v>333</v>
      </c>
      <c r="H342" t="s">
        <v>2981</v>
      </c>
    </row>
    <row r="343" spans="1:8">
      <c r="A343" s="2">
        <v>45802</v>
      </c>
      <c r="B343" t="s">
        <v>375</v>
      </c>
      <c r="C343">
        <v>11.8</v>
      </c>
      <c r="D343" t="s">
        <v>377</v>
      </c>
      <c r="E343">
        <v>12.2</v>
      </c>
      <c r="F343" t="s">
        <v>376</v>
      </c>
      <c r="G343" t="s">
        <v>375</v>
      </c>
      <c r="H343" t="s">
        <v>2982</v>
      </c>
    </row>
    <row r="344" spans="1:8">
      <c r="A344" s="2">
        <v>45802</v>
      </c>
      <c r="B344" t="s">
        <v>388</v>
      </c>
      <c r="C344">
        <v>25.9</v>
      </c>
      <c r="D344" t="s">
        <v>389</v>
      </c>
      <c r="E344">
        <v>25.9</v>
      </c>
      <c r="F344" t="s">
        <v>391</v>
      </c>
      <c r="G344" t="s">
        <v>390</v>
      </c>
      <c r="H344" t="s">
        <v>2983</v>
      </c>
    </row>
    <row r="345" spans="1:8">
      <c r="A345" s="2">
        <v>45802</v>
      </c>
      <c r="B345" t="s">
        <v>2469</v>
      </c>
      <c r="C345">
        <v>5.8</v>
      </c>
      <c r="D345" t="s">
        <v>2550</v>
      </c>
      <c r="E345">
        <v>6.1</v>
      </c>
      <c r="F345" t="s">
        <v>2470</v>
      </c>
      <c r="G345" t="s">
        <v>2472</v>
      </c>
      <c r="H345" t="s">
        <v>2984</v>
      </c>
    </row>
    <row r="346" spans="1:8">
      <c r="A346" s="2">
        <v>45802</v>
      </c>
      <c r="B346" t="s">
        <v>2473</v>
      </c>
      <c r="C346">
        <v>15.4</v>
      </c>
      <c r="D346" t="s">
        <v>2475</v>
      </c>
      <c r="E346">
        <v>14.9</v>
      </c>
      <c r="F346" t="s">
        <v>2474</v>
      </c>
      <c r="G346" t="s">
        <v>2473</v>
      </c>
      <c r="H346" t="s">
        <v>2985</v>
      </c>
    </row>
    <row r="347" spans="1:8">
      <c r="A347" s="2">
        <v>45802</v>
      </c>
      <c r="B347" t="s">
        <v>2516</v>
      </c>
      <c r="C347">
        <v>17.8</v>
      </c>
      <c r="D347" t="s">
        <v>2518</v>
      </c>
      <c r="E347">
        <v>17.100000000000001</v>
      </c>
      <c r="F347" t="s">
        <v>2517</v>
      </c>
      <c r="G347" t="s">
        <v>2519</v>
      </c>
      <c r="H347" t="s">
        <v>2986</v>
      </c>
    </row>
    <row r="348" spans="1:8">
      <c r="A348" s="2">
        <v>45802</v>
      </c>
      <c r="B348" t="s">
        <v>2561</v>
      </c>
      <c r="C348">
        <v>20.6</v>
      </c>
      <c r="D348" t="s">
        <v>2563</v>
      </c>
      <c r="E348">
        <v>20.3</v>
      </c>
      <c r="F348" t="s">
        <v>2562</v>
      </c>
      <c r="G348" t="s">
        <v>2564</v>
      </c>
      <c r="H348" t="s">
        <v>2987</v>
      </c>
    </row>
    <row r="349" spans="1:8">
      <c r="A349" s="2">
        <v>45802</v>
      </c>
      <c r="B349" t="s">
        <v>2603</v>
      </c>
      <c r="C349">
        <v>7.8</v>
      </c>
      <c r="D349" t="s">
        <v>2604</v>
      </c>
      <c r="E349">
        <v>7.2</v>
      </c>
      <c r="F349" t="s">
        <v>2605</v>
      </c>
      <c r="G349" t="s">
        <v>2603</v>
      </c>
      <c r="H349" t="s">
        <v>2988</v>
      </c>
    </row>
    <row r="350" spans="1:8">
      <c r="A350" s="2">
        <v>45802</v>
      </c>
      <c r="B350" t="s">
        <v>2606</v>
      </c>
      <c r="C350">
        <v>10.8</v>
      </c>
      <c r="D350" t="s">
        <v>2607</v>
      </c>
      <c r="E350">
        <v>9.8000000000000007</v>
      </c>
      <c r="F350" t="s">
        <v>292</v>
      </c>
      <c r="G350" t="s">
        <v>2606</v>
      </c>
      <c r="H350" t="s">
        <v>2989</v>
      </c>
    </row>
    <row r="351" spans="1:8">
      <c r="A351" s="2">
        <v>45822</v>
      </c>
      <c r="B351" t="s">
        <v>3</v>
      </c>
      <c r="C351">
        <v>5</v>
      </c>
      <c r="D351" t="s">
        <v>61</v>
      </c>
      <c r="E351">
        <v>4.7</v>
      </c>
      <c r="F351" t="s">
        <v>4</v>
      </c>
      <c r="G351" t="s">
        <v>102</v>
      </c>
      <c r="H351" t="s">
        <v>2990</v>
      </c>
    </row>
    <row r="352" spans="1:8">
      <c r="A352" s="2">
        <v>45822</v>
      </c>
      <c r="B352" t="s">
        <v>6</v>
      </c>
      <c r="C352">
        <v>7</v>
      </c>
      <c r="D352" t="s">
        <v>60</v>
      </c>
      <c r="E352">
        <v>7</v>
      </c>
      <c r="F352" t="s">
        <v>7</v>
      </c>
      <c r="G352" t="s">
        <v>103</v>
      </c>
      <c r="H352" t="s">
        <v>2991</v>
      </c>
    </row>
    <row r="353" spans="1:8">
      <c r="A353" s="2">
        <v>45822</v>
      </c>
      <c r="B353" t="s">
        <v>9</v>
      </c>
      <c r="C353">
        <v>11.5</v>
      </c>
      <c r="D353" t="s">
        <v>55</v>
      </c>
      <c r="E353">
        <v>11.6</v>
      </c>
      <c r="F353" t="s">
        <v>10</v>
      </c>
      <c r="G353" t="s">
        <v>104</v>
      </c>
      <c r="H353" t="s">
        <v>2992</v>
      </c>
    </row>
    <row r="354" spans="1:8">
      <c r="A354" s="2">
        <v>45822</v>
      </c>
      <c r="B354" t="s">
        <v>12</v>
      </c>
      <c r="C354">
        <v>15.9</v>
      </c>
      <c r="D354" t="s">
        <v>57</v>
      </c>
      <c r="E354">
        <v>15.9</v>
      </c>
      <c r="F354" t="s">
        <v>13</v>
      </c>
      <c r="G354" t="s">
        <v>112</v>
      </c>
      <c r="H354" t="s">
        <v>2993</v>
      </c>
    </row>
    <row r="355" spans="1:8">
      <c r="A355" s="2">
        <v>45822</v>
      </c>
      <c r="B355" t="s">
        <v>15</v>
      </c>
      <c r="C355">
        <v>6.7</v>
      </c>
      <c r="D355" t="s">
        <v>54</v>
      </c>
      <c r="E355">
        <v>6.8</v>
      </c>
      <c r="F355" t="s">
        <v>16</v>
      </c>
      <c r="G355" t="s">
        <v>105</v>
      </c>
      <c r="H355" t="s">
        <v>2994</v>
      </c>
    </row>
    <row r="356" spans="1:8">
      <c r="A356" s="2">
        <v>45822</v>
      </c>
      <c r="B356" t="s">
        <v>18</v>
      </c>
      <c r="C356">
        <v>7</v>
      </c>
      <c r="D356" t="s">
        <v>114</v>
      </c>
      <c r="E356">
        <v>7</v>
      </c>
      <c r="F356" t="s">
        <v>19</v>
      </c>
      <c r="G356" t="s">
        <v>113</v>
      </c>
      <c r="H356" t="s">
        <v>2995</v>
      </c>
    </row>
    <row r="357" spans="1:8">
      <c r="A357" s="2">
        <v>45822</v>
      </c>
      <c r="B357" t="s">
        <v>20</v>
      </c>
      <c r="C357">
        <v>20.2</v>
      </c>
      <c r="D357" t="s">
        <v>59</v>
      </c>
      <c r="E357">
        <v>20.100000000000001</v>
      </c>
      <c r="F357" t="s">
        <v>21</v>
      </c>
      <c r="G357" t="s">
        <v>2609</v>
      </c>
      <c r="H357" t="s">
        <v>2996</v>
      </c>
    </row>
    <row r="358" spans="1:8">
      <c r="A358" s="2">
        <v>45822</v>
      </c>
      <c r="B358" t="s">
        <v>23</v>
      </c>
      <c r="C358">
        <v>19.7</v>
      </c>
      <c r="D358" t="s">
        <v>120</v>
      </c>
      <c r="E358">
        <v>19.5</v>
      </c>
      <c r="F358" t="s">
        <v>24</v>
      </c>
      <c r="G358" t="s">
        <v>107</v>
      </c>
      <c r="H358" t="s">
        <v>2997</v>
      </c>
    </row>
    <row r="359" spans="1:8">
      <c r="A359" s="2">
        <v>45822</v>
      </c>
      <c r="B359" t="s">
        <v>25</v>
      </c>
      <c r="C359">
        <v>15.2</v>
      </c>
      <c r="D359" t="s">
        <v>252</v>
      </c>
      <c r="E359">
        <v>15.2</v>
      </c>
      <c r="F359" t="s">
        <v>26</v>
      </c>
      <c r="G359" t="s">
        <v>115</v>
      </c>
      <c r="H359" t="s">
        <v>2998</v>
      </c>
    </row>
    <row r="360" spans="1:8">
      <c r="A360" s="2">
        <v>45822</v>
      </c>
      <c r="B360" t="s">
        <v>30</v>
      </c>
      <c r="C360">
        <v>14.2</v>
      </c>
      <c r="D360" t="s">
        <v>56</v>
      </c>
      <c r="E360">
        <v>14.2</v>
      </c>
      <c r="F360" t="s">
        <v>31</v>
      </c>
      <c r="G360" t="s">
        <v>108</v>
      </c>
      <c r="H360" t="s">
        <v>2999</v>
      </c>
    </row>
    <row r="361" spans="1:8">
      <c r="A361" s="2">
        <v>45822</v>
      </c>
      <c r="B361" t="s">
        <v>33</v>
      </c>
      <c r="C361">
        <v>7.4</v>
      </c>
      <c r="D361" t="s">
        <v>343</v>
      </c>
      <c r="E361">
        <v>7.4</v>
      </c>
      <c r="F361" t="s">
        <v>34</v>
      </c>
      <c r="G361" t="s">
        <v>109</v>
      </c>
      <c r="H361" t="s">
        <v>3000</v>
      </c>
    </row>
    <row r="362" spans="1:8">
      <c r="A362" s="2">
        <v>45822</v>
      </c>
      <c r="B362" t="s">
        <v>35</v>
      </c>
      <c r="C362">
        <v>20.9</v>
      </c>
      <c r="D362" t="s">
        <v>63</v>
      </c>
      <c r="E362">
        <v>20.6</v>
      </c>
      <c r="F362" t="s">
        <v>36</v>
      </c>
      <c r="G362" t="s">
        <v>110</v>
      </c>
      <c r="H362" t="s">
        <v>3001</v>
      </c>
    </row>
    <row r="363" spans="1:8">
      <c r="A363" s="2">
        <v>45822</v>
      </c>
      <c r="B363" t="s">
        <v>41</v>
      </c>
      <c r="C363">
        <v>22.9</v>
      </c>
      <c r="D363" t="s">
        <v>254</v>
      </c>
      <c r="E363">
        <v>22.1</v>
      </c>
      <c r="F363" t="s">
        <v>42</v>
      </c>
      <c r="G363" t="s">
        <v>117</v>
      </c>
      <c r="H363" t="s">
        <v>3002</v>
      </c>
    </row>
    <row r="364" spans="1:8">
      <c r="A364" s="2">
        <v>45822</v>
      </c>
      <c r="B364" t="s">
        <v>46</v>
      </c>
      <c r="C364">
        <v>18.8</v>
      </c>
      <c r="D364" t="s">
        <v>62</v>
      </c>
      <c r="E364">
        <v>18.8</v>
      </c>
      <c r="F364" t="s">
        <v>47</v>
      </c>
      <c r="G364" t="s">
        <v>106</v>
      </c>
      <c r="H364" t="s">
        <v>3003</v>
      </c>
    </row>
    <row r="365" spans="1:8">
      <c r="A365" s="2">
        <v>45822</v>
      </c>
      <c r="B365" t="s">
        <v>49</v>
      </c>
      <c r="C365">
        <v>14.4</v>
      </c>
      <c r="D365" t="s">
        <v>58</v>
      </c>
      <c r="E365">
        <v>14.4</v>
      </c>
      <c r="F365" t="s">
        <v>50</v>
      </c>
      <c r="G365" t="s">
        <v>111</v>
      </c>
      <c r="H365" t="s">
        <v>3004</v>
      </c>
    </row>
    <row r="366" spans="1:8">
      <c r="A366" s="2">
        <v>45822</v>
      </c>
      <c r="B366" t="s">
        <v>135</v>
      </c>
      <c r="C366">
        <v>20.100000000000001</v>
      </c>
      <c r="D366" t="s">
        <v>134</v>
      </c>
      <c r="E366">
        <v>20.100000000000001</v>
      </c>
      <c r="F366" t="s">
        <v>123</v>
      </c>
      <c r="G366" t="s">
        <v>132</v>
      </c>
      <c r="H366" t="s">
        <v>3005</v>
      </c>
    </row>
    <row r="367" spans="1:8">
      <c r="A367" s="2">
        <v>45822</v>
      </c>
      <c r="B367" t="s">
        <v>201</v>
      </c>
      <c r="C367">
        <v>7.5</v>
      </c>
      <c r="D367" t="s">
        <v>209</v>
      </c>
      <c r="E367">
        <v>7.5</v>
      </c>
      <c r="F367" t="s">
        <v>202</v>
      </c>
      <c r="G367" t="s">
        <v>213</v>
      </c>
      <c r="H367" t="s">
        <v>3006</v>
      </c>
    </row>
    <row r="368" spans="1:8">
      <c r="A368" s="2">
        <v>45822</v>
      </c>
      <c r="B368" t="s">
        <v>203</v>
      </c>
      <c r="C368">
        <v>17.2</v>
      </c>
      <c r="D368" t="s">
        <v>212</v>
      </c>
      <c r="E368">
        <v>17.2</v>
      </c>
      <c r="F368" t="s">
        <v>204</v>
      </c>
      <c r="G368" t="s">
        <v>203</v>
      </c>
      <c r="H368" t="s">
        <v>3007</v>
      </c>
    </row>
    <row r="369" spans="1:8">
      <c r="A369" s="2">
        <v>45822</v>
      </c>
      <c r="B369" t="s">
        <v>205</v>
      </c>
      <c r="C369">
        <v>5.2</v>
      </c>
      <c r="D369" t="s">
        <v>211</v>
      </c>
      <c r="E369">
        <v>5.2</v>
      </c>
      <c r="F369" t="s">
        <v>206</v>
      </c>
      <c r="G369" t="s">
        <v>214</v>
      </c>
      <c r="H369" t="s">
        <v>3008</v>
      </c>
    </row>
    <row r="370" spans="1:8">
      <c r="A370" s="2">
        <v>45822</v>
      </c>
      <c r="B370" t="s">
        <v>207</v>
      </c>
      <c r="C370">
        <v>15</v>
      </c>
      <c r="D370" t="s">
        <v>210</v>
      </c>
      <c r="E370">
        <v>14.5</v>
      </c>
      <c r="F370" t="s">
        <v>208</v>
      </c>
      <c r="G370" t="s">
        <v>215</v>
      </c>
      <c r="H370" t="s">
        <v>3009</v>
      </c>
    </row>
    <row r="371" spans="1:8">
      <c r="A371" s="2">
        <v>45822</v>
      </c>
      <c r="B371" t="s">
        <v>217</v>
      </c>
      <c r="C371">
        <v>22.2</v>
      </c>
      <c r="D371" t="s">
        <v>219</v>
      </c>
      <c r="E371">
        <v>22.2</v>
      </c>
      <c r="F371" t="s">
        <v>218</v>
      </c>
      <c r="G371" t="s">
        <v>2610</v>
      </c>
      <c r="H371" t="s">
        <v>3010</v>
      </c>
    </row>
    <row r="372" spans="1:8">
      <c r="A372" s="2">
        <v>45822</v>
      </c>
      <c r="B372" t="s">
        <v>225</v>
      </c>
      <c r="C372">
        <v>10.5</v>
      </c>
      <c r="D372" t="s">
        <v>244</v>
      </c>
      <c r="E372">
        <v>10.7</v>
      </c>
      <c r="F372" t="s">
        <v>226</v>
      </c>
      <c r="G372" t="s">
        <v>228</v>
      </c>
      <c r="H372" t="s">
        <v>3011</v>
      </c>
    </row>
    <row r="373" spans="1:8">
      <c r="A373" s="2">
        <v>45822</v>
      </c>
      <c r="B373" t="s">
        <v>248</v>
      </c>
      <c r="C373">
        <v>13.1</v>
      </c>
      <c r="D373" t="s">
        <v>250</v>
      </c>
      <c r="E373">
        <v>13.4</v>
      </c>
      <c r="F373" t="s">
        <v>249</v>
      </c>
      <c r="G373" t="s">
        <v>251</v>
      </c>
      <c r="H373" t="s">
        <v>3012</v>
      </c>
    </row>
    <row r="374" spans="1:8">
      <c r="A374" s="2">
        <v>45822</v>
      </c>
      <c r="B374" t="s">
        <v>259</v>
      </c>
      <c r="C374">
        <v>1</v>
      </c>
      <c r="D374" t="s">
        <v>261</v>
      </c>
      <c r="E374">
        <v>0.6</v>
      </c>
      <c r="F374" t="s">
        <v>262</v>
      </c>
      <c r="G374" t="s">
        <v>260</v>
      </c>
      <c r="H374" t="s">
        <v>3013</v>
      </c>
    </row>
    <row r="375" spans="1:8">
      <c r="A375" s="2">
        <v>45822</v>
      </c>
      <c r="B375" t="s">
        <v>264</v>
      </c>
      <c r="C375">
        <v>19.399999999999999</v>
      </c>
      <c r="D375" t="s">
        <v>266</v>
      </c>
      <c r="E375">
        <v>18.8</v>
      </c>
      <c r="F375" t="s">
        <v>265</v>
      </c>
      <c r="G375" t="s">
        <v>267</v>
      </c>
      <c r="H375" t="s">
        <v>3014</v>
      </c>
    </row>
    <row r="376" spans="1:8">
      <c r="A376" s="2">
        <v>45822</v>
      </c>
      <c r="B376" t="s">
        <v>271</v>
      </c>
      <c r="C376">
        <v>16.399999999999999</v>
      </c>
      <c r="D376" t="s">
        <v>269</v>
      </c>
      <c r="E376">
        <v>16.399999999999999</v>
      </c>
      <c r="F376" t="s">
        <v>268</v>
      </c>
      <c r="G376" t="s">
        <v>270</v>
      </c>
      <c r="H376" t="s">
        <v>3015</v>
      </c>
    </row>
    <row r="377" spans="1:8">
      <c r="A377" s="2">
        <v>45822</v>
      </c>
      <c r="B377" t="s">
        <v>293</v>
      </c>
      <c r="C377">
        <v>15.1</v>
      </c>
      <c r="D377" t="s">
        <v>373</v>
      </c>
      <c r="E377">
        <v>15.1</v>
      </c>
      <c r="F377" t="s">
        <v>381</v>
      </c>
      <c r="G377" t="s">
        <v>287</v>
      </c>
      <c r="H377" t="s">
        <v>3016</v>
      </c>
    </row>
    <row r="378" spans="1:8">
      <c r="A378" s="2">
        <v>45822</v>
      </c>
      <c r="B378" t="s">
        <v>291</v>
      </c>
      <c r="C378">
        <v>1.8</v>
      </c>
      <c r="D378" t="s">
        <v>2637</v>
      </c>
      <c r="E378">
        <v>1.8</v>
      </c>
      <c r="F378" t="s">
        <v>431</v>
      </c>
      <c r="G378" t="s">
        <v>286</v>
      </c>
      <c r="H378" t="s">
        <v>3017</v>
      </c>
    </row>
    <row r="379" spans="1:8">
      <c r="A379" s="2">
        <v>45822</v>
      </c>
      <c r="B379" t="s">
        <v>297</v>
      </c>
      <c r="C379">
        <v>18.3</v>
      </c>
      <c r="D379" t="s">
        <v>296</v>
      </c>
      <c r="E379">
        <v>18.3</v>
      </c>
      <c r="F379" t="s">
        <v>382</v>
      </c>
      <c r="G379" t="s">
        <v>297</v>
      </c>
      <c r="H379" t="s">
        <v>3018</v>
      </c>
    </row>
    <row r="380" spans="1:8">
      <c r="A380" s="2">
        <v>45822</v>
      </c>
      <c r="B380" t="s">
        <v>326</v>
      </c>
      <c r="C380">
        <v>7.9</v>
      </c>
      <c r="D380" t="s">
        <v>331</v>
      </c>
      <c r="E380">
        <v>8.4</v>
      </c>
      <c r="F380" t="s">
        <v>327</v>
      </c>
      <c r="G380" t="s">
        <v>330</v>
      </c>
      <c r="H380" t="s">
        <v>3019</v>
      </c>
    </row>
    <row r="381" spans="1:8">
      <c r="A381" s="2">
        <v>45822</v>
      </c>
      <c r="B381" t="s">
        <v>328</v>
      </c>
      <c r="C381">
        <v>11.1</v>
      </c>
      <c r="D381" t="s">
        <v>332</v>
      </c>
      <c r="E381">
        <v>10.5</v>
      </c>
      <c r="F381" t="s">
        <v>329</v>
      </c>
      <c r="G381" t="s">
        <v>333</v>
      </c>
      <c r="H381" t="s">
        <v>3020</v>
      </c>
    </row>
    <row r="382" spans="1:8">
      <c r="A382" s="2">
        <v>45822</v>
      </c>
      <c r="B382" t="s">
        <v>375</v>
      </c>
      <c r="C382">
        <v>11.8</v>
      </c>
      <c r="D382" t="s">
        <v>377</v>
      </c>
      <c r="E382">
        <v>12.2</v>
      </c>
      <c r="F382" t="s">
        <v>376</v>
      </c>
      <c r="G382" t="s">
        <v>375</v>
      </c>
      <c r="H382" t="s">
        <v>3021</v>
      </c>
    </row>
    <row r="383" spans="1:8">
      <c r="A383" s="2">
        <v>45822</v>
      </c>
      <c r="B383" t="s">
        <v>388</v>
      </c>
      <c r="C383">
        <v>25.9</v>
      </c>
      <c r="D383" t="s">
        <v>389</v>
      </c>
      <c r="E383">
        <v>25.9</v>
      </c>
      <c r="F383" t="s">
        <v>391</v>
      </c>
      <c r="G383" t="s">
        <v>390</v>
      </c>
      <c r="H383" t="s">
        <v>3022</v>
      </c>
    </row>
    <row r="384" spans="1:8">
      <c r="A384" s="2">
        <v>45822</v>
      </c>
      <c r="B384" t="s">
        <v>2469</v>
      </c>
      <c r="C384">
        <v>5.8</v>
      </c>
      <c r="D384" t="s">
        <v>2550</v>
      </c>
      <c r="E384">
        <v>5.8</v>
      </c>
      <c r="F384" t="s">
        <v>2470</v>
      </c>
      <c r="G384" t="s">
        <v>2472</v>
      </c>
      <c r="H384" t="s">
        <v>3023</v>
      </c>
    </row>
    <row r="385" spans="1:8">
      <c r="A385" s="2">
        <v>45822</v>
      </c>
      <c r="B385" t="s">
        <v>2473</v>
      </c>
      <c r="C385">
        <v>16.100000000000001</v>
      </c>
      <c r="D385" t="s">
        <v>2475</v>
      </c>
      <c r="E385">
        <v>15.4</v>
      </c>
      <c r="F385" t="s">
        <v>2474</v>
      </c>
      <c r="G385" t="s">
        <v>2473</v>
      </c>
      <c r="H385" t="s">
        <v>3024</v>
      </c>
    </row>
    <row r="386" spans="1:8">
      <c r="A386" s="2">
        <v>45822</v>
      </c>
      <c r="B386" t="s">
        <v>2516</v>
      </c>
      <c r="C386">
        <v>17.8</v>
      </c>
      <c r="D386" t="s">
        <v>2518</v>
      </c>
      <c r="E386">
        <v>17.100000000000001</v>
      </c>
      <c r="F386" t="s">
        <v>2517</v>
      </c>
      <c r="G386" t="s">
        <v>2519</v>
      </c>
      <c r="H386" t="s">
        <v>3025</v>
      </c>
    </row>
    <row r="387" spans="1:8">
      <c r="A387" s="2">
        <v>45822</v>
      </c>
      <c r="B387" t="s">
        <v>2561</v>
      </c>
      <c r="C387">
        <v>20.7</v>
      </c>
      <c r="D387" t="s">
        <v>2563</v>
      </c>
      <c r="E387">
        <v>20.6</v>
      </c>
      <c r="F387" t="s">
        <v>2562</v>
      </c>
      <c r="G387" t="s">
        <v>2564</v>
      </c>
      <c r="H387" t="s">
        <v>3026</v>
      </c>
    </row>
    <row r="388" spans="1:8">
      <c r="A388" s="2">
        <v>45822</v>
      </c>
      <c r="B388" t="s">
        <v>2603</v>
      </c>
      <c r="C388">
        <v>7.8</v>
      </c>
      <c r="D388" t="s">
        <v>2604</v>
      </c>
      <c r="E388">
        <v>7.8</v>
      </c>
      <c r="F388" t="s">
        <v>2605</v>
      </c>
      <c r="G388" t="s">
        <v>2603</v>
      </c>
      <c r="H388" t="s">
        <v>3027</v>
      </c>
    </row>
    <row r="389" spans="1:8">
      <c r="A389" s="2">
        <v>45822</v>
      </c>
      <c r="B389" t="s">
        <v>2606</v>
      </c>
      <c r="C389">
        <v>10.8</v>
      </c>
      <c r="D389" t="s">
        <v>2607</v>
      </c>
      <c r="E389">
        <v>9.8000000000000007</v>
      </c>
      <c r="F389" t="s">
        <v>292</v>
      </c>
      <c r="G389" t="s">
        <v>2606</v>
      </c>
      <c r="H389" t="s">
        <v>3028</v>
      </c>
    </row>
    <row r="390" spans="1:8">
      <c r="A390" s="2">
        <v>45826</v>
      </c>
      <c r="B390" t="s">
        <v>3</v>
      </c>
      <c r="C390">
        <v>5</v>
      </c>
      <c r="D390" t="s">
        <v>61</v>
      </c>
      <c r="E390">
        <v>4.7</v>
      </c>
      <c r="F390" t="s">
        <v>4</v>
      </c>
      <c r="G390" t="s">
        <v>102</v>
      </c>
      <c r="H390" t="s">
        <v>3029</v>
      </c>
    </row>
    <row r="391" spans="1:8">
      <c r="A391" s="2">
        <v>45826</v>
      </c>
      <c r="B391" t="s">
        <v>6</v>
      </c>
      <c r="C391">
        <v>6.9</v>
      </c>
      <c r="D391" t="s">
        <v>60</v>
      </c>
      <c r="E391">
        <v>7</v>
      </c>
      <c r="F391" t="s">
        <v>7</v>
      </c>
      <c r="G391" t="s">
        <v>103</v>
      </c>
      <c r="H391" t="s">
        <v>3030</v>
      </c>
    </row>
    <row r="392" spans="1:8">
      <c r="A392" s="2">
        <v>45826</v>
      </c>
      <c r="B392" t="s">
        <v>9</v>
      </c>
      <c r="C392">
        <v>11.5</v>
      </c>
      <c r="D392" t="s">
        <v>55</v>
      </c>
      <c r="E392">
        <v>11.5</v>
      </c>
      <c r="F392" t="s">
        <v>10</v>
      </c>
      <c r="G392" t="s">
        <v>104</v>
      </c>
      <c r="H392" t="s">
        <v>3031</v>
      </c>
    </row>
    <row r="393" spans="1:8">
      <c r="A393" s="2">
        <v>45826</v>
      </c>
      <c r="B393" t="s">
        <v>12</v>
      </c>
      <c r="C393">
        <v>15.2</v>
      </c>
      <c r="D393" t="s">
        <v>57</v>
      </c>
      <c r="E393">
        <v>15.9</v>
      </c>
      <c r="F393" t="s">
        <v>13</v>
      </c>
      <c r="G393" t="s">
        <v>112</v>
      </c>
      <c r="H393" t="s">
        <v>3032</v>
      </c>
    </row>
    <row r="394" spans="1:8">
      <c r="A394" s="2">
        <v>45826</v>
      </c>
      <c r="B394" t="s">
        <v>15</v>
      </c>
      <c r="C394">
        <v>6.7</v>
      </c>
      <c r="D394" t="s">
        <v>54</v>
      </c>
      <c r="E394">
        <v>6.8</v>
      </c>
      <c r="F394" t="s">
        <v>16</v>
      </c>
      <c r="G394" t="s">
        <v>105</v>
      </c>
      <c r="H394" t="s">
        <v>3033</v>
      </c>
    </row>
    <row r="395" spans="1:8">
      <c r="A395" s="2">
        <v>45826</v>
      </c>
      <c r="B395" t="s">
        <v>18</v>
      </c>
      <c r="C395">
        <v>7</v>
      </c>
      <c r="D395" t="s">
        <v>114</v>
      </c>
      <c r="E395">
        <v>7</v>
      </c>
      <c r="F395" t="s">
        <v>19</v>
      </c>
      <c r="G395" t="s">
        <v>113</v>
      </c>
      <c r="H395" t="s">
        <v>3034</v>
      </c>
    </row>
    <row r="396" spans="1:8">
      <c r="A396" s="2">
        <v>45826</v>
      </c>
      <c r="B396" t="s">
        <v>20</v>
      </c>
      <c r="C396">
        <v>20.2</v>
      </c>
      <c r="D396" t="s">
        <v>59</v>
      </c>
      <c r="E396">
        <v>20.100000000000001</v>
      </c>
      <c r="F396" t="s">
        <v>21</v>
      </c>
      <c r="G396" t="s">
        <v>2609</v>
      </c>
      <c r="H396" t="s">
        <v>3035</v>
      </c>
    </row>
    <row r="397" spans="1:8">
      <c r="A397" s="2">
        <v>45826</v>
      </c>
      <c r="B397" t="s">
        <v>23</v>
      </c>
      <c r="C397">
        <v>19.7</v>
      </c>
      <c r="D397" t="s">
        <v>120</v>
      </c>
      <c r="E397">
        <v>19.7</v>
      </c>
      <c r="F397" t="s">
        <v>24</v>
      </c>
      <c r="G397" t="s">
        <v>107</v>
      </c>
      <c r="H397" t="s">
        <v>3036</v>
      </c>
    </row>
    <row r="398" spans="1:8">
      <c r="A398" s="2">
        <v>45826</v>
      </c>
      <c r="B398" t="s">
        <v>25</v>
      </c>
      <c r="C398">
        <v>15.1</v>
      </c>
      <c r="D398" t="s">
        <v>252</v>
      </c>
      <c r="E398">
        <v>15.2</v>
      </c>
      <c r="F398" t="s">
        <v>26</v>
      </c>
      <c r="G398" t="s">
        <v>115</v>
      </c>
      <c r="H398" t="s">
        <v>3037</v>
      </c>
    </row>
    <row r="399" spans="1:8">
      <c r="A399" s="2">
        <v>45826</v>
      </c>
      <c r="B399" t="s">
        <v>30</v>
      </c>
      <c r="C399">
        <v>14.2</v>
      </c>
      <c r="D399" t="s">
        <v>56</v>
      </c>
      <c r="E399">
        <v>14.2</v>
      </c>
      <c r="F399" t="s">
        <v>31</v>
      </c>
      <c r="G399" t="s">
        <v>108</v>
      </c>
      <c r="H399" t="s">
        <v>3038</v>
      </c>
    </row>
    <row r="400" spans="1:8">
      <c r="A400" s="2">
        <v>45826</v>
      </c>
      <c r="B400" t="s">
        <v>33</v>
      </c>
      <c r="C400">
        <v>7</v>
      </c>
      <c r="D400" t="s">
        <v>343</v>
      </c>
      <c r="E400">
        <v>7.4</v>
      </c>
      <c r="F400" t="s">
        <v>34</v>
      </c>
      <c r="G400" t="s">
        <v>109</v>
      </c>
      <c r="H400" t="s">
        <v>3039</v>
      </c>
    </row>
    <row r="401" spans="1:8">
      <c r="A401" s="2">
        <v>45826</v>
      </c>
      <c r="B401" t="s">
        <v>35</v>
      </c>
      <c r="C401">
        <v>20.9</v>
      </c>
      <c r="D401" t="s">
        <v>63</v>
      </c>
      <c r="E401">
        <v>20.6</v>
      </c>
      <c r="F401" t="s">
        <v>36</v>
      </c>
      <c r="G401" t="s">
        <v>110</v>
      </c>
      <c r="H401" t="s">
        <v>3040</v>
      </c>
    </row>
    <row r="402" spans="1:8">
      <c r="A402" s="2">
        <v>45826</v>
      </c>
      <c r="B402" t="s">
        <v>41</v>
      </c>
      <c r="C402">
        <v>22.6</v>
      </c>
      <c r="D402" t="s">
        <v>254</v>
      </c>
      <c r="E402">
        <v>22.9</v>
      </c>
      <c r="F402" t="s">
        <v>42</v>
      </c>
      <c r="G402" t="s">
        <v>117</v>
      </c>
      <c r="H402" t="s">
        <v>3041</v>
      </c>
    </row>
    <row r="403" spans="1:8">
      <c r="A403" s="2">
        <v>45826</v>
      </c>
      <c r="B403" t="s">
        <v>46</v>
      </c>
      <c r="C403">
        <v>18.8</v>
      </c>
      <c r="D403" t="s">
        <v>62</v>
      </c>
      <c r="E403">
        <v>18.8</v>
      </c>
      <c r="F403" t="s">
        <v>47</v>
      </c>
      <c r="G403" t="s">
        <v>106</v>
      </c>
      <c r="H403" t="s">
        <v>3042</v>
      </c>
    </row>
    <row r="404" spans="1:8">
      <c r="A404" s="2">
        <v>45826</v>
      </c>
      <c r="B404" t="s">
        <v>49</v>
      </c>
      <c r="C404">
        <v>14.4</v>
      </c>
      <c r="D404" t="s">
        <v>58</v>
      </c>
      <c r="E404">
        <v>14.4</v>
      </c>
      <c r="F404" t="s">
        <v>50</v>
      </c>
      <c r="G404" t="s">
        <v>111</v>
      </c>
      <c r="H404" t="s">
        <v>3043</v>
      </c>
    </row>
    <row r="405" spans="1:8">
      <c r="A405" s="2">
        <v>45826</v>
      </c>
      <c r="B405" t="s">
        <v>135</v>
      </c>
      <c r="C405">
        <v>19.5</v>
      </c>
      <c r="D405" t="s">
        <v>134</v>
      </c>
      <c r="E405">
        <v>20.100000000000001</v>
      </c>
      <c r="F405" t="s">
        <v>123</v>
      </c>
      <c r="G405" t="s">
        <v>132</v>
      </c>
      <c r="H405" t="s">
        <v>3044</v>
      </c>
    </row>
    <row r="406" spans="1:8">
      <c r="A406" s="2">
        <v>45826</v>
      </c>
      <c r="B406" t="s">
        <v>201</v>
      </c>
      <c r="C406">
        <v>7.5</v>
      </c>
      <c r="D406" t="s">
        <v>209</v>
      </c>
      <c r="E406">
        <v>7.5</v>
      </c>
      <c r="F406" t="s">
        <v>202</v>
      </c>
      <c r="G406" t="s">
        <v>213</v>
      </c>
      <c r="H406" t="s">
        <v>3045</v>
      </c>
    </row>
    <row r="407" spans="1:8">
      <c r="A407" s="2">
        <v>45826</v>
      </c>
      <c r="B407" t="s">
        <v>203</v>
      </c>
      <c r="C407">
        <v>17.2</v>
      </c>
      <c r="D407" t="s">
        <v>212</v>
      </c>
      <c r="E407">
        <v>17.2</v>
      </c>
      <c r="F407" t="s">
        <v>204</v>
      </c>
      <c r="G407" t="s">
        <v>203</v>
      </c>
      <c r="H407" t="s">
        <v>3046</v>
      </c>
    </row>
    <row r="408" spans="1:8">
      <c r="A408" s="2">
        <v>45826</v>
      </c>
      <c r="B408" t="s">
        <v>205</v>
      </c>
      <c r="C408">
        <v>5.2</v>
      </c>
      <c r="D408" t="s">
        <v>211</v>
      </c>
      <c r="E408">
        <v>5.2</v>
      </c>
      <c r="F408" t="s">
        <v>206</v>
      </c>
      <c r="G408" t="s">
        <v>214</v>
      </c>
      <c r="H408" t="s">
        <v>3047</v>
      </c>
    </row>
    <row r="409" spans="1:8">
      <c r="A409" s="2">
        <v>45826</v>
      </c>
      <c r="B409" t="s">
        <v>207</v>
      </c>
      <c r="C409">
        <v>15</v>
      </c>
      <c r="D409" t="s">
        <v>210</v>
      </c>
      <c r="E409">
        <v>14.5</v>
      </c>
      <c r="F409" t="s">
        <v>208</v>
      </c>
      <c r="G409" t="s">
        <v>215</v>
      </c>
      <c r="H409" t="s">
        <v>3048</v>
      </c>
    </row>
    <row r="410" spans="1:8">
      <c r="A410" s="2">
        <v>45826</v>
      </c>
      <c r="B410" t="s">
        <v>217</v>
      </c>
      <c r="C410">
        <v>22.2</v>
      </c>
      <c r="D410" t="s">
        <v>219</v>
      </c>
      <c r="E410">
        <v>22.2</v>
      </c>
      <c r="F410" t="s">
        <v>218</v>
      </c>
      <c r="G410" t="s">
        <v>2610</v>
      </c>
      <c r="H410" t="s">
        <v>3049</v>
      </c>
    </row>
    <row r="411" spans="1:8">
      <c r="A411" s="2">
        <v>45826</v>
      </c>
      <c r="B411" t="s">
        <v>225</v>
      </c>
      <c r="C411">
        <v>10.5</v>
      </c>
      <c r="D411" t="s">
        <v>244</v>
      </c>
      <c r="E411">
        <v>10.7</v>
      </c>
      <c r="F411" t="s">
        <v>226</v>
      </c>
      <c r="G411" t="s">
        <v>228</v>
      </c>
      <c r="H411" t="s">
        <v>3050</v>
      </c>
    </row>
    <row r="412" spans="1:8">
      <c r="A412" s="2">
        <v>45826</v>
      </c>
      <c r="B412" t="s">
        <v>248</v>
      </c>
      <c r="C412">
        <v>12.7</v>
      </c>
      <c r="D412" t="s">
        <v>250</v>
      </c>
      <c r="E412">
        <v>13.1</v>
      </c>
      <c r="F412" t="s">
        <v>249</v>
      </c>
      <c r="G412" t="s">
        <v>251</v>
      </c>
      <c r="H412" t="s">
        <v>3051</v>
      </c>
    </row>
    <row r="413" spans="1:8">
      <c r="A413" s="2">
        <v>45826</v>
      </c>
      <c r="B413" t="s">
        <v>259</v>
      </c>
      <c r="C413">
        <v>1</v>
      </c>
      <c r="D413" t="s">
        <v>261</v>
      </c>
      <c r="E413">
        <v>0.6</v>
      </c>
      <c r="F413" t="s">
        <v>262</v>
      </c>
      <c r="G413" t="s">
        <v>260</v>
      </c>
      <c r="H413" t="s">
        <v>3052</v>
      </c>
    </row>
    <row r="414" spans="1:8">
      <c r="A414" s="2">
        <v>45826</v>
      </c>
      <c r="B414" t="s">
        <v>264</v>
      </c>
      <c r="C414">
        <v>19.399999999999999</v>
      </c>
      <c r="D414" t="s">
        <v>266</v>
      </c>
      <c r="E414">
        <v>18.8</v>
      </c>
      <c r="F414" t="s">
        <v>265</v>
      </c>
      <c r="G414" t="s">
        <v>267</v>
      </c>
      <c r="H414" t="s">
        <v>3053</v>
      </c>
    </row>
    <row r="415" spans="1:8">
      <c r="A415" s="2">
        <v>45826</v>
      </c>
      <c r="B415" t="s">
        <v>271</v>
      </c>
      <c r="C415">
        <v>16.399999999999999</v>
      </c>
      <c r="D415" t="s">
        <v>269</v>
      </c>
      <c r="E415">
        <v>16.399999999999999</v>
      </c>
      <c r="F415" t="s">
        <v>268</v>
      </c>
      <c r="G415" t="s">
        <v>270</v>
      </c>
      <c r="H415" t="s">
        <v>3054</v>
      </c>
    </row>
    <row r="416" spans="1:8">
      <c r="A416" s="2">
        <v>45826</v>
      </c>
      <c r="B416" t="s">
        <v>293</v>
      </c>
      <c r="C416">
        <v>15.1</v>
      </c>
      <c r="D416" t="s">
        <v>373</v>
      </c>
      <c r="E416">
        <v>15.1</v>
      </c>
      <c r="F416" t="s">
        <v>381</v>
      </c>
      <c r="G416" t="s">
        <v>287</v>
      </c>
      <c r="H416" t="s">
        <v>3055</v>
      </c>
    </row>
    <row r="417" spans="1:8">
      <c r="A417" s="2">
        <v>45826</v>
      </c>
      <c r="B417" t="s">
        <v>291</v>
      </c>
      <c r="C417">
        <v>2.2000000000000002</v>
      </c>
      <c r="D417" t="s">
        <v>2637</v>
      </c>
      <c r="E417">
        <v>1.8</v>
      </c>
      <c r="F417" t="s">
        <v>431</v>
      </c>
      <c r="G417" t="s">
        <v>286</v>
      </c>
      <c r="H417" t="s">
        <v>3056</v>
      </c>
    </row>
    <row r="418" spans="1:8">
      <c r="A418" s="2">
        <v>45826</v>
      </c>
      <c r="B418" t="s">
        <v>297</v>
      </c>
      <c r="C418">
        <v>18.3</v>
      </c>
      <c r="D418" t="s">
        <v>296</v>
      </c>
      <c r="E418">
        <v>18.3</v>
      </c>
      <c r="F418" t="s">
        <v>382</v>
      </c>
      <c r="G418" t="s">
        <v>297</v>
      </c>
      <c r="H418" t="s">
        <v>3057</v>
      </c>
    </row>
    <row r="419" spans="1:8">
      <c r="A419" s="2">
        <v>45826</v>
      </c>
      <c r="B419" t="s">
        <v>326</v>
      </c>
      <c r="C419">
        <v>7.9</v>
      </c>
      <c r="D419" t="s">
        <v>331</v>
      </c>
      <c r="E419">
        <v>8.4</v>
      </c>
      <c r="F419" t="s">
        <v>327</v>
      </c>
      <c r="G419" t="s">
        <v>330</v>
      </c>
      <c r="H419" t="s">
        <v>3058</v>
      </c>
    </row>
    <row r="420" spans="1:8">
      <c r="A420" s="2">
        <v>45826</v>
      </c>
      <c r="B420" t="s">
        <v>328</v>
      </c>
      <c r="C420">
        <v>11.1</v>
      </c>
      <c r="D420" t="s">
        <v>332</v>
      </c>
      <c r="E420">
        <v>10.5</v>
      </c>
      <c r="F420" t="s">
        <v>329</v>
      </c>
      <c r="G420" t="s">
        <v>333</v>
      </c>
      <c r="H420" t="s">
        <v>3059</v>
      </c>
    </row>
    <row r="421" spans="1:8">
      <c r="A421" s="2">
        <v>45826</v>
      </c>
      <c r="B421" t="s">
        <v>375</v>
      </c>
      <c r="C421">
        <v>11.8</v>
      </c>
      <c r="D421" t="s">
        <v>377</v>
      </c>
      <c r="E421">
        <v>12.2</v>
      </c>
      <c r="F421" t="s">
        <v>376</v>
      </c>
      <c r="G421" t="s">
        <v>375</v>
      </c>
      <c r="H421" t="s">
        <v>3060</v>
      </c>
    </row>
    <row r="422" spans="1:8">
      <c r="A422" s="2">
        <v>45826</v>
      </c>
      <c r="B422" t="s">
        <v>388</v>
      </c>
      <c r="C422">
        <v>25.9</v>
      </c>
      <c r="D422" t="s">
        <v>389</v>
      </c>
      <c r="E422">
        <v>25.9</v>
      </c>
      <c r="F422" t="s">
        <v>391</v>
      </c>
      <c r="G422" t="s">
        <v>390</v>
      </c>
      <c r="H422" t="s">
        <v>3061</v>
      </c>
    </row>
    <row r="423" spans="1:8">
      <c r="A423" s="2">
        <v>45826</v>
      </c>
      <c r="B423" t="s">
        <v>2469</v>
      </c>
      <c r="C423">
        <v>5.8</v>
      </c>
      <c r="D423" t="s">
        <v>2550</v>
      </c>
      <c r="E423">
        <v>5.8</v>
      </c>
      <c r="F423" t="s">
        <v>2470</v>
      </c>
      <c r="G423" t="s">
        <v>2472</v>
      </c>
      <c r="H423" t="s">
        <v>3062</v>
      </c>
    </row>
    <row r="424" spans="1:8">
      <c r="A424" s="2">
        <v>45826</v>
      </c>
      <c r="B424" t="s">
        <v>2473</v>
      </c>
      <c r="C424">
        <v>16.100000000000001</v>
      </c>
      <c r="D424" t="s">
        <v>2475</v>
      </c>
      <c r="E424">
        <v>15.4</v>
      </c>
      <c r="F424" t="s">
        <v>2474</v>
      </c>
      <c r="G424" t="s">
        <v>2473</v>
      </c>
      <c r="H424" t="s">
        <v>3063</v>
      </c>
    </row>
    <row r="425" spans="1:8">
      <c r="A425" s="2">
        <v>45826</v>
      </c>
      <c r="B425" t="s">
        <v>2516</v>
      </c>
      <c r="C425">
        <v>17.8</v>
      </c>
      <c r="D425" t="s">
        <v>2518</v>
      </c>
      <c r="E425">
        <v>17.100000000000001</v>
      </c>
      <c r="F425" t="s">
        <v>2517</v>
      </c>
      <c r="G425" t="s">
        <v>2519</v>
      </c>
      <c r="H425" t="s">
        <v>3064</v>
      </c>
    </row>
    <row r="426" spans="1:8">
      <c r="A426" s="2">
        <v>45826</v>
      </c>
      <c r="B426" t="s">
        <v>2561</v>
      </c>
      <c r="C426">
        <v>20.7</v>
      </c>
      <c r="D426" t="s">
        <v>2563</v>
      </c>
      <c r="E426">
        <v>20.6</v>
      </c>
      <c r="F426" t="s">
        <v>2562</v>
      </c>
      <c r="G426" t="s">
        <v>2564</v>
      </c>
      <c r="H426" t="s">
        <v>3065</v>
      </c>
    </row>
    <row r="427" spans="1:8">
      <c r="A427" s="2">
        <v>45826</v>
      </c>
      <c r="B427" t="s">
        <v>2603</v>
      </c>
      <c r="C427">
        <v>7.8</v>
      </c>
      <c r="D427" t="s">
        <v>2604</v>
      </c>
      <c r="E427">
        <v>7.8</v>
      </c>
      <c r="F427" t="s">
        <v>2605</v>
      </c>
      <c r="G427" t="s">
        <v>2603</v>
      </c>
      <c r="H427" t="s">
        <v>3066</v>
      </c>
    </row>
    <row r="428" spans="1:8">
      <c r="A428" s="2">
        <v>45826</v>
      </c>
      <c r="B428" t="s">
        <v>2606</v>
      </c>
      <c r="C428">
        <v>9.8000000000000007</v>
      </c>
      <c r="D428" t="s">
        <v>2607</v>
      </c>
      <c r="E428">
        <v>10.8</v>
      </c>
      <c r="F428" t="s">
        <v>292</v>
      </c>
      <c r="G428" t="s">
        <v>2606</v>
      </c>
      <c r="H428" t="s">
        <v>3067</v>
      </c>
    </row>
    <row r="429" spans="1:8">
      <c r="A429" s="2">
        <v>45831</v>
      </c>
      <c r="B429" t="s">
        <v>3</v>
      </c>
      <c r="C429">
        <v>5</v>
      </c>
      <c r="D429" t="s">
        <v>61</v>
      </c>
      <c r="E429">
        <v>5</v>
      </c>
      <c r="F429" t="s">
        <v>4</v>
      </c>
      <c r="G429" t="s">
        <v>102</v>
      </c>
      <c r="H429" t="s">
        <v>3069</v>
      </c>
    </row>
    <row r="430" spans="1:8">
      <c r="A430" s="2">
        <v>45831</v>
      </c>
      <c r="B430" t="s">
        <v>6</v>
      </c>
      <c r="C430">
        <v>6.9</v>
      </c>
      <c r="D430" t="s">
        <v>60</v>
      </c>
      <c r="E430">
        <v>7</v>
      </c>
      <c r="F430" t="s">
        <v>7</v>
      </c>
      <c r="G430" t="s">
        <v>103</v>
      </c>
      <c r="H430" t="s">
        <v>3070</v>
      </c>
    </row>
    <row r="431" spans="1:8">
      <c r="A431" s="2">
        <v>45831</v>
      </c>
      <c r="B431" t="s">
        <v>9</v>
      </c>
      <c r="C431">
        <v>11.5</v>
      </c>
      <c r="D431" t="s">
        <v>55</v>
      </c>
      <c r="E431">
        <v>11.5</v>
      </c>
      <c r="F431" t="s">
        <v>10</v>
      </c>
      <c r="G431" t="s">
        <v>104</v>
      </c>
      <c r="H431" t="s">
        <v>3071</v>
      </c>
    </row>
    <row r="432" spans="1:8">
      <c r="A432" s="2">
        <v>45831</v>
      </c>
      <c r="B432" t="s">
        <v>12</v>
      </c>
      <c r="C432">
        <v>14.7</v>
      </c>
      <c r="D432" t="s">
        <v>57</v>
      </c>
      <c r="E432">
        <v>15.2</v>
      </c>
      <c r="F432" t="s">
        <v>13</v>
      </c>
      <c r="G432" t="s">
        <v>112</v>
      </c>
      <c r="H432" t="s">
        <v>3072</v>
      </c>
    </row>
    <row r="433" spans="1:8">
      <c r="A433" s="2">
        <v>45831</v>
      </c>
      <c r="B433" t="s">
        <v>15</v>
      </c>
      <c r="C433">
        <v>6.1</v>
      </c>
      <c r="D433" t="s">
        <v>54</v>
      </c>
      <c r="E433">
        <v>6.7</v>
      </c>
      <c r="F433" t="s">
        <v>16</v>
      </c>
      <c r="G433" t="s">
        <v>105</v>
      </c>
      <c r="H433" t="s">
        <v>3073</v>
      </c>
    </row>
    <row r="434" spans="1:8">
      <c r="A434" s="2">
        <v>45831</v>
      </c>
      <c r="B434" t="s">
        <v>18</v>
      </c>
      <c r="C434">
        <v>7</v>
      </c>
      <c r="D434" t="s">
        <v>114</v>
      </c>
      <c r="E434">
        <v>7</v>
      </c>
      <c r="F434" t="s">
        <v>19</v>
      </c>
      <c r="G434" t="s">
        <v>113</v>
      </c>
      <c r="H434" t="s">
        <v>3074</v>
      </c>
    </row>
    <row r="435" spans="1:8">
      <c r="A435" s="2">
        <v>45831</v>
      </c>
      <c r="B435" t="s">
        <v>20</v>
      </c>
      <c r="C435">
        <v>19.600000000000001</v>
      </c>
      <c r="D435" t="s">
        <v>59</v>
      </c>
      <c r="E435">
        <v>20.2</v>
      </c>
      <c r="F435" t="s">
        <v>21</v>
      </c>
      <c r="G435" t="s">
        <v>2609</v>
      </c>
      <c r="H435" t="s">
        <v>3075</v>
      </c>
    </row>
    <row r="436" spans="1:8">
      <c r="A436" s="2">
        <v>45831</v>
      </c>
      <c r="B436" t="s">
        <v>23</v>
      </c>
      <c r="C436">
        <v>19.399999999999999</v>
      </c>
      <c r="D436" t="s">
        <v>120</v>
      </c>
      <c r="E436">
        <v>19.7</v>
      </c>
      <c r="F436" t="s">
        <v>24</v>
      </c>
      <c r="G436" t="s">
        <v>107</v>
      </c>
      <c r="H436" t="s">
        <v>3076</v>
      </c>
    </row>
    <row r="437" spans="1:8">
      <c r="A437" s="2">
        <v>45831</v>
      </c>
      <c r="B437" t="s">
        <v>25</v>
      </c>
      <c r="C437">
        <v>15.1</v>
      </c>
      <c r="D437" t="s">
        <v>252</v>
      </c>
      <c r="E437">
        <v>15.1</v>
      </c>
      <c r="F437" t="s">
        <v>26</v>
      </c>
      <c r="G437" t="s">
        <v>115</v>
      </c>
      <c r="H437" t="s">
        <v>3077</v>
      </c>
    </row>
    <row r="438" spans="1:8">
      <c r="A438" s="2">
        <v>45831</v>
      </c>
      <c r="B438" t="s">
        <v>30</v>
      </c>
      <c r="C438">
        <v>14.2</v>
      </c>
      <c r="D438" t="s">
        <v>56</v>
      </c>
      <c r="E438">
        <v>14.2</v>
      </c>
      <c r="F438" t="s">
        <v>31</v>
      </c>
      <c r="G438" t="s">
        <v>108</v>
      </c>
      <c r="H438" t="s">
        <v>3078</v>
      </c>
    </row>
    <row r="439" spans="1:8">
      <c r="A439" s="2">
        <v>45831</v>
      </c>
      <c r="B439" t="s">
        <v>33</v>
      </c>
      <c r="C439">
        <v>7</v>
      </c>
      <c r="D439" t="s">
        <v>343</v>
      </c>
      <c r="E439">
        <v>7</v>
      </c>
      <c r="F439" t="s">
        <v>34</v>
      </c>
      <c r="G439" t="s">
        <v>109</v>
      </c>
      <c r="H439" t="s">
        <v>3079</v>
      </c>
    </row>
    <row r="440" spans="1:8">
      <c r="A440" s="2">
        <v>45831</v>
      </c>
      <c r="B440" t="s">
        <v>35</v>
      </c>
      <c r="C440">
        <v>20.9</v>
      </c>
      <c r="D440" t="s">
        <v>63</v>
      </c>
      <c r="E440">
        <v>20.9</v>
      </c>
      <c r="F440" t="s">
        <v>36</v>
      </c>
      <c r="G440" t="s">
        <v>110</v>
      </c>
      <c r="H440" t="s">
        <v>3080</v>
      </c>
    </row>
    <row r="441" spans="1:8">
      <c r="A441" s="2">
        <v>45831</v>
      </c>
      <c r="B441" t="s">
        <v>41</v>
      </c>
      <c r="C441">
        <v>22.6</v>
      </c>
      <c r="D441" t="s">
        <v>254</v>
      </c>
      <c r="E441">
        <v>22.6</v>
      </c>
      <c r="F441" t="s">
        <v>42</v>
      </c>
      <c r="G441" t="s">
        <v>117</v>
      </c>
      <c r="H441" t="s">
        <v>3081</v>
      </c>
    </row>
    <row r="442" spans="1:8">
      <c r="A442" s="2">
        <v>45831</v>
      </c>
      <c r="B442" t="s">
        <v>46</v>
      </c>
      <c r="C442">
        <v>18.8</v>
      </c>
      <c r="D442" t="s">
        <v>62</v>
      </c>
      <c r="E442">
        <v>18.8</v>
      </c>
      <c r="F442" t="s">
        <v>47</v>
      </c>
      <c r="G442" t="s">
        <v>106</v>
      </c>
      <c r="H442" t="s">
        <v>3082</v>
      </c>
    </row>
    <row r="443" spans="1:8">
      <c r="A443" s="2">
        <v>45831</v>
      </c>
      <c r="B443" t="s">
        <v>49</v>
      </c>
      <c r="C443">
        <v>14.6</v>
      </c>
      <c r="D443" t="s">
        <v>58</v>
      </c>
      <c r="E443">
        <v>14.6</v>
      </c>
      <c r="F443" t="s">
        <v>50</v>
      </c>
      <c r="G443" t="s">
        <v>111</v>
      </c>
      <c r="H443" t="s">
        <v>3083</v>
      </c>
    </row>
    <row r="444" spans="1:8">
      <c r="A444" s="2">
        <v>45831</v>
      </c>
      <c r="B444" t="s">
        <v>135</v>
      </c>
      <c r="C444">
        <v>19.5</v>
      </c>
      <c r="D444" t="s">
        <v>134</v>
      </c>
      <c r="E444">
        <v>20.100000000000001</v>
      </c>
      <c r="F444" t="s">
        <v>123</v>
      </c>
      <c r="G444" t="s">
        <v>132</v>
      </c>
      <c r="H444" t="s">
        <v>3084</v>
      </c>
    </row>
    <row r="445" spans="1:8">
      <c r="A445" s="2">
        <v>45831</v>
      </c>
      <c r="B445" t="s">
        <v>201</v>
      </c>
      <c r="C445">
        <v>7.5</v>
      </c>
      <c r="D445" t="s">
        <v>209</v>
      </c>
      <c r="E445">
        <v>7.5</v>
      </c>
      <c r="F445" t="s">
        <v>202</v>
      </c>
      <c r="G445" t="s">
        <v>213</v>
      </c>
      <c r="H445" t="s">
        <v>3085</v>
      </c>
    </row>
    <row r="446" spans="1:8">
      <c r="A446" s="2">
        <v>45831</v>
      </c>
      <c r="B446" t="s">
        <v>203</v>
      </c>
      <c r="C446">
        <v>17.2</v>
      </c>
      <c r="D446" t="s">
        <v>212</v>
      </c>
      <c r="E446">
        <v>17.2</v>
      </c>
      <c r="F446" t="s">
        <v>204</v>
      </c>
      <c r="G446" t="s">
        <v>203</v>
      </c>
      <c r="H446" t="s">
        <v>3086</v>
      </c>
    </row>
    <row r="447" spans="1:8">
      <c r="A447" s="2">
        <v>45831</v>
      </c>
      <c r="B447" t="s">
        <v>205</v>
      </c>
      <c r="C447">
        <v>5.2</v>
      </c>
      <c r="D447" t="s">
        <v>211</v>
      </c>
      <c r="E447">
        <v>5.2</v>
      </c>
      <c r="F447" t="s">
        <v>206</v>
      </c>
      <c r="G447" t="s">
        <v>214</v>
      </c>
      <c r="H447" t="s">
        <v>3087</v>
      </c>
    </row>
    <row r="448" spans="1:8">
      <c r="A448" s="2">
        <v>45831</v>
      </c>
      <c r="B448" t="s">
        <v>207</v>
      </c>
      <c r="C448">
        <v>15</v>
      </c>
      <c r="D448" t="s">
        <v>210</v>
      </c>
      <c r="E448">
        <v>14.5</v>
      </c>
      <c r="F448" t="s">
        <v>208</v>
      </c>
      <c r="G448" t="s">
        <v>215</v>
      </c>
      <c r="H448" t="s">
        <v>3088</v>
      </c>
    </row>
    <row r="449" spans="1:8">
      <c r="A449" s="2">
        <v>45831</v>
      </c>
      <c r="B449" t="s">
        <v>217</v>
      </c>
      <c r="C449">
        <v>22.2</v>
      </c>
      <c r="D449" t="s">
        <v>219</v>
      </c>
      <c r="E449">
        <v>22.2</v>
      </c>
      <c r="F449" t="s">
        <v>218</v>
      </c>
      <c r="G449" t="s">
        <v>2610</v>
      </c>
      <c r="H449" t="s">
        <v>3089</v>
      </c>
    </row>
    <row r="450" spans="1:8">
      <c r="A450" s="2">
        <v>45831</v>
      </c>
      <c r="B450" t="s">
        <v>225</v>
      </c>
      <c r="C450">
        <v>10.5</v>
      </c>
      <c r="D450" t="s">
        <v>244</v>
      </c>
      <c r="E450">
        <v>10.7</v>
      </c>
      <c r="F450" t="s">
        <v>226</v>
      </c>
      <c r="G450" t="s">
        <v>228</v>
      </c>
      <c r="H450" t="s">
        <v>3090</v>
      </c>
    </row>
    <row r="451" spans="1:8">
      <c r="A451" s="2">
        <v>45831</v>
      </c>
      <c r="B451" t="s">
        <v>248</v>
      </c>
      <c r="C451">
        <v>12.7</v>
      </c>
      <c r="D451" t="s">
        <v>250</v>
      </c>
      <c r="E451">
        <v>13.1</v>
      </c>
      <c r="F451" t="s">
        <v>249</v>
      </c>
      <c r="G451" t="s">
        <v>251</v>
      </c>
      <c r="H451" t="s">
        <v>3091</v>
      </c>
    </row>
    <row r="452" spans="1:8">
      <c r="A452" s="2">
        <v>45831</v>
      </c>
      <c r="B452" t="s">
        <v>259</v>
      </c>
      <c r="C452">
        <v>1.7</v>
      </c>
      <c r="D452" t="s">
        <v>261</v>
      </c>
      <c r="E452">
        <v>1</v>
      </c>
      <c r="F452" t="s">
        <v>262</v>
      </c>
      <c r="G452" t="s">
        <v>260</v>
      </c>
      <c r="H452" t="s">
        <v>3092</v>
      </c>
    </row>
    <row r="453" spans="1:8">
      <c r="A453" s="2">
        <v>45831</v>
      </c>
      <c r="B453" t="s">
        <v>264</v>
      </c>
      <c r="C453">
        <v>19.899999999999999</v>
      </c>
      <c r="D453" t="s">
        <v>266</v>
      </c>
      <c r="E453">
        <v>19.600000000000001</v>
      </c>
      <c r="F453" t="s">
        <v>265</v>
      </c>
      <c r="G453" t="s">
        <v>267</v>
      </c>
      <c r="H453" t="s">
        <v>3093</v>
      </c>
    </row>
    <row r="454" spans="1:8">
      <c r="A454" s="2">
        <v>45831</v>
      </c>
      <c r="B454" t="s">
        <v>271</v>
      </c>
      <c r="C454">
        <v>16.399999999999999</v>
      </c>
      <c r="D454" t="s">
        <v>269</v>
      </c>
      <c r="E454">
        <v>16.399999999999999</v>
      </c>
      <c r="F454" t="s">
        <v>268</v>
      </c>
      <c r="G454" t="s">
        <v>270</v>
      </c>
      <c r="H454" t="s">
        <v>3094</v>
      </c>
    </row>
    <row r="455" spans="1:8">
      <c r="A455" s="2">
        <v>45831</v>
      </c>
      <c r="B455" t="s">
        <v>293</v>
      </c>
      <c r="C455">
        <v>15.1</v>
      </c>
      <c r="D455" t="s">
        <v>373</v>
      </c>
      <c r="E455">
        <v>15.1</v>
      </c>
      <c r="F455" t="s">
        <v>381</v>
      </c>
      <c r="G455" t="s">
        <v>287</v>
      </c>
      <c r="H455" t="s">
        <v>3095</v>
      </c>
    </row>
    <row r="456" spans="1:8">
      <c r="A456" s="2">
        <v>45831</v>
      </c>
      <c r="B456" t="s">
        <v>291</v>
      </c>
      <c r="C456">
        <v>2.2000000000000002</v>
      </c>
      <c r="D456" t="s">
        <v>2637</v>
      </c>
      <c r="E456">
        <v>1.8</v>
      </c>
      <c r="F456" t="s">
        <v>431</v>
      </c>
      <c r="G456" t="s">
        <v>286</v>
      </c>
      <c r="H456" t="s">
        <v>3096</v>
      </c>
    </row>
    <row r="457" spans="1:8">
      <c r="A457" s="2">
        <v>45831</v>
      </c>
      <c r="B457" t="s">
        <v>297</v>
      </c>
      <c r="C457">
        <v>18.100000000000001</v>
      </c>
      <c r="D457" t="s">
        <v>296</v>
      </c>
      <c r="E457">
        <v>18.3</v>
      </c>
      <c r="F457" t="s">
        <v>382</v>
      </c>
      <c r="G457" t="s">
        <v>297</v>
      </c>
      <c r="H457" t="s">
        <v>3097</v>
      </c>
    </row>
    <row r="458" spans="1:8">
      <c r="A458" s="2">
        <v>45831</v>
      </c>
      <c r="B458" t="s">
        <v>326</v>
      </c>
      <c r="C458">
        <v>7.9</v>
      </c>
      <c r="D458" t="s">
        <v>331</v>
      </c>
      <c r="E458">
        <v>7.9</v>
      </c>
      <c r="F458" t="s">
        <v>327</v>
      </c>
      <c r="G458" t="s">
        <v>330</v>
      </c>
      <c r="H458" t="s">
        <v>3098</v>
      </c>
    </row>
    <row r="459" spans="1:8">
      <c r="A459" s="2">
        <v>45831</v>
      </c>
      <c r="B459" t="s">
        <v>328</v>
      </c>
      <c r="C459">
        <v>11.1</v>
      </c>
      <c r="D459" t="s">
        <v>332</v>
      </c>
      <c r="E459">
        <v>11.1</v>
      </c>
      <c r="F459" t="s">
        <v>329</v>
      </c>
      <c r="G459" t="s">
        <v>333</v>
      </c>
      <c r="H459" t="s">
        <v>3099</v>
      </c>
    </row>
    <row r="460" spans="1:8">
      <c r="A460" s="2">
        <v>45831</v>
      </c>
      <c r="B460" t="s">
        <v>375</v>
      </c>
      <c r="C460">
        <v>11.8</v>
      </c>
      <c r="D460" t="s">
        <v>377</v>
      </c>
      <c r="E460">
        <v>12.2</v>
      </c>
      <c r="F460" t="s">
        <v>376</v>
      </c>
      <c r="G460" t="s">
        <v>375</v>
      </c>
      <c r="H460" t="s">
        <v>3100</v>
      </c>
    </row>
    <row r="461" spans="1:8">
      <c r="A461" s="2">
        <v>45831</v>
      </c>
      <c r="B461" t="s">
        <v>388</v>
      </c>
      <c r="C461">
        <v>25.3</v>
      </c>
      <c r="D461" t="s">
        <v>389</v>
      </c>
      <c r="E461">
        <v>25.9</v>
      </c>
      <c r="F461" t="s">
        <v>391</v>
      </c>
      <c r="G461" t="s">
        <v>390</v>
      </c>
      <c r="H461" t="s">
        <v>3101</v>
      </c>
    </row>
    <row r="462" spans="1:8">
      <c r="A462" s="2">
        <v>45831</v>
      </c>
      <c r="B462" t="s">
        <v>2469</v>
      </c>
      <c r="C462">
        <v>4.8</v>
      </c>
      <c r="D462" t="s">
        <v>2550</v>
      </c>
      <c r="E462">
        <v>5.5</v>
      </c>
      <c r="F462" t="s">
        <v>2470</v>
      </c>
      <c r="G462" t="s">
        <v>2472</v>
      </c>
      <c r="H462" t="s">
        <v>3102</v>
      </c>
    </row>
    <row r="463" spans="1:8">
      <c r="A463" s="2">
        <v>45831</v>
      </c>
      <c r="B463" t="s">
        <v>2473</v>
      </c>
      <c r="C463">
        <v>16.2</v>
      </c>
      <c r="D463" t="s">
        <v>2475</v>
      </c>
      <c r="E463">
        <v>16.100000000000001</v>
      </c>
      <c r="F463" t="s">
        <v>2474</v>
      </c>
      <c r="G463" t="s">
        <v>2473</v>
      </c>
      <c r="H463" t="s">
        <v>3103</v>
      </c>
    </row>
    <row r="464" spans="1:8">
      <c r="A464" s="2">
        <v>45831</v>
      </c>
      <c r="B464" t="s">
        <v>2516</v>
      </c>
      <c r="C464">
        <v>17.8</v>
      </c>
      <c r="D464" t="s">
        <v>2518</v>
      </c>
      <c r="E464">
        <v>17.100000000000001</v>
      </c>
      <c r="F464" t="s">
        <v>2517</v>
      </c>
      <c r="G464" t="s">
        <v>2519</v>
      </c>
      <c r="H464" t="s">
        <v>3104</v>
      </c>
    </row>
    <row r="465" spans="1:8">
      <c r="A465" s="2">
        <v>45831</v>
      </c>
      <c r="B465" t="s">
        <v>2561</v>
      </c>
      <c r="C465">
        <v>20.7</v>
      </c>
      <c r="D465" t="s">
        <v>2563</v>
      </c>
      <c r="E465">
        <v>20.6</v>
      </c>
      <c r="F465" t="s">
        <v>2562</v>
      </c>
      <c r="G465" t="s">
        <v>2564</v>
      </c>
      <c r="H465" t="s">
        <v>3105</v>
      </c>
    </row>
    <row r="466" spans="1:8">
      <c r="A466" s="2">
        <v>45831</v>
      </c>
      <c r="B466" t="s">
        <v>2603</v>
      </c>
      <c r="C466">
        <v>8</v>
      </c>
      <c r="D466" t="s">
        <v>2604</v>
      </c>
      <c r="E466">
        <v>7.8</v>
      </c>
      <c r="F466" t="s">
        <v>2605</v>
      </c>
      <c r="G466" t="s">
        <v>2603</v>
      </c>
      <c r="H466" t="s">
        <v>3106</v>
      </c>
    </row>
    <row r="467" spans="1:8">
      <c r="A467" s="2">
        <v>45831</v>
      </c>
      <c r="B467" t="s">
        <v>2606</v>
      </c>
      <c r="C467">
        <v>9.8000000000000007</v>
      </c>
      <c r="D467" t="s">
        <v>2607</v>
      </c>
      <c r="E467">
        <v>10.8</v>
      </c>
      <c r="F467" t="s">
        <v>292</v>
      </c>
      <c r="G467" t="s">
        <v>2606</v>
      </c>
      <c r="H467" t="s">
        <v>3107</v>
      </c>
    </row>
    <row r="468" spans="1:8">
      <c r="A468" s="2">
        <v>45845</v>
      </c>
      <c r="B468" t="s">
        <v>3</v>
      </c>
      <c r="C468">
        <v>5</v>
      </c>
      <c r="D468" t="s">
        <v>61</v>
      </c>
      <c r="E468">
        <v>5</v>
      </c>
      <c r="F468" t="s">
        <v>4</v>
      </c>
      <c r="G468" t="s">
        <v>102</v>
      </c>
      <c r="H468" t="s">
        <v>3108</v>
      </c>
    </row>
    <row r="469" spans="1:8">
      <c r="A469" s="2">
        <v>45845</v>
      </c>
      <c r="B469" t="s">
        <v>6</v>
      </c>
      <c r="C469">
        <v>6.9</v>
      </c>
      <c r="D469" t="s">
        <v>60</v>
      </c>
      <c r="E469">
        <v>7</v>
      </c>
      <c r="F469" t="s">
        <v>7</v>
      </c>
      <c r="G469" t="s">
        <v>103</v>
      </c>
      <c r="H469" t="s">
        <v>3109</v>
      </c>
    </row>
    <row r="470" spans="1:8">
      <c r="A470" s="2">
        <v>45845</v>
      </c>
      <c r="B470" t="s">
        <v>9</v>
      </c>
      <c r="C470">
        <v>11.5</v>
      </c>
      <c r="D470" t="s">
        <v>55</v>
      </c>
      <c r="E470">
        <v>11.5</v>
      </c>
      <c r="F470" t="s">
        <v>10</v>
      </c>
      <c r="G470" t="s">
        <v>104</v>
      </c>
      <c r="H470" t="s">
        <v>3110</v>
      </c>
    </row>
    <row r="471" spans="1:8">
      <c r="A471" s="2">
        <v>45845</v>
      </c>
      <c r="B471" t="s">
        <v>12</v>
      </c>
      <c r="C471">
        <v>14.7</v>
      </c>
      <c r="D471" t="s">
        <v>57</v>
      </c>
      <c r="E471">
        <v>15.2</v>
      </c>
      <c r="F471" t="s">
        <v>13</v>
      </c>
      <c r="G471" t="s">
        <v>112</v>
      </c>
      <c r="H471" t="s">
        <v>3111</v>
      </c>
    </row>
    <row r="472" spans="1:8">
      <c r="A472" s="2">
        <v>45845</v>
      </c>
      <c r="B472" t="s">
        <v>15</v>
      </c>
      <c r="C472">
        <v>6.1</v>
      </c>
      <c r="D472" t="s">
        <v>54</v>
      </c>
      <c r="E472">
        <v>6.7</v>
      </c>
      <c r="F472" t="s">
        <v>16</v>
      </c>
      <c r="G472" t="s">
        <v>105</v>
      </c>
      <c r="H472" t="s">
        <v>3112</v>
      </c>
    </row>
    <row r="473" spans="1:8">
      <c r="A473" s="2">
        <v>45845</v>
      </c>
      <c r="B473" t="s">
        <v>18</v>
      </c>
      <c r="C473">
        <v>7</v>
      </c>
      <c r="D473" t="s">
        <v>114</v>
      </c>
      <c r="E473">
        <v>7</v>
      </c>
      <c r="F473" t="s">
        <v>19</v>
      </c>
      <c r="G473" t="s">
        <v>113</v>
      </c>
      <c r="H473" t="s">
        <v>3113</v>
      </c>
    </row>
    <row r="474" spans="1:8">
      <c r="A474" s="2">
        <v>45845</v>
      </c>
      <c r="B474" t="s">
        <v>20</v>
      </c>
      <c r="C474">
        <v>19.600000000000001</v>
      </c>
      <c r="D474" t="s">
        <v>59</v>
      </c>
      <c r="E474">
        <v>20.2</v>
      </c>
      <c r="F474" t="s">
        <v>21</v>
      </c>
      <c r="G474" t="s">
        <v>2609</v>
      </c>
      <c r="H474" t="s">
        <v>3114</v>
      </c>
    </row>
    <row r="475" spans="1:8">
      <c r="A475" s="2">
        <v>45845</v>
      </c>
      <c r="B475" t="s">
        <v>23</v>
      </c>
      <c r="C475">
        <v>19.399999999999999</v>
      </c>
      <c r="D475" t="s">
        <v>120</v>
      </c>
      <c r="E475">
        <v>19.7</v>
      </c>
      <c r="F475" t="s">
        <v>24</v>
      </c>
      <c r="G475" t="s">
        <v>107</v>
      </c>
      <c r="H475" t="s">
        <v>3115</v>
      </c>
    </row>
    <row r="476" spans="1:8">
      <c r="A476" s="2">
        <v>45845</v>
      </c>
      <c r="B476" t="s">
        <v>25</v>
      </c>
      <c r="C476">
        <v>15.1</v>
      </c>
      <c r="D476" t="s">
        <v>252</v>
      </c>
      <c r="E476">
        <v>15.1</v>
      </c>
      <c r="F476" t="s">
        <v>26</v>
      </c>
      <c r="G476" t="s">
        <v>115</v>
      </c>
      <c r="H476" t="s">
        <v>3116</v>
      </c>
    </row>
    <row r="477" spans="1:8">
      <c r="A477" s="2">
        <v>45845</v>
      </c>
      <c r="B477" t="s">
        <v>30</v>
      </c>
      <c r="C477">
        <v>14.2</v>
      </c>
      <c r="D477" t="s">
        <v>56</v>
      </c>
      <c r="E477">
        <v>14.2</v>
      </c>
      <c r="F477" t="s">
        <v>31</v>
      </c>
      <c r="G477" t="s">
        <v>108</v>
      </c>
      <c r="H477" t="s">
        <v>3117</v>
      </c>
    </row>
    <row r="478" spans="1:8">
      <c r="A478" s="2">
        <v>45845</v>
      </c>
      <c r="B478" t="s">
        <v>33</v>
      </c>
      <c r="C478">
        <v>7</v>
      </c>
      <c r="D478" t="s">
        <v>343</v>
      </c>
      <c r="E478">
        <v>7</v>
      </c>
      <c r="F478" t="s">
        <v>34</v>
      </c>
      <c r="G478" t="s">
        <v>109</v>
      </c>
      <c r="H478" t="s">
        <v>3118</v>
      </c>
    </row>
    <row r="479" spans="1:8">
      <c r="A479" s="2">
        <v>45845</v>
      </c>
      <c r="B479" t="s">
        <v>35</v>
      </c>
      <c r="C479">
        <v>20.9</v>
      </c>
      <c r="D479" t="s">
        <v>63</v>
      </c>
      <c r="E479">
        <v>20.9</v>
      </c>
      <c r="F479" t="s">
        <v>36</v>
      </c>
      <c r="G479" t="s">
        <v>110</v>
      </c>
      <c r="H479" t="s">
        <v>3119</v>
      </c>
    </row>
    <row r="480" spans="1:8">
      <c r="A480" s="2">
        <v>45845</v>
      </c>
      <c r="B480" t="s">
        <v>41</v>
      </c>
      <c r="C480">
        <v>22.6</v>
      </c>
      <c r="D480" t="s">
        <v>254</v>
      </c>
      <c r="E480">
        <v>22.6</v>
      </c>
      <c r="F480" t="s">
        <v>42</v>
      </c>
      <c r="G480" t="s">
        <v>117</v>
      </c>
      <c r="H480" t="s">
        <v>3120</v>
      </c>
    </row>
    <row r="481" spans="1:8">
      <c r="A481" s="2">
        <v>45845</v>
      </c>
      <c r="B481" t="s">
        <v>46</v>
      </c>
      <c r="C481">
        <v>18.8</v>
      </c>
      <c r="D481" t="s">
        <v>62</v>
      </c>
      <c r="E481">
        <v>18.8</v>
      </c>
      <c r="F481" t="s">
        <v>47</v>
      </c>
      <c r="G481" t="s">
        <v>106</v>
      </c>
      <c r="H481" t="s">
        <v>3121</v>
      </c>
    </row>
    <row r="482" spans="1:8">
      <c r="A482" s="2">
        <v>45845</v>
      </c>
      <c r="B482" t="s">
        <v>49</v>
      </c>
      <c r="C482">
        <v>14.6</v>
      </c>
      <c r="D482" t="s">
        <v>58</v>
      </c>
      <c r="E482">
        <v>14.6</v>
      </c>
      <c r="F482" t="s">
        <v>50</v>
      </c>
      <c r="G482" t="s">
        <v>111</v>
      </c>
      <c r="H482" t="s">
        <v>3122</v>
      </c>
    </row>
    <row r="483" spans="1:8">
      <c r="A483" s="2">
        <v>45845</v>
      </c>
      <c r="B483" t="s">
        <v>135</v>
      </c>
      <c r="C483">
        <v>19.5</v>
      </c>
      <c r="D483" t="s">
        <v>134</v>
      </c>
      <c r="E483">
        <v>20.100000000000001</v>
      </c>
      <c r="F483" t="s">
        <v>123</v>
      </c>
      <c r="G483" t="s">
        <v>132</v>
      </c>
      <c r="H483" t="s">
        <v>3123</v>
      </c>
    </row>
    <row r="484" spans="1:8">
      <c r="A484" s="2">
        <v>45845</v>
      </c>
      <c r="B484" t="s">
        <v>201</v>
      </c>
      <c r="C484">
        <v>7.5</v>
      </c>
      <c r="D484" t="s">
        <v>209</v>
      </c>
      <c r="E484">
        <v>7.5</v>
      </c>
      <c r="F484" t="s">
        <v>202</v>
      </c>
      <c r="G484" t="s">
        <v>213</v>
      </c>
      <c r="H484" t="s">
        <v>3124</v>
      </c>
    </row>
    <row r="485" spans="1:8">
      <c r="A485" s="2">
        <v>45845</v>
      </c>
      <c r="B485" t="s">
        <v>203</v>
      </c>
      <c r="C485">
        <v>17.2</v>
      </c>
      <c r="D485" t="s">
        <v>212</v>
      </c>
      <c r="E485">
        <v>17.2</v>
      </c>
      <c r="F485" t="s">
        <v>204</v>
      </c>
      <c r="G485" t="s">
        <v>203</v>
      </c>
      <c r="H485" t="s">
        <v>3125</v>
      </c>
    </row>
    <row r="486" spans="1:8">
      <c r="A486" s="2">
        <v>45845</v>
      </c>
      <c r="B486" t="s">
        <v>205</v>
      </c>
      <c r="C486">
        <v>5.2</v>
      </c>
      <c r="D486" t="s">
        <v>211</v>
      </c>
      <c r="E486">
        <v>5.2</v>
      </c>
      <c r="F486" t="s">
        <v>206</v>
      </c>
      <c r="G486" t="s">
        <v>214</v>
      </c>
      <c r="H486" t="s">
        <v>3126</v>
      </c>
    </row>
    <row r="487" spans="1:8">
      <c r="A487" s="2">
        <v>45845</v>
      </c>
      <c r="B487" t="s">
        <v>207</v>
      </c>
      <c r="C487">
        <v>15</v>
      </c>
      <c r="D487" t="s">
        <v>210</v>
      </c>
      <c r="E487">
        <v>14.5</v>
      </c>
      <c r="F487" t="s">
        <v>208</v>
      </c>
      <c r="G487" t="s">
        <v>215</v>
      </c>
      <c r="H487" t="s">
        <v>3127</v>
      </c>
    </row>
    <row r="488" spans="1:8">
      <c r="A488" s="2">
        <v>45845</v>
      </c>
      <c r="B488" t="s">
        <v>217</v>
      </c>
      <c r="C488">
        <v>22.2</v>
      </c>
      <c r="D488" t="s">
        <v>219</v>
      </c>
      <c r="E488">
        <v>22.2</v>
      </c>
      <c r="F488" t="s">
        <v>218</v>
      </c>
      <c r="G488" t="s">
        <v>2610</v>
      </c>
      <c r="H488" t="s">
        <v>3128</v>
      </c>
    </row>
    <row r="489" spans="1:8">
      <c r="A489" s="2">
        <v>45845</v>
      </c>
      <c r="B489" t="s">
        <v>225</v>
      </c>
      <c r="C489">
        <v>10.5</v>
      </c>
      <c r="D489" t="s">
        <v>244</v>
      </c>
      <c r="E489">
        <v>10.7</v>
      </c>
      <c r="F489" t="s">
        <v>226</v>
      </c>
      <c r="G489" t="s">
        <v>228</v>
      </c>
      <c r="H489" t="s">
        <v>3129</v>
      </c>
    </row>
    <row r="490" spans="1:8">
      <c r="A490" s="2">
        <v>45845</v>
      </c>
      <c r="B490" t="s">
        <v>248</v>
      </c>
      <c r="C490">
        <v>12.7</v>
      </c>
      <c r="D490" t="s">
        <v>250</v>
      </c>
      <c r="E490">
        <v>13.1</v>
      </c>
      <c r="F490" t="s">
        <v>249</v>
      </c>
      <c r="G490" t="s">
        <v>251</v>
      </c>
      <c r="H490" t="s">
        <v>3130</v>
      </c>
    </row>
    <row r="491" spans="1:8">
      <c r="A491" s="2">
        <v>45845</v>
      </c>
      <c r="B491" t="s">
        <v>259</v>
      </c>
      <c r="C491">
        <v>1.7</v>
      </c>
      <c r="D491" t="s">
        <v>261</v>
      </c>
      <c r="E491">
        <v>1</v>
      </c>
      <c r="F491" t="s">
        <v>262</v>
      </c>
      <c r="G491" t="s">
        <v>260</v>
      </c>
      <c r="H491" t="s">
        <v>3131</v>
      </c>
    </row>
    <row r="492" spans="1:8">
      <c r="A492" s="2">
        <v>45845</v>
      </c>
      <c r="B492" t="s">
        <v>264</v>
      </c>
      <c r="C492">
        <v>19.899999999999999</v>
      </c>
      <c r="D492" t="s">
        <v>266</v>
      </c>
      <c r="E492">
        <v>19.600000000000001</v>
      </c>
      <c r="F492" t="s">
        <v>265</v>
      </c>
      <c r="G492" t="s">
        <v>267</v>
      </c>
      <c r="H492" t="s">
        <v>3132</v>
      </c>
    </row>
    <row r="493" spans="1:8">
      <c r="A493" s="2">
        <v>45845</v>
      </c>
      <c r="B493" t="s">
        <v>271</v>
      </c>
      <c r="C493">
        <v>16.399999999999999</v>
      </c>
      <c r="D493" t="s">
        <v>269</v>
      </c>
      <c r="E493">
        <v>16.399999999999999</v>
      </c>
      <c r="F493" t="s">
        <v>268</v>
      </c>
      <c r="G493" t="s">
        <v>270</v>
      </c>
      <c r="H493" t="s">
        <v>3133</v>
      </c>
    </row>
    <row r="494" spans="1:8">
      <c r="A494" s="2">
        <v>45845</v>
      </c>
      <c r="B494" t="s">
        <v>293</v>
      </c>
      <c r="C494">
        <v>15.1</v>
      </c>
      <c r="D494" t="s">
        <v>373</v>
      </c>
      <c r="E494">
        <v>15.1</v>
      </c>
      <c r="F494" t="s">
        <v>381</v>
      </c>
      <c r="G494" t="s">
        <v>287</v>
      </c>
      <c r="H494" t="s">
        <v>3134</v>
      </c>
    </row>
    <row r="495" spans="1:8">
      <c r="A495" s="2">
        <v>45845</v>
      </c>
      <c r="B495" t="s">
        <v>291</v>
      </c>
      <c r="C495">
        <v>2.2000000000000002</v>
      </c>
      <c r="D495" t="s">
        <v>2637</v>
      </c>
      <c r="E495">
        <v>1.8</v>
      </c>
      <c r="F495" t="s">
        <v>431</v>
      </c>
      <c r="G495" t="s">
        <v>286</v>
      </c>
      <c r="H495" t="s">
        <v>3135</v>
      </c>
    </row>
    <row r="496" spans="1:8">
      <c r="A496" s="2">
        <v>45845</v>
      </c>
      <c r="B496" t="s">
        <v>297</v>
      </c>
      <c r="C496">
        <v>17.5</v>
      </c>
      <c r="D496" t="s">
        <v>296</v>
      </c>
      <c r="E496">
        <v>18.100000000000001</v>
      </c>
      <c r="F496" t="s">
        <v>382</v>
      </c>
      <c r="G496" t="s">
        <v>297</v>
      </c>
      <c r="H496" t="s">
        <v>3136</v>
      </c>
    </row>
    <row r="497" spans="1:8">
      <c r="A497" s="2">
        <v>45845</v>
      </c>
      <c r="B497" t="s">
        <v>326</v>
      </c>
      <c r="C497">
        <v>7.9</v>
      </c>
      <c r="D497" t="s">
        <v>331</v>
      </c>
      <c r="E497">
        <v>7.9</v>
      </c>
      <c r="F497" t="s">
        <v>327</v>
      </c>
      <c r="G497" t="s">
        <v>330</v>
      </c>
      <c r="H497" t="s">
        <v>3137</v>
      </c>
    </row>
    <row r="498" spans="1:8">
      <c r="A498" s="2">
        <v>45845</v>
      </c>
      <c r="B498" t="s">
        <v>328</v>
      </c>
      <c r="C498">
        <v>11.1</v>
      </c>
      <c r="D498" t="s">
        <v>332</v>
      </c>
      <c r="E498">
        <v>11.1</v>
      </c>
      <c r="F498" t="s">
        <v>329</v>
      </c>
      <c r="G498" t="s">
        <v>333</v>
      </c>
      <c r="H498" t="s">
        <v>3138</v>
      </c>
    </row>
    <row r="499" spans="1:8">
      <c r="A499" s="2">
        <v>45845</v>
      </c>
      <c r="B499" t="s">
        <v>375</v>
      </c>
      <c r="C499">
        <v>11.8</v>
      </c>
      <c r="D499" t="s">
        <v>377</v>
      </c>
      <c r="E499">
        <v>11.8</v>
      </c>
      <c r="F499" t="s">
        <v>376</v>
      </c>
      <c r="G499" t="s">
        <v>375</v>
      </c>
      <c r="H499" t="s">
        <v>3139</v>
      </c>
    </row>
    <row r="500" spans="1:8">
      <c r="A500" s="2">
        <v>45845</v>
      </c>
      <c r="B500" t="s">
        <v>388</v>
      </c>
      <c r="C500">
        <v>24.4</v>
      </c>
      <c r="D500" t="s">
        <v>389</v>
      </c>
      <c r="E500">
        <v>25.3</v>
      </c>
      <c r="F500" t="s">
        <v>391</v>
      </c>
      <c r="G500" t="s">
        <v>390</v>
      </c>
      <c r="H500" t="s">
        <v>3140</v>
      </c>
    </row>
    <row r="501" spans="1:8">
      <c r="A501" s="2">
        <v>45845</v>
      </c>
      <c r="B501" t="s">
        <v>2469</v>
      </c>
      <c r="C501">
        <v>4.2</v>
      </c>
      <c r="D501" t="s">
        <v>2550</v>
      </c>
      <c r="E501">
        <v>4.5</v>
      </c>
      <c r="F501" t="s">
        <v>2470</v>
      </c>
      <c r="G501" t="s">
        <v>2472</v>
      </c>
      <c r="H501" t="s">
        <v>3141</v>
      </c>
    </row>
    <row r="502" spans="1:8">
      <c r="A502" s="2">
        <v>45845</v>
      </c>
      <c r="B502" t="s">
        <v>2473</v>
      </c>
      <c r="C502">
        <v>16.2</v>
      </c>
      <c r="D502" t="s">
        <v>2475</v>
      </c>
      <c r="E502">
        <v>16.100000000000001</v>
      </c>
      <c r="F502" t="s">
        <v>2474</v>
      </c>
      <c r="G502" t="s">
        <v>2473</v>
      </c>
      <c r="H502" t="s">
        <v>3142</v>
      </c>
    </row>
    <row r="503" spans="1:8">
      <c r="A503" s="2">
        <v>45845</v>
      </c>
      <c r="B503" t="s">
        <v>2516</v>
      </c>
      <c r="C503">
        <v>17.8</v>
      </c>
      <c r="D503" t="s">
        <v>2518</v>
      </c>
      <c r="E503">
        <v>17.100000000000001</v>
      </c>
      <c r="F503" t="s">
        <v>2517</v>
      </c>
      <c r="G503" t="s">
        <v>2519</v>
      </c>
      <c r="H503" t="s">
        <v>3143</v>
      </c>
    </row>
    <row r="504" spans="1:8">
      <c r="A504" s="2">
        <v>45845</v>
      </c>
      <c r="B504" t="s">
        <v>2561</v>
      </c>
      <c r="C504">
        <v>20.7</v>
      </c>
      <c r="D504" t="s">
        <v>2563</v>
      </c>
      <c r="E504">
        <v>20.6</v>
      </c>
      <c r="F504" t="s">
        <v>2562</v>
      </c>
      <c r="G504" t="s">
        <v>2564</v>
      </c>
      <c r="H504" t="s">
        <v>3144</v>
      </c>
    </row>
    <row r="505" spans="1:8">
      <c r="A505" s="2">
        <v>45845</v>
      </c>
      <c r="B505" t="s">
        <v>2603</v>
      </c>
      <c r="C505">
        <v>8</v>
      </c>
      <c r="D505" t="s">
        <v>2604</v>
      </c>
      <c r="E505">
        <v>7.8</v>
      </c>
      <c r="F505" t="s">
        <v>2605</v>
      </c>
      <c r="G505" t="s">
        <v>2603</v>
      </c>
      <c r="H505" t="s">
        <v>3145</v>
      </c>
    </row>
    <row r="506" spans="1:8">
      <c r="A506" s="2">
        <v>45845</v>
      </c>
      <c r="B506" t="s">
        <v>2606</v>
      </c>
      <c r="C506">
        <v>9.8000000000000007</v>
      </c>
      <c r="D506" t="s">
        <v>2607</v>
      </c>
      <c r="E506">
        <v>10.8</v>
      </c>
      <c r="F506" t="s">
        <v>292</v>
      </c>
      <c r="G506" t="s">
        <v>2606</v>
      </c>
      <c r="H506" t="s">
        <v>3146</v>
      </c>
    </row>
    <row r="507" spans="1:8">
      <c r="A507" s="2">
        <v>45917</v>
      </c>
      <c r="B507" t="s">
        <v>3</v>
      </c>
      <c r="C507">
        <v>5</v>
      </c>
      <c r="D507" t="s">
        <v>61</v>
      </c>
      <c r="E507">
        <v>5</v>
      </c>
      <c r="F507" t="s">
        <v>4</v>
      </c>
      <c r="G507" t="s">
        <v>102</v>
      </c>
      <c r="H507" t="s">
        <v>3147</v>
      </c>
    </row>
    <row r="508" spans="1:8">
      <c r="A508" s="2">
        <v>45917</v>
      </c>
      <c r="B508" t="s">
        <v>6</v>
      </c>
      <c r="C508">
        <v>6.4</v>
      </c>
      <c r="D508" t="s">
        <v>60</v>
      </c>
      <c r="E508">
        <v>6.8</v>
      </c>
      <c r="F508" t="s">
        <v>7</v>
      </c>
      <c r="G508" t="s">
        <v>103</v>
      </c>
      <c r="H508" t="s">
        <v>3148</v>
      </c>
    </row>
    <row r="509" spans="1:8">
      <c r="A509" s="2">
        <v>45917</v>
      </c>
      <c r="B509" t="s">
        <v>9</v>
      </c>
      <c r="C509">
        <v>11.3</v>
      </c>
      <c r="D509" t="s">
        <v>55</v>
      </c>
      <c r="E509">
        <v>11.3</v>
      </c>
      <c r="F509" t="s">
        <v>10</v>
      </c>
      <c r="G509" t="s">
        <v>104</v>
      </c>
      <c r="H509" t="s">
        <v>3149</v>
      </c>
    </row>
    <row r="510" spans="1:8">
      <c r="A510" s="2">
        <v>45917</v>
      </c>
      <c r="B510" t="s">
        <v>12</v>
      </c>
      <c r="C510">
        <v>14.8</v>
      </c>
      <c r="D510" t="s">
        <v>57</v>
      </c>
      <c r="E510">
        <v>14.7</v>
      </c>
      <c r="F510" t="s">
        <v>13</v>
      </c>
      <c r="G510" t="s">
        <v>112</v>
      </c>
      <c r="H510" t="s">
        <v>3150</v>
      </c>
    </row>
    <row r="511" spans="1:8">
      <c r="A511" s="2">
        <v>45917</v>
      </c>
      <c r="B511" t="s">
        <v>15</v>
      </c>
      <c r="C511">
        <v>6.5</v>
      </c>
      <c r="D511" t="s">
        <v>54</v>
      </c>
      <c r="E511">
        <v>6.1</v>
      </c>
      <c r="F511" t="s">
        <v>16</v>
      </c>
      <c r="G511" t="s">
        <v>105</v>
      </c>
      <c r="H511" t="s">
        <v>3151</v>
      </c>
    </row>
    <row r="512" spans="1:8">
      <c r="A512" s="2">
        <v>45917</v>
      </c>
      <c r="B512" t="s">
        <v>18</v>
      </c>
      <c r="C512">
        <v>7.2</v>
      </c>
      <c r="D512" t="s">
        <v>114</v>
      </c>
      <c r="E512">
        <v>7.2</v>
      </c>
      <c r="F512" t="s">
        <v>19</v>
      </c>
      <c r="G512" t="s">
        <v>113</v>
      </c>
      <c r="H512" t="s">
        <v>3152</v>
      </c>
    </row>
    <row r="513" spans="1:8">
      <c r="A513" s="2">
        <v>45917</v>
      </c>
      <c r="B513" t="s">
        <v>20</v>
      </c>
      <c r="C513">
        <v>19.3</v>
      </c>
      <c r="D513" t="s">
        <v>59</v>
      </c>
      <c r="E513">
        <v>19.600000000000001</v>
      </c>
      <c r="F513" t="s">
        <v>21</v>
      </c>
      <c r="G513" t="s">
        <v>2609</v>
      </c>
      <c r="H513" t="s">
        <v>3153</v>
      </c>
    </row>
    <row r="514" spans="1:8">
      <c r="A514" s="2">
        <v>45917</v>
      </c>
      <c r="B514" t="s">
        <v>23</v>
      </c>
      <c r="C514">
        <v>18.8</v>
      </c>
      <c r="D514" t="s">
        <v>120</v>
      </c>
      <c r="E514">
        <v>19.399999999999999</v>
      </c>
      <c r="F514" t="s">
        <v>24</v>
      </c>
      <c r="G514" t="s">
        <v>107</v>
      </c>
      <c r="H514" t="s">
        <v>3154</v>
      </c>
    </row>
    <row r="515" spans="1:8">
      <c r="A515" s="2">
        <v>45917</v>
      </c>
      <c r="B515" t="s">
        <v>25</v>
      </c>
      <c r="C515">
        <v>15.1</v>
      </c>
      <c r="D515" t="s">
        <v>252</v>
      </c>
      <c r="E515">
        <v>15.1</v>
      </c>
      <c r="F515" t="s">
        <v>26</v>
      </c>
      <c r="G515" t="s">
        <v>115</v>
      </c>
      <c r="H515" t="s">
        <v>3155</v>
      </c>
    </row>
    <row r="516" spans="1:8">
      <c r="A516" s="2">
        <v>45917</v>
      </c>
      <c r="B516" t="s">
        <v>30</v>
      </c>
      <c r="C516">
        <v>13.5</v>
      </c>
      <c r="D516" t="s">
        <v>56</v>
      </c>
      <c r="E516">
        <v>14.2</v>
      </c>
      <c r="F516" t="s">
        <v>31</v>
      </c>
      <c r="G516" t="s">
        <v>108</v>
      </c>
      <c r="H516" t="s">
        <v>3156</v>
      </c>
    </row>
    <row r="517" spans="1:8">
      <c r="A517" s="2">
        <v>45917</v>
      </c>
      <c r="B517" t="s">
        <v>33</v>
      </c>
      <c r="C517">
        <v>6.7</v>
      </c>
      <c r="D517" t="s">
        <v>343</v>
      </c>
      <c r="E517">
        <v>6.7</v>
      </c>
      <c r="F517" t="s">
        <v>34</v>
      </c>
      <c r="G517" t="s">
        <v>109</v>
      </c>
      <c r="H517" t="s">
        <v>3157</v>
      </c>
    </row>
    <row r="518" spans="1:8">
      <c r="A518" s="2">
        <v>45917</v>
      </c>
      <c r="B518" t="s">
        <v>35</v>
      </c>
      <c r="C518">
        <v>20.5</v>
      </c>
      <c r="D518" t="s">
        <v>63</v>
      </c>
      <c r="E518">
        <v>20.9</v>
      </c>
      <c r="F518" t="s">
        <v>36</v>
      </c>
      <c r="G518" t="s">
        <v>110</v>
      </c>
      <c r="H518" t="s">
        <v>3158</v>
      </c>
    </row>
    <row r="519" spans="1:8">
      <c r="A519" s="2">
        <v>45917</v>
      </c>
      <c r="B519" t="s">
        <v>41</v>
      </c>
      <c r="C519">
        <v>22.1</v>
      </c>
      <c r="D519" t="s">
        <v>254</v>
      </c>
      <c r="E519">
        <v>22.6</v>
      </c>
      <c r="F519" t="s">
        <v>42</v>
      </c>
      <c r="G519" t="s">
        <v>117</v>
      </c>
      <c r="H519" t="s">
        <v>3159</v>
      </c>
    </row>
    <row r="520" spans="1:8">
      <c r="A520" s="2">
        <v>45917</v>
      </c>
      <c r="B520" t="s">
        <v>46</v>
      </c>
      <c r="C520">
        <v>18.8</v>
      </c>
      <c r="D520" t="s">
        <v>62</v>
      </c>
      <c r="E520">
        <v>18.8</v>
      </c>
      <c r="F520" t="s">
        <v>47</v>
      </c>
      <c r="G520" t="s">
        <v>106</v>
      </c>
      <c r="H520" t="s">
        <v>3160</v>
      </c>
    </row>
    <row r="521" spans="1:8">
      <c r="A521" s="2">
        <v>45917</v>
      </c>
      <c r="B521" t="s">
        <v>49</v>
      </c>
      <c r="C521">
        <v>14.6</v>
      </c>
      <c r="D521" t="s">
        <v>58</v>
      </c>
      <c r="E521">
        <v>14.6</v>
      </c>
      <c r="F521" t="s">
        <v>50</v>
      </c>
      <c r="G521" t="s">
        <v>111</v>
      </c>
      <c r="H521" t="s">
        <v>3161</v>
      </c>
    </row>
    <row r="522" spans="1:8">
      <c r="A522" s="2">
        <v>45917</v>
      </c>
      <c r="B522" t="s">
        <v>135</v>
      </c>
      <c r="C522">
        <v>19.600000000000001</v>
      </c>
      <c r="D522" t="s">
        <v>134</v>
      </c>
      <c r="E522">
        <v>19.5</v>
      </c>
      <c r="F522" t="s">
        <v>123</v>
      </c>
      <c r="G522" t="s">
        <v>132</v>
      </c>
      <c r="H522" t="s">
        <v>3162</v>
      </c>
    </row>
    <row r="523" spans="1:8">
      <c r="A523" s="2">
        <v>45917</v>
      </c>
      <c r="B523" t="s">
        <v>201</v>
      </c>
      <c r="C523">
        <v>6.1</v>
      </c>
      <c r="D523" t="s">
        <v>209</v>
      </c>
      <c r="E523">
        <v>6.1</v>
      </c>
      <c r="F523" t="s">
        <v>202</v>
      </c>
      <c r="G523" t="s">
        <v>213</v>
      </c>
      <c r="H523" t="s">
        <v>3163</v>
      </c>
    </row>
    <row r="524" spans="1:8">
      <c r="A524" s="2">
        <v>45917</v>
      </c>
      <c r="B524" t="s">
        <v>203</v>
      </c>
      <c r="C524">
        <v>17.2</v>
      </c>
      <c r="D524" t="s">
        <v>212</v>
      </c>
      <c r="E524">
        <v>17.2</v>
      </c>
      <c r="F524" t="s">
        <v>204</v>
      </c>
      <c r="G524" t="s">
        <v>203</v>
      </c>
      <c r="H524" t="s">
        <v>3164</v>
      </c>
    </row>
    <row r="525" spans="1:8">
      <c r="A525" s="2">
        <v>45917</v>
      </c>
      <c r="B525" t="s">
        <v>205</v>
      </c>
      <c r="C525">
        <v>5.2</v>
      </c>
      <c r="D525" t="s">
        <v>211</v>
      </c>
      <c r="E525">
        <v>5.2</v>
      </c>
      <c r="F525" t="s">
        <v>206</v>
      </c>
      <c r="G525" t="s">
        <v>214</v>
      </c>
      <c r="H525" t="s">
        <v>3165</v>
      </c>
    </row>
    <row r="526" spans="1:8">
      <c r="A526" s="2">
        <v>45917</v>
      </c>
      <c r="B526" t="s">
        <v>207</v>
      </c>
      <c r="C526">
        <v>15</v>
      </c>
      <c r="D526" t="s">
        <v>210</v>
      </c>
      <c r="E526">
        <v>14.5</v>
      </c>
      <c r="F526" t="s">
        <v>208</v>
      </c>
      <c r="G526" t="s">
        <v>215</v>
      </c>
      <c r="H526" t="s">
        <v>3166</v>
      </c>
    </row>
    <row r="527" spans="1:8">
      <c r="A527" s="2">
        <v>45917</v>
      </c>
      <c r="B527" t="s">
        <v>217</v>
      </c>
      <c r="C527">
        <v>21.5</v>
      </c>
      <c r="D527" t="s">
        <v>219</v>
      </c>
      <c r="E527">
        <v>22.2</v>
      </c>
      <c r="F527" t="s">
        <v>218</v>
      </c>
      <c r="G527" t="s">
        <v>2610</v>
      </c>
      <c r="H527" t="s">
        <v>3167</v>
      </c>
    </row>
    <row r="528" spans="1:8">
      <c r="A528" s="2">
        <v>45917</v>
      </c>
      <c r="B528" t="s">
        <v>225</v>
      </c>
      <c r="C528">
        <v>10.5</v>
      </c>
      <c r="D528" t="s">
        <v>244</v>
      </c>
      <c r="E528">
        <v>10.7</v>
      </c>
      <c r="F528" t="s">
        <v>226</v>
      </c>
      <c r="G528" t="s">
        <v>228</v>
      </c>
      <c r="H528" t="s">
        <v>3168</v>
      </c>
    </row>
    <row r="529" spans="1:8">
      <c r="A529" s="2">
        <v>45917</v>
      </c>
      <c r="B529" t="s">
        <v>248</v>
      </c>
      <c r="C529">
        <v>12.7</v>
      </c>
      <c r="D529" t="s">
        <v>250</v>
      </c>
      <c r="E529">
        <v>13.1</v>
      </c>
      <c r="F529" t="s">
        <v>249</v>
      </c>
      <c r="G529" t="s">
        <v>251</v>
      </c>
      <c r="H529" t="s">
        <v>3169</v>
      </c>
    </row>
    <row r="530" spans="1:8">
      <c r="A530" s="2">
        <v>45917</v>
      </c>
      <c r="B530" t="s">
        <v>259</v>
      </c>
      <c r="C530">
        <v>2.1</v>
      </c>
      <c r="D530" t="s">
        <v>261</v>
      </c>
      <c r="E530">
        <v>1.7</v>
      </c>
      <c r="F530" t="s">
        <v>262</v>
      </c>
      <c r="G530" t="s">
        <v>260</v>
      </c>
      <c r="H530" t="s">
        <v>3170</v>
      </c>
    </row>
    <row r="531" spans="1:8">
      <c r="A531" s="2">
        <v>45917</v>
      </c>
      <c r="B531" t="s">
        <v>264</v>
      </c>
      <c r="C531">
        <v>20</v>
      </c>
      <c r="D531" t="s">
        <v>266</v>
      </c>
      <c r="E531">
        <v>19.899999999999999</v>
      </c>
      <c r="F531" t="s">
        <v>265</v>
      </c>
      <c r="G531" t="s">
        <v>267</v>
      </c>
      <c r="H531" t="s">
        <v>3171</v>
      </c>
    </row>
    <row r="532" spans="1:8">
      <c r="A532" s="2">
        <v>45917</v>
      </c>
      <c r="B532" t="s">
        <v>271</v>
      </c>
      <c r="C532">
        <v>16.100000000000001</v>
      </c>
      <c r="D532" t="s">
        <v>269</v>
      </c>
      <c r="E532">
        <v>16.399999999999999</v>
      </c>
      <c r="F532" t="s">
        <v>268</v>
      </c>
      <c r="G532" t="s">
        <v>270</v>
      </c>
      <c r="H532" t="s">
        <v>3172</v>
      </c>
    </row>
    <row r="533" spans="1:8">
      <c r="A533" s="2">
        <v>45917</v>
      </c>
      <c r="B533" t="s">
        <v>293</v>
      </c>
      <c r="C533">
        <v>15.1</v>
      </c>
      <c r="D533" t="s">
        <v>373</v>
      </c>
      <c r="E533">
        <v>15.1</v>
      </c>
      <c r="F533" t="s">
        <v>381</v>
      </c>
      <c r="G533" t="s">
        <v>287</v>
      </c>
      <c r="H533" t="s">
        <v>3173</v>
      </c>
    </row>
    <row r="534" spans="1:8">
      <c r="A534" s="2">
        <v>45917</v>
      </c>
      <c r="B534" t="s">
        <v>291</v>
      </c>
      <c r="C534">
        <v>1.7</v>
      </c>
      <c r="D534" t="s">
        <v>2637</v>
      </c>
      <c r="E534">
        <v>1.9</v>
      </c>
      <c r="F534" t="s">
        <v>431</v>
      </c>
      <c r="G534" t="s">
        <v>286</v>
      </c>
      <c r="H534" t="s">
        <v>3174</v>
      </c>
    </row>
    <row r="535" spans="1:8">
      <c r="A535" s="2">
        <v>45917</v>
      </c>
      <c r="B535" t="s">
        <v>297</v>
      </c>
      <c r="C535">
        <v>17.5</v>
      </c>
      <c r="D535" t="s">
        <v>296</v>
      </c>
      <c r="E535">
        <v>17.5</v>
      </c>
      <c r="F535" t="s">
        <v>382</v>
      </c>
      <c r="G535" t="s">
        <v>297</v>
      </c>
      <c r="H535" t="s">
        <v>3175</v>
      </c>
    </row>
    <row r="536" spans="1:8">
      <c r="A536" s="2">
        <v>45917</v>
      </c>
      <c r="B536" t="s">
        <v>326</v>
      </c>
      <c r="C536">
        <v>7.9</v>
      </c>
      <c r="D536" t="s">
        <v>331</v>
      </c>
      <c r="E536">
        <v>7.9</v>
      </c>
      <c r="F536" t="s">
        <v>327</v>
      </c>
      <c r="G536" t="s">
        <v>330</v>
      </c>
      <c r="H536" t="s">
        <v>3176</v>
      </c>
    </row>
    <row r="537" spans="1:8">
      <c r="A537" s="2">
        <v>45917</v>
      </c>
      <c r="B537" t="s">
        <v>328</v>
      </c>
      <c r="C537">
        <v>10.6</v>
      </c>
      <c r="D537" t="s">
        <v>332</v>
      </c>
      <c r="E537">
        <v>10.6</v>
      </c>
      <c r="F537" t="s">
        <v>329</v>
      </c>
      <c r="G537" t="s">
        <v>333</v>
      </c>
      <c r="H537" t="s">
        <v>3177</v>
      </c>
    </row>
    <row r="538" spans="1:8">
      <c r="A538" s="2">
        <v>45917</v>
      </c>
      <c r="B538" t="s">
        <v>375</v>
      </c>
      <c r="C538">
        <v>11.8</v>
      </c>
      <c r="D538" t="s">
        <v>377</v>
      </c>
      <c r="E538">
        <v>11.8</v>
      </c>
      <c r="F538" t="s">
        <v>376</v>
      </c>
      <c r="G538" t="s">
        <v>375</v>
      </c>
      <c r="H538" t="s">
        <v>3178</v>
      </c>
    </row>
    <row r="539" spans="1:8">
      <c r="A539" s="2">
        <v>45917</v>
      </c>
      <c r="B539" t="s">
        <v>388</v>
      </c>
      <c r="C539">
        <v>24.4</v>
      </c>
      <c r="D539" t="s">
        <v>389</v>
      </c>
      <c r="E539">
        <v>25.3</v>
      </c>
      <c r="F539" t="s">
        <v>391</v>
      </c>
      <c r="G539" t="s">
        <v>390</v>
      </c>
      <c r="H539" t="s">
        <v>3179</v>
      </c>
    </row>
    <row r="540" spans="1:8">
      <c r="A540" s="2">
        <v>45917</v>
      </c>
      <c r="B540" t="s">
        <v>2469</v>
      </c>
      <c r="C540">
        <v>4</v>
      </c>
      <c r="D540" t="s">
        <v>2550</v>
      </c>
      <c r="E540">
        <v>4.2</v>
      </c>
      <c r="F540" t="s">
        <v>2470</v>
      </c>
      <c r="G540" t="s">
        <v>2472</v>
      </c>
      <c r="H540" t="s">
        <v>3180</v>
      </c>
    </row>
    <row r="541" spans="1:8">
      <c r="A541" s="2">
        <v>45917</v>
      </c>
      <c r="B541" t="s">
        <v>2473</v>
      </c>
      <c r="C541">
        <v>16</v>
      </c>
      <c r="D541" t="s">
        <v>2475</v>
      </c>
      <c r="E541">
        <v>16.2</v>
      </c>
      <c r="F541" t="s">
        <v>2474</v>
      </c>
      <c r="G541" t="s">
        <v>2473</v>
      </c>
      <c r="H541" t="s">
        <v>3181</v>
      </c>
    </row>
    <row r="542" spans="1:8">
      <c r="A542" s="2">
        <v>45917</v>
      </c>
      <c r="B542" t="s">
        <v>2516</v>
      </c>
      <c r="C542">
        <v>17.8</v>
      </c>
      <c r="D542" t="s">
        <v>2518</v>
      </c>
      <c r="E542">
        <v>17.8</v>
      </c>
      <c r="F542" t="s">
        <v>2517</v>
      </c>
      <c r="G542" t="s">
        <v>2519</v>
      </c>
      <c r="H542" t="s">
        <v>3182</v>
      </c>
    </row>
    <row r="543" spans="1:8">
      <c r="A543" s="2">
        <v>45917</v>
      </c>
      <c r="B543" t="s">
        <v>2561</v>
      </c>
      <c r="C543">
        <v>20.7</v>
      </c>
      <c r="D543" t="s">
        <v>2563</v>
      </c>
      <c r="E543">
        <v>20.6</v>
      </c>
      <c r="F543" t="s">
        <v>2562</v>
      </c>
      <c r="G543" t="s">
        <v>2564</v>
      </c>
      <c r="H543" t="s">
        <v>3183</v>
      </c>
    </row>
    <row r="544" spans="1:8">
      <c r="A544" s="2">
        <v>45917</v>
      </c>
      <c r="B544" t="s">
        <v>2603</v>
      </c>
      <c r="C544">
        <v>8</v>
      </c>
      <c r="D544" t="s">
        <v>2604</v>
      </c>
      <c r="E544">
        <v>7.8</v>
      </c>
      <c r="F544" t="s">
        <v>2605</v>
      </c>
      <c r="G544" t="s">
        <v>2603</v>
      </c>
      <c r="H544" t="s">
        <v>3184</v>
      </c>
    </row>
    <row r="545" spans="1:8">
      <c r="A545" s="2">
        <v>45917</v>
      </c>
      <c r="B545" t="s">
        <v>2606</v>
      </c>
      <c r="C545">
        <v>9.8000000000000007</v>
      </c>
      <c r="D545" t="s">
        <v>2607</v>
      </c>
      <c r="E545">
        <v>10.8</v>
      </c>
      <c r="F545" t="s">
        <v>292</v>
      </c>
      <c r="G545" t="s">
        <v>2606</v>
      </c>
      <c r="H545" t="s">
        <v>3185</v>
      </c>
    </row>
    <row r="546" spans="1:8">
      <c r="A546" s="2">
        <v>45924</v>
      </c>
      <c r="B546" t="s">
        <v>3</v>
      </c>
      <c r="C546">
        <v>5.0999999999999996</v>
      </c>
      <c r="D546" t="s">
        <v>61</v>
      </c>
      <c r="E546">
        <v>5</v>
      </c>
      <c r="F546" t="s">
        <v>4</v>
      </c>
      <c r="G546" t="s">
        <v>102</v>
      </c>
      <c r="H546" t="s">
        <v>3186</v>
      </c>
    </row>
    <row r="547" spans="1:8">
      <c r="A547" s="2">
        <v>45924</v>
      </c>
      <c r="B547" t="s">
        <v>6</v>
      </c>
      <c r="C547">
        <v>6.4</v>
      </c>
      <c r="D547" t="s">
        <v>60</v>
      </c>
      <c r="E547">
        <v>6.8</v>
      </c>
      <c r="F547" t="s">
        <v>7</v>
      </c>
      <c r="G547" t="s">
        <v>103</v>
      </c>
      <c r="H547" t="s">
        <v>3187</v>
      </c>
    </row>
    <row r="548" spans="1:8">
      <c r="A548" s="2">
        <v>45924</v>
      </c>
      <c r="B548" t="s">
        <v>9</v>
      </c>
      <c r="C548">
        <v>11.3</v>
      </c>
      <c r="D548" t="s">
        <v>55</v>
      </c>
      <c r="E548">
        <v>11.3</v>
      </c>
      <c r="F548" t="s">
        <v>10</v>
      </c>
      <c r="G548" t="s">
        <v>104</v>
      </c>
      <c r="H548" t="s">
        <v>3188</v>
      </c>
    </row>
    <row r="549" spans="1:8">
      <c r="A549" s="2">
        <v>45924</v>
      </c>
      <c r="B549" t="s">
        <v>12</v>
      </c>
      <c r="C549">
        <v>15.9</v>
      </c>
      <c r="D549" t="s">
        <v>57</v>
      </c>
      <c r="E549">
        <v>15.3</v>
      </c>
      <c r="F549" t="s">
        <v>13</v>
      </c>
      <c r="G549" t="s">
        <v>112</v>
      </c>
      <c r="H549" t="s">
        <v>3189</v>
      </c>
    </row>
    <row r="550" spans="1:8">
      <c r="A550" s="2">
        <v>45924</v>
      </c>
      <c r="B550" t="s">
        <v>15</v>
      </c>
      <c r="C550">
        <v>6.5</v>
      </c>
      <c r="D550" t="s">
        <v>54</v>
      </c>
      <c r="E550">
        <v>6.5</v>
      </c>
      <c r="F550" t="s">
        <v>16</v>
      </c>
      <c r="G550" t="s">
        <v>105</v>
      </c>
      <c r="H550" t="s">
        <v>3190</v>
      </c>
    </row>
    <row r="551" spans="1:8">
      <c r="A551" s="2">
        <v>45924</v>
      </c>
      <c r="B551" t="s">
        <v>18</v>
      </c>
      <c r="C551">
        <v>6.8</v>
      </c>
      <c r="D551" t="s">
        <v>114</v>
      </c>
      <c r="E551">
        <v>7.2</v>
      </c>
      <c r="F551" t="s">
        <v>19</v>
      </c>
      <c r="G551" t="s">
        <v>113</v>
      </c>
      <c r="H551" t="s">
        <v>3191</v>
      </c>
    </row>
    <row r="552" spans="1:8">
      <c r="A552" s="2">
        <v>45924</v>
      </c>
      <c r="B552" t="s">
        <v>20</v>
      </c>
      <c r="C552">
        <v>19.3</v>
      </c>
      <c r="D552" t="s">
        <v>59</v>
      </c>
      <c r="E552">
        <v>19.600000000000001</v>
      </c>
      <c r="F552" t="s">
        <v>21</v>
      </c>
      <c r="G552" t="s">
        <v>2609</v>
      </c>
      <c r="H552" t="s">
        <v>3192</v>
      </c>
    </row>
    <row r="553" spans="1:8">
      <c r="A553" s="2">
        <v>45924</v>
      </c>
      <c r="B553" t="s">
        <v>23</v>
      </c>
      <c r="C553">
        <v>18.8</v>
      </c>
      <c r="D553" t="s">
        <v>120</v>
      </c>
      <c r="E553">
        <v>19.399999999999999</v>
      </c>
      <c r="F553" t="s">
        <v>24</v>
      </c>
      <c r="G553" t="s">
        <v>107</v>
      </c>
      <c r="H553" t="s">
        <v>3193</v>
      </c>
    </row>
    <row r="554" spans="1:8">
      <c r="A554" s="2">
        <v>45924</v>
      </c>
      <c r="B554" t="s">
        <v>25</v>
      </c>
      <c r="C554">
        <v>15.5</v>
      </c>
      <c r="D554" t="s">
        <v>252</v>
      </c>
      <c r="E554">
        <v>15.1</v>
      </c>
      <c r="F554" t="s">
        <v>26</v>
      </c>
      <c r="G554" t="s">
        <v>115</v>
      </c>
      <c r="H554" t="s">
        <v>3194</v>
      </c>
    </row>
    <row r="555" spans="1:8">
      <c r="A555" s="2">
        <v>45924</v>
      </c>
      <c r="B555" t="s">
        <v>30</v>
      </c>
      <c r="C555">
        <v>13.3</v>
      </c>
      <c r="D555" t="s">
        <v>56</v>
      </c>
      <c r="E555">
        <v>13.5</v>
      </c>
      <c r="F555" t="s">
        <v>31</v>
      </c>
      <c r="G555" t="s">
        <v>108</v>
      </c>
      <c r="H555" t="s">
        <v>3195</v>
      </c>
    </row>
    <row r="556" spans="1:8">
      <c r="A556" s="2">
        <v>45924</v>
      </c>
      <c r="B556" t="s">
        <v>33</v>
      </c>
      <c r="C556">
        <v>6.7</v>
      </c>
      <c r="D556" t="s">
        <v>343</v>
      </c>
      <c r="E556">
        <v>6.7</v>
      </c>
      <c r="F556" t="s">
        <v>34</v>
      </c>
      <c r="G556" t="s">
        <v>109</v>
      </c>
      <c r="H556" t="s">
        <v>3196</v>
      </c>
    </row>
    <row r="557" spans="1:8">
      <c r="A557" s="2">
        <v>45924</v>
      </c>
      <c r="B557" t="s">
        <v>35</v>
      </c>
      <c r="C557">
        <v>20.5</v>
      </c>
      <c r="D557" t="s">
        <v>63</v>
      </c>
      <c r="E557">
        <v>20.5</v>
      </c>
      <c r="F557" t="s">
        <v>36</v>
      </c>
      <c r="G557" t="s">
        <v>110</v>
      </c>
      <c r="H557" t="s">
        <v>3197</v>
      </c>
    </row>
    <row r="558" spans="1:8">
      <c r="A558" s="2">
        <v>45924</v>
      </c>
      <c r="B558" t="s">
        <v>41</v>
      </c>
      <c r="C558">
        <v>22.1</v>
      </c>
      <c r="D558" t="s">
        <v>254</v>
      </c>
      <c r="E558">
        <v>22.6</v>
      </c>
      <c r="F558" t="s">
        <v>42</v>
      </c>
      <c r="G558" t="s">
        <v>117</v>
      </c>
      <c r="H558" t="s">
        <v>3198</v>
      </c>
    </row>
    <row r="559" spans="1:8">
      <c r="A559" s="2">
        <v>45924</v>
      </c>
      <c r="B559" t="s">
        <v>46</v>
      </c>
      <c r="C559">
        <v>19</v>
      </c>
      <c r="D559" t="s">
        <v>62</v>
      </c>
      <c r="E559">
        <v>19</v>
      </c>
      <c r="F559" t="s">
        <v>47</v>
      </c>
      <c r="G559" t="s">
        <v>106</v>
      </c>
      <c r="H559" t="s">
        <v>3199</v>
      </c>
    </row>
    <row r="560" spans="1:8">
      <c r="A560" s="2">
        <v>45924</v>
      </c>
      <c r="B560" t="s">
        <v>49</v>
      </c>
      <c r="C560">
        <v>14.6</v>
      </c>
      <c r="D560" t="s">
        <v>58</v>
      </c>
      <c r="E560">
        <v>14.6</v>
      </c>
      <c r="F560" t="s">
        <v>50</v>
      </c>
      <c r="G560" t="s">
        <v>111</v>
      </c>
      <c r="H560" t="s">
        <v>3200</v>
      </c>
    </row>
    <row r="561" spans="1:8">
      <c r="A561" s="2">
        <v>45924</v>
      </c>
      <c r="B561" t="s">
        <v>135</v>
      </c>
      <c r="C561">
        <v>19.899999999999999</v>
      </c>
      <c r="D561" t="s">
        <v>134</v>
      </c>
      <c r="E561">
        <v>19.600000000000001</v>
      </c>
      <c r="F561" t="s">
        <v>123</v>
      </c>
      <c r="G561" t="s">
        <v>132</v>
      </c>
      <c r="H561" t="s">
        <v>3201</v>
      </c>
    </row>
    <row r="562" spans="1:8">
      <c r="A562" s="2">
        <v>45924</v>
      </c>
      <c r="B562" t="s">
        <v>201</v>
      </c>
      <c r="C562">
        <v>5.6</v>
      </c>
      <c r="D562" t="s">
        <v>209</v>
      </c>
      <c r="E562">
        <v>6.1</v>
      </c>
      <c r="F562" t="s">
        <v>202</v>
      </c>
      <c r="G562" t="s">
        <v>213</v>
      </c>
      <c r="H562" t="s">
        <v>3202</v>
      </c>
    </row>
    <row r="563" spans="1:8">
      <c r="A563" s="2">
        <v>45924</v>
      </c>
      <c r="B563" t="s">
        <v>203</v>
      </c>
      <c r="C563">
        <v>17.2</v>
      </c>
      <c r="D563" t="s">
        <v>212</v>
      </c>
      <c r="E563">
        <v>17.2</v>
      </c>
      <c r="F563" t="s">
        <v>204</v>
      </c>
      <c r="G563" t="s">
        <v>203</v>
      </c>
      <c r="H563" t="s">
        <v>3203</v>
      </c>
    </row>
    <row r="564" spans="1:8">
      <c r="A564" s="2">
        <v>45924</v>
      </c>
      <c r="B564" t="s">
        <v>205</v>
      </c>
      <c r="C564">
        <v>5.2</v>
      </c>
      <c r="D564" t="s">
        <v>211</v>
      </c>
      <c r="E564">
        <v>5.2</v>
      </c>
      <c r="F564" t="s">
        <v>206</v>
      </c>
      <c r="G564" t="s">
        <v>214</v>
      </c>
      <c r="H564" t="s">
        <v>3204</v>
      </c>
    </row>
    <row r="565" spans="1:8">
      <c r="A565" s="2">
        <v>45924</v>
      </c>
      <c r="B565" t="s">
        <v>207</v>
      </c>
      <c r="C565">
        <v>15</v>
      </c>
      <c r="D565" t="s">
        <v>210</v>
      </c>
      <c r="E565">
        <v>14.5</v>
      </c>
      <c r="F565" t="s">
        <v>208</v>
      </c>
      <c r="G565" t="s">
        <v>215</v>
      </c>
      <c r="H565" t="s">
        <v>3205</v>
      </c>
    </row>
    <row r="566" spans="1:8">
      <c r="A566" s="2">
        <v>45924</v>
      </c>
      <c r="B566" t="s">
        <v>217</v>
      </c>
      <c r="C566">
        <v>21.5</v>
      </c>
      <c r="D566" t="s">
        <v>219</v>
      </c>
      <c r="E566">
        <v>22.2</v>
      </c>
      <c r="F566" t="s">
        <v>218</v>
      </c>
      <c r="G566" t="s">
        <v>2610</v>
      </c>
      <c r="H566" t="s">
        <v>3206</v>
      </c>
    </row>
    <row r="567" spans="1:8">
      <c r="A567" s="2">
        <v>45924</v>
      </c>
      <c r="B567" t="s">
        <v>225</v>
      </c>
      <c r="C567">
        <v>10.5</v>
      </c>
      <c r="D567" t="s">
        <v>244</v>
      </c>
      <c r="E567">
        <v>10.7</v>
      </c>
      <c r="F567" t="s">
        <v>226</v>
      </c>
      <c r="G567" t="s">
        <v>228</v>
      </c>
      <c r="H567" t="s">
        <v>3207</v>
      </c>
    </row>
    <row r="568" spans="1:8">
      <c r="A568" s="2">
        <v>45924</v>
      </c>
      <c r="B568" t="s">
        <v>248</v>
      </c>
      <c r="C568">
        <v>12.2</v>
      </c>
      <c r="D568" t="s">
        <v>250</v>
      </c>
      <c r="E568">
        <v>12.7</v>
      </c>
      <c r="F568" t="s">
        <v>249</v>
      </c>
      <c r="G568" t="s">
        <v>251</v>
      </c>
      <c r="H568" t="s">
        <v>3208</v>
      </c>
    </row>
    <row r="569" spans="1:8">
      <c r="A569" s="2">
        <v>45924</v>
      </c>
      <c r="B569" t="s">
        <v>259</v>
      </c>
      <c r="C569">
        <v>2.1</v>
      </c>
      <c r="D569" t="s">
        <v>261</v>
      </c>
      <c r="E569">
        <v>1.7</v>
      </c>
      <c r="F569" t="s">
        <v>262</v>
      </c>
      <c r="G569" t="s">
        <v>260</v>
      </c>
      <c r="H569" t="s">
        <v>3209</v>
      </c>
    </row>
    <row r="570" spans="1:8">
      <c r="A570" s="2">
        <v>45924</v>
      </c>
      <c r="B570" t="s">
        <v>264</v>
      </c>
      <c r="C570">
        <v>20.399999999999999</v>
      </c>
      <c r="D570" t="s">
        <v>266</v>
      </c>
      <c r="E570">
        <v>20</v>
      </c>
      <c r="F570" t="s">
        <v>265</v>
      </c>
      <c r="G570" t="s">
        <v>267</v>
      </c>
      <c r="H570" t="s">
        <v>3210</v>
      </c>
    </row>
    <row r="571" spans="1:8">
      <c r="A571" s="2">
        <v>45924</v>
      </c>
      <c r="B571" t="s">
        <v>271</v>
      </c>
      <c r="C571">
        <v>15.6</v>
      </c>
      <c r="D571" t="s">
        <v>269</v>
      </c>
      <c r="E571">
        <v>16.100000000000001</v>
      </c>
      <c r="F571" t="s">
        <v>268</v>
      </c>
      <c r="G571" t="s">
        <v>270</v>
      </c>
      <c r="H571" t="s">
        <v>3211</v>
      </c>
    </row>
    <row r="572" spans="1:8">
      <c r="A572" s="2">
        <v>45924</v>
      </c>
      <c r="B572" t="s">
        <v>293</v>
      </c>
      <c r="C572">
        <v>15.1</v>
      </c>
      <c r="D572" t="s">
        <v>373</v>
      </c>
      <c r="E572">
        <v>15.1</v>
      </c>
      <c r="F572" t="s">
        <v>381</v>
      </c>
      <c r="G572" t="s">
        <v>287</v>
      </c>
      <c r="H572" t="s">
        <v>3212</v>
      </c>
    </row>
    <row r="573" spans="1:8">
      <c r="A573" s="2">
        <v>45924</v>
      </c>
      <c r="B573" t="s">
        <v>291</v>
      </c>
      <c r="C573">
        <v>1.1000000000000001</v>
      </c>
      <c r="D573" t="s">
        <v>2637</v>
      </c>
      <c r="E573">
        <v>1.7</v>
      </c>
      <c r="F573" t="s">
        <v>431</v>
      </c>
      <c r="G573" t="s">
        <v>286</v>
      </c>
      <c r="H573" t="s">
        <v>3213</v>
      </c>
    </row>
    <row r="574" spans="1:8">
      <c r="A574" s="2">
        <v>45924</v>
      </c>
      <c r="B574" t="s">
        <v>297</v>
      </c>
      <c r="C574">
        <v>16.600000000000001</v>
      </c>
      <c r="D574" t="s">
        <v>296</v>
      </c>
      <c r="E574">
        <v>17.5</v>
      </c>
      <c r="F574" t="s">
        <v>382</v>
      </c>
      <c r="G574" t="s">
        <v>297</v>
      </c>
      <c r="H574" t="s">
        <v>3214</v>
      </c>
    </row>
    <row r="575" spans="1:8">
      <c r="A575" s="2">
        <v>45924</v>
      </c>
      <c r="B575" t="s">
        <v>326</v>
      </c>
      <c r="C575">
        <v>7.9</v>
      </c>
      <c r="D575" t="s">
        <v>331</v>
      </c>
      <c r="E575">
        <v>7.9</v>
      </c>
      <c r="F575" t="s">
        <v>327</v>
      </c>
      <c r="G575" t="s">
        <v>330</v>
      </c>
      <c r="H575" t="s">
        <v>3215</v>
      </c>
    </row>
    <row r="576" spans="1:8">
      <c r="A576" s="2">
        <v>45924</v>
      </c>
      <c r="B576" t="s">
        <v>328</v>
      </c>
      <c r="C576">
        <v>10.6</v>
      </c>
      <c r="D576" t="s">
        <v>332</v>
      </c>
      <c r="E576">
        <v>10.6</v>
      </c>
      <c r="F576" t="s">
        <v>329</v>
      </c>
      <c r="G576" t="s">
        <v>333</v>
      </c>
      <c r="H576" t="s">
        <v>3216</v>
      </c>
    </row>
    <row r="577" spans="1:8">
      <c r="A577" s="2">
        <v>45924</v>
      </c>
      <c r="B577" t="s">
        <v>375</v>
      </c>
      <c r="C577">
        <v>11.8</v>
      </c>
      <c r="D577" t="s">
        <v>377</v>
      </c>
      <c r="E577">
        <v>11.8</v>
      </c>
      <c r="F577" t="s">
        <v>376</v>
      </c>
      <c r="G577" t="s">
        <v>375</v>
      </c>
      <c r="H577" t="s">
        <v>3217</v>
      </c>
    </row>
    <row r="578" spans="1:8">
      <c r="A578" s="2">
        <v>45924</v>
      </c>
      <c r="B578" t="s">
        <v>388</v>
      </c>
      <c r="C578">
        <v>24.4</v>
      </c>
      <c r="D578" t="s">
        <v>389</v>
      </c>
      <c r="E578">
        <v>24.8</v>
      </c>
      <c r="F578" t="s">
        <v>391</v>
      </c>
      <c r="G578" t="s">
        <v>390</v>
      </c>
      <c r="H578" t="s">
        <v>3218</v>
      </c>
    </row>
    <row r="579" spans="1:8">
      <c r="A579" s="2">
        <v>45924</v>
      </c>
      <c r="B579" t="s">
        <v>2469</v>
      </c>
      <c r="C579">
        <v>3.1</v>
      </c>
      <c r="D579" t="s">
        <v>2550</v>
      </c>
      <c r="E579">
        <v>4</v>
      </c>
      <c r="F579" t="s">
        <v>2470</v>
      </c>
      <c r="G579" t="s">
        <v>2472</v>
      </c>
      <c r="H579" t="s">
        <v>3219</v>
      </c>
    </row>
    <row r="580" spans="1:8">
      <c r="A580" s="2">
        <v>45924</v>
      </c>
      <c r="B580" t="s">
        <v>2473</v>
      </c>
      <c r="C580">
        <v>16</v>
      </c>
      <c r="D580" t="s">
        <v>2475</v>
      </c>
      <c r="E580">
        <v>16.2</v>
      </c>
      <c r="F580" t="s">
        <v>2474</v>
      </c>
      <c r="G580" t="s">
        <v>2473</v>
      </c>
      <c r="H580" t="s">
        <v>3220</v>
      </c>
    </row>
    <row r="581" spans="1:8">
      <c r="A581" s="2">
        <v>45924</v>
      </c>
      <c r="B581" t="s">
        <v>2516</v>
      </c>
      <c r="C581">
        <v>17.8</v>
      </c>
      <c r="D581" t="s">
        <v>2518</v>
      </c>
      <c r="E581">
        <v>17.8</v>
      </c>
      <c r="F581" t="s">
        <v>2517</v>
      </c>
      <c r="G581" t="s">
        <v>2519</v>
      </c>
      <c r="H581" t="s">
        <v>3221</v>
      </c>
    </row>
    <row r="582" spans="1:8">
      <c r="A582" s="2">
        <v>45924</v>
      </c>
      <c r="B582" t="s">
        <v>2561</v>
      </c>
      <c r="C582">
        <v>20.7</v>
      </c>
      <c r="D582" t="s">
        <v>2563</v>
      </c>
      <c r="E582">
        <v>20.6</v>
      </c>
      <c r="F582" t="s">
        <v>2562</v>
      </c>
      <c r="G582" t="s">
        <v>2564</v>
      </c>
      <c r="H582" t="s">
        <v>3222</v>
      </c>
    </row>
    <row r="583" spans="1:8">
      <c r="A583" s="2">
        <v>45924</v>
      </c>
      <c r="B583" t="s">
        <v>2603</v>
      </c>
      <c r="C583">
        <v>8.1999999999999993</v>
      </c>
      <c r="D583" t="s">
        <v>2604</v>
      </c>
      <c r="E583">
        <v>7.6</v>
      </c>
      <c r="F583" t="s">
        <v>2605</v>
      </c>
      <c r="G583" t="s">
        <v>2603</v>
      </c>
      <c r="H583" t="s">
        <v>3223</v>
      </c>
    </row>
    <row r="584" spans="1:8">
      <c r="A584" s="2">
        <v>45924</v>
      </c>
      <c r="B584" t="s">
        <v>2606</v>
      </c>
      <c r="C584">
        <v>9.8000000000000007</v>
      </c>
      <c r="D584" t="s">
        <v>2607</v>
      </c>
      <c r="E584">
        <v>10.8</v>
      </c>
      <c r="F584" t="s">
        <v>292</v>
      </c>
      <c r="G584" t="s">
        <v>2606</v>
      </c>
      <c r="H584" t="s">
        <v>3224</v>
      </c>
    </row>
    <row r="585" spans="1:8">
      <c r="A585" s="2">
        <v>45945</v>
      </c>
      <c r="B585" t="s">
        <v>3</v>
      </c>
      <c r="C585">
        <v>5.0999999999999996</v>
      </c>
      <c r="D585" t="s">
        <v>61</v>
      </c>
      <c r="E585">
        <v>5</v>
      </c>
      <c r="F585" t="s">
        <v>4</v>
      </c>
      <c r="G585" t="s">
        <v>102</v>
      </c>
      <c r="H585" t="s">
        <v>3225</v>
      </c>
    </row>
    <row r="586" spans="1:8">
      <c r="A586" s="2">
        <v>45945</v>
      </c>
      <c r="B586" t="s">
        <v>6</v>
      </c>
      <c r="C586">
        <v>6.2</v>
      </c>
      <c r="D586" t="s">
        <v>60</v>
      </c>
      <c r="E586">
        <v>6.4</v>
      </c>
      <c r="F586" t="s">
        <v>7</v>
      </c>
      <c r="G586" t="s">
        <v>103</v>
      </c>
      <c r="H586" t="s">
        <v>3226</v>
      </c>
    </row>
    <row r="587" spans="1:8">
      <c r="A587" s="2">
        <v>45945</v>
      </c>
      <c r="B587" t="s">
        <v>9</v>
      </c>
      <c r="C587">
        <v>11.5</v>
      </c>
      <c r="D587" t="s">
        <v>55</v>
      </c>
      <c r="E587">
        <v>11.5</v>
      </c>
      <c r="F587" t="s">
        <v>10</v>
      </c>
      <c r="G587" t="s">
        <v>104</v>
      </c>
      <c r="H587" t="s">
        <v>3227</v>
      </c>
    </row>
    <row r="588" spans="1:8">
      <c r="A588" s="2">
        <v>45945</v>
      </c>
      <c r="B588" t="s">
        <v>12</v>
      </c>
      <c r="C588">
        <v>14.8</v>
      </c>
      <c r="D588" t="s">
        <v>57</v>
      </c>
      <c r="E588">
        <v>15.6</v>
      </c>
      <c r="F588" t="s">
        <v>13</v>
      </c>
      <c r="G588" t="s">
        <v>112</v>
      </c>
      <c r="H588" t="s">
        <v>3228</v>
      </c>
    </row>
    <row r="589" spans="1:8">
      <c r="A589" s="2">
        <v>45945</v>
      </c>
      <c r="B589" t="s">
        <v>15</v>
      </c>
      <c r="C589">
        <v>6.5</v>
      </c>
      <c r="D589" t="s">
        <v>54</v>
      </c>
      <c r="E589">
        <v>6.5</v>
      </c>
      <c r="F589" t="s">
        <v>16</v>
      </c>
      <c r="G589" t="s">
        <v>105</v>
      </c>
      <c r="H589" t="s">
        <v>3229</v>
      </c>
    </row>
    <row r="590" spans="1:8">
      <c r="A590" s="2">
        <v>45945</v>
      </c>
      <c r="B590" t="s">
        <v>18</v>
      </c>
      <c r="C590">
        <v>7.4</v>
      </c>
      <c r="D590" t="s">
        <v>114</v>
      </c>
      <c r="E590">
        <v>6.8</v>
      </c>
      <c r="F590" t="s">
        <v>19</v>
      </c>
      <c r="G590" t="s">
        <v>113</v>
      </c>
      <c r="H590" t="s">
        <v>3230</v>
      </c>
    </row>
    <row r="591" spans="1:8">
      <c r="A591" s="2">
        <v>45945</v>
      </c>
      <c r="B591" t="s">
        <v>20</v>
      </c>
      <c r="C591">
        <v>19.3</v>
      </c>
      <c r="D591" t="s">
        <v>59</v>
      </c>
      <c r="E591">
        <v>19.600000000000001</v>
      </c>
      <c r="F591" t="s">
        <v>21</v>
      </c>
      <c r="G591" t="s">
        <v>2609</v>
      </c>
      <c r="H591" t="s">
        <v>3231</v>
      </c>
    </row>
    <row r="592" spans="1:8">
      <c r="A592" s="2">
        <v>45945</v>
      </c>
      <c r="B592" t="s">
        <v>23</v>
      </c>
      <c r="C592">
        <v>18.8</v>
      </c>
      <c r="D592" t="s">
        <v>120</v>
      </c>
      <c r="E592">
        <v>18.8</v>
      </c>
      <c r="F592" t="s">
        <v>24</v>
      </c>
      <c r="G592" t="s">
        <v>107</v>
      </c>
      <c r="H592" t="s">
        <v>3232</v>
      </c>
    </row>
    <row r="593" spans="1:8">
      <c r="A593" s="2">
        <v>45945</v>
      </c>
      <c r="B593" t="s">
        <v>25</v>
      </c>
      <c r="C593">
        <v>15.5</v>
      </c>
      <c r="D593" t="s">
        <v>252</v>
      </c>
      <c r="E593">
        <v>15.5</v>
      </c>
      <c r="F593" t="s">
        <v>26</v>
      </c>
      <c r="G593" t="s">
        <v>115</v>
      </c>
      <c r="H593" t="s">
        <v>3233</v>
      </c>
    </row>
    <row r="594" spans="1:8">
      <c r="A594" s="2">
        <v>45945</v>
      </c>
      <c r="B594" t="s">
        <v>30</v>
      </c>
      <c r="C594">
        <v>11.4</v>
      </c>
      <c r="D594" t="s">
        <v>56</v>
      </c>
      <c r="E594">
        <v>13.3</v>
      </c>
      <c r="F594" t="s">
        <v>31</v>
      </c>
      <c r="G594" t="s">
        <v>108</v>
      </c>
      <c r="H594" t="s">
        <v>3234</v>
      </c>
    </row>
    <row r="595" spans="1:8">
      <c r="A595" s="2">
        <v>45945</v>
      </c>
      <c r="B595" t="s">
        <v>33</v>
      </c>
      <c r="C595">
        <v>7</v>
      </c>
      <c r="D595" t="s">
        <v>343</v>
      </c>
      <c r="E595">
        <v>6.7</v>
      </c>
      <c r="F595" t="s">
        <v>34</v>
      </c>
      <c r="G595" t="s">
        <v>109</v>
      </c>
      <c r="H595" t="s">
        <v>3235</v>
      </c>
    </row>
    <row r="596" spans="1:8">
      <c r="A596" s="2">
        <v>45945</v>
      </c>
      <c r="B596" t="s">
        <v>35</v>
      </c>
      <c r="C596">
        <v>20.9</v>
      </c>
      <c r="D596" t="s">
        <v>63</v>
      </c>
      <c r="E596">
        <v>20.5</v>
      </c>
      <c r="F596" t="s">
        <v>36</v>
      </c>
      <c r="G596" t="s">
        <v>110</v>
      </c>
      <c r="H596" t="s">
        <v>3236</v>
      </c>
    </row>
    <row r="597" spans="1:8">
      <c r="A597" s="2">
        <v>45945</v>
      </c>
      <c r="B597" t="s">
        <v>41</v>
      </c>
      <c r="C597">
        <v>22.4</v>
      </c>
      <c r="D597" t="s">
        <v>254</v>
      </c>
      <c r="E597">
        <v>22.1</v>
      </c>
      <c r="F597" t="s">
        <v>42</v>
      </c>
      <c r="G597" t="s">
        <v>117</v>
      </c>
      <c r="H597" t="s">
        <v>3237</v>
      </c>
    </row>
    <row r="598" spans="1:8">
      <c r="A598" s="2">
        <v>45945</v>
      </c>
      <c r="B598" t="s">
        <v>46</v>
      </c>
      <c r="C598">
        <v>19</v>
      </c>
      <c r="D598" t="s">
        <v>62</v>
      </c>
      <c r="E598">
        <v>19</v>
      </c>
      <c r="F598" t="s">
        <v>47</v>
      </c>
      <c r="G598" t="s">
        <v>106</v>
      </c>
      <c r="H598" t="s">
        <v>3238</v>
      </c>
    </row>
    <row r="599" spans="1:8">
      <c r="A599" s="2">
        <v>45945</v>
      </c>
      <c r="B599" t="s">
        <v>49</v>
      </c>
      <c r="C599">
        <v>15.3</v>
      </c>
      <c r="D599" t="s">
        <v>58</v>
      </c>
      <c r="E599">
        <v>14.8</v>
      </c>
      <c r="F599" t="s">
        <v>50</v>
      </c>
      <c r="G599" t="s">
        <v>111</v>
      </c>
      <c r="H599" t="s">
        <v>3239</v>
      </c>
    </row>
    <row r="600" spans="1:8">
      <c r="A600" s="2">
        <v>45945</v>
      </c>
      <c r="B600" t="s">
        <v>135</v>
      </c>
      <c r="C600">
        <v>19.899999999999999</v>
      </c>
      <c r="D600" t="s">
        <v>134</v>
      </c>
      <c r="E600">
        <v>19.899999999999999</v>
      </c>
      <c r="F600" t="s">
        <v>123</v>
      </c>
      <c r="G600" t="s">
        <v>132</v>
      </c>
      <c r="H600" t="s">
        <v>3240</v>
      </c>
    </row>
    <row r="601" spans="1:8">
      <c r="A601" s="2">
        <v>45945</v>
      </c>
      <c r="B601" t="s">
        <v>201</v>
      </c>
      <c r="C601">
        <v>5.6</v>
      </c>
      <c r="D601" t="s">
        <v>209</v>
      </c>
      <c r="E601">
        <v>5.6</v>
      </c>
      <c r="F601" t="s">
        <v>202</v>
      </c>
      <c r="G601" t="s">
        <v>213</v>
      </c>
      <c r="H601" t="s">
        <v>3241</v>
      </c>
    </row>
    <row r="602" spans="1:8">
      <c r="A602" s="2">
        <v>45945</v>
      </c>
      <c r="B602" t="s">
        <v>203</v>
      </c>
      <c r="C602">
        <v>17.600000000000001</v>
      </c>
      <c r="D602" t="s">
        <v>212</v>
      </c>
      <c r="E602">
        <v>17.2</v>
      </c>
      <c r="F602" t="s">
        <v>204</v>
      </c>
      <c r="G602" t="s">
        <v>203</v>
      </c>
      <c r="H602" t="s">
        <v>3242</v>
      </c>
    </row>
    <row r="603" spans="1:8">
      <c r="A603" s="2">
        <v>45945</v>
      </c>
      <c r="B603" t="s">
        <v>205</v>
      </c>
      <c r="C603">
        <v>5.2</v>
      </c>
      <c r="D603" t="s">
        <v>211</v>
      </c>
      <c r="E603">
        <v>5.2</v>
      </c>
      <c r="F603" t="s">
        <v>206</v>
      </c>
      <c r="G603" t="s">
        <v>214</v>
      </c>
      <c r="H603" t="s">
        <v>3243</v>
      </c>
    </row>
    <row r="604" spans="1:8">
      <c r="A604" s="2">
        <v>45945</v>
      </c>
      <c r="B604" t="s">
        <v>207</v>
      </c>
      <c r="C604">
        <v>15</v>
      </c>
      <c r="D604" t="s">
        <v>210</v>
      </c>
      <c r="E604">
        <v>14.5</v>
      </c>
      <c r="F604" t="s">
        <v>208</v>
      </c>
      <c r="G604" t="s">
        <v>215</v>
      </c>
      <c r="H604" t="s">
        <v>3244</v>
      </c>
    </row>
    <row r="605" spans="1:8">
      <c r="A605" s="2">
        <v>45945</v>
      </c>
      <c r="B605" t="s">
        <v>217</v>
      </c>
      <c r="C605">
        <v>21.5</v>
      </c>
      <c r="D605" t="s">
        <v>219</v>
      </c>
      <c r="E605">
        <v>22.2</v>
      </c>
      <c r="F605" t="s">
        <v>218</v>
      </c>
      <c r="G605" t="s">
        <v>2610</v>
      </c>
      <c r="H605" t="s">
        <v>3245</v>
      </c>
    </row>
    <row r="606" spans="1:8">
      <c r="A606" s="2">
        <v>45945</v>
      </c>
      <c r="B606" t="s">
        <v>225</v>
      </c>
      <c r="C606">
        <v>10.3</v>
      </c>
      <c r="D606" t="s">
        <v>244</v>
      </c>
      <c r="E606">
        <v>10.3</v>
      </c>
      <c r="F606" t="s">
        <v>226</v>
      </c>
      <c r="G606" t="s">
        <v>228</v>
      </c>
      <c r="H606" t="s">
        <v>3246</v>
      </c>
    </row>
    <row r="607" spans="1:8">
      <c r="A607" s="2">
        <v>45945</v>
      </c>
      <c r="B607" t="s">
        <v>248</v>
      </c>
      <c r="C607">
        <v>11.8</v>
      </c>
      <c r="D607" t="s">
        <v>250</v>
      </c>
      <c r="E607">
        <v>12.2</v>
      </c>
      <c r="F607" t="s">
        <v>249</v>
      </c>
      <c r="G607" t="s">
        <v>251</v>
      </c>
      <c r="H607" t="s">
        <v>3247</v>
      </c>
    </row>
    <row r="608" spans="1:8">
      <c r="A608" s="2">
        <v>45945</v>
      </c>
      <c r="B608" t="s">
        <v>259</v>
      </c>
      <c r="C608">
        <v>2.1</v>
      </c>
      <c r="D608" t="s">
        <v>261</v>
      </c>
      <c r="E608">
        <v>1.7</v>
      </c>
      <c r="F608" t="s">
        <v>262</v>
      </c>
      <c r="G608" t="s">
        <v>260</v>
      </c>
      <c r="H608" t="s">
        <v>3248</v>
      </c>
    </row>
    <row r="609" spans="1:8">
      <c r="A609" s="2">
        <v>45945</v>
      </c>
      <c r="B609" t="s">
        <v>264</v>
      </c>
      <c r="C609">
        <v>21.2</v>
      </c>
      <c r="D609" t="s">
        <v>266</v>
      </c>
      <c r="E609">
        <v>21.2</v>
      </c>
      <c r="F609" t="s">
        <v>265</v>
      </c>
      <c r="G609" t="s">
        <v>267</v>
      </c>
      <c r="H609" t="s">
        <v>3249</v>
      </c>
    </row>
    <row r="610" spans="1:8">
      <c r="A610" s="2">
        <v>45945</v>
      </c>
      <c r="B610" t="s">
        <v>271</v>
      </c>
      <c r="C610">
        <v>15.6</v>
      </c>
      <c r="D610" t="s">
        <v>269</v>
      </c>
      <c r="E610">
        <v>16.100000000000001</v>
      </c>
      <c r="F610" t="s">
        <v>268</v>
      </c>
      <c r="G610" t="s">
        <v>270</v>
      </c>
      <c r="H610" t="s">
        <v>3250</v>
      </c>
    </row>
    <row r="611" spans="1:8">
      <c r="A611" s="2">
        <v>45945</v>
      </c>
      <c r="B611" t="s">
        <v>293</v>
      </c>
      <c r="C611">
        <v>15.1</v>
      </c>
      <c r="D611" t="s">
        <v>373</v>
      </c>
      <c r="E611">
        <v>15.1</v>
      </c>
      <c r="F611" t="s">
        <v>381</v>
      </c>
      <c r="G611" t="s">
        <v>287</v>
      </c>
      <c r="H611" t="s">
        <v>3251</v>
      </c>
    </row>
    <row r="612" spans="1:8">
      <c r="A612" s="2">
        <v>45945</v>
      </c>
      <c r="B612" t="s">
        <v>291</v>
      </c>
      <c r="C612">
        <v>1.4</v>
      </c>
      <c r="D612" t="s">
        <v>2637</v>
      </c>
      <c r="E612">
        <v>1.1000000000000001</v>
      </c>
      <c r="F612" t="s">
        <v>431</v>
      </c>
      <c r="G612" t="s">
        <v>286</v>
      </c>
      <c r="H612" t="s">
        <v>3252</v>
      </c>
    </row>
    <row r="613" spans="1:8">
      <c r="A613" s="2">
        <v>45945</v>
      </c>
      <c r="B613" t="s">
        <v>297</v>
      </c>
      <c r="C613">
        <v>15.8</v>
      </c>
      <c r="D613" t="s">
        <v>296</v>
      </c>
      <c r="E613">
        <v>16.600000000000001</v>
      </c>
      <c r="F613" t="s">
        <v>382</v>
      </c>
      <c r="G613" t="s">
        <v>297</v>
      </c>
      <c r="H613" t="s">
        <v>3253</v>
      </c>
    </row>
    <row r="614" spans="1:8">
      <c r="A614" s="2">
        <v>45945</v>
      </c>
      <c r="B614" t="s">
        <v>326</v>
      </c>
      <c r="C614">
        <v>7.9</v>
      </c>
      <c r="D614" t="s">
        <v>331</v>
      </c>
      <c r="E614">
        <v>7.9</v>
      </c>
      <c r="F614" t="s">
        <v>327</v>
      </c>
      <c r="G614" t="s">
        <v>330</v>
      </c>
      <c r="H614" t="s">
        <v>3254</v>
      </c>
    </row>
    <row r="615" spans="1:8">
      <c r="A615" s="2">
        <v>45945</v>
      </c>
      <c r="B615" t="s">
        <v>328</v>
      </c>
      <c r="C615">
        <v>10.7</v>
      </c>
      <c r="D615" t="s">
        <v>332</v>
      </c>
      <c r="E615">
        <v>10.6</v>
      </c>
      <c r="F615" t="s">
        <v>329</v>
      </c>
      <c r="G615" t="s">
        <v>333</v>
      </c>
      <c r="H615" t="s">
        <v>3255</v>
      </c>
    </row>
    <row r="616" spans="1:8">
      <c r="A616" s="2">
        <v>45945</v>
      </c>
      <c r="B616" t="s">
        <v>375</v>
      </c>
      <c r="C616">
        <v>11.8</v>
      </c>
      <c r="D616" t="s">
        <v>377</v>
      </c>
      <c r="E616">
        <v>11.8</v>
      </c>
      <c r="F616" t="s">
        <v>376</v>
      </c>
      <c r="G616" t="s">
        <v>375</v>
      </c>
      <c r="H616" t="s">
        <v>3256</v>
      </c>
    </row>
    <row r="617" spans="1:8">
      <c r="A617" s="2">
        <v>45945</v>
      </c>
      <c r="B617" t="s">
        <v>388</v>
      </c>
      <c r="C617">
        <v>24.4</v>
      </c>
      <c r="D617" t="s">
        <v>389</v>
      </c>
      <c r="E617">
        <v>24.8</v>
      </c>
      <c r="F617" t="s">
        <v>391</v>
      </c>
      <c r="G617" t="s">
        <v>390</v>
      </c>
      <c r="H617" t="s">
        <v>3257</v>
      </c>
    </row>
    <row r="618" spans="1:8">
      <c r="A618" s="2">
        <v>45945</v>
      </c>
      <c r="B618" t="s">
        <v>2469</v>
      </c>
      <c r="C618">
        <v>3.1</v>
      </c>
      <c r="D618" t="s">
        <v>2550</v>
      </c>
      <c r="E618">
        <v>4</v>
      </c>
      <c r="F618" t="s">
        <v>2470</v>
      </c>
      <c r="G618" t="s">
        <v>2472</v>
      </c>
      <c r="H618" t="s">
        <v>3258</v>
      </c>
    </row>
    <row r="619" spans="1:8">
      <c r="A619" s="2">
        <v>45945</v>
      </c>
      <c r="B619" t="s">
        <v>2473</v>
      </c>
      <c r="C619">
        <v>16</v>
      </c>
      <c r="D619" t="s">
        <v>2475</v>
      </c>
      <c r="E619">
        <v>16.2</v>
      </c>
      <c r="F619" t="s">
        <v>2474</v>
      </c>
      <c r="G619" t="s">
        <v>2473</v>
      </c>
      <c r="H619" t="s">
        <v>3259</v>
      </c>
    </row>
    <row r="620" spans="1:8">
      <c r="A620" s="2">
        <v>45945</v>
      </c>
      <c r="B620" t="s">
        <v>2516</v>
      </c>
      <c r="C620">
        <v>17.8</v>
      </c>
      <c r="D620" t="s">
        <v>2518</v>
      </c>
      <c r="E620">
        <v>17.8</v>
      </c>
      <c r="F620" t="s">
        <v>2517</v>
      </c>
      <c r="G620" t="s">
        <v>2519</v>
      </c>
      <c r="H620" t="s">
        <v>3260</v>
      </c>
    </row>
    <row r="621" spans="1:8">
      <c r="A621" s="2">
        <v>45945</v>
      </c>
      <c r="B621" t="s">
        <v>2561</v>
      </c>
      <c r="C621">
        <v>21.3</v>
      </c>
      <c r="D621" t="s">
        <v>2563</v>
      </c>
      <c r="E621">
        <v>21.1</v>
      </c>
      <c r="F621" t="s">
        <v>2562</v>
      </c>
      <c r="G621" t="s">
        <v>2564</v>
      </c>
      <c r="H621" t="s">
        <v>3261</v>
      </c>
    </row>
    <row r="622" spans="1:8">
      <c r="A622" s="2">
        <v>45945</v>
      </c>
      <c r="B622" t="s">
        <v>2603</v>
      </c>
      <c r="C622">
        <v>8.1999999999999993</v>
      </c>
      <c r="D622" t="s">
        <v>2604</v>
      </c>
      <c r="E622">
        <v>7.6</v>
      </c>
      <c r="F622" t="s">
        <v>2605</v>
      </c>
      <c r="G622" t="s">
        <v>2603</v>
      </c>
      <c r="H622" t="s">
        <v>3262</v>
      </c>
    </row>
    <row r="623" spans="1:8">
      <c r="A623" s="2">
        <v>45945</v>
      </c>
      <c r="B623" t="s">
        <v>2606</v>
      </c>
      <c r="C623">
        <v>9.8000000000000007</v>
      </c>
      <c r="D623" t="s">
        <v>2607</v>
      </c>
      <c r="E623">
        <v>10.8</v>
      </c>
      <c r="F623" t="s">
        <v>292</v>
      </c>
      <c r="G623" t="s">
        <v>2606</v>
      </c>
      <c r="H623" t="s">
        <v>3263</v>
      </c>
    </row>
    <row r="624" spans="1:8">
      <c r="A624" s="2">
        <v>45979</v>
      </c>
      <c r="B624" t="s">
        <v>3</v>
      </c>
      <c r="C624">
        <v>5.0999999999999996</v>
      </c>
      <c r="D624" t="s">
        <v>61</v>
      </c>
      <c r="E624">
        <v>5</v>
      </c>
      <c r="F624" t="s">
        <v>4</v>
      </c>
      <c r="G624" t="s">
        <v>102</v>
      </c>
      <c r="H624" t="s">
        <v>3264</v>
      </c>
    </row>
    <row r="625" spans="1:8">
      <c r="A625" s="2">
        <v>45979</v>
      </c>
      <c r="B625" t="s">
        <v>6</v>
      </c>
      <c r="C625">
        <v>6.1</v>
      </c>
      <c r="D625" t="s">
        <v>60</v>
      </c>
      <c r="E625">
        <v>6.2</v>
      </c>
      <c r="F625" t="s">
        <v>7</v>
      </c>
      <c r="G625" t="s">
        <v>103</v>
      </c>
      <c r="H625" t="s">
        <v>3265</v>
      </c>
    </row>
    <row r="626" spans="1:8">
      <c r="A626" s="2">
        <v>45979</v>
      </c>
      <c r="B626" t="s">
        <v>9</v>
      </c>
      <c r="C626">
        <v>12.2</v>
      </c>
      <c r="D626" t="s">
        <v>55</v>
      </c>
      <c r="E626">
        <v>11.5</v>
      </c>
      <c r="F626" t="s">
        <v>10</v>
      </c>
      <c r="G626" t="s">
        <v>104</v>
      </c>
      <c r="H626" t="s">
        <v>3266</v>
      </c>
    </row>
    <row r="627" spans="1:8">
      <c r="A627" s="2">
        <v>45979</v>
      </c>
      <c r="B627" t="s">
        <v>12</v>
      </c>
      <c r="C627">
        <v>13.9</v>
      </c>
      <c r="D627" t="s">
        <v>57</v>
      </c>
      <c r="E627">
        <v>14.9</v>
      </c>
      <c r="F627" t="s">
        <v>13</v>
      </c>
      <c r="G627" t="s">
        <v>112</v>
      </c>
      <c r="H627" t="s">
        <v>3267</v>
      </c>
    </row>
    <row r="628" spans="1:8">
      <c r="A628" s="2">
        <v>45979</v>
      </c>
      <c r="B628" t="s">
        <v>15</v>
      </c>
      <c r="C628">
        <v>6.6</v>
      </c>
      <c r="D628" t="s">
        <v>54</v>
      </c>
      <c r="E628">
        <v>6.5</v>
      </c>
      <c r="F628" t="s">
        <v>16</v>
      </c>
      <c r="G628" t="s">
        <v>105</v>
      </c>
      <c r="H628" t="s">
        <v>3268</v>
      </c>
    </row>
    <row r="629" spans="1:8">
      <c r="A629" s="2">
        <v>45979</v>
      </c>
      <c r="B629" t="s">
        <v>18</v>
      </c>
      <c r="C629">
        <v>7.4</v>
      </c>
      <c r="D629" t="s">
        <v>114</v>
      </c>
      <c r="E629">
        <v>6.8</v>
      </c>
      <c r="F629" t="s">
        <v>19</v>
      </c>
      <c r="G629" t="s">
        <v>113</v>
      </c>
      <c r="H629" t="s">
        <v>3269</v>
      </c>
    </row>
    <row r="630" spans="1:8">
      <c r="A630" s="2">
        <v>45979</v>
      </c>
      <c r="B630" t="s">
        <v>20</v>
      </c>
      <c r="C630">
        <v>19.7</v>
      </c>
      <c r="D630" t="s">
        <v>59</v>
      </c>
      <c r="E630">
        <v>19.3</v>
      </c>
      <c r="F630" t="s">
        <v>21</v>
      </c>
      <c r="G630" t="s">
        <v>2609</v>
      </c>
      <c r="H630" t="s">
        <v>3270</v>
      </c>
    </row>
    <row r="631" spans="1:8">
      <c r="A631" s="2">
        <v>45979</v>
      </c>
      <c r="B631" t="s">
        <v>23</v>
      </c>
      <c r="C631">
        <v>18.8</v>
      </c>
      <c r="D631" t="s">
        <v>120</v>
      </c>
      <c r="E631">
        <v>18.8</v>
      </c>
      <c r="F631" t="s">
        <v>24</v>
      </c>
      <c r="G631" t="s">
        <v>107</v>
      </c>
      <c r="H631" t="s">
        <v>3271</v>
      </c>
    </row>
    <row r="632" spans="1:8">
      <c r="A632" s="2">
        <v>45979</v>
      </c>
      <c r="B632" t="s">
        <v>25</v>
      </c>
      <c r="C632">
        <v>15.5</v>
      </c>
      <c r="D632" t="s">
        <v>252</v>
      </c>
      <c r="E632">
        <v>15.5</v>
      </c>
      <c r="F632" t="s">
        <v>26</v>
      </c>
      <c r="G632" t="s">
        <v>115</v>
      </c>
      <c r="H632" t="s">
        <v>3272</v>
      </c>
    </row>
    <row r="633" spans="1:8">
      <c r="A633" s="2">
        <v>45979</v>
      </c>
      <c r="B633" t="s">
        <v>30</v>
      </c>
      <c r="C633">
        <v>12.4</v>
      </c>
      <c r="D633" t="s">
        <v>56</v>
      </c>
      <c r="E633">
        <v>11.4</v>
      </c>
      <c r="F633" t="s">
        <v>31</v>
      </c>
      <c r="G633" t="s">
        <v>108</v>
      </c>
      <c r="H633" t="s">
        <v>3273</v>
      </c>
    </row>
    <row r="634" spans="1:8">
      <c r="A634" s="2">
        <v>45979</v>
      </c>
      <c r="B634" t="s">
        <v>33</v>
      </c>
      <c r="C634">
        <v>6.4</v>
      </c>
      <c r="D634" t="s">
        <v>343</v>
      </c>
      <c r="E634">
        <v>6.4</v>
      </c>
      <c r="F634" t="s">
        <v>34</v>
      </c>
      <c r="G634" t="s">
        <v>109</v>
      </c>
      <c r="H634" t="s">
        <v>3274</v>
      </c>
    </row>
    <row r="635" spans="1:8">
      <c r="A635" s="2">
        <v>45979</v>
      </c>
      <c r="B635" t="s">
        <v>35</v>
      </c>
      <c r="C635">
        <v>20.5</v>
      </c>
      <c r="D635" t="s">
        <v>63</v>
      </c>
      <c r="E635">
        <v>20.9</v>
      </c>
      <c r="F635" t="s">
        <v>36</v>
      </c>
      <c r="G635" t="s">
        <v>110</v>
      </c>
      <c r="H635" t="s">
        <v>3275</v>
      </c>
    </row>
    <row r="636" spans="1:8">
      <c r="A636" s="2">
        <v>45979</v>
      </c>
      <c r="B636" t="s">
        <v>41</v>
      </c>
      <c r="C636">
        <v>22.4</v>
      </c>
      <c r="D636" t="s">
        <v>254</v>
      </c>
      <c r="E636">
        <v>22.4</v>
      </c>
      <c r="F636" t="s">
        <v>42</v>
      </c>
      <c r="G636" t="s">
        <v>117</v>
      </c>
      <c r="H636" t="s">
        <v>3276</v>
      </c>
    </row>
    <row r="637" spans="1:8">
      <c r="A637" s="2">
        <v>45979</v>
      </c>
      <c r="B637" t="s">
        <v>46</v>
      </c>
      <c r="C637">
        <v>19</v>
      </c>
      <c r="D637" t="s">
        <v>62</v>
      </c>
      <c r="E637">
        <v>19</v>
      </c>
      <c r="F637" t="s">
        <v>47</v>
      </c>
      <c r="G637" t="s">
        <v>106</v>
      </c>
      <c r="H637" t="s">
        <v>3277</v>
      </c>
    </row>
    <row r="638" spans="1:8">
      <c r="A638" s="2">
        <v>45979</v>
      </c>
      <c r="B638" t="s">
        <v>49</v>
      </c>
      <c r="C638">
        <v>15.3</v>
      </c>
      <c r="D638" t="s">
        <v>58</v>
      </c>
      <c r="E638">
        <v>14.8</v>
      </c>
      <c r="F638" t="s">
        <v>50</v>
      </c>
      <c r="G638" t="s">
        <v>111</v>
      </c>
      <c r="H638" t="s">
        <v>3278</v>
      </c>
    </row>
    <row r="639" spans="1:8">
      <c r="A639" s="2">
        <v>45979</v>
      </c>
      <c r="B639" t="s">
        <v>135</v>
      </c>
      <c r="C639">
        <v>19.899999999999999</v>
      </c>
      <c r="D639" t="s">
        <v>134</v>
      </c>
      <c r="E639">
        <v>19.899999999999999</v>
      </c>
      <c r="F639" t="s">
        <v>123</v>
      </c>
      <c r="G639" t="s">
        <v>132</v>
      </c>
      <c r="H639" t="s">
        <v>3279</v>
      </c>
    </row>
    <row r="640" spans="1:8">
      <c r="A640" s="2">
        <v>45979</v>
      </c>
      <c r="B640" t="s">
        <v>201</v>
      </c>
      <c r="C640">
        <v>5.6</v>
      </c>
      <c r="D640" t="s">
        <v>209</v>
      </c>
      <c r="E640">
        <v>5.6</v>
      </c>
      <c r="F640" t="s">
        <v>202</v>
      </c>
      <c r="G640" t="s">
        <v>213</v>
      </c>
      <c r="H640" t="s">
        <v>3280</v>
      </c>
    </row>
    <row r="641" spans="1:8">
      <c r="A641" s="2">
        <v>45979</v>
      </c>
      <c r="B641" t="s">
        <v>203</v>
      </c>
      <c r="C641">
        <v>17.600000000000001</v>
      </c>
      <c r="D641" t="s">
        <v>212</v>
      </c>
      <c r="E641">
        <v>17.2</v>
      </c>
      <c r="F641" t="s">
        <v>204</v>
      </c>
      <c r="G641" t="s">
        <v>203</v>
      </c>
      <c r="H641" t="s">
        <v>3281</v>
      </c>
    </row>
    <row r="642" spans="1:8">
      <c r="A642" s="2">
        <v>45979</v>
      </c>
      <c r="B642" t="s">
        <v>205</v>
      </c>
      <c r="C642">
        <v>5.2</v>
      </c>
      <c r="D642" t="s">
        <v>211</v>
      </c>
      <c r="E642">
        <v>5.2</v>
      </c>
      <c r="F642" t="s">
        <v>206</v>
      </c>
      <c r="G642" t="s">
        <v>214</v>
      </c>
      <c r="H642" t="s">
        <v>3282</v>
      </c>
    </row>
    <row r="643" spans="1:8">
      <c r="A643" s="2">
        <v>45979</v>
      </c>
      <c r="B643" t="s">
        <v>207</v>
      </c>
      <c r="C643">
        <v>15</v>
      </c>
      <c r="D643" t="s">
        <v>210</v>
      </c>
      <c r="E643">
        <v>14.5</v>
      </c>
      <c r="F643" t="s">
        <v>208</v>
      </c>
      <c r="G643" t="s">
        <v>215</v>
      </c>
      <c r="H643" t="s">
        <v>3283</v>
      </c>
    </row>
    <row r="644" spans="1:8">
      <c r="A644" s="2">
        <v>45979</v>
      </c>
      <c r="B644" t="s">
        <v>217</v>
      </c>
      <c r="C644">
        <v>21.5</v>
      </c>
      <c r="D644" t="s">
        <v>219</v>
      </c>
      <c r="E644">
        <v>22.2</v>
      </c>
      <c r="F644" t="s">
        <v>218</v>
      </c>
      <c r="G644" t="s">
        <v>2610</v>
      </c>
      <c r="H644" t="s">
        <v>3284</v>
      </c>
    </row>
    <row r="645" spans="1:8">
      <c r="A645" s="2">
        <v>45979</v>
      </c>
      <c r="B645" t="s">
        <v>225</v>
      </c>
      <c r="C645">
        <v>10.3</v>
      </c>
      <c r="D645" t="s">
        <v>244</v>
      </c>
      <c r="E645">
        <v>10.3</v>
      </c>
      <c r="F645" t="s">
        <v>226</v>
      </c>
      <c r="G645" t="s">
        <v>228</v>
      </c>
      <c r="H645" t="s">
        <v>3285</v>
      </c>
    </row>
    <row r="646" spans="1:8">
      <c r="A646" s="2">
        <v>45979</v>
      </c>
      <c r="B646" t="s">
        <v>248</v>
      </c>
      <c r="C646">
        <v>11.8</v>
      </c>
      <c r="D646" t="s">
        <v>250</v>
      </c>
      <c r="E646">
        <v>11.8</v>
      </c>
      <c r="F646" t="s">
        <v>249</v>
      </c>
      <c r="G646" t="s">
        <v>251</v>
      </c>
      <c r="H646" t="s">
        <v>3286</v>
      </c>
    </row>
    <row r="647" spans="1:8">
      <c r="A647" s="2">
        <v>45979</v>
      </c>
      <c r="B647" t="s">
        <v>259</v>
      </c>
      <c r="C647">
        <v>2.1</v>
      </c>
      <c r="D647" t="s">
        <v>261</v>
      </c>
      <c r="E647">
        <v>2.1</v>
      </c>
      <c r="F647" t="s">
        <v>262</v>
      </c>
      <c r="G647" t="s">
        <v>260</v>
      </c>
      <c r="H647" t="s">
        <v>3287</v>
      </c>
    </row>
    <row r="648" spans="1:8">
      <c r="A648" s="2">
        <v>45979</v>
      </c>
      <c r="B648" t="s">
        <v>264</v>
      </c>
      <c r="C648">
        <v>21.9</v>
      </c>
      <c r="D648" t="s">
        <v>266</v>
      </c>
      <c r="E648">
        <v>21.2</v>
      </c>
      <c r="F648" t="s">
        <v>265</v>
      </c>
      <c r="G648" t="s">
        <v>267</v>
      </c>
      <c r="H648" t="s">
        <v>3288</v>
      </c>
    </row>
    <row r="649" spans="1:8">
      <c r="A649" s="2">
        <v>45979</v>
      </c>
      <c r="B649" t="s">
        <v>271</v>
      </c>
      <c r="C649">
        <v>14.9</v>
      </c>
      <c r="D649" t="s">
        <v>269</v>
      </c>
      <c r="E649">
        <v>15.6</v>
      </c>
      <c r="F649" t="s">
        <v>268</v>
      </c>
      <c r="G649" t="s">
        <v>270</v>
      </c>
      <c r="H649" t="s">
        <v>3289</v>
      </c>
    </row>
    <row r="650" spans="1:8">
      <c r="A650" s="2">
        <v>45979</v>
      </c>
      <c r="B650" t="s">
        <v>293</v>
      </c>
      <c r="C650">
        <v>15.1</v>
      </c>
      <c r="D650" t="s">
        <v>373</v>
      </c>
      <c r="E650">
        <v>15.1</v>
      </c>
      <c r="F650" t="s">
        <v>381</v>
      </c>
      <c r="G650" t="s">
        <v>287</v>
      </c>
      <c r="H650" t="s">
        <v>3290</v>
      </c>
    </row>
    <row r="651" spans="1:8">
      <c r="A651" s="2">
        <v>45979</v>
      </c>
      <c r="B651" t="s">
        <v>291</v>
      </c>
      <c r="C651">
        <v>1.2</v>
      </c>
      <c r="D651" t="s">
        <v>2637</v>
      </c>
      <c r="E651">
        <v>1.4</v>
      </c>
      <c r="F651" t="s">
        <v>431</v>
      </c>
      <c r="G651" t="s">
        <v>286</v>
      </c>
      <c r="H651" t="s">
        <v>3291</v>
      </c>
    </row>
    <row r="652" spans="1:8">
      <c r="A652" s="2">
        <v>45979</v>
      </c>
      <c r="B652" t="s">
        <v>297</v>
      </c>
      <c r="C652">
        <v>15.9</v>
      </c>
      <c r="D652" t="s">
        <v>296</v>
      </c>
      <c r="E652">
        <v>15.8</v>
      </c>
      <c r="F652" t="s">
        <v>382</v>
      </c>
      <c r="G652" t="s">
        <v>297</v>
      </c>
      <c r="H652" t="s">
        <v>3292</v>
      </c>
    </row>
    <row r="653" spans="1:8">
      <c r="A653" s="2">
        <v>45979</v>
      </c>
      <c r="B653" t="s">
        <v>326</v>
      </c>
      <c r="C653">
        <v>7.9</v>
      </c>
      <c r="D653" t="s">
        <v>331</v>
      </c>
      <c r="E653">
        <v>7.9</v>
      </c>
      <c r="F653" t="s">
        <v>327</v>
      </c>
      <c r="G653" t="s">
        <v>330</v>
      </c>
      <c r="H653" t="s">
        <v>3293</v>
      </c>
    </row>
    <row r="654" spans="1:8">
      <c r="A654" s="2">
        <v>45979</v>
      </c>
      <c r="B654" t="s">
        <v>328</v>
      </c>
      <c r="C654">
        <v>10.6</v>
      </c>
      <c r="D654" t="s">
        <v>332</v>
      </c>
      <c r="E654">
        <v>10.7</v>
      </c>
      <c r="F654" t="s">
        <v>329</v>
      </c>
      <c r="G654" t="s">
        <v>333</v>
      </c>
      <c r="H654" t="s">
        <v>3294</v>
      </c>
    </row>
    <row r="655" spans="1:8">
      <c r="A655" s="2">
        <v>45979</v>
      </c>
      <c r="B655" t="s">
        <v>375</v>
      </c>
      <c r="C655">
        <v>11.8</v>
      </c>
      <c r="D655" t="s">
        <v>377</v>
      </c>
      <c r="E655">
        <v>11.8</v>
      </c>
      <c r="F655" t="s">
        <v>376</v>
      </c>
      <c r="G655" t="s">
        <v>375</v>
      </c>
      <c r="H655" t="s">
        <v>3295</v>
      </c>
    </row>
    <row r="656" spans="1:8">
      <c r="A656" s="2">
        <v>45979</v>
      </c>
      <c r="B656" t="s">
        <v>388</v>
      </c>
      <c r="C656">
        <v>23.7</v>
      </c>
      <c r="D656" t="s">
        <v>389</v>
      </c>
      <c r="E656">
        <v>24.4</v>
      </c>
      <c r="F656" t="s">
        <v>391</v>
      </c>
      <c r="G656" t="s">
        <v>390</v>
      </c>
      <c r="H656" t="s">
        <v>3296</v>
      </c>
    </row>
    <row r="657" spans="1:8">
      <c r="A657" s="2">
        <v>45979</v>
      </c>
      <c r="B657" t="s">
        <v>2469</v>
      </c>
      <c r="C657">
        <v>2.9</v>
      </c>
      <c r="D657" t="s">
        <v>2550</v>
      </c>
      <c r="E657">
        <v>3.1</v>
      </c>
      <c r="F657" t="s">
        <v>2470</v>
      </c>
      <c r="G657" t="s">
        <v>2472</v>
      </c>
      <c r="H657" t="s">
        <v>3297</v>
      </c>
    </row>
    <row r="658" spans="1:8">
      <c r="A658" s="2">
        <v>45979</v>
      </c>
      <c r="B658" t="s">
        <v>2473</v>
      </c>
      <c r="C658">
        <v>16</v>
      </c>
      <c r="D658" t="s">
        <v>2475</v>
      </c>
      <c r="E658">
        <v>16.2</v>
      </c>
      <c r="F658" t="s">
        <v>2474</v>
      </c>
      <c r="G658" t="s">
        <v>2473</v>
      </c>
      <c r="H658" t="s">
        <v>3298</v>
      </c>
    </row>
    <row r="659" spans="1:8">
      <c r="A659" s="2">
        <v>45979</v>
      </c>
      <c r="B659" t="s">
        <v>2516</v>
      </c>
      <c r="C659">
        <v>17.8</v>
      </c>
      <c r="D659" t="s">
        <v>2518</v>
      </c>
      <c r="E659">
        <v>17.8</v>
      </c>
      <c r="F659" t="s">
        <v>2517</v>
      </c>
      <c r="G659" t="s">
        <v>2519</v>
      </c>
      <c r="H659" t="s">
        <v>3299</v>
      </c>
    </row>
    <row r="660" spans="1:8">
      <c r="A660" s="2">
        <v>45979</v>
      </c>
      <c r="B660" t="s">
        <v>2561</v>
      </c>
      <c r="C660">
        <v>21.6</v>
      </c>
      <c r="D660" t="s">
        <v>2563</v>
      </c>
      <c r="E660">
        <v>21.3</v>
      </c>
      <c r="F660" t="s">
        <v>2562</v>
      </c>
      <c r="G660" t="s">
        <v>2564</v>
      </c>
      <c r="H660" t="s">
        <v>3300</v>
      </c>
    </row>
    <row r="661" spans="1:8">
      <c r="A661" s="2">
        <v>45979</v>
      </c>
      <c r="B661" t="s">
        <v>2603</v>
      </c>
      <c r="C661">
        <v>7.8</v>
      </c>
      <c r="D661" t="s">
        <v>2604</v>
      </c>
      <c r="E661">
        <v>8.1999999999999993</v>
      </c>
      <c r="F661" t="s">
        <v>2605</v>
      </c>
      <c r="G661" t="s">
        <v>2603</v>
      </c>
      <c r="H661" t="s">
        <v>3301</v>
      </c>
    </row>
    <row r="662" spans="1:8">
      <c r="A662" s="2">
        <v>45979</v>
      </c>
      <c r="B662" t="s">
        <v>2606</v>
      </c>
      <c r="C662">
        <v>9.8000000000000007</v>
      </c>
      <c r="D662" t="s">
        <v>2607</v>
      </c>
      <c r="E662">
        <v>10.8</v>
      </c>
      <c r="F662" t="s">
        <v>292</v>
      </c>
      <c r="G662" t="s">
        <v>2606</v>
      </c>
      <c r="H662" t="s">
        <v>3302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DC18A-A8C0-7D4D-AE43-227AB7D50C19}">
  <sheetPr>
    <tabColor theme="5" tint="-0.249977111117893"/>
  </sheetPr>
  <dimension ref="A1:AD2803"/>
  <sheetViews>
    <sheetView topLeftCell="A2757" zoomScale="80" zoomScaleNormal="80" workbookViewId="0">
      <selection activeCell="I2765" sqref="I2765"/>
    </sheetView>
  </sheetViews>
  <sheetFormatPr baseColWidth="10" defaultColWidth="10.75" defaultRowHeight="15.75"/>
  <cols>
    <col min="1" max="1" width="11.25" style="2" bestFit="1" customWidth="1"/>
    <col min="2" max="2" width="27.75" bestFit="1" customWidth="1"/>
    <col min="3" max="3" width="11.25" customWidth="1"/>
    <col min="4" max="4" width="6.75" customWidth="1"/>
    <col min="5" max="5" width="7" customWidth="1"/>
    <col min="6" max="6" width="9.875" customWidth="1"/>
    <col min="7" max="7" width="4.625" customWidth="1"/>
    <col min="8" max="8" width="29" bestFit="1" customWidth="1"/>
    <col min="9" max="9" width="15.375" bestFit="1" customWidth="1"/>
    <col min="10" max="12" width="15.375" customWidth="1"/>
    <col min="13" max="13" width="34" bestFit="1" customWidth="1"/>
    <col min="14" max="14" width="12.375" bestFit="1" customWidth="1"/>
    <col min="15" max="16" width="34" customWidth="1"/>
    <col min="17" max="17" width="36" bestFit="1" customWidth="1"/>
    <col min="23" max="23" width="11.25" bestFit="1" customWidth="1"/>
    <col min="24" max="24" width="27.75" bestFit="1" customWidth="1"/>
    <col min="25" max="25" width="5.25" bestFit="1" customWidth="1"/>
    <col min="26" max="26" width="5.625" bestFit="1" customWidth="1"/>
  </cols>
  <sheetData>
    <row r="1" spans="1:14">
      <c r="A1" s="2" t="s">
        <v>69</v>
      </c>
      <c r="B1" t="s">
        <v>0</v>
      </c>
      <c r="C1" t="s">
        <v>71</v>
      </c>
      <c r="D1" t="s">
        <v>72</v>
      </c>
      <c r="E1" t="s">
        <v>73</v>
      </c>
      <c r="F1" t="s">
        <v>467</v>
      </c>
      <c r="G1" t="s">
        <v>2422</v>
      </c>
      <c r="H1" t="s">
        <v>2423</v>
      </c>
      <c r="I1" t="s">
        <v>2424</v>
      </c>
      <c r="J1" t="s">
        <v>2435</v>
      </c>
      <c r="K1" t="s">
        <v>177</v>
      </c>
      <c r="L1" t="s">
        <v>68</v>
      </c>
      <c r="M1" t="s">
        <v>349</v>
      </c>
      <c r="N1" t="s">
        <v>350</v>
      </c>
    </row>
    <row r="2" spans="1:14">
      <c r="A2" s="2">
        <v>43309</v>
      </c>
      <c r="B2" t="s">
        <v>9</v>
      </c>
      <c r="C2" s="51">
        <v>8.2999999999999989</v>
      </c>
      <c r="D2">
        <v>2</v>
      </c>
      <c r="E2" t="s">
        <v>75</v>
      </c>
      <c r="F2" t="s">
        <v>468</v>
      </c>
      <c r="G2">
        <f>+IF(dHdcp[[#This Row],[Fecha]]=MAX(dHdcp[Fecha]),1,0)</f>
        <v>0</v>
      </c>
      <c r="H2" t="str">
        <f>+dHdcp[[#This Row],[Maximo]]&amp;":"&amp;dHdcp[[#This Row],[Nombre]]</f>
        <v>0:Alfonso Hidalgo</v>
      </c>
      <c r="I2" t="str">
        <f>+dHdcp[[#This Row],[Maximo]]&amp;":"&amp;_xlfn.XLOOKUP(dHdcp[[#This Row],[Nombre]],dJugador[Nombre],dJugador[Mote],"",0)</f>
        <v>0:Alfonso</v>
      </c>
      <c r="J2" t="str">
        <f>+IF(dHdcp[[#This Row],[Maximo]]=0,"",_xlfn.RANK.EQ(dHdcp[[#This Row],[Handicap]],dHdcp[Handicap],1))</f>
        <v/>
      </c>
      <c r="K2" t="str">
        <f>IFERROR(+_xlfn.RANK.EQ(dHdcp[[#This Row],[Ranking]],dHdcp[Ranking],1),"")</f>
        <v/>
      </c>
      <c r="M2" t="str">
        <f>+dHdcp[[#This Row],[Fecha]]&amp;":"&amp;dHdcp[[#This Row],[Nombre]]</f>
        <v>43309:Alfonso Hidalgo</v>
      </c>
      <c r="N2">
        <f>+COUNTIF(dHdcp[Columna1],dHdcp[[#This Row],[Columna1]])</f>
        <v>1</v>
      </c>
    </row>
    <row r="3" spans="1:14">
      <c r="A3" s="2">
        <v>43309</v>
      </c>
      <c r="B3" t="s">
        <v>15</v>
      </c>
      <c r="C3" s="51">
        <v>5.3999999999999995</v>
      </c>
      <c r="D3">
        <v>2</v>
      </c>
      <c r="E3" t="s">
        <v>75</v>
      </c>
      <c r="F3" t="s">
        <v>469</v>
      </c>
      <c r="G3">
        <f>+IF(dHdcp[[#This Row],[Fecha]]=MAX(dHdcp[Fecha]),1,0)</f>
        <v>0</v>
      </c>
      <c r="H3" t="str">
        <f>+dHdcp[[#This Row],[Maximo]]&amp;":"&amp;dHdcp[[#This Row],[Nombre]]</f>
        <v>0:Alvaro Aguirre</v>
      </c>
      <c r="I3" t="str">
        <f>+dHdcp[[#This Row],[Maximo]]&amp;":"&amp;_xlfn.XLOOKUP(dHdcp[[#This Row],[Nombre]],dJugador[Nombre],dJugador[Mote],"",0)</f>
        <v>0:Gifu</v>
      </c>
      <c r="J3" t="str">
        <f>+IF(dHdcp[[#This Row],[Maximo]]=0,"",_xlfn.RANK.EQ(dHdcp[[#This Row],[Handicap]],dHdcp[Handicap],1))</f>
        <v/>
      </c>
      <c r="K3" t="str">
        <f>IFERROR(+_xlfn.RANK.EQ(dHdcp[[#This Row],[Ranking]],dHdcp[Ranking],1),"")</f>
        <v/>
      </c>
      <c r="M3" t="str">
        <f>+dHdcp[[#This Row],[Fecha]]&amp;":"&amp;dHdcp[[#This Row],[Nombre]]</f>
        <v>43309:Alvaro Aguirre</v>
      </c>
      <c r="N3">
        <f>+COUNTIF(dHdcp[Columna1],dHdcp[[#This Row],[Columna1]])</f>
        <v>1</v>
      </c>
    </row>
    <row r="4" spans="1:14">
      <c r="A4" s="2">
        <v>43309</v>
      </c>
      <c r="B4" t="s">
        <v>25</v>
      </c>
      <c r="C4" s="51">
        <v>15.299999999999999</v>
      </c>
      <c r="D4">
        <v>3</v>
      </c>
      <c r="E4" t="s">
        <v>75</v>
      </c>
      <c r="F4" t="s">
        <v>470</v>
      </c>
      <c r="G4">
        <f>+IF(dHdcp[[#This Row],[Fecha]]=MAX(dHdcp[Fecha]),1,0)</f>
        <v>0</v>
      </c>
      <c r="H4" t="str">
        <f>+dHdcp[[#This Row],[Maximo]]&amp;":"&amp;dHdcp[[#This Row],[Nombre]]</f>
        <v>0:Alvaro Nieto</v>
      </c>
      <c r="I4" t="str">
        <f>+dHdcp[[#This Row],[Maximo]]&amp;":"&amp;_xlfn.XLOOKUP(dHdcp[[#This Row],[Nombre]],dJugador[Nombre],dJugador[Mote],"",0)</f>
        <v>0:Alvaro</v>
      </c>
      <c r="J4" t="str">
        <f>+IF(dHdcp[[#This Row],[Maximo]]=0,"",_xlfn.RANK.EQ(dHdcp[[#This Row],[Handicap]],dHdcp[Handicap],1))</f>
        <v/>
      </c>
      <c r="K4" t="str">
        <f>IFERROR(+_xlfn.RANK.EQ(dHdcp[[#This Row],[Ranking]],dHdcp[Ranking],1),"")</f>
        <v/>
      </c>
      <c r="M4" t="str">
        <f>+dHdcp[[#This Row],[Fecha]]&amp;":"&amp;dHdcp[[#This Row],[Nombre]]</f>
        <v>43309:Alvaro Nieto</v>
      </c>
      <c r="N4">
        <f>+COUNTIF(dHdcp[Columna1],dHdcp[[#This Row],[Columna1]])</f>
        <v>1</v>
      </c>
    </row>
    <row r="5" spans="1:14">
      <c r="A5" s="2">
        <v>43309</v>
      </c>
      <c r="B5" t="s">
        <v>33</v>
      </c>
      <c r="C5" s="51">
        <v>6.1</v>
      </c>
      <c r="D5">
        <v>2</v>
      </c>
      <c r="E5" t="s">
        <v>75</v>
      </c>
      <c r="F5" t="s">
        <v>471</v>
      </c>
      <c r="G5">
        <f>+IF(dHdcp[[#This Row],[Fecha]]=MAX(dHdcp[Fecha]),1,0)</f>
        <v>0</v>
      </c>
      <c r="H5" t="str">
        <f>+dHdcp[[#This Row],[Maximo]]&amp;":"&amp;dHdcp[[#This Row],[Nombre]]</f>
        <v>0:Angel Hernandez</v>
      </c>
      <c r="I5" t="str">
        <f>+dHdcp[[#This Row],[Maximo]]&amp;":"&amp;_xlfn.XLOOKUP(dHdcp[[#This Row],[Nombre]],dJugador[Nombre],dJugador[Mote],"",0)</f>
        <v>0:Angel</v>
      </c>
      <c r="J5" t="str">
        <f>+IF(dHdcp[[#This Row],[Maximo]]=0,"",_xlfn.RANK.EQ(dHdcp[[#This Row],[Handicap]],dHdcp[Handicap],1))</f>
        <v/>
      </c>
      <c r="K5" t="str">
        <f>IFERROR(+_xlfn.RANK.EQ(dHdcp[[#This Row],[Ranking]],dHdcp[Ranking],1),"")</f>
        <v/>
      </c>
      <c r="M5" t="str">
        <f>+dHdcp[[#This Row],[Fecha]]&amp;":"&amp;dHdcp[[#This Row],[Nombre]]</f>
        <v>43309:Angel Hernandez</v>
      </c>
      <c r="N5">
        <f>+COUNTIF(dHdcp[Columna1],dHdcp[[#This Row],[Columna1]])</f>
        <v>1</v>
      </c>
    </row>
    <row r="6" spans="1:14">
      <c r="A6" s="2">
        <v>43309</v>
      </c>
      <c r="B6" t="s">
        <v>30</v>
      </c>
      <c r="C6" s="51">
        <v>12.799999999999999</v>
      </c>
      <c r="D6">
        <v>3</v>
      </c>
      <c r="E6" t="s">
        <v>75</v>
      </c>
      <c r="F6" t="s">
        <v>472</v>
      </c>
      <c r="G6">
        <f>+IF(dHdcp[[#This Row],[Fecha]]=MAX(dHdcp[Fecha]),1,0)</f>
        <v>0</v>
      </c>
      <c r="H6" t="str">
        <f>+dHdcp[[#This Row],[Maximo]]&amp;":"&amp;dHdcp[[#This Row],[Nombre]]</f>
        <v>0:David Sequera</v>
      </c>
      <c r="I6" t="str">
        <f>+dHdcp[[#This Row],[Maximo]]&amp;":"&amp;_xlfn.XLOOKUP(dHdcp[[#This Row],[Nombre]],dJugador[Nombre],dJugador[Mote],"",0)</f>
        <v>0:David</v>
      </c>
      <c r="J6" t="str">
        <f>+IF(dHdcp[[#This Row],[Maximo]]=0,"",_xlfn.RANK.EQ(dHdcp[[#This Row],[Handicap]],dHdcp[Handicap],1))</f>
        <v/>
      </c>
      <c r="K6" t="str">
        <f>IFERROR(+_xlfn.RANK.EQ(dHdcp[[#This Row],[Ranking]],dHdcp[Ranking],1),"")</f>
        <v/>
      </c>
      <c r="M6" t="str">
        <f>+dHdcp[[#This Row],[Fecha]]&amp;":"&amp;dHdcp[[#This Row],[Nombre]]</f>
        <v>43309:David Sequera</v>
      </c>
      <c r="N6">
        <f>+COUNTIF(dHdcp[Columna1],dHdcp[[#This Row],[Columna1]])</f>
        <v>1</v>
      </c>
    </row>
    <row r="7" spans="1:14">
      <c r="A7" s="2">
        <v>43309</v>
      </c>
      <c r="B7" t="s">
        <v>12</v>
      </c>
      <c r="C7" s="51">
        <v>17.2</v>
      </c>
      <c r="D7">
        <v>3</v>
      </c>
      <c r="E7" t="s">
        <v>75</v>
      </c>
      <c r="F7" t="s">
        <v>473</v>
      </c>
      <c r="G7">
        <f>+IF(dHdcp[[#This Row],[Fecha]]=MAX(dHdcp[Fecha]),1,0)</f>
        <v>0</v>
      </c>
      <c r="H7" t="str">
        <f>+dHdcp[[#This Row],[Maximo]]&amp;":"&amp;dHdcp[[#This Row],[Nombre]]</f>
        <v>0:Francisco Alvarez</v>
      </c>
      <c r="I7" t="str">
        <f>+dHdcp[[#This Row],[Maximo]]&amp;":"&amp;_xlfn.XLOOKUP(dHdcp[[#This Row],[Nombre]],dJugador[Nombre],dJugador[Mote],"",0)</f>
        <v>0:Paco</v>
      </c>
      <c r="J7" t="str">
        <f>+IF(dHdcp[[#This Row],[Maximo]]=0,"",_xlfn.RANK.EQ(dHdcp[[#This Row],[Handicap]],dHdcp[Handicap],1))</f>
        <v/>
      </c>
      <c r="K7" t="str">
        <f>IFERROR(+_xlfn.RANK.EQ(dHdcp[[#This Row],[Ranking]],dHdcp[Ranking],1),"")</f>
        <v/>
      </c>
      <c r="M7" t="str">
        <f>+dHdcp[[#This Row],[Fecha]]&amp;":"&amp;dHdcp[[#This Row],[Nombre]]</f>
        <v>43309:Francisco Alvarez</v>
      </c>
      <c r="N7">
        <f>+COUNTIF(dHdcp[Columna1],dHdcp[[#This Row],[Columna1]])</f>
        <v>1</v>
      </c>
    </row>
    <row r="8" spans="1:14">
      <c r="A8" s="2">
        <v>43309</v>
      </c>
      <c r="B8" t="s">
        <v>49</v>
      </c>
      <c r="C8" s="51">
        <v>13</v>
      </c>
      <c r="D8">
        <v>3</v>
      </c>
      <c r="E8" t="s">
        <v>75</v>
      </c>
      <c r="F8" t="s">
        <v>474</v>
      </c>
      <c r="G8">
        <f>+IF(dHdcp[[#This Row],[Fecha]]=MAX(dHdcp[Fecha]),1,0)</f>
        <v>0</v>
      </c>
      <c r="H8" t="str">
        <f>+dHdcp[[#This Row],[Maximo]]&amp;":"&amp;dHdcp[[#This Row],[Nombre]]</f>
        <v>0:Francisco Hidalgo</v>
      </c>
      <c r="I8" t="str">
        <f>+dHdcp[[#This Row],[Maximo]]&amp;":"&amp;_xlfn.XLOOKUP(dHdcp[[#This Row],[Nombre]],dJugador[Nombre],dJugador[Mote],"",0)</f>
        <v>0:Fran</v>
      </c>
      <c r="J8" t="str">
        <f>+IF(dHdcp[[#This Row],[Maximo]]=0,"",_xlfn.RANK.EQ(dHdcp[[#This Row],[Handicap]],dHdcp[Handicap],1))</f>
        <v/>
      </c>
      <c r="K8" t="str">
        <f>IFERROR(+_xlfn.RANK.EQ(dHdcp[[#This Row],[Ranking]],dHdcp[Ranking],1),"")</f>
        <v/>
      </c>
      <c r="M8" t="str">
        <f>+dHdcp[[#This Row],[Fecha]]&amp;":"&amp;dHdcp[[#This Row],[Nombre]]</f>
        <v>43309:Francisco Hidalgo</v>
      </c>
      <c r="N8">
        <f>+COUNTIF(dHdcp[Columna1],dHdcp[[#This Row],[Columna1]])</f>
        <v>1</v>
      </c>
    </row>
    <row r="9" spans="1:14">
      <c r="A9" s="2">
        <v>43309</v>
      </c>
      <c r="B9" t="s">
        <v>35</v>
      </c>
      <c r="C9" s="51">
        <v>16.600000000000001</v>
      </c>
      <c r="D9">
        <v>3</v>
      </c>
      <c r="E9" t="s">
        <v>75</v>
      </c>
      <c r="F9" t="s">
        <v>475</v>
      </c>
      <c r="G9">
        <f>+IF(dHdcp[[#This Row],[Fecha]]=MAX(dHdcp[Fecha]),1,0)</f>
        <v>0</v>
      </c>
      <c r="H9" t="str">
        <f>+dHdcp[[#This Row],[Maximo]]&amp;":"&amp;dHdcp[[#This Row],[Nombre]]</f>
        <v>0:GLEZ JUAN JOSÉ</v>
      </c>
      <c r="I9" t="str">
        <f>+dHdcp[[#This Row],[Maximo]]&amp;":"&amp;_xlfn.XLOOKUP(dHdcp[[#This Row],[Nombre]],dJugador[Nombre],dJugador[Mote],"",0)</f>
        <v>0:Juanjo</v>
      </c>
      <c r="J9" t="str">
        <f>+IF(dHdcp[[#This Row],[Maximo]]=0,"",_xlfn.RANK.EQ(dHdcp[[#This Row],[Handicap]],dHdcp[Handicap],1))</f>
        <v/>
      </c>
      <c r="K9" t="str">
        <f>IFERROR(+_xlfn.RANK.EQ(dHdcp[[#This Row],[Ranking]],dHdcp[Ranking],1),"")</f>
        <v/>
      </c>
      <c r="M9" t="str">
        <f>+dHdcp[[#This Row],[Fecha]]&amp;":"&amp;dHdcp[[#This Row],[Nombre]]</f>
        <v>43309:GLEZ JUAN JOSÉ</v>
      </c>
      <c r="N9">
        <f>+COUNTIF(dHdcp[Columna1],dHdcp[[#This Row],[Columna1]])</f>
        <v>1</v>
      </c>
    </row>
    <row r="10" spans="1:14">
      <c r="A10" s="2">
        <v>43309</v>
      </c>
      <c r="B10" t="s">
        <v>6</v>
      </c>
      <c r="C10" s="51">
        <v>7.2999999999999989</v>
      </c>
      <c r="D10">
        <v>2</v>
      </c>
      <c r="E10" t="s">
        <v>75</v>
      </c>
      <c r="F10" t="s">
        <v>476</v>
      </c>
      <c r="G10">
        <f>+IF(dHdcp[[#This Row],[Fecha]]=MAX(dHdcp[Fecha]),1,0)</f>
        <v>0</v>
      </c>
      <c r="H10" t="str">
        <f>+dHdcp[[#This Row],[Maximo]]&amp;":"&amp;dHdcp[[#This Row],[Nombre]]</f>
        <v>0:Ignacio Cadarso</v>
      </c>
      <c r="I10" t="str">
        <f>+dHdcp[[#This Row],[Maximo]]&amp;":"&amp;_xlfn.XLOOKUP(dHdcp[[#This Row],[Nombre]],dJugador[Nombre],dJugador[Mote],"",0)</f>
        <v>0:Ignacio</v>
      </c>
      <c r="J10" t="str">
        <f>+IF(dHdcp[[#This Row],[Maximo]]=0,"",_xlfn.RANK.EQ(dHdcp[[#This Row],[Handicap]],dHdcp[Handicap],1))</f>
        <v/>
      </c>
      <c r="K10" t="str">
        <f>IFERROR(+_xlfn.RANK.EQ(dHdcp[[#This Row],[Ranking]],dHdcp[Ranking],1),"")</f>
        <v/>
      </c>
      <c r="M10" t="str">
        <f>+dHdcp[[#This Row],[Fecha]]&amp;":"&amp;dHdcp[[#This Row],[Nombre]]</f>
        <v>43309:Ignacio Cadarso</v>
      </c>
      <c r="N10">
        <f>+COUNTIF(dHdcp[Columna1],dHdcp[[#This Row],[Columna1]])</f>
        <v>1</v>
      </c>
    </row>
    <row r="11" spans="1:14">
      <c r="A11" s="2">
        <v>43309</v>
      </c>
      <c r="B11" t="s">
        <v>39</v>
      </c>
      <c r="C11" s="51">
        <v>13.3</v>
      </c>
      <c r="D11">
        <v>3</v>
      </c>
      <c r="E11" t="s">
        <v>75</v>
      </c>
      <c r="F11" t="s">
        <v>477</v>
      </c>
      <c r="G11">
        <f>+IF(dHdcp[[#This Row],[Fecha]]=MAX(dHdcp[Fecha]),1,0)</f>
        <v>0</v>
      </c>
      <c r="H11" t="str">
        <f>+dHdcp[[#This Row],[Maximo]]&amp;":"&amp;dHdcp[[#This Row],[Nombre]]</f>
        <v>0:Iñigo Rosas</v>
      </c>
      <c r="I11" t="str">
        <f>+dHdcp[[#This Row],[Maximo]]&amp;":"&amp;_xlfn.XLOOKUP(dHdcp[[#This Row],[Nombre]],dJugador[Nombre],dJugador[Mote],"",0)</f>
        <v>0:</v>
      </c>
      <c r="J11" t="str">
        <f>+IF(dHdcp[[#This Row],[Maximo]]=0,"",_xlfn.RANK.EQ(dHdcp[[#This Row],[Handicap]],dHdcp[Handicap],1))</f>
        <v/>
      </c>
      <c r="K11" t="str">
        <f>IFERROR(+_xlfn.RANK.EQ(dHdcp[[#This Row],[Ranking]],dHdcp[Ranking],1),"")</f>
        <v/>
      </c>
      <c r="M11" t="str">
        <f>+dHdcp[[#This Row],[Fecha]]&amp;":"&amp;dHdcp[[#This Row],[Nombre]]</f>
        <v>43309:Iñigo Rosas</v>
      </c>
      <c r="N11">
        <f>+COUNTIF(dHdcp[Columna1],dHdcp[[#This Row],[Columna1]])</f>
        <v>1</v>
      </c>
    </row>
    <row r="12" spans="1:14">
      <c r="A12" s="2">
        <v>43309</v>
      </c>
      <c r="B12" t="s">
        <v>23</v>
      </c>
      <c r="C12" s="51">
        <v>19.000000000000004</v>
      </c>
      <c r="D12">
        <v>4</v>
      </c>
      <c r="E12" t="s">
        <v>75</v>
      </c>
      <c r="F12" t="s">
        <v>478</v>
      </c>
      <c r="G12">
        <f>+IF(dHdcp[[#This Row],[Fecha]]=MAX(dHdcp[Fecha]),1,0)</f>
        <v>0</v>
      </c>
      <c r="H12" t="str">
        <f>+dHdcp[[#This Row],[Maximo]]&amp;":"&amp;dHdcp[[#This Row],[Nombre]]</f>
        <v>0:J. Enrique Gonzalez</v>
      </c>
      <c r="I12" t="str">
        <f>+dHdcp[[#This Row],[Maximo]]&amp;":"&amp;_xlfn.XLOOKUP(dHdcp[[#This Row],[Nombre]],dJugador[Nombre],dJugador[Mote],"",0)</f>
        <v>0:Kike</v>
      </c>
      <c r="J12" t="str">
        <f>+IF(dHdcp[[#This Row],[Maximo]]=0,"",_xlfn.RANK.EQ(dHdcp[[#This Row],[Handicap]],dHdcp[Handicap],1))</f>
        <v/>
      </c>
      <c r="K12" t="str">
        <f>IFERROR(+_xlfn.RANK.EQ(dHdcp[[#This Row],[Ranking]],dHdcp[Ranking],1),"")</f>
        <v/>
      </c>
      <c r="M12" t="str">
        <f>+dHdcp[[#This Row],[Fecha]]&amp;":"&amp;dHdcp[[#This Row],[Nombre]]</f>
        <v>43309:J. Enrique Gonzalez</v>
      </c>
      <c r="N12">
        <f>+COUNTIF(dHdcp[Columna1],dHdcp[[#This Row],[Columna1]])</f>
        <v>1</v>
      </c>
    </row>
    <row r="13" spans="1:14">
      <c r="A13" s="2">
        <v>43309</v>
      </c>
      <c r="B13" t="s">
        <v>46</v>
      </c>
      <c r="C13" s="51">
        <v>12.9</v>
      </c>
      <c r="D13">
        <v>3</v>
      </c>
      <c r="E13" t="s">
        <v>75</v>
      </c>
      <c r="F13" t="s">
        <v>479</v>
      </c>
      <c r="G13">
        <f>+IF(dHdcp[[#This Row],[Fecha]]=MAX(dHdcp[Fecha]),1,0)</f>
        <v>0</v>
      </c>
      <c r="H13" t="str">
        <f>+dHdcp[[#This Row],[Maximo]]&amp;":"&amp;dHdcp[[#This Row],[Nombre]]</f>
        <v>0:Javier Cervera</v>
      </c>
      <c r="I13" t="str">
        <f>+dHdcp[[#This Row],[Maximo]]&amp;":"&amp;_xlfn.XLOOKUP(dHdcp[[#This Row],[Nombre]],dJugador[Nombre],dJugador[Mote],"",0)</f>
        <v>0:Virus</v>
      </c>
      <c r="J13" t="str">
        <f>+IF(dHdcp[[#This Row],[Maximo]]=0,"",_xlfn.RANK.EQ(dHdcp[[#This Row],[Handicap]],dHdcp[Handicap],1))</f>
        <v/>
      </c>
      <c r="K13" t="str">
        <f>IFERROR(+_xlfn.RANK.EQ(dHdcp[[#This Row],[Ranking]],dHdcp[Ranking],1),"")</f>
        <v/>
      </c>
      <c r="M13" t="str">
        <f>+dHdcp[[#This Row],[Fecha]]&amp;":"&amp;dHdcp[[#This Row],[Nombre]]</f>
        <v>43309:Javier Cervera</v>
      </c>
      <c r="N13">
        <f>+COUNTIF(dHdcp[Columna1],dHdcp[[#This Row],[Columna1]])</f>
        <v>1</v>
      </c>
    </row>
    <row r="14" spans="1:14">
      <c r="A14" s="2">
        <v>43309</v>
      </c>
      <c r="B14" t="s">
        <v>20</v>
      </c>
      <c r="C14" s="51">
        <v>9.9</v>
      </c>
      <c r="D14">
        <v>2</v>
      </c>
      <c r="E14" t="s">
        <v>75</v>
      </c>
      <c r="F14" t="s">
        <v>480</v>
      </c>
      <c r="G14">
        <f>+IF(dHdcp[[#This Row],[Fecha]]=MAX(dHdcp[Fecha]),1,0)</f>
        <v>0</v>
      </c>
      <c r="H14" t="str">
        <f>+dHdcp[[#This Row],[Maximo]]&amp;":"&amp;dHdcp[[#This Row],[Nombre]]</f>
        <v>0:Javier Gonzalez Salvador</v>
      </c>
      <c r="I14" t="str">
        <f>+dHdcp[[#This Row],[Maximo]]&amp;":"&amp;_xlfn.XLOOKUP(dHdcp[[#This Row],[Nombre]],dJugador[Nombre],dJugador[Mote],"",0)</f>
        <v>0:Javi</v>
      </c>
      <c r="J14" t="str">
        <f>+IF(dHdcp[[#This Row],[Maximo]]=0,"",_xlfn.RANK.EQ(dHdcp[[#This Row],[Handicap]],dHdcp[Handicap],1))</f>
        <v/>
      </c>
      <c r="K14" t="str">
        <f>IFERROR(+_xlfn.RANK.EQ(dHdcp[[#This Row],[Ranking]],dHdcp[Ranking],1),"")</f>
        <v/>
      </c>
      <c r="M14" t="str">
        <f>+dHdcp[[#This Row],[Fecha]]&amp;":"&amp;dHdcp[[#This Row],[Nombre]]</f>
        <v>43309:Javier Gonzalez Salvador</v>
      </c>
      <c r="N14">
        <f>+COUNTIF(dHdcp[Columna1],dHdcp[[#This Row],[Columna1]])</f>
        <v>1</v>
      </c>
    </row>
    <row r="15" spans="1:14">
      <c r="A15" s="2">
        <v>43309</v>
      </c>
      <c r="B15" t="s">
        <v>41</v>
      </c>
      <c r="C15" s="51">
        <v>21.3</v>
      </c>
      <c r="D15">
        <v>4</v>
      </c>
      <c r="E15" t="s">
        <v>75</v>
      </c>
      <c r="F15" t="s">
        <v>481</v>
      </c>
      <c r="G15">
        <f>+IF(dHdcp[[#This Row],[Fecha]]=MAX(dHdcp[Fecha]),1,0)</f>
        <v>0</v>
      </c>
      <c r="H15" t="str">
        <f>+dHdcp[[#This Row],[Maximo]]&amp;":"&amp;dHdcp[[#This Row],[Nombre]]</f>
        <v>0:Jesus Touceda</v>
      </c>
      <c r="I15" t="str">
        <f>+dHdcp[[#This Row],[Maximo]]&amp;":"&amp;_xlfn.XLOOKUP(dHdcp[[#This Row],[Nombre]],dJugador[Nombre],dJugador[Mote],"",0)</f>
        <v>0:Jesús</v>
      </c>
      <c r="J15" t="str">
        <f>+IF(dHdcp[[#This Row],[Maximo]]=0,"",_xlfn.RANK.EQ(dHdcp[[#This Row],[Handicap]],dHdcp[Handicap],1))</f>
        <v/>
      </c>
      <c r="K15" t="str">
        <f>IFERROR(+_xlfn.RANK.EQ(dHdcp[[#This Row],[Ranking]],dHdcp[Ranking],1),"")</f>
        <v/>
      </c>
      <c r="M15" t="str">
        <f>+dHdcp[[#This Row],[Fecha]]&amp;":"&amp;dHdcp[[#This Row],[Nombre]]</f>
        <v>43309:Jesus Touceda</v>
      </c>
      <c r="N15">
        <f>+COUNTIF(dHdcp[Columna1],dHdcp[[#This Row],[Columna1]])</f>
        <v>1</v>
      </c>
    </row>
    <row r="16" spans="1:14">
      <c r="A16" s="2">
        <v>43309</v>
      </c>
      <c r="B16" t="s">
        <v>18</v>
      </c>
      <c r="C16" s="51">
        <v>5.2999999999999989</v>
      </c>
      <c r="D16">
        <v>2</v>
      </c>
      <c r="E16" t="s">
        <v>75</v>
      </c>
      <c r="F16" t="s">
        <v>482</v>
      </c>
      <c r="G16">
        <f>+IF(dHdcp[[#This Row],[Fecha]]=MAX(dHdcp[Fecha]),1,0)</f>
        <v>0</v>
      </c>
      <c r="H16" t="str">
        <f>+dHdcp[[#This Row],[Maximo]]&amp;":"&amp;dHdcp[[#This Row],[Nombre]]</f>
        <v>0:José Pablo Guil</v>
      </c>
      <c r="I16" t="str">
        <f>+dHdcp[[#This Row],[Maximo]]&amp;":"&amp;_xlfn.XLOOKUP(dHdcp[[#This Row],[Nombre]],dJugador[Nombre],dJugador[Mote],"",0)</f>
        <v>0:JP</v>
      </c>
      <c r="J16" t="str">
        <f>+IF(dHdcp[[#This Row],[Maximo]]=0,"",_xlfn.RANK.EQ(dHdcp[[#This Row],[Handicap]],dHdcp[Handicap],1))</f>
        <v/>
      </c>
      <c r="K16" t="str">
        <f>IFERROR(+_xlfn.RANK.EQ(dHdcp[[#This Row],[Ranking]],dHdcp[Ranking],1),"")</f>
        <v/>
      </c>
      <c r="M16" t="str">
        <f>+dHdcp[[#This Row],[Fecha]]&amp;":"&amp;dHdcp[[#This Row],[Nombre]]</f>
        <v>43309:José Pablo Guil</v>
      </c>
      <c r="N16">
        <f>+COUNTIF(dHdcp[Columna1],dHdcp[[#This Row],[Columna1]])</f>
        <v>1</v>
      </c>
    </row>
    <row r="17" spans="1:14">
      <c r="A17" s="2">
        <v>43309</v>
      </c>
      <c r="B17" t="s">
        <v>43</v>
      </c>
      <c r="C17" s="51">
        <v>16.900000000000002</v>
      </c>
      <c r="D17">
        <v>3</v>
      </c>
      <c r="E17" t="s">
        <v>75</v>
      </c>
      <c r="F17" t="s">
        <v>483</v>
      </c>
      <c r="G17">
        <f>+IF(dHdcp[[#This Row],[Fecha]]=MAX(dHdcp[Fecha]),1,0)</f>
        <v>0</v>
      </c>
      <c r="H17" t="str">
        <f>+dHdcp[[#This Row],[Maximo]]&amp;":"&amp;dHdcp[[#This Row],[Nombre]]</f>
        <v>0:Luis Escudero</v>
      </c>
      <c r="I17" t="str">
        <f>+dHdcp[[#This Row],[Maximo]]&amp;":"&amp;_xlfn.XLOOKUP(dHdcp[[#This Row],[Nombre]],dJugador[Nombre],dJugador[Mote],"",0)</f>
        <v>0:Lucho</v>
      </c>
      <c r="J17" t="str">
        <f>+IF(dHdcp[[#This Row],[Maximo]]=0,"",_xlfn.RANK.EQ(dHdcp[[#This Row],[Handicap]],dHdcp[Handicap],1))</f>
        <v/>
      </c>
      <c r="K17" t="str">
        <f>IFERROR(+_xlfn.RANK.EQ(dHdcp[[#This Row],[Ranking]],dHdcp[Ranking],1),"")</f>
        <v/>
      </c>
      <c r="M17" t="str">
        <f>+dHdcp[[#This Row],[Fecha]]&amp;":"&amp;dHdcp[[#This Row],[Nombre]]</f>
        <v>43309:Luis Escudero</v>
      </c>
      <c r="N17">
        <f>+COUNTIF(dHdcp[Columna1],dHdcp[[#This Row],[Columna1]])</f>
        <v>1</v>
      </c>
    </row>
    <row r="18" spans="1:14">
      <c r="A18" s="2">
        <v>43309</v>
      </c>
      <c r="B18" t="s">
        <v>3</v>
      </c>
      <c r="C18" s="51">
        <v>4.1000000000000014</v>
      </c>
      <c r="D18">
        <v>1</v>
      </c>
      <c r="E18" t="s">
        <v>75</v>
      </c>
      <c r="F18" t="s">
        <v>484</v>
      </c>
      <c r="G18">
        <f>+IF(dHdcp[[#This Row],[Fecha]]=MAX(dHdcp[Fecha]),1,0)</f>
        <v>0</v>
      </c>
      <c r="H18" t="str">
        <f>+dHdcp[[#This Row],[Maximo]]&amp;":"&amp;dHdcp[[#This Row],[Nombre]]</f>
        <v>0:Nacho Gonzalez</v>
      </c>
      <c r="I18" t="str">
        <f>+dHdcp[[#This Row],[Maximo]]&amp;":"&amp;_xlfn.XLOOKUP(dHdcp[[#This Row],[Nombre]],dJugador[Nombre],dJugador[Mote],"",0)</f>
        <v>0:Nacho</v>
      </c>
      <c r="J18" t="str">
        <f>+IF(dHdcp[[#This Row],[Maximo]]=0,"",_xlfn.RANK.EQ(dHdcp[[#This Row],[Handicap]],dHdcp[Handicap],1))</f>
        <v/>
      </c>
      <c r="K18" t="str">
        <f>IFERROR(+_xlfn.RANK.EQ(dHdcp[[#This Row],[Ranking]],dHdcp[Ranking],1),"")</f>
        <v/>
      </c>
      <c r="M18" t="str">
        <f>+dHdcp[[#This Row],[Fecha]]&amp;":"&amp;dHdcp[[#This Row],[Nombre]]</f>
        <v>43309:Nacho Gonzalez</v>
      </c>
      <c r="N18">
        <f>+COUNTIF(dHdcp[Columna1],dHdcp[[#This Row],[Columna1]])</f>
        <v>1</v>
      </c>
    </row>
    <row r="19" spans="1:14">
      <c r="A19" s="2">
        <v>43309</v>
      </c>
      <c r="B19" t="s">
        <v>28</v>
      </c>
      <c r="C19" s="51">
        <v>13.4</v>
      </c>
      <c r="D19">
        <v>3</v>
      </c>
      <c r="E19" t="s">
        <v>75</v>
      </c>
      <c r="F19" t="s">
        <v>485</v>
      </c>
      <c r="G19">
        <f>+IF(dHdcp[[#This Row],[Fecha]]=MAX(dHdcp[Fecha]),1,0)</f>
        <v>0</v>
      </c>
      <c r="H19" t="str">
        <f>+dHdcp[[#This Row],[Maximo]]&amp;":"&amp;dHdcp[[#This Row],[Nombre]]</f>
        <v>0:Pablo Munitiz</v>
      </c>
      <c r="I19" t="str">
        <f>+dHdcp[[#This Row],[Maximo]]&amp;":"&amp;_xlfn.XLOOKUP(dHdcp[[#This Row],[Nombre]],dJugador[Nombre],dJugador[Mote],"",0)</f>
        <v>0:Muni</v>
      </c>
      <c r="J19" t="str">
        <f>+IF(dHdcp[[#This Row],[Maximo]]=0,"",_xlfn.RANK.EQ(dHdcp[[#This Row],[Handicap]],dHdcp[Handicap],1))</f>
        <v/>
      </c>
      <c r="K19" t="str">
        <f>IFERROR(+_xlfn.RANK.EQ(dHdcp[[#This Row],[Ranking]],dHdcp[Ranking],1),"")</f>
        <v/>
      </c>
      <c r="M19" t="str">
        <f>+dHdcp[[#This Row],[Fecha]]&amp;":"&amp;dHdcp[[#This Row],[Nombre]]</f>
        <v>43309:Pablo Munitiz</v>
      </c>
      <c r="N19">
        <f>+COUNTIF(dHdcp[Columna1],dHdcp[[#This Row],[Columna1]])</f>
        <v>1</v>
      </c>
    </row>
    <row r="20" spans="1:14">
      <c r="A20" s="2">
        <v>43309</v>
      </c>
      <c r="B20" t="s">
        <v>37</v>
      </c>
      <c r="C20" s="51">
        <v>10</v>
      </c>
      <c r="D20">
        <v>2</v>
      </c>
      <c r="E20" t="s">
        <v>75</v>
      </c>
      <c r="F20" t="s">
        <v>486</v>
      </c>
      <c r="G20">
        <f>+IF(dHdcp[[#This Row],[Fecha]]=MAX(dHdcp[Fecha]),1,0)</f>
        <v>0</v>
      </c>
      <c r="H20" t="str">
        <f>+dHdcp[[#This Row],[Maximo]]&amp;":"&amp;dHdcp[[#This Row],[Nombre]]</f>
        <v>0:Ricardo Muelas</v>
      </c>
      <c r="I20" t="str">
        <f>+dHdcp[[#This Row],[Maximo]]&amp;":"&amp;_xlfn.XLOOKUP(dHdcp[[#This Row],[Nombre]],dJugador[Nombre],dJugador[Mote],"",0)</f>
        <v>0:</v>
      </c>
      <c r="J20" t="str">
        <f>+IF(dHdcp[[#This Row],[Maximo]]=0,"",_xlfn.RANK.EQ(dHdcp[[#This Row],[Handicap]],dHdcp[Handicap],1))</f>
        <v/>
      </c>
      <c r="K20" t="str">
        <f>IFERROR(+_xlfn.RANK.EQ(dHdcp[[#This Row],[Ranking]],dHdcp[Ranking],1),"")</f>
        <v/>
      </c>
      <c r="M20" t="str">
        <f>+dHdcp[[#This Row],[Fecha]]&amp;":"&amp;dHdcp[[#This Row],[Nombre]]</f>
        <v>43309:Ricardo Muelas</v>
      </c>
      <c r="N20">
        <f>+COUNTIF(dHdcp[Columna1],dHdcp[[#This Row],[Columna1]])</f>
        <v>1</v>
      </c>
    </row>
    <row r="21" spans="1:14">
      <c r="A21" s="2">
        <v>43310</v>
      </c>
      <c r="B21" t="s">
        <v>9</v>
      </c>
      <c r="C21" s="51">
        <v>8.1</v>
      </c>
      <c r="D21">
        <v>2</v>
      </c>
      <c r="E21" t="s">
        <v>74</v>
      </c>
      <c r="F21" t="s">
        <v>487</v>
      </c>
      <c r="G21">
        <f>+IF(dHdcp[[#This Row],[Fecha]]=MAX(dHdcp[Fecha]),1,0)</f>
        <v>0</v>
      </c>
      <c r="H21" t="str">
        <f>+dHdcp[[#This Row],[Maximo]]&amp;":"&amp;dHdcp[[#This Row],[Nombre]]</f>
        <v>0:Alfonso Hidalgo</v>
      </c>
      <c r="I21" t="str">
        <f>+dHdcp[[#This Row],[Maximo]]&amp;":"&amp;_xlfn.XLOOKUP(dHdcp[[#This Row],[Nombre]],dJugador[Nombre],dJugador[Mote],"",0)</f>
        <v>0:Alfonso</v>
      </c>
      <c r="J21" t="str">
        <f>+IF(dHdcp[[#This Row],[Maximo]]=0,"",_xlfn.RANK.EQ(dHdcp[[#This Row],[Handicap]],dHdcp[Handicap],1))</f>
        <v/>
      </c>
      <c r="K21" t="str">
        <f>IFERROR(+_xlfn.RANK.EQ(dHdcp[[#This Row],[Ranking]],dHdcp[Ranking],1),"")</f>
        <v/>
      </c>
      <c r="M21" t="str">
        <f>+dHdcp[[#This Row],[Fecha]]&amp;":"&amp;dHdcp[[#This Row],[Nombre]]</f>
        <v>43310:Alfonso Hidalgo</v>
      </c>
      <c r="N21">
        <f>+COUNTIF(dHdcp[Columna1],dHdcp[[#This Row],[Columna1]])</f>
        <v>1</v>
      </c>
    </row>
    <row r="22" spans="1:14">
      <c r="A22" s="2">
        <v>43310</v>
      </c>
      <c r="B22" t="s">
        <v>15</v>
      </c>
      <c r="C22" s="51">
        <v>5.3</v>
      </c>
      <c r="D22">
        <v>2</v>
      </c>
      <c r="E22" t="s">
        <v>74</v>
      </c>
      <c r="F22" t="s">
        <v>488</v>
      </c>
      <c r="G22">
        <f>+IF(dHdcp[[#This Row],[Fecha]]=MAX(dHdcp[Fecha]),1,0)</f>
        <v>0</v>
      </c>
      <c r="H22" t="str">
        <f>+dHdcp[[#This Row],[Maximo]]&amp;":"&amp;dHdcp[[#This Row],[Nombre]]</f>
        <v>0:Alvaro Aguirre</v>
      </c>
      <c r="I22" t="str">
        <f>+dHdcp[[#This Row],[Maximo]]&amp;":"&amp;_xlfn.XLOOKUP(dHdcp[[#This Row],[Nombre]],dJugador[Nombre],dJugador[Mote],"",0)</f>
        <v>0:Gifu</v>
      </c>
      <c r="J22" t="str">
        <f>+IF(dHdcp[[#This Row],[Maximo]]=0,"",_xlfn.RANK.EQ(dHdcp[[#This Row],[Handicap]],dHdcp[Handicap],1))</f>
        <v/>
      </c>
      <c r="K22" t="str">
        <f>IFERROR(+_xlfn.RANK.EQ(dHdcp[[#This Row],[Ranking]],dHdcp[Ranking],1),"")</f>
        <v/>
      </c>
      <c r="M22" t="str">
        <f>+dHdcp[[#This Row],[Fecha]]&amp;":"&amp;dHdcp[[#This Row],[Nombre]]</f>
        <v>43310:Alvaro Aguirre</v>
      </c>
      <c r="N22">
        <f>+COUNTIF(dHdcp[Columna1],dHdcp[[#This Row],[Columna1]])</f>
        <v>1</v>
      </c>
    </row>
    <row r="23" spans="1:14">
      <c r="A23" s="2">
        <v>43310</v>
      </c>
      <c r="B23" t="s">
        <v>25</v>
      </c>
      <c r="C23" s="51">
        <v>15.1</v>
      </c>
      <c r="D23">
        <v>3</v>
      </c>
      <c r="E23" t="s">
        <v>74</v>
      </c>
      <c r="F23" t="s">
        <v>489</v>
      </c>
      <c r="G23">
        <f>+IF(dHdcp[[#This Row],[Fecha]]=MAX(dHdcp[Fecha]),1,0)</f>
        <v>0</v>
      </c>
      <c r="H23" t="str">
        <f>+dHdcp[[#This Row],[Maximo]]&amp;":"&amp;dHdcp[[#This Row],[Nombre]]</f>
        <v>0:Alvaro Nieto</v>
      </c>
      <c r="I23" t="str">
        <f>+dHdcp[[#This Row],[Maximo]]&amp;":"&amp;_xlfn.XLOOKUP(dHdcp[[#This Row],[Nombre]],dJugador[Nombre],dJugador[Mote],"",0)</f>
        <v>0:Alvaro</v>
      </c>
      <c r="J23" t="str">
        <f>+IF(dHdcp[[#This Row],[Maximo]]=0,"",_xlfn.RANK.EQ(dHdcp[[#This Row],[Handicap]],dHdcp[Handicap],1))</f>
        <v/>
      </c>
      <c r="K23" t="str">
        <f>IFERROR(+_xlfn.RANK.EQ(dHdcp[[#This Row],[Ranking]],dHdcp[Ranking],1),"")</f>
        <v/>
      </c>
      <c r="M23" t="str">
        <f>+dHdcp[[#This Row],[Fecha]]&amp;":"&amp;dHdcp[[#This Row],[Nombre]]</f>
        <v>43310:Alvaro Nieto</v>
      </c>
      <c r="N23">
        <f>+COUNTIF(dHdcp[Columna1],dHdcp[[#This Row],[Columna1]])</f>
        <v>1</v>
      </c>
    </row>
    <row r="24" spans="1:14">
      <c r="A24" s="2">
        <v>43310</v>
      </c>
      <c r="B24" t="s">
        <v>33</v>
      </c>
      <c r="C24" s="51">
        <v>6.7</v>
      </c>
      <c r="D24">
        <v>2</v>
      </c>
      <c r="E24" t="s">
        <v>74</v>
      </c>
      <c r="F24" t="s">
        <v>490</v>
      </c>
      <c r="G24">
        <f>+IF(dHdcp[[#This Row],[Fecha]]=MAX(dHdcp[Fecha]),1,0)</f>
        <v>0</v>
      </c>
      <c r="H24" t="str">
        <f>+dHdcp[[#This Row],[Maximo]]&amp;":"&amp;dHdcp[[#This Row],[Nombre]]</f>
        <v>0:Angel Hernandez</v>
      </c>
      <c r="I24" t="str">
        <f>+dHdcp[[#This Row],[Maximo]]&amp;":"&amp;_xlfn.XLOOKUP(dHdcp[[#This Row],[Nombre]],dJugador[Nombre],dJugador[Mote],"",0)</f>
        <v>0:Angel</v>
      </c>
      <c r="J24" t="str">
        <f>+IF(dHdcp[[#This Row],[Maximo]]=0,"",_xlfn.RANK.EQ(dHdcp[[#This Row],[Handicap]],dHdcp[Handicap],1))</f>
        <v/>
      </c>
      <c r="K24" t="str">
        <f>IFERROR(+_xlfn.RANK.EQ(dHdcp[[#This Row],[Ranking]],dHdcp[Ranking],1),"")</f>
        <v/>
      </c>
      <c r="M24" t="str">
        <f>+dHdcp[[#This Row],[Fecha]]&amp;":"&amp;dHdcp[[#This Row],[Nombre]]</f>
        <v>43310:Angel Hernandez</v>
      </c>
      <c r="N24">
        <f>+COUNTIF(dHdcp[Columna1],dHdcp[[#This Row],[Columna1]])</f>
        <v>1</v>
      </c>
    </row>
    <row r="25" spans="1:14">
      <c r="A25" s="2">
        <v>43310</v>
      </c>
      <c r="B25" t="s">
        <v>30</v>
      </c>
      <c r="C25" s="51">
        <v>12.7</v>
      </c>
      <c r="D25">
        <v>3</v>
      </c>
      <c r="E25" t="s">
        <v>74</v>
      </c>
      <c r="F25" t="s">
        <v>491</v>
      </c>
      <c r="G25">
        <f>+IF(dHdcp[[#This Row],[Fecha]]=MAX(dHdcp[Fecha]),1,0)</f>
        <v>0</v>
      </c>
      <c r="H25" t="str">
        <f>+dHdcp[[#This Row],[Maximo]]&amp;":"&amp;dHdcp[[#This Row],[Nombre]]</f>
        <v>0:David Sequera</v>
      </c>
      <c r="I25" t="str">
        <f>+dHdcp[[#This Row],[Maximo]]&amp;":"&amp;_xlfn.XLOOKUP(dHdcp[[#This Row],[Nombre]],dJugador[Nombre],dJugador[Mote],"",0)</f>
        <v>0:David</v>
      </c>
      <c r="J25" t="str">
        <f>+IF(dHdcp[[#This Row],[Maximo]]=0,"",_xlfn.RANK.EQ(dHdcp[[#This Row],[Handicap]],dHdcp[Handicap],1))</f>
        <v/>
      </c>
      <c r="K25" t="str">
        <f>IFERROR(+_xlfn.RANK.EQ(dHdcp[[#This Row],[Ranking]],dHdcp[Ranking],1),"")</f>
        <v/>
      </c>
      <c r="M25" t="str">
        <f>+dHdcp[[#This Row],[Fecha]]&amp;":"&amp;dHdcp[[#This Row],[Nombre]]</f>
        <v>43310:David Sequera</v>
      </c>
      <c r="N25">
        <f>+COUNTIF(dHdcp[Columna1],dHdcp[[#This Row],[Columna1]])</f>
        <v>1</v>
      </c>
    </row>
    <row r="26" spans="1:14">
      <c r="A26" s="2">
        <v>43310</v>
      </c>
      <c r="B26" t="s">
        <v>12</v>
      </c>
      <c r="C26" s="51">
        <v>21</v>
      </c>
      <c r="D26">
        <v>4</v>
      </c>
      <c r="E26" t="s">
        <v>74</v>
      </c>
      <c r="F26" t="s">
        <v>492</v>
      </c>
      <c r="G26">
        <f>+IF(dHdcp[[#This Row],[Fecha]]=MAX(dHdcp[Fecha]),1,0)</f>
        <v>0</v>
      </c>
      <c r="H26" t="str">
        <f>+dHdcp[[#This Row],[Maximo]]&amp;":"&amp;dHdcp[[#This Row],[Nombre]]</f>
        <v>0:Francisco Alvarez</v>
      </c>
      <c r="I26" t="str">
        <f>+dHdcp[[#This Row],[Maximo]]&amp;":"&amp;_xlfn.XLOOKUP(dHdcp[[#This Row],[Nombre]],dJugador[Nombre],dJugador[Mote],"",0)</f>
        <v>0:Paco</v>
      </c>
      <c r="J26" t="str">
        <f>+IF(dHdcp[[#This Row],[Maximo]]=0,"",_xlfn.RANK.EQ(dHdcp[[#This Row],[Handicap]],dHdcp[Handicap],1))</f>
        <v/>
      </c>
      <c r="K26" t="str">
        <f>IFERROR(+_xlfn.RANK.EQ(dHdcp[[#This Row],[Ranking]],dHdcp[Ranking],1),"")</f>
        <v/>
      </c>
      <c r="M26" t="str">
        <f>+dHdcp[[#This Row],[Fecha]]&amp;":"&amp;dHdcp[[#This Row],[Nombre]]</f>
        <v>43310:Francisco Alvarez</v>
      </c>
      <c r="N26">
        <f>+COUNTIF(dHdcp[Columna1],dHdcp[[#This Row],[Columna1]])</f>
        <v>1</v>
      </c>
    </row>
    <row r="27" spans="1:14">
      <c r="A27" s="2">
        <v>43310</v>
      </c>
      <c r="B27" t="s">
        <v>49</v>
      </c>
      <c r="C27" s="51">
        <v>12.9</v>
      </c>
      <c r="D27">
        <v>3</v>
      </c>
      <c r="E27" t="s">
        <v>74</v>
      </c>
      <c r="F27" t="s">
        <v>493</v>
      </c>
      <c r="G27">
        <f>+IF(dHdcp[[#This Row],[Fecha]]=MAX(dHdcp[Fecha]),1,0)</f>
        <v>0</v>
      </c>
      <c r="H27" t="str">
        <f>+dHdcp[[#This Row],[Maximo]]&amp;":"&amp;dHdcp[[#This Row],[Nombre]]</f>
        <v>0:Francisco Hidalgo</v>
      </c>
      <c r="I27" t="str">
        <f>+dHdcp[[#This Row],[Maximo]]&amp;":"&amp;_xlfn.XLOOKUP(dHdcp[[#This Row],[Nombre]],dJugador[Nombre],dJugador[Mote],"",0)</f>
        <v>0:Fran</v>
      </c>
      <c r="J27" t="str">
        <f>+IF(dHdcp[[#This Row],[Maximo]]=0,"",_xlfn.RANK.EQ(dHdcp[[#This Row],[Handicap]],dHdcp[Handicap],1))</f>
        <v/>
      </c>
      <c r="K27" t="str">
        <f>IFERROR(+_xlfn.RANK.EQ(dHdcp[[#This Row],[Ranking]],dHdcp[Ranking],1),"")</f>
        <v/>
      </c>
      <c r="M27" t="str">
        <f>+dHdcp[[#This Row],[Fecha]]&amp;":"&amp;dHdcp[[#This Row],[Nombre]]</f>
        <v>43310:Francisco Hidalgo</v>
      </c>
      <c r="N27">
        <f>+COUNTIF(dHdcp[Columna1],dHdcp[[#This Row],[Columna1]])</f>
        <v>1</v>
      </c>
    </row>
    <row r="28" spans="1:14">
      <c r="A28" s="2">
        <v>43310</v>
      </c>
      <c r="B28" t="s">
        <v>35</v>
      </c>
      <c r="C28" s="51">
        <v>17.100000000000001</v>
      </c>
      <c r="D28">
        <v>3</v>
      </c>
      <c r="E28" t="s">
        <v>74</v>
      </c>
      <c r="F28" t="s">
        <v>494</v>
      </c>
      <c r="G28">
        <f>+IF(dHdcp[[#This Row],[Fecha]]=MAX(dHdcp[Fecha]),1,0)</f>
        <v>0</v>
      </c>
      <c r="H28" t="str">
        <f>+dHdcp[[#This Row],[Maximo]]&amp;":"&amp;dHdcp[[#This Row],[Nombre]]</f>
        <v>0:GLEZ JUAN JOSÉ</v>
      </c>
      <c r="I28" t="str">
        <f>+dHdcp[[#This Row],[Maximo]]&amp;":"&amp;_xlfn.XLOOKUP(dHdcp[[#This Row],[Nombre]],dJugador[Nombre],dJugador[Mote],"",0)</f>
        <v>0:Juanjo</v>
      </c>
      <c r="J28" t="str">
        <f>+IF(dHdcp[[#This Row],[Maximo]]=0,"",_xlfn.RANK.EQ(dHdcp[[#This Row],[Handicap]],dHdcp[Handicap],1))</f>
        <v/>
      </c>
      <c r="K28" t="str">
        <f>IFERROR(+_xlfn.RANK.EQ(dHdcp[[#This Row],[Ranking]],dHdcp[Ranking],1),"")</f>
        <v/>
      </c>
      <c r="M28" t="str">
        <f>+dHdcp[[#This Row],[Fecha]]&amp;":"&amp;dHdcp[[#This Row],[Nombre]]</f>
        <v>43310:GLEZ JUAN JOSÉ</v>
      </c>
      <c r="N28">
        <f>+COUNTIF(dHdcp[Columna1],dHdcp[[#This Row],[Columna1]])</f>
        <v>1</v>
      </c>
    </row>
    <row r="29" spans="1:14">
      <c r="A29" s="2">
        <v>43310</v>
      </c>
      <c r="B29" t="s">
        <v>6</v>
      </c>
      <c r="C29" s="51">
        <v>7.6</v>
      </c>
      <c r="D29">
        <v>2</v>
      </c>
      <c r="E29" t="s">
        <v>74</v>
      </c>
      <c r="F29" t="s">
        <v>495</v>
      </c>
      <c r="G29">
        <f>+IF(dHdcp[[#This Row],[Fecha]]=MAX(dHdcp[Fecha]),1,0)</f>
        <v>0</v>
      </c>
      <c r="H29" t="str">
        <f>+dHdcp[[#This Row],[Maximo]]&amp;":"&amp;dHdcp[[#This Row],[Nombre]]</f>
        <v>0:Ignacio Cadarso</v>
      </c>
      <c r="I29" t="str">
        <f>+dHdcp[[#This Row],[Maximo]]&amp;":"&amp;_xlfn.XLOOKUP(dHdcp[[#This Row],[Nombre]],dJugador[Nombre],dJugador[Mote],"",0)</f>
        <v>0:Ignacio</v>
      </c>
      <c r="J29" t="str">
        <f>+IF(dHdcp[[#This Row],[Maximo]]=0,"",_xlfn.RANK.EQ(dHdcp[[#This Row],[Handicap]],dHdcp[Handicap],1))</f>
        <v/>
      </c>
      <c r="K29" t="str">
        <f>IFERROR(+_xlfn.RANK.EQ(dHdcp[[#This Row],[Ranking]],dHdcp[Ranking],1),"")</f>
        <v/>
      </c>
      <c r="M29" t="str">
        <f>+dHdcp[[#This Row],[Fecha]]&amp;":"&amp;dHdcp[[#This Row],[Nombre]]</f>
        <v>43310:Ignacio Cadarso</v>
      </c>
      <c r="N29">
        <f>+COUNTIF(dHdcp[Columna1],dHdcp[[#This Row],[Columna1]])</f>
        <v>1</v>
      </c>
    </row>
    <row r="30" spans="1:14">
      <c r="A30" s="2">
        <v>43310</v>
      </c>
      <c r="B30" t="s">
        <v>39</v>
      </c>
      <c r="C30" s="51">
        <v>14.5</v>
      </c>
      <c r="D30">
        <v>3</v>
      </c>
      <c r="E30" t="s">
        <v>74</v>
      </c>
      <c r="F30" t="s">
        <v>496</v>
      </c>
      <c r="G30">
        <f>+IF(dHdcp[[#This Row],[Fecha]]=MAX(dHdcp[Fecha]),1,0)</f>
        <v>0</v>
      </c>
      <c r="H30" t="str">
        <f>+dHdcp[[#This Row],[Maximo]]&amp;":"&amp;dHdcp[[#This Row],[Nombre]]</f>
        <v>0:Iñigo Rosas</v>
      </c>
      <c r="I30" t="str">
        <f>+dHdcp[[#This Row],[Maximo]]&amp;":"&amp;_xlfn.XLOOKUP(dHdcp[[#This Row],[Nombre]],dJugador[Nombre],dJugador[Mote],"",0)</f>
        <v>0:</v>
      </c>
      <c r="J30" t="str">
        <f>+IF(dHdcp[[#This Row],[Maximo]]=0,"",_xlfn.RANK.EQ(dHdcp[[#This Row],[Handicap]],dHdcp[Handicap],1))</f>
        <v/>
      </c>
      <c r="K30" t="str">
        <f>IFERROR(+_xlfn.RANK.EQ(dHdcp[[#This Row],[Ranking]],dHdcp[Ranking],1),"")</f>
        <v/>
      </c>
      <c r="M30" t="str">
        <f>+dHdcp[[#This Row],[Fecha]]&amp;":"&amp;dHdcp[[#This Row],[Nombre]]</f>
        <v>43310:Iñigo Rosas</v>
      </c>
      <c r="N30">
        <f>+COUNTIF(dHdcp[Columna1],dHdcp[[#This Row],[Columna1]])</f>
        <v>1</v>
      </c>
    </row>
    <row r="31" spans="1:14">
      <c r="A31" s="2">
        <v>43310</v>
      </c>
      <c r="B31" t="s">
        <v>23</v>
      </c>
      <c r="C31" s="51">
        <v>19.3</v>
      </c>
      <c r="D31">
        <v>4</v>
      </c>
      <c r="E31" t="s">
        <v>74</v>
      </c>
      <c r="F31" t="s">
        <v>497</v>
      </c>
      <c r="G31">
        <f>+IF(dHdcp[[#This Row],[Fecha]]=MAX(dHdcp[Fecha]),1,0)</f>
        <v>0</v>
      </c>
      <c r="H31" t="str">
        <f>+dHdcp[[#This Row],[Maximo]]&amp;":"&amp;dHdcp[[#This Row],[Nombre]]</f>
        <v>0:J. Enrique Gonzalez</v>
      </c>
      <c r="I31" t="str">
        <f>+dHdcp[[#This Row],[Maximo]]&amp;":"&amp;_xlfn.XLOOKUP(dHdcp[[#This Row],[Nombre]],dJugador[Nombre],dJugador[Mote],"",0)</f>
        <v>0:Kike</v>
      </c>
      <c r="J31" t="str">
        <f>+IF(dHdcp[[#This Row],[Maximo]]=0,"",_xlfn.RANK.EQ(dHdcp[[#This Row],[Handicap]],dHdcp[Handicap],1))</f>
        <v/>
      </c>
      <c r="K31" t="str">
        <f>IFERROR(+_xlfn.RANK.EQ(dHdcp[[#This Row],[Ranking]],dHdcp[Ranking],1),"")</f>
        <v/>
      </c>
      <c r="M31" t="str">
        <f>+dHdcp[[#This Row],[Fecha]]&amp;":"&amp;dHdcp[[#This Row],[Nombre]]</f>
        <v>43310:J. Enrique Gonzalez</v>
      </c>
      <c r="N31">
        <f>+COUNTIF(dHdcp[Columna1],dHdcp[[#This Row],[Columna1]])</f>
        <v>1</v>
      </c>
    </row>
    <row r="32" spans="1:14">
      <c r="A32" s="2">
        <v>43310</v>
      </c>
      <c r="B32" t="s">
        <v>46</v>
      </c>
      <c r="C32" s="51">
        <v>12.9</v>
      </c>
      <c r="D32">
        <v>3</v>
      </c>
      <c r="E32" t="s">
        <v>74</v>
      </c>
      <c r="F32" t="s">
        <v>498</v>
      </c>
      <c r="G32">
        <f>+IF(dHdcp[[#This Row],[Fecha]]=MAX(dHdcp[Fecha]),1,0)</f>
        <v>0</v>
      </c>
      <c r="H32" t="str">
        <f>+dHdcp[[#This Row],[Maximo]]&amp;":"&amp;dHdcp[[#This Row],[Nombre]]</f>
        <v>0:Javier Cervera</v>
      </c>
      <c r="I32" t="str">
        <f>+dHdcp[[#This Row],[Maximo]]&amp;":"&amp;_xlfn.XLOOKUP(dHdcp[[#This Row],[Nombre]],dJugador[Nombre],dJugador[Mote],"",0)</f>
        <v>0:Virus</v>
      </c>
      <c r="J32" t="str">
        <f>+IF(dHdcp[[#This Row],[Maximo]]=0,"",_xlfn.RANK.EQ(dHdcp[[#This Row],[Handicap]],dHdcp[Handicap],1))</f>
        <v/>
      </c>
      <c r="K32" t="str">
        <f>IFERROR(+_xlfn.RANK.EQ(dHdcp[[#This Row],[Ranking]],dHdcp[Ranking],1),"")</f>
        <v/>
      </c>
      <c r="M32" t="str">
        <f>+dHdcp[[#This Row],[Fecha]]&amp;":"&amp;dHdcp[[#This Row],[Nombre]]</f>
        <v>43310:Javier Cervera</v>
      </c>
      <c r="N32">
        <f>+COUNTIF(dHdcp[Columna1],dHdcp[[#This Row],[Columna1]])</f>
        <v>1</v>
      </c>
    </row>
    <row r="33" spans="1:14">
      <c r="A33" s="2">
        <v>43310</v>
      </c>
      <c r="B33" t="s">
        <v>20</v>
      </c>
      <c r="C33" s="51">
        <v>13.7</v>
      </c>
      <c r="D33">
        <v>3</v>
      </c>
      <c r="E33" t="s">
        <v>74</v>
      </c>
      <c r="F33" t="s">
        <v>499</v>
      </c>
      <c r="G33">
        <f>+IF(dHdcp[[#This Row],[Fecha]]=MAX(dHdcp[Fecha]),1,0)</f>
        <v>0</v>
      </c>
      <c r="H33" t="str">
        <f>+dHdcp[[#This Row],[Maximo]]&amp;":"&amp;dHdcp[[#This Row],[Nombre]]</f>
        <v>0:Javier Gonzalez Salvador</v>
      </c>
      <c r="I33" t="str">
        <f>+dHdcp[[#This Row],[Maximo]]&amp;":"&amp;_xlfn.XLOOKUP(dHdcp[[#This Row],[Nombre]],dJugador[Nombre],dJugador[Mote],"",0)</f>
        <v>0:Javi</v>
      </c>
      <c r="J33" t="str">
        <f>+IF(dHdcp[[#This Row],[Maximo]]=0,"",_xlfn.RANK.EQ(dHdcp[[#This Row],[Handicap]],dHdcp[Handicap],1))</f>
        <v/>
      </c>
      <c r="K33" t="str">
        <f>IFERROR(+_xlfn.RANK.EQ(dHdcp[[#This Row],[Ranking]],dHdcp[Ranking],1),"")</f>
        <v/>
      </c>
      <c r="M33" t="str">
        <f>+dHdcp[[#This Row],[Fecha]]&amp;":"&amp;dHdcp[[#This Row],[Nombre]]</f>
        <v>43310:Javier Gonzalez Salvador</v>
      </c>
      <c r="N33">
        <f>+COUNTIF(dHdcp[Columna1],dHdcp[[#This Row],[Columna1]])</f>
        <v>1</v>
      </c>
    </row>
    <row r="34" spans="1:14">
      <c r="A34" s="2">
        <v>43310</v>
      </c>
      <c r="B34" t="s">
        <v>41</v>
      </c>
      <c r="C34" s="51">
        <v>21.3</v>
      </c>
      <c r="D34">
        <v>4</v>
      </c>
      <c r="E34" t="s">
        <v>74</v>
      </c>
      <c r="F34" t="s">
        <v>500</v>
      </c>
      <c r="G34">
        <f>+IF(dHdcp[[#This Row],[Fecha]]=MAX(dHdcp[Fecha]),1,0)</f>
        <v>0</v>
      </c>
      <c r="H34" t="str">
        <f>+dHdcp[[#This Row],[Maximo]]&amp;":"&amp;dHdcp[[#This Row],[Nombre]]</f>
        <v>0:Jesus Touceda</v>
      </c>
      <c r="I34" t="str">
        <f>+dHdcp[[#This Row],[Maximo]]&amp;":"&amp;_xlfn.XLOOKUP(dHdcp[[#This Row],[Nombre]],dJugador[Nombre],dJugador[Mote],"",0)</f>
        <v>0:Jesús</v>
      </c>
      <c r="J34" t="str">
        <f>+IF(dHdcp[[#This Row],[Maximo]]=0,"",_xlfn.RANK.EQ(dHdcp[[#This Row],[Handicap]],dHdcp[Handicap],1))</f>
        <v/>
      </c>
      <c r="K34" t="str">
        <f>IFERROR(+_xlfn.RANK.EQ(dHdcp[[#This Row],[Ranking]],dHdcp[Ranking],1),"")</f>
        <v/>
      </c>
      <c r="M34" t="str">
        <f>+dHdcp[[#This Row],[Fecha]]&amp;":"&amp;dHdcp[[#This Row],[Nombre]]</f>
        <v>43310:Jesus Touceda</v>
      </c>
      <c r="N34">
        <f>+COUNTIF(dHdcp[Columna1],dHdcp[[#This Row],[Columna1]])</f>
        <v>1</v>
      </c>
    </row>
    <row r="35" spans="1:14">
      <c r="A35" s="2">
        <v>43310</v>
      </c>
      <c r="B35" t="s">
        <v>18</v>
      </c>
      <c r="C35" s="51">
        <v>7.6</v>
      </c>
      <c r="D35">
        <v>2</v>
      </c>
      <c r="E35" t="s">
        <v>74</v>
      </c>
      <c r="F35" t="s">
        <v>501</v>
      </c>
      <c r="G35">
        <f>+IF(dHdcp[[#This Row],[Fecha]]=MAX(dHdcp[Fecha]),1,0)</f>
        <v>0</v>
      </c>
      <c r="H35" t="str">
        <f>+dHdcp[[#This Row],[Maximo]]&amp;":"&amp;dHdcp[[#This Row],[Nombre]]</f>
        <v>0:José Pablo Guil</v>
      </c>
      <c r="I35" t="str">
        <f>+dHdcp[[#This Row],[Maximo]]&amp;":"&amp;_xlfn.XLOOKUP(dHdcp[[#This Row],[Nombre]],dJugador[Nombre],dJugador[Mote],"",0)</f>
        <v>0:JP</v>
      </c>
      <c r="J35" t="str">
        <f>+IF(dHdcp[[#This Row],[Maximo]]=0,"",_xlfn.RANK.EQ(dHdcp[[#This Row],[Handicap]],dHdcp[Handicap],1))</f>
        <v/>
      </c>
      <c r="K35" t="str">
        <f>IFERROR(+_xlfn.RANK.EQ(dHdcp[[#This Row],[Ranking]],dHdcp[Ranking],1),"")</f>
        <v/>
      </c>
      <c r="M35" t="str">
        <f>+dHdcp[[#This Row],[Fecha]]&amp;":"&amp;dHdcp[[#This Row],[Nombre]]</f>
        <v>43310:José Pablo Guil</v>
      </c>
      <c r="N35">
        <f>+COUNTIF(dHdcp[Columna1],dHdcp[[#This Row],[Columna1]])</f>
        <v>1</v>
      </c>
    </row>
    <row r="36" spans="1:14">
      <c r="A36" s="2">
        <v>43310</v>
      </c>
      <c r="B36" t="s">
        <v>43</v>
      </c>
      <c r="C36" s="51">
        <v>16.7</v>
      </c>
      <c r="D36">
        <v>3</v>
      </c>
      <c r="E36" t="s">
        <v>74</v>
      </c>
      <c r="F36" t="s">
        <v>502</v>
      </c>
      <c r="G36">
        <f>+IF(dHdcp[[#This Row],[Fecha]]=MAX(dHdcp[Fecha]),1,0)</f>
        <v>0</v>
      </c>
      <c r="H36" t="str">
        <f>+dHdcp[[#This Row],[Maximo]]&amp;":"&amp;dHdcp[[#This Row],[Nombre]]</f>
        <v>0:Luis Escudero</v>
      </c>
      <c r="I36" t="str">
        <f>+dHdcp[[#This Row],[Maximo]]&amp;":"&amp;_xlfn.XLOOKUP(dHdcp[[#This Row],[Nombre]],dJugador[Nombre],dJugador[Mote],"",0)</f>
        <v>0:Lucho</v>
      </c>
      <c r="J36" t="str">
        <f>+IF(dHdcp[[#This Row],[Maximo]]=0,"",_xlfn.RANK.EQ(dHdcp[[#This Row],[Handicap]],dHdcp[Handicap],1))</f>
        <v/>
      </c>
      <c r="K36" t="str">
        <f>IFERROR(+_xlfn.RANK.EQ(dHdcp[[#This Row],[Ranking]],dHdcp[Ranking],1),"")</f>
        <v/>
      </c>
      <c r="M36" t="str">
        <f>+dHdcp[[#This Row],[Fecha]]&amp;":"&amp;dHdcp[[#This Row],[Nombre]]</f>
        <v>43310:Luis Escudero</v>
      </c>
      <c r="N36">
        <f>+COUNTIF(dHdcp[Columna1],dHdcp[[#This Row],[Columna1]])</f>
        <v>1</v>
      </c>
    </row>
    <row r="37" spans="1:14">
      <c r="A37" s="2">
        <v>43310</v>
      </c>
      <c r="B37" t="s">
        <v>3</v>
      </c>
      <c r="C37" s="51">
        <v>5.9</v>
      </c>
      <c r="D37">
        <v>2</v>
      </c>
      <c r="E37" t="s">
        <v>74</v>
      </c>
      <c r="F37" t="s">
        <v>503</v>
      </c>
      <c r="G37">
        <f>+IF(dHdcp[[#This Row],[Fecha]]=MAX(dHdcp[Fecha]),1,0)</f>
        <v>0</v>
      </c>
      <c r="H37" t="str">
        <f>+dHdcp[[#This Row],[Maximo]]&amp;":"&amp;dHdcp[[#This Row],[Nombre]]</f>
        <v>0:Nacho Gonzalez</v>
      </c>
      <c r="I37" t="str">
        <f>+dHdcp[[#This Row],[Maximo]]&amp;":"&amp;_xlfn.XLOOKUP(dHdcp[[#This Row],[Nombre]],dJugador[Nombre],dJugador[Mote],"",0)</f>
        <v>0:Nacho</v>
      </c>
      <c r="J37" t="str">
        <f>+IF(dHdcp[[#This Row],[Maximo]]=0,"",_xlfn.RANK.EQ(dHdcp[[#This Row],[Handicap]],dHdcp[Handicap],1))</f>
        <v/>
      </c>
      <c r="K37" t="str">
        <f>IFERROR(+_xlfn.RANK.EQ(dHdcp[[#This Row],[Ranking]],dHdcp[Ranking],1),"")</f>
        <v/>
      </c>
      <c r="M37" t="str">
        <f>+dHdcp[[#This Row],[Fecha]]&amp;":"&amp;dHdcp[[#This Row],[Nombre]]</f>
        <v>43310:Nacho Gonzalez</v>
      </c>
      <c r="N37">
        <f>+COUNTIF(dHdcp[Columna1],dHdcp[[#This Row],[Columna1]])</f>
        <v>1</v>
      </c>
    </row>
    <row r="38" spans="1:14">
      <c r="A38" s="2">
        <v>43310</v>
      </c>
      <c r="B38" t="s">
        <v>28</v>
      </c>
      <c r="C38" s="51">
        <v>13.4</v>
      </c>
      <c r="D38">
        <v>3</v>
      </c>
      <c r="E38" t="s">
        <v>74</v>
      </c>
      <c r="F38" t="s">
        <v>504</v>
      </c>
      <c r="G38">
        <f>+IF(dHdcp[[#This Row],[Fecha]]=MAX(dHdcp[Fecha]),1,0)</f>
        <v>0</v>
      </c>
      <c r="H38" t="str">
        <f>+dHdcp[[#This Row],[Maximo]]&amp;":"&amp;dHdcp[[#This Row],[Nombre]]</f>
        <v>0:Pablo Munitiz</v>
      </c>
      <c r="I38" t="str">
        <f>+dHdcp[[#This Row],[Maximo]]&amp;":"&amp;_xlfn.XLOOKUP(dHdcp[[#This Row],[Nombre]],dJugador[Nombre],dJugador[Mote],"",0)</f>
        <v>0:Muni</v>
      </c>
      <c r="J38" t="str">
        <f>+IF(dHdcp[[#This Row],[Maximo]]=0,"",_xlfn.RANK.EQ(dHdcp[[#This Row],[Handicap]],dHdcp[Handicap],1))</f>
        <v/>
      </c>
      <c r="K38" t="str">
        <f>IFERROR(+_xlfn.RANK.EQ(dHdcp[[#This Row],[Ranking]],dHdcp[Ranking],1),"")</f>
        <v/>
      </c>
      <c r="M38" t="str">
        <f>+dHdcp[[#This Row],[Fecha]]&amp;":"&amp;dHdcp[[#This Row],[Nombre]]</f>
        <v>43310:Pablo Munitiz</v>
      </c>
      <c r="N38">
        <f>+COUNTIF(dHdcp[Columna1],dHdcp[[#This Row],[Columna1]])</f>
        <v>1</v>
      </c>
    </row>
    <row r="39" spans="1:14">
      <c r="A39" s="2">
        <v>43310</v>
      </c>
      <c r="B39" t="s">
        <v>37</v>
      </c>
      <c r="C39" s="51">
        <v>10</v>
      </c>
      <c r="D39">
        <v>2</v>
      </c>
      <c r="E39" t="s">
        <v>74</v>
      </c>
      <c r="F39" t="s">
        <v>505</v>
      </c>
      <c r="G39">
        <f>+IF(dHdcp[[#This Row],[Fecha]]=MAX(dHdcp[Fecha]),1,0)</f>
        <v>0</v>
      </c>
      <c r="H39" t="str">
        <f>+dHdcp[[#This Row],[Maximo]]&amp;":"&amp;dHdcp[[#This Row],[Nombre]]</f>
        <v>0:Ricardo Muelas</v>
      </c>
      <c r="I39" t="str">
        <f>+dHdcp[[#This Row],[Maximo]]&amp;":"&amp;_xlfn.XLOOKUP(dHdcp[[#This Row],[Nombre]],dJugador[Nombre],dJugador[Mote],"",0)</f>
        <v>0:</v>
      </c>
      <c r="J39" t="str">
        <f>+IF(dHdcp[[#This Row],[Maximo]]=0,"",_xlfn.RANK.EQ(dHdcp[[#This Row],[Handicap]],dHdcp[Handicap],1))</f>
        <v/>
      </c>
      <c r="K39" t="str">
        <f>IFERROR(+_xlfn.RANK.EQ(dHdcp[[#This Row],[Ranking]],dHdcp[Ranking],1),"")</f>
        <v/>
      </c>
      <c r="M39" t="str">
        <f>+dHdcp[[#This Row],[Fecha]]&amp;":"&amp;dHdcp[[#This Row],[Nombre]]</f>
        <v>43310:Ricardo Muelas</v>
      </c>
      <c r="N39">
        <f>+COUNTIF(dHdcp[Columna1],dHdcp[[#This Row],[Columna1]])</f>
        <v>1</v>
      </c>
    </row>
    <row r="40" spans="1:14">
      <c r="A40" s="2">
        <v>43345</v>
      </c>
      <c r="B40" t="s">
        <v>9</v>
      </c>
      <c r="C40" s="51">
        <v>8.1999999999999993</v>
      </c>
      <c r="D40">
        <v>2</v>
      </c>
      <c r="E40" t="s">
        <v>74</v>
      </c>
      <c r="F40" t="s">
        <v>506</v>
      </c>
      <c r="G40">
        <f>+IF(dHdcp[[#This Row],[Fecha]]=MAX(dHdcp[Fecha]),1,0)</f>
        <v>0</v>
      </c>
      <c r="H40" t="str">
        <f>+dHdcp[[#This Row],[Maximo]]&amp;":"&amp;dHdcp[[#This Row],[Nombre]]</f>
        <v>0:Alfonso Hidalgo</v>
      </c>
      <c r="I40" t="str">
        <f>+dHdcp[[#This Row],[Maximo]]&amp;":"&amp;_xlfn.XLOOKUP(dHdcp[[#This Row],[Nombre]],dJugador[Nombre],dJugador[Mote],"",0)</f>
        <v>0:Alfonso</v>
      </c>
      <c r="J40" t="str">
        <f>+IF(dHdcp[[#This Row],[Maximo]]=0,"",_xlfn.RANK.EQ(dHdcp[[#This Row],[Handicap]],dHdcp[Handicap],1))</f>
        <v/>
      </c>
      <c r="K40" t="str">
        <f>IFERROR(+_xlfn.RANK.EQ(dHdcp[[#This Row],[Ranking]],dHdcp[Ranking],1),"")</f>
        <v/>
      </c>
      <c r="M40" t="str">
        <f>+dHdcp[[#This Row],[Fecha]]&amp;":"&amp;dHdcp[[#This Row],[Nombre]]</f>
        <v>43345:Alfonso Hidalgo</v>
      </c>
      <c r="N40">
        <f>+COUNTIF(dHdcp[Columna1],dHdcp[[#This Row],[Columna1]])</f>
        <v>1</v>
      </c>
    </row>
    <row r="41" spans="1:14">
      <c r="A41" s="2">
        <v>43345</v>
      </c>
      <c r="B41" t="s">
        <v>15</v>
      </c>
      <c r="C41" s="51">
        <v>5.3</v>
      </c>
      <c r="D41">
        <v>2</v>
      </c>
      <c r="E41" t="s">
        <v>74</v>
      </c>
      <c r="F41" t="s">
        <v>507</v>
      </c>
      <c r="G41">
        <f>+IF(dHdcp[[#This Row],[Fecha]]=MAX(dHdcp[Fecha]),1,0)</f>
        <v>0</v>
      </c>
      <c r="H41" t="str">
        <f>+dHdcp[[#This Row],[Maximo]]&amp;":"&amp;dHdcp[[#This Row],[Nombre]]</f>
        <v>0:Alvaro Aguirre</v>
      </c>
      <c r="I41" t="str">
        <f>+dHdcp[[#This Row],[Maximo]]&amp;":"&amp;_xlfn.XLOOKUP(dHdcp[[#This Row],[Nombre]],dJugador[Nombre],dJugador[Mote],"",0)</f>
        <v>0:Gifu</v>
      </c>
      <c r="J41" t="str">
        <f>+IF(dHdcp[[#This Row],[Maximo]]=0,"",_xlfn.RANK.EQ(dHdcp[[#This Row],[Handicap]],dHdcp[Handicap],1))</f>
        <v/>
      </c>
      <c r="K41" t="str">
        <f>IFERROR(+_xlfn.RANK.EQ(dHdcp[[#This Row],[Ranking]],dHdcp[Ranking],1),"")</f>
        <v/>
      </c>
      <c r="M41" t="str">
        <f>+dHdcp[[#This Row],[Fecha]]&amp;":"&amp;dHdcp[[#This Row],[Nombre]]</f>
        <v>43345:Alvaro Aguirre</v>
      </c>
      <c r="N41">
        <f>+COUNTIF(dHdcp[Columna1],dHdcp[[#This Row],[Columna1]])</f>
        <v>1</v>
      </c>
    </row>
    <row r="42" spans="1:14">
      <c r="A42" s="2">
        <v>43345</v>
      </c>
      <c r="B42" t="s">
        <v>25</v>
      </c>
      <c r="C42" s="51">
        <v>15.2</v>
      </c>
      <c r="D42">
        <v>3</v>
      </c>
      <c r="E42" t="s">
        <v>74</v>
      </c>
      <c r="F42" t="s">
        <v>508</v>
      </c>
      <c r="G42">
        <f>+IF(dHdcp[[#This Row],[Fecha]]=MAX(dHdcp[Fecha]),1,0)</f>
        <v>0</v>
      </c>
      <c r="H42" t="str">
        <f>+dHdcp[[#This Row],[Maximo]]&amp;":"&amp;dHdcp[[#This Row],[Nombre]]</f>
        <v>0:Alvaro Nieto</v>
      </c>
      <c r="I42" t="str">
        <f>+dHdcp[[#This Row],[Maximo]]&amp;":"&amp;_xlfn.XLOOKUP(dHdcp[[#This Row],[Nombre]],dJugador[Nombre],dJugador[Mote],"",0)</f>
        <v>0:Alvaro</v>
      </c>
      <c r="J42" t="str">
        <f>+IF(dHdcp[[#This Row],[Maximo]]=0,"",_xlfn.RANK.EQ(dHdcp[[#This Row],[Handicap]],dHdcp[Handicap],1))</f>
        <v/>
      </c>
      <c r="K42" t="str">
        <f>IFERROR(+_xlfn.RANK.EQ(dHdcp[[#This Row],[Ranking]],dHdcp[Ranking],1),"")</f>
        <v/>
      </c>
      <c r="M42" t="str">
        <f>+dHdcp[[#This Row],[Fecha]]&amp;":"&amp;dHdcp[[#This Row],[Nombre]]</f>
        <v>43345:Alvaro Nieto</v>
      </c>
      <c r="N42">
        <f>+COUNTIF(dHdcp[Columna1],dHdcp[[#This Row],[Columna1]])</f>
        <v>1</v>
      </c>
    </row>
    <row r="43" spans="1:14">
      <c r="A43" s="2">
        <v>43345</v>
      </c>
      <c r="B43" t="s">
        <v>33</v>
      </c>
      <c r="C43" s="51">
        <v>6.7</v>
      </c>
      <c r="D43">
        <v>2</v>
      </c>
      <c r="E43" t="s">
        <v>74</v>
      </c>
      <c r="F43" t="s">
        <v>509</v>
      </c>
      <c r="G43">
        <f>+IF(dHdcp[[#This Row],[Fecha]]=MAX(dHdcp[Fecha]),1,0)</f>
        <v>0</v>
      </c>
      <c r="H43" t="str">
        <f>+dHdcp[[#This Row],[Maximo]]&amp;":"&amp;dHdcp[[#This Row],[Nombre]]</f>
        <v>0:Angel Hernandez</v>
      </c>
      <c r="I43" t="str">
        <f>+dHdcp[[#This Row],[Maximo]]&amp;":"&amp;_xlfn.XLOOKUP(dHdcp[[#This Row],[Nombre]],dJugador[Nombre],dJugador[Mote],"",0)</f>
        <v>0:Angel</v>
      </c>
      <c r="J43" t="str">
        <f>+IF(dHdcp[[#This Row],[Maximo]]=0,"",_xlfn.RANK.EQ(dHdcp[[#This Row],[Handicap]],dHdcp[Handicap],1))</f>
        <v/>
      </c>
      <c r="K43" t="str">
        <f>IFERROR(+_xlfn.RANK.EQ(dHdcp[[#This Row],[Ranking]],dHdcp[Ranking],1),"")</f>
        <v/>
      </c>
      <c r="M43" t="str">
        <f>+dHdcp[[#This Row],[Fecha]]&amp;":"&amp;dHdcp[[#This Row],[Nombre]]</f>
        <v>43345:Angel Hernandez</v>
      </c>
      <c r="N43">
        <f>+COUNTIF(dHdcp[Columna1],dHdcp[[#This Row],[Columna1]])</f>
        <v>1</v>
      </c>
    </row>
    <row r="44" spans="1:14">
      <c r="A44" s="2">
        <v>43345</v>
      </c>
      <c r="B44" t="s">
        <v>30</v>
      </c>
      <c r="C44" s="51">
        <v>11.8</v>
      </c>
      <c r="D44">
        <v>3</v>
      </c>
      <c r="E44" t="s">
        <v>74</v>
      </c>
      <c r="F44" t="s">
        <v>510</v>
      </c>
      <c r="G44">
        <f>+IF(dHdcp[[#This Row],[Fecha]]=MAX(dHdcp[Fecha]),1,0)</f>
        <v>0</v>
      </c>
      <c r="H44" t="str">
        <f>+dHdcp[[#This Row],[Maximo]]&amp;":"&amp;dHdcp[[#This Row],[Nombre]]</f>
        <v>0:David Sequera</v>
      </c>
      <c r="I44" t="str">
        <f>+dHdcp[[#This Row],[Maximo]]&amp;":"&amp;_xlfn.XLOOKUP(dHdcp[[#This Row],[Nombre]],dJugador[Nombre],dJugador[Mote],"",0)</f>
        <v>0:David</v>
      </c>
      <c r="J44" t="str">
        <f>+IF(dHdcp[[#This Row],[Maximo]]=0,"",_xlfn.RANK.EQ(dHdcp[[#This Row],[Handicap]],dHdcp[Handicap],1))</f>
        <v/>
      </c>
      <c r="K44" t="str">
        <f>IFERROR(+_xlfn.RANK.EQ(dHdcp[[#This Row],[Ranking]],dHdcp[Ranking],1),"")</f>
        <v/>
      </c>
      <c r="M44" t="str">
        <f>+dHdcp[[#This Row],[Fecha]]&amp;":"&amp;dHdcp[[#This Row],[Nombre]]</f>
        <v>43345:David Sequera</v>
      </c>
      <c r="N44">
        <f>+COUNTIF(dHdcp[Columna1],dHdcp[[#This Row],[Columna1]])</f>
        <v>1</v>
      </c>
    </row>
    <row r="45" spans="1:14">
      <c r="A45" s="2">
        <v>43345</v>
      </c>
      <c r="B45" t="s">
        <v>12</v>
      </c>
      <c r="C45" s="51">
        <v>17.5</v>
      </c>
      <c r="D45">
        <v>3</v>
      </c>
      <c r="E45" t="s">
        <v>74</v>
      </c>
      <c r="F45" t="s">
        <v>511</v>
      </c>
      <c r="G45">
        <f>+IF(dHdcp[[#This Row],[Fecha]]=MAX(dHdcp[Fecha]),1,0)</f>
        <v>0</v>
      </c>
      <c r="H45" t="str">
        <f>+dHdcp[[#This Row],[Maximo]]&amp;":"&amp;dHdcp[[#This Row],[Nombre]]</f>
        <v>0:Francisco Alvarez</v>
      </c>
      <c r="I45" t="str">
        <f>+dHdcp[[#This Row],[Maximo]]&amp;":"&amp;_xlfn.XLOOKUP(dHdcp[[#This Row],[Nombre]],dJugador[Nombre],dJugador[Mote],"",0)</f>
        <v>0:Paco</v>
      </c>
      <c r="J45" t="str">
        <f>+IF(dHdcp[[#This Row],[Maximo]]=0,"",_xlfn.RANK.EQ(dHdcp[[#This Row],[Handicap]],dHdcp[Handicap],1))</f>
        <v/>
      </c>
      <c r="K45" t="str">
        <f>IFERROR(+_xlfn.RANK.EQ(dHdcp[[#This Row],[Ranking]],dHdcp[Ranking],1),"")</f>
        <v/>
      </c>
      <c r="M45" t="str">
        <f>+dHdcp[[#This Row],[Fecha]]&amp;":"&amp;dHdcp[[#This Row],[Nombre]]</f>
        <v>43345:Francisco Alvarez</v>
      </c>
      <c r="N45">
        <f>+COUNTIF(dHdcp[Columna1],dHdcp[[#This Row],[Columna1]])</f>
        <v>1</v>
      </c>
    </row>
    <row r="46" spans="1:14">
      <c r="A46" s="2">
        <v>43345</v>
      </c>
      <c r="B46" t="s">
        <v>49</v>
      </c>
      <c r="C46" s="51">
        <v>12.9</v>
      </c>
      <c r="D46">
        <v>3</v>
      </c>
      <c r="E46" t="s">
        <v>74</v>
      </c>
      <c r="F46" s="94" t="s">
        <v>512</v>
      </c>
      <c r="G46">
        <f>+IF(dHdcp[[#This Row],[Fecha]]=MAX(dHdcp[Fecha]),1,0)</f>
        <v>0</v>
      </c>
      <c r="H46" t="str">
        <f>+dHdcp[[#This Row],[Maximo]]&amp;":"&amp;dHdcp[[#This Row],[Nombre]]</f>
        <v>0:Francisco Hidalgo</v>
      </c>
      <c r="I46" t="str">
        <f>+dHdcp[[#This Row],[Maximo]]&amp;":"&amp;_xlfn.XLOOKUP(dHdcp[[#This Row],[Nombre]],dJugador[Nombre],dJugador[Mote],"",0)</f>
        <v>0:Fran</v>
      </c>
      <c r="J46" t="str">
        <f>+IF(dHdcp[[#This Row],[Maximo]]=0,"",_xlfn.RANK.EQ(dHdcp[[#This Row],[Handicap]],dHdcp[Handicap],1))</f>
        <v/>
      </c>
      <c r="K46" t="str">
        <f>IFERROR(+_xlfn.RANK.EQ(dHdcp[[#This Row],[Ranking]],dHdcp[Ranking],1),"")</f>
        <v/>
      </c>
      <c r="M46" t="str">
        <f>+dHdcp[[#This Row],[Fecha]]&amp;":"&amp;dHdcp[[#This Row],[Nombre]]</f>
        <v>43345:Francisco Hidalgo</v>
      </c>
      <c r="N46">
        <f>+COUNTIF(dHdcp[Columna1],dHdcp[[#This Row],[Columna1]])</f>
        <v>1</v>
      </c>
    </row>
    <row r="47" spans="1:14">
      <c r="A47" s="2">
        <v>43345</v>
      </c>
      <c r="B47" t="s">
        <v>35</v>
      </c>
      <c r="C47" s="51">
        <v>17.2</v>
      </c>
      <c r="D47">
        <v>3</v>
      </c>
      <c r="E47" t="s">
        <v>74</v>
      </c>
      <c r="F47" t="s">
        <v>513</v>
      </c>
      <c r="G47">
        <f>+IF(dHdcp[[#This Row],[Fecha]]=MAX(dHdcp[Fecha]),1,0)</f>
        <v>0</v>
      </c>
      <c r="H47" t="str">
        <f>+dHdcp[[#This Row],[Maximo]]&amp;":"&amp;dHdcp[[#This Row],[Nombre]]</f>
        <v>0:GLEZ JUAN JOSÉ</v>
      </c>
      <c r="I47" t="str">
        <f>+dHdcp[[#This Row],[Maximo]]&amp;":"&amp;_xlfn.XLOOKUP(dHdcp[[#This Row],[Nombre]],dJugador[Nombre],dJugador[Mote],"",0)</f>
        <v>0:Juanjo</v>
      </c>
      <c r="J47" t="str">
        <f>+IF(dHdcp[[#This Row],[Maximo]]=0,"",_xlfn.RANK.EQ(dHdcp[[#This Row],[Handicap]],dHdcp[Handicap],1))</f>
        <v/>
      </c>
      <c r="K47" t="str">
        <f>IFERROR(+_xlfn.RANK.EQ(dHdcp[[#This Row],[Ranking]],dHdcp[Ranking],1),"")</f>
        <v/>
      </c>
      <c r="M47" t="str">
        <f>+dHdcp[[#This Row],[Fecha]]&amp;":"&amp;dHdcp[[#This Row],[Nombre]]</f>
        <v>43345:GLEZ JUAN JOSÉ</v>
      </c>
      <c r="N47">
        <f>+COUNTIF(dHdcp[Columna1],dHdcp[[#This Row],[Columna1]])</f>
        <v>1</v>
      </c>
    </row>
    <row r="48" spans="1:14">
      <c r="A48" s="2">
        <v>43345</v>
      </c>
      <c r="B48" t="s">
        <v>6</v>
      </c>
      <c r="C48" s="51">
        <v>6.5</v>
      </c>
      <c r="D48">
        <v>2</v>
      </c>
      <c r="E48" t="s">
        <v>74</v>
      </c>
      <c r="F48" t="s">
        <v>514</v>
      </c>
      <c r="G48">
        <f>+IF(dHdcp[[#This Row],[Fecha]]=MAX(dHdcp[Fecha]),1,0)</f>
        <v>0</v>
      </c>
      <c r="H48" t="str">
        <f>+dHdcp[[#This Row],[Maximo]]&amp;":"&amp;dHdcp[[#This Row],[Nombre]]</f>
        <v>0:Ignacio Cadarso</v>
      </c>
      <c r="I48" t="str">
        <f>+dHdcp[[#This Row],[Maximo]]&amp;":"&amp;_xlfn.XLOOKUP(dHdcp[[#This Row],[Nombre]],dJugador[Nombre],dJugador[Mote],"",0)</f>
        <v>0:Ignacio</v>
      </c>
      <c r="J48" t="str">
        <f>+IF(dHdcp[[#This Row],[Maximo]]=0,"",_xlfn.RANK.EQ(dHdcp[[#This Row],[Handicap]],dHdcp[Handicap],1))</f>
        <v/>
      </c>
      <c r="K48" t="str">
        <f>IFERROR(+_xlfn.RANK.EQ(dHdcp[[#This Row],[Ranking]],dHdcp[Ranking],1),"")</f>
        <v/>
      </c>
      <c r="M48" t="str">
        <f>+dHdcp[[#This Row],[Fecha]]&amp;":"&amp;dHdcp[[#This Row],[Nombre]]</f>
        <v>43345:Ignacio Cadarso</v>
      </c>
      <c r="N48">
        <f>+COUNTIF(dHdcp[Columna1],dHdcp[[#This Row],[Columna1]])</f>
        <v>1</v>
      </c>
    </row>
    <row r="49" spans="1:14">
      <c r="A49" s="2">
        <v>43345</v>
      </c>
      <c r="B49" t="s">
        <v>39</v>
      </c>
      <c r="C49" s="51">
        <v>14.5</v>
      </c>
      <c r="D49">
        <v>3</v>
      </c>
      <c r="E49" t="s">
        <v>74</v>
      </c>
      <c r="F49" t="s">
        <v>515</v>
      </c>
      <c r="G49">
        <f>+IF(dHdcp[[#This Row],[Fecha]]=MAX(dHdcp[Fecha]),1,0)</f>
        <v>0</v>
      </c>
      <c r="H49" t="str">
        <f>+dHdcp[[#This Row],[Maximo]]&amp;":"&amp;dHdcp[[#This Row],[Nombre]]</f>
        <v>0:Iñigo Rosas</v>
      </c>
      <c r="I49" t="str">
        <f>+dHdcp[[#This Row],[Maximo]]&amp;":"&amp;_xlfn.XLOOKUP(dHdcp[[#This Row],[Nombre]],dJugador[Nombre],dJugador[Mote],"",0)</f>
        <v>0:</v>
      </c>
      <c r="J49" t="str">
        <f>+IF(dHdcp[[#This Row],[Maximo]]=0,"",_xlfn.RANK.EQ(dHdcp[[#This Row],[Handicap]],dHdcp[Handicap],1))</f>
        <v/>
      </c>
      <c r="K49" t="str">
        <f>IFERROR(+_xlfn.RANK.EQ(dHdcp[[#This Row],[Ranking]],dHdcp[Ranking],1),"")</f>
        <v/>
      </c>
      <c r="M49" t="str">
        <f>+dHdcp[[#This Row],[Fecha]]&amp;":"&amp;dHdcp[[#This Row],[Nombre]]</f>
        <v>43345:Iñigo Rosas</v>
      </c>
      <c r="N49">
        <f>+COUNTIF(dHdcp[Columna1],dHdcp[[#This Row],[Columna1]])</f>
        <v>1</v>
      </c>
    </row>
    <row r="50" spans="1:14">
      <c r="A50" s="2">
        <v>43345</v>
      </c>
      <c r="B50" t="s">
        <v>23</v>
      </c>
      <c r="C50" s="51">
        <v>19.399999999999999</v>
      </c>
      <c r="D50">
        <v>4</v>
      </c>
      <c r="E50" t="s">
        <v>74</v>
      </c>
      <c r="F50" t="s">
        <v>516</v>
      </c>
      <c r="G50">
        <f>+IF(dHdcp[[#This Row],[Fecha]]=MAX(dHdcp[Fecha]),1,0)</f>
        <v>0</v>
      </c>
      <c r="H50" t="str">
        <f>+dHdcp[[#This Row],[Maximo]]&amp;":"&amp;dHdcp[[#This Row],[Nombre]]</f>
        <v>0:J. Enrique Gonzalez</v>
      </c>
      <c r="I50" t="str">
        <f>+dHdcp[[#This Row],[Maximo]]&amp;":"&amp;_xlfn.XLOOKUP(dHdcp[[#This Row],[Nombre]],dJugador[Nombre],dJugador[Mote],"",0)</f>
        <v>0:Kike</v>
      </c>
      <c r="J50" t="str">
        <f>+IF(dHdcp[[#This Row],[Maximo]]=0,"",_xlfn.RANK.EQ(dHdcp[[#This Row],[Handicap]],dHdcp[Handicap],1))</f>
        <v/>
      </c>
      <c r="K50" t="str">
        <f>IFERROR(+_xlfn.RANK.EQ(dHdcp[[#This Row],[Ranking]],dHdcp[Ranking],1),"")</f>
        <v/>
      </c>
      <c r="M50" t="str">
        <f>+dHdcp[[#This Row],[Fecha]]&amp;":"&amp;dHdcp[[#This Row],[Nombre]]</f>
        <v>43345:J. Enrique Gonzalez</v>
      </c>
      <c r="N50">
        <f>+COUNTIF(dHdcp[Columna1],dHdcp[[#This Row],[Columna1]])</f>
        <v>1</v>
      </c>
    </row>
    <row r="51" spans="1:14">
      <c r="A51" s="2">
        <v>43345</v>
      </c>
      <c r="B51" t="s">
        <v>46</v>
      </c>
      <c r="C51" s="51">
        <v>13</v>
      </c>
      <c r="D51">
        <v>3</v>
      </c>
      <c r="E51" t="s">
        <v>74</v>
      </c>
      <c r="F51" t="s">
        <v>517</v>
      </c>
      <c r="G51">
        <f>+IF(dHdcp[[#This Row],[Fecha]]=MAX(dHdcp[Fecha]),1,0)</f>
        <v>0</v>
      </c>
      <c r="H51" t="str">
        <f>+dHdcp[[#This Row],[Maximo]]&amp;":"&amp;dHdcp[[#This Row],[Nombre]]</f>
        <v>0:Javier Cervera</v>
      </c>
      <c r="I51" t="str">
        <f>+dHdcp[[#This Row],[Maximo]]&amp;":"&amp;_xlfn.XLOOKUP(dHdcp[[#This Row],[Nombre]],dJugador[Nombre],dJugador[Mote],"",0)</f>
        <v>0:Virus</v>
      </c>
      <c r="J51" t="str">
        <f>+IF(dHdcp[[#This Row],[Maximo]]=0,"",_xlfn.RANK.EQ(dHdcp[[#This Row],[Handicap]],dHdcp[Handicap],1))</f>
        <v/>
      </c>
      <c r="K51" t="str">
        <f>IFERROR(+_xlfn.RANK.EQ(dHdcp[[#This Row],[Ranking]],dHdcp[Ranking],1),"")</f>
        <v/>
      </c>
      <c r="M51" t="str">
        <f>+dHdcp[[#This Row],[Fecha]]&amp;":"&amp;dHdcp[[#This Row],[Nombre]]</f>
        <v>43345:Javier Cervera</v>
      </c>
      <c r="N51">
        <f>+COUNTIF(dHdcp[Columna1],dHdcp[[#This Row],[Columna1]])</f>
        <v>1</v>
      </c>
    </row>
    <row r="52" spans="1:14">
      <c r="A52" s="2">
        <v>43345</v>
      </c>
      <c r="B52" t="s">
        <v>20</v>
      </c>
      <c r="C52" s="51">
        <v>13.8</v>
      </c>
      <c r="D52">
        <v>3</v>
      </c>
      <c r="E52" t="s">
        <v>74</v>
      </c>
      <c r="F52" t="s">
        <v>518</v>
      </c>
      <c r="G52">
        <f>+IF(dHdcp[[#This Row],[Fecha]]=MAX(dHdcp[Fecha]),1,0)</f>
        <v>0</v>
      </c>
      <c r="H52" t="str">
        <f>+dHdcp[[#This Row],[Maximo]]&amp;":"&amp;dHdcp[[#This Row],[Nombre]]</f>
        <v>0:Javier Gonzalez Salvador</v>
      </c>
      <c r="I52" t="str">
        <f>+dHdcp[[#This Row],[Maximo]]&amp;":"&amp;_xlfn.XLOOKUP(dHdcp[[#This Row],[Nombre]],dJugador[Nombre],dJugador[Mote],"",0)</f>
        <v>0:Javi</v>
      </c>
      <c r="J52" t="str">
        <f>+IF(dHdcp[[#This Row],[Maximo]]=0,"",_xlfn.RANK.EQ(dHdcp[[#This Row],[Handicap]],dHdcp[Handicap],1))</f>
        <v/>
      </c>
      <c r="K52" t="str">
        <f>IFERROR(+_xlfn.RANK.EQ(dHdcp[[#This Row],[Ranking]],dHdcp[Ranking],1),"")</f>
        <v/>
      </c>
      <c r="M52" t="str">
        <f>+dHdcp[[#This Row],[Fecha]]&amp;":"&amp;dHdcp[[#This Row],[Nombre]]</f>
        <v>43345:Javier Gonzalez Salvador</v>
      </c>
      <c r="N52">
        <f>+COUNTIF(dHdcp[Columna1],dHdcp[[#This Row],[Columna1]])</f>
        <v>1</v>
      </c>
    </row>
    <row r="53" spans="1:14">
      <c r="A53" s="2">
        <v>43345</v>
      </c>
      <c r="B53" t="s">
        <v>41</v>
      </c>
      <c r="C53" s="51">
        <v>21.3</v>
      </c>
      <c r="D53">
        <v>4</v>
      </c>
      <c r="E53" t="s">
        <v>74</v>
      </c>
      <c r="F53" t="s">
        <v>519</v>
      </c>
      <c r="G53">
        <f>+IF(dHdcp[[#This Row],[Fecha]]=MAX(dHdcp[Fecha]),1,0)</f>
        <v>0</v>
      </c>
      <c r="H53" t="str">
        <f>+dHdcp[[#This Row],[Maximo]]&amp;":"&amp;dHdcp[[#This Row],[Nombre]]</f>
        <v>0:Jesus Touceda</v>
      </c>
      <c r="I53" t="str">
        <f>+dHdcp[[#This Row],[Maximo]]&amp;":"&amp;_xlfn.XLOOKUP(dHdcp[[#This Row],[Nombre]],dJugador[Nombre],dJugador[Mote],"",0)</f>
        <v>0:Jesús</v>
      </c>
      <c r="J53" t="str">
        <f>+IF(dHdcp[[#This Row],[Maximo]]=0,"",_xlfn.RANK.EQ(dHdcp[[#This Row],[Handicap]],dHdcp[Handicap],1))</f>
        <v/>
      </c>
      <c r="K53" t="str">
        <f>IFERROR(+_xlfn.RANK.EQ(dHdcp[[#This Row],[Ranking]],dHdcp[Ranking],1),"")</f>
        <v/>
      </c>
      <c r="M53" t="str">
        <f>+dHdcp[[#This Row],[Fecha]]&amp;":"&amp;dHdcp[[#This Row],[Nombre]]</f>
        <v>43345:Jesus Touceda</v>
      </c>
      <c r="N53">
        <f>+COUNTIF(dHdcp[Columna1],dHdcp[[#This Row],[Columna1]])</f>
        <v>1</v>
      </c>
    </row>
    <row r="54" spans="1:14">
      <c r="A54" s="2">
        <v>43345</v>
      </c>
      <c r="B54" t="s">
        <v>18</v>
      </c>
      <c r="C54" s="51">
        <v>7.6</v>
      </c>
      <c r="D54">
        <v>2</v>
      </c>
      <c r="E54" t="s">
        <v>74</v>
      </c>
      <c r="F54" t="s">
        <v>520</v>
      </c>
      <c r="G54">
        <f>+IF(dHdcp[[#This Row],[Fecha]]=MAX(dHdcp[Fecha]),1,0)</f>
        <v>0</v>
      </c>
      <c r="H54" t="str">
        <f>+dHdcp[[#This Row],[Maximo]]&amp;":"&amp;dHdcp[[#This Row],[Nombre]]</f>
        <v>0:José Pablo Guil</v>
      </c>
      <c r="I54" t="str">
        <f>+dHdcp[[#This Row],[Maximo]]&amp;":"&amp;_xlfn.XLOOKUP(dHdcp[[#This Row],[Nombre]],dJugador[Nombre],dJugador[Mote],"",0)</f>
        <v>0:JP</v>
      </c>
      <c r="J54" t="str">
        <f>+IF(dHdcp[[#This Row],[Maximo]]=0,"",_xlfn.RANK.EQ(dHdcp[[#This Row],[Handicap]],dHdcp[Handicap],1))</f>
        <v/>
      </c>
      <c r="K54" t="str">
        <f>IFERROR(+_xlfn.RANK.EQ(dHdcp[[#This Row],[Ranking]],dHdcp[Ranking],1),"")</f>
        <v/>
      </c>
      <c r="M54" t="str">
        <f>+dHdcp[[#This Row],[Fecha]]&amp;":"&amp;dHdcp[[#This Row],[Nombre]]</f>
        <v>43345:José Pablo Guil</v>
      </c>
      <c r="N54">
        <f>+COUNTIF(dHdcp[Columna1],dHdcp[[#This Row],[Columna1]])</f>
        <v>1</v>
      </c>
    </row>
    <row r="55" spans="1:14">
      <c r="A55" s="2">
        <v>43345</v>
      </c>
      <c r="B55" t="s">
        <v>43</v>
      </c>
      <c r="C55" s="51">
        <v>16.8</v>
      </c>
      <c r="D55">
        <v>3</v>
      </c>
      <c r="E55" t="s">
        <v>74</v>
      </c>
      <c r="F55" t="s">
        <v>521</v>
      </c>
      <c r="G55">
        <f>+IF(dHdcp[[#This Row],[Fecha]]=MAX(dHdcp[Fecha]),1,0)</f>
        <v>0</v>
      </c>
      <c r="H55" t="str">
        <f>+dHdcp[[#This Row],[Maximo]]&amp;":"&amp;dHdcp[[#This Row],[Nombre]]</f>
        <v>0:Luis Escudero</v>
      </c>
      <c r="I55" t="str">
        <f>+dHdcp[[#This Row],[Maximo]]&amp;":"&amp;_xlfn.XLOOKUP(dHdcp[[#This Row],[Nombre]],dJugador[Nombre],dJugador[Mote],"",0)</f>
        <v>0:Lucho</v>
      </c>
      <c r="J55" t="str">
        <f>+IF(dHdcp[[#This Row],[Maximo]]=0,"",_xlfn.RANK.EQ(dHdcp[[#This Row],[Handicap]],dHdcp[Handicap],1))</f>
        <v/>
      </c>
      <c r="K55" t="str">
        <f>IFERROR(+_xlfn.RANK.EQ(dHdcp[[#This Row],[Ranking]],dHdcp[Ranking],1),"")</f>
        <v/>
      </c>
      <c r="M55" t="str">
        <f>+dHdcp[[#This Row],[Fecha]]&amp;":"&amp;dHdcp[[#This Row],[Nombre]]</f>
        <v>43345:Luis Escudero</v>
      </c>
      <c r="N55">
        <f>+COUNTIF(dHdcp[Columna1],dHdcp[[#This Row],[Columna1]])</f>
        <v>1</v>
      </c>
    </row>
    <row r="56" spans="1:14">
      <c r="A56" s="2">
        <v>43345</v>
      </c>
      <c r="B56" t="s">
        <v>3</v>
      </c>
      <c r="C56" s="51">
        <v>6</v>
      </c>
      <c r="D56">
        <v>2</v>
      </c>
      <c r="E56" t="s">
        <v>74</v>
      </c>
      <c r="F56" t="s">
        <v>522</v>
      </c>
      <c r="G56">
        <f>+IF(dHdcp[[#This Row],[Fecha]]=MAX(dHdcp[Fecha]),1,0)</f>
        <v>0</v>
      </c>
      <c r="H56" t="str">
        <f>+dHdcp[[#This Row],[Maximo]]&amp;":"&amp;dHdcp[[#This Row],[Nombre]]</f>
        <v>0:Nacho Gonzalez</v>
      </c>
      <c r="I56" t="str">
        <f>+dHdcp[[#This Row],[Maximo]]&amp;":"&amp;_xlfn.XLOOKUP(dHdcp[[#This Row],[Nombre]],dJugador[Nombre],dJugador[Mote],"",0)</f>
        <v>0:Nacho</v>
      </c>
      <c r="J56" t="str">
        <f>+IF(dHdcp[[#This Row],[Maximo]]=0,"",_xlfn.RANK.EQ(dHdcp[[#This Row],[Handicap]],dHdcp[Handicap],1))</f>
        <v/>
      </c>
      <c r="K56" t="str">
        <f>IFERROR(+_xlfn.RANK.EQ(dHdcp[[#This Row],[Ranking]],dHdcp[Ranking],1),"")</f>
        <v/>
      </c>
      <c r="M56" t="str">
        <f>+dHdcp[[#This Row],[Fecha]]&amp;":"&amp;dHdcp[[#This Row],[Nombre]]</f>
        <v>43345:Nacho Gonzalez</v>
      </c>
      <c r="N56">
        <f>+COUNTIF(dHdcp[Columna1],dHdcp[[#This Row],[Columna1]])</f>
        <v>1</v>
      </c>
    </row>
    <row r="57" spans="1:14">
      <c r="A57" s="2">
        <v>43345</v>
      </c>
      <c r="B57" t="s">
        <v>28</v>
      </c>
      <c r="C57" s="51">
        <v>13.4</v>
      </c>
      <c r="D57">
        <v>3</v>
      </c>
      <c r="E57" t="s">
        <v>74</v>
      </c>
      <c r="F57" t="s">
        <v>523</v>
      </c>
      <c r="G57">
        <f>+IF(dHdcp[[#This Row],[Fecha]]=MAX(dHdcp[Fecha]),1,0)</f>
        <v>0</v>
      </c>
      <c r="H57" t="str">
        <f>+dHdcp[[#This Row],[Maximo]]&amp;":"&amp;dHdcp[[#This Row],[Nombre]]</f>
        <v>0:Pablo Munitiz</v>
      </c>
      <c r="I57" t="str">
        <f>+dHdcp[[#This Row],[Maximo]]&amp;":"&amp;_xlfn.XLOOKUP(dHdcp[[#This Row],[Nombre]],dJugador[Nombre],dJugador[Mote],"",0)</f>
        <v>0:Muni</v>
      </c>
      <c r="J57" t="str">
        <f>+IF(dHdcp[[#This Row],[Maximo]]=0,"",_xlfn.RANK.EQ(dHdcp[[#This Row],[Handicap]],dHdcp[Handicap],1))</f>
        <v/>
      </c>
      <c r="K57" t="str">
        <f>IFERROR(+_xlfn.RANK.EQ(dHdcp[[#This Row],[Ranking]],dHdcp[Ranking],1),"")</f>
        <v/>
      </c>
      <c r="M57" t="str">
        <f>+dHdcp[[#This Row],[Fecha]]&amp;":"&amp;dHdcp[[#This Row],[Nombre]]</f>
        <v>43345:Pablo Munitiz</v>
      </c>
      <c r="N57">
        <f>+COUNTIF(dHdcp[Columna1],dHdcp[[#This Row],[Columna1]])</f>
        <v>1</v>
      </c>
    </row>
    <row r="58" spans="1:14">
      <c r="A58" s="2">
        <v>43345</v>
      </c>
      <c r="B58" t="s">
        <v>37</v>
      </c>
      <c r="C58" s="51">
        <v>10</v>
      </c>
      <c r="D58">
        <v>2</v>
      </c>
      <c r="E58" t="s">
        <v>74</v>
      </c>
      <c r="F58" t="s">
        <v>524</v>
      </c>
      <c r="G58">
        <f>+IF(dHdcp[[#This Row],[Fecha]]=MAX(dHdcp[Fecha]),1,0)</f>
        <v>0</v>
      </c>
      <c r="H58" t="str">
        <f>+dHdcp[[#This Row],[Maximo]]&amp;":"&amp;dHdcp[[#This Row],[Nombre]]</f>
        <v>0:Ricardo Muelas</v>
      </c>
      <c r="I58" t="str">
        <f>+dHdcp[[#This Row],[Maximo]]&amp;":"&amp;_xlfn.XLOOKUP(dHdcp[[#This Row],[Nombre]],dJugador[Nombre],dJugador[Mote],"",0)</f>
        <v>0:</v>
      </c>
      <c r="J58" t="str">
        <f>+IF(dHdcp[[#This Row],[Maximo]]=0,"",_xlfn.RANK.EQ(dHdcp[[#This Row],[Handicap]],dHdcp[Handicap],1))</f>
        <v/>
      </c>
      <c r="K58" t="str">
        <f>IFERROR(+_xlfn.RANK.EQ(dHdcp[[#This Row],[Ranking]],dHdcp[Ranking],1),"")</f>
        <v/>
      </c>
      <c r="M58" t="str">
        <f>+dHdcp[[#This Row],[Fecha]]&amp;":"&amp;dHdcp[[#This Row],[Nombre]]</f>
        <v>43345:Ricardo Muelas</v>
      </c>
      <c r="N58">
        <f>+COUNTIF(dHdcp[Columna1],dHdcp[[#This Row],[Columna1]])</f>
        <v>1</v>
      </c>
    </row>
    <row r="59" spans="1:14">
      <c r="A59" s="2">
        <v>43401</v>
      </c>
      <c r="B59" t="s">
        <v>9</v>
      </c>
      <c r="C59" s="51">
        <v>8.2999999999999989</v>
      </c>
      <c r="D59">
        <v>2</v>
      </c>
      <c r="E59" t="s">
        <v>75</v>
      </c>
      <c r="F59" t="s">
        <v>525</v>
      </c>
      <c r="G59">
        <f>+IF(dHdcp[[#This Row],[Fecha]]=MAX(dHdcp[Fecha]),1,0)</f>
        <v>0</v>
      </c>
      <c r="H59" t="str">
        <f>+dHdcp[[#This Row],[Maximo]]&amp;":"&amp;dHdcp[[#This Row],[Nombre]]</f>
        <v>0:Alfonso Hidalgo</v>
      </c>
      <c r="I59" t="str">
        <f>+dHdcp[[#This Row],[Maximo]]&amp;":"&amp;_xlfn.XLOOKUP(dHdcp[[#This Row],[Nombre]],dJugador[Nombre],dJugador[Mote],"",0)</f>
        <v>0:Alfonso</v>
      </c>
      <c r="J59" t="str">
        <f>+IF(dHdcp[[#This Row],[Maximo]]=0,"",_xlfn.RANK.EQ(dHdcp[[#This Row],[Handicap]],dHdcp[Handicap],1))</f>
        <v/>
      </c>
      <c r="K59" t="str">
        <f>IFERROR(+_xlfn.RANK.EQ(dHdcp[[#This Row],[Ranking]],dHdcp[Ranking],1),"")</f>
        <v/>
      </c>
      <c r="M59" t="str">
        <f>+dHdcp[[#This Row],[Fecha]]&amp;":"&amp;dHdcp[[#This Row],[Nombre]]</f>
        <v>43401:Alfonso Hidalgo</v>
      </c>
      <c r="N59">
        <f>+COUNTIF(dHdcp[Columna1],dHdcp[[#This Row],[Columna1]])</f>
        <v>1</v>
      </c>
    </row>
    <row r="60" spans="1:14">
      <c r="A60" s="2">
        <v>43401</v>
      </c>
      <c r="B60" t="s">
        <v>15</v>
      </c>
      <c r="C60" s="51">
        <v>5.3999999999999995</v>
      </c>
      <c r="D60">
        <v>2</v>
      </c>
      <c r="E60" t="s">
        <v>75</v>
      </c>
      <c r="F60" t="s">
        <v>526</v>
      </c>
      <c r="G60">
        <f>+IF(dHdcp[[#This Row],[Fecha]]=MAX(dHdcp[Fecha]),1,0)</f>
        <v>0</v>
      </c>
      <c r="H60" t="str">
        <f>+dHdcp[[#This Row],[Maximo]]&amp;":"&amp;dHdcp[[#This Row],[Nombre]]</f>
        <v>0:Alvaro Aguirre</v>
      </c>
      <c r="I60" t="str">
        <f>+dHdcp[[#This Row],[Maximo]]&amp;":"&amp;_xlfn.XLOOKUP(dHdcp[[#This Row],[Nombre]],dJugador[Nombre],dJugador[Mote],"",0)</f>
        <v>0:Gifu</v>
      </c>
      <c r="J60" t="str">
        <f>+IF(dHdcp[[#This Row],[Maximo]]=0,"",_xlfn.RANK.EQ(dHdcp[[#This Row],[Handicap]],dHdcp[Handicap],1))</f>
        <v/>
      </c>
      <c r="K60" t="str">
        <f>IFERROR(+_xlfn.RANK.EQ(dHdcp[[#This Row],[Ranking]],dHdcp[Ranking],1),"")</f>
        <v/>
      </c>
      <c r="M60" t="str">
        <f>+dHdcp[[#This Row],[Fecha]]&amp;":"&amp;dHdcp[[#This Row],[Nombre]]</f>
        <v>43401:Alvaro Aguirre</v>
      </c>
      <c r="N60">
        <f>+COUNTIF(dHdcp[Columna1],dHdcp[[#This Row],[Columna1]])</f>
        <v>1</v>
      </c>
    </row>
    <row r="61" spans="1:14">
      <c r="A61" s="2">
        <v>43401</v>
      </c>
      <c r="B61" t="s">
        <v>25</v>
      </c>
      <c r="C61" s="51">
        <v>15.2</v>
      </c>
      <c r="D61">
        <v>3</v>
      </c>
      <c r="E61" t="s">
        <v>75</v>
      </c>
      <c r="F61" t="s">
        <v>527</v>
      </c>
      <c r="G61">
        <f>+IF(dHdcp[[#This Row],[Fecha]]=MAX(dHdcp[Fecha]),1,0)</f>
        <v>0</v>
      </c>
      <c r="H61" t="str">
        <f>+dHdcp[[#This Row],[Maximo]]&amp;":"&amp;dHdcp[[#This Row],[Nombre]]</f>
        <v>0:Alvaro Nieto</v>
      </c>
      <c r="I61" t="str">
        <f>+dHdcp[[#This Row],[Maximo]]&amp;":"&amp;_xlfn.XLOOKUP(dHdcp[[#This Row],[Nombre]],dJugador[Nombre],dJugador[Mote],"",0)</f>
        <v>0:Alvaro</v>
      </c>
      <c r="J61" t="str">
        <f>+IF(dHdcp[[#This Row],[Maximo]]=0,"",_xlfn.RANK.EQ(dHdcp[[#This Row],[Handicap]],dHdcp[Handicap],1))</f>
        <v/>
      </c>
      <c r="K61" t="str">
        <f>IFERROR(+_xlfn.RANK.EQ(dHdcp[[#This Row],[Ranking]],dHdcp[Ranking],1),"")</f>
        <v/>
      </c>
      <c r="M61" t="str">
        <f>+dHdcp[[#This Row],[Fecha]]&amp;":"&amp;dHdcp[[#This Row],[Nombre]]</f>
        <v>43401:Alvaro Nieto</v>
      </c>
      <c r="N61">
        <f>+COUNTIF(dHdcp[Columna1],dHdcp[[#This Row],[Columna1]])</f>
        <v>1</v>
      </c>
    </row>
    <row r="62" spans="1:14">
      <c r="A62" s="2">
        <v>43401</v>
      </c>
      <c r="B62" t="s">
        <v>33</v>
      </c>
      <c r="C62" s="51">
        <v>6.1999999999999993</v>
      </c>
      <c r="D62">
        <v>2</v>
      </c>
      <c r="E62" t="s">
        <v>75</v>
      </c>
      <c r="F62" t="s">
        <v>528</v>
      </c>
      <c r="G62">
        <f>+IF(dHdcp[[#This Row],[Fecha]]=MAX(dHdcp[Fecha]),1,0)</f>
        <v>0</v>
      </c>
      <c r="H62" t="str">
        <f>+dHdcp[[#This Row],[Maximo]]&amp;":"&amp;dHdcp[[#This Row],[Nombre]]</f>
        <v>0:Angel Hernandez</v>
      </c>
      <c r="I62" t="str">
        <f>+dHdcp[[#This Row],[Maximo]]&amp;":"&amp;_xlfn.XLOOKUP(dHdcp[[#This Row],[Nombre]],dJugador[Nombre],dJugador[Mote],"",0)</f>
        <v>0:Angel</v>
      </c>
      <c r="J62" t="str">
        <f>+IF(dHdcp[[#This Row],[Maximo]]=0,"",_xlfn.RANK.EQ(dHdcp[[#This Row],[Handicap]],dHdcp[Handicap],1))</f>
        <v/>
      </c>
      <c r="K62" t="str">
        <f>IFERROR(+_xlfn.RANK.EQ(dHdcp[[#This Row],[Ranking]],dHdcp[Ranking],1),"")</f>
        <v/>
      </c>
      <c r="M62" t="str">
        <f>+dHdcp[[#This Row],[Fecha]]&amp;":"&amp;dHdcp[[#This Row],[Nombre]]</f>
        <v>43401:Angel Hernandez</v>
      </c>
      <c r="N62">
        <f>+COUNTIF(dHdcp[Columna1],dHdcp[[#This Row],[Columna1]])</f>
        <v>1</v>
      </c>
    </row>
    <row r="63" spans="1:14">
      <c r="A63" s="2">
        <v>43401</v>
      </c>
      <c r="B63" t="s">
        <v>30</v>
      </c>
      <c r="C63" s="51">
        <v>11.9</v>
      </c>
      <c r="D63">
        <v>3</v>
      </c>
      <c r="E63" t="s">
        <v>75</v>
      </c>
      <c r="F63" t="s">
        <v>529</v>
      </c>
      <c r="G63">
        <f>+IF(dHdcp[[#This Row],[Fecha]]=MAX(dHdcp[Fecha]),1,0)</f>
        <v>0</v>
      </c>
      <c r="H63" t="str">
        <f>+dHdcp[[#This Row],[Maximo]]&amp;":"&amp;dHdcp[[#This Row],[Nombre]]</f>
        <v>0:David Sequera</v>
      </c>
      <c r="I63" t="str">
        <f>+dHdcp[[#This Row],[Maximo]]&amp;":"&amp;_xlfn.XLOOKUP(dHdcp[[#This Row],[Nombre]],dJugador[Nombre],dJugador[Mote],"",0)</f>
        <v>0:David</v>
      </c>
      <c r="J63" t="str">
        <f>+IF(dHdcp[[#This Row],[Maximo]]=0,"",_xlfn.RANK.EQ(dHdcp[[#This Row],[Handicap]],dHdcp[Handicap],1))</f>
        <v/>
      </c>
      <c r="K63" t="str">
        <f>IFERROR(+_xlfn.RANK.EQ(dHdcp[[#This Row],[Ranking]],dHdcp[Ranking],1),"")</f>
        <v/>
      </c>
      <c r="M63" t="str">
        <f>+dHdcp[[#This Row],[Fecha]]&amp;":"&amp;dHdcp[[#This Row],[Nombre]]</f>
        <v>43401:David Sequera</v>
      </c>
      <c r="N63">
        <f>+COUNTIF(dHdcp[Columna1],dHdcp[[#This Row],[Columna1]])</f>
        <v>1</v>
      </c>
    </row>
    <row r="64" spans="1:14">
      <c r="A64" s="2">
        <v>43401</v>
      </c>
      <c r="B64" t="s">
        <v>12</v>
      </c>
      <c r="C64" s="51">
        <v>17.2</v>
      </c>
      <c r="D64">
        <v>3</v>
      </c>
      <c r="E64" t="s">
        <v>75</v>
      </c>
      <c r="F64" t="s">
        <v>530</v>
      </c>
      <c r="G64">
        <f>+IF(dHdcp[[#This Row],[Fecha]]=MAX(dHdcp[Fecha]),1,0)</f>
        <v>0</v>
      </c>
      <c r="H64" t="str">
        <f>+dHdcp[[#This Row],[Maximo]]&amp;":"&amp;dHdcp[[#This Row],[Nombre]]</f>
        <v>0:Francisco Alvarez</v>
      </c>
      <c r="I64" t="str">
        <f>+dHdcp[[#This Row],[Maximo]]&amp;":"&amp;_xlfn.XLOOKUP(dHdcp[[#This Row],[Nombre]],dJugador[Nombre],dJugador[Mote],"",0)</f>
        <v>0:Paco</v>
      </c>
      <c r="J64" t="str">
        <f>+IF(dHdcp[[#This Row],[Maximo]]=0,"",_xlfn.RANK.EQ(dHdcp[[#This Row],[Handicap]],dHdcp[Handicap],1))</f>
        <v/>
      </c>
      <c r="K64" t="str">
        <f>IFERROR(+_xlfn.RANK.EQ(dHdcp[[#This Row],[Ranking]],dHdcp[Ranking],1),"")</f>
        <v/>
      </c>
      <c r="M64" t="str">
        <f>+dHdcp[[#This Row],[Fecha]]&amp;":"&amp;dHdcp[[#This Row],[Nombre]]</f>
        <v>43401:Francisco Alvarez</v>
      </c>
      <c r="N64">
        <f>+COUNTIF(dHdcp[Columna1],dHdcp[[#This Row],[Columna1]])</f>
        <v>1</v>
      </c>
    </row>
    <row r="65" spans="1:14">
      <c r="A65" s="2">
        <v>43401</v>
      </c>
      <c r="B65" t="s">
        <v>49</v>
      </c>
      <c r="C65" s="51">
        <v>13</v>
      </c>
      <c r="D65">
        <v>3</v>
      </c>
      <c r="E65" t="s">
        <v>75</v>
      </c>
      <c r="F65" t="s">
        <v>531</v>
      </c>
      <c r="G65">
        <f>+IF(dHdcp[[#This Row],[Fecha]]=MAX(dHdcp[Fecha]),1,0)</f>
        <v>0</v>
      </c>
      <c r="H65" t="str">
        <f>+dHdcp[[#This Row],[Maximo]]&amp;":"&amp;dHdcp[[#This Row],[Nombre]]</f>
        <v>0:Francisco Hidalgo</v>
      </c>
      <c r="I65" t="str">
        <f>+dHdcp[[#This Row],[Maximo]]&amp;":"&amp;_xlfn.XLOOKUP(dHdcp[[#This Row],[Nombre]],dJugador[Nombre],dJugador[Mote],"",0)</f>
        <v>0:Fran</v>
      </c>
      <c r="J65" t="str">
        <f>+IF(dHdcp[[#This Row],[Maximo]]=0,"",_xlfn.RANK.EQ(dHdcp[[#This Row],[Handicap]],dHdcp[Handicap],1))</f>
        <v/>
      </c>
      <c r="K65" t="str">
        <f>IFERROR(+_xlfn.RANK.EQ(dHdcp[[#This Row],[Ranking]],dHdcp[Ranking],1),"")</f>
        <v/>
      </c>
      <c r="M65" t="str">
        <f>+dHdcp[[#This Row],[Fecha]]&amp;":"&amp;dHdcp[[#This Row],[Nombre]]</f>
        <v>43401:Francisco Hidalgo</v>
      </c>
      <c r="N65">
        <f>+COUNTIF(dHdcp[Columna1],dHdcp[[#This Row],[Columna1]])</f>
        <v>1</v>
      </c>
    </row>
    <row r="66" spans="1:14">
      <c r="A66" s="2">
        <v>43401</v>
      </c>
      <c r="B66" t="s">
        <v>35</v>
      </c>
      <c r="C66" s="51">
        <v>16.700000000000003</v>
      </c>
      <c r="D66">
        <v>3</v>
      </c>
      <c r="E66" t="s">
        <v>75</v>
      </c>
      <c r="F66" t="s">
        <v>532</v>
      </c>
      <c r="G66">
        <f>+IF(dHdcp[[#This Row],[Fecha]]=MAX(dHdcp[Fecha]),1,0)</f>
        <v>0</v>
      </c>
      <c r="H66" t="str">
        <f>+dHdcp[[#This Row],[Maximo]]&amp;":"&amp;dHdcp[[#This Row],[Nombre]]</f>
        <v>0:GLEZ JUAN JOSÉ</v>
      </c>
      <c r="I66" t="str">
        <f>+dHdcp[[#This Row],[Maximo]]&amp;":"&amp;_xlfn.XLOOKUP(dHdcp[[#This Row],[Nombre]],dJugador[Nombre],dJugador[Mote],"",0)</f>
        <v>0:Juanjo</v>
      </c>
      <c r="J66" t="str">
        <f>+IF(dHdcp[[#This Row],[Maximo]]=0,"",_xlfn.RANK.EQ(dHdcp[[#This Row],[Handicap]],dHdcp[Handicap],1))</f>
        <v/>
      </c>
      <c r="K66" t="str">
        <f>IFERROR(+_xlfn.RANK.EQ(dHdcp[[#This Row],[Ranking]],dHdcp[Ranking],1),"")</f>
        <v/>
      </c>
      <c r="M66" t="str">
        <f>+dHdcp[[#This Row],[Fecha]]&amp;":"&amp;dHdcp[[#This Row],[Nombre]]</f>
        <v>43401:GLEZ JUAN JOSÉ</v>
      </c>
      <c r="N66">
        <f>+COUNTIF(dHdcp[Columna1],dHdcp[[#This Row],[Columna1]])</f>
        <v>1</v>
      </c>
    </row>
    <row r="67" spans="1:14">
      <c r="A67" s="2">
        <v>43401</v>
      </c>
      <c r="B67" t="s">
        <v>6</v>
      </c>
      <c r="C67" s="51">
        <v>6.6</v>
      </c>
      <c r="D67">
        <v>2</v>
      </c>
      <c r="E67" t="s">
        <v>75</v>
      </c>
      <c r="F67" t="s">
        <v>533</v>
      </c>
      <c r="G67">
        <f>+IF(dHdcp[[#This Row],[Fecha]]=MAX(dHdcp[Fecha]),1,0)</f>
        <v>0</v>
      </c>
      <c r="H67" t="str">
        <f>+dHdcp[[#This Row],[Maximo]]&amp;":"&amp;dHdcp[[#This Row],[Nombre]]</f>
        <v>0:Ignacio Cadarso</v>
      </c>
      <c r="I67" t="str">
        <f>+dHdcp[[#This Row],[Maximo]]&amp;":"&amp;_xlfn.XLOOKUP(dHdcp[[#This Row],[Nombre]],dJugador[Nombre],dJugador[Mote],"",0)</f>
        <v>0:Ignacio</v>
      </c>
      <c r="J67" t="str">
        <f>+IF(dHdcp[[#This Row],[Maximo]]=0,"",_xlfn.RANK.EQ(dHdcp[[#This Row],[Handicap]],dHdcp[Handicap],1))</f>
        <v/>
      </c>
      <c r="K67" t="str">
        <f>IFERROR(+_xlfn.RANK.EQ(dHdcp[[#This Row],[Ranking]],dHdcp[Ranking],1),"")</f>
        <v/>
      </c>
      <c r="M67" t="str">
        <f>+dHdcp[[#This Row],[Fecha]]&amp;":"&amp;dHdcp[[#This Row],[Nombre]]</f>
        <v>43401:Ignacio Cadarso</v>
      </c>
      <c r="N67">
        <f>+COUNTIF(dHdcp[Columna1],dHdcp[[#This Row],[Columna1]])</f>
        <v>1</v>
      </c>
    </row>
    <row r="68" spans="1:14">
      <c r="A68" s="2">
        <v>43401</v>
      </c>
      <c r="B68" t="s">
        <v>39</v>
      </c>
      <c r="C68" s="51">
        <v>13.3</v>
      </c>
      <c r="D68">
        <v>3</v>
      </c>
      <c r="E68" t="s">
        <v>75</v>
      </c>
      <c r="F68" t="s">
        <v>534</v>
      </c>
      <c r="G68">
        <f>+IF(dHdcp[[#This Row],[Fecha]]=MAX(dHdcp[Fecha]),1,0)</f>
        <v>0</v>
      </c>
      <c r="H68" t="str">
        <f>+dHdcp[[#This Row],[Maximo]]&amp;":"&amp;dHdcp[[#This Row],[Nombre]]</f>
        <v>0:Iñigo Rosas</v>
      </c>
      <c r="I68" t="str">
        <f>+dHdcp[[#This Row],[Maximo]]&amp;":"&amp;_xlfn.XLOOKUP(dHdcp[[#This Row],[Nombre]],dJugador[Nombre],dJugador[Mote],"",0)</f>
        <v>0:</v>
      </c>
      <c r="J68" t="str">
        <f>+IF(dHdcp[[#This Row],[Maximo]]=0,"",_xlfn.RANK.EQ(dHdcp[[#This Row],[Handicap]],dHdcp[Handicap],1))</f>
        <v/>
      </c>
      <c r="K68" t="str">
        <f>IFERROR(+_xlfn.RANK.EQ(dHdcp[[#This Row],[Ranking]],dHdcp[Ranking],1),"")</f>
        <v/>
      </c>
      <c r="M68" t="str">
        <f>+dHdcp[[#This Row],[Fecha]]&amp;":"&amp;dHdcp[[#This Row],[Nombre]]</f>
        <v>43401:Iñigo Rosas</v>
      </c>
      <c r="N68">
        <f>+COUNTIF(dHdcp[Columna1],dHdcp[[#This Row],[Columna1]])</f>
        <v>1</v>
      </c>
    </row>
    <row r="69" spans="1:14">
      <c r="A69" s="2">
        <v>43401</v>
      </c>
      <c r="B69" t="s">
        <v>23</v>
      </c>
      <c r="C69" s="51">
        <v>19.100000000000005</v>
      </c>
      <c r="D69">
        <v>4</v>
      </c>
      <c r="E69" t="s">
        <v>75</v>
      </c>
      <c r="F69" t="s">
        <v>535</v>
      </c>
      <c r="G69">
        <f>+IF(dHdcp[[#This Row],[Fecha]]=MAX(dHdcp[Fecha]),1,0)</f>
        <v>0</v>
      </c>
      <c r="H69" t="str">
        <f>+dHdcp[[#This Row],[Maximo]]&amp;":"&amp;dHdcp[[#This Row],[Nombre]]</f>
        <v>0:J. Enrique Gonzalez</v>
      </c>
      <c r="I69" t="str">
        <f>+dHdcp[[#This Row],[Maximo]]&amp;":"&amp;_xlfn.XLOOKUP(dHdcp[[#This Row],[Nombre]],dJugador[Nombre],dJugador[Mote],"",0)</f>
        <v>0:Kike</v>
      </c>
      <c r="J69" t="str">
        <f>+IF(dHdcp[[#This Row],[Maximo]]=0,"",_xlfn.RANK.EQ(dHdcp[[#This Row],[Handicap]],dHdcp[Handicap],1))</f>
        <v/>
      </c>
      <c r="K69" t="str">
        <f>IFERROR(+_xlfn.RANK.EQ(dHdcp[[#This Row],[Ranking]],dHdcp[Ranking],1),"")</f>
        <v/>
      </c>
      <c r="M69" t="str">
        <f>+dHdcp[[#This Row],[Fecha]]&amp;":"&amp;dHdcp[[#This Row],[Nombre]]</f>
        <v>43401:J. Enrique Gonzalez</v>
      </c>
      <c r="N69">
        <f>+COUNTIF(dHdcp[Columna1],dHdcp[[#This Row],[Columna1]])</f>
        <v>1</v>
      </c>
    </row>
    <row r="70" spans="1:14">
      <c r="A70" s="2">
        <v>43401</v>
      </c>
      <c r="B70" t="s">
        <v>46</v>
      </c>
      <c r="C70" s="51">
        <v>13</v>
      </c>
      <c r="D70">
        <v>3</v>
      </c>
      <c r="E70" t="s">
        <v>75</v>
      </c>
      <c r="F70" t="s">
        <v>536</v>
      </c>
      <c r="G70">
        <f>+IF(dHdcp[[#This Row],[Fecha]]=MAX(dHdcp[Fecha]),1,0)</f>
        <v>0</v>
      </c>
      <c r="H70" t="str">
        <f>+dHdcp[[#This Row],[Maximo]]&amp;":"&amp;dHdcp[[#This Row],[Nombre]]</f>
        <v>0:Javier Cervera</v>
      </c>
      <c r="I70" t="str">
        <f>+dHdcp[[#This Row],[Maximo]]&amp;":"&amp;_xlfn.XLOOKUP(dHdcp[[#This Row],[Nombre]],dJugador[Nombre],dJugador[Mote],"",0)</f>
        <v>0:Virus</v>
      </c>
      <c r="J70" t="str">
        <f>+IF(dHdcp[[#This Row],[Maximo]]=0,"",_xlfn.RANK.EQ(dHdcp[[#This Row],[Handicap]],dHdcp[Handicap],1))</f>
        <v/>
      </c>
      <c r="K70" t="str">
        <f>IFERROR(+_xlfn.RANK.EQ(dHdcp[[#This Row],[Ranking]],dHdcp[Ranking],1),"")</f>
        <v/>
      </c>
      <c r="M70" t="str">
        <f>+dHdcp[[#This Row],[Fecha]]&amp;":"&amp;dHdcp[[#This Row],[Nombre]]</f>
        <v>43401:Javier Cervera</v>
      </c>
      <c r="N70">
        <f>+COUNTIF(dHdcp[Columna1],dHdcp[[#This Row],[Columna1]])</f>
        <v>1</v>
      </c>
    </row>
    <row r="71" spans="1:14">
      <c r="A71" s="2">
        <v>43401</v>
      </c>
      <c r="B71" t="s">
        <v>20</v>
      </c>
      <c r="C71" s="51">
        <v>10</v>
      </c>
      <c r="D71">
        <v>2</v>
      </c>
      <c r="E71" t="s">
        <v>75</v>
      </c>
      <c r="F71" t="s">
        <v>537</v>
      </c>
      <c r="G71">
        <f>+IF(dHdcp[[#This Row],[Fecha]]=MAX(dHdcp[Fecha]),1,0)</f>
        <v>0</v>
      </c>
      <c r="H71" t="str">
        <f>+dHdcp[[#This Row],[Maximo]]&amp;":"&amp;dHdcp[[#This Row],[Nombre]]</f>
        <v>0:Javier Gonzalez Salvador</v>
      </c>
      <c r="I71" t="str">
        <f>+dHdcp[[#This Row],[Maximo]]&amp;":"&amp;_xlfn.XLOOKUP(dHdcp[[#This Row],[Nombre]],dJugador[Nombre],dJugador[Mote],"",0)</f>
        <v>0:Javi</v>
      </c>
      <c r="J71" t="str">
        <f>+IF(dHdcp[[#This Row],[Maximo]]=0,"",_xlfn.RANK.EQ(dHdcp[[#This Row],[Handicap]],dHdcp[Handicap],1))</f>
        <v/>
      </c>
      <c r="K71" t="str">
        <f>IFERROR(+_xlfn.RANK.EQ(dHdcp[[#This Row],[Ranking]],dHdcp[Ranking],1),"")</f>
        <v/>
      </c>
      <c r="M71" t="str">
        <f>+dHdcp[[#This Row],[Fecha]]&amp;":"&amp;dHdcp[[#This Row],[Nombre]]</f>
        <v>43401:Javier Gonzalez Salvador</v>
      </c>
      <c r="N71">
        <f>+COUNTIF(dHdcp[Columna1],dHdcp[[#This Row],[Columna1]])</f>
        <v>1</v>
      </c>
    </row>
    <row r="72" spans="1:14">
      <c r="A72" s="2">
        <v>43401</v>
      </c>
      <c r="B72" t="s">
        <v>41</v>
      </c>
      <c r="C72" s="51">
        <v>21.400000000000002</v>
      </c>
      <c r="D72">
        <v>4</v>
      </c>
      <c r="E72" t="s">
        <v>75</v>
      </c>
      <c r="F72" t="s">
        <v>538</v>
      </c>
      <c r="G72">
        <f>+IF(dHdcp[[#This Row],[Fecha]]=MAX(dHdcp[Fecha]),1,0)</f>
        <v>0</v>
      </c>
      <c r="H72" t="str">
        <f>+dHdcp[[#This Row],[Maximo]]&amp;":"&amp;dHdcp[[#This Row],[Nombre]]</f>
        <v>0:Jesus Touceda</v>
      </c>
      <c r="I72" t="str">
        <f>+dHdcp[[#This Row],[Maximo]]&amp;":"&amp;_xlfn.XLOOKUP(dHdcp[[#This Row],[Nombre]],dJugador[Nombre],dJugador[Mote],"",0)</f>
        <v>0:Jesús</v>
      </c>
      <c r="J72" t="str">
        <f>+IF(dHdcp[[#This Row],[Maximo]]=0,"",_xlfn.RANK.EQ(dHdcp[[#This Row],[Handicap]],dHdcp[Handicap],1))</f>
        <v/>
      </c>
      <c r="K72" t="str">
        <f>IFERROR(+_xlfn.RANK.EQ(dHdcp[[#This Row],[Ranking]],dHdcp[Ranking],1),"")</f>
        <v/>
      </c>
      <c r="M72" t="str">
        <f>+dHdcp[[#This Row],[Fecha]]&amp;":"&amp;dHdcp[[#This Row],[Nombre]]</f>
        <v>43401:Jesus Touceda</v>
      </c>
      <c r="N72">
        <f>+COUNTIF(dHdcp[Columna1],dHdcp[[#This Row],[Columna1]])</f>
        <v>1</v>
      </c>
    </row>
    <row r="73" spans="1:14">
      <c r="A73" s="2">
        <v>43401</v>
      </c>
      <c r="B73" t="s">
        <v>18</v>
      </c>
      <c r="C73" s="51">
        <v>5.2999999999999989</v>
      </c>
      <c r="D73">
        <v>2</v>
      </c>
      <c r="E73" t="s">
        <v>75</v>
      </c>
      <c r="F73" t="s">
        <v>539</v>
      </c>
      <c r="G73">
        <f>+IF(dHdcp[[#This Row],[Fecha]]=MAX(dHdcp[Fecha]),1,0)</f>
        <v>0</v>
      </c>
      <c r="H73" t="str">
        <f>+dHdcp[[#This Row],[Maximo]]&amp;":"&amp;dHdcp[[#This Row],[Nombre]]</f>
        <v>0:José Pablo Guil</v>
      </c>
      <c r="I73" t="str">
        <f>+dHdcp[[#This Row],[Maximo]]&amp;":"&amp;_xlfn.XLOOKUP(dHdcp[[#This Row],[Nombre]],dJugador[Nombre],dJugador[Mote],"",0)</f>
        <v>0:JP</v>
      </c>
      <c r="J73" t="str">
        <f>+IF(dHdcp[[#This Row],[Maximo]]=0,"",_xlfn.RANK.EQ(dHdcp[[#This Row],[Handicap]],dHdcp[Handicap],1))</f>
        <v/>
      </c>
      <c r="K73" t="str">
        <f>IFERROR(+_xlfn.RANK.EQ(dHdcp[[#This Row],[Ranking]],dHdcp[Ranking],1),"")</f>
        <v/>
      </c>
      <c r="M73" t="str">
        <f>+dHdcp[[#This Row],[Fecha]]&amp;":"&amp;dHdcp[[#This Row],[Nombre]]</f>
        <v>43401:José Pablo Guil</v>
      </c>
      <c r="N73">
        <f>+COUNTIF(dHdcp[Columna1],dHdcp[[#This Row],[Columna1]])</f>
        <v>1</v>
      </c>
    </row>
    <row r="74" spans="1:14">
      <c r="A74" s="2">
        <v>43401</v>
      </c>
      <c r="B74" t="s">
        <v>43</v>
      </c>
      <c r="C74" s="51">
        <v>16.8</v>
      </c>
      <c r="D74">
        <v>3</v>
      </c>
      <c r="E74" t="s">
        <v>75</v>
      </c>
      <c r="F74" t="s">
        <v>540</v>
      </c>
      <c r="G74">
        <f>+IF(dHdcp[[#This Row],[Fecha]]=MAX(dHdcp[Fecha]),1,0)</f>
        <v>0</v>
      </c>
      <c r="H74" t="str">
        <f>+dHdcp[[#This Row],[Maximo]]&amp;":"&amp;dHdcp[[#This Row],[Nombre]]</f>
        <v>0:Luis Escudero</v>
      </c>
      <c r="I74" t="str">
        <f>+dHdcp[[#This Row],[Maximo]]&amp;":"&amp;_xlfn.XLOOKUP(dHdcp[[#This Row],[Nombre]],dJugador[Nombre],dJugador[Mote],"",0)</f>
        <v>0:Lucho</v>
      </c>
      <c r="J74" t="str">
        <f>+IF(dHdcp[[#This Row],[Maximo]]=0,"",_xlfn.RANK.EQ(dHdcp[[#This Row],[Handicap]],dHdcp[Handicap],1))</f>
        <v/>
      </c>
      <c r="K74" t="str">
        <f>IFERROR(+_xlfn.RANK.EQ(dHdcp[[#This Row],[Ranking]],dHdcp[Ranking],1),"")</f>
        <v/>
      </c>
      <c r="M74" t="str">
        <f>+dHdcp[[#This Row],[Fecha]]&amp;":"&amp;dHdcp[[#This Row],[Nombre]]</f>
        <v>43401:Luis Escudero</v>
      </c>
      <c r="N74">
        <f>+COUNTIF(dHdcp[Columna1],dHdcp[[#This Row],[Columna1]])</f>
        <v>1</v>
      </c>
    </row>
    <row r="75" spans="1:14">
      <c r="A75" s="2">
        <v>43401</v>
      </c>
      <c r="B75" t="s">
        <v>3</v>
      </c>
      <c r="C75" s="51">
        <v>4.2000000000000011</v>
      </c>
      <c r="D75">
        <v>1</v>
      </c>
      <c r="E75" t="s">
        <v>75</v>
      </c>
      <c r="F75" t="s">
        <v>541</v>
      </c>
      <c r="G75">
        <f>+IF(dHdcp[[#This Row],[Fecha]]=MAX(dHdcp[Fecha]),1,0)</f>
        <v>0</v>
      </c>
      <c r="H75" t="str">
        <f>+dHdcp[[#This Row],[Maximo]]&amp;":"&amp;dHdcp[[#This Row],[Nombre]]</f>
        <v>0:Nacho Gonzalez</v>
      </c>
      <c r="I75" t="str">
        <f>+dHdcp[[#This Row],[Maximo]]&amp;":"&amp;_xlfn.XLOOKUP(dHdcp[[#This Row],[Nombre]],dJugador[Nombre],dJugador[Mote],"",0)</f>
        <v>0:Nacho</v>
      </c>
      <c r="J75" t="str">
        <f>+IF(dHdcp[[#This Row],[Maximo]]=0,"",_xlfn.RANK.EQ(dHdcp[[#This Row],[Handicap]],dHdcp[Handicap],1))</f>
        <v/>
      </c>
      <c r="K75" t="str">
        <f>IFERROR(+_xlfn.RANK.EQ(dHdcp[[#This Row],[Ranking]],dHdcp[Ranking],1),"")</f>
        <v/>
      </c>
      <c r="M75" t="str">
        <f>+dHdcp[[#This Row],[Fecha]]&amp;":"&amp;dHdcp[[#This Row],[Nombre]]</f>
        <v>43401:Nacho Gonzalez</v>
      </c>
      <c r="N75">
        <f>+COUNTIF(dHdcp[Columna1],dHdcp[[#This Row],[Columna1]])</f>
        <v>1</v>
      </c>
    </row>
    <row r="76" spans="1:14">
      <c r="A76" s="2">
        <v>43401</v>
      </c>
      <c r="B76" t="s">
        <v>28</v>
      </c>
      <c r="C76" s="51">
        <v>13.4</v>
      </c>
      <c r="D76">
        <v>3</v>
      </c>
      <c r="E76" t="s">
        <v>75</v>
      </c>
      <c r="F76" t="s">
        <v>542</v>
      </c>
      <c r="G76">
        <f>+IF(dHdcp[[#This Row],[Fecha]]=MAX(dHdcp[Fecha]),1,0)</f>
        <v>0</v>
      </c>
      <c r="H76" t="str">
        <f>+dHdcp[[#This Row],[Maximo]]&amp;":"&amp;dHdcp[[#This Row],[Nombre]]</f>
        <v>0:Pablo Munitiz</v>
      </c>
      <c r="I76" t="str">
        <f>+dHdcp[[#This Row],[Maximo]]&amp;":"&amp;_xlfn.XLOOKUP(dHdcp[[#This Row],[Nombre]],dJugador[Nombre],dJugador[Mote],"",0)</f>
        <v>0:Muni</v>
      </c>
      <c r="J76" t="str">
        <f>+IF(dHdcp[[#This Row],[Maximo]]=0,"",_xlfn.RANK.EQ(dHdcp[[#This Row],[Handicap]],dHdcp[Handicap],1))</f>
        <v/>
      </c>
      <c r="K76" t="str">
        <f>IFERROR(+_xlfn.RANK.EQ(dHdcp[[#This Row],[Ranking]],dHdcp[Ranking],1),"")</f>
        <v/>
      </c>
      <c r="M76" t="str">
        <f>+dHdcp[[#This Row],[Fecha]]&amp;":"&amp;dHdcp[[#This Row],[Nombre]]</f>
        <v>43401:Pablo Munitiz</v>
      </c>
      <c r="N76">
        <f>+COUNTIF(dHdcp[Columna1],dHdcp[[#This Row],[Columna1]])</f>
        <v>1</v>
      </c>
    </row>
    <row r="77" spans="1:14">
      <c r="A77" s="2">
        <v>43401</v>
      </c>
      <c r="B77" t="s">
        <v>37</v>
      </c>
      <c r="C77" s="51">
        <v>10</v>
      </c>
      <c r="D77">
        <v>2</v>
      </c>
      <c r="E77" t="s">
        <v>75</v>
      </c>
      <c r="F77" t="s">
        <v>543</v>
      </c>
      <c r="G77">
        <f>+IF(dHdcp[[#This Row],[Fecha]]=MAX(dHdcp[Fecha]),1,0)</f>
        <v>0</v>
      </c>
      <c r="H77" t="str">
        <f>+dHdcp[[#This Row],[Maximo]]&amp;":"&amp;dHdcp[[#This Row],[Nombre]]</f>
        <v>0:Ricardo Muelas</v>
      </c>
      <c r="I77" t="str">
        <f>+dHdcp[[#This Row],[Maximo]]&amp;":"&amp;_xlfn.XLOOKUP(dHdcp[[#This Row],[Nombre]],dJugador[Nombre],dJugador[Mote],"",0)</f>
        <v>0:</v>
      </c>
      <c r="J77" t="str">
        <f>+IF(dHdcp[[#This Row],[Maximo]]=0,"",_xlfn.RANK.EQ(dHdcp[[#This Row],[Handicap]],dHdcp[Handicap],1))</f>
        <v/>
      </c>
      <c r="K77" t="str">
        <f>IFERROR(+_xlfn.RANK.EQ(dHdcp[[#This Row],[Ranking]],dHdcp[Ranking],1),"")</f>
        <v/>
      </c>
      <c r="M77" t="str">
        <f>+dHdcp[[#This Row],[Fecha]]&amp;":"&amp;dHdcp[[#This Row],[Nombre]]</f>
        <v>43401:Ricardo Muelas</v>
      </c>
      <c r="N77">
        <f>+COUNTIF(dHdcp[Columna1],dHdcp[[#This Row],[Columna1]])</f>
        <v>1</v>
      </c>
    </row>
    <row r="78" spans="1:14">
      <c r="A78" s="2">
        <v>43405</v>
      </c>
      <c r="B78" t="s">
        <v>9</v>
      </c>
      <c r="C78" s="51">
        <v>8.1999999999999993</v>
      </c>
      <c r="D78">
        <v>2</v>
      </c>
      <c r="E78" t="s">
        <v>74</v>
      </c>
      <c r="F78" t="s">
        <v>544</v>
      </c>
      <c r="G78">
        <f>+IF(dHdcp[[#This Row],[Fecha]]=MAX(dHdcp[Fecha]),1,0)</f>
        <v>0</v>
      </c>
      <c r="H78" t="str">
        <f>+dHdcp[[#This Row],[Maximo]]&amp;":"&amp;dHdcp[[#This Row],[Nombre]]</f>
        <v>0:Alfonso Hidalgo</v>
      </c>
      <c r="I78" t="str">
        <f>+dHdcp[[#This Row],[Maximo]]&amp;":"&amp;_xlfn.XLOOKUP(dHdcp[[#This Row],[Nombre]],dJugador[Nombre],dJugador[Mote],"",0)</f>
        <v>0:Alfonso</v>
      </c>
      <c r="J78" t="str">
        <f>+IF(dHdcp[[#This Row],[Maximo]]=0,"",_xlfn.RANK.EQ(dHdcp[[#This Row],[Handicap]],dHdcp[Handicap],1))</f>
        <v/>
      </c>
      <c r="K78" t="str">
        <f>IFERROR(+_xlfn.RANK.EQ(dHdcp[[#This Row],[Ranking]],dHdcp[Ranking],1),"")</f>
        <v/>
      </c>
      <c r="M78" t="str">
        <f>+dHdcp[[#This Row],[Fecha]]&amp;":"&amp;dHdcp[[#This Row],[Nombre]]</f>
        <v>43405:Alfonso Hidalgo</v>
      </c>
      <c r="N78">
        <f>+COUNTIF(dHdcp[Columna1],dHdcp[[#This Row],[Columna1]])</f>
        <v>2</v>
      </c>
    </row>
    <row r="79" spans="1:14">
      <c r="A79" s="2">
        <v>43405</v>
      </c>
      <c r="B79" t="s">
        <v>9</v>
      </c>
      <c r="C79" s="51">
        <v>7.9999999999999991</v>
      </c>
      <c r="D79">
        <v>2</v>
      </c>
      <c r="E79" t="s">
        <v>75</v>
      </c>
      <c r="F79" t="s">
        <v>545</v>
      </c>
      <c r="G79">
        <f>+IF(dHdcp[[#This Row],[Fecha]]=MAX(dHdcp[Fecha]),1,0)</f>
        <v>0</v>
      </c>
      <c r="H79" t="str">
        <f>+dHdcp[[#This Row],[Maximo]]&amp;":"&amp;dHdcp[[#This Row],[Nombre]]</f>
        <v>0:Alfonso Hidalgo</v>
      </c>
      <c r="I79" t="str">
        <f>+dHdcp[[#This Row],[Maximo]]&amp;":"&amp;_xlfn.XLOOKUP(dHdcp[[#This Row],[Nombre]],dJugador[Nombre],dJugador[Mote],"",0)</f>
        <v>0:Alfonso</v>
      </c>
      <c r="J79" t="str">
        <f>+IF(dHdcp[[#This Row],[Maximo]]=0,"",_xlfn.RANK.EQ(dHdcp[[#This Row],[Handicap]],dHdcp[Handicap],1))</f>
        <v/>
      </c>
      <c r="K79" t="str">
        <f>IFERROR(+_xlfn.RANK.EQ(dHdcp[[#This Row],[Ranking]],dHdcp[Ranking],1),"")</f>
        <v/>
      </c>
      <c r="M79" t="str">
        <f>+dHdcp[[#This Row],[Fecha]]&amp;":"&amp;dHdcp[[#This Row],[Nombre]]</f>
        <v>43405:Alfonso Hidalgo</v>
      </c>
      <c r="N79">
        <f>+COUNTIF(dHdcp[Columna1],dHdcp[[#This Row],[Columna1]])</f>
        <v>2</v>
      </c>
    </row>
    <row r="80" spans="1:14">
      <c r="A80" s="2">
        <v>43405</v>
      </c>
      <c r="B80" t="s">
        <v>15</v>
      </c>
      <c r="C80" s="51">
        <v>5.4</v>
      </c>
      <c r="D80">
        <v>2</v>
      </c>
      <c r="E80" t="s">
        <v>74</v>
      </c>
      <c r="F80" t="s">
        <v>546</v>
      </c>
      <c r="G80">
        <f>+IF(dHdcp[[#This Row],[Fecha]]=MAX(dHdcp[Fecha]),1,0)</f>
        <v>0</v>
      </c>
      <c r="H80" t="str">
        <f>+dHdcp[[#This Row],[Maximo]]&amp;":"&amp;dHdcp[[#This Row],[Nombre]]</f>
        <v>0:Alvaro Aguirre</v>
      </c>
      <c r="I80" t="str">
        <f>+dHdcp[[#This Row],[Maximo]]&amp;":"&amp;_xlfn.XLOOKUP(dHdcp[[#This Row],[Nombre]],dJugador[Nombre],dJugador[Mote],"",0)</f>
        <v>0:Gifu</v>
      </c>
      <c r="J80" t="str">
        <f>+IF(dHdcp[[#This Row],[Maximo]]=0,"",_xlfn.RANK.EQ(dHdcp[[#This Row],[Handicap]],dHdcp[Handicap],1))</f>
        <v/>
      </c>
      <c r="K80" t="str">
        <f>IFERROR(+_xlfn.RANK.EQ(dHdcp[[#This Row],[Ranking]],dHdcp[Ranking],1),"")</f>
        <v/>
      </c>
      <c r="M80" t="str">
        <f>+dHdcp[[#This Row],[Fecha]]&amp;":"&amp;dHdcp[[#This Row],[Nombre]]</f>
        <v>43405:Alvaro Aguirre</v>
      </c>
      <c r="N80">
        <f>+COUNTIF(dHdcp[Columna1],dHdcp[[#This Row],[Columna1]])</f>
        <v>2</v>
      </c>
    </row>
    <row r="81" spans="1:14">
      <c r="A81" s="2">
        <v>43405</v>
      </c>
      <c r="B81" t="s">
        <v>15</v>
      </c>
      <c r="C81" s="51">
        <v>5.3999999999999995</v>
      </c>
      <c r="D81">
        <v>2</v>
      </c>
      <c r="E81" t="s">
        <v>75</v>
      </c>
      <c r="F81" t="s">
        <v>547</v>
      </c>
      <c r="G81">
        <f>+IF(dHdcp[[#This Row],[Fecha]]=MAX(dHdcp[Fecha]),1,0)</f>
        <v>0</v>
      </c>
      <c r="H81" t="str">
        <f>+dHdcp[[#This Row],[Maximo]]&amp;":"&amp;dHdcp[[#This Row],[Nombre]]</f>
        <v>0:Alvaro Aguirre</v>
      </c>
      <c r="I81" t="str">
        <f>+dHdcp[[#This Row],[Maximo]]&amp;":"&amp;_xlfn.XLOOKUP(dHdcp[[#This Row],[Nombre]],dJugador[Nombre],dJugador[Mote],"",0)</f>
        <v>0:Gifu</v>
      </c>
      <c r="J81" t="str">
        <f>+IF(dHdcp[[#This Row],[Maximo]]=0,"",_xlfn.RANK.EQ(dHdcp[[#This Row],[Handicap]],dHdcp[Handicap],1))</f>
        <v/>
      </c>
      <c r="K81" t="str">
        <f>IFERROR(+_xlfn.RANK.EQ(dHdcp[[#This Row],[Ranking]],dHdcp[Ranking],1),"")</f>
        <v/>
      </c>
      <c r="M81" t="str">
        <f>+dHdcp[[#This Row],[Fecha]]&amp;":"&amp;dHdcp[[#This Row],[Nombre]]</f>
        <v>43405:Alvaro Aguirre</v>
      </c>
      <c r="N81">
        <f>+COUNTIF(dHdcp[Columna1],dHdcp[[#This Row],[Columna1]])</f>
        <v>2</v>
      </c>
    </row>
    <row r="82" spans="1:14">
      <c r="A82" s="2">
        <v>43405</v>
      </c>
      <c r="B82" t="s">
        <v>25</v>
      </c>
      <c r="C82" s="51">
        <v>15.2</v>
      </c>
      <c r="D82">
        <v>3</v>
      </c>
      <c r="E82" t="s">
        <v>74</v>
      </c>
      <c r="F82" t="s">
        <v>548</v>
      </c>
      <c r="G82">
        <f>+IF(dHdcp[[#This Row],[Fecha]]=MAX(dHdcp[Fecha]),1,0)</f>
        <v>0</v>
      </c>
      <c r="H82" t="str">
        <f>+dHdcp[[#This Row],[Maximo]]&amp;":"&amp;dHdcp[[#This Row],[Nombre]]</f>
        <v>0:Alvaro Nieto</v>
      </c>
      <c r="I82" t="str">
        <f>+dHdcp[[#This Row],[Maximo]]&amp;":"&amp;_xlfn.XLOOKUP(dHdcp[[#This Row],[Nombre]],dJugador[Nombre],dJugador[Mote],"",0)</f>
        <v>0:Alvaro</v>
      </c>
      <c r="J82" t="str">
        <f>+IF(dHdcp[[#This Row],[Maximo]]=0,"",_xlfn.RANK.EQ(dHdcp[[#This Row],[Handicap]],dHdcp[Handicap],1))</f>
        <v/>
      </c>
      <c r="K82" t="str">
        <f>IFERROR(+_xlfn.RANK.EQ(dHdcp[[#This Row],[Ranking]],dHdcp[Ranking],1),"")</f>
        <v/>
      </c>
      <c r="M82" t="str">
        <f>+dHdcp[[#This Row],[Fecha]]&amp;":"&amp;dHdcp[[#This Row],[Nombre]]</f>
        <v>43405:Alvaro Nieto</v>
      </c>
      <c r="N82">
        <f>+COUNTIF(dHdcp[Columna1],dHdcp[[#This Row],[Columna1]])</f>
        <v>2</v>
      </c>
    </row>
    <row r="83" spans="1:14">
      <c r="A83" s="2">
        <v>43405</v>
      </c>
      <c r="B83" t="s">
        <v>25</v>
      </c>
      <c r="C83" s="51">
        <v>15.299999999999999</v>
      </c>
      <c r="D83">
        <v>3</v>
      </c>
      <c r="E83" t="s">
        <v>75</v>
      </c>
      <c r="F83" t="s">
        <v>549</v>
      </c>
      <c r="G83">
        <f>+IF(dHdcp[[#This Row],[Fecha]]=MAX(dHdcp[Fecha]),1,0)</f>
        <v>0</v>
      </c>
      <c r="H83" t="str">
        <f>+dHdcp[[#This Row],[Maximo]]&amp;":"&amp;dHdcp[[#This Row],[Nombre]]</f>
        <v>0:Alvaro Nieto</v>
      </c>
      <c r="I83" t="str">
        <f>+dHdcp[[#This Row],[Maximo]]&amp;":"&amp;_xlfn.XLOOKUP(dHdcp[[#This Row],[Nombre]],dJugador[Nombre],dJugador[Mote],"",0)</f>
        <v>0:Alvaro</v>
      </c>
      <c r="J83" t="str">
        <f>+IF(dHdcp[[#This Row],[Maximo]]=0,"",_xlfn.RANK.EQ(dHdcp[[#This Row],[Handicap]],dHdcp[Handicap],1))</f>
        <v/>
      </c>
      <c r="K83" t="str">
        <f>IFERROR(+_xlfn.RANK.EQ(dHdcp[[#This Row],[Ranking]],dHdcp[Ranking],1),"")</f>
        <v/>
      </c>
      <c r="M83" t="str">
        <f>+dHdcp[[#This Row],[Fecha]]&amp;":"&amp;dHdcp[[#This Row],[Nombre]]</f>
        <v>43405:Alvaro Nieto</v>
      </c>
      <c r="N83">
        <f>+COUNTIF(dHdcp[Columna1],dHdcp[[#This Row],[Columna1]])</f>
        <v>2</v>
      </c>
    </row>
    <row r="84" spans="1:14">
      <c r="A84" s="2">
        <v>43405</v>
      </c>
      <c r="B84" t="s">
        <v>33</v>
      </c>
      <c r="C84" s="51">
        <v>6.7</v>
      </c>
      <c r="D84">
        <v>2</v>
      </c>
      <c r="E84" t="s">
        <v>74</v>
      </c>
      <c r="F84" t="s">
        <v>550</v>
      </c>
      <c r="G84">
        <f>+IF(dHdcp[[#This Row],[Fecha]]=MAX(dHdcp[Fecha]),1,0)</f>
        <v>0</v>
      </c>
      <c r="H84" t="str">
        <f>+dHdcp[[#This Row],[Maximo]]&amp;":"&amp;dHdcp[[#This Row],[Nombre]]</f>
        <v>0:Angel Hernandez</v>
      </c>
      <c r="I84" t="str">
        <f>+dHdcp[[#This Row],[Maximo]]&amp;":"&amp;_xlfn.XLOOKUP(dHdcp[[#This Row],[Nombre]],dJugador[Nombre],dJugador[Mote],"",0)</f>
        <v>0:Angel</v>
      </c>
      <c r="J84" t="str">
        <f>+IF(dHdcp[[#This Row],[Maximo]]=0,"",_xlfn.RANK.EQ(dHdcp[[#This Row],[Handicap]],dHdcp[Handicap],1))</f>
        <v/>
      </c>
      <c r="K84" t="str">
        <f>IFERROR(+_xlfn.RANK.EQ(dHdcp[[#This Row],[Ranking]],dHdcp[Ranking],1),"")</f>
        <v/>
      </c>
      <c r="M84" t="str">
        <f>+dHdcp[[#This Row],[Fecha]]&amp;":"&amp;dHdcp[[#This Row],[Nombre]]</f>
        <v>43405:Angel Hernandez</v>
      </c>
      <c r="N84">
        <f>+COUNTIF(dHdcp[Columna1],dHdcp[[#This Row],[Columna1]])</f>
        <v>2</v>
      </c>
    </row>
    <row r="85" spans="1:14">
      <c r="A85" s="2">
        <v>43405</v>
      </c>
      <c r="B85" t="s">
        <v>33</v>
      </c>
      <c r="C85" s="51">
        <v>6.2999999999999989</v>
      </c>
      <c r="D85">
        <v>2</v>
      </c>
      <c r="E85" t="s">
        <v>75</v>
      </c>
      <c r="F85" t="s">
        <v>551</v>
      </c>
      <c r="G85">
        <f>+IF(dHdcp[[#This Row],[Fecha]]=MAX(dHdcp[Fecha]),1,0)</f>
        <v>0</v>
      </c>
      <c r="H85" t="str">
        <f>+dHdcp[[#This Row],[Maximo]]&amp;":"&amp;dHdcp[[#This Row],[Nombre]]</f>
        <v>0:Angel Hernandez</v>
      </c>
      <c r="I85" t="str">
        <f>+dHdcp[[#This Row],[Maximo]]&amp;":"&amp;_xlfn.XLOOKUP(dHdcp[[#This Row],[Nombre]],dJugador[Nombre],dJugador[Mote],"",0)</f>
        <v>0:Angel</v>
      </c>
      <c r="J85" t="str">
        <f>+IF(dHdcp[[#This Row],[Maximo]]=0,"",_xlfn.RANK.EQ(dHdcp[[#This Row],[Handicap]],dHdcp[Handicap],1))</f>
        <v/>
      </c>
      <c r="K85" t="str">
        <f>IFERROR(+_xlfn.RANK.EQ(dHdcp[[#This Row],[Ranking]],dHdcp[Ranking],1),"")</f>
        <v/>
      </c>
      <c r="M85" t="str">
        <f>+dHdcp[[#This Row],[Fecha]]&amp;":"&amp;dHdcp[[#This Row],[Nombre]]</f>
        <v>43405:Angel Hernandez</v>
      </c>
      <c r="N85">
        <f>+COUNTIF(dHdcp[Columna1],dHdcp[[#This Row],[Columna1]])</f>
        <v>2</v>
      </c>
    </row>
    <row r="86" spans="1:14">
      <c r="A86" s="2">
        <v>43405</v>
      </c>
      <c r="B86" t="s">
        <v>30</v>
      </c>
      <c r="C86" s="51">
        <v>11.8</v>
      </c>
      <c r="D86">
        <v>3</v>
      </c>
      <c r="E86" t="s">
        <v>74</v>
      </c>
      <c r="F86" t="s">
        <v>552</v>
      </c>
      <c r="G86">
        <f>+IF(dHdcp[[#This Row],[Fecha]]=MAX(dHdcp[Fecha]),1,0)</f>
        <v>0</v>
      </c>
      <c r="H86" t="str">
        <f>+dHdcp[[#This Row],[Maximo]]&amp;":"&amp;dHdcp[[#This Row],[Nombre]]</f>
        <v>0:David Sequera</v>
      </c>
      <c r="I86" t="str">
        <f>+dHdcp[[#This Row],[Maximo]]&amp;":"&amp;_xlfn.XLOOKUP(dHdcp[[#This Row],[Nombre]],dJugador[Nombre],dJugador[Mote],"",0)</f>
        <v>0:David</v>
      </c>
      <c r="J86" t="str">
        <f>+IF(dHdcp[[#This Row],[Maximo]]=0,"",_xlfn.RANK.EQ(dHdcp[[#This Row],[Handicap]],dHdcp[Handicap],1))</f>
        <v/>
      </c>
      <c r="K86" t="str">
        <f>IFERROR(+_xlfn.RANK.EQ(dHdcp[[#This Row],[Ranking]],dHdcp[Ranking],1),"")</f>
        <v/>
      </c>
      <c r="M86" t="str">
        <f>+dHdcp[[#This Row],[Fecha]]&amp;":"&amp;dHdcp[[#This Row],[Nombre]]</f>
        <v>43405:David Sequera</v>
      </c>
      <c r="N86">
        <f>+COUNTIF(dHdcp[Columna1],dHdcp[[#This Row],[Columna1]])</f>
        <v>2</v>
      </c>
    </row>
    <row r="87" spans="1:14">
      <c r="A87" s="2">
        <v>43405</v>
      </c>
      <c r="B87" t="s">
        <v>30</v>
      </c>
      <c r="C87" s="51">
        <v>11.9</v>
      </c>
      <c r="D87">
        <v>3</v>
      </c>
      <c r="E87" t="s">
        <v>75</v>
      </c>
      <c r="F87" t="s">
        <v>553</v>
      </c>
      <c r="G87">
        <f>+IF(dHdcp[[#This Row],[Fecha]]=MAX(dHdcp[Fecha]),1,0)</f>
        <v>0</v>
      </c>
      <c r="H87" t="str">
        <f>+dHdcp[[#This Row],[Maximo]]&amp;":"&amp;dHdcp[[#This Row],[Nombre]]</f>
        <v>0:David Sequera</v>
      </c>
      <c r="I87" t="str">
        <f>+dHdcp[[#This Row],[Maximo]]&amp;":"&amp;_xlfn.XLOOKUP(dHdcp[[#This Row],[Nombre]],dJugador[Nombre],dJugador[Mote],"",0)</f>
        <v>0:David</v>
      </c>
      <c r="J87" t="str">
        <f>+IF(dHdcp[[#This Row],[Maximo]]=0,"",_xlfn.RANK.EQ(dHdcp[[#This Row],[Handicap]],dHdcp[Handicap],1))</f>
        <v/>
      </c>
      <c r="K87" t="str">
        <f>IFERROR(+_xlfn.RANK.EQ(dHdcp[[#This Row],[Ranking]],dHdcp[Ranking],1),"")</f>
        <v/>
      </c>
      <c r="M87" t="str">
        <f>+dHdcp[[#This Row],[Fecha]]&amp;":"&amp;dHdcp[[#This Row],[Nombre]]</f>
        <v>43405:David Sequera</v>
      </c>
      <c r="N87">
        <f>+COUNTIF(dHdcp[Columna1],dHdcp[[#This Row],[Columna1]])</f>
        <v>2</v>
      </c>
    </row>
    <row r="88" spans="1:14">
      <c r="A88" s="2">
        <v>43405</v>
      </c>
      <c r="B88" t="s">
        <v>12</v>
      </c>
      <c r="C88" s="51">
        <v>17.5</v>
      </c>
      <c r="D88">
        <v>3</v>
      </c>
      <c r="E88" t="s">
        <v>74</v>
      </c>
      <c r="F88" t="s">
        <v>554</v>
      </c>
      <c r="G88">
        <f>+IF(dHdcp[[#This Row],[Fecha]]=MAX(dHdcp[Fecha]),1,0)</f>
        <v>0</v>
      </c>
      <c r="H88" t="str">
        <f>+dHdcp[[#This Row],[Maximo]]&amp;":"&amp;dHdcp[[#This Row],[Nombre]]</f>
        <v>0:Francisco Alvarez</v>
      </c>
      <c r="I88" t="str">
        <f>+dHdcp[[#This Row],[Maximo]]&amp;":"&amp;_xlfn.XLOOKUP(dHdcp[[#This Row],[Nombre]],dJugador[Nombre],dJugador[Mote],"",0)</f>
        <v>0:Paco</v>
      </c>
      <c r="J88" t="str">
        <f>+IF(dHdcp[[#This Row],[Maximo]]=0,"",_xlfn.RANK.EQ(dHdcp[[#This Row],[Handicap]],dHdcp[Handicap],1))</f>
        <v/>
      </c>
      <c r="K88" t="str">
        <f>IFERROR(+_xlfn.RANK.EQ(dHdcp[[#This Row],[Ranking]],dHdcp[Ranking],1),"")</f>
        <v/>
      </c>
      <c r="M88" t="str">
        <f>+dHdcp[[#This Row],[Fecha]]&amp;":"&amp;dHdcp[[#This Row],[Nombre]]</f>
        <v>43405:Francisco Alvarez</v>
      </c>
      <c r="N88">
        <f>+COUNTIF(dHdcp[Columna1],dHdcp[[#This Row],[Columna1]])</f>
        <v>2</v>
      </c>
    </row>
    <row r="89" spans="1:14">
      <c r="A89" s="2">
        <v>43405</v>
      </c>
      <c r="B89" t="s">
        <v>12</v>
      </c>
      <c r="C89" s="51">
        <v>17.2</v>
      </c>
      <c r="D89">
        <v>3</v>
      </c>
      <c r="E89" t="s">
        <v>75</v>
      </c>
      <c r="F89" t="s">
        <v>555</v>
      </c>
      <c r="G89">
        <f>+IF(dHdcp[[#This Row],[Fecha]]=MAX(dHdcp[Fecha]),1,0)</f>
        <v>0</v>
      </c>
      <c r="H89" t="str">
        <f>+dHdcp[[#This Row],[Maximo]]&amp;":"&amp;dHdcp[[#This Row],[Nombre]]</f>
        <v>0:Francisco Alvarez</v>
      </c>
      <c r="I89" t="str">
        <f>+dHdcp[[#This Row],[Maximo]]&amp;":"&amp;_xlfn.XLOOKUP(dHdcp[[#This Row],[Nombre]],dJugador[Nombre],dJugador[Mote],"",0)</f>
        <v>0:Paco</v>
      </c>
      <c r="J89" t="str">
        <f>+IF(dHdcp[[#This Row],[Maximo]]=0,"",_xlfn.RANK.EQ(dHdcp[[#This Row],[Handicap]],dHdcp[Handicap],1))</f>
        <v/>
      </c>
      <c r="K89" t="str">
        <f>IFERROR(+_xlfn.RANK.EQ(dHdcp[[#This Row],[Ranking]],dHdcp[Ranking],1),"")</f>
        <v/>
      </c>
      <c r="M89" t="str">
        <f>+dHdcp[[#This Row],[Fecha]]&amp;":"&amp;dHdcp[[#This Row],[Nombre]]</f>
        <v>43405:Francisco Alvarez</v>
      </c>
      <c r="N89">
        <f>+COUNTIF(dHdcp[Columna1],dHdcp[[#This Row],[Columna1]])</f>
        <v>2</v>
      </c>
    </row>
    <row r="90" spans="1:14">
      <c r="A90" s="2">
        <v>43405</v>
      </c>
      <c r="B90" t="s">
        <v>49</v>
      </c>
      <c r="C90" s="51">
        <v>12.9</v>
      </c>
      <c r="D90">
        <v>3</v>
      </c>
      <c r="E90" t="s">
        <v>74</v>
      </c>
      <c r="F90" t="s">
        <v>556</v>
      </c>
      <c r="G90">
        <f>+IF(dHdcp[[#This Row],[Fecha]]=MAX(dHdcp[Fecha]),1,0)</f>
        <v>0</v>
      </c>
      <c r="H90" t="str">
        <f>+dHdcp[[#This Row],[Maximo]]&amp;":"&amp;dHdcp[[#This Row],[Nombre]]</f>
        <v>0:Francisco Hidalgo</v>
      </c>
      <c r="I90" t="str">
        <f>+dHdcp[[#This Row],[Maximo]]&amp;":"&amp;_xlfn.XLOOKUP(dHdcp[[#This Row],[Nombre]],dJugador[Nombre],dJugador[Mote],"",0)</f>
        <v>0:Fran</v>
      </c>
      <c r="J90" t="str">
        <f>+IF(dHdcp[[#This Row],[Maximo]]=0,"",_xlfn.RANK.EQ(dHdcp[[#This Row],[Handicap]],dHdcp[Handicap],1))</f>
        <v/>
      </c>
      <c r="K90" t="str">
        <f>IFERROR(+_xlfn.RANK.EQ(dHdcp[[#This Row],[Ranking]],dHdcp[Ranking],1),"")</f>
        <v/>
      </c>
      <c r="M90" t="str">
        <f>+dHdcp[[#This Row],[Fecha]]&amp;":"&amp;dHdcp[[#This Row],[Nombre]]</f>
        <v>43405:Francisco Hidalgo</v>
      </c>
      <c r="N90">
        <f>+COUNTIF(dHdcp[Columna1],dHdcp[[#This Row],[Columna1]])</f>
        <v>2</v>
      </c>
    </row>
    <row r="91" spans="1:14">
      <c r="A91" s="2">
        <v>43405</v>
      </c>
      <c r="B91" t="s">
        <v>49</v>
      </c>
      <c r="C91" s="51">
        <v>12.9</v>
      </c>
      <c r="D91">
        <v>3</v>
      </c>
      <c r="E91" t="s">
        <v>75</v>
      </c>
      <c r="F91" t="s">
        <v>557</v>
      </c>
      <c r="G91">
        <f>+IF(dHdcp[[#This Row],[Fecha]]=MAX(dHdcp[Fecha]),1,0)</f>
        <v>0</v>
      </c>
      <c r="H91" t="str">
        <f>+dHdcp[[#This Row],[Maximo]]&amp;":"&amp;dHdcp[[#This Row],[Nombre]]</f>
        <v>0:Francisco Hidalgo</v>
      </c>
      <c r="I91" t="str">
        <f>+dHdcp[[#This Row],[Maximo]]&amp;":"&amp;_xlfn.XLOOKUP(dHdcp[[#This Row],[Nombre]],dJugador[Nombre],dJugador[Mote],"",0)</f>
        <v>0:Fran</v>
      </c>
      <c r="J91" t="str">
        <f>+IF(dHdcp[[#This Row],[Maximo]]=0,"",_xlfn.RANK.EQ(dHdcp[[#This Row],[Handicap]],dHdcp[Handicap],1))</f>
        <v/>
      </c>
      <c r="K91" t="str">
        <f>IFERROR(+_xlfn.RANK.EQ(dHdcp[[#This Row],[Ranking]],dHdcp[Ranking],1),"")</f>
        <v/>
      </c>
      <c r="M91" t="str">
        <f>+dHdcp[[#This Row],[Fecha]]&amp;":"&amp;dHdcp[[#This Row],[Nombre]]</f>
        <v>43405:Francisco Hidalgo</v>
      </c>
      <c r="N91">
        <f>+COUNTIF(dHdcp[Columna1],dHdcp[[#This Row],[Columna1]])</f>
        <v>2</v>
      </c>
    </row>
    <row r="92" spans="1:14">
      <c r="A92" s="2">
        <v>43405</v>
      </c>
      <c r="B92" t="s">
        <v>35</v>
      </c>
      <c r="C92" s="51">
        <v>17.2</v>
      </c>
      <c r="D92">
        <v>3</v>
      </c>
      <c r="E92" t="s">
        <v>74</v>
      </c>
      <c r="F92" s="94" t="s">
        <v>558</v>
      </c>
      <c r="G92">
        <f>+IF(dHdcp[[#This Row],[Fecha]]=MAX(dHdcp[Fecha]),1,0)</f>
        <v>0</v>
      </c>
      <c r="H92" t="str">
        <f>+dHdcp[[#This Row],[Maximo]]&amp;":"&amp;dHdcp[[#This Row],[Nombre]]</f>
        <v>0:GLEZ JUAN JOSÉ</v>
      </c>
      <c r="I92" t="str">
        <f>+dHdcp[[#This Row],[Maximo]]&amp;":"&amp;_xlfn.XLOOKUP(dHdcp[[#This Row],[Nombre]],dJugador[Nombre],dJugador[Mote],"",0)</f>
        <v>0:Juanjo</v>
      </c>
      <c r="J92" t="str">
        <f>+IF(dHdcp[[#This Row],[Maximo]]=0,"",_xlfn.RANK.EQ(dHdcp[[#This Row],[Handicap]],dHdcp[Handicap],1))</f>
        <v/>
      </c>
      <c r="K92" t="str">
        <f>IFERROR(+_xlfn.RANK.EQ(dHdcp[[#This Row],[Ranking]],dHdcp[Ranking],1),"")</f>
        <v/>
      </c>
      <c r="M92" t="str">
        <f>+dHdcp[[#This Row],[Fecha]]&amp;":"&amp;dHdcp[[#This Row],[Nombre]]</f>
        <v>43405:GLEZ JUAN JOSÉ</v>
      </c>
      <c r="N92">
        <f>+COUNTIF(dHdcp[Columna1],dHdcp[[#This Row],[Columna1]])</f>
        <v>2</v>
      </c>
    </row>
    <row r="93" spans="1:14">
      <c r="A93" s="2">
        <v>43405</v>
      </c>
      <c r="B93" t="s">
        <v>35</v>
      </c>
      <c r="C93" s="51">
        <v>16.700000000000003</v>
      </c>
      <c r="D93">
        <v>3</v>
      </c>
      <c r="E93" t="s">
        <v>75</v>
      </c>
      <c r="F93" t="s">
        <v>559</v>
      </c>
      <c r="G93">
        <f>+IF(dHdcp[[#This Row],[Fecha]]=MAX(dHdcp[Fecha]),1,0)</f>
        <v>0</v>
      </c>
      <c r="H93" t="str">
        <f>+dHdcp[[#This Row],[Maximo]]&amp;":"&amp;dHdcp[[#This Row],[Nombre]]</f>
        <v>0:GLEZ JUAN JOSÉ</v>
      </c>
      <c r="I93" t="str">
        <f>+dHdcp[[#This Row],[Maximo]]&amp;":"&amp;_xlfn.XLOOKUP(dHdcp[[#This Row],[Nombre]],dJugador[Nombre],dJugador[Mote],"",0)</f>
        <v>0:Juanjo</v>
      </c>
      <c r="J93" t="str">
        <f>+IF(dHdcp[[#This Row],[Maximo]]=0,"",_xlfn.RANK.EQ(dHdcp[[#This Row],[Handicap]],dHdcp[Handicap],1))</f>
        <v/>
      </c>
      <c r="K93" t="str">
        <f>IFERROR(+_xlfn.RANK.EQ(dHdcp[[#This Row],[Ranking]],dHdcp[Ranking],1),"")</f>
        <v/>
      </c>
      <c r="M93" t="str">
        <f>+dHdcp[[#This Row],[Fecha]]&amp;":"&amp;dHdcp[[#This Row],[Nombre]]</f>
        <v>43405:GLEZ JUAN JOSÉ</v>
      </c>
      <c r="N93">
        <f>+COUNTIF(dHdcp[Columna1],dHdcp[[#This Row],[Columna1]])</f>
        <v>2</v>
      </c>
    </row>
    <row r="94" spans="1:14">
      <c r="A94" s="2">
        <v>43405</v>
      </c>
      <c r="B94" t="s">
        <v>6</v>
      </c>
      <c r="C94" s="51">
        <v>6.5</v>
      </c>
      <c r="D94">
        <v>2</v>
      </c>
      <c r="E94" t="s">
        <v>74</v>
      </c>
      <c r="F94" t="s">
        <v>560</v>
      </c>
      <c r="G94">
        <f>+IF(dHdcp[[#This Row],[Fecha]]=MAX(dHdcp[Fecha]),1,0)</f>
        <v>0</v>
      </c>
      <c r="H94" t="str">
        <f>+dHdcp[[#This Row],[Maximo]]&amp;":"&amp;dHdcp[[#This Row],[Nombre]]</f>
        <v>0:Ignacio Cadarso</v>
      </c>
      <c r="I94" t="str">
        <f>+dHdcp[[#This Row],[Maximo]]&amp;":"&amp;_xlfn.XLOOKUP(dHdcp[[#This Row],[Nombre]],dJugador[Nombre],dJugador[Mote],"",0)</f>
        <v>0:Ignacio</v>
      </c>
      <c r="J94" t="str">
        <f>+IF(dHdcp[[#This Row],[Maximo]]=0,"",_xlfn.RANK.EQ(dHdcp[[#This Row],[Handicap]],dHdcp[Handicap],1))</f>
        <v/>
      </c>
      <c r="K94" t="str">
        <f>IFERROR(+_xlfn.RANK.EQ(dHdcp[[#This Row],[Ranking]],dHdcp[Ranking],1),"")</f>
        <v/>
      </c>
      <c r="M94" t="str">
        <f>+dHdcp[[#This Row],[Fecha]]&amp;":"&amp;dHdcp[[#This Row],[Nombre]]</f>
        <v>43405:Ignacio Cadarso</v>
      </c>
      <c r="N94">
        <f>+COUNTIF(dHdcp[Columna1],dHdcp[[#This Row],[Columna1]])</f>
        <v>2</v>
      </c>
    </row>
    <row r="95" spans="1:14">
      <c r="A95" s="2">
        <v>43405</v>
      </c>
      <c r="B95" t="s">
        <v>6</v>
      </c>
      <c r="C95" s="51">
        <v>6.6</v>
      </c>
      <c r="D95">
        <v>2</v>
      </c>
      <c r="E95" t="s">
        <v>75</v>
      </c>
      <c r="F95" t="s">
        <v>561</v>
      </c>
      <c r="G95">
        <f>+IF(dHdcp[[#This Row],[Fecha]]=MAX(dHdcp[Fecha]),1,0)</f>
        <v>0</v>
      </c>
      <c r="H95" t="str">
        <f>+dHdcp[[#This Row],[Maximo]]&amp;":"&amp;dHdcp[[#This Row],[Nombre]]</f>
        <v>0:Ignacio Cadarso</v>
      </c>
      <c r="I95" t="str">
        <f>+dHdcp[[#This Row],[Maximo]]&amp;":"&amp;_xlfn.XLOOKUP(dHdcp[[#This Row],[Nombre]],dJugador[Nombre],dJugador[Mote],"",0)</f>
        <v>0:Ignacio</v>
      </c>
      <c r="J95" t="str">
        <f>+IF(dHdcp[[#This Row],[Maximo]]=0,"",_xlfn.RANK.EQ(dHdcp[[#This Row],[Handicap]],dHdcp[Handicap],1))</f>
        <v/>
      </c>
      <c r="K95" t="str">
        <f>IFERROR(+_xlfn.RANK.EQ(dHdcp[[#This Row],[Ranking]],dHdcp[Ranking],1),"")</f>
        <v/>
      </c>
      <c r="M95" t="str">
        <f>+dHdcp[[#This Row],[Fecha]]&amp;":"&amp;dHdcp[[#This Row],[Nombre]]</f>
        <v>43405:Ignacio Cadarso</v>
      </c>
      <c r="N95">
        <f>+COUNTIF(dHdcp[Columna1],dHdcp[[#This Row],[Columna1]])</f>
        <v>2</v>
      </c>
    </row>
    <row r="96" spans="1:14">
      <c r="A96" s="2">
        <v>43405</v>
      </c>
      <c r="B96" t="s">
        <v>39</v>
      </c>
      <c r="C96" s="51">
        <v>14.5</v>
      </c>
      <c r="D96">
        <v>3</v>
      </c>
      <c r="E96" t="s">
        <v>74</v>
      </c>
      <c r="F96" t="s">
        <v>562</v>
      </c>
      <c r="G96">
        <f>+IF(dHdcp[[#This Row],[Fecha]]=MAX(dHdcp[Fecha]),1,0)</f>
        <v>0</v>
      </c>
      <c r="H96" t="str">
        <f>+dHdcp[[#This Row],[Maximo]]&amp;":"&amp;dHdcp[[#This Row],[Nombre]]</f>
        <v>0:Iñigo Rosas</v>
      </c>
      <c r="I96" t="str">
        <f>+dHdcp[[#This Row],[Maximo]]&amp;":"&amp;_xlfn.XLOOKUP(dHdcp[[#This Row],[Nombre]],dJugador[Nombre],dJugador[Mote],"",0)</f>
        <v>0:</v>
      </c>
      <c r="J96" t="str">
        <f>+IF(dHdcp[[#This Row],[Maximo]]=0,"",_xlfn.RANK.EQ(dHdcp[[#This Row],[Handicap]],dHdcp[Handicap],1))</f>
        <v/>
      </c>
      <c r="K96" t="str">
        <f>IFERROR(+_xlfn.RANK.EQ(dHdcp[[#This Row],[Ranking]],dHdcp[Ranking],1),"")</f>
        <v/>
      </c>
      <c r="M96" t="str">
        <f>+dHdcp[[#This Row],[Fecha]]&amp;":"&amp;dHdcp[[#This Row],[Nombre]]</f>
        <v>43405:Iñigo Rosas</v>
      </c>
      <c r="N96">
        <f>+COUNTIF(dHdcp[Columna1],dHdcp[[#This Row],[Columna1]])</f>
        <v>2</v>
      </c>
    </row>
    <row r="97" spans="1:14">
      <c r="A97" s="2">
        <v>43405</v>
      </c>
      <c r="B97" t="s">
        <v>39</v>
      </c>
      <c r="C97" s="51">
        <v>13.3</v>
      </c>
      <c r="D97">
        <v>3</v>
      </c>
      <c r="E97" t="s">
        <v>75</v>
      </c>
      <c r="F97" t="s">
        <v>563</v>
      </c>
      <c r="G97">
        <f>+IF(dHdcp[[#This Row],[Fecha]]=MAX(dHdcp[Fecha]),1,0)</f>
        <v>0</v>
      </c>
      <c r="H97" t="str">
        <f>+dHdcp[[#This Row],[Maximo]]&amp;":"&amp;dHdcp[[#This Row],[Nombre]]</f>
        <v>0:Iñigo Rosas</v>
      </c>
      <c r="I97" t="str">
        <f>+dHdcp[[#This Row],[Maximo]]&amp;":"&amp;_xlfn.XLOOKUP(dHdcp[[#This Row],[Nombre]],dJugador[Nombre],dJugador[Mote],"",0)</f>
        <v>0:</v>
      </c>
      <c r="J97" t="str">
        <f>+IF(dHdcp[[#This Row],[Maximo]]=0,"",_xlfn.RANK.EQ(dHdcp[[#This Row],[Handicap]],dHdcp[Handicap],1))</f>
        <v/>
      </c>
      <c r="K97" t="str">
        <f>IFERROR(+_xlfn.RANK.EQ(dHdcp[[#This Row],[Ranking]],dHdcp[Ranking],1),"")</f>
        <v/>
      </c>
      <c r="M97" t="str">
        <f>+dHdcp[[#This Row],[Fecha]]&amp;":"&amp;dHdcp[[#This Row],[Nombre]]</f>
        <v>43405:Iñigo Rosas</v>
      </c>
      <c r="N97">
        <f>+COUNTIF(dHdcp[Columna1],dHdcp[[#This Row],[Columna1]])</f>
        <v>2</v>
      </c>
    </row>
    <row r="98" spans="1:14">
      <c r="A98" s="2">
        <v>43405</v>
      </c>
      <c r="B98" t="s">
        <v>23</v>
      </c>
      <c r="C98" s="51">
        <v>19.399999999999999</v>
      </c>
      <c r="D98">
        <v>4</v>
      </c>
      <c r="E98" t="s">
        <v>74</v>
      </c>
      <c r="F98" t="s">
        <v>564</v>
      </c>
      <c r="G98">
        <f>+IF(dHdcp[[#This Row],[Fecha]]=MAX(dHdcp[Fecha]),1,0)</f>
        <v>0</v>
      </c>
      <c r="H98" t="str">
        <f>+dHdcp[[#This Row],[Maximo]]&amp;":"&amp;dHdcp[[#This Row],[Nombre]]</f>
        <v>0:J. Enrique Gonzalez</v>
      </c>
      <c r="I98" t="str">
        <f>+dHdcp[[#This Row],[Maximo]]&amp;":"&amp;_xlfn.XLOOKUP(dHdcp[[#This Row],[Nombre]],dJugador[Nombre],dJugador[Mote],"",0)</f>
        <v>0:Kike</v>
      </c>
      <c r="J98" t="str">
        <f>+IF(dHdcp[[#This Row],[Maximo]]=0,"",_xlfn.RANK.EQ(dHdcp[[#This Row],[Handicap]],dHdcp[Handicap],1))</f>
        <v/>
      </c>
      <c r="K98" t="str">
        <f>IFERROR(+_xlfn.RANK.EQ(dHdcp[[#This Row],[Ranking]],dHdcp[Ranking],1),"")</f>
        <v/>
      </c>
      <c r="M98" t="str">
        <f>+dHdcp[[#This Row],[Fecha]]&amp;":"&amp;dHdcp[[#This Row],[Nombre]]</f>
        <v>43405:J. Enrique Gonzalez</v>
      </c>
      <c r="N98">
        <f>+COUNTIF(dHdcp[Columna1],dHdcp[[#This Row],[Columna1]])</f>
        <v>2</v>
      </c>
    </row>
    <row r="99" spans="1:14">
      <c r="A99" s="2">
        <v>43405</v>
      </c>
      <c r="B99" t="s">
        <v>23</v>
      </c>
      <c r="C99" s="51">
        <v>19.100000000000005</v>
      </c>
      <c r="D99">
        <v>4</v>
      </c>
      <c r="E99" t="s">
        <v>75</v>
      </c>
      <c r="F99" t="s">
        <v>565</v>
      </c>
      <c r="G99">
        <f>+IF(dHdcp[[#This Row],[Fecha]]=MAX(dHdcp[Fecha]),1,0)</f>
        <v>0</v>
      </c>
      <c r="H99" t="str">
        <f>+dHdcp[[#This Row],[Maximo]]&amp;":"&amp;dHdcp[[#This Row],[Nombre]]</f>
        <v>0:J. Enrique Gonzalez</v>
      </c>
      <c r="I99" t="str">
        <f>+dHdcp[[#This Row],[Maximo]]&amp;":"&amp;_xlfn.XLOOKUP(dHdcp[[#This Row],[Nombre]],dJugador[Nombre],dJugador[Mote],"",0)</f>
        <v>0:Kike</v>
      </c>
      <c r="J99" t="str">
        <f>+IF(dHdcp[[#This Row],[Maximo]]=0,"",_xlfn.RANK.EQ(dHdcp[[#This Row],[Handicap]],dHdcp[Handicap],1))</f>
        <v/>
      </c>
      <c r="K99" t="str">
        <f>IFERROR(+_xlfn.RANK.EQ(dHdcp[[#This Row],[Ranking]],dHdcp[Ranking],1),"")</f>
        <v/>
      </c>
      <c r="M99" t="str">
        <f>+dHdcp[[#This Row],[Fecha]]&amp;":"&amp;dHdcp[[#This Row],[Nombre]]</f>
        <v>43405:J. Enrique Gonzalez</v>
      </c>
      <c r="N99">
        <f>+COUNTIF(dHdcp[Columna1],dHdcp[[#This Row],[Columna1]])</f>
        <v>2</v>
      </c>
    </row>
    <row r="100" spans="1:14">
      <c r="A100" s="2">
        <v>43405</v>
      </c>
      <c r="B100" t="s">
        <v>46</v>
      </c>
      <c r="C100" s="51">
        <v>13</v>
      </c>
      <c r="D100">
        <v>3</v>
      </c>
      <c r="E100" t="s">
        <v>74</v>
      </c>
      <c r="F100" t="s">
        <v>566</v>
      </c>
      <c r="G100">
        <f>+IF(dHdcp[[#This Row],[Fecha]]=MAX(dHdcp[Fecha]),1,0)</f>
        <v>0</v>
      </c>
      <c r="H100" t="str">
        <f>+dHdcp[[#This Row],[Maximo]]&amp;":"&amp;dHdcp[[#This Row],[Nombre]]</f>
        <v>0:Javier Cervera</v>
      </c>
      <c r="I100" t="str">
        <f>+dHdcp[[#This Row],[Maximo]]&amp;":"&amp;_xlfn.XLOOKUP(dHdcp[[#This Row],[Nombre]],dJugador[Nombre],dJugador[Mote],"",0)</f>
        <v>0:Virus</v>
      </c>
      <c r="J100" t="str">
        <f>+IF(dHdcp[[#This Row],[Maximo]]=0,"",_xlfn.RANK.EQ(dHdcp[[#This Row],[Handicap]],dHdcp[Handicap],1))</f>
        <v/>
      </c>
      <c r="K100" t="str">
        <f>IFERROR(+_xlfn.RANK.EQ(dHdcp[[#This Row],[Ranking]],dHdcp[Ranking],1),"")</f>
        <v/>
      </c>
      <c r="M100" t="str">
        <f>+dHdcp[[#This Row],[Fecha]]&amp;":"&amp;dHdcp[[#This Row],[Nombre]]</f>
        <v>43405:Javier Cervera</v>
      </c>
      <c r="N100">
        <f>+COUNTIF(dHdcp[Columna1],dHdcp[[#This Row],[Columna1]])</f>
        <v>2</v>
      </c>
    </row>
    <row r="101" spans="1:14">
      <c r="A101" s="2">
        <v>43405</v>
      </c>
      <c r="B101" t="s">
        <v>46</v>
      </c>
      <c r="C101" s="51">
        <v>13.1</v>
      </c>
      <c r="D101">
        <v>3</v>
      </c>
      <c r="E101" t="s">
        <v>75</v>
      </c>
      <c r="F101" t="s">
        <v>567</v>
      </c>
      <c r="G101">
        <f>+IF(dHdcp[[#This Row],[Fecha]]=MAX(dHdcp[Fecha]),1,0)</f>
        <v>0</v>
      </c>
      <c r="H101" t="str">
        <f>+dHdcp[[#This Row],[Maximo]]&amp;":"&amp;dHdcp[[#This Row],[Nombre]]</f>
        <v>0:Javier Cervera</v>
      </c>
      <c r="I101" t="str">
        <f>+dHdcp[[#This Row],[Maximo]]&amp;":"&amp;_xlfn.XLOOKUP(dHdcp[[#This Row],[Nombre]],dJugador[Nombre],dJugador[Mote],"",0)</f>
        <v>0:Virus</v>
      </c>
      <c r="J101" t="str">
        <f>+IF(dHdcp[[#This Row],[Maximo]]=0,"",_xlfn.RANK.EQ(dHdcp[[#This Row],[Handicap]],dHdcp[Handicap],1))</f>
        <v/>
      </c>
      <c r="K101" t="str">
        <f>IFERROR(+_xlfn.RANK.EQ(dHdcp[[#This Row],[Ranking]],dHdcp[Ranking],1),"")</f>
        <v/>
      </c>
      <c r="M101" t="str">
        <f>+dHdcp[[#This Row],[Fecha]]&amp;":"&amp;dHdcp[[#This Row],[Nombre]]</f>
        <v>43405:Javier Cervera</v>
      </c>
      <c r="N101">
        <f>+COUNTIF(dHdcp[Columna1],dHdcp[[#This Row],[Columna1]])</f>
        <v>2</v>
      </c>
    </row>
    <row r="102" spans="1:14">
      <c r="A102" s="2">
        <v>43405</v>
      </c>
      <c r="B102" t="s">
        <v>20</v>
      </c>
      <c r="C102" s="51">
        <v>13.8</v>
      </c>
      <c r="D102">
        <v>3</v>
      </c>
      <c r="E102" t="s">
        <v>74</v>
      </c>
      <c r="F102" t="s">
        <v>568</v>
      </c>
      <c r="G102">
        <f>+IF(dHdcp[[#This Row],[Fecha]]=MAX(dHdcp[Fecha]),1,0)</f>
        <v>0</v>
      </c>
      <c r="H102" t="str">
        <f>+dHdcp[[#This Row],[Maximo]]&amp;":"&amp;dHdcp[[#This Row],[Nombre]]</f>
        <v>0:Javier Gonzalez Salvador</v>
      </c>
      <c r="I102" t="str">
        <f>+dHdcp[[#This Row],[Maximo]]&amp;":"&amp;_xlfn.XLOOKUP(dHdcp[[#This Row],[Nombre]],dJugador[Nombre],dJugador[Mote],"",0)</f>
        <v>0:Javi</v>
      </c>
      <c r="J102" t="str">
        <f>+IF(dHdcp[[#This Row],[Maximo]]=0,"",_xlfn.RANK.EQ(dHdcp[[#This Row],[Handicap]],dHdcp[Handicap],1))</f>
        <v/>
      </c>
      <c r="K102" t="str">
        <f>IFERROR(+_xlfn.RANK.EQ(dHdcp[[#This Row],[Ranking]],dHdcp[Ranking],1),"")</f>
        <v/>
      </c>
      <c r="M102" t="str">
        <f>+dHdcp[[#This Row],[Fecha]]&amp;":"&amp;dHdcp[[#This Row],[Nombre]]</f>
        <v>43405:Javier Gonzalez Salvador</v>
      </c>
      <c r="N102">
        <f>+COUNTIF(dHdcp[Columna1],dHdcp[[#This Row],[Columna1]])</f>
        <v>2</v>
      </c>
    </row>
    <row r="103" spans="1:14">
      <c r="A103" s="2">
        <v>43405</v>
      </c>
      <c r="B103" t="s">
        <v>20</v>
      </c>
      <c r="C103" s="51">
        <v>10</v>
      </c>
      <c r="D103">
        <v>2</v>
      </c>
      <c r="E103" t="s">
        <v>75</v>
      </c>
      <c r="F103" t="s">
        <v>569</v>
      </c>
      <c r="G103">
        <f>+IF(dHdcp[[#This Row],[Fecha]]=MAX(dHdcp[Fecha]),1,0)</f>
        <v>0</v>
      </c>
      <c r="H103" t="str">
        <f>+dHdcp[[#This Row],[Maximo]]&amp;":"&amp;dHdcp[[#This Row],[Nombre]]</f>
        <v>0:Javier Gonzalez Salvador</v>
      </c>
      <c r="I103" t="str">
        <f>+dHdcp[[#This Row],[Maximo]]&amp;":"&amp;_xlfn.XLOOKUP(dHdcp[[#This Row],[Nombre]],dJugador[Nombre],dJugador[Mote],"",0)</f>
        <v>0:Javi</v>
      </c>
      <c r="J103" t="str">
        <f>+IF(dHdcp[[#This Row],[Maximo]]=0,"",_xlfn.RANK.EQ(dHdcp[[#This Row],[Handicap]],dHdcp[Handicap],1))</f>
        <v/>
      </c>
      <c r="K103" t="str">
        <f>IFERROR(+_xlfn.RANK.EQ(dHdcp[[#This Row],[Ranking]],dHdcp[Ranking],1),"")</f>
        <v/>
      </c>
      <c r="M103" t="str">
        <f>+dHdcp[[#This Row],[Fecha]]&amp;":"&amp;dHdcp[[#This Row],[Nombre]]</f>
        <v>43405:Javier Gonzalez Salvador</v>
      </c>
      <c r="N103">
        <f>+COUNTIF(dHdcp[Columna1],dHdcp[[#This Row],[Columna1]])</f>
        <v>2</v>
      </c>
    </row>
    <row r="104" spans="1:14">
      <c r="A104" s="2">
        <v>43405</v>
      </c>
      <c r="B104" t="s">
        <v>41</v>
      </c>
      <c r="C104" s="51">
        <v>21.3</v>
      </c>
      <c r="D104">
        <v>4</v>
      </c>
      <c r="E104" t="s">
        <v>74</v>
      </c>
      <c r="F104" t="s">
        <v>570</v>
      </c>
      <c r="G104">
        <f>+IF(dHdcp[[#This Row],[Fecha]]=MAX(dHdcp[Fecha]),1,0)</f>
        <v>0</v>
      </c>
      <c r="H104" t="str">
        <f>+dHdcp[[#This Row],[Maximo]]&amp;":"&amp;dHdcp[[#This Row],[Nombre]]</f>
        <v>0:Jesus Touceda</v>
      </c>
      <c r="I104" t="str">
        <f>+dHdcp[[#This Row],[Maximo]]&amp;":"&amp;_xlfn.XLOOKUP(dHdcp[[#This Row],[Nombre]],dJugador[Nombre],dJugador[Mote],"",0)</f>
        <v>0:Jesús</v>
      </c>
      <c r="J104" t="str">
        <f>+IF(dHdcp[[#This Row],[Maximo]]=0,"",_xlfn.RANK.EQ(dHdcp[[#This Row],[Handicap]],dHdcp[Handicap],1))</f>
        <v/>
      </c>
      <c r="K104" t="str">
        <f>IFERROR(+_xlfn.RANK.EQ(dHdcp[[#This Row],[Ranking]],dHdcp[Ranking],1),"")</f>
        <v/>
      </c>
      <c r="M104" t="str">
        <f>+dHdcp[[#This Row],[Fecha]]&amp;":"&amp;dHdcp[[#This Row],[Nombre]]</f>
        <v>43405:Jesus Touceda</v>
      </c>
      <c r="N104">
        <f>+COUNTIF(dHdcp[Columna1],dHdcp[[#This Row],[Columna1]])</f>
        <v>2</v>
      </c>
    </row>
    <row r="105" spans="1:14">
      <c r="A105" s="2">
        <v>43405</v>
      </c>
      <c r="B105" t="s">
        <v>41</v>
      </c>
      <c r="C105" s="51">
        <v>21.3</v>
      </c>
      <c r="D105">
        <v>4</v>
      </c>
      <c r="E105" t="s">
        <v>75</v>
      </c>
      <c r="F105" t="s">
        <v>571</v>
      </c>
      <c r="G105">
        <f>+IF(dHdcp[[#This Row],[Fecha]]=MAX(dHdcp[Fecha]),1,0)</f>
        <v>0</v>
      </c>
      <c r="H105" t="str">
        <f>+dHdcp[[#This Row],[Maximo]]&amp;":"&amp;dHdcp[[#This Row],[Nombre]]</f>
        <v>0:Jesus Touceda</v>
      </c>
      <c r="I105" t="str">
        <f>+dHdcp[[#This Row],[Maximo]]&amp;":"&amp;_xlfn.XLOOKUP(dHdcp[[#This Row],[Nombre]],dJugador[Nombre],dJugador[Mote],"",0)</f>
        <v>0:Jesús</v>
      </c>
      <c r="J105" t="str">
        <f>+IF(dHdcp[[#This Row],[Maximo]]=0,"",_xlfn.RANK.EQ(dHdcp[[#This Row],[Handicap]],dHdcp[Handicap],1))</f>
        <v/>
      </c>
      <c r="K105" t="str">
        <f>IFERROR(+_xlfn.RANK.EQ(dHdcp[[#This Row],[Ranking]],dHdcp[Ranking],1),"")</f>
        <v/>
      </c>
      <c r="M105" t="str">
        <f>+dHdcp[[#This Row],[Fecha]]&amp;":"&amp;dHdcp[[#This Row],[Nombre]]</f>
        <v>43405:Jesus Touceda</v>
      </c>
      <c r="N105">
        <f>+COUNTIF(dHdcp[Columna1],dHdcp[[#This Row],[Columna1]])</f>
        <v>2</v>
      </c>
    </row>
    <row r="106" spans="1:14">
      <c r="A106" s="2">
        <v>43405</v>
      </c>
      <c r="B106" t="s">
        <v>18</v>
      </c>
      <c r="C106" s="51">
        <v>7.6</v>
      </c>
      <c r="D106">
        <v>2</v>
      </c>
      <c r="E106" t="s">
        <v>74</v>
      </c>
      <c r="F106" t="s">
        <v>572</v>
      </c>
      <c r="G106">
        <f>+IF(dHdcp[[#This Row],[Fecha]]=MAX(dHdcp[Fecha]),1,0)</f>
        <v>0</v>
      </c>
      <c r="H106" t="str">
        <f>+dHdcp[[#This Row],[Maximo]]&amp;":"&amp;dHdcp[[#This Row],[Nombre]]</f>
        <v>0:José Pablo Guil</v>
      </c>
      <c r="I106" t="str">
        <f>+dHdcp[[#This Row],[Maximo]]&amp;":"&amp;_xlfn.XLOOKUP(dHdcp[[#This Row],[Nombre]],dJugador[Nombre],dJugador[Mote],"",0)</f>
        <v>0:JP</v>
      </c>
      <c r="J106" t="str">
        <f>+IF(dHdcp[[#This Row],[Maximo]]=0,"",_xlfn.RANK.EQ(dHdcp[[#This Row],[Handicap]],dHdcp[Handicap],1))</f>
        <v/>
      </c>
      <c r="K106" t="str">
        <f>IFERROR(+_xlfn.RANK.EQ(dHdcp[[#This Row],[Ranking]],dHdcp[Ranking],1),"")</f>
        <v/>
      </c>
      <c r="M106" t="str">
        <f>+dHdcp[[#This Row],[Fecha]]&amp;":"&amp;dHdcp[[#This Row],[Nombre]]</f>
        <v>43405:José Pablo Guil</v>
      </c>
      <c r="N106">
        <f>+COUNTIF(dHdcp[Columna1],dHdcp[[#This Row],[Columna1]])</f>
        <v>2</v>
      </c>
    </row>
    <row r="107" spans="1:14">
      <c r="A107" s="2">
        <v>43405</v>
      </c>
      <c r="B107" t="s">
        <v>18</v>
      </c>
      <c r="C107" s="51">
        <v>5.2999999999999989</v>
      </c>
      <c r="D107">
        <v>2</v>
      </c>
      <c r="E107" t="s">
        <v>75</v>
      </c>
      <c r="F107" t="s">
        <v>573</v>
      </c>
      <c r="G107">
        <f>+IF(dHdcp[[#This Row],[Fecha]]=MAX(dHdcp[Fecha]),1,0)</f>
        <v>0</v>
      </c>
      <c r="H107" t="str">
        <f>+dHdcp[[#This Row],[Maximo]]&amp;":"&amp;dHdcp[[#This Row],[Nombre]]</f>
        <v>0:José Pablo Guil</v>
      </c>
      <c r="I107" t="str">
        <f>+dHdcp[[#This Row],[Maximo]]&amp;":"&amp;_xlfn.XLOOKUP(dHdcp[[#This Row],[Nombre]],dJugador[Nombre],dJugador[Mote],"",0)</f>
        <v>0:JP</v>
      </c>
      <c r="J107" t="str">
        <f>+IF(dHdcp[[#This Row],[Maximo]]=0,"",_xlfn.RANK.EQ(dHdcp[[#This Row],[Handicap]],dHdcp[Handicap],1))</f>
        <v/>
      </c>
      <c r="K107" t="str">
        <f>IFERROR(+_xlfn.RANK.EQ(dHdcp[[#This Row],[Ranking]],dHdcp[Ranking],1),"")</f>
        <v/>
      </c>
      <c r="M107" t="str">
        <f>+dHdcp[[#This Row],[Fecha]]&amp;":"&amp;dHdcp[[#This Row],[Nombre]]</f>
        <v>43405:José Pablo Guil</v>
      </c>
      <c r="N107">
        <f>+COUNTIF(dHdcp[Columna1],dHdcp[[#This Row],[Columna1]])</f>
        <v>2</v>
      </c>
    </row>
    <row r="108" spans="1:14">
      <c r="A108" s="2">
        <v>43405</v>
      </c>
      <c r="B108" t="s">
        <v>43</v>
      </c>
      <c r="C108" s="51">
        <v>16.8</v>
      </c>
      <c r="D108">
        <v>3</v>
      </c>
      <c r="E108" t="s">
        <v>74</v>
      </c>
      <c r="F108" t="s">
        <v>574</v>
      </c>
      <c r="G108">
        <f>+IF(dHdcp[[#This Row],[Fecha]]=MAX(dHdcp[Fecha]),1,0)</f>
        <v>0</v>
      </c>
      <c r="H108" t="str">
        <f>+dHdcp[[#This Row],[Maximo]]&amp;":"&amp;dHdcp[[#This Row],[Nombre]]</f>
        <v>0:Luis Escudero</v>
      </c>
      <c r="I108" t="str">
        <f>+dHdcp[[#This Row],[Maximo]]&amp;":"&amp;_xlfn.XLOOKUP(dHdcp[[#This Row],[Nombre]],dJugador[Nombre],dJugador[Mote],"",0)</f>
        <v>0:Lucho</v>
      </c>
      <c r="J108" t="str">
        <f>+IF(dHdcp[[#This Row],[Maximo]]=0,"",_xlfn.RANK.EQ(dHdcp[[#This Row],[Handicap]],dHdcp[Handicap],1))</f>
        <v/>
      </c>
      <c r="K108" t="str">
        <f>IFERROR(+_xlfn.RANK.EQ(dHdcp[[#This Row],[Ranking]],dHdcp[Ranking],1),"")</f>
        <v/>
      </c>
      <c r="M108" t="str">
        <f>+dHdcp[[#This Row],[Fecha]]&amp;":"&amp;dHdcp[[#This Row],[Nombre]]</f>
        <v>43405:Luis Escudero</v>
      </c>
      <c r="N108">
        <f>+COUNTIF(dHdcp[Columna1],dHdcp[[#This Row],[Columna1]])</f>
        <v>2</v>
      </c>
    </row>
    <row r="109" spans="1:14">
      <c r="A109" s="2">
        <v>43405</v>
      </c>
      <c r="B109" t="s">
        <v>43</v>
      </c>
      <c r="C109" s="51">
        <v>16.900000000000002</v>
      </c>
      <c r="D109">
        <v>3</v>
      </c>
      <c r="E109" t="s">
        <v>75</v>
      </c>
      <c r="F109" t="s">
        <v>575</v>
      </c>
      <c r="G109">
        <f>+IF(dHdcp[[#This Row],[Fecha]]=MAX(dHdcp[Fecha]),1,0)</f>
        <v>0</v>
      </c>
      <c r="H109" t="str">
        <f>+dHdcp[[#This Row],[Maximo]]&amp;":"&amp;dHdcp[[#This Row],[Nombre]]</f>
        <v>0:Luis Escudero</v>
      </c>
      <c r="I109" t="str">
        <f>+dHdcp[[#This Row],[Maximo]]&amp;":"&amp;_xlfn.XLOOKUP(dHdcp[[#This Row],[Nombre]],dJugador[Nombre],dJugador[Mote],"",0)</f>
        <v>0:Lucho</v>
      </c>
      <c r="J109" t="str">
        <f>+IF(dHdcp[[#This Row],[Maximo]]=0,"",_xlfn.RANK.EQ(dHdcp[[#This Row],[Handicap]],dHdcp[Handicap],1))</f>
        <v/>
      </c>
      <c r="K109" t="str">
        <f>IFERROR(+_xlfn.RANK.EQ(dHdcp[[#This Row],[Ranking]],dHdcp[Ranking],1),"")</f>
        <v/>
      </c>
      <c r="M109" t="str">
        <f>+dHdcp[[#This Row],[Fecha]]&amp;":"&amp;dHdcp[[#This Row],[Nombre]]</f>
        <v>43405:Luis Escudero</v>
      </c>
      <c r="N109">
        <f>+COUNTIF(dHdcp[Columna1],dHdcp[[#This Row],[Columna1]])</f>
        <v>2</v>
      </c>
    </row>
    <row r="110" spans="1:14">
      <c r="A110" s="2">
        <v>43405</v>
      </c>
      <c r="B110" t="s">
        <v>3</v>
      </c>
      <c r="C110" s="51">
        <v>6</v>
      </c>
      <c r="D110">
        <v>2</v>
      </c>
      <c r="E110" t="s">
        <v>74</v>
      </c>
      <c r="F110" t="s">
        <v>576</v>
      </c>
      <c r="G110">
        <f>+IF(dHdcp[[#This Row],[Fecha]]=MAX(dHdcp[Fecha]),1,0)</f>
        <v>0</v>
      </c>
      <c r="H110" t="str">
        <f>+dHdcp[[#This Row],[Maximo]]&amp;":"&amp;dHdcp[[#This Row],[Nombre]]</f>
        <v>0:Nacho Gonzalez</v>
      </c>
      <c r="I110" t="str">
        <f>+dHdcp[[#This Row],[Maximo]]&amp;":"&amp;_xlfn.XLOOKUP(dHdcp[[#This Row],[Nombre]],dJugador[Nombre],dJugador[Mote],"",0)</f>
        <v>0:Nacho</v>
      </c>
      <c r="J110" t="str">
        <f>+IF(dHdcp[[#This Row],[Maximo]]=0,"",_xlfn.RANK.EQ(dHdcp[[#This Row],[Handicap]],dHdcp[Handicap],1))</f>
        <v/>
      </c>
      <c r="K110" t="str">
        <f>IFERROR(+_xlfn.RANK.EQ(dHdcp[[#This Row],[Ranking]],dHdcp[Ranking],1),"")</f>
        <v/>
      </c>
      <c r="M110" t="str">
        <f>+dHdcp[[#This Row],[Fecha]]&amp;":"&amp;dHdcp[[#This Row],[Nombre]]</f>
        <v>43405:Nacho Gonzalez</v>
      </c>
      <c r="N110">
        <f>+COUNTIF(dHdcp[Columna1],dHdcp[[#This Row],[Columna1]])</f>
        <v>2</v>
      </c>
    </row>
    <row r="111" spans="1:14">
      <c r="A111" s="2">
        <v>43405</v>
      </c>
      <c r="B111" t="s">
        <v>3</v>
      </c>
      <c r="C111" s="51">
        <v>4.2000000000000011</v>
      </c>
      <c r="D111">
        <v>1</v>
      </c>
      <c r="E111" t="s">
        <v>75</v>
      </c>
      <c r="F111" t="s">
        <v>577</v>
      </c>
      <c r="G111">
        <f>+IF(dHdcp[[#This Row],[Fecha]]=MAX(dHdcp[Fecha]),1,0)</f>
        <v>0</v>
      </c>
      <c r="H111" t="str">
        <f>+dHdcp[[#This Row],[Maximo]]&amp;":"&amp;dHdcp[[#This Row],[Nombre]]</f>
        <v>0:Nacho Gonzalez</v>
      </c>
      <c r="I111" t="str">
        <f>+dHdcp[[#This Row],[Maximo]]&amp;":"&amp;_xlfn.XLOOKUP(dHdcp[[#This Row],[Nombre]],dJugador[Nombre],dJugador[Mote],"",0)</f>
        <v>0:Nacho</v>
      </c>
      <c r="J111" t="str">
        <f>+IF(dHdcp[[#This Row],[Maximo]]=0,"",_xlfn.RANK.EQ(dHdcp[[#This Row],[Handicap]],dHdcp[Handicap],1))</f>
        <v/>
      </c>
      <c r="K111" t="str">
        <f>IFERROR(+_xlfn.RANK.EQ(dHdcp[[#This Row],[Ranking]],dHdcp[Ranking],1),"")</f>
        <v/>
      </c>
      <c r="M111" t="str">
        <f>+dHdcp[[#This Row],[Fecha]]&amp;":"&amp;dHdcp[[#This Row],[Nombre]]</f>
        <v>43405:Nacho Gonzalez</v>
      </c>
      <c r="N111">
        <f>+COUNTIF(dHdcp[Columna1],dHdcp[[#This Row],[Columna1]])</f>
        <v>2</v>
      </c>
    </row>
    <row r="112" spans="1:14">
      <c r="A112" s="2">
        <v>43405</v>
      </c>
      <c r="B112" t="s">
        <v>28</v>
      </c>
      <c r="C112" s="51">
        <v>13.4</v>
      </c>
      <c r="D112">
        <v>3</v>
      </c>
      <c r="E112" t="s">
        <v>74</v>
      </c>
      <c r="F112" t="s">
        <v>578</v>
      </c>
      <c r="G112">
        <f>+IF(dHdcp[[#This Row],[Fecha]]=MAX(dHdcp[Fecha]),1,0)</f>
        <v>0</v>
      </c>
      <c r="H112" t="str">
        <f>+dHdcp[[#This Row],[Maximo]]&amp;":"&amp;dHdcp[[#This Row],[Nombre]]</f>
        <v>0:Pablo Munitiz</v>
      </c>
      <c r="I112" t="str">
        <f>+dHdcp[[#This Row],[Maximo]]&amp;":"&amp;_xlfn.XLOOKUP(dHdcp[[#This Row],[Nombre]],dJugador[Nombre],dJugador[Mote],"",0)</f>
        <v>0:Muni</v>
      </c>
      <c r="J112" t="str">
        <f>+IF(dHdcp[[#This Row],[Maximo]]=0,"",_xlfn.RANK.EQ(dHdcp[[#This Row],[Handicap]],dHdcp[Handicap],1))</f>
        <v/>
      </c>
      <c r="K112" t="str">
        <f>IFERROR(+_xlfn.RANK.EQ(dHdcp[[#This Row],[Ranking]],dHdcp[Ranking],1),"")</f>
        <v/>
      </c>
      <c r="M112" t="str">
        <f>+dHdcp[[#This Row],[Fecha]]&amp;":"&amp;dHdcp[[#This Row],[Nombre]]</f>
        <v>43405:Pablo Munitiz</v>
      </c>
      <c r="N112">
        <f>+COUNTIF(dHdcp[Columna1],dHdcp[[#This Row],[Columna1]])</f>
        <v>2</v>
      </c>
    </row>
    <row r="113" spans="1:14">
      <c r="A113" s="2">
        <v>43405</v>
      </c>
      <c r="B113" t="s">
        <v>28</v>
      </c>
      <c r="C113" s="51">
        <v>13.4</v>
      </c>
      <c r="D113">
        <v>3</v>
      </c>
      <c r="E113" t="s">
        <v>75</v>
      </c>
      <c r="F113" t="s">
        <v>579</v>
      </c>
      <c r="G113">
        <f>+IF(dHdcp[[#This Row],[Fecha]]=MAX(dHdcp[Fecha]),1,0)</f>
        <v>0</v>
      </c>
      <c r="H113" t="str">
        <f>+dHdcp[[#This Row],[Maximo]]&amp;":"&amp;dHdcp[[#This Row],[Nombre]]</f>
        <v>0:Pablo Munitiz</v>
      </c>
      <c r="I113" t="str">
        <f>+dHdcp[[#This Row],[Maximo]]&amp;":"&amp;_xlfn.XLOOKUP(dHdcp[[#This Row],[Nombre]],dJugador[Nombre],dJugador[Mote],"",0)</f>
        <v>0:Muni</v>
      </c>
      <c r="J113" t="str">
        <f>+IF(dHdcp[[#This Row],[Maximo]]=0,"",_xlfn.RANK.EQ(dHdcp[[#This Row],[Handicap]],dHdcp[Handicap],1))</f>
        <v/>
      </c>
      <c r="K113" t="str">
        <f>IFERROR(+_xlfn.RANK.EQ(dHdcp[[#This Row],[Ranking]],dHdcp[Ranking],1),"")</f>
        <v/>
      </c>
      <c r="M113" t="str">
        <f>+dHdcp[[#This Row],[Fecha]]&amp;":"&amp;dHdcp[[#This Row],[Nombre]]</f>
        <v>43405:Pablo Munitiz</v>
      </c>
      <c r="N113">
        <f>+COUNTIF(dHdcp[Columna1],dHdcp[[#This Row],[Columna1]])</f>
        <v>2</v>
      </c>
    </row>
    <row r="114" spans="1:14">
      <c r="A114" s="2">
        <v>43405</v>
      </c>
      <c r="B114" t="s">
        <v>37</v>
      </c>
      <c r="C114" s="51">
        <v>10.1</v>
      </c>
      <c r="D114">
        <v>2</v>
      </c>
      <c r="E114" t="s">
        <v>74</v>
      </c>
      <c r="F114" t="s">
        <v>580</v>
      </c>
      <c r="G114">
        <f>+IF(dHdcp[[#This Row],[Fecha]]=MAX(dHdcp[Fecha]),1,0)</f>
        <v>0</v>
      </c>
      <c r="H114" t="str">
        <f>+dHdcp[[#This Row],[Maximo]]&amp;":"&amp;dHdcp[[#This Row],[Nombre]]</f>
        <v>0:Ricardo Muelas</v>
      </c>
      <c r="I114" t="str">
        <f>+dHdcp[[#This Row],[Maximo]]&amp;":"&amp;_xlfn.XLOOKUP(dHdcp[[#This Row],[Nombre]],dJugador[Nombre],dJugador[Mote],"",0)</f>
        <v>0:</v>
      </c>
      <c r="J114" t="str">
        <f>+IF(dHdcp[[#This Row],[Maximo]]=0,"",_xlfn.RANK.EQ(dHdcp[[#This Row],[Handicap]],dHdcp[Handicap],1))</f>
        <v/>
      </c>
      <c r="K114" t="str">
        <f>IFERROR(+_xlfn.RANK.EQ(dHdcp[[#This Row],[Ranking]],dHdcp[Ranking],1),"")</f>
        <v/>
      </c>
      <c r="M114" t="str">
        <f>+dHdcp[[#This Row],[Fecha]]&amp;":"&amp;dHdcp[[#This Row],[Nombre]]</f>
        <v>43405:Ricardo Muelas</v>
      </c>
      <c r="N114">
        <f>+COUNTIF(dHdcp[Columna1],dHdcp[[#This Row],[Columna1]])</f>
        <v>2</v>
      </c>
    </row>
    <row r="115" spans="1:14">
      <c r="A115" s="2">
        <v>43405</v>
      </c>
      <c r="B115" t="s">
        <v>37</v>
      </c>
      <c r="C115" s="51">
        <v>10</v>
      </c>
      <c r="D115">
        <v>2</v>
      </c>
      <c r="E115" t="s">
        <v>75</v>
      </c>
      <c r="F115" t="s">
        <v>581</v>
      </c>
      <c r="G115">
        <f>+IF(dHdcp[[#This Row],[Fecha]]=MAX(dHdcp[Fecha]),1,0)</f>
        <v>0</v>
      </c>
      <c r="H115" t="str">
        <f>+dHdcp[[#This Row],[Maximo]]&amp;":"&amp;dHdcp[[#This Row],[Nombre]]</f>
        <v>0:Ricardo Muelas</v>
      </c>
      <c r="I115" t="str">
        <f>+dHdcp[[#This Row],[Maximo]]&amp;":"&amp;_xlfn.XLOOKUP(dHdcp[[#This Row],[Nombre]],dJugador[Nombre],dJugador[Mote],"",0)</f>
        <v>0:</v>
      </c>
      <c r="J115" t="str">
        <f>+IF(dHdcp[[#This Row],[Maximo]]=0,"",_xlfn.RANK.EQ(dHdcp[[#This Row],[Handicap]],dHdcp[Handicap],1))</f>
        <v/>
      </c>
      <c r="K115" t="str">
        <f>IFERROR(+_xlfn.RANK.EQ(dHdcp[[#This Row],[Ranking]],dHdcp[Ranking],1),"")</f>
        <v/>
      </c>
      <c r="M115" t="str">
        <f>+dHdcp[[#This Row],[Fecha]]&amp;":"&amp;dHdcp[[#This Row],[Nombre]]</f>
        <v>43405:Ricardo Muelas</v>
      </c>
      <c r="N115">
        <f>+COUNTIF(dHdcp[Columna1],dHdcp[[#This Row],[Columna1]])</f>
        <v>2</v>
      </c>
    </row>
    <row r="116" spans="1:14">
      <c r="A116" s="2">
        <v>43418</v>
      </c>
      <c r="B116" t="s">
        <v>9</v>
      </c>
      <c r="C116" s="51">
        <v>8.1999999999999993</v>
      </c>
      <c r="D116">
        <v>2</v>
      </c>
      <c r="E116" t="s">
        <v>74</v>
      </c>
      <c r="F116" t="s">
        <v>582</v>
      </c>
      <c r="G116">
        <f>+IF(dHdcp[[#This Row],[Fecha]]=MAX(dHdcp[Fecha]),1,0)</f>
        <v>0</v>
      </c>
      <c r="H116" t="str">
        <f>+dHdcp[[#This Row],[Maximo]]&amp;":"&amp;dHdcp[[#This Row],[Nombre]]</f>
        <v>0:Alfonso Hidalgo</v>
      </c>
      <c r="I116" t="str">
        <f>+dHdcp[[#This Row],[Maximo]]&amp;":"&amp;_xlfn.XLOOKUP(dHdcp[[#This Row],[Nombre]],dJugador[Nombre],dJugador[Mote],"",0)</f>
        <v>0:Alfonso</v>
      </c>
      <c r="J116" t="str">
        <f>+IF(dHdcp[[#This Row],[Maximo]]=0,"",_xlfn.RANK.EQ(dHdcp[[#This Row],[Handicap]],dHdcp[Handicap],1))</f>
        <v/>
      </c>
      <c r="K116" t="str">
        <f>IFERROR(+_xlfn.RANK.EQ(dHdcp[[#This Row],[Ranking]],dHdcp[Ranking],1),"")</f>
        <v/>
      </c>
      <c r="M116" t="str">
        <f>+dHdcp[[#This Row],[Fecha]]&amp;":"&amp;dHdcp[[#This Row],[Nombre]]</f>
        <v>43418:Alfonso Hidalgo</v>
      </c>
      <c r="N116">
        <f>+COUNTIF(dHdcp[Columna1],dHdcp[[#This Row],[Columna1]])</f>
        <v>1</v>
      </c>
    </row>
    <row r="117" spans="1:14">
      <c r="A117" s="2">
        <v>43418</v>
      </c>
      <c r="B117" t="s">
        <v>15</v>
      </c>
      <c r="C117" s="51">
        <v>5.4</v>
      </c>
      <c r="D117">
        <v>2</v>
      </c>
      <c r="E117" t="s">
        <v>74</v>
      </c>
      <c r="F117" t="s">
        <v>583</v>
      </c>
      <c r="G117">
        <f>+IF(dHdcp[[#This Row],[Fecha]]=MAX(dHdcp[Fecha]),1,0)</f>
        <v>0</v>
      </c>
      <c r="H117" t="str">
        <f>+dHdcp[[#This Row],[Maximo]]&amp;":"&amp;dHdcp[[#This Row],[Nombre]]</f>
        <v>0:Alvaro Aguirre</v>
      </c>
      <c r="I117" t="str">
        <f>+dHdcp[[#This Row],[Maximo]]&amp;":"&amp;_xlfn.XLOOKUP(dHdcp[[#This Row],[Nombre]],dJugador[Nombre],dJugador[Mote],"",0)</f>
        <v>0:Gifu</v>
      </c>
      <c r="J117" t="str">
        <f>+IF(dHdcp[[#This Row],[Maximo]]=0,"",_xlfn.RANK.EQ(dHdcp[[#This Row],[Handicap]],dHdcp[Handicap],1))</f>
        <v/>
      </c>
      <c r="K117" t="str">
        <f>IFERROR(+_xlfn.RANK.EQ(dHdcp[[#This Row],[Ranking]],dHdcp[Ranking],1),"")</f>
        <v/>
      </c>
      <c r="M117" t="str">
        <f>+dHdcp[[#This Row],[Fecha]]&amp;":"&amp;dHdcp[[#This Row],[Nombre]]</f>
        <v>43418:Alvaro Aguirre</v>
      </c>
      <c r="N117">
        <f>+COUNTIF(dHdcp[Columna1],dHdcp[[#This Row],[Columna1]])</f>
        <v>1</v>
      </c>
    </row>
    <row r="118" spans="1:14">
      <c r="A118" s="2">
        <v>43418</v>
      </c>
      <c r="B118" t="s">
        <v>25</v>
      </c>
      <c r="C118" s="51">
        <v>15.2</v>
      </c>
      <c r="D118">
        <v>3</v>
      </c>
      <c r="E118" t="s">
        <v>74</v>
      </c>
      <c r="F118" t="s">
        <v>584</v>
      </c>
      <c r="G118">
        <f>+IF(dHdcp[[#This Row],[Fecha]]=MAX(dHdcp[Fecha]),1,0)</f>
        <v>0</v>
      </c>
      <c r="H118" t="str">
        <f>+dHdcp[[#This Row],[Maximo]]&amp;":"&amp;dHdcp[[#This Row],[Nombre]]</f>
        <v>0:Alvaro Nieto</v>
      </c>
      <c r="I118" t="str">
        <f>+dHdcp[[#This Row],[Maximo]]&amp;":"&amp;_xlfn.XLOOKUP(dHdcp[[#This Row],[Nombre]],dJugador[Nombre],dJugador[Mote],"",0)</f>
        <v>0:Alvaro</v>
      </c>
      <c r="J118" t="str">
        <f>+IF(dHdcp[[#This Row],[Maximo]]=0,"",_xlfn.RANK.EQ(dHdcp[[#This Row],[Handicap]],dHdcp[Handicap],1))</f>
        <v/>
      </c>
      <c r="K118" t="str">
        <f>IFERROR(+_xlfn.RANK.EQ(dHdcp[[#This Row],[Ranking]],dHdcp[Ranking],1),"")</f>
        <v/>
      </c>
      <c r="M118" t="str">
        <f>+dHdcp[[#This Row],[Fecha]]&amp;":"&amp;dHdcp[[#This Row],[Nombre]]</f>
        <v>43418:Alvaro Nieto</v>
      </c>
      <c r="N118">
        <f>+COUNTIF(dHdcp[Columna1],dHdcp[[#This Row],[Columna1]])</f>
        <v>1</v>
      </c>
    </row>
    <row r="119" spans="1:14">
      <c r="A119" s="2">
        <v>43418</v>
      </c>
      <c r="B119" t="s">
        <v>33</v>
      </c>
      <c r="C119" s="51">
        <v>6.7</v>
      </c>
      <c r="D119">
        <v>2</v>
      </c>
      <c r="E119" t="s">
        <v>74</v>
      </c>
      <c r="F119" s="94" t="s">
        <v>585</v>
      </c>
      <c r="G119">
        <f>+IF(dHdcp[[#This Row],[Fecha]]=MAX(dHdcp[Fecha]),1,0)</f>
        <v>0</v>
      </c>
      <c r="H119" t="str">
        <f>+dHdcp[[#This Row],[Maximo]]&amp;":"&amp;dHdcp[[#This Row],[Nombre]]</f>
        <v>0:Angel Hernandez</v>
      </c>
      <c r="I119" t="str">
        <f>+dHdcp[[#This Row],[Maximo]]&amp;":"&amp;_xlfn.XLOOKUP(dHdcp[[#This Row],[Nombre]],dJugador[Nombre],dJugador[Mote],"",0)</f>
        <v>0:Angel</v>
      </c>
      <c r="J119" t="str">
        <f>+IF(dHdcp[[#This Row],[Maximo]]=0,"",_xlfn.RANK.EQ(dHdcp[[#This Row],[Handicap]],dHdcp[Handicap],1))</f>
        <v/>
      </c>
      <c r="K119" t="str">
        <f>IFERROR(+_xlfn.RANK.EQ(dHdcp[[#This Row],[Ranking]],dHdcp[Ranking],1),"")</f>
        <v/>
      </c>
      <c r="M119" t="str">
        <f>+dHdcp[[#This Row],[Fecha]]&amp;":"&amp;dHdcp[[#This Row],[Nombre]]</f>
        <v>43418:Angel Hernandez</v>
      </c>
      <c r="N119">
        <f>+COUNTIF(dHdcp[Columna1],dHdcp[[#This Row],[Columna1]])</f>
        <v>1</v>
      </c>
    </row>
    <row r="120" spans="1:14">
      <c r="A120" s="2">
        <v>43418</v>
      </c>
      <c r="B120" t="s">
        <v>30</v>
      </c>
      <c r="C120" s="51">
        <v>11.8</v>
      </c>
      <c r="D120">
        <v>3</v>
      </c>
      <c r="E120" t="s">
        <v>74</v>
      </c>
      <c r="F120" t="s">
        <v>586</v>
      </c>
      <c r="G120">
        <f>+IF(dHdcp[[#This Row],[Fecha]]=MAX(dHdcp[Fecha]),1,0)</f>
        <v>0</v>
      </c>
      <c r="H120" t="str">
        <f>+dHdcp[[#This Row],[Maximo]]&amp;":"&amp;dHdcp[[#This Row],[Nombre]]</f>
        <v>0:David Sequera</v>
      </c>
      <c r="I120" t="str">
        <f>+dHdcp[[#This Row],[Maximo]]&amp;":"&amp;_xlfn.XLOOKUP(dHdcp[[#This Row],[Nombre]],dJugador[Nombre],dJugador[Mote],"",0)</f>
        <v>0:David</v>
      </c>
      <c r="J120" t="str">
        <f>+IF(dHdcp[[#This Row],[Maximo]]=0,"",_xlfn.RANK.EQ(dHdcp[[#This Row],[Handicap]],dHdcp[Handicap],1))</f>
        <v/>
      </c>
      <c r="K120" t="str">
        <f>IFERROR(+_xlfn.RANK.EQ(dHdcp[[#This Row],[Ranking]],dHdcp[Ranking],1),"")</f>
        <v/>
      </c>
      <c r="M120" t="str">
        <f>+dHdcp[[#This Row],[Fecha]]&amp;":"&amp;dHdcp[[#This Row],[Nombre]]</f>
        <v>43418:David Sequera</v>
      </c>
      <c r="N120">
        <f>+COUNTIF(dHdcp[Columna1],dHdcp[[#This Row],[Columna1]])</f>
        <v>1</v>
      </c>
    </row>
    <row r="121" spans="1:14">
      <c r="A121" s="2">
        <v>43418</v>
      </c>
      <c r="B121" t="s">
        <v>12</v>
      </c>
      <c r="C121" s="51">
        <v>17.5</v>
      </c>
      <c r="D121">
        <v>3</v>
      </c>
      <c r="E121" t="s">
        <v>74</v>
      </c>
      <c r="F121" t="s">
        <v>587</v>
      </c>
      <c r="G121">
        <f>+IF(dHdcp[[#This Row],[Fecha]]=MAX(dHdcp[Fecha]),1,0)</f>
        <v>0</v>
      </c>
      <c r="H121" t="str">
        <f>+dHdcp[[#This Row],[Maximo]]&amp;":"&amp;dHdcp[[#This Row],[Nombre]]</f>
        <v>0:Francisco Alvarez</v>
      </c>
      <c r="I121" t="str">
        <f>+dHdcp[[#This Row],[Maximo]]&amp;":"&amp;_xlfn.XLOOKUP(dHdcp[[#This Row],[Nombre]],dJugador[Nombre],dJugador[Mote],"",0)</f>
        <v>0:Paco</v>
      </c>
      <c r="J121" t="str">
        <f>+IF(dHdcp[[#This Row],[Maximo]]=0,"",_xlfn.RANK.EQ(dHdcp[[#This Row],[Handicap]],dHdcp[Handicap],1))</f>
        <v/>
      </c>
      <c r="K121" t="str">
        <f>IFERROR(+_xlfn.RANK.EQ(dHdcp[[#This Row],[Ranking]],dHdcp[Ranking],1),"")</f>
        <v/>
      </c>
      <c r="M121" t="str">
        <f>+dHdcp[[#This Row],[Fecha]]&amp;":"&amp;dHdcp[[#This Row],[Nombre]]</f>
        <v>43418:Francisco Alvarez</v>
      </c>
      <c r="N121">
        <f>+COUNTIF(dHdcp[Columna1],dHdcp[[#This Row],[Columna1]])</f>
        <v>1</v>
      </c>
    </row>
    <row r="122" spans="1:14">
      <c r="A122" s="2">
        <v>43418</v>
      </c>
      <c r="B122" t="s">
        <v>49</v>
      </c>
      <c r="C122" s="51">
        <v>12.9</v>
      </c>
      <c r="D122">
        <v>3</v>
      </c>
      <c r="E122" t="s">
        <v>74</v>
      </c>
      <c r="F122" t="s">
        <v>588</v>
      </c>
      <c r="G122">
        <f>+IF(dHdcp[[#This Row],[Fecha]]=MAX(dHdcp[Fecha]),1,0)</f>
        <v>0</v>
      </c>
      <c r="H122" t="str">
        <f>+dHdcp[[#This Row],[Maximo]]&amp;":"&amp;dHdcp[[#This Row],[Nombre]]</f>
        <v>0:Francisco Hidalgo</v>
      </c>
      <c r="I122" t="str">
        <f>+dHdcp[[#This Row],[Maximo]]&amp;":"&amp;_xlfn.XLOOKUP(dHdcp[[#This Row],[Nombre]],dJugador[Nombre],dJugador[Mote],"",0)</f>
        <v>0:Fran</v>
      </c>
      <c r="J122" t="str">
        <f>+IF(dHdcp[[#This Row],[Maximo]]=0,"",_xlfn.RANK.EQ(dHdcp[[#This Row],[Handicap]],dHdcp[Handicap],1))</f>
        <v/>
      </c>
      <c r="K122" t="str">
        <f>IFERROR(+_xlfn.RANK.EQ(dHdcp[[#This Row],[Ranking]],dHdcp[Ranking],1),"")</f>
        <v/>
      </c>
      <c r="M122" t="str">
        <f>+dHdcp[[#This Row],[Fecha]]&amp;":"&amp;dHdcp[[#This Row],[Nombre]]</f>
        <v>43418:Francisco Hidalgo</v>
      </c>
      <c r="N122">
        <f>+COUNTIF(dHdcp[Columna1],dHdcp[[#This Row],[Columna1]])</f>
        <v>1</v>
      </c>
    </row>
    <row r="123" spans="1:14">
      <c r="A123" s="2">
        <v>43418</v>
      </c>
      <c r="B123" t="s">
        <v>35</v>
      </c>
      <c r="C123" s="51">
        <v>17.2</v>
      </c>
      <c r="D123">
        <v>3</v>
      </c>
      <c r="E123" t="s">
        <v>74</v>
      </c>
      <c r="F123" t="s">
        <v>589</v>
      </c>
      <c r="G123">
        <f>+IF(dHdcp[[#This Row],[Fecha]]=MAX(dHdcp[Fecha]),1,0)</f>
        <v>0</v>
      </c>
      <c r="H123" t="str">
        <f>+dHdcp[[#This Row],[Maximo]]&amp;":"&amp;dHdcp[[#This Row],[Nombre]]</f>
        <v>0:GLEZ JUAN JOSÉ</v>
      </c>
      <c r="I123" t="str">
        <f>+dHdcp[[#This Row],[Maximo]]&amp;":"&amp;_xlfn.XLOOKUP(dHdcp[[#This Row],[Nombre]],dJugador[Nombre],dJugador[Mote],"",0)</f>
        <v>0:Juanjo</v>
      </c>
      <c r="J123" t="str">
        <f>+IF(dHdcp[[#This Row],[Maximo]]=0,"",_xlfn.RANK.EQ(dHdcp[[#This Row],[Handicap]],dHdcp[Handicap],1))</f>
        <v/>
      </c>
      <c r="K123" t="str">
        <f>IFERROR(+_xlfn.RANK.EQ(dHdcp[[#This Row],[Ranking]],dHdcp[Ranking],1),"")</f>
        <v/>
      </c>
      <c r="M123" t="str">
        <f>+dHdcp[[#This Row],[Fecha]]&amp;":"&amp;dHdcp[[#This Row],[Nombre]]</f>
        <v>43418:GLEZ JUAN JOSÉ</v>
      </c>
      <c r="N123">
        <f>+COUNTIF(dHdcp[Columna1],dHdcp[[#This Row],[Columna1]])</f>
        <v>1</v>
      </c>
    </row>
    <row r="124" spans="1:14">
      <c r="A124" s="2">
        <v>43418</v>
      </c>
      <c r="B124" t="s">
        <v>6</v>
      </c>
      <c r="C124" s="51">
        <v>6.5</v>
      </c>
      <c r="D124">
        <v>2</v>
      </c>
      <c r="E124" t="s">
        <v>74</v>
      </c>
      <c r="F124" t="s">
        <v>590</v>
      </c>
      <c r="G124">
        <f>+IF(dHdcp[[#This Row],[Fecha]]=MAX(dHdcp[Fecha]),1,0)</f>
        <v>0</v>
      </c>
      <c r="H124" t="str">
        <f>+dHdcp[[#This Row],[Maximo]]&amp;":"&amp;dHdcp[[#This Row],[Nombre]]</f>
        <v>0:Ignacio Cadarso</v>
      </c>
      <c r="I124" t="str">
        <f>+dHdcp[[#This Row],[Maximo]]&amp;":"&amp;_xlfn.XLOOKUP(dHdcp[[#This Row],[Nombre]],dJugador[Nombre],dJugador[Mote],"",0)</f>
        <v>0:Ignacio</v>
      </c>
      <c r="J124" t="str">
        <f>+IF(dHdcp[[#This Row],[Maximo]]=0,"",_xlfn.RANK.EQ(dHdcp[[#This Row],[Handicap]],dHdcp[Handicap],1))</f>
        <v/>
      </c>
      <c r="K124" t="str">
        <f>IFERROR(+_xlfn.RANK.EQ(dHdcp[[#This Row],[Ranking]],dHdcp[Ranking],1),"")</f>
        <v/>
      </c>
      <c r="M124" t="str">
        <f>+dHdcp[[#This Row],[Fecha]]&amp;":"&amp;dHdcp[[#This Row],[Nombre]]</f>
        <v>43418:Ignacio Cadarso</v>
      </c>
      <c r="N124">
        <f>+COUNTIF(dHdcp[Columna1],dHdcp[[#This Row],[Columna1]])</f>
        <v>1</v>
      </c>
    </row>
    <row r="125" spans="1:14">
      <c r="A125" s="2">
        <v>43418</v>
      </c>
      <c r="B125" t="s">
        <v>39</v>
      </c>
      <c r="C125" s="51">
        <v>14.5</v>
      </c>
      <c r="D125">
        <v>3</v>
      </c>
      <c r="E125" t="s">
        <v>74</v>
      </c>
      <c r="F125" t="s">
        <v>591</v>
      </c>
      <c r="G125">
        <f>+IF(dHdcp[[#This Row],[Fecha]]=MAX(dHdcp[Fecha]),1,0)</f>
        <v>0</v>
      </c>
      <c r="H125" t="str">
        <f>+dHdcp[[#This Row],[Maximo]]&amp;":"&amp;dHdcp[[#This Row],[Nombre]]</f>
        <v>0:Iñigo Rosas</v>
      </c>
      <c r="I125" t="str">
        <f>+dHdcp[[#This Row],[Maximo]]&amp;":"&amp;_xlfn.XLOOKUP(dHdcp[[#This Row],[Nombre]],dJugador[Nombre],dJugador[Mote],"",0)</f>
        <v>0:</v>
      </c>
      <c r="J125" t="str">
        <f>+IF(dHdcp[[#This Row],[Maximo]]=0,"",_xlfn.RANK.EQ(dHdcp[[#This Row],[Handicap]],dHdcp[Handicap],1))</f>
        <v/>
      </c>
      <c r="K125" t="str">
        <f>IFERROR(+_xlfn.RANK.EQ(dHdcp[[#This Row],[Ranking]],dHdcp[Ranking],1),"")</f>
        <v/>
      </c>
      <c r="M125" t="str">
        <f>+dHdcp[[#This Row],[Fecha]]&amp;":"&amp;dHdcp[[#This Row],[Nombre]]</f>
        <v>43418:Iñigo Rosas</v>
      </c>
      <c r="N125">
        <f>+COUNTIF(dHdcp[Columna1],dHdcp[[#This Row],[Columna1]])</f>
        <v>1</v>
      </c>
    </row>
    <row r="126" spans="1:14">
      <c r="A126" s="2">
        <v>43418</v>
      </c>
      <c r="B126" t="s">
        <v>23</v>
      </c>
      <c r="C126" s="51">
        <v>19.399999999999999</v>
      </c>
      <c r="D126">
        <v>4</v>
      </c>
      <c r="E126" t="s">
        <v>74</v>
      </c>
      <c r="F126" t="s">
        <v>592</v>
      </c>
      <c r="G126">
        <f>+IF(dHdcp[[#This Row],[Fecha]]=MAX(dHdcp[Fecha]),1,0)</f>
        <v>0</v>
      </c>
      <c r="H126" t="str">
        <f>+dHdcp[[#This Row],[Maximo]]&amp;":"&amp;dHdcp[[#This Row],[Nombre]]</f>
        <v>0:J. Enrique Gonzalez</v>
      </c>
      <c r="I126" t="str">
        <f>+dHdcp[[#This Row],[Maximo]]&amp;":"&amp;_xlfn.XLOOKUP(dHdcp[[#This Row],[Nombre]],dJugador[Nombre],dJugador[Mote],"",0)</f>
        <v>0:Kike</v>
      </c>
      <c r="J126" t="str">
        <f>+IF(dHdcp[[#This Row],[Maximo]]=0,"",_xlfn.RANK.EQ(dHdcp[[#This Row],[Handicap]],dHdcp[Handicap],1))</f>
        <v/>
      </c>
      <c r="K126" t="str">
        <f>IFERROR(+_xlfn.RANK.EQ(dHdcp[[#This Row],[Ranking]],dHdcp[Ranking],1),"")</f>
        <v/>
      </c>
      <c r="M126" t="str">
        <f>+dHdcp[[#This Row],[Fecha]]&amp;":"&amp;dHdcp[[#This Row],[Nombre]]</f>
        <v>43418:J. Enrique Gonzalez</v>
      </c>
      <c r="N126">
        <f>+COUNTIF(dHdcp[Columna1],dHdcp[[#This Row],[Columna1]])</f>
        <v>1</v>
      </c>
    </row>
    <row r="127" spans="1:14">
      <c r="A127" s="2">
        <v>43418</v>
      </c>
      <c r="B127" t="s">
        <v>46</v>
      </c>
      <c r="C127" s="51">
        <v>13</v>
      </c>
      <c r="D127">
        <v>3</v>
      </c>
      <c r="E127" t="s">
        <v>74</v>
      </c>
      <c r="F127" t="s">
        <v>593</v>
      </c>
      <c r="G127">
        <f>+IF(dHdcp[[#This Row],[Fecha]]=MAX(dHdcp[Fecha]),1,0)</f>
        <v>0</v>
      </c>
      <c r="H127" t="str">
        <f>+dHdcp[[#This Row],[Maximo]]&amp;":"&amp;dHdcp[[#This Row],[Nombre]]</f>
        <v>0:Javier Cervera</v>
      </c>
      <c r="I127" t="str">
        <f>+dHdcp[[#This Row],[Maximo]]&amp;":"&amp;_xlfn.XLOOKUP(dHdcp[[#This Row],[Nombre]],dJugador[Nombre],dJugador[Mote],"",0)</f>
        <v>0:Virus</v>
      </c>
      <c r="J127" t="str">
        <f>+IF(dHdcp[[#This Row],[Maximo]]=0,"",_xlfn.RANK.EQ(dHdcp[[#This Row],[Handicap]],dHdcp[Handicap],1))</f>
        <v/>
      </c>
      <c r="K127" t="str">
        <f>IFERROR(+_xlfn.RANK.EQ(dHdcp[[#This Row],[Ranking]],dHdcp[Ranking],1),"")</f>
        <v/>
      </c>
      <c r="M127" t="str">
        <f>+dHdcp[[#This Row],[Fecha]]&amp;":"&amp;dHdcp[[#This Row],[Nombre]]</f>
        <v>43418:Javier Cervera</v>
      </c>
      <c r="N127">
        <f>+COUNTIF(dHdcp[Columna1],dHdcp[[#This Row],[Columna1]])</f>
        <v>1</v>
      </c>
    </row>
    <row r="128" spans="1:14">
      <c r="A128" s="2">
        <v>43418</v>
      </c>
      <c r="B128" t="s">
        <v>20</v>
      </c>
      <c r="C128" s="51">
        <v>13.8</v>
      </c>
      <c r="D128">
        <v>3</v>
      </c>
      <c r="E128" t="s">
        <v>74</v>
      </c>
      <c r="F128" t="s">
        <v>594</v>
      </c>
      <c r="G128">
        <f>+IF(dHdcp[[#This Row],[Fecha]]=MAX(dHdcp[Fecha]),1,0)</f>
        <v>0</v>
      </c>
      <c r="H128" t="str">
        <f>+dHdcp[[#This Row],[Maximo]]&amp;":"&amp;dHdcp[[#This Row],[Nombre]]</f>
        <v>0:Javier Gonzalez Salvador</v>
      </c>
      <c r="I128" t="str">
        <f>+dHdcp[[#This Row],[Maximo]]&amp;":"&amp;_xlfn.XLOOKUP(dHdcp[[#This Row],[Nombre]],dJugador[Nombre],dJugador[Mote],"",0)</f>
        <v>0:Javi</v>
      </c>
      <c r="J128" t="str">
        <f>+IF(dHdcp[[#This Row],[Maximo]]=0,"",_xlfn.RANK.EQ(dHdcp[[#This Row],[Handicap]],dHdcp[Handicap],1))</f>
        <v/>
      </c>
      <c r="K128" t="str">
        <f>IFERROR(+_xlfn.RANK.EQ(dHdcp[[#This Row],[Ranking]],dHdcp[Ranking],1),"")</f>
        <v/>
      </c>
      <c r="M128" t="str">
        <f>+dHdcp[[#This Row],[Fecha]]&amp;":"&amp;dHdcp[[#This Row],[Nombre]]</f>
        <v>43418:Javier Gonzalez Salvador</v>
      </c>
      <c r="N128">
        <f>+COUNTIF(dHdcp[Columna1],dHdcp[[#This Row],[Columna1]])</f>
        <v>1</v>
      </c>
    </row>
    <row r="129" spans="1:14">
      <c r="A129" s="2">
        <v>43418</v>
      </c>
      <c r="B129" t="s">
        <v>41</v>
      </c>
      <c r="C129" s="51">
        <v>21.3</v>
      </c>
      <c r="D129">
        <v>4</v>
      </c>
      <c r="E129" t="s">
        <v>74</v>
      </c>
      <c r="F129" t="s">
        <v>595</v>
      </c>
      <c r="G129">
        <f>+IF(dHdcp[[#This Row],[Fecha]]=MAX(dHdcp[Fecha]),1,0)</f>
        <v>0</v>
      </c>
      <c r="H129" t="str">
        <f>+dHdcp[[#This Row],[Maximo]]&amp;":"&amp;dHdcp[[#This Row],[Nombre]]</f>
        <v>0:Jesus Touceda</v>
      </c>
      <c r="I129" t="str">
        <f>+dHdcp[[#This Row],[Maximo]]&amp;":"&amp;_xlfn.XLOOKUP(dHdcp[[#This Row],[Nombre]],dJugador[Nombre],dJugador[Mote],"",0)</f>
        <v>0:Jesús</v>
      </c>
      <c r="J129" t="str">
        <f>+IF(dHdcp[[#This Row],[Maximo]]=0,"",_xlfn.RANK.EQ(dHdcp[[#This Row],[Handicap]],dHdcp[Handicap],1))</f>
        <v/>
      </c>
      <c r="K129" t="str">
        <f>IFERROR(+_xlfn.RANK.EQ(dHdcp[[#This Row],[Ranking]],dHdcp[Ranking],1),"")</f>
        <v/>
      </c>
      <c r="M129" t="str">
        <f>+dHdcp[[#This Row],[Fecha]]&amp;":"&amp;dHdcp[[#This Row],[Nombre]]</f>
        <v>43418:Jesus Touceda</v>
      </c>
      <c r="N129">
        <f>+COUNTIF(dHdcp[Columna1],dHdcp[[#This Row],[Columna1]])</f>
        <v>1</v>
      </c>
    </row>
    <row r="130" spans="1:14">
      <c r="A130" s="2">
        <v>43418</v>
      </c>
      <c r="B130" t="s">
        <v>18</v>
      </c>
      <c r="C130" s="51">
        <v>7.6</v>
      </c>
      <c r="D130">
        <v>2</v>
      </c>
      <c r="E130" t="s">
        <v>74</v>
      </c>
      <c r="F130" t="s">
        <v>596</v>
      </c>
      <c r="G130">
        <f>+IF(dHdcp[[#This Row],[Fecha]]=MAX(dHdcp[Fecha]),1,0)</f>
        <v>0</v>
      </c>
      <c r="H130" t="str">
        <f>+dHdcp[[#This Row],[Maximo]]&amp;":"&amp;dHdcp[[#This Row],[Nombre]]</f>
        <v>0:José Pablo Guil</v>
      </c>
      <c r="I130" t="str">
        <f>+dHdcp[[#This Row],[Maximo]]&amp;":"&amp;_xlfn.XLOOKUP(dHdcp[[#This Row],[Nombre]],dJugador[Nombre],dJugador[Mote],"",0)</f>
        <v>0:JP</v>
      </c>
      <c r="J130" t="str">
        <f>+IF(dHdcp[[#This Row],[Maximo]]=0,"",_xlfn.RANK.EQ(dHdcp[[#This Row],[Handicap]],dHdcp[Handicap],1))</f>
        <v/>
      </c>
      <c r="K130" t="str">
        <f>IFERROR(+_xlfn.RANK.EQ(dHdcp[[#This Row],[Ranking]],dHdcp[Ranking],1),"")</f>
        <v/>
      </c>
      <c r="M130" t="str">
        <f>+dHdcp[[#This Row],[Fecha]]&amp;":"&amp;dHdcp[[#This Row],[Nombre]]</f>
        <v>43418:José Pablo Guil</v>
      </c>
      <c r="N130">
        <f>+COUNTIF(dHdcp[Columna1],dHdcp[[#This Row],[Columna1]])</f>
        <v>1</v>
      </c>
    </row>
    <row r="131" spans="1:14">
      <c r="A131" s="2">
        <v>43418</v>
      </c>
      <c r="B131" t="s">
        <v>43</v>
      </c>
      <c r="C131" s="51">
        <v>16.8</v>
      </c>
      <c r="D131">
        <v>3</v>
      </c>
      <c r="E131" t="s">
        <v>74</v>
      </c>
      <c r="F131" t="s">
        <v>597</v>
      </c>
      <c r="G131">
        <f>+IF(dHdcp[[#This Row],[Fecha]]=MAX(dHdcp[Fecha]),1,0)</f>
        <v>0</v>
      </c>
      <c r="H131" t="str">
        <f>+dHdcp[[#This Row],[Maximo]]&amp;":"&amp;dHdcp[[#This Row],[Nombre]]</f>
        <v>0:Luis Escudero</v>
      </c>
      <c r="I131" t="str">
        <f>+dHdcp[[#This Row],[Maximo]]&amp;":"&amp;_xlfn.XLOOKUP(dHdcp[[#This Row],[Nombre]],dJugador[Nombre],dJugador[Mote],"",0)</f>
        <v>0:Lucho</v>
      </c>
      <c r="J131" t="str">
        <f>+IF(dHdcp[[#This Row],[Maximo]]=0,"",_xlfn.RANK.EQ(dHdcp[[#This Row],[Handicap]],dHdcp[Handicap],1))</f>
        <v/>
      </c>
      <c r="K131" t="str">
        <f>IFERROR(+_xlfn.RANK.EQ(dHdcp[[#This Row],[Ranking]],dHdcp[Ranking],1),"")</f>
        <v/>
      </c>
      <c r="M131" t="str">
        <f>+dHdcp[[#This Row],[Fecha]]&amp;":"&amp;dHdcp[[#This Row],[Nombre]]</f>
        <v>43418:Luis Escudero</v>
      </c>
      <c r="N131">
        <f>+COUNTIF(dHdcp[Columna1],dHdcp[[#This Row],[Columna1]])</f>
        <v>1</v>
      </c>
    </row>
    <row r="132" spans="1:14">
      <c r="A132" s="2">
        <v>43418</v>
      </c>
      <c r="B132" t="s">
        <v>3</v>
      </c>
      <c r="C132" s="51">
        <v>6</v>
      </c>
      <c r="D132">
        <v>2</v>
      </c>
      <c r="E132" t="s">
        <v>74</v>
      </c>
      <c r="F132" t="s">
        <v>598</v>
      </c>
      <c r="G132">
        <f>+IF(dHdcp[[#This Row],[Fecha]]=MAX(dHdcp[Fecha]),1,0)</f>
        <v>0</v>
      </c>
      <c r="H132" t="str">
        <f>+dHdcp[[#This Row],[Maximo]]&amp;":"&amp;dHdcp[[#This Row],[Nombre]]</f>
        <v>0:Nacho Gonzalez</v>
      </c>
      <c r="I132" t="str">
        <f>+dHdcp[[#This Row],[Maximo]]&amp;":"&amp;_xlfn.XLOOKUP(dHdcp[[#This Row],[Nombre]],dJugador[Nombre],dJugador[Mote],"",0)</f>
        <v>0:Nacho</v>
      </c>
      <c r="J132" t="str">
        <f>+IF(dHdcp[[#This Row],[Maximo]]=0,"",_xlfn.RANK.EQ(dHdcp[[#This Row],[Handicap]],dHdcp[Handicap],1))</f>
        <v/>
      </c>
      <c r="K132" t="str">
        <f>IFERROR(+_xlfn.RANK.EQ(dHdcp[[#This Row],[Ranking]],dHdcp[Ranking],1),"")</f>
        <v/>
      </c>
      <c r="M132" t="str">
        <f>+dHdcp[[#This Row],[Fecha]]&amp;":"&amp;dHdcp[[#This Row],[Nombre]]</f>
        <v>43418:Nacho Gonzalez</v>
      </c>
      <c r="N132">
        <f>+COUNTIF(dHdcp[Columna1],dHdcp[[#This Row],[Columna1]])</f>
        <v>1</v>
      </c>
    </row>
    <row r="133" spans="1:14">
      <c r="A133" s="2">
        <v>43418</v>
      </c>
      <c r="B133" t="s">
        <v>28</v>
      </c>
      <c r="C133" s="51">
        <v>13.4</v>
      </c>
      <c r="D133">
        <v>3</v>
      </c>
      <c r="E133" t="s">
        <v>74</v>
      </c>
      <c r="F133" t="s">
        <v>599</v>
      </c>
      <c r="G133">
        <f>+IF(dHdcp[[#This Row],[Fecha]]=MAX(dHdcp[Fecha]),1,0)</f>
        <v>0</v>
      </c>
      <c r="H133" t="str">
        <f>+dHdcp[[#This Row],[Maximo]]&amp;":"&amp;dHdcp[[#This Row],[Nombre]]</f>
        <v>0:Pablo Munitiz</v>
      </c>
      <c r="I133" t="str">
        <f>+dHdcp[[#This Row],[Maximo]]&amp;":"&amp;_xlfn.XLOOKUP(dHdcp[[#This Row],[Nombre]],dJugador[Nombre],dJugador[Mote],"",0)</f>
        <v>0:Muni</v>
      </c>
      <c r="J133" t="str">
        <f>+IF(dHdcp[[#This Row],[Maximo]]=0,"",_xlfn.RANK.EQ(dHdcp[[#This Row],[Handicap]],dHdcp[Handicap],1))</f>
        <v/>
      </c>
      <c r="K133" t="str">
        <f>IFERROR(+_xlfn.RANK.EQ(dHdcp[[#This Row],[Ranking]],dHdcp[Ranking],1),"")</f>
        <v/>
      </c>
      <c r="M133" t="str">
        <f>+dHdcp[[#This Row],[Fecha]]&amp;":"&amp;dHdcp[[#This Row],[Nombre]]</f>
        <v>43418:Pablo Munitiz</v>
      </c>
      <c r="N133">
        <f>+COUNTIF(dHdcp[Columna1],dHdcp[[#This Row],[Columna1]])</f>
        <v>1</v>
      </c>
    </row>
    <row r="134" spans="1:14">
      <c r="A134" s="2">
        <v>43418</v>
      </c>
      <c r="B134" t="s">
        <v>37</v>
      </c>
      <c r="C134" s="51">
        <v>10.1</v>
      </c>
      <c r="D134">
        <v>2</v>
      </c>
      <c r="E134" t="s">
        <v>74</v>
      </c>
      <c r="F134" t="s">
        <v>600</v>
      </c>
      <c r="G134">
        <f>+IF(dHdcp[[#This Row],[Fecha]]=MAX(dHdcp[Fecha]),1,0)</f>
        <v>0</v>
      </c>
      <c r="H134" t="str">
        <f>+dHdcp[[#This Row],[Maximo]]&amp;":"&amp;dHdcp[[#This Row],[Nombre]]</f>
        <v>0:Ricardo Muelas</v>
      </c>
      <c r="I134" t="str">
        <f>+dHdcp[[#This Row],[Maximo]]&amp;":"&amp;_xlfn.XLOOKUP(dHdcp[[#This Row],[Nombre]],dJugador[Nombre],dJugador[Mote],"",0)</f>
        <v>0:</v>
      </c>
      <c r="J134" t="str">
        <f>+IF(dHdcp[[#This Row],[Maximo]]=0,"",_xlfn.RANK.EQ(dHdcp[[#This Row],[Handicap]],dHdcp[Handicap],1))</f>
        <v/>
      </c>
      <c r="K134" t="str">
        <f>IFERROR(+_xlfn.RANK.EQ(dHdcp[[#This Row],[Ranking]],dHdcp[Ranking],1),"")</f>
        <v/>
      </c>
      <c r="M134" t="str">
        <f>+dHdcp[[#This Row],[Fecha]]&amp;":"&amp;dHdcp[[#This Row],[Nombre]]</f>
        <v>43418:Ricardo Muelas</v>
      </c>
      <c r="N134">
        <f>+COUNTIF(dHdcp[Columna1],dHdcp[[#This Row],[Columna1]])</f>
        <v>1</v>
      </c>
    </row>
    <row r="135" spans="1:14">
      <c r="A135" s="2">
        <v>43422</v>
      </c>
      <c r="B135" t="s">
        <v>9</v>
      </c>
      <c r="C135" s="51">
        <v>7.3999999999999986</v>
      </c>
      <c r="D135">
        <v>2</v>
      </c>
      <c r="E135" t="s">
        <v>75</v>
      </c>
      <c r="F135" t="s">
        <v>601</v>
      </c>
      <c r="G135">
        <f>+IF(dHdcp[[#This Row],[Fecha]]=MAX(dHdcp[Fecha]),1,0)</f>
        <v>0</v>
      </c>
      <c r="H135" t="str">
        <f>+dHdcp[[#This Row],[Maximo]]&amp;":"&amp;dHdcp[[#This Row],[Nombre]]</f>
        <v>0:Alfonso Hidalgo</v>
      </c>
      <c r="I135" t="str">
        <f>+dHdcp[[#This Row],[Maximo]]&amp;":"&amp;_xlfn.XLOOKUP(dHdcp[[#This Row],[Nombre]],dJugador[Nombre],dJugador[Mote],"",0)</f>
        <v>0:Alfonso</v>
      </c>
      <c r="J135" t="str">
        <f>+IF(dHdcp[[#This Row],[Maximo]]=0,"",_xlfn.RANK.EQ(dHdcp[[#This Row],[Handicap]],dHdcp[Handicap],1))</f>
        <v/>
      </c>
      <c r="K135" t="str">
        <f>IFERROR(+_xlfn.RANK.EQ(dHdcp[[#This Row],[Ranking]],dHdcp[Ranking],1),"")</f>
        <v/>
      </c>
      <c r="M135" t="str">
        <f>+dHdcp[[#This Row],[Fecha]]&amp;":"&amp;dHdcp[[#This Row],[Nombre]]</f>
        <v>43422:Alfonso Hidalgo</v>
      </c>
      <c r="N135">
        <f>+COUNTIF(dHdcp[Columna1],dHdcp[[#This Row],[Columna1]])</f>
        <v>1</v>
      </c>
    </row>
    <row r="136" spans="1:14">
      <c r="A136" s="2">
        <v>43422</v>
      </c>
      <c r="B136" t="s">
        <v>15</v>
      </c>
      <c r="C136" s="51">
        <v>5.3999999999999995</v>
      </c>
      <c r="D136">
        <v>2</v>
      </c>
      <c r="E136" t="s">
        <v>75</v>
      </c>
      <c r="F136" t="s">
        <v>602</v>
      </c>
      <c r="G136">
        <f>+IF(dHdcp[[#This Row],[Fecha]]=MAX(dHdcp[Fecha]),1,0)</f>
        <v>0</v>
      </c>
      <c r="H136" t="str">
        <f>+dHdcp[[#This Row],[Maximo]]&amp;":"&amp;dHdcp[[#This Row],[Nombre]]</f>
        <v>0:Alvaro Aguirre</v>
      </c>
      <c r="I136" t="str">
        <f>+dHdcp[[#This Row],[Maximo]]&amp;":"&amp;_xlfn.XLOOKUP(dHdcp[[#This Row],[Nombre]],dJugador[Nombre],dJugador[Mote],"",0)</f>
        <v>0:Gifu</v>
      </c>
      <c r="J136" t="str">
        <f>+IF(dHdcp[[#This Row],[Maximo]]=0,"",_xlfn.RANK.EQ(dHdcp[[#This Row],[Handicap]],dHdcp[Handicap],1))</f>
        <v/>
      </c>
      <c r="K136" t="str">
        <f>IFERROR(+_xlfn.RANK.EQ(dHdcp[[#This Row],[Ranking]],dHdcp[Ranking],1),"")</f>
        <v/>
      </c>
      <c r="M136" t="str">
        <f>+dHdcp[[#This Row],[Fecha]]&amp;":"&amp;dHdcp[[#This Row],[Nombre]]</f>
        <v>43422:Alvaro Aguirre</v>
      </c>
      <c r="N136">
        <f>+COUNTIF(dHdcp[Columna1],dHdcp[[#This Row],[Columna1]])</f>
        <v>1</v>
      </c>
    </row>
    <row r="137" spans="1:14">
      <c r="A137" s="2">
        <v>43422</v>
      </c>
      <c r="B137" t="s">
        <v>25</v>
      </c>
      <c r="C137" s="51">
        <v>15.299999999999999</v>
      </c>
      <c r="D137">
        <v>3</v>
      </c>
      <c r="E137" t="s">
        <v>75</v>
      </c>
      <c r="F137" t="s">
        <v>603</v>
      </c>
      <c r="G137">
        <f>+IF(dHdcp[[#This Row],[Fecha]]=MAX(dHdcp[Fecha]),1,0)</f>
        <v>0</v>
      </c>
      <c r="H137" t="str">
        <f>+dHdcp[[#This Row],[Maximo]]&amp;":"&amp;dHdcp[[#This Row],[Nombre]]</f>
        <v>0:Alvaro Nieto</v>
      </c>
      <c r="I137" t="str">
        <f>+dHdcp[[#This Row],[Maximo]]&amp;":"&amp;_xlfn.XLOOKUP(dHdcp[[#This Row],[Nombre]],dJugador[Nombre],dJugador[Mote],"",0)</f>
        <v>0:Alvaro</v>
      </c>
      <c r="J137" t="str">
        <f>+IF(dHdcp[[#This Row],[Maximo]]=0,"",_xlfn.RANK.EQ(dHdcp[[#This Row],[Handicap]],dHdcp[Handicap],1))</f>
        <v/>
      </c>
      <c r="K137" t="str">
        <f>IFERROR(+_xlfn.RANK.EQ(dHdcp[[#This Row],[Ranking]],dHdcp[Ranking],1),"")</f>
        <v/>
      </c>
      <c r="M137" t="str">
        <f>+dHdcp[[#This Row],[Fecha]]&amp;":"&amp;dHdcp[[#This Row],[Nombre]]</f>
        <v>43422:Alvaro Nieto</v>
      </c>
      <c r="N137">
        <f>+COUNTIF(dHdcp[Columna1],dHdcp[[#This Row],[Columna1]])</f>
        <v>1</v>
      </c>
    </row>
    <row r="138" spans="1:14">
      <c r="A138" s="2">
        <v>43422</v>
      </c>
      <c r="B138" t="s">
        <v>33</v>
      </c>
      <c r="C138" s="51">
        <v>6.2999999999999989</v>
      </c>
      <c r="D138">
        <v>2</v>
      </c>
      <c r="E138" t="s">
        <v>75</v>
      </c>
      <c r="F138" t="s">
        <v>604</v>
      </c>
      <c r="G138">
        <f>+IF(dHdcp[[#This Row],[Fecha]]=MAX(dHdcp[Fecha]),1,0)</f>
        <v>0</v>
      </c>
      <c r="H138" t="str">
        <f>+dHdcp[[#This Row],[Maximo]]&amp;":"&amp;dHdcp[[#This Row],[Nombre]]</f>
        <v>0:Angel Hernandez</v>
      </c>
      <c r="I138" t="str">
        <f>+dHdcp[[#This Row],[Maximo]]&amp;":"&amp;_xlfn.XLOOKUP(dHdcp[[#This Row],[Nombre]],dJugador[Nombre],dJugador[Mote],"",0)</f>
        <v>0:Angel</v>
      </c>
      <c r="J138" t="str">
        <f>+IF(dHdcp[[#This Row],[Maximo]]=0,"",_xlfn.RANK.EQ(dHdcp[[#This Row],[Handicap]],dHdcp[Handicap],1))</f>
        <v/>
      </c>
      <c r="K138" t="str">
        <f>IFERROR(+_xlfn.RANK.EQ(dHdcp[[#This Row],[Ranking]],dHdcp[Ranking],1),"")</f>
        <v/>
      </c>
      <c r="M138" t="str">
        <f>+dHdcp[[#This Row],[Fecha]]&amp;":"&amp;dHdcp[[#This Row],[Nombre]]</f>
        <v>43422:Angel Hernandez</v>
      </c>
      <c r="N138">
        <f>+COUNTIF(dHdcp[Columna1],dHdcp[[#This Row],[Columna1]])</f>
        <v>1</v>
      </c>
    </row>
    <row r="139" spans="1:14">
      <c r="A139" s="2">
        <v>43422</v>
      </c>
      <c r="B139" t="s">
        <v>30</v>
      </c>
      <c r="C139" s="51">
        <v>11.9</v>
      </c>
      <c r="D139">
        <v>3</v>
      </c>
      <c r="E139" t="s">
        <v>75</v>
      </c>
      <c r="F139" t="s">
        <v>605</v>
      </c>
      <c r="G139">
        <f>+IF(dHdcp[[#This Row],[Fecha]]=MAX(dHdcp[Fecha]),1,0)</f>
        <v>0</v>
      </c>
      <c r="H139" t="str">
        <f>+dHdcp[[#This Row],[Maximo]]&amp;":"&amp;dHdcp[[#This Row],[Nombre]]</f>
        <v>0:David Sequera</v>
      </c>
      <c r="I139" t="str">
        <f>+dHdcp[[#This Row],[Maximo]]&amp;":"&amp;_xlfn.XLOOKUP(dHdcp[[#This Row],[Nombre]],dJugador[Nombre],dJugador[Mote],"",0)</f>
        <v>0:David</v>
      </c>
      <c r="J139" t="str">
        <f>+IF(dHdcp[[#This Row],[Maximo]]=0,"",_xlfn.RANK.EQ(dHdcp[[#This Row],[Handicap]],dHdcp[Handicap],1))</f>
        <v/>
      </c>
      <c r="K139" t="str">
        <f>IFERROR(+_xlfn.RANK.EQ(dHdcp[[#This Row],[Ranking]],dHdcp[Ranking],1),"")</f>
        <v/>
      </c>
      <c r="M139" t="str">
        <f>+dHdcp[[#This Row],[Fecha]]&amp;":"&amp;dHdcp[[#This Row],[Nombre]]</f>
        <v>43422:David Sequera</v>
      </c>
      <c r="N139">
        <f>+COUNTIF(dHdcp[Columna1],dHdcp[[#This Row],[Columna1]])</f>
        <v>1</v>
      </c>
    </row>
    <row r="140" spans="1:14">
      <c r="A140" s="2">
        <v>43422</v>
      </c>
      <c r="B140" t="s">
        <v>12</v>
      </c>
      <c r="C140" s="51">
        <v>16.3</v>
      </c>
      <c r="D140">
        <v>3</v>
      </c>
      <c r="E140" t="s">
        <v>75</v>
      </c>
      <c r="F140" t="s">
        <v>606</v>
      </c>
      <c r="G140">
        <f>+IF(dHdcp[[#This Row],[Fecha]]=MAX(dHdcp[Fecha]),1,0)</f>
        <v>0</v>
      </c>
      <c r="H140" t="str">
        <f>+dHdcp[[#This Row],[Maximo]]&amp;":"&amp;dHdcp[[#This Row],[Nombre]]</f>
        <v>0:Francisco Alvarez</v>
      </c>
      <c r="I140" t="str">
        <f>+dHdcp[[#This Row],[Maximo]]&amp;":"&amp;_xlfn.XLOOKUP(dHdcp[[#This Row],[Nombre]],dJugador[Nombre],dJugador[Mote],"",0)</f>
        <v>0:Paco</v>
      </c>
      <c r="J140" t="str">
        <f>+IF(dHdcp[[#This Row],[Maximo]]=0,"",_xlfn.RANK.EQ(dHdcp[[#This Row],[Handicap]],dHdcp[Handicap],1))</f>
        <v/>
      </c>
      <c r="K140" t="str">
        <f>IFERROR(+_xlfn.RANK.EQ(dHdcp[[#This Row],[Ranking]],dHdcp[Ranking],1),"")</f>
        <v/>
      </c>
      <c r="M140" t="str">
        <f>+dHdcp[[#This Row],[Fecha]]&amp;":"&amp;dHdcp[[#This Row],[Nombre]]</f>
        <v>43422:Francisco Alvarez</v>
      </c>
      <c r="N140">
        <f>+COUNTIF(dHdcp[Columna1],dHdcp[[#This Row],[Columna1]])</f>
        <v>1</v>
      </c>
    </row>
    <row r="141" spans="1:14">
      <c r="A141" s="2">
        <v>43422</v>
      </c>
      <c r="B141" t="s">
        <v>49</v>
      </c>
      <c r="C141" s="51">
        <v>13</v>
      </c>
      <c r="D141">
        <v>3</v>
      </c>
      <c r="E141" t="s">
        <v>75</v>
      </c>
      <c r="F141" t="s">
        <v>607</v>
      </c>
      <c r="G141">
        <f>+IF(dHdcp[[#This Row],[Fecha]]=MAX(dHdcp[Fecha]),1,0)</f>
        <v>0</v>
      </c>
      <c r="H141" t="str">
        <f>+dHdcp[[#This Row],[Maximo]]&amp;":"&amp;dHdcp[[#This Row],[Nombre]]</f>
        <v>0:Francisco Hidalgo</v>
      </c>
      <c r="I141" t="str">
        <f>+dHdcp[[#This Row],[Maximo]]&amp;":"&amp;_xlfn.XLOOKUP(dHdcp[[#This Row],[Nombre]],dJugador[Nombre],dJugador[Mote],"",0)</f>
        <v>0:Fran</v>
      </c>
      <c r="J141" t="str">
        <f>+IF(dHdcp[[#This Row],[Maximo]]=0,"",_xlfn.RANK.EQ(dHdcp[[#This Row],[Handicap]],dHdcp[Handicap],1))</f>
        <v/>
      </c>
      <c r="K141" t="str">
        <f>IFERROR(+_xlfn.RANK.EQ(dHdcp[[#This Row],[Ranking]],dHdcp[Ranking],1),"")</f>
        <v/>
      </c>
      <c r="M141" t="str">
        <f>+dHdcp[[#This Row],[Fecha]]&amp;":"&amp;dHdcp[[#This Row],[Nombre]]</f>
        <v>43422:Francisco Hidalgo</v>
      </c>
      <c r="N141">
        <f>+COUNTIF(dHdcp[Columna1],dHdcp[[#This Row],[Columna1]])</f>
        <v>1</v>
      </c>
    </row>
    <row r="142" spans="1:14">
      <c r="A142" s="2">
        <v>43422</v>
      </c>
      <c r="B142" t="s">
        <v>35</v>
      </c>
      <c r="C142" s="51">
        <v>16.800000000000004</v>
      </c>
      <c r="D142">
        <v>3</v>
      </c>
      <c r="E142" t="s">
        <v>75</v>
      </c>
      <c r="F142" t="s">
        <v>608</v>
      </c>
      <c r="G142">
        <f>+IF(dHdcp[[#This Row],[Fecha]]=MAX(dHdcp[Fecha]),1,0)</f>
        <v>0</v>
      </c>
      <c r="H142" t="str">
        <f>+dHdcp[[#This Row],[Maximo]]&amp;":"&amp;dHdcp[[#This Row],[Nombre]]</f>
        <v>0:GLEZ JUAN JOSÉ</v>
      </c>
      <c r="I142" t="str">
        <f>+dHdcp[[#This Row],[Maximo]]&amp;":"&amp;_xlfn.XLOOKUP(dHdcp[[#This Row],[Nombre]],dJugador[Nombre],dJugador[Mote],"",0)</f>
        <v>0:Juanjo</v>
      </c>
      <c r="J142" t="str">
        <f>+IF(dHdcp[[#This Row],[Maximo]]=0,"",_xlfn.RANK.EQ(dHdcp[[#This Row],[Handicap]],dHdcp[Handicap],1))</f>
        <v/>
      </c>
      <c r="K142" t="str">
        <f>IFERROR(+_xlfn.RANK.EQ(dHdcp[[#This Row],[Ranking]],dHdcp[Ranking],1),"")</f>
        <v/>
      </c>
      <c r="M142" t="str">
        <f>+dHdcp[[#This Row],[Fecha]]&amp;":"&amp;dHdcp[[#This Row],[Nombre]]</f>
        <v>43422:GLEZ JUAN JOSÉ</v>
      </c>
      <c r="N142">
        <f>+COUNTIF(dHdcp[Columna1],dHdcp[[#This Row],[Columna1]])</f>
        <v>1</v>
      </c>
    </row>
    <row r="143" spans="1:14">
      <c r="A143" s="2">
        <v>43422</v>
      </c>
      <c r="B143" t="s">
        <v>6</v>
      </c>
      <c r="C143" s="51">
        <v>6.6</v>
      </c>
      <c r="D143">
        <v>2</v>
      </c>
      <c r="E143" t="s">
        <v>75</v>
      </c>
      <c r="F143" t="s">
        <v>609</v>
      </c>
      <c r="G143">
        <f>+IF(dHdcp[[#This Row],[Fecha]]=MAX(dHdcp[Fecha]),1,0)</f>
        <v>0</v>
      </c>
      <c r="H143" t="str">
        <f>+dHdcp[[#This Row],[Maximo]]&amp;":"&amp;dHdcp[[#This Row],[Nombre]]</f>
        <v>0:Ignacio Cadarso</v>
      </c>
      <c r="I143" t="str">
        <f>+dHdcp[[#This Row],[Maximo]]&amp;":"&amp;_xlfn.XLOOKUP(dHdcp[[#This Row],[Nombre]],dJugador[Nombre],dJugador[Mote],"",0)</f>
        <v>0:Ignacio</v>
      </c>
      <c r="J143" t="str">
        <f>+IF(dHdcp[[#This Row],[Maximo]]=0,"",_xlfn.RANK.EQ(dHdcp[[#This Row],[Handicap]],dHdcp[Handicap],1))</f>
        <v/>
      </c>
      <c r="K143" t="str">
        <f>IFERROR(+_xlfn.RANK.EQ(dHdcp[[#This Row],[Ranking]],dHdcp[Ranking],1),"")</f>
        <v/>
      </c>
      <c r="M143" t="str">
        <f>+dHdcp[[#This Row],[Fecha]]&amp;":"&amp;dHdcp[[#This Row],[Nombre]]</f>
        <v>43422:Ignacio Cadarso</v>
      </c>
      <c r="N143">
        <f>+COUNTIF(dHdcp[Columna1],dHdcp[[#This Row],[Columna1]])</f>
        <v>1</v>
      </c>
    </row>
    <row r="144" spans="1:14">
      <c r="A144" s="2">
        <v>43422</v>
      </c>
      <c r="B144" t="s">
        <v>39</v>
      </c>
      <c r="C144" s="51">
        <v>13.3</v>
      </c>
      <c r="D144">
        <v>3</v>
      </c>
      <c r="E144" t="s">
        <v>75</v>
      </c>
      <c r="F144" t="s">
        <v>610</v>
      </c>
      <c r="G144">
        <f>+IF(dHdcp[[#This Row],[Fecha]]=MAX(dHdcp[Fecha]),1,0)</f>
        <v>0</v>
      </c>
      <c r="H144" t="str">
        <f>+dHdcp[[#This Row],[Maximo]]&amp;":"&amp;dHdcp[[#This Row],[Nombre]]</f>
        <v>0:Iñigo Rosas</v>
      </c>
      <c r="I144" t="str">
        <f>+dHdcp[[#This Row],[Maximo]]&amp;":"&amp;_xlfn.XLOOKUP(dHdcp[[#This Row],[Nombre]],dJugador[Nombre],dJugador[Mote],"",0)</f>
        <v>0:</v>
      </c>
      <c r="J144" t="str">
        <f>+IF(dHdcp[[#This Row],[Maximo]]=0,"",_xlfn.RANK.EQ(dHdcp[[#This Row],[Handicap]],dHdcp[Handicap],1))</f>
        <v/>
      </c>
      <c r="K144" t="str">
        <f>IFERROR(+_xlfn.RANK.EQ(dHdcp[[#This Row],[Ranking]],dHdcp[Ranking],1),"")</f>
        <v/>
      </c>
      <c r="M144" t="str">
        <f>+dHdcp[[#This Row],[Fecha]]&amp;":"&amp;dHdcp[[#This Row],[Nombre]]</f>
        <v>43422:Iñigo Rosas</v>
      </c>
      <c r="N144">
        <f>+COUNTIF(dHdcp[Columna1],dHdcp[[#This Row],[Columna1]])</f>
        <v>1</v>
      </c>
    </row>
    <row r="145" spans="1:14">
      <c r="A145" s="2">
        <v>43422</v>
      </c>
      <c r="B145" t="s">
        <v>23</v>
      </c>
      <c r="C145" s="51">
        <v>19.100000000000005</v>
      </c>
      <c r="D145">
        <v>4</v>
      </c>
      <c r="E145" t="s">
        <v>75</v>
      </c>
      <c r="F145" t="s">
        <v>611</v>
      </c>
      <c r="G145">
        <f>+IF(dHdcp[[#This Row],[Fecha]]=MAX(dHdcp[Fecha]),1,0)</f>
        <v>0</v>
      </c>
      <c r="H145" t="str">
        <f>+dHdcp[[#This Row],[Maximo]]&amp;":"&amp;dHdcp[[#This Row],[Nombre]]</f>
        <v>0:J. Enrique Gonzalez</v>
      </c>
      <c r="I145" t="str">
        <f>+dHdcp[[#This Row],[Maximo]]&amp;":"&amp;_xlfn.XLOOKUP(dHdcp[[#This Row],[Nombre]],dJugador[Nombre],dJugador[Mote],"",0)</f>
        <v>0:Kike</v>
      </c>
      <c r="J145" t="str">
        <f>+IF(dHdcp[[#This Row],[Maximo]]=0,"",_xlfn.RANK.EQ(dHdcp[[#This Row],[Handicap]],dHdcp[Handicap],1))</f>
        <v/>
      </c>
      <c r="K145" t="str">
        <f>IFERROR(+_xlfn.RANK.EQ(dHdcp[[#This Row],[Ranking]],dHdcp[Ranking],1),"")</f>
        <v/>
      </c>
      <c r="M145" t="str">
        <f>+dHdcp[[#This Row],[Fecha]]&amp;":"&amp;dHdcp[[#This Row],[Nombre]]</f>
        <v>43422:J. Enrique Gonzalez</v>
      </c>
      <c r="N145">
        <f>+COUNTIF(dHdcp[Columna1],dHdcp[[#This Row],[Columna1]])</f>
        <v>1</v>
      </c>
    </row>
    <row r="146" spans="1:14">
      <c r="A146" s="2">
        <v>43422</v>
      </c>
      <c r="B146" t="s">
        <v>46</v>
      </c>
      <c r="C146" s="51">
        <v>13.1</v>
      </c>
      <c r="D146">
        <v>3</v>
      </c>
      <c r="E146" t="s">
        <v>75</v>
      </c>
      <c r="F146" t="s">
        <v>612</v>
      </c>
      <c r="G146">
        <f>+IF(dHdcp[[#This Row],[Fecha]]=MAX(dHdcp[Fecha]),1,0)</f>
        <v>0</v>
      </c>
      <c r="H146" t="str">
        <f>+dHdcp[[#This Row],[Maximo]]&amp;":"&amp;dHdcp[[#This Row],[Nombre]]</f>
        <v>0:Javier Cervera</v>
      </c>
      <c r="I146" t="str">
        <f>+dHdcp[[#This Row],[Maximo]]&amp;":"&amp;_xlfn.XLOOKUP(dHdcp[[#This Row],[Nombre]],dJugador[Nombre],dJugador[Mote],"",0)</f>
        <v>0:Virus</v>
      </c>
      <c r="J146" t="str">
        <f>+IF(dHdcp[[#This Row],[Maximo]]=0,"",_xlfn.RANK.EQ(dHdcp[[#This Row],[Handicap]],dHdcp[Handicap],1))</f>
        <v/>
      </c>
      <c r="K146" t="str">
        <f>IFERROR(+_xlfn.RANK.EQ(dHdcp[[#This Row],[Ranking]],dHdcp[Ranking],1),"")</f>
        <v/>
      </c>
      <c r="M146" t="str">
        <f>+dHdcp[[#This Row],[Fecha]]&amp;":"&amp;dHdcp[[#This Row],[Nombre]]</f>
        <v>43422:Javier Cervera</v>
      </c>
      <c r="N146">
        <f>+COUNTIF(dHdcp[Columna1],dHdcp[[#This Row],[Columna1]])</f>
        <v>1</v>
      </c>
    </row>
    <row r="147" spans="1:14">
      <c r="A147" s="2">
        <v>43422</v>
      </c>
      <c r="B147" t="s">
        <v>20</v>
      </c>
      <c r="C147" s="51">
        <v>10.1</v>
      </c>
      <c r="D147">
        <v>2</v>
      </c>
      <c r="E147" t="s">
        <v>75</v>
      </c>
      <c r="F147" t="s">
        <v>613</v>
      </c>
      <c r="G147">
        <f>+IF(dHdcp[[#This Row],[Fecha]]=MAX(dHdcp[Fecha]),1,0)</f>
        <v>0</v>
      </c>
      <c r="H147" t="str">
        <f>+dHdcp[[#This Row],[Maximo]]&amp;":"&amp;dHdcp[[#This Row],[Nombre]]</f>
        <v>0:Javier Gonzalez Salvador</v>
      </c>
      <c r="I147" t="str">
        <f>+dHdcp[[#This Row],[Maximo]]&amp;":"&amp;_xlfn.XLOOKUP(dHdcp[[#This Row],[Nombre]],dJugador[Nombre],dJugador[Mote],"",0)</f>
        <v>0:Javi</v>
      </c>
      <c r="J147" t="str">
        <f>+IF(dHdcp[[#This Row],[Maximo]]=0,"",_xlfn.RANK.EQ(dHdcp[[#This Row],[Handicap]],dHdcp[Handicap],1))</f>
        <v/>
      </c>
      <c r="K147" t="str">
        <f>IFERROR(+_xlfn.RANK.EQ(dHdcp[[#This Row],[Ranking]],dHdcp[Ranking],1),"")</f>
        <v/>
      </c>
      <c r="M147" t="str">
        <f>+dHdcp[[#This Row],[Fecha]]&amp;":"&amp;dHdcp[[#This Row],[Nombre]]</f>
        <v>43422:Javier Gonzalez Salvador</v>
      </c>
      <c r="N147">
        <f>+COUNTIF(dHdcp[Columna1],dHdcp[[#This Row],[Columna1]])</f>
        <v>1</v>
      </c>
    </row>
    <row r="148" spans="1:14">
      <c r="A148" s="2">
        <v>43422</v>
      </c>
      <c r="B148" t="s">
        <v>41</v>
      </c>
      <c r="C148" s="51">
        <v>21.400000000000002</v>
      </c>
      <c r="D148">
        <v>4</v>
      </c>
      <c r="E148" t="s">
        <v>75</v>
      </c>
      <c r="F148" t="s">
        <v>614</v>
      </c>
      <c r="G148">
        <f>+IF(dHdcp[[#This Row],[Fecha]]=MAX(dHdcp[Fecha]),1,0)</f>
        <v>0</v>
      </c>
      <c r="H148" t="str">
        <f>+dHdcp[[#This Row],[Maximo]]&amp;":"&amp;dHdcp[[#This Row],[Nombre]]</f>
        <v>0:Jesus Touceda</v>
      </c>
      <c r="I148" t="str">
        <f>+dHdcp[[#This Row],[Maximo]]&amp;":"&amp;_xlfn.XLOOKUP(dHdcp[[#This Row],[Nombre]],dJugador[Nombre],dJugador[Mote],"",0)</f>
        <v>0:Jesús</v>
      </c>
      <c r="J148" t="str">
        <f>+IF(dHdcp[[#This Row],[Maximo]]=0,"",_xlfn.RANK.EQ(dHdcp[[#This Row],[Handicap]],dHdcp[Handicap],1))</f>
        <v/>
      </c>
      <c r="K148" t="str">
        <f>IFERROR(+_xlfn.RANK.EQ(dHdcp[[#This Row],[Ranking]],dHdcp[Ranking],1),"")</f>
        <v/>
      </c>
      <c r="M148" t="str">
        <f>+dHdcp[[#This Row],[Fecha]]&amp;":"&amp;dHdcp[[#This Row],[Nombre]]</f>
        <v>43422:Jesus Touceda</v>
      </c>
      <c r="N148">
        <f>+COUNTIF(dHdcp[Columna1],dHdcp[[#This Row],[Columna1]])</f>
        <v>1</v>
      </c>
    </row>
    <row r="149" spans="1:14">
      <c r="A149" s="2">
        <v>43422</v>
      </c>
      <c r="B149" t="s">
        <v>18</v>
      </c>
      <c r="C149" s="51">
        <v>5.2999999999999989</v>
      </c>
      <c r="D149">
        <v>2</v>
      </c>
      <c r="E149" t="s">
        <v>75</v>
      </c>
      <c r="F149" t="s">
        <v>615</v>
      </c>
      <c r="G149">
        <f>+IF(dHdcp[[#This Row],[Fecha]]=MAX(dHdcp[Fecha]),1,0)</f>
        <v>0</v>
      </c>
      <c r="H149" t="str">
        <f>+dHdcp[[#This Row],[Maximo]]&amp;":"&amp;dHdcp[[#This Row],[Nombre]]</f>
        <v>0:José Pablo Guil</v>
      </c>
      <c r="I149" t="str">
        <f>+dHdcp[[#This Row],[Maximo]]&amp;":"&amp;_xlfn.XLOOKUP(dHdcp[[#This Row],[Nombre]],dJugador[Nombre],dJugador[Mote],"",0)</f>
        <v>0:JP</v>
      </c>
      <c r="J149" t="str">
        <f>+IF(dHdcp[[#This Row],[Maximo]]=0,"",_xlfn.RANK.EQ(dHdcp[[#This Row],[Handicap]],dHdcp[Handicap],1))</f>
        <v/>
      </c>
      <c r="K149" t="str">
        <f>IFERROR(+_xlfn.RANK.EQ(dHdcp[[#This Row],[Ranking]],dHdcp[Ranking],1),"")</f>
        <v/>
      </c>
      <c r="M149" t="str">
        <f>+dHdcp[[#This Row],[Fecha]]&amp;":"&amp;dHdcp[[#This Row],[Nombre]]</f>
        <v>43422:José Pablo Guil</v>
      </c>
      <c r="N149">
        <f>+COUNTIF(dHdcp[Columna1],dHdcp[[#This Row],[Columna1]])</f>
        <v>1</v>
      </c>
    </row>
    <row r="150" spans="1:14">
      <c r="A150" s="2">
        <v>43422</v>
      </c>
      <c r="B150" t="s">
        <v>43</v>
      </c>
      <c r="C150" s="51">
        <v>16.8</v>
      </c>
      <c r="D150">
        <v>3</v>
      </c>
      <c r="E150" t="s">
        <v>75</v>
      </c>
      <c r="F150" t="s">
        <v>616</v>
      </c>
      <c r="G150">
        <f>+IF(dHdcp[[#This Row],[Fecha]]=MAX(dHdcp[Fecha]),1,0)</f>
        <v>0</v>
      </c>
      <c r="H150" t="str">
        <f>+dHdcp[[#This Row],[Maximo]]&amp;":"&amp;dHdcp[[#This Row],[Nombre]]</f>
        <v>0:Luis Escudero</v>
      </c>
      <c r="I150" t="str">
        <f>+dHdcp[[#This Row],[Maximo]]&amp;":"&amp;_xlfn.XLOOKUP(dHdcp[[#This Row],[Nombre]],dJugador[Nombre],dJugador[Mote],"",0)</f>
        <v>0:Lucho</v>
      </c>
      <c r="J150" t="str">
        <f>+IF(dHdcp[[#This Row],[Maximo]]=0,"",_xlfn.RANK.EQ(dHdcp[[#This Row],[Handicap]],dHdcp[Handicap],1))</f>
        <v/>
      </c>
      <c r="K150" t="str">
        <f>IFERROR(+_xlfn.RANK.EQ(dHdcp[[#This Row],[Ranking]],dHdcp[Ranking],1),"")</f>
        <v/>
      </c>
      <c r="M150" t="str">
        <f>+dHdcp[[#This Row],[Fecha]]&amp;":"&amp;dHdcp[[#This Row],[Nombre]]</f>
        <v>43422:Luis Escudero</v>
      </c>
      <c r="N150">
        <f>+COUNTIF(dHdcp[Columna1],dHdcp[[#This Row],[Columna1]])</f>
        <v>1</v>
      </c>
    </row>
    <row r="151" spans="1:14">
      <c r="A151" s="2">
        <v>43422</v>
      </c>
      <c r="B151" t="s">
        <v>3</v>
      </c>
      <c r="C151" s="51">
        <v>4.2000000000000011</v>
      </c>
      <c r="D151">
        <v>1</v>
      </c>
      <c r="E151" t="s">
        <v>75</v>
      </c>
      <c r="F151" t="s">
        <v>617</v>
      </c>
      <c r="G151">
        <f>+IF(dHdcp[[#This Row],[Fecha]]=MAX(dHdcp[Fecha]),1,0)</f>
        <v>0</v>
      </c>
      <c r="H151" t="str">
        <f>+dHdcp[[#This Row],[Maximo]]&amp;":"&amp;dHdcp[[#This Row],[Nombre]]</f>
        <v>0:Nacho Gonzalez</v>
      </c>
      <c r="I151" t="str">
        <f>+dHdcp[[#This Row],[Maximo]]&amp;":"&amp;_xlfn.XLOOKUP(dHdcp[[#This Row],[Nombre]],dJugador[Nombre],dJugador[Mote],"",0)</f>
        <v>0:Nacho</v>
      </c>
      <c r="J151" t="str">
        <f>+IF(dHdcp[[#This Row],[Maximo]]=0,"",_xlfn.RANK.EQ(dHdcp[[#This Row],[Handicap]],dHdcp[Handicap],1))</f>
        <v/>
      </c>
      <c r="K151" t="str">
        <f>IFERROR(+_xlfn.RANK.EQ(dHdcp[[#This Row],[Ranking]],dHdcp[Ranking],1),"")</f>
        <v/>
      </c>
      <c r="M151" t="str">
        <f>+dHdcp[[#This Row],[Fecha]]&amp;":"&amp;dHdcp[[#This Row],[Nombre]]</f>
        <v>43422:Nacho Gonzalez</v>
      </c>
      <c r="N151">
        <f>+COUNTIF(dHdcp[Columna1],dHdcp[[#This Row],[Columna1]])</f>
        <v>1</v>
      </c>
    </row>
    <row r="152" spans="1:14">
      <c r="A152" s="2">
        <v>43422</v>
      </c>
      <c r="B152" t="s">
        <v>28</v>
      </c>
      <c r="C152" s="51">
        <v>13.5</v>
      </c>
      <c r="D152">
        <v>3</v>
      </c>
      <c r="E152" t="s">
        <v>75</v>
      </c>
      <c r="F152" t="s">
        <v>618</v>
      </c>
      <c r="G152">
        <f>+IF(dHdcp[[#This Row],[Fecha]]=MAX(dHdcp[Fecha]),1,0)</f>
        <v>0</v>
      </c>
      <c r="H152" t="str">
        <f>+dHdcp[[#This Row],[Maximo]]&amp;":"&amp;dHdcp[[#This Row],[Nombre]]</f>
        <v>0:Pablo Munitiz</v>
      </c>
      <c r="I152" t="str">
        <f>+dHdcp[[#This Row],[Maximo]]&amp;":"&amp;_xlfn.XLOOKUP(dHdcp[[#This Row],[Nombre]],dJugador[Nombre],dJugador[Mote],"",0)</f>
        <v>0:Muni</v>
      </c>
      <c r="J152" t="str">
        <f>+IF(dHdcp[[#This Row],[Maximo]]=0,"",_xlfn.RANK.EQ(dHdcp[[#This Row],[Handicap]],dHdcp[Handicap],1))</f>
        <v/>
      </c>
      <c r="K152" t="str">
        <f>IFERROR(+_xlfn.RANK.EQ(dHdcp[[#This Row],[Ranking]],dHdcp[Ranking],1),"")</f>
        <v/>
      </c>
      <c r="M152" t="str">
        <f>+dHdcp[[#This Row],[Fecha]]&amp;":"&amp;dHdcp[[#This Row],[Nombre]]</f>
        <v>43422:Pablo Munitiz</v>
      </c>
      <c r="N152">
        <f>+COUNTIF(dHdcp[Columna1],dHdcp[[#This Row],[Columna1]])</f>
        <v>1</v>
      </c>
    </row>
    <row r="153" spans="1:14">
      <c r="A153" s="2">
        <v>43422</v>
      </c>
      <c r="B153" t="s">
        <v>37</v>
      </c>
      <c r="C153" s="51">
        <v>9.6</v>
      </c>
      <c r="D153">
        <v>2</v>
      </c>
      <c r="E153" t="s">
        <v>75</v>
      </c>
      <c r="F153" t="s">
        <v>619</v>
      </c>
      <c r="G153">
        <f>+IF(dHdcp[[#This Row],[Fecha]]=MAX(dHdcp[Fecha]),1,0)</f>
        <v>0</v>
      </c>
      <c r="H153" t="str">
        <f>+dHdcp[[#This Row],[Maximo]]&amp;":"&amp;dHdcp[[#This Row],[Nombre]]</f>
        <v>0:Ricardo Muelas</v>
      </c>
      <c r="I153" t="str">
        <f>+dHdcp[[#This Row],[Maximo]]&amp;":"&amp;_xlfn.XLOOKUP(dHdcp[[#This Row],[Nombre]],dJugador[Nombre],dJugador[Mote],"",0)</f>
        <v>0:</v>
      </c>
      <c r="J153" t="str">
        <f>+IF(dHdcp[[#This Row],[Maximo]]=0,"",_xlfn.RANK.EQ(dHdcp[[#This Row],[Handicap]],dHdcp[Handicap],1))</f>
        <v/>
      </c>
      <c r="K153" t="str">
        <f>IFERROR(+_xlfn.RANK.EQ(dHdcp[[#This Row],[Ranking]],dHdcp[Ranking],1),"")</f>
        <v/>
      </c>
      <c r="M153" t="str">
        <f>+dHdcp[[#This Row],[Fecha]]&amp;":"&amp;dHdcp[[#This Row],[Nombre]]</f>
        <v>43422:Ricardo Muelas</v>
      </c>
      <c r="N153">
        <f>+COUNTIF(dHdcp[Columna1],dHdcp[[#This Row],[Columna1]])</f>
        <v>1</v>
      </c>
    </row>
    <row r="154" spans="1:14">
      <c r="A154" s="2">
        <v>43470</v>
      </c>
      <c r="B154" t="s">
        <v>9</v>
      </c>
      <c r="C154" s="51">
        <v>8.3000000000000007</v>
      </c>
      <c r="D154">
        <v>2</v>
      </c>
      <c r="E154" t="s">
        <v>74</v>
      </c>
      <c r="F154" t="s">
        <v>620</v>
      </c>
      <c r="G154">
        <f>+IF(dHdcp[[#This Row],[Fecha]]=MAX(dHdcp[Fecha]),1,0)</f>
        <v>0</v>
      </c>
      <c r="H154" t="str">
        <f>+dHdcp[[#This Row],[Maximo]]&amp;":"&amp;dHdcp[[#This Row],[Nombre]]</f>
        <v>0:Alfonso Hidalgo</v>
      </c>
      <c r="I154" t="str">
        <f>+dHdcp[[#This Row],[Maximo]]&amp;":"&amp;_xlfn.XLOOKUP(dHdcp[[#This Row],[Nombre]],dJugador[Nombre],dJugador[Mote],"",0)</f>
        <v>0:Alfonso</v>
      </c>
      <c r="J154" t="str">
        <f>+IF(dHdcp[[#This Row],[Maximo]]=0,"",_xlfn.RANK.EQ(dHdcp[[#This Row],[Handicap]],dHdcp[Handicap],1))</f>
        <v/>
      </c>
      <c r="K154" t="str">
        <f>IFERROR(+_xlfn.RANK.EQ(dHdcp[[#This Row],[Ranking]],dHdcp[Ranking],1),"")</f>
        <v/>
      </c>
      <c r="M154" t="str">
        <f>+dHdcp[[#This Row],[Fecha]]&amp;":"&amp;dHdcp[[#This Row],[Nombre]]</f>
        <v>43470:Alfonso Hidalgo</v>
      </c>
      <c r="N154">
        <f>+COUNTIF(dHdcp[Columna1],dHdcp[[#This Row],[Columna1]])</f>
        <v>1</v>
      </c>
    </row>
    <row r="155" spans="1:14">
      <c r="A155" s="2">
        <v>43470</v>
      </c>
      <c r="B155" t="s">
        <v>15</v>
      </c>
      <c r="C155" s="51">
        <v>5.4</v>
      </c>
      <c r="D155">
        <v>2</v>
      </c>
      <c r="E155" t="s">
        <v>74</v>
      </c>
      <c r="F155" t="s">
        <v>621</v>
      </c>
      <c r="G155">
        <f>+IF(dHdcp[[#This Row],[Fecha]]=MAX(dHdcp[Fecha]),1,0)</f>
        <v>0</v>
      </c>
      <c r="H155" t="str">
        <f>+dHdcp[[#This Row],[Maximo]]&amp;":"&amp;dHdcp[[#This Row],[Nombre]]</f>
        <v>0:Alvaro Aguirre</v>
      </c>
      <c r="I155" t="str">
        <f>+dHdcp[[#This Row],[Maximo]]&amp;":"&amp;_xlfn.XLOOKUP(dHdcp[[#This Row],[Nombre]],dJugador[Nombre],dJugador[Mote],"",0)</f>
        <v>0:Gifu</v>
      </c>
      <c r="J155" t="str">
        <f>+IF(dHdcp[[#This Row],[Maximo]]=0,"",_xlfn.RANK.EQ(dHdcp[[#This Row],[Handicap]],dHdcp[Handicap],1))</f>
        <v/>
      </c>
      <c r="K155" t="str">
        <f>IFERROR(+_xlfn.RANK.EQ(dHdcp[[#This Row],[Ranking]],dHdcp[Ranking],1),"")</f>
        <v/>
      </c>
      <c r="M155" t="str">
        <f>+dHdcp[[#This Row],[Fecha]]&amp;":"&amp;dHdcp[[#This Row],[Nombre]]</f>
        <v>43470:Alvaro Aguirre</v>
      </c>
      <c r="N155">
        <f>+COUNTIF(dHdcp[Columna1],dHdcp[[#This Row],[Columna1]])</f>
        <v>1</v>
      </c>
    </row>
    <row r="156" spans="1:14">
      <c r="A156" s="2">
        <v>43470</v>
      </c>
      <c r="B156" t="s">
        <v>25</v>
      </c>
      <c r="C156" s="51">
        <v>15.3</v>
      </c>
      <c r="D156">
        <v>3</v>
      </c>
      <c r="E156" t="s">
        <v>74</v>
      </c>
      <c r="F156" t="s">
        <v>622</v>
      </c>
      <c r="G156">
        <f>+IF(dHdcp[[#This Row],[Fecha]]=MAX(dHdcp[Fecha]),1,0)</f>
        <v>0</v>
      </c>
      <c r="H156" t="str">
        <f>+dHdcp[[#This Row],[Maximo]]&amp;":"&amp;dHdcp[[#This Row],[Nombre]]</f>
        <v>0:Alvaro Nieto</v>
      </c>
      <c r="I156" t="str">
        <f>+dHdcp[[#This Row],[Maximo]]&amp;":"&amp;_xlfn.XLOOKUP(dHdcp[[#This Row],[Nombre]],dJugador[Nombre],dJugador[Mote],"",0)</f>
        <v>0:Alvaro</v>
      </c>
      <c r="J156" t="str">
        <f>+IF(dHdcp[[#This Row],[Maximo]]=0,"",_xlfn.RANK.EQ(dHdcp[[#This Row],[Handicap]],dHdcp[Handicap],1))</f>
        <v/>
      </c>
      <c r="K156" t="str">
        <f>IFERROR(+_xlfn.RANK.EQ(dHdcp[[#This Row],[Ranking]],dHdcp[Ranking],1),"")</f>
        <v/>
      </c>
      <c r="M156" t="str">
        <f>+dHdcp[[#This Row],[Fecha]]&amp;":"&amp;dHdcp[[#This Row],[Nombre]]</f>
        <v>43470:Alvaro Nieto</v>
      </c>
      <c r="N156">
        <f>+COUNTIF(dHdcp[Columna1],dHdcp[[#This Row],[Columna1]])</f>
        <v>1</v>
      </c>
    </row>
    <row r="157" spans="1:14">
      <c r="A157" s="2">
        <v>43470</v>
      </c>
      <c r="B157" t="s">
        <v>33</v>
      </c>
      <c r="C157" s="51">
        <v>6.8</v>
      </c>
      <c r="D157">
        <v>2</v>
      </c>
      <c r="E157" t="s">
        <v>74</v>
      </c>
      <c r="F157" t="s">
        <v>623</v>
      </c>
      <c r="G157">
        <f>+IF(dHdcp[[#This Row],[Fecha]]=MAX(dHdcp[Fecha]),1,0)</f>
        <v>0</v>
      </c>
      <c r="H157" t="str">
        <f>+dHdcp[[#This Row],[Maximo]]&amp;":"&amp;dHdcp[[#This Row],[Nombre]]</f>
        <v>0:Angel Hernandez</v>
      </c>
      <c r="I157" t="str">
        <f>+dHdcp[[#This Row],[Maximo]]&amp;":"&amp;_xlfn.XLOOKUP(dHdcp[[#This Row],[Nombre]],dJugador[Nombre],dJugador[Mote],"",0)</f>
        <v>0:Angel</v>
      </c>
      <c r="J157" t="str">
        <f>+IF(dHdcp[[#This Row],[Maximo]]=0,"",_xlfn.RANK.EQ(dHdcp[[#This Row],[Handicap]],dHdcp[Handicap],1))</f>
        <v/>
      </c>
      <c r="K157" t="str">
        <f>IFERROR(+_xlfn.RANK.EQ(dHdcp[[#This Row],[Ranking]],dHdcp[Ranking],1),"")</f>
        <v/>
      </c>
      <c r="M157" t="str">
        <f>+dHdcp[[#This Row],[Fecha]]&amp;":"&amp;dHdcp[[#This Row],[Nombre]]</f>
        <v>43470:Angel Hernandez</v>
      </c>
      <c r="N157">
        <f>+COUNTIF(dHdcp[Columna1],dHdcp[[#This Row],[Columna1]])</f>
        <v>1</v>
      </c>
    </row>
    <row r="158" spans="1:14">
      <c r="A158" s="2">
        <v>43470</v>
      </c>
      <c r="B158" t="s">
        <v>30</v>
      </c>
      <c r="C158" s="51">
        <v>11.9</v>
      </c>
      <c r="D158">
        <v>3</v>
      </c>
      <c r="E158" t="s">
        <v>74</v>
      </c>
      <c r="F158" t="s">
        <v>624</v>
      </c>
      <c r="G158">
        <f>+IF(dHdcp[[#This Row],[Fecha]]=MAX(dHdcp[Fecha]),1,0)</f>
        <v>0</v>
      </c>
      <c r="H158" t="str">
        <f>+dHdcp[[#This Row],[Maximo]]&amp;":"&amp;dHdcp[[#This Row],[Nombre]]</f>
        <v>0:David Sequera</v>
      </c>
      <c r="I158" t="str">
        <f>+dHdcp[[#This Row],[Maximo]]&amp;":"&amp;_xlfn.XLOOKUP(dHdcp[[#This Row],[Nombre]],dJugador[Nombre],dJugador[Mote],"",0)</f>
        <v>0:David</v>
      </c>
      <c r="J158" t="str">
        <f>+IF(dHdcp[[#This Row],[Maximo]]=0,"",_xlfn.RANK.EQ(dHdcp[[#This Row],[Handicap]],dHdcp[Handicap],1))</f>
        <v/>
      </c>
      <c r="K158" t="str">
        <f>IFERROR(+_xlfn.RANK.EQ(dHdcp[[#This Row],[Ranking]],dHdcp[Ranking],1),"")</f>
        <v/>
      </c>
      <c r="M158" t="str">
        <f>+dHdcp[[#This Row],[Fecha]]&amp;":"&amp;dHdcp[[#This Row],[Nombre]]</f>
        <v>43470:David Sequera</v>
      </c>
      <c r="N158">
        <f>+COUNTIF(dHdcp[Columna1],dHdcp[[#This Row],[Columna1]])</f>
        <v>1</v>
      </c>
    </row>
    <row r="159" spans="1:14">
      <c r="A159" s="2">
        <v>43470</v>
      </c>
      <c r="B159" t="s">
        <v>12</v>
      </c>
      <c r="C159" s="51">
        <v>17.600000000000001</v>
      </c>
      <c r="D159">
        <v>3</v>
      </c>
      <c r="E159" t="s">
        <v>74</v>
      </c>
      <c r="F159" t="s">
        <v>625</v>
      </c>
      <c r="G159">
        <f>+IF(dHdcp[[#This Row],[Fecha]]=MAX(dHdcp[Fecha]),1,0)</f>
        <v>0</v>
      </c>
      <c r="H159" t="str">
        <f>+dHdcp[[#This Row],[Maximo]]&amp;":"&amp;dHdcp[[#This Row],[Nombre]]</f>
        <v>0:Francisco Alvarez</v>
      </c>
      <c r="I159" t="str">
        <f>+dHdcp[[#This Row],[Maximo]]&amp;":"&amp;_xlfn.XLOOKUP(dHdcp[[#This Row],[Nombre]],dJugador[Nombre],dJugador[Mote],"",0)</f>
        <v>0:Paco</v>
      </c>
      <c r="J159" t="str">
        <f>+IF(dHdcp[[#This Row],[Maximo]]=0,"",_xlfn.RANK.EQ(dHdcp[[#This Row],[Handicap]],dHdcp[Handicap],1))</f>
        <v/>
      </c>
      <c r="K159" t="str">
        <f>IFERROR(+_xlfn.RANK.EQ(dHdcp[[#This Row],[Ranking]],dHdcp[Ranking],1),"")</f>
        <v/>
      </c>
      <c r="M159" t="str">
        <f>+dHdcp[[#This Row],[Fecha]]&amp;":"&amp;dHdcp[[#This Row],[Nombre]]</f>
        <v>43470:Francisco Alvarez</v>
      </c>
      <c r="N159">
        <f>+COUNTIF(dHdcp[Columna1],dHdcp[[#This Row],[Columna1]])</f>
        <v>1</v>
      </c>
    </row>
    <row r="160" spans="1:14">
      <c r="A160" s="2">
        <v>43470</v>
      </c>
      <c r="B160" t="s">
        <v>49</v>
      </c>
      <c r="C160" s="51">
        <v>12.9</v>
      </c>
      <c r="D160">
        <v>3</v>
      </c>
      <c r="E160" t="s">
        <v>74</v>
      </c>
      <c r="F160" t="s">
        <v>626</v>
      </c>
      <c r="G160">
        <f>+IF(dHdcp[[#This Row],[Fecha]]=MAX(dHdcp[Fecha]),1,0)</f>
        <v>0</v>
      </c>
      <c r="H160" t="str">
        <f>+dHdcp[[#This Row],[Maximo]]&amp;":"&amp;dHdcp[[#This Row],[Nombre]]</f>
        <v>0:Francisco Hidalgo</v>
      </c>
      <c r="I160" t="str">
        <f>+dHdcp[[#This Row],[Maximo]]&amp;":"&amp;_xlfn.XLOOKUP(dHdcp[[#This Row],[Nombre]],dJugador[Nombre],dJugador[Mote],"",0)</f>
        <v>0:Fran</v>
      </c>
      <c r="J160" t="str">
        <f>+IF(dHdcp[[#This Row],[Maximo]]=0,"",_xlfn.RANK.EQ(dHdcp[[#This Row],[Handicap]],dHdcp[Handicap],1))</f>
        <v/>
      </c>
      <c r="K160" t="str">
        <f>IFERROR(+_xlfn.RANK.EQ(dHdcp[[#This Row],[Ranking]],dHdcp[Ranking],1),"")</f>
        <v/>
      </c>
      <c r="M160" t="str">
        <f>+dHdcp[[#This Row],[Fecha]]&amp;":"&amp;dHdcp[[#This Row],[Nombre]]</f>
        <v>43470:Francisco Hidalgo</v>
      </c>
      <c r="N160">
        <f>+COUNTIF(dHdcp[Columna1],dHdcp[[#This Row],[Columna1]])</f>
        <v>1</v>
      </c>
    </row>
    <row r="161" spans="1:14">
      <c r="A161" s="2">
        <v>43470</v>
      </c>
      <c r="B161" t="s">
        <v>35</v>
      </c>
      <c r="C161" s="51">
        <v>17.2</v>
      </c>
      <c r="D161">
        <v>3</v>
      </c>
      <c r="E161" t="s">
        <v>74</v>
      </c>
      <c r="F161" t="s">
        <v>627</v>
      </c>
      <c r="G161">
        <f>+IF(dHdcp[[#This Row],[Fecha]]=MAX(dHdcp[Fecha]),1,0)</f>
        <v>0</v>
      </c>
      <c r="H161" t="str">
        <f>+dHdcp[[#This Row],[Maximo]]&amp;":"&amp;dHdcp[[#This Row],[Nombre]]</f>
        <v>0:GLEZ JUAN JOSÉ</v>
      </c>
      <c r="I161" t="str">
        <f>+dHdcp[[#This Row],[Maximo]]&amp;":"&amp;_xlfn.XLOOKUP(dHdcp[[#This Row],[Nombre]],dJugador[Nombre],dJugador[Mote],"",0)</f>
        <v>0:Juanjo</v>
      </c>
      <c r="J161" t="str">
        <f>+IF(dHdcp[[#This Row],[Maximo]]=0,"",_xlfn.RANK.EQ(dHdcp[[#This Row],[Handicap]],dHdcp[Handicap],1))</f>
        <v/>
      </c>
      <c r="K161" t="str">
        <f>IFERROR(+_xlfn.RANK.EQ(dHdcp[[#This Row],[Ranking]],dHdcp[Ranking],1),"")</f>
        <v/>
      </c>
      <c r="M161" t="str">
        <f>+dHdcp[[#This Row],[Fecha]]&amp;":"&amp;dHdcp[[#This Row],[Nombre]]</f>
        <v>43470:GLEZ JUAN JOSÉ</v>
      </c>
      <c r="N161">
        <f>+COUNTIF(dHdcp[Columna1],dHdcp[[#This Row],[Columna1]])</f>
        <v>1</v>
      </c>
    </row>
    <row r="162" spans="1:14">
      <c r="A162" s="2">
        <v>43470</v>
      </c>
      <c r="B162" t="s">
        <v>6</v>
      </c>
      <c r="C162" s="51">
        <v>6.6</v>
      </c>
      <c r="D162">
        <v>2</v>
      </c>
      <c r="E162" t="s">
        <v>74</v>
      </c>
      <c r="F162" t="s">
        <v>628</v>
      </c>
      <c r="G162">
        <f>+IF(dHdcp[[#This Row],[Fecha]]=MAX(dHdcp[Fecha]),1,0)</f>
        <v>0</v>
      </c>
      <c r="H162" t="str">
        <f>+dHdcp[[#This Row],[Maximo]]&amp;":"&amp;dHdcp[[#This Row],[Nombre]]</f>
        <v>0:Ignacio Cadarso</v>
      </c>
      <c r="I162" t="str">
        <f>+dHdcp[[#This Row],[Maximo]]&amp;":"&amp;_xlfn.XLOOKUP(dHdcp[[#This Row],[Nombre]],dJugador[Nombre],dJugador[Mote],"",0)</f>
        <v>0:Ignacio</v>
      </c>
      <c r="J162" t="str">
        <f>+IF(dHdcp[[#This Row],[Maximo]]=0,"",_xlfn.RANK.EQ(dHdcp[[#This Row],[Handicap]],dHdcp[Handicap],1))</f>
        <v/>
      </c>
      <c r="K162" t="str">
        <f>IFERROR(+_xlfn.RANK.EQ(dHdcp[[#This Row],[Ranking]],dHdcp[Ranking],1),"")</f>
        <v/>
      </c>
      <c r="M162" t="str">
        <f>+dHdcp[[#This Row],[Fecha]]&amp;":"&amp;dHdcp[[#This Row],[Nombre]]</f>
        <v>43470:Ignacio Cadarso</v>
      </c>
      <c r="N162">
        <f>+COUNTIF(dHdcp[Columna1],dHdcp[[#This Row],[Columna1]])</f>
        <v>1</v>
      </c>
    </row>
    <row r="163" spans="1:14">
      <c r="A163" s="2">
        <v>43470</v>
      </c>
      <c r="B163" t="s">
        <v>39</v>
      </c>
      <c r="C163" s="51">
        <v>14.5</v>
      </c>
      <c r="D163">
        <v>3</v>
      </c>
      <c r="E163" t="s">
        <v>74</v>
      </c>
      <c r="F163" t="s">
        <v>629</v>
      </c>
      <c r="G163">
        <f>+IF(dHdcp[[#This Row],[Fecha]]=MAX(dHdcp[Fecha]),1,0)</f>
        <v>0</v>
      </c>
      <c r="H163" t="str">
        <f>+dHdcp[[#This Row],[Maximo]]&amp;":"&amp;dHdcp[[#This Row],[Nombre]]</f>
        <v>0:Iñigo Rosas</v>
      </c>
      <c r="I163" t="str">
        <f>+dHdcp[[#This Row],[Maximo]]&amp;":"&amp;_xlfn.XLOOKUP(dHdcp[[#This Row],[Nombre]],dJugador[Nombre],dJugador[Mote],"",0)</f>
        <v>0:</v>
      </c>
      <c r="J163" t="str">
        <f>+IF(dHdcp[[#This Row],[Maximo]]=0,"",_xlfn.RANK.EQ(dHdcp[[#This Row],[Handicap]],dHdcp[Handicap],1))</f>
        <v/>
      </c>
      <c r="K163" t="str">
        <f>IFERROR(+_xlfn.RANK.EQ(dHdcp[[#This Row],[Ranking]],dHdcp[Ranking],1),"")</f>
        <v/>
      </c>
      <c r="M163" t="str">
        <f>+dHdcp[[#This Row],[Fecha]]&amp;":"&amp;dHdcp[[#This Row],[Nombre]]</f>
        <v>43470:Iñigo Rosas</v>
      </c>
      <c r="N163">
        <f>+COUNTIF(dHdcp[Columna1],dHdcp[[#This Row],[Columna1]])</f>
        <v>1</v>
      </c>
    </row>
    <row r="164" spans="1:14">
      <c r="A164" s="2">
        <v>43470</v>
      </c>
      <c r="B164" t="s">
        <v>23</v>
      </c>
      <c r="C164" s="51">
        <v>19.5</v>
      </c>
      <c r="D164">
        <v>4</v>
      </c>
      <c r="E164" t="s">
        <v>74</v>
      </c>
      <c r="F164" t="s">
        <v>630</v>
      </c>
      <c r="G164">
        <f>+IF(dHdcp[[#This Row],[Fecha]]=MAX(dHdcp[Fecha]),1,0)</f>
        <v>0</v>
      </c>
      <c r="H164" t="str">
        <f>+dHdcp[[#This Row],[Maximo]]&amp;":"&amp;dHdcp[[#This Row],[Nombre]]</f>
        <v>0:J. Enrique Gonzalez</v>
      </c>
      <c r="I164" t="str">
        <f>+dHdcp[[#This Row],[Maximo]]&amp;":"&amp;_xlfn.XLOOKUP(dHdcp[[#This Row],[Nombre]],dJugador[Nombre],dJugador[Mote],"",0)</f>
        <v>0:Kike</v>
      </c>
      <c r="J164" t="str">
        <f>+IF(dHdcp[[#This Row],[Maximo]]=0,"",_xlfn.RANK.EQ(dHdcp[[#This Row],[Handicap]],dHdcp[Handicap],1))</f>
        <v/>
      </c>
      <c r="K164" t="str">
        <f>IFERROR(+_xlfn.RANK.EQ(dHdcp[[#This Row],[Ranking]],dHdcp[Ranking],1),"")</f>
        <v/>
      </c>
      <c r="M164" t="str">
        <f>+dHdcp[[#This Row],[Fecha]]&amp;":"&amp;dHdcp[[#This Row],[Nombre]]</f>
        <v>43470:J. Enrique Gonzalez</v>
      </c>
      <c r="N164">
        <f>+COUNTIF(dHdcp[Columna1],dHdcp[[#This Row],[Columna1]])</f>
        <v>1</v>
      </c>
    </row>
    <row r="165" spans="1:14">
      <c r="A165" s="2">
        <v>43470</v>
      </c>
      <c r="B165" t="s">
        <v>46</v>
      </c>
      <c r="C165" s="51">
        <v>13.1</v>
      </c>
      <c r="D165">
        <v>3</v>
      </c>
      <c r="E165" t="s">
        <v>74</v>
      </c>
      <c r="F165" s="94" t="s">
        <v>631</v>
      </c>
      <c r="G165">
        <f>+IF(dHdcp[[#This Row],[Fecha]]=MAX(dHdcp[Fecha]),1,0)</f>
        <v>0</v>
      </c>
      <c r="H165" t="str">
        <f>+dHdcp[[#This Row],[Maximo]]&amp;":"&amp;dHdcp[[#This Row],[Nombre]]</f>
        <v>0:Javier Cervera</v>
      </c>
      <c r="I165" t="str">
        <f>+dHdcp[[#This Row],[Maximo]]&amp;":"&amp;_xlfn.XLOOKUP(dHdcp[[#This Row],[Nombre]],dJugador[Nombre],dJugador[Mote],"",0)</f>
        <v>0:Virus</v>
      </c>
      <c r="J165" t="str">
        <f>+IF(dHdcp[[#This Row],[Maximo]]=0,"",_xlfn.RANK.EQ(dHdcp[[#This Row],[Handicap]],dHdcp[Handicap],1))</f>
        <v/>
      </c>
      <c r="K165" t="str">
        <f>IFERROR(+_xlfn.RANK.EQ(dHdcp[[#This Row],[Ranking]],dHdcp[Ranking],1),"")</f>
        <v/>
      </c>
      <c r="M165" t="str">
        <f>+dHdcp[[#This Row],[Fecha]]&amp;":"&amp;dHdcp[[#This Row],[Nombre]]</f>
        <v>43470:Javier Cervera</v>
      </c>
      <c r="N165">
        <f>+COUNTIF(dHdcp[Columna1],dHdcp[[#This Row],[Columna1]])</f>
        <v>1</v>
      </c>
    </row>
    <row r="166" spans="1:14">
      <c r="A166" s="2">
        <v>43470</v>
      </c>
      <c r="B166" t="s">
        <v>20</v>
      </c>
      <c r="C166" s="51">
        <v>13.9</v>
      </c>
      <c r="D166">
        <v>3</v>
      </c>
      <c r="E166" t="s">
        <v>74</v>
      </c>
      <c r="F166" t="s">
        <v>632</v>
      </c>
      <c r="G166">
        <f>+IF(dHdcp[[#This Row],[Fecha]]=MAX(dHdcp[Fecha]),1,0)</f>
        <v>0</v>
      </c>
      <c r="H166" t="str">
        <f>+dHdcp[[#This Row],[Maximo]]&amp;":"&amp;dHdcp[[#This Row],[Nombre]]</f>
        <v>0:Javier Gonzalez Salvador</v>
      </c>
      <c r="I166" t="str">
        <f>+dHdcp[[#This Row],[Maximo]]&amp;":"&amp;_xlfn.XLOOKUP(dHdcp[[#This Row],[Nombre]],dJugador[Nombre],dJugador[Mote],"",0)</f>
        <v>0:Javi</v>
      </c>
      <c r="J166" t="str">
        <f>+IF(dHdcp[[#This Row],[Maximo]]=0,"",_xlfn.RANK.EQ(dHdcp[[#This Row],[Handicap]],dHdcp[Handicap],1))</f>
        <v/>
      </c>
      <c r="K166" t="str">
        <f>IFERROR(+_xlfn.RANK.EQ(dHdcp[[#This Row],[Ranking]],dHdcp[Ranking],1),"")</f>
        <v/>
      </c>
      <c r="M166" t="str">
        <f>+dHdcp[[#This Row],[Fecha]]&amp;":"&amp;dHdcp[[#This Row],[Nombre]]</f>
        <v>43470:Javier Gonzalez Salvador</v>
      </c>
      <c r="N166">
        <f>+COUNTIF(dHdcp[Columna1],dHdcp[[#This Row],[Columna1]])</f>
        <v>1</v>
      </c>
    </row>
    <row r="167" spans="1:14">
      <c r="A167" s="2">
        <v>43470</v>
      </c>
      <c r="B167" t="s">
        <v>41</v>
      </c>
      <c r="C167" s="51">
        <v>21.3</v>
      </c>
      <c r="D167">
        <v>4</v>
      </c>
      <c r="E167" t="s">
        <v>74</v>
      </c>
      <c r="F167" t="s">
        <v>633</v>
      </c>
      <c r="G167">
        <f>+IF(dHdcp[[#This Row],[Fecha]]=MAX(dHdcp[Fecha]),1,0)</f>
        <v>0</v>
      </c>
      <c r="H167" t="str">
        <f>+dHdcp[[#This Row],[Maximo]]&amp;":"&amp;dHdcp[[#This Row],[Nombre]]</f>
        <v>0:Jesus Touceda</v>
      </c>
      <c r="I167" t="str">
        <f>+dHdcp[[#This Row],[Maximo]]&amp;":"&amp;_xlfn.XLOOKUP(dHdcp[[#This Row],[Nombre]],dJugador[Nombre],dJugador[Mote],"",0)</f>
        <v>0:Jesús</v>
      </c>
      <c r="J167" t="str">
        <f>+IF(dHdcp[[#This Row],[Maximo]]=0,"",_xlfn.RANK.EQ(dHdcp[[#This Row],[Handicap]],dHdcp[Handicap],1))</f>
        <v/>
      </c>
      <c r="K167" t="str">
        <f>IFERROR(+_xlfn.RANK.EQ(dHdcp[[#This Row],[Ranking]],dHdcp[Ranking],1),"")</f>
        <v/>
      </c>
      <c r="M167" t="str">
        <f>+dHdcp[[#This Row],[Fecha]]&amp;":"&amp;dHdcp[[#This Row],[Nombre]]</f>
        <v>43470:Jesus Touceda</v>
      </c>
      <c r="N167">
        <f>+COUNTIF(dHdcp[Columna1],dHdcp[[#This Row],[Columna1]])</f>
        <v>1</v>
      </c>
    </row>
    <row r="168" spans="1:14">
      <c r="A168" s="2">
        <v>43470</v>
      </c>
      <c r="B168" t="s">
        <v>18</v>
      </c>
      <c r="C168" s="51">
        <v>7.6</v>
      </c>
      <c r="D168">
        <v>2</v>
      </c>
      <c r="E168" t="s">
        <v>74</v>
      </c>
      <c r="F168" t="s">
        <v>634</v>
      </c>
      <c r="G168">
        <f>+IF(dHdcp[[#This Row],[Fecha]]=MAX(dHdcp[Fecha]),1,0)</f>
        <v>0</v>
      </c>
      <c r="H168" t="str">
        <f>+dHdcp[[#This Row],[Maximo]]&amp;":"&amp;dHdcp[[#This Row],[Nombre]]</f>
        <v>0:José Pablo Guil</v>
      </c>
      <c r="I168" t="str">
        <f>+dHdcp[[#This Row],[Maximo]]&amp;":"&amp;_xlfn.XLOOKUP(dHdcp[[#This Row],[Nombre]],dJugador[Nombre],dJugador[Mote],"",0)</f>
        <v>0:JP</v>
      </c>
      <c r="J168" t="str">
        <f>+IF(dHdcp[[#This Row],[Maximo]]=0,"",_xlfn.RANK.EQ(dHdcp[[#This Row],[Handicap]],dHdcp[Handicap],1))</f>
        <v/>
      </c>
      <c r="K168" t="str">
        <f>IFERROR(+_xlfn.RANK.EQ(dHdcp[[#This Row],[Ranking]],dHdcp[Ranking],1),"")</f>
        <v/>
      </c>
      <c r="M168" t="str">
        <f>+dHdcp[[#This Row],[Fecha]]&amp;":"&amp;dHdcp[[#This Row],[Nombre]]</f>
        <v>43470:José Pablo Guil</v>
      </c>
      <c r="N168">
        <f>+COUNTIF(dHdcp[Columna1],dHdcp[[#This Row],[Columna1]])</f>
        <v>1</v>
      </c>
    </row>
    <row r="169" spans="1:14">
      <c r="A169" s="2">
        <v>43470</v>
      </c>
      <c r="B169" t="s">
        <v>43</v>
      </c>
      <c r="C169" s="51">
        <v>16.8</v>
      </c>
      <c r="D169">
        <v>3</v>
      </c>
      <c r="E169" t="s">
        <v>74</v>
      </c>
      <c r="F169" t="s">
        <v>635</v>
      </c>
      <c r="G169">
        <f>+IF(dHdcp[[#This Row],[Fecha]]=MAX(dHdcp[Fecha]),1,0)</f>
        <v>0</v>
      </c>
      <c r="H169" t="str">
        <f>+dHdcp[[#This Row],[Maximo]]&amp;":"&amp;dHdcp[[#This Row],[Nombre]]</f>
        <v>0:Luis Escudero</v>
      </c>
      <c r="I169" t="str">
        <f>+dHdcp[[#This Row],[Maximo]]&amp;":"&amp;_xlfn.XLOOKUP(dHdcp[[#This Row],[Nombre]],dJugador[Nombre],dJugador[Mote],"",0)</f>
        <v>0:Lucho</v>
      </c>
      <c r="J169" t="str">
        <f>+IF(dHdcp[[#This Row],[Maximo]]=0,"",_xlfn.RANK.EQ(dHdcp[[#This Row],[Handicap]],dHdcp[Handicap],1))</f>
        <v/>
      </c>
      <c r="K169" t="str">
        <f>IFERROR(+_xlfn.RANK.EQ(dHdcp[[#This Row],[Ranking]],dHdcp[Ranking],1),"")</f>
        <v/>
      </c>
      <c r="M169" t="str">
        <f>+dHdcp[[#This Row],[Fecha]]&amp;":"&amp;dHdcp[[#This Row],[Nombre]]</f>
        <v>43470:Luis Escudero</v>
      </c>
      <c r="N169">
        <f>+COUNTIF(dHdcp[Columna1],dHdcp[[#This Row],[Columna1]])</f>
        <v>1</v>
      </c>
    </row>
    <row r="170" spans="1:14">
      <c r="A170" s="2">
        <v>43470</v>
      </c>
      <c r="B170" t="s">
        <v>3</v>
      </c>
      <c r="C170" s="51">
        <v>6.1</v>
      </c>
      <c r="D170">
        <v>2</v>
      </c>
      <c r="E170" t="s">
        <v>74</v>
      </c>
      <c r="F170" s="94" t="s">
        <v>636</v>
      </c>
      <c r="G170">
        <f>+IF(dHdcp[[#This Row],[Fecha]]=MAX(dHdcp[Fecha]),1,0)</f>
        <v>0</v>
      </c>
      <c r="H170" t="str">
        <f>+dHdcp[[#This Row],[Maximo]]&amp;":"&amp;dHdcp[[#This Row],[Nombre]]</f>
        <v>0:Nacho Gonzalez</v>
      </c>
      <c r="I170" t="str">
        <f>+dHdcp[[#This Row],[Maximo]]&amp;":"&amp;_xlfn.XLOOKUP(dHdcp[[#This Row],[Nombre]],dJugador[Nombre],dJugador[Mote],"",0)</f>
        <v>0:Nacho</v>
      </c>
      <c r="J170" t="str">
        <f>+IF(dHdcp[[#This Row],[Maximo]]=0,"",_xlfn.RANK.EQ(dHdcp[[#This Row],[Handicap]],dHdcp[Handicap],1))</f>
        <v/>
      </c>
      <c r="K170" t="str">
        <f>IFERROR(+_xlfn.RANK.EQ(dHdcp[[#This Row],[Ranking]],dHdcp[Ranking],1),"")</f>
        <v/>
      </c>
      <c r="M170" t="str">
        <f>+dHdcp[[#This Row],[Fecha]]&amp;":"&amp;dHdcp[[#This Row],[Nombre]]</f>
        <v>43470:Nacho Gonzalez</v>
      </c>
      <c r="N170">
        <f>+COUNTIF(dHdcp[Columna1],dHdcp[[#This Row],[Columna1]])</f>
        <v>1</v>
      </c>
    </row>
    <row r="171" spans="1:14">
      <c r="A171" s="2">
        <v>43470</v>
      </c>
      <c r="B171" t="s">
        <v>28</v>
      </c>
      <c r="C171" s="51">
        <v>13.4</v>
      </c>
      <c r="D171">
        <v>3</v>
      </c>
      <c r="E171" t="s">
        <v>74</v>
      </c>
      <c r="F171" t="s">
        <v>637</v>
      </c>
      <c r="G171">
        <f>+IF(dHdcp[[#This Row],[Fecha]]=MAX(dHdcp[Fecha]),1,0)</f>
        <v>0</v>
      </c>
      <c r="H171" t="str">
        <f>+dHdcp[[#This Row],[Maximo]]&amp;":"&amp;dHdcp[[#This Row],[Nombre]]</f>
        <v>0:Pablo Munitiz</v>
      </c>
      <c r="I171" t="str">
        <f>+dHdcp[[#This Row],[Maximo]]&amp;":"&amp;_xlfn.XLOOKUP(dHdcp[[#This Row],[Nombre]],dJugador[Nombre],dJugador[Mote],"",0)</f>
        <v>0:Muni</v>
      </c>
      <c r="J171" t="str">
        <f>+IF(dHdcp[[#This Row],[Maximo]]=0,"",_xlfn.RANK.EQ(dHdcp[[#This Row],[Handicap]],dHdcp[Handicap],1))</f>
        <v/>
      </c>
      <c r="K171" t="str">
        <f>IFERROR(+_xlfn.RANK.EQ(dHdcp[[#This Row],[Ranking]],dHdcp[Ranking],1),"")</f>
        <v/>
      </c>
      <c r="M171" t="str">
        <f>+dHdcp[[#This Row],[Fecha]]&amp;":"&amp;dHdcp[[#This Row],[Nombre]]</f>
        <v>43470:Pablo Munitiz</v>
      </c>
      <c r="N171">
        <f>+COUNTIF(dHdcp[Columna1],dHdcp[[#This Row],[Columna1]])</f>
        <v>1</v>
      </c>
    </row>
    <row r="172" spans="1:14">
      <c r="A172" s="2">
        <v>43470</v>
      </c>
      <c r="B172" t="s">
        <v>37</v>
      </c>
      <c r="C172" s="51">
        <v>10.1</v>
      </c>
      <c r="D172">
        <v>2</v>
      </c>
      <c r="E172" t="s">
        <v>74</v>
      </c>
      <c r="F172" t="s">
        <v>638</v>
      </c>
      <c r="G172">
        <f>+IF(dHdcp[[#This Row],[Fecha]]=MAX(dHdcp[Fecha]),1,0)</f>
        <v>0</v>
      </c>
      <c r="H172" t="str">
        <f>+dHdcp[[#This Row],[Maximo]]&amp;":"&amp;dHdcp[[#This Row],[Nombre]]</f>
        <v>0:Ricardo Muelas</v>
      </c>
      <c r="I172" t="str">
        <f>+dHdcp[[#This Row],[Maximo]]&amp;":"&amp;_xlfn.XLOOKUP(dHdcp[[#This Row],[Nombre]],dJugador[Nombre],dJugador[Mote],"",0)</f>
        <v>0:</v>
      </c>
      <c r="J172" t="str">
        <f>+IF(dHdcp[[#This Row],[Maximo]]=0,"",_xlfn.RANK.EQ(dHdcp[[#This Row],[Handicap]],dHdcp[Handicap],1))</f>
        <v/>
      </c>
      <c r="K172" t="str">
        <f>IFERROR(+_xlfn.RANK.EQ(dHdcp[[#This Row],[Ranking]],dHdcp[Ranking],1),"")</f>
        <v/>
      </c>
      <c r="M172" t="str">
        <f>+dHdcp[[#This Row],[Fecha]]&amp;":"&amp;dHdcp[[#This Row],[Nombre]]</f>
        <v>43470:Ricardo Muelas</v>
      </c>
      <c r="N172">
        <f>+COUNTIF(dHdcp[Columna1],dHdcp[[#This Row],[Columna1]])</f>
        <v>1</v>
      </c>
    </row>
    <row r="173" spans="1:14">
      <c r="A173" s="2">
        <v>43472</v>
      </c>
      <c r="B173" t="s">
        <v>9</v>
      </c>
      <c r="C173" s="51">
        <v>7.4999999999999982</v>
      </c>
      <c r="D173">
        <v>2</v>
      </c>
      <c r="E173" t="s">
        <v>75</v>
      </c>
      <c r="F173" t="s">
        <v>639</v>
      </c>
      <c r="G173">
        <f>+IF(dHdcp[[#This Row],[Fecha]]=MAX(dHdcp[Fecha]),1,0)</f>
        <v>0</v>
      </c>
      <c r="H173" t="str">
        <f>+dHdcp[[#This Row],[Maximo]]&amp;":"&amp;dHdcp[[#This Row],[Nombre]]</f>
        <v>0:Alfonso Hidalgo</v>
      </c>
      <c r="I173" t="str">
        <f>+dHdcp[[#This Row],[Maximo]]&amp;":"&amp;_xlfn.XLOOKUP(dHdcp[[#This Row],[Nombre]],dJugador[Nombre],dJugador[Mote],"",0)</f>
        <v>0:Alfonso</v>
      </c>
      <c r="J173" t="str">
        <f>+IF(dHdcp[[#This Row],[Maximo]]=0,"",_xlfn.RANK.EQ(dHdcp[[#This Row],[Handicap]],dHdcp[Handicap],1))</f>
        <v/>
      </c>
      <c r="K173" t="str">
        <f>IFERROR(+_xlfn.RANK.EQ(dHdcp[[#This Row],[Ranking]],dHdcp[Ranking],1),"")</f>
        <v/>
      </c>
      <c r="M173" t="str">
        <f>+dHdcp[[#This Row],[Fecha]]&amp;":"&amp;dHdcp[[#This Row],[Nombre]]</f>
        <v>43472:Alfonso Hidalgo</v>
      </c>
      <c r="N173">
        <f>+COUNTIF(dHdcp[Columna1],dHdcp[[#This Row],[Columna1]])</f>
        <v>1</v>
      </c>
    </row>
    <row r="174" spans="1:14">
      <c r="A174" s="2">
        <v>43472</v>
      </c>
      <c r="B174" t="s">
        <v>15</v>
      </c>
      <c r="C174" s="51">
        <v>5.4999999999999991</v>
      </c>
      <c r="D174">
        <v>2</v>
      </c>
      <c r="E174" t="s">
        <v>75</v>
      </c>
      <c r="F174" t="s">
        <v>640</v>
      </c>
      <c r="G174">
        <f>+IF(dHdcp[[#This Row],[Fecha]]=MAX(dHdcp[Fecha]),1,0)</f>
        <v>0</v>
      </c>
      <c r="H174" t="str">
        <f>+dHdcp[[#This Row],[Maximo]]&amp;":"&amp;dHdcp[[#This Row],[Nombre]]</f>
        <v>0:Alvaro Aguirre</v>
      </c>
      <c r="I174" t="str">
        <f>+dHdcp[[#This Row],[Maximo]]&amp;":"&amp;_xlfn.XLOOKUP(dHdcp[[#This Row],[Nombre]],dJugador[Nombre],dJugador[Mote],"",0)</f>
        <v>0:Gifu</v>
      </c>
      <c r="J174" t="str">
        <f>+IF(dHdcp[[#This Row],[Maximo]]=0,"",_xlfn.RANK.EQ(dHdcp[[#This Row],[Handicap]],dHdcp[Handicap],1))</f>
        <v/>
      </c>
      <c r="K174" t="str">
        <f>IFERROR(+_xlfn.RANK.EQ(dHdcp[[#This Row],[Ranking]],dHdcp[Ranking],1),"")</f>
        <v/>
      </c>
      <c r="M174" t="str">
        <f>+dHdcp[[#This Row],[Fecha]]&amp;":"&amp;dHdcp[[#This Row],[Nombre]]</f>
        <v>43472:Alvaro Aguirre</v>
      </c>
      <c r="N174">
        <f>+COUNTIF(dHdcp[Columna1],dHdcp[[#This Row],[Columna1]])</f>
        <v>1</v>
      </c>
    </row>
    <row r="175" spans="1:14">
      <c r="A175" s="2">
        <v>43472</v>
      </c>
      <c r="B175" t="s">
        <v>25</v>
      </c>
      <c r="C175" s="51">
        <v>15.399999999999999</v>
      </c>
      <c r="D175">
        <v>3</v>
      </c>
      <c r="E175" t="s">
        <v>75</v>
      </c>
      <c r="F175" t="s">
        <v>641</v>
      </c>
      <c r="G175">
        <f>+IF(dHdcp[[#This Row],[Fecha]]=MAX(dHdcp[Fecha]),1,0)</f>
        <v>0</v>
      </c>
      <c r="H175" t="str">
        <f>+dHdcp[[#This Row],[Maximo]]&amp;":"&amp;dHdcp[[#This Row],[Nombre]]</f>
        <v>0:Alvaro Nieto</v>
      </c>
      <c r="I175" t="str">
        <f>+dHdcp[[#This Row],[Maximo]]&amp;":"&amp;_xlfn.XLOOKUP(dHdcp[[#This Row],[Nombre]],dJugador[Nombre],dJugador[Mote],"",0)</f>
        <v>0:Alvaro</v>
      </c>
      <c r="J175" t="str">
        <f>+IF(dHdcp[[#This Row],[Maximo]]=0,"",_xlfn.RANK.EQ(dHdcp[[#This Row],[Handicap]],dHdcp[Handicap],1))</f>
        <v/>
      </c>
      <c r="K175" t="str">
        <f>IFERROR(+_xlfn.RANK.EQ(dHdcp[[#This Row],[Ranking]],dHdcp[Ranking],1),"")</f>
        <v/>
      </c>
      <c r="M175" t="str">
        <f>+dHdcp[[#This Row],[Fecha]]&amp;":"&amp;dHdcp[[#This Row],[Nombre]]</f>
        <v>43472:Alvaro Nieto</v>
      </c>
      <c r="N175">
        <f>+COUNTIF(dHdcp[Columna1],dHdcp[[#This Row],[Columna1]])</f>
        <v>1</v>
      </c>
    </row>
    <row r="176" spans="1:14">
      <c r="A176" s="2">
        <v>43472</v>
      </c>
      <c r="B176" t="s">
        <v>33</v>
      </c>
      <c r="C176" s="51">
        <v>6.3999999999999986</v>
      </c>
      <c r="D176">
        <v>2</v>
      </c>
      <c r="E176" t="s">
        <v>75</v>
      </c>
      <c r="F176" t="s">
        <v>642</v>
      </c>
      <c r="G176">
        <f>+IF(dHdcp[[#This Row],[Fecha]]=MAX(dHdcp[Fecha]),1,0)</f>
        <v>0</v>
      </c>
      <c r="H176" t="str">
        <f>+dHdcp[[#This Row],[Maximo]]&amp;":"&amp;dHdcp[[#This Row],[Nombre]]</f>
        <v>0:Angel Hernandez</v>
      </c>
      <c r="I176" t="str">
        <f>+dHdcp[[#This Row],[Maximo]]&amp;":"&amp;_xlfn.XLOOKUP(dHdcp[[#This Row],[Nombre]],dJugador[Nombre],dJugador[Mote],"",0)</f>
        <v>0:Angel</v>
      </c>
      <c r="J176" t="str">
        <f>+IF(dHdcp[[#This Row],[Maximo]]=0,"",_xlfn.RANK.EQ(dHdcp[[#This Row],[Handicap]],dHdcp[Handicap],1))</f>
        <v/>
      </c>
      <c r="K176" t="str">
        <f>IFERROR(+_xlfn.RANK.EQ(dHdcp[[#This Row],[Ranking]],dHdcp[Ranking],1),"")</f>
        <v/>
      </c>
      <c r="M176" t="str">
        <f>+dHdcp[[#This Row],[Fecha]]&amp;":"&amp;dHdcp[[#This Row],[Nombre]]</f>
        <v>43472:Angel Hernandez</v>
      </c>
      <c r="N176">
        <f>+COUNTIF(dHdcp[Columna1],dHdcp[[#This Row],[Columna1]])</f>
        <v>1</v>
      </c>
    </row>
    <row r="177" spans="1:14">
      <c r="A177" s="2">
        <v>43472</v>
      </c>
      <c r="B177" t="s">
        <v>30</v>
      </c>
      <c r="C177" s="51">
        <v>12</v>
      </c>
      <c r="D177">
        <v>3</v>
      </c>
      <c r="E177" t="s">
        <v>75</v>
      </c>
      <c r="F177" t="s">
        <v>643</v>
      </c>
      <c r="G177">
        <f>+IF(dHdcp[[#This Row],[Fecha]]=MAX(dHdcp[Fecha]),1,0)</f>
        <v>0</v>
      </c>
      <c r="H177" t="str">
        <f>+dHdcp[[#This Row],[Maximo]]&amp;":"&amp;dHdcp[[#This Row],[Nombre]]</f>
        <v>0:David Sequera</v>
      </c>
      <c r="I177" t="str">
        <f>+dHdcp[[#This Row],[Maximo]]&amp;":"&amp;_xlfn.XLOOKUP(dHdcp[[#This Row],[Nombre]],dJugador[Nombre],dJugador[Mote],"",0)</f>
        <v>0:David</v>
      </c>
      <c r="J177" t="str">
        <f>+IF(dHdcp[[#This Row],[Maximo]]=0,"",_xlfn.RANK.EQ(dHdcp[[#This Row],[Handicap]],dHdcp[Handicap],1))</f>
        <v/>
      </c>
      <c r="K177" t="str">
        <f>IFERROR(+_xlfn.RANK.EQ(dHdcp[[#This Row],[Ranking]],dHdcp[Ranking],1),"")</f>
        <v/>
      </c>
      <c r="M177" t="str">
        <f>+dHdcp[[#This Row],[Fecha]]&amp;":"&amp;dHdcp[[#This Row],[Nombre]]</f>
        <v>43472:David Sequera</v>
      </c>
      <c r="N177">
        <f>+COUNTIF(dHdcp[Columna1],dHdcp[[#This Row],[Columna1]])</f>
        <v>1</v>
      </c>
    </row>
    <row r="178" spans="1:14">
      <c r="A178" s="2">
        <v>43472</v>
      </c>
      <c r="B178" t="s">
        <v>12</v>
      </c>
      <c r="C178" s="51">
        <v>16.400000000000002</v>
      </c>
      <c r="D178">
        <v>3</v>
      </c>
      <c r="E178" t="s">
        <v>75</v>
      </c>
      <c r="F178" t="s">
        <v>644</v>
      </c>
      <c r="G178">
        <f>+IF(dHdcp[[#This Row],[Fecha]]=MAX(dHdcp[Fecha]),1,0)</f>
        <v>0</v>
      </c>
      <c r="H178" t="str">
        <f>+dHdcp[[#This Row],[Maximo]]&amp;":"&amp;dHdcp[[#This Row],[Nombre]]</f>
        <v>0:Francisco Alvarez</v>
      </c>
      <c r="I178" t="str">
        <f>+dHdcp[[#This Row],[Maximo]]&amp;":"&amp;_xlfn.XLOOKUP(dHdcp[[#This Row],[Nombre]],dJugador[Nombre],dJugador[Mote],"",0)</f>
        <v>0:Paco</v>
      </c>
      <c r="J178" t="str">
        <f>+IF(dHdcp[[#This Row],[Maximo]]=0,"",_xlfn.RANK.EQ(dHdcp[[#This Row],[Handicap]],dHdcp[Handicap],1))</f>
        <v/>
      </c>
      <c r="K178" t="str">
        <f>IFERROR(+_xlfn.RANK.EQ(dHdcp[[#This Row],[Ranking]],dHdcp[Ranking],1),"")</f>
        <v/>
      </c>
      <c r="M178" t="str">
        <f>+dHdcp[[#This Row],[Fecha]]&amp;":"&amp;dHdcp[[#This Row],[Nombre]]</f>
        <v>43472:Francisco Alvarez</v>
      </c>
      <c r="N178">
        <f>+COUNTIF(dHdcp[Columna1],dHdcp[[#This Row],[Columna1]])</f>
        <v>1</v>
      </c>
    </row>
    <row r="179" spans="1:14">
      <c r="A179" s="2">
        <v>43472</v>
      </c>
      <c r="B179" t="s">
        <v>49</v>
      </c>
      <c r="C179" s="51">
        <v>12.9</v>
      </c>
      <c r="D179">
        <v>3</v>
      </c>
      <c r="E179" t="s">
        <v>75</v>
      </c>
      <c r="F179" t="s">
        <v>645</v>
      </c>
      <c r="G179">
        <f>+IF(dHdcp[[#This Row],[Fecha]]=MAX(dHdcp[Fecha]),1,0)</f>
        <v>0</v>
      </c>
      <c r="H179" t="str">
        <f>+dHdcp[[#This Row],[Maximo]]&amp;":"&amp;dHdcp[[#This Row],[Nombre]]</f>
        <v>0:Francisco Hidalgo</v>
      </c>
      <c r="I179" t="str">
        <f>+dHdcp[[#This Row],[Maximo]]&amp;":"&amp;_xlfn.XLOOKUP(dHdcp[[#This Row],[Nombre]],dJugador[Nombre],dJugador[Mote],"",0)</f>
        <v>0:Fran</v>
      </c>
      <c r="J179" t="str">
        <f>+IF(dHdcp[[#This Row],[Maximo]]=0,"",_xlfn.RANK.EQ(dHdcp[[#This Row],[Handicap]],dHdcp[Handicap],1))</f>
        <v/>
      </c>
      <c r="K179" t="str">
        <f>IFERROR(+_xlfn.RANK.EQ(dHdcp[[#This Row],[Ranking]],dHdcp[Ranking],1),"")</f>
        <v/>
      </c>
      <c r="M179" t="str">
        <f>+dHdcp[[#This Row],[Fecha]]&amp;":"&amp;dHdcp[[#This Row],[Nombre]]</f>
        <v>43472:Francisco Hidalgo</v>
      </c>
      <c r="N179">
        <f>+COUNTIF(dHdcp[Columna1],dHdcp[[#This Row],[Columna1]])</f>
        <v>1</v>
      </c>
    </row>
    <row r="180" spans="1:14">
      <c r="A180" s="2">
        <v>43472</v>
      </c>
      <c r="B180" t="s">
        <v>35</v>
      </c>
      <c r="C180" s="51">
        <v>16.900000000000006</v>
      </c>
      <c r="D180">
        <v>3</v>
      </c>
      <c r="E180" t="s">
        <v>75</v>
      </c>
      <c r="F180" t="s">
        <v>646</v>
      </c>
      <c r="G180">
        <f>+IF(dHdcp[[#This Row],[Fecha]]=MAX(dHdcp[Fecha]),1,0)</f>
        <v>0</v>
      </c>
      <c r="H180" t="str">
        <f>+dHdcp[[#This Row],[Maximo]]&amp;":"&amp;dHdcp[[#This Row],[Nombre]]</f>
        <v>0:GLEZ JUAN JOSÉ</v>
      </c>
      <c r="I180" t="str">
        <f>+dHdcp[[#This Row],[Maximo]]&amp;":"&amp;_xlfn.XLOOKUP(dHdcp[[#This Row],[Nombre]],dJugador[Nombre],dJugador[Mote],"",0)</f>
        <v>0:Juanjo</v>
      </c>
      <c r="J180" t="str">
        <f>+IF(dHdcp[[#This Row],[Maximo]]=0,"",_xlfn.RANK.EQ(dHdcp[[#This Row],[Handicap]],dHdcp[Handicap],1))</f>
        <v/>
      </c>
      <c r="K180" t="str">
        <f>IFERROR(+_xlfn.RANK.EQ(dHdcp[[#This Row],[Ranking]],dHdcp[Ranking],1),"")</f>
        <v/>
      </c>
      <c r="M180" t="str">
        <f>+dHdcp[[#This Row],[Fecha]]&amp;":"&amp;dHdcp[[#This Row],[Nombre]]</f>
        <v>43472:GLEZ JUAN JOSÉ</v>
      </c>
      <c r="N180">
        <f>+COUNTIF(dHdcp[Columna1],dHdcp[[#This Row],[Columna1]])</f>
        <v>1</v>
      </c>
    </row>
    <row r="181" spans="1:14">
      <c r="A181" s="2">
        <v>43472</v>
      </c>
      <c r="B181" t="s">
        <v>6</v>
      </c>
      <c r="C181" s="51">
        <v>6.6</v>
      </c>
      <c r="D181">
        <v>2</v>
      </c>
      <c r="E181" t="s">
        <v>75</v>
      </c>
      <c r="F181" t="s">
        <v>647</v>
      </c>
      <c r="G181">
        <f>+IF(dHdcp[[#This Row],[Fecha]]=MAX(dHdcp[Fecha]),1,0)</f>
        <v>0</v>
      </c>
      <c r="H181" t="str">
        <f>+dHdcp[[#This Row],[Maximo]]&amp;":"&amp;dHdcp[[#This Row],[Nombre]]</f>
        <v>0:Ignacio Cadarso</v>
      </c>
      <c r="I181" t="str">
        <f>+dHdcp[[#This Row],[Maximo]]&amp;":"&amp;_xlfn.XLOOKUP(dHdcp[[#This Row],[Nombre]],dJugador[Nombre],dJugador[Mote],"",0)</f>
        <v>0:Ignacio</v>
      </c>
      <c r="J181" t="str">
        <f>+IF(dHdcp[[#This Row],[Maximo]]=0,"",_xlfn.RANK.EQ(dHdcp[[#This Row],[Handicap]],dHdcp[Handicap],1))</f>
        <v/>
      </c>
      <c r="K181" t="str">
        <f>IFERROR(+_xlfn.RANK.EQ(dHdcp[[#This Row],[Ranking]],dHdcp[Ranking],1),"")</f>
        <v/>
      </c>
      <c r="M181" t="str">
        <f>+dHdcp[[#This Row],[Fecha]]&amp;":"&amp;dHdcp[[#This Row],[Nombre]]</f>
        <v>43472:Ignacio Cadarso</v>
      </c>
      <c r="N181">
        <f>+COUNTIF(dHdcp[Columna1],dHdcp[[#This Row],[Columna1]])</f>
        <v>1</v>
      </c>
    </row>
    <row r="182" spans="1:14">
      <c r="A182" s="2">
        <v>43472</v>
      </c>
      <c r="B182" t="s">
        <v>39</v>
      </c>
      <c r="C182" s="51">
        <v>13.3</v>
      </c>
      <c r="D182">
        <v>3</v>
      </c>
      <c r="E182" t="s">
        <v>75</v>
      </c>
      <c r="F182" t="s">
        <v>648</v>
      </c>
      <c r="G182">
        <f>+IF(dHdcp[[#This Row],[Fecha]]=MAX(dHdcp[Fecha]),1,0)</f>
        <v>0</v>
      </c>
      <c r="H182" t="str">
        <f>+dHdcp[[#This Row],[Maximo]]&amp;":"&amp;dHdcp[[#This Row],[Nombre]]</f>
        <v>0:Iñigo Rosas</v>
      </c>
      <c r="I182" t="str">
        <f>+dHdcp[[#This Row],[Maximo]]&amp;":"&amp;_xlfn.XLOOKUP(dHdcp[[#This Row],[Nombre]],dJugador[Nombre],dJugador[Mote],"",0)</f>
        <v>0:</v>
      </c>
      <c r="J182" t="str">
        <f>+IF(dHdcp[[#This Row],[Maximo]]=0,"",_xlfn.RANK.EQ(dHdcp[[#This Row],[Handicap]],dHdcp[Handicap],1))</f>
        <v/>
      </c>
      <c r="K182" t="str">
        <f>IFERROR(+_xlfn.RANK.EQ(dHdcp[[#This Row],[Ranking]],dHdcp[Ranking],1),"")</f>
        <v/>
      </c>
      <c r="M182" t="str">
        <f>+dHdcp[[#This Row],[Fecha]]&amp;":"&amp;dHdcp[[#This Row],[Nombre]]</f>
        <v>43472:Iñigo Rosas</v>
      </c>
      <c r="N182">
        <f>+COUNTIF(dHdcp[Columna1],dHdcp[[#This Row],[Columna1]])</f>
        <v>1</v>
      </c>
    </row>
    <row r="183" spans="1:14">
      <c r="A183" s="2">
        <v>43472</v>
      </c>
      <c r="B183" t="s">
        <v>23</v>
      </c>
      <c r="C183" s="51">
        <v>19.200000000000006</v>
      </c>
      <c r="D183">
        <v>4</v>
      </c>
      <c r="E183" t="s">
        <v>75</v>
      </c>
      <c r="F183" t="s">
        <v>649</v>
      </c>
      <c r="G183">
        <f>+IF(dHdcp[[#This Row],[Fecha]]=MAX(dHdcp[Fecha]),1,0)</f>
        <v>0</v>
      </c>
      <c r="H183" t="str">
        <f>+dHdcp[[#This Row],[Maximo]]&amp;":"&amp;dHdcp[[#This Row],[Nombre]]</f>
        <v>0:J. Enrique Gonzalez</v>
      </c>
      <c r="I183" t="str">
        <f>+dHdcp[[#This Row],[Maximo]]&amp;":"&amp;_xlfn.XLOOKUP(dHdcp[[#This Row],[Nombre]],dJugador[Nombre],dJugador[Mote],"",0)</f>
        <v>0:Kike</v>
      </c>
      <c r="J183" t="str">
        <f>+IF(dHdcp[[#This Row],[Maximo]]=0,"",_xlfn.RANK.EQ(dHdcp[[#This Row],[Handicap]],dHdcp[Handicap],1))</f>
        <v/>
      </c>
      <c r="K183" t="str">
        <f>IFERROR(+_xlfn.RANK.EQ(dHdcp[[#This Row],[Ranking]],dHdcp[Ranking],1),"")</f>
        <v/>
      </c>
      <c r="M183" t="str">
        <f>+dHdcp[[#This Row],[Fecha]]&amp;":"&amp;dHdcp[[#This Row],[Nombre]]</f>
        <v>43472:J. Enrique Gonzalez</v>
      </c>
      <c r="N183">
        <f>+COUNTIF(dHdcp[Columna1],dHdcp[[#This Row],[Columna1]])</f>
        <v>1</v>
      </c>
    </row>
    <row r="184" spans="1:14">
      <c r="A184" s="2">
        <v>43472</v>
      </c>
      <c r="B184" t="s">
        <v>46</v>
      </c>
      <c r="C184" s="51">
        <v>13.2</v>
      </c>
      <c r="D184">
        <v>3</v>
      </c>
      <c r="E184" t="s">
        <v>75</v>
      </c>
      <c r="F184" t="s">
        <v>650</v>
      </c>
      <c r="G184">
        <f>+IF(dHdcp[[#This Row],[Fecha]]=MAX(dHdcp[Fecha]),1,0)</f>
        <v>0</v>
      </c>
      <c r="H184" t="str">
        <f>+dHdcp[[#This Row],[Maximo]]&amp;":"&amp;dHdcp[[#This Row],[Nombre]]</f>
        <v>0:Javier Cervera</v>
      </c>
      <c r="I184" t="str">
        <f>+dHdcp[[#This Row],[Maximo]]&amp;":"&amp;_xlfn.XLOOKUP(dHdcp[[#This Row],[Nombre]],dJugador[Nombre],dJugador[Mote],"",0)</f>
        <v>0:Virus</v>
      </c>
      <c r="J184" t="str">
        <f>+IF(dHdcp[[#This Row],[Maximo]]=0,"",_xlfn.RANK.EQ(dHdcp[[#This Row],[Handicap]],dHdcp[Handicap],1))</f>
        <v/>
      </c>
      <c r="K184" t="str">
        <f>IFERROR(+_xlfn.RANK.EQ(dHdcp[[#This Row],[Ranking]],dHdcp[Ranking],1),"")</f>
        <v/>
      </c>
      <c r="M184" t="str">
        <f>+dHdcp[[#This Row],[Fecha]]&amp;":"&amp;dHdcp[[#This Row],[Nombre]]</f>
        <v>43472:Javier Cervera</v>
      </c>
      <c r="N184">
        <f>+COUNTIF(dHdcp[Columna1],dHdcp[[#This Row],[Columna1]])</f>
        <v>1</v>
      </c>
    </row>
    <row r="185" spans="1:14">
      <c r="A185" s="2">
        <v>43472</v>
      </c>
      <c r="B185" t="s">
        <v>20</v>
      </c>
      <c r="C185" s="51">
        <v>10.199999999999999</v>
      </c>
      <c r="D185">
        <v>2</v>
      </c>
      <c r="E185" t="s">
        <v>75</v>
      </c>
      <c r="F185" t="s">
        <v>651</v>
      </c>
      <c r="G185">
        <f>+IF(dHdcp[[#This Row],[Fecha]]=MAX(dHdcp[Fecha]),1,0)</f>
        <v>0</v>
      </c>
      <c r="H185" t="str">
        <f>+dHdcp[[#This Row],[Maximo]]&amp;":"&amp;dHdcp[[#This Row],[Nombre]]</f>
        <v>0:Javier Gonzalez Salvador</v>
      </c>
      <c r="I185" t="str">
        <f>+dHdcp[[#This Row],[Maximo]]&amp;":"&amp;_xlfn.XLOOKUP(dHdcp[[#This Row],[Nombre]],dJugador[Nombre],dJugador[Mote],"",0)</f>
        <v>0:Javi</v>
      </c>
      <c r="J185" t="str">
        <f>+IF(dHdcp[[#This Row],[Maximo]]=0,"",_xlfn.RANK.EQ(dHdcp[[#This Row],[Handicap]],dHdcp[Handicap],1))</f>
        <v/>
      </c>
      <c r="K185" t="str">
        <f>IFERROR(+_xlfn.RANK.EQ(dHdcp[[#This Row],[Ranking]],dHdcp[Ranking],1),"")</f>
        <v/>
      </c>
      <c r="M185" t="str">
        <f>+dHdcp[[#This Row],[Fecha]]&amp;":"&amp;dHdcp[[#This Row],[Nombre]]</f>
        <v>43472:Javier Gonzalez Salvador</v>
      </c>
      <c r="N185">
        <f>+COUNTIF(dHdcp[Columna1],dHdcp[[#This Row],[Columna1]])</f>
        <v>1</v>
      </c>
    </row>
    <row r="186" spans="1:14">
      <c r="A186" s="2">
        <v>43472</v>
      </c>
      <c r="B186" t="s">
        <v>41</v>
      </c>
      <c r="C186" s="51">
        <v>21.400000000000002</v>
      </c>
      <c r="D186">
        <v>4</v>
      </c>
      <c r="E186" t="s">
        <v>75</v>
      </c>
      <c r="F186" t="s">
        <v>652</v>
      </c>
      <c r="G186">
        <f>+IF(dHdcp[[#This Row],[Fecha]]=MAX(dHdcp[Fecha]),1,0)</f>
        <v>0</v>
      </c>
      <c r="H186" t="str">
        <f>+dHdcp[[#This Row],[Maximo]]&amp;":"&amp;dHdcp[[#This Row],[Nombre]]</f>
        <v>0:Jesus Touceda</v>
      </c>
      <c r="I186" t="str">
        <f>+dHdcp[[#This Row],[Maximo]]&amp;":"&amp;_xlfn.XLOOKUP(dHdcp[[#This Row],[Nombre]],dJugador[Nombre],dJugador[Mote],"",0)</f>
        <v>0:Jesús</v>
      </c>
      <c r="J186" t="str">
        <f>+IF(dHdcp[[#This Row],[Maximo]]=0,"",_xlfn.RANK.EQ(dHdcp[[#This Row],[Handicap]],dHdcp[Handicap],1))</f>
        <v/>
      </c>
      <c r="K186" t="str">
        <f>IFERROR(+_xlfn.RANK.EQ(dHdcp[[#This Row],[Ranking]],dHdcp[Ranking],1),"")</f>
        <v/>
      </c>
      <c r="M186" t="str">
        <f>+dHdcp[[#This Row],[Fecha]]&amp;":"&amp;dHdcp[[#This Row],[Nombre]]</f>
        <v>43472:Jesus Touceda</v>
      </c>
      <c r="N186">
        <f>+COUNTIF(dHdcp[Columna1],dHdcp[[#This Row],[Columna1]])</f>
        <v>1</v>
      </c>
    </row>
    <row r="187" spans="1:14">
      <c r="A187" s="2">
        <v>43472</v>
      </c>
      <c r="B187" t="s">
        <v>18</v>
      </c>
      <c r="C187" s="51">
        <v>5.3999999999999986</v>
      </c>
      <c r="D187">
        <v>2</v>
      </c>
      <c r="E187" t="s">
        <v>75</v>
      </c>
      <c r="F187" t="s">
        <v>653</v>
      </c>
      <c r="G187">
        <f>+IF(dHdcp[[#This Row],[Fecha]]=MAX(dHdcp[Fecha]),1,0)</f>
        <v>0</v>
      </c>
      <c r="H187" t="str">
        <f>+dHdcp[[#This Row],[Maximo]]&amp;":"&amp;dHdcp[[#This Row],[Nombre]]</f>
        <v>0:José Pablo Guil</v>
      </c>
      <c r="I187" t="str">
        <f>+dHdcp[[#This Row],[Maximo]]&amp;":"&amp;_xlfn.XLOOKUP(dHdcp[[#This Row],[Nombre]],dJugador[Nombre],dJugador[Mote],"",0)</f>
        <v>0:JP</v>
      </c>
      <c r="J187" t="str">
        <f>+IF(dHdcp[[#This Row],[Maximo]]=0,"",_xlfn.RANK.EQ(dHdcp[[#This Row],[Handicap]],dHdcp[Handicap],1))</f>
        <v/>
      </c>
      <c r="K187" t="str">
        <f>IFERROR(+_xlfn.RANK.EQ(dHdcp[[#This Row],[Ranking]],dHdcp[Ranking],1),"")</f>
        <v/>
      </c>
      <c r="M187" t="str">
        <f>+dHdcp[[#This Row],[Fecha]]&amp;":"&amp;dHdcp[[#This Row],[Nombre]]</f>
        <v>43472:José Pablo Guil</v>
      </c>
      <c r="N187">
        <f>+COUNTIF(dHdcp[Columna1],dHdcp[[#This Row],[Columna1]])</f>
        <v>1</v>
      </c>
    </row>
    <row r="188" spans="1:14">
      <c r="A188" s="2">
        <v>43472</v>
      </c>
      <c r="B188" t="s">
        <v>43</v>
      </c>
      <c r="C188" s="51">
        <v>16.8</v>
      </c>
      <c r="D188">
        <v>3</v>
      </c>
      <c r="E188" t="s">
        <v>75</v>
      </c>
      <c r="F188" t="s">
        <v>654</v>
      </c>
      <c r="G188">
        <f>+IF(dHdcp[[#This Row],[Fecha]]=MAX(dHdcp[Fecha]),1,0)</f>
        <v>0</v>
      </c>
      <c r="H188" t="str">
        <f>+dHdcp[[#This Row],[Maximo]]&amp;":"&amp;dHdcp[[#This Row],[Nombre]]</f>
        <v>0:Luis Escudero</v>
      </c>
      <c r="I188" t="str">
        <f>+dHdcp[[#This Row],[Maximo]]&amp;":"&amp;_xlfn.XLOOKUP(dHdcp[[#This Row],[Nombre]],dJugador[Nombre],dJugador[Mote],"",0)</f>
        <v>0:Lucho</v>
      </c>
      <c r="J188" t="str">
        <f>+IF(dHdcp[[#This Row],[Maximo]]=0,"",_xlfn.RANK.EQ(dHdcp[[#This Row],[Handicap]],dHdcp[Handicap],1))</f>
        <v/>
      </c>
      <c r="K188" t="str">
        <f>IFERROR(+_xlfn.RANK.EQ(dHdcp[[#This Row],[Ranking]],dHdcp[Ranking],1),"")</f>
        <v/>
      </c>
      <c r="M188" t="str">
        <f>+dHdcp[[#This Row],[Fecha]]&amp;":"&amp;dHdcp[[#This Row],[Nombre]]</f>
        <v>43472:Luis Escudero</v>
      </c>
      <c r="N188">
        <f>+COUNTIF(dHdcp[Columna1],dHdcp[[#This Row],[Columna1]])</f>
        <v>1</v>
      </c>
    </row>
    <row r="189" spans="1:14">
      <c r="A189" s="2">
        <v>43472</v>
      </c>
      <c r="B189" t="s">
        <v>3</v>
      </c>
      <c r="C189" s="51">
        <v>4.3000000000000007</v>
      </c>
      <c r="D189">
        <v>1</v>
      </c>
      <c r="E189" t="s">
        <v>75</v>
      </c>
      <c r="F189" t="s">
        <v>655</v>
      </c>
      <c r="G189">
        <f>+IF(dHdcp[[#This Row],[Fecha]]=MAX(dHdcp[Fecha]),1,0)</f>
        <v>0</v>
      </c>
      <c r="H189" t="str">
        <f>+dHdcp[[#This Row],[Maximo]]&amp;":"&amp;dHdcp[[#This Row],[Nombre]]</f>
        <v>0:Nacho Gonzalez</v>
      </c>
      <c r="I189" t="str">
        <f>+dHdcp[[#This Row],[Maximo]]&amp;":"&amp;_xlfn.XLOOKUP(dHdcp[[#This Row],[Nombre]],dJugador[Nombre],dJugador[Mote],"",0)</f>
        <v>0:Nacho</v>
      </c>
      <c r="J189" t="str">
        <f>+IF(dHdcp[[#This Row],[Maximo]]=0,"",_xlfn.RANK.EQ(dHdcp[[#This Row],[Handicap]],dHdcp[Handicap],1))</f>
        <v/>
      </c>
      <c r="K189" t="str">
        <f>IFERROR(+_xlfn.RANK.EQ(dHdcp[[#This Row],[Ranking]],dHdcp[Ranking],1),"")</f>
        <v/>
      </c>
      <c r="M189" t="str">
        <f>+dHdcp[[#This Row],[Fecha]]&amp;":"&amp;dHdcp[[#This Row],[Nombre]]</f>
        <v>43472:Nacho Gonzalez</v>
      </c>
      <c r="N189">
        <f>+COUNTIF(dHdcp[Columna1],dHdcp[[#This Row],[Columna1]])</f>
        <v>1</v>
      </c>
    </row>
    <row r="190" spans="1:14">
      <c r="A190" s="2">
        <v>43472</v>
      </c>
      <c r="B190" t="s">
        <v>28</v>
      </c>
      <c r="C190" s="51">
        <v>13.5</v>
      </c>
      <c r="D190">
        <v>3</v>
      </c>
      <c r="E190" t="s">
        <v>75</v>
      </c>
      <c r="F190" t="s">
        <v>656</v>
      </c>
      <c r="G190">
        <f>+IF(dHdcp[[#This Row],[Fecha]]=MAX(dHdcp[Fecha]),1,0)</f>
        <v>0</v>
      </c>
      <c r="H190" t="str">
        <f>+dHdcp[[#This Row],[Maximo]]&amp;":"&amp;dHdcp[[#This Row],[Nombre]]</f>
        <v>0:Pablo Munitiz</v>
      </c>
      <c r="I190" t="str">
        <f>+dHdcp[[#This Row],[Maximo]]&amp;":"&amp;_xlfn.XLOOKUP(dHdcp[[#This Row],[Nombre]],dJugador[Nombre],dJugador[Mote],"",0)</f>
        <v>0:Muni</v>
      </c>
      <c r="J190" t="str">
        <f>+IF(dHdcp[[#This Row],[Maximo]]=0,"",_xlfn.RANK.EQ(dHdcp[[#This Row],[Handicap]],dHdcp[Handicap],1))</f>
        <v/>
      </c>
      <c r="K190" t="str">
        <f>IFERROR(+_xlfn.RANK.EQ(dHdcp[[#This Row],[Ranking]],dHdcp[Ranking],1),"")</f>
        <v/>
      </c>
      <c r="M190" t="str">
        <f>+dHdcp[[#This Row],[Fecha]]&amp;":"&amp;dHdcp[[#This Row],[Nombre]]</f>
        <v>43472:Pablo Munitiz</v>
      </c>
      <c r="N190">
        <f>+COUNTIF(dHdcp[Columna1],dHdcp[[#This Row],[Columna1]])</f>
        <v>1</v>
      </c>
    </row>
    <row r="191" spans="1:14">
      <c r="A191" s="2">
        <v>43472</v>
      </c>
      <c r="B191" t="s">
        <v>37</v>
      </c>
      <c r="C191" s="51">
        <v>9.6999999999999993</v>
      </c>
      <c r="D191">
        <v>2</v>
      </c>
      <c r="E191" t="s">
        <v>75</v>
      </c>
      <c r="F191" t="s">
        <v>657</v>
      </c>
      <c r="G191">
        <f>+IF(dHdcp[[#This Row],[Fecha]]=MAX(dHdcp[Fecha]),1,0)</f>
        <v>0</v>
      </c>
      <c r="H191" t="str">
        <f>+dHdcp[[#This Row],[Maximo]]&amp;":"&amp;dHdcp[[#This Row],[Nombre]]</f>
        <v>0:Ricardo Muelas</v>
      </c>
      <c r="I191" t="str">
        <f>+dHdcp[[#This Row],[Maximo]]&amp;":"&amp;_xlfn.XLOOKUP(dHdcp[[#This Row],[Nombre]],dJugador[Nombre],dJugador[Mote],"",0)</f>
        <v>0:</v>
      </c>
      <c r="J191" t="str">
        <f>+IF(dHdcp[[#This Row],[Maximo]]=0,"",_xlfn.RANK.EQ(dHdcp[[#This Row],[Handicap]],dHdcp[Handicap],1))</f>
        <v/>
      </c>
      <c r="K191" t="str">
        <f>IFERROR(+_xlfn.RANK.EQ(dHdcp[[#This Row],[Ranking]],dHdcp[Ranking],1),"")</f>
        <v/>
      </c>
      <c r="M191" t="str">
        <f>+dHdcp[[#This Row],[Fecha]]&amp;":"&amp;dHdcp[[#This Row],[Nombre]]</f>
        <v>43472:Ricardo Muelas</v>
      </c>
      <c r="N191">
        <f>+COUNTIF(dHdcp[Columna1],dHdcp[[#This Row],[Columna1]])</f>
        <v>1</v>
      </c>
    </row>
    <row r="192" spans="1:14">
      <c r="A192" s="2">
        <v>43491</v>
      </c>
      <c r="B192" t="s">
        <v>9</v>
      </c>
      <c r="C192" s="51">
        <v>8.3000000000000007</v>
      </c>
      <c r="D192">
        <v>2</v>
      </c>
      <c r="E192" t="s">
        <v>74</v>
      </c>
      <c r="F192" t="s">
        <v>658</v>
      </c>
      <c r="G192">
        <f>+IF(dHdcp[[#This Row],[Fecha]]=MAX(dHdcp[Fecha]),1,0)</f>
        <v>0</v>
      </c>
      <c r="H192" t="str">
        <f>+dHdcp[[#This Row],[Maximo]]&amp;":"&amp;dHdcp[[#This Row],[Nombre]]</f>
        <v>0:Alfonso Hidalgo</v>
      </c>
      <c r="I192" t="str">
        <f>+dHdcp[[#This Row],[Maximo]]&amp;":"&amp;_xlfn.XLOOKUP(dHdcp[[#This Row],[Nombre]],dJugador[Nombre],dJugador[Mote],"",0)</f>
        <v>0:Alfonso</v>
      </c>
      <c r="J192" t="str">
        <f>+IF(dHdcp[[#This Row],[Maximo]]=0,"",_xlfn.RANK.EQ(dHdcp[[#This Row],[Handicap]],dHdcp[Handicap],1))</f>
        <v/>
      </c>
      <c r="K192" t="str">
        <f>IFERROR(+_xlfn.RANK.EQ(dHdcp[[#This Row],[Ranking]],dHdcp[Ranking],1),"")</f>
        <v/>
      </c>
      <c r="M192" t="str">
        <f>+dHdcp[[#This Row],[Fecha]]&amp;":"&amp;dHdcp[[#This Row],[Nombre]]</f>
        <v>43491:Alfonso Hidalgo</v>
      </c>
      <c r="N192">
        <f>+COUNTIF(dHdcp[Columna1],dHdcp[[#This Row],[Columna1]])</f>
        <v>1</v>
      </c>
    </row>
    <row r="193" spans="1:14">
      <c r="A193" s="2">
        <v>43491</v>
      </c>
      <c r="B193" t="s">
        <v>15</v>
      </c>
      <c r="C193" s="51">
        <v>5.4</v>
      </c>
      <c r="D193">
        <v>2</v>
      </c>
      <c r="E193" t="s">
        <v>74</v>
      </c>
      <c r="F193" t="s">
        <v>659</v>
      </c>
      <c r="G193">
        <f>+IF(dHdcp[[#This Row],[Fecha]]=MAX(dHdcp[Fecha]),1,0)</f>
        <v>0</v>
      </c>
      <c r="H193" t="str">
        <f>+dHdcp[[#This Row],[Maximo]]&amp;":"&amp;dHdcp[[#This Row],[Nombre]]</f>
        <v>0:Alvaro Aguirre</v>
      </c>
      <c r="I193" t="str">
        <f>+dHdcp[[#This Row],[Maximo]]&amp;":"&amp;_xlfn.XLOOKUP(dHdcp[[#This Row],[Nombre]],dJugador[Nombre],dJugador[Mote],"",0)</f>
        <v>0:Gifu</v>
      </c>
      <c r="J193" t="str">
        <f>+IF(dHdcp[[#This Row],[Maximo]]=0,"",_xlfn.RANK.EQ(dHdcp[[#This Row],[Handicap]],dHdcp[Handicap],1))</f>
        <v/>
      </c>
      <c r="K193" t="str">
        <f>IFERROR(+_xlfn.RANK.EQ(dHdcp[[#This Row],[Ranking]],dHdcp[Ranking],1),"")</f>
        <v/>
      </c>
      <c r="M193" t="str">
        <f>+dHdcp[[#This Row],[Fecha]]&amp;":"&amp;dHdcp[[#This Row],[Nombre]]</f>
        <v>43491:Alvaro Aguirre</v>
      </c>
      <c r="N193">
        <f>+COUNTIF(dHdcp[Columna1],dHdcp[[#This Row],[Columna1]])</f>
        <v>1</v>
      </c>
    </row>
    <row r="194" spans="1:14">
      <c r="A194" s="2">
        <v>43491</v>
      </c>
      <c r="B194" t="s">
        <v>25</v>
      </c>
      <c r="C194" s="51">
        <v>15.3</v>
      </c>
      <c r="D194">
        <v>3</v>
      </c>
      <c r="E194" t="s">
        <v>74</v>
      </c>
      <c r="F194" t="s">
        <v>660</v>
      </c>
      <c r="G194">
        <f>+IF(dHdcp[[#This Row],[Fecha]]=MAX(dHdcp[Fecha]),1,0)</f>
        <v>0</v>
      </c>
      <c r="H194" t="str">
        <f>+dHdcp[[#This Row],[Maximo]]&amp;":"&amp;dHdcp[[#This Row],[Nombre]]</f>
        <v>0:Alvaro Nieto</v>
      </c>
      <c r="I194" t="str">
        <f>+dHdcp[[#This Row],[Maximo]]&amp;":"&amp;_xlfn.XLOOKUP(dHdcp[[#This Row],[Nombre]],dJugador[Nombre],dJugador[Mote],"",0)</f>
        <v>0:Alvaro</v>
      </c>
      <c r="J194" t="str">
        <f>+IF(dHdcp[[#This Row],[Maximo]]=0,"",_xlfn.RANK.EQ(dHdcp[[#This Row],[Handicap]],dHdcp[Handicap],1))</f>
        <v/>
      </c>
      <c r="K194" t="str">
        <f>IFERROR(+_xlfn.RANK.EQ(dHdcp[[#This Row],[Ranking]],dHdcp[Ranking],1),"")</f>
        <v/>
      </c>
      <c r="M194" t="str">
        <f>+dHdcp[[#This Row],[Fecha]]&amp;":"&amp;dHdcp[[#This Row],[Nombre]]</f>
        <v>43491:Alvaro Nieto</v>
      </c>
      <c r="N194">
        <f>+COUNTIF(dHdcp[Columna1],dHdcp[[#This Row],[Columna1]])</f>
        <v>1</v>
      </c>
    </row>
    <row r="195" spans="1:14">
      <c r="A195" s="2">
        <v>43491</v>
      </c>
      <c r="B195" t="s">
        <v>33</v>
      </c>
      <c r="C195" s="51">
        <v>6.8</v>
      </c>
      <c r="D195">
        <v>2</v>
      </c>
      <c r="E195" t="s">
        <v>74</v>
      </c>
      <c r="F195" t="s">
        <v>661</v>
      </c>
      <c r="G195">
        <f>+IF(dHdcp[[#This Row],[Fecha]]=MAX(dHdcp[Fecha]),1,0)</f>
        <v>0</v>
      </c>
      <c r="H195" t="str">
        <f>+dHdcp[[#This Row],[Maximo]]&amp;":"&amp;dHdcp[[#This Row],[Nombre]]</f>
        <v>0:Angel Hernandez</v>
      </c>
      <c r="I195" t="str">
        <f>+dHdcp[[#This Row],[Maximo]]&amp;":"&amp;_xlfn.XLOOKUP(dHdcp[[#This Row],[Nombre]],dJugador[Nombre],dJugador[Mote],"",0)</f>
        <v>0:Angel</v>
      </c>
      <c r="J195" t="str">
        <f>+IF(dHdcp[[#This Row],[Maximo]]=0,"",_xlfn.RANK.EQ(dHdcp[[#This Row],[Handicap]],dHdcp[Handicap],1))</f>
        <v/>
      </c>
      <c r="K195" t="str">
        <f>IFERROR(+_xlfn.RANK.EQ(dHdcp[[#This Row],[Ranking]],dHdcp[Ranking],1),"")</f>
        <v/>
      </c>
      <c r="M195" t="str">
        <f>+dHdcp[[#This Row],[Fecha]]&amp;":"&amp;dHdcp[[#This Row],[Nombre]]</f>
        <v>43491:Angel Hernandez</v>
      </c>
      <c r="N195">
        <f>+COUNTIF(dHdcp[Columna1],dHdcp[[#This Row],[Columna1]])</f>
        <v>1</v>
      </c>
    </row>
    <row r="196" spans="1:14">
      <c r="A196" s="2">
        <v>43491</v>
      </c>
      <c r="B196" t="s">
        <v>30</v>
      </c>
      <c r="C196" s="51">
        <v>11.9</v>
      </c>
      <c r="D196">
        <v>3</v>
      </c>
      <c r="E196" t="s">
        <v>74</v>
      </c>
      <c r="F196" t="s">
        <v>662</v>
      </c>
      <c r="G196">
        <f>+IF(dHdcp[[#This Row],[Fecha]]=MAX(dHdcp[Fecha]),1,0)</f>
        <v>0</v>
      </c>
      <c r="H196" t="str">
        <f>+dHdcp[[#This Row],[Maximo]]&amp;":"&amp;dHdcp[[#This Row],[Nombre]]</f>
        <v>0:David Sequera</v>
      </c>
      <c r="I196" t="str">
        <f>+dHdcp[[#This Row],[Maximo]]&amp;":"&amp;_xlfn.XLOOKUP(dHdcp[[#This Row],[Nombre]],dJugador[Nombre],dJugador[Mote],"",0)</f>
        <v>0:David</v>
      </c>
      <c r="J196" t="str">
        <f>+IF(dHdcp[[#This Row],[Maximo]]=0,"",_xlfn.RANK.EQ(dHdcp[[#This Row],[Handicap]],dHdcp[Handicap],1))</f>
        <v/>
      </c>
      <c r="K196" t="str">
        <f>IFERROR(+_xlfn.RANK.EQ(dHdcp[[#This Row],[Ranking]],dHdcp[Ranking],1),"")</f>
        <v/>
      </c>
      <c r="M196" t="str">
        <f>+dHdcp[[#This Row],[Fecha]]&amp;":"&amp;dHdcp[[#This Row],[Nombre]]</f>
        <v>43491:David Sequera</v>
      </c>
      <c r="N196">
        <f>+COUNTIF(dHdcp[Columna1],dHdcp[[#This Row],[Columna1]])</f>
        <v>1</v>
      </c>
    </row>
    <row r="197" spans="1:14">
      <c r="A197" s="2">
        <v>43491</v>
      </c>
      <c r="B197" t="s">
        <v>12</v>
      </c>
      <c r="C197" s="51">
        <v>17.600000000000001</v>
      </c>
      <c r="D197">
        <v>3</v>
      </c>
      <c r="E197" t="s">
        <v>74</v>
      </c>
      <c r="F197" t="s">
        <v>663</v>
      </c>
      <c r="G197">
        <f>+IF(dHdcp[[#This Row],[Fecha]]=MAX(dHdcp[Fecha]),1,0)</f>
        <v>0</v>
      </c>
      <c r="H197" t="str">
        <f>+dHdcp[[#This Row],[Maximo]]&amp;":"&amp;dHdcp[[#This Row],[Nombre]]</f>
        <v>0:Francisco Alvarez</v>
      </c>
      <c r="I197" t="str">
        <f>+dHdcp[[#This Row],[Maximo]]&amp;":"&amp;_xlfn.XLOOKUP(dHdcp[[#This Row],[Nombre]],dJugador[Nombre],dJugador[Mote],"",0)</f>
        <v>0:Paco</v>
      </c>
      <c r="J197" t="str">
        <f>+IF(dHdcp[[#This Row],[Maximo]]=0,"",_xlfn.RANK.EQ(dHdcp[[#This Row],[Handicap]],dHdcp[Handicap],1))</f>
        <v/>
      </c>
      <c r="K197" t="str">
        <f>IFERROR(+_xlfn.RANK.EQ(dHdcp[[#This Row],[Ranking]],dHdcp[Ranking],1),"")</f>
        <v/>
      </c>
      <c r="M197" t="str">
        <f>+dHdcp[[#This Row],[Fecha]]&amp;":"&amp;dHdcp[[#This Row],[Nombre]]</f>
        <v>43491:Francisco Alvarez</v>
      </c>
      <c r="N197">
        <f>+COUNTIF(dHdcp[Columna1],dHdcp[[#This Row],[Columna1]])</f>
        <v>1</v>
      </c>
    </row>
    <row r="198" spans="1:14">
      <c r="A198" s="2">
        <v>43491</v>
      </c>
      <c r="B198" t="s">
        <v>49</v>
      </c>
      <c r="C198" s="51">
        <v>12.9</v>
      </c>
      <c r="D198">
        <v>3</v>
      </c>
      <c r="E198" t="s">
        <v>74</v>
      </c>
      <c r="F198" t="s">
        <v>664</v>
      </c>
      <c r="G198">
        <f>+IF(dHdcp[[#This Row],[Fecha]]=MAX(dHdcp[Fecha]),1,0)</f>
        <v>0</v>
      </c>
      <c r="H198" t="str">
        <f>+dHdcp[[#This Row],[Maximo]]&amp;":"&amp;dHdcp[[#This Row],[Nombre]]</f>
        <v>0:Francisco Hidalgo</v>
      </c>
      <c r="I198" t="str">
        <f>+dHdcp[[#This Row],[Maximo]]&amp;":"&amp;_xlfn.XLOOKUP(dHdcp[[#This Row],[Nombre]],dJugador[Nombre],dJugador[Mote],"",0)</f>
        <v>0:Fran</v>
      </c>
      <c r="J198" t="str">
        <f>+IF(dHdcp[[#This Row],[Maximo]]=0,"",_xlfn.RANK.EQ(dHdcp[[#This Row],[Handicap]],dHdcp[Handicap],1))</f>
        <v/>
      </c>
      <c r="K198" t="str">
        <f>IFERROR(+_xlfn.RANK.EQ(dHdcp[[#This Row],[Ranking]],dHdcp[Ranking],1),"")</f>
        <v/>
      </c>
      <c r="M198" t="str">
        <f>+dHdcp[[#This Row],[Fecha]]&amp;":"&amp;dHdcp[[#This Row],[Nombre]]</f>
        <v>43491:Francisco Hidalgo</v>
      </c>
      <c r="N198">
        <f>+COUNTIF(dHdcp[Columna1],dHdcp[[#This Row],[Columna1]])</f>
        <v>1</v>
      </c>
    </row>
    <row r="199" spans="1:14">
      <c r="A199" s="2">
        <v>43491</v>
      </c>
      <c r="B199" t="s">
        <v>35</v>
      </c>
      <c r="C199" s="51">
        <v>17.2</v>
      </c>
      <c r="D199">
        <v>3</v>
      </c>
      <c r="E199" t="s">
        <v>74</v>
      </c>
      <c r="F199" t="s">
        <v>665</v>
      </c>
      <c r="G199">
        <f>+IF(dHdcp[[#This Row],[Fecha]]=MAX(dHdcp[Fecha]),1,0)</f>
        <v>0</v>
      </c>
      <c r="H199" t="str">
        <f>+dHdcp[[#This Row],[Maximo]]&amp;":"&amp;dHdcp[[#This Row],[Nombre]]</f>
        <v>0:GLEZ JUAN JOSÉ</v>
      </c>
      <c r="I199" t="str">
        <f>+dHdcp[[#This Row],[Maximo]]&amp;":"&amp;_xlfn.XLOOKUP(dHdcp[[#This Row],[Nombre]],dJugador[Nombre],dJugador[Mote],"",0)</f>
        <v>0:Juanjo</v>
      </c>
      <c r="J199" t="str">
        <f>+IF(dHdcp[[#This Row],[Maximo]]=0,"",_xlfn.RANK.EQ(dHdcp[[#This Row],[Handicap]],dHdcp[Handicap],1))</f>
        <v/>
      </c>
      <c r="K199" t="str">
        <f>IFERROR(+_xlfn.RANK.EQ(dHdcp[[#This Row],[Ranking]],dHdcp[Ranking],1),"")</f>
        <v/>
      </c>
      <c r="M199" t="str">
        <f>+dHdcp[[#This Row],[Fecha]]&amp;":"&amp;dHdcp[[#This Row],[Nombre]]</f>
        <v>43491:GLEZ JUAN JOSÉ</v>
      </c>
      <c r="N199">
        <f>+COUNTIF(dHdcp[Columna1],dHdcp[[#This Row],[Columna1]])</f>
        <v>1</v>
      </c>
    </row>
    <row r="200" spans="1:14">
      <c r="A200" s="2">
        <v>43491</v>
      </c>
      <c r="B200" t="s">
        <v>6</v>
      </c>
      <c r="C200" s="51">
        <v>6.6</v>
      </c>
      <c r="D200">
        <v>2</v>
      </c>
      <c r="E200" t="s">
        <v>74</v>
      </c>
      <c r="F200" t="s">
        <v>666</v>
      </c>
      <c r="G200">
        <f>+IF(dHdcp[[#This Row],[Fecha]]=MAX(dHdcp[Fecha]),1,0)</f>
        <v>0</v>
      </c>
      <c r="H200" t="str">
        <f>+dHdcp[[#This Row],[Maximo]]&amp;":"&amp;dHdcp[[#This Row],[Nombre]]</f>
        <v>0:Ignacio Cadarso</v>
      </c>
      <c r="I200" t="str">
        <f>+dHdcp[[#This Row],[Maximo]]&amp;":"&amp;_xlfn.XLOOKUP(dHdcp[[#This Row],[Nombre]],dJugador[Nombre],dJugador[Mote],"",0)</f>
        <v>0:Ignacio</v>
      </c>
      <c r="J200" t="str">
        <f>+IF(dHdcp[[#This Row],[Maximo]]=0,"",_xlfn.RANK.EQ(dHdcp[[#This Row],[Handicap]],dHdcp[Handicap],1))</f>
        <v/>
      </c>
      <c r="K200" t="str">
        <f>IFERROR(+_xlfn.RANK.EQ(dHdcp[[#This Row],[Ranking]],dHdcp[Ranking],1),"")</f>
        <v/>
      </c>
      <c r="M200" t="str">
        <f>+dHdcp[[#This Row],[Fecha]]&amp;":"&amp;dHdcp[[#This Row],[Nombre]]</f>
        <v>43491:Ignacio Cadarso</v>
      </c>
      <c r="N200">
        <f>+COUNTIF(dHdcp[Columna1],dHdcp[[#This Row],[Columna1]])</f>
        <v>1</v>
      </c>
    </row>
    <row r="201" spans="1:14">
      <c r="A201" s="2">
        <v>43491</v>
      </c>
      <c r="B201" t="s">
        <v>39</v>
      </c>
      <c r="C201" s="51">
        <v>14.5</v>
      </c>
      <c r="D201">
        <v>3</v>
      </c>
      <c r="E201" t="s">
        <v>74</v>
      </c>
      <c r="F201" t="s">
        <v>667</v>
      </c>
      <c r="G201">
        <f>+IF(dHdcp[[#This Row],[Fecha]]=MAX(dHdcp[Fecha]),1,0)</f>
        <v>0</v>
      </c>
      <c r="H201" t="str">
        <f>+dHdcp[[#This Row],[Maximo]]&amp;":"&amp;dHdcp[[#This Row],[Nombre]]</f>
        <v>0:Iñigo Rosas</v>
      </c>
      <c r="I201" t="str">
        <f>+dHdcp[[#This Row],[Maximo]]&amp;":"&amp;_xlfn.XLOOKUP(dHdcp[[#This Row],[Nombre]],dJugador[Nombre],dJugador[Mote],"",0)</f>
        <v>0:</v>
      </c>
      <c r="J201" t="str">
        <f>+IF(dHdcp[[#This Row],[Maximo]]=0,"",_xlfn.RANK.EQ(dHdcp[[#This Row],[Handicap]],dHdcp[Handicap],1))</f>
        <v/>
      </c>
      <c r="K201" t="str">
        <f>IFERROR(+_xlfn.RANK.EQ(dHdcp[[#This Row],[Ranking]],dHdcp[Ranking],1),"")</f>
        <v/>
      </c>
      <c r="M201" t="str">
        <f>+dHdcp[[#This Row],[Fecha]]&amp;":"&amp;dHdcp[[#This Row],[Nombre]]</f>
        <v>43491:Iñigo Rosas</v>
      </c>
      <c r="N201">
        <f>+COUNTIF(dHdcp[Columna1],dHdcp[[#This Row],[Columna1]])</f>
        <v>1</v>
      </c>
    </row>
    <row r="202" spans="1:14">
      <c r="A202" s="2">
        <v>43491</v>
      </c>
      <c r="B202" t="s">
        <v>23</v>
      </c>
      <c r="C202" s="51">
        <v>19.5</v>
      </c>
      <c r="D202">
        <v>4</v>
      </c>
      <c r="E202" t="s">
        <v>74</v>
      </c>
      <c r="F202" t="s">
        <v>668</v>
      </c>
      <c r="G202">
        <f>+IF(dHdcp[[#This Row],[Fecha]]=MAX(dHdcp[Fecha]),1,0)</f>
        <v>0</v>
      </c>
      <c r="H202" t="str">
        <f>+dHdcp[[#This Row],[Maximo]]&amp;":"&amp;dHdcp[[#This Row],[Nombre]]</f>
        <v>0:J. Enrique Gonzalez</v>
      </c>
      <c r="I202" t="str">
        <f>+dHdcp[[#This Row],[Maximo]]&amp;":"&amp;_xlfn.XLOOKUP(dHdcp[[#This Row],[Nombre]],dJugador[Nombre],dJugador[Mote],"",0)</f>
        <v>0:Kike</v>
      </c>
      <c r="J202" t="str">
        <f>+IF(dHdcp[[#This Row],[Maximo]]=0,"",_xlfn.RANK.EQ(dHdcp[[#This Row],[Handicap]],dHdcp[Handicap],1))</f>
        <v/>
      </c>
      <c r="K202" t="str">
        <f>IFERROR(+_xlfn.RANK.EQ(dHdcp[[#This Row],[Ranking]],dHdcp[Ranking],1),"")</f>
        <v/>
      </c>
      <c r="M202" t="str">
        <f>+dHdcp[[#This Row],[Fecha]]&amp;":"&amp;dHdcp[[#This Row],[Nombre]]</f>
        <v>43491:J. Enrique Gonzalez</v>
      </c>
      <c r="N202">
        <f>+COUNTIF(dHdcp[Columna1],dHdcp[[#This Row],[Columna1]])</f>
        <v>1</v>
      </c>
    </row>
    <row r="203" spans="1:14">
      <c r="A203" s="2">
        <v>43491</v>
      </c>
      <c r="B203" t="s">
        <v>46</v>
      </c>
      <c r="C203" s="51">
        <v>13.1</v>
      </c>
      <c r="D203">
        <v>3</v>
      </c>
      <c r="E203" t="s">
        <v>74</v>
      </c>
      <c r="F203" t="s">
        <v>669</v>
      </c>
      <c r="G203">
        <f>+IF(dHdcp[[#This Row],[Fecha]]=MAX(dHdcp[Fecha]),1,0)</f>
        <v>0</v>
      </c>
      <c r="H203" t="str">
        <f>+dHdcp[[#This Row],[Maximo]]&amp;":"&amp;dHdcp[[#This Row],[Nombre]]</f>
        <v>0:Javier Cervera</v>
      </c>
      <c r="I203" t="str">
        <f>+dHdcp[[#This Row],[Maximo]]&amp;":"&amp;_xlfn.XLOOKUP(dHdcp[[#This Row],[Nombre]],dJugador[Nombre],dJugador[Mote],"",0)</f>
        <v>0:Virus</v>
      </c>
      <c r="J203" t="str">
        <f>+IF(dHdcp[[#This Row],[Maximo]]=0,"",_xlfn.RANK.EQ(dHdcp[[#This Row],[Handicap]],dHdcp[Handicap],1))</f>
        <v/>
      </c>
      <c r="K203" t="str">
        <f>IFERROR(+_xlfn.RANK.EQ(dHdcp[[#This Row],[Ranking]],dHdcp[Ranking],1),"")</f>
        <v/>
      </c>
      <c r="M203" t="str">
        <f>+dHdcp[[#This Row],[Fecha]]&amp;":"&amp;dHdcp[[#This Row],[Nombre]]</f>
        <v>43491:Javier Cervera</v>
      </c>
      <c r="N203">
        <f>+COUNTIF(dHdcp[Columna1],dHdcp[[#This Row],[Columna1]])</f>
        <v>1</v>
      </c>
    </row>
    <row r="204" spans="1:14">
      <c r="A204" s="2">
        <v>43491</v>
      </c>
      <c r="B204" t="s">
        <v>20</v>
      </c>
      <c r="C204" s="51">
        <v>13.9</v>
      </c>
      <c r="D204">
        <v>3</v>
      </c>
      <c r="E204" t="s">
        <v>74</v>
      </c>
      <c r="F204" t="s">
        <v>670</v>
      </c>
      <c r="G204">
        <f>+IF(dHdcp[[#This Row],[Fecha]]=MAX(dHdcp[Fecha]),1,0)</f>
        <v>0</v>
      </c>
      <c r="H204" t="str">
        <f>+dHdcp[[#This Row],[Maximo]]&amp;":"&amp;dHdcp[[#This Row],[Nombre]]</f>
        <v>0:Javier Gonzalez Salvador</v>
      </c>
      <c r="I204" t="str">
        <f>+dHdcp[[#This Row],[Maximo]]&amp;":"&amp;_xlfn.XLOOKUP(dHdcp[[#This Row],[Nombre]],dJugador[Nombre],dJugador[Mote],"",0)</f>
        <v>0:Javi</v>
      </c>
      <c r="J204" t="str">
        <f>+IF(dHdcp[[#This Row],[Maximo]]=0,"",_xlfn.RANK.EQ(dHdcp[[#This Row],[Handicap]],dHdcp[Handicap],1))</f>
        <v/>
      </c>
      <c r="K204" t="str">
        <f>IFERROR(+_xlfn.RANK.EQ(dHdcp[[#This Row],[Ranking]],dHdcp[Ranking],1),"")</f>
        <v/>
      </c>
      <c r="M204" t="str">
        <f>+dHdcp[[#This Row],[Fecha]]&amp;":"&amp;dHdcp[[#This Row],[Nombre]]</f>
        <v>43491:Javier Gonzalez Salvador</v>
      </c>
      <c r="N204">
        <f>+COUNTIF(dHdcp[Columna1],dHdcp[[#This Row],[Columna1]])</f>
        <v>1</v>
      </c>
    </row>
    <row r="205" spans="1:14">
      <c r="A205" s="2">
        <v>43491</v>
      </c>
      <c r="B205" t="s">
        <v>41</v>
      </c>
      <c r="C205" s="51">
        <v>21.3</v>
      </c>
      <c r="D205">
        <v>4</v>
      </c>
      <c r="E205" t="s">
        <v>74</v>
      </c>
      <c r="F205" t="s">
        <v>671</v>
      </c>
      <c r="G205">
        <f>+IF(dHdcp[[#This Row],[Fecha]]=MAX(dHdcp[Fecha]),1,0)</f>
        <v>0</v>
      </c>
      <c r="H205" t="str">
        <f>+dHdcp[[#This Row],[Maximo]]&amp;":"&amp;dHdcp[[#This Row],[Nombre]]</f>
        <v>0:Jesus Touceda</v>
      </c>
      <c r="I205" t="str">
        <f>+dHdcp[[#This Row],[Maximo]]&amp;":"&amp;_xlfn.XLOOKUP(dHdcp[[#This Row],[Nombre]],dJugador[Nombre],dJugador[Mote],"",0)</f>
        <v>0:Jesús</v>
      </c>
      <c r="J205" t="str">
        <f>+IF(dHdcp[[#This Row],[Maximo]]=0,"",_xlfn.RANK.EQ(dHdcp[[#This Row],[Handicap]],dHdcp[Handicap],1))</f>
        <v/>
      </c>
      <c r="K205" t="str">
        <f>IFERROR(+_xlfn.RANK.EQ(dHdcp[[#This Row],[Ranking]],dHdcp[Ranking],1),"")</f>
        <v/>
      </c>
      <c r="M205" t="str">
        <f>+dHdcp[[#This Row],[Fecha]]&amp;":"&amp;dHdcp[[#This Row],[Nombre]]</f>
        <v>43491:Jesus Touceda</v>
      </c>
      <c r="N205">
        <f>+COUNTIF(dHdcp[Columna1],dHdcp[[#This Row],[Columna1]])</f>
        <v>1</v>
      </c>
    </row>
    <row r="206" spans="1:14">
      <c r="A206" s="2">
        <v>43491</v>
      </c>
      <c r="B206" t="s">
        <v>18</v>
      </c>
      <c r="C206" s="51">
        <v>7.6</v>
      </c>
      <c r="D206">
        <v>2</v>
      </c>
      <c r="E206" t="s">
        <v>74</v>
      </c>
      <c r="F206" t="s">
        <v>672</v>
      </c>
      <c r="G206">
        <f>+IF(dHdcp[[#This Row],[Fecha]]=MAX(dHdcp[Fecha]),1,0)</f>
        <v>0</v>
      </c>
      <c r="H206" t="str">
        <f>+dHdcp[[#This Row],[Maximo]]&amp;":"&amp;dHdcp[[#This Row],[Nombre]]</f>
        <v>0:José Pablo Guil</v>
      </c>
      <c r="I206" t="str">
        <f>+dHdcp[[#This Row],[Maximo]]&amp;":"&amp;_xlfn.XLOOKUP(dHdcp[[#This Row],[Nombre]],dJugador[Nombre],dJugador[Mote],"",0)</f>
        <v>0:JP</v>
      </c>
      <c r="J206" t="str">
        <f>+IF(dHdcp[[#This Row],[Maximo]]=0,"",_xlfn.RANK.EQ(dHdcp[[#This Row],[Handicap]],dHdcp[Handicap],1))</f>
        <v/>
      </c>
      <c r="K206" t="str">
        <f>IFERROR(+_xlfn.RANK.EQ(dHdcp[[#This Row],[Ranking]],dHdcp[Ranking],1),"")</f>
        <v/>
      </c>
      <c r="M206" t="str">
        <f>+dHdcp[[#This Row],[Fecha]]&amp;":"&amp;dHdcp[[#This Row],[Nombre]]</f>
        <v>43491:José Pablo Guil</v>
      </c>
      <c r="N206">
        <f>+COUNTIF(dHdcp[Columna1],dHdcp[[#This Row],[Columna1]])</f>
        <v>1</v>
      </c>
    </row>
    <row r="207" spans="1:14">
      <c r="A207" s="2">
        <v>43491</v>
      </c>
      <c r="B207" t="s">
        <v>43</v>
      </c>
      <c r="C207" s="51">
        <v>16.8</v>
      </c>
      <c r="D207">
        <v>3</v>
      </c>
      <c r="E207" t="s">
        <v>74</v>
      </c>
      <c r="F207" t="s">
        <v>673</v>
      </c>
      <c r="G207">
        <f>+IF(dHdcp[[#This Row],[Fecha]]=MAX(dHdcp[Fecha]),1,0)</f>
        <v>0</v>
      </c>
      <c r="H207" t="str">
        <f>+dHdcp[[#This Row],[Maximo]]&amp;":"&amp;dHdcp[[#This Row],[Nombre]]</f>
        <v>0:Luis Escudero</v>
      </c>
      <c r="I207" t="str">
        <f>+dHdcp[[#This Row],[Maximo]]&amp;":"&amp;_xlfn.XLOOKUP(dHdcp[[#This Row],[Nombre]],dJugador[Nombre],dJugador[Mote],"",0)</f>
        <v>0:Lucho</v>
      </c>
      <c r="J207" t="str">
        <f>+IF(dHdcp[[#This Row],[Maximo]]=0,"",_xlfn.RANK.EQ(dHdcp[[#This Row],[Handicap]],dHdcp[Handicap],1))</f>
        <v/>
      </c>
      <c r="K207" t="str">
        <f>IFERROR(+_xlfn.RANK.EQ(dHdcp[[#This Row],[Ranking]],dHdcp[Ranking],1),"")</f>
        <v/>
      </c>
      <c r="M207" t="str">
        <f>+dHdcp[[#This Row],[Fecha]]&amp;":"&amp;dHdcp[[#This Row],[Nombre]]</f>
        <v>43491:Luis Escudero</v>
      </c>
      <c r="N207">
        <f>+COUNTIF(dHdcp[Columna1],dHdcp[[#This Row],[Columna1]])</f>
        <v>1</v>
      </c>
    </row>
    <row r="208" spans="1:14">
      <c r="A208" s="2">
        <v>43491</v>
      </c>
      <c r="B208" t="s">
        <v>3</v>
      </c>
      <c r="C208" s="51">
        <v>6.1</v>
      </c>
      <c r="D208">
        <v>2</v>
      </c>
      <c r="E208" t="s">
        <v>74</v>
      </c>
      <c r="F208" t="s">
        <v>674</v>
      </c>
      <c r="G208">
        <f>+IF(dHdcp[[#This Row],[Fecha]]=MAX(dHdcp[Fecha]),1,0)</f>
        <v>0</v>
      </c>
      <c r="H208" t="str">
        <f>+dHdcp[[#This Row],[Maximo]]&amp;":"&amp;dHdcp[[#This Row],[Nombre]]</f>
        <v>0:Nacho Gonzalez</v>
      </c>
      <c r="I208" t="str">
        <f>+dHdcp[[#This Row],[Maximo]]&amp;":"&amp;_xlfn.XLOOKUP(dHdcp[[#This Row],[Nombre]],dJugador[Nombre],dJugador[Mote],"",0)</f>
        <v>0:Nacho</v>
      </c>
      <c r="J208" t="str">
        <f>+IF(dHdcp[[#This Row],[Maximo]]=0,"",_xlfn.RANK.EQ(dHdcp[[#This Row],[Handicap]],dHdcp[Handicap],1))</f>
        <v/>
      </c>
      <c r="K208" t="str">
        <f>IFERROR(+_xlfn.RANK.EQ(dHdcp[[#This Row],[Ranking]],dHdcp[Ranking],1),"")</f>
        <v/>
      </c>
      <c r="M208" t="str">
        <f>+dHdcp[[#This Row],[Fecha]]&amp;":"&amp;dHdcp[[#This Row],[Nombre]]</f>
        <v>43491:Nacho Gonzalez</v>
      </c>
      <c r="N208">
        <f>+COUNTIF(dHdcp[Columna1],dHdcp[[#This Row],[Columna1]])</f>
        <v>1</v>
      </c>
    </row>
    <row r="209" spans="1:14">
      <c r="A209" s="2">
        <v>43491</v>
      </c>
      <c r="B209" t="s">
        <v>28</v>
      </c>
      <c r="C209" s="51">
        <v>13.4</v>
      </c>
      <c r="D209">
        <v>3</v>
      </c>
      <c r="E209" t="s">
        <v>74</v>
      </c>
      <c r="F209" t="s">
        <v>675</v>
      </c>
      <c r="G209">
        <f>+IF(dHdcp[[#This Row],[Fecha]]=MAX(dHdcp[Fecha]),1,0)</f>
        <v>0</v>
      </c>
      <c r="H209" t="str">
        <f>+dHdcp[[#This Row],[Maximo]]&amp;":"&amp;dHdcp[[#This Row],[Nombre]]</f>
        <v>0:Pablo Munitiz</v>
      </c>
      <c r="I209" t="str">
        <f>+dHdcp[[#This Row],[Maximo]]&amp;":"&amp;_xlfn.XLOOKUP(dHdcp[[#This Row],[Nombre]],dJugador[Nombre],dJugador[Mote],"",0)</f>
        <v>0:Muni</v>
      </c>
      <c r="J209" t="str">
        <f>+IF(dHdcp[[#This Row],[Maximo]]=0,"",_xlfn.RANK.EQ(dHdcp[[#This Row],[Handicap]],dHdcp[Handicap],1))</f>
        <v/>
      </c>
      <c r="K209" t="str">
        <f>IFERROR(+_xlfn.RANK.EQ(dHdcp[[#This Row],[Ranking]],dHdcp[Ranking],1),"")</f>
        <v/>
      </c>
      <c r="M209" t="str">
        <f>+dHdcp[[#This Row],[Fecha]]&amp;":"&amp;dHdcp[[#This Row],[Nombre]]</f>
        <v>43491:Pablo Munitiz</v>
      </c>
      <c r="N209">
        <f>+COUNTIF(dHdcp[Columna1],dHdcp[[#This Row],[Columna1]])</f>
        <v>1</v>
      </c>
    </row>
    <row r="210" spans="1:14">
      <c r="A210" s="2">
        <v>43491</v>
      </c>
      <c r="B210" t="s">
        <v>37</v>
      </c>
      <c r="C210" s="51">
        <v>10.1</v>
      </c>
      <c r="D210">
        <v>2</v>
      </c>
      <c r="E210" t="s">
        <v>74</v>
      </c>
      <c r="F210" t="s">
        <v>676</v>
      </c>
      <c r="G210">
        <f>+IF(dHdcp[[#This Row],[Fecha]]=MAX(dHdcp[Fecha]),1,0)</f>
        <v>0</v>
      </c>
      <c r="H210" t="str">
        <f>+dHdcp[[#This Row],[Maximo]]&amp;":"&amp;dHdcp[[#This Row],[Nombre]]</f>
        <v>0:Ricardo Muelas</v>
      </c>
      <c r="I210" t="str">
        <f>+dHdcp[[#This Row],[Maximo]]&amp;":"&amp;_xlfn.XLOOKUP(dHdcp[[#This Row],[Nombre]],dJugador[Nombre],dJugador[Mote],"",0)</f>
        <v>0:</v>
      </c>
      <c r="J210" t="str">
        <f>+IF(dHdcp[[#This Row],[Maximo]]=0,"",_xlfn.RANK.EQ(dHdcp[[#This Row],[Handicap]],dHdcp[Handicap],1))</f>
        <v/>
      </c>
      <c r="K210" t="str">
        <f>IFERROR(+_xlfn.RANK.EQ(dHdcp[[#This Row],[Ranking]],dHdcp[Ranking],1),"")</f>
        <v/>
      </c>
      <c r="M210" t="str">
        <f>+dHdcp[[#This Row],[Fecha]]&amp;":"&amp;dHdcp[[#This Row],[Nombre]]</f>
        <v>43491:Ricardo Muelas</v>
      </c>
      <c r="N210">
        <f>+COUNTIF(dHdcp[Columna1],dHdcp[[#This Row],[Columna1]])</f>
        <v>1</v>
      </c>
    </row>
    <row r="211" spans="1:14">
      <c r="A211" s="2">
        <v>43492</v>
      </c>
      <c r="B211" t="s">
        <v>9</v>
      </c>
      <c r="C211" s="51">
        <v>7.5999999999999979</v>
      </c>
      <c r="D211">
        <v>2</v>
      </c>
      <c r="E211" t="s">
        <v>75</v>
      </c>
      <c r="F211" t="s">
        <v>677</v>
      </c>
      <c r="G211">
        <f>+IF(dHdcp[[#This Row],[Fecha]]=MAX(dHdcp[Fecha]),1,0)</f>
        <v>0</v>
      </c>
      <c r="H211" t="str">
        <f>+dHdcp[[#This Row],[Maximo]]&amp;":"&amp;dHdcp[[#This Row],[Nombre]]</f>
        <v>0:Alfonso Hidalgo</v>
      </c>
      <c r="I211" t="str">
        <f>+dHdcp[[#This Row],[Maximo]]&amp;":"&amp;_xlfn.XLOOKUP(dHdcp[[#This Row],[Nombre]],dJugador[Nombre],dJugador[Mote],"",0)</f>
        <v>0:Alfonso</v>
      </c>
      <c r="J211" t="str">
        <f>+IF(dHdcp[[#This Row],[Maximo]]=0,"",_xlfn.RANK.EQ(dHdcp[[#This Row],[Handicap]],dHdcp[Handicap],1))</f>
        <v/>
      </c>
      <c r="K211" t="str">
        <f>IFERROR(+_xlfn.RANK.EQ(dHdcp[[#This Row],[Ranking]],dHdcp[Ranking],1),"")</f>
        <v/>
      </c>
      <c r="M211" t="str">
        <f>+dHdcp[[#This Row],[Fecha]]&amp;":"&amp;dHdcp[[#This Row],[Nombre]]</f>
        <v>43492:Alfonso Hidalgo</v>
      </c>
      <c r="N211">
        <f>+COUNTIF(dHdcp[Columna1],dHdcp[[#This Row],[Columna1]])</f>
        <v>1</v>
      </c>
    </row>
    <row r="212" spans="1:14">
      <c r="A212" s="2">
        <v>43492</v>
      </c>
      <c r="B212" t="s">
        <v>15</v>
      </c>
      <c r="C212" s="51">
        <v>5.5</v>
      </c>
      <c r="D212">
        <v>2</v>
      </c>
      <c r="E212" t="s">
        <v>75</v>
      </c>
      <c r="F212" t="s">
        <v>678</v>
      </c>
      <c r="G212">
        <f>+IF(dHdcp[[#This Row],[Fecha]]=MAX(dHdcp[Fecha]),1,0)</f>
        <v>0</v>
      </c>
      <c r="H212" t="str">
        <f>+dHdcp[[#This Row],[Maximo]]&amp;":"&amp;dHdcp[[#This Row],[Nombre]]</f>
        <v>0:Alvaro Aguirre</v>
      </c>
      <c r="I212" t="str">
        <f>+dHdcp[[#This Row],[Maximo]]&amp;":"&amp;_xlfn.XLOOKUP(dHdcp[[#This Row],[Nombre]],dJugador[Nombre],dJugador[Mote],"",0)</f>
        <v>0:Gifu</v>
      </c>
      <c r="J212" t="str">
        <f>+IF(dHdcp[[#This Row],[Maximo]]=0,"",_xlfn.RANK.EQ(dHdcp[[#This Row],[Handicap]],dHdcp[Handicap],1))</f>
        <v/>
      </c>
      <c r="K212" t="str">
        <f>IFERROR(+_xlfn.RANK.EQ(dHdcp[[#This Row],[Ranking]],dHdcp[Ranking],1),"")</f>
        <v/>
      </c>
      <c r="M212" t="str">
        <f>+dHdcp[[#This Row],[Fecha]]&amp;":"&amp;dHdcp[[#This Row],[Nombre]]</f>
        <v>43492:Alvaro Aguirre</v>
      </c>
      <c r="N212">
        <f>+COUNTIF(dHdcp[Columna1],dHdcp[[#This Row],[Columna1]])</f>
        <v>1</v>
      </c>
    </row>
    <row r="213" spans="1:14">
      <c r="A213" s="2">
        <v>43492</v>
      </c>
      <c r="B213" t="s">
        <v>25</v>
      </c>
      <c r="C213" s="51">
        <v>15.4</v>
      </c>
      <c r="D213">
        <v>3</v>
      </c>
      <c r="E213" t="s">
        <v>75</v>
      </c>
      <c r="F213" t="s">
        <v>679</v>
      </c>
      <c r="G213">
        <f>+IF(dHdcp[[#This Row],[Fecha]]=MAX(dHdcp[Fecha]),1,0)</f>
        <v>0</v>
      </c>
      <c r="H213" t="str">
        <f>+dHdcp[[#This Row],[Maximo]]&amp;":"&amp;dHdcp[[#This Row],[Nombre]]</f>
        <v>0:Alvaro Nieto</v>
      </c>
      <c r="I213" t="str">
        <f>+dHdcp[[#This Row],[Maximo]]&amp;":"&amp;_xlfn.XLOOKUP(dHdcp[[#This Row],[Nombre]],dJugador[Nombre],dJugador[Mote],"",0)</f>
        <v>0:Alvaro</v>
      </c>
      <c r="J213" t="str">
        <f>+IF(dHdcp[[#This Row],[Maximo]]=0,"",_xlfn.RANK.EQ(dHdcp[[#This Row],[Handicap]],dHdcp[Handicap],1))</f>
        <v/>
      </c>
      <c r="K213" t="str">
        <f>IFERROR(+_xlfn.RANK.EQ(dHdcp[[#This Row],[Ranking]],dHdcp[Ranking],1),"")</f>
        <v/>
      </c>
      <c r="M213" t="str">
        <f>+dHdcp[[#This Row],[Fecha]]&amp;":"&amp;dHdcp[[#This Row],[Nombre]]</f>
        <v>43492:Alvaro Nieto</v>
      </c>
      <c r="N213">
        <f>+COUNTIF(dHdcp[Columna1],dHdcp[[#This Row],[Columna1]])</f>
        <v>1</v>
      </c>
    </row>
    <row r="214" spans="1:14">
      <c r="A214" s="2">
        <v>43492</v>
      </c>
      <c r="B214" t="s">
        <v>33</v>
      </c>
      <c r="C214" s="51">
        <v>6.4999999999999982</v>
      </c>
      <c r="D214">
        <v>2</v>
      </c>
      <c r="E214" t="s">
        <v>75</v>
      </c>
      <c r="F214" t="s">
        <v>680</v>
      </c>
      <c r="G214">
        <f>+IF(dHdcp[[#This Row],[Fecha]]=MAX(dHdcp[Fecha]),1,0)</f>
        <v>0</v>
      </c>
      <c r="H214" t="str">
        <f>+dHdcp[[#This Row],[Maximo]]&amp;":"&amp;dHdcp[[#This Row],[Nombre]]</f>
        <v>0:Angel Hernandez</v>
      </c>
      <c r="I214" t="str">
        <f>+dHdcp[[#This Row],[Maximo]]&amp;":"&amp;_xlfn.XLOOKUP(dHdcp[[#This Row],[Nombre]],dJugador[Nombre],dJugador[Mote],"",0)</f>
        <v>0:Angel</v>
      </c>
      <c r="J214" t="str">
        <f>+IF(dHdcp[[#This Row],[Maximo]]=0,"",_xlfn.RANK.EQ(dHdcp[[#This Row],[Handicap]],dHdcp[Handicap],1))</f>
        <v/>
      </c>
      <c r="K214" t="str">
        <f>IFERROR(+_xlfn.RANK.EQ(dHdcp[[#This Row],[Ranking]],dHdcp[Ranking],1),"")</f>
        <v/>
      </c>
      <c r="M214" t="str">
        <f>+dHdcp[[#This Row],[Fecha]]&amp;":"&amp;dHdcp[[#This Row],[Nombre]]</f>
        <v>43492:Angel Hernandez</v>
      </c>
      <c r="N214">
        <f>+COUNTIF(dHdcp[Columna1],dHdcp[[#This Row],[Columna1]])</f>
        <v>1</v>
      </c>
    </row>
    <row r="215" spans="1:14">
      <c r="A215" s="2">
        <v>43492</v>
      </c>
      <c r="B215" t="s">
        <v>30</v>
      </c>
      <c r="C215" s="51">
        <v>12</v>
      </c>
      <c r="D215">
        <v>3</v>
      </c>
      <c r="E215" t="s">
        <v>75</v>
      </c>
      <c r="F215" t="s">
        <v>681</v>
      </c>
      <c r="G215">
        <f>+IF(dHdcp[[#This Row],[Fecha]]=MAX(dHdcp[Fecha]),1,0)</f>
        <v>0</v>
      </c>
      <c r="H215" t="str">
        <f>+dHdcp[[#This Row],[Maximo]]&amp;":"&amp;dHdcp[[#This Row],[Nombre]]</f>
        <v>0:David Sequera</v>
      </c>
      <c r="I215" t="str">
        <f>+dHdcp[[#This Row],[Maximo]]&amp;":"&amp;_xlfn.XLOOKUP(dHdcp[[#This Row],[Nombre]],dJugador[Nombre],dJugador[Mote],"",0)</f>
        <v>0:David</v>
      </c>
      <c r="J215" t="str">
        <f>+IF(dHdcp[[#This Row],[Maximo]]=0,"",_xlfn.RANK.EQ(dHdcp[[#This Row],[Handicap]],dHdcp[Handicap],1))</f>
        <v/>
      </c>
      <c r="K215" t="str">
        <f>IFERROR(+_xlfn.RANK.EQ(dHdcp[[#This Row],[Ranking]],dHdcp[Ranking],1),"")</f>
        <v/>
      </c>
      <c r="M215" t="str">
        <f>+dHdcp[[#This Row],[Fecha]]&amp;":"&amp;dHdcp[[#This Row],[Nombre]]</f>
        <v>43492:David Sequera</v>
      </c>
      <c r="N215">
        <f>+COUNTIF(dHdcp[Columna1],dHdcp[[#This Row],[Columna1]])</f>
        <v>1</v>
      </c>
    </row>
    <row r="216" spans="1:14">
      <c r="A216" s="2">
        <v>43492</v>
      </c>
      <c r="B216" t="s">
        <v>12</v>
      </c>
      <c r="C216" s="51">
        <v>16.400000000000002</v>
      </c>
      <c r="D216">
        <v>3</v>
      </c>
      <c r="E216" t="s">
        <v>75</v>
      </c>
      <c r="F216" t="s">
        <v>682</v>
      </c>
      <c r="G216">
        <f>+IF(dHdcp[[#This Row],[Fecha]]=MAX(dHdcp[Fecha]),1,0)</f>
        <v>0</v>
      </c>
      <c r="H216" t="str">
        <f>+dHdcp[[#This Row],[Maximo]]&amp;":"&amp;dHdcp[[#This Row],[Nombre]]</f>
        <v>0:Francisco Alvarez</v>
      </c>
      <c r="I216" t="str">
        <f>+dHdcp[[#This Row],[Maximo]]&amp;":"&amp;_xlfn.XLOOKUP(dHdcp[[#This Row],[Nombre]],dJugador[Nombre],dJugador[Mote],"",0)</f>
        <v>0:Paco</v>
      </c>
      <c r="J216" t="str">
        <f>+IF(dHdcp[[#This Row],[Maximo]]=0,"",_xlfn.RANK.EQ(dHdcp[[#This Row],[Handicap]],dHdcp[Handicap],1))</f>
        <v/>
      </c>
      <c r="K216" t="str">
        <f>IFERROR(+_xlfn.RANK.EQ(dHdcp[[#This Row],[Ranking]],dHdcp[Ranking],1),"")</f>
        <v/>
      </c>
      <c r="M216" t="str">
        <f>+dHdcp[[#This Row],[Fecha]]&amp;":"&amp;dHdcp[[#This Row],[Nombre]]</f>
        <v>43492:Francisco Alvarez</v>
      </c>
      <c r="N216">
        <f>+COUNTIF(dHdcp[Columna1],dHdcp[[#This Row],[Columna1]])</f>
        <v>1</v>
      </c>
    </row>
    <row r="217" spans="1:14">
      <c r="A217" s="2">
        <v>43492</v>
      </c>
      <c r="B217" t="s">
        <v>49</v>
      </c>
      <c r="C217" s="51">
        <v>13</v>
      </c>
      <c r="D217">
        <v>3</v>
      </c>
      <c r="E217" t="s">
        <v>75</v>
      </c>
      <c r="F217" t="s">
        <v>683</v>
      </c>
      <c r="G217">
        <f>+IF(dHdcp[[#This Row],[Fecha]]=MAX(dHdcp[Fecha]),1,0)</f>
        <v>0</v>
      </c>
      <c r="H217" t="str">
        <f>+dHdcp[[#This Row],[Maximo]]&amp;":"&amp;dHdcp[[#This Row],[Nombre]]</f>
        <v>0:Francisco Hidalgo</v>
      </c>
      <c r="I217" t="str">
        <f>+dHdcp[[#This Row],[Maximo]]&amp;":"&amp;_xlfn.XLOOKUP(dHdcp[[#This Row],[Nombre]],dJugador[Nombre],dJugador[Mote],"",0)</f>
        <v>0:Fran</v>
      </c>
      <c r="J217" t="str">
        <f>+IF(dHdcp[[#This Row],[Maximo]]=0,"",_xlfn.RANK.EQ(dHdcp[[#This Row],[Handicap]],dHdcp[Handicap],1))</f>
        <v/>
      </c>
      <c r="K217" t="str">
        <f>IFERROR(+_xlfn.RANK.EQ(dHdcp[[#This Row],[Ranking]],dHdcp[Ranking],1),"")</f>
        <v/>
      </c>
      <c r="M217" t="str">
        <f>+dHdcp[[#This Row],[Fecha]]&amp;":"&amp;dHdcp[[#This Row],[Nombre]]</f>
        <v>43492:Francisco Hidalgo</v>
      </c>
      <c r="N217">
        <f>+COUNTIF(dHdcp[Columna1],dHdcp[[#This Row],[Columna1]])</f>
        <v>1</v>
      </c>
    </row>
    <row r="218" spans="1:14">
      <c r="A218" s="2">
        <v>43492</v>
      </c>
      <c r="B218" t="s">
        <v>35</v>
      </c>
      <c r="C218" s="51">
        <v>17.000000000000007</v>
      </c>
      <c r="D218">
        <v>3</v>
      </c>
      <c r="E218" t="s">
        <v>75</v>
      </c>
      <c r="F218" t="s">
        <v>684</v>
      </c>
      <c r="G218">
        <f>+IF(dHdcp[[#This Row],[Fecha]]=MAX(dHdcp[Fecha]),1,0)</f>
        <v>0</v>
      </c>
      <c r="H218" t="str">
        <f>+dHdcp[[#This Row],[Maximo]]&amp;":"&amp;dHdcp[[#This Row],[Nombre]]</f>
        <v>0:GLEZ JUAN JOSÉ</v>
      </c>
      <c r="I218" t="str">
        <f>+dHdcp[[#This Row],[Maximo]]&amp;":"&amp;_xlfn.XLOOKUP(dHdcp[[#This Row],[Nombre]],dJugador[Nombre],dJugador[Mote],"",0)</f>
        <v>0:Juanjo</v>
      </c>
      <c r="J218" t="str">
        <f>+IF(dHdcp[[#This Row],[Maximo]]=0,"",_xlfn.RANK.EQ(dHdcp[[#This Row],[Handicap]],dHdcp[Handicap],1))</f>
        <v/>
      </c>
      <c r="K218" t="str">
        <f>IFERROR(+_xlfn.RANK.EQ(dHdcp[[#This Row],[Ranking]],dHdcp[Ranking],1),"")</f>
        <v/>
      </c>
      <c r="M218" t="str">
        <f>+dHdcp[[#This Row],[Fecha]]&amp;":"&amp;dHdcp[[#This Row],[Nombre]]</f>
        <v>43492:GLEZ JUAN JOSÉ</v>
      </c>
      <c r="N218">
        <f>+COUNTIF(dHdcp[Columna1],dHdcp[[#This Row],[Columna1]])</f>
        <v>1</v>
      </c>
    </row>
    <row r="219" spans="1:14">
      <c r="A219" s="2">
        <v>43492</v>
      </c>
      <c r="B219" t="s">
        <v>6</v>
      </c>
      <c r="C219" s="51">
        <v>6.6999999999999993</v>
      </c>
      <c r="D219">
        <v>2</v>
      </c>
      <c r="E219" t="s">
        <v>75</v>
      </c>
      <c r="F219" t="s">
        <v>685</v>
      </c>
      <c r="G219">
        <f>+IF(dHdcp[[#This Row],[Fecha]]=MAX(dHdcp[Fecha]),1,0)</f>
        <v>0</v>
      </c>
      <c r="H219" t="str">
        <f>+dHdcp[[#This Row],[Maximo]]&amp;":"&amp;dHdcp[[#This Row],[Nombre]]</f>
        <v>0:Ignacio Cadarso</v>
      </c>
      <c r="I219" t="str">
        <f>+dHdcp[[#This Row],[Maximo]]&amp;":"&amp;_xlfn.XLOOKUP(dHdcp[[#This Row],[Nombre]],dJugador[Nombre],dJugador[Mote],"",0)</f>
        <v>0:Ignacio</v>
      </c>
      <c r="J219" t="str">
        <f>+IF(dHdcp[[#This Row],[Maximo]]=0,"",_xlfn.RANK.EQ(dHdcp[[#This Row],[Handicap]],dHdcp[Handicap],1))</f>
        <v/>
      </c>
      <c r="K219" t="str">
        <f>IFERROR(+_xlfn.RANK.EQ(dHdcp[[#This Row],[Ranking]],dHdcp[Ranking],1),"")</f>
        <v/>
      </c>
      <c r="M219" t="str">
        <f>+dHdcp[[#This Row],[Fecha]]&amp;":"&amp;dHdcp[[#This Row],[Nombre]]</f>
        <v>43492:Ignacio Cadarso</v>
      </c>
      <c r="N219">
        <f>+COUNTIF(dHdcp[Columna1],dHdcp[[#This Row],[Columna1]])</f>
        <v>1</v>
      </c>
    </row>
    <row r="220" spans="1:14">
      <c r="A220" s="2">
        <v>43492</v>
      </c>
      <c r="B220" t="s">
        <v>39</v>
      </c>
      <c r="C220" s="51">
        <v>13.3</v>
      </c>
      <c r="D220">
        <v>3</v>
      </c>
      <c r="E220" t="s">
        <v>75</v>
      </c>
      <c r="F220" t="s">
        <v>686</v>
      </c>
      <c r="G220">
        <f>+IF(dHdcp[[#This Row],[Fecha]]=MAX(dHdcp[Fecha]),1,0)</f>
        <v>0</v>
      </c>
      <c r="H220" t="str">
        <f>+dHdcp[[#This Row],[Maximo]]&amp;":"&amp;dHdcp[[#This Row],[Nombre]]</f>
        <v>0:Iñigo Rosas</v>
      </c>
      <c r="I220" t="str">
        <f>+dHdcp[[#This Row],[Maximo]]&amp;":"&amp;_xlfn.XLOOKUP(dHdcp[[#This Row],[Nombre]],dJugador[Nombre],dJugador[Mote],"",0)</f>
        <v>0:</v>
      </c>
      <c r="J220" t="str">
        <f>+IF(dHdcp[[#This Row],[Maximo]]=0,"",_xlfn.RANK.EQ(dHdcp[[#This Row],[Handicap]],dHdcp[Handicap],1))</f>
        <v/>
      </c>
      <c r="K220" t="str">
        <f>IFERROR(+_xlfn.RANK.EQ(dHdcp[[#This Row],[Ranking]],dHdcp[Ranking],1),"")</f>
        <v/>
      </c>
      <c r="M220" t="str">
        <f>+dHdcp[[#This Row],[Fecha]]&amp;":"&amp;dHdcp[[#This Row],[Nombre]]</f>
        <v>43492:Iñigo Rosas</v>
      </c>
      <c r="N220">
        <f>+COUNTIF(dHdcp[Columna1],dHdcp[[#This Row],[Columna1]])</f>
        <v>1</v>
      </c>
    </row>
    <row r="221" spans="1:14">
      <c r="A221" s="2">
        <v>43492</v>
      </c>
      <c r="B221" t="s">
        <v>23</v>
      </c>
      <c r="C221" s="51">
        <v>19.200000000000006</v>
      </c>
      <c r="D221">
        <v>4</v>
      </c>
      <c r="E221" t="s">
        <v>75</v>
      </c>
      <c r="F221" t="s">
        <v>687</v>
      </c>
      <c r="G221">
        <f>+IF(dHdcp[[#This Row],[Fecha]]=MAX(dHdcp[Fecha]),1,0)</f>
        <v>0</v>
      </c>
      <c r="H221" t="str">
        <f>+dHdcp[[#This Row],[Maximo]]&amp;":"&amp;dHdcp[[#This Row],[Nombre]]</f>
        <v>0:J. Enrique Gonzalez</v>
      </c>
      <c r="I221" t="str">
        <f>+dHdcp[[#This Row],[Maximo]]&amp;":"&amp;_xlfn.XLOOKUP(dHdcp[[#This Row],[Nombre]],dJugador[Nombre],dJugador[Mote],"",0)</f>
        <v>0:Kike</v>
      </c>
      <c r="J221" t="str">
        <f>+IF(dHdcp[[#This Row],[Maximo]]=0,"",_xlfn.RANK.EQ(dHdcp[[#This Row],[Handicap]],dHdcp[Handicap],1))</f>
        <v/>
      </c>
      <c r="K221" t="str">
        <f>IFERROR(+_xlfn.RANK.EQ(dHdcp[[#This Row],[Ranking]],dHdcp[Ranking],1),"")</f>
        <v/>
      </c>
      <c r="M221" t="str">
        <f>+dHdcp[[#This Row],[Fecha]]&amp;":"&amp;dHdcp[[#This Row],[Nombre]]</f>
        <v>43492:J. Enrique Gonzalez</v>
      </c>
      <c r="N221">
        <f>+COUNTIF(dHdcp[Columna1],dHdcp[[#This Row],[Columna1]])</f>
        <v>1</v>
      </c>
    </row>
    <row r="222" spans="1:14">
      <c r="A222" s="2">
        <v>43492</v>
      </c>
      <c r="B222" t="s">
        <v>46</v>
      </c>
      <c r="C222" s="51">
        <v>13.2</v>
      </c>
      <c r="D222">
        <v>3</v>
      </c>
      <c r="E222" t="s">
        <v>75</v>
      </c>
      <c r="F222" t="s">
        <v>688</v>
      </c>
      <c r="G222">
        <f>+IF(dHdcp[[#This Row],[Fecha]]=MAX(dHdcp[Fecha]),1,0)</f>
        <v>0</v>
      </c>
      <c r="H222" t="str">
        <f>+dHdcp[[#This Row],[Maximo]]&amp;":"&amp;dHdcp[[#This Row],[Nombre]]</f>
        <v>0:Javier Cervera</v>
      </c>
      <c r="I222" t="str">
        <f>+dHdcp[[#This Row],[Maximo]]&amp;":"&amp;_xlfn.XLOOKUP(dHdcp[[#This Row],[Nombre]],dJugador[Nombre],dJugador[Mote],"",0)</f>
        <v>0:Virus</v>
      </c>
      <c r="J222" t="str">
        <f>+IF(dHdcp[[#This Row],[Maximo]]=0,"",_xlfn.RANK.EQ(dHdcp[[#This Row],[Handicap]],dHdcp[Handicap],1))</f>
        <v/>
      </c>
      <c r="K222" t="str">
        <f>IFERROR(+_xlfn.RANK.EQ(dHdcp[[#This Row],[Ranking]],dHdcp[Ranking],1),"")</f>
        <v/>
      </c>
      <c r="M222" t="str">
        <f>+dHdcp[[#This Row],[Fecha]]&amp;":"&amp;dHdcp[[#This Row],[Nombre]]</f>
        <v>43492:Javier Cervera</v>
      </c>
      <c r="N222">
        <f>+COUNTIF(dHdcp[Columna1],dHdcp[[#This Row],[Columna1]])</f>
        <v>1</v>
      </c>
    </row>
    <row r="223" spans="1:14">
      <c r="A223" s="2">
        <v>43492</v>
      </c>
      <c r="B223" t="s">
        <v>20</v>
      </c>
      <c r="C223" s="51">
        <v>10.199999999999999</v>
      </c>
      <c r="D223">
        <v>2</v>
      </c>
      <c r="E223" t="s">
        <v>75</v>
      </c>
      <c r="F223" t="s">
        <v>689</v>
      </c>
      <c r="G223">
        <f>+IF(dHdcp[[#This Row],[Fecha]]=MAX(dHdcp[Fecha]),1,0)</f>
        <v>0</v>
      </c>
      <c r="H223" t="str">
        <f>+dHdcp[[#This Row],[Maximo]]&amp;":"&amp;dHdcp[[#This Row],[Nombre]]</f>
        <v>0:Javier Gonzalez Salvador</v>
      </c>
      <c r="I223" t="str">
        <f>+dHdcp[[#This Row],[Maximo]]&amp;":"&amp;_xlfn.XLOOKUP(dHdcp[[#This Row],[Nombre]],dJugador[Nombre],dJugador[Mote],"",0)</f>
        <v>0:Javi</v>
      </c>
      <c r="J223" t="str">
        <f>+IF(dHdcp[[#This Row],[Maximo]]=0,"",_xlfn.RANK.EQ(dHdcp[[#This Row],[Handicap]],dHdcp[Handicap],1))</f>
        <v/>
      </c>
      <c r="K223" t="str">
        <f>IFERROR(+_xlfn.RANK.EQ(dHdcp[[#This Row],[Ranking]],dHdcp[Ranking],1),"")</f>
        <v/>
      </c>
      <c r="M223" t="str">
        <f>+dHdcp[[#This Row],[Fecha]]&amp;":"&amp;dHdcp[[#This Row],[Nombre]]</f>
        <v>43492:Javier Gonzalez Salvador</v>
      </c>
      <c r="N223">
        <f>+COUNTIF(dHdcp[Columna1],dHdcp[[#This Row],[Columna1]])</f>
        <v>1</v>
      </c>
    </row>
    <row r="224" spans="1:14">
      <c r="A224" s="2">
        <v>43492</v>
      </c>
      <c r="B224" t="s">
        <v>41</v>
      </c>
      <c r="C224" s="51">
        <v>21.400000000000002</v>
      </c>
      <c r="D224">
        <v>4</v>
      </c>
      <c r="E224" t="s">
        <v>75</v>
      </c>
      <c r="F224" t="s">
        <v>690</v>
      </c>
      <c r="G224">
        <f>+IF(dHdcp[[#This Row],[Fecha]]=MAX(dHdcp[Fecha]),1,0)</f>
        <v>0</v>
      </c>
      <c r="H224" t="str">
        <f>+dHdcp[[#This Row],[Maximo]]&amp;":"&amp;dHdcp[[#This Row],[Nombre]]</f>
        <v>0:Jesus Touceda</v>
      </c>
      <c r="I224" t="str">
        <f>+dHdcp[[#This Row],[Maximo]]&amp;":"&amp;_xlfn.XLOOKUP(dHdcp[[#This Row],[Nombre]],dJugador[Nombre],dJugador[Mote],"",0)</f>
        <v>0:Jesús</v>
      </c>
      <c r="J224" t="str">
        <f>+IF(dHdcp[[#This Row],[Maximo]]=0,"",_xlfn.RANK.EQ(dHdcp[[#This Row],[Handicap]],dHdcp[Handicap],1))</f>
        <v/>
      </c>
      <c r="K224" t="str">
        <f>IFERROR(+_xlfn.RANK.EQ(dHdcp[[#This Row],[Ranking]],dHdcp[Ranking],1),"")</f>
        <v/>
      </c>
      <c r="M224" t="str">
        <f>+dHdcp[[#This Row],[Fecha]]&amp;":"&amp;dHdcp[[#This Row],[Nombre]]</f>
        <v>43492:Jesus Touceda</v>
      </c>
      <c r="N224">
        <f>+COUNTIF(dHdcp[Columna1],dHdcp[[#This Row],[Columna1]])</f>
        <v>1</v>
      </c>
    </row>
    <row r="225" spans="1:14">
      <c r="A225" s="2">
        <v>43492</v>
      </c>
      <c r="B225" t="s">
        <v>18</v>
      </c>
      <c r="C225" s="51">
        <v>5.4999999999999982</v>
      </c>
      <c r="D225">
        <v>2</v>
      </c>
      <c r="E225" t="s">
        <v>75</v>
      </c>
      <c r="F225" t="s">
        <v>691</v>
      </c>
      <c r="G225">
        <f>+IF(dHdcp[[#This Row],[Fecha]]=MAX(dHdcp[Fecha]),1,0)</f>
        <v>0</v>
      </c>
      <c r="H225" t="str">
        <f>+dHdcp[[#This Row],[Maximo]]&amp;":"&amp;dHdcp[[#This Row],[Nombre]]</f>
        <v>0:José Pablo Guil</v>
      </c>
      <c r="I225" t="str">
        <f>+dHdcp[[#This Row],[Maximo]]&amp;":"&amp;_xlfn.XLOOKUP(dHdcp[[#This Row],[Nombre]],dJugador[Nombre],dJugador[Mote],"",0)</f>
        <v>0:JP</v>
      </c>
      <c r="J225" t="str">
        <f>+IF(dHdcp[[#This Row],[Maximo]]=0,"",_xlfn.RANK.EQ(dHdcp[[#This Row],[Handicap]],dHdcp[Handicap],1))</f>
        <v/>
      </c>
      <c r="K225" t="str">
        <f>IFERROR(+_xlfn.RANK.EQ(dHdcp[[#This Row],[Ranking]],dHdcp[Ranking],1),"")</f>
        <v/>
      </c>
      <c r="M225" t="str">
        <f>+dHdcp[[#This Row],[Fecha]]&amp;":"&amp;dHdcp[[#This Row],[Nombre]]</f>
        <v>43492:José Pablo Guil</v>
      </c>
      <c r="N225">
        <f>+COUNTIF(dHdcp[Columna1],dHdcp[[#This Row],[Columna1]])</f>
        <v>1</v>
      </c>
    </row>
    <row r="226" spans="1:14">
      <c r="A226" s="2">
        <v>43492</v>
      </c>
      <c r="B226" t="s">
        <v>43</v>
      </c>
      <c r="C226" s="51">
        <v>16.900000000000002</v>
      </c>
      <c r="D226">
        <v>3</v>
      </c>
      <c r="E226" t="s">
        <v>75</v>
      </c>
      <c r="F226" t="s">
        <v>692</v>
      </c>
      <c r="G226">
        <f>+IF(dHdcp[[#This Row],[Fecha]]=MAX(dHdcp[Fecha]),1,0)</f>
        <v>0</v>
      </c>
      <c r="H226" t="str">
        <f>+dHdcp[[#This Row],[Maximo]]&amp;":"&amp;dHdcp[[#This Row],[Nombre]]</f>
        <v>0:Luis Escudero</v>
      </c>
      <c r="I226" t="str">
        <f>+dHdcp[[#This Row],[Maximo]]&amp;":"&amp;_xlfn.XLOOKUP(dHdcp[[#This Row],[Nombre]],dJugador[Nombre],dJugador[Mote],"",0)</f>
        <v>0:Lucho</v>
      </c>
      <c r="J226" t="str">
        <f>+IF(dHdcp[[#This Row],[Maximo]]=0,"",_xlfn.RANK.EQ(dHdcp[[#This Row],[Handicap]],dHdcp[Handicap],1))</f>
        <v/>
      </c>
      <c r="K226" t="str">
        <f>IFERROR(+_xlfn.RANK.EQ(dHdcp[[#This Row],[Ranking]],dHdcp[Ranking],1),"")</f>
        <v/>
      </c>
      <c r="M226" t="str">
        <f>+dHdcp[[#This Row],[Fecha]]&amp;":"&amp;dHdcp[[#This Row],[Nombre]]</f>
        <v>43492:Luis Escudero</v>
      </c>
      <c r="N226">
        <f>+COUNTIF(dHdcp[Columna1],dHdcp[[#This Row],[Columna1]])</f>
        <v>1</v>
      </c>
    </row>
    <row r="227" spans="1:14">
      <c r="A227" s="2">
        <v>43492</v>
      </c>
      <c r="B227" t="s">
        <v>3</v>
      </c>
      <c r="C227" s="51">
        <v>4.4000000000000004</v>
      </c>
      <c r="D227">
        <v>1</v>
      </c>
      <c r="E227" t="s">
        <v>75</v>
      </c>
      <c r="F227" t="s">
        <v>693</v>
      </c>
      <c r="G227">
        <f>+IF(dHdcp[[#This Row],[Fecha]]=MAX(dHdcp[Fecha]),1,0)</f>
        <v>0</v>
      </c>
      <c r="H227" t="str">
        <f>+dHdcp[[#This Row],[Maximo]]&amp;":"&amp;dHdcp[[#This Row],[Nombre]]</f>
        <v>0:Nacho Gonzalez</v>
      </c>
      <c r="I227" t="str">
        <f>+dHdcp[[#This Row],[Maximo]]&amp;":"&amp;_xlfn.XLOOKUP(dHdcp[[#This Row],[Nombre]],dJugador[Nombre],dJugador[Mote],"",0)</f>
        <v>0:Nacho</v>
      </c>
      <c r="J227" t="str">
        <f>+IF(dHdcp[[#This Row],[Maximo]]=0,"",_xlfn.RANK.EQ(dHdcp[[#This Row],[Handicap]],dHdcp[Handicap],1))</f>
        <v/>
      </c>
      <c r="K227" t="str">
        <f>IFERROR(+_xlfn.RANK.EQ(dHdcp[[#This Row],[Ranking]],dHdcp[Ranking],1),"")</f>
        <v/>
      </c>
      <c r="M227" t="str">
        <f>+dHdcp[[#This Row],[Fecha]]&amp;":"&amp;dHdcp[[#This Row],[Nombre]]</f>
        <v>43492:Nacho Gonzalez</v>
      </c>
      <c r="N227">
        <f>+COUNTIF(dHdcp[Columna1],dHdcp[[#This Row],[Columna1]])</f>
        <v>1</v>
      </c>
    </row>
    <row r="228" spans="1:14">
      <c r="A228" s="2">
        <v>43492</v>
      </c>
      <c r="B228" t="s">
        <v>28</v>
      </c>
      <c r="C228" s="51">
        <v>13.4</v>
      </c>
      <c r="D228">
        <v>3</v>
      </c>
      <c r="E228" t="s">
        <v>75</v>
      </c>
      <c r="F228" t="s">
        <v>694</v>
      </c>
      <c r="G228">
        <f>+IF(dHdcp[[#This Row],[Fecha]]=MAX(dHdcp[Fecha]),1,0)</f>
        <v>0</v>
      </c>
      <c r="H228" t="str">
        <f>+dHdcp[[#This Row],[Maximo]]&amp;":"&amp;dHdcp[[#This Row],[Nombre]]</f>
        <v>0:Pablo Munitiz</v>
      </c>
      <c r="I228" t="str">
        <f>+dHdcp[[#This Row],[Maximo]]&amp;":"&amp;_xlfn.XLOOKUP(dHdcp[[#This Row],[Nombre]],dJugador[Nombre],dJugador[Mote],"",0)</f>
        <v>0:Muni</v>
      </c>
      <c r="J228" t="str">
        <f>+IF(dHdcp[[#This Row],[Maximo]]=0,"",_xlfn.RANK.EQ(dHdcp[[#This Row],[Handicap]],dHdcp[Handicap],1))</f>
        <v/>
      </c>
      <c r="K228" t="str">
        <f>IFERROR(+_xlfn.RANK.EQ(dHdcp[[#This Row],[Ranking]],dHdcp[Ranking],1),"")</f>
        <v/>
      </c>
      <c r="M228" t="str">
        <f>+dHdcp[[#This Row],[Fecha]]&amp;":"&amp;dHdcp[[#This Row],[Nombre]]</f>
        <v>43492:Pablo Munitiz</v>
      </c>
      <c r="N228">
        <f>+COUNTIF(dHdcp[Columna1],dHdcp[[#This Row],[Columna1]])</f>
        <v>1</v>
      </c>
    </row>
    <row r="229" spans="1:14">
      <c r="A229" s="2">
        <v>43492</v>
      </c>
      <c r="B229" t="s">
        <v>37</v>
      </c>
      <c r="C229" s="51">
        <v>9.6999999999999993</v>
      </c>
      <c r="D229">
        <v>2</v>
      </c>
      <c r="E229" t="s">
        <v>75</v>
      </c>
      <c r="F229" t="s">
        <v>695</v>
      </c>
      <c r="G229">
        <f>+IF(dHdcp[[#This Row],[Fecha]]=MAX(dHdcp[Fecha]),1,0)</f>
        <v>0</v>
      </c>
      <c r="H229" t="str">
        <f>+dHdcp[[#This Row],[Maximo]]&amp;":"&amp;dHdcp[[#This Row],[Nombre]]</f>
        <v>0:Ricardo Muelas</v>
      </c>
      <c r="I229" t="str">
        <f>+dHdcp[[#This Row],[Maximo]]&amp;":"&amp;_xlfn.XLOOKUP(dHdcp[[#This Row],[Nombre]],dJugador[Nombre],dJugador[Mote],"",0)</f>
        <v>0:</v>
      </c>
      <c r="J229" t="str">
        <f>+IF(dHdcp[[#This Row],[Maximo]]=0,"",_xlfn.RANK.EQ(dHdcp[[#This Row],[Handicap]],dHdcp[Handicap],1))</f>
        <v/>
      </c>
      <c r="K229" t="str">
        <f>IFERROR(+_xlfn.RANK.EQ(dHdcp[[#This Row],[Ranking]],dHdcp[Ranking],1),"")</f>
        <v/>
      </c>
      <c r="M229" t="str">
        <f>+dHdcp[[#This Row],[Fecha]]&amp;":"&amp;dHdcp[[#This Row],[Nombre]]</f>
        <v>43492:Ricardo Muelas</v>
      </c>
      <c r="N229">
        <f>+COUNTIF(dHdcp[Columna1],dHdcp[[#This Row],[Columna1]])</f>
        <v>1</v>
      </c>
    </row>
    <row r="230" spans="1:14">
      <c r="A230" s="2">
        <v>43510</v>
      </c>
      <c r="B230" t="s">
        <v>9</v>
      </c>
      <c r="C230" s="51">
        <v>8.3000000000000007</v>
      </c>
      <c r="D230">
        <v>2</v>
      </c>
      <c r="E230" t="s">
        <v>74</v>
      </c>
      <c r="F230" t="s">
        <v>696</v>
      </c>
      <c r="G230">
        <f>+IF(dHdcp[[#This Row],[Fecha]]=MAX(dHdcp[Fecha]),1,0)</f>
        <v>0</v>
      </c>
      <c r="H230" t="str">
        <f>+dHdcp[[#This Row],[Maximo]]&amp;":"&amp;dHdcp[[#This Row],[Nombre]]</f>
        <v>0:Alfonso Hidalgo</v>
      </c>
      <c r="I230" t="str">
        <f>+dHdcp[[#This Row],[Maximo]]&amp;":"&amp;_xlfn.XLOOKUP(dHdcp[[#This Row],[Nombre]],dJugador[Nombre],dJugador[Mote],"",0)</f>
        <v>0:Alfonso</v>
      </c>
      <c r="J230" t="str">
        <f>+IF(dHdcp[[#This Row],[Maximo]]=0,"",_xlfn.RANK.EQ(dHdcp[[#This Row],[Handicap]],dHdcp[Handicap],1))</f>
        <v/>
      </c>
      <c r="K230" t="str">
        <f>IFERROR(+_xlfn.RANK.EQ(dHdcp[[#This Row],[Ranking]],dHdcp[Ranking],1),"")</f>
        <v/>
      </c>
      <c r="M230" t="str">
        <f>+dHdcp[[#This Row],[Fecha]]&amp;":"&amp;dHdcp[[#This Row],[Nombre]]</f>
        <v>43510:Alfonso Hidalgo</v>
      </c>
      <c r="N230">
        <f>+COUNTIF(dHdcp[Columna1],dHdcp[[#This Row],[Columna1]])</f>
        <v>1</v>
      </c>
    </row>
    <row r="231" spans="1:14">
      <c r="A231" s="2">
        <v>43510</v>
      </c>
      <c r="B231" t="s">
        <v>15</v>
      </c>
      <c r="C231" s="51">
        <v>5.4</v>
      </c>
      <c r="D231">
        <v>2</v>
      </c>
      <c r="E231" t="s">
        <v>74</v>
      </c>
      <c r="F231" t="s">
        <v>697</v>
      </c>
      <c r="G231">
        <f>+IF(dHdcp[[#This Row],[Fecha]]=MAX(dHdcp[Fecha]),1,0)</f>
        <v>0</v>
      </c>
      <c r="H231" t="str">
        <f>+dHdcp[[#This Row],[Maximo]]&amp;":"&amp;dHdcp[[#This Row],[Nombre]]</f>
        <v>0:Alvaro Aguirre</v>
      </c>
      <c r="I231" t="str">
        <f>+dHdcp[[#This Row],[Maximo]]&amp;":"&amp;_xlfn.XLOOKUP(dHdcp[[#This Row],[Nombre]],dJugador[Nombre],dJugador[Mote],"",0)</f>
        <v>0:Gifu</v>
      </c>
      <c r="J231" t="str">
        <f>+IF(dHdcp[[#This Row],[Maximo]]=0,"",_xlfn.RANK.EQ(dHdcp[[#This Row],[Handicap]],dHdcp[Handicap],1))</f>
        <v/>
      </c>
      <c r="K231" t="str">
        <f>IFERROR(+_xlfn.RANK.EQ(dHdcp[[#This Row],[Ranking]],dHdcp[Ranking],1),"")</f>
        <v/>
      </c>
      <c r="M231" t="str">
        <f>+dHdcp[[#This Row],[Fecha]]&amp;":"&amp;dHdcp[[#This Row],[Nombre]]</f>
        <v>43510:Alvaro Aguirre</v>
      </c>
      <c r="N231">
        <f>+COUNTIF(dHdcp[Columna1],dHdcp[[#This Row],[Columna1]])</f>
        <v>1</v>
      </c>
    </row>
    <row r="232" spans="1:14">
      <c r="A232" s="2">
        <v>43510</v>
      </c>
      <c r="B232" t="s">
        <v>25</v>
      </c>
      <c r="C232" s="51">
        <v>15.3</v>
      </c>
      <c r="D232">
        <v>3</v>
      </c>
      <c r="E232" t="s">
        <v>74</v>
      </c>
      <c r="F232" t="s">
        <v>698</v>
      </c>
      <c r="G232">
        <f>+IF(dHdcp[[#This Row],[Fecha]]=MAX(dHdcp[Fecha]),1,0)</f>
        <v>0</v>
      </c>
      <c r="H232" t="str">
        <f>+dHdcp[[#This Row],[Maximo]]&amp;":"&amp;dHdcp[[#This Row],[Nombre]]</f>
        <v>0:Alvaro Nieto</v>
      </c>
      <c r="I232" t="str">
        <f>+dHdcp[[#This Row],[Maximo]]&amp;":"&amp;_xlfn.XLOOKUP(dHdcp[[#This Row],[Nombre]],dJugador[Nombre],dJugador[Mote],"",0)</f>
        <v>0:Alvaro</v>
      </c>
      <c r="J232" t="str">
        <f>+IF(dHdcp[[#This Row],[Maximo]]=0,"",_xlfn.RANK.EQ(dHdcp[[#This Row],[Handicap]],dHdcp[Handicap],1))</f>
        <v/>
      </c>
      <c r="K232" t="str">
        <f>IFERROR(+_xlfn.RANK.EQ(dHdcp[[#This Row],[Ranking]],dHdcp[Ranking],1),"")</f>
        <v/>
      </c>
      <c r="M232" t="str">
        <f>+dHdcp[[#This Row],[Fecha]]&amp;":"&amp;dHdcp[[#This Row],[Nombre]]</f>
        <v>43510:Alvaro Nieto</v>
      </c>
      <c r="N232">
        <f>+COUNTIF(dHdcp[Columna1],dHdcp[[#This Row],[Columna1]])</f>
        <v>1</v>
      </c>
    </row>
    <row r="233" spans="1:14">
      <c r="A233" s="2">
        <v>43510</v>
      </c>
      <c r="B233" t="s">
        <v>33</v>
      </c>
      <c r="C233" s="51">
        <v>6.8</v>
      </c>
      <c r="D233">
        <v>2</v>
      </c>
      <c r="E233" t="s">
        <v>74</v>
      </c>
      <c r="F233" t="s">
        <v>699</v>
      </c>
      <c r="G233">
        <f>+IF(dHdcp[[#This Row],[Fecha]]=MAX(dHdcp[Fecha]),1,0)</f>
        <v>0</v>
      </c>
      <c r="H233" t="str">
        <f>+dHdcp[[#This Row],[Maximo]]&amp;":"&amp;dHdcp[[#This Row],[Nombre]]</f>
        <v>0:Angel Hernandez</v>
      </c>
      <c r="I233" t="str">
        <f>+dHdcp[[#This Row],[Maximo]]&amp;":"&amp;_xlfn.XLOOKUP(dHdcp[[#This Row],[Nombre]],dJugador[Nombre],dJugador[Mote],"",0)</f>
        <v>0:Angel</v>
      </c>
      <c r="J233" t="str">
        <f>+IF(dHdcp[[#This Row],[Maximo]]=0,"",_xlfn.RANK.EQ(dHdcp[[#This Row],[Handicap]],dHdcp[Handicap],1))</f>
        <v/>
      </c>
      <c r="K233" t="str">
        <f>IFERROR(+_xlfn.RANK.EQ(dHdcp[[#This Row],[Ranking]],dHdcp[Ranking],1),"")</f>
        <v/>
      </c>
      <c r="M233" t="str">
        <f>+dHdcp[[#This Row],[Fecha]]&amp;":"&amp;dHdcp[[#This Row],[Nombre]]</f>
        <v>43510:Angel Hernandez</v>
      </c>
      <c r="N233">
        <f>+COUNTIF(dHdcp[Columna1],dHdcp[[#This Row],[Columna1]])</f>
        <v>1</v>
      </c>
    </row>
    <row r="234" spans="1:14">
      <c r="A234" s="2">
        <v>43510</v>
      </c>
      <c r="B234" t="s">
        <v>30</v>
      </c>
      <c r="C234" s="51">
        <v>11.9</v>
      </c>
      <c r="D234">
        <v>3</v>
      </c>
      <c r="E234" t="s">
        <v>74</v>
      </c>
      <c r="F234" t="s">
        <v>700</v>
      </c>
      <c r="G234">
        <f>+IF(dHdcp[[#This Row],[Fecha]]=MAX(dHdcp[Fecha]),1,0)</f>
        <v>0</v>
      </c>
      <c r="H234" t="str">
        <f>+dHdcp[[#This Row],[Maximo]]&amp;":"&amp;dHdcp[[#This Row],[Nombre]]</f>
        <v>0:David Sequera</v>
      </c>
      <c r="I234" t="str">
        <f>+dHdcp[[#This Row],[Maximo]]&amp;":"&amp;_xlfn.XLOOKUP(dHdcp[[#This Row],[Nombre]],dJugador[Nombre],dJugador[Mote],"",0)</f>
        <v>0:David</v>
      </c>
      <c r="J234" t="str">
        <f>+IF(dHdcp[[#This Row],[Maximo]]=0,"",_xlfn.RANK.EQ(dHdcp[[#This Row],[Handicap]],dHdcp[Handicap],1))</f>
        <v/>
      </c>
      <c r="K234" t="str">
        <f>IFERROR(+_xlfn.RANK.EQ(dHdcp[[#This Row],[Ranking]],dHdcp[Ranking],1),"")</f>
        <v/>
      </c>
      <c r="M234" t="str">
        <f>+dHdcp[[#This Row],[Fecha]]&amp;":"&amp;dHdcp[[#This Row],[Nombre]]</f>
        <v>43510:David Sequera</v>
      </c>
      <c r="N234">
        <f>+COUNTIF(dHdcp[Columna1],dHdcp[[#This Row],[Columna1]])</f>
        <v>1</v>
      </c>
    </row>
    <row r="235" spans="1:14">
      <c r="A235" s="2">
        <v>43510</v>
      </c>
      <c r="B235" t="s">
        <v>12</v>
      </c>
      <c r="C235" s="51">
        <v>17.600000000000001</v>
      </c>
      <c r="D235">
        <v>3</v>
      </c>
      <c r="E235" t="s">
        <v>74</v>
      </c>
      <c r="F235" t="s">
        <v>701</v>
      </c>
      <c r="G235">
        <f>+IF(dHdcp[[#This Row],[Fecha]]=MAX(dHdcp[Fecha]),1,0)</f>
        <v>0</v>
      </c>
      <c r="H235" t="str">
        <f>+dHdcp[[#This Row],[Maximo]]&amp;":"&amp;dHdcp[[#This Row],[Nombre]]</f>
        <v>0:Francisco Alvarez</v>
      </c>
      <c r="I235" t="str">
        <f>+dHdcp[[#This Row],[Maximo]]&amp;":"&amp;_xlfn.XLOOKUP(dHdcp[[#This Row],[Nombre]],dJugador[Nombre],dJugador[Mote],"",0)</f>
        <v>0:Paco</v>
      </c>
      <c r="J235" t="str">
        <f>+IF(dHdcp[[#This Row],[Maximo]]=0,"",_xlfn.RANK.EQ(dHdcp[[#This Row],[Handicap]],dHdcp[Handicap],1))</f>
        <v/>
      </c>
      <c r="K235" t="str">
        <f>IFERROR(+_xlfn.RANK.EQ(dHdcp[[#This Row],[Ranking]],dHdcp[Ranking],1),"")</f>
        <v/>
      </c>
      <c r="M235" t="str">
        <f>+dHdcp[[#This Row],[Fecha]]&amp;":"&amp;dHdcp[[#This Row],[Nombre]]</f>
        <v>43510:Francisco Alvarez</v>
      </c>
      <c r="N235">
        <f>+COUNTIF(dHdcp[Columna1],dHdcp[[#This Row],[Columna1]])</f>
        <v>1</v>
      </c>
    </row>
    <row r="236" spans="1:14">
      <c r="A236" s="2">
        <v>43510</v>
      </c>
      <c r="B236" t="s">
        <v>49</v>
      </c>
      <c r="C236" s="51">
        <v>12.9</v>
      </c>
      <c r="D236">
        <v>3</v>
      </c>
      <c r="E236" t="s">
        <v>74</v>
      </c>
      <c r="F236" t="s">
        <v>702</v>
      </c>
      <c r="G236">
        <f>+IF(dHdcp[[#This Row],[Fecha]]=MAX(dHdcp[Fecha]),1,0)</f>
        <v>0</v>
      </c>
      <c r="H236" t="str">
        <f>+dHdcp[[#This Row],[Maximo]]&amp;":"&amp;dHdcp[[#This Row],[Nombre]]</f>
        <v>0:Francisco Hidalgo</v>
      </c>
      <c r="I236" t="str">
        <f>+dHdcp[[#This Row],[Maximo]]&amp;":"&amp;_xlfn.XLOOKUP(dHdcp[[#This Row],[Nombre]],dJugador[Nombre],dJugador[Mote],"",0)</f>
        <v>0:Fran</v>
      </c>
      <c r="J236" t="str">
        <f>+IF(dHdcp[[#This Row],[Maximo]]=0,"",_xlfn.RANK.EQ(dHdcp[[#This Row],[Handicap]],dHdcp[Handicap],1))</f>
        <v/>
      </c>
      <c r="K236" t="str">
        <f>IFERROR(+_xlfn.RANK.EQ(dHdcp[[#This Row],[Ranking]],dHdcp[Ranking],1),"")</f>
        <v/>
      </c>
      <c r="M236" t="str">
        <f>+dHdcp[[#This Row],[Fecha]]&amp;":"&amp;dHdcp[[#This Row],[Nombre]]</f>
        <v>43510:Francisco Hidalgo</v>
      </c>
      <c r="N236">
        <f>+COUNTIF(dHdcp[Columna1],dHdcp[[#This Row],[Columna1]])</f>
        <v>1</v>
      </c>
    </row>
    <row r="237" spans="1:14">
      <c r="A237" s="2">
        <v>43510</v>
      </c>
      <c r="B237" t="s">
        <v>35</v>
      </c>
      <c r="C237" s="51">
        <v>17.2</v>
      </c>
      <c r="D237">
        <v>3</v>
      </c>
      <c r="E237" t="s">
        <v>74</v>
      </c>
      <c r="F237" t="s">
        <v>703</v>
      </c>
      <c r="G237">
        <f>+IF(dHdcp[[#This Row],[Fecha]]=MAX(dHdcp[Fecha]),1,0)</f>
        <v>0</v>
      </c>
      <c r="H237" t="str">
        <f>+dHdcp[[#This Row],[Maximo]]&amp;":"&amp;dHdcp[[#This Row],[Nombre]]</f>
        <v>0:GLEZ JUAN JOSÉ</v>
      </c>
      <c r="I237" t="str">
        <f>+dHdcp[[#This Row],[Maximo]]&amp;":"&amp;_xlfn.XLOOKUP(dHdcp[[#This Row],[Nombre]],dJugador[Nombre],dJugador[Mote],"",0)</f>
        <v>0:Juanjo</v>
      </c>
      <c r="J237" t="str">
        <f>+IF(dHdcp[[#This Row],[Maximo]]=0,"",_xlfn.RANK.EQ(dHdcp[[#This Row],[Handicap]],dHdcp[Handicap],1))</f>
        <v/>
      </c>
      <c r="K237" t="str">
        <f>IFERROR(+_xlfn.RANK.EQ(dHdcp[[#This Row],[Ranking]],dHdcp[Ranking],1),"")</f>
        <v/>
      </c>
      <c r="M237" t="str">
        <f>+dHdcp[[#This Row],[Fecha]]&amp;":"&amp;dHdcp[[#This Row],[Nombre]]</f>
        <v>43510:GLEZ JUAN JOSÉ</v>
      </c>
      <c r="N237">
        <f>+COUNTIF(dHdcp[Columna1],dHdcp[[#This Row],[Columna1]])</f>
        <v>1</v>
      </c>
    </row>
    <row r="238" spans="1:14">
      <c r="A238" s="2">
        <v>43510</v>
      </c>
      <c r="B238" t="s">
        <v>6</v>
      </c>
      <c r="C238" s="51">
        <v>6.6</v>
      </c>
      <c r="D238">
        <v>2</v>
      </c>
      <c r="E238" t="s">
        <v>74</v>
      </c>
      <c r="F238" s="94" t="s">
        <v>704</v>
      </c>
      <c r="G238">
        <f>+IF(dHdcp[[#This Row],[Fecha]]=MAX(dHdcp[Fecha]),1,0)</f>
        <v>0</v>
      </c>
      <c r="H238" t="str">
        <f>+dHdcp[[#This Row],[Maximo]]&amp;":"&amp;dHdcp[[#This Row],[Nombre]]</f>
        <v>0:Ignacio Cadarso</v>
      </c>
      <c r="I238" t="str">
        <f>+dHdcp[[#This Row],[Maximo]]&amp;":"&amp;_xlfn.XLOOKUP(dHdcp[[#This Row],[Nombre]],dJugador[Nombre],dJugador[Mote],"",0)</f>
        <v>0:Ignacio</v>
      </c>
      <c r="J238" t="str">
        <f>+IF(dHdcp[[#This Row],[Maximo]]=0,"",_xlfn.RANK.EQ(dHdcp[[#This Row],[Handicap]],dHdcp[Handicap],1))</f>
        <v/>
      </c>
      <c r="K238" t="str">
        <f>IFERROR(+_xlfn.RANK.EQ(dHdcp[[#This Row],[Ranking]],dHdcp[Ranking],1),"")</f>
        <v/>
      </c>
      <c r="M238" t="str">
        <f>+dHdcp[[#This Row],[Fecha]]&amp;":"&amp;dHdcp[[#This Row],[Nombre]]</f>
        <v>43510:Ignacio Cadarso</v>
      </c>
      <c r="N238">
        <f>+COUNTIF(dHdcp[Columna1],dHdcp[[#This Row],[Columna1]])</f>
        <v>1</v>
      </c>
    </row>
    <row r="239" spans="1:14">
      <c r="A239" s="2">
        <v>43510</v>
      </c>
      <c r="B239" t="s">
        <v>39</v>
      </c>
      <c r="C239" s="51">
        <v>14.5</v>
      </c>
      <c r="D239">
        <v>3</v>
      </c>
      <c r="E239" t="s">
        <v>74</v>
      </c>
      <c r="F239" t="s">
        <v>705</v>
      </c>
      <c r="G239">
        <f>+IF(dHdcp[[#This Row],[Fecha]]=MAX(dHdcp[Fecha]),1,0)</f>
        <v>0</v>
      </c>
      <c r="H239" t="str">
        <f>+dHdcp[[#This Row],[Maximo]]&amp;":"&amp;dHdcp[[#This Row],[Nombre]]</f>
        <v>0:Iñigo Rosas</v>
      </c>
      <c r="I239" t="str">
        <f>+dHdcp[[#This Row],[Maximo]]&amp;":"&amp;_xlfn.XLOOKUP(dHdcp[[#This Row],[Nombre]],dJugador[Nombre],dJugador[Mote],"",0)</f>
        <v>0:</v>
      </c>
      <c r="J239" t="str">
        <f>+IF(dHdcp[[#This Row],[Maximo]]=0,"",_xlfn.RANK.EQ(dHdcp[[#This Row],[Handicap]],dHdcp[Handicap],1))</f>
        <v/>
      </c>
      <c r="K239" t="str">
        <f>IFERROR(+_xlfn.RANK.EQ(dHdcp[[#This Row],[Ranking]],dHdcp[Ranking],1),"")</f>
        <v/>
      </c>
      <c r="M239" t="str">
        <f>+dHdcp[[#This Row],[Fecha]]&amp;":"&amp;dHdcp[[#This Row],[Nombre]]</f>
        <v>43510:Iñigo Rosas</v>
      </c>
      <c r="N239">
        <f>+COUNTIF(dHdcp[Columna1],dHdcp[[#This Row],[Columna1]])</f>
        <v>1</v>
      </c>
    </row>
    <row r="240" spans="1:14">
      <c r="A240" s="2">
        <v>43510</v>
      </c>
      <c r="B240" t="s">
        <v>23</v>
      </c>
      <c r="C240" s="51">
        <v>19.5</v>
      </c>
      <c r="D240">
        <v>4</v>
      </c>
      <c r="E240" t="s">
        <v>74</v>
      </c>
      <c r="F240" t="s">
        <v>706</v>
      </c>
      <c r="G240">
        <f>+IF(dHdcp[[#This Row],[Fecha]]=MAX(dHdcp[Fecha]),1,0)</f>
        <v>0</v>
      </c>
      <c r="H240" t="str">
        <f>+dHdcp[[#This Row],[Maximo]]&amp;":"&amp;dHdcp[[#This Row],[Nombre]]</f>
        <v>0:J. Enrique Gonzalez</v>
      </c>
      <c r="I240" t="str">
        <f>+dHdcp[[#This Row],[Maximo]]&amp;":"&amp;_xlfn.XLOOKUP(dHdcp[[#This Row],[Nombre]],dJugador[Nombre],dJugador[Mote],"",0)</f>
        <v>0:Kike</v>
      </c>
      <c r="J240" t="str">
        <f>+IF(dHdcp[[#This Row],[Maximo]]=0,"",_xlfn.RANK.EQ(dHdcp[[#This Row],[Handicap]],dHdcp[Handicap],1))</f>
        <v/>
      </c>
      <c r="K240" t="str">
        <f>IFERROR(+_xlfn.RANK.EQ(dHdcp[[#This Row],[Ranking]],dHdcp[Ranking],1),"")</f>
        <v/>
      </c>
      <c r="M240" t="str">
        <f>+dHdcp[[#This Row],[Fecha]]&amp;":"&amp;dHdcp[[#This Row],[Nombre]]</f>
        <v>43510:J. Enrique Gonzalez</v>
      </c>
      <c r="N240">
        <f>+COUNTIF(dHdcp[Columna1],dHdcp[[#This Row],[Columna1]])</f>
        <v>1</v>
      </c>
    </row>
    <row r="241" spans="1:14">
      <c r="A241" s="2">
        <v>43510</v>
      </c>
      <c r="B241" t="s">
        <v>46</v>
      </c>
      <c r="C241" s="51">
        <v>13.1</v>
      </c>
      <c r="D241">
        <v>3</v>
      </c>
      <c r="E241" t="s">
        <v>74</v>
      </c>
      <c r="F241" t="s">
        <v>707</v>
      </c>
      <c r="G241">
        <f>+IF(dHdcp[[#This Row],[Fecha]]=MAX(dHdcp[Fecha]),1,0)</f>
        <v>0</v>
      </c>
      <c r="H241" t="str">
        <f>+dHdcp[[#This Row],[Maximo]]&amp;":"&amp;dHdcp[[#This Row],[Nombre]]</f>
        <v>0:Javier Cervera</v>
      </c>
      <c r="I241" t="str">
        <f>+dHdcp[[#This Row],[Maximo]]&amp;":"&amp;_xlfn.XLOOKUP(dHdcp[[#This Row],[Nombre]],dJugador[Nombre],dJugador[Mote],"",0)</f>
        <v>0:Virus</v>
      </c>
      <c r="J241" t="str">
        <f>+IF(dHdcp[[#This Row],[Maximo]]=0,"",_xlfn.RANK.EQ(dHdcp[[#This Row],[Handicap]],dHdcp[Handicap],1))</f>
        <v/>
      </c>
      <c r="K241" t="str">
        <f>IFERROR(+_xlfn.RANK.EQ(dHdcp[[#This Row],[Ranking]],dHdcp[Ranking],1),"")</f>
        <v/>
      </c>
      <c r="M241" t="str">
        <f>+dHdcp[[#This Row],[Fecha]]&amp;":"&amp;dHdcp[[#This Row],[Nombre]]</f>
        <v>43510:Javier Cervera</v>
      </c>
      <c r="N241">
        <f>+COUNTIF(dHdcp[Columna1],dHdcp[[#This Row],[Columna1]])</f>
        <v>1</v>
      </c>
    </row>
    <row r="242" spans="1:14">
      <c r="A242" s="2">
        <v>43510</v>
      </c>
      <c r="B242" t="s">
        <v>20</v>
      </c>
      <c r="C242" s="51">
        <v>13.9</v>
      </c>
      <c r="D242">
        <v>3</v>
      </c>
      <c r="E242" t="s">
        <v>74</v>
      </c>
      <c r="F242" t="s">
        <v>708</v>
      </c>
      <c r="G242">
        <f>+IF(dHdcp[[#This Row],[Fecha]]=MAX(dHdcp[Fecha]),1,0)</f>
        <v>0</v>
      </c>
      <c r="H242" t="str">
        <f>+dHdcp[[#This Row],[Maximo]]&amp;":"&amp;dHdcp[[#This Row],[Nombre]]</f>
        <v>0:Javier Gonzalez Salvador</v>
      </c>
      <c r="I242" t="str">
        <f>+dHdcp[[#This Row],[Maximo]]&amp;":"&amp;_xlfn.XLOOKUP(dHdcp[[#This Row],[Nombre]],dJugador[Nombre],dJugador[Mote],"",0)</f>
        <v>0:Javi</v>
      </c>
      <c r="J242" t="str">
        <f>+IF(dHdcp[[#This Row],[Maximo]]=0,"",_xlfn.RANK.EQ(dHdcp[[#This Row],[Handicap]],dHdcp[Handicap],1))</f>
        <v/>
      </c>
      <c r="K242" t="str">
        <f>IFERROR(+_xlfn.RANK.EQ(dHdcp[[#This Row],[Ranking]],dHdcp[Ranking],1),"")</f>
        <v/>
      </c>
      <c r="M242" t="str">
        <f>+dHdcp[[#This Row],[Fecha]]&amp;":"&amp;dHdcp[[#This Row],[Nombre]]</f>
        <v>43510:Javier Gonzalez Salvador</v>
      </c>
      <c r="N242">
        <f>+COUNTIF(dHdcp[Columna1],dHdcp[[#This Row],[Columna1]])</f>
        <v>1</v>
      </c>
    </row>
    <row r="243" spans="1:14">
      <c r="A243" s="2">
        <v>43510</v>
      </c>
      <c r="B243" t="s">
        <v>41</v>
      </c>
      <c r="C243" s="51">
        <v>21.3</v>
      </c>
      <c r="D243">
        <v>4</v>
      </c>
      <c r="E243" t="s">
        <v>74</v>
      </c>
      <c r="F243" s="94" t="s">
        <v>709</v>
      </c>
      <c r="G243">
        <f>+IF(dHdcp[[#This Row],[Fecha]]=MAX(dHdcp[Fecha]),1,0)</f>
        <v>0</v>
      </c>
      <c r="H243" t="str">
        <f>+dHdcp[[#This Row],[Maximo]]&amp;":"&amp;dHdcp[[#This Row],[Nombre]]</f>
        <v>0:Jesus Touceda</v>
      </c>
      <c r="I243" t="str">
        <f>+dHdcp[[#This Row],[Maximo]]&amp;":"&amp;_xlfn.XLOOKUP(dHdcp[[#This Row],[Nombre]],dJugador[Nombre],dJugador[Mote],"",0)</f>
        <v>0:Jesús</v>
      </c>
      <c r="J243" t="str">
        <f>+IF(dHdcp[[#This Row],[Maximo]]=0,"",_xlfn.RANK.EQ(dHdcp[[#This Row],[Handicap]],dHdcp[Handicap],1))</f>
        <v/>
      </c>
      <c r="K243" t="str">
        <f>IFERROR(+_xlfn.RANK.EQ(dHdcp[[#This Row],[Ranking]],dHdcp[Ranking],1),"")</f>
        <v/>
      </c>
      <c r="M243" t="str">
        <f>+dHdcp[[#This Row],[Fecha]]&amp;":"&amp;dHdcp[[#This Row],[Nombre]]</f>
        <v>43510:Jesus Touceda</v>
      </c>
      <c r="N243">
        <f>+COUNTIF(dHdcp[Columna1],dHdcp[[#This Row],[Columna1]])</f>
        <v>1</v>
      </c>
    </row>
    <row r="244" spans="1:14">
      <c r="A244" s="2">
        <v>43510</v>
      </c>
      <c r="B244" t="s">
        <v>18</v>
      </c>
      <c r="C244" s="51">
        <v>7.6</v>
      </c>
      <c r="D244">
        <v>2</v>
      </c>
      <c r="E244" t="s">
        <v>74</v>
      </c>
      <c r="F244" t="s">
        <v>710</v>
      </c>
      <c r="G244">
        <f>+IF(dHdcp[[#This Row],[Fecha]]=MAX(dHdcp[Fecha]),1,0)</f>
        <v>0</v>
      </c>
      <c r="H244" t="str">
        <f>+dHdcp[[#This Row],[Maximo]]&amp;":"&amp;dHdcp[[#This Row],[Nombre]]</f>
        <v>0:José Pablo Guil</v>
      </c>
      <c r="I244" t="str">
        <f>+dHdcp[[#This Row],[Maximo]]&amp;":"&amp;_xlfn.XLOOKUP(dHdcp[[#This Row],[Nombre]],dJugador[Nombre],dJugador[Mote],"",0)</f>
        <v>0:JP</v>
      </c>
      <c r="J244" t="str">
        <f>+IF(dHdcp[[#This Row],[Maximo]]=0,"",_xlfn.RANK.EQ(dHdcp[[#This Row],[Handicap]],dHdcp[Handicap],1))</f>
        <v/>
      </c>
      <c r="K244" t="str">
        <f>IFERROR(+_xlfn.RANK.EQ(dHdcp[[#This Row],[Ranking]],dHdcp[Ranking],1),"")</f>
        <v/>
      </c>
      <c r="M244" t="str">
        <f>+dHdcp[[#This Row],[Fecha]]&amp;":"&amp;dHdcp[[#This Row],[Nombre]]</f>
        <v>43510:José Pablo Guil</v>
      </c>
      <c r="N244">
        <f>+COUNTIF(dHdcp[Columna1],dHdcp[[#This Row],[Columna1]])</f>
        <v>1</v>
      </c>
    </row>
    <row r="245" spans="1:14">
      <c r="A245" s="2">
        <v>43510</v>
      </c>
      <c r="B245" t="s">
        <v>43</v>
      </c>
      <c r="C245" s="51">
        <v>16.8</v>
      </c>
      <c r="D245">
        <v>3</v>
      </c>
      <c r="E245" t="s">
        <v>74</v>
      </c>
      <c r="F245" t="s">
        <v>711</v>
      </c>
      <c r="G245">
        <f>+IF(dHdcp[[#This Row],[Fecha]]=MAX(dHdcp[Fecha]),1,0)</f>
        <v>0</v>
      </c>
      <c r="H245" t="str">
        <f>+dHdcp[[#This Row],[Maximo]]&amp;":"&amp;dHdcp[[#This Row],[Nombre]]</f>
        <v>0:Luis Escudero</v>
      </c>
      <c r="I245" t="str">
        <f>+dHdcp[[#This Row],[Maximo]]&amp;":"&amp;_xlfn.XLOOKUP(dHdcp[[#This Row],[Nombre]],dJugador[Nombre],dJugador[Mote],"",0)</f>
        <v>0:Lucho</v>
      </c>
      <c r="J245" t="str">
        <f>+IF(dHdcp[[#This Row],[Maximo]]=0,"",_xlfn.RANK.EQ(dHdcp[[#This Row],[Handicap]],dHdcp[Handicap],1))</f>
        <v/>
      </c>
      <c r="K245" t="str">
        <f>IFERROR(+_xlfn.RANK.EQ(dHdcp[[#This Row],[Ranking]],dHdcp[Ranking],1),"")</f>
        <v/>
      </c>
      <c r="M245" t="str">
        <f>+dHdcp[[#This Row],[Fecha]]&amp;":"&amp;dHdcp[[#This Row],[Nombre]]</f>
        <v>43510:Luis Escudero</v>
      </c>
      <c r="N245">
        <f>+COUNTIF(dHdcp[Columna1],dHdcp[[#This Row],[Columna1]])</f>
        <v>1</v>
      </c>
    </row>
    <row r="246" spans="1:14">
      <c r="A246" s="2">
        <v>43510</v>
      </c>
      <c r="B246" t="s">
        <v>3</v>
      </c>
      <c r="C246" s="51">
        <v>6.1</v>
      </c>
      <c r="D246">
        <v>2</v>
      </c>
      <c r="E246" t="s">
        <v>74</v>
      </c>
      <c r="F246" t="s">
        <v>712</v>
      </c>
      <c r="G246">
        <f>+IF(dHdcp[[#This Row],[Fecha]]=MAX(dHdcp[Fecha]),1,0)</f>
        <v>0</v>
      </c>
      <c r="H246" t="str">
        <f>+dHdcp[[#This Row],[Maximo]]&amp;":"&amp;dHdcp[[#This Row],[Nombre]]</f>
        <v>0:Nacho Gonzalez</v>
      </c>
      <c r="I246" t="str">
        <f>+dHdcp[[#This Row],[Maximo]]&amp;":"&amp;_xlfn.XLOOKUP(dHdcp[[#This Row],[Nombre]],dJugador[Nombre],dJugador[Mote],"",0)</f>
        <v>0:Nacho</v>
      </c>
      <c r="J246" t="str">
        <f>+IF(dHdcp[[#This Row],[Maximo]]=0,"",_xlfn.RANK.EQ(dHdcp[[#This Row],[Handicap]],dHdcp[Handicap],1))</f>
        <v/>
      </c>
      <c r="K246" t="str">
        <f>IFERROR(+_xlfn.RANK.EQ(dHdcp[[#This Row],[Ranking]],dHdcp[Ranking],1),"")</f>
        <v/>
      </c>
      <c r="M246" t="str">
        <f>+dHdcp[[#This Row],[Fecha]]&amp;":"&amp;dHdcp[[#This Row],[Nombre]]</f>
        <v>43510:Nacho Gonzalez</v>
      </c>
      <c r="N246">
        <f>+COUNTIF(dHdcp[Columna1],dHdcp[[#This Row],[Columna1]])</f>
        <v>1</v>
      </c>
    </row>
    <row r="247" spans="1:14">
      <c r="A247" s="2">
        <v>43510</v>
      </c>
      <c r="B247" t="s">
        <v>28</v>
      </c>
      <c r="C247" s="51">
        <v>13.4</v>
      </c>
      <c r="D247">
        <v>3</v>
      </c>
      <c r="E247" t="s">
        <v>74</v>
      </c>
      <c r="F247" t="s">
        <v>713</v>
      </c>
      <c r="G247">
        <f>+IF(dHdcp[[#This Row],[Fecha]]=MAX(dHdcp[Fecha]),1,0)</f>
        <v>0</v>
      </c>
      <c r="H247" t="str">
        <f>+dHdcp[[#This Row],[Maximo]]&amp;":"&amp;dHdcp[[#This Row],[Nombre]]</f>
        <v>0:Pablo Munitiz</v>
      </c>
      <c r="I247" t="str">
        <f>+dHdcp[[#This Row],[Maximo]]&amp;":"&amp;_xlfn.XLOOKUP(dHdcp[[#This Row],[Nombre]],dJugador[Nombre],dJugador[Mote],"",0)</f>
        <v>0:Muni</v>
      </c>
      <c r="J247" t="str">
        <f>+IF(dHdcp[[#This Row],[Maximo]]=0,"",_xlfn.RANK.EQ(dHdcp[[#This Row],[Handicap]],dHdcp[Handicap],1))</f>
        <v/>
      </c>
      <c r="K247" t="str">
        <f>IFERROR(+_xlfn.RANK.EQ(dHdcp[[#This Row],[Ranking]],dHdcp[Ranking],1),"")</f>
        <v/>
      </c>
      <c r="M247" t="str">
        <f>+dHdcp[[#This Row],[Fecha]]&amp;":"&amp;dHdcp[[#This Row],[Nombre]]</f>
        <v>43510:Pablo Munitiz</v>
      </c>
      <c r="N247">
        <f>+COUNTIF(dHdcp[Columna1],dHdcp[[#This Row],[Columna1]])</f>
        <v>1</v>
      </c>
    </row>
    <row r="248" spans="1:14">
      <c r="A248" s="2">
        <v>43510</v>
      </c>
      <c r="B248" t="s">
        <v>37</v>
      </c>
      <c r="C248" s="51">
        <v>10.1</v>
      </c>
      <c r="D248">
        <v>2</v>
      </c>
      <c r="E248" t="s">
        <v>74</v>
      </c>
      <c r="F248" t="s">
        <v>714</v>
      </c>
      <c r="G248">
        <f>+IF(dHdcp[[#This Row],[Fecha]]=MAX(dHdcp[Fecha]),1,0)</f>
        <v>0</v>
      </c>
      <c r="H248" t="str">
        <f>+dHdcp[[#This Row],[Maximo]]&amp;":"&amp;dHdcp[[#This Row],[Nombre]]</f>
        <v>0:Ricardo Muelas</v>
      </c>
      <c r="I248" t="str">
        <f>+dHdcp[[#This Row],[Maximo]]&amp;":"&amp;_xlfn.XLOOKUP(dHdcp[[#This Row],[Nombre]],dJugador[Nombre],dJugador[Mote],"",0)</f>
        <v>0:</v>
      </c>
      <c r="J248" t="str">
        <f>+IF(dHdcp[[#This Row],[Maximo]]=0,"",_xlfn.RANK.EQ(dHdcp[[#This Row],[Handicap]],dHdcp[Handicap],1))</f>
        <v/>
      </c>
      <c r="K248" t="str">
        <f>IFERROR(+_xlfn.RANK.EQ(dHdcp[[#This Row],[Ranking]],dHdcp[Ranking],1),"")</f>
        <v/>
      </c>
      <c r="M248" t="str">
        <f>+dHdcp[[#This Row],[Fecha]]&amp;":"&amp;dHdcp[[#This Row],[Nombre]]</f>
        <v>43510:Ricardo Muelas</v>
      </c>
      <c r="N248">
        <f>+COUNTIF(dHdcp[Columna1],dHdcp[[#This Row],[Columna1]])</f>
        <v>1</v>
      </c>
    </row>
    <row r="249" spans="1:14">
      <c r="A249" s="2">
        <v>43513</v>
      </c>
      <c r="B249" t="s">
        <v>9</v>
      </c>
      <c r="C249" s="51">
        <v>7.6999999999999975</v>
      </c>
      <c r="D249">
        <v>2</v>
      </c>
      <c r="E249" t="s">
        <v>75</v>
      </c>
      <c r="F249" t="s">
        <v>715</v>
      </c>
      <c r="G249">
        <f>+IF(dHdcp[[#This Row],[Fecha]]=MAX(dHdcp[Fecha]),1,0)</f>
        <v>0</v>
      </c>
      <c r="H249" t="str">
        <f>+dHdcp[[#This Row],[Maximo]]&amp;":"&amp;dHdcp[[#This Row],[Nombre]]</f>
        <v>0:Alfonso Hidalgo</v>
      </c>
      <c r="I249" t="str">
        <f>+dHdcp[[#This Row],[Maximo]]&amp;":"&amp;_xlfn.XLOOKUP(dHdcp[[#This Row],[Nombre]],dJugador[Nombre],dJugador[Mote],"",0)</f>
        <v>0:Alfonso</v>
      </c>
      <c r="J249" t="str">
        <f>+IF(dHdcp[[#This Row],[Maximo]]=0,"",_xlfn.RANK.EQ(dHdcp[[#This Row],[Handicap]],dHdcp[Handicap],1))</f>
        <v/>
      </c>
      <c r="K249" t="str">
        <f>IFERROR(+_xlfn.RANK.EQ(dHdcp[[#This Row],[Ranking]],dHdcp[Ranking],1),"")</f>
        <v/>
      </c>
      <c r="M249" t="str">
        <f>+dHdcp[[#This Row],[Fecha]]&amp;":"&amp;dHdcp[[#This Row],[Nombre]]</f>
        <v>43513:Alfonso Hidalgo</v>
      </c>
      <c r="N249">
        <f>+COUNTIF(dHdcp[Columna1],dHdcp[[#This Row],[Columna1]])</f>
        <v>1</v>
      </c>
    </row>
    <row r="250" spans="1:14">
      <c r="A250" s="2">
        <v>43513</v>
      </c>
      <c r="B250" t="s">
        <v>15</v>
      </c>
      <c r="C250" s="51">
        <v>5</v>
      </c>
      <c r="D250">
        <v>2</v>
      </c>
      <c r="E250" t="s">
        <v>75</v>
      </c>
      <c r="F250" t="s">
        <v>716</v>
      </c>
      <c r="G250">
        <f>+IF(dHdcp[[#This Row],[Fecha]]=MAX(dHdcp[Fecha]),1,0)</f>
        <v>0</v>
      </c>
      <c r="H250" t="str">
        <f>+dHdcp[[#This Row],[Maximo]]&amp;":"&amp;dHdcp[[#This Row],[Nombre]]</f>
        <v>0:Alvaro Aguirre</v>
      </c>
      <c r="I250" t="str">
        <f>+dHdcp[[#This Row],[Maximo]]&amp;":"&amp;_xlfn.XLOOKUP(dHdcp[[#This Row],[Nombre]],dJugador[Nombre],dJugador[Mote],"",0)</f>
        <v>0:Gifu</v>
      </c>
      <c r="J250" t="str">
        <f>+IF(dHdcp[[#This Row],[Maximo]]=0,"",_xlfn.RANK.EQ(dHdcp[[#This Row],[Handicap]],dHdcp[Handicap],1))</f>
        <v/>
      </c>
      <c r="K250" t="str">
        <f>IFERROR(+_xlfn.RANK.EQ(dHdcp[[#This Row],[Ranking]],dHdcp[Ranking],1),"")</f>
        <v/>
      </c>
      <c r="M250" t="str">
        <f>+dHdcp[[#This Row],[Fecha]]&amp;":"&amp;dHdcp[[#This Row],[Nombre]]</f>
        <v>43513:Alvaro Aguirre</v>
      </c>
      <c r="N250">
        <f>+COUNTIF(dHdcp[Columna1],dHdcp[[#This Row],[Columna1]])</f>
        <v>1</v>
      </c>
    </row>
    <row r="251" spans="1:14">
      <c r="A251" s="2">
        <v>43513</v>
      </c>
      <c r="B251" t="s">
        <v>25</v>
      </c>
      <c r="C251" s="51">
        <v>15.3</v>
      </c>
      <c r="D251">
        <v>3</v>
      </c>
      <c r="E251" t="s">
        <v>75</v>
      </c>
      <c r="F251" t="s">
        <v>717</v>
      </c>
      <c r="G251">
        <f>+IF(dHdcp[[#This Row],[Fecha]]=MAX(dHdcp[Fecha]),1,0)</f>
        <v>0</v>
      </c>
      <c r="H251" t="str">
        <f>+dHdcp[[#This Row],[Maximo]]&amp;":"&amp;dHdcp[[#This Row],[Nombre]]</f>
        <v>0:Alvaro Nieto</v>
      </c>
      <c r="I251" t="str">
        <f>+dHdcp[[#This Row],[Maximo]]&amp;":"&amp;_xlfn.XLOOKUP(dHdcp[[#This Row],[Nombre]],dJugador[Nombre],dJugador[Mote],"",0)</f>
        <v>0:Alvaro</v>
      </c>
      <c r="J251" t="str">
        <f>+IF(dHdcp[[#This Row],[Maximo]]=0,"",_xlfn.RANK.EQ(dHdcp[[#This Row],[Handicap]],dHdcp[Handicap],1))</f>
        <v/>
      </c>
      <c r="K251" t="str">
        <f>IFERROR(+_xlfn.RANK.EQ(dHdcp[[#This Row],[Ranking]],dHdcp[Ranking],1),"")</f>
        <v/>
      </c>
      <c r="M251" t="str">
        <f>+dHdcp[[#This Row],[Fecha]]&amp;":"&amp;dHdcp[[#This Row],[Nombre]]</f>
        <v>43513:Alvaro Nieto</v>
      </c>
      <c r="N251">
        <f>+COUNTIF(dHdcp[Columna1],dHdcp[[#This Row],[Columna1]])</f>
        <v>1</v>
      </c>
    </row>
    <row r="252" spans="1:14">
      <c r="A252" s="2">
        <v>43513</v>
      </c>
      <c r="B252" t="s">
        <v>33</v>
      </c>
      <c r="C252" s="51">
        <v>6.4999999999999982</v>
      </c>
      <c r="D252">
        <v>2</v>
      </c>
      <c r="E252" t="s">
        <v>75</v>
      </c>
      <c r="F252" t="s">
        <v>718</v>
      </c>
      <c r="G252">
        <f>+IF(dHdcp[[#This Row],[Fecha]]=MAX(dHdcp[Fecha]),1,0)</f>
        <v>0</v>
      </c>
      <c r="H252" t="str">
        <f>+dHdcp[[#This Row],[Maximo]]&amp;":"&amp;dHdcp[[#This Row],[Nombre]]</f>
        <v>0:Angel Hernandez</v>
      </c>
      <c r="I252" t="str">
        <f>+dHdcp[[#This Row],[Maximo]]&amp;":"&amp;_xlfn.XLOOKUP(dHdcp[[#This Row],[Nombre]],dJugador[Nombre],dJugador[Mote],"",0)</f>
        <v>0:Angel</v>
      </c>
      <c r="J252" t="str">
        <f>+IF(dHdcp[[#This Row],[Maximo]]=0,"",_xlfn.RANK.EQ(dHdcp[[#This Row],[Handicap]],dHdcp[Handicap],1))</f>
        <v/>
      </c>
      <c r="K252" t="str">
        <f>IFERROR(+_xlfn.RANK.EQ(dHdcp[[#This Row],[Ranking]],dHdcp[Ranking],1),"")</f>
        <v/>
      </c>
      <c r="M252" t="str">
        <f>+dHdcp[[#This Row],[Fecha]]&amp;":"&amp;dHdcp[[#This Row],[Nombre]]</f>
        <v>43513:Angel Hernandez</v>
      </c>
      <c r="N252">
        <f>+COUNTIF(dHdcp[Columna1],dHdcp[[#This Row],[Columna1]])</f>
        <v>1</v>
      </c>
    </row>
    <row r="253" spans="1:14">
      <c r="A253" s="2">
        <v>43513</v>
      </c>
      <c r="B253" t="s">
        <v>30</v>
      </c>
      <c r="C253" s="51">
        <v>11.9</v>
      </c>
      <c r="D253">
        <v>3</v>
      </c>
      <c r="E253" t="s">
        <v>75</v>
      </c>
      <c r="F253" t="s">
        <v>719</v>
      </c>
      <c r="G253">
        <f>+IF(dHdcp[[#This Row],[Fecha]]=MAX(dHdcp[Fecha]),1,0)</f>
        <v>0</v>
      </c>
      <c r="H253" t="str">
        <f>+dHdcp[[#This Row],[Maximo]]&amp;":"&amp;dHdcp[[#This Row],[Nombre]]</f>
        <v>0:David Sequera</v>
      </c>
      <c r="I253" t="str">
        <f>+dHdcp[[#This Row],[Maximo]]&amp;":"&amp;_xlfn.XLOOKUP(dHdcp[[#This Row],[Nombre]],dJugador[Nombre],dJugador[Mote],"",0)</f>
        <v>0:David</v>
      </c>
      <c r="J253" t="str">
        <f>+IF(dHdcp[[#This Row],[Maximo]]=0,"",_xlfn.RANK.EQ(dHdcp[[#This Row],[Handicap]],dHdcp[Handicap],1))</f>
        <v/>
      </c>
      <c r="K253" t="str">
        <f>IFERROR(+_xlfn.RANK.EQ(dHdcp[[#This Row],[Ranking]],dHdcp[Ranking],1),"")</f>
        <v/>
      </c>
      <c r="M253" t="str">
        <f>+dHdcp[[#This Row],[Fecha]]&amp;":"&amp;dHdcp[[#This Row],[Nombre]]</f>
        <v>43513:David Sequera</v>
      </c>
      <c r="N253">
        <f>+COUNTIF(dHdcp[Columna1],dHdcp[[#This Row],[Columna1]])</f>
        <v>1</v>
      </c>
    </row>
    <row r="254" spans="1:14">
      <c r="A254" s="2">
        <v>43513</v>
      </c>
      <c r="B254" t="s">
        <v>12</v>
      </c>
      <c r="C254" s="51">
        <v>16.400000000000002</v>
      </c>
      <c r="D254">
        <v>3</v>
      </c>
      <c r="E254" t="s">
        <v>75</v>
      </c>
      <c r="F254" t="s">
        <v>720</v>
      </c>
      <c r="G254">
        <f>+IF(dHdcp[[#This Row],[Fecha]]=MAX(dHdcp[Fecha]),1,0)</f>
        <v>0</v>
      </c>
      <c r="H254" t="str">
        <f>+dHdcp[[#This Row],[Maximo]]&amp;":"&amp;dHdcp[[#This Row],[Nombre]]</f>
        <v>0:Francisco Alvarez</v>
      </c>
      <c r="I254" t="str">
        <f>+dHdcp[[#This Row],[Maximo]]&amp;":"&amp;_xlfn.XLOOKUP(dHdcp[[#This Row],[Nombre]],dJugador[Nombre],dJugador[Mote],"",0)</f>
        <v>0:Paco</v>
      </c>
      <c r="J254" t="str">
        <f>+IF(dHdcp[[#This Row],[Maximo]]=0,"",_xlfn.RANK.EQ(dHdcp[[#This Row],[Handicap]],dHdcp[Handicap],1))</f>
        <v/>
      </c>
      <c r="K254" t="str">
        <f>IFERROR(+_xlfn.RANK.EQ(dHdcp[[#This Row],[Ranking]],dHdcp[Ranking],1),"")</f>
        <v/>
      </c>
      <c r="M254" t="str">
        <f>+dHdcp[[#This Row],[Fecha]]&amp;":"&amp;dHdcp[[#This Row],[Nombre]]</f>
        <v>43513:Francisco Alvarez</v>
      </c>
      <c r="N254">
        <f>+COUNTIF(dHdcp[Columna1],dHdcp[[#This Row],[Columna1]])</f>
        <v>1</v>
      </c>
    </row>
    <row r="255" spans="1:14">
      <c r="A255" s="2">
        <v>43513</v>
      </c>
      <c r="B255" t="s">
        <v>49</v>
      </c>
      <c r="C255" s="51">
        <v>12.9</v>
      </c>
      <c r="D255">
        <v>3</v>
      </c>
      <c r="E255" t="s">
        <v>75</v>
      </c>
      <c r="F255" t="s">
        <v>721</v>
      </c>
      <c r="G255">
        <f>+IF(dHdcp[[#This Row],[Fecha]]=MAX(dHdcp[Fecha]),1,0)</f>
        <v>0</v>
      </c>
      <c r="H255" t="str">
        <f>+dHdcp[[#This Row],[Maximo]]&amp;":"&amp;dHdcp[[#This Row],[Nombre]]</f>
        <v>0:Francisco Hidalgo</v>
      </c>
      <c r="I255" t="str">
        <f>+dHdcp[[#This Row],[Maximo]]&amp;":"&amp;_xlfn.XLOOKUP(dHdcp[[#This Row],[Nombre]],dJugador[Nombre],dJugador[Mote],"",0)</f>
        <v>0:Fran</v>
      </c>
      <c r="J255" t="str">
        <f>+IF(dHdcp[[#This Row],[Maximo]]=0,"",_xlfn.RANK.EQ(dHdcp[[#This Row],[Handicap]],dHdcp[Handicap],1))</f>
        <v/>
      </c>
      <c r="K255" t="str">
        <f>IFERROR(+_xlfn.RANK.EQ(dHdcp[[#This Row],[Ranking]],dHdcp[Ranking],1),"")</f>
        <v/>
      </c>
      <c r="M255" t="str">
        <f>+dHdcp[[#This Row],[Fecha]]&amp;":"&amp;dHdcp[[#This Row],[Nombre]]</f>
        <v>43513:Francisco Hidalgo</v>
      </c>
      <c r="N255">
        <f>+COUNTIF(dHdcp[Columna1],dHdcp[[#This Row],[Columna1]])</f>
        <v>1</v>
      </c>
    </row>
    <row r="256" spans="1:14">
      <c r="A256" s="2">
        <v>43513</v>
      </c>
      <c r="B256" t="s">
        <v>35</v>
      </c>
      <c r="C256" s="51">
        <v>17.000000000000007</v>
      </c>
      <c r="D256">
        <v>3</v>
      </c>
      <c r="E256" t="s">
        <v>75</v>
      </c>
      <c r="F256" t="s">
        <v>722</v>
      </c>
      <c r="G256">
        <f>+IF(dHdcp[[#This Row],[Fecha]]=MAX(dHdcp[Fecha]),1,0)</f>
        <v>0</v>
      </c>
      <c r="H256" t="str">
        <f>+dHdcp[[#This Row],[Maximo]]&amp;":"&amp;dHdcp[[#This Row],[Nombre]]</f>
        <v>0:GLEZ JUAN JOSÉ</v>
      </c>
      <c r="I256" t="str">
        <f>+dHdcp[[#This Row],[Maximo]]&amp;":"&amp;_xlfn.XLOOKUP(dHdcp[[#This Row],[Nombre]],dJugador[Nombre],dJugador[Mote],"",0)</f>
        <v>0:Juanjo</v>
      </c>
      <c r="J256" t="str">
        <f>+IF(dHdcp[[#This Row],[Maximo]]=0,"",_xlfn.RANK.EQ(dHdcp[[#This Row],[Handicap]],dHdcp[Handicap],1))</f>
        <v/>
      </c>
      <c r="K256" t="str">
        <f>IFERROR(+_xlfn.RANK.EQ(dHdcp[[#This Row],[Ranking]],dHdcp[Ranking],1),"")</f>
        <v/>
      </c>
      <c r="M256" t="str">
        <f>+dHdcp[[#This Row],[Fecha]]&amp;":"&amp;dHdcp[[#This Row],[Nombre]]</f>
        <v>43513:GLEZ JUAN JOSÉ</v>
      </c>
      <c r="N256">
        <f>+COUNTIF(dHdcp[Columna1],dHdcp[[#This Row],[Columna1]])</f>
        <v>1</v>
      </c>
    </row>
    <row r="257" spans="1:14">
      <c r="A257" s="2">
        <v>43513</v>
      </c>
      <c r="B257" t="s">
        <v>6</v>
      </c>
      <c r="C257" s="51">
        <v>6.6</v>
      </c>
      <c r="D257">
        <v>2</v>
      </c>
      <c r="E257" t="s">
        <v>75</v>
      </c>
      <c r="F257" t="s">
        <v>723</v>
      </c>
      <c r="G257">
        <f>+IF(dHdcp[[#This Row],[Fecha]]=MAX(dHdcp[Fecha]),1,0)</f>
        <v>0</v>
      </c>
      <c r="H257" t="str">
        <f>+dHdcp[[#This Row],[Maximo]]&amp;":"&amp;dHdcp[[#This Row],[Nombre]]</f>
        <v>0:Ignacio Cadarso</v>
      </c>
      <c r="I257" t="str">
        <f>+dHdcp[[#This Row],[Maximo]]&amp;":"&amp;_xlfn.XLOOKUP(dHdcp[[#This Row],[Nombre]],dJugador[Nombre],dJugador[Mote],"",0)</f>
        <v>0:Ignacio</v>
      </c>
      <c r="J257" t="str">
        <f>+IF(dHdcp[[#This Row],[Maximo]]=0,"",_xlfn.RANK.EQ(dHdcp[[#This Row],[Handicap]],dHdcp[Handicap],1))</f>
        <v/>
      </c>
      <c r="K257" t="str">
        <f>IFERROR(+_xlfn.RANK.EQ(dHdcp[[#This Row],[Ranking]],dHdcp[Ranking],1),"")</f>
        <v/>
      </c>
      <c r="M257" t="str">
        <f>+dHdcp[[#This Row],[Fecha]]&amp;":"&amp;dHdcp[[#This Row],[Nombre]]</f>
        <v>43513:Ignacio Cadarso</v>
      </c>
      <c r="N257">
        <f>+COUNTIF(dHdcp[Columna1],dHdcp[[#This Row],[Columna1]])</f>
        <v>1</v>
      </c>
    </row>
    <row r="258" spans="1:14">
      <c r="A258" s="2">
        <v>43513</v>
      </c>
      <c r="B258" t="s">
        <v>39</v>
      </c>
      <c r="C258" s="51">
        <v>13.3</v>
      </c>
      <c r="D258">
        <v>3</v>
      </c>
      <c r="E258" t="s">
        <v>75</v>
      </c>
      <c r="F258" t="s">
        <v>724</v>
      </c>
      <c r="G258">
        <f>+IF(dHdcp[[#This Row],[Fecha]]=MAX(dHdcp[Fecha]),1,0)</f>
        <v>0</v>
      </c>
      <c r="H258" t="str">
        <f>+dHdcp[[#This Row],[Maximo]]&amp;":"&amp;dHdcp[[#This Row],[Nombre]]</f>
        <v>0:Iñigo Rosas</v>
      </c>
      <c r="I258" t="str">
        <f>+dHdcp[[#This Row],[Maximo]]&amp;":"&amp;_xlfn.XLOOKUP(dHdcp[[#This Row],[Nombre]],dJugador[Nombre],dJugador[Mote],"",0)</f>
        <v>0:</v>
      </c>
      <c r="J258" t="str">
        <f>+IF(dHdcp[[#This Row],[Maximo]]=0,"",_xlfn.RANK.EQ(dHdcp[[#This Row],[Handicap]],dHdcp[Handicap],1))</f>
        <v/>
      </c>
      <c r="K258" t="str">
        <f>IFERROR(+_xlfn.RANK.EQ(dHdcp[[#This Row],[Ranking]],dHdcp[Ranking],1),"")</f>
        <v/>
      </c>
      <c r="M258" t="str">
        <f>+dHdcp[[#This Row],[Fecha]]&amp;":"&amp;dHdcp[[#This Row],[Nombre]]</f>
        <v>43513:Iñigo Rosas</v>
      </c>
      <c r="N258">
        <f>+COUNTIF(dHdcp[Columna1],dHdcp[[#This Row],[Columna1]])</f>
        <v>1</v>
      </c>
    </row>
    <row r="259" spans="1:14">
      <c r="A259" s="2">
        <v>43513</v>
      </c>
      <c r="B259" t="s">
        <v>23</v>
      </c>
      <c r="C259" s="51">
        <v>18.000000000000007</v>
      </c>
      <c r="D259">
        <v>3</v>
      </c>
      <c r="E259" t="s">
        <v>75</v>
      </c>
      <c r="F259" t="s">
        <v>725</v>
      </c>
      <c r="G259">
        <f>+IF(dHdcp[[#This Row],[Fecha]]=MAX(dHdcp[Fecha]),1,0)</f>
        <v>0</v>
      </c>
      <c r="H259" t="str">
        <f>+dHdcp[[#This Row],[Maximo]]&amp;":"&amp;dHdcp[[#This Row],[Nombre]]</f>
        <v>0:J. Enrique Gonzalez</v>
      </c>
      <c r="I259" t="str">
        <f>+dHdcp[[#This Row],[Maximo]]&amp;":"&amp;_xlfn.XLOOKUP(dHdcp[[#This Row],[Nombre]],dJugador[Nombre],dJugador[Mote],"",0)</f>
        <v>0:Kike</v>
      </c>
      <c r="J259" t="str">
        <f>+IF(dHdcp[[#This Row],[Maximo]]=0,"",_xlfn.RANK.EQ(dHdcp[[#This Row],[Handicap]],dHdcp[Handicap],1))</f>
        <v/>
      </c>
      <c r="K259" t="str">
        <f>IFERROR(+_xlfn.RANK.EQ(dHdcp[[#This Row],[Ranking]],dHdcp[Ranking],1),"")</f>
        <v/>
      </c>
      <c r="M259" t="str">
        <f>+dHdcp[[#This Row],[Fecha]]&amp;":"&amp;dHdcp[[#This Row],[Nombre]]</f>
        <v>43513:J. Enrique Gonzalez</v>
      </c>
      <c r="N259">
        <f>+COUNTIF(dHdcp[Columna1],dHdcp[[#This Row],[Columna1]])</f>
        <v>1</v>
      </c>
    </row>
    <row r="260" spans="1:14">
      <c r="A260" s="2">
        <v>43513</v>
      </c>
      <c r="B260" t="s">
        <v>46</v>
      </c>
      <c r="C260" s="51">
        <v>13.2</v>
      </c>
      <c r="D260">
        <v>3</v>
      </c>
      <c r="E260" t="s">
        <v>75</v>
      </c>
      <c r="F260" t="s">
        <v>726</v>
      </c>
      <c r="G260">
        <f>+IF(dHdcp[[#This Row],[Fecha]]=MAX(dHdcp[Fecha]),1,0)</f>
        <v>0</v>
      </c>
      <c r="H260" t="str">
        <f>+dHdcp[[#This Row],[Maximo]]&amp;":"&amp;dHdcp[[#This Row],[Nombre]]</f>
        <v>0:Javier Cervera</v>
      </c>
      <c r="I260" t="str">
        <f>+dHdcp[[#This Row],[Maximo]]&amp;":"&amp;_xlfn.XLOOKUP(dHdcp[[#This Row],[Nombre]],dJugador[Nombre],dJugador[Mote],"",0)</f>
        <v>0:Virus</v>
      </c>
      <c r="J260" t="str">
        <f>+IF(dHdcp[[#This Row],[Maximo]]=0,"",_xlfn.RANK.EQ(dHdcp[[#This Row],[Handicap]],dHdcp[Handicap],1))</f>
        <v/>
      </c>
      <c r="K260" t="str">
        <f>IFERROR(+_xlfn.RANK.EQ(dHdcp[[#This Row],[Ranking]],dHdcp[Ranking],1),"")</f>
        <v/>
      </c>
      <c r="M260" t="str">
        <f>+dHdcp[[#This Row],[Fecha]]&amp;":"&amp;dHdcp[[#This Row],[Nombre]]</f>
        <v>43513:Javier Cervera</v>
      </c>
      <c r="N260">
        <f>+COUNTIF(dHdcp[Columna1],dHdcp[[#This Row],[Columna1]])</f>
        <v>1</v>
      </c>
    </row>
    <row r="261" spans="1:14">
      <c r="A261" s="2">
        <v>43513</v>
      </c>
      <c r="B261" t="s">
        <v>20</v>
      </c>
      <c r="C261" s="51">
        <v>10.299999999999999</v>
      </c>
      <c r="D261">
        <v>2</v>
      </c>
      <c r="E261" t="s">
        <v>75</v>
      </c>
      <c r="F261" t="s">
        <v>727</v>
      </c>
      <c r="G261">
        <f>+IF(dHdcp[[#This Row],[Fecha]]=MAX(dHdcp[Fecha]),1,0)</f>
        <v>0</v>
      </c>
      <c r="H261" t="str">
        <f>+dHdcp[[#This Row],[Maximo]]&amp;":"&amp;dHdcp[[#This Row],[Nombre]]</f>
        <v>0:Javier Gonzalez Salvador</v>
      </c>
      <c r="I261" t="str">
        <f>+dHdcp[[#This Row],[Maximo]]&amp;":"&amp;_xlfn.XLOOKUP(dHdcp[[#This Row],[Nombre]],dJugador[Nombre],dJugador[Mote],"",0)</f>
        <v>0:Javi</v>
      </c>
      <c r="J261" t="str">
        <f>+IF(dHdcp[[#This Row],[Maximo]]=0,"",_xlfn.RANK.EQ(dHdcp[[#This Row],[Handicap]],dHdcp[Handicap],1))</f>
        <v/>
      </c>
      <c r="K261" t="str">
        <f>IFERROR(+_xlfn.RANK.EQ(dHdcp[[#This Row],[Ranking]],dHdcp[Ranking],1),"")</f>
        <v/>
      </c>
      <c r="M261" t="str">
        <f>+dHdcp[[#This Row],[Fecha]]&amp;":"&amp;dHdcp[[#This Row],[Nombre]]</f>
        <v>43513:Javier Gonzalez Salvador</v>
      </c>
      <c r="N261">
        <f>+COUNTIF(dHdcp[Columna1],dHdcp[[#This Row],[Columna1]])</f>
        <v>1</v>
      </c>
    </row>
    <row r="262" spans="1:14">
      <c r="A262" s="2">
        <v>43513</v>
      </c>
      <c r="B262" t="s">
        <v>41</v>
      </c>
      <c r="C262" s="51">
        <v>21.400000000000002</v>
      </c>
      <c r="D262">
        <v>4</v>
      </c>
      <c r="E262" t="s">
        <v>75</v>
      </c>
      <c r="F262" s="94" t="s">
        <v>728</v>
      </c>
      <c r="G262">
        <f>+IF(dHdcp[[#This Row],[Fecha]]=MAX(dHdcp[Fecha]),1,0)</f>
        <v>0</v>
      </c>
      <c r="H262" t="str">
        <f>+dHdcp[[#This Row],[Maximo]]&amp;":"&amp;dHdcp[[#This Row],[Nombre]]</f>
        <v>0:Jesus Touceda</v>
      </c>
      <c r="I262" t="str">
        <f>+dHdcp[[#This Row],[Maximo]]&amp;":"&amp;_xlfn.XLOOKUP(dHdcp[[#This Row],[Nombre]],dJugador[Nombre],dJugador[Mote],"",0)</f>
        <v>0:Jesús</v>
      </c>
      <c r="J262" t="str">
        <f>+IF(dHdcp[[#This Row],[Maximo]]=0,"",_xlfn.RANK.EQ(dHdcp[[#This Row],[Handicap]],dHdcp[Handicap],1))</f>
        <v/>
      </c>
      <c r="K262" t="str">
        <f>IFERROR(+_xlfn.RANK.EQ(dHdcp[[#This Row],[Ranking]],dHdcp[Ranking],1),"")</f>
        <v/>
      </c>
      <c r="M262" t="str">
        <f>+dHdcp[[#This Row],[Fecha]]&amp;":"&amp;dHdcp[[#This Row],[Nombre]]</f>
        <v>43513:Jesus Touceda</v>
      </c>
      <c r="N262">
        <f>+COUNTIF(dHdcp[Columna1],dHdcp[[#This Row],[Columna1]])</f>
        <v>1</v>
      </c>
    </row>
    <row r="263" spans="1:14">
      <c r="A263" s="2">
        <v>43513</v>
      </c>
      <c r="B263" t="s">
        <v>18</v>
      </c>
      <c r="C263" s="51">
        <v>5.4999999999999982</v>
      </c>
      <c r="D263">
        <v>2</v>
      </c>
      <c r="E263" t="s">
        <v>75</v>
      </c>
      <c r="F263" t="s">
        <v>729</v>
      </c>
      <c r="G263">
        <f>+IF(dHdcp[[#This Row],[Fecha]]=MAX(dHdcp[Fecha]),1,0)</f>
        <v>0</v>
      </c>
      <c r="H263" t="str">
        <f>+dHdcp[[#This Row],[Maximo]]&amp;":"&amp;dHdcp[[#This Row],[Nombre]]</f>
        <v>0:José Pablo Guil</v>
      </c>
      <c r="I263" t="str">
        <f>+dHdcp[[#This Row],[Maximo]]&amp;":"&amp;_xlfn.XLOOKUP(dHdcp[[#This Row],[Nombre]],dJugador[Nombre],dJugador[Mote],"",0)</f>
        <v>0:JP</v>
      </c>
      <c r="J263" t="str">
        <f>+IF(dHdcp[[#This Row],[Maximo]]=0,"",_xlfn.RANK.EQ(dHdcp[[#This Row],[Handicap]],dHdcp[Handicap],1))</f>
        <v/>
      </c>
      <c r="K263" t="str">
        <f>IFERROR(+_xlfn.RANK.EQ(dHdcp[[#This Row],[Ranking]],dHdcp[Ranking],1),"")</f>
        <v/>
      </c>
      <c r="M263" t="str">
        <f>+dHdcp[[#This Row],[Fecha]]&amp;":"&amp;dHdcp[[#This Row],[Nombre]]</f>
        <v>43513:José Pablo Guil</v>
      </c>
      <c r="N263">
        <f>+COUNTIF(dHdcp[Columna1],dHdcp[[#This Row],[Columna1]])</f>
        <v>1</v>
      </c>
    </row>
    <row r="264" spans="1:14">
      <c r="A264" s="2">
        <v>43513</v>
      </c>
      <c r="B264" t="s">
        <v>43</v>
      </c>
      <c r="C264" s="51">
        <v>16.8</v>
      </c>
      <c r="D264">
        <v>3</v>
      </c>
      <c r="E264" t="s">
        <v>75</v>
      </c>
      <c r="F264" t="s">
        <v>730</v>
      </c>
      <c r="G264">
        <f>+IF(dHdcp[[#This Row],[Fecha]]=MAX(dHdcp[Fecha]),1,0)</f>
        <v>0</v>
      </c>
      <c r="H264" t="str">
        <f>+dHdcp[[#This Row],[Maximo]]&amp;":"&amp;dHdcp[[#This Row],[Nombre]]</f>
        <v>0:Luis Escudero</v>
      </c>
      <c r="I264" t="str">
        <f>+dHdcp[[#This Row],[Maximo]]&amp;":"&amp;_xlfn.XLOOKUP(dHdcp[[#This Row],[Nombre]],dJugador[Nombre],dJugador[Mote],"",0)</f>
        <v>0:Lucho</v>
      </c>
      <c r="J264" t="str">
        <f>+IF(dHdcp[[#This Row],[Maximo]]=0,"",_xlfn.RANK.EQ(dHdcp[[#This Row],[Handicap]],dHdcp[Handicap],1))</f>
        <v/>
      </c>
      <c r="K264" t="str">
        <f>IFERROR(+_xlfn.RANK.EQ(dHdcp[[#This Row],[Ranking]],dHdcp[Ranking],1),"")</f>
        <v/>
      </c>
      <c r="M264" t="str">
        <f>+dHdcp[[#This Row],[Fecha]]&amp;":"&amp;dHdcp[[#This Row],[Nombre]]</f>
        <v>43513:Luis Escudero</v>
      </c>
      <c r="N264">
        <f>+COUNTIF(dHdcp[Columna1],dHdcp[[#This Row],[Columna1]])</f>
        <v>1</v>
      </c>
    </row>
    <row r="265" spans="1:14">
      <c r="A265" s="2">
        <v>43513</v>
      </c>
      <c r="B265" t="s">
        <v>3</v>
      </c>
      <c r="C265" s="51">
        <v>4.3000000000000007</v>
      </c>
      <c r="D265">
        <v>1</v>
      </c>
      <c r="E265" t="s">
        <v>75</v>
      </c>
      <c r="F265" t="s">
        <v>731</v>
      </c>
      <c r="G265">
        <f>+IF(dHdcp[[#This Row],[Fecha]]=MAX(dHdcp[Fecha]),1,0)</f>
        <v>0</v>
      </c>
      <c r="H265" t="str">
        <f>+dHdcp[[#This Row],[Maximo]]&amp;":"&amp;dHdcp[[#This Row],[Nombre]]</f>
        <v>0:Nacho Gonzalez</v>
      </c>
      <c r="I265" t="str">
        <f>+dHdcp[[#This Row],[Maximo]]&amp;":"&amp;_xlfn.XLOOKUP(dHdcp[[#This Row],[Nombre]],dJugador[Nombre],dJugador[Mote],"",0)</f>
        <v>0:Nacho</v>
      </c>
      <c r="J265" t="str">
        <f>+IF(dHdcp[[#This Row],[Maximo]]=0,"",_xlfn.RANK.EQ(dHdcp[[#This Row],[Handicap]],dHdcp[Handicap],1))</f>
        <v/>
      </c>
      <c r="K265" t="str">
        <f>IFERROR(+_xlfn.RANK.EQ(dHdcp[[#This Row],[Ranking]],dHdcp[Ranking],1),"")</f>
        <v/>
      </c>
      <c r="M265" t="str">
        <f>+dHdcp[[#This Row],[Fecha]]&amp;":"&amp;dHdcp[[#This Row],[Nombre]]</f>
        <v>43513:Nacho Gonzalez</v>
      </c>
      <c r="N265">
        <f>+COUNTIF(dHdcp[Columna1],dHdcp[[#This Row],[Columna1]])</f>
        <v>1</v>
      </c>
    </row>
    <row r="266" spans="1:14">
      <c r="A266" s="2">
        <v>43513</v>
      </c>
      <c r="B266" t="s">
        <v>28</v>
      </c>
      <c r="C266" s="51">
        <v>13.4</v>
      </c>
      <c r="D266">
        <v>3</v>
      </c>
      <c r="E266" t="s">
        <v>75</v>
      </c>
      <c r="F266" t="s">
        <v>732</v>
      </c>
      <c r="G266">
        <f>+IF(dHdcp[[#This Row],[Fecha]]=MAX(dHdcp[Fecha]),1,0)</f>
        <v>0</v>
      </c>
      <c r="H266" t="str">
        <f>+dHdcp[[#This Row],[Maximo]]&amp;":"&amp;dHdcp[[#This Row],[Nombre]]</f>
        <v>0:Pablo Munitiz</v>
      </c>
      <c r="I266" t="str">
        <f>+dHdcp[[#This Row],[Maximo]]&amp;":"&amp;_xlfn.XLOOKUP(dHdcp[[#This Row],[Nombre]],dJugador[Nombre],dJugador[Mote],"",0)</f>
        <v>0:Muni</v>
      </c>
      <c r="J266" t="str">
        <f>+IF(dHdcp[[#This Row],[Maximo]]=0,"",_xlfn.RANK.EQ(dHdcp[[#This Row],[Handicap]],dHdcp[Handicap],1))</f>
        <v/>
      </c>
      <c r="K266" t="str">
        <f>IFERROR(+_xlfn.RANK.EQ(dHdcp[[#This Row],[Ranking]],dHdcp[Ranking],1),"")</f>
        <v/>
      </c>
      <c r="M266" t="str">
        <f>+dHdcp[[#This Row],[Fecha]]&amp;":"&amp;dHdcp[[#This Row],[Nombre]]</f>
        <v>43513:Pablo Munitiz</v>
      </c>
      <c r="N266">
        <f>+COUNTIF(dHdcp[Columna1],dHdcp[[#This Row],[Columna1]])</f>
        <v>1</v>
      </c>
    </row>
    <row r="267" spans="1:14">
      <c r="A267" s="2">
        <v>43513</v>
      </c>
      <c r="B267" t="s">
        <v>37</v>
      </c>
      <c r="C267" s="51">
        <v>9.6999999999999993</v>
      </c>
      <c r="D267">
        <v>2</v>
      </c>
      <c r="E267" t="s">
        <v>75</v>
      </c>
      <c r="F267" t="s">
        <v>733</v>
      </c>
      <c r="G267">
        <f>+IF(dHdcp[[#This Row],[Fecha]]=MAX(dHdcp[Fecha]),1,0)</f>
        <v>0</v>
      </c>
      <c r="H267" t="str">
        <f>+dHdcp[[#This Row],[Maximo]]&amp;":"&amp;dHdcp[[#This Row],[Nombre]]</f>
        <v>0:Ricardo Muelas</v>
      </c>
      <c r="I267" t="str">
        <f>+dHdcp[[#This Row],[Maximo]]&amp;":"&amp;_xlfn.XLOOKUP(dHdcp[[#This Row],[Nombre]],dJugador[Nombre],dJugador[Mote],"",0)</f>
        <v>0:</v>
      </c>
      <c r="J267" t="str">
        <f>+IF(dHdcp[[#This Row],[Maximo]]=0,"",_xlfn.RANK.EQ(dHdcp[[#This Row],[Handicap]],dHdcp[Handicap],1))</f>
        <v/>
      </c>
      <c r="K267" t="str">
        <f>IFERROR(+_xlfn.RANK.EQ(dHdcp[[#This Row],[Ranking]],dHdcp[Ranking],1),"")</f>
        <v/>
      </c>
      <c r="M267" t="str">
        <f>+dHdcp[[#This Row],[Fecha]]&amp;":"&amp;dHdcp[[#This Row],[Nombre]]</f>
        <v>43513:Ricardo Muelas</v>
      </c>
      <c r="N267">
        <f>+COUNTIF(dHdcp[Columna1],dHdcp[[#This Row],[Columna1]])</f>
        <v>1</v>
      </c>
    </row>
    <row r="268" spans="1:14">
      <c r="A268" s="2">
        <v>43555</v>
      </c>
      <c r="B268" t="s">
        <v>9</v>
      </c>
      <c r="C268" s="51">
        <v>8.5</v>
      </c>
      <c r="D268">
        <v>2</v>
      </c>
      <c r="E268" t="s">
        <v>74</v>
      </c>
      <c r="F268" t="s">
        <v>734</v>
      </c>
      <c r="G268">
        <f>+IF(dHdcp[[#This Row],[Fecha]]=MAX(dHdcp[Fecha]),1,0)</f>
        <v>0</v>
      </c>
      <c r="H268" t="str">
        <f>+dHdcp[[#This Row],[Maximo]]&amp;":"&amp;dHdcp[[#This Row],[Nombre]]</f>
        <v>0:Alfonso Hidalgo</v>
      </c>
      <c r="I268" t="str">
        <f>+dHdcp[[#This Row],[Maximo]]&amp;":"&amp;_xlfn.XLOOKUP(dHdcp[[#This Row],[Nombre]],dJugador[Nombre],dJugador[Mote],"",0)</f>
        <v>0:Alfonso</v>
      </c>
      <c r="J268" t="str">
        <f>+IF(dHdcp[[#This Row],[Maximo]]=0,"",_xlfn.RANK.EQ(dHdcp[[#This Row],[Handicap]],dHdcp[Handicap],1))</f>
        <v/>
      </c>
      <c r="K268" t="str">
        <f>IFERROR(+_xlfn.RANK.EQ(dHdcp[[#This Row],[Ranking]],dHdcp[Ranking],1),"")</f>
        <v/>
      </c>
      <c r="M268" t="str">
        <f>+dHdcp[[#This Row],[Fecha]]&amp;":"&amp;dHdcp[[#This Row],[Nombre]]</f>
        <v>43555:Alfonso Hidalgo</v>
      </c>
      <c r="N268">
        <f>+COUNTIF(dHdcp[Columna1],dHdcp[[#This Row],[Columna1]])</f>
        <v>2</v>
      </c>
    </row>
    <row r="269" spans="1:14">
      <c r="A269" s="2">
        <v>43555</v>
      </c>
      <c r="B269" t="s">
        <v>9</v>
      </c>
      <c r="C269" s="51">
        <v>7.6999999999999975</v>
      </c>
      <c r="D269">
        <v>2</v>
      </c>
      <c r="E269" t="s">
        <v>75</v>
      </c>
      <c r="F269" t="s">
        <v>735</v>
      </c>
      <c r="G269">
        <f>+IF(dHdcp[[#This Row],[Fecha]]=MAX(dHdcp[Fecha]),1,0)</f>
        <v>0</v>
      </c>
      <c r="H269" t="str">
        <f>+dHdcp[[#This Row],[Maximo]]&amp;":"&amp;dHdcp[[#This Row],[Nombre]]</f>
        <v>0:Alfonso Hidalgo</v>
      </c>
      <c r="I269" t="str">
        <f>+dHdcp[[#This Row],[Maximo]]&amp;":"&amp;_xlfn.XLOOKUP(dHdcp[[#This Row],[Nombre]],dJugador[Nombre],dJugador[Mote],"",0)</f>
        <v>0:Alfonso</v>
      </c>
      <c r="J269" t="str">
        <f>+IF(dHdcp[[#This Row],[Maximo]]=0,"",_xlfn.RANK.EQ(dHdcp[[#This Row],[Handicap]],dHdcp[Handicap],1))</f>
        <v/>
      </c>
      <c r="K269" t="str">
        <f>IFERROR(+_xlfn.RANK.EQ(dHdcp[[#This Row],[Ranking]],dHdcp[Ranking],1),"")</f>
        <v/>
      </c>
      <c r="M269" t="str">
        <f>+dHdcp[[#This Row],[Fecha]]&amp;":"&amp;dHdcp[[#This Row],[Nombre]]</f>
        <v>43555:Alfonso Hidalgo</v>
      </c>
      <c r="N269">
        <f>+COUNTIF(dHdcp[Columna1],dHdcp[[#This Row],[Columna1]])</f>
        <v>2</v>
      </c>
    </row>
    <row r="270" spans="1:14">
      <c r="A270" s="2">
        <v>43555</v>
      </c>
      <c r="B270" t="s">
        <v>15</v>
      </c>
      <c r="C270" s="51">
        <v>5.4</v>
      </c>
      <c r="D270">
        <v>2</v>
      </c>
      <c r="E270" t="s">
        <v>74</v>
      </c>
      <c r="F270" t="s">
        <v>736</v>
      </c>
      <c r="G270">
        <f>+IF(dHdcp[[#This Row],[Fecha]]=MAX(dHdcp[Fecha]),1,0)</f>
        <v>0</v>
      </c>
      <c r="H270" t="str">
        <f>+dHdcp[[#This Row],[Maximo]]&amp;":"&amp;dHdcp[[#This Row],[Nombre]]</f>
        <v>0:Alvaro Aguirre</v>
      </c>
      <c r="I270" t="str">
        <f>+dHdcp[[#This Row],[Maximo]]&amp;":"&amp;_xlfn.XLOOKUP(dHdcp[[#This Row],[Nombre]],dJugador[Nombre],dJugador[Mote],"",0)</f>
        <v>0:Gifu</v>
      </c>
      <c r="J270" t="str">
        <f>+IF(dHdcp[[#This Row],[Maximo]]=0,"",_xlfn.RANK.EQ(dHdcp[[#This Row],[Handicap]],dHdcp[Handicap],1))</f>
        <v/>
      </c>
      <c r="K270" t="str">
        <f>IFERROR(+_xlfn.RANK.EQ(dHdcp[[#This Row],[Ranking]],dHdcp[Ranking],1),"")</f>
        <v/>
      </c>
      <c r="M270" t="str">
        <f>+dHdcp[[#This Row],[Fecha]]&amp;":"&amp;dHdcp[[#This Row],[Nombre]]</f>
        <v>43555:Alvaro Aguirre</v>
      </c>
      <c r="N270">
        <f>+COUNTIF(dHdcp[Columna1],dHdcp[[#This Row],[Columna1]])</f>
        <v>2</v>
      </c>
    </row>
    <row r="271" spans="1:14">
      <c r="A271" s="2">
        <v>43555</v>
      </c>
      <c r="B271" t="s">
        <v>15</v>
      </c>
      <c r="C271" s="51">
        <v>5.0999999999999996</v>
      </c>
      <c r="D271">
        <v>2</v>
      </c>
      <c r="E271" t="s">
        <v>75</v>
      </c>
      <c r="F271" t="s">
        <v>737</v>
      </c>
      <c r="G271">
        <f>+IF(dHdcp[[#This Row],[Fecha]]=MAX(dHdcp[Fecha]),1,0)</f>
        <v>0</v>
      </c>
      <c r="H271" t="str">
        <f>+dHdcp[[#This Row],[Maximo]]&amp;":"&amp;dHdcp[[#This Row],[Nombre]]</f>
        <v>0:Alvaro Aguirre</v>
      </c>
      <c r="I271" t="str">
        <f>+dHdcp[[#This Row],[Maximo]]&amp;":"&amp;_xlfn.XLOOKUP(dHdcp[[#This Row],[Nombre]],dJugador[Nombre],dJugador[Mote],"",0)</f>
        <v>0:Gifu</v>
      </c>
      <c r="J271" t="str">
        <f>+IF(dHdcp[[#This Row],[Maximo]]=0,"",_xlfn.RANK.EQ(dHdcp[[#This Row],[Handicap]],dHdcp[Handicap],1))</f>
        <v/>
      </c>
      <c r="K271" t="str">
        <f>IFERROR(+_xlfn.RANK.EQ(dHdcp[[#This Row],[Ranking]],dHdcp[Ranking],1),"")</f>
        <v/>
      </c>
      <c r="M271" t="str">
        <f>+dHdcp[[#This Row],[Fecha]]&amp;":"&amp;dHdcp[[#This Row],[Nombre]]</f>
        <v>43555:Alvaro Aguirre</v>
      </c>
      <c r="N271">
        <f>+COUNTIF(dHdcp[Columna1],dHdcp[[#This Row],[Columna1]])</f>
        <v>2</v>
      </c>
    </row>
    <row r="272" spans="1:14">
      <c r="A272" s="2">
        <v>43555</v>
      </c>
      <c r="B272" t="s">
        <v>25</v>
      </c>
      <c r="C272" s="51">
        <v>15.4</v>
      </c>
      <c r="D272">
        <v>3</v>
      </c>
      <c r="E272" t="s">
        <v>74</v>
      </c>
      <c r="F272" t="s">
        <v>738</v>
      </c>
      <c r="G272">
        <f>+IF(dHdcp[[#This Row],[Fecha]]=MAX(dHdcp[Fecha]),1,0)</f>
        <v>0</v>
      </c>
      <c r="H272" t="str">
        <f>+dHdcp[[#This Row],[Maximo]]&amp;":"&amp;dHdcp[[#This Row],[Nombre]]</f>
        <v>0:Alvaro Nieto</v>
      </c>
      <c r="I272" t="str">
        <f>+dHdcp[[#This Row],[Maximo]]&amp;":"&amp;_xlfn.XLOOKUP(dHdcp[[#This Row],[Nombre]],dJugador[Nombre],dJugador[Mote],"",0)</f>
        <v>0:Alvaro</v>
      </c>
      <c r="J272" t="str">
        <f>+IF(dHdcp[[#This Row],[Maximo]]=0,"",_xlfn.RANK.EQ(dHdcp[[#This Row],[Handicap]],dHdcp[Handicap],1))</f>
        <v/>
      </c>
      <c r="K272" t="str">
        <f>IFERROR(+_xlfn.RANK.EQ(dHdcp[[#This Row],[Ranking]],dHdcp[Ranking],1),"")</f>
        <v/>
      </c>
      <c r="M272" t="str">
        <f>+dHdcp[[#This Row],[Fecha]]&amp;":"&amp;dHdcp[[#This Row],[Nombre]]</f>
        <v>43555:Alvaro Nieto</v>
      </c>
      <c r="N272">
        <f>+COUNTIF(dHdcp[Columna1],dHdcp[[#This Row],[Columna1]])</f>
        <v>2</v>
      </c>
    </row>
    <row r="273" spans="1:14">
      <c r="A273" s="2">
        <v>43555</v>
      </c>
      <c r="B273" t="s">
        <v>25</v>
      </c>
      <c r="C273" s="51">
        <v>15.4</v>
      </c>
      <c r="D273">
        <v>3</v>
      </c>
      <c r="E273" t="s">
        <v>75</v>
      </c>
      <c r="F273" t="s">
        <v>739</v>
      </c>
      <c r="G273">
        <f>+IF(dHdcp[[#This Row],[Fecha]]=MAX(dHdcp[Fecha]),1,0)</f>
        <v>0</v>
      </c>
      <c r="H273" t="str">
        <f>+dHdcp[[#This Row],[Maximo]]&amp;":"&amp;dHdcp[[#This Row],[Nombre]]</f>
        <v>0:Alvaro Nieto</v>
      </c>
      <c r="I273" t="str">
        <f>+dHdcp[[#This Row],[Maximo]]&amp;":"&amp;_xlfn.XLOOKUP(dHdcp[[#This Row],[Nombre]],dJugador[Nombre],dJugador[Mote],"",0)</f>
        <v>0:Alvaro</v>
      </c>
      <c r="J273" t="str">
        <f>+IF(dHdcp[[#This Row],[Maximo]]=0,"",_xlfn.RANK.EQ(dHdcp[[#This Row],[Handicap]],dHdcp[Handicap],1))</f>
        <v/>
      </c>
      <c r="K273" t="str">
        <f>IFERROR(+_xlfn.RANK.EQ(dHdcp[[#This Row],[Ranking]],dHdcp[Ranking],1),"")</f>
        <v/>
      </c>
      <c r="M273" t="str">
        <f>+dHdcp[[#This Row],[Fecha]]&amp;":"&amp;dHdcp[[#This Row],[Nombre]]</f>
        <v>43555:Alvaro Nieto</v>
      </c>
      <c r="N273">
        <f>+COUNTIF(dHdcp[Columna1],dHdcp[[#This Row],[Columna1]])</f>
        <v>2</v>
      </c>
    </row>
    <row r="274" spans="1:14">
      <c r="A274" s="2">
        <v>43555</v>
      </c>
      <c r="B274" t="s">
        <v>33</v>
      </c>
      <c r="C274" s="51">
        <v>7</v>
      </c>
      <c r="D274">
        <v>2</v>
      </c>
      <c r="E274" t="s">
        <v>74</v>
      </c>
      <c r="F274" t="s">
        <v>740</v>
      </c>
      <c r="G274">
        <f>+IF(dHdcp[[#This Row],[Fecha]]=MAX(dHdcp[Fecha]),1,0)</f>
        <v>0</v>
      </c>
      <c r="H274" t="str">
        <f>+dHdcp[[#This Row],[Maximo]]&amp;":"&amp;dHdcp[[#This Row],[Nombre]]</f>
        <v>0:Angel Hernandez</v>
      </c>
      <c r="I274" t="str">
        <f>+dHdcp[[#This Row],[Maximo]]&amp;":"&amp;_xlfn.XLOOKUP(dHdcp[[#This Row],[Nombre]],dJugador[Nombre],dJugador[Mote],"",0)</f>
        <v>0:Angel</v>
      </c>
      <c r="J274" t="str">
        <f>+IF(dHdcp[[#This Row],[Maximo]]=0,"",_xlfn.RANK.EQ(dHdcp[[#This Row],[Handicap]],dHdcp[Handicap],1))</f>
        <v/>
      </c>
      <c r="K274" t="str">
        <f>IFERROR(+_xlfn.RANK.EQ(dHdcp[[#This Row],[Ranking]],dHdcp[Ranking],1),"")</f>
        <v/>
      </c>
      <c r="M274" t="str">
        <f>+dHdcp[[#This Row],[Fecha]]&amp;":"&amp;dHdcp[[#This Row],[Nombre]]</f>
        <v>43555:Angel Hernandez</v>
      </c>
      <c r="N274">
        <f>+COUNTIF(dHdcp[Columna1],dHdcp[[#This Row],[Columna1]])</f>
        <v>2</v>
      </c>
    </row>
    <row r="275" spans="1:14">
      <c r="A275" s="2">
        <v>43555</v>
      </c>
      <c r="B275" t="s">
        <v>33</v>
      </c>
      <c r="C275" s="51">
        <v>6.4999999999999982</v>
      </c>
      <c r="D275">
        <v>2</v>
      </c>
      <c r="E275" t="s">
        <v>75</v>
      </c>
      <c r="F275" t="s">
        <v>741</v>
      </c>
      <c r="G275">
        <f>+IF(dHdcp[[#This Row],[Fecha]]=MAX(dHdcp[Fecha]),1,0)</f>
        <v>0</v>
      </c>
      <c r="H275" t="str">
        <f>+dHdcp[[#This Row],[Maximo]]&amp;":"&amp;dHdcp[[#This Row],[Nombre]]</f>
        <v>0:Angel Hernandez</v>
      </c>
      <c r="I275" t="str">
        <f>+dHdcp[[#This Row],[Maximo]]&amp;":"&amp;_xlfn.XLOOKUP(dHdcp[[#This Row],[Nombre]],dJugador[Nombre],dJugador[Mote],"",0)</f>
        <v>0:Angel</v>
      </c>
      <c r="J275" t="str">
        <f>+IF(dHdcp[[#This Row],[Maximo]]=0,"",_xlfn.RANK.EQ(dHdcp[[#This Row],[Handicap]],dHdcp[Handicap],1))</f>
        <v/>
      </c>
      <c r="K275" t="str">
        <f>IFERROR(+_xlfn.RANK.EQ(dHdcp[[#This Row],[Ranking]],dHdcp[Ranking],1),"")</f>
        <v/>
      </c>
      <c r="M275" t="str">
        <f>+dHdcp[[#This Row],[Fecha]]&amp;":"&amp;dHdcp[[#This Row],[Nombre]]</f>
        <v>43555:Angel Hernandez</v>
      </c>
      <c r="N275">
        <f>+COUNTIF(dHdcp[Columna1],dHdcp[[#This Row],[Columna1]])</f>
        <v>2</v>
      </c>
    </row>
    <row r="276" spans="1:14">
      <c r="A276" s="2">
        <v>43555</v>
      </c>
      <c r="B276" t="s">
        <v>30</v>
      </c>
      <c r="C276" s="51">
        <v>12</v>
      </c>
      <c r="D276">
        <v>3</v>
      </c>
      <c r="E276" t="s">
        <v>74</v>
      </c>
      <c r="F276" t="s">
        <v>742</v>
      </c>
      <c r="G276">
        <f>+IF(dHdcp[[#This Row],[Fecha]]=MAX(dHdcp[Fecha]),1,0)</f>
        <v>0</v>
      </c>
      <c r="H276" t="str">
        <f>+dHdcp[[#This Row],[Maximo]]&amp;":"&amp;dHdcp[[#This Row],[Nombre]]</f>
        <v>0:David Sequera</v>
      </c>
      <c r="I276" t="str">
        <f>+dHdcp[[#This Row],[Maximo]]&amp;":"&amp;_xlfn.XLOOKUP(dHdcp[[#This Row],[Nombre]],dJugador[Nombre],dJugador[Mote],"",0)</f>
        <v>0:David</v>
      </c>
      <c r="J276" t="str">
        <f>+IF(dHdcp[[#This Row],[Maximo]]=0,"",_xlfn.RANK.EQ(dHdcp[[#This Row],[Handicap]],dHdcp[Handicap],1))</f>
        <v/>
      </c>
      <c r="K276" t="str">
        <f>IFERROR(+_xlfn.RANK.EQ(dHdcp[[#This Row],[Ranking]],dHdcp[Ranking],1),"")</f>
        <v/>
      </c>
      <c r="M276" t="str">
        <f>+dHdcp[[#This Row],[Fecha]]&amp;":"&amp;dHdcp[[#This Row],[Nombre]]</f>
        <v>43555:David Sequera</v>
      </c>
      <c r="N276">
        <f>+COUNTIF(dHdcp[Columna1],dHdcp[[#This Row],[Columna1]])</f>
        <v>2</v>
      </c>
    </row>
    <row r="277" spans="1:14">
      <c r="A277" s="2">
        <v>43555</v>
      </c>
      <c r="B277" t="s">
        <v>30</v>
      </c>
      <c r="C277" s="51">
        <v>12</v>
      </c>
      <c r="D277">
        <v>3</v>
      </c>
      <c r="E277" t="s">
        <v>75</v>
      </c>
      <c r="F277" t="s">
        <v>743</v>
      </c>
      <c r="G277">
        <f>+IF(dHdcp[[#This Row],[Fecha]]=MAX(dHdcp[Fecha]),1,0)</f>
        <v>0</v>
      </c>
      <c r="H277" t="str">
        <f>+dHdcp[[#This Row],[Maximo]]&amp;":"&amp;dHdcp[[#This Row],[Nombre]]</f>
        <v>0:David Sequera</v>
      </c>
      <c r="I277" t="str">
        <f>+dHdcp[[#This Row],[Maximo]]&amp;":"&amp;_xlfn.XLOOKUP(dHdcp[[#This Row],[Nombre]],dJugador[Nombre],dJugador[Mote],"",0)</f>
        <v>0:David</v>
      </c>
      <c r="J277" t="str">
        <f>+IF(dHdcp[[#This Row],[Maximo]]=0,"",_xlfn.RANK.EQ(dHdcp[[#This Row],[Handicap]],dHdcp[Handicap],1))</f>
        <v/>
      </c>
      <c r="K277" t="str">
        <f>IFERROR(+_xlfn.RANK.EQ(dHdcp[[#This Row],[Ranking]],dHdcp[Ranking],1),"")</f>
        <v/>
      </c>
      <c r="M277" t="str">
        <f>+dHdcp[[#This Row],[Fecha]]&amp;":"&amp;dHdcp[[#This Row],[Nombre]]</f>
        <v>43555:David Sequera</v>
      </c>
      <c r="N277">
        <f>+COUNTIF(dHdcp[Columna1],dHdcp[[#This Row],[Columna1]])</f>
        <v>2</v>
      </c>
    </row>
    <row r="278" spans="1:14">
      <c r="A278" s="2">
        <v>43555</v>
      </c>
      <c r="B278" t="s">
        <v>12</v>
      </c>
      <c r="C278" s="51">
        <v>17.600000000000001</v>
      </c>
      <c r="D278">
        <v>3</v>
      </c>
      <c r="E278" t="s">
        <v>74</v>
      </c>
      <c r="F278" t="s">
        <v>744</v>
      </c>
      <c r="G278">
        <f>+IF(dHdcp[[#This Row],[Fecha]]=MAX(dHdcp[Fecha]),1,0)</f>
        <v>0</v>
      </c>
      <c r="H278" t="str">
        <f>+dHdcp[[#This Row],[Maximo]]&amp;":"&amp;dHdcp[[#This Row],[Nombre]]</f>
        <v>0:Francisco Alvarez</v>
      </c>
      <c r="I278" t="str">
        <f>+dHdcp[[#This Row],[Maximo]]&amp;":"&amp;_xlfn.XLOOKUP(dHdcp[[#This Row],[Nombre]],dJugador[Nombre],dJugador[Mote],"",0)</f>
        <v>0:Paco</v>
      </c>
      <c r="J278" t="str">
        <f>+IF(dHdcp[[#This Row],[Maximo]]=0,"",_xlfn.RANK.EQ(dHdcp[[#This Row],[Handicap]],dHdcp[Handicap],1))</f>
        <v/>
      </c>
      <c r="K278" t="str">
        <f>IFERROR(+_xlfn.RANK.EQ(dHdcp[[#This Row],[Ranking]],dHdcp[Ranking],1),"")</f>
        <v/>
      </c>
      <c r="M278" t="str">
        <f>+dHdcp[[#This Row],[Fecha]]&amp;":"&amp;dHdcp[[#This Row],[Nombre]]</f>
        <v>43555:Francisco Alvarez</v>
      </c>
      <c r="N278">
        <f>+COUNTIF(dHdcp[Columna1],dHdcp[[#This Row],[Columna1]])</f>
        <v>2</v>
      </c>
    </row>
    <row r="279" spans="1:14">
      <c r="A279" s="2">
        <v>43555</v>
      </c>
      <c r="B279" t="s">
        <v>12</v>
      </c>
      <c r="C279" s="51">
        <v>16.500000000000004</v>
      </c>
      <c r="D279">
        <v>3</v>
      </c>
      <c r="E279" t="s">
        <v>75</v>
      </c>
      <c r="F279" t="s">
        <v>745</v>
      </c>
      <c r="G279">
        <f>+IF(dHdcp[[#This Row],[Fecha]]=MAX(dHdcp[Fecha]),1,0)</f>
        <v>0</v>
      </c>
      <c r="H279" t="str">
        <f>+dHdcp[[#This Row],[Maximo]]&amp;":"&amp;dHdcp[[#This Row],[Nombre]]</f>
        <v>0:Francisco Alvarez</v>
      </c>
      <c r="I279" t="str">
        <f>+dHdcp[[#This Row],[Maximo]]&amp;":"&amp;_xlfn.XLOOKUP(dHdcp[[#This Row],[Nombre]],dJugador[Nombre],dJugador[Mote],"",0)</f>
        <v>0:Paco</v>
      </c>
      <c r="J279" t="str">
        <f>+IF(dHdcp[[#This Row],[Maximo]]=0,"",_xlfn.RANK.EQ(dHdcp[[#This Row],[Handicap]],dHdcp[Handicap],1))</f>
        <v/>
      </c>
      <c r="K279" t="str">
        <f>IFERROR(+_xlfn.RANK.EQ(dHdcp[[#This Row],[Ranking]],dHdcp[Ranking],1),"")</f>
        <v/>
      </c>
      <c r="M279" t="str">
        <f>+dHdcp[[#This Row],[Fecha]]&amp;":"&amp;dHdcp[[#This Row],[Nombre]]</f>
        <v>43555:Francisco Alvarez</v>
      </c>
      <c r="N279">
        <f>+COUNTIF(dHdcp[Columna1],dHdcp[[#This Row],[Columna1]])</f>
        <v>2</v>
      </c>
    </row>
    <row r="280" spans="1:14">
      <c r="A280" s="2">
        <v>43555</v>
      </c>
      <c r="B280" t="s">
        <v>49</v>
      </c>
      <c r="C280" s="51">
        <v>13.2</v>
      </c>
      <c r="D280">
        <v>3</v>
      </c>
      <c r="E280" t="s">
        <v>74</v>
      </c>
      <c r="F280" t="s">
        <v>746</v>
      </c>
      <c r="G280">
        <f>+IF(dHdcp[[#This Row],[Fecha]]=MAX(dHdcp[Fecha]),1,0)</f>
        <v>0</v>
      </c>
      <c r="H280" t="str">
        <f>+dHdcp[[#This Row],[Maximo]]&amp;":"&amp;dHdcp[[#This Row],[Nombre]]</f>
        <v>0:Francisco Hidalgo</v>
      </c>
      <c r="I280" t="str">
        <f>+dHdcp[[#This Row],[Maximo]]&amp;":"&amp;_xlfn.XLOOKUP(dHdcp[[#This Row],[Nombre]],dJugador[Nombre],dJugador[Mote],"",0)</f>
        <v>0:Fran</v>
      </c>
      <c r="J280" t="str">
        <f>+IF(dHdcp[[#This Row],[Maximo]]=0,"",_xlfn.RANK.EQ(dHdcp[[#This Row],[Handicap]],dHdcp[Handicap],1))</f>
        <v/>
      </c>
      <c r="K280" t="str">
        <f>IFERROR(+_xlfn.RANK.EQ(dHdcp[[#This Row],[Ranking]],dHdcp[Ranking],1),"")</f>
        <v/>
      </c>
      <c r="M280" t="str">
        <f>+dHdcp[[#This Row],[Fecha]]&amp;":"&amp;dHdcp[[#This Row],[Nombre]]</f>
        <v>43555:Francisco Hidalgo</v>
      </c>
      <c r="N280">
        <f>+COUNTIF(dHdcp[Columna1],dHdcp[[#This Row],[Columna1]])</f>
        <v>2</v>
      </c>
    </row>
    <row r="281" spans="1:14">
      <c r="A281" s="2">
        <v>43555</v>
      </c>
      <c r="B281" t="s">
        <v>49</v>
      </c>
      <c r="C281" s="51">
        <v>13</v>
      </c>
      <c r="D281">
        <v>3</v>
      </c>
      <c r="E281" t="s">
        <v>75</v>
      </c>
      <c r="F281" t="s">
        <v>747</v>
      </c>
      <c r="G281">
        <f>+IF(dHdcp[[#This Row],[Fecha]]=MAX(dHdcp[Fecha]),1,0)</f>
        <v>0</v>
      </c>
      <c r="H281" t="str">
        <f>+dHdcp[[#This Row],[Maximo]]&amp;":"&amp;dHdcp[[#This Row],[Nombre]]</f>
        <v>0:Francisco Hidalgo</v>
      </c>
      <c r="I281" t="str">
        <f>+dHdcp[[#This Row],[Maximo]]&amp;":"&amp;_xlfn.XLOOKUP(dHdcp[[#This Row],[Nombre]],dJugador[Nombre],dJugador[Mote],"",0)</f>
        <v>0:Fran</v>
      </c>
      <c r="J281" t="str">
        <f>+IF(dHdcp[[#This Row],[Maximo]]=0,"",_xlfn.RANK.EQ(dHdcp[[#This Row],[Handicap]],dHdcp[Handicap],1))</f>
        <v/>
      </c>
      <c r="K281" t="str">
        <f>IFERROR(+_xlfn.RANK.EQ(dHdcp[[#This Row],[Ranking]],dHdcp[Ranking],1),"")</f>
        <v/>
      </c>
      <c r="M281" t="str">
        <f>+dHdcp[[#This Row],[Fecha]]&amp;":"&amp;dHdcp[[#This Row],[Nombre]]</f>
        <v>43555:Francisco Hidalgo</v>
      </c>
      <c r="N281">
        <f>+COUNTIF(dHdcp[Columna1],dHdcp[[#This Row],[Columna1]])</f>
        <v>2</v>
      </c>
    </row>
    <row r="282" spans="1:14">
      <c r="A282" s="2">
        <v>43555</v>
      </c>
      <c r="B282" t="s">
        <v>35</v>
      </c>
      <c r="C282" s="51">
        <v>17.3</v>
      </c>
      <c r="D282">
        <v>3</v>
      </c>
      <c r="E282" t="s">
        <v>74</v>
      </c>
      <c r="F282" t="s">
        <v>748</v>
      </c>
      <c r="G282">
        <f>+IF(dHdcp[[#This Row],[Fecha]]=MAX(dHdcp[Fecha]),1,0)</f>
        <v>0</v>
      </c>
      <c r="H282" t="str">
        <f>+dHdcp[[#This Row],[Maximo]]&amp;":"&amp;dHdcp[[#This Row],[Nombre]]</f>
        <v>0:GLEZ JUAN JOSÉ</v>
      </c>
      <c r="I282" t="str">
        <f>+dHdcp[[#This Row],[Maximo]]&amp;":"&amp;_xlfn.XLOOKUP(dHdcp[[#This Row],[Nombre]],dJugador[Nombre],dJugador[Mote],"",0)</f>
        <v>0:Juanjo</v>
      </c>
      <c r="J282" t="str">
        <f>+IF(dHdcp[[#This Row],[Maximo]]=0,"",_xlfn.RANK.EQ(dHdcp[[#This Row],[Handicap]],dHdcp[Handicap],1))</f>
        <v/>
      </c>
      <c r="K282" t="str">
        <f>IFERROR(+_xlfn.RANK.EQ(dHdcp[[#This Row],[Ranking]],dHdcp[Ranking],1),"")</f>
        <v/>
      </c>
      <c r="M282" t="str">
        <f>+dHdcp[[#This Row],[Fecha]]&amp;":"&amp;dHdcp[[#This Row],[Nombre]]</f>
        <v>43555:GLEZ JUAN JOSÉ</v>
      </c>
      <c r="N282">
        <f>+COUNTIF(dHdcp[Columna1],dHdcp[[#This Row],[Columna1]])</f>
        <v>2</v>
      </c>
    </row>
    <row r="283" spans="1:14">
      <c r="A283" s="2">
        <v>43555</v>
      </c>
      <c r="B283" t="s">
        <v>35</v>
      </c>
      <c r="C283" s="51">
        <v>17.100000000000009</v>
      </c>
      <c r="D283">
        <v>3</v>
      </c>
      <c r="E283" t="s">
        <v>75</v>
      </c>
      <c r="F283" t="s">
        <v>749</v>
      </c>
      <c r="G283">
        <f>+IF(dHdcp[[#This Row],[Fecha]]=MAX(dHdcp[Fecha]),1,0)</f>
        <v>0</v>
      </c>
      <c r="H283" t="str">
        <f>+dHdcp[[#This Row],[Maximo]]&amp;":"&amp;dHdcp[[#This Row],[Nombre]]</f>
        <v>0:GLEZ JUAN JOSÉ</v>
      </c>
      <c r="I283" t="str">
        <f>+dHdcp[[#This Row],[Maximo]]&amp;":"&amp;_xlfn.XLOOKUP(dHdcp[[#This Row],[Nombre]],dJugador[Nombre],dJugador[Mote],"",0)</f>
        <v>0:Juanjo</v>
      </c>
      <c r="J283" t="str">
        <f>+IF(dHdcp[[#This Row],[Maximo]]=0,"",_xlfn.RANK.EQ(dHdcp[[#This Row],[Handicap]],dHdcp[Handicap],1))</f>
        <v/>
      </c>
      <c r="K283" t="str">
        <f>IFERROR(+_xlfn.RANK.EQ(dHdcp[[#This Row],[Ranking]],dHdcp[Ranking],1),"")</f>
        <v/>
      </c>
      <c r="M283" t="str">
        <f>+dHdcp[[#This Row],[Fecha]]&amp;":"&amp;dHdcp[[#This Row],[Nombre]]</f>
        <v>43555:GLEZ JUAN JOSÉ</v>
      </c>
      <c r="N283">
        <f>+COUNTIF(dHdcp[Columna1],dHdcp[[#This Row],[Columna1]])</f>
        <v>2</v>
      </c>
    </row>
    <row r="284" spans="1:14">
      <c r="A284" s="2">
        <v>43555</v>
      </c>
      <c r="B284" t="s">
        <v>6</v>
      </c>
      <c r="C284" s="51">
        <v>6.7</v>
      </c>
      <c r="D284">
        <v>2</v>
      </c>
      <c r="E284" t="s">
        <v>74</v>
      </c>
      <c r="F284" t="s">
        <v>750</v>
      </c>
      <c r="G284">
        <f>+IF(dHdcp[[#This Row],[Fecha]]=MAX(dHdcp[Fecha]),1,0)</f>
        <v>0</v>
      </c>
      <c r="H284" t="str">
        <f>+dHdcp[[#This Row],[Maximo]]&amp;":"&amp;dHdcp[[#This Row],[Nombre]]</f>
        <v>0:Ignacio Cadarso</v>
      </c>
      <c r="I284" t="str">
        <f>+dHdcp[[#This Row],[Maximo]]&amp;":"&amp;_xlfn.XLOOKUP(dHdcp[[#This Row],[Nombre]],dJugador[Nombre],dJugador[Mote],"",0)</f>
        <v>0:Ignacio</v>
      </c>
      <c r="J284" t="str">
        <f>+IF(dHdcp[[#This Row],[Maximo]]=0,"",_xlfn.RANK.EQ(dHdcp[[#This Row],[Handicap]],dHdcp[Handicap],1))</f>
        <v/>
      </c>
      <c r="K284" t="str">
        <f>IFERROR(+_xlfn.RANK.EQ(dHdcp[[#This Row],[Ranking]],dHdcp[Ranking],1),"")</f>
        <v/>
      </c>
      <c r="M284" t="str">
        <f>+dHdcp[[#This Row],[Fecha]]&amp;":"&amp;dHdcp[[#This Row],[Nombre]]</f>
        <v>43555:Ignacio Cadarso</v>
      </c>
      <c r="N284">
        <f>+COUNTIF(dHdcp[Columna1],dHdcp[[#This Row],[Columna1]])</f>
        <v>2</v>
      </c>
    </row>
    <row r="285" spans="1:14">
      <c r="A285" s="2">
        <v>43555</v>
      </c>
      <c r="B285" t="s">
        <v>6</v>
      </c>
      <c r="C285" s="51">
        <v>6.6</v>
      </c>
      <c r="D285">
        <v>2</v>
      </c>
      <c r="E285" t="s">
        <v>75</v>
      </c>
      <c r="F285" t="s">
        <v>751</v>
      </c>
      <c r="G285">
        <f>+IF(dHdcp[[#This Row],[Fecha]]=MAX(dHdcp[Fecha]),1,0)</f>
        <v>0</v>
      </c>
      <c r="H285" t="str">
        <f>+dHdcp[[#This Row],[Maximo]]&amp;":"&amp;dHdcp[[#This Row],[Nombre]]</f>
        <v>0:Ignacio Cadarso</v>
      </c>
      <c r="I285" t="str">
        <f>+dHdcp[[#This Row],[Maximo]]&amp;":"&amp;_xlfn.XLOOKUP(dHdcp[[#This Row],[Nombre]],dJugador[Nombre],dJugador[Mote],"",0)</f>
        <v>0:Ignacio</v>
      </c>
      <c r="J285" t="str">
        <f>+IF(dHdcp[[#This Row],[Maximo]]=0,"",_xlfn.RANK.EQ(dHdcp[[#This Row],[Handicap]],dHdcp[Handicap],1))</f>
        <v/>
      </c>
      <c r="K285" t="str">
        <f>IFERROR(+_xlfn.RANK.EQ(dHdcp[[#This Row],[Ranking]],dHdcp[Ranking],1),"")</f>
        <v/>
      </c>
      <c r="M285" t="str">
        <f>+dHdcp[[#This Row],[Fecha]]&amp;":"&amp;dHdcp[[#This Row],[Nombre]]</f>
        <v>43555:Ignacio Cadarso</v>
      </c>
      <c r="N285">
        <f>+COUNTIF(dHdcp[Columna1],dHdcp[[#This Row],[Columna1]])</f>
        <v>2</v>
      </c>
    </row>
    <row r="286" spans="1:14">
      <c r="A286" s="2">
        <v>43555</v>
      </c>
      <c r="B286" t="s">
        <v>39</v>
      </c>
      <c r="C286" s="51">
        <v>14.5</v>
      </c>
      <c r="D286">
        <v>3</v>
      </c>
      <c r="E286" t="s">
        <v>74</v>
      </c>
      <c r="F286" t="s">
        <v>752</v>
      </c>
      <c r="G286">
        <f>+IF(dHdcp[[#This Row],[Fecha]]=MAX(dHdcp[Fecha]),1,0)</f>
        <v>0</v>
      </c>
      <c r="H286" t="str">
        <f>+dHdcp[[#This Row],[Maximo]]&amp;":"&amp;dHdcp[[#This Row],[Nombre]]</f>
        <v>0:Iñigo Rosas</v>
      </c>
      <c r="I286" t="str">
        <f>+dHdcp[[#This Row],[Maximo]]&amp;":"&amp;_xlfn.XLOOKUP(dHdcp[[#This Row],[Nombre]],dJugador[Nombre],dJugador[Mote],"",0)</f>
        <v>0:</v>
      </c>
      <c r="J286" t="str">
        <f>+IF(dHdcp[[#This Row],[Maximo]]=0,"",_xlfn.RANK.EQ(dHdcp[[#This Row],[Handicap]],dHdcp[Handicap],1))</f>
        <v/>
      </c>
      <c r="K286" t="str">
        <f>IFERROR(+_xlfn.RANK.EQ(dHdcp[[#This Row],[Ranking]],dHdcp[Ranking],1),"")</f>
        <v/>
      </c>
      <c r="M286" t="str">
        <f>+dHdcp[[#This Row],[Fecha]]&amp;":"&amp;dHdcp[[#This Row],[Nombre]]</f>
        <v>43555:Iñigo Rosas</v>
      </c>
      <c r="N286">
        <f>+COUNTIF(dHdcp[Columna1],dHdcp[[#This Row],[Columna1]])</f>
        <v>2</v>
      </c>
    </row>
    <row r="287" spans="1:14">
      <c r="A287" s="2">
        <v>43555</v>
      </c>
      <c r="B287" t="s">
        <v>39</v>
      </c>
      <c r="C287" s="51">
        <v>13.3</v>
      </c>
      <c r="D287">
        <v>3</v>
      </c>
      <c r="E287" t="s">
        <v>75</v>
      </c>
      <c r="F287" t="s">
        <v>753</v>
      </c>
      <c r="G287">
        <f>+IF(dHdcp[[#This Row],[Fecha]]=MAX(dHdcp[Fecha]),1,0)</f>
        <v>0</v>
      </c>
      <c r="H287" t="str">
        <f>+dHdcp[[#This Row],[Maximo]]&amp;":"&amp;dHdcp[[#This Row],[Nombre]]</f>
        <v>0:Iñigo Rosas</v>
      </c>
      <c r="I287" t="str">
        <f>+dHdcp[[#This Row],[Maximo]]&amp;":"&amp;_xlfn.XLOOKUP(dHdcp[[#This Row],[Nombre]],dJugador[Nombre],dJugador[Mote],"",0)</f>
        <v>0:</v>
      </c>
      <c r="J287" t="str">
        <f>+IF(dHdcp[[#This Row],[Maximo]]=0,"",_xlfn.RANK.EQ(dHdcp[[#This Row],[Handicap]],dHdcp[Handicap],1))</f>
        <v/>
      </c>
      <c r="K287" t="str">
        <f>IFERROR(+_xlfn.RANK.EQ(dHdcp[[#This Row],[Ranking]],dHdcp[Ranking],1),"")</f>
        <v/>
      </c>
      <c r="M287" t="str">
        <f>+dHdcp[[#This Row],[Fecha]]&amp;":"&amp;dHdcp[[#This Row],[Nombre]]</f>
        <v>43555:Iñigo Rosas</v>
      </c>
      <c r="N287">
        <f>+COUNTIF(dHdcp[Columna1],dHdcp[[#This Row],[Columna1]])</f>
        <v>2</v>
      </c>
    </row>
    <row r="288" spans="1:14">
      <c r="A288" s="2">
        <v>43555</v>
      </c>
      <c r="B288" t="s">
        <v>23</v>
      </c>
      <c r="C288" s="51">
        <v>19.600000000000001</v>
      </c>
      <c r="D288">
        <v>4</v>
      </c>
      <c r="E288" t="s">
        <v>74</v>
      </c>
      <c r="F288" t="s">
        <v>754</v>
      </c>
      <c r="G288">
        <f>+IF(dHdcp[[#This Row],[Fecha]]=MAX(dHdcp[Fecha]),1,0)</f>
        <v>0</v>
      </c>
      <c r="H288" t="str">
        <f>+dHdcp[[#This Row],[Maximo]]&amp;":"&amp;dHdcp[[#This Row],[Nombre]]</f>
        <v>0:J. Enrique Gonzalez</v>
      </c>
      <c r="I288" t="str">
        <f>+dHdcp[[#This Row],[Maximo]]&amp;":"&amp;_xlfn.XLOOKUP(dHdcp[[#This Row],[Nombre]],dJugador[Nombre],dJugador[Mote],"",0)</f>
        <v>0:Kike</v>
      </c>
      <c r="J288" t="str">
        <f>+IF(dHdcp[[#This Row],[Maximo]]=0,"",_xlfn.RANK.EQ(dHdcp[[#This Row],[Handicap]],dHdcp[Handicap],1))</f>
        <v/>
      </c>
      <c r="K288" t="str">
        <f>IFERROR(+_xlfn.RANK.EQ(dHdcp[[#This Row],[Ranking]],dHdcp[Ranking],1),"")</f>
        <v/>
      </c>
      <c r="M288" t="str">
        <f>+dHdcp[[#This Row],[Fecha]]&amp;":"&amp;dHdcp[[#This Row],[Nombre]]</f>
        <v>43555:J. Enrique Gonzalez</v>
      </c>
      <c r="N288">
        <f>+COUNTIF(dHdcp[Columna1],dHdcp[[#This Row],[Columna1]])</f>
        <v>2</v>
      </c>
    </row>
    <row r="289" spans="1:14">
      <c r="A289" s="2">
        <v>43555</v>
      </c>
      <c r="B289" t="s">
        <v>23</v>
      </c>
      <c r="C289" s="51">
        <v>18.100000000000009</v>
      </c>
      <c r="D289">
        <v>3</v>
      </c>
      <c r="E289" t="s">
        <v>75</v>
      </c>
      <c r="F289" t="s">
        <v>755</v>
      </c>
      <c r="G289">
        <f>+IF(dHdcp[[#This Row],[Fecha]]=MAX(dHdcp[Fecha]),1,0)</f>
        <v>0</v>
      </c>
      <c r="H289" t="str">
        <f>+dHdcp[[#This Row],[Maximo]]&amp;":"&amp;dHdcp[[#This Row],[Nombre]]</f>
        <v>0:J. Enrique Gonzalez</v>
      </c>
      <c r="I289" t="str">
        <f>+dHdcp[[#This Row],[Maximo]]&amp;":"&amp;_xlfn.XLOOKUP(dHdcp[[#This Row],[Nombre]],dJugador[Nombre],dJugador[Mote],"",0)</f>
        <v>0:Kike</v>
      </c>
      <c r="J289" t="str">
        <f>+IF(dHdcp[[#This Row],[Maximo]]=0,"",_xlfn.RANK.EQ(dHdcp[[#This Row],[Handicap]],dHdcp[Handicap],1))</f>
        <v/>
      </c>
      <c r="K289" t="str">
        <f>IFERROR(+_xlfn.RANK.EQ(dHdcp[[#This Row],[Ranking]],dHdcp[Ranking],1),"")</f>
        <v/>
      </c>
      <c r="M289" t="str">
        <f>+dHdcp[[#This Row],[Fecha]]&amp;":"&amp;dHdcp[[#This Row],[Nombre]]</f>
        <v>43555:J. Enrique Gonzalez</v>
      </c>
      <c r="N289">
        <f>+COUNTIF(dHdcp[Columna1],dHdcp[[#This Row],[Columna1]])</f>
        <v>2</v>
      </c>
    </row>
    <row r="290" spans="1:14">
      <c r="A290" s="2">
        <v>43555</v>
      </c>
      <c r="B290" t="s">
        <v>46</v>
      </c>
      <c r="C290" s="51">
        <v>13.1</v>
      </c>
      <c r="D290">
        <v>3</v>
      </c>
      <c r="E290" t="s">
        <v>74</v>
      </c>
      <c r="F290" t="s">
        <v>756</v>
      </c>
      <c r="G290">
        <f>+IF(dHdcp[[#This Row],[Fecha]]=MAX(dHdcp[Fecha]),1,0)</f>
        <v>0</v>
      </c>
      <c r="H290" t="str">
        <f>+dHdcp[[#This Row],[Maximo]]&amp;":"&amp;dHdcp[[#This Row],[Nombre]]</f>
        <v>0:Javier Cervera</v>
      </c>
      <c r="I290" t="str">
        <f>+dHdcp[[#This Row],[Maximo]]&amp;":"&amp;_xlfn.XLOOKUP(dHdcp[[#This Row],[Nombre]],dJugador[Nombre],dJugador[Mote],"",0)</f>
        <v>0:Virus</v>
      </c>
      <c r="J290" t="str">
        <f>+IF(dHdcp[[#This Row],[Maximo]]=0,"",_xlfn.RANK.EQ(dHdcp[[#This Row],[Handicap]],dHdcp[Handicap],1))</f>
        <v/>
      </c>
      <c r="K290" t="str">
        <f>IFERROR(+_xlfn.RANK.EQ(dHdcp[[#This Row],[Ranking]],dHdcp[Ranking],1),"")</f>
        <v/>
      </c>
      <c r="M290" t="str">
        <f>+dHdcp[[#This Row],[Fecha]]&amp;":"&amp;dHdcp[[#This Row],[Nombre]]</f>
        <v>43555:Javier Cervera</v>
      </c>
      <c r="N290">
        <f>+COUNTIF(dHdcp[Columna1],dHdcp[[#This Row],[Columna1]])</f>
        <v>2</v>
      </c>
    </row>
    <row r="291" spans="1:14">
      <c r="A291" s="2">
        <v>43555</v>
      </c>
      <c r="B291" t="s">
        <v>46</v>
      </c>
      <c r="C291" s="51">
        <v>13.2</v>
      </c>
      <c r="D291">
        <v>3</v>
      </c>
      <c r="E291" t="s">
        <v>75</v>
      </c>
      <c r="F291" t="s">
        <v>757</v>
      </c>
      <c r="G291">
        <f>+IF(dHdcp[[#This Row],[Fecha]]=MAX(dHdcp[Fecha]),1,0)</f>
        <v>0</v>
      </c>
      <c r="H291" t="str">
        <f>+dHdcp[[#This Row],[Maximo]]&amp;":"&amp;dHdcp[[#This Row],[Nombre]]</f>
        <v>0:Javier Cervera</v>
      </c>
      <c r="I291" t="str">
        <f>+dHdcp[[#This Row],[Maximo]]&amp;":"&amp;_xlfn.XLOOKUP(dHdcp[[#This Row],[Nombre]],dJugador[Nombre],dJugador[Mote],"",0)</f>
        <v>0:Virus</v>
      </c>
      <c r="J291" t="str">
        <f>+IF(dHdcp[[#This Row],[Maximo]]=0,"",_xlfn.RANK.EQ(dHdcp[[#This Row],[Handicap]],dHdcp[Handicap],1))</f>
        <v/>
      </c>
      <c r="K291" t="str">
        <f>IFERROR(+_xlfn.RANK.EQ(dHdcp[[#This Row],[Ranking]],dHdcp[Ranking],1),"")</f>
        <v/>
      </c>
      <c r="M291" t="str">
        <f>+dHdcp[[#This Row],[Fecha]]&amp;":"&amp;dHdcp[[#This Row],[Nombre]]</f>
        <v>43555:Javier Cervera</v>
      </c>
      <c r="N291">
        <f>+COUNTIF(dHdcp[Columna1],dHdcp[[#This Row],[Columna1]])</f>
        <v>2</v>
      </c>
    </row>
    <row r="292" spans="1:14">
      <c r="A292" s="2">
        <v>43555</v>
      </c>
      <c r="B292" t="s">
        <v>20</v>
      </c>
      <c r="C292" s="51">
        <v>13.9</v>
      </c>
      <c r="D292">
        <v>3</v>
      </c>
      <c r="E292" t="s">
        <v>74</v>
      </c>
      <c r="F292" t="s">
        <v>758</v>
      </c>
      <c r="G292">
        <f>+IF(dHdcp[[#This Row],[Fecha]]=MAX(dHdcp[Fecha]),1,0)</f>
        <v>0</v>
      </c>
      <c r="H292" t="str">
        <f>+dHdcp[[#This Row],[Maximo]]&amp;":"&amp;dHdcp[[#This Row],[Nombre]]</f>
        <v>0:Javier Gonzalez Salvador</v>
      </c>
      <c r="I292" t="str">
        <f>+dHdcp[[#This Row],[Maximo]]&amp;":"&amp;_xlfn.XLOOKUP(dHdcp[[#This Row],[Nombre]],dJugador[Nombre],dJugador[Mote],"",0)</f>
        <v>0:Javi</v>
      </c>
      <c r="J292" t="str">
        <f>+IF(dHdcp[[#This Row],[Maximo]]=0,"",_xlfn.RANK.EQ(dHdcp[[#This Row],[Handicap]],dHdcp[Handicap],1))</f>
        <v/>
      </c>
      <c r="K292" t="str">
        <f>IFERROR(+_xlfn.RANK.EQ(dHdcp[[#This Row],[Ranking]],dHdcp[Ranking],1),"")</f>
        <v/>
      </c>
      <c r="M292" t="str">
        <f>+dHdcp[[#This Row],[Fecha]]&amp;":"&amp;dHdcp[[#This Row],[Nombre]]</f>
        <v>43555:Javier Gonzalez Salvador</v>
      </c>
      <c r="N292">
        <f>+COUNTIF(dHdcp[Columna1],dHdcp[[#This Row],[Columna1]])</f>
        <v>2</v>
      </c>
    </row>
    <row r="293" spans="1:14">
      <c r="A293" s="2">
        <v>43555</v>
      </c>
      <c r="B293" t="s">
        <v>20</v>
      </c>
      <c r="C293" s="51">
        <v>10.399999999999999</v>
      </c>
      <c r="D293">
        <v>2</v>
      </c>
      <c r="E293" t="s">
        <v>75</v>
      </c>
      <c r="F293" t="s">
        <v>759</v>
      </c>
      <c r="G293">
        <f>+IF(dHdcp[[#This Row],[Fecha]]=MAX(dHdcp[Fecha]),1,0)</f>
        <v>0</v>
      </c>
      <c r="H293" t="str">
        <f>+dHdcp[[#This Row],[Maximo]]&amp;":"&amp;dHdcp[[#This Row],[Nombre]]</f>
        <v>0:Javier Gonzalez Salvador</v>
      </c>
      <c r="I293" t="str">
        <f>+dHdcp[[#This Row],[Maximo]]&amp;":"&amp;_xlfn.XLOOKUP(dHdcp[[#This Row],[Nombre]],dJugador[Nombre],dJugador[Mote],"",0)</f>
        <v>0:Javi</v>
      </c>
      <c r="J293" t="str">
        <f>+IF(dHdcp[[#This Row],[Maximo]]=0,"",_xlfn.RANK.EQ(dHdcp[[#This Row],[Handicap]],dHdcp[Handicap],1))</f>
        <v/>
      </c>
      <c r="K293" t="str">
        <f>IFERROR(+_xlfn.RANK.EQ(dHdcp[[#This Row],[Ranking]],dHdcp[Ranking],1),"")</f>
        <v/>
      </c>
      <c r="M293" t="str">
        <f>+dHdcp[[#This Row],[Fecha]]&amp;":"&amp;dHdcp[[#This Row],[Nombre]]</f>
        <v>43555:Javier Gonzalez Salvador</v>
      </c>
      <c r="N293">
        <f>+COUNTIF(dHdcp[Columna1],dHdcp[[#This Row],[Columna1]])</f>
        <v>2</v>
      </c>
    </row>
    <row r="294" spans="1:14">
      <c r="A294" s="2">
        <v>43555</v>
      </c>
      <c r="B294" t="s">
        <v>41</v>
      </c>
      <c r="C294" s="51">
        <v>20.9</v>
      </c>
      <c r="D294">
        <v>4</v>
      </c>
      <c r="E294" t="s">
        <v>74</v>
      </c>
      <c r="F294" t="s">
        <v>760</v>
      </c>
      <c r="G294">
        <f>+IF(dHdcp[[#This Row],[Fecha]]=MAX(dHdcp[Fecha]),1,0)</f>
        <v>0</v>
      </c>
      <c r="H294" t="str">
        <f>+dHdcp[[#This Row],[Maximo]]&amp;":"&amp;dHdcp[[#This Row],[Nombre]]</f>
        <v>0:Jesus Touceda</v>
      </c>
      <c r="I294" t="str">
        <f>+dHdcp[[#This Row],[Maximo]]&amp;":"&amp;_xlfn.XLOOKUP(dHdcp[[#This Row],[Nombre]],dJugador[Nombre],dJugador[Mote],"",0)</f>
        <v>0:Jesús</v>
      </c>
      <c r="J294" t="str">
        <f>+IF(dHdcp[[#This Row],[Maximo]]=0,"",_xlfn.RANK.EQ(dHdcp[[#This Row],[Handicap]],dHdcp[Handicap],1))</f>
        <v/>
      </c>
      <c r="K294" t="str">
        <f>IFERROR(+_xlfn.RANK.EQ(dHdcp[[#This Row],[Ranking]],dHdcp[Ranking],1),"")</f>
        <v/>
      </c>
      <c r="M294" t="str">
        <f>+dHdcp[[#This Row],[Fecha]]&amp;":"&amp;dHdcp[[#This Row],[Nombre]]</f>
        <v>43555:Jesus Touceda</v>
      </c>
      <c r="N294">
        <f>+COUNTIF(dHdcp[Columna1],dHdcp[[#This Row],[Columna1]])</f>
        <v>2</v>
      </c>
    </row>
    <row r="295" spans="1:14">
      <c r="A295" s="2">
        <v>43555</v>
      </c>
      <c r="B295" t="s">
        <v>41</v>
      </c>
      <c r="C295" s="51">
        <v>21</v>
      </c>
      <c r="D295">
        <v>4</v>
      </c>
      <c r="E295" t="s">
        <v>75</v>
      </c>
      <c r="F295" t="s">
        <v>761</v>
      </c>
      <c r="G295">
        <f>+IF(dHdcp[[#This Row],[Fecha]]=MAX(dHdcp[Fecha]),1,0)</f>
        <v>0</v>
      </c>
      <c r="H295" t="str">
        <f>+dHdcp[[#This Row],[Maximo]]&amp;":"&amp;dHdcp[[#This Row],[Nombre]]</f>
        <v>0:Jesus Touceda</v>
      </c>
      <c r="I295" t="str">
        <f>+dHdcp[[#This Row],[Maximo]]&amp;":"&amp;_xlfn.XLOOKUP(dHdcp[[#This Row],[Nombre]],dJugador[Nombre],dJugador[Mote],"",0)</f>
        <v>0:Jesús</v>
      </c>
      <c r="J295" t="str">
        <f>+IF(dHdcp[[#This Row],[Maximo]]=0,"",_xlfn.RANK.EQ(dHdcp[[#This Row],[Handicap]],dHdcp[Handicap],1))</f>
        <v/>
      </c>
      <c r="K295" t="str">
        <f>IFERROR(+_xlfn.RANK.EQ(dHdcp[[#This Row],[Ranking]],dHdcp[Ranking],1),"")</f>
        <v/>
      </c>
      <c r="M295" t="str">
        <f>+dHdcp[[#This Row],[Fecha]]&amp;":"&amp;dHdcp[[#This Row],[Nombre]]</f>
        <v>43555:Jesus Touceda</v>
      </c>
      <c r="N295">
        <f>+COUNTIF(dHdcp[Columna1],dHdcp[[#This Row],[Columna1]])</f>
        <v>2</v>
      </c>
    </row>
    <row r="296" spans="1:14">
      <c r="A296" s="2">
        <v>43555</v>
      </c>
      <c r="B296" t="s">
        <v>18</v>
      </c>
      <c r="C296" s="51">
        <v>7.6</v>
      </c>
      <c r="D296">
        <v>2</v>
      </c>
      <c r="E296" t="s">
        <v>74</v>
      </c>
      <c r="F296" t="s">
        <v>762</v>
      </c>
      <c r="G296">
        <f>+IF(dHdcp[[#This Row],[Fecha]]=MAX(dHdcp[Fecha]),1,0)</f>
        <v>0</v>
      </c>
      <c r="H296" t="str">
        <f>+dHdcp[[#This Row],[Maximo]]&amp;":"&amp;dHdcp[[#This Row],[Nombre]]</f>
        <v>0:José Pablo Guil</v>
      </c>
      <c r="I296" t="str">
        <f>+dHdcp[[#This Row],[Maximo]]&amp;":"&amp;_xlfn.XLOOKUP(dHdcp[[#This Row],[Nombre]],dJugador[Nombre],dJugador[Mote],"",0)</f>
        <v>0:JP</v>
      </c>
      <c r="J296" t="str">
        <f>+IF(dHdcp[[#This Row],[Maximo]]=0,"",_xlfn.RANK.EQ(dHdcp[[#This Row],[Handicap]],dHdcp[Handicap],1))</f>
        <v/>
      </c>
      <c r="K296" t="str">
        <f>IFERROR(+_xlfn.RANK.EQ(dHdcp[[#This Row],[Ranking]],dHdcp[Ranking],1),"")</f>
        <v/>
      </c>
      <c r="M296" t="str">
        <f>+dHdcp[[#This Row],[Fecha]]&amp;":"&amp;dHdcp[[#This Row],[Nombre]]</f>
        <v>43555:José Pablo Guil</v>
      </c>
      <c r="N296">
        <f>+COUNTIF(dHdcp[Columna1],dHdcp[[#This Row],[Columna1]])</f>
        <v>2</v>
      </c>
    </row>
    <row r="297" spans="1:14">
      <c r="A297" s="2">
        <v>43555</v>
      </c>
      <c r="B297" t="s">
        <v>18</v>
      </c>
      <c r="C297" s="51">
        <v>5.5999999999999979</v>
      </c>
      <c r="D297">
        <v>2</v>
      </c>
      <c r="E297" t="s">
        <v>75</v>
      </c>
      <c r="F297" t="s">
        <v>763</v>
      </c>
      <c r="G297">
        <f>+IF(dHdcp[[#This Row],[Fecha]]=MAX(dHdcp[Fecha]),1,0)</f>
        <v>0</v>
      </c>
      <c r="H297" t="str">
        <f>+dHdcp[[#This Row],[Maximo]]&amp;":"&amp;dHdcp[[#This Row],[Nombre]]</f>
        <v>0:José Pablo Guil</v>
      </c>
      <c r="I297" t="str">
        <f>+dHdcp[[#This Row],[Maximo]]&amp;":"&amp;_xlfn.XLOOKUP(dHdcp[[#This Row],[Nombre]],dJugador[Nombre],dJugador[Mote],"",0)</f>
        <v>0:JP</v>
      </c>
      <c r="J297" t="str">
        <f>+IF(dHdcp[[#This Row],[Maximo]]=0,"",_xlfn.RANK.EQ(dHdcp[[#This Row],[Handicap]],dHdcp[Handicap],1))</f>
        <v/>
      </c>
      <c r="K297" t="str">
        <f>IFERROR(+_xlfn.RANK.EQ(dHdcp[[#This Row],[Ranking]],dHdcp[Ranking],1),"")</f>
        <v/>
      </c>
      <c r="M297" t="str">
        <f>+dHdcp[[#This Row],[Fecha]]&amp;":"&amp;dHdcp[[#This Row],[Nombre]]</f>
        <v>43555:José Pablo Guil</v>
      </c>
      <c r="N297">
        <f>+COUNTIF(dHdcp[Columna1],dHdcp[[#This Row],[Columna1]])</f>
        <v>2</v>
      </c>
    </row>
    <row r="298" spans="1:14">
      <c r="A298" s="2">
        <v>43555</v>
      </c>
      <c r="B298" t="s">
        <v>43</v>
      </c>
      <c r="C298" s="51">
        <v>17.100000000000001</v>
      </c>
      <c r="D298">
        <v>3</v>
      </c>
      <c r="E298" t="s">
        <v>74</v>
      </c>
      <c r="F298" t="s">
        <v>764</v>
      </c>
      <c r="G298">
        <f>+IF(dHdcp[[#This Row],[Fecha]]=MAX(dHdcp[Fecha]),1,0)</f>
        <v>0</v>
      </c>
      <c r="H298" t="str">
        <f>+dHdcp[[#This Row],[Maximo]]&amp;":"&amp;dHdcp[[#This Row],[Nombre]]</f>
        <v>0:Luis Escudero</v>
      </c>
      <c r="I298" t="str">
        <f>+dHdcp[[#This Row],[Maximo]]&amp;":"&amp;_xlfn.XLOOKUP(dHdcp[[#This Row],[Nombre]],dJugador[Nombre],dJugador[Mote],"",0)</f>
        <v>0:Lucho</v>
      </c>
      <c r="J298" t="str">
        <f>+IF(dHdcp[[#This Row],[Maximo]]=0,"",_xlfn.RANK.EQ(dHdcp[[#This Row],[Handicap]],dHdcp[Handicap],1))</f>
        <v/>
      </c>
      <c r="K298" t="str">
        <f>IFERROR(+_xlfn.RANK.EQ(dHdcp[[#This Row],[Ranking]],dHdcp[Ranking],1),"")</f>
        <v/>
      </c>
      <c r="M298" t="str">
        <f>+dHdcp[[#This Row],[Fecha]]&amp;":"&amp;dHdcp[[#This Row],[Nombre]]</f>
        <v>43555:Luis Escudero</v>
      </c>
      <c r="N298">
        <f>+COUNTIF(dHdcp[Columna1],dHdcp[[#This Row],[Columna1]])</f>
        <v>2</v>
      </c>
    </row>
    <row r="299" spans="1:14">
      <c r="A299" s="2">
        <v>43555</v>
      </c>
      <c r="B299" t="s">
        <v>43</v>
      </c>
      <c r="C299" s="51">
        <v>16.8</v>
      </c>
      <c r="D299">
        <v>3</v>
      </c>
      <c r="E299" t="s">
        <v>75</v>
      </c>
      <c r="F299" t="s">
        <v>765</v>
      </c>
      <c r="G299">
        <f>+IF(dHdcp[[#This Row],[Fecha]]=MAX(dHdcp[Fecha]),1,0)</f>
        <v>0</v>
      </c>
      <c r="H299" t="str">
        <f>+dHdcp[[#This Row],[Maximo]]&amp;":"&amp;dHdcp[[#This Row],[Nombre]]</f>
        <v>0:Luis Escudero</v>
      </c>
      <c r="I299" t="str">
        <f>+dHdcp[[#This Row],[Maximo]]&amp;":"&amp;_xlfn.XLOOKUP(dHdcp[[#This Row],[Nombre]],dJugador[Nombre],dJugador[Mote],"",0)</f>
        <v>0:Lucho</v>
      </c>
      <c r="J299" t="str">
        <f>+IF(dHdcp[[#This Row],[Maximo]]=0,"",_xlfn.RANK.EQ(dHdcp[[#This Row],[Handicap]],dHdcp[Handicap],1))</f>
        <v/>
      </c>
      <c r="K299" t="str">
        <f>IFERROR(+_xlfn.RANK.EQ(dHdcp[[#This Row],[Ranking]],dHdcp[Ranking],1),"")</f>
        <v/>
      </c>
      <c r="M299" t="str">
        <f>+dHdcp[[#This Row],[Fecha]]&amp;":"&amp;dHdcp[[#This Row],[Nombre]]</f>
        <v>43555:Luis Escudero</v>
      </c>
      <c r="N299">
        <f>+COUNTIF(dHdcp[Columna1],dHdcp[[#This Row],[Columna1]])</f>
        <v>2</v>
      </c>
    </row>
    <row r="300" spans="1:14">
      <c r="A300" s="2">
        <v>43555</v>
      </c>
      <c r="B300" t="s">
        <v>3</v>
      </c>
      <c r="C300" s="51">
        <v>6.2</v>
      </c>
      <c r="D300">
        <v>2</v>
      </c>
      <c r="E300" t="s">
        <v>74</v>
      </c>
      <c r="F300" t="s">
        <v>766</v>
      </c>
      <c r="G300">
        <f>+IF(dHdcp[[#This Row],[Fecha]]=MAX(dHdcp[Fecha]),1,0)</f>
        <v>0</v>
      </c>
      <c r="H300" t="str">
        <f>+dHdcp[[#This Row],[Maximo]]&amp;":"&amp;dHdcp[[#This Row],[Nombre]]</f>
        <v>0:Nacho Gonzalez</v>
      </c>
      <c r="I300" t="str">
        <f>+dHdcp[[#This Row],[Maximo]]&amp;":"&amp;_xlfn.XLOOKUP(dHdcp[[#This Row],[Nombre]],dJugador[Nombre],dJugador[Mote],"",0)</f>
        <v>0:Nacho</v>
      </c>
      <c r="J300" t="str">
        <f>+IF(dHdcp[[#This Row],[Maximo]]=0,"",_xlfn.RANK.EQ(dHdcp[[#This Row],[Handicap]],dHdcp[Handicap],1))</f>
        <v/>
      </c>
      <c r="K300" t="str">
        <f>IFERROR(+_xlfn.RANK.EQ(dHdcp[[#This Row],[Ranking]],dHdcp[Ranking],1),"")</f>
        <v/>
      </c>
      <c r="M300" t="str">
        <f>+dHdcp[[#This Row],[Fecha]]&amp;":"&amp;dHdcp[[#This Row],[Nombre]]</f>
        <v>43555:Nacho Gonzalez</v>
      </c>
      <c r="N300">
        <f>+COUNTIF(dHdcp[Columna1],dHdcp[[#This Row],[Columna1]])</f>
        <v>2</v>
      </c>
    </row>
    <row r="301" spans="1:14">
      <c r="A301" s="2">
        <v>43555</v>
      </c>
      <c r="B301" t="s">
        <v>3</v>
      </c>
      <c r="C301" s="51">
        <v>4.4000000000000004</v>
      </c>
      <c r="D301">
        <v>1</v>
      </c>
      <c r="E301" t="s">
        <v>75</v>
      </c>
      <c r="F301" t="s">
        <v>767</v>
      </c>
      <c r="G301">
        <f>+IF(dHdcp[[#This Row],[Fecha]]=MAX(dHdcp[Fecha]),1,0)</f>
        <v>0</v>
      </c>
      <c r="H301" t="str">
        <f>+dHdcp[[#This Row],[Maximo]]&amp;":"&amp;dHdcp[[#This Row],[Nombre]]</f>
        <v>0:Nacho Gonzalez</v>
      </c>
      <c r="I301" t="str">
        <f>+dHdcp[[#This Row],[Maximo]]&amp;":"&amp;_xlfn.XLOOKUP(dHdcp[[#This Row],[Nombre]],dJugador[Nombre],dJugador[Mote],"",0)</f>
        <v>0:Nacho</v>
      </c>
      <c r="J301" t="str">
        <f>+IF(dHdcp[[#This Row],[Maximo]]=0,"",_xlfn.RANK.EQ(dHdcp[[#This Row],[Handicap]],dHdcp[Handicap],1))</f>
        <v/>
      </c>
      <c r="K301" t="str">
        <f>IFERROR(+_xlfn.RANK.EQ(dHdcp[[#This Row],[Ranking]],dHdcp[Ranking],1),"")</f>
        <v/>
      </c>
      <c r="M301" t="str">
        <f>+dHdcp[[#This Row],[Fecha]]&amp;":"&amp;dHdcp[[#This Row],[Nombre]]</f>
        <v>43555:Nacho Gonzalez</v>
      </c>
      <c r="N301">
        <f>+COUNTIF(dHdcp[Columna1],dHdcp[[#This Row],[Columna1]])</f>
        <v>2</v>
      </c>
    </row>
    <row r="302" spans="1:14">
      <c r="A302" s="2">
        <v>43555</v>
      </c>
      <c r="B302" t="s">
        <v>28</v>
      </c>
      <c r="C302" s="51">
        <v>13.4</v>
      </c>
      <c r="D302">
        <v>3</v>
      </c>
      <c r="E302" t="s">
        <v>74</v>
      </c>
      <c r="F302" t="s">
        <v>768</v>
      </c>
      <c r="G302">
        <f>+IF(dHdcp[[#This Row],[Fecha]]=MAX(dHdcp[Fecha]),1,0)</f>
        <v>0</v>
      </c>
      <c r="H302" t="str">
        <f>+dHdcp[[#This Row],[Maximo]]&amp;":"&amp;dHdcp[[#This Row],[Nombre]]</f>
        <v>0:Pablo Munitiz</v>
      </c>
      <c r="I302" t="str">
        <f>+dHdcp[[#This Row],[Maximo]]&amp;":"&amp;_xlfn.XLOOKUP(dHdcp[[#This Row],[Nombre]],dJugador[Nombre],dJugador[Mote],"",0)</f>
        <v>0:Muni</v>
      </c>
      <c r="J302" t="str">
        <f>+IF(dHdcp[[#This Row],[Maximo]]=0,"",_xlfn.RANK.EQ(dHdcp[[#This Row],[Handicap]],dHdcp[Handicap],1))</f>
        <v/>
      </c>
      <c r="K302" t="str">
        <f>IFERROR(+_xlfn.RANK.EQ(dHdcp[[#This Row],[Ranking]],dHdcp[Ranking],1),"")</f>
        <v/>
      </c>
      <c r="M302" t="str">
        <f>+dHdcp[[#This Row],[Fecha]]&amp;":"&amp;dHdcp[[#This Row],[Nombre]]</f>
        <v>43555:Pablo Munitiz</v>
      </c>
      <c r="N302">
        <f>+COUNTIF(dHdcp[Columna1],dHdcp[[#This Row],[Columna1]])</f>
        <v>2</v>
      </c>
    </row>
    <row r="303" spans="1:14">
      <c r="A303" s="2">
        <v>43555</v>
      </c>
      <c r="B303" t="s">
        <v>28</v>
      </c>
      <c r="C303" s="51">
        <v>13.4</v>
      </c>
      <c r="D303">
        <v>3</v>
      </c>
      <c r="E303" t="s">
        <v>75</v>
      </c>
      <c r="F303" t="s">
        <v>769</v>
      </c>
      <c r="G303">
        <f>+IF(dHdcp[[#This Row],[Fecha]]=MAX(dHdcp[Fecha]),1,0)</f>
        <v>0</v>
      </c>
      <c r="H303" t="str">
        <f>+dHdcp[[#This Row],[Maximo]]&amp;":"&amp;dHdcp[[#This Row],[Nombre]]</f>
        <v>0:Pablo Munitiz</v>
      </c>
      <c r="I303" t="str">
        <f>+dHdcp[[#This Row],[Maximo]]&amp;":"&amp;_xlfn.XLOOKUP(dHdcp[[#This Row],[Nombre]],dJugador[Nombre],dJugador[Mote],"",0)</f>
        <v>0:Muni</v>
      </c>
      <c r="J303" t="str">
        <f>+IF(dHdcp[[#This Row],[Maximo]]=0,"",_xlfn.RANK.EQ(dHdcp[[#This Row],[Handicap]],dHdcp[Handicap],1))</f>
        <v/>
      </c>
      <c r="K303" t="str">
        <f>IFERROR(+_xlfn.RANK.EQ(dHdcp[[#This Row],[Ranking]],dHdcp[Ranking],1),"")</f>
        <v/>
      </c>
      <c r="M303" t="str">
        <f>+dHdcp[[#This Row],[Fecha]]&amp;":"&amp;dHdcp[[#This Row],[Nombre]]</f>
        <v>43555:Pablo Munitiz</v>
      </c>
      <c r="N303">
        <f>+COUNTIF(dHdcp[Columna1],dHdcp[[#This Row],[Columna1]])</f>
        <v>2</v>
      </c>
    </row>
    <row r="304" spans="1:14">
      <c r="A304" s="2">
        <v>43555</v>
      </c>
      <c r="B304" t="s">
        <v>37</v>
      </c>
      <c r="C304" s="51">
        <v>10.1</v>
      </c>
      <c r="D304">
        <v>2</v>
      </c>
      <c r="E304" t="s">
        <v>74</v>
      </c>
      <c r="F304" t="s">
        <v>770</v>
      </c>
      <c r="G304">
        <f>+IF(dHdcp[[#This Row],[Fecha]]=MAX(dHdcp[Fecha]),1,0)</f>
        <v>0</v>
      </c>
      <c r="H304" t="str">
        <f>+dHdcp[[#This Row],[Maximo]]&amp;":"&amp;dHdcp[[#This Row],[Nombre]]</f>
        <v>0:Ricardo Muelas</v>
      </c>
      <c r="I304" t="str">
        <f>+dHdcp[[#This Row],[Maximo]]&amp;":"&amp;_xlfn.XLOOKUP(dHdcp[[#This Row],[Nombre]],dJugador[Nombre],dJugador[Mote],"",0)</f>
        <v>0:</v>
      </c>
      <c r="J304" t="str">
        <f>+IF(dHdcp[[#This Row],[Maximo]]=0,"",_xlfn.RANK.EQ(dHdcp[[#This Row],[Handicap]],dHdcp[Handicap],1))</f>
        <v/>
      </c>
      <c r="K304" t="str">
        <f>IFERROR(+_xlfn.RANK.EQ(dHdcp[[#This Row],[Ranking]],dHdcp[Ranking],1),"")</f>
        <v/>
      </c>
      <c r="M304" t="str">
        <f>+dHdcp[[#This Row],[Fecha]]&amp;":"&amp;dHdcp[[#This Row],[Nombre]]</f>
        <v>43555:Ricardo Muelas</v>
      </c>
      <c r="N304">
        <f>+COUNTIF(dHdcp[Columna1],dHdcp[[#This Row],[Columna1]])</f>
        <v>2</v>
      </c>
    </row>
    <row r="305" spans="1:14">
      <c r="A305" s="2">
        <v>43555</v>
      </c>
      <c r="B305" t="s">
        <v>37</v>
      </c>
      <c r="C305" s="51">
        <v>9.6999999999999993</v>
      </c>
      <c r="D305">
        <v>2</v>
      </c>
      <c r="E305" t="s">
        <v>75</v>
      </c>
      <c r="F305" t="s">
        <v>771</v>
      </c>
      <c r="G305">
        <f>+IF(dHdcp[[#This Row],[Fecha]]=MAX(dHdcp[Fecha]),1,0)</f>
        <v>0</v>
      </c>
      <c r="H305" t="str">
        <f>+dHdcp[[#This Row],[Maximo]]&amp;":"&amp;dHdcp[[#This Row],[Nombre]]</f>
        <v>0:Ricardo Muelas</v>
      </c>
      <c r="I305" t="str">
        <f>+dHdcp[[#This Row],[Maximo]]&amp;":"&amp;_xlfn.XLOOKUP(dHdcp[[#This Row],[Nombre]],dJugador[Nombre],dJugador[Mote],"",0)</f>
        <v>0:</v>
      </c>
      <c r="J305" t="str">
        <f>+IF(dHdcp[[#This Row],[Maximo]]=0,"",_xlfn.RANK.EQ(dHdcp[[#This Row],[Handicap]],dHdcp[Handicap],1))</f>
        <v/>
      </c>
      <c r="K305" t="str">
        <f>IFERROR(+_xlfn.RANK.EQ(dHdcp[[#This Row],[Ranking]],dHdcp[Ranking],1),"")</f>
        <v/>
      </c>
      <c r="M305" t="str">
        <f>+dHdcp[[#This Row],[Fecha]]&amp;":"&amp;dHdcp[[#This Row],[Nombre]]</f>
        <v>43555:Ricardo Muelas</v>
      </c>
      <c r="N305">
        <f>+COUNTIF(dHdcp[Columna1],dHdcp[[#This Row],[Columna1]])</f>
        <v>2</v>
      </c>
    </row>
    <row r="306" spans="1:14">
      <c r="A306" s="2">
        <v>43614</v>
      </c>
      <c r="B306" t="s">
        <v>9</v>
      </c>
      <c r="C306" s="51">
        <v>8.5</v>
      </c>
      <c r="D306">
        <v>2</v>
      </c>
      <c r="E306" t="s">
        <v>74</v>
      </c>
      <c r="F306" t="s">
        <v>772</v>
      </c>
      <c r="G306">
        <f>+IF(dHdcp[[#This Row],[Fecha]]=MAX(dHdcp[Fecha]),1,0)</f>
        <v>0</v>
      </c>
      <c r="H306" t="str">
        <f>+dHdcp[[#This Row],[Maximo]]&amp;":"&amp;dHdcp[[#This Row],[Nombre]]</f>
        <v>0:Alfonso Hidalgo</v>
      </c>
      <c r="I306" t="str">
        <f>+dHdcp[[#This Row],[Maximo]]&amp;":"&amp;_xlfn.XLOOKUP(dHdcp[[#This Row],[Nombre]],dJugador[Nombre],dJugador[Mote],"",0)</f>
        <v>0:Alfonso</v>
      </c>
      <c r="J306" t="str">
        <f>+IF(dHdcp[[#This Row],[Maximo]]=0,"",_xlfn.RANK.EQ(dHdcp[[#This Row],[Handicap]],dHdcp[Handicap],1))</f>
        <v/>
      </c>
      <c r="K306" t="str">
        <f>IFERROR(+_xlfn.RANK.EQ(dHdcp[[#This Row],[Ranking]],dHdcp[Ranking],1),"")</f>
        <v/>
      </c>
      <c r="M306" t="str">
        <f>+dHdcp[[#This Row],[Fecha]]&amp;":"&amp;dHdcp[[#This Row],[Nombre]]</f>
        <v>43614:Alfonso Hidalgo</v>
      </c>
      <c r="N306">
        <f>+COUNTIF(dHdcp[Columna1],dHdcp[[#This Row],[Columna1]])</f>
        <v>1</v>
      </c>
    </row>
    <row r="307" spans="1:14">
      <c r="A307" s="2">
        <v>43614</v>
      </c>
      <c r="B307" t="s">
        <v>15</v>
      </c>
      <c r="C307" s="51">
        <v>5.6</v>
      </c>
      <c r="D307">
        <v>2</v>
      </c>
      <c r="E307" t="s">
        <v>74</v>
      </c>
      <c r="F307" t="s">
        <v>773</v>
      </c>
      <c r="G307">
        <f>+IF(dHdcp[[#This Row],[Fecha]]=MAX(dHdcp[Fecha]),1,0)</f>
        <v>0</v>
      </c>
      <c r="H307" t="str">
        <f>+dHdcp[[#This Row],[Maximo]]&amp;":"&amp;dHdcp[[#This Row],[Nombre]]</f>
        <v>0:Alvaro Aguirre</v>
      </c>
      <c r="I307" t="str">
        <f>+dHdcp[[#This Row],[Maximo]]&amp;":"&amp;_xlfn.XLOOKUP(dHdcp[[#This Row],[Nombre]],dJugador[Nombre],dJugador[Mote],"",0)</f>
        <v>0:Gifu</v>
      </c>
      <c r="J307" t="str">
        <f>+IF(dHdcp[[#This Row],[Maximo]]=0,"",_xlfn.RANK.EQ(dHdcp[[#This Row],[Handicap]],dHdcp[Handicap],1))</f>
        <v/>
      </c>
      <c r="K307" t="str">
        <f>IFERROR(+_xlfn.RANK.EQ(dHdcp[[#This Row],[Ranking]],dHdcp[Ranking],1),"")</f>
        <v/>
      </c>
      <c r="M307" t="str">
        <f>+dHdcp[[#This Row],[Fecha]]&amp;":"&amp;dHdcp[[#This Row],[Nombre]]</f>
        <v>43614:Alvaro Aguirre</v>
      </c>
      <c r="N307">
        <f>+COUNTIF(dHdcp[Columna1],dHdcp[[#This Row],[Columna1]])</f>
        <v>1</v>
      </c>
    </row>
    <row r="308" spans="1:14">
      <c r="A308" s="2">
        <v>43614</v>
      </c>
      <c r="B308" t="s">
        <v>25</v>
      </c>
      <c r="C308" s="51">
        <v>14.6</v>
      </c>
      <c r="D308">
        <v>3</v>
      </c>
      <c r="E308" t="s">
        <v>74</v>
      </c>
      <c r="F308" t="s">
        <v>774</v>
      </c>
      <c r="G308">
        <f>+IF(dHdcp[[#This Row],[Fecha]]=MAX(dHdcp[Fecha]),1,0)</f>
        <v>0</v>
      </c>
      <c r="H308" t="str">
        <f>+dHdcp[[#This Row],[Maximo]]&amp;":"&amp;dHdcp[[#This Row],[Nombre]]</f>
        <v>0:Alvaro Nieto</v>
      </c>
      <c r="I308" t="str">
        <f>+dHdcp[[#This Row],[Maximo]]&amp;":"&amp;_xlfn.XLOOKUP(dHdcp[[#This Row],[Nombre]],dJugador[Nombre],dJugador[Mote],"",0)</f>
        <v>0:Alvaro</v>
      </c>
      <c r="J308" t="str">
        <f>+IF(dHdcp[[#This Row],[Maximo]]=0,"",_xlfn.RANK.EQ(dHdcp[[#This Row],[Handicap]],dHdcp[Handicap],1))</f>
        <v/>
      </c>
      <c r="K308" t="str">
        <f>IFERROR(+_xlfn.RANK.EQ(dHdcp[[#This Row],[Ranking]],dHdcp[Ranking],1),"")</f>
        <v/>
      </c>
      <c r="M308" t="str">
        <f>+dHdcp[[#This Row],[Fecha]]&amp;":"&amp;dHdcp[[#This Row],[Nombre]]</f>
        <v>43614:Alvaro Nieto</v>
      </c>
      <c r="N308">
        <f>+COUNTIF(dHdcp[Columna1],dHdcp[[#This Row],[Columna1]])</f>
        <v>1</v>
      </c>
    </row>
    <row r="309" spans="1:14">
      <c r="A309" s="2">
        <v>43614</v>
      </c>
      <c r="B309" t="s">
        <v>33</v>
      </c>
      <c r="C309" s="51">
        <v>7</v>
      </c>
      <c r="D309">
        <v>2</v>
      </c>
      <c r="E309" t="s">
        <v>74</v>
      </c>
      <c r="F309" t="s">
        <v>775</v>
      </c>
      <c r="G309">
        <f>+IF(dHdcp[[#This Row],[Fecha]]=MAX(dHdcp[Fecha]),1,0)</f>
        <v>0</v>
      </c>
      <c r="H309" t="str">
        <f>+dHdcp[[#This Row],[Maximo]]&amp;":"&amp;dHdcp[[#This Row],[Nombre]]</f>
        <v>0:Angel Hernandez</v>
      </c>
      <c r="I309" t="str">
        <f>+dHdcp[[#This Row],[Maximo]]&amp;":"&amp;_xlfn.XLOOKUP(dHdcp[[#This Row],[Nombre]],dJugador[Nombre],dJugador[Mote],"",0)</f>
        <v>0:Angel</v>
      </c>
      <c r="J309" t="str">
        <f>+IF(dHdcp[[#This Row],[Maximo]]=0,"",_xlfn.RANK.EQ(dHdcp[[#This Row],[Handicap]],dHdcp[Handicap],1))</f>
        <v/>
      </c>
      <c r="K309" t="str">
        <f>IFERROR(+_xlfn.RANK.EQ(dHdcp[[#This Row],[Ranking]],dHdcp[Ranking],1),"")</f>
        <v/>
      </c>
      <c r="M309" t="str">
        <f>+dHdcp[[#This Row],[Fecha]]&amp;":"&amp;dHdcp[[#This Row],[Nombre]]</f>
        <v>43614:Angel Hernandez</v>
      </c>
      <c r="N309">
        <f>+COUNTIF(dHdcp[Columna1],dHdcp[[#This Row],[Columna1]])</f>
        <v>1</v>
      </c>
    </row>
    <row r="310" spans="1:14">
      <c r="A310" s="2">
        <v>43614</v>
      </c>
      <c r="B310" t="s">
        <v>30</v>
      </c>
      <c r="C310" s="51">
        <v>10.5</v>
      </c>
      <c r="D310">
        <v>2</v>
      </c>
      <c r="E310" t="s">
        <v>74</v>
      </c>
      <c r="F310" t="s">
        <v>776</v>
      </c>
      <c r="G310">
        <f>+IF(dHdcp[[#This Row],[Fecha]]=MAX(dHdcp[Fecha]),1,0)</f>
        <v>0</v>
      </c>
      <c r="H310" t="str">
        <f>+dHdcp[[#This Row],[Maximo]]&amp;":"&amp;dHdcp[[#This Row],[Nombre]]</f>
        <v>0:David Sequera</v>
      </c>
      <c r="I310" t="str">
        <f>+dHdcp[[#This Row],[Maximo]]&amp;":"&amp;_xlfn.XLOOKUP(dHdcp[[#This Row],[Nombre]],dJugador[Nombre],dJugador[Mote],"",0)</f>
        <v>0:David</v>
      </c>
      <c r="J310" t="str">
        <f>+IF(dHdcp[[#This Row],[Maximo]]=0,"",_xlfn.RANK.EQ(dHdcp[[#This Row],[Handicap]],dHdcp[Handicap],1))</f>
        <v/>
      </c>
      <c r="K310" t="str">
        <f>IFERROR(+_xlfn.RANK.EQ(dHdcp[[#This Row],[Ranking]],dHdcp[Ranking],1),"")</f>
        <v/>
      </c>
      <c r="M310" t="str">
        <f>+dHdcp[[#This Row],[Fecha]]&amp;":"&amp;dHdcp[[#This Row],[Nombre]]</f>
        <v>43614:David Sequera</v>
      </c>
      <c r="N310">
        <f>+COUNTIF(dHdcp[Columna1],dHdcp[[#This Row],[Columna1]])</f>
        <v>1</v>
      </c>
    </row>
    <row r="311" spans="1:14">
      <c r="A311" s="2">
        <v>43614</v>
      </c>
      <c r="B311" t="s">
        <v>12</v>
      </c>
      <c r="C311" s="51">
        <v>14</v>
      </c>
      <c r="D311">
        <v>3</v>
      </c>
      <c r="E311" t="s">
        <v>74</v>
      </c>
      <c r="F311" t="s">
        <v>777</v>
      </c>
      <c r="G311">
        <f>+IF(dHdcp[[#This Row],[Fecha]]=MAX(dHdcp[Fecha]),1,0)</f>
        <v>0</v>
      </c>
      <c r="H311" t="str">
        <f>+dHdcp[[#This Row],[Maximo]]&amp;":"&amp;dHdcp[[#This Row],[Nombre]]</f>
        <v>0:Francisco Alvarez</v>
      </c>
      <c r="I311" t="str">
        <f>+dHdcp[[#This Row],[Maximo]]&amp;":"&amp;_xlfn.XLOOKUP(dHdcp[[#This Row],[Nombre]],dJugador[Nombre],dJugador[Mote],"",0)</f>
        <v>0:Paco</v>
      </c>
      <c r="J311" t="str">
        <f>+IF(dHdcp[[#This Row],[Maximo]]=0,"",_xlfn.RANK.EQ(dHdcp[[#This Row],[Handicap]],dHdcp[Handicap],1))</f>
        <v/>
      </c>
      <c r="K311" t="str">
        <f>IFERROR(+_xlfn.RANK.EQ(dHdcp[[#This Row],[Ranking]],dHdcp[Ranking],1),"")</f>
        <v/>
      </c>
      <c r="M311" t="str">
        <f>+dHdcp[[#This Row],[Fecha]]&amp;":"&amp;dHdcp[[#This Row],[Nombre]]</f>
        <v>43614:Francisco Alvarez</v>
      </c>
      <c r="N311">
        <f>+COUNTIF(dHdcp[Columna1],dHdcp[[#This Row],[Columna1]])</f>
        <v>1</v>
      </c>
    </row>
    <row r="312" spans="1:14">
      <c r="A312" s="2">
        <v>43614</v>
      </c>
      <c r="B312" t="s">
        <v>49</v>
      </c>
      <c r="C312" s="51">
        <v>13.2</v>
      </c>
      <c r="D312">
        <v>3</v>
      </c>
      <c r="E312" t="s">
        <v>74</v>
      </c>
      <c r="F312" t="s">
        <v>778</v>
      </c>
      <c r="G312">
        <f>+IF(dHdcp[[#This Row],[Fecha]]=MAX(dHdcp[Fecha]),1,0)</f>
        <v>0</v>
      </c>
      <c r="H312" t="str">
        <f>+dHdcp[[#This Row],[Maximo]]&amp;":"&amp;dHdcp[[#This Row],[Nombre]]</f>
        <v>0:Francisco Hidalgo</v>
      </c>
      <c r="I312" t="str">
        <f>+dHdcp[[#This Row],[Maximo]]&amp;":"&amp;_xlfn.XLOOKUP(dHdcp[[#This Row],[Nombre]],dJugador[Nombre],dJugador[Mote],"",0)</f>
        <v>0:Fran</v>
      </c>
      <c r="J312" t="str">
        <f>+IF(dHdcp[[#This Row],[Maximo]]=0,"",_xlfn.RANK.EQ(dHdcp[[#This Row],[Handicap]],dHdcp[Handicap],1))</f>
        <v/>
      </c>
      <c r="K312" t="str">
        <f>IFERROR(+_xlfn.RANK.EQ(dHdcp[[#This Row],[Ranking]],dHdcp[Ranking],1),"")</f>
        <v/>
      </c>
      <c r="M312" t="str">
        <f>+dHdcp[[#This Row],[Fecha]]&amp;":"&amp;dHdcp[[#This Row],[Nombre]]</f>
        <v>43614:Francisco Hidalgo</v>
      </c>
      <c r="N312">
        <f>+COUNTIF(dHdcp[Columna1],dHdcp[[#This Row],[Columna1]])</f>
        <v>1</v>
      </c>
    </row>
    <row r="313" spans="1:14">
      <c r="A313" s="2">
        <v>43614</v>
      </c>
      <c r="B313" t="s">
        <v>35</v>
      </c>
      <c r="C313" s="51">
        <v>17.100000000000001</v>
      </c>
      <c r="D313">
        <v>3</v>
      </c>
      <c r="E313" t="s">
        <v>74</v>
      </c>
      <c r="F313" t="s">
        <v>779</v>
      </c>
      <c r="G313">
        <f>+IF(dHdcp[[#This Row],[Fecha]]=MAX(dHdcp[Fecha]),1,0)</f>
        <v>0</v>
      </c>
      <c r="H313" t="str">
        <f>+dHdcp[[#This Row],[Maximo]]&amp;":"&amp;dHdcp[[#This Row],[Nombre]]</f>
        <v>0:GLEZ JUAN JOSÉ</v>
      </c>
      <c r="I313" t="str">
        <f>+dHdcp[[#This Row],[Maximo]]&amp;":"&amp;_xlfn.XLOOKUP(dHdcp[[#This Row],[Nombre]],dJugador[Nombre],dJugador[Mote],"",0)</f>
        <v>0:Juanjo</v>
      </c>
      <c r="J313" t="str">
        <f>+IF(dHdcp[[#This Row],[Maximo]]=0,"",_xlfn.RANK.EQ(dHdcp[[#This Row],[Handicap]],dHdcp[Handicap],1))</f>
        <v/>
      </c>
      <c r="K313" t="str">
        <f>IFERROR(+_xlfn.RANK.EQ(dHdcp[[#This Row],[Ranking]],dHdcp[Ranking],1),"")</f>
        <v/>
      </c>
      <c r="M313" t="str">
        <f>+dHdcp[[#This Row],[Fecha]]&amp;":"&amp;dHdcp[[#This Row],[Nombre]]</f>
        <v>43614:GLEZ JUAN JOSÉ</v>
      </c>
      <c r="N313">
        <f>+COUNTIF(dHdcp[Columna1],dHdcp[[#This Row],[Columna1]])</f>
        <v>1</v>
      </c>
    </row>
    <row r="314" spans="1:14">
      <c r="A314" s="2">
        <v>43614</v>
      </c>
      <c r="B314" t="s">
        <v>6</v>
      </c>
      <c r="C314" s="51">
        <v>5.5</v>
      </c>
      <c r="D314">
        <v>2</v>
      </c>
      <c r="E314" t="s">
        <v>74</v>
      </c>
      <c r="F314" t="s">
        <v>780</v>
      </c>
      <c r="G314">
        <f>+IF(dHdcp[[#This Row],[Fecha]]=MAX(dHdcp[Fecha]),1,0)</f>
        <v>0</v>
      </c>
      <c r="H314" t="str">
        <f>+dHdcp[[#This Row],[Maximo]]&amp;":"&amp;dHdcp[[#This Row],[Nombre]]</f>
        <v>0:Ignacio Cadarso</v>
      </c>
      <c r="I314" t="str">
        <f>+dHdcp[[#This Row],[Maximo]]&amp;":"&amp;_xlfn.XLOOKUP(dHdcp[[#This Row],[Nombre]],dJugador[Nombre],dJugador[Mote],"",0)</f>
        <v>0:Ignacio</v>
      </c>
      <c r="J314" t="str">
        <f>+IF(dHdcp[[#This Row],[Maximo]]=0,"",_xlfn.RANK.EQ(dHdcp[[#This Row],[Handicap]],dHdcp[Handicap],1))</f>
        <v/>
      </c>
      <c r="K314" t="str">
        <f>IFERROR(+_xlfn.RANK.EQ(dHdcp[[#This Row],[Ranking]],dHdcp[Ranking],1),"")</f>
        <v/>
      </c>
      <c r="M314" t="str">
        <f>+dHdcp[[#This Row],[Fecha]]&amp;":"&amp;dHdcp[[#This Row],[Nombre]]</f>
        <v>43614:Ignacio Cadarso</v>
      </c>
      <c r="N314">
        <f>+COUNTIF(dHdcp[Columna1],dHdcp[[#This Row],[Columna1]])</f>
        <v>1</v>
      </c>
    </row>
    <row r="315" spans="1:14">
      <c r="A315" s="2">
        <v>43614</v>
      </c>
      <c r="B315" t="s">
        <v>39</v>
      </c>
      <c r="C315" s="51">
        <v>14.5</v>
      </c>
      <c r="D315">
        <v>3</v>
      </c>
      <c r="E315" t="s">
        <v>74</v>
      </c>
      <c r="F315" t="s">
        <v>781</v>
      </c>
      <c r="G315">
        <f>+IF(dHdcp[[#This Row],[Fecha]]=MAX(dHdcp[Fecha]),1,0)</f>
        <v>0</v>
      </c>
      <c r="H315" t="str">
        <f>+dHdcp[[#This Row],[Maximo]]&amp;":"&amp;dHdcp[[#This Row],[Nombre]]</f>
        <v>0:Iñigo Rosas</v>
      </c>
      <c r="I315" t="str">
        <f>+dHdcp[[#This Row],[Maximo]]&amp;":"&amp;_xlfn.XLOOKUP(dHdcp[[#This Row],[Nombre]],dJugador[Nombre],dJugador[Mote],"",0)</f>
        <v>0:</v>
      </c>
      <c r="J315" t="str">
        <f>+IF(dHdcp[[#This Row],[Maximo]]=0,"",_xlfn.RANK.EQ(dHdcp[[#This Row],[Handicap]],dHdcp[Handicap],1))</f>
        <v/>
      </c>
      <c r="K315" t="str">
        <f>IFERROR(+_xlfn.RANK.EQ(dHdcp[[#This Row],[Ranking]],dHdcp[Ranking],1),"")</f>
        <v/>
      </c>
      <c r="M315" t="str">
        <f>+dHdcp[[#This Row],[Fecha]]&amp;":"&amp;dHdcp[[#This Row],[Nombre]]</f>
        <v>43614:Iñigo Rosas</v>
      </c>
      <c r="N315">
        <f>+COUNTIF(dHdcp[Columna1],dHdcp[[#This Row],[Columna1]])</f>
        <v>1</v>
      </c>
    </row>
    <row r="316" spans="1:14">
      <c r="A316" s="2">
        <v>43614</v>
      </c>
      <c r="B316" t="s">
        <v>23</v>
      </c>
      <c r="C316" s="51">
        <v>19.7</v>
      </c>
      <c r="D316">
        <v>4</v>
      </c>
      <c r="E316" t="s">
        <v>74</v>
      </c>
      <c r="F316" t="s">
        <v>782</v>
      </c>
      <c r="G316">
        <f>+IF(dHdcp[[#This Row],[Fecha]]=MAX(dHdcp[Fecha]),1,0)</f>
        <v>0</v>
      </c>
      <c r="H316" t="str">
        <f>+dHdcp[[#This Row],[Maximo]]&amp;":"&amp;dHdcp[[#This Row],[Nombre]]</f>
        <v>0:J. Enrique Gonzalez</v>
      </c>
      <c r="I316" t="str">
        <f>+dHdcp[[#This Row],[Maximo]]&amp;":"&amp;_xlfn.XLOOKUP(dHdcp[[#This Row],[Nombre]],dJugador[Nombre],dJugador[Mote],"",0)</f>
        <v>0:Kike</v>
      </c>
      <c r="J316" t="str">
        <f>+IF(dHdcp[[#This Row],[Maximo]]=0,"",_xlfn.RANK.EQ(dHdcp[[#This Row],[Handicap]],dHdcp[Handicap],1))</f>
        <v/>
      </c>
      <c r="K316" t="str">
        <f>IFERROR(+_xlfn.RANK.EQ(dHdcp[[#This Row],[Ranking]],dHdcp[Ranking],1),"")</f>
        <v/>
      </c>
      <c r="M316" t="str">
        <f>+dHdcp[[#This Row],[Fecha]]&amp;":"&amp;dHdcp[[#This Row],[Nombre]]</f>
        <v>43614:J. Enrique Gonzalez</v>
      </c>
      <c r="N316">
        <f>+COUNTIF(dHdcp[Columna1],dHdcp[[#This Row],[Columna1]])</f>
        <v>1</v>
      </c>
    </row>
    <row r="317" spans="1:14">
      <c r="A317" s="2">
        <v>43614</v>
      </c>
      <c r="B317" t="s">
        <v>46</v>
      </c>
      <c r="C317" s="51">
        <v>13.3</v>
      </c>
      <c r="D317">
        <v>3</v>
      </c>
      <c r="E317" t="s">
        <v>74</v>
      </c>
      <c r="F317" t="s">
        <v>783</v>
      </c>
      <c r="G317">
        <f>+IF(dHdcp[[#This Row],[Fecha]]=MAX(dHdcp[Fecha]),1,0)</f>
        <v>0</v>
      </c>
      <c r="H317" t="str">
        <f>+dHdcp[[#This Row],[Maximo]]&amp;":"&amp;dHdcp[[#This Row],[Nombre]]</f>
        <v>0:Javier Cervera</v>
      </c>
      <c r="I317" t="str">
        <f>+dHdcp[[#This Row],[Maximo]]&amp;":"&amp;_xlfn.XLOOKUP(dHdcp[[#This Row],[Nombre]],dJugador[Nombre],dJugador[Mote],"",0)</f>
        <v>0:Virus</v>
      </c>
      <c r="J317" t="str">
        <f>+IF(dHdcp[[#This Row],[Maximo]]=0,"",_xlfn.RANK.EQ(dHdcp[[#This Row],[Handicap]],dHdcp[Handicap],1))</f>
        <v/>
      </c>
      <c r="K317" t="str">
        <f>IFERROR(+_xlfn.RANK.EQ(dHdcp[[#This Row],[Ranking]],dHdcp[Ranking],1),"")</f>
        <v/>
      </c>
      <c r="M317" t="str">
        <f>+dHdcp[[#This Row],[Fecha]]&amp;":"&amp;dHdcp[[#This Row],[Nombre]]</f>
        <v>43614:Javier Cervera</v>
      </c>
      <c r="N317">
        <f>+COUNTIF(dHdcp[Columna1],dHdcp[[#This Row],[Columna1]])</f>
        <v>1</v>
      </c>
    </row>
    <row r="318" spans="1:14">
      <c r="A318" s="2">
        <v>43614</v>
      </c>
      <c r="B318" t="s">
        <v>20</v>
      </c>
      <c r="C318" s="51">
        <v>14</v>
      </c>
      <c r="D318">
        <v>3</v>
      </c>
      <c r="E318" t="s">
        <v>74</v>
      </c>
      <c r="F318" t="s">
        <v>784</v>
      </c>
      <c r="G318">
        <f>+IF(dHdcp[[#This Row],[Fecha]]=MAX(dHdcp[Fecha]),1,0)</f>
        <v>0</v>
      </c>
      <c r="H318" t="str">
        <f>+dHdcp[[#This Row],[Maximo]]&amp;":"&amp;dHdcp[[#This Row],[Nombre]]</f>
        <v>0:Javier Gonzalez Salvador</v>
      </c>
      <c r="I318" t="str">
        <f>+dHdcp[[#This Row],[Maximo]]&amp;":"&amp;_xlfn.XLOOKUP(dHdcp[[#This Row],[Nombre]],dJugador[Nombre],dJugador[Mote],"",0)</f>
        <v>0:Javi</v>
      </c>
      <c r="J318" t="str">
        <f>+IF(dHdcp[[#This Row],[Maximo]]=0,"",_xlfn.RANK.EQ(dHdcp[[#This Row],[Handicap]],dHdcp[Handicap],1))</f>
        <v/>
      </c>
      <c r="K318" t="str">
        <f>IFERROR(+_xlfn.RANK.EQ(dHdcp[[#This Row],[Ranking]],dHdcp[Ranking],1),"")</f>
        <v/>
      </c>
      <c r="M318" t="str">
        <f>+dHdcp[[#This Row],[Fecha]]&amp;":"&amp;dHdcp[[#This Row],[Nombre]]</f>
        <v>43614:Javier Gonzalez Salvador</v>
      </c>
      <c r="N318">
        <f>+COUNTIF(dHdcp[Columna1],dHdcp[[#This Row],[Columna1]])</f>
        <v>1</v>
      </c>
    </row>
    <row r="319" spans="1:14">
      <c r="A319" s="2">
        <v>43614</v>
      </c>
      <c r="B319" t="s">
        <v>41</v>
      </c>
      <c r="C319" s="51">
        <v>21.1</v>
      </c>
      <c r="D319">
        <v>4</v>
      </c>
      <c r="E319" t="s">
        <v>74</v>
      </c>
      <c r="F319" t="s">
        <v>785</v>
      </c>
      <c r="G319">
        <f>+IF(dHdcp[[#This Row],[Fecha]]=MAX(dHdcp[Fecha]),1,0)</f>
        <v>0</v>
      </c>
      <c r="H319" t="str">
        <f>+dHdcp[[#This Row],[Maximo]]&amp;":"&amp;dHdcp[[#This Row],[Nombre]]</f>
        <v>0:Jesus Touceda</v>
      </c>
      <c r="I319" t="str">
        <f>+dHdcp[[#This Row],[Maximo]]&amp;":"&amp;_xlfn.XLOOKUP(dHdcp[[#This Row],[Nombre]],dJugador[Nombre],dJugador[Mote],"",0)</f>
        <v>0:Jesús</v>
      </c>
      <c r="J319" t="str">
        <f>+IF(dHdcp[[#This Row],[Maximo]]=0,"",_xlfn.RANK.EQ(dHdcp[[#This Row],[Handicap]],dHdcp[Handicap],1))</f>
        <v/>
      </c>
      <c r="K319" t="str">
        <f>IFERROR(+_xlfn.RANK.EQ(dHdcp[[#This Row],[Ranking]],dHdcp[Ranking],1),"")</f>
        <v/>
      </c>
      <c r="M319" t="str">
        <f>+dHdcp[[#This Row],[Fecha]]&amp;":"&amp;dHdcp[[#This Row],[Nombre]]</f>
        <v>43614:Jesus Touceda</v>
      </c>
      <c r="N319">
        <f>+COUNTIF(dHdcp[Columna1],dHdcp[[#This Row],[Columna1]])</f>
        <v>1</v>
      </c>
    </row>
    <row r="320" spans="1:14">
      <c r="A320" s="2">
        <v>43614</v>
      </c>
      <c r="B320" t="s">
        <v>18</v>
      </c>
      <c r="C320" s="51">
        <v>7.8</v>
      </c>
      <c r="D320">
        <v>2</v>
      </c>
      <c r="E320" t="s">
        <v>74</v>
      </c>
      <c r="F320" t="s">
        <v>786</v>
      </c>
      <c r="G320">
        <f>+IF(dHdcp[[#This Row],[Fecha]]=MAX(dHdcp[Fecha]),1,0)</f>
        <v>0</v>
      </c>
      <c r="H320" t="str">
        <f>+dHdcp[[#This Row],[Maximo]]&amp;":"&amp;dHdcp[[#This Row],[Nombre]]</f>
        <v>0:José Pablo Guil</v>
      </c>
      <c r="I320" t="str">
        <f>+dHdcp[[#This Row],[Maximo]]&amp;":"&amp;_xlfn.XLOOKUP(dHdcp[[#This Row],[Nombre]],dJugador[Nombre],dJugador[Mote],"",0)</f>
        <v>0:JP</v>
      </c>
      <c r="J320" t="str">
        <f>+IF(dHdcp[[#This Row],[Maximo]]=0,"",_xlfn.RANK.EQ(dHdcp[[#This Row],[Handicap]],dHdcp[Handicap],1))</f>
        <v/>
      </c>
      <c r="K320" t="str">
        <f>IFERROR(+_xlfn.RANK.EQ(dHdcp[[#This Row],[Ranking]],dHdcp[Ranking],1),"")</f>
        <v/>
      </c>
      <c r="M320" t="str">
        <f>+dHdcp[[#This Row],[Fecha]]&amp;":"&amp;dHdcp[[#This Row],[Nombre]]</f>
        <v>43614:José Pablo Guil</v>
      </c>
      <c r="N320">
        <f>+COUNTIF(dHdcp[Columna1],dHdcp[[#This Row],[Columna1]])</f>
        <v>1</v>
      </c>
    </row>
    <row r="321" spans="1:14">
      <c r="A321" s="2">
        <v>43614</v>
      </c>
      <c r="B321" t="s">
        <v>43</v>
      </c>
      <c r="C321" s="51">
        <v>17.3</v>
      </c>
      <c r="D321">
        <v>3</v>
      </c>
      <c r="E321" t="s">
        <v>74</v>
      </c>
      <c r="F321" t="s">
        <v>787</v>
      </c>
      <c r="G321">
        <f>+IF(dHdcp[[#This Row],[Fecha]]=MAX(dHdcp[Fecha]),1,0)</f>
        <v>0</v>
      </c>
      <c r="H321" t="str">
        <f>+dHdcp[[#This Row],[Maximo]]&amp;":"&amp;dHdcp[[#This Row],[Nombre]]</f>
        <v>0:Luis Escudero</v>
      </c>
      <c r="I321" t="str">
        <f>+dHdcp[[#This Row],[Maximo]]&amp;":"&amp;_xlfn.XLOOKUP(dHdcp[[#This Row],[Nombre]],dJugador[Nombre],dJugador[Mote],"",0)</f>
        <v>0:Lucho</v>
      </c>
      <c r="J321" t="str">
        <f>+IF(dHdcp[[#This Row],[Maximo]]=0,"",_xlfn.RANK.EQ(dHdcp[[#This Row],[Handicap]],dHdcp[Handicap],1))</f>
        <v/>
      </c>
      <c r="K321" t="str">
        <f>IFERROR(+_xlfn.RANK.EQ(dHdcp[[#This Row],[Ranking]],dHdcp[Ranking],1),"")</f>
        <v/>
      </c>
      <c r="M321" t="str">
        <f>+dHdcp[[#This Row],[Fecha]]&amp;":"&amp;dHdcp[[#This Row],[Nombre]]</f>
        <v>43614:Luis Escudero</v>
      </c>
      <c r="N321">
        <f>+COUNTIF(dHdcp[Columna1],dHdcp[[#This Row],[Columna1]])</f>
        <v>1</v>
      </c>
    </row>
    <row r="322" spans="1:14">
      <c r="A322" s="2">
        <v>43614</v>
      </c>
      <c r="B322" t="s">
        <v>51</v>
      </c>
      <c r="C322" s="51">
        <v>2.4</v>
      </c>
      <c r="D322">
        <v>1</v>
      </c>
      <c r="E322" t="s">
        <v>74</v>
      </c>
      <c r="F322" t="s">
        <v>788</v>
      </c>
      <c r="G322">
        <f>+IF(dHdcp[[#This Row],[Fecha]]=MAX(dHdcp[Fecha]),1,0)</f>
        <v>0</v>
      </c>
      <c r="H322" t="str">
        <f>+dHdcp[[#This Row],[Maximo]]&amp;":"&amp;dHdcp[[#This Row],[Nombre]]</f>
        <v>0:Miguel Diaz Del Moral</v>
      </c>
      <c r="I322" t="str">
        <f>+dHdcp[[#This Row],[Maximo]]&amp;":"&amp;_xlfn.XLOOKUP(dHdcp[[#This Row],[Nombre]],dJugador[Nombre],dJugador[Mote],"",0)</f>
        <v>0:Cañita</v>
      </c>
      <c r="J322" t="str">
        <f>+IF(dHdcp[[#This Row],[Maximo]]=0,"",_xlfn.RANK.EQ(dHdcp[[#This Row],[Handicap]],dHdcp[Handicap],1))</f>
        <v/>
      </c>
      <c r="K322" t="str">
        <f>IFERROR(+_xlfn.RANK.EQ(dHdcp[[#This Row],[Ranking]],dHdcp[Ranking],1),"")</f>
        <v/>
      </c>
      <c r="M322" t="str">
        <f>+dHdcp[[#This Row],[Fecha]]&amp;":"&amp;dHdcp[[#This Row],[Nombre]]</f>
        <v>43614:Miguel Diaz Del Moral</v>
      </c>
      <c r="N322">
        <f>+COUNTIF(dHdcp[Columna1],dHdcp[[#This Row],[Columna1]])</f>
        <v>1</v>
      </c>
    </row>
    <row r="323" spans="1:14">
      <c r="A323" s="2">
        <v>43614</v>
      </c>
      <c r="B323" t="s">
        <v>3</v>
      </c>
      <c r="C323" s="51">
        <v>6.1</v>
      </c>
      <c r="D323">
        <v>2</v>
      </c>
      <c r="E323" t="s">
        <v>74</v>
      </c>
      <c r="F323" t="s">
        <v>789</v>
      </c>
      <c r="G323">
        <f>+IF(dHdcp[[#This Row],[Fecha]]=MAX(dHdcp[Fecha]),1,0)</f>
        <v>0</v>
      </c>
      <c r="H323" t="str">
        <f>+dHdcp[[#This Row],[Maximo]]&amp;":"&amp;dHdcp[[#This Row],[Nombre]]</f>
        <v>0:Nacho Gonzalez</v>
      </c>
      <c r="I323" t="str">
        <f>+dHdcp[[#This Row],[Maximo]]&amp;":"&amp;_xlfn.XLOOKUP(dHdcp[[#This Row],[Nombre]],dJugador[Nombre],dJugador[Mote],"",0)</f>
        <v>0:Nacho</v>
      </c>
      <c r="J323" t="str">
        <f>+IF(dHdcp[[#This Row],[Maximo]]=0,"",_xlfn.RANK.EQ(dHdcp[[#This Row],[Handicap]],dHdcp[Handicap],1))</f>
        <v/>
      </c>
      <c r="K323" t="str">
        <f>IFERROR(+_xlfn.RANK.EQ(dHdcp[[#This Row],[Ranking]],dHdcp[Ranking],1),"")</f>
        <v/>
      </c>
      <c r="M323" t="str">
        <f>+dHdcp[[#This Row],[Fecha]]&amp;":"&amp;dHdcp[[#This Row],[Nombre]]</f>
        <v>43614:Nacho Gonzalez</v>
      </c>
      <c r="N323">
        <f>+COUNTIF(dHdcp[Columna1],dHdcp[[#This Row],[Columna1]])</f>
        <v>1</v>
      </c>
    </row>
    <row r="324" spans="1:14">
      <c r="A324" s="2">
        <v>43614</v>
      </c>
      <c r="B324" t="s">
        <v>28</v>
      </c>
      <c r="C324" s="51">
        <v>13.4</v>
      </c>
      <c r="D324">
        <v>3</v>
      </c>
      <c r="E324" t="s">
        <v>74</v>
      </c>
      <c r="F324" t="s">
        <v>790</v>
      </c>
      <c r="G324">
        <f>+IF(dHdcp[[#This Row],[Fecha]]=MAX(dHdcp[Fecha]),1,0)</f>
        <v>0</v>
      </c>
      <c r="H324" t="str">
        <f>+dHdcp[[#This Row],[Maximo]]&amp;":"&amp;dHdcp[[#This Row],[Nombre]]</f>
        <v>0:Pablo Munitiz</v>
      </c>
      <c r="I324" t="str">
        <f>+dHdcp[[#This Row],[Maximo]]&amp;":"&amp;_xlfn.XLOOKUP(dHdcp[[#This Row],[Nombre]],dJugador[Nombre],dJugador[Mote],"",0)</f>
        <v>0:Muni</v>
      </c>
      <c r="J324" t="str">
        <f>+IF(dHdcp[[#This Row],[Maximo]]=0,"",_xlfn.RANK.EQ(dHdcp[[#This Row],[Handicap]],dHdcp[Handicap],1))</f>
        <v/>
      </c>
      <c r="K324" t="str">
        <f>IFERROR(+_xlfn.RANK.EQ(dHdcp[[#This Row],[Ranking]],dHdcp[Ranking],1),"")</f>
        <v/>
      </c>
      <c r="M324" t="str">
        <f>+dHdcp[[#This Row],[Fecha]]&amp;":"&amp;dHdcp[[#This Row],[Nombre]]</f>
        <v>43614:Pablo Munitiz</v>
      </c>
      <c r="N324">
        <f>+COUNTIF(dHdcp[Columna1],dHdcp[[#This Row],[Columna1]])</f>
        <v>1</v>
      </c>
    </row>
    <row r="325" spans="1:14">
      <c r="A325" s="2">
        <v>43655</v>
      </c>
      <c r="B325" t="s">
        <v>9</v>
      </c>
      <c r="C325" s="51">
        <v>8.6</v>
      </c>
      <c r="D325">
        <v>2</v>
      </c>
      <c r="E325" t="s">
        <v>74</v>
      </c>
      <c r="F325" t="s">
        <v>791</v>
      </c>
      <c r="G325">
        <f>+IF(dHdcp[[#This Row],[Fecha]]=MAX(dHdcp[Fecha]),1,0)</f>
        <v>0</v>
      </c>
      <c r="H325" t="str">
        <f>+dHdcp[[#This Row],[Maximo]]&amp;":"&amp;dHdcp[[#This Row],[Nombre]]</f>
        <v>0:Alfonso Hidalgo</v>
      </c>
      <c r="I325" t="str">
        <f>+dHdcp[[#This Row],[Maximo]]&amp;":"&amp;_xlfn.XLOOKUP(dHdcp[[#This Row],[Nombre]],dJugador[Nombre],dJugador[Mote],"",0)</f>
        <v>0:Alfonso</v>
      </c>
      <c r="J325" t="str">
        <f>+IF(dHdcp[[#This Row],[Maximo]]=0,"",_xlfn.RANK.EQ(dHdcp[[#This Row],[Handicap]],dHdcp[Handicap],1))</f>
        <v/>
      </c>
      <c r="K325" t="str">
        <f>IFERROR(+_xlfn.RANK.EQ(dHdcp[[#This Row],[Ranking]],dHdcp[Ranking],1),"")</f>
        <v/>
      </c>
      <c r="M325" t="str">
        <f>+dHdcp[[#This Row],[Fecha]]&amp;":"&amp;dHdcp[[#This Row],[Nombre]]</f>
        <v>43655:Alfonso Hidalgo</v>
      </c>
      <c r="N325">
        <f>+COUNTIF(dHdcp[Columna1],dHdcp[[#This Row],[Columna1]])</f>
        <v>1</v>
      </c>
    </row>
    <row r="326" spans="1:14">
      <c r="A326" s="2">
        <v>43655</v>
      </c>
      <c r="B326" t="s">
        <v>15</v>
      </c>
      <c r="C326" s="51">
        <v>5.7</v>
      </c>
      <c r="D326">
        <v>2</v>
      </c>
      <c r="E326" t="s">
        <v>74</v>
      </c>
      <c r="F326" t="s">
        <v>792</v>
      </c>
      <c r="G326">
        <f>+IF(dHdcp[[#This Row],[Fecha]]=MAX(dHdcp[Fecha]),1,0)</f>
        <v>0</v>
      </c>
      <c r="H326" t="str">
        <f>+dHdcp[[#This Row],[Maximo]]&amp;":"&amp;dHdcp[[#This Row],[Nombre]]</f>
        <v>0:Alvaro Aguirre</v>
      </c>
      <c r="I326" t="str">
        <f>+dHdcp[[#This Row],[Maximo]]&amp;":"&amp;_xlfn.XLOOKUP(dHdcp[[#This Row],[Nombre]],dJugador[Nombre],dJugador[Mote],"",0)</f>
        <v>0:Gifu</v>
      </c>
      <c r="J326" t="str">
        <f>+IF(dHdcp[[#This Row],[Maximo]]=0,"",_xlfn.RANK.EQ(dHdcp[[#This Row],[Handicap]],dHdcp[Handicap],1))</f>
        <v/>
      </c>
      <c r="K326" t="str">
        <f>IFERROR(+_xlfn.RANK.EQ(dHdcp[[#This Row],[Ranking]],dHdcp[Ranking],1),"")</f>
        <v/>
      </c>
      <c r="M326" t="str">
        <f>+dHdcp[[#This Row],[Fecha]]&amp;":"&amp;dHdcp[[#This Row],[Nombre]]</f>
        <v>43655:Alvaro Aguirre</v>
      </c>
      <c r="N326">
        <f>+COUNTIF(dHdcp[Columna1],dHdcp[[#This Row],[Columna1]])</f>
        <v>1</v>
      </c>
    </row>
    <row r="327" spans="1:14">
      <c r="A327" s="2">
        <v>43655</v>
      </c>
      <c r="B327" t="s">
        <v>25</v>
      </c>
      <c r="C327" s="51">
        <v>14.7</v>
      </c>
      <c r="D327">
        <v>3</v>
      </c>
      <c r="E327" t="s">
        <v>74</v>
      </c>
      <c r="F327" t="s">
        <v>793</v>
      </c>
      <c r="G327">
        <f>+IF(dHdcp[[#This Row],[Fecha]]=MAX(dHdcp[Fecha]),1,0)</f>
        <v>0</v>
      </c>
      <c r="H327" t="str">
        <f>+dHdcp[[#This Row],[Maximo]]&amp;":"&amp;dHdcp[[#This Row],[Nombre]]</f>
        <v>0:Alvaro Nieto</v>
      </c>
      <c r="I327" t="str">
        <f>+dHdcp[[#This Row],[Maximo]]&amp;":"&amp;_xlfn.XLOOKUP(dHdcp[[#This Row],[Nombre]],dJugador[Nombre],dJugador[Mote],"",0)</f>
        <v>0:Alvaro</v>
      </c>
      <c r="J327" t="str">
        <f>+IF(dHdcp[[#This Row],[Maximo]]=0,"",_xlfn.RANK.EQ(dHdcp[[#This Row],[Handicap]],dHdcp[Handicap],1))</f>
        <v/>
      </c>
      <c r="K327" t="str">
        <f>IFERROR(+_xlfn.RANK.EQ(dHdcp[[#This Row],[Ranking]],dHdcp[Ranking],1),"")</f>
        <v/>
      </c>
      <c r="M327" t="str">
        <f>+dHdcp[[#This Row],[Fecha]]&amp;":"&amp;dHdcp[[#This Row],[Nombre]]</f>
        <v>43655:Alvaro Nieto</v>
      </c>
      <c r="N327">
        <f>+COUNTIF(dHdcp[Columna1],dHdcp[[#This Row],[Columna1]])</f>
        <v>1</v>
      </c>
    </row>
    <row r="328" spans="1:14">
      <c r="A328" s="2">
        <v>43655</v>
      </c>
      <c r="B328" t="s">
        <v>33</v>
      </c>
      <c r="C328" s="51">
        <v>7.1</v>
      </c>
      <c r="D328">
        <v>2</v>
      </c>
      <c r="E328" t="s">
        <v>74</v>
      </c>
      <c r="F328" t="s">
        <v>794</v>
      </c>
      <c r="G328">
        <f>+IF(dHdcp[[#This Row],[Fecha]]=MAX(dHdcp[Fecha]),1,0)</f>
        <v>0</v>
      </c>
      <c r="H328" t="str">
        <f>+dHdcp[[#This Row],[Maximo]]&amp;":"&amp;dHdcp[[#This Row],[Nombre]]</f>
        <v>0:Angel Hernandez</v>
      </c>
      <c r="I328" t="str">
        <f>+dHdcp[[#This Row],[Maximo]]&amp;":"&amp;_xlfn.XLOOKUP(dHdcp[[#This Row],[Nombre]],dJugador[Nombre],dJugador[Mote],"",0)</f>
        <v>0:Angel</v>
      </c>
      <c r="J328" t="str">
        <f>+IF(dHdcp[[#This Row],[Maximo]]=0,"",_xlfn.RANK.EQ(dHdcp[[#This Row],[Handicap]],dHdcp[Handicap],1))</f>
        <v/>
      </c>
      <c r="K328" t="str">
        <f>IFERROR(+_xlfn.RANK.EQ(dHdcp[[#This Row],[Ranking]],dHdcp[Ranking],1),"")</f>
        <v/>
      </c>
      <c r="M328" t="str">
        <f>+dHdcp[[#This Row],[Fecha]]&amp;":"&amp;dHdcp[[#This Row],[Nombre]]</f>
        <v>43655:Angel Hernandez</v>
      </c>
      <c r="N328">
        <f>+COUNTIF(dHdcp[Columna1],dHdcp[[#This Row],[Columna1]])</f>
        <v>1</v>
      </c>
    </row>
    <row r="329" spans="1:14">
      <c r="A329" s="2">
        <v>43655</v>
      </c>
      <c r="B329" t="s">
        <v>30</v>
      </c>
      <c r="C329" s="51">
        <v>10.6</v>
      </c>
      <c r="D329">
        <v>2</v>
      </c>
      <c r="E329" t="s">
        <v>74</v>
      </c>
      <c r="F329" t="s">
        <v>795</v>
      </c>
      <c r="G329">
        <f>+IF(dHdcp[[#This Row],[Fecha]]=MAX(dHdcp[Fecha]),1,0)</f>
        <v>0</v>
      </c>
      <c r="H329" t="str">
        <f>+dHdcp[[#This Row],[Maximo]]&amp;":"&amp;dHdcp[[#This Row],[Nombre]]</f>
        <v>0:David Sequera</v>
      </c>
      <c r="I329" t="str">
        <f>+dHdcp[[#This Row],[Maximo]]&amp;":"&amp;_xlfn.XLOOKUP(dHdcp[[#This Row],[Nombre]],dJugador[Nombre],dJugador[Mote],"",0)</f>
        <v>0:David</v>
      </c>
      <c r="J329" t="str">
        <f>+IF(dHdcp[[#This Row],[Maximo]]=0,"",_xlfn.RANK.EQ(dHdcp[[#This Row],[Handicap]],dHdcp[Handicap],1))</f>
        <v/>
      </c>
      <c r="K329" t="str">
        <f>IFERROR(+_xlfn.RANK.EQ(dHdcp[[#This Row],[Ranking]],dHdcp[Ranking],1),"")</f>
        <v/>
      </c>
      <c r="M329" t="str">
        <f>+dHdcp[[#This Row],[Fecha]]&amp;":"&amp;dHdcp[[#This Row],[Nombre]]</f>
        <v>43655:David Sequera</v>
      </c>
      <c r="N329">
        <f>+COUNTIF(dHdcp[Columna1],dHdcp[[#This Row],[Columna1]])</f>
        <v>1</v>
      </c>
    </row>
    <row r="330" spans="1:14">
      <c r="A330" s="2">
        <v>43655</v>
      </c>
      <c r="B330" t="s">
        <v>12</v>
      </c>
      <c r="C330" s="51">
        <v>14</v>
      </c>
      <c r="D330">
        <v>3</v>
      </c>
      <c r="E330" t="s">
        <v>74</v>
      </c>
      <c r="F330" t="s">
        <v>796</v>
      </c>
      <c r="G330">
        <f>+IF(dHdcp[[#This Row],[Fecha]]=MAX(dHdcp[Fecha]),1,0)</f>
        <v>0</v>
      </c>
      <c r="H330" t="str">
        <f>+dHdcp[[#This Row],[Maximo]]&amp;":"&amp;dHdcp[[#This Row],[Nombre]]</f>
        <v>0:Francisco Alvarez</v>
      </c>
      <c r="I330" t="str">
        <f>+dHdcp[[#This Row],[Maximo]]&amp;":"&amp;_xlfn.XLOOKUP(dHdcp[[#This Row],[Nombre]],dJugador[Nombre],dJugador[Mote],"",0)</f>
        <v>0:Paco</v>
      </c>
      <c r="J330" t="str">
        <f>+IF(dHdcp[[#This Row],[Maximo]]=0,"",_xlfn.RANK.EQ(dHdcp[[#This Row],[Handicap]],dHdcp[Handicap],1))</f>
        <v/>
      </c>
      <c r="K330" t="str">
        <f>IFERROR(+_xlfn.RANK.EQ(dHdcp[[#This Row],[Ranking]],dHdcp[Ranking],1),"")</f>
        <v/>
      </c>
      <c r="M330" t="str">
        <f>+dHdcp[[#This Row],[Fecha]]&amp;":"&amp;dHdcp[[#This Row],[Nombre]]</f>
        <v>43655:Francisco Alvarez</v>
      </c>
      <c r="N330">
        <f>+COUNTIF(dHdcp[Columna1],dHdcp[[#This Row],[Columna1]])</f>
        <v>1</v>
      </c>
    </row>
    <row r="331" spans="1:14">
      <c r="A331" s="2">
        <v>43655</v>
      </c>
      <c r="B331" t="s">
        <v>49</v>
      </c>
      <c r="C331" s="51">
        <v>13.4</v>
      </c>
      <c r="D331">
        <v>3</v>
      </c>
      <c r="E331" t="s">
        <v>74</v>
      </c>
      <c r="F331" t="s">
        <v>797</v>
      </c>
      <c r="G331">
        <f>+IF(dHdcp[[#This Row],[Fecha]]=MAX(dHdcp[Fecha]),1,0)</f>
        <v>0</v>
      </c>
      <c r="H331" t="str">
        <f>+dHdcp[[#This Row],[Maximo]]&amp;":"&amp;dHdcp[[#This Row],[Nombre]]</f>
        <v>0:Francisco Hidalgo</v>
      </c>
      <c r="I331" t="str">
        <f>+dHdcp[[#This Row],[Maximo]]&amp;":"&amp;_xlfn.XLOOKUP(dHdcp[[#This Row],[Nombre]],dJugador[Nombre],dJugador[Mote],"",0)</f>
        <v>0:Fran</v>
      </c>
      <c r="J331" t="str">
        <f>+IF(dHdcp[[#This Row],[Maximo]]=0,"",_xlfn.RANK.EQ(dHdcp[[#This Row],[Handicap]],dHdcp[Handicap],1))</f>
        <v/>
      </c>
      <c r="K331" t="str">
        <f>IFERROR(+_xlfn.RANK.EQ(dHdcp[[#This Row],[Ranking]],dHdcp[Ranking],1),"")</f>
        <v/>
      </c>
      <c r="M331" t="str">
        <f>+dHdcp[[#This Row],[Fecha]]&amp;":"&amp;dHdcp[[#This Row],[Nombre]]</f>
        <v>43655:Francisco Hidalgo</v>
      </c>
      <c r="N331">
        <f>+COUNTIF(dHdcp[Columna1],dHdcp[[#This Row],[Columna1]])</f>
        <v>1</v>
      </c>
    </row>
    <row r="332" spans="1:14">
      <c r="A332" s="2">
        <v>43655</v>
      </c>
      <c r="B332" t="s">
        <v>35</v>
      </c>
      <c r="C332" s="51">
        <v>17.100000000000001</v>
      </c>
      <c r="D332">
        <v>3</v>
      </c>
      <c r="E332" t="s">
        <v>74</v>
      </c>
      <c r="F332" t="s">
        <v>798</v>
      </c>
      <c r="G332">
        <f>+IF(dHdcp[[#This Row],[Fecha]]=MAX(dHdcp[Fecha]),1,0)</f>
        <v>0</v>
      </c>
      <c r="H332" t="str">
        <f>+dHdcp[[#This Row],[Maximo]]&amp;":"&amp;dHdcp[[#This Row],[Nombre]]</f>
        <v>0:GLEZ JUAN JOSÉ</v>
      </c>
      <c r="I332" t="str">
        <f>+dHdcp[[#This Row],[Maximo]]&amp;":"&amp;_xlfn.XLOOKUP(dHdcp[[#This Row],[Nombre]],dJugador[Nombre],dJugador[Mote],"",0)</f>
        <v>0:Juanjo</v>
      </c>
      <c r="J332" t="str">
        <f>+IF(dHdcp[[#This Row],[Maximo]]=0,"",_xlfn.RANK.EQ(dHdcp[[#This Row],[Handicap]],dHdcp[Handicap],1))</f>
        <v/>
      </c>
      <c r="K332" t="str">
        <f>IFERROR(+_xlfn.RANK.EQ(dHdcp[[#This Row],[Ranking]],dHdcp[Ranking],1),"")</f>
        <v/>
      </c>
      <c r="M332" t="str">
        <f>+dHdcp[[#This Row],[Fecha]]&amp;":"&amp;dHdcp[[#This Row],[Nombre]]</f>
        <v>43655:GLEZ JUAN JOSÉ</v>
      </c>
      <c r="N332">
        <f>+COUNTIF(dHdcp[Columna1],dHdcp[[#This Row],[Columna1]])</f>
        <v>1</v>
      </c>
    </row>
    <row r="333" spans="1:14">
      <c r="A333" s="2">
        <v>43655</v>
      </c>
      <c r="B333" t="s">
        <v>6</v>
      </c>
      <c r="C333" s="51">
        <v>5.6</v>
      </c>
      <c r="D333">
        <v>2</v>
      </c>
      <c r="E333" t="s">
        <v>74</v>
      </c>
      <c r="F333" t="s">
        <v>799</v>
      </c>
      <c r="G333">
        <f>+IF(dHdcp[[#This Row],[Fecha]]=MAX(dHdcp[Fecha]),1,0)</f>
        <v>0</v>
      </c>
      <c r="H333" t="str">
        <f>+dHdcp[[#This Row],[Maximo]]&amp;":"&amp;dHdcp[[#This Row],[Nombre]]</f>
        <v>0:Ignacio Cadarso</v>
      </c>
      <c r="I333" t="str">
        <f>+dHdcp[[#This Row],[Maximo]]&amp;":"&amp;_xlfn.XLOOKUP(dHdcp[[#This Row],[Nombre]],dJugador[Nombre],dJugador[Mote],"",0)</f>
        <v>0:Ignacio</v>
      </c>
      <c r="J333" t="str">
        <f>+IF(dHdcp[[#This Row],[Maximo]]=0,"",_xlfn.RANK.EQ(dHdcp[[#This Row],[Handicap]],dHdcp[Handicap],1))</f>
        <v/>
      </c>
      <c r="K333" t="str">
        <f>IFERROR(+_xlfn.RANK.EQ(dHdcp[[#This Row],[Ranking]],dHdcp[Ranking],1),"")</f>
        <v/>
      </c>
      <c r="M333" t="str">
        <f>+dHdcp[[#This Row],[Fecha]]&amp;":"&amp;dHdcp[[#This Row],[Nombre]]</f>
        <v>43655:Ignacio Cadarso</v>
      </c>
      <c r="N333">
        <f>+COUNTIF(dHdcp[Columna1],dHdcp[[#This Row],[Columna1]])</f>
        <v>1</v>
      </c>
    </row>
    <row r="334" spans="1:14">
      <c r="A334" s="2">
        <v>43655</v>
      </c>
      <c r="B334" t="s">
        <v>39</v>
      </c>
      <c r="C334" s="51">
        <v>14.5</v>
      </c>
      <c r="D334">
        <v>3</v>
      </c>
      <c r="E334" t="s">
        <v>74</v>
      </c>
      <c r="F334" t="s">
        <v>800</v>
      </c>
      <c r="G334">
        <f>+IF(dHdcp[[#This Row],[Fecha]]=MAX(dHdcp[Fecha]),1,0)</f>
        <v>0</v>
      </c>
      <c r="H334" t="str">
        <f>+dHdcp[[#This Row],[Maximo]]&amp;":"&amp;dHdcp[[#This Row],[Nombre]]</f>
        <v>0:Iñigo Rosas</v>
      </c>
      <c r="I334" t="str">
        <f>+dHdcp[[#This Row],[Maximo]]&amp;":"&amp;_xlfn.XLOOKUP(dHdcp[[#This Row],[Nombre]],dJugador[Nombre],dJugador[Mote],"",0)</f>
        <v>0:</v>
      </c>
      <c r="J334" t="str">
        <f>+IF(dHdcp[[#This Row],[Maximo]]=0,"",_xlfn.RANK.EQ(dHdcp[[#This Row],[Handicap]],dHdcp[Handicap],1))</f>
        <v/>
      </c>
      <c r="K334" t="str">
        <f>IFERROR(+_xlfn.RANK.EQ(dHdcp[[#This Row],[Ranking]],dHdcp[Ranking],1),"")</f>
        <v/>
      </c>
      <c r="M334" t="str">
        <f>+dHdcp[[#This Row],[Fecha]]&amp;":"&amp;dHdcp[[#This Row],[Nombre]]</f>
        <v>43655:Iñigo Rosas</v>
      </c>
      <c r="N334">
        <f>+COUNTIF(dHdcp[Columna1],dHdcp[[#This Row],[Columna1]])</f>
        <v>1</v>
      </c>
    </row>
    <row r="335" spans="1:14">
      <c r="A335" s="2">
        <v>43655</v>
      </c>
      <c r="B335" t="s">
        <v>23</v>
      </c>
      <c r="C335" s="51">
        <v>19.7</v>
      </c>
      <c r="D335">
        <v>4</v>
      </c>
      <c r="E335" t="s">
        <v>74</v>
      </c>
      <c r="F335" t="s">
        <v>801</v>
      </c>
      <c r="G335">
        <f>+IF(dHdcp[[#This Row],[Fecha]]=MAX(dHdcp[Fecha]),1,0)</f>
        <v>0</v>
      </c>
      <c r="H335" t="str">
        <f>+dHdcp[[#This Row],[Maximo]]&amp;":"&amp;dHdcp[[#This Row],[Nombre]]</f>
        <v>0:J. Enrique Gonzalez</v>
      </c>
      <c r="I335" t="str">
        <f>+dHdcp[[#This Row],[Maximo]]&amp;":"&amp;_xlfn.XLOOKUP(dHdcp[[#This Row],[Nombre]],dJugador[Nombre],dJugador[Mote],"",0)</f>
        <v>0:Kike</v>
      </c>
      <c r="J335" t="str">
        <f>+IF(dHdcp[[#This Row],[Maximo]]=0,"",_xlfn.RANK.EQ(dHdcp[[#This Row],[Handicap]],dHdcp[Handicap],1))</f>
        <v/>
      </c>
      <c r="K335" t="str">
        <f>IFERROR(+_xlfn.RANK.EQ(dHdcp[[#This Row],[Ranking]],dHdcp[Ranking],1),"")</f>
        <v/>
      </c>
      <c r="M335" t="str">
        <f>+dHdcp[[#This Row],[Fecha]]&amp;":"&amp;dHdcp[[#This Row],[Nombre]]</f>
        <v>43655:J. Enrique Gonzalez</v>
      </c>
      <c r="N335">
        <f>+COUNTIF(dHdcp[Columna1],dHdcp[[#This Row],[Columna1]])</f>
        <v>1</v>
      </c>
    </row>
    <row r="336" spans="1:14">
      <c r="A336" s="2">
        <v>43655</v>
      </c>
      <c r="B336" t="s">
        <v>46</v>
      </c>
      <c r="C336" s="51">
        <v>13.4</v>
      </c>
      <c r="D336">
        <v>3</v>
      </c>
      <c r="E336" t="s">
        <v>74</v>
      </c>
      <c r="F336" t="s">
        <v>802</v>
      </c>
      <c r="G336">
        <f>+IF(dHdcp[[#This Row],[Fecha]]=MAX(dHdcp[Fecha]),1,0)</f>
        <v>0</v>
      </c>
      <c r="H336" t="str">
        <f>+dHdcp[[#This Row],[Maximo]]&amp;":"&amp;dHdcp[[#This Row],[Nombre]]</f>
        <v>0:Javier Cervera</v>
      </c>
      <c r="I336" t="str">
        <f>+dHdcp[[#This Row],[Maximo]]&amp;":"&amp;_xlfn.XLOOKUP(dHdcp[[#This Row],[Nombre]],dJugador[Nombre],dJugador[Mote],"",0)</f>
        <v>0:Virus</v>
      </c>
      <c r="J336" t="str">
        <f>+IF(dHdcp[[#This Row],[Maximo]]=0,"",_xlfn.RANK.EQ(dHdcp[[#This Row],[Handicap]],dHdcp[Handicap],1))</f>
        <v/>
      </c>
      <c r="K336" t="str">
        <f>IFERROR(+_xlfn.RANK.EQ(dHdcp[[#This Row],[Ranking]],dHdcp[Ranking],1),"")</f>
        <v/>
      </c>
      <c r="M336" t="str">
        <f>+dHdcp[[#This Row],[Fecha]]&amp;":"&amp;dHdcp[[#This Row],[Nombre]]</f>
        <v>43655:Javier Cervera</v>
      </c>
      <c r="N336">
        <f>+COUNTIF(dHdcp[Columna1],dHdcp[[#This Row],[Columna1]])</f>
        <v>1</v>
      </c>
    </row>
    <row r="337" spans="1:14">
      <c r="A337" s="2">
        <v>43655</v>
      </c>
      <c r="B337" t="s">
        <v>20</v>
      </c>
      <c r="C337" s="51">
        <v>14</v>
      </c>
      <c r="D337">
        <v>3</v>
      </c>
      <c r="E337" t="s">
        <v>74</v>
      </c>
      <c r="F337" t="s">
        <v>803</v>
      </c>
      <c r="G337">
        <f>+IF(dHdcp[[#This Row],[Fecha]]=MAX(dHdcp[Fecha]),1,0)</f>
        <v>0</v>
      </c>
      <c r="H337" t="str">
        <f>+dHdcp[[#This Row],[Maximo]]&amp;":"&amp;dHdcp[[#This Row],[Nombre]]</f>
        <v>0:Javier Gonzalez Salvador</v>
      </c>
      <c r="I337" t="str">
        <f>+dHdcp[[#This Row],[Maximo]]&amp;":"&amp;_xlfn.XLOOKUP(dHdcp[[#This Row],[Nombre]],dJugador[Nombre],dJugador[Mote],"",0)</f>
        <v>0:Javi</v>
      </c>
      <c r="J337" t="str">
        <f>+IF(dHdcp[[#This Row],[Maximo]]=0,"",_xlfn.RANK.EQ(dHdcp[[#This Row],[Handicap]],dHdcp[Handicap],1))</f>
        <v/>
      </c>
      <c r="K337" t="str">
        <f>IFERROR(+_xlfn.RANK.EQ(dHdcp[[#This Row],[Ranking]],dHdcp[Ranking],1),"")</f>
        <v/>
      </c>
      <c r="M337" t="str">
        <f>+dHdcp[[#This Row],[Fecha]]&amp;":"&amp;dHdcp[[#This Row],[Nombre]]</f>
        <v>43655:Javier Gonzalez Salvador</v>
      </c>
      <c r="N337">
        <f>+COUNTIF(dHdcp[Columna1],dHdcp[[#This Row],[Columna1]])</f>
        <v>1</v>
      </c>
    </row>
    <row r="338" spans="1:14">
      <c r="A338" s="2">
        <v>43655</v>
      </c>
      <c r="B338" t="s">
        <v>41</v>
      </c>
      <c r="C338" s="51">
        <v>21.1</v>
      </c>
      <c r="D338">
        <v>4</v>
      </c>
      <c r="E338" t="s">
        <v>74</v>
      </c>
      <c r="F338" t="s">
        <v>804</v>
      </c>
      <c r="G338">
        <f>+IF(dHdcp[[#This Row],[Fecha]]=MAX(dHdcp[Fecha]),1,0)</f>
        <v>0</v>
      </c>
      <c r="H338" t="str">
        <f>+dHdcp[[#This Row],[Maximo]]&amp;":"&amp;dHdcp[[#This Row],[Nombre]]</f>
        <v>0:Jesus Touceda</v>
      </c>
      <c r="I338" t="str">
        <f>+dHdcp[[#This Row],[Maximo]]&amp;":"&amp;_xlfn.XLOOKUP(dHdcp[[#This Row],[Nombre]],dJugador[Nombre],dJugador[Mote],"",0)</f>
        <v>0:Jesús</v>
      </c>
      <c r="J338" t="str">
        <f>+IF(dHdcp[[#This Row],[Maximo]]=0,"",_xlfn.RANK.EQ(dHdcp[[#This Row],[Handicap]],dHdcp[Handicap],1))</f>
        <v/>
      </c>
      <c r="K338" t="str">
        <f>IFERROR(+_xlfn.RANK.EQ(dHdcp[[#This Row],[Ranking]],dHdcp[Ranking],1),"")</f>
        <v/>
      </c>
      <c r="M338" t="str">
        <f>+dHdcp[[#This Row],[Fecha]]&amp;":"&amp;dHdcp[[#This Row],[Nombre]]</f>
        <v>43655:Jesus Touceda</v>
      </c>
      <c r="N338">
        <f>+COUNTIF(dHdcp[Columna1],dHdcp[[#This Row],[Columna1]])</f>
        <v>1</v>
      </c>
    </row>
    <row r="339" spans="1:14">
      <c r="A339" s="2">
        <v>43655</v>
      </c>
      <c r="B339" t="s">
        <v>18</v>
      </c>
      <c r="C339" s="51">
        <v>7.3</v>
      </c>
      <c r="D339">
        <v>2</v>
      </c>
      <c r="E339" t="s">
        <v>74</v>
      </c>
      <c r="F339" t="s">
        <v>805</v>
      </c>
      <c r="G339">
        <f>+IF(dHdcp[[#This Row],[Fecha]]=MAX(dHdcp[Fecha]),1,0)</f>
        <v>0</v>
      </c>
      <c r="H339" t="str">
        <f>+dHdcp[[#This Row],[Maximo]]&amp;":"&amp;dHdcp[[#This Row],[Nombre]]</f>
        <v>0:José Pablo Guil</v>
      </c>
      <c r="I339" t="str">
        <f>+dHdcp[[#This Row],[Maximo]]&amp;":"&amp;_xlfn.XLOOKUP(dHdcp[[#This Row],[Nombre]],dJugador[Nombre],dJugador[Mote],"",0)</f>
        <v>0:JP</v>
      </c>
      <c r="J339" t="str">
        <f>+IF(dHdcp[[#This Row],[Maximo]]=0,"",_xlfn.RANK.EQ(dHdcp[[#This Row],[Handicap]],dHdcp[Handicap],1))</f>
        <v/>
      </c>
      <c r="K339" t="str">
        <f>IFERROR(+_xlfn.RANK.EQ(dHdcp[[#This Row],[Ranking]],dHdcp[Ranking],1),"")</f>
        <v/>
      </c>
      <c r="M339" t="str">
        <f>+dHdcp[[#This Row],[Fecha]]&amp;":"&amp;dHdcp[[#This Row],[Nombre]]</f>
        <v>43655:José Pablo Guil</v>
      </c>
      <c r="N339">
        <f>+COUNTIF(dHdcp[Columna1],dHdcp[[#This Row],[Columna1]])</f>
        <v>1</v>
      </c>
    </row>
    <row r="340" spans="1:14">
      <c r="A340" s="2">
        <v>43655</v>
      </c>
      <c r="B340" t="s">
        <v>43</v>
      </c>
      <c r="C340" s="51">
        <v>17.3</v>
      </c>
      <c r="D340">
        <v>3</v>
      </c>
      <c r="E340" t="s">
        <v>74</v>
      </c>
      <c r="F340" t="s">
        <v>806</v>
      </c>
      <c r="G340">
        <f>+IF(dHdcp[[#This Row],[Fecha]]=MAX(dHdcp[Fecha]),1,0)</f>
        <v>0</v>
      </c>
      <c r="H340" t="str">
        <f>+dHdcp[[#This Row],[Maximo]]&amp;":"&amp;dHdcp[[#This Row],[Nombre]]</f>
        <v>0:Luis Escudero</v>
      </c>
      <c r="I340" t="str">
        <f>+dHdcp[[#This Row],[Maximo]]&amp;":"&amp;_xlfn.XLOOKUP(dHdcp[[#This Row],[Nombre]],dJugador[Nombre],dJugador[Mote],"",0)</f>
        <v>0:Lucho</v>
      </c>
      <c r="J340" t="str">
        <f>+IF(dHdcp[[#This Row],[Maximo]]=0,"",_xlfn.RANK.EQ(dHdcp[[#This Row],[Handicap]],dHdcp[Handicap],1))</f>
        <v/>
      </c>
      <c r="K340" t="str">
        <f>IFERROR(+_xlfn.RANK.EQ(dHdcp[[#This Row],[Ranking]],dHdcp[Ranking],1),"")</f>
        <v/>
      </c>
      <c r="M340" t="str">
        <f>+dHdcp[[#This Row],[Fecha]]&amp;":"&amp;dHdcp[[#This Row],[Nombre]]</f>
        <v>43655:Luis Escudero</v>
      </c>
      <c r="N340">
        <f>+COUNTIF(dHdcp[Columna1],dHdcp[[#This Row],[Columna1]])</f>
        <v>1</v>
      </c>
    </row>
    <row r="341" spans="1:14">
      <c r="A341" s="2">
        <v>43655</v>
      </c>
      <c r="B341" t="s">
        <v>51</v>
      </c>
      <c r="C341" s="51">
        <v>2.4</v>
      </c>
      <c r="D341">
        <v>1</v>
      </c>
      <c r="E341" t="s">
        <v>74</v>
      </c>
      <c r="F341" t="s">
        <v>807</v>
      </c>
      <c r="G341">
        <f>+IF(dHdcp[[#This Row],[Fecha]]=MAX(dHdcp[Fecha]),1,0)</f>
        <v>0</v>
      </c>
      <c r="H341" t="str">
        <f>+dHdcp[[#This Row],[Maximo]]&amp;":"&amp;dHdcp[[#This Row],[Nombre]]</f>
        <v>0:Miguel Diaz Del Moral</v>
      </c>
      <c r="I341" t="str">
        <f>+dHdcp[[#This Row],[Maximo]]&amp;":"&amp;_xlfn.XLOOKUP(dHdcp[[#This Row],[Nombre]],dJugador[Nombre],dJugador[Mote],"",0)</f>
        <v>0:Cañita</v>
      </c>
      <c r="J341" t="str">
        <f>+IF(dHdcp[[#This Row],[Maximo]]=0,"",_xlfn.RANK.EQ(dHdcp[[#This Row],[Handicap]],dHdcp[Handicap],1))</f>
        <v/>
      </c>
      <c r="K341" t="str">
        <f>IFERROR(+_xlfn.RANK.EQ(dHdcp[[#This Row],[Ranking]],dHdcp[Ranking],1),"")</f>
        <v/>
      </c>
      <c r="M341" t="str">
        <f>+dHdcp[[#This Row],[Fecha]]&amp;":"&amp;dHdcp[[#This Row],[Nombre]]</f>
        <v>43655:Miguel Diaz Del Moral</v>
      </c>
      <c r="N341">
        <f>+COUNTIF(dHdcp[Columna1],dHdcp[[#This Row],[Columna1]])</f>
        <v>1</v>
      </c>
    </row>
    <row r="342" spans="1:14">
      <c r="A342" s="2">
        <v>43655</v>
      </c>
      <c r="B342" t="s">
        <v>3</v>
      </c>
      <c r="C342" s="51">
        <v>6.1</v>
      </c>
      <c r="D342">
        <v>2</v>
      </c>
      <c r="E342" t="s">
        <v>74</v>
      </c>
      <c r="F342" t="s">
        <v>808</v>
      </c>
      <c r="G342">
        <f>+IF(dHdcp[[#This Row],[Fecha]]=MAX(dHdcp[Fecha]),1,0)</f>
        <v>0</v>
      </c>
      <c r="H342" t="str">
        <f>+dHdcp[[#This Row],[Maximo]]&amp;":"&amp;dHdcp[[#This Row],[Nombre]]</f>
        <v>0:Nacho Gonzalez</v>
      </c>
      <c r="I342" t="str">
        <f>+dHdcp[[#This Row],[Maximo]]&amp;":"&amp;_xlfn.XLOOKUP(dHdcp[[#This Row],[Nombre]],dJugador[Nombre],dJugador[Mote],"",0)</f>
        <v>0:Nacho</v>
      </c>
      <c r="J342" t="str">
        <f>+IF(dHdcp[[#This Row],[Maximo]]=0,"",_xlfn.RANK.EQ(dHdcp[[#This Row],[Handicap]],dHdcp[Handicap],1))</f>
        <v/>
      </c>
      <c r="K342" t="str">
        <f>IFERROR(+_xlfn.RANK.EQ(dHdcp[[#This Row],[Ranking]],dHdcp[Ranking],1),"")</f>
        <v/>
      </c>
      <c r="M342" t="str">
        <f>+dHdcp[[#This Row],[Fecha]]&amp;":"&amp;dHdcp[[#This Row],[Nombre]]</f>
        <v>43655:Nacho Gonzalez</v>
      </c>
      <c r="N342">
        <f>+COUNTIF(dHdcp[Columna1],dHdcp[[#This Row],[Columna1]])</f>
        <v>1</v>
      </c>
    </row>
    <row r="343" spans="1:14">
      <c r="A343" s="2">
        <v>43655</v>
      </c>
      <c r="B343" t="s">
        <v>28</v>
      </c>
      <c r="C343" s="51">
        <v>13.4</v>
      </c>
      <c r="D343">
        <v>3</v>
      </c>
      <c r="E343" t="s">
        <v>74</v>
      </c>
      <c r="F343" t="s">
        <v>809</v>
      </c>
      <c r="G343">
        <f>+IF(dHdcp[[#This Row],[Fecha]]=MAX(dHdcp[Fecha]),1,0)</f>
        <v>0</v>
      </c>
      <c r="H343" t="str">
        <f>+dHdcp[[#This Row],[Maximo]]&amp;":"&amp;dHdcp[[#This Row],[Nombre]]</f>
        <v>0:Pablo Munitiz</v>
      </c>
      <c r="I343" t="str">
        <f>+dHdcp[[#This Row],[Maximo]]&amp;":"&amp;_xlfn.XLOOKUP(dHdcp[[#This Row],[Nombre]],dJugador[Nombre],dJugador[Mote],"",0)</f>
        <v>0:Muni</v>
      </c>
      <c r="J343" t="str">
        <f>+IF(dHdcp[[#This Row],[Maximo]]=0,"",_xlfn.RANK.EQ(dHdcp[[#This Row],[Handicap]],dHdcp[Handicap],1))</f>
        <v/>
      </c>
      <c r="K343" t="str">
        <f>IFERROR(+_xlfn.RANK.EQ(dHdcp[[#This Row],[Ranking]],dHdcp[Ranking],1),"")</f>
        <v/>
      </c>
      <c r="M343" t="str">
        <f>+dHdcp[[#This Row],[Fecha]]&amp;":"&amp;dHdcp[[#This Row],[Nombre]]</f>
        <v>43655:Pablo Munitiz</v>
      </c>
      <c r="N343">
        <f>+COUNTIF(dHdcp[Columna1],dHdcp[[#This Row],[Columna1]])</f>
        <v>1</v>
      </c>
    </row>
    <row r="344" spans="1:14">
      <c r="A344" s="2">
        <v>43659</v>
      </c>
      <c r="B344" t="s">
        <v>9</v>
      </c>
      <c r="C344" s="51">
        <v>7.6999999999999975</v>
      </c>
      <c r="D344">
        <v>2</v>
      </c>
      <c r="E344" t="s">
        <v>75</v>
      </c>
      <c r="F344" t="s">
        <v>810</v>
      </c>
      <c r="G344">
        <f>+IF(dHdcp[[#This Row],[Fecha]]=MAX(dHdcp[Fecha]),1,0)</f>
        <v>0</v>
      </c>
      <c r="H344" t="str">
        <f>+dHdcp[[#This Row],[Maximo]]&amp;":"&amp;dHdcp[[#This Row],[Nombre]]</f>
        <v>0:Alfonso Hidalgo</v>
      </c>
      <c r="I344" t="str">
        <f>+dHdcp[[#This Row],[Maximo]]&amp;":"&amp;_xlfn.XLOOKUP(dHdcp[[#This Row],[Nombre]],dJugador[Nombre],dJugador[Mote],"",0)</f>
        <v>0:Alfonso</v>
      </c>
      <c r="J344" t="str">
        <f>+IF(dHdcp[[#This Row],[Maximo]]=0,"",_xlfn.RANK.EQ(dHdcp[[#This Row],[Handicap]],dHdcp[Handicap],1))</f>
        <v/>
      </c>
      <c r="K344" t="str">
        <f>IFERROR(+_xlfn.RANK.EQ(dHdcp[[#This Row],[Ranking]],dHdcp[Ranking],1),"")</f>
        <v/>
      </c>
      <c r="M344" t="str">
        <f>+dHdcp[[#This Row],[Fecha]]&amp;":"&amp;dHdcp[[#This Row],[Nombre]]</f>
        <v>43659:Alfonso Hidalgo</v>
      </c>
      <c r="N344">
        <f>+COUNTIF(dHdcp[Columna1],dHdcp[[#This Row],[Columna1]])</f>
        <v>1</v>
      </c>
    </row>
    <row r="345" spans="1:14">
      <c r="A345" s="2">
        <v>43659</v>
      </c>
      <c r="B345" t="s">
        <v>15</v>
      </c>
      <c r="C345" s="51">
        <v>5.0999999999999996</v>
      </c>
      <c r="D345">
        <v>2</v>
      </c>
      <c r="E345" t="s">
        <v>75</v>
      </c>
      <c r="F345" t="s">
        <v>811</v>
      </c>
      <c r="G345">
        <f>+IF(dHdcp[[#This Row],[Fecha]]=MAX(dHdcp[Fecha]),1,0)</f>
        <v>0</v>
      </c>
      <c r="H345" t="str">
        <f>+dHdcp[[#This Row],[Maximo]]&amp;":"&amp;dHdcp[[#This Row],[Nombre]]</f>
        <v>0:Alvaro Aguirre</v>
      </c>
      <c r="I345" t="str">
        <f>+dHdcp[[#This Row],[Maximo]]&amp;":"&amp;_xlfn.XLOOKUP(dHdcp[[#This Row],[Nombre]],dJugador[Nombre],dJugador[Mote],"",0)</f>
        <v>0:Gifu</v>
      </c>
      <c r="J345" t="str">
        <f>+IF(dHdcp[[#This Row],[Maximo]]=0,"",_xlfn.RANK.EQ(dHdcp[[#This Row],[Handicap]],dHdcp[Handicap],1))</f>
        <v/>
      </c>
      <c r="K345" t="str">
        <f>IFERROR(+_xlfn.RANK.EQ(dHdcp[[#This Row],[Ranking]],dHdcp[Ranking],1),"")</f>
        <v/>
      </c>
      <c r="M345" t="str">
        <f>+dHdcp[[#This Row],[Fecha]]&amp;":"&amp;dHdcp[[#This Row],[Nombre]]</f>
        <v>43659:Alvaro Aguirre</v>
      </c>
      <c r="N345">
        <f>+COUNTIF(dHdcp[Columna1],dHdcp[[#This Row],[Columna1]])</f>
        <v>1</v>
      </c>
    </row>
    <row r="346" spans="1:14">
      <c r="A346" s="2">
        <v>43659</v>
      </c>
      <c r="B346" t="s">
        <v>25</v>
      </c>
      <c r="C346" s="51">
        <v>13.499999999999998</v>
      </c>
      <c r="D346">
        <v>3</v>
      </c>
      <c r="E346" t="s">
        <v>75</v>
      </c>
      <c r="F346" t="s">
        <v>812</v>
      </c>
      <c r="G346">
        <f>+IF(dHdcp[[#This Row],[Fecha]]=MAX(dHdcp[Fecha]),1,0)</f>
        <v>0</v>
      </c>
      <c r="H346" t="str">
        <f>+dHdcp[[#This Row],[Maximo]]&amp;":"&amp;dHdcp[[#This Row],[Nombre]]</f>
        <v>0:Alvaro Nieto</v>
      </c>
      <c r="I346" t="str">
        <f>+dHdcp[[#This Row],[Maximo]]&amp;":"&amp;_xlfn.XLOOKUP(dHdcp[[#This Row],[Nombre]],dJugador[Nombre],dJugador[Mote],"",0)</f>
        <v>0:Alvaro</v>
      </c>
      <c r="J346" t="str">
        <f>+IF(dHdcp[[#This Row],[Maximo]]=0,"",_xlfn.RANK.EQ(dHdcp[[#This Row],[Handicap]],dHdcp[Handicap],1))</f>
        <v/>
      </c>
      <c r="K346" t="str">
        <f>IFERROR(+_xlfn.RANK.EQ(dHdcp[[#This Row],[Ranking]],dHdcp[Ranking],1),"")</f>
        <v/>
      </c>
      <c r="M346" t="str">
        <f>+dHdcp[[#This Row],[Fecha]]&amp;":"&amp;dHdcp[[#This Row],[Nombre]]</f>
        <v>43659:Alvaro Nieto</v>
      </c>
      <c r="N346">
        <f>+COUNTIF(dHdcp[Columna1],dHdcp[[#This Row],[Columna1]])</f>
        <v>1</v>
      </c>
    </row>
    <row r="347" spans="1:14">
      <c r="A347" s="2">
        <v>43659</v>
      </c>
      <c r="B347" t="s">
        <v>33</v>
      </c>
      <c r="C347" s="51">
        <v>6.4999999999999982</v>
      </c>
      <c r="D347">
        <v>2</v>
      </c>
      <c r="E347" t="s">
        <v>75</v>
      </c>
      <c r="F347" t="s">
        <v>813</v>
      </c>
      <c r="G347">
        <f>+IF(dHdcp[[#This Row],[Fecha]]=MAX(dHdcp[Fecha]),1,0)</f>
        <v>0</v>
      </c>
      <c r="H347" t="str">
        <f>+dHdcp[[#This Row],[Maximo]]&amp;":"&amp;dHdcp[[#This Row],[Nombre]]</f>
        <v>0:Angel Hernandez</v>
      </c>
      <c r="I347" t="str">
        <f>+dHdcp[[#This Row],[Maximo]]&amp;":"&amp;_xlfn.XLOOKUP(dHdcp[[#This Row],[Nombre]],dJugador[Nombre],dJugador[Mote],"",0)</f>
        <v>0:Angel</v>
      </c>
      <c r="J347" t="str">
        <f>+IF(dHdcp[[#This Row],[Maximo]]=0,"",_xlfn.RANK.EQ(dHdcp[[#This Row],[Handicap]],dHdcp[Handicap],1))</f>
        <v/>
      </c>
      <c r="K347" t="str">
        <f>IFERROR(+_xlfn.RANK.EQ(dHdcp[[#This Row],[Ranking]],dHdcp[Ranking],1),"")</f>
        <v/>
      </c>
      <c r="M347" t="str">
        <f>+dHdcp[[#This Row],[Fecha]]&amp;":"&amp;dHdcp[[#This Row],[Nombre]]</f>
        <v>43659:Angel Hernandez</v>
      </c>
      <c r="N347">
        <f>+COUNTIF(dHdcp[Columna1],dHdcp[[#This Row],[Columna1]])</f>
        <v>1</v>
      </c>
    </row>
    <row r="348" spans="1:14">
      <c r="A348" s="2">
        <v>43659</v>
      </c>
      <c r="B348" t="s">
        <v>30</v>
      </c>
      <c r="C348" s="51">
        <v>10.699999999999998</v>
      </c>
      <c r="D348">
        <v>2</v>
      </c>
      <c r="E348" t="s">
        <v>75</v>
      </c>
      <c r="F348" t="s">
        <v>814</v>
      </c>
      <c r="G348">
        <f>+IF(dHdcp[[#This Row],[Fecha]]=MAX(dHdcp[Fecha]),1,0)</f>
        <v>0</v>
      </c>
      <c r="H348" t="str">
        <f>+dHdcp[[#This Row],[Maximo]]&amp;":"&amp;dHdcp[[#This Row],[Nombre]]</f>
        <v>0:David Sequera</v>
      </c>
      <c r="I348" t="str">
        <f>+dHdcp[[#This Row],[Maximo]]&amp;":"&amp;_xlfn.XLOOKUP(dHdcp[[#This Row],[Nombre]],dJugador[Nombre],dJugador[Mote],"",0)</f>
        <v>0:David</v>
      </c>
      <c r="J348" t="str">
        <f>+IF(dHdcp[[#This Row],[Maximo]]=0,"",_xlfn.RANK.EQ(dHdcp[[#This Row],[Handicap]],dHdcp[Handicap],1))</f>
        <v/>
      </c>
      <c r="K348" t="str">
        <f>IFERROR(+_xlfn.RANK.EQ(dHdcp[[#This Row],[Ranking]],dHdcp[Ranking],1),"")</f>
        <v/>
      </c>
      <c r="M348" t="str">
        <f>+dHdcp[[#This Row],[Fecha]]&amp;":"&amp;dHdcp[[#This Row],[Nombre]]</f>
        <v>43659:David Sequera</v>
      </c>
      <c r="N348">
        <f>+COUNTIF(dHdcp[Columna1],dHdcp[[#This Row],[Columna1]])</f>
        <v>1</v>
      </c>
    </row>
    <row r="349" spans="1:14">
      <c r="A349" s="2">
        <v>43659</v>
      </c>
      <c r="B349" t="s">
        <v>12</v>
      </c>
      <c r="C349" s="51">
        <v>14.000000000000005</v>
      </c>
      <c r="D349">
        <v>3</v>
      </c>
      <c r="E349" t="s">
        <v>75</v>
      </c>
      <c r="F349" t="s">
        <v>815</v>
      </c>
      <c r="G349">
        <f>+IF(dHdcp[[#This Row],[Fecha]]=MAX(dHdcp[Fecha]),1,0)</f>
        <v>0</v>
      </c>
      <c r="H349" t="str">
        <f>+dHdcp[[#This Row],[Maximo]]&amp;":"&amp;dHdcp[[#This Row],[Nombre]]</f>
        <v>0:Francisco Alvarez</v>
      </c>
      <c r="I349" t="str">
        <f>+dHdcp[[#This Row],[Maximo]]&amp;":"&amp;_xlfn.XLOOKUP(dHdcp[[#This Row],[Nombre]],dJugador[Nombre],dJugador[Mote],"",0)</f>
        <v>0:Paco</v>
      </c>
      <c r="J349" t="str">
        <f>+IF(dHdcp[[#This Row],[Maximo]]=0,"",_xlfn.RANK.EQ(dHdcp[[#This Row],[Handicap]],dHdcp[Handicap],1))</f>
        <v/>
      </c>
      <c r="K349" t="str">
        <f>IFERROR(+_xlfn.RANK.EQ(dHdcp[[#This Row],[Ranking]],dHdcp[Ranking],1),"")</f>
        <v/>
      </c>
      <c r="M349" t="str">
        <f>+dHdcp[[#This Row],[Fecha]]&amp;":"&amp;dHdcp[[#This Row],[Nombre]]</f>
        <v>43659:Francisco Alvarez</v>
      </c>
      <c r="N349">
        <f>+COUNTIF(dHdcp[Columna1],dHdcp[[#This Row],[Columna1]])</f>
        <v>1</v>
      </c>
    </row>
    <row r="350" spans="1:14">
      <c r="A350" s="2">
        <v>43659</v>
      </c>
      <c r="B350" t="s">
        <v>49</v>
      </c>
      <c r="C350" s="51">
        <v>13.099999999999994</v>
      </c>
      <c r="D350">
        <v>3</v>
      </c>
      <c r="E350" t="s">
        <v>75</v>
      </c>
      <c r="F350" t="s">
        <v>816</v>
      </c>
      <c r="G350">
        <f>+IF(dHdcp[[#This Row],[Fecha]]=MAX(dHdcp[Fecha]),1,0)</f>
        <v>0</v>
      </c>
      <c r="H350" t="str">
        <f>+dHdcp[[#This Row],[Maximo]]&amp;":"&amp;dHdcp[[#This Row],[Nombre]]</f>
        <v>0:Francisco Hidalgo</v>
      </c>
      <c r="I350" t="str">
        <f>+dHdcp[[#This Row],[Maximo]]&amp;":"&amp;_xlfn.XLOOKUP(dHdcp[[#This Row],[Nombre]],dJugador[Nombre],dJugador[Mote],"",0)</f>
        <v>0:Fran</v>
      </c>
      <c r="J350" t="str">
        <f>+IF(dHdcp[[#This Row],[Maximo]]=0,"",_xlfn.RANK.EQ(dHdcp[[#This Row],[Handicap]],dHdcp[Handicap],1))</f>
        <v/>
      </c>
      <c r="K350" t="str">
        <f>IFERROR(+_xlfn.RANK.EQ(dHdcp[[#This Row],[Ranking]],dHdcp[Ranking],1),"")</f>
        <v/>
      </c>
      <c r="M350" t="str">
        <f>+dHdcp[[#This Row],[Fecha]]&amp;":"&amp;dHdcp[[#This Row],[Nombre]]</f>
        <v>43659:Francisco Hidalgo</v>
      </c>
      <c r="N350">
        <f>+COUNTIF(dHdcp[Columna1],dHdcp[[#This Row],[Columna1]])</f>
        <v>1</v>
      </c>
    </row>
    <row r="351" spans="1:14">
      <c r="A351" s="2">
        <v>43659</v>
      </c>
      <c r="B351" t="s">
        <v>35</v>
      </c>
      <c r="C351" s="51">
        <v>17.199999999999996</v>
      </c>
      <c r="D351">
        <v>3</v>
      </c>
      <c r="E351" t="s">
        <v>75</v>
      </c>
      <c r="F351" s="94" t="s">
        <v>817</v>
      </c>
      <c r="G351">
        <f>+IF(dHdcp[[#This Row],[Fecha]]=MAX(dHdcp[Fecha]),1,0)</f>
        <v>0</v>
      </c>
      <c r="H351" t="str">
        <f>+dHdcp[[#This Row],[Maximo]]&amp;":"&amp;dHdcp[[#This Row],[Nombre]]</f>
        <v>0:GLEZ JUAN JOSÉ</v>
      </c>
      <c r="I351" t="str">
        <f>+dHdcp[[#This Row],[Maximo]]&amp;":"&amp;_xlfn.XLOOKUP(dHdcp[[#This Row],[Nombre]],dJugador[Nombre],dJugador[Mote],"",0)</f>
        <v>0:Juanjo</v>
      </c>
      <c r="J351" t="str">
        <f>+IF(dHdcp[[#This Row],[Maximo]]=0,"",_xlfn.RANK.EQ(dHdcp[[#This Row],[Handicap]],dHdcp[Handicap],1))</f>
        <v/>
      </c>
      <c r="K351" t="str">
        <f>IFERROR(+_xlfn.RANK.EQ(dHdcp[[#This Row],[Ranking]],dHdcp[Ranking],1),"")</f>
        <v/>
      </c>
      <c r="M351" t="str">
        <f>+dHdcp[[#This Row],[Fecha]]&amp;":"&amp;dHdcp[[#This Row],[Nombre]]</f>
        <v>43659:GLEZ JUAN JOSÉ</v>
      </c>
      <c r="N351">
        <f>+COUNTIF(dHdcp[Columna1],dHdcp[[#This Row],[Columna1]])</f>
        <v>1</v>
      </c>
    </row>
    <row r="352" spans="1:14">
      <c r="A352" s="2">
        <v>43659</v>
      </c>
      <c r="B352" t="s">
        <v>6</v>
      </c>
      <c r="C352" s="51">
        <v>5.6999999999999975</v>
      </c>
      <c r="D352">
        <v>2</v>
      </c>
      <c r="E352" t="s">
        <v>75</v>
      </c>
      <c r="F352" t="s">
        <v>818</v>
      </c>
      <c r="G352">
        <f>+IF(dHdcp[[#This Row],[Fecha]]=MAX(dHdcp[Fecha]),1,0)</f>
        <v>0</v>
      </c>
      <c r="H352" t="str">
        <f>+dHdcp[[#This Row],[Maximo]]&amp;":"&amp;dHdcp[[#This Row],[Nombre]]</f>
        <v>0:Ignacio Cadarso</v>
      </c>
      <c r="I352" t="str">
        <f>+dHdcp[[#This Row],[Maximo]]&amp;":"&amp;_xlfn.XLOOKUP(dHdcp[[#This Row],[Nombre]],dJugador[Nombre],dJugador[Mote],"",0)</f>
        <v>0:Ignacio</v>
      </c>
      <c r="J352" t="str">
        <f>+IF(dHdcp[[#This Row],[Maximo]]=0,"",_xlfn.RANK.EQ(dHdcp[[#This Row],[Handicap]],dHdcp[Handicap],1))</f>
        <v/>
      </c>
      <c r="K352" t="str">
        <f>IFERROR(+_xlfn.RANK.EQ(dHdcp[[#This Row],[Ranking]],dHdcp[Ranking],1),"")</f>
        <v/>
      </c>
      <c r="M352" t="str">
        <f>+dHdcp[[#This Row],[Fecha]]&amp;":"&amp;dHdcp[[#This Row],[Nombre]]</f>
        <v>43659:Ignacio Cadarso</v>
      </c>
      <c r="N352">
        <f>+COUNTIF(dHdcp[Columna1],dHdcp[[#This Row],[Columna1]])</f>
        <v>1</v>
      </c>
    </row>
    <row r="353" spans="1:14">
      <c r="A353" s="2">
        <v>43659</v>
      </c>
      <c r="B353" t="s">
        <v>39</v>
      </c>
      <c r="C353" s="51">
        <v>13.3</v>
      </c>
      <c r="D353">
        <v>3</v>
      </c>
      <c r="E353" t="s">
        <v>75</v>
      </c>
      <c r="F353" t="s">
        <v>819</v>
      </c>
      <c r="G353">
        <f>+IF(dHdcp[[#This Row],[Fecha]]=MAX(dHdcp[Fecha]),1,0)</f>
        <v>0</v>
      </c>
      <c r="H353" t="str">
        <f>+dHdcp[[#This Row],[Maximo]]&amp;":"&amp;dHdcp[[#This Row],[Nombre]]</f>
        <v>0:Iñigo Rosas</v>
      </c>
      <c r="I353" t="str">
        <f>+dHdcp[[#This Row],[Maximo]]&amp;":"&amp;_xlfn.XLOOKUP(dHdcp[[#This Row],[Nombre]],dJugador[Nombre],dJugador[Mote],"",0)</f>
        <v>0:</v>
      </c>
      <c r="J353" t="str">
        <f>+IF(dHdcp[[#This Row],[Maximo]]=0,"",_xlfn.RANK.EQ(dHdcp[[#This Row],[Handicap]],dHdcp[Handicap],1))</f>
        <v/>
      </c>
      <c r="K353" t="str">
        <f>IFERROR(+_xlfn.RANK.EQ(dHdcp[[#This Row],[Ranking]],dHdcp[Ranking],1),"")</f>
        <v/>
      </c>
      <c r="M353" t="str">
        <f>+dHdcp[[#This Row],[Fecha]]&amp;":"&amp;dHdcp[[#This Row],[Nombre]]</f>
        <v>43659:Iñigo Rosas</v>
      </c>
      <c r="N353">
        <f>+COUNTIF(dHdcp[Columna1],dHdcp[[#This Row],[Columna1]])</f>
        <v>1</v>
      </c>
    </row>
    <row r="354" spans="1:14">
      <c r="A354" s="2">
        <v>43659</v>
      </c>
      <c r="B354" t="s">
        <v>23</v>
      </c>
      <c r="C354" s="51">
        <v>17.500000000000011</v>
      </c>
      <c r="D354">
        <v>3</v>
      </c>
      <c r="E354" t="s">
        <v>75</v>
      </c>
      <c r="F354" t="s">
        <v>820</v>
      </c>
      <c r="G354">
        <f>+IF(dHdcp[[#This Row],[Fecha]]=MAX(dHdcp[Fecha]),1,0)</f>
        <v>0</v>
      </c>
      <c r="H354" t="str">
        <f>+dHdcp[[#This Row],[Maximo]]&amp;":"&amp;dHdcp[[#This Row],[Nombre]]</f>
        <v>0:J. Enrique Gonzalez</v>
      </c>
      <c r="I354" t="str">
        <f>+dHdcp[[#This Row],[Maximo]]&amp;":"&amp;_xlfn.XLOOKUP(dHdcp[[#This Row],[Nombre]],dJugador[Nombre],dJugador[Mote],"",0)</f>
        <v>0:Kike</v>
      </c>
      <c r="J354" t="str">
        <f>+IF(dHdcp[[#This Row],[Maximo]]=0,"",_xlfn.RANK.EQ(dHdcp[[#This Row],[Handicap]],dHdcp[Handicap],1))</f>
        <v/>
      </c>
      <c r="K354" t="str">
        <f>IFERROR(+_xlfn.RANK.EQ(dHdcp[[#This Row],[Ranking]],dHdcp[Ranking],1),"")</f>
        <v/>
      </c>
      <c r="M354" t="str">
        <f>+dHdcp[[#This Row],[Fecha]]&amp;":"&amp;dHdcp[[#This Row],[Nombre]]</f>
        <v>43659:J. Enrique Gonzalez</v>
      </c>
      <c r="N354">
        <f>+COUNTIF(dHdcp[Columna1],dHdcp[[#This Row],[Columna1]])</f>
        <v>1</v>
      </c>
    </row>
    <row r="355" spans="1:14">
      <c r="A355" s="2">
        <v>43659</v>
      </c>
      <c r="B355" t="s">
        <v>46</v>
      </c>
      <c r="C355" s="51">
        <v>13.299999999999994</v>
      </c>
      <c r="D355">
        <v>3</v>
      </c>
      <c r="E355" t="s">
        <v>75</v>
      </c>
      <c r="F355" t="s">
        <v>821</v>
      </c>
      <c r="G355">
        <f>+IF(dHdcp[[#This Row],[Fecha]]=MAX(dHdcp[Fecha]),1,0)</f>
        <v>0</v>
      </c>
      <c r="H355" t="str">
        <f>+dHdcp[[#This Row],[Maximo]]&amp;":"&amp;dHdcp[[#This Row],[Nombre]]</f>
        <v>0:Javier Cervera</v>
      </c>
      <c r="I355" t="str">
        <f>+dHdcp[[#This Row],[Maximo]]&amp;":"&amp;_xlfn.XLOOKUP(dHdcp[[#This Row],[Nombre]],dJugador[Nombre],dJugador[Mote],"",0)</f>
        <v>0:Virus</v>
      </c>
      <c r="J355" t="str">
        <f>+IF(dHdcp[[#This Row],[Maximo]]=0,"",_xlfn.RANK.EQ(dHdcp[[#This Row],[Handicap]],dHdcp[Handicap],1))</f>
        <v/>
      </c>
      <c r="K355" t="str">
        <f>IFERROR(+_xlfn.RANK.EQ(dHdcp[[#This Row],[Ranking]],dHdcp[Ranking],1),"")</f>
        <v/>
      </c>
      <c r="M355" t="str">
        <f>+dHdcp[[#This Row],[Fecha]]&amp;":"&amp;dHdcp[[#This Row],[Nombre]]</f>
        <v>43659:Javier Cervera</v>
      </c>
      <c r="N355">
        <f>+COUNTIF(dHdcp[Columna1],dHdcp[[#This Row],[Columna1]])</f>
        <v>1</v>
      </c>
    </row>
    <row r="356" spans="1:14">
      <c r="A356" s="2">
        <v>43659</v>
      </c>
      <c r="B356" t="s">
        <v>20</v>
      </c>
      <c r="C356" s="51">
        <v>10.499999999999996</v>
      </c>
      <c r="D356">
        <v>2</v>
      </c>
      <c r="E356" t="s">
        <v>75</v>
      </c>
      <c r="F356" t="s">
        <v>822</v>
      </c>
      <c r="G356">
        <f>+IF(dHdcp[[#This Row],[Fecha]]=MAX(dHdcp[Fecha]),1,0)</f>
        <v>0</v>
      </c>
      <c r="H356" t="str">
        <f>+dHdcp[[#This Row],[Maximo]]&amp;":"&amp;dHdcp[[#This Row],[Nombre]]</f>
        <v>0:Javier Gonzalez Salvador</v>
      </c>
      <c r="I356" t="str">
        <f>+dHdcp[[#This Row],[Maximo]]&amp;":"&amp;_xlfn.XLOOKUP(dHdcp[[#This Row],[Nombre]],dJugador[Nombre],dJugador[Mote],"",0)</f>
        <v>0:Javi</v>
      </c>
      <c r="J356" t="str">
        <f>+IF(dHdcp[[#This Row],[Maximo]]=0,"",_xlfn.RANK.EQ(dHdcp[[#This Row],[Handicap]],dHdcp[Handicap],1))</f>
        <v/>
      </c>
      <c r="K356" t="str">
        <f>IFERROR(+_xlfn.RANK.EQ(dHdcp[[#This Row],[Ranking]],dHdcp[Ranking],1),"")</f>
        <v/>
      </c>
      <c r="M356" t="str">
        <f>+dHdcp[[#This Row],[Fecha]]&amp;":"&amp;dHdcp[[#This Row],[Nombre]]</f>
        <v>43659:Javier Gonzalez Salvador</v>
      </c>
      <c r="N356">
        <f>+COUNTIF(dHdcp[Columna1],dHdcp[[#This Row],[Columna1]])</f>
        <v>1</v>
      </c>
    </row>
    <row r="357" spans="1:14">
      <c r="A357" s="2">
        <v>43659</v>
      </c>
      <c r="B357" t="s">
        <v>41</v>
      </c>
      <c r="C357" s="51">
        <v>21.100000000000005</v>
      </c>
      <c r="D357">
        <v>4</v>
      </c>
      <c r="E357" t="s">
        <v>75</v>
      </c>
      <c r="F357" t="s">
        <v>823</v>
      </c>
      <c r="G357">
        <f>+IF(dHdcp[[#This Row],[Fecha]]=MAX(dHdcp[Fecha]),1,0)</f>
        <v>0</v>
      </c>
      <c r="H357" t="str">
        <f>+dHdcp[[#This Row],[Maximo]]&amp;":"&amp;dHdcp[[#This Row],[Nombre]]</f>
        <v>0:Jesus Touceda</v>
      </c>
      <c r="I357" t="str">
        <f>+dHdcp[[#This Row],[Maximo]]&amp;":"&amp;_xlfn.XLOOKUP(dHdcp[[#This Row],[Nombre]],dJugador[Nombre],dJugador[Mote],"",0)</f>
        <v>0:Jesús</v>
      </c>
      <c r="J357" t="str">
        <f>+IF(dHdcp[[#This Row],[Maximo]]=0,"",_xlfn.RANK.EQ(dHdcp[[#This Row],[Handicap]],dHdcp[Handicap],1))</f>
        <v/>
      </c>
      <c r="K357" t="str">
        <f>IFERROR(+_xlfn.RANK.EQ(dHdcp[[#This Row],[Ranking]],dHdcp[Ranking],1),"")</f>
        <v/>
      </c>
      <c r="M357" t="str">
        <f>+dHdcp[[#This Row],[Fecha]]&amp;":"&amp;dHdcp[[#This Row],[Nombre]]</f>
        <v>43659:Jesus Touceda</v>
      </c>
      <c r="N357">
        <f>+COUNTIF(dHdcp[Columna1],dHdcp[[#This Row],[Columna1]])</f>
        <v>1</v>
      </c>
    </row>
    <row r="358" spans="1:14">
      <c r="A358" s="2">
        <v>43659</v>
      </c>
      <c r="B358" t="s">
        <v>18</v>
      </c>
      <c r="C358" s="51">
        <v>5.6999999999999966</v>
      </c>
      <c r="D358">
        <v>2</v>
      </c>
      <c r="E358" t="s">
        <v>75</v>
      </c>
      <c r="F358" t="s">
        <v>824</v>
      </c>
      <c r="G358">
        <f>+IF(dHdcp[[#This Row],[Fecha]]=MAX(dHdcp[Fecha]),1,0)</f>
        <v>0</v>
      </c>
      <c r="H358" t="str">
        <f>+dHdcp[[#This Row],[Maximo]]&amp;":"&amp;dHdcp[[#This Row],[Nombre]]</f>
        <v>0:José Pablo Guil</v>
      </c>
      <c r="I358" t="str">
        <f>+dHdcp[[#This Row],[Maximo]]&amp;":"&amp;_xlfn.XLOOKUP(dHdcp[[#This Row],[Nombre]],dJugador[Nombre],dJugador[Mote],"",0)</f>
        <v>0:JP</v>
      </c>
      <c r="J358" t="str">
        <f>+IF(dHdcp[[#This Row],[Maximo]]=0,"",_xlfn.RANK.EQ(dHdcp[[#This Row],[Handicap]],dHdcp[Handicap],1))</f>
        <v/>
      </c>
      <c r="K358" t="str">
        <f>IFERROR(+_xlfn.RANK.EQ(dHdcp[[#This Row],[Ranking]],dHdcp[Ranking],1),"")</f>
        <v/>
      </c>
      <c r="M358" t="str">
        <f>+dHdcp[[#This Row],[Fecha]]&amp;":"&amp;dHdcp[[#This Row],[Nombre]]</f>
        <v>43659:José Pablo Guil</v>
      </c>
      <c r="N358">
        <f>+COUNTIF(dHdcp[Columna1],dHdcp[[#This Row],[Columna1]])</f>
        <v>1</v>
      </c>
    </row>
    <row r="359" spans="1:14">
      <c r="A359" s="2">
        <v>43659</v>
      </c>
      <c r="B359" t="s">
        <v>43</v>
      </c>
      <c r="C359" s="51">
        <v>16.8</v>
      </c>
      <c r="D359">
        <v>3</v>
      </c>
      <c r="E359" t="s">
        <v>75</v>
      </c>
      <c r="F359" t="s">
        <v>825</v>
      </c>
      <c r="G359">
        <f>+IF(dHdcp[[#This Row],[Fecha]]=MAX(dHdcp[Fecha]),1,0)</f>
        <v>0</v>
      </c>
      <c r="H359" t="str">
        <f>+dHdcp[[#This Row],[Maximo]]&amp;":"&amp;dHdcp[[#This Row],[Nombre]]</f>
        <v>0:Luis Escudero</v>
      </c>
      <c r="I359" t="str">
        <f>+dHdcp[[#This Row],[Maximo]]&amp;":"&amp;_xlfn.XLOOKUP(dHdcp[[#This Row],[Nombre]],dJugador[Nombre],dJugador[Mote],"",0)</f>
        <v>0:Lucho</v>
      </c>
      <c r="J359" t="str">
        <f>+IF(dHdcp[[#This Row],[Maximo]]=0,"",_xlfn.RANK.EQ(dHdcp[[#This Row],[Handicap]],dHdcp[Handicap],1))</f>
        <v/>
      </c>
      <c r="K359" t="str">
        <f>IFERROR(+_xlfn.RANK.EQ(dHdcp[[#This Row],[Ranking]],dHdcp[Ranking],1),"")</f>
        <v/>
      </c>
      <c r="M359" t="str">
        <f>+dHdcp[[#This Row],[Fecha]]&amp;":"&amp;dHdcp[[#This Row],[Nombre]]</f>
        <v>43659:Luis Escudero</v>
      </c>
      <c r="N359">
        <f>+COUNTIF(dHdcp[Columna1],dHdcp[[#This Row],[Columna1]])</f>
        <v>1</v>
      </c>
    </row>
    <row r="360" spans="1:14">
      <c r="A360" s="2">
        <v>43659</v>
      </c>
      <c r="B360" t="s">
        <v>3</v>
      </c>
      <c r="C360" s="51">
        <v>4.5</v>
      </c>
      <c r="D360">
        <v>2</v>
      </c>
      <c r="E360" t="s">
        <v>75</v>
      </c>
      <c r="F360" t="s">
        <v>826</v>
      </c>
      <c r="G360">
        <f>+IF(dHdcp[[#This Row],[Fecha]]=MAX(dHdcp[Fecha]),1,0)</f>
        <v>0</v>
      </c>
      <c r="H360" t="str">
        <f>+dHdcp[[#This Row],[Maximo]]&amp;":"&amp;dHdcp[[#This Row],[Nombre]]</f>
        <v>0:Nacho Gonzalez</v>
      </c>
      <c r="I360" t="str">
        <f>+dHdcp[[#This Row],[Maximo]]&amp;":"&amp;_xlfn.XLOOKUP(dHdcp[[#This Row],[Nombre]],dJugador[Nombre],dJugador[Mote],"",0)</f>
        <v>0:Nacho</v>
      </c>
      <c r="J360" t="str">
        <f>+IF(dHdcp[[#This Row],[Maximo]]=0,"",_xlfn.RANK.EQ(dHdcp[[#This Row],[Handicap]],dHdcp[Handicap],1))</f>
        <v/>
      </c>
      <c r="K360" t="str">
        <f>IFERROR(+_xlfn.RANK.EQ(dHdcp[[#This Row],[Ranking]],dHdcp[Ranking],1),"")</f>
        <v/>
      </c>
      <c r="M360" t="str">
        <f>+dHdcp[[#This Row],[Fecha]]&amp;":"&amp;dHdcp[[#This Row],[Nombre]]</f>
        <v>43659:Nacho Gonzalez</v>
      </c>
      <c r="N360">
        <f>+COUNTIF(dHdcp[Columna1],dHdcp[[#This Row],[Columna1]])</f>
        <v>1</v>
      </c>
    </row>
    <row r="361" spans="1:14">
      <c r="A361" s="2">
        <v>43659</v>
      </c>
      <c r="B361" t="s">
        <v>28</v>
      </c>
      <c r="C361" s="51">
        <v>13.399999999999995</v>
      </c>
      <c r="D361">
        <v>3</v>
      </c>
      <c r="E361" t="s">
        <v>75</v>
      </c>
      <c r="F361" t="s">
        <v>827</v>
      </c>
      <c r="G361">
        <f>+IF(dHdcp[[#This Row],[Fecha]]=MAX(dHdcp[Fecha]),1,0)</f>
        <v>0</v>
      </c>
      <c r="H361" t="str">
        <f>+dHdcp[[#This Row],[Maximo]]&amp;":"&amp;dHdcp[[#This Row],[Nombre]]</f>
        <v>0:Pablo Munitiz</v>
      </c>
      <c r="I361" t="str">
        <f>+dHdcp[[#This Row],[Maximo]]&amp;":"&amp;_xlfn.XLOOKUP(dHdcp[[#This Row],[Nombre]],dJugador[Nombre],dJugador[Mote],"",0)</f>
        <v>0:Muni</v>
      </c>
      <c r="J361" t="str">
        <f>+IF(dHdcp[[#This Row],[Maximo]]=0,"",_xlfn.RANK.EQ(dHdcp[[#This Row],[Handicap]],dHdcp[Handicap],1))</f>
        <v/>
      </c>
      <c r="K361" t="str">
        <f>IFERROR(+_xlfn.RANK.EQ(dHdcp[[#This Row],[Ranking]],dHdcp[Ranking],1),"")</f>
        <v/>
      </c>
      <c r="M361" t="str">
        <f>+dHdcp[[#This Row],[Fecha]]&amp;":"&amp;dHdcp[[#This Row],[Nombre]]</f>
        <v>43659:Pablo Munitiz</v>
      </c>
      <c r="N361">
        <f>+COUNTIF(dHdcp[Columna1],dHdcp[[#This Row],[Columna1]])</f>
        <v>1</v>
      </c>
    </row>
    <row r="362" spans="1:14">
      <c r="A362" s="2">
        <v>43714</v>
      </c>
      <c r="B362" t="s">
        <v>9</v>
      </c>
      <c r="C362" s="51">
        <v>8.6</v>
      </c>
      <c r="D362">
        <v>2</v>
      </c>
      <c r="E362" t="s">
        <v>74</v>
      </c>
      <c r="F362" t="s">
        <v>828</v>
      </c>
      <c r="G362">
        <f>+IF(dHdcp[[#This Row],[Fecha]]=MAX(dHdcp[Fecha]),1,0)</f>
        <v>0</v>
      </c>
      <c r="H362" t="str">
        <f>+dHdcp[[#This Row],[Maximo]]&amp;":"&amp;dHdcp[[#This Row],[Nombre]]</f>
        <v>0:Alfonso Hidalgo</v>
      </c>
      <c r="I362" t="str">
        <f>+dHdcp[[#This Row],[Maximo]]&amp;":"&amp;_xlfn.XLOOKUP(dHdcp[[#This Row],[Nombre]],dJugador[Nombre],dJugador[Mote],"",0)</f>
        <v>0:Alfonso</v>
      </c>
      <c r="J362" t="str">
        <f>+IF(dHdcp[[#This Row],[Maximo]]=0,"",_xlfn.RANK.EQ(dHdcp[[#This Row],[Handicap]],dHdcp[Handicap],1))</f>
        <v/>
      </c>
      <c r="K362" t="str">
        <f>IFERROR(+_xlfn.RANK.EQ(dHdcp[[#This Row],[Ranking]],dHdcp[Ranking],1),"")</f>
        <v/>
      </c>
      <c r="M362" t="str">
        <f>+dHdcp[[#This Row],[Fecha]]&amp;":"&amp;dHdcp[[#This Row],[Nombre]]</f>
        <v>43714:Alfonso Hidalgo</v>
      </c>
      <c r="N362">
        <f>+COUNTIF(dHdcp[Columna1],dHdcp[[#This Row],[Columna1]])</f>
        <v>1</v>
      </c>
    </row>
    <row r="363" spans="1:14">
      <c r="A363" s="2">
        <v>43714</v>
      </c>
      <c r="B363" t="s">
        <v>15</v>
      </c>
      <c r="C363" s="51">
        <v>4.3</v>
      </c>
      <c r="D363">
        <v>1</v>
      </c>
      <c r="E363" t="s">
        <v>74</v>
      </c>
      <c r="F363" t="s">
        <v>829</v>
      </c>
      <c r="G363">
        <f>+IF(dHdcp[[#This Row],[Fecha]]=MAX(dHdcp[Fecha]),1,0)</f>
        <v>0</v>
      </c>
      <c r="H363" t="str">
        <f>+dHdcp[[#This Row],[Maximo]]&amp;":"&amp;dHdcp[[#This Row],[Nombre]]</f>
        <v>0:Alvaro Aguirre</v>
      </c>
      <c r="I363" t="str">
        <f>+dHdcp[[#This Row],[Maximo]]&amp;":"&amp;_xlfn.XLOOKUP(dHdcp[[#This Row],[Nombre]],dJugador[Nombre],dJugador[Mote],"",0)</f>
        <v>0:Gifu</v>
      </c>
      <c r="J363" t="str">
        <f>+IF(dHdcp[[#This Row],[Maximo]]=0,"",_xlfn.RANK.EQ(dHdcp[[#This Row],[Handicap]],dHdcp[Handicap],1))</f>
        <v/>
      </c>
      <c r="K363" t="str">
        <f>IFERROR(+_xlfn.RANK.EQ(dHdcp[[#This Row],[Ranking]],dHdcp[Ranking],1),"")</f>
        <v/>
      </c>
      <c r="M363" t="str">
        <f>+dHdcp[[#This Row],[Fecha]]&amp;":"&amp;dHdcp[[#This Row],[Nombre]]</f>
        <v>43714:Alvaro Aguirre</v>
      </c>
      <c r="N363">
        <f>+COUNTIF(dHdcp[Columna1],dHdcp[[#This Row],[Columna1]])</f>
        <v>1</v>
      </c>
    </row>
    <row r="364" spans="1:14">
      <c r="A364" s="2">
        <v>43714</v>
      </c>
      <c r="B364" t="s">
        <v>25</v>
      </c>
      <c r="C364" s="51">
        <v>13</v>
      </c>
      <c r="D364">
        <v>3</v>
      </c>
      <c r="E364" t="s">
        <v>74</v>
      </c>
      <c r="F364" t="s">
        <v>830</v>
      </c>
      <c r="G364">
        <f>+IF(dHdcp[[#This Row],[Fecha]]=MAX(dHdcp[Fecha]),1,0)</f>
        <v>0</v>
      </c>
      <c r="H364" t="str">
        <f>+dHdcp[[#This Row],[Maximo]]&amp;":"&amp;dHdcp[[#This Row],[Nombre]]</f>
        <v>0:Alvaro Nieto</v>
      </c>
      <c r="I364" t="str">
        <f>+dHdcp[[#This Row],[Maximo]]&amp;":"&amp;_xlfn.XLOOKUP(dHdcp[[#This Row],[Nombre]],dJugador[Nombre],dJugador[Mote],"",0)</f>
        <v>0:Alvaro</v>
      </c>
      <c r="J364" t="str">
        <f>+IF(dHdcp[[#This Row],[Maximo]]=0,"",_xlfn.RANK.EQ(dHdcp[[#This Row],[Handicap]],dHdcp[Handicap],1))</f>
        <v/>
      </c>
      <c r="K364" t="str">
        <f>IFERROR(+_xlfn.RANK.EQ(dHdcp[[#This Row],[Ranking]],dHdcp[Ranking],1),"")</f>
        <v/>
      </c>
      <c r="M364" t="str">
        <f>+dHdcp[[#This Row],[Fecha]]&amp;":"&amp;dHdcp[[#This Row],[Nombre]]</f>
        <v>43714:Alvaro Nieto</v>
      </c>
      <c r="N364">
        <f>+COUNTIF(dHdcp[Columna1],dHdcp[[#This Row],[Columna1]])</f>
        <v>1</v>
      </c>
    </row>
    <row r="365" spans="1:14">
      <c r="A365" s="2">
        <v>43714</v>
      </c>
      <c r="B365" t="s">
        <v>33</v>
      </c>
      <c r="C365" s="51">
        <v>7.5</v>
      </c>
      <c r="D365">
        <v>2</v>
      </c>
      <c r="E365" t="s">
        <v>74</v>
      </c>
      <c r="F365" t="s">
        <v>831</v>
      </c>
      <c r="G365">
        <f>+IF(dHdcp[[#This Row],[Fecha]]=MAX(dHdcp[Fecha]),1,0)</f>
        <v>0</v>
      </c>
      <c r="H365" t="str">
        <f>+dHdcp[[#This Row],[Maximo]]&amp;":"&amp;dHdcp[[#This Row],[Nombre]]</f>
        <v>0:Angel Hernandez</v>
      </c>
      <c r="I365" t="str">
        <f>+dHdcp[[#This Row],[Maximo]]&amp;":"&amp;_xlfn.XLOOKUP(dHdcp[[#This Row],[Nombre]],dJugador[Nombre],dJugador[Mote],"",0)</f>
        <v>0:Angel</v>
      </c>
      <c r="J365" t="str">
        <f>+IF(dHdcp[[#This Row],[Maximo]]=0,"",_xlfn.RANK.EQ(dHdcp[[#This Row],[Handicap]],dHdcp[Handicap],1))</f>
        <v/>
      </c>
      <c r="K365" t="str">
        <f>IFERROR(+_xlfn.RANK.EQ(dHdcp[[#This Row],[Ranking]],dHdcp[Ranking],1),"")</f>
        <v/>
      </c>
      <c r="M365" t="str">
        <f>+dHdcp[[#This Row],[Fecha]]&amp;":"&amp;dHdcp[[#This Row],[Nombre]]</f>
        <v>43714:Angel Hernandez</v>
      </c>
      <c r="N365">
        <f>+COUNTIF(dHdcp[Columna1],dHdcp[[#This Row],[Columna1]])</f>
        <v>1</v>
      </c>
    </row>
    <row r="366" spans="1:14">
      <c r="A366" s="2">
        <v>43714</v>
      </c>
      <c r="B366" t="s">
        <v>30</v>
      </c>
      <c r="C366" s="51">
        <v>10.7</v>
      </c>
      <c r="D366">
        <v>2</v>
      </c>
      <c r="E366" t="s">
        <v>74</v>
      </c>
      <c r="F366" t="s">
        <v>832</v>
      </c>
      <c r="G366">
        <f>+IF(dHdcp[[#This Row],[Fecha]]=MAX(dHdcp[Fecha]),1,0)</f>
        <v>0</v>
      </c>
      <c r="H366" t="str">
        <f>+dHdcp[[#This Row],[Maximo]]&amp;":"&amp;dHdcp[[#This Row],[Nombre]]</f>
        <v>0:David Sequera</v>
      </c>
      <c r="I366" t="str">
        <f>+dHdcp[[#This Row],[Maximo]]&amp;":"&amp;_xlfn.XLOOKUP(dHdcp[[#This Row],[Nombre]],dJugador[Nombre],dJugador[Mote],"",0)</f>
        <v>0:David</v>
      </c>
      <c r="J366" t="str">
        <f>+IF(dHdcp[[#This Row],[Maximo]]=0,"",_xlfn.RANK.EQ(dHdcp[[#This Row],[Handicap]],dHdcp[Handicap],1))</f>
        <v/>
      </c>
      <c r="K366" t="str">
        <f>IFERROR(+_xlfn.RANK.EQ(dHdcp[[#This Row],[Ranking]],dHdcp[Ranking],1),"")</f>
        <v/>
      </c>
      <c r="M366" t="str">
        <f>+dHdcp[[#This Row],[Fecha]]&amp;":"&amp;dHdcp[[#This Row],[Nombre]]</f>
        <v>43714:David Sequera</v>
      </c>
      <c r="N366">
        <f>+COUNTIF(dHdcp[Columna1],dHdcp[[#This Row],[Columna1]])</f>
        <v>1</v>
      </c>
    </row>
    <row r="367" spans="1:14">
      <c r="A367" s="2">
        <v>43714</v>
      </c>
      <c r="B367" t="s">
        <v>12</v>
      </c>
      <c r="C367" s="51">
        <v>13.7</v>
      </c>
      <c r="D367">
        <v>3</v>
      </c>
      <c r="E367" t="s">
        <v>74</v>
      </c>
      <c r="F367" t="s">
        <v>833</v>
      </c>
      <c r="G367">
        <f>+IF(dHdcp[[#This Row],[Fecha]]=MAX(dHdcp[Fecha]),1,0)</f>
        <v>0</v>
      </c>
      <c r="H367" t="str">
        <f>+dHdcp[[#This Row],[Maximo]]&amp;":"&amp;dHdcp[[#This Row],[Nombre]]</f>
        <v>0:Francisco Alvarez</v>
      </c>
      <c r="I367" t="str">
        <f>+dHdcp[[#This Row],[Maximo]]&amp;":"&amp;_xlfn.XLOOKUP(dHdcp[[#This Row],[Nombre]],dJugador[Nombre],dJugador[Mote],"",0)</f>
        <v>0:Paco</v>
      </c>
      <c r="J367" t="str">
        <f>+IF(dHdcp[[#This Row],[Maximo]]=0,"",_xlfn.RANK.EQ(dHdcp[[#This Row],[Handicap]],dHdcp[Handicap],1))</f>
        <v/>
      </c>
      <c r="K367" t="str">
        <f>IFERROR(+_xlfn.RANK.EQ(dHdcp[[#This Row],[Ranking]],dHdcp[Ranking],1),"")</f>
        <v/>
      </c>
      <c r="M367" t="str">
        <f>+dHdcp[[#This Row],[Fecha]]&amp;":"&amp;dHdcp[[#This Row],[Nombre]]</f>
        <v>43714:Francisco Alvarez</v>
      </c>
      <c r="N367">
        <f>+COUNTIF(dHdcp[Columna1],dHdcp[[#This Row],[Columna1]])</f>
        <v>1</v>
      </c>
    </row>
    <row r="368" spans="1:14">
      <c r="A368" s="2">
        <v>43714</v>
      </c>
      <c r="B368" t="s">
        <v>49</v>
      </c>
      <c r="C368" s="51">
        <v>13.5</v>
      </c>
      <c r="D368">
        <v>3</v>
      </c>
      <c r="E368" t="s">
        <v>74</v>
      </c>
      <c r="F368" t="s">
        <v>834</v>
      </c>
      <c r="G368">
        <f>+IF(dHdcp[[#This Row],[Fecha]]=MAX(dHdcp[Fecha]),1,0)</f>
        <v>0</v>
      </c>
      <c r="H368" t="str">
        <f>+dHdcp[[#This Row],[Maximo]]&amp;":"&amp;dHdcp[[#This Row],[Nombre]]</f>
        <v>0:Francisco Hidalgo</v>
      </c>
      <c r="I368" t="str">
        <f>+dHdcp[[#This Row],[Maximo]]&amp;":"&amp;_xlfn.XLOOKUP(dHdcp[[#This Row],[Nombre]],dJugador[Nombre],dJugador[Mote],"",0)</f>
        <v>0:Fran</v>
      </c>
      <c r="J368" t="str">
        <f>+IF(dHdcp[[#This Row],[Maximo]]=0,"",_xlfn.RANK.EQ(dHdcp[[#This Row],[Handicap]],dHdcp[Handicap],1))</f>
        <v/>
      </c>
      <c r="K368" t="str">
        <f>IFERROR(+_xlfn.RANK.EQ(dHdcp[[#This Row],[Ranking]],dHdcp[Ranking],1),"")</f>
        <v/>
      </c>
      <c r="M368" t="str">
        <f>+dHdcp[[#This Row],[Fecha]]&amp;":"&amp;dHdcp[[#This Row],[Nombre]]</f>
        <v>43714:Francisco Hidalgo</v>
      </c>
      <c r="N368">
        <f>+COUNTIF(dHdcp[Columna1],dHdcp[[#This Row],[Columna1]])</f>
        <v>1</v>
      </c>
    </row>
    <row r="369" spans="1:14">
      <c r="A369" s="2">
        <v>43714</v>
      </c>
      <c r="B369" t="s">
        <v>35</v>
      </c>
      <c r="C369" s="51">
        <v>17.100000000000001</v>
      </c>
      <c r="D369">
        <v>3</v>
      </c>
      <c r="E369" t="s">
        <v>74</v>
      </c>
      <c r="F369" t="s">
        <v>835</v>
      </c>
      <c r="G369">
        <f>+IF(dHdcp[[#This Row],[Fecha]]=MAX(dHdcp[Fecha]),1,0)</f>
        <v>0</v>
      </c>
      <c r="H369" t="str">
        <f>+dHdcp[[#This Row],[Maximo]]&amp;":"&amp;dHdcp[[#This Row],[Nombre]]</f>
        <v>0:GLEZ JUAN JOSÉ</v>
      </c>
      <c r="I369" t="str">
        <f>+dHdcp[[#This Row],[Maximo]]&amp;":"&amp;_xlfn.XLOOKUP(dHdcp[[#This Row],[Nombre]],dJugador[Nombre],dJugador[Mote],"",0)</f>
        <v>0:Juanjo</v>
      </c>
      <c r="J369" t="str">
        <f>+IF(dHdcp[[#This Row],[Maximo]]=0,"",_xlfn.RANK.EQ(dHdcp[[#This Row],[Handicap]],dHdcp[Handicap],1))</f>
        <v/>
      </c>
      <c r="K369" t="str">
        <f>IFERROR(+_xlfn.RANK.EQ(dHdcp[[#This Row],[Ranking]],dHdcp[Ranking],1),"")</f>
        <v/>
      </c>
      <c r="M369" t="str">
        <f>+dHdcp[[#This Row],[Fecha]]&amp;":"&amp;dHdcp[[#This Row],[Nombre]]</f>
        <v>43714:GLEZ JUAN JOSÉ</v>
      </c>
      <c r="N369">
        <f>+COUNTIF(dHdcp[Columna1],dHdcp[[#This Row],[Columna1]])</f>
        <v>1</v>
      </c>
    </row>
    <row r="370" spans="1:14">
      <c r="A370" s="2">
        <v>43714</v>
      </c>
      <c r="B370" t="s">
        <v>6</v>
      </c>
      <c r="C370" s="51">
        <v>5.7</v>
      </c>
      <c r="D370">
        <v>2</v>
      </c>
      <c r="E370" t="s">
        <v>74</v>
      </c>
      <c r="F370" t="s">
        <v>836</v>
      </c>
      <c r="G370">
        <f>+IF(dHdcp[[#This Row],[Fecha]]=MAX(dHdcp[Fecha]),1,0)</f>
        <v>0</v>
      </c>
      <c r="H370" t="str">
        <f>+dHdcp[[#This Row],[Maximo]]&amp;":"&amp;dHdcp[[#This Row],[Nombre]]</f>
        <v>0:Ignacio Cadarso</v>
      </c>
      <c r="I370" t="str">
        <f>+dHdcp[[#This Row],[Maximo]]&amp;":"&amp;_xlfn.XLOOKUP(dHdcp[[#This Row],[Nombre]],dJugador[Nombre],dJugador[Mote],"",0)</f>
        <v>0:Ignacio</v>
      </c>
      <c r="J370" t="str">
        <f>+IF(dHdcp[[#This Row],[Maximo]]=0,"",_xlfn.RANK.EQ(dHdcp[[#This Row],[Handicap]],dHdcp[Handicap],1))</f>
        <v/>
      </c>
      <c r="K370" t="str">
        <f>IFERROR(+_xlfn.RANK.EQ(dHdcp[[#This Row],[Ranking]],dHdcp[Ranking],1),"")</f>
        <v/>
      </c>
      <c r="M370" t="str">
        <f>+dHdcp[[#This Row],[Fecha]]&amp;":"&amp;dHdcp[[#This Row],[Nombre]]</f>
        <v>43714:Ignacio Cadarso</v>
      </c>
      <c r="N370">
        <f>+COUNTIF(dHdcp[Columna1],dHdcp[[#This Row],[Columna1]])</f>
        <v>1</v>
      </c>
    </row>
    <row r="371" spans="1:14">
      <c r="A371" s="2">
        <v>43714</v>
      </c>
      <c r="B371" t="s">
        <v>39</v>
      </c>
      <c r="C371" s="51">
        <v>14.5</v>
      </c>
      <c r="D371">
        <v>3</v>
      </c>
      <c r="E371" t="s">
        <v>74</v>
      </c>
      <c r="F371" t="s">
        <v>837</v>
      </c>
      <c r="G371">
        <f>+IF(dHdcp[[#This Row],[Fecha]]=MAX(dHdcp[Fecha]),1,0)</f>
        <v>0</v>
      </c>
      <c r="H371" t="str">
        <f>+dHdcp[[#This Row],[Maximo]]&amp;":"&amp;dHdcp[[#This Row],[Nombre]]</f>
        <v>0:Iñigo Rosas</v>
      </c>
      <c r="I371" t="str">
        <f>+dHdcp[[#This Row],[Maximo]]&amp;":"&amp;_xlfn.XLOOKUP(dHdcp[[#This Row],[Nombre]],dJugador[Nombre],dJugador[Mote],"",0)</f>
        <v>0:</v>
      </c>
      <c r="J371" t="str">
        <f>+IF(dHdcp[[#This Row],[Maximo]]=0,"",_xlfn.RANK.EQ(dHdcp[[#This Row],[Handicap]],dHdcp[Handicap],1))</f>
        <v/>
      </c>
      <c r="K371" t="str">
        <f>IFERROR(+_xlfn.RANK.EQ(dHdcp[[#This Row],[Ranking]],dHdcp[Ranking],1),"")</f>
        <v/>
      </c>
      <c r="M371" t="str">
        <f>+dHdcp[[#This Row],[Fecha]]&amp;":"&amp;dHdcp[[#This Row],[Nombre]]</f>
        <v>43714:Iñigo Rosas</v>
      </c>
      <c r="N371">
        <f>+COUNTIF(dHdcp[Columna1],dHdcp[[#This Row],[Columna1]])</f>
        <v>1</v>
      </c>
    </row>
    <row r="372" spans="1:14">
      <c r="A372" s="2">
        <v>43714</v>
      </c>
      <c r="B372" t="s">
        <v>23</v>
      </c>
      <c r="C372" s="51">
        <v>17.600000000000001</v>
      </c>
      <c r="D372">
        <v>3</v>
      </c>
      <c r="E372" t="s">
        <v>74</v>
      </c>
      <c r="F372" t="s">
        <v>838</v>
      </c>
      <c r="G372">
        <f>+IF(dHdcp[[#This Row],[Fecha]]=MAX(dHdcp[Fecha]),1,0)</f>
        <v>0</v>
      </c>
      <c r="H372" t="str">
        <f>+dHdcp[[#This Row],[Maximo]]&amp;":"&amp;dHdcp[[#This Row],[Nombre]]</f>
        <v>0:J. Enrique Gonzalez</v>
      </c>
      <c r="I372" t="str">
        <f>+dHdcp[[#This Row],[Maximo]]&amp;":"&amp;_xlfn.XLOOKUP(dHdcp[[#This Row],[Nombre]],dJugador[Nombre],dJugador[Mote],"",0)</f>
        <v>0:Kike</v>
      </c>
      <c r="J372" t="str">
        <f>+IF(dHdcp[[#This Row],[Maximo]]=0,"",_xlfn.RANK.EQ(dHdcp[[#This Row],[Handicap]],dHdcp[Handicap],1))</f>
        <v/>
      </c>
      <c r="K372" t="str">
        <f>IFERROR(+_xlfn.RANK.EQ(dHdcp[[#This Row],[Ranking]],dHdcp[Ranking],1),"")</f>
        <v/>
      </c>
      <c r="M372" t="str">
        <f>+dHdcp[[#This Row],[Fecha]]&amp;":"&amp;dHdcp[[#This Row],[Nombre]]</f>
        <v>43714:J. Enrique Gonzalez</v>
      </c>
      <c r="N372">
        <f>+COUNTIF(dHdcp[Columna1],dHdcp[[#This Row],[Columna1]])</f>
        <v>1</v>
      </c>
    </row>
    <row r="373" spans="1:14">
      <c r="A373" s="2">
        <v>43714</v>
      </c>
      <c r="B373" t="s">
        <v>46</v>
      </c>
      <c r="C373" s="51">
        <v>13.5</v>
      </c>
      <c r="D373">
        <v>3</v>
      </c>
      <c r="E373" t="s">
        <v>74</v>
      </c>
      <c r="F373" t="s">
        <v>839</v>
      </c>
      <c r="G373">
        <f>+IF(dHdcp[[#This Row],[Fecha]]=MAX(dHdcp[Fecha]),1,0)</f>
        <v>0</v>
      </c>
      <c r="H373" t="str">
        <f>+dHdcp[[#This Row],[Maximo]]&amp;":"&amp;dHdcp[[#This Row],[Nombre]]</f>
        <v>0:Javier Cervera</v>
      </c>
      <c r="I373" t="str">
        <f>+dHdcp[[#This Row],[Maximo]]&amp;":"&amp;_xlfn.XLOOKUP(dHdcp[[#This Row],[Nombre]],dJugador[Nombre],dJugador[Mote],"",0)</f>
        <v>0:Virus</v>
      </c>
      <c r="J373" t="str">
        <f>+IF(dHdcp[[#This Row],[Maximo]]=0,"",_xlfn.RANK.EQ(dHdcp[[#This Row],[Handicap]],dHdcp[Handicap],1))</f>
        <v/>
      </c>
      <c r="K373" t="str">
        <f>IFERROR(+_xlfn.RANK.EQ(dHdcp[[#This Row],[Ranking]],dHdcp[Ranking],1),"")</f>
        <v/>
      </c>
      <c r="M373" t="str">
        <f>+dHdcp[[#This Row],[Fecha]]&amp;":"&amp;dHdcp[[#This Row],[Nombre]]</f>
        <v>43714:Javier Cervera</v>
      </c>
      <c r="N373">
        <f>+COUNTIF(dHdcp[Columna1],dHdcp[[#This Row],[Columna1]])</f>
        <v>1</v>
      </c>
    </row>
    <row r="374" spans="1:14">
      <c r="A374" s="2">
        <v>43714</v>
      </c>
      <c r="B374" t="s">
        <v>20</v>
      </c>
      <c r="C374" s="51">
        <v>13.7</v>
      </c>
      <c r="D374">
        <v>3</v>
      </c>
      <c r="E374" t="s">
        <v>74</v>
      </c>
      <c r="F374" t="s">
        <v>840</v>
      </c>
      <c r="G374">
        <f>+IF(dHdcp[[#This Row],[Fecha]]=MAX(dHdcp[Fecha]),1,0)</f>
        <v>0</v>
      </c>
      <c r="H374" t="str">
        <f>+dHdcp[[#This Row],[Maximo]]&amp;":"&amp;dHdcp[[#This Row],[Nombre]]</f>
        <v>0:Javier Gonzalez Salvador</v>
      </c>
      <c r="I374" t="str">
        <f>+dHdcp[[#This Row],[Maximo]]&amp;":"&amp;_xlfn.XLOOKUP(dHdcp[[#This Row],[Nombre]],dJugador[Nombre],dJugador[Mote],"",0)</f>
        <v>0:Javi</v>
      </c>
      <c r="J374" t="str">
        <f>+IF(dHdcp[[#This Row],[Maximo]]=0,"",_xlfn.RANK.EQ(dHdcp[[#This Row],[Handicap]],dHdcp[Handicap],1))</f>
        <v/>
      </c>
      <c r="K374" t="str">
        <f>IFERROR(+_xlfn.RANK.EQ(dHdcp[[#This Row],[Ranking]],dHdcp[Ranking],1),"")</f>
        <v/>
      </c>
      <c r="M374" t="str">
        <f>+dHdcp[[#This Row],[Fecha]]&amp;":"&amp;dHdcp[[#This Row],[Nombre]]</f>
        <v>43714:Javier Gonzalez Salvador</v>
      </c>
      <c r="N374">
        <f>+COUNTIF(dHdcp[Columna1],dHdcp[[#This Row],[Columna1]])</f>
        <v>1</v>
      </c>
    </row>
    <row r="375" spans="1:14">
      <c r="A375" s="2">
        <v>43714</v>
      </c>
      <c r="B375" t="s">
        <v>41</v>
      </c>
      <c r="C375" s="51">
        <v>21.2</v>
      </c>
      <c r="D375">
        <v>4</v>
      </c>
      <c r="E375" t="s">
        <v>74</v>
      </c>
      <c r="F375" t="s">
        <v>841</v>
      </c>
      <c r="G375">
        <f>+IF(dHdcp[[#This Row],[Fecha]]=MAX(dHdcp[Fecha]),1,0)</f>
        <v>0</v>
      </c>
      <c r="H375" t="str">
        <f>+dHdcp[[#This Row],[Maximo]]&amp;":"&amp;dHdcp[[#This Row],[Nombre]]</f>
        <v>0:Jesus Touceda</v>
      </c>
      <c r="I375" t="str">
        <f>+dHdcp[[#This Row],[Maximo]]&amp;":"&amp;_xlfn.XLOOKUP(dHdcp[[#This Row],[Nombre]],dJugador[Nombre],dJugador[Mote],"",0)</f>
        <v>0:Jesús</v>
      </c>
      <c r="J375" t="str">
        <f>+IF(dHdcp[[#This Row],[Maximo]]=0,"",_xlfn.RANK.EQ(dHdcp[[#This Row],[Handicap]],dHdcp[Handicap],1))</f>
        <v/>
      </c>
      <c r="K375" t="str">
        <f>IFERROR(+_xlfn.RANK.EQ(dHdcp[[#This Row],[Ranking]],dHdcp[Ranking],1),"")</f>
        <v/>
      </c>
      <c r="M375" t="str">
        <f>+dHdcp[[#This Row],[Fecha]]&amp;":"&amp;dHdcp[[#This Row],[Nombre]]</f>
        <v>43714:Jesus Touceda</v>
      </c>
      <c r="N375">
        <f>+COUNTIF(dHdcp[Columna1],dHdcp[[#This Row],[Columna1]])</f>
        <v>1</v>
      </c>
    </row>
    <row r="376" spans="1:14">
      <c r="A376" s="2">
        <v>43714</v>
      </c>
      <c r="B376" t="s">
        <v>18</v>
      </c>
      <c r="C376" s="51">
        <v>7.3</v>
      </c>
      <c r="D376">
        <v>2</v>
      </c>
      <c r="E376" t="s">
        <v>74</v>
      </c>
      <c r="F376" t="s">
        <v>842</v>
      </c>
      <c r="G376">
        <f>+IF(dHdcp[[#This Row],[Fecha]]=MAX(dHdcp[Fecha]),1,0)</f>
        <v>0</v>
      </c>
      <c r="H376" t="str">
        <f>+dHdcp[[#This Row],[Maximo]]&amp;":"&amp;dHdcp[[#This Row],[Nombre]]</f>
        <v>0:José Pablo Guil</v>
      </c>
      <c r="I376" t="str">
        <f>+dHdcp[[#This Row],[Maximo]]&amp;":"&amp;_xlfn.XLOOKUP(dHdcp[[#This Row],[Nombre]],dJugador[Nombre],dJugador[Mote],"",0)</f>
        <v>0:JP</v>
      </c>
      <c r="J376" t="str">
        <f>+IF(dHdcp[[#This Row],[Maximo]]=0,"",_xlfn.RANK.EQ(dHdcp[[#This Row],[Handicap]],dHdcp[Handicap],1))</f>
        <v/>
      </c>
      <c r="K376" t="str">
        <f>IFERROR(+_xlfn.RANK.EQ(dHdcp[[#This Row],[Ranking]],dHdcp[Ranking],1),"")</f>
        <v/>
      </c>
      <c r="M376" t="str">
        <f>+dHdcp[[#This Row],[Fecha]]&amp;":"&amp;dHdcp[[#This Row],[Nombre]]</f>
        <v>43714:José Pablo Guil</v>
      </c>
      <c r="N376">
        <f>+COUNTIF(dHdcp[Columna1],dHdcp[[#This Row],[Columna1]])</f>
        <v>1</v>
      </c>
    </row>
    <row r="377" spans="1:14">
      <c r="A377" s="2">
        <v>43714</v>
      </c>
      <c r="B377" t="s">
        <v>43</v>
      </c>
      <c r="C377" s="51">
        <v>17.3</v>
      </c>
      <c r="D377">
        <v>3</v>
      </c>
      <c r="E377" t="s">
        <v>74</v>
      </c>
      <c r="F377" t="s">
        <v>843</v>
      </c>
      <c r="G377">
        <f>+IF(dHdcp[[#This Row],[Fecha]]=MAX(dHdcp[Fecha]),1,0)</f>
        <v>0</v>
      </c>
      <c r="H377" t="str">
        <f>+dHdcp[[#This Row],[Maximo]]&amp;":"&amp;dHdcp[[#This Row],[Nombre]]</f>
        <v>0:Luis Escudero</v>
      </c>
      <c r="I377" t="str">
        <f>+dHdcp[[#This Row],[Maximo]]&amp;":"&amp;_xlfn.XLOOKUP(dHdcp[[#This Row],[Nombre]],dJugador[Nombre],dJugador[Mote],"",0)</f>
        <v>0:Lucho</v>
      </c>
      <c r="J377" t="str">
        <f>+IF(dHdcp[[#This Row],[Maximo]]=0,"",_xlfn.RANK.EQ(dHdcp[[#This Row],[Handicap]],dHdcp[Handicap],1))</f>
        <v/>
      </c>
      <c r="K377" t="str">
        <f>IFERROR(+_xlfn.RANK.EQ(dHdcp[[#This Row],[Ranking]],dHdcp[Ranking],1),"")</f>
        <v/>
      </c>
      <c r="M377" t="str">
        <f>+dHdcp[[#This Row],[Fecha]]&amp;":"&amp;dHdcp[[#This Row],[Nombre]]</f>
        <v>43714:Luis Escudero</v>
      </c>
      <c r="N377">
        <f>+COUNTIF(dHdcp[Columna1],dHdcp[[#This Row],[Columna1]])</f>
        <v>1</v>
      </c>
    </row>
    <row r="378" spans="1:14">
      <c r="A378" s="2">
        <v>43714</v>
      </c>
      <c r="B378" t="s">
        <v>51</v>
      </c>
      <c r="C378" s="51">
        <v>1.4</v>
      </c>
      <c r="D378">
        <v>1</v>
      </c>
      <c r="E378" t="s">
        <v>74</v>
      </c>
      <c r="F378" t="s">
        <v>844</v>
      </c>
      <c r="G378">
        <f>+IF(dHdcp[[#This Row],[Fecha]]=MAX(dHdcp[Fecha]),1,0)</f>
        <v>0</v>
      </c>
      <c r="H378" t="str">
        <f>+dHdcp[[#This Row],[Maximo]]&amp;":"&amp;dHdcp[[#This Row],[Nombre]]</f>
        <v>0:Miguel Diaz Del Moral</v>
      </c>
      <c r="I378" t="str">
        <f>+dHdcp[[#This Row],[Maximo]]&amp;":"&amp;_xlfn.XLOOKUP(dHdcp[[#This Row],[Nombre]],dJugador[Nombre],dJugador[Mote],"",0)</f>
        <v>0:Cañita</v>
      </c>
      <c r="J378" t="str">
        <f>+IF(dHdcp[[#This Row],[Maximo]]=0,"",_xlfn.RANK.EQ(dHdcp[[#This Row],[Handicap]],dHdcp[Handicap],1))</f>
        <v/>
      </c>
      <c r="K378" t="str">
        <f>IFERROR(+_xlfn.RANK.EQ(dHdcp[[#This Row],[Ranking]],dHdcp[Ranking],1),"")</f>
        <v/>
      </c>
      <c r="M378" t="str">
        <f>+dHdcp[[#This Row],[Fecha]]&amp;":"&amp;dHdcp[[#This Row],[Nombre]]</f>
        <v>43714:Miguel Diaz Del Moral</v>
      </c>
      <c r="N378">
        <f>+COUNTIF(dHdcp[Columna1],dHdcp[[#This Row],[Columna1]])</f>
        <v>1</v>
      </c>
    </row>
    <row r="379" spans="1:14">
      <c r="A379" s="2">
        <v>43714</v>
      </c>
      <c r="B379" t="s">
        <v>3</v>
      </c>
      <c r="C379" s="51">
        <v>5.9</v>
      </c>
      <c r="D379">
        <v>2</v>
      </c>
      <c r="E379" t="s">
        <v>74</v>
      </c>
      <c r="F379" t="s">
        <v>845</v>
      </c>
      <c r="G379">
        <f>+IF(dHdcp[[#This Row],[Fecha]]=MAX(dHdcp[Fecha]),1,0)</f>
        <v>0</v>
      </c>
      <c r="H379" t="str">
        <f>+dHdcp[[#This Row],[Maximo]]&amp;":"&amp;dHdcp[[#This Row],[Nombre]]</f>
        <v>0:Nacho Gonzalez</v>
      </c>
      <c r="I379" t="str">
        <f>+dHdcp[[#This Row],[Maximo]]&amp;":"&amp;_xlfn.XLOOKUP(dHdcp[[#This Row],[Nombre]],dJugador[Nombre],dJugador[Mote],"",0)</f>
        <v>0:Nacho</v>
      </c>
      <c r="J379" t="str">
        <f>+IF(dHdcp[[#This Row],[Maximo]]=0,"",_xlfn.RANK.EQ(dHdcp[[#This Row],[Handicap]],dHdcp[Handicap],1))</f>
        <v/>
      </c>
      <c r="K379" t="str">
        <f>IFERROR(+_xlfn.RANK.EQ(dHdcp[[#This Row],[Ranking]],dHdcp[Ranking],1),"")</f>
        <v/>
      </c>
      <c r="M379" t="str">
        <f>+dHdcp[[#This Row],[Fecha]]&amp;":"&amp;dHdcp[[#This Row],[Nombre]]</f>
        <v>43714:Nacho Gonzalez</v>
      </c>
      <c r="N379">
        <f>+COUNTIF(dHdcp[Columna1],dHdcp[[#This Row],[Columna1]])</f>
        <v>1</v>
      </c>
    </row>
    <row r="380" spans="1:14">
      <c r="A380" s="2">
        <v>43714</v>
      </c>
      <c r="B380" t="s">
        <v>28</v>
      </c>
      <c r="C380" s="51">
        <v>13.4</v>
      </c>
      <c r="D380">
        <v>3</v>
      </c>
      <c r="E380" t="s">
        <v>74</v>
      </c>
      <c r="F380" t="s">
        <v>846</v>
      </c>
      <c r="G380">
        <f>+IF(dHdcp[[#This Row],[Fecha]]=MAX(dHdcp[Fecha]),1,0)</f>
        <v>0</v>
      </c>
      <c r="H380" t="str">
        <f>+dHdcp[[#This Row],[Maximo]]&amp;":"&amp;dHdcp[[#This Row],[Nombre]]</f>
        <v>0:Pablo Munitiz</v>
      </c>
      <c r="I380" t="str">
        <f>+dHdcp[[#This Row],[Maximo]]&amp;":"&amp;_xlfn.XLOOKUP(dHdcp[[#This Row],[Nombre]],dJugador[Nombre],dJugador[Mote],"",0)</f>
        <v>0:Muni</v>
      </c>
      <c r="J380" t="str">
        <f>+IF(dHdcp[[#This Row],[Maximo]]=0,"",_xlfn.RANK.EQ(dHdcp[[#This Row],[Handicap]],dHdcp[Handicap],1))</f>
        <v/>
      </c>
      <c r="K380" t="str">
        <f>IFERROR(+_xlfn.RANK.EQ(dHdcp[[#This Row],[Ranking]],dHdcp[Ranking],1),"")</f>
        <v/>
      </c>
      <c r="M380" t="str">
        <f>+dHdcp[[#This Row],[Fecha]]&amp;":"&amp;dHdcp[[#This Row],[Nombre]]</f>
        <v>43714:Pablo Munitiz</v>
      </c>
      <c r="N380">
        <f>+COUNTIF(dHdcp[Columna1],dHdcp[[#This Row],[Columna1]])</f>
        <v>1</v>
      </c>
    </row>
    <row r="381" spans="1:14">
      <c r="A381" s="2">
        <v>43717</v>
      </c>
      <c r="B381" t="s">
        <v>9</v>
      </c>
      <c r="C381" s="51">
        <v>7.7000000000000011</v>
      </c>
      <c r="D381">
        <v>2</v>
      </c>
      <c r="E381" t="s">
        <v>75</v>
      </c>
      <c r="F381" t="s">
        <v>847</v>
      </c>
      <c r="G381">
        <f>+IF(dHdcp[[#This Row],[Fecha]]=MAX(dHdcp[Fecha]),1,0)</f>
        <v>0</v>
      </c>
      <c r="H381" t="str">
        <f>+dHdcp[[#This Row],[Maximo]]&amp;":"&amp;dHdcp[[#This Row],[Nombre]]</f>
        <v>0:Alfonso Hidalgo</v>
      </c>
      <c r="I381" t="str">
        <f>+dHdcp[[#This Row],[Maximo]]&amp;":"&amp;_xlfn.XLOOKUP(dHdcp[[#This Row],[Nombre]],dJugador[Nombre],dJugador[Mote],"",0)</f>
        <v>0:Alfonso</v>
      </c>
      <c r="J381" t="str">
        <f>+IF(dHdcp[[#This Row],[Maximo]]=0,"",_xlfn.RANK.EQ(dHdcp[[#This Row],[Handicap]],dHdcp[Handicap],1))</f>
        <v/>
      </c>
      <c r="K381" t="str">
        <f>IFERROR(+_xlfn.RANK.EQ(dHdcp[[#This Row],[Ranking]],dHdcp[Ranking],1),"")</f>
        <v/>
      </c>
      <c r="M381" t="str">
        <f>+dHdcp[[#This Row],[Fecha]]&amp;":"&amp;dHdcp[[#This Row],[Nombre]]</f>
        <v>43717:Alfonso Hidalgo</v>
      </c>
      <c r="N381">
        <f>+COUNTIF(dHdcp[Columna1],dHdcp[[#This Row],[Columna1]])</f>
        <v>1</v>
      </c>
    </row>
    <row r="382" spans="1:14">
      <c r="A382" s="2">
        <v>43717</v>
      </c>
      <c r="B382" t="s">
        <v>15</v>
      </c>
      <c r="C382" s="51">
        <v>4.3999999999999995</v>
      </c>
      <c r="D382">
        <v>1</v>
      </c>
      <c r="E382" t="s">
        <v>75</v>
      </c>
      <c r="F382" t="s">
        <v>848</v>
      </c>
      <c r="G382">
        <f>+IF(dHdcp[[#This Row],[Fecha]]=MAX(dHdcp[Fecha]),1,0)</f>
        <v>0</v>
      </c>
      <c r="H382" t="str">
        <f>+dHdcp[[#This Row],[Maximo]]&amp;":"&amp;dHdcp[[#This Row],[Nombre]]</f>
        <v>0:Alvaro Aguirre</v>
      </c>
      <c r="I382" t="str">
        <f>+dHdcp[[#This Row],[Maximo]]&amp;":"&amp;_xlfn.XLOOKUP(dHdcp[[#This Row],[Nombre]],dJugador[Nombre],dJugador[Mote],"",0)</f>
        <v>0:Gifu</v>
      </c>
      <c r="J382" t="str">
        <f>+IF(dHdcp[[#This Row],[Maximo]]=0,"",_xlfn.RANK.EQ(dHdcp[[#This Row],[Handicap]],dHdcp[Handicap],1))</f>
        <v/>
      </c>
      <c r="K382" t="str">
        <f>IFERROR(+_xlfn.RANK.EQ(dHdcp[[#This Row],[Ranking]],dHdcp[Ranking],1),"")</f>
        <v/>
      </c>
      <c r="M382" t="str">
        <f>+dHdcp[[#This Row],[Fecha]]&amp;":"&amp;dHdcp[[#This Row],[Nombre]]</f>
        <v>43717:Alvaro Aguirre</v>
      </c>
      <c r="N382">
        <f>+COUNTIF(dHdcp[Columna1],dHdcp[[#This Row],[Columna1]])</f>
        <v>1</v>
      </c>
    </row>
    <row r="383" spans="1:14">
      <c r="A383" s="2">
        <v>43717</v>
      </c>
      <c r="B383" t="s">
        <v>25</v>
      </c>
      <c r="C383" s="51">
        <v>13.099999999999994</v>
      </c>
      <c r="D383">
        <v>3</v>
      </c>
      <c r="E383" t="s">
        <v>75</v>
      </c>
      <c r="F383" t="s">
        <v>849</v>
      </c>
      <c r="G383">
        <f>+IF(dHdcp[[#This Row],[Fecha]]=MAX(dHdcp[Fecha]),1,0)</f>
        <v>0</v>
      </c>
      <c r="H383" t="str">
        <f>+dHdcp[[#This Row],[Maximo]]&amp;":"&amp;dHdcp[[#This Row],[Nombre]]</f>
        <v>0:Alvaro Nieto</v>
      </c>
      <c r="I383" t="str">
        <f>+dHdcp[[#This Row],[Maximo]]&amp;":"&amp;_xlfn.XLOOKUP(dHdcp[[#This Row],[Nombre]],dJugador[Nombre],dJugador[Mote],"",0)</f>
        <v>0:Alvaro</v>
      </c>
      <c r="J383" t="str">
        <f>+IF(dHdcp[[#This Row],[Maximo]]=0,"",_xlfn.RANK.EQ(dHdcp[[#This Row],[Handicap]],dHdcp[Handicap],1))</f>
        <v/>
      </c>
      <c r="K383" t="str">
        <f>IFERROR(+_xlfn.RANK.EQ(dHdcp[[#This Row],[Ranking]],dHdcp[Ranking],1),"")</f>
        <v/>
      </c>
      <c r="M383" t="str">
        <f>+dHdcp[[#This Row],[Fecha]]&amp;":"&amp;dHdcp[[#This Row],[Nombre]]</f>
        <v>43717:Alvaro Nieto</v>
      </c>
      <c r="N383">
        <f>+COUNTIF(dHdcp[Columna1],dHdcp[[#This Row],[Columna1]])</f>
        <v>1</v>
      </c>
    </row>
    <row r="384" spans="1:14">
      <c r="A384" s="2">
        <v>43717</v>
      </c>
      <c r="B384" t="s">
        <v>33</v>
      </c>
      <c r="C384" s="51">
        <v>6.2999999999999972</v>
      </c>
      <c r="D384">
        <v>2</v>
      </c>
      <c r="E384" t="s">
        <v>75</v>
      </c>
      <c r="F384" t="s">
        <v>850</v>
      </c>
      <c r="G384">
        <f>+IF(dHdcp[[#This Row],[Fecha]]=MAX(dHdcp[Fecha]),1,0)</f>
        <v>0</v>
      </c>
      <c r="H384" t="str">
        <f>+dHdcp[[#This Row],[Maximo]]&amp;":"&amp;dHdcp[[#This Row],[Nombre]]</f>
        <v>0:Angel Hernandez</v>
      </c>
      <c r="I384" t="str">
        <f>+dHdcp[[#This Row],[Maximo]]&amp;":"&amp;_xlfn.XLOOKUP(dHdcp[[#This Row],[Nombre]],dJugador[Nombre],dJugador[Mote],"",0)</f>
        <v>0:Angel</v>
      </c>
      <c r="J384" t="str">
        <f>+IF(dHdcp[[#This Row],[Maximo]]=0,"",_xlfn.RANK.EQ(dHdcp[[#This Row],[Handicap]],dHdcp[Handicap],1))</f>
        <v/>
      </c>
      <c r="K384" t="str">
        <f>IFERROR(+_xlfn.RANK.EQ(dHdcp[[#This Row],[Ranking]],dHdcp[Ranking],1),"")</f>
        <v/>
      </c>
      <c r="M384" t="str">
        <f>+dHdcp[[#This Row],[Fecha]]&amp;":"&amp;dHdcp[[#This Row],[Nombre]]</f>
        <v>43717:Angel Hernandez</v>
      </c>
      <c r="N384">
        <f>+COUNTIF(dHdcp[Columna1],dHdcp[[#This Row],[Columna1]])</f>
        <v>1</v>
      </c>
    </row>
    <row r="385" spans="1:14">
      <c r="A385" s="2">
        <v>43717</v>
      </c>
      <c r="B385" t="s">
        <v>30</v>
      </c>
      <c r="C385" s="51">
        <v>10.799999999999999</v>
      </c>
      <c r="D385">
        <v>2</v>
      </c>
      <c r="E385" t="s">
        <v>75</v>
      </c>
      <c r="F385" t="s">
        <v>851</v>
      </c>
      <c r="G385">
        <f>+IF(dHdcp[[#This Row],[Fecha]]=MAX(dHdcp[Fecha]),1,0)</f>
        <v>0</v>
      </c>
      <c r="H385" t="str">
        <f>+dHdcp[[#This Row],[Maximo]]&amp;":"&amp;dHdcp[[#This Row],[Nombre]]</f>
        <v>0:David Sequera</v>
      </c>
      <c r="I385" t="str">
        <f>+dHdcp[[#This Row],[Maximo]]&amp;":"&amp;_xlfn.XLOOKUP(dHdcp[[#This Row],[Nombre]],dJugador[Nombre],dJugador[Mote],"",0)</f>
        <v>0:David</v>
      </c>
      <c r="J385" t="str">
        <f>+IF(dHdcp[[#This Row],[Maximo]]=0,"",_xlfn.RANK.EQ(dHdcp[[#This Row],[Handicap]],dHdcp[Handicap],1))</f>
        <v/>
      </c>
      <c r="K385" t="str">
        <f>IFERROR(+_xlfn.RANK.EQ(dHdcp[[#This Row],[Ranking]],dHdcp[Ranking],1),"")</f>
        <v/>
      </c>
      <c r="M385" t="str">
        <f>+dHdcp[[#This Row],[Fecha]]&amp;":"&amp;dHdcp[[#This Row],[Nombre]]</f>
        <v>43717:David Sequera</v>
      </c>
      <c r="N385">
        <f>+COUNTIF(dHdcp[Columna1],dHdcp[[#This Row],[Columna1]])</f>
        <v>1</v>
      </c>
    </row>
    <row r="386" spans="1:14">
      <c r="A386" s="2">
        <v>43717</v>
      </c>
      <c r="B386" t="s">
        <v>12</v>
      </c>
      <c r="C386" s="51">
        <v>13.799999999999999</v>
      </c>
      <c r="D386">
        <v>3</v>
      </c>
      <c r="E386" t="s">
        <v>75</v>
      </c>
      <c r="F386" t="s">
        <v>852</v>
      </c>
      <c r="G386">
        <f>+IF(dHdcp[[#This Row],[Fecha]]=MAX(dHdcp[Fecha]),1,0)</f>
        <v>0</v>
      </c>
      <c r="H386" t="str">
        <f>+dHdcp[[#This Row],[Maximo]]&amp;":"&amp;dHdcp[[#This Row],[Nombre]]</f>
        <v>0:Francisco Alvarez</v>
      </c>
      <c r="I386" t="str">
        <f>+dHdcp[[#This Row],[Maximo]]&amp;":"&amp;_xlfn.XLOOKUP(dHdcp[[#This Row],[Nombre]],dJugador[Nombre],dJugador[Mote],"",0)</f>
        <v>0:Paco</v>
      </c>
      <c r="J386" t="str">
        <f>+IF(dHdcp[[#This Row],[Maximo]]=0,"",_xlfn.RANK.EQ(dHdcp[[#This Row],[Handicap]],dHdcp[Handicap],1))</f>
        <v/>
      </c>
      <c r="K386" t="str">
        <f>IFERROR(+_xlfn.RANK.EQ(dHdcp[[#This Row],[Ranking]],dHdcp[Ranking],1),"")</f>
        <v/>
      </c>
      <c r="M386" t="str">
        <f>+dHdcp[[#This Row],[Fecha]]&amp;":"&amp;dHdcp[[#This Row],[Nombre]]</f>
        <v>43717:Francisco Alvarez</v>
      </c>
      <c r="N386">
        <f>+COUNTIF(dHdcp[Columna1],dHdcp[[#This Row],[Columna1]])</f>
        <v>1</v>
      </c>
    </row>
    <row r="387" spans="1:14">
      <c r="A387" s="2">
        <v>43717</v>
      </c>
      <c r="B387" t="s">
        <v>49</v>
      </c>
      <c r="C387" s="51">
        <v>13.199999999999998</v>
      </c>
      <c r="D387">
        <v>3</v>
      </c>
      <c r="E387" t="s">
        <v>75</v>
      </c>
      <c r="F387" t="s">
        <v>853</v>
      </c>
      <c r="G387">
        <f>+IF(dHdcp[[#This Row],[Fecha]]=MAX(dHdcp[Fecha]),1,0)</f>
        <v>0</v>
      </c>
      <c r="H387" t="str">
        <f>+dHdcp[[#This Row],[Maximo]]&amp;":"&amp;dHdcp[[#This Row],[Nombre]]</f>
        <v>0:Francisco Hidalgo</v>
      </c>
      <c r="I387" t="str">
        <f>+dHdcp[[#This Row],[Maximo]]&amp;":"&amp;_xlfn.XLOOKUP(dHdcp[[#This Row],[Nombre]],dJugador[Nombre],dJugador[Mote],"",0)</f>
        <v>0:Fran</v>
      </c>
      <c r="J387" t="str">
        <f>+IF(dHdcp[[#This Row],[Maximo]]=0,"",_xlfn.RANK.EQ(dHdcp[[#This Row],[Handicap]],dHdcp[Handicap],1))</f>
        <v/>
      </c>
      <c r="K387" t="str">
        <f>IFERROR(+_xlfn.RANK.EQ(dHdcp[[#This Row],[Ranking]],dHdcp[Ranking],1),"")</f>
        <v/>
      </c>
      <c r="M387" t="str">
        <f>+dHdcp[[#This Row],[Fecha]]&amp;":"&amp;dHdcp[[#This Row],[Nombre]]</f>
        <v>43717:Francisco Hidalgo</v>
      </c>
      <c r="N387">
        <f>+COUNTIF(dHdcp[Columna1],dHdcp[[#This Row],[Columna1]])</f>
        <v>1</v>
      </c>
    </row>
    <row r="388" spans="1:14">
      <c r="A388" s="2">
        <v>43717</v>
      </c>
      <c r="B388" t="s">
        <v>35</v>
      </c>
      <c r="C388" s="51">
        <v>17.199999999999996</v>
      </c>
      <c r="D388">
        <v>3</v>
      </c>
      <c r="E388" t="s">
        <v>75</v>
      </c>
      <c r="F388" t="s">
        <v>854</v>
      </c>
      <c r="G388">
        <f>+IF(dHdcp[[#This Row],[Fecha]]=MAX(dHdcp[Fecha]),1,0)</f>
        <v>0</v>
      </c>
      <c r="H388" t="str">
        <f>+dHdcp[[#This Row],[Maximo]]&amp;":"&amp;dHdcp[[#This Row],[Nombre]]</f>
        <v>0:GLEZ JUAN JOSÉ</v>
      </c>
      <c r="I388" t="str">
        <f>+dHdcp[[#This Row],[Maximo]]&amp;":"&amp;_xlfn.XLOOKUP(dHdcp[[#This Row],[Nombre]],dJugador[Nombre],dJugador[Mote],"",0)</f>
        <v>0:Juanjo</v>
      </c>
      <c r="J388" t="str">
        <f>+IF(dHdcp[[#This Row],[Maximo]]=0,"",_xlfn.RANK.EQ(dHdcp[[#This Row],[Handicap]],dHdcp[Handicap],1))</f>
        <v/>
      </c>
      <c r="K388" t="str">
        <f>IFERROR(+_xlfn.RANK.EQ(dHdcp[[#This Row],[Ranking]],dHdcp[Ranking],1),"")</f>
        <v/>
      </c>
      <c r="M388" t="str">
        <f>+dHdcp[[#This Row],[Fecha]]&amp;":"&amp;dHdcp[[#This Row],[Nombre]]</f>
        <v>43717:GLEZ JUAN JOSÉ</v>
      </c>
      <c r="N388">
        <f>+COUNTIF(dHdcp[Columna1],dHdcp[[#This Row],[Columna1]])</f>
        <v>1</v>
      </c>
    </row>
    <row r="389" spans="1:14">
      <c r="A389" s="2">
        <v>43717</v>
      </c>
      <c r="B389" t="s">
        <v>6</v>
      </c>
      <c r="C389" s="51">
        <v>5.7999999999999963</v>
      </c>
      <c r="D389">
        <v>2</v>
      </c>
      <c r="E389" t="s">
        <v>75</v>
      </c>
      <c r="F389" t="s">
        <v>855</v>
      </c>
      <c r="G389">
        <f>+IF(dHdcp[[#This Row],[Fecha]]=MAX(dHdcp[Fecha]),1,0)</f>
        <v>0</v>
      </c>
      <c r="H389" t="str">
        <f>+dHdcp[[#This Row],[Maximo]]&amp;":"&amp;dHdcp[[#This Row],[Nombre]]</f>
        <v>0:Ignacio Cadarso</v>
      </c>
      <c r="I389" t="str">
        <f>+dHdcp[[#This Row],[Maximo]]&amp;":"&amp;_xlfn.XLOOKUP(dHdcp[[#This Row],[Nombre]],dJugador[Nombre],dJugador[Mote],"",0)</f>
        <v>0:Ignacio</v>
      </c>
      <c r="J389" t="str">
        <f>+IF(dHdcp[[#This Row],[Maximo]]=0,"",_xlfn.RANK.EQ(dHdcp[[#This Row],[Handicap]],dHdcp[Handicap],1))</f>
        <v/>
      </c>
      <c r="K389" t="str">
        <f>IFERROR(+_xlfn.RANK.EQ(dHdcp[[#This Row],[Ranking]],dHdcp[Ranking],1),"")</f>
        <v/>
      </c>
      <c r="M389" t="str">
        <f>+dHdcp[[#This Row],[Fecha]]&amp;":"&amp;dHdcp[[#This Row],[Nombre]]</f>
        <v>43717:Ignacio Cadarso</v>
      </c>
      <c r="N389">
        <f>+COUNTIF(dHdcp[Columna1],dHdcp[[#This Row],[Columna1]])</f>
        <v>1</v>
      </c>
    </row>
    <row r="390" spans="1:14">
      <c r="A390" s="2">
        <v>43717</v>
      </c>
      <c r="B390" t="s">
        <v>23</v>
      </c>
      <c r="C390" s="51">
        <v>17.500000000000014</v>
      </c>
      <c r="D390">
        <v>3</v>
      </c>
      <c r="E390" t="s">
        <v>75</v>
      </c>
      <c r="F390" t="s">
        <v>856</v>
      </c>
      <c r="G390">
        <f>+IF(dHdcp[[#This Row],[Fecha]]=MAX(dHdcp[Fecha]),1,0)</f>
        <v>0</v>
      </c>
      <c r="H390" t="str">
        <f>+dHdcp[[#This Row],[Maximo]]&amp;":"&amp;dHdcp[[#This Row],[Nombre]]</f>
        <v>0:J. Enrique Gonzalez</v>
      </c>
      <c r="I390" t="str">
        <f>+dHdcp[[#This Row],[Maximo]]&amp;":"&amp;_xlfn.XLOOKUP(dHdcp[[#This Row],[Nombre]],dJugador[Nombre],dJugador[Mote],"",0)</f>
        <v>0:Kike</v>
      </c>
      <c r="J390" t="str">
        <f>+IF(dHdcp[[#This Row],[Maximo]]=0,"",_xlfn.RANK.EQ(dHdcp[[#This Row],[Handicap]],dHdcp[Handicap],1))</f>
        <v/>
      </c>
      <c r="K390" t="str">
        <f>IFERROR(+_xlfn.RANK.EQ(dHdcp[[#This Row],[Ranking]],dHdcp[Ranking],1),"")</f>
        <v/>
      </c>
      <c r="M390" t="str">
        <f>+dHdcp[[#This Row],[Fecha]]&amp;":"&amp;dHdcp[[#This Row],[Nombre]]</f>
        <v>43717:J. Enrique Gonzalez</v>
      </c>
      <c r="N390">
        <f>+COUNTIF(dHdcp[Columna1],dHdcp[[#This Row],[Columna1]])</f>
        <v>1</v>
      </c>
    </row>
    <row r="391" spans="1:14">
      <c r="A391" s="2">
        <v>43717</v>
      </c>
      <c r="B391" t="s">
        <v>46</v>
      </c>
      <c r="C391" s="51">
        <v>13.399999999999997</v>
      </c>
      <c r="D391">
        <v>3</v>
      </c>
      <c r="E391" t="s">
        <v>75</v>
      </c>
      <c r="F391" t="s">
        <v>857</v>
      </c>
      <c r="G391">
        <f>+IF(dHdcp[[#This Row],[Fecha]]=MAX(dHdcp[Fecha]),1,0)</f>
        <v>0</v>
      </c>
      <c r="H391" t="str">
        <f>+dHdcp[[#This Row],[Maximo]]&amp;":"&amp;dHdcp[[#This Row],[Nombre]]</f>
        <v>0:Javier Cervera</v>
      </c>
      <c r="I391" t="str">
        <f>+dHdcp[[#This Row],[Maximo]]&amp;":"&amp;_xlfn.XLOOKUP(dHdcp[[#This Row],[Nombre]],dJugador[Nombre],dJugador[Mote],"",0)</f>
        <v>0:Virus</v>
      </c>
      <c r="J391" t="str">
        <f>+IF(dHdcp[[#This Row],[Maximo]]=0,"",_xlfn.RANK.EQ(dHdcp[[#This Row],[Handicap]],dHdcp[Handicap],1))</f>
        <v/>
      </c>
      <c r="K391" t="str">
        <f>IFERROR(+_xlfn.RANK.EQ(dHdcp[[#This Row],[Ranking]],dHdcp[Ranking],1),"")</f>
        <v/>
      </c>
      <c r="M391" t="str">
        <f>+dHdcp[[#This Row],[Fecha]]&amp;":"&amp;dHdcp[[#This Row],[Nombre]]</f>
        <v>43717:Javier Cervera</v>
      </c>
      <c r="N391">
        <f>+COUNTIF(dHdcp[Columna1],dHdcp[[#This Row],[Columna1]])</f>
        <v>1</v>
      </c>
    </row>
    <row r="392" spans="1:14">
      <c r="A392" s="2">
        <v>43717</v>
      </c>
      <c r="B392" t="s">
        <v>20</v>
      </c>
      <c r="C392" s="51">
        <v>10.6</v>
      </c>
      <c r="D392">
        <v>2</v>
      </c>
      <c r="E392" t="s">
        <v>75</v>
      </c>
      <c r="F392" t="s">
        <v>858</v>
      </c>
      <c r="G392">
        <f>+IF(dHdcp[[#This Row],[Fecha]]=MAX(dHdcp[Fecha]),1,0)</f>
        <v>0</v>
      </c>
      <c r="H392" t="str">
        <f>+dHdcp[[#This Row],[Maximo]]&amp;":"&amp;dHdcp[[#This Row],[Nombre]]</f>
        <v>0:Javier Gonzalez Salvador</v>
      </c>
      <c r="I392" t="str">
        <f>+dHdcp[[#This Row],[Maximo]]&amp;":"&amp;_xlfn.XLOOKUP(dHdcp[[#This Row],[Nombre]],dJugador[Nombre],dJugador[Mote],"",0)</f>
        <v>0:Javi</v>
      </c>
      <c r="J392" t="str">
        <f>+IF(dHdcp[[#This Row],[Maximo]]=0,"",_xlfn.RANK.EQ(dHdcp[[#This Row],[Handicap]],dHdcp[Handicap],1))</f>
        <v/>
      </c>
      <c r="K392" t="str">
        <f>IFERROR(+_xlfn.RANK.EQ(dHdcp[[#This Row],[Ranking]],dHdcp[Ranking],1),"")</f>
        <v/>
      </c>
      <c r="M392" t="str">
        <f>+dHdcp[[#This Row],[Fecha]]&amp;":"&amp;dHdcp[[#This Row],[Nombre]]</f>
        <v>43717:Javier Gonzalez Salvador</v>
      </c>
      <c r="N392">
        <f>+COUNTIF(dHdcp[Columna1],dHdcp[[#This Row],[Columna1]])</f>
        <v>1</v>
      </c>
    </row>
    <row r="393" spans="1:14">
      <c r="A393" s="2">
        <v>43717</v>
      </c>
      <c r="B393" t="s">
        <v>41</v>
      </c>
      <c r="C393" s="51">
        <v>21.20000000000001</v>
      </c>
      <c r="D393">
        <v>4</v>
      </c>
      <c r="E393" t="s">
        <v>75</v>
      </c>
      <c r="F393" t="s">
        <v>859</v>
      </c>
      <c r="G393">
        <f>+IF(dHdcp[[#This Row],[Fecha]]=MAX(dHdcp[Fecha]),1,0)</f>
        <v>0</v>
      </c>
      <c r="H393" t="str">
        <f>+dHdcp[[#This Row],[Maximo]]&amp;":"&amp;dHdcp[[#This Row],[Nombre]]</f>
        <v>0:Jesus Touceda</v>
      </c>
      <c r="I393" t="str">
        <f>+dHdcp[[#This Row],[Maximo]]&amp;":"&amp;_xlfn.XLOOKUP(dHdcp[[#This Row],[Nombre]],dJugador[Nombre],dJugador[Mote],"",0)</f>
        <v>0:Jesús</v>
      </c>
      <c r="J393" t="str">
        <f>+IF(dHdcp[[#This Row],[Maximo]]=0,"",_xlfn.RANK.EQ(dHdcp[[#This Row],[Handicap]],dHdcp[Handicap],1))</f>
        <v/>
      </c>
      <c r="K393" t="str">
        <f>IFERROR(+_xlfn.RANK.EQ(dHdcp[[#This Row],[Ranking]],dHdcp[Ranking],1),"")</f>
        <v/>
      </c>
      <c r="M393" t="str">
        <f>+dHdcp[[#This Row],[Fecha]]&amp;":"&amp;dHdcp[[#This Row],[Nombre]]</f>
        <v>43717:Jesus Touceda</v>
      </c>
      <c r="N393">
        <f>+COUNTIF(dHdcp[Columna1],dHdcp[[#This Row],[Columna1]])</f>
        <v>1</v>
      </c>
    </row>
    <row r="394" spans="1:14">
      <c r="A394" s="2">
        <v>43717</v>
      </c>
      <c r="B394" t="s">
        <v>18</v>
      </c>
      <c r="C394" s="51">
        <v>5.6999999999999966</v>
      </c>
      <c r="D394">
        <v>2</v>
      </c>
      <c r="E394" t="s">
        <v>75</v>
      </c>
      <c r="F394" t="s">
        <v>860</v>
      </c>
      <c r="G394">
        <f>+IF(dHdcp[[#This Row],[Fecha]]=MAX(dHdcp[Fecha]),1,0)</f>
        <v>0</v>
      </c>
      <c r="H394" t="str">
        <f>+dHdcp[[#This Row],[Maximo]]&amp;":"&amp;dHdcp[[#This Row],[Nombre]]</f>
        <v>0:José Pablo Guil</v>
      </c>
      <c r="I394" t="str">
        <f>+dHdcp[[#This Row],[Maximo]]&amp;":"&amp;_xlfn.XLOOKUP(dHdcp[[#This Row],[Nombre]],dJugador[Nombre],dJugador[Mote],"",0)</f>
        <v>0:JP</v>
      </c>
      <c r="J394" t="str">
        <f>+IF(dHdcp[[#This Row],[Maximo]]=0,"",_xlfn.RANK.EQ(dHdcp[[#This Row],[Handicap]],dHdcp[Handicap],1))</f>
        <v/>
      </c>
      <c r="K394" t="str">
        <f>IFERROR(+_xlfn.RANK.EQ(dHdcp[[#This Row],[Ranking]],dHdcp[Ranking],1),"")</f>
        <v/>
      </c>
      <c r="M394" t="str">
        <f>+dHdcp[[#This Row],[Fecha]]&amp;":"&amp;dHdcp[[#This Row],[Nombre]]</f>
        <v>43717:José Pablo Guil</v>
      </c>
      <c r="N394">
        <f>+COUNTIF(dHdcp[Columna1],dHdcp[[#This Row],[Columna1]])</f>
        <v>1</v>
      </c>
    </row>
    <row r="395" spans="1:14">
      <c r="A395" s="2">
        <v>43717</v>
      </c>
      <c r="B395" t="s">
        <v>70</v>
      </c>
      <c r="C395" s="51">
        <v>16.900000000000002</v>
      </c>
      <c r="D395">
        <v>3</v>
      </c>
      <c r="E395" t="s">
        <v>75</v>
      </c>
      <c r="F395" t="s">
        <v>861</v>
      </c>
      <c r="G395">
        <f>+IF(dHdcp[[#This Row],[Fecha]]=MAX(dHdcp[Fecha]),1,0)</f>
        <v>0</v>
      </c>
      <c r="H395" t="str">
        <f>+dHdcp[[#This Row],[Maximo]]&amp;":"&amp;dHdcp[[#This Row],[Nombre]]</f>
        <v>0:Luis Escudero</v>
      </c>
      <c r="I395" t="str">
        <f>+dHdcp[[#This Row],[Maximo]]&amp;":"&amp;_xlfn.XLOOKUP(dHdcp[[#This Row],[Nombre]],dJugador[Nombre],dJugador[Mote],"",0)</f>
        <v>0:</v>
      </c>
      <c r="J395" t="str">
        <f>+IF(dHdcp[[#This Row],[Maximo]]=0,"",_xlfn.RANK.EQ(dHdcp[[#This Row],[Handicap]],dHdcp[Handicap],1))</f>
        <v/>
      </c>
      <c r="K395" t="str">
        <f>IFERROR(+_xlfn.RANK.EQ(dHdcp[[#This Row],[Ranking]],dHdcp[Ranking],1),"")</f>
        <v/>
      </c>
      <c r="M395" t="str">
        <f>+dHdcp[[#This Row],[Fecha]]&amp;":"&amp;dHdcp[[#This Row],[Nombre]]</f>
        <v>43717:Luis Escudero</v>
      </c>
      <c r="N395">
        <f>+COUNTIF(dHdcp[Columna1],dHdcp[[#This Row],[Columna1]])</f>
        <v>1</v>
      </c>
    </row>
    <row r="396" spans="1:14">
      <c r="A396" s="2">
        <v>43717</v>
      </c>
      <c r="B396" t="s">
        <v>3</v>
      </c>
      <c r="C396" s="51">
        <v>4.5999999999999996</v>
      </c>
      <c r="D396">
        <v>2</v>
      </c>
      <c r="E396" t="s">
        <v>75</v>
      </c>
      <c r="F396" t="s">
        <v>862</v>
      </c>
      <c r="G396">
        <f>+IF(dHdcp[[#This Row],[Fecha]]=MAX(dHdcp[Fecha]),1,0)</f>
        <v>0</v>
      </c>
      <c r="H396" t="str">
        <f>+dHdcp[[#This Row],[Maximo]]&amp;":"&amp;dHdcp[[#This Row],[Nombre]]</f>
        <v>0:Nacho Gonzalez</v>
      </c>
      <c r="I396" t="str">
        <f>+dHdcp[[#This Row],[Maximo]]&amp;":"&amp;_xlfn.XLOOKUP(dHdcp[[#This Row],[Nombre]],dJugador[Nombre],dJugador[Mote],"",0)</f>
        <v>0:Nacho</v>
      </c>
      <c r="J396" t="str">
        <f>+IF(dHdcp[[#This Row],[Maximo]]=0,"",_xlfn.RANK.EQ(dHdcp[[#This Row],[Handicap]],dHdcp[Handicap],1))</f>
        <v/>
      </c>
      <c r="K396" t="str">
        <f>IFERROR(+_xlfn.RANK.EQ(dHdcp[[#This Row],[Ranking]],dHdcp[Ranking],1),"")</f>
        <v/>
      </c>
      <c r="M396" t="str">
        <f>+dHdcp[[#This Row],[Fecha]]&amp;":"&amp;dHdcp[[#This Row],[Nombre]]</f>
        <v>43717:Nacho Gonzalez</v>
      </c>
      <c r="N396">
        <f>+COUNTIF(dHdcp[Columna1],dHdcp[[#This Row],[Columna1]])</f>
        <v>1</v>
      </c>
    </row>
    <row r="397" spans="1:14">
      <c r="A397" s="2">
        <v>43717</v>
      </c>
      <c r="B397" t="s">
        <v>28</v>
      </c>
      <c r="C397" s="51">
        <v>13.4</v>
      </c>
      <c r="D397">
        <v>3</v>
      </c>
      <c r="E397" t="s">
        <v>75</v>
      </c>
      <c r="F397" t="s">
        <v>863</v>
      </c>
      <c r="G397">
        <f>+IF(dHdcp[[#This Row],[Fecha]]=MAX(dHdcp[Fecha]),1,0)</f>
        <v>0</v>
      </c>
      <c r="H397" t="str">
        <f>+dHdcp[[#This Row],[Maximo]]&amp;":"&amp;dHdcp[[#This Row],[Nombre]]</f>
        <v>0:Pablo Munitiz</v>
      </c>
      <c r="I397" t="str">
        <f>+dHdcp[[#This Row],[Maximo]]&amp;":"&amp;_xlfn.XLOOKUP(dHdcp[[#This Row],[Nombre]],dJugador[Nombre],dJugador[Mote],"",0)</f>
        <v>0:Muni</v>
      </c>
      <c r="J397" t="str">
        <f>+IF(dHdcp[[#This Row],[Maximo]]=0,"",_xlfn.RANK.EQ(dHdcp[[#This Row],[Handicap]],dHdcp[Handicap],1))</f>
        <v/>
      </c>
      <c r="K397" t="str">
        <f>IFERROR(+_xlfn.RANK.EQ(dHdcp[[#This Row],[Ranking]],dHdcp[Ranking],1),"")</f>
        <v/>
      </c>
      <c r="M397" t="str">
        <f>+dHdcp[[#This Row],[Fecha]]&amp;":"&amp;dHdcp[[#This Row],[Nombre]]</f>
        <v>43717:Pablo Munitiz</v>
      </c>
      <c r="N397">
        <f>+COUNTIF(dHdcp[Columna1],dHdcp[[#This Row],[Columna1]])</f>
        <v>1</v>
      </c>
    </row>
    <row r="398" spans="1:14">
      <c r="A398" s="2">
        <v>43755</v>
      </c>
      <c r="B398" t="s">
        <v>9</v>
      </c>
      <c r="C398" s="51">
        <v>8.6</v>
      </c>
      <c r="D398">
        <v>2</v>
      </c>
      <c r="E398" t="s">
        <v>74</v>
      </c>
      <c r="F398" t="s">
        <v>864</v>
      </c>
      <c r="G398">
        <f>+IF(dHdcp[[#This Row],[Fecha]]=MAX(dHdcp[Fecha]),1,0)</f>
        <v>0</v>
      </c>
      <c r="H398" t="str">
        <f>+dHdcp[[#This Row],[Maximo]]&amp;":"&amp;dHdcp[[#This Row],[Nombre]]</f>
        <v>0:Alfonso Hidalgo</v>
      </c>
      <c r="I398" t="str">
        <f>+dHdcp[[#This Row],[Maximo]]&amp;":"&amp;_xlfn.XLOOKUP(dHdcp[[#This Row],[Nombre]],dJugador[Nombre],dJugador[Mote],"",0)</f>
        <v>0:Alfonso</v>
      </c>
      <c r="J398" t="str">
        <f>+IF(dHdcp[[#This Row],[Maximo]]=0,"",_xlfn.RANK.EQ(dHdcp[[#This Row],[Handicap]],dHdcp[Handicap],1))</f>
        <v/>
      </c>
      <c r="K398" t="str">
        <f>IFERROR(+_xlfn.RANK.EQ(dHdcp[[#This Row],[Ranking]],dHdcp[Ranking],1),"")</f>
        <v/>
      </c>
      <c r="M398" t="str">
        <f>+dHdcp[[#This Row],[Fecha]]&amp;":"&amp;dHdcp[[#This Row],[Nombre]]</f>
        <v>43755:Alfonso Hidalgo</v>
      </c>
      <c r="N398">
        <f>+COUNTIF(dHdcp[Columna1],dHdcp[[#This Row],[Columna1]])</f>
        <v>1</v>
      </c>
    </row>
    <row r="399" spans="1:14">
      <c r="A399" s="2">
        <v>43755</v>
      </c>
      <c r="B399" t="s">
        <v>15</v>
      </c>
      <c r="C399" s="51">
        <v>4.7</v>
      </c>
      <c r="D399">
        <v>2</v>
      </c>
      <c r="E399" t="s">
        <v>74</v>
      </c>
      <c r="F399" t="s">
        <v>865</v>
      </c>
      <c r="G399">
        <f>+IF(dHdcp[[#This Row],[Fecha]]=MAX(dHdcp[Fecha]),1,0)</f>
        <v>0</v>
      </c>
      <c r="H399" t="str">
        <f>+dHdcp[[#This Row],[Maximo]]&amp;":"&amp;dHdcp[[#This Row],[Nombre]]</f>
        <v>0:Alvaro Aguirre</v>
      </c>
      <c r="I399" t="str">
        <f>+dHdcp[[#This Row],[Maximo]]&amp;":"&amp;_xlfn.XLOOKUP(dHdcp[[#This Row],[Nombre]],dJugador[Nombre],dJugador[Mote],"",0)</f>
        <v>0:Gifu</v>
      </c>
      <c r="J399" t="str">
        <f>+IF(dHdcp[[#This Row],[Maximo]]=0,"",_xlfn.RANK.EQ(dHdcp[[#This Row],[Handicap]],dHdcp[Handicap],1))</f>
        <v/>
      </c>
      <c r="K399" t="str">
        <f>IFERROR(+_xlfn.RANK.EQ(dHdcp[[#This Row],[Ranking]],dHdcp[Ranking],1),"")</f>
        <v/>
      </c>
      <c r="M399" t="str">
        <f>+dHdcp[[#This Row],[Fecha]]&amp;":"&amp;dHdcp[[#This Row],[Nombre]]</f>
        <v>43755:Alvaro Aguirre</v>
      </c>
      <c r="N399">
        <f>+COUNTIF(dHdcp[Columna1],dHdcp[[#This Row],[Columna1]])</f>
        <v>1</v>
      </c>
    </row>
    <row r="400" spans="1:14">
      <c r="A400" s="2">
        <v>43755</v>
      </c>
      <c r="B400" t="s">
        <v>25</v>
      </c>
      <c r="C400" s="51">
        <v>13.1</v>
      </c>
      <c r="D400">
        <v>3</v>
      </c>
      <c r="E400" t="s">
        <v>74</v>
      </c>
      <c r="F400" t="s">
        <v>866</v>
      </c>
      <c r="G400">
        <f>+IF(dHdcp[[#This Row],[Fecha]]=MAX(dHdcp[Fecha]),1,0)</f>
        <v>0</v>
      </c>
      <c r="H400" t="str">
        <f>+dHdcp[[#This Row],[Maximo]]&amp;":"&amp;dHdcp[[#This Row],[Nombre]]</f>
        <v>0:Alvaro Nieto</v>
      </c>
      <c r="I400" t="str">
        <f>+dHdcp[[#This Row],[Maximo]]&amp;":"&amp;_xlfn.XLOOKUP(dHdcp[[#This Row],[Nombre]],dJugador[Nombre],dJugador[Mote],"",0)</f>
        <v>0:Alvaro</v>
      </c>
      <c r="J400" t="str">
        <f>+IF(dHdcp[[#This Row],[Maximo]]=0,"",_xlfn.RANK.EQ(dHdcp[[#This Row],[Handicap]],dHdcp[Handicap],1))</f>
        <v/>
      </c>
      <c r="K400" t="str">
        <f>IFERROR(+_xlfn.RANK.EQ(dHdcp[[#This Row],[Ranking]],dHdcp[Ranking],1),"")</f>
        <v/>
      </c>
      <c r="M400" t="str">
        <f>+dHdcp[[#This Row],[Fecha]]&amp;":"&amp;dHdcp[[#This Row],[Nombre]]</f>
        <v>43755:Alvaro Nieto</v>
      </c>
      <c r="N400">
        <f>+COUNTIF(dHdcp[Columna1],dHdcp[[#This Row],[Columna1]])</f>
        <v>1</v>
      </c>
    </row>
    <row r="401" spans="1:14">
      <c r="A401" s="2">
        <v>43755</v>
      </c>
      <c r="B401" t="s">
        <v>33</v>
      </c>
      <c r="C401" s="51">
        <v>7.2</v>
      </c>
      <c r="D401">
        <v>2</v>
      </c>
      <c r="E401" t="s">
        <v>74</v>
      </c>
      <c r="F401" t="s">
        <v>867</v>
      </c>
      <c r="G401">
        <f>+IF(dHdcp[[#This Row],[Fecha]]=MAX(dHdcp[Fecha]),1,0)</f>
        <v>0</v>
      </c>
      <c r="H401" t="str">
        <f>+dHdcp[[#This Row],[Maximo]]&amp;":"&amp;dHdcp[[#This Row],[Nombre]]</f>
        <v>0:Angel Hernandez</v>
      </c>
      <c r="I401" t="str">
        <f>+dHdcp[[#This Row],[Maximo]]&amp;":"&amp;_xlfn.XLOOKUP(dHdcp[[#This Row],[Nombre]],dJugador[Nombre],dJugador[Mote],"",0)</f>
        <v>0:Angel</v>
      </c>
      <c r="J401" t="str">
        <f>+IF(dHdcp[[#This Row],[Maximo]]=0,"",_xlfn.RANK.EQ(dHdcp[[#This Row],[Handicap]],dHdcp[Handicap],1))</f>
        <v/>
      </c>
      <c r="K401" t="str">
        <f>IFERROR(+_xlfn.RANK.EQ(dHdcp[[#This Row],[Ranking]],dHdcp[Ranking],1),"")</f>
        <v/>
      </c>
      <c r="M401" t="str">
        <f>+dHdcp[[#This Row],[Fecha]]&amp;":"&amp;dHdcp[[#This Row],[Nombre]]</f>
        <v>43755:Angel Hernandez</v>
      </c>
      <c r="N401">
        <f>+COUNTIF(dHdcp[Columna1],dHdcp[[#This Row],[Columna1]])</f>
        <v>1</v>
      </c>
    </row>
    <row r="402" spans="1:14">
      <c r="A402" s="2">
        <v>43755</v>
      </c>
      <c r="B402" t="s">
        <v>30</v>
      </c>
      <c r="C402" s="51">
        <v>10.8</v>
      </c>
      <c r="D402">
        <v>2</v>
      </c>
      <c r="E402" t="s">
        <v>74</v>
      </c>
      <c r="F402" t="s">
        <v>868</v>
      </c>
      <c r="G402">
        <f>+IF(dHdcp[[#This Row],[Fecha]]=MAX(dHdcp[Fecha]),1,0)</f>
        <v>0</v>
      </c>
      <c r="H402" t="str">
        <f>+dHdcp[[#This Row],[Maximo]]&amp;":"&amp;dHdcp[[#This Row],[Nombre]]</f>
        <v>0:David Sequera</v>
      </c>
      <c r="I402" t="str">
        <f>+dHdcp[[#This Row],[Maximo]]&amp;":"&amp;_xlfn.XLOOKUP(dHdcp[[#This Row],[Nombre]],dJugador[Nombre],dJugador[Mote],"",0)</f>
        <v>0:David</v>
      </c>
      <c r="J402" t="str">
        <f>+IF(dHdcp[[#This Row],[Maximo]]=0,"",_xlfn.RANK.EQ(dHdcp[[#This Row],[Handicap]],dHdcp[Handicap],1))</f>
        <v/>
      </c>
      <c r="K402" t="str">
        <f>IFERROR(+_xlfn.RANK.EQ(dHdcp[[#This Row],[Ranking]],dHdcp[Ranking],1),"")</f>
        <v/>
      </c>
      <c r="M402" t="str">
        <f>+dHdcp[[#This Row],[Fecha]]&amp;":"&amp;dHdcp[[#This Row],[Nombre]]</f>
        <v>43755:David Sequera</v>
      </c>
      <c r="N402">
        <f>+COUNTIF(dHdcp[Columna1],dHdcp[[#This Row],[Columna1]])</f>
        <v>1</v>
      </c>
    </row>
    <row r="403" spans="1:14">
      <c r="A403" s="2">
        <v>43755</v>
      </c>
      <c r="B403" t="s">
        <v>12</v>
      </c>
      <c r="C403" s="51">
        <v>13.8</v>
      </c>
      <c r="D403">
        <v>3</v>
      </c>
      <c r="E403" t="s">
        <v>74</v>
      </c>
      <c r="F403" t="s">
        <v>869</v>
      </c>
      <c r="G403">
        <f>+IF(dHdcp[[#This Row],[Fecha]]=MAX(dHdcp[Fecha]),1,0)</f>
        <v>0</v>
      </c>
      <c r="H403" t="str">
        <f>+dHdcp[[#This Row],[Maximo]]&amp;":"&amp;dHdcp[[#This Row],[Nombre]]</f>
        <v>0:Francisco Alvarez</v>
      </c>
      <c r="I403" t="str">
        <f>+dHdcp[[#This Row],[Maximo]]&amp;":"&amp;_xlfn.XLOOKUP(dHdcp[[#This Row],[Nombre]],dJugador[Nombre],dJugador[Mote],"",0)</f>
        <v>0:Paco</v>
      </c>
      <c r="J403" t="str">
        <f>+IF(dHdcp[[#This Row],[Maximo]]=0,"",_xlfn.RANK.EQ(dHdcp[[#This Row],[Handicap]],dHdcp[Handicap],1))</f>
        <v/>
      </c>
      <c r="K403" t="str">
        <f>IFERROR(+_xlfn.RANK.EQ(dHdcp[[#This Row],[Ranking]],dHdcp[Ranking],1),"")</f>
        <v/>
      </c>
      <c r="M403" t="str">
        <f>+dHdcp[[#This Row],[Fecha]]&amp;":"&amp;dHdcp[[#This Row],[Nombre]]</f>
        <v>43755:Francisco Alvarez</v>
      </c>
      <c r="N403">
        <f>+COUNTIF(dHdcp[Columna1],dHdcp[[#This Row],[Columna1]])</f>
        <v>1</v>
      </c>
    </row>
    <row r="404" spans="1:14">
      <c r="A404" s="2">
        <v>43755</v>
      </c>
      <c r="B404" t="s">
        <v>49</v>
      </c>
      <c r="C404" s="51">
        <v>13.6</v>
      </c>
      <c r="D404">
        <v>3</v>
      </c>
      <c r="E404" t="s">
        <v>74</v>
      </c>
      <c r="F404" t="s">
        <v>870</v>
      </c>
      <c r="G404">
        <f>+IF(dHdcp[[#This Row],[Fecha]]=MAX(dHdcp[Fecha]),1,0)</f>
        <v>0</v>
      </c>
      <c r="H404" t="str">
        <f>+dHdcp[[#This Row],[Maximo]]&amp;":"&amp;dHdcp[[#This Row],[Nombre]]</f>
        <v>0:Francisco Hidalgo</v>
      </c>
      <c r="I404" t="str">
        <f>+dHdcp[[#This Row],[Maximo]]&amp;":"&amp;_xlfn.XLOOKUP(dHdcp[[#This Row],[Nombre]],dJugador[Nombre],dJugador[Mote],"",0)</f>
        <v>0:Fran</v>
      </c>
      <c r="J404" t="str">
        <f>+IF(dHdcp[[#This Row],[Maximo]]=0,"",_xlfn.RANK.EQ(dHdcp[[#This Row],[Handicap]],dHdcp[Handicap],1))</f>
        <v/>
      </c>
      <c r="K404" t="str">
        <f>IFERROR(+_xlfn.RANK.EQ(dHdcp[[#This Row],[Ranking]],dHdcp[Ranking],1),"")</f>
        <v/>
      </c>
      <c r="M404" t="str">
        <f>+dHdcp[[#This Row],[Fecha]]&amp;":"&amp;dHdcp[[#This Row],[Nombre]]</f>
        <v>43755:Francisco Hidalgo</v>
      </c>
      <c r="N404">
        <f>+COUNTIF(dHdcp[Columna1],dHdcp[[#This Row],[Columna1]])</f>
        <v>1</v>
      </c>
    </row>
    <row r="405" spans="1:14">
      <c r="A405" s="2">
        <v>43755</v>
      </c>
      <c r="B405" t="s">
        <v>35</v>
      </c>
      <c r="C405" s="51">
        <v>17.2</v>
      </c>
      <c r="D405">
        <v>3</v>
      </c>
      <c r="E405" t="s">
        <v>74</v>
      </c>
      <c r="F405" t="s">
        <v>871</v>
      </c>
      <c r="G405">
        <f>+IF(dHdcp[[#This Row],[Fecha]]=MAX(dHdcp[Fecha]),1,0)</f>
        <v>0</v>
      </c>
      <c r="H405" t="str">
        <f>+dHdcp[[#This Row],[Maximo]]&amp;":"&amp;dHdcp[[#This Row],[Nombre]]</f>
        <v>0:GLEZ JUAN JOSÉ</v>
      </c>
      <c r="I405" t="str">
        <f>+dHdcp[[#This Row],[Maximo]]&amp;":"&amp;_xlfn.XLOOKUP(dHdcp[[#This Row],[Nombre]],dJugador[Nombre],dJugador[Mote],"",0)</f>
        <v>0:Juanjo</v>
      </c>
      <c r="J405" t="str">
        <f>+IF(dHdcp[[#This Row],[Maximo]]=0,"",_xlfn.RANK.EQ(dHdcp[[#This Row],[Handicap]],dHdcp[Handicap],1))</f>
        <v/>
      </c>
      <c r="K405" t="str">
        <f>IFERROR(+_xlfn.RANK.EQ(dHdcp[[#This Row],[Ranking]],dHdcp[Ranking],1),"")</f>
        <v/>
      </c>
      <c r="M405" t="str">
        <f>+dHdcp[[#This Row],[Fecha]]&amp;":"&amp;dHdcp[[#This Row],[Nombre]]</f>
        <v>43755:GLEZ JUAN JOSÉ</v>
      </c>
      <c r="N405">
        <f>+COUNTIF(dHdcp[Columna1],dHdcp[[#This Row],[Columna1]])</f>
        <v>1</v>
      </c>
    </row>
    <row r="406" spans="1:14">
      <c r="A406" s="2">
        <v>43755</v>
      </c>
      <c r="B406" t="s">
        <v>6</v>
      </c>
      <c r="C406" s="51">
        <v>5.8</v>
      </c>
      <c r="D406">
        <v>2</v>
      </c>
      <c r="E406" t="s">
        <v>74</v>
      </c>
      <c r="F406" t="s">
        <v>872</v>
      </c>
      <c r="G406">
        <f>+IF(dHdcp[[#This Row],[Fecha]]=MAX(dHdcp[Fecha]),1,0)</f>
        <v>0</v>
      </c>
      <c r="H406" t="str">
        <f>+dHdcp[[#This Row],[Maximo]]&amp;":"&amp;dHdcp[[#This Row],[Nombre]]</f>
        <v>0:Ignacio Cadarso</v>
      </c>
      <c r="I406" t="str">
        <f>+dHdcp[[#This Row],[Maximo]]&amp;":"&amp;_xlfn.XLOOKUP(dHdcp[[#This Row],[Nombre]],dJugador[Nombre],dJugador[Mote],"",0)</f>
        <v>0:Ignacio</v>
      </c>
      <c r="J406" t="str">
        <f>+IF(dHdcp[[#This Row],[Maximo]]=0,"",_xlfn.RANK.EQ(dHdcp[[#This Row],[Handicap]],dHdcp[Handicap],1))</f>
        <v/>
      </c>
      <c r="K406" t="str">
        <f>IFERROR(+_xlfn.RANK.EQ(dHdcp[[#This Row],[Ranking]],dHdcp[Ranking],1),"")</f>
        <v/>
      </c>
      <c r="M406" t="str">
        <f>+dHdcp[[#This Row],[Fecha]]&amp;":"&amp;dHdcp[[#This Row],[Nombre]]</f>
        <v>43755:Ignacio Cadarso</v>
      </c>
      <c r="N406">
        <f>+COUNTIF(dHdcp[Columna1],dHdcp[[#This Row],[Columna1]])</f>
        <v>1</v>
      </c>
    </row>
    <row r="407" spans="1:14">
      <c r="A407" s="2">
        <v>43755</v>
      </c>
      <c r="B407" t="s">
        <v>23</v>
      </c>
      <c r="C407" s="51">
        <v>17.600000000000001</v>
      </c>
      <c r="D407">
        <v>3</v>
      </c>
      <c r="E407" t="s">
        <v>74</v>
      </c>
      <c r="F407" t="s">
        <v>873</v>
      </c>
      <c r="G407">
        <f>+IF(dHdcp[[#This Row],[Fecha]]=MAX(dHdcp[Fecha]),1,0)</f>
        <v>0</v>
      </c>
      <c r="H407" t="str">
        <f>+dHdcp[[#This Row],[Maximo]]&amp;":"&amp;dHdcp[[#This Row],[Nombre]]</f>
        <v>0:J. Enrique Gonzalez</v>
      </c>
      <c r="I407" t="str">
        <f>+dHdcp[[#This Row],[Maximo]]&amp;":"&amp;_xlfn.XLOOKUP(dHdcp[[#This Row],[Nombre]],dJugador[Nombre],dJugador[Mote],"",0)</f>
        <v>0:Kike</v>
      </c>
      <c r="J407" t="str">
        <f>+IF(dHdcp[[#This Row],[Maximo]]=0,"",_xlfn.RANK.EQ(dHdcp[[#This Row],[Handicap]],dHdcp[Handicap],1))</f>
        <v/>
      </c>
      <c r="K407" t="str">
        <f>IFERROR(+_xlfn.RANK.EQ(dHdcp[[#This Row],[Ranking]],dHdcp[Ranking],1),"")</f>
        <v/>
      </c>
      <c r="M407" t="str">
        <f>+dHdcp[[#This Row],[Fecha]]&amp;":"&amp;dHdcp[[#This Row],[Nombre]]</f>
        <v>43755:J. Enrique Gonzalez</v>
      </c>
      <c r="N407">
        <f>+COUNTIF(dHdcp[Columna1],dHdcp[[#This Row],[Columna1]])</f>
        <v>1</v>
      </c>
    </row>
    <row r="408" spans="1:14">
      <c r="A408" s="2">
        <v>43755</v>
      </c>
      <c r="B408" t="s">
        <v>46</v>
      </c>
      <c r="C408" s="51">
        <v>13.6</v>
      </c>
      <c r="D408">
        <v>3</v>
      </c>
      <c r="E408" t="s">
        <v>74</v>
      </c>
      <c r="F408" t="s">
        <v>874</v>
      </c>
      <c r="G408">
        <f>+IF(dHdcp[[#This Row],[Fecha]]=MAX(dHdcp[Fecha]),1,0)</f>
        <v>0</v>
      </c>
      <c r="H408" t="str">
        <f>+dHdcp[[#This Row],[Maximo]]&amp;":"&amp;dHdcp[[#This Row],[Nombre]]</f>
        <v>0:Javier Cervera</v>
      </c>
      <c r="I408" t="str">
        <f>+dHdcp[[#This Row],[Maximo]]&amp;":"&amp;_xlfn.XLOOKUP(dHdcp[[#This Row],[Nombre]],dJugador[Nombre],dJugador[Mote],"",0)</f>
        <v>0:Virus</v>
      </c>
      <c r="J408" t="str">
        <f>+IF(dHdcp[[#This Row],[Maximo]]=0,"",_xlfn.RANK.EQ(dHdcp[[#This Row],[Handicap]],dHdcp[Handicap],1))</f>
        <v/>
      </c>
      <c r="K408" t="str">
        <f>IFERROR(+_xlfn.RANK.EQ(dHdcp[[#This Row],[Ranking]],dHdcp[Ranking],1),"")</f>
        <v/>
      </c>
      <c r="M408" t="str">
        <f>+dHdcp[[#This Row],[Fecha]]&amp;":"&amp;dHdcp[[#This Row],[Nombre]]</f>
        <v>43755:Javier Cervera</v>
      </c>
      <c r="N408">
        <f>+COUNTIF(dHdcp[Columna1],dHdcp[[#This Row],[Columna1]])</f>
        <v>1</v>
      </c>
    </row>
    <row r="409" spans="1:14">
      <c r="A409" s="2">
        <v>43755</v>
      </c>
      <c r="B409" t="s">
        <v>20</v>
      </c>
      <c r="C409" s="51">
        <v>13.8</v>
      </c>
      <c r="D409">
        <v>3</v>
      </c>
      <c r="E409" t="s">
        <v>74</v>
      </c>
      <c r="F409" t="s">
        <v>875</v>
      </c>
      <c r="G409">
        <f>+IF(dHdcp[[#This Row],[Fecha]]=MAX(dHdcp[Fecha]),1,0)</f>
        <v>0</v>
      </c>
      <c r="H409" t="str">
        <f>+dHdcp[[#This Row],[Maximo]]&amp;":"&amp;dHdcp[[#This Row],[Nombre]]</f>
        <v>0:Javier Gonzalez Salvador</v>
      </c>
      <c r="I409" t="str">
        <f>+dHdcp[[#This Row],[Maximo]]&amp;":"&amp;_xlfn.XLOOKUP(dHdcp[[#This Row],[Nombre]],dJugador[Nombre],dJugador[Mote],"",0)</f>
        <v>0:Javi</v>
      </c>
      <c r="J409" t="str">
        <f>+IF(dHdcp[[#This Row],[Maximo]]=0,"",_xlfn.RANK.EQ(dHdcp[[#This Row],[Handicap]],dHdcp[Handicap],1))</f>
        <v/>
      </c>
      <c r="K409" t="str">
        <f>IFERROR(+_xlfn.RANK.EQ(dHdcp[[#This Row],[Ranking]],dHdcp[Ranking],1),"")</f>
        <v/>
      </c>
      <c r="M409" t="str">
        <f>+dHdcp[[#This Row],[Fecha]]&amp;":"&amp;dHdcp[[#This Row],[Nombre]]</f>
        <v>43755:Javier Gonzalez Salvador</v>
      </c>
      <c r="N409">
        <f>+COUNTIF(dHdcp[Columna1],dHdcp[[#This Row],[Columna1]])</f>
        <v>1</v>
      </c>
    </row>
    <row r="410" spans="1:14">
      <c r="A410" s="2">
        <v>43755</v>
      </c>
      <c r="B410" t="s">
        <v>41</v>
      </c>
      <c r="C410" s="51">
        <v>21.2</v>
      </c>
      <c r="D410">
        <v>4</v>
      </c>
      <c r="E410" t="s">
        <v>74</v>
      </c>
      <c r="F410" t="s">
        <v>876</v>
      </c>
      <c r="G410">
        <f>+IF(dHdcp[[#This Row],[Fecha]]=MAX(dHdcp[Fecha]),1,0)</f>
        <v>0</v>
      </c>
      <c r="H410" t="str">
        <f>+dHdcp[[#This Row],[Maximo]]&amp;":"&amp;dHdcp[[#This Row],[Nombre]]</f>
        <v>0:Jesus Touceda</v>
      </c>
      <c r="I410" t="str">
        <f>+dHdcp[[#This Row],[Maximo]]&amp;":"&amp;_xlfn.XLOOKUP(dHdcp[[#This Row],[Nombre]],dJugador[Nombre],dJugador[Mote],"",0)</f>
        <v>0:Jesús</v>
      </c>
      <c r="J410" t="str">
        <f>+IF(dHdcp[[#This Row],[Maximo]]=0,"",_xlfn.RANK.EQ(dHdcp[[#This Row],[Handicap]],dHdcp[Handicap],1))</f>
        <v/>
      </c>
      <c r="K410" t="str">
        <f>IFERROR(+_xlfn.RANK.EQ(dHdcp[[#This Row],[Ranking]],dHdcp[Ranking],1),"")</f>
        <v/>
      </c>
      <c r="M410" t="str">
        <f>+dHdcp[[#This Row],[Fecha]]&amp;":"&amp;dHdcp[[#This Row],[Nombre]]</f>
        <v>43755:Jesus Touceda</v>
      </c>
      <c r="N410">
        <f>+COUNTIF(dHdcp[Columna1],dHdcp[[#This Row],[Columna1]])</f>
        <v>1</v>
      </c>
    </row>
    <row r="411" spans="1:14">
      <c r="A411" s="2">
        <v>43755</v>
      </c>
      <c r="B411" t="s">
        <v>18</v>
      </c>
      <c r="C411" s="51">
        <v>6.9</v>
      </c>
      <c r="D411">
        <v>2</v>
      </c>
      <c r="E411" t="s">
        <v>74</v>
      </c>
      <c r="F411" t="s">
        <v>877</v>
      </c>
      <c r="G411">
        <f>+IF(dHdcp[[#This Row],[Fecha]]=MAX(dHdcp[Fecha]),1,0)</f>
        <v>0</v>
      </c>
      <c r="H411" t="str">
        <f>+dHdcp[[#This Row],[Maximo]]&amp;":"&amp;dHdcp[[#This Row],[Nombre]]</f>
        <v>0:José Pablo Guil</v>
      </c>
      <c r="I411" t="str">
        <f>+dHdcp[[#This Row],[Maximo]]&amp;":"&amp;_xlfn.XLOOKUP(dHdcp[[#This Row],[Nombre]],dJugador[Nombre],dJugador[Mote],"",0)</f>
        <v>0:JP</v>
      </c>
      <c r="J411" t="str">
        <f>+IF(dHdcp[[#This Row],[Maximo]]=0,"",_xlfn.RANK.EQ(dHdcp[[#This Row],[Handicap]],dHdcp[Handicap],1))</f>
        <v/>
      </c>
      <c r="K411" t="str">
        <f>IFERROR(+_xlfn.RANK.EQ(dHdcp[[#This Row],[Ranking]],dHdcp[Ranking],1),"")</f>
        <v/>
      </c>
      <c r="M411" t="str">
        <f>+dHdcp[[#This Row],[Fecha]]&amp;":"&amp;dHdcp[[#This Row],[Nombre]]</f>
        <v>43755:José Pablo Guil</v>
      </c>
      <c r="N411">
        <f>+COUNTIF(dHdcp[Columna1],dHdcp[[#This Row],[Columna1]])</f>
        <v>1</v>
      </c>
    </row>
    <row r="412" spans="1:14">
      <c r="A412" s="2">
        <v>43755</v>
      </c>
      <c r="B412" t="s">
        <v>43</v>
      </c>
      <c r="C412" s="51">
        <v>17.399999999999999</v>
      </c>
      <c r="D412">
        <v>3</v>
      </c>
      <c r="E412" t="s">
        <v>74</v>
      </c>
      <c r="F412" t="s">
        <v>878</v>
      </c>
      <c r="G412">
        <f>+IF(dHdcp[[#This Row],[Fecha]]=MAX(dHdcp[Fecha]),1,0)</f>
        <v>0</v>
      </c>
      <c r="H412" t="str">
        <f>+dHdcp[[#This Row],[Maximo]]&amp;":"&amp;dHdcp[[#This Row],[Nombre]]</f>
        <v>0:Luis Escudero</v>
      </c>
      <c r="I412" t="str">
        <f>+dHdcp[[#This Row],[Maximo]]&amp;":"&amp;_xlfn.XLOOKUP(dHdcp[[#This Row],[Nombre]],dJugador[Nombre],dJugador[Mote],"",0)</f>
        <v>0:Lucho</v>
      </c>
      <c r="J412" t="str">
        <f>+IF(dHdcp[[#This Row],[Maximo]]=0,"",_xlfn.RANK.EQ(dHdcp[[#This Row],[Handicap]],dHdcp[Handicap],1))</f>
        <v/>
      </c>
      <c r="K412" t="str">
        <f>IFERROR(+_xlfn.RANK.EQ(dHdcp[[#This Row],[Ranking]],dHdcp[Ranking],1),"")</f>
        <v/>
      </c>
      <c r="M412" t="str">
        <f>+dHdcp[[#This Row],[Fecha]]&amp;":"&amp;dHdcp[[#This Row],[Nombre]]</f>
        <v>43755:Luis Escudero</v>
      </c>
      <c r="N412">
        <f>+COUNTIF(dHdcp[Columna1],dHdcp[[#This Row],[Columna1]])</f>
        <v>1</v>
      </c>
    </row>
    <row r="413" spans="1:14">
      <c r="A413" s="2">
        <v>43755</v>
      </c>
      <c r="B413" t="s">
        <v>51</v>
      </c>
      <c r="C413" s="51">
        <v>1.7</v>
      </c>
      <c r="D413">
        <v>1</v>
      </c>
      <c r="E413" t="s">
        <v>74</v>
      </c>
      <c r="F413" t="s">
        <v>879</v>
      </c>
      <c r="G413">
        <f>+IF(dHdcp[[#This Row],[Fecha]]=MAX(dHdcp[Fecha]),1,0)</f>
        <v>0</v>
      </c>
      <c r="H413" t="str">
        <f>+dHdcp[[#This Row],[Maximo]]&amp;":"&amp;dHdcp[[#This Row],[Nombre]]</f>
        <v>0:Miguel Diaz Del Moral</v>
      </c>
      <c r="I413" t="str">
        <f>+dHdcp[[#This Row],[Maximo]]&amp;":"&amp;_xlfn.XLOOKUP(dHdcp[[#This Row],[Nombre]],dJugador[Nombre],dJugador[Mote],"",0)</f>
        <v>0:Cañita</v>
      </c>
      <c r="J413" t="str">
        <f>+IF(dHdcp[[#This Row],[Maximo]]=0,"",_xlfn.RANK.EQ(dHdcp[[#This Row],[Handicap]],dHdcp[Handicap],1))</f>
        <v/>
      </c>
      <c r="K413" t="str">
        <f>IFERROR(+_xlfn.RANK.EQ(dHdcp[[#This Row],[Ranking]],dHdcp[Ranking],1),"")</f>
        <v/>
      </c>
      <c r="M413" t="str">
        <f>+dHdcp[[#This Row],[Fecha]]&amp;":"&amp;dHdcp[[#This Row],[Nombre]]</f>
        <v>43755:Miguel Diaz Del Moral</v>
      </c>
      <c r="N413">
        <f>+COUNTIF(dHdcp[Columna1],dHdcp[[#This Row],[Columna1]])</f>
        <v>1</v>
      </c>
    </row>
    <row r="414" spans="1:14">
      <c r="A414" s="2">
        <v>43755</v>
      </c>
      <c r="B414" t="s">
        <v>3</v>
      </c>
      <c r="C414" s="51">
        <v>5.9</v>
      </c>
      <c r="D414">
        <v>2</v>
      </c>
      <c r="E414" t="s">
        <v>74</v>
      </c>
      <c r="F414" t="s">
        <v>880</v>
      </c>
      <c r="G414">
        <f>+IF(dHdcp[[#This Row],[Fecha]]=MAX(dHdcp[Fecha]),1,0)</f>
        <v>0</v>
      </c>
      <c r="H414" t="str">
        <f>+dHdcp[[#This Row],[Maximo]]&amp;":"&amp;dHdcp[[#This Row],[Nombre]]</f>
        <v>0:Nacho Gonzalez</v>
      </c>
      <c r="I414" t="str">
        <f>+dHdcp[[#This Row],[Maximo]]&amp;":"&amp;_xlfn.XLOOKUP(dHdcp[[#This Row],[Nombre]],dJugador[Nombre],dJugador[Mote],"",0)</f>
        <v>0:Nacho</v>
      </c>
      <c r="J414" t="str">
        <f>+IF(dHdcp[[#This Row],[Maximo]]=0,"",_xlfn.RANK.EQ(dHdcp[[#This Row],[Handicap]],dHdcp[Handicap],1))</f>
        <v/>
      </c>
      <c r="K414" t="str">
        <f>IFERROR(+_xlfn.RANK.EQ(dHdcp[[#This Row],[Ranking]],dHdcp[Ranking],1),"")</f>
        <v/>
      </c>
      <c r="M414" t="str">
        <f>+dHdcp[[#This Row],[Fecha]]&amp;":"&amp;dHdcp[[#This Row],[Nombre]]</f>
        <v>43755:Nacho Gonzalez</v>
      </c>
      <c r="N414">
        <f>+COUNTIF(dHdcp[Columna1],dHdcp[[#This Row],[Columna1]])</f>
        <v>1</v>
      </c>
    </row>
    <row r="415" spans="1:14">
      <c r="A415" s="2">
        <v>43755</v>
      </c>
      <c r="B415" t="s">
        <v>28</v>
      </c>
      <c r="C415" s="51">
        <v>13.4</v>
      </c>
      <c r="D415">
        <v>3</v>
      </c>
      <c r="E415" t="s">
        <v>74</v>
      </c>
      <c r="F415" t="s">
        <v>881</v>
      </c>
      <c r="G415">
        <f>+IF(dHdcp[[#This Row],[Fecha]]=MAX(dHdcp[Fecha]),1,0)</f>
        <v>0</v>
      </c>
      <c r="H415" t="str">
        <f>+dHdcp[[#This Row],[Maximo]]&amp;":"&amp;dHdcp[[#This Row],[Nombre]]</f>
        <v>0:Pablo Munitiz</v>
      </c>
      <c r="I415" t="str">
        <f>+dHdcp[[#This Row],[Maximo]]&amp;":"&amp;_xlfn.XLOOKUP(dHdcp[[#This Row],[Nombre]],dJugador[Nombre],dJugador[Mote],"",0)</f>
        <v>0:Muni</v>
      </c>
      <c r="J415" t="str">
        <f>+IF(dHdcp[[#This Row],[Maximo]]=0,"",_xlfn.RANK.EQ(dHdcp[[#This Row],[Handicap]],dHdcp[Handicap],1))</f>
        <v/>
      </c>
      <c r="K415" t="str">
        <f>IFERROR(+_xlfn.RANK.EQ(dHdcp[[#This Row],[Ranking]],dHdcp[Ranking],1),"")</f>
        <v/>
      </c>
      <c r="M415" t="str">
        <f>+dHdcp[[#This Row],[Fecha]]&amp;":"&amp;dHdcp[[#This Row],[Nombre]]</f>
        <v>43755:Pablo Munitiz</v>
      </c>
      <c r="N415">
        <f>+COUNTIF(dHdcp[Columna1],dHdcp[[#This Row],[Columna1]])</f>
        <v>1</v>
      </c>
    </row>
    <row r="416" spans="1:14">
      <c r="A416" s="2">
        <v>43784</v>
      </c>
      <c r="B416" t="s">
        <v>9</v>
      </c>
      <c r="C416" s="51">
        <v>8.6</v>
      </c>
      <c r="D416">
        <v>2</v>
      </c>
      <c r="E416" t="s">
        <v>74</v>
      </c>
      <c r="F416" t="s">
        <v>882</v>
      </c>
      <c r="G416">
        <f>+IF(dHdcp[[#This Row],[Fecha]]=MAX(dHdcp[Fecha]),1,0)</f>
        <v>0</v>
      </c>
      <c r="H416" t="str">
        <f>+dHdcp[[#This Row],[Maximo]]&amp;":"&amp;dHdcp[[#This Row],[Nombre]]</f>
        <v>0:Alfonso Hidalgo</v>
      </c>
      <c r="I416" t="str">
        <f>+dHdcp[[#This Row],[Maximo]]&amp;":"&amp;_xlfn.XLOOKUP(dHdcp[[#This Row],[Nombre]],dJugador[Nombre],dJugador[Mote],"",0)</f>
        <v>0:Alfonso</v>
      </c>
      <c r="J416" t="str">
        <f>+IF(dHdcp[[#This Row],[Maximo]]=0,"",_xlfn.RANK.EQ(dHdcp[[#This Row],[Handicap]],dHdcp[Handicap],1))</f>
        <v/>
      </c>
      <c r="K416" t="str">
        <f>IFERROR(+_xlfn.RANK.EQ(dHdcp[[#This Row],[Ranking]],dHdcp[Ranking],1),"")</f>
        <v/>
      </c>
      <c r="M416" t="str">
        <f>+dHdcp[[#This Row],[Fecha]]&amp;":"&amp;dHdcp[[#This Row],[Nombre]]</f>
        <v>43784:Alfonso Hidalgo</v>
      </c>
      <c r="N416">
        <f>+COUNTIF(dHdcp[Columna1],dHdcp[[#This Row],[Columna1]])</f>
        <v>1</v>
      </c>
    </row>
    <row r="417" spans="1:14">
      <c r="A417" s="2">
        <v>43784</v>
      </c>
      <c r="B417" t="s">
        <v>15</v>
      </c>
      <c r="C417" s="51">
        <v>4.7</v>
      </c>
      <c r="D417">
        <v>2</v>
      </c>
      <c r="E417" t="s">
        <v>74</v>
      </c>
      <c r="F417" t="s">
        <v>883</v>
      </c>
      <c r="G417">
        <f>+IF(dHdcp[[#This Row],[Fecha]]=MAX(dHdcp[Fecha]),1,0)</f>
        <v>0</v>
      </c>
      <c r="H417" t="str">
        <f>+dHdcp[[#This Row],[Maximo]]&amp;":"&amp;dHdcp[[#This Row],[Nombre]]</f>
        <v>0:Alvaro Aguirre</v>
      </c>
      <c r="I417" t="str">
        <f>+dHdcp[[#This Row],[Maximo]]&amp;":"&amp;_xlfn.XLOOKUP(dHdcp[[#This Row],[Nombre]],dJugador[Nombre],dJugador[Mote],"",0)</f>
        <v>0:Gifu</v>
      </c>
      <c r="J417" t="str">
        <f>+IF(dHdcp[[#This Row],[Maximo]]=0,"",_xlfn.RANK.EQ(dHdcp[[#This Row],[Handicap]],dHdcp[Handicap],1))</f>
        <v/>
      </c>
      <c r="K417" t="str">
        <f>IFERROR(+_xlfn.RANK.EQ(dHdcp[[#This Row],[Ranking]],dHdcp[Ranking],1),"")</f>
        <v/>
      </c>
      <c r="M417" t="str">
        <f>+dHdcp[[#This Row],[Fecha]]&amp;":"&amp;dHdcp[[#This Row],[Nombre]]</f>
        <v>43784:Alvaro Aguirre</v>
      </c>
      <c r="N417">
        <f>+COUNTIF(dHdcp[Columna1],dHdcp[[#This Row],[Columna1]])</f>
        <v>1</v>
      </c>
    </row>
    <row r="418" spans="1:14">
      <c r="A418" s="2">
        <v>43784</v>
      </c>
      <c r="B418" t="s">
        <v>25</v>
      </c>
      <c r="C418" s="51">
        <v>13.1</v>
      </c>
      <c r="D418">
        <v>3</v>
      </c>
      <c r="E418" t="s">
        <v>74</v>
      </c>
      <c r="F418" t="s">
        <v>884</v>
      </c>
      <c r="G418">
        <f>+IF(dHdcp[[#This Row],[Fecha]]=MAX(dHdcp[Fecha]),1,0)</f>
        <v>0</v>
      </c>
      <c r="H418" t="str">
        <f>+dHdcp[[#This Row],[Maximo]]&amp;":"&amp;dHdcp[[#This Row],[Nombre]]</f>
        <v>0:Alvaro Nieto</v>
      </c>
      <c r="I418" t="str">
        <f>+dHdcp[[#This Row],[Maximo]]&amp;":"&amp;_xlfn.XLOOKUP(dHdcp[[#This Row],[Nombre]],dJugador[Nombre],dJugador[Mote],"",0)</f>
        <v>0:Alvaro</v>
      </c>
      <c r="J418" t="str">
        <f>+IF(dHdcp[[#This Row],[Maximo]]=0,"",_xlfn.RANK.EQ(dHdcp[[#This Row],[Handicap]],dHdcp[Handicap],1))</f>
        <v/>
      </c>
      <c r="K418" t="str">
        <f>IFERROR(+_xlfn.RANK.EQ(dHdcp[[#This Row],[Ranking]],dHdcp[Ranking],1),"")</f>
        <v/>
      </c>
      <c r="M418" t="str">
        <f>+dHdcp[[#This Row],[Fecha]]&amp;":"&amp;dHdcp[[#This Row],[Nombre]]</f>
        <v>43784:Alvaro Nieto</v>
      </c>
      <c r="N418">
        <f>+COUNTIF(dHdcp[Columna1],dHdcp[[#This Row],[Columna1]])</f>
        <v>1</v>
      </c>
    </row>
    <row r="419" spans="1:14">
      <c r="A419" s="2">
        <v>43784</v>
      </c>
      <c r="B419" t="s">
        <v>33</v>
      </c>
      <c r="C419" s="51">
        <v>7.2</v>
      </c>
      <c r="D419">
        <v>2</v>
      </c>
      <c r="E419" t="s">
        <v>74</v>
      </c>
      <c r="F419" t="s">
        <v>885</v>
      </c>
      <c r="G419">
        <f>+IF(dHdcp[[#This Row],[Fecha]]=MAX(dHdcp[Fecha]),1,0)</f>
        <v>0</v>
      </c>
      <c r="H419" t="str">
        <f>+dHdcp[[#This Row],[Maximo]]&amp;":"&amp;dHdcp[[#This Row],[Nombre]]</f>
        <v>0:Angel Hernandez</v>
      </c>
      <c r="I419" t="str">
        <f>+dHdcp[[#This Row],[Maximo]]&amp;":"&amp;_xlfn.XLOOKUP(dHdcp[[#This Row],[Nombre]],dJugador[Nombre],dJugador[Mote],"",0)</f>
        <v>0:Angel</v>
      </c>
      <c r="J419" t="str">
        <f>+IF(dHdcp[[#This Row],[Maximo]]=0,"",_xlfn.RANK.EQ(dHdcp[[#This Row],[Handicap]],dHdcp[Handicap],1))</f>
        <v/>
      </c>
      <c r="K419" t="str">
        <f>IFERROR(+_xlfn.RANK.EQ(dHdcp[[#This Row],[Ranking]],dHdcp[Ranking],1),"")</f>
        <v/>
      </c>
      <c r="M419" t="str">
        <f>+dHdcp[[#This Row],[Fecha]]&amp;":"&amp;dHdcp[[#This Row],[Nombre]]</f>
        <v>43784:Angel Hernandez</v>
      </c>
      <c r="N419">
        <f>+COUNTIF(dHdcp[Columna1],dHdcp[[#This Row],[Columna1]])</f>
        <v>1</v>
      </c>
    </row>
    <row r="420" spans="1:14">
      <c r="A420" s="2">
        <v>43784</v>
      </c>
      <c r="B420" t="s">
        <v>30</v>
      </c>
      <c r="C420" s="51">
        <v>10.9</v>
      </c>
      <c r="D420">
        <v>2</v>
      </c>
      <c r="E420" t="s">
        <v>74</v>
      </c>
      <c r="F420" t="s">
        <v>886</v>
      </c>
      <c r="G420">
        <f>+IF(dHdcp[[#This Row],[Fecha]]=MAX(dHdcp[Fecha]),1,0)</f>
        <v>0</v>
      </c>
      <c r="H420" t="str">
        <f>+dHdcp[[#This Row],[Maximo]]&amp;":"&amp;dHdcp[[#This Row],[Nombre]]</f>
        <v>0:David Sequera</v>
      </c>
      <c r="I420" t="str">
        <f>+dHdcp[[#This Row],[Maximo]]&amp;":"&amp;_xlfn.XLOOKUP(dHdcp[[#This Row],[Nombre]],dJugador[Nombre],dJugador[Mote],"",0)</f>
        <v>0:David</v>
      </c>
      <c r="J420" t="str">
        <f>+IF(dHdcp[[#This Row],[Maximo]]=0,"",_xlfn.RANK.EQ(dHdcp[[#This Row],[Handicap]],dHdcp[Handicap],1))</f>
        <v/>
      </c>
      <c r="K420" t="str">
        <f>IFERROR(+_xlfn.RANK.EQ(dHdcp[[#This Row],[Ranking]],dHdcp[Ranking],1),"")</f>
        <v/>
      </c>
      <c r="M420" t="str">
        <f>+dHdcp[[#This Row],[Fecha]]&amp;":"&amp;dHdcp[[#This Row],[Nombre]]</f>
        <v>43784:David Sequera</v>
      </c>
      <c r="N420">
        <f>+COUNTIF(dHdcp[Columna1],dHdcp[[#This Row],[Columna1]])</f>
        <v>1</v>
      </c>
    </row>
    <row r="421" spans="1:14">
      <c r="A421" s="2">
        <v>43784</v>
      </c>
      <c r="B421" t="s">
        <v>12</v>
      </c>
      <c r="C421" s="51">
        <v>13.9</v>
      </c>
      <c r="D421">
        <v>3</v>
      </c>
      <c r="E421" t="s">
        <v>74</v>
      </c>
      <c r="F421" t="s">
        <v>887</v>
      </c>
      <c r="G421">
        <f>+IF(dHdcp[[#This Row],[Fecha]]=MAX(dHdcp[Fecha]),1,0)</f>
        <v>0</v>
      </c>
      <c r="H421" t="str">
        <f>+dHdcp[[#This Row],[Maximo]]&amp;":"&amp;dHdcp[[#This Row],[Nombre]]</f>
        <v>0:Francisco Alvarez</v>
      </c>
      <c r="I421" t="str">
        <f>+dHdcp[[#This Row],[Maximo]]&amp;":"&amp;_xlfn.XLOOKUP(dHdcp[[#This Row],[Nombre]],dJugador[Nombre],dJugador[Mote],"",0)</f>
        <v>0:Paco</v>
      </c>
      <c r="J421" t="str">
        <f>+IF(dHdcp[[#This Row],[Maximo]]=0,"",_xlfn.RANK.EQ(dHdcp[[#This Row],[Handicap]],dHdcp[Handicap],1))</f>
        <v/>
      </c>
      <c r="K421" t="str">
        <f>IFERROR(+_xlfn.RANK.EQ(dHdcp[[#This Row],[Ranking]],dHdcp[Ranking],1),"")</f>
        <v/>
      </c>
      <c r="M421" t="str">
        <f>+dHdcp[[#This Row],[Fecha]]&amp;":"&amp;dHdcp[[#This Row],[Nombre]]</f>
        <v>43784:Francisco Alvarez</v>
      </c>
      <c r="N421">
        <f>+COUNTIF(dHdcp[Columna1],dHdcp[[#This Row],[Columna1]])</f>
        <v>1</v>
      </c>
    </row>
    <row r="422" spans="1:14">
      <c r="A422" s="2">
        <v>43784</v>
      </c>
      <c r="B422" t="s">
        <v>49</v>
      </c>
      <c r="C422" s="51">
        <v>13.6</v>
      </c>
      <c r="D422">
        <v>3</v>
      </c>
      <c r="E422" t="s">
        <v>74</v>
      </c>
      <c r="F422" t="s">
        <v>888</v>
      </c>
      <c r="G422">
        <f>+IF(dHdcp[[#This Row],[Fecha]]=MAX(dHdcp[Fecha]),1,0)</f>
        <v>0</v>
      </c>
      <c r="H422" t="str">
        <f>+dHdcp[[#This Row],[Maximo]]&amp;":"&amp;dHdcp[[#This Row],[Nombre]]</f>
        <v>0:Francisco Hidalgo</v>
      </c>
      <c r="I422" t="str">
        <f>+dHdcp[[#This Row],[Maximo]]&amp;":"&amp;_xlfn.XLOOKUP(dHdcp[[#This Row],[Nombre]],dJugador[Nombre],dJugador[Mote],"",0)</f>
        <v>0:Fran</v>
      </c>
      <c r="J422" t="str">
        <f>+IF(dHdcp[[#This Row],[Maximo]]=0,"",_xlfn.RANK.EQ(dHdcp[[#This Row],[Handicap]],dHdcp[Handicap],1))</f>
        <v/>
      </c>
      <c r="K422" t="str">
        <f>IFERROR(+_xlfn.RANK.EQ(dHdcp[[#This Row],[Ranking]],dHdcp[Ranking],1),"")</f>
        <v/>
      </c>
      <c r="M422" t="str">
        <f>+dHdcp[[#This Row],[Fecha]]&amp;":"&amp;dHdcp[[#This Row],[Nombre]]</f>
        <v>43784:Francisco Hidalgo</v>
      </c>
      <c r="N422">
        <f>+COUNTIF(dHdcp[Columna1],dHdcp[[#This Row],[Columna1]])</f>
        <v>1</v>
      </c>
    </row>
    <row r="423" spans="1:14">
      <c r="A423" s="2">
        <v>43784</v>
      </c>
      <c r="B423" t="s">
        <v>35</v>
      </c>
      <c r="C423" s="51">
        <v>17.2</v>
      </c>
      <c r="D423">
        <v>3</v>
      </c>
      <c r="E423" t="s">
        <v>74</v>
      </c>
      <c r="F423" t="s">
        <v>889</v>
      </c>
      <c r="G423">
        <f>+IF(dHdcp[[#This Row],[Fecha]]=MAX(dHdcp[Fecha]),1,0)</f>
        <v>0</v>
      </c>
      <c r="H423" t="str">
        <f>+dHdcp[[#This Row],[Maximo]]&amp;":"&amp;dHdcp[[#This Row],[Nombre]]</f>
        <v>0:GLEZ JUAN JOSÉ</v>
      </c>
      <c r="I423" t="str">
        <f>+dHdcp[[#This Row],[Maximo]]&amp;":"&amp;_xlfn.XLOOKUP(dHdcp[[#This Row],[Nombre]],dJugador[Nombre],dJugador[Mote],"",0)</f>
        <v>0:Juanjo</v>
      </c>
      <c r="J423" t="str">
        <f>+IF(dHdcp[[#This Row],[Maximo]]=0,"",_xlfn.RANK.EQ(dHdcp[[#This Row],[Handicap]],dHdcp[Handicap],1))</f>
        <v/>
      </c>
      <c r="K423" t="str">
        <f>IFERROR(+_xlfn.RANK.EQ(dHdcp[[#This Row],[Ranking]],dHdcp[Ranking],1),"")</f>
        <v/>
      </c>
      <c r="M423" t="str">
        <f>+dHdcp[[#This Row],[Fecha]]&amp;":"&amp;dHdcp[[#This Row],[Nombre]]</f>
        <v>43784:GLEZ JUAN JOSÉ</v>
      </c>
      <c r="N423">
        <f>+COUNTIF(dHdcp[Columna1],dHdcp[[#This Row],[Columna1]])</f>
        <v>1</v>
      </c>
    </row>
    <row r="424" spans="1:14">
      <c r="A424" s="2">
        <v>43784</v>
      </c>
      <c r="B424" t="s">
        <v>6</v>
      </c>
      <c r="C424" s="51">
        <v>5.8</v>
      </c>
      <c r="D424">
        <v>2</v>
      </c>
      <c r="E424" t="s">
        <v>74</v>
      </c>
      <c r="F424" t="s">
        <v>890</v>
      </c>
      <c r="G424">
        <f>+IF(dHdcp[[#This Row],[Fecha]]=MAX(dHdcp[Fecha]),1,0)</f>
        <v>0</v>
      </c>
      <c r="H424" t="str">
        <f>+dHdcp[[#This Row],[Maximo]]&amp;":"&amp;dHdcp[[#This Row],[Nombre]]</f>
        <v>0:Ignacio Cadarso</v>
      </c>
      <c r="I424" t="str">
        <f>+dHdcp[[#This Row],[Maximo]]&amp;":"&amp;_xlfn.XLOOKUP(dHdcp[[#This Row],[Nombre]],dJugador[Nombre],dJugador[Mote],"",0)</f>
        <v>0:Ignacio</v>
      </c>
      <c r="J424" t="str">
        <f>+IF(dHdcp[[#This Row],[Maximo]]=0,"",_xlfn.RANK.EQ(dHdcp[[#This Row],[Handicap]],dHdcp[Handicap],1))</f>
        <v/>
      </c>
      <c r="K424" t="str">
        <f>IFERROR(+_xlfn.RANK.EQ(dHdcp[[#This Row],[Ranking]],dHdcp[Ranking],1),"")</f>
        <v/>
      </c>
      <c r="M424" t="str">
        <f>+dHdcp[[#This Row],[Fecha]]&amp;":"&amp;dHdcp[[#This Row],[Nombre]]</f>
        <v>43784:Ignacio Cadarso</v>
      </c>
      <c r="N424">
        <f>+COUNTIF(dHdcp[Columna1],dHdcp[[#This Row],[Columna1]])</f>
        <v>1</v>
      </c>
    </row>
    <row r="425" spans="1:14">
      <c r="A425" s="2">
        <v>43784</v>
      </c>
      <c r="B425" t="s">
        <v>23</v>
      </c>
      <c r="C425" s="51">
        <v>17.600000000000001</v>
      </c>
      <c r="D425">
        <v>3</v>
      </c>
      <c r="E425" t="s">
        <v>74</v>
      </c>
      <c r="F425" t="s">
        <v>891</v>
      </c>
      <c r="G425">
        <f>+IF(dHdcp[[#This Row],[Fecha]]=MAX(dHdcp[Fecha]),1,0)</f>
        <v>0</v>
      </c>
      <c r="H425" t="str">
        <f>+dHdcp[[#This Row],[Maximo]]&amp;":"&amp;dHdcp[[#This Row],[Nombre]]</f>
        <v>0:J. Enrique Gonzalez</v>
      </c>
      <c r="I425" t="str">
        <f>+dHdcp[[#This Row],[Maximo]]&amp;":"&amp;_xlfn.XLOOKUP(dHdcp[[#This Row],[Nombre]],dJugador[Nombre],dJugador[Mote],"",0)</f>
        <v>0:Kike</v>
      </c>
      <c r="J425" t="str">
        <f>+IF(dHdcp[[#This Row],[Maximo]]=0,"",_xlfn.RANK.EQ(dHdcp[[#This Row],[Handicap]],dHdcp[Handicap],1))</f>
        <v/>
      </c>
      <c r="K425" t="str">
        <f>IFERROR(+_xlfn.RANK.EQ(dHdcp[[#This Row],[Ranking]],dHdcp[Ranking],1),"")</f>
        <v/>
      </c>
      <c r="M425" t="str">
        <f>+dHdcp[[#This Row],[Fecha]]&amp;":"&amp;dHdcp[[#This Row],[Nombre]]</f>
        <v>43784:J. Enrique Gonzalez</v>
      </c>
      <c r="N425">
        <f>+COUNTIF(dHdcp[Columna1],dHdcp[[#This Row],[Columna1]])</f>
        <v>1</v>
      </c>
    </row>
    <row r="426" spans="1:14">
      <c r="A426" s="2">
        <v>43784</v>
      </c>
      <c r="B426" t="s">
        <v>46</v>
      </c>
      <c r="C426" s="51">
        <v>13.7</v>
      </c>
      <c r="D426">
        <v>3</v>
      </c>
      <c r="E426" t="s">
        <v>74</v>
      </c>
      <c r="F426" t="s">
        <v>892</v>
      </c>
      <c r="G426">
        <f>+IF(dHdcp[[#This Row],[Fecha]]=MAX(dHdcp[Fecha]),1,0)</f>
        <v>0</v>
      </c>
      <c r="H426" t="str">
        <f>+dHdcp[[#This Row],[Maximo]]&amp;":"&amp;dHdcp[[#This Row],[Nombre]]</f>
        <v>0:Javier Cervera</v>
      </c>
      <c r="I426" t="str">
        <f>+dHdcp[[#This Row],[Maximo]]&amp;":"&amp;_xlfn.XLOOKUP(dHdcp[[#This Row],[Nombre]],dJugador[Nombre],dJugador[Mote],"",0)</f>
        <v>0:Virus</v>
      </c>
      <c r="J426" t="str">
        <f>+IF(dHdcp[[#This Row],[Maximo]]=0,"",_xlfn.RANK.EQ(dHdcp[[#This Row],[Handicap]],dHdcp[Handicap],1))</f>
        <v/>
      </c>
      <c r="K426" t="str">
        <f>IFERROR(+_xlfn.RANK.EQ(dHdcp[[#This Row],[Ranking]],dHdcp[Ranking],1),"")</f>
        <v/>
      </c>
      <c r="M426" t="str">
        <f>+dHdcp[[#This Row],[Fecha]]&amp;":"&amp;dHdcp[[#This Row],[Nombre]]</f>
        <v>43784:Javier Cervera</v>
      </c>
      <c r="N426">
        <f>+COUNTIF(dHdcp[Columna1],dHdcp[[#This Row],[Columna1]])</f>
        <v>1</v>
      </c>
    </row>
    <row r="427" spans="1:14">
      <c r="A427" s="2">
        <v>43784</v>
      </c>
      <c r="B427" t="s">
        <v>20</v>
      </c>
      <c r="C427" s="51">
        <v>13.8</v>
      </c>
      <c r="D427">
        <v>3</v>
      </c>
      <c r="E427" t="s">
        <v>74</v>
      </c>
      <c r="F427" t="s">
        <v>893</v>
      </c>
      <c r="G427">
        <f>+IF(dHdcp[[#This Row],[Fecha]]=MAX(dHdcp[Fecha]),1,0)</f>
        <v>0</v>
      </c>
      <c r="H427" t="str">
        <f>+dHdcp[[#This Row],[Maximo]]&amp;":"&amp;dHdcp[[#This Row],[Nombre]]</f>
        <v>0:Javier Gonzalez Salvador</v>
      </c>
      <c r="I427" t="str">
        <f>+dHdcp[[#This Row],[Maximo]]&amp;":"&amp;_xlfn.XLOOKUP(dHdcp[[#This Row],[Nombre]],dJugador[Nombre],dJugador[Mote],"",0)</f>
        <v>0:Javi</v>
      </c>
      <c r="J427" t="str">
        <f>+IF(dHdcp[[#This Row],[Maximo]]=0,"",_xlfn.RANK.EQ(dHdcp[[#This Row],[Handicap]],dHdcp[Handicap],1))</f>
        <v/>
      </c>
      <c r="K427" t="str">
        <f>IFERROR(+_xlfn.RANK.EQ(dHdcp[[#This Row],[Ranking]],dHdcp[Ranking],1),"")</f>
        <v/>
      </c>
      <c r="M427" t="str">
        <f>+dHdcp[[#This Row],[Fecha]]&amp;":"&amp;dHdcp[[#This Row],[Nombre]]</f>
        <v>43784:Javier Gonzalez Salvador</v>
      </c>
      <c r="N427">
        <f>+COUNTIF(dHdcp[Columna1],dHdcp[[#This Row],[Columna1]])</f>
        <v>1</v>
      </c>
    </row>
    <row r="428" spans="1:14">
      <c r="A428" s="2">
        <v>43784</v>
      </c>
      <c r="B428" t="s">
        <v>41</v>
      </c>
      <c r="C428" s="51">
        <v>21.2</v>
      </c>
      <c r="D428">
        <v>4</v>
      </c>
      <c r="E428" t="s">
        <v>74</v>
      </c>
      <c r="F428" t="s">
        <v>894</v>
      </c>
      <c r="G428">
        <f>+IF(dHdcp[[#This Row],[Fecha]]=MAX(dHdcp[Fecha]),1,0)</f>
        <v>0</v>
      </c>
      <c r="H428" t="str">
        <f>+dHdcp[[#This Row],[Maximo]]&amp;":"&amp;dHdcp[[#This Row],[Nombre]]</f>
        <v>0:Jesus Touceda</v>
      </c>
      <c r="I428" t="str">
        <f>+dHdcp[[#This Row],[Maximo]]&amp;":"&amp;_xlfn.XLOOKUP(dHdcp[[#This Row],[Nombre]],dJugador[Nombre],dJugador[Mote],"",0)</f>
        <v>0:Jesús</v>
      </c>
      <c r="J428" t="str">
        <f>+IF(dHdcp[[#This Row],[Maximo]]=0,"",_xlfn.RANK.EQ(dHdcp[[#This Row],[Handicap]],dHdcp[Handicap],1))</f>
        <v/>
      </c>
      <c r="K428" t="str">
        <f>IFERROR(+_xlfn.RANK.EQ(dHdcp[[#This Row],[Ranking]],dHdcp[Ranking],1),"")</f>
        <v/>
      </c>
      <c r="M428" t="str">
        <f>+dHdcp[[#This Row],[Fecha]]&amp;":"&amp;dHdcp[[#This Row],[Nombre]]</f>
        <v>43784:Jesus Touceda</v>
      </c>
      <c r="N428">
        <f>+COUNTIF(dHdcp[Columna1],dHdcp[[#This Row],[Columna1]])</f>
        <v>1</v>
      </c>
    </row>
    <row r="429" spans="1:14">
      <c r="A429" s="2">
        <v>43784</v>
      </c>
      <c r="B429" t="s">
        <v>18</v>
      </c>
      <c r="C429" s="51">
        <v>6.9</v>
      </c>
      <c r="D429">
        <v>2</v>
      </c>
      <c r="E429" t="s">
        <v>74</v>
      </c>
      <c r="F429" t="s">
        <v>895</v>
      </c>
      <c r="G429">
        <f>+IF(dHdcp[[#This Row],[Fecha]]=MAX(dHdcp[Fecha]),1,0)</f>
        <v>0</v>
      </c>
      <c r="H429" t="str">
        <f>+dHdcp[[#This Row],[Maximo]]&amp;":"&amp;dHdcp[[#This Row],[Nombre]]</f>
        <v>0:José Pablo Guil</v>
      </c>
      <c r="I429" t="str">
        <f>+dHdcp[[#This Row],[Maximo]]&amp;":"&amp;_xlfn.XLOOKUP(dHdcp[[#This Row],[Nombre]],dJugador[Nombre],dJugador[Mote],"",0)</f>
        <v>0:JP</v>
      </c>
      <c r="J429" t="str">
        <f>+IF(dHdcp[[#This Row],[Maximo]]=0,"",_xlfn.RANK.EQ(dHdcp[[#This Row],[Handicap]],dHdcp[Handicap],1))</f>
        <v/>
      </c>
      <c r="K429" t="str">
        <f>IFERROR(+_xlfn.RANK.EQ(dHdcp[[#This Row],[Ranking]],dHdcp[Ranking],1),"")</f>
        <v/>
      </c>
      <c r="M429" t="str">
        <f>+dHdcp[[#This Row],[Fecha]]&amp;":"&amp;dHdcp[[#This Row],[Nombre]]</f>
        <v>43784:José Pablo Guil</v>
      </c>
      <c r="N429">
        <f>+COUNTIF(dHdcp[Columna1],dHdcp[[#This Row],[Columna1]])</f>
        <v>1</v>
      </c>
    </row>
    <row r="430" spans="1:14">
      <c r="A430" s="2">
        <v>43784</v>
      </c>
      <c r="B430" t="s">
        <v>43</v>
      </c>
      <c r="C430" s="51">
        <v>17.399999999999999</v>
      </c>
      <c r="D430">
        <v>3</v>
      </c>
      <c r="E430" t="s">
        <v>74</v>
      </c>
      <c r="F430" t="s">
        <v>896</v>
      </c>
      <c r="G430">
        <f>+IF(dHdcp[[#This Row],[Fecha]]=MAX(dHdcp[Fecha]),1,0)</f>
        <v>0</v>
      </c>
      <c r="H430" t="str">
        <f>+dHdcp[[#This Row],[Maximo]]&amp;":"&amp;dHdcp[[#This Row],[Nombre]]</f>
        <v>0:Luis Escudero</v>
      </c>
      <c r="I430" t="str">
        <f>+dHdcp[[#This Row],[Maximo]]&amp;":"&amp;_xlfn.XLOOKUP(dHdcp[[#This Row],[Nombre]],dJugador[Nombre],dJugador[Mote],"",0)</f>
        <v>0:Lucho</v>
      </c>
      <c r="J430" t="str">
        <f>+IF(dHdcp[[#This Row],[Maximo]]=0,"",_xlfn.RANK.EQ(dHdcp[[#This Row],[Handicap]],dHdcp[Handicap],1))</f>
        <v/>
      </c>
      <c r="K430" t="str">
        <f>IFERROR(+_xlfn.RANK.EQ(dHdcp[[#This Row],[Ranking]],dHdcp[Ranking],1),"")</f>
        <v/>
      </c>
      <c r="M430" t="str">
        <f>+dHdcp[[#This Row],[Fecha]]&amp;":"&amp;dHdcp[[#This Row],[Nombre]]</f>
        <v>43784:Luis Escudero</v>
      </c>
      <c r="N430">
        <f>+COUNTIF(dHdcp[Columna1],dHdcp[[#This Row],[Columna1]])</f>
        <v>1</v>
      </c>
    </row>
    <row r="431" spans="1:14">
      <c r="A431" s="2">
        <v>43784</v>
      </c>
      <c r="B431" t="s">
        <v>51</v>
      </c>
      <c r="C431" s="51">
        <v>1.4</v>
      </c>
      <c r="D431">
        <v>1</v>
      </c>
      <c r="E431" t="s">
        <v>74</v>
      </c>
      <c r="F431" t="s">
        <v>897</v>
      </c>
      <c r="G431">
        <f>+IF(dHdcp[[#This Row],[Fecha]]=MAX(dHdcp[Fecha]),1,0)</f>
        <v>0</v>
      </c>
      <c r="H431" t="str">
        <f>+dHdcp[[#This Row],[Maximo]]&amp;":"&amp;dHdcp[[#This Row],[Nombre]]</f>
        <v>0:Miguel Diaz Del Moral</v>
      </c>
      <c r="I431" t="str">
        <f>+dHdcp[[#This Row],[Maximo]]&amp;":"&amp;_xlfn.XLOOKUP(dHdcp[[#This Row],[Nombre]],dJugador[Nombre],dJugador[Mote],"",0)</f>
        <v>0:Cañita</v>
      </c>
      <c r="J431" t="str">
        <f>+IF(dHdcp[[#This Row],[Maximo]]=0,"",_xlfn.RANK.EQ(dHdcp[[#This Row],[Handicap]],dHdcp[Handicap],1))</f>
        <v/>
      </c>
      <c r="K431" t="str">
        <f>IFERROR(+_xlfn.RANK.EQ(dHdcp[[#This Row],[Ranking]],dHdcp[Ranking],1),"")</f>
        <v/>
      </c>
      <c r="M431" t="str">
        <f>+dHdcp[[#This Row],[Fecha]]&amp;":"&amp;dHdcp[[#This Row],[Nombre]]</f>
        <v>43784:Miguel Diaz Del Moral</v>
      </c>
      <c r="N431">
        <f>+COUNTIF(dHdcp[Columna1],dHdcp[[#This Row],[Columna1]])</f>
        <v>1</v>
      </c>
    </row>
    <row r="432" spans="1:14">
      <c r="A432" s="2">
        <v>43784</v>
      </c>
      <c r="B432" t="s">
        <v>3</v>
      </c>
      <c r="C432" s="51">
        <v>5.9</v>
      </c>
      <c r="D432">
        <v>2</v>
      </c>
      <c r="E432" t="s">
        <v>74</v>
      </c>
      <c r="F432" t="s">
        <v>898</v>
      </c>
      <c r="G432">
        <f>+IF(dHdcp[[#This Row],[Fecha]]=MAX(dHdcp[Fecha]),1,0)</f>
        <v>0</v>
      </c>
      <c r="H432" t="str">
        <f>+dHdcp[[#This Row],[Maximo]]&amp;":"&amp;dHdcp[[#This Row],[Nombre]]</f>
        <v>0:Nacho Gonzalez</v>
      </c>
      <c r="I432" t="str">
        <f>+dHdcp[[#This Row],[Maximo]]&amp;":"&amp;_xlfn.XLOOKUP(dHdcp[[#This Row],[Nombre]],dJugador[Nombre],dJugador[Mote],"",0)</f>
        <v>0:Nacho</v>
      </c>
      <c r="J432" t="str">
        <f>+IF(dHdcp[[#This Row],[Maximo]]=0,"",_xlfn.RANK.EQ(dHdcp[[#This Row],[Handicap]],dHdcp[Handicap],1))</f>
        <v/>
      </c>
      <c r="K432" t="str">
        <f>IFERROR(+_xlfn.RANK.EQ(dHdcp[[#This Row],[Ranking]],dHdcp[Ranking],1),"")</f>
        <v/>
      </c>
      <c r="M432" t="str">
        <f>+dHdcp[[#This Row],[Fecha]]&amp;":"&amp;dHdcp[[#This Row],[Nombre]]</f>
        <v>43784:Nacho Gonzalez</v>
      </c>
      <c r="N432">
        <f>+COUNTIF(dHdcp[Columna1],dHdcp[[#This Row],[Columna1]])</f>
        <v>1</v>
      </c>
    </row>
    <row r="433" spans="1:14">
      <c r="A433" s="2">
        <v>43784</v>
      </c>
      <c r="B433" t="s">
        <v>28</v>
      </c>
      <c r="C433" s="51">
        <v>13.4</v>
      </c>
      <c r="D433">
        <v>3</v>
      </c>
      <c r="E433" t="s">
        <v>74</v>
      </c>
      <c r="F433" t="s">
        <v>899</v>
      </c>
      <c r="G433">
        <f>+IF(dHdcp[[#This Row],[Fecha]]=MAX(dHdcp[Fecha]),1,0)</f>
        <v>0</v>
      </c>
      <c r="H433" t="str">
        <f>+dHdcp[[#This Row],[Maximo]]&amp;":"&amp;dHdcp[[#This Row],[Nombre]]</f>
        <v>0:Pablo Munitiz</v>
      </c>
      <c r="I433" t="str">
        <f>+dHdcp[[#This Row],[Maximo]]&amp;":"&amp;_xlfn.XLOOKUP(dHdcp[[#This Row],[Nombre]],dJugador[Nombre],dJugador[Mote],"",0)</f>
        <v>0:Muni</v>
      </c>
      <c r="J433" t="str">
        <f>+IF(dHdcp[[#This Row],[Maximo]]=0,"",_xlfn.RANK.EQ(dHdcp[[#This Row],[Handicap]],dHdcp[Handicap],1))</f>
        <v/>
      </c>
      <c r="K433" t="str">
        <f>IFERROR(+_xlfn.RANK.EQ(dHdcp[[#This Row],[Ranking]],dHdcp[Ranking],1),"")</f>
        <v/>
      </c>
      <c r="M433" t="str">
        <f>+dHdcp[[#This Row],[Fecha]]&amp;":"&amp;dHdcp[[#This Row],[Nombre]]</f>
        <v>43784:Pablo Munitiz</v>
      </c>
      <c r="N433">
        <f>+COUNTIF(dHdcp[Columna1],dHdcp[[#This Row],[Columna1]])</f>
        <v>1</v>
      </c>
    </row>
    <row r="434" spans="1:14">
      <c r="A434" s="2">
        <v>43786</v>
      </c>
      <c r="B434" t="s">
        <v>9</v>
      </c>
      <c r="C434" s="51">
        <v>7.8000000000000034</v>
      </c>
      <c r="D434">
        <v>2</v>
      </c>
      <c r="E434" t="s">
        <v>75</v>
      </c>
      <c r="F434" t="s">
        <v>900</v>
      </c>
      <c r="G434">
        <f>+IF(dHdcp[[#This Row],[Fecha]]=MAX(dHdcp[Fecha]),1,0)</f>
        <v>0</v>
      </c>
      <c r="H434" t="str">
        <f>+dHdcp[[#This Row],[Maximo]]&amp;":"&amp;dHdcp[[#This Row],[Nombre]]</f>
        <v>0:Alfonso Hidalgo</v>
      </c>
      <c r="I434" t="str">
        <f>+dHdcp[[#This Row],[Maximo]]&amp;":"&amp;_xlfn.XLOOKUP(dHdcp[[#This Row],[Nombre]],dJugador[Nombre],dJugador[Mote],"",0)</f>
        <v>0:Alfonso</v>
      </c>
      <c r="J434" t="str">
        <f>+IF(dHdcp[[#This Row],[Maximo]]=0,"",_xlfn.RANK.EQ(dHdcp[[#This Row],[Handicap]],dHdcp[Handicap],1))</f>
        <v/>
      </c>
      <c r="K434" t="str">
        <f>IFERROR(+_xlfn.RANK.EQ(dHdcp[[#This Row],[Ranking]],dHdcp[Ranking],1),"")</f>
        <v/>
      </c>
      <c r="M434" t="str">
        <f>+dHdcp[[#This Row],[Fecha]]&amp;":"&amp;dHdcp[[#This Row],[Nombre]]</f>
        <v>43786:Alfonso Hidalgo</v>
      </c>
      <c r="N434">
        <f>+COUNTIF(dHdcp[Columna1],dHdcp[[#This Row],[Columna1]])</f>
        <v>1</v>
      </c>
    </row>
    <row r="435" spans="1:14">
      <c r="A435" s="2">
        <v>43786</v>
      </c>
      <c r="B435" t="s">
        <v>15</v>
      </c>
      <c r="C435" s="51">
        <v>4.4999999999999991</v>
      </c>
      <c r="D435">
        <v>1</v>
      </c>
      <c r="E435" t="s">
        <v>75</v>
      </c>
      <c r="F435" t="s">
        <v>901</v>
      </c>
      <c r="G435">
        <f>+IF(dHdcp[[#This Row],[Fecha]]=MAX(dHdcp[Fecha]),1,0)</f>
        <v>0</v>
      </c>
      <c r="H435" t="str">
        <f>+dHdcp[[#This Row],[Maximo]]&amp;":"&amp;dHdcp[[#This Row],[Nombre]]</f>
        <v>0:Alvaro Aguirre</v>
      </c>
      <c r="I435" t="str">
        <f>+dHdcp[[#This Row],[Maximo]]&amp;":"&amp;_xlfn.XLOOKUP(dHdcp[[#This Row],[Nombre]],dJugador[Nombre],dJugador[Mote],"",0)</f>
        <v>0:Gifu</v>
      </c>
      <c r="J435" t="str">
        <f>+IF(dHdcp[[#This Row],[Maximo]]=0,"",_xlfn.RANK.EQ(dHdcp[[#This Row],[Handicap]],dHdcp[Handicap],1))</f>
        <v/>
      </c>
      <c r="K435" t="str">
        <f>IFERROR(+_xlfn.RANK.EQ(dHdcp[[#This Row],[Ranking]],dHdcp[Ranking],1),"")</f>
        <v/>
      </c>
      <c r="M435" t="str">
        <f>+dHdcp[[#This Row],[Fecha]]&amp;":"&amp;dHdcp[[#This Row],[Nombre]]</f>
        <v>43786:Alvaro Aguirre</v>
      </c>
      <c r="N435">
        <f>+COUNTIF(dHdcp[Columna1],dHdcp[[#This Row],[Columna1]])</f>
        <v>1</v>
      </c>
    </row>
    <row r="436" spans="1:14">
      <c r="A436" s="2">
        <v>43786</v>
      </c>
      <c r="B436" t="s">
        <v>25</v>
      </c>
      <c r="C436" s="51">
        <v>13.199999999999998</v>
      </c>
      <c r="D436">
        <v>3</v>
      </c>
      <c r="E436" t="s">
        <v>75</v>
      </c>
      <c r="F436" t="s">
        <v>902</v>
      </c>
      <c r="G436">
        <f>+IF(dHdcp[[#This Row],[Fecha]]=MAX(dHdcp[Fecha]),1,0)</f>
        <v>0</v>
      </c>
      <c r="H436" t="str">
        <f>+dHdcp[[#This Row],[Maximo]]&amp;":"&amp;dHdcp[[#This Row],[Nombre]]</f>
        <v>0:Alvaro Nieto</v>
      </c>
      <c r="I436" t="str">
        <f>+dHdcp[[#This Row],[Maximo]]&amp;":"&amp;_xlfn.XLOOKUP(dHdcp[[#This Row],[Nombre]],dJugador[Nombre],dJugador[Mote],"",0)</f>
        <v>0:Alvaro</v>
      </c>
      <c r="J436" t="str">
        <f>+IF(dHdcp[[#This Row],[Maximo]]=0,"",_xlfn.RANK.EQ(dHdcp[[#This Row],[Handicap]],dHdcp[Handicap],1))</f>
        <v/>
      </c>
      <c r="K436" t="str">
        <f>IFERROR(+_xlfn.RANK.EQ(dHdcp[[#This Row],[Ranking]],dHdcp[Ranking],1),"")</f>
        <v/>
      </c>
      <c r="M436" t="str">
        <f>+dHdcp[[#This Row],[Fecha]]&amp;":"&amp;dHdcp[[#This Row],[Nombre]]</f>
        <v>43786:Alvaro Nieto</v>
      </c>
      <c r="N436">
        <f>+COUNTIF(dHdcp[Columna1],dHdcp[[#This Row],[Columna1]])</f>
        <v>1</v>
      </c>
    </row>
    <row r="437" spans="1:14">
      <c r="A437" s="2">
        <v>43786</v>
      </c>
      <c r="B437" t="s">
        <v>33</v>
      </c>
      <c r="C437" s="51">
        <v>6.2999999999999972</v>
      </c>
      <c r="D437">
        <v>2</v>
      </c>
      <c r="E437" t="s">
        <v>75</v>
      </c>
      <c r="F437" t="s">
        <v>903</v>
      </c>
      <c r="G437">
        <f>+IF(dHdcp[[#This Row],[Fecha]]=MAX(dHdcp[Fecha]),1,0)</f>
        <v>0</v>
      </c>
      <c r="H437" t="str">
        <f>+dHdcp[[#This Row],[Maximo]]&amp;":"&amp;dHdcp[[#This Row],[Nombre]]</f>
        <v>0:Angel Hernandez</v>
      </c>
      <c r="I437" t="str">
        <f>+dHdcp[[#This Row],[Maximo]]&amp;":"&amp;_xlfn.XLOOKUP(dHdcp[[#This Row],[Nombre]],dJugador[Nombre],dJugador[Mote],"",0)</f>
        <v>0:Angel</v>
      </c>
      <c r="J437" t="str">
        <f>+IF(dHdcp[[#This Row],[Maximo]]=0,"",_xlfn.RANK.EQ(dHdcp[[#This Row],[Handicap]],dHdcp[Handicap],1))</f>
        <v/>
      </c>
      <c r="K437" t="str">
        <f>IFERROR(+_xlfn.RANK.EQ(dHdcp[[#This Row],[Ranking]],dHdcp[Ranking],1),"")</f>
        <v/>
      </c>
      <c r="M437" t="str">
        <f>+dHdcp[[#This Row],[Fecha]]&amp;":"&amp;dHdcp[[#This Row],[Nombre]]</f>
        <v>43786:Angel Hernandez</v>
      </c>
      <c r="N437">
        <f>+COUNTIF(dHdcp[Columna1],dHdcp[[#This Row],[Columna1]])</f>
        <v>1</v>
      </c>
    </row>
    <row r="438" spans="1:14">
      <c r="A438" s="2">
        <v>43786</v>
      </c>
      <c r="B438" t="s">
        <v>30</v>
      </c>
      <c r="C438" s="51">
        <v>10.899999999999997</v>
      </c>
      <c r="D438">
        <v>2</v>
      </c>
      <c r="E438" t="s">
        <v>75</v>
      </c>
      <c r="F438" t="s">
        <v>904</v>
      </c>
      <c r="G438">
        <f>+IF(dHdcp[[#This Row],[Fecha]]=MAX(dHdcp[Fecha]),1,0)</f>
        <v>0</v>
      </c>
      <c r="H438" t="str">
        <f>+dHdcp[[#This Row],[Maximo]]&amp;":"&amp;dHdcp[[#This Row],[Nombre]]</f>
        <v>0:David Sequera</v>
      </c>
      <c r="I438" t="str">
        <f>+dHdcp[[#This Row],[Maximo]]&amp;":"&amp;_xlfn.XLOOKUP(dHdcp[[#This Row],[Nombre]],dJugador[Nombre],dJugador[Mote],"",0)</f>
        <v>0:David</v>
      </c>
      <c r="J438" t="str">
        <f>+IF(dHdcp[[#This Row],[Maximo]]=0,"",_xlfn.RANK.EQ(dHdcp[[#This Row],[Handicap]],dHdcp[Handicap],1))</f>
        <v/>
      </c>
      <c r="K438" t="str">
        <f>IFERROR(+_xlfn.RANK.EQ(dHdcp[[#This Row],[Ranking]],dHdcp[Ranking],1),"")</f>
        <v/>
      </c>
      <c r="M438" t="str">
        <f>+dHdcp[[#This Row],[Fecha]]&amp;":"&amp;dHdcp[[#This Row],[Nombre]]</f>
        <v>43786:David Sequera</v>
      </c>
      <c r="N438">
        <f>+COUNTIF(dHdcp[Columna1],dHdcp[[#This Row],[Columna1]])</f>
        <v>1</v>
      </c>
    </row>
    <row r="439" spans="1:14">
      <c r="A439" s="2">
        <v>43786</v>
      </c>
      <c r="B439" t="s">
        <v>12</v>
      </c>
      <c r="C439" s="51">
        <v>13.899999999999993</v>
      </c>
      <c r="D439">
        <v>3</v>
      </c>
      <c r="E439" t="s">
        <v>75</v>
      </c>
      <c r="F439" t="s">
        <v>905</v>
      </c>
      <c r="G439">
        <f>+IF(dHdcp[[#This Row],[Fecha]]=MAX(dHdcp[Fecha]),1,0)</f>
        <v>0</v>
      </c>
      <c r="H439" t="str">
        <f>+dHdcp[[#This Row],[Maximo]]&amp;":"&amp;dHdcp[[#This Row],[Nombre]]</f>
        <v>0:Francisco Alvarez</v>
      </c>
      <c r="I439" t="str">
        <f>+dHdcp[[#This Row],[Maximo]]&amp;":"&amp;_xlfn.XLOOKUP(dHdcp[[#This Row],[Nombre]],dJugador[Nombre],dJugador[Mote],"",0)</f>
        <v>0:Paco</v>
      </c>
      <c r="J439" t="str">
        <f>+IF(dHdcp[[#This Row],[Maximo]]=0,"",_xlfn.RANK.EQ(dHdcp[[#This Row],[Handicap]],dHdcp[Handicap],1))</f>
        <v/>
      </c>
      <c r="K439" t="str">
        <f>IFERROR(+_xlfn.RANK.EQ(dHdcp[[#This Row],[Ranking]],dHdcp[Ranking],1),"")</f>
        <v/>
      </c>
      <c r="M439" t="str">
        <f>+dHdcp[[#This Row],[Fecha]]&amp;":"&amp;dHdcp[[#This Row],[Nombre]]</f>
        <v>43786:Francisco Alvarez</v>
      </c>
      <c r="N439">
        <f>+COUNTIF(dHdcp[Columna1],dHdcp[[#This Row],[Columna1]])</f>
        <v>1</v>
      </c>
    </row>
    <row r="440" spans="1:14">
      <c r="A440" s="2">
        <v>43786</v>
      </c>
      <c r="B440" t="s">
        <v>49</v>
      </c>
      <c r="C440" s="51">
        <v>13.299999999999994</v>
      </c>
      <c r="D440">
        <v>3</v>
      </c>
      <c r="E440" t="s">
        <v>75</v>
      </c>
      <c r="F440" t="s">
        <v>906</v>
      </c>
      <c r="G440">
        <f>+IF(dHdcp[[#This Row],[Fecha]]=MAX(dHdcp[Fecha]),1,0)</f>
        <v>0</v>
      </c>
      <c r="H440" t="str">
        <f>+dHdcp[[#This Row],[Maximo]]&amp;":"&amp;dHdcp[[#This Row],[Nombre]]</f>
        <v>0:Francisco Hidalgo</v>
      </c>
      <c r="I440" t="str">
        <f>+dHdcp[[#This Row],[Maximo]]&amp;":"&amp;_xlfn.XLOOKUP(dHdcp[[#This Row],[Nombre]],dJugador[Nombre],dJugador[Mote],"",0)</f>
        <v>0:Fran</v>
      </c>
      <c r="J440" t="str">
        <f>+IF(dHdcp[[#This Row],[Maximo]]=0,"",_xlfn.RANK.EQ(dHdcp[[#This Row],[Handicap]],dHdcp[Handicap],1))</f>
        <v/>
      </c>
      <c r="K440" t="str">
        <f>IFERROR(+_xlfn.RANK.EQ(dHdcp[[#This Row],[Ranking]],dHdcp[Ranking],1),"")</f>
        <v/>
      </c>
      <c r="M440" t="str">
        <f>+dHdcp[[#This Row],[Fecha]]&amp;":"&amp;dHdcp[[#This Row],[Nombre]]</f>
        <v>43786:Francisco Hidalgo</v>
      </c>
      <c r="N440">
        <f>+COUNTIF(dHdcp[Columna1],dHdcp[[#This Row],[Columna1]])</f>
        <v>1</v>
      </c>
    </row>
    <row r="441" spans="1:14">
      <c r="A441" s="2">
        <v>43786</v>
      </c>
      <c r="B441" t="s">
        <v>35</v>
      </c>
      <c r="C441" s="51">
        <v>17.3</v>
      </c>
      <c r="D441">
        <v>3</v>
      </c>
      <c r="E441" t="s">
        <v>75</v>
      </c>
      <c r="F441" t="s">
        <v>907</v>
      </c>
      <c r="G441">
        <f>+IF(dHdcp[[#This Row],[Fecha]]=MAX(dHdcp[Fecha]),1,0)</f>
        <v>0</v>
      </c>
      <c r="H441" t="str">
        <f>+dHdcp[[#This Row],[Maximo]]&amp;":"&amp;dHdcp[[#This Row],[Nombre]]</f>
        <v>0:GLEZ JUAN JOSÉ</v>
      </c>
      <c r="I441" t="str">
        <f>+dHdcp[[#This Row],[Maximo]]&amp;":"&amp;_xlfn.XLOOKUP(dHdcp[[#This Row],[Nombre]],dJugador[Nombre],dJugador[Mote],"",0)</f>
        <v>0:Juanjo</v>
      </c>
      <c r="J441" t="str">
        <f>+IF(dHdcp[[#This Row],[Maximo]]=0,"",_xlfn.RANK.EQ(dHdcp[[#This Row],[Handicap]],dHdcp[Handicap],1))</f>
        <v/>
      </c>
      <c r="K441" t="str">
        <f>IFERROR(+_xlfn.RANK.EQ(dHdcp[[#This Row],[Ranking]],dHdcp[Ranking],1),"")</f>
        <v/>
      </c>
      <c r="M441" t="str">
        <f>+dHdcp[[#This Row],[Fecha]]&amp;":"&amp;dHdcp[[#This Row],[Nombre]]</f>
        <v>43786:GLEZ JUAN JOSÉ</v>
      </c>
      <c r="N441">
        <f>+COUNTIF(dHdcp[Columna1],dHdcp[[#This Row],[Columna1]])</f>
        <v>1</v>
      </c>
    </row>
    <row r="442" spans="1:14">
      <c r="A442" s="2">
        <v>43786</v>
      </c>
      <c r="B442" t="s">
        <v>6</v>
      </c>
      <c r="C442" s="51">
        <v>4.6999999999999957</v>
      </c>
      <c r="D442">
        <v>2</v>
      </c>
      <c r="E442" t="s">
        <v>75</v>
      </c>
      <c r="F442" t="s">
        <v>908</v>
      </c>
      <c r="G442">
        <f>+IF(dHdcp[[#This Row],[Fecha]]=MAX(dHdcp[Fecha]),1,0)</f>
        <v>0</v>
      </c>
      <c r="H442" t="str">
        <f>+dHdcp[[#This Row],[Maximo]]&amp;":"&amp;dHdcp[[#This Row],[Nombre]]</f>
        <v>0:Ignacio Cadarso</v>
      </c>
      <c r="I442" t="str">
        <f>+dHdcp[[#This Row],[Maximo]]&amp;":"&amp;_xlfn.XLOOKUP(dHdcp[[#This Row],[Nombre]],dJugador[Nombre],dJugador[Mote],"",0)</f>
        <v>0:Ignacio</v>
      </c>
      <c r="J442" t="str">
        <f>+IF(dHdcp[[#This Row],[Maximo]]=0,"",_xlfn.RANK.EQ(dHdcp[[#This Row],[Handicap]],dHdcp[Handicap],1))</f>
        <v/>
      </c>
      <c r="K442" t="str">
        <f>IFERROR(+_xlfn.RANK.EQ(dHdcp[[#This Row],[Ranking]],dHdcp[Ranking],1),"")</f>
        <v/>
      </c>
      <c r="M442" t="str">
        <f>+dHdcp[[#This Row],[Fecha]]&amp;":"&amp;dHdcp[[#This Row],[Nombre]]</f>
        <v>43786:Ignacio Cadarso</v>
      </c>
      <c r="N442">
        <f>+COUNTIF(dHdcp[Columna1],dHdcp[[#This Row],[Columna1]])</f>
        <v>1</v>
      </c>
    </row>
    <row r="443" spans="1:14">
      <c r="A443" s="2">
        <v>43786</v>
      </c>
      <c r="B443" t="s">
        <v>23</v>
      </c>
      <c r="C443" s="51">
        <v>17.600000000000016</v>
      </c>
      <c r="D443">
        <v>3</v>
      </c>
      <c r="E443" t="s">
        <v>75</v>
      </c>
      <c r="F443" t="s">
        <v>909</v>
      </c>
      <c r="G443">
        <f>+IF(dHdcp[[#This Row],[Fecha]]=MAX(dHdcp[Fecha]),1,0)</f>
        <v>0</v>
      </c>
      <c r="H443" t="str">
        <f>+dHdcp[[#This Row],[Maximo]]&amp;":"&amp;dHdcp[[#This Row],[Nombre]]</f>
        <v>0:J. Enrique Gonzalez</v>
      </c>
      <c r="I443" t="str">
        <f>+dHdcp[[#This Row],[Maximo]]&amp;":"&amp;_xlfn.XLOOKUP(dHdcp[[#This Row],[Nombre]],dJugador[Nombre],dJugador[Mote],"",0)</f>
        <v>0:Kike</v>
      </c>
      <c r="J443" t="str">
        <f>+IF(dHdcp[[#This Row],[Maximo]]=0,"",_xlfn.RANK.EQ(dHdcp[[#This Row],[Handicap]],dHdcp[Handicap],1))</f>
        <v/>
      </c>
      <c r="K443" t="str">
        <f>IFERROR(+_xlfn.RANK.EQ(dHdcp[[#This Row],[Ranking]],dHdcp[Ranking],1),"")</f>
        <v/>
      </c>
      <c r="M443" t="str">
        <f>+dHdcp[[#This Row],[Fecha]]&amp;":"&amp;dHdcp[[#This Row],[Nombre]]</f>
        <v>43786:J. Enrique Gonzalez</v>
      </c>
      <c r="N443">
        <f>+COUNTIF(dHdcp[Columna1],dHdcp[[#This Row],[Columna1]])</f>
        <v>1</v>
      </c>
    </row>
    <row r="444" spans="1:14">
      <c r="A444" s="2">
        <v>43786</v>
      </c>
      <c r="B444" t="s">
        <v>46</v>
      </c>
      <c r="C444" s="51">
        <v>13.499999999999993</v>
      </c>
      <c r="D444">
        <v>3</v>
      </c>
      <c r="E444" t="s">
        <v>75</v>
      </c>
      <c r="F444" t="s">
        <v>910</v>
      </c>
      <c r="G444">
        <f>+IF(dHdcp[[#This Row],[Fecha]]=MAX(dHdcp[Fecha]),1,0)</f>
        <v>0</v>
      </c>
      <c r="H444" t="str">
        <f>+dHdcp[[#This Row],[Maximo]]&amp;":"&amp;dHdcp[[#This Row],[Nombre]]</f>
        <v>0:Javier Cervera</v>
      </c>
      <c r="I444" t="str">
        <f>+dHdcp[[#This Row],[Maximo]]&amp;":"&amp;_xlfn.XLOOKUP(dHdcp[[#This Row],[Nombre]],dJugador[Nombre],dJugador[Mote],"",0)</f>
        <v>0:Virus</v>
      </c>
      <c r="J444" t="str">
        <f>+IF(dHdcp[[#This Row],[Maximo]]=0,"",_xlfn.RANK.EQ(dHdcp[[#This Row],[Handicap]],dHdcp[Handicap],1))</f>
        <v/>
      </c>
      <c r="K444" t="str">
        <f>IFERROR(+_xlfn.RANK.EQ(dHdcp[[#This Row],[Ranking]],dHdcp[Ranking],1),"")</f>
        <v/>
      </c>
      <c r="M444" t="str">
        <f>+dHdcp[[#This Row],[Fecha]]&amp;":"&amp;dHdcp[[#This Row],[Nombre]]</f>
        <v>43786:Javier Cervera</v>
      </c>
      <c r="N444">
        <f>+COUNTIF(dHdcp[Columna1],dHdcp[[#This Row],[Columna1]])</f>
        <v>1</v>
      </c>
    </row>
    <row r="445" spans="1:14">
      <c r="A445" s="2">
        <v>43786</v>
      </c>
      <c r="B445" t="s">
        <v>20</v>
      </c>
      <c r="C445" s="51">
        <v>10.599999999999998</v>
      </c>
      <c r="D445">
        <v>2</v>
      </c>
      <c r="E445" t="s">
        <v>75</v>
      </c>
      <c r="F445" t="s">
        <v>911</v>
      </c>
      <c r="G445">
        <f>+IF(dHdcp[[#This Row],[Fecha]]=MAX(dHdcp[Fecha]),1,0)</f>
        <v>0</v>
      </c>
      <c r="H445" t="str">
        <f>+dHdcp[[#This Row],[Maximo]]&amp;":"&amp;dHdcp[[#This Row],[Nombre]]</f>
        <v>0:Javier Gonzalez Salvador</v>
      </c>
      <c r="I445" t="str">
        <f>+dHdcp[[#This Row],[Maximo]]&amp;":"&amp;_xlfn.XLOOKUP(dHdcp[[#This Row],[Nombre]],dJugador[Nombre],dJugador[Mote],"",0)</f>
        <v>0:Javi</v>
      </c>
      <c r="J445" t="str">
        <f>+IF(dHdcp[[#This Row],[Maximo]]=0,"",_xlfn.RANK.EQ(dHdcp[[#This Row],[Handicap]],dHdcp[Handicap],1))</f>
        <v/>
      </c>
      <c r="K445" t="str">
        <f>IFERROR(+_xlfn.RANK.EQ(dHdcp[[#This Row],[Ranking]],dHdcp[Ranking],1),"")</f>
        <v/>
      </c>
      <c r="M445" t="str">
        <f>+dHdcp[[#This Row],[Fecha]]&amp;":"&amp;dHdcp[[#This Row],[Nombre]]</f>
        <v>43786:Javier Gonzalez Salvador</v>
      </c>
      <c r="N445">
        <f>+COUNTIF(dHdcp[Columna1],dHdcp[[#This Row],[Columna1]])</f>
        <v>1</v>
      </c>
    </row>
    <row r="446" spans="1:14">
      <c r="A446" s="2">
        <v>43786</v>
      </c>
      <c r="B446" t="s">
        <v>41</v>
      </c>
      <c r="C446" s="51">
        <v>21.299999999999997</v>
      </c>
      <c r="D446">
        <v>4</v>
      </c>
      <c r="E446" t="s">
        <v>75</v>
      </c>
      <c r="F446" t="s">
        <v>912</v>
      </c>
      <c r="G446">
        <f>+IF(dHdcp[[#This Row],[Fecha]]=MAX(dHdcp[Fecha]),1,0)</f>
        <v>0</v>
      </c>
      <c r="H446" t="str">
        <f>+dHdcp[[#This Row],[Maximo]]&amp;":"&amp;dHdcp[[#This Row],[Nombre]]</f>
        <v>0:Jesus Touceda</v>
      </c>
      <c r="I446" t="str">
        <f>+dHdcp[[#This Row],[Maximo]]&amp;":"&amp;_xlfn.XLOOKUP(dHdcp[[#This Row],[Nombre]],dJugador[Nombre],dJugador[Mote],"",0)</f>
        <v>0:Jesús</v>
      </c>
      <c r="J446" t="str">
        <f>+IF(dHdcp[[#This Row],[Maximo]]=0,"",_xlfn.RANK.EQ(dHdcp[[#This Row],[Handicap]],dHdcp[Handicap],1))</f>
        <v/>
      </c>
      <c r="K446" t="str">
        <f>IFERROR(+_xlfn.RANK.EQ(dHdcp[[#This Row],[Ranking]],dHdcp[Ranking],1),"")</f>
        <v/>
      </c>
      <c r="M446" t="str">
        <f>+dHdcp[[#This Row],[Fecha]]&amp;":"&amp;dHdcp[[#This Row],[Nombre]]</f>
        <v>43786:Jesus Touceda</v>
      </c>
      <c r="N446">
        <f>+COUNTIF(dHdcp[Columna1],dHdcp[[#This Row],[Columna1]])</f>
        <v>1</v>
      </c>
    </row>
    <row r="447" spans="1:14">
      <c r="A447" s="2">
        <v>43786</v>
      </c>
      <c r="B447" t="s">
        <v>18</v>
      </c>
      <c r="C447" s="51">
        <v>5.4999999999999964</v>
      </c>
      <c r="D447">
        <v>2</v>
      </c>
      <c r="E447" t="s">
        <v>75</v>
      </c>
      <c r="F447" t="s">
        <v>913</v>
      </c>
      <c r="G447">
        <f>+IF(dHdcp[[#This Row],[Fecha]]=MAX(dHdcp[Fecha]),1,0)</f>
        <v>0</v>
      </c>
      <c r="H447" t="str">
        <f>+dHdcp[[#This Row],[Maximo]]&amp;":"&amp;dHdcp[[#This Row],[Nombre]]</f>
        <v>0:José Pablo Guil</v>
      </c>
      <c r="I447" t="str">
        <f>+dHdcp[[#This Row],[Maximo]]&amp;":"&amp;_xlfn.XLOOKUP(dHdcp[[#This Row],[Nombre]],dJugador[Nombre],dJugador[Mote],"",0)</f>
        <v>0:JP</v>
      </c>
      <c r="J447" t="str">
        <f>+IF(dHdcp[[#This Row],[Maximo]]=0,"",_xlfn.RANK.EQ(dHdcp[[#This Row],[Handicap]],dHdcp[Handicap],1))</f>
        <v/>
      </c>
      <c r="K447" t="str">
        <f>IFERROR(+_xlfn.RANK.EQ(dHdcp[[#This Row],[Ranking]],dHdcp[Ranking],1),"")</f>
        <v/>
      </c>
      <c r="M447" t="str">
        <f>+dHdcp[[#This Row],[Fecha]]&amp;":"&amp;dHdcp[[#This Row],[Nombre]]</f>
        <v>43786:José Pablo Guil</v>
      </c>
      <c r="N447">
        <f>+COUNTIF(dHdcp[Columna1],dHdcp[[#This Row],[Columna1]])</f>
        <v>1</v>
      </c>
    </row>
    <row r="448" spans="1:14">
      <c r="A448" s="2">
        <v>43786</v>
      </c>
      <c r="B448" t="s">
        <v>43</v>
      </c>
      <c r="C448" s="51">
        <v>16.900000000000002</v>
      </c>
      <c r="D448">
        <v>3</v>
      </c>
      <c r="E448" t="s">
        <v>75</v>
      </c>
      <c r="F448" t="s">
        <v>914</v>
      </c>
      <c r="G448">
        <f>+IF(dHdcp[[#This Row],[Fecha]]=MAX(dHdcp[Fecha]),1,0)</f>
        <v>0</v>
      </c>
      <c r="H448" t="str">
        <f>+dHdcp[[#This Row],[Maximo]]&amp;":"&amp;dHdcp[[#This Row],[Nombre]]</f>
        <v>0:Luis Escudero</v>
      </c>
      <c r="I448" t="str">
        <f>+dHdcp[[#This Row],[Maximo]]&amp;":"&amp;_xlfn.XLOOKUP(dHdcp[[#This Row],[Nombre]],dJugador[Nombre],dJugador[Mote],"",0)</f>
        <v>0:Lucho</v>
      </c>
      <c r="J448" t="str">
        <f>+IF(dHdcp[[#This Row],[Maximo]]=0,"",_xlfn.RANK.EQ(dHdcp[[#This Row],[Handicap]],dHdcp[Handicap],1))</f>
        <v/>
      </c>
      <c r="K448" t="str">
        <f>IFERROR(+_xlfn.RANK.EQ(dHdcp[[#This Row],[Ranking]],dHdcp[Ranking],1),"")</f>
        <v/>
      </c>
      <c r="M448" t="str">
        <f>+dHdcp[[#This Row],[Fecha]]&amp;":"&amp;dHdcp[[#This Row],[Nombre]]</f>
        <v>43786:Luis Escudero</v>
      </c>
      <c r="N448">
        <f>+COUNTIF(dHdcp[Columna1],dHdcp[[#This Row],[Columna1]])</f>
        <v>1</v>
      </c>
    </row>
    <row r="449" spans="1:14">
      <c r="A449" s="2">
        <v>43786</v>
      </c>
      <c r="B449" t="s">
        <v>3</v>
      </c>
      <c r="C449" s="51">
        <v>4.1999999999999993</v>
      </c>
      <c r="D449">
        <v>1</v>
      </c>
      <c r="E449" t="s">
        <v>75</v>
      </c>
      <c r="F449" s="94" t="s">
        <v>915</v>
      </c>
      <c r="G449">
        <f>+IF(dHdcp[[#This Row],[Fecha]]=MAX(dHdcp[Fecha]),1,0)</f>
        <v>0</v>
      </c>
      <c r="H449" t="str">
        <f>+dHdcp[[#This Row],[Maximo]]&amp;":"&amp;dHdcp[[#This Row],[Nombre]]</f>
        <v>0:Nacho Gonzalez</v>
      </c>
      <c r="I449" t="str">
        <f>+dHdcp[[#This Row],[Maximo]]&amp;":"&amp;_xlfn.XLOOKUP(dHdcp[[#This Row],[Nombre]],dJugador[Nombre],dJugador[Mote],"",0)</f>
        <v>0:Nacho</v>
      </c>
      <c r="J449" t="str">
        <f>+IF(dHdcp[[#This Row],[Maximo]]=0,"",_xlfn.RANK.EQ(dHdcp[[#This Row],[Handicap]],dHdcp[Handicap],1))</f>
        <v/>
      </c>
      <c r="K449" t="str">
        <f>IFERROR(+_xlfn.RANK.EQ(dHdcp[[#This Row],[Ranking]],dHdcp[Ranking],1),"")</f>
        <v/>
      </c>
      <c r="M449" t="str">
        <f>+dHdcp[[#This Row],[Fecha]]&amp;":"&amp;dHdcp[[#This Row],[Nombre]]</f>
        <v>43786:Nacho Gonzalez</v>
      </c>
      <c r="N449">
        <f>+COUNTIF(dHdcp[Columna1],dHdcp[[#This Row],[Columna1]])</f>
        <v>1</v>
      </c>
    </row>
    <row r="450" spans="1:14">
      <c r="A450" s="2">
        <v>43786</v>
      </c>
      <c r="B450" t="s">
        <v>28</v>
      </c>
      <c r="C450" s="51">
        <v>13.4</v>
      </c>
      <c r="D450">
        <v>3</v>
      </c>
      <c r="E450" t="s">
        <v>75</v>
      </c>
      <c r="F450" t="s">
        <v>916</v>
      </c>
      <c r="G450">
        <f>+IF(dHdcp[[#This Row],[Fecha]]=MAX(dHdcp[Fecha]),1,0)</f>
        <v>0</v>
      </c>
      <c r="H450" t="str">
        <f>+dHdcp[[#This Row],[Maximo]]&amp;":"&amp;dHdcp[[#This Row],[Nombre]]</f>
        <v>0:Pablo Munitiz</v>
      </c>
      <c r="I450" t="str">
        <f>+dHdcp[[#This Row],[Maximo]]&amp;":"&amp;_xlfn.XLOOKUP(dHdcp[[#This Row],[Nombre]],dJugador[Nombre],dJugador[Mote],"",0)</f>
        <v>0:Muni</v>
      </c>
      <c r="J450" t="str">
        <f>+IF(dHdcp[[#This Row],[Maximo]]=0,"",_xlfn.RANK.EQ(dHdcp[[#This Row],[Handicap]],dHdcp[Handicap],1))</f>
        <v/>
      </c>
      <c r="K450" t="str">
        <f>IFERROR(+_xlfn.RANK.EQ(dHdcp[[#This Row],[Ranking]],dHdcp[Ranking],1),"")</f>
        <v/>
      </c>
      <c r="M450" t="str">
        <f>+dHdcp[[#This Row],[Fecha]]&amp;":"&amp;dHdcp[[#This Row],[Nombre]]</f>
        <v>43786:Pablo Munitiz</v>
      </c>
      <c r="N450">
        <f>+COUNTIF(dHdcp[Columna1],dHdcp[[#This Row],[Columna1]])</f>
        <v>1</v>
      </c>
    </row>
    <row r="451" spans="1:14">
      <c r="A451" s="2">
        <v>43816</v>
      </c>
      <c r="B451" t="s">
        <v>9</v>
      </c>
      <c r="C451" s="51">
        <v>8.6999999999999993</v>
      </c>
      <c r="D451">
        <v>2</v>
      </c>
      <c r="E451" t="s">
        <v>74</v>
      </c>
      <c r="F451" t="s">
        <v>917</v>
      </c>
      <c r="G451">
        <f>+IF(dHdcp[[#This Row],[Fecha]]=MAX(dHdcp[Fecha]),1,0)</f>
        <v>0</v>
      </c>
      <c r="H451" t="str">
        <f>+dHdcp[[#This Row],[Maximo]]&amp;":"&amp;dHdcp[[#This Row],[Nombre]]</f>
        <v>0:Alfonso Hidalgo</v>
      </c>
      <c r="I451" t="str">
        <f>+dHdcp[[#This Row],[Maximo]]&amp;":"&amp;_xlfn.XLOOKUP(dHdcp[[#This Row],[Nombre]],dJugador[Nombre],dJugador[Mote],"",0)</f>
        <v>0:Alfonso</v>
      </c>
      <c r="J451" t="str">
        <f>+IF(dHdcp[[#This Row],[Maximo]]=0,"",_xlfn.RANK.EQ(dHdcp[[#This Row],[Handicap]],dHdcp[Handicap],1))</f>
        <v/>
      </c>
      <c r="K451" t="str">
        <f>IFERROR(+_xlfn.RANK.EQ(dHdcp[[#This Row],[Ranking]],dHdcp[Ranking],1),"")</f>
        <v/>
      </c>
      <c r="M451" t="str">
        <f>+dHdcp[[#This Row],[Fecha]]&amp;":"&amp;dHdcp[[#This Row],[Nombre]]</f>
        <v>43816:Alfonso Hidalgo</v>
      </c>
      <c r="N451">
        <f>+COUNTIF(dHdcp[Columna1],dHdcp[[#This Row],[Columna1]])</f>
        <v>2</v>
      </c>
    </row>
    <row r="452" spans="1:14">
      <c r="A452" s="2">
        <v>43816</v>
      </c>
      <c r="B452" t="s">
        <v>9</v>
      </c>
      <c r="C452" s="51">
        <v>7.900000000000003</v>
      </c>
      <c r="D452">
        <v>2</v>
      </c>
      <c r="E452" t="s">
        <v>75</v>
      </c>
      <c r="F452" t="s">
        <v>918</v>
      </c>
      <c r="G452">
        <f>+IF(dHdcp[[#This Row],[Fecha]]=MAX(dHdcp[Fecha]),1,0)</f>
        <v>0</v>
      </c>
      <c r="H452" t="str">
        <f>+dHdcp[[#This Row],[Maximo]]&amp;":"&amp;dHdcp[[#This Row],[Nombre]]</f>
        <v>0:Alfonso Hidalgo</v>
      </c>
      <c r="I452" t="str">
        <f>+dHdcp[[#This Row],[Maximo]]&amp;":"&amp;_xlfn.XLOOKUP(dHdcp[[#This Row],[Nombre]],dJugador[Nombre],dJugador[Mote],"",0)</f>
        <v>0:Alfonso</v>
      </c>
      <c r="J452" t="str">
        <f>+IF(dHdcp[[#This Row],[Maximo]]=0,"",_xlfn.RANK.EQ(dHdcp[[#This Row],[Handicap]],dHdcp[Handicap],1))</f>
        <v/>
      </c>
      <c r="K452" t="str">
        <f>IFERROR(+_xlfn.RANK.EQ(dHdcp[[#This Row],[Ranking]],dHdcp[Ranking],1),"")</f>
        <v/>
      </c>
      <c r="M452" t="str">
        <f>+dHdcp[[#This Row],[Fecha]]&amp;":"&amp;dHdcp[[#This Row],[Nombre]]</f>
        <v>43816:Alfonso Hidalgo</v>
      </c>
      <c r="N452">
        <f>+COUNTIF(dHdcp[Columna1],dHdcp[[#This Row],[Columna1]])</f>
        <v>2</v>
      </c>
    </row>
    <row r="453" spans="1:14">
      <c r="A453" s="2">
        <v>43816</v>
      </c>
      <c r="B453" t="s">
        <v>15</v>
      </c>
      <c r="C453" s="51">
        <v>4.8</v>
      </c>
      <c r="D453">
        <v>2</v>
      </c>
      <c r="E453" t="s">
        <v>74</v>
      </c>
      <c r="F453" t="s">
        <v>919</v>
      </c>
      <c r="G453">
        <f>+IF(dHdcp[[#This Row],[Fecha]]=MAX(dHdcp[Fecha]),1,0)</f>
        <v>0</v>
      </c>
      <c r="H453" t="str">
        <f>+dHdcp[[#This Row],[Maximo]]&amp;":"&amp;dHdcp[[#This Row],[Nombre]]</f>
        <v>0:Alvaro Aguirre</v>
      </c>
      <c r="I453" t="str">
        <f>+dHdcp[[#This Row],[Maximo]]&amp;":"&amp;_xlfn.XLOOKUP(dHdcp[[#This Row],[Nombre]],dJugador[Nombre],dJugador[Mote],"",0)</f>
        <v>0:Gifu</v>
      </c>
      <c r="J453" t="str">
        <f>+IF(dHdcp[[#This Row],[Maximo]]=0,"",_xlfn.RANK.EQ(dHdcp[[#This Row],[Handicap]],dHdcp[Handicap],1))</f>
        <v/>
      </c>
      <c r="K453" t="str">
        <f>IFERROR(+_xlfn.RANK.EQ(dHdcp[[#This Row],[Ranking]],dHdcp[Ranking],1),"")</f>
        <v/>
      </c>
      <c r="M453" t="str">
        <f>+dHdcp[[#This Row],[Fecha]]&amp;":"&amp;dHdcp[[#This Row],[Nombre]]</f>
        <v>43816:Alvaro Aguirre</v>
      </c>
      <c r="N453">
        <f>+COUNTIF(dHdcp[Columna1],dHdcp[[#This Row],[Columna1]])</f>
        <v>2</v>
      </c>
    </row>
    <row r="454" spans="1:14">
      <c r="A454" s="2">
        <v>43816</v>
      </c>
      <c r="B454" t="s">
        <v>15</v>
      </c>
      <c r="C454" s="51">
        <v>4.5999999999999988</v>
      </c>
      <c r="D454">
        <v>2</v>
      </c>
      <c r="E454" t="s">
        <v>75</v>
      </c>
      <c r="F454" t="s">
        <v>920</v>
      </c>
      <c r="G454">
        <f>+IF(dHdcp[[#This Row],[Fecha]]=MAX(dHdcp[Fecha]),1,0)</f>
        <v>0</v>
      </c>
      <c r="H454" t="str">
        <f>+dHdcp[[#This Row],[Maximo]]&amp;":"&amp;dHdcp[[#This Row],[Nombre]]</f>
        <v>0:Alvaro Aguirre</v>
      </c>
      <c r="I454" t="str">
        <f>+dHdcp[[#This Row],[Maximo]]&amp;":"&amp;_xlfn.XLOOKUP(dHdcp[[#This Row],[Nombre]],dJugador[Nombre],dJugador[Mote],"",0)</f>
        <v>0:Gifu</v>
      </c>
      <c r="J454" t="str">
        <f>+IF(dHdcp[[#This Row],[Maximo]]=0,"",_xlfn.RANK.EQ(dHdcp[[#This Row],[Handicap]],dHdcp[Handicap],1))</f>
        <v/>
      </c>
      <c r="K454" t="str">
        <f>IFERROR(+_xlfn.RANK.EQ(dHdcp[[#This Row],[Ranking]],dHdcp[Ranking],1),"")</f>
        <v/>
      </c>
      <c r="M454" t="str">
        <f>+dHdcp[[#This Row],[Fecha]]&amp;":"&amp;dHdcp[[#This Row],[Nombre]]</f>
        <v>43816:Alvaro Aguirre</v>
      </c>
      <c r="N454">
        <f>+COUNTIF(dHdcp[Columna1],dHdcp[[#This Row],[Columna1]])</f>
        <v>2</v>
      </c>
    </row>
    <row r="455" spans="1:14">
      <c r="A455" s="2">
        <v>43816</v>
      </c>
      <c r="B455" t="s">
        <v>25</v>
      </c>
      <c r="C455" s="51">
        <v>13.2</v>
      </c>
      <c r="D455">
        <v>3</v>
      </c>
      <c r="E455" t="s">
        <v>74</v>
      </c>
      <c r="F455" t="s">
        <v>921</v>
      </c>
      <c r="G455">
        <f>+IF(dHdcp[[#This Row],[Fecha]]=MAX(dHdcp[Fecha]),1,0)</f>
        <v>0</v>
      </c>
      <c r="H455" t="str">
        <f>+dHdcp[[#This Row],[Maximo]]&amp;":"&amp;dHdcp[[#This Row],[Nombre]]</f>
        <v>0:Alvaro Nieto</v>
      </c>
      <c r="I455" t="str">
        <f>+dHdcp[[#This Row],[Maximo]]&amp;":"&amp;_xlfn.XLOOKUP(dHdcp[[#This Row],[Nombre]],dJugador[Nombre],dJugador[Mote],"",0)</f>
        <v>0:Alvaro</v>
      </c>
      <c r="J455" t="str">
        <f>+IF(dHdcp[[#This Row],[Maximo]]=0,"",_xlfn.RANK.EQ(dHdcp[[#This Row],[Handicap]],dHdcp[Handicap],1))</f>
        <v/>
      </c>
      <c r="K455" t="str">
        <f>IFERROR(+_xlfn.RANK.EQ(dHdcp[[#This Row],[Ranking]],dHdcp[Ranking],1),"")</f>
        <v/>
      </c>
      <c r="M455" t="str">
        <f>+dHdcp[[#This Row],[Fecha]]&amp;":"&amp;dHdcp[[#This Row],[Nombre]]</f>
        <v>43816:Alvaro Nieto</v>
      </c>
      <c r="N455">
        <f>+COUNTIF(dHdcp[Columna1],dHdcp[[#This Row],[Columna1]])</f>
        <v>2</v>
      </c>
    </row>
    <row r="456" spans="1:14">
      <c r="A456" s="2">
        <v>43816</v>
      </c>
      <c r="B456" t="s">
        <v>25</v>
      </c>
      <c r="C456" s="51">
        <v>13.2</v>
      </c>
      <c r="D456">
        <v>3</v>
      </c>
      <c r="E456" t="s">
        <v>75</v>
      </c>
      <c r="F456" t="s">
        <v>922</v>
      </c>
      <c r="G456">
        <f>+IF(dHdcp[[#This Row],[Fecha]]=MAX(dHdcp[Fecha]),1,0)</f>
        <v>0</v>
      </c>
      <c r="H456" t="str">
        <f>+dHdcp[[#This Row],[Maximo]]&amp;":"&amp;dHdcp[[#This Row],[Nombre]]</f>
        <v>0:Alvaro Nieto</v>
      </c>
      <c r="I456" t="str">
        <f>+dHdcp[[#This Row],[Maximo]]&amp;":"&amp;_xlfn.XLOOKUP(dHdcp[[#This Row],[Nombre]],dJugador[Nombre],dJugador[Mote],"",0)</f>
        <v>0:Alvaro</v>
      </c>
      <c r="J456" t="str">
        <f>+IF(dHdcp[[#This Row],[Maximo]]=0,"",_xlfn.RANK.EQ(dHdcp[[#This Row],[Handicap]],dHdcp[Handicap],1))</f>
        <v/>
      </c>
      <c r="K456" t="str">
        <f>IFERROR(+_xlfn.RANK.EQ(dHdcp[[#This Row],[Ranking]],dHdcp[Ranking],1),"")</f>
        <v/>
      </c>
      <c r="M456" t="str">
        <f>+dHdcp[[#This Row],[Fecha]]&amp;":"&amp;dHdcp[[#This Row],[Nombre]]</f>
        <v>43816:Alvaro Nieto</v>
      </c>
      <c r="N456">
        <f>+COUNTIF(dHdcp[Columna1],dHdcp[[#This Row],[Columna1]])</f>
        <v>2</v>
      </c>
    </row>
    <row r="457" spans="1:14">
      <c r="A457" s="2">
        <v>43816</v>
      </c>
      <c r="B457" t="s">
        <v>33</v>
      </c>
      <c r="C457" s="51">
        <v>7.2</v>
      </c>
      <c r="D457">
        <v>2</v>
      </c>
      <c r="E457" t="s">
        <v>74</v>
      </c>
      <c r="F457" t="s">
        <v>923</v>
      </c>
      <c r="G457">
        <f>+IF(dHdcp[[#This Row],[Fecha]]=MAX(dHdcp[Fecha]),1,0)</f>
        <v>0</v>
      </c>
      <c r="H457" t="str">
        <f>+dHdcp[[#This Row],[Maximo]]&amp;":"&amp;dHdcp[[#This Row],[Nombre]]</f>
        <v>0:Angel Hernandez</v>
      </c>
      <c r="I457" t="str">
        <f>+dHdcp[[#This Row],[Maximo]]&amp;":"&amp;_xlfn.XLOOKUP(dHdcp[[#This Row],[Nombre]],dJugador[Nombre],dJugador[Mote],"",0)</f>
        <v>0:Angel</v>
      </c>
      <c r="J457" t="str">
        <f>+IF(dHdcp[[#This Row],[Maximo]]=0,"",_xlfn.RANK.EQ(dHdcp[[#This Row],[Handicap]],dHdcp[Handicap],1))</f>
        <v/>
      </c>
      <c r="K457" t="str">
        <f>IFERROR(+_xlfn.RANK.EQ(dHdcp[[#This Row],[Ranking]],dHdcp[Ranking],1),"")</f>
        <v/>
      </c>
      <c r="M457" t="str">
        <f>+dHdcp[[#This Row],[Fecha]]&amp;":"&amp;dHdcp[[#This Row],[Nombre]]</f>
        <v>43816:Angel Hernandez</v>
      </c>
      <c r="N457">
        <f>+COUNTIF(dHdcp[Columna1],dHdcp[[#This Row],[Columna1]])</f>
        <v>2</v>
      </c>
    </row>
    <row r="458" spans="1:14">
      <c r="A458" s="2">
        <v>43816</v>
      </c>
      <c r="B458" t="s">
        <v>33</v>
      </c>
      <c r="C458" s="51">
        <v>6.2999999999999972</v>
      </c>
      <c r="D458">
        <v>2</v>
      </c>
      <c r="E458" t="s">
        <v>75</v>
      </c>
      <c r="F458" t="s">
        <v>924</v>
      </c>
      <c r="G458">
        <f>+IF(dHdcp[[#This Row],[Fecha]]=MAX(dHdcp[Fecha]),1,0)</f>
        <v>0</v>
      </c>
      <c r="H458" t="str">
        <f>+dHdcp[[#This Row],[Maximo]]&amp;":"&amp;dHdcp[[#This Row],[Nombre]]</f>
        <v>0:Angel Hernandez</v>
      </c>
      <c r="I458" t="str">
        <f>+dHdcp[[#This Row],[Maximo]]&amp;":"&amp;_xlfn.XLOOKUP(dHdcp[[#This Row],[Nombre]],dJugador[Nombre],dJugador[Mote],"",0)</f>
        <v>0:Angel</v>
      </c>
      <c r="J458" t="str">
        <f>+IF(dHdcp[[#This Row],[Maximo]]=0,"",_xlfn.RANK.EQ(dHdcp[[#This Row],[Handicap]],dHdcp[Handicap],1))</f>
        <v/>
      </c>
      <c r="K458" t="str">
        <f>IFERROR(+_xlfn.RANK.EQ(dHdcp[[#This Row],[Ranking]],dHdcp[Ranking],1),"")</f>
        <v/>
      </c>
      <c r="M458" t="str">
        <f>+dHdcp[[#This Row],[Fecha]]&amp;":"&amp;dHdcp[[#This Row],[Nombre]]</f>
        <v>43816:Angel Hernandez</v>
      </c>
      <c r="N458">
        <f>+COUNTIF(dHdcp[Columna1],dHdcp[[#This Row],[Columna1]])</f>
        <v>2</v>
      </c>
    </row>
    <row r="459" spans="1:14">
      <c r="A459" s="2">
        <v>43816</v>
      </c>
      <c r="B459" t="s">
        <v>30</v>
      </c>
      <c r="C459" s="51">
        <v>11.1</v>
      </c>
      <c r="D459">
        <v>2</v>
      </c>
      <c r="E459" t="s">
        <v>74</v>
      </c>
      <c r="F459" t="s">
        <v>925</v>
      </c>
      <c r="G459">
        <f>+IF(dHdcp[[#This Row],[Fecha]]=MAX(dHdcp[Fecha]),1,0)</f>
        <v>0</v>
      </c>
      <c r="H459" t="str">
        <f>+dHdcp[[#This Row],[Maximo]]&amp;":"&amp;dHdcp[[#This Row],[Nombre]]</f>
        <v>0:David Sequera</v>
      </c>
      <c r="I459" t="str">
        <f>+dHdcp[[#This Row],[Maximo]]&amp;":"&amp;_xlfn.XLOOKUP(dHdcp[[#This Row],[Nombre]],dJugador[Nombre],dJugador[Mote],"",0)</f>
        <v>0:David</v>
      </c>
      <c r="J459" t="str">
        <f>+IF(dHdcp[[#This Row],[Maximo]]=0,"",_xlfn.RANK.EQ(dHdcp[[#This Row],[Handicap]],dHdcp[Handicap],1))</f>
        <v/>
      </c>
      <c r="K459" t="str">
        <f>IFERROR(+_xlfn.RANK.EQ(dHdcp[[#This Row],[Ranking]],dHdcp[Ranking],1),"")</f>
        <v/>
      </c>
      <c r="M459" t="str">
        <f>+dHdcp[[#This Row],[Fecha]]&amp;":"&amp;dHdcp[[#This Row],[Nombre]]</f>
        <v>43816:David Sequera</v>
      </c>
      <c r="N459">
        <f>+COUNTIF(dHdcp[Columna1],dHdcp[[#This Row],[Columna1]])</f>
        <v>2</v>
      </c>
    </row>
    <row r="460" spans="1:14">
      <c r="A460" s="2">
        <v>43816</v>
      </c>
      <c r="B460" t="s">
        <v>30</v>
      </c>
      <c r="C460" s="51">
        <v>10.999999999999998</v>
      </c>
      <c r="D460">
        <v>2</v>
      </c>
      <c r="E460" t="s">
        <v>75</v>
      </c>
      <c r="F460" t="s">
        <v>926</v>
      </c>
      <c r="G460">
        <f>+IF(dHdcp[[#This Row],[Fecha]]=MAX(dHdcp[Fecha]),1,0)</f>
        <v>0</v>
      </c>
      <c r="H460" t="str">
        <f>+dHdcp[[#This Row],[Maximo]]&amp;":"&amp;dHdcp[[#This Row],[Nombre]]</f>
        <v>0:David Sequera</v>
      </c>
      <c r="I460" t="str">
        <f>+dHdcp[[#This Row],[Maximo]]&amp;":"&amp;_xlfn.XLOOKUP(dHdcp[[#This Row],[Nombre]],dJugador[Nombre],dJugador[Mote],"",0)</f>
        <v>0:David</v>
      </c>
      <c r="J460" t="str">
        <f>+IF(dHdcp[[#This Row],[Maximo]]=0,"",_xlfn.RANK.EQ(dHdcp[[#This Row],[Handicap]],dHdcp[Handicap],1))</f>
        <v/>
      </c>
      <c r="K460" t="str">
        <f>IFERROR(+_xlfn.RANK.EQ(dHdcp[[#This Row],[Ranking]],dHdcp[Ranking],1),"")</f>
        <v/>
      </c>
      <c r="M460" t="str">
        <f>+dHdcp[[#This Row],[Fecha]]&amp;":"&amp;dHdcp[[#This Row],[Nombre]]</f>
        <v>43816:David Sequera</v>
      </c>
      <c r="N460">
        <f>+COUNTIF(dHdcp[Columna1],dHdcp[[#This Row],[Columna1]])</f>
        <v>2</v>
      </c>
    </row>
    <row r="461" spans="1:14">
      <c r="A461" s="2">
        <v>43816</v>
      </c>
      <c r="B461" t="s">
        <v>12</v>
      </c>
      <c r="C461" s="51">
        <v>13.9</v>
      </c>
      <c r="D461">
        <v>3</v>
      </c>
      <c r="E461" t="s">
        <v>74</v>
      </c>
      <c r="F461" t="s">
        <v>927</v>
      </c>
      <c r="G461">
        <f>+IF(dHdcp[[#This Row],[Fecha]]=MAX(dHdcp[Fecha]),1,0)</f>
        <v>0</v>
      </c>
      <c r="H461" t="str">
        <f>+dHdcp[[#This Row],[Maximo]]&amp;":"&amp;dHdcp[[#This Row],[Nombre]]</f>
        <v>0:Francisco Alvarez</v>
      </c>
      <c r="I461" t="str">
        <f>+dHdcp[[#This Row],[Maximo]]&amp;":"&amp;_xlfn.XLOOKUP(dHdcp[[#This Row],[Nombre]],dJugador[Nombre],dJugador[Mote],"",0)</f>
        <v>0:Paco</v>
      </c>
      <c r="J461" t="str">
        <f>+IF(dHdcp[[#This Row],[Maximo]]=0,"",_xlfn.RANK.EQ(dHdcp[[#This Row],[Handicap]],dHdcp[Handicap],1))</f>
        <v/>
      </c>
      <c r="K461" t="str">
        <f>IFERROR(+_xlfn.RANK.EQ(dHdcp[[#This Row],[Ranking]],dHdcp[Ranking],1),"")</f>
        <v/>
      </c>
      <c r="M461" t="str">
        <f>+dHdcp[[#This Row],[Fecha]]&amp;":"&amp;dHdcp[[#This Row],[Nombre]]</f>
        <v>43816:Francisco Alvarez</v>
      </c>
      <c r="N461">
        <f>+COUNTIF(dHdcp[Columna1],dHdcp[[#This Row],[Columna1]])</f>
        <v>2</v>
      </c>
    </row>
    <row r="462" spans="1:14">
      <c r="A462" s="2">
        <v>43816</v>
      </c>
      <c r="B462" t="s">
        <v>12</v>
      </c>
      <c r="C462" s="51">
        <v>13.899999999999993</v>
      </c>
      <c r="D462">
        <v>3</v>
      </c>
      <c r="E462" t="s">
        <v>75</v>
      </c>
      <c r="F462" t="s">
        <v>928</v>
      </c>
      <c r="G462">
        <f>+IF(dHdcp[[#This Row],[Fecha]]=MAX(dHdcp[Fecha]),1,0)</f>
        <v>0</v>
      </c>
      <c r="H462" t="str">
        <f>+dHdcp[[#This Row],[Maximo]]&amp;":"&amp;dHdcp[[#This Row],[Nombre]]</f>
        <v>0:Francisco Alvarez</v>
      </c>
      <c r="I462" t="str">
        <f>+dHdcp[[#This Row],[Maximo]]&amp;":"&amp;_xlfn.XLOOKUP(dHdcp[[#This Row],[Nombre]],dJugador[Nombre],dJugador[Mote],"",0)</f>
        <v>0:Paco</v>
      </c>
      <c r="J462" t="str">
        <f>+IF(dHdcp[[#This Row],[Maximo]]=0,"",_xlfn.RANK.EQ(dHdcp[[#This Row],[Handicap]],dHdcp[Handicap],1))</f>
        <v/>
      </c>
      <c r="K462" t="str">
        <f>IFERROR(+_xlfn.RANK.EQ(dHdcp[[#This Row],[Ranking]],dHdcp[Ranking],1),"")</f>
        <v/>
      </c>
      <c r="M462" t="str">
        <f>+dHdcp[[#This Row],[Fecha]]&amp;":"&amp;dHdcp[[#This Row],[Nombre]]</f>
        <v>43816:Francisco Alvarez</v>
      </c>
      <c r="N462">
        <f>+COUNTIF(dHdcp[Columna1],dHdcp[[#This Row],[Columna1]])</f>
        <v>2</v>
      </c>
    </row>
    <row r="463" spans="1:14">
      <c r="A463" s="2">
        <v>43816</v>
      </c>
      <c r="B463" t="s">
        <v>49</v>
      </c>
      <c r="C463" s="51">
        <v>13.7</v>
      </c>
      <c r="D463">
        <v>3</v>
      </c>
      <c r="E463" t="s">
        <v>74</v>
      </c>
      <c r="F463" t="s">
        <v>929</v>
      </c>
      <c r="G463">
        <f>+IF(dHdcp[[#This Row],[Fecha]]=MAX(dHdcp[Fecha]),1,0)</f>
        <v>0</v>
      </c>
      <c r="H463" t="str">
        <f>+dHdcp[[#This Row],[Maximo]]&amp;":"&amp;dHdcp[[#This Row],[Nombre]]</f>
        <v>0:Francisco Hidalgo</v>
      </c>
      <c r="I463" t="str">
        <f>+dHdcp[[#This Row],[Maximo]]&amp;":"&amp;_xlfn.XLOOKUP(dHdcp[[#This Row],[Nombre]],dJugador[Nombre],dJugador[Mote],"",0)</f>
        <v>0:Fran</v>
      </c>
      <c r="J463" t="str">
        <f>+IF(dHdcp[[#This Row],[Maximo]]=0,"",_xlfn.RANK.EQ(dHdcp[[#This Row],[Handicap]],dHdcp[Handicap],1))</f>
        <v/>
      </c>
      <c r="K463" t="str">
        <f>IFERROR(+_xlfn.RANK.EQ(dHdcp[[#This Row],[Ranking]],dHdcp[Ranking],1),"")</f>
        <v/>
      </c>
      <c r="M463" t="str">
        <f>+dHdcp[[#This Row],[Fecha]]&amp;":"&amp;dHdcp[[#This Row],[Nombre]]</f>
        <v>43816:Francisco Hidalgo</v>
      </c>
      <c r="N463">
        <f>+COUNTIF(dHdcp[Columna1],dHdcp[[#This Row],[Columna1]])</f>
        <v>2</v>
      </c>
    </row>
    <row r="464" spans="1:14">
      <c r="A464" s="2">
        <v>43816</v>
      </c>
      <c r="B464" t="s">
        <v>49</v>
      </c>
      <c r="C464" s="51">
        <v>13.399999999999997</v>
      </c>
      <c r="D464">
        <v>3</v>
      </c>
      <c r="E464" t="s">
        <v>75</v>
      </c>
      <c r="F464" s="94" t="s">
        <v>930</v>
      </c>
      <c r="G464">
        <f>+IF(dHdcp[[#This Row],[Fecha]]=MAX(dHdcp[Fecha]),1,0)</f>
        <v>0</v>
      </c>
      <c r="H464" t="str">
        <f>+dHdcp[[#This Row],[Maximo]]&amp;":"&amp;dHdcp[[#This Row],[Nombre]]</f>
        <v>0:Francisco Hidalgo</v>
      </c>
      <c r="I464" t="str">
        <f>+dHdcp[[#This Row],[Maximo]]&amp;":"&amp;_xlfn.XLOOKUP(dHdcp[[#This Row],[Nombre]],dJugador[Nombre],dJugador[Mote],"",0)</f>
        <v>0:Fran</v>
      </c>
      <c r="J464" t="str">
        <f>+IF(dHdcp[[#This Row],[Maximo]]=0,"",_xlfn.RANK.EQ(dHdcp[[#This Row],[Handicap]],dHdcp[Handicap],1))</f>
        <v/>
      </c>
      <c r="K464" t="str">
        <f>IFERROR(+_xlfn.RANK.EQ(dHdcp[[#This Row],[Ranking]],dHdcp[Ranking],1),"")</f>
        <v/>
      </c>
      <c r="M464" t="str">
        <f>+dHdcp[[#This Row],[Fecha]]&amp;":"&amp;dHdcp[[#This Row],[Nombre]]</f>
        <v>43816:Francisco Hidalgo</v>
      </c>
      <c r="N464">
        <f>+COUNTIF(dHdcp[Columna1],dHdcp[[#This Row],[Columna1]])</f>
        <v>2</v>
      </c>
    </row>
    <row r="465" spans="1:14">
      <c r="A465" s="2">
        <v>43816</v>
      </c>
      <c r="B465" t="s">
        <v>35</v>
      </c>
      <c r="C465" s="51">
        <v>17.3</v>
      </c>
      <c r="D465">
        <v>3</v>
      </c>
      <c r="E465" t="s">
        <v>74</v>
      </c>
      <c r="F465" t="s">
        <v>931</v>
      </c>
      <c r="G465">
        <f>+IF(dHdcp[[#This Row],[Fecha]]=MAX(dHdcp[Fecha]),1,0)</f>
        <v>0</v>
      </c>
      <c r="H465" t="str">
        <f>+dHdcp[[#This Row],[Maximo]]&amp;":"&amp;dHdcp[[#This Row],[Nombre]]</f>
        <v>0:GLEZ JUAN JOSÉ</v>
      </c>
      <c r="I465" t="str">
        <f>+dHdcp[[#This Row],[Maximo]]&amp;":"&amp;_xlfn.XLOOKUP(dHdcp[[#This Row],[Nombre]],dJugador[Nombre],dJugador[Mote],"",0)</f>
        <v>0:Juanjo</v>
      </c>
      <c r="J465" t="str">
        <f>+IF(dHdcp[[#This Row],[Maximo]]=0,"",_xlfn.RANK.EQ(dHdcp[[#This Row],[Handicap]],dHdcp[Handicap],1))</f>
        <v/>
      </c>
      <c r="K465" t="str">
        <f>IFERROR(+_xlfn.RANK.EQ(dHdcp[[#This Row],[Ranking]],dHdcp[Ranking],1),"")</f>
        <v/>
      </c>
      <c r="M465" t="str">
        <f>+dHdcp[[#This Row],[Fecha]]&amp;":"&amp;dHdcp[[#This Row],[Nombre]]</f>
        <v>43816:GLEZ JUAN JOSÉ</v>
      </c>
      <c r="N465">
        <f>+COUNTIF(dHdcp[Columna1],dHdcp[[#This Row],[Columna1]])</f>
        <v>2</v>
      </c>
    </row>
    <row r="466" spans="1:14">
      <c r="A466" s="2">
        <v>43816</v>
      </c>
      <c r="B466" t="s">
        <v>35</v>
      </c>
      <c r="C466" s="51">
        <v>17.3</v>
      </c>
      <c r="D466">
        <v>3</v>
      </c>
      <c r="E466" t="s">
        <v>75</v>
      </c>
      <c r="F466" t="s">
        <v>932</v>
      </c>
      <c r="G466">
        <f>+IF(dHdcp[[#This Row],[Fecha]]=MAX(dHdcp[Fecha]),1,0)</f>
        <v>0</v>
      </c>
      <c r="H466" t="str">
        <f>+dHdcp[[#This Row],[Maximo]]&amp;":"&amp;dHdcp[[#This Row],[Nombre]]</f>
        <v>0:GLEZ JUAN JOSÉ</v>
      </c>
      <c r="I466" t="str">
        <f>+dHdcp[[#This Row],[Maximo]]&amp;":"&amp;_xlfn.XLOOKUP(dHdcp[[#This Row],[Nombre]],dJugador[Nombre],dJugador[Mote],"",0)</f>
        <v>0:Juanjo</v>
      </c>
      <c r="J466" t="str">
        <f>+IF(dHdcp[[#This Row],[Maximo]]=0,"",_xlfn.RANK.EQ(dHdcp[[#This Row],[Handicap]],dHdcp[Handicap],1))</f>
        <v/>
      </c>
      <c r="K466" t="str">
        <f>IFERROR(+_xlfn.RANK.EQ(dHdcp[[#This Row],[Ranking]],dHdcp[Ranking],1),"")</f>
        <v/>
      </c>
      <c r="M466" t="str">
        <f>+dHdcp[[#This Row],[Fecha]]&amp;":"&amp;dHdcp[[#This Row],[Nombre]]</f>
        <v>43816:GLEZ JUAN JOSÉ</v>
      </c>
      <c r="N466">
        <f>+COUNTIF(dHdcp[Columna1],dHdcp[[#This Row],[Columna1]])</f>
        <v>2</v>
      </c>
    </row>
    <row r="467" spans="1:14">
      <c r="A467" s="2">
        <v>43816</v>
      </c>
      <c r="B467" t="s">
        <v>6</v>
      </c>
      <c r="C467" s="51">
        <v>5.9</v>
      </c>
      <c r="D467">
        <v>2</v>
      </c>
      <c r="E467" t="s">
        <v>74</v>
      </c>
      <c r="F467" t="s">
        <v>933</v>
      </c>
      <c r="G467">
        <f>+IF(dHdcp[[#This Row],[Fecha]]=MAX(dHdcp[Fecha]),1,0)</f>
        <v>0</v>
      </c>
      <c r="H467" t="str">
        <f>+dHdcp[[#This Row],[Maximo]]&amp;":"&amp;dHdcp[[#This Row],[Nombre]]</f>
        <v>0:Ignacio Cadarso</v>
      </c>
      <c r="I467" t="str">
        <f>+dHdcp[[#This Row],[Maximo]]&amp;":"&amp;_xlfn.XLOOKUP(dHdcp[[#This Row],[Nombre]],dJugador[Nombre],dJugador[Mote],"",0)</f>
        <v>0:Ignacio</v>
      </c>
      <c r="J467" t="str">
        <f>+IF(dHdcp[[#This Row],[Maximo]]=0,"",_xlfn.RANK.EQ(dHdcp[[#This Row],[Handicap]],dHdcp[Handicap],1))</f>
        <v/>
      </c>
      <c r="K467" t="str">
        <f>IFERROR(+_xlfn.RANK.EQ(dHdcp[[#This Row],[Ranking]],dHdcp[Ranking],1),"")</f>
        <v/>
      </c>
      <c r="M467" t="str">
        <f>+dHdcp[[#This Row],[Fecha]]&amp;":"&amp;dHdcp[[#This Row],[Nombre]]</f>
        <v>43816:Ignacio Cadarso</v>
      </c>
      <c r="N467">
        <f>+COUNTIF(dHdcp[Columna1],dHdcp[[#This Row],[Columna1]])</f>
        <v>2</v>
      </c>
    </row>
    <row r="468" spans="1:14">
      <c r="A468" s="2">
        <v>43816</v>
      </c>
      <c r="B468" t="s">
        <v>6</v>
      </c>
      <c r="C468" s="51">
        <v>4.6999999999999957</v>
      </c>
      <c r="D468">
        <v>2</v>
      </c>
      <c r="E468" t="s">
        <v>75</v>
      </c>
      <c r="F468" t="s">
        <v>934</v>
      </c>
      <c r="G468">
        <f>+IF(dHdcp[[#This Row],[Fecha]]=MAX(dHdcp[Fecha]),1,0)</f>
        <v>0</v>
      </c>
      <c r="H468" t="str">
        <f>+dHdcp[[#This Row],[Maximo]]&amp;":"&amp;dHdcp[[#This Row],[Nombre]]</f>
        <v>0:Ignacio Cadarso</v>
      </c>
      <c r="I468" t="str">
        <f>+dHdcp[[#This Row],[Maximo]]&amp;":"&amp;_xlfn.XLOOKUP(dHdcp[[#This Row],[Nombre]],dJugador[Nombre],dJugador[Mote],"",0)</f>
        <v>0:Ignacio</v>
      </c>
      <c r="J468" t="str">
        <f>+IF(dHdcp[[#This Row],[Maximo]]=0,"",_xlfn.RANK.EQ(dHdcp[[#This Row],[Handicap]],dHdcp[Handicap],1))</f>
        <v/>
      </c>
      <c r="K468" t="str">
        <f>IFERROR(+_xlfn.RANK.EQ(dHdcp[[#This Row],[Ranking]],dHdcp[Ranking],1),"")</f>
        <v/>
      </c>
      <c r="M468" t="str">
        <f>+dHdcp[[#This Row],[Fecha]]&amp;":"&amp;dHdcp[[#This Row],[Nombre]]</f>
        <v>43816:Ignacio Cadarso</v>
      </c>
      <c r="N468">
        <f>+COUNTIF(dHdcp[Columna1],dHdcp[[#This Row],[Columna1]])</f>
        <v>2</v>
      </c>
    </row>
    <row r="469" spans="1:14">
      <c r="A469" s="2">
        <v>43816</v>
      </c>
      <c r="B469" t="s">
        <v>23</v>
      </c>
      <c r="C469" s="51">
        <v>17.8</v>
      </c>
      <c r="D469">
        <v>3</v>
      </c>
      <c r="E469" t="s">
        <v>74</v>
      </c>
      <c r="F469" t="s">
        <v>935</v>
      </c>
      <c r="G469">
        <f>+IF(dHdcp[[#This Row],[Fecha]]=MAX(dHdcp[Fecha]),1,0)</f>
        <v>0</v>
      </c>
      <c r="H469" t="str">
        <f>+dHdcp[[#This Row],[Maximo]]&amp;":"&amp;dHdcp[[#This Row],[Nombre]]</f>
        <v>0:J. Enrique Gonzalez</v>
      </c>
      <c r="I469" t="str">
        <f>+dHdcp[[#This Row],[Maximo]]&amp;":"&amp;_xlfn.XLOOKUP(dHdcp[[#This Row],[Nombre]],dJugador[Nombre],dJugador[Mote],"",0)</f>
        <v>0:Kike</v>
      </c>
      <c r="J469" t="str">
        <f>+IF(dHdcp[[#This Row],[Maximo]]=0,"",_xlfn.RANK.EQ(dHdcp[[#This Row],[Handicap]],dHdcp[Handicap],1))</f>
        <v/>
      </c>
      <c r="K469" t="str">
        <f>IFERROR(+_xlfn.RANK.EQ(dHdcp[[#This Row],[Ranking]],dHdcp[Ranking],1),"")</f>
        <v/>
      </c>
      <c r="M469" t="str">
        <f>+dHdcp[[#This Row],[Fecha]]&amp;":"&amp;dHdcp[[#This Row],[Nombre]]</f>
        <v>43816:J. Enrique Gonzalez</v>
      </c>
      <c r="N469">
        <f>+COUNTIF(dHdcp[Columna1],dHdcp[[#This Row],[Columna1]])</f>
        <v>2</v>
      </c>
    </row>
    <row r="470" spans="1:14">
      <c r="A470" s="2">
        <v>43816</v>
      </c>
      <c r="B470" t="s">
        <v>23</v>
      </c>
      <c r="C470" s="51">
        <v>17.700000000000003</v>
      </c>
      <c r="D470">
        <v>3</v>
      </c>
      <c r="E470" t="s">
        <v>75</v>
      </c>
      <c r="F470" t="s">
        <v>936</v>
      </c>
      <c r="G470">
        <f>+IF(dHdcp[[#This Row],[Fecha]]=MAX(dHdcp[Fecha]),1,0)</f>
        <v>0</v>
      </c>
      <c r="H470" t="str">
        <f>+dHdcp[[#This Row],[Maximo]]&amp;":"&amp;dHdcp[[#This Row],[Nombre]]</f>
        <v>0:J. Enrique Gonzalez</v>
      </c>
      <c r="I470" t="str">
        <f>+dHdcp[[#This Row],[Maximo]]&amp;":"&amp;_xlfn.XLOOKUP(dHdcp[[#This Row],[Nombre]],dJugador[Nombre],dJugador[Mote],"",0)</f>
        <v>0:Kike</v>
      </c>
      <c r="J470" t="str">
        <f>+IF(dHdcp[[#This Row],[Maximo]]=0,"",_xlfn.RANK.EQ(dHdcp[[#This Row],[Handicap]],dHdcp[Handicap],1))</f>
        <v/>
      </c>
      <c r="K470" t="str">
        <f>IFERROR(+_xlfn.RANK.EQ(dHdcp[[#This Row],[Ranking]],dHdcp[Ranking],1),"")</f>
        <v/>
      </c>
      <c r="M470" t="str">
        <f>+dHdcp[[#This Row],[Fecha]]&amp;":"&amp;dHdcp[[#This Row],[Nombre]]</f>
        <v>43816:J. Enrique Gonzalez</v>
      </c>
      <c r="N470">
        <f>+COUNTIF(dHdcp[Columna1],dHdcp[[#This Row],[Columna1]])</f>
        <v>2</v>
      </c>
    </row>
    <row r="471" spans="1:14">
      <c r="A471" s="2">
        <v>43816</v>
      </c>
      <c r="B471" t="s">
        <v>46</v>
      </c>
      <c r="C471" s="51">
        <v>13.8</v>
      </c>
      <c r="D471">
        <v>3</v>
      </c>
      <c r="E471" t="s">
        <v>74</v>
      </c>
      <c r="F471" t="s">
        <v>937</v>
      </c>
      <c r="G471">
        <f>+IF(dHdcp[[#This Row],[Fecha]]=MAX(dHdcp[Fecha]),1,0)</f>
        <v>0</v>
      </c>
      <c r="H471" t="str">
        <f>+dHdcp[[#This Row],[Maximo]]&amp;":"&amp;dHdcp[[#This Row],[Nombre]]</f>
        <v>0:Javier Cervera</v>
      </c>
      <c r="I471" t="str">
        <f>+dHdcp[[#This Row],[Maximo]]&amp;":"&amp;_xlfn.XLOOKUP(dHdcp[[#This Row],[Nombre]],dJugador[Nombre],dJugador[Mote],"",0)</f>
        <v>0:Virus</v>
      </c>
      <c r="J471" t="str">
        <f>+IF(dHdcp[[#This Row],[Maximo]]=0,"",_xlfn.RANK.EQ(dHdcp[[#This Row],[Handicap]],dHdcp[Handicap],1))</f>
        <v/>
      </c>
      <c r="K471" t="str">
        <f>IFERROR(+_xlfn.RANK.EQ(dHdcp[[#This Row],[Ranking]],dHdcp[Ranking],1),"")</f>
        <v/>
      </c>
      <c r="M471" t="str">
        <f>+dHdcp[[#This Row],[Fecha]]&amp;":"&amp;dHdcp[[#This Row],[Nombre]]</f>
        <v>43816:Javier Cervera</v>
      </c>
      <c r="N471">
        <f>+COUNTIF(dHdcp[Columna1],dHdcp[[#This Row],[Columna1]])</f>
        <v>2</v>
      </c>
    </row>
    <row r="472" spans="1:14">
      <c r="A472" s="2">
        <v>43816</v>
      </c>
      <c r="B472" t="s">
        <v>46</v>
      </c>
      <c r="C472" s="51">
        <v>13.599999999999996</v>
      </c>
      <c r="D472">
        <v>3</v>
      </c>
      <c r="E472" t="s">
        <v>75</v>
      </c>
      <c r="F472" t="s">
        <v>938</v>
      </c>
      <c r="G472">
        <f>+IF(dHdcp[[#This Row],[Fecha]]=MAX(dHdcp[Fecha]),1,0)</f>
        <v>0</v>
      </c>
      <c r="H472" t="str">
        <f>+dHdcp[[#This Row],[Maximo]]&amp;":"&amp;dHdcp[[#This Row],[Nombre]]</f>
        <v>0:Javier Cervera</v>
      </c>
      <c r="I472" t="str">
        <f>+dHdcp[[#This Row],[Maximo]]&amp;":"&amp;_xlfn.XLOOKUP(dHdcp[[#This Row],[Nombre]],dJugador[Nombre],dJugador[Mote],"",0)</f>
        <v>0:Virus</v>
      </c>
      <c r="J472" t="str">
        <f>+IF(dHdcp[[#This Row],[Maximo]]=0,"",_xlfn.RANK.EQ(dHdcp[[#This Row],[Handicap]],dHdcp[Handicap],1))</f>
        <v/>
      </c>
      <c r="K472" t="str">
        <f>IFERROR(+_xlfn.RANK.EQ(dHdcp[[#This Row],[Ranking]],dHdcp[Ranking],1),"")</f>
        <v/>
      </c>
      <c r="M472" t="str">
        <f>+dHdcp[[#This Row],[Fecha]]&amp;":"&amp;dHdcp[[#This Row],[Nombre]]</f>
        <v>43816:Javier Cervera</v>
      </c>
      <c r="N472">
        <f>+COUNTIF(dHdcp[Columna1],dHdcp[[#This Row],[Columna1]])</f>
        <v>2</v>
      </c>
    </row>
    <row r="473" spans="1:14">
      <c r="A473" s="2">
        <v>43816</v>
      </c>
      <c r="B473" t="s">
        <v>20</v>
      </c>
      <c r="C473" s="51">
        <v>14</v>
      </c>
      <c r="D473">
        <v>3</v>
      </c>
      <c r="E473" t="s">
        <v>74</v>
      </c>
      <c r="F473" t="s">
        <v>939</v>
      </c>
      <c r="G473">
        <f>+IF(dHdcp[[#This Row],[Fecha]]=MAX(dHdcp[Fecha]),1,0)</f>
        <v>0</v>
      </c>
      <c r="H473" t="str">
        <f>+dHdcp[[#This Row],[Maximo]]&amp;":"&amp;dHdcp[[#This Row],[Nombre]]</f>
        <v>0:Javier Gonzalez Salvador</v>
      </c>
      <c r="I473" t="str">
        <f>+dHdcp[[#This Row],[Maximo]]&amp;":"&amp;_xlfn.XLOOKUP(dHdcp[[#This Row],[Nombre]],dJugador[Nombre],dJugador[Mote],"",0)</f>
        <v>0:Javi</v>
      </c>
      <c r="J473" t="str">
        <f>+IF(dHdcp[[#This Row],[Maximo]]=0,"",_xlfn.RANK.EQ(dHdcp[[#This Row],[Handicap]],dHdcp[Handicap],1))</f>
        <v/>
      </c>
      <c r="K473" t="str">
        <f>IFERROR(+_xlfn.RANK.EQ(dHdcp[[#This Row],[Ranking]],dHdcp[Ranking],1),"")</f>
        <v/>
      </c>
      <c r="M473" t="str">
        <f>+dHdcp[[#This Row],[Fecha]]&amp;":"&amp;dHdcp[[#This Row],[Nombre]]</f>
        <v>43816:Javier Gonzalez Salvador</v>
      </c>
      <c r="N473">
        <f>+COUNTIF(dHdcp[Columna1],dHdcp[[#This Row],[Columna1]])</f>
        <v>2</v>
      </c>
    </row>
    <row r="474" spans="1:14">
      <c r="A474" s="2">
        <v>43816</v>
      </c>
      <c r="B474" t="s">
        <v>20</v>
      </c>
      <c r="C474" s="51">
        <v>10.699999999999996</v>
      </c>
      <c r="D474">
        <v>2</v>
      </c>
      <c r="E474" t="s">
        <v>75</v>
      </c>
      <c r="F474" t="s">
        <v>940</v>
      </c>
      <c r="G474">
        <f>+IF(dHdcp[[#This Row],[Fecha]]=MAX(dHdcp[Fecha]),1,0)</f>
        <v>0</v>
      </c>
      <c r="H474" t="str">
        <f>+dHdcp[[#This Row],[Maximo]]&amp;":"&amp;dHdcp[[#This Row],[Nombre]]</f>
        <v>0:Javier Gonzalez Salvador</v>
      </c>
      <c r="I474" t="str">
        <f>+dHdcp[[#This Row],[Maximo]]&amp;":"&amp;_xlfn.XLOOKUP(dHdcp[[#This Row],[Nombre]],dJugador[Nombre],dJugador[Mote],"",0)</f>
        <v>0:Javi</v>
      </c>
      <c r="J474" t="str">
        <f>+IF(dHdcp[[#This Row],[Maximo]]=0,"",_xlfn.RANK.EQ(dHdcp[[#This Row],[Handicap]],dHdcp[Handicap],1))</f>
        <v/>
      </c>
      <c r="K474" t="str">
        <f>IFERROR(+_xlfn.RANK.EQ(dHdcp[[#This Row],[Ranking]],dHdcp[Ranking],1),"")</f>
        <v/>
      </c>
      <c r="M474" t="str">
        <f>+dHdcp[[#This Row],[Fecha]]&amp;":"&amp;dHdcp[[#This Row],[Nombre]]</f>
        <v>43816:Javier Gonzalez Salvador</v>
      </c>
      <c r="N474">
        <f>+COUNTIF(dHdcp[Columna1],dHdcp[[#This Row],[Columna1]])</f>
        <v>2</v>
      </c>
    </row>
    <row r="475" spans="1:14">
      <c r="A475" s="2">
        <v>43816</v>
      </c>
      <c r="B475" t="s">
        <v>41</v>
      </c>
      <c r="C475" s="51">
        <v>21.4</v>
      </c>
      <c r="D475">
        <v>4</v>
      </c>
      <c r="E475" t="s">
        <v>74</v>
      </c>
      <c r="F475" t="s">
        <v>941</v>
      </c>
      <c r="G475">
        <f>+IF(dHdcp[[#This Row],[Fecha]]=MAX(dHdcp[Fecha]),1,0)</f>
        <v>0</v>
      </c>
      <c r="H475" t="str">
        <f>+dHdcp[[#This Row],[Maximo]]&amp;":"&amp;dHdcp[[#This Row],[Nombre]]</f>
        <v>0:Jesus Touceda</v>
      </c>
      <c r="I475" t="str">
        <f>+dHdcp[[#This Row],[Maximo]]&amp;":"&amp;_xlfn.XLOOKUP(dHdcp[[#This Row],[Nombre]],dJugador[Nombre],dJugador[Mote],"",0)</f>
        <v>0:Jesús</v>
      </c>
      <c r="J475" t="str">
        <f>+IF(dHdcp[[#This Row],[Maximo]]=0,"",_xlfn.RANK.EQ(dHdcp[[#This Row],[Handicap]],dHdcp[Handicap],1))</f>
        <v/>
      </c>
      <c r="K475" t="str">
        <f>IFERROR(+_xlfn.RANK.EQ(dHdcp[[#This Row],[Ranking]],dHdcp[Ranking],1),"")</f>
        <v/>
      </c>
      <c r="M475" t="str">
        <f>+dHdcp[[#This Row],[Fecha]]&amp;":"&amp;dHdcp[[#This Row],[Nombre]]</f>
        <v>43816:Jesus Touceda</v>
      </c>
      <c r="N475">
        <f>+COUNTIF(dHdcp[Columna1],dHdcp[[#This Row],[Columna1]])</f>
        <v>2</v>
      </c>
    </row>
    <row r="476" spans="1:14">
      <c r="A476" s="2">
        <v>43816</v>
      </c>
      <c r="B476" t="s">
        <v>41</v>
      </c>
      <c r="C476" s="51">
        <v>21.299999999999997</v>
      </c>
      <c r="D476">
        <v>4</v>
      </c>
      <c r="E476" t="s">
        <v>75</v>
      </c>
      <c r="F476" t="s">
        <v>942</v>
      </c>
      <c r="G476">
        <f>+IF(dHdcp[[#This Row],[Fecha]]=MAX(dHdcp[Fecha]),1,0)</f>
        <v>0</v>
      </c>
      <c r="H476" t="str">
        <f>+dHdcp[[#This Row],[Maximo]]&amp;":"&amp;dHdcp[[#This Row],[Nombre]]</f>
        <v>0:Jesus Touceda</v>
      </c>
      <c r="I476" t="str">
        <f>+dHdcp[[#This Row],[Maximo]]&amp;":"&amp;_xlfn.XLOOKUP(dHdcp[[#This Row],[Nombre]],dJugador[Nombre],dJugador[Mote],"",0)</f>
        <v>0:Jesús</v>
      </c>
      <c r="J476" t="str">
        <f>+IF(dHdcp[[#This Row],[Maximo]]=0,"",_xlfn.RANK.EQ(dHdcp[[#This Row],[Handicap]],dHdcp[Handicap],1))</f>
        <v/>
      </c>
      <c r="K476" t="str">
        <f>IFERROR(+_xlfn.RANK.EQ(dHdcp[[#This Row],[Ranking]],dHdcp[Ranking],1),"")</f>
        <v/>
      </c>
      <c r="M476" t="str">
        <f>+dHdcp[[#This Row],[Fecha]]&amp;":"&amp;dHdcp[[#This Row],[Nombre]]</f>
        <v>43816:Jesus Touceda</v>
      </c>
      <c r="N476">
        <f>+COUNTIF(dHdcp[Columna1],dHdcp[[#This Row],[Columna1]])</f>
        <v>2</v>
      </c>
    </row>
    <row r="477" spans="1:14">
      <c r="A477" s="2">
        <v>43816</v>
      </c>
      <c r="B477" t="s">
        <v>18</v>
      </c>
      <c r="C477" s="51">
        <v>6.9</v>
      </c>
      <c r="D477">
        <v>2</v>
      </c>
      <c r="E477" t="s">
        <v>74</v>
      </c>
      <c r="F477" t="s">
        <v>943</v>
      </c>
      <c r="G477">
        <f>+IF(dHdcp[[#This Row],[Fecha]]=MAX(dHdcp[Fecha]),1,0)</f>
        <v>0</v>
      </c>
      <c r="H477" t="str">
        <f>+dHdcp[[#This Row],[Maximo]]&amp;":"&amp;dHdcp[[#This Row],[Nombre]]</f>
        <v>0:José Pablo Guil</v>
      </c>
      <c r="I477" t="str">
        <f>+dHdcp[[#This Row],[Maximo]]&amp;":"&amp;_xlfn.XLOOKUP(dHdcp[[#This Row],[Nombre]],dJugador[Nombre],dJugador[Mote],"",0)</f>
        <v>0:JP</v>
      </c>
      <c r="J477" t="str">
        <f>+IF(dHdcp[[#This Row],[Maximo]]=0,"",_xlfn.RANK.EQ(dHdcp[[#This Row],[Handicap]],dHdcp[Handicap],1))</f>
        <v/>
      </c>
      <c r="K477" t="str">
        <f>IFERROR(+_xlfn.RANK.EQ(dHdcp[[#This Row],[Ranking]],dHdcp[Ranking],1),"")</f>
        <v/>
      </c>
      <c r="M477" t="str">
        <f>+dHdcp[[#This Row],[Fecha]]&amp;":"&amp;dHdcp[[#This Row],[Nombre]]</f>
        <v>43816:José Pablo Guil</v>
      </c>
      <c r="N477">
        <f>+COUNTIF(dHdcp[Columna1],dHdcp[[#This Row],[Columna1]])</f>
        <v>2</v>
      </c>
    </row>
    <row r="478" spans="1:14">
      <c r="A478" s="2">
        <v>43816</v>
      </c>
      <c r="B478" t="s">
        <v>18</v>
      </c>
      <c r="C478" s="51">
        <v>5.4999999999999964</v>
      </c>
      <c r="D478">
        <v>2</v>
      </c>
      <c r="E478" t="s">
        <v>75</v>
      </c>
      <c r="F478" t="s">
        <v>944</v>
      </c>
      <c r="G478">
        <f>+IF(dHdcp[[#This Row],[Fecha]]=MAX(dHdcp[Fecha]),1,0)</f>
        <v>0</v>
      </c>
      <c r="H478" t="str">
        <f>+dHdcp[[#This Row],[Maximo]]&amp;":"&amp;dHdcp[[#This Row],[Nombre]]</f>
        <v>0:José Pablo Guil</v>
      </c>
      <c r="I478" t="str">
        <f>+dHdcp[[#This Row],[Maximo]]&amp;":"&amp;_xlfn.XLOOKUP(dHdcp[[#This Row],[Nombre]],dJugador[Nombre],dJugador[Mote],"",0)</f>
        <v>0:JP</v>
      </c>
      <c r="J478" t="str">
        <f>+IF(dHdcp[[#This Row],[Maximo]]=0,"",_xlfn.RANK.EQ(dHdcp[[#This Row],[Handicap]],dHdcp[Handicap],1))</f>
        <v/>
      </c>
      <c r="K478" t="str">
        <f>IFERROR(+_xlfn.RANK.EQ(dHdcp[[#This Row],[Ranking]],dHdcp[Ranking],1),"")</f>
        <v/>
      </c>
      <c r="M478" t="str">
        <f>+dHdcp[[#This Row],[Fecha]]&amp;":"&amp;dHdcp[[#This Row],[Nombre]]</f>
        <v>43816:José Pablo Guil</v>
      </c>
      <c r="N478">
        <f>+COUNTIF(dHdcp[Columna1],dHdcp[[#This Row],[Columna1]])</f>
        <v>2</v>
      </c>
    </row>
    <row r="479" spans="1:14">
      <c r="A479" s="2">
        <v>43816</v>
      </c>
      <c r="B479" t="s">
        <v>43</v>
      </c>
      <c r="C479" s="51">
        <v>17.399999999999999</v>
      </c>
      <c r="D479">
        <v>3</v>
      </c>
      <c r="E479" t="s">
        <v>74</v>
      </c>
      <c r="F479" t="s">
        <v>945</v>
      </c>
      <c r="G479">
        <f>+IF(dHdcp[[#This Row],[Fecha]]=MAX(dHdcp[Fecha]),1,0)</f>
        <v>0</v>
      </c>
      <c r="H479" t="str">
        <f>+dHdcp[[#This Row],[Maximo]]&amp;":"&amp;dHdcp[[#This Row],[Nombre]]</f>
        <v>0:Luis Escudero</v>
      </c>
      <c r="I479" t="str">
        <f>+dHdcp[[#This Row],[Maximo]]&amp;":"&amp;_xlfn.XLOOKUP(dHdcp[[#This Row],[Nombre]],dJugador[Nombre],dJugador[Mote],"",0)</f>
        <v>0:Lucho</v>
      </c>
      <c r="J479" t="str">
        <f>+IF(dHdcp[[#This Row],[Maximo]]=0,"",_xlfn.RANK.EQ(dHdcp[[#This Row],[Handicap]],dHdcp[Handicap],1))</f>
        <v/>
      </c>
      <c r="K479" t="str">
        <f>IFERROR(+_xlfn.RANK.EQ(dHdcp[[#This Row],[Ranking]],dHdcp[Ranking],1),"")</f>
        <v/>
      </c>
      <c r="M479" t="str">
        <f>+dHdcp[[#This Row],[Fecha]]&amp;":"&amp;dHdcp[[#This Row],[Nombre]]</f>
        <v>43816:Luis Escudero</v>
      </c>
      <c r="N479">
        <f>+COUNTIF(dHdcp[Columna1],dHdcp[[#This Row],[Columna1]])</f>
        <v>2</v>
      </c>
    </row>
    <row r="480" spans="1:14">
      <c r="A480" s="2">
        <v>43816</v>
      </c>
      <c r="B480" t="s">
        <v>43</v>
      </c>
      <c r="C480" s="51">
        <v>16.900000000000002</v>
      </c>
      <c r="D480">
        <v>3</v>
      </c>
      <c r="E480" t="s">
        <v>75</v>
      </c>
      <c r="F480" t="s">
        <v>946</v>
      </c>
      <c r="G480">
        <f>+IF(dHdcp[[#This Row],[Fecha]]=MAX(dHdcp[Fecha]),1,0)</f>
        <v>0</v>
      </c>
      <c r="H480" t="str">
        <f>+dHdcp[[#This Row],[Maximo]]&amp;":"&amp;dHdcp[[#This Row],[Nombre]]</f>
        <v>0:Luis Escudero</v>
      </c>
      <c r="I480" t="str">
        <f>+dHdcp[[#This Row],[Maximo]]&amp;":"&amp;_xlfn.XLOOKUP(dHdcp[[#This Row],[Nombre]],dJugador[Nombre],dJugador[Mote],"",0)</f>
        <v>0:Lucho</v>
      </c>
      <c r="J480" t="str">
        <f>+IF(dHdcp[[#This Row],[Maximo]]=0,"",_xlfn.RANK.EQ(dHdcp[[#This Row],[Handicap]],dHdcp[Handicap],1))</f>
        <v/>
      </c>
      <c r="K480" t="str">
        <f>IFERROR(+_xlfn.RANK.EQ(dHdcp[[#This Row],[Ranking]],dHdcp[Ranking],1),"")</f>
        <v/>
      </c>
      <c r="M480" t="str">
        <f>+dHdcp[[#This Row],[Fecha]]&amp;":"&amp;dHdcp[[#This Row],[Nombre]]</f>
        <v>43816:Luis Escudero</v>
      </c>
      <c r="N480">
        <f>+COUNTIF(dHdcp[Columna1],dHdcp[[#This Row],[Columna1]])</f>
        <v>2</v>
      </c>
    </row>
    <row r="481" spans="1:14">
      <c r="A481" s="2">
        <v>43816</v>
      </c>
      <c r="B481" t="s">
        <v>51</v>
      </c>
      <c r="C481" s="51">
        <v>1.5</v>
      </c>
      <c r="D481">
        <v>1</v>
      </c>
      <c r="E481" t="s">
        <v>74</v>
      </c>
      <c r="F481" t="s">
        <v>947</v>
      </c>
      <c r="G481">
        <f>+IF(dHdcp[[#This Row],[Fecha]]=MAX(dHdcp[Fecha]),1,0)</f>
        <v>0</v>
      </c>
      <c r="H481" t="str">
        <f>+dHdcp[[#This Row],[Maximo]]&amp;":"&amp;dHdcp[[#This Row],[Nombre]]</f>
        <v>0:Miguel Diaz Del Moral</v>
      </c>
      <c r="I481" t="str">
        <f>+dHdcp[[#This Row],[Maximo]]&amp;":"&amp;_xlfn.XLOOKUP(dHdcp[[#This Row],[Nombre]],dJugador[Nombre],dJugador[Mote],"",0)</f>
        <v>0:Cañita</v>
      </c>
      <c r="J481" t="str">
        <f>+IF(dHdcp[[#This Row],[Maximo]]=0,"",_xlfn.RANK.EQ(dHdcp[[#This Row],[Handicap]],dHdcp[Handicap],1))</f>
        <v/>
      </c>
      <c r="K481" t="str">
        <f>IFERROR(+_xlfn.RANK.EQ(dHdcp[[#This Row],[Ranking]],dHdcp[Ranking],1),"")</f>
        <v/>
      </c>
      <c r="M481" t="str">
        <f>+dHdcp[[#This Row],[Fecha]]&amp;":"&amp;dHdcp[[#This Row],[Nombre]]</f>
        <v>43816:Miguel Diaz Del Moral</v>
      </c>
      <c r="N481">
        <f>+COUNTIF(dHdcp[Columna1],dHdcp[[#This Row],[Columna1]])</f>
        <v>1</v>
      </c>
    </row>
    <row r="482" spans="1:14">
      <c r="A482" s="2">
        <v>43816</v>
      </c>
      <c r="B482" t="s">
        <v>3</v>
      </c>
      <c r="C482" s="51">
        <v>6.2</v>
      </c>
      <c r="D482">
        <v>2</v>
      </c>
      <c r="E482" t="s">
        <v>74</v>
      </c>
      <c r="F482" t="s">
        <v>948</v>
      </c>
      <c r="G482">
        <f>+IF(dHdcp[[#This Row],[Fecha]]=MAX(dHdcp[Fecha]),1,0)</f>
        <v>0</v>
      </c>
      <c r="H482" t="str">
        <f>+dHdcp[[#This Row],[Maximo]]&amp;":"&amp;dHdcp[[#This Row],[Nombre]]</f>
        <v>0:Nacho Gonzalez</v>
      </c>
      <c r="I482" t="str">
        <f>+dHdcp[[#This Row],[Maximo]]&amp;":"&amp;_xlfn.XLOOKUP(dHdcp[[#This Row],[Nombre]],dJugador[Nombre],dJugador[Mote],"",0)</f>
        <v>0:Nacho</v>
      </c>
      <c r="J482" t="str">
        <f>+IF(dHdcp[[#This Row],[Maximo]]=0,"",_xlfn.RANK.EQ(dHdcp[[#This Row],[Handicap]],dHdcp[Handicap],1))</f>
        <v/>
      </c>
      <c r="K482" t="str">
        <f>IFERROR(+_xlfn.RANK.EQ(dHdcp[[#This Row],[Ranking]],dHdcp[Ranking],1),"")</f>
        <v/>
      </c>
      <c r="M482" t="str">
        <f>+dHdcp[[#This Row],[Fecha]]&amp;":"&amp;dHdcp[[#This Row],[Nombre]]</f>
        <v>43816:Nacho Gonzalez</v>
      </c>
      <c r="N482">
        <f>+COUNTIF(dHdcp[Columna1],dHdcp[[#This Row],[Columna1]])</f>
        <v>2</v>
      </c>
    </row>
    <row r="483" spans="1:14">
      <c r="A483" s="2">
        <v>43816</v>
      </c>
      <c r="B483" t="s">
        <v>3</v>
      </c>
      <c r="C483" s="51">
        <v>4.3</v>
      </c>
      <c r="D483">
        <v>1</v>
      </c>
      <c r="E483" t="s">
        <v>75</v>
      </c>
      <c r="F483" t="s">
        <v>949</v>
      </c>
      <c r="G483">
        <f>+IF(dHdcp[[#This Row],[Fecha]]=MAX(dHdcp[Fecha]),1,0)</f>
        <v>0</v>
      </c>
      <c r="H483" t="str">
        <f>+dHdcp[[#This Row],[Maximo]]&amp;":"&amp;dHdcp[[#This Row],[Nombre]]</f>
        <v>0:Nacho Gonzalez</v>
      </c>
      <c r="I483" t="str">
        <f>+dHdcp[[#This Row],[Maximo]]&amp;":"&amp;_xlfn.XLOOKUP(dHdcp[[#This Row],[Nombre]],dJugador[Nombre],dJugador[Mote],"",0)</f>
        <v>0:Nacho</v>
      </c>
      <c r="J483" t="str">
        <f>+IF(dHdcp[[#This Row],[Maximo]]=0,"",_xlfn.RANK.EQ(dHdcp[[#This Row],[Handicap]],dHdcp[Handicap],1))</f>
        <v/>
      </c>
      <c r="K483" t="str">
        <f>IFERROR(+_xlfn.RANK.EQ(dHdcp[[#This Row],[Ranking]],dHdcp[Ranking],1),"")</f>
        <v/>
      </c>
      <c r="M483" t="str">
        <f>+dHdcp[[#This Row],[Fecha]]&amp;":"&amp;dHdcp[[#This Row],[Nombre]]</f>
        <v>43816:Nacho Gonzalez</v>
      </c>
      <c r="N483">
        <f>+COUNTIF(dHdcp[Columna1],dHdcp[[#This Row],[Columna1]])</f>
        <v>2</v>
      </c>
    </row>
    <row r="484" spans="1:14">
      <c r="A484" s="2">
        <v>43816</v>
      </c>
      <c r="B484" t="s">
        <v>28</v>
      </c>
      <c r="C484" s="51">
        <v>13.4</v>
      </c>
      <c r="D484">
        <v>3</v>
      </c>
      <c r="E484" t="s">
        <v>74</v>
      </c>
      <c r="F484" t="s">
        <v>950</v>
      </c>
      <c r="G484">
        <f>+IF(dHdcp[[#This Row],[Fecha]]=MAX(dHdcp[Fecha]),1,0)</f>
        <v>0</v>
      </c>
      <c r="H484" t="str">
        <f>+dHdcp[[#This Row],[Maximo]]&amp;":"&amp;dHdcp[[#This Row],[Nombre]]</f>
        <v>0:Pablo Munitiz</v>
      </c>
      <c r="I484" t="str">
        <f>+dHdcp[[#This Row],[Maximo]]&amp;":"&amp;_xlfn.XLOOKUP(dHdcp[[#This Row],[Nombre]],dJugador[Nombre],dJugador[Mote],"",0)</f>
        <v>0:Muni</v>
      </c>
      <c r="J484" t="str">
        <f>+IF(dHdcp[[#This Row],[Maximo]]=0,"",_xlfn.RANK.EQ(dHdcp[[#This Row],[Handicap]],dHdcp[Handicap],1))</f>
        <v/>
      </c>
      <c r="K484" t="str">
        <f>IFERROR(+_xlfn.RANK.EQ(dHdcp[[#This Row],[Ranking]],dHdcp[Ranking],1),"")</f>
        <v/>
      </c>
      <c r="M484" t="str">
        <f>+dHdcp[[#This Row],[Fecha]]&amp;":"&amp;dHdcp[[#This Row],[Nombre]]</f>
        <v>43816:Pablo Munitiz</v>
      </c>
      <c r="N484">
        <f>+COUNTIF(dHdcp[Columna1],dHdcp[[#This Row],[Columna1]])</f>
        <v>2</v>
      </c>
    </row>
    <row r="485" spans="1:14">
      <c r="A485" s="2">
        <v>43816</v>
      </c>
      <c r="B485" t="s">
        <v>28</v>
      </c>
      <c r="C485" s="51">
        <v>13.4</v>
      </c>
      <c r="D485">
        <v>3</v>
      </c>
      <c r="E485" t="s">
        <v>75</v>
      </c>
      <c r="F485" t="s">
        <v>951</v>
      </c>
      <c r="G485">
        <f>+IF(dHdcp[[#This Row],[Fecha]]=MAX(dHdcp[Fecha]),1,0)</f>
        <v>0</v>
      </c>
      <c r="H485" t="str">
        <f>+dHdcp[[#This Row],[Maximo]]&amp;":"&amp;dHdcp[[#This Row],[Nombre]]</f>
        <v>0:Pablo Munitiz</v>
      </c>
      <c r="I485" t="str">
        <f>+dHdcp[[#This Row],[Maximo]]&amp;":"&amp;_xlfn.XLOOKUP(dHdcp[[#This Row],[Nombre]],dJugador[Nombre],dJugador[Mote],"",0)</f>
        <v>0:Muni</v>
      </c>
      <c r="J485" t="str">
        <f>+IF(dHdcp[[#This Row],[Maximo]]=0,"",_xlfn.RANK.EQ(dHdcp[[#This Row],[Handicap]],dHdcp[Handicap],1))</f>
        <v/>
      </c>
      <c r="K485" t="str">
        <f>IFERROR(+_xlfn.RANK.EQ(dHdcp[[#This Row],[Ranking]],dHdcp[Ranking],1),"")</f>
        <v/>
      </c>
      <c r="M485" t="str">
        <f>+dHdcp[[#This Row],[Fecha]]&amp;":"&amp;dHdcp[[#This Row],[Nombre]]</f>
        <v>43816:Pablo Munitiz</v>
      </c>
      <c r="N485">
        <f>+COUNTIF(dHdcp[Columna1],dHdcp[[#This Row],[Columna1]])</f>
        <v>2</v>
      </c>
    </row>
    <row r="486" spans="1:14">
      <c r="A486" s="2">
        <v>43854</v>
      </c>
      <c r="B486" t="s">
        <v>9</v>
      </c>
      <c r="C486" s="51">
        <v>8.6999999999999993</v>
      </c>
      <c r="D486">
        <v>2</v>
      </c>
      <c r="E486" t="s">
        <v>74</v>
      </c>
      <c r="F486" t="s">
        <v>952</v>
      </c>
      <c r="G486">
        <f>+IF(dHdcp[[#This Row],[Fecha]]=MAX(dHdcp[Fecha]),1,0)</f>
        <v>0</v>
      </c>
      <c r="H486" t="str">
        <f>+dHdcp[[#This Row],[Maximo]]&amp;":"&amp;dHdcp[[#This Row],[Nombre]]</f>
        <v>0:Alfonso Hidalgo</v>
      </c>
      <c r="I486" t="str">
        <f>+dHdcp[[#This Row],[Maximo]]&amp;":"&amp;_xlfn.XLOOKUP(dHdcp[[#This Row],[Nombre]],dJugador[Nombre],dJugador[Mote],"",0)</f>
        <v>0:Alfonso</v>
      </c>
      <c r="J486" t="str">
        <f>+IF(dHdcp[[#This Row],[Maximo]]=0,"",_xlfn.RANK.EQ(dHdcp[[#This Row],[Handicap]],dHdcp[Handicap],1))</f>
        <v/>
      </c>
      <c r="K486" t="str">
        <f>IFERROR(+_xlfn.RANK.EQ(dHdcp[[#This Row],[Ranking]],dHdcp[Ranking],1),"")</f>
        <v/>
      </c>
      <c r="M486" t="str">
        <f>+dHdcp[[#This Row],[Fecha]]&amp;":"&amp;dHdcp[[#This Row],[Nombre]]</f>
        <v>43854:Alfonso Hidalgo</v>
      </c>
      <c r="N486">
        <f>+COUNTIF(dHdcp[Columna1],dHdcp[[#This Row],[Columna1]])</f>
        <v>2</v>
      </c>
    </row>
    <row r="487" spans="1:14">
      <c r="A487" s="2">
        <v>43854</v>
      </c>
      <c r="B487" t="s">
        <v>9</v>
      </c>
      <c r="C487" s="51">
        <v>8.0000000000000036</v>
      </c>
      <c r="D487">
        <v>2</v>
      </c>
      <c r="E487" t="s">
        <v>75</v>
      </c>
      <c r="F487" t="s">
        <v>953</v>
      </c>
      <c r="G487">
        <f>+IF(dHdcp[[#This Row],[Fecha]]=MAX(dHdcp[Fecha]),1,0)</f>
        <v>0</v>
      </c>
      <c r="H487" t="str">
        <f>+dHdcp[[#This Row],[Maximo]]&amp;":"&amp;dHdcp[[#This Row],[Nombre]]</f>
        <v>0:Alfonso Hidalgo</v>
      </c>
      <c r="I487" t="str">
        <f>+dHdcp[[#This Row],[Maximo]]&amp;":"&amp;_xlfn.XLOOKUP(dHdcp[[#This Row],[Nombre]],dJugador[Nombre],dJugador[Mote],"",0)</f>
        <v>0:Alfonso</v>
      </c>
      <c r="J487" t="str">
        <f>+IF(dHdcp[[#This Row],[Maximo]]=0,"",_xlfn.RANK.EQ(dHdcp[[#This Row],[Handicap]],dHdcp[Handicap],1))</f>
        <v/>
      </c>
      <c r="K487" t="str">
        <f>IFERROR(+_xlfn.RANK.EQ(dHdcp[[#This Row],[Ranking]],dHdcp[Ranking],1),"")</f>
        <v/>
      </c>
      <c r="M487" t="str">
        <f>+dHdcp[[#This Row],[Fecha]]&amp;":"&amp;dHdcp[[#This Row],[Nombre]]</f>
        <v>43854:Alfonso Hidalgo</v>
      </c>
      <c r="N487">
        <f>+COUNTIF(dHdcp[Columna1],dHdcp[[#This Row],[Columna1]])</f>
        <v>2</v>
      </c>
    </row>
    <row r="488" spans="1:14">
      <c r="A488" s="2">
        <v>43854</v>
      </c>
      <c r="B488" t="s">
        <v>15</v>
      </c>
      <c r="C488" s="51">
        <v>4.8</v>
      </c>
      <c r="D488">
        <v>2</v>
      </c>
      <c r="E488" t="s">
        <v>74</v>
      </c>
      <c r="F488" t="s">
        <v>954</v>
      </c>
      <c r="G488">
        <f>+IF(dHdcp[[#This Row],[Fecha]]=MAX(dHdcp[Fecha]),1,0)</f>
        <v>0</v>
      </c>
      <c r="H488" t="str">
        <f>+dHdcp[[#This Row],[Maximo]]&amp;":"&amp;dHdcp[[#This Row],[Nombre]]</f>
        <v>0:Alvaro Aguirre</v>
      </c>
      <c r="I488" t="str">
        <f>+dHdcp[[#This Row],[Maximo]]&amp;":"&amp;_xlfn.XLOOKUP(dHdcp[[#This Row],[Nombre]],dJugador[Nombre],dJugador[Mote],"",0)</f>
        <v>0:Gifu</v>
      </c>
      <c r="J488" t="str">
        <f>+IF(dHdcp[[#This Row],[Maximo]]=0,"",_xlfn.RANK.EQ(dHdcp[[#This Row],[Handicap]],dHdcp[Handicap],1))</f>
        <v/>
      </c>
      <c r="K488" t="str">
        <f>IFERROR(+_xlfn.RANK.EQ(dHdcp[[#This Row],[Ranking]],dHdcp[Ranking],1),"")</f>
        <v/>
      </c>
      <c r="M488" t="str">
        <f>+dHdcp[[#This Row],[Fecha]]&amp;":"&amp;dHdcp[[#This Row],[Nombre]]</f>
        <v>43854:Alvaro Aguirre</v>
      </c>
      <c r="N488">
        <f>+COUNTIF(dHdcp[Columna1],dHdcp[[#This Row],[Columna1]])</f>
        <v>2</v>
      </c>
    </row>
    <row r="489" spans="1:14">
      <c r="A489" s="2">
        <v>43854</v>
      </c>
      <c r="B489" t="s">
        <v>15</v>
      </c>
      <c r="C489" s="51">
        <v>4.6999999999999984</v>
      </c>
      <c r="D489">
        <v>2</v>
      </c>
      <c r="E489" t="s">
        <v>75</v>
      </c>
      <c r="F489" t="s">
        <v>955</v>
      </c>
      <c r="G489">
        <f>+IF(dHdcp[[#This Row],[Fecha]]=MAX(dHdcp[Fecha]),1,0)</f>
        <v>0</v>
      </c>
      <c r="H489" t="str">
        <f>+dHdcp[[#This Row],[Maximo]]&amp;":"&amp;dHdcp[[#This Row],[Nombre]]</f>
        <v>0:Alvaro Aguirre</v>
      </c>
      <c r="I489" t="str">
        <f>+dHdcp[[#This Row],[Maximo]]&amp;":"&amp;_xlfn.XLOOKUP(dHdcp[[#This Row],[Nombre]],dJugador[Nombre],dJugador[Mote],"",0)</f>
        <v>0:Gifu</v>
      </c>
      <c r="J489" t="str">
        <f>+IF(dHdcp[[#This Row],[Maximo]]=0,"",_xlfn.RANK.EQ(dHdcp[[#This Row],[Handicap]],dHdcp[Handicap],1))</f>
        <v/>
      </c>
      <c r="K489" t="str">
        <f>IFERROR(+_xlfn.RANK.EQ(dHdcp[[#This Row],[Ranking]],dHdcp[Ranking],1),"")</f>
        <v/>
      </c>
      <c r="M489" t="str">
        <f>+dHdcp[[#This Row],[Fecha]]&amp;":"&amp;dHdcp[[#This Row],[Nombre]]</f>
        <v>43854:Alvaro Aguirre</v>
      </c>
      <c r="N489">
        <f>+COUNTIF(dHdcp[Columna1],dHdcp[[#This Row],[Columna1]])</f>
        <v>2</v>
      </c>
    </row>
    <row r="490" spans="1:14">
      <c r="A490" s="2">
        <v>43854</v>
      </c>
      <c r="B490" t="s">
        <v>25</v>
      </c>
      <c r="C490" s="51">
        <v>13.2</v>
      </c>
      <c r="D490">
        <v>3</v>
      </c>
      <c r="E490" t="s">
        <v>74</v>
      </c>
      <c r="F490" t="s">
        <v>956</v>
      </c>
      <c r="G490">
        <f>+IF(dHdcp[[#This Row],[Fecha]]=MAX(dHdcp[Fecha]),1,0)</f>
        <v>0</v>
      </c>
      <c r="H490" t="str">
        <f>+dHdcp[[#This Row],[Maximo]]&amp;":"&amp;dHdcp[[#This Row],[Nombre]]</f>
        <v>0:Alvaro Nieto</v>
      </c>
      <c r="I490" t="str">
        <f>+dHdcp[[#This Row],[Maximo]]&amp;":"&amp;_xlfn.XLOOKUP(dHdcp[[#This Row],[Nombre]],dJugador[Nombre],dJugador[Mote],"",0)</f>
        <v>0:Alvaro</v>
      </c>
      <c r="J490" t="str">
        <f>+IF(dHdcp[[#This Row],[Maximo]]=0,"",_xlfn.RANK.EQ(dHdcp[[#This Row],[Handicap]],dHdcp[Handicap],1))</f>
        <v/>
      </c>
      <c r="K490" t="str">
        <f>IFERROR(+_xlfn.RANK.EQ(dHdcp[[#This Row],[Ranking]],dHdcp[Ranking],1),"")</f>
        <v/>
      </c>
      <c r="M490" t="str">
        <f>+dHdcp[[#This Row],[Fecha]]&amp;":"&amp;dHdcp[[#This Row],[Nombre]]</f>
        <v>43854:Alvaro Nieto</v>
      </c>
      <c r="N490">
        <f>+COUNTIF(dHdcp[Columna1],dHdcp[[#This Row],[Columna1]])</f>
        <v>2</v>
      </c>
    </row>
    <row r="491" spans="1:14">
      <c r="A491" s="2">
        <v>43854</v>
      </c>
      <c r="B491" t="s">
        <v>25</v>
      </c>
      <c r="C491" s="51">
        <v>13.299999999999994</v>
      </c>
      <c r="D491">
        <v>3</v>
      </c>
      <c r="E491" t="s">
        <v>75</v>
      </c>
      <c r="F491" t="s">
        <v>957</v>
      </c>
      <c r="G491">
        <f>+IF(dHdcp[[#This Row],[Fecha]]=MAX(dHdcp[Fecha]),1,0)</f>
        <v>0</v>
      </c>
      <c r="H491" t="str">
        <f>+dHdcp[[#This Row],[Maximo]]&amp;":"&amp;dHdcp[[#This Row],[Nombre]]</f>
        <v>0:Alvaro Nieto</v>
      </c>
      <c r="I491" t="str">
        <f>+dHdcp[[#This Row],[Maximo]]&amp;":"&amp;_xlfn.XLOOKUP(dHdcp[[#This Row],[Nombre]],dJugador[Nombre],dJugador[Mote],"",0)</f>
        <v>0:Alvaro</v>
      </c>
      <c r="J491" t="str">
        <f>+IF(dHdcp[[#This Row],[Maximo]]=0,"",_xlfn.RANK.EQ(dHdcp[[#This Row],[Handicap]],dHdcp[Handicap],1))</f>
        <v/>
      </c>
      <c r="K491" t="str">
        <f>IFERROR(+_xlfn.RANK.EQ(dHdcp[[#This Row],[Ranking]],dHdcp[Ranking],1),"")</f>
        <v/>
      </c>
      <c r="M491" t="str">
        <f>+dHdcp[[#This Row],[Fecha]]&amp;":"&amp;dHdcp[[#This Row],[Nombre]]</f>
        <v>43854:Alvaro Nieto</v>
      </c>
      <c r="N491">
        <f>+COUNTIF(dHdcp[Columna1],dHdcp[[#This Row],[Columna1]])</f>
        <v>2</v>
      </c>
    </row>
    <row r="492" spans="1:14">
      <c r="A492" s="2">
        <v>43854</v>
      </c>
      <c r="B492" t="s">
        <v>33</v>
      </c>
      <c r="C492" s="51">
        <v>7.2</v>
      </c>
      <c r="D492">
        <v>2</v>
      </c>
      <c r="E492" t="s">
        <v>74</v>
      </c>
      <c r="F492" t="s">
        <v>958</v>
      </c>
      <c r="G492">
        <f>+IF(dHdcp[[#This Row],[Fecha]]=MAX(dHdcp[Fecha]),1,0)</f>
        <v>0</v>
      </c>
      <c r="H492" t="str">
        <f>+dHdcp[[#This Row],[Maximo]]&amp;":"&amp;dHdcp[[#This Row],[Nombre]]</f>
        <v>0:Angel Hernandez</v>
      </c>
      <c r="I492" t="str">
        <f>+dHdcp[[#This Row],[Maximo]]&amp;":"&amp;_xlfn.XLOOKUP(dHdcp[[#This Row],[Nombre]],dJugador[Nombre],dJugador[Mote],"",0)</f>
        <v>0:Angel</v>
      </c>
      <c r="J492" t="str">
        <f>+IF(dHdcp[[#This Row],[Maximo]]=0,"",_xlfn.RANK.EQ(dHdcp[[#This Row],[Handicap]],dHdcp[Handicap],1))</f>
        <v/>
      </c>
      <c r="K492" t="str">
        <f>IFERROR(+_xlfn.RANK.EQ(dHdcp[[#This Row],[Ranking]],dHdcp[Ranking],1),"")</f>
        <v/>
      </c>
      <c r="M492" t="str">
        <f>+dHdcp[[#This Row],[Fecha]]&amp;":"&amp;dHdcp[[#This Row],[Nombre]]</f>
        <v>43854:Angel Hernandez</v>
      </c>
      <c r="N492">
        <f>+COUNTIF(dHdcp[Columna1],dHdcp[[#This Row],[Columna1]])</f>
        <v>2</v>
      </c>
    </row>
    <row r="493" spans="1:14">
      <c r="A493" s="2">
        <v>43854</v>
      </c>
      <c r="B493" t="s">
        <v>33</v>
      </c>
      <c r="C493" s="51">
        <v>6.399999999999995</v>
      </c>
      <c r="D493">
        <v>2</v>
      </c>
      <c r="E493" t="s">
        <v>75</v>
      </c>
      <c r="F493" t="s">
        <v>959</v>
      </c>
      <c r="G493">
        <f>+IF(dHdcp[[#This Row],[Fecha]]=MAX(dHdcp[Fecha]),1,0)</f>
        <v>0</v>
      </c>
      <c r="H493" t="str">
        <f>+dHdcp[[#This Row],[Maximo]]&amp;":"&amp;dHdcp[[#This Row],[Nombre]]</f>
        <v>0:Angel Hernandez</v>
      </c>
      <c r="I493" t="str">
        <f>+dHdcp[[#This Row],[Maximo]]&amp;":"&amp;_xlfn.XLOOKUP(dHdcp[[#This Row],[Nombre]],dJugador[Nombre],dJugador[Mote],"",0)</f>
        <v>0:Angel</v>
      </c>
      <c r="J493" t="str">
        <f>+IF(dHdcp[[#This Row],[Maximo]]=0,"",_xlfn.RANK.EQ(dHdcp[[#This Row],[Handicap]],dHdcp[Handicap],1))</f>
        <v/>
      </c>
      <c r="K493" t="str">
        <f>IFERROR(+_xlfn.RANK.EQ(dHdcp[[#This Row],[Ranking]],dHdcp[Ranking],1),"")</f>
        <v/>
      </c>
      <c r="M493" t="str">
        <f>+dHdcp[[#This Row],[Fecha]]&amp;":"&amp;dHdcp[[#This Row],[Nombre]]</f>
        <v>43854:Angel Hernandez</v>
      </c>
      <c r="N493">
        <f>+COUNTIF(dHdcp[Columna1],dHdcp[[#This Row],[Columna1]])</f>
        <v>2</v>
      </c>
    </row>
    <row r="494" spans="1:14">
      <c r="A494" s="2">
        <v>43854</v>
      </c>
      <c r="B494" t="s">
        <v>30</v>
      </c>
      <c r="C494" s="51">
        <v>11.1</v>
      </c>
      <c r="D494">
        <v>2</v>
      </c>
      <c r="E494" t="s">
        <v>74</v>
      </c>
      <c r="F494" t="s">
        <v>960</v>
      </c>
      <c r="G494">
        <f>+IF(dHdcp[[#This Row],[Fecha]]=MAX(dHdcp[Fecha]),1,0)</f>
        <v>0</v>
      </c>
      <c r="H494" t="str">
        <f>+dHdcp[[#This Row],[Maximo]]&amp;":"&amp;dHdcp[[#This Row],[Nombre]]</f>
        <v>0:David Sequera</v>
      </c>
      <c r="I494" t="str">
        <f>+dHdcp[[#This Row],[Maximo]]&amp;":"&amp;_xlfn.XLOOKUP(dHdcp[[#This Row],[Nombre]],dJugador[Nombre],dJugador[Mote],"",0)</f>
        <v>0:David</v>
      </c>
      <c r="J494" t="str">
        <f>+IF(dHdcp[[#This Row],[Maximo]]=0,"",_xlfn.RANK.EQ(dHdcp[[#This Row],[Handicap]],dHdcp[Handicap],1))</f>
        <v/>
      </c>
      <c r="K494" t="str">
        <f>IFERROR(+_xlfn.RANK.EQ(dHdcp[[#This Row],[Ranking]],dHdcp[Ranking],1),"")</f>
        <v/>
      </c>
      <c r="M494" t="str">
        <f>+dHdcp[[#This Row],[Fecha]]&amp;":"&amp;dHdcp[[#This Row],[Nombre]]</f>
        <v>43854:David Sequera</v>
      </c>
      <c r="N494">
        <f>+COUNTIF(dHdcp[Columna1],dHdcp[[#This Row],[Columna1]])</f>
        <v>2</v>
      </c>
    </row>
    <row r="495" spans="1:14">
      <c r="A495" s="2">
        <v>43854</v>
      </c>
      <c r="B495" t="s">
        <v>30</v>
      </c>
      <c r="C495" s="51">
        <v>11.099999999999996</v>
      </c>
      <c r="D495">
        <v>2</v>
      </c>
      <c r="E495" t="s">
        <v>75</v>
      </c>
      <c r="F495" t="s">
        <v>961</v>
      </c>
      <c r="G495">
        <f>+IF(dHdcp[[#This Row],[Fecha]]=MAX(dHdcp[Fecha]),1,0)</f>
        <v>0</v>
      </c>
      <c r="H495" t="str">
        <f>+dHdcp[[#This Row],[Maximo]]&amp;":"&amp;dHdcp[[#This Row],[Nombre]]</f>
        <v>0:David Sequera</v>
      </c>
      <c r="I495" t="str">
        <f>+dHdcp[[#This Row],[Maximo]]&amp;":"&amp;_xlfn.XLOOKUP(dHdcp[[#This Row],[Nombre]],dJugador[Nombre],dJugador[Mote],"",0)</f>
        <v>0:David</v>
      </c>
      <c r="J495" t="str">
        <f>+IF(dHdcp[[#This Row],[Maximo]]=0,"",_xlfn.RANK.EQ(dHdcp[[#This Row],[Handicap]],dHdcp[Handicap],1))</f>
        <v/>
      </c>
      <c r="K495" t="str">
        <f>IFERROR(+_xlfn.RANK.EQ(dHdcp[[#This Row],[Ranking]],dHdcp[Ranking],1),"")</f>
        <v/>
      </c>
      <c r="M495" t="str">
        <f>+dHdcp[[#This Row],[Fecha]]&amp;":"&amp;dHdcp[[#This Row],[Nombre]]</f>
        <v>43854:David Sequera</v>
      </c>
      <c r="N495">
        <f>+COUNTIF(dHdcp[Columna1],dHdcp[[#This Row],[Columna1]])</f>
        <v>2</v>
      </c>
    </row>
    <row r="496" spans="1:14">
      <c r="A496" s="2">
        <v>43854</v>
      </c>
      <c r="B496" t="s">
        <v>12</v>
      </c>
      <c r="C496" s="51">
        <v>13.9</v>
      </c>
      <c r="D496">
        <v>3</v>
      </c>
      <c r="E496" t="s">
        <v>74</v>
      </c>
      <c r="F496" t="s">
        <v>962</v>
      </c>
      <c r="G496">
        <f>+IF(dHdcp[[#This Row],[Fecha]]=MAX(dHdcp[Fecha]),1,0)</f>
        <v>0</v>
      </c>
      <c r="H496" t="str">
        <f>+dHdcp[[#This Row],[Maximo]]&amp;":"&amp;dHdcp[[#This Row],[Nombre]]</f>
        <v>0:Francisco Alvarez</v>
      </c>
      <c r="I496" t="str">
        <f>+dHdcp[[#This Row],[Maximo]]&amp;":"&amp;_xlfn.XLOOKUP(dHdcp[[#This Row],[Nombre]],dJugador[Nombre],dJugador[Mote],"",0)</f>
        <v>0:Paco</v>
      </c>
      <c r="J496" t="str">
        <f>+IF(dHdcp[[#This Row],[Maximo]]=0,"",_xlfn.RANK.EQ(dHdcp[[#This Row],[Handicap]],dHdcp[Handicap],1))</f>
        <v/>
      </c>
      <c r="K496" t="str">
        <f>IFERROR(+_xlfn.RANK.EQ(dHdcp[[#This Row],[Ranking]],dHdcp[Ranking],1),"")</f>
        <v/>
      </c>
      <c r="M496" t="str">
        <f>+dHdcp[[#This Row],[Fecha]]&amp;":"&amp;dHdcp[[#This Row],[Nombre]]</f>
        <v>43854:Francisco Alvarez</v>
      </c>
      <c r="N496">
        <f>+COUNTIF(dHdcp[Columna1],dHdcp[[#This Row],[Columna1]])</f>
        <v>2</v>
      </c>
    </row>
    <row r="497" spans="1:14">
      <c r="A497" s="2">
        <v>43854</v>
      </c>
      <c r="B497" t="s">
        <v>12</v>
      </c>
      <c r="C497" s="51">
        <v>13.999999999999996</v>
      </c>
      <c r="D497">
        <v>3</v>
      </c>
      <c r="E497" t="s">
        <v>75</v>
      </c>
      <c r="F497" t="s">
        <v>963</v>
      </c>
      <c r="G497">
        <f>+IF(dHdcp[[#This Row],[Fecha]]=MAX(dHdcp[Fecha]),1,0)</f>
        <v>0</v>
      </c>
      <c r="H497" t="str">
        <f>+dHdcp[[#This Row],[Maximo]]&amp;":"&amp;dHdcp[[#This Row],[Nombre]]</f>
        <v>0:Francisco Alvarez</v>
      </c>
      <c r="I497" t="str">
        <f>+dHdcp[[#This Row],[Maximo]]&amp;":"&amp;_xlfn.XLOOKUP(dHdcp[[#This Row],[Nombre]],dJugador[Nombre],dJugador[Mote],"",0)</f>
        <v>0:Paco</v>
      </c>
      <c r="J497" t="str">
        <f>+IF(dHdcp[[#This Row],[Maximo]]=0,"",_xlfn.RANK.EQ(dHdcp[[#This Row],[Handicap]],dHdcp[Handicap],1))</f>
        <v/>
      </c>
      <c r="K497" t="str">
        <f>IFERROR(+_xlfn.RANK.EQ(dHdcp[[#This Row],[Ranking]],dHdcp[Ranking],1),"")</f>
        <v/>
      </c>
      <c r="M497" t="str">
        <f>+dHdcp[[#This Row],[Fecha]]&amp;":"&amp;dHdcp[[#This Row],[Nombre]]</f>
        <v>43854:Francisco Alvarez</v>
      </c>
      <c r="N497">
        <f>+COUNTIF(dHdcp[Columna1],dHdcp[[#This Row],[Columna1]])</f>
        <v>2</v>
      </c>
    </row>
    <row r="498" spans="1:14">
      <c r="A498" s="2">
        <v>43854</v>
      </c>
      <c r="B498" t="s">
        <v>49</v>
      </c>
      <c r="C498" s="51">
        <v>13.7</v>
      </c>
      <c r="D498">
        <v>3</v>
      </c>
      <c r="E498" t="s">
        <v>74</v>
      </c>
      <c r="F498" t="s">
        <v>964</v>
      </c>
      <c r="G498">
        <f>+IF(dHdcp[[#This Row],[Fecha]]=MAX(dHdcp[Fecha]),1,0)</f>
        <v>0</v>
      </c>
      <c r="H498" t="str">
        <f>+dHdcp[[#This Row],[Maximo]]&amp;":"&amp;dHdcp[[#This Row],[Nombre]]</f>
        <v>0:Francisco Hidalgo</v>
      </c>
      <c r="I498" t="str">
        <f>+dHdcp[[#This Row],[Maximo]]&amp;":"&amp;_xlfn.XLOOKUP(dHdcp[[#This Row],[Nombre]],dJugador[Nombre],dJugador[Mote],"",0)</f>
        <v>0:Fran</v>
      </c>
      <c r="J498" t="str">
        <f>+IF(dHdcp[[#This Row],[Maximo]]=0,"",_xlfn.RANK.EQ(dHdcp[[#This Row],[Handicap]],dHdcp[Handicap],1))</f>
        <v/>
      </c>
      <c r="K498" t="str">
        <f>IFERROR(+_xlfn.RANK.EQ(dHdcp[[#This Row],[Ranking]],dHdcp[Ranking],1),"")</f>
        <v/>
      </c>
      <c r="M498" t="str">
        <f>+dHdcp[[#This Row],[Fecha]]&amp;":"&amp;dHdcp[[#This Row],[Nombre]]</f>
        <v>43854:Francisco Hidalgo</v>
      </c>
      <c r="N498">
        <f>+COUNTIF(dHdcp[Columna1],dHdcp[[#This Row],[Columna1]])</f>
        <v>2</v>
      </c>
    </row>
    <row r="499" spans="1:14">
      <c r="A499" s="2">
        <v>43854</v>
      </c>
      <c r="B499" t="s">
        <v>49</v>
      </c>
      <c r="C499" s="51">
        <v>13.499999999999993</v>
      </c>
      <c r="D499">
        <v>3</v>
      </c>
      <c r="E499" t="s">
        <v>75</v>
      </c>
      <c r="F499" t="s">
        <v>965</v>
      </c>
      <c r="G499">
        <f>+IF(dHdcp[[#This Row],[Fecha]]=MAX(dHdcp[Fecha]),1,0)</f>
        <v>0</v>
      </c>
      <c r="H499" t="str">
        <f>+dHdcp[[#This Row],[Maximo]]&amp;":"&amp;dHdcp[[#This Row],[Nombre]]</f>
        <v>0:Francisco Hidalgo</v>
      </c>
      <c r="I499" t="str">
        <f>+dHdcp[[#This Row],[Maximo]]&amp;":"&amp;_xlfn.XLOOKUP(dHdcp[[#This Row],[Nombre]],dJugador[Nombre],dJugador[Mote],"",0)</f>
        <v>0:Fran</v>
      </c>
      <c r="J499" t="str">
        <f>+IF(dHdcp[[#This Row],[Maximo]]=0,"",_xlfn.RANK.EQ(dHdcp[[#This Row],[Handicap]],dHdcp[Handicap],1))</f>
        <v/>
      </c>
      <c r="K499" t="str">
        <f>IFERROR(+_xlfn.RANK.EQ(dHdcp[[#This Row],[Ranking]],dHdcp[Ranking],1),"")</f>
        <v/>
      </c>
      <c r="M499" t="str">
        <f>+dHdcp[[#This Row],[Fecha]]&amp;":"&amp;dHdcp[[#This Row],[Nombre]]</f>
        <v>43854:Francisco Hidalgo</v>
      </c>
      <c r="N499">
        <f>+COUNTIF(dHdcp[Columna1],dHdcp[[#This Row],[Columna1]])</f>
        <v>2</v>
      </c>
    </row>
    <row r="500" spans="1:14">
      <c r="A500" s="2">
        <v>43854</v>
      </c>
      <c r="B500" t="s">
        <v>35</v>
      </c>
      <c r="C500" s="51">
        <v>17.3</v>
      </c>
      <c r="D500">
        <v>3</v>
      </c>
      <c r="E500" t="s">
        <v>74</v>
      </c>
      <c r="F500" t="s">
        <v>966</v>
      </c>
      <c r="G500">
        <f>+IF(dHdcp[[#This Row],[Fecha]]=MAX(dHdcp[Fecha]),1,0)</f>
        <v>0</v>
      </c>
      <c r="H500" t="str">
        <f>+dHdcp[[#This Row],[Maximo]]&amp;":"&amp;dHdcp[[#This Row],[Nombre]]</f>
        <v>0:GLEZ JUAN JOSÉ</v>
      </c>
      <c r="I500" t="str">
        <f>+dHdcp[[#This Row],[Maximo]]&amp;":"&amp;_xlfn.XLOOKUP(dHdcp[[#This Row],[Nombre]],dJugador[Nombre],dJugador[Mote],"",0)</f>
        <v>0:Juanjo</v>
      </c>
      <c r="J500" t="str">
        <f>+IF(dHdcp[[#This Row],[Maximo]]=0,"",_xlfn.RANK.EQ(dHdcp[[#This Row],[Handicap]],dHdcp[Handicap],1))</f>
        <v/>
      </c>
      <c r="K500" t="str">
        <f>IFERROR(+_xlfn.RANK.EQ(dHdcp[[#This Row],[Ranking]],dHdcp[Ranking],1),"")</f>
        <v/>
      </c>
      <c r="M500" t="str">
        <f>+dHdcp[[#This Row],[Fecha]]&amp;":"&amp;dHdcp[[#This Row],[Nombre]]</f>
        <v>43854:GLEZ JUAN JOSÉ</v>
      </c>
      <c r="N500">
        <f>+COUNTIF(dHdcp[Columna1],dHdcp[[#This Row],[Columna1]])</f>
        <v>2</v>
      </c>
    </row>
    <row r="501" spans="1:14">
      <c r="A501" s="2">
        <v>43854</v>
      </c>
      <c r="B501" t="s">
        <v>35</v>
      </c>
      <c r="C501" s="51">
        <v>17.399999999999999</v>
      </c>
      <c r="D501">
        <v>3</v>
      </c>
      <c r="E501" t="s">
        <v>75</v>
      </c>
      <c r="F501" t="s">
        <v>967</v>
      </c>
      <c r="G501">
        <f>+IF(dHdcp[[#This Row],[Fecha]]=MAX(dHdcp[Fecha]),1,0)</f>
        <v>0</v>
      </c>
      <c r="H501" t="str">
        <f>+dHdcp[[#This Row],[Maximo]]&amp;":"&amp;dHdcp[[#This Row],[Nombre]]</f>
        <v>0:GLEZ JUAN JOSÉ</v>
      </c>
      <c r="I501" t="str">
        <f>+dHdcp[[#This Row],[Maximo]]&amp;":"&amp;_xlfn.XLOOKUP(dHdcp[[#This Row],[Nombre]],dJugador[Nombre],dJugador[Mote],"",0)</f>
        <v>0:Juanjo</v>
      </c>
      <c r="J501" t="str">
        <f>+IF(dHdcp[[#This Row],[Maximo]]=0,"",_xlfn.RANK.EQ(dHdcp[[#This Row],[Handicap]],dHdcp[Handicap],1))</f>
        <v/>
      </c>
      <c r="K501" t="str">
        <f>IFERROR(+_xlfn.RANK.EQ(dHdcp[[#This Row],[Ranking]],dHdcp[Ranking],1),"")</f>
        <v/>
      </c>
      <c r="M501" t="str">
        <f>+dHdcp[[#This Row],[Fecha]]&amp;":"&amp;dHdcp[[#This Row],[Nombre]]</f>
        <v>43854:GLEZ JUAN JOSÉ</v>
      </c>
      <c r="N501">
        <f>+COUNTIF(dHdcp[Columna1],dHdcp[[#This Row],[Columna1]])</f>
        <v>2</v>
      </c>
    </row>
    <row r="502" spans="1:14">
      <c r="A502" s="2">
        <v>43854</v>
      </c>
      <c r="B502" t="s">
        <v>6</v>
      </c>
      <c r="C502" s="51">
        <v>5.9</v>
      </c>
      <c r="D502">
        <v>2</v>
      </c>
      <c r="E502" t="s">
        <v>74</v>
      </c>
      <c r="F502" t="s">
        <v>968</v>
      </c>
      <c r="G502">
        <f>+IF(dHdcp[[#This Row],[Fecha]]=MAX(dHdcp[Fecha]),1,0)</f>
        <v>0</v>
      </c>
      <c r="H502" t="str">
        <f>+dHdcp[[#This Row],[Maximo]]&amp;":"&amp;dHdcp[[#This Row],[Nombre]]</f>
        <v>0:Ignacio Cadarso</v>
      </c>
      <c r="I502" t="str">
        <f>+dHdcp[[#This Row],[Maximo]]&amp;":"&amp;_xlfn.XLOOKUP(dHdcp[[#This Row],[Nombre]],dJugador[Nombre],dJugador[Mote],"",0)</f>
        <v>0:Ignacio</v>
      </c>
      <c r="J502" t="str">
        <f>+IF(dHdcp[[#This Row],[Maximo]]=0,"",_xlfn.RANK.EQ(dHdcp[[#This Row],[Handicap]],dHdcp[Handicap],1))</f>
        <v/>
      </c>
      <c r="K502" t="str">
        <f>IFERROR(+_xlfn.RANK.EQ(dHdcp[[#This Row],[Ranking]],dHdcp[Ranking],1),"")</f>
        <v/>
      </c>
      <c r="M502" t="str">
        <f>+dHdcp[[#This Row],[Fecha]]&amp;":"&amp;dHdcp[[#This Row],[Nombre]]</f>
        <v>43854:Ignacio Cadarso</v>
      </c>
      <c r="N502">
        <f>+COUNTIF(dHdcp[Columna1],dHdcp[[#This Row],[Columna1]])</f>
        <v>2</v>
      </c>
    </row>
    <row r="503" spans="1:14">
      <c r="A503" s="2">
        <v>43854</v>
      </c>
      <c r="B503" t="s">
        <v>6</v>
      </c>
      <c r="C503" s="51">
        <v>4.7999999999999972</v>
      </c>
      <c r="D503">
        <v>2</v>
      </c>
      <c r="E503" t="s">
        <v>75</v>
      </c>
      <c r="F503" t="s">
        <v>969</v>
      </c>
      <c r="G503">
        <f>+IF(dHdcp[[#This Row],[Fecha]]=MAX(dHdcp[Fecha]),1,0)</f>
        <v>0</v>
      </c>
      <c r="H503" t="str">
        <f>+dHdcp[[#This Row],[Maximo]]&amp;":"&amp;dHdcp[[#This Row],[Nombre]]</f>
        <v>0:Ignacio Cadarso</v>
      </c>
      <c r="I503" t="str">
        <f>+dHdcp[[#This Row],[Maximo]]&amp;":"&amp;_xlfn.XLOOKUP(dHdcp[[#This Row],[Nombre]],dJugador[Nombre],dJugador[Mote],"",0)</f>
        <v>0:Ignacio</v>
      </c>
      <c r="J503" t="str">
        <f>+IF(dHdcp[[#This Row],[Maximo]]=0,"",_xlfn.RANK.EQ(dHdcp[[#This Row],[Handicap]],dHdcp[Handicap],1))</f>
        <v/>
      </c>
      <c r="K503" t="str">
        <f>IFERROR(+_xlfn.RANK.EQ(dHdcp[[#This Row],[Ranking]],dHdcp[Ranking],1),"")</f>
        <v/>
      </c>
      <c r="M503" t="str">
        <f>+dHdcp[[#This Row],[Fecha]]&amp;":"&amp;dHdcp[[#This Row],[Nombre]]</f>
        <v>43854:Ignacio Cadarso</v>
      </c>
      <c r="N503">
        <f>+COUNTIF(dHdcp[Columna1],dHdcp[[#This Row],[Columna1]])</f>
        <v>2</v>
      </c>
    </row>
    <row r="504" spans="1:14">
      <c r="A504" s="2">
        <v>43854</v>
      </c>
      <c r="B504" t="s">
        <v>23</v>
      </c>
      <c r="C504" s="51">
        <v>17.8</v>
      </c>
      <c r="D504">
        <v>3</v>
      </c>
      <c r="E504" t="s">
        <v>74</v>
      </c>
      <c r="F504" t="s">
        <v>970</v>
      </c>
      <c r="G504">
        <f>+IF(dHdcp[[#This Row],[Fecha]]=MAX(dHdcp[Fecha]),1,0)</f>
        <v>0</v>
      </c>
      <c r="H504" t="str">
        <f>+dHdcp[[#This Row],[Maximo]]&amp;":"&amp;dHdcp[[#This Row],[Nombre]]</f>
        <v>0:J. Enrique Gonzalez</v>
      </c>
      <c r="I504" t="str">
        <f>+dHdcp[[#This Row],[Maximo]]&amp;":"&amp;_xlfn.XLOOKUP(dHdcp[[#This Row],[Nombre]],dJugador[Nombre],dJugador[Mote],"",0)</f>
        <v>0:Kike</v>
      </c>
      <c r="J504" t="str">
        <f>+IF(dHdcp[[#This Row],[Maximo]]=0,"",_xlfn.RANK.EQ(dHdcp[[#This Row],[Handicap]],dHdcp[Handicap],1))</f>
        <v/>
      </c>
      <c r="K504" t="str">
        <f>IFERROR(+_xlfn.RANK.EQ(dHdcp[[#This Row],[Ranking]],dHdcp[Ranking],1),"")</f>
        <v/>
      </c>
      <c r="M504" t="str">
        <f>+dHdcp[[#This Row],[Fecha]]&amp;":"&amp;dHdcp[[#This Row],[Nombre]]</f>
        <v>43854:J. Enrique Gonzalez</v>
      </c>
      <c r="N504">
        <f>+COUNTIF(dHdcp[Columna1],dHdcp[[#This Row],[Columna1]])</f>
        <v>2</v>
      </c>
    </row>
    <row r="505" spans="1:14">
      <c r="A505" s="2">
        <v>43854</v>
      </c>
      <c r="B505" t="s">
        <v>23</v>
      </c>
      <c r="C505" s="51">
        <v>17.800000000000011</v>
      </c>
      <c r="D505">
        <v>3</v>
      </c>
      <c r="E505" t="s">
        <v>75</v>
      </c>
      <c r="F505" t="s">
        <v>971</v>
      </c>
      <c r="G505">
        <f>+IF(dHdcp[[#This Row],[Fecha]]=MAX(dHdcp[Fecha]),1,0)</f>
        <v>0</v>
      </c>
      <c r="H505" t="str">
        <f>+dHdcp[[#This Row],[Maximo]]&amp;":"&amp;dHdcp[[#This Row],[Nombre]]</f>
        <v>0:J. Enrique Gonzalez</v>
      </c>
      <c r="I505" t="str">
        <f>+dHdcp[[#This Row],[Maximo]]&amp;":"&amp;_xlfn.XLOOKUP(dHdcp[[#This Row],[Nombre]],dJugador[Nombre],dJugador[Mote],"",0)</f>
        <v>0:Kike</v>
      </c>
      <c r="J505" t="str">
        <f>+IF(dHdcp[[#This Row],[Maximo]]=0,"",_xlfn.RANK.EQ(dHdcp[[#This Row],[Handicap]],dHdcp[Handicap],1))</f>
        <v/>
      </c>
      <c r="K505" t="str">
        <f>IFERROR(+_xlfn.RANK.EQ(dHdcp[[#This Row],[Ranking]],dHdcp[Ranking],1),"")</f>
        <v/>
      </c>
      <c r="M505" t="str">
        <f>+dHdcp[[#This Row],[Fecha]]&amp;":"&amp;dHdcp[[#This Row],[Nombre]]</f>
        <v>43854:J. Enrique Gonzalez</v>
      </c>
      <c r="N505">
        <f>+COUNTIF(dHdcp[Columna1],dHdcp[[#This Row],[Columna1]])</f>
        <v>2</v>
      </c>
    </row>
    <row r="506" spans="1:14">
      <c r="A506" s="2">
        <v>43854</v>
      </c>
      <c r="B506" t="s">
        <v>46</v>
      </c>
      <c r="C506" s="51">
        <v>13.8</v>
      </c>
      <c r="D506">
        <v>3</v>
      </c>
      <c r="E506" t="s">
        <v>74</v>
      </c>
      <c r="F506" t="s">
        <v>972</v>
      </c>
      <c r="G506">
        <f>+IF(dHdcp[[#This Row],[Fecha]]=MAX(dHdcp[Fecha]),1,0)</f>
        <v>0</v>
      </c>
      <c r="H506" t="str">
        <f>+dHdcp[[#This Row],[Maximo]]&amp;":"&amp;dHdcp[[#This Row],[Nombre]]</f>
        <v>0:Javier Cervera</v>
      </c>
      <c r="I506" t="str">
        <f>+dHdcp[[#This Row],[Maximo]]&amp;":"&amp;_xlfn.XLOOKUP(dHdcp[[#This Row],[Nombre]],dJugador[Nombre],dJugador[Mote],"",0)</f>
        <v>0:Virus</v>
      </c>
      <c r="J506" t="str">
        <f>+IF(dHdcp[[#This Row],[Maximo]]=0,"",_xlfn.RANK.EQ(dHdcp[[#This Row],[Handicap]],dHdcp[Handicap],1))</f>
        <v/>
      </c>
      <c r="K506" t="str">
        <f>IFERROR(+_xlfn.RANK.EQ(dHdcp[[#This Row],[Ranking]],dHdcp[Ranking],1),"")</f>
        <v/>
      </c>
      <c r="M506" t="str">
        <f>+dHdcp[[#This Row],[Fecha]]&amp;":"&amp;dHdcp[[#This Row],[Nombre]]</f>
        <v>43854:Javier Cervera</v>
      </c>
      <c r="N506">
        <f>+COUNTIF(dHdcp[Columna1],dHdcp[[#This Row],[Columna1]])</f>
        <v>2</v>
      </c>
    </row>
    <row r="507" spans="1:14">
      <c r="A507" s="2">
        <v>43854</v>
      </c>
      <c r="B507" t="s">
        <v>46</v>
      </c>
      <c r="C507" s="51">
        <v>13.699999999999992</v>
      </c>
      <c r="D507">
        <v>3</v>
      </c>
      <c r="E507" t="s">
        <v>75</v>
      </c>
      <c r="F507" t="s">
        <v>973</v>
      </c>
      <c r="G507">
        <f>+IF(dHdcp[[#This Row],[Fecha]]=MAX(dHdcp[Fecha]),1,0)</f>
        <v>0</v>
      </c>
      <c r="H507" t="str">
        <f>+dHdcp[[#This Row],[Maximo]]&amp;":"&amp;dHdcp[[#This Row],[Nombre]]</f>
        <v>0:Javier Cervera</v>
      </c>
      <c r="I507" t="str">
        <f>+dHdcp[[#This Row],[Maximo]]&amp;":"&amp;_xlfn.XLOOKUP(dHdcp[[#This Row],[Nombre]],dJugador[Nombre],dJugador[Mote],"",0)</f>
        <v>0:Virus</v>
      </c>
      <c r="J507" t="str">
        <f>+IF(dHdcp[[#This Row],[Maximo]]=0,"",_xlfn.RANK.EQ(dHdcp[[#This Row],[Handicap]],dHdcp[Handicap],1))</f>
        <v/>
      </c>
      <c r="K507" t="str">
        <f>IFERROR(+_xlfn.RANK.EQ(dHdcp[[#This Row],[Ranking]],dHdcp[Ranking],1),"")</f>
        <v/>
      </c>
      <c r="M507" t="str">
        <f>+dHdcp[[#This Row],[Fecha]]&amp;":"&amp;dHdcp[[#This Row],[Nombre]]</f>
        <v>43854:Javier Cervera</v>
      </c>
      <c r="N507">
        <f>+COUNTIF(dHdcp[Columna1],dHdcp[[#This Row],[Columna1]])</f>
        <v>2</v>
      </c>
    </row>
    <row r="508" spans="1:14">
      <c r="A508" s="2">
        <v>43854</v>
      </c>
      <c r="B508" t="s">
        <v>20</v>
      </c>
      <c r="C508" s="51">
        <v>14</v>
      </c>
      <c r="D508">
        <v>3</v>
      </c>
      <c r="E508" t="s">
        <v>74</v>
      </c>
      <c r="F508" t="s">
        <v>974</v>
      </c>
      <c r="G508">
        <f>+IF(dHdcp[[#This Row],[Fecha]]=MAX(dHdcp[Fecha]),1,0)</f>
        <v>0</v>
      </c>
      <c r="H508" t="str">
        <f>+dHdcp[[#This Row],[Maximo]]&amp;":"&amp;dHdcp[[#This Row],[Nombre]]</f>
        <v>0:Javier Gonzalez Salvador</v>
      </c>
      <c r="I508" t="str">
        <f>+dHdcp[[#This Row],[Maximo]]&amp;":"&amp;_xlfn.XLOOKUP(dHdcp[[#This Row],[Nombre]],dJugador[Nombre],dJugador[Mote],"",0)</f>
        <v>0:Javi</v>
      </c>
      <c r="J508" t="str">
        <f>+IF(dHdcp[[#This Row],[Maximo]]=0,"",_xlfn.RANK.EQ(dHdcp[[#This Row],[Handicap]],dHdcp[Handicap],1))</f>
        <v/>
      </c>
      <c r="K508" t="str">
        <f>IFERROR(+_xlfn.RANK.EQ(dHdcp[[#This Row],[Ranking]],dHdcp[Ranking],1),"")</f>
        <v/>
      </c>
      <c r="M508" t="str">
        <f>+dHdcp[[#This Row],[Fecha]]&amp;":"&amp;dHdcp[[#This Row],[Nombre]]</f>
        <v>43854:Javier Gonzalez Salvador</v>
      </c>
      <c r="N508">
        <f>+COUNTIF(dHdcp[Columna1],dHdcp[[#This Row],[Columna1]])</f>
        <v>2</v>
      </c>
    </row>
    <row r="509" spans="1:14">
      <c r="A509" s="2">
        <v>43854</v>
      </c>
      <c r="B509" t="s">
        <v>20</v>
      </c>
      <c r="C509" s="51">
        <v>10.799999999999999</v>
      </c>
      <c r="D509">
        <v>2</v>
      </c>
      <c r="E509" t="s">
        <v>75</v>
      </c>
      <c r="F509" t="s">
        <v>975</v>
      </c>
      <c r="G509">
        <f>+IF(dHdcp[[#This Row],[Fecha]]=MAX(dHdcp[Fecha]),1,0)</f>
        <v>0</v>
      </c>
      <c r="H509" t="str">
        <f>+dHdcp[[#This Row],[Maximo]]&amp;":"&amp;dHdcp[[#This Row],[Nombre]]</f>
        <v>0:Javier Gonzalez Salvador</v>
      </c>
      <c r="I509" t="str">
        <f>+dHdcp[[#This Row],[Maximo]]&amp;":"&amp;_xlfn.XLOOKUP(dHdcp[[#This Row],[Nombre]],dJugador[Nombre],dJugador[Mote],"",0)</f>
        <v>0:Javi</v>
      </c>
      <c r="J509" t="str">
        <f>+IF(dHdcp[[#This Row],[Maximo]]=0,"",_xlfn.RANK.EQ(dHdcp[[#This Row],[Handicap]],dHdcp[Handicap],1))</f>
        <v/>
      </c>
      <c r="K509" t="str">
        <f>IFERROR(+_xlfn.RANK.EQ(dHdcp[[#This Row],[Ranking]],dHdcp[Ranking],1),"")</f>
        <v/>
      </c>
      <c r="M509" t="str">
        <f>+dHdcp[[#This Row],[Fecha]]&amp;":"&amp;dHdcp[[#This Row],[Nombre]]</f>
        <v>43854:Javier Gonzalez Salvador</v>
      </c>
      <c r="N509">
        <f>+COUNTIF(dHdcp[Columna1],dHdcp[[#This Row],[Columna1]])</f>
        <v>2</v>
      </c>
    </row>
    <row r="510" spans="1:14">
      <c r="A510" s="2">
        <v>43854</v>
      </c>
      <c r="B510" t="s">
        <v>41</v>
      </c>
      <c r="C510" s="51">
        <v>21.4</v>
      </c>
      <c r="D510">
        <v>4</v>
      </c>
      <c r="E510" t="s">
        <v>74</v>
      </c>
      <c r="F510" t="s">
        <v>976</v>
      </c>
      <c r="G510">
        <f>+IF(dHdcp[[#This Row],[Fecha]]=MAX(dHdcp[Fecha]),1,0)</f>
        <v>0</v>
      </c>
      <c r="H510" t="str">
        <f>+dHdcp[[#This Row],[Maximo]]&amp;":"&amp;dHdcp[[#This Row],[Nombre]]</f>
        <v>0:Jesus Touceda</v>
      </c>
      <c r="I510" t="str">
        <f>+dHdcp[[#This Row],[Maximo]]&amp;":"&amp;_xlfn.XLOOKUP(dHdcp[[#This Row],[Nombre]],dJugador[Nombre],dJugador[Mote],"",0)</f>
        <v>0:Jesús</v>
      </c>
      <c r="J510" t="str">
        <f>+IF(dHdcp[[#This Row],[Maximo]]=0,"",_xlfn.RANK.EQ(dHdcp[[#This Row],[Handicap]],dHdcp[Handicap],1))</f>
        <v/>
      </c>
      <c r="K510" t="str">
        <f>IFERROR(+_xlfn.RANK.EQ(dHdcp[[#This Row],[Ranking]],dHdcp[Ranking],1),"")</f>
        <v/>
      </c>
      <c r="M510" t="str">
        <f>+dHdcp[[#This Row],[Fecha]]&amp;":"&amp;dHdcp[[#This Row],[Nombre]]</f>
        <v>43854:Jesus Touceda</v>
      </c>
      <c r="N510">
        <f>+COUNTIF(dHdcp[Columna1],dHdcp[[#This Row],[Columna1]])</f>
        <v>2</v>
      </c>
    </row>
    <row r="511" spans="1:14">
      <c r="A511" s="2">
        <v>43854</v>
      </c>
      <c r="B511" t="s">
        <v>41</v>
      </c>
      <c r="C511" s="51">
        <v>21.400000000000002</v>
      </c>
      <c r="D511">
        <v>4</v>
      </c>
      <c r="E511" t="s">
        <v>75</v>
      </c>
      <c r="F511" t="s">
        <v>977</v>
      </c>
      <c r="G511">
        <f>+IF(dHdcp[[#This Row],[Fecha]]=MAX(dHdcp[Fecha]),1,0)</f>
        <v>0</v>
      </c>
      <c r="H511" t="str">
        <f>+dHdcp[[#This Row],[Maximo]]&amp;":"&amp;dHdcp[[#This Row],[Nombre]]</f>
        <v>0:Jesus Touceda</v>
      </c>
      <c r="I511" t="str">
        <f>+dHdcp[[#This Row],[Maximo]]&amp;":"&amp;_xlfn.XLOOKUP(dHdcp[[#This Row],[Nombre]],dJugador[Nombre],dJugador[Mote],"",0)</f>
        <v>0:Jesús</v>
      </c>
      <c r="J511" t="str">
        <f>+IF(dHdcp[[#This Row],[Maximo]]=0,"",_xlfn.RANK.EQ(dHdcp[[#This Row],[Handicap]],dHdcp[Handicap],1))</f>
        <v/>
      </c>
      <c r="K511" t="str">
        <f>IFERROR(+_xlfn.RANK.EQ(dHdcp[[#This Row],[Ranking]],dHdcp[Ranking],1),"")</f>
        <v/>
      </c>
      <c r="M511" t="str">
        <f>+dHdcp[[#This Row],[Fecha]]&amp;":"&amp;dHdcp[[#This Row],[Nombre]]</f>
        <v>43854:Jesus Touceda</v>
      </c>
      <c r="N511">
        <f>+COUNTIF(dHdcp[Columna1],dHdcp[[#This Row],[Columna1]])</f>
        <v>2</v>
      </c>
    </row>
    <row r="512" spans="1:14">
      <c r="A512" s="2">
        <v>43854</v>
      </c>
      <c r="B512" t="s">
        <v>18</v>
      </c>
      <c r="C512" s="51">
        <v>6.9</v>
      </c>
      <c r="D512">
        <v>2</v>
      </c>
      <c r="E512" t="s">
        <v>74</v>
      </c>
      <c r="F512" t="s">
        <v>978</v>
      </c>
      <c r="G512">
        <f>+IF(dHdcp[[#This Row],[Fecha]]=MAX(dHdcp[Fecha]),1,0)</f>
        <v>0</v>
      </c>
      <c r="H512" t="str">
        <f>+dHdcp[[#This Row],[Maximo]]&amp;":"&amp;dHdcp[[#This Row],[Nombre]]</f>
        <v>0:José Pablo Guil</v>
      </c>
      <c r="I512" t="str">
        <f>+dHdcp[[#This Row],[Maximo]]&amp;":"&amp;_xlfn.XLOOKUP(dHdcp[[#This Row],[Nombre]],dJugador[Nombre],dJugador[Mote],"",0)</f>
        <v>0:JP</v>
      </c>
      <c r="J512" t="str">
        <f>+IF(dHdcp[[#This Row],[Maximo]]=0,"",_xlfn.RANK.EQ(dHdcp[[#This Row],[Handicap]],dHdcp[Handicap],1))</f>
        <v/>
      </c>
      <c r="K512" t="str">
        <f>IFERROR(+_xlfn.RANK.EQ(dHdcp[[#This Row],[Ranking]],dHdcp[Ranking],1),"")</f>
        <v/>
      </c>
      <c r="M512" t="str">
        <f>+dHdcp[[#This Row],[Fecha]]&amp;":"&amp;dHdcp[[#This Row],[Nombre]]</f>
        <v>43854:José Pablo Guil</v>
      </c>
      <c r="N512">
        <f>+COUNTIF(dHdcp[Columna1],dHdcp[[#This Row],[Columna1]])</f>
        <v>2</v>
      </c>
    </row>
    <row r="513" spans="1:14">
      <c r="A513" s="2">
        <v>43854</v>
      </c>
      <c r="B513" t="s">
        <v>18</v>
      </c>
      <c r="C513" s="51">
        <v>5.5999999999999961</v>
      </c>
      <c r="D513">
        <v>2</v>
      </c>
      <c r="E513" t="s">
        <v>75</v>
      </c>
      <c r="F513" t="s">
        <v>979</v>
      </c>
      <c r="G513">
        <f>+IF(dHdcp[[#This Row],[Fecha]]=MAX(dHdcp[Fecha]),1,0)</f>
        <v>0</v>
      </c>
      <c r="H513" t="str">
        <f>+dHdcp[[#This Row],[Maximo]]&amp;":"&amp;dHdcp[[#This Row],[Nombre]]</f>
        <v>0:José Pablo Guil</v>
      </c>
      <c r="I513" t="str">
        <f>+dHdcp[[#This Row],[Maximo]]&amp;":"&amp;_xlfn.XLOOKUP(dHdcp[[#This Row],[Nombre]],dJugador[Nombre],dJugador[Mote],"",0)</f>
        <v>0:JP</v>
      </c>
      <c r="J513" t="str">
        <f>+IF(dHdcp[[#This Row],[Maximo]]=0,"",_xlfn.RANK.EQ(dHdcp[[#This Row],[Handicap]],dHdcp[Handicap],1))</f>
        <v/>
      </c>
      <c r="K513" t="str">
        <f>IFERROR(+_xlfn.RANK.EQ(dHdcp[[#This Row],[Ranking]],dHdcp[Ranking],1),"")</f>
        <v/>
      </c>
      <c r="M513" t="str">
        <f>+dHdcp[[#This Row],[Fecha]]&amp;":"&amp;dHdcp[[#This Row],[Nombre]]</f>
        <v>43854:José Pablo Guil</v>
      </c>
      <c r="N513">
        <f>+COUNTIF(dHdcp[Columna1],dHdcp[[#This Row],[Columna1]])</f>
        <v>2</v>
      </c>
    </row>
    <row r="514" spans="1:14">
      <c r="A514" s="2">
        <v>43854</v>
      </c>
      <c r="B514" t="s">
        <v>43</v>
      </c>
      <c r="C514" s="51">
        <v>17.399999999999999</v>
      </c>
      <c r="D514">
        <v>3</v>
      </c>
      <c r="E514" t="s">
        <v>74</v>
      </c>
      <c r="F514" t="s">
        <v>980</v>
      </c>
      <c r="G514">
        <f>+IF(dHdcp[[#This Row],[Fecha]]=MAX(dHdcp[Fecha]),1,0)</f>
        <v>0</v>
      </c>
      <c r="H514" t="str">
        <f>+dHdcp[[#This Row],[Maximo]]&amp;":"&amp;dHdcp[[#This Row],[Nombre]]</f>
        <v>0:Luis Escudero</v>
      </c>
      <c r="I514" t="str">
        <f>+dHdcp[[#This Row],[Maximo]]&amp;":"&amp;_xlfn.XLOOKUP(dHdcp[[#This Row],[Nombre]],dJugador[Nombre],dJugador[Mote],"",0)</f>
        <v>0:Lucho</v>
      </c>
      <c r="J514" t="str">
        <f>+IF(dHdcp[[#This Row],[Maximo]]=0,"",_xlfn.RANK.EQ(dHdcp[[#This Row],[Handicap]],dHdcp[Handicap],1))</f>
        <v/>
      </c>
      <c r="K514" t="str">
        <f>IFERROR(+_xlfn.RANK.EQ(dHdcp[[#This Row],[Ranking]],dHdcp[Ranking],1),"")</f>
        <v/>
      </c>
      <c r="M514" t="str">
        <f>+dHdcp[[#This Row],[Fecha]]&amp;":"&amp;dHdcp[[#This Row],[Nombre]]</f>
        <v>43854:Luis Escudero</v>
      </c>
      <c r="N514">
        <f>+COUNTIF(dHdcp[Columna1],dHdcp[[#This Row],[Columna1]])</f>
        <v>2</v>
      </c>
    </row>
    <row r="515" spans="1:14">
      <c r="A515" s="2">
        <v>43854</v>
      </c>
      <c r="B515" t="s">
        <v>43</v>
      </c>
      <c r="C515" s="51">
        <v>16.999999999999996</v>
      </c>
      <c r="D515">
        <v>3</v>
      </c>
      <c r="E515" t="s">
        <v>75</v>
      </c>
      <c r="F515" t="s">
        <v>981</v>
      </c>
      <c r="G515">
        <f>+IF(dHdcp[[#This Row],[Fecha]]=MAX(dHdcp[Fecha]),1,0)</f>
        <v>0</v>
      </c>
      <c r="H515" t="str">
        <f>+dHdcp[[#This Row],[Maximo]]&amp;":"&amp;dHdcp[[#This Row],[Nombre]]</f>
        <v>0:Luis Escudero</v>
      </c>
      <c r="I515" t="str">
        <f>+dHdcp[[#This Row],[Maximo]]&amp;":"&amp;_xlfn.XLOOKUP(dHdcp[[#This Row],[Nombre]],dJugador[Nombre],dJugador[Mote],"",0)</f>
        <v>0:Lucho</v>
      </c>
      <c r="J515" t="str">
        <f>+IF(dHdcp[[#This Row],[Maximo]]=0,"",_xlfn.RANK.EQ(dHdcp[[#This Row],[Handicap]],dHdcp[Handicap],1))</f>
        <v/>
      </c>
      <c r="K515" t="str">
        <f>IFERROR(+_xlfn.RANK.EQ(dHdcp[[#This Row],[Ranking]],dHdcp[Ranking],1),"")</f>
        <v/>
      </c>
      <c r="M515" t="str">
        <f>+dHdcp[[#This Row],[Fecha]]&amp;":"&amp;dHdcp[[#This Row],[Nombre]]</f>
        <v>43854:Luis Escudero</v>
      </c>
      <c r="N515">
        <f>+COUNTIF(dHdcp[Columna1],dHdcp[[#This Row],[Columna1]])</f>
        <v>2</v>
      </c>
    </row>
    <row r="516" spans="1:14">
      <c r="A516" s="2">
        <v>43854</v>
      </c>
      <c r="B516" t="s">
        <v>51</v>
      </c>
      <c r="C516" s="51">
        <v>1.4</v>
      </c>
      <c r="D516">
        <v>1</v>
      </c>
      <c r="E516" t="s">
        <v>74</v>
      </c>
      <c r="F516" t="s">
        <v>982</v>
      </c>
      <c r="G516">
        <f>+IF(dHdcp[[#This Row],[Fecha]]=MAX(dHdcp[Fecha]),1,0)</f>
        <v>0</v>
      </c>
      <c r="H516" t="str">
        <f>+dHdcp[[#This Row],[Maximo]]&amp;":"&amp;dHdcp[[#This Row],[Nombre]]</f>
        <v>0:Miguel Diaz Del Moral</v>
      </c>
      <c r="I516" t="str">
        <f>+dHdcp[[#This Row],[Maximo]]&amp;":"&amp;_xlfn.XLOOKUP(dHdcp[[#This Row],[Nombre]],dJugador[Nombre],dJugador[Mote],"",0)</f>
        <v>0:Cañita</v>
      </c>
      <c r="J516" t="str">
        <f>+IF(dHdcp[[#This Row],[Maximo]]=0,"",_xlfn.RANK.EQ(dHdcp[[#This Row],[Handicap]],dHdcp[Handicap],1))</f>
        <v/>
      </c>
      <c r="K516" t="str">
        <f>IFERROR(+_xlfn.RANK.EQ(dHdcp[[#This Row],[Ranking]],dHdcp[Ranking],1),"")</f>
        <v/>
      </c>
      <c r="M516" t="str">
        <f>+dHdcp[[#This Row],[Fecha]]&amp;":"&amp;dHdcp[[#This Row],[Nombre]]</f>
        <v>43854:Miguel Diaz Del Moral</v>
      </c>
      <c r="N516">
        <f>+COUNTIF(dHdcp[Columna1],dHdcp[[#This Row],[Columna1]])</f>
        <v>1</v>
      </c>
    </row>
    <row r="517" spans="1:14">
      <c r="A517" s="2">
        <v>43854</v>
      </c>
      <c r="B517" t="s">
        <v>3</v>
      </c>
      <c r="C517" s="51">
        <v>6.2</v>
      </c>
      <c r="D517">
        <v>2</v>
      </c>
      <c r="E517" t="s">
        <v>74</v>
      </c>
      <c r="F517" t="s">
        <v>983</v>
      </c>
      <c r="G517">
        <f>+IF(dHdcp[[#This Row],[Fecha]]=MAX(dHdcp[Fecha]),1,0)</f>
        <v>0</v>
      </c>
      <c r="H517" t="str">
        <f>+dHdcp[[#This Row],[Maximo]]&amp;":"&amp;dHdcp[[#This Row],[Nombre]]</f>
        <v>0:Nacho Gonzalez</v>
      </c>
      <c r="I517" t="str">
        <f>+dHdcp[[#This Row],[Maximo]]&amp;":"&amp;_xlfn.XLOOKUP(dHdcp[[#This Row],[Nombre]],dJugador[Nombre],dJugador[Mote],"",0)</f>
        <v>0:Nacho</v>
      </c>
      <c r="J517" t="str">
        <f>+IF(dHdcp[[#This Row],[Maximo]]=0,"",_xlfn.RANK.EQ(dHdcp[[#This Row],[Handicap]],dHdcp[Handicap],1))</f>
        <v/>
      </c>
      <c r="K517" t="str">
        <f>IFERROR(+_xlfn.RANK.EQ(dHdcp[[#This Row],[Ranking]],dHdcp[Ranking],1),"")</f>
        <v/>
      </c>
      <c r="M517" t="str">
        <f>+dHdcp[[#This Row],[Fecha]]&amp;":"&amp;dHdcp[[#This Row],[Nombre]]</f>
        <v>43854:Nacho Gonzalez</v>
      </c>
      <c r="N517">
        <f>+COUNTIF(dHdcp[Columna1],dHdcp[[#This Row],[Columna1]])</f>
        <v>2</v>
      </c>
    </row>
    <row r="518" spans="1:14">
      <c r="A518" s="2">
        <v>43854</v>
      </c>
      <c r="B518" t="s">
        <v>3</v>
      </c>
      <c r="C518" s="51">
        <v>4.3999999999999995</v>
      </c>
      <c r="D518">
        <v>1</v>
      </c>
      <c r="E518" t="s">
        <v>75</v>
      </c>
      <c r="F518" t="s">
        <v>984</v>
      </c>
      <c r="G518">
        <f>+IF(dHdcp[[#This Row],[Fecha]]=MAX(dHdcp[Fecha]),1,0)</f>
        <v>0</v>
      </c>
      <c r="H518" t="str">
        <f>+dHdcp[[#This Row],[Maximo]]&amp;":"&amp;dHdcp[[#This Row],[Nombre]]</f>
        <v>0:Nacho Gonzalez</v>
      </c>
      <c r="I518" t="str">
        <f>+dHdcp[[#This Row],[Maximo]]&amp;":"&amp;_xlfn.XLOOKUP(dHdcp[[#This Row],[Nombre]],dJugador[Nombre],dJugador[Mote],"",0)</f>
        <v>0:Nacho</v>
      </c>
      <c r="J518" t="str">
        <f>+IF(dHdcp[[#This Row],[Maximo]]=0,"",_xlfn.RANK.EQ(dHdcp[[#This Row],[Handicap]],dHdcp[Handicap],1))</f>
        <v/>
      </c>
      <c r="K518" t="str">
        <f>IFERROR(+_xlfn.RANK.EQ(dHdcp[[#This Row],[Ranking]],dHdcp[Ranking],1),"")</f>
        <v/>
      </c>
      <c r="M518" t="str">
        <f>+dHdcp[[#This Row],[Fecha]]&amp;":"&amp;dHdcp[[#This Row],[Nombre]]</f>
        <v>43854:Nacho Gonzalez</v>
      </c>
      <c r="N518">
        <f>+COUNTIF(dHdcp[Columna1],dHdcp[[#This Row],[Columna1]])</f>
        <v>2</v>
      </c>
    </row>
    <row r="519" spans="1:14">
      <c r="A519" s="2">
        <v>43854</v>
      </c>
      <c r="B519" t="s">
        <v>28</v>
      </c>
      <c r="C519" s="51">
        <v>13.4</v>
      </c>
      <c r="D519">
        <v>3</v>
      </c>
      <c r="E519" t="s">
        <v>74</v>
      </c>
      <c r="F519" t="s">
        <v>985</v>
      </c>
      <c r="G519">
        <f>+IF(dHdcp[[#This Row],[Fecha]]=MAX(dHdcp[Fecha]),1,0)</f>
        <v>0</v>
      </c>
      <c r="H519" t="str">
        <f>+dHdcp[[#This Row],[Maximo]]&amp;":"&amp;dHdcp[[#This Row],[Nombre]]</f>
        <v>0:Pablo Munitiz</v>
      </c>
      <c r="I519" t="str">
        <f>+dHdcp[[#This Row],[Maximo]]&amp;":"&amp;_xlfn.XLOOKUP(dHdcp[[#This Row],[Nombre]],dJugador[Nombre],dJugador[Mote],"",0)</f>
        <v>0:Muni</v>
      </c>
      <c r="J519" t="str">
        <f>+IF(dHdcp[[#This Row],[Maximo]]=0,"",_xlfn.RANK.EQ(dHdcp[[#This Row],[Handicap]],dHdcp[Handicap],1))</f>
        <v/>
      </c>
      <c r="K519" t="str">
        <f>IFERROR(+_xlfn.RANK.EQ(dHdcp[[#This Row],[Ranking]],dHdcp[Ranking],1),"")</f>
        <v/>
      </c>
      <c r="M519" t="str">
        <f>+dHdcp[[#This Row],[Fecha]]&amp;":"&amp;dHdcp[[#This Row],[Nombre]]</f>
        <v>43854:Pablo Munitiz</v>
      </c>
      <c r="N519">
        <f>+COUNTIF(dHdcp[Columna1],dHdcp[[#This Row],[Columna1]])</f>
        <v>2</v>
      </c>
    </row>
    <row r="520" spans="1:14">
      <c r="A520" s="2">
        <v>43854</v>
      </c>
      <c r="B520" t="s">
        <v>28</v>
      </c>
      <c r="C520" s="51">
        <v>13.4</v>
      </c>
      <c r="D520">
        <v>3</v>
      </c>
      <c r="E520" t="s">
        <v>75</v>
      </c>
      <c r="F520" t="s">
        <v>986</v>
      </c>
      <c r="G520">
        <f>+IF(dHdcp[[#This Row],[Fecha]]=MAX(dHdcp[Fecha]),1,0)</f>
        <v>0</v>
      </c>
      <c r="H520" t="str">
        <f>+dHdcp[[#This Row],[Maximo]]&amp;":"&amp;dHdcp[[#This Row],[Nombre]]</f>
        <v>0:Pablo Munitiz</v>
      </c>
      <c r="I520" t="str">
        <f>+dHdcp[[#This Row],[Maximo]]&amp;":"&amp;_xlfn.XLOOKUP(dHdcp[[#This Row],[Nombre]],dJugador[Nombre],dJugador[Mote],"",0)</f>
        <v>0:Muni</v>
      </c>
      <c r="J520" t="str">
        <f>+IF(dHdcp[[#This Row],[Maximo]]=0,"",_xlfn.RANK.EQ(dHdcp[[#This Row],[Handicap]],dHdcp[Handicap],1))</f>
        <v/>
      </c>
      <c r="K520" t="str">
        <f>IFERROR(+_xlfn.RANK.EQ(dHdcp[[#This Row],[Ranking]],dHdcp[Ranking],1),"")</f>
        <v/>
      </c>
      <c r="M520" t="str">
        <f>+dHdcp[[#This Row],[Fecha]]&amp;":"&amp;dHdcp[[#This Row],[Nombre]]</f>
        <v>43854:Pablo Munitiz</v>
      </c>
      <c r="N520">
        <f>+COUNTIF(dHdcp[Columna1],dHdcp[[#This Row],[Columna1]])</f>
        <v>2</v>
      </c>
    </row>
    <row r="521" spans="1:14">
      <c r="A521" s="2">
        <v>43879</v>
      </c>
      <c r="B521" t="s">
        <v>9</v>
      </c>
      <c r="C521" s="51">
        <v>8.6999999999999993</v>
      </c>
      <c r="D521">
        <v>2</v>
      </c>
      <c r="E521" t="s">
        <v>74</v>
      </c>
      <c r="F521" t="s">
        <v>987</v>
      </c>
      <c r="G521">
        <f>+IF(dHdcp[[#This Row],[Fecha]]=MAX(dHdcp[Fecha]),1,0)</f>
        <v>0</v>
      </c>
      <c r="H521" t="str">
        <f>+dHdcp[[#This Row],[Maximo]]&amp;":"&amp;dHdcp[[#This Row],[Nombre]]</f>
        <v>0:Alfonso Hidalgo</v>
      </c>
      <c r="I521" t="str">
        <f>+dHdcp[[#This Row],[Maximo]]&amp;":"&amp;_xlfn.XLOOKUP(dHdcp[[#This Row],[Nombre]],dJugador[Nombre],dJugador[Mote],"",0)</f>
        <v>0:Alfonso</v>
      </c>
      <c r="J521" t="str">
        <f>+IF(dHdcp[[#This Row],[Maximo]]=0,"",_xlfn.RANK.EQ(dHdcp[[#This Row],[Handicap]],dHdcp[Handicap],1))</f>
        <v/>
      </c>
      <c r="K521" t="str">
        <f>IFERROR(+_xlfn.RANK.EQ(dHdcp[[#This Row],[Ranking]],dHdcp[Ranking],1),"")</f>
        <v/>
      </c>
      <c r="M521" t="str">
        <f>+dHdcp[[#This Row],[Fecha]]&amp;":"&amp;dHdcp[[#This Row],[Nombre]]</f>
        <v>43879:Alfonso Hidalgo</v>
      </c>
      <c r="N521">
        <f>+COUNTIF(dHdcp[Columna1],dHdcp[[#This Row],[Columna1]])</f>
        <v>2</v>
      </c>
    </row>
    <row r="522" spans="1:14">
      <c r="A522" s="2">
        <v>43879</v>
      </c>
      <c r="B522" t="s">
        <v>9</v>
      </c>
      <c r="C522" s="51">
        <v>8.0000000000000036</v>
      </c>
      <c r="D522">
        <v>2</v>
      </c>
      <c r="E522" t="s">
        <v>75</v>
      </c>
      <c r="F522" t="s">
        <v>988</v>
      </c>
      <c r="G522">
        <f>+IF(dHdcp[[#This Row],[Fecha]]=MAX(dHdcp[Fecha]),1,0)</f>
        <v>0</v>
      </c>
      <c r="H522" t="str">
        <f>+dHdcp[[#This Row],[Maximo]]&amp;":"&amp;dHdcp[[#This Row],[Nombre]]</f>
        <v>0:Alfonso Hidalgo</v>
      </c>
      <c r="I522" t="str">
        <f>+dHdcp[[#This Row],[Maximo]]&amp;":"&amp;_xlfn.XLOOKUP(dHdcp[[#This Row],[Nombre]],dJugador[Nombre],dJugador[Mote],"",0)</f>
        <v>0:Alfonso</v>
      </c>
      <c r="J522" t="str">
        <f>+IF(dHdcp[[#This Row],[Maximo]]=0,"",_xlfn.RANK.EQ(dHdcp[[#This Row],[Handicap]],dHdcp[Handicap],1))</f>
        <v/>
      </c>
      <c r="K522" t="str">
        <f>IFERROR(+_xlfn.RANK.EQ(dHdcp[[#This Row],[Ranking]],dHdcp[Ranking],1),"")</f>
        <v/>
      </c>
      <c r="M522" t="str">
        <f>+dHdcp[[#This Row],[Fecha]]&amp;":"&amp;dHdcp[[#This Row],[Nombre]]</f>
        <v>43879:Alfonso Hidalgo</v>
      </c>
      <c r="N522">
        <f>+COUNTIF(dHdcp[Columna1],dHdcp[[#This Row],[Columna1]])</f>
        <v>2</v>
      </c>
    </row>
    <row r="523" spans="1:14">
      <c r="A523" s="2">
        <v>43879</v>
      </c>
      <c r="B523" t="s">
        <v>15</v>
      </c>
      <c r="C523" s="51">
        <v>5</v>
      </c>
      <c r="D523">
        <v>2</v>
      </c>
      <c r="E523" t="s">
        <v>74</v>
      </c>
      <c r="F523" t="s">
        <v>989</v>
      </c>
      <c r="G523">
        <f>+IF(dHdcp[[#This Row],[Fecha]]=MAX(dHdcp[Fecha]),1,0)</f>
        <v>0</v>
      </c>
      <c r="H523" t="str">
        <f>+dHdcp[[#This Row],[Maximo]]&amp;":"&amp;dHdcp[[#This Row],[Nombre]]</f>
        <v>0:Alvaro Aguirre</v>
      </c>
      <c r="I523" t="str">
        <f>+dHdcp[[#This Row],[Maximo]]&amp;":"&amp;_xlfn.XLOOKUP(dHdcp[[#This Row],[Nombre]],dJugador[Nombre],dJugador[Mote],"",0)</f>
        <v>0:Gifu</v>
      </c>
      <c r="J523" t="str">
        <f>+IF(dHdcp[[#This Row],[Maximo]]=0,"",_xlfn.RANK.EQ(dHdcp[[#This Row],[Handicap]],dHdcp[Handicap],1))</f>
        <v/>
      </c>
      <c r="K523" t="str">
        <f>IFERROR(+_xlfn.RANK.EQ(dHdcp[[#This Row],[Ranking]],dHdcp[Ranking],1),"")</f>
        <v/>
      </c>
      <c r="M523" t="str">
        <f>+dHdcp[[#This Row],[Fecha]]&amp;":"&amp;dHdcp[[#This Row],[Nombre]]</f>
        <v>43879:Alvaro Aguirre</v>
      </c>
      <c r="N523">
        <f>+COUNTIF(dHdcp[Columna1],dHdcp[[#This Row],[Columna1]])</f>
        <v>2</v>
      </c>
    </row>
    <row r="524" spans="1:14">
      <c r="A524" s="2">
        <v>43879</v>
      </c>
      <c r="B524" t="s">
        <v>15</v>
      </c>
      <c r="C524" s="51">
        <v>4.799999999999998</v>
      </c>
      <c r="D524">
        <v>2</v>
      </c>
      <c r="E524" t="s">
        <v>75</v>
      </c>
      <c r="F524" t="s">
        <v>990</v>
      </c>
      <c r="G524">
        <f>+IF(dHdcp[[#This Row],[Fecha]]=MAX(dHdcp[Fecha]),1,0)</f>
        <v>0</v>
      </c>
      <c r="H524" t="str">
        <f>+dHdcp[[#This Row],[Maximo]]&amp;":"&amp;dHdcp[[#This Row],[Nombre]]</f>
        <v>0:Alvaro Aguirre</v>
      </c>
      <c r="I524" t="str">
        <f>+dHdcp[[#This Row],[Maximo]]&amp;":"&amp;_xlfn.XLOOKUP(dHdcp[[#This Row],[Nombre]],dJugador[Nombre],dJugador[Mote],"",0)</f>
        <v>0:Gifu</v>
      </c>
      <c r="J524" t="str">
        <f>+IF(dHdcp[[#This Row],[Maximo]]=0,"",_xlfn.RANK.EQ(dHdcp[[#This Row],[Handicap]],dHdcp[Handicap],1))</f>
        <v/>
      </c>
      <c r="K524" t="str">
        <f>IFERROR(+_xlfn.RANK.EQ(dHdcp[[#This Row],[Ranking]],dHdcp[Ranking],1),"")</f>
        <v/>
      </c>
      <c r="M524" t="str">
        <f>+dHdcp[[#This Row],[Fecha]]&amp;":"&amp;dHdcp[[#This Row],[Nombre]]</f>
        <v>43879:Alvaro Aguirre</v>
      </c>
      <c r="N524">
        <f>+COUNTIF(dHdcp[Columna1],dHdcp[[#This Row],[Columna1]])</f>
        <v>2</v>
      </c>
    </row>
    <row r="525" spans="1:14">
      <c r="A525" s="2">
        <v>43879</v>
      </c>
      <c r="B525" t="s">
        <v>25</v>
      </c>
      <c r="C525" s="51">
        <v>13.2</v>
      </c>
      <c r="D525">
        <v>3</v>
      </c>
      <c r="E525" t="s">
        <v>74</v>
      </c>
      <c r="F525" t="s">
        <v>991</v>
      </c>
      <c r="G525">
        <f>+IF(dHdcp[[#This Row],[Fecha]]=MAX(dHdcp[Fecha]),1,0)</f>
        <v>0</v>
      </c>
      <c r="H525" t="str">
        <f>+dHdcp[[#This Row],[Maximo]]&amp;":"&amp;dHdcp[[#This Row],[Nombre]]</f>
        <v>0:Alvaro Nieto</v>
      </c>
      <c r="I525" t="str">
        <f>+dHdcp[[#This Row],[Maximo]]&amp;":"&amp;_xlfn.XLOOKUP(dHdcp[[#This Row],[Nombre]],dJugador[Nombre],dJugador[Mote],"",0)</f>
        <v>0:Alvaro</v>
      </c>
      <c r="J525" t="str">
        <f>+IF(dHdcp[[#This Row],[Maximo]]=0,"",_xlfn.RANK.EQ(dHdcp[[#This Row],[Handicap]],dHdcp[Handicap],1))</f>
        <v/>
      </c>
      <c r="K525" t="str">
        <f>IFERROR(+_xlfn.RANK.EQ(dHdcp[[#This Row],[Ranking]],dHdcp[Ranking],1),"")</f>
        <v/>
      </c>
      <c r="M525" t="str">
        <f>+dHdcp[[#This Row],[Fecha]]&amp;":"&amp;dHdcp[[#This Row],[Nombre]]</f>
        <v>43879:Alvaro Nieto</v>
      </c>
      <c r="N525">
        <f>+COUNTIF(dHdcp[Columna1],dHdcp[[#This Row],[Columna1]])</f>
        <v>2</v>
      </c>
    </row>
    <row r="526" spans="1:14">
      <c r="A526" s="2">
        <v>43879</v>
      </c>
      <c r="B526" t="s">
        <v>25</v>
      </c>
      <c r="C526" s="51">
        <v>13.2</v>
      </c>
      <c r="D526">
        <v>3</v>
      </c>
      <c r="E526" t="s">
        <v>75</v>
      </c>
      <c r="F526" t="s">
        <v>992</v>
      </c>
      <c r="G526">
        <f>+IF(dHdcp[[#This Row],[Fecha]]=MAX(dHdcp[Fecha]),1,0)</f>
        <v>0</v>
      </c>
      <c r="H526" t="str">
        <f>+dHdcp[[#This Row],[Maximo]]&amp;":"&amp;dHdcp[[#This Row],[Nombre]]</f>
        <v>0:Alvaro Nieto</v>
      </c>
      <c r="I526" t="str">
        <f>+dHdcp[[#This Row],[Maximo]]&amp;":"&amp;_xlfn.XLOOKUP(dHdcp[[#This Row],[Nombre]],dJugador[Nombre],dJugador[Mote],"",0)</f>
        <v>0:Alvaro</v>
      </c>
      <c r="J526" t="str">
        <f>+IF(dHdcp[[#This Row],[Maximo]]=0,"",_xlfn.RANK.EQ(dHdcp[[#This Row],[Handicap]],dHdcp[Handicap],1))</f>
        <v/>
      </c>
      <c r="K526" t="str">
        <f>IFERROR(+_xlfn.RANK.EQ(dHdcp[[#This Row],[Ranking]],dHdcp[Ranking],1),"")</f>
        <v/>
      </c>
      <c r="M526" t="str">
        <f>+dHdcp[[#This Row],[Fecha]]&amp;":"&amp;dHdcp[[#This Row],[Nombre]]</f>
        <v>43879:Alvaro Nieto</v>
      </c>
      <c r="N526">
        <f>+COUNTIF(dHdcp[Columna1],dHdcp[[#This Row],[Columna1]])</f>
        <v>2</v>
      </c>
    </row>
    <row r="527" spans="1:14">
      <c r="A527" s="2">
        <v>43879</v>
      </c>
      <c r="B527" t="s">
        <v>33</v>
      </c>
      <c r="C527" s="51">
        <v>7.3</v>
      </c>
      <c r="D527">
        <v>2</v>
      </c>
      <c r="E527" t="s">
        <v>74</v>
      </c>
      <c r="F527" t="s">
        <v>993</v>
      </c>
      <c r="G527">
        <f>+IF(dHdcp[[#This Row],[Fecha]]=MAX(dHdcp[Fecha]),1,0)</f>
        <v>0</v>
      </c>
      <c r="H527" t="str">
        <f>+dHdcp[[#This Row],[Maximo]]&amp;":"&amp;dHdcp[[#This Row],[Nombre]]</f>
        <v>0:Angel Hernandez</v>
      </c>
      <c r="I527" t="str">
        <f>+dHdcp[[#This Row],[Maximo]]&amp;":"&amp;_xlfn.XLOOKUP(dHdcp[[#This Row],[Nombre]],dJugador[Nombre],dJugador[Mote],"",0)</f>
        <v>0:Angel</v>
      </c>
      <c r="J527" t="str">
        <f>+IF(dHdcp[[#This Row],[Maximo]]=0,"",_xlfn.RANK.EQ(dHdcp[[#This Row],[Handicap]],dHdcp[Handicap],1))</f>
        <v/>
      </c>
      <c r="K527" t="str">
        <f>IFERROR(+_xlfn.RANK.EQ(dHdcp[[#This Row],[Ranking]],dHdcp[Ranking],1),"")</f>
        <v/>
      </c>
      <c r="M527" t="str">
        <f>+dHdcp[[#This Row],[Fecha]]&amp;":"&amp;dHdcp[[#This Row],[Nombre]]</f>
        <v>43879:Angel Hernandez</v>
      </c>
      <c r="N527">
        <f>+COUNTIF(dHdcp[Columna1],dHdcp[[#This Row],[Columna1]])</f>
        <v>2</v>
      </c>
    </row>
    <row r="528" spans="1:14">
      <c r="A528" s="2">
        <v>43879</v>
      </c>
      <c r="B528" t="s">
        <v>33</v>
      </c>
      <c r="C528" s="51">
        <v>6.4999999999999938</v>
      </c>
      <c r="D528">
        <v>2</v>
      </c>
      <c r="E528" t="s">
        <v>75</v>
      </c>
      <c r="F528" t="s">
        <v>994</v>
      </c>
      <c r="G528">
        <f>+IF(dHdcp[[#This Row],[Fecha]]=MAX(dHdcp[Fecha]),1,0)</f>
        <v>0</v>
      </c>
      <c r="H528" t="str">
        <f>+dHdcp[[#This Row],[Maximo]]&amp;":"&amp;dHdcp[[#This Row],[Nombre]]</f>
        <v>0:Angel Hernandez</v>
      </c>
      <c r="I528" t="str">
        <f>+dHdcp[[#This Row],[Maximo]]&amp;":"&amp;_xlfn.XLOOKUP(dHdcp[[#This Row],[Nombre]],dJugador[Nombre],dJugador[Mote],"",0)</f>
        <v>0:Angel</v>
      </c>
      <c r="J528" t="str">
        <f>+IF(dHdcp[[#This Row],[Maximo]]=0,"",_xlfn.RANK.EQ(dHdcp[[#This Row],[Handicap]],dHdcp[Handicap],1))</f>
        <v/>
      </c>
      <c r="K528" t="str">
        <f>IFERROR(+_xlfn.RANK.EQ(dHdcp[[#This Row],[Ranking]],dHdcp[Ranking],1),"")</f>
        <v/>
      </c>
      <c r="M528" t="str">
        <f>+dHdcp[[#This Row],[Fecha]]&amp;":"&amp;dHdcp[[#This Row],[Nombre]]</f>
        <v>43879:Angel Hernandez</v>
      </c>
      <c r="N528">
        <f>+COUNTIF(dHdcp[Columna1],dHdcp[[#This Row],[Columna1]])</f>
        <v>2</v>
      </c>
    </row>
    <row r="529" spans="1:14">
      <c r="A529" s="2">
        <v>43879</v>
      </c>
      <c r="B529" t="s">
        <v>30</v>
      </c>
      <c r="C529" s="51">
        <v>10.9</v>
      </c>
      <c r="D529">
        <v>2</v>
      </c>
      <c r="E529" t="s">
        <v>74</v>
      </c>
      <c r="F529" t="s">
        <v>995</v>
      </c>
      <c r="G529">
        <f>+IF(dHdcp[[#This Row],[Fecha]]=MAX(dHdcp[Fecha]),1,0)</f>
        <v>0</v>
      </c>
      <c r="H529" t="str">
        <f>+dHdcp[[#This Row],[Maximo]]&amp;":"&amp;dHdcp[[#This Row],[Nombre]]</f>
        <v>0:David Sequera</v>
      </c>
      <c r="I529" t="str">
        <f>+dHdcp[[#This Row],[Maximo]]&amp;":"&amp;_xlfn.XLOOKUP(dHdcp[[#This Row],[Nombre]],dJugador[Nombre],dJugador[Mote],"",0)</f>
        <v>0:David</v>
      </c>
      <c r="J529" t="str">
        <f>+IF(dHdcp[[#This Row],[Maximo]]=0,"",_xlfn.RANK.EQ(dHdcp[[#This Row],[Handicap]],dHdcp[Handicap],1))</f>
        <v/>
      </c>
      <c r="K529" t="str">
        <f>IFERROR(+_xlfn.RANK.EQ(dHdcp[[#This Row],[Ranking]],dHdcp[Ranking],1),"")</f>
        <v/>
      </c>
      <c r="M529" t="str">
        <f>+dHdcp[[#This Row],[Fecha]]&amp;":"&amp;dHdcp[[#This Row],[Nombre]]</f>
        <v>43879:David Sequera</v>
      </c>
      <c r="N529">
        <f>+COUNTIF(dHdcp[Columna1],dHdcp[[#This Row],[Columna1]])</f>
        <v>2</v>
      </c>
    </row>
    <row r="530" spans="1:14">
      <c r="A530" s="2">
        <v>43879</v>
      </c>
      <c r="B530" t="s">
        <v>30</v>
      </c>
      <c r="C530" s="51">
        <v>10.499999999999998</v>
      </c>
      <c r="D530">
        <v>2</v>
      </c>
      <c r="E530" t="s">
        <v>75</v>
      </c>
      <c r="F530" t="s">
        <v>996</v>
      </c>
      <c r="G530">
        <f>+IF(dHdcp[[#This Row],[Fecha]]=MAX(dHdcp[Fecha]),1,0)</f>
        <v>0</v>
      </c>
      <c r="H530" t="str">
        <f>+dHdcp[[#This Row],[Maximo]]&amp;":"&amp;dHdcp[[#This Row],[Nombre]]</f>
        <v>0:David Sequera</v>
      </c>
      <c r="I530" t="str">
        <f>+dHdcp[[#This Row],[Maximo]]&amp;":"&amp;_xlfn.XLOOKUP(dHdcp[[#This Row],[Nombre]],dJugador[Nombre],dJugador[Mote],"",0)</f>
        <v>0:David</v>
      </c>
      <c r="J530" t="str">
        <f>+IF(dHdcp[[#This Row],[Maximo]]=0,"",_xlfn.RANK.EQ(dHdcp[[#This Row],[Handicap]],dHdcp[Handicap],1))</f>
        <v/>
      </c>
      <c r="K530" t="str">
        <f>IFERROR(+_xlfn.RANK.EQ(dHdcp[[#This Row],[Ranking]],dHdcp[Ranking],1),"")</f>
        <v/>
      </c>
      <c r="M530" t="str">
        <f>+dHdcp[[#This Row],[Fecha]]&amp;":"&amp;dHdcp[[#This Row],[Nombre]]</f>
        <v>43879:David Sequera</v>
      </c>
      <c r="N530">
        <f>+COUNTIF(dHdcp[Columna1],dHdcp[[#This Row],[Columna1]])</f>
        <v>2</v>
      </c>
    </row>
    <row r="531" spans="1:14">
      <c r="A531" s="2">
        <v>43879</v>
      </c>
      <c r="B531" t="s">
        <v>12</v>
      </c>
      <c r="C531" s="51">
        <v>14</v>
      </c>
      <c r="D531">
        <v>3</v>
      </c>
      <c r="E531" t="s">
        <v>74</v>
      </c>
      <c r="F531" t="s">
        <v>997</v>
      </c>
      <c r="G531">
        <f>+IF(dHdcp[[#This Row],[Fecha]]=MAX(dHdcp[Fecha]),1,0)</f>
        <v>0</v>
      </c>
      <c r="H531" t="str">
        <f>+dHdcp[[#This Row],[Maximo]]&amp;":"&amp;dHdcp[[#This Row],[Nombre]]</f>
        <v>0:Francisco Alvarez</v>
      </c>
      <c r="I531" t="str">
        <f>+dHdcp[[#This Row],[Maximo]]&amp;":"&amp;_xlfn.XLOOKUP(dHdcp[[#This Row],[Nombre]],dJugador[Nombre],dJugador[Mote],"",0)</f>
        <v>0:Paco</v>
      </c>
      <c r="J531" t="str">
        <f>+IF(dHdcp[[#This Row],[Maximo]]=0,"",_xlfn.RANK.EQ(dHdcp[[#This Row],[Handicap]],dHdcp[Handicap],1))</f>
        <v/>
      </c>
      <c r="K531" t="str">
        <f>IFERROR(+_xlfn.RANK.EQ(dHdcp[[#This Row],[Ranking]],dHdcp[Ranking],1),"")</f>
        <v/>
      </c>
      <c r="M531" t="str">
        <f>+dHdcp[[#This Row],[Fecha]]&amp;":"&amp;dHdcp[[#This Row],[Nombre]]</f>
        <v>43879:Francisco Alvarez</v>
      </c>
      <c r="N531">
        <f>+COUNTIF(dHdcp[Columna1],dHdcp[[#This Row],[Columna1]])</f>
        <v>2</v>
      </c>
    </row>
    <row r="532" spans="1:14">
      <c r="A532" s="2">
        <v>43879</v>
      </c>
      <c r="B532" t="s">
        <v>12</v>
      </c>
      <c r="C532" s="51">
        <v>14</v>
      </c>
      <c r="D532">
        <v>3</v>
      </c>
      <c r="E532" t="s">
        <v>75</v>
      </c>
      <c r="F532" t="s">
        <v>998</v>
      </c>
      <c r="G532">
        <f>+IF(dHdcp[[#This Row],[Fecha]]=MAX(dHdcp[Fecha]),1,0)</f>
        <v>0</v>
      </c>
      <c r="H532" t="str">
        <f>+dHdcp[[#This Row],[Maximo]]&amp;":"&amp;dHdcp[[#This Row],[Nombre]]</f>
        <v>0:Francisco Alvarez</v>
      </c>
      <c r="I532" t="str">
        <f>+dHdcp[[#This Row],[Maximo]]&amp;":"&amp;_xlfn.XLOOKUP(dHdcp[[#This Row],[Nombre]],dJugador[Nombre],dJugador[Mote],"",0)</f>
        <v>0:Paco</v>
      </c>
      <c r="J532" t="str">
        <f>+IF(dHdcp[[#This Row],[Maximo]]=0,"",_xlfn.RANK.EQ(dHdcp[[#This Row],[Handicap]],dHdcp[Handicap],1))</f>
        <v/>
      </c>
      <c r="K532" t="str">
        <f>IFERROR(+_xlfn.RANK.EQ(dHdcp[[#This Row],[Ranking]],dHdcp[Ranking],1),"")</f>
        <v/>
      </c>
      <c r="M532" t="str">
        <f>+dHdcp[[#This Row],[Fecha]]&amp;":"&amp;dHdcp[[#This Row],[Nombre]]</f>
        <v>43879:Francisco Alvarez</v>
      </c>
      <c r="N532">
        <f>+COUNTIF(dHdcp[Columna1],dHdcp[[#This Row],[Columna1]])</f>
        <v>2</v>
      </c>
    </row>
    <row r="533" spans="1:14">
      <c r="A533" s="2">
        <v>43879</v>
      </c>
      <c r="B533" t="s">
        <v>49</v>
      </c>
      <c r="C533" s="51">
        <v>13.8</v>
      </c>
      <c r="D533">
        <v>3</v>
      </c>
      <c r="E533" t="s">
        <v>74</v>
      </c>
      <c r="F533" t="s">
        <v>999</v>
      </c>
      <c r="G533">
        <f>+IF(dHdcp[[#This Row],[Fecha]]=MAX(dHdcp[Fecha]),1,0)</f>
        <v>0</v>
      </c>
      <c r="H533" t="str">
        <f>+dHdcp[[#This Row],[Maximo]]&amp;":"&amp;dHdcp[[#This Row],[Nombre]]</f>
        <v>0:Francisco Hidalgo</v>
      </c>
      <c r="I533" t="str">
        <f>+dHdcp[[#This Row],[Maximo]]&amp;":"&amp;_xlfn.XLOOKUP(dHdcp[[#This Row],[Nombre]],dJugador[Nombre],dJugador[Mote],"",0)</f>
        <v>0:Fran</v>
      </c>
      <c r="J533" t="str">
        <f>+IF(dHdcp[[#This Row],[Maximo]]=0,"",_xlfn.RANK.EQ(dHdcp[[#This Row],[Handicap]],dHdcp[Handicap],1))</f>
        <v/>
      </c>
      <c r="K533" t="str">
        <f>IFERROR(+_xlfn.RANK.EQ(dHdcp[[#This Row],[Ranking]],dHdcp[Ranking],1),"")</f>
        <v/>
      </c>
      <c r="M533" t="str">
        <f>+dHdcp[[#This Row],[Fecha]]&amp;":"&amp;dHdcp[[#This Row],[Nombre]]</f>
        <v>43879:Francisco Hidalgo</v>
      </c>
      <c r="N533">
        <f>+COUNTIF(dHdcp[Columna1],dHdcp[[#This Row],[Columna1]])</f>
        <v>2</v>
      </c>
    </row>
    <row r="534" spans="1:14">
      <c r="A534" s="2">
        <v>43879</v>
      </c>
      <c r="B534" t="s">
        <v>49</v>
      </c>
      <c r="C534" s="51">
        <v>13.599999999999996</v>
      </c>
      <c r="D534">
        <v>3</v>
      </c>
      <c r="E534" t="s">
        <v>75</v>
      </c>
      <c r="F534" t="s">
        <v>1000</v>
      </c>
      <c r="G534">
        <f>+IF(dHdcp[[#This Row],[Fecha]]=MAX(dHdcp[Fecha]),1,0)</f>
        <v>0</v>
      </c>
      <c r="H534" t="str">
        <f>+dHdcp[[#This Row],[Maximo]]&amp;":"&amp;dHdcp[[#This Row],[Nombre]]</f>
        <v>0:Francisco Hidalgo</v>
      </c>
      <c r="I534" t="str">
        <f>+dHdcp[[#This Row],[Maximo]]&amp;":"&amp;_xlfn.XLOOKUP(dHdcp[[#This Row],[Nombre]],dJugador[Nombre],dJugador[Mote],"",0)</f>
        <v>0:Fran</v>
      </c>
      <c r="J534" t="str">
        <f>+IF(dHdcp[[#This Row],[Maximo]]=0,"",_xlfn.RANK.EQ(dHdcp[[#This Row],[Handicap]],dHdcp[Handicap],1))</f>
        <v/>
      </c>
      <c r="K534" t="str">
        <f>IFERROR(+_xlfn.RANK.EQ(dHdcp[[#This Row],[Ranking]],dHdcp[Ranking],1),"")</f>
        <v/>
      </c>
      <c r="M534" t="str">
        <f>+dHdcp[[#This Row],[Fecha]]&amp;":"&amp;dHdcp[[#This Row],[Nombre]]</f>
        <v>43879:Francisco Hidalgo</v>
      </c>
      <c r="N534">
        <f>+COUNTIF(dHdcp[Columna1],dHdcp[[#This Row],[Columna1]])</f>
        <v>2</v>
      </c>
    </row>
    <row r="535" spans="1:14">
      <c r="A535" s="2">
        <v>43879</v>
      </c>
      <c r="B535" t="s">
        <v>35</v>
      </c>
      <c r="C535" s="51">
        <v>17.399999999999999</v>
      </c>
      <c r="D535">
        <v>3</v>
      </c>
      <c r="E535" t="s">
        <v>74</v>
      </c>
      <c r="F535" t="s">
        <v>1001</v>
      </c>
      <c r="G535">
        <f>+IF(dHdcp[[#This Row],[Fecha]]=MAX(dHdcp[Fecha]),1,0)</f>
        <v>0</v>
      </c>
      <c r="H535" t="str">
        <f>+dHdcp[[#This Row],[Maximo]]&amp;":"&amp;dHdcp[[#This Row],[Nombre]]</f>
        <v>0:GLEZ JUAN JOSÉ</v>
      </c>
      <c r="I535" t="str">
        <f>+dHdcp[[#This Row],[Maximo]]&amp;":"&amp;_xlfn.XLOOKUP(dHdcp[[#This Row],[Nombre]],dJugador[Nombre],dJugador[Mote],"",0)</f>
        <v>0:Juanjo</v>
      </c>
      <c r="J535" t="str">
        <f>+IF(dHdcp[[#This Row],[Maximo]]=0,"",_xlfn.RANK.EQ(dHdcp[[#This Row],[Handicap]],dHdcp[Handicap],1))</f>
        <v/>
      </c>
      <c r="K535" t="str">
        <f>IFERROR(+_xlfn.RANK.EQ(dHdcp[[#This Row],[Ranking]],dHdcp[Ranking],1),"")</f>
        <v/>
      </c>
      <c r="M535" t="str">
        <f>+dHdcp[[#This Row],[Fecha]]&amp;":"&amp;dHdcp[[#This Row],[Nombre]]</f>
        <v>43879:GLEZ JUAN JOSÉ</v>
      </c>
      <c r="N535">
        <f>+COUNTIF(dHdcp[Columna1],dHdcp[[#This Row],[Columna1]])</f>
        <v>2</v>
      </c>
    </row>
    <row r="536" spans="1:14">
      <c r="A536" s="2">
        <v>43879</v>
      </c>
      <c r="B536" t="s">
        <v>35</v>
      </c>
      <c r="C536" s="51">
        <v>17.399999999999999</v>
      </c>
      <c r="D536">
        <v>3</v>
      </c>
      <c r="E536" t="s">
        <v>75</v>
      </c>
      <c r="F536" t="s">
        <v>1002</v>
      </c>
      <c r="G536">
        <f>+IF(dHdcp[[#This Row],[Fecha]]=MAX(dHdcp[Fecha]),1,0)</f>
        <v>0</v>
      </c>
      <c r="H536" t="str">
        <f>+dHdcp[[#This Row],[Maximo]]&amp;":"&amp;dHdcp[[#This Row],[Nombre]]</f>
        <v>0:GLEZ JUAN JOSÉ</v>
      </c>
      <c r="I536" t="str">
        <f>+dHdcp[[#This Row],[Maximo]]&amp;":"&amp;_xlfn.XLOOKUP(dHdcp[[#This Row],[Nombre]],dJugador[Nombre],dJugador[Mote],"",0)</f>
        <v>0:Juanjo</v>
      </c>
      <c r="J536" t="str">
        <f>+IF(dHdcp[[#This Row],[Maximo]]=0,"",_xlfn.RANK.EQ(dHdcp[[#This Row],[Handicap]],dHdcp[Handicap],1))</f>
        <v/>
      </c>
      <c r="K536" t="str">
        <f>IFERROR(+_xlfn.RANK.EQ(dHdcp[[#This Row],[Ranking]],dHdcp[Ranking],1),"")</f>
        <v/>
      </c>
      <c r="M536" t="str">
        <f>+dHdcp[[#This Row],[Fecha]]&amp;":"&amp;dHdcp[[#This Row],[Nombre]]</f>
        <v>43879:GLEZ JUAN JOSÉ</v>
      </c>
      <c r="N536">
        <f>+COUNTIF(dHdcp[Columna1],dHdcp[[#This Row],[Columna1]])</f>
        <v>2</v>
      </c>
    </row>
    <row r="537" spans="1:14">
      <c r="A537" s="2">
        <v>43879</v>
      </c>
      <c r="B537" t="s">
        <v>6</v>
      </c>
      <c r="C537" s="51">
        <v>6</v>
      </c>
      <c r="D537">
        <v>2</v>
      </c>
      <c r="E537" t="s">
        <v>74</v>
      </c>
      <c r="F537" t="s">
        <v>1003</v>
      </c>
      <c r="G537">
        <f>+IF(dHdcp[[#This Row],[Fecha]]=MAX(dHdcp[Fecha]),1,0)</f>
        <v>0</v>
      </c>
      <c r="H537" t="str">
        <f>+dHdcp[[#This Row],[Maximo]]&amp;":"&amp;dHdcp[[#This Row],[Nombre]]</f>
        <v>0:Ignacio Cadarso</v>
      </c>
      <c r="I537" t="str">
        <f>+dHdcp[[#This Row],[Maximo]]&amp;":"&amp;_xlfn.XLOOKUP(dHdcp[[#This Row],[Nombre]],dJugador[Nombre],dJugador[Mote],"",0)</f>
        <v>0:Ignacio</v>
      </c>
      <c r="J537" t="str">
        <f>+IF(dHdcp[[#This Row],[Maximo]]=0,"",_xlfn.RANK.EQ(dHdcp[[#This Row],[Handicap]],dHdcp[Handicap],1))</f>
        <v/>
      </c>
      <c r="K537" t="str">
        <f>IFERROR(+_xlfn.RANK.EQ(dHdcp[[#This Row],[Ranking]],dHdcp[Ranking],1),"")</f>
        <v/>
      </c>
      <c r="M537" t="str">
        <f>+dHdcp[[#This Row],[Fecha]]&amp;":"&amp;dHdcp[[#This Row],[Nombre]]</f>
        <v>43879:Ignacio Cadarso</v>
      </c>
      <c r="N537">
        <f>+COUNTIF(dHdcp[Columna1],dHdcp[[#This Row],[Columna1]])</f>
        <v>2</v>
      </c>
    </row>
    <row r="538" spans="1:14">
      <c r="A538" s="2">
        <v>43879</v>
      </c>
      <c r="B538" t="s">
        <v>6</v>
      </c>
      <c r="C538" s="51">
        <v>4.8999999999999977</v>
      </c>
      <c r="D538">
        <v>2</v>
      </c>
      <c r="E538" t="s">
        <v>75</v>
      </c>
      <c r="F538" t="s">
        <v>1004</v>
      </c>
      <c r="G538">
        <f>+IF(dHdcp[[#This Row],[Fecha]]=MAX(dHdcp[Fecha]),1,0)</f>
        <v>0</v>
      </c>
      <c r="H538" t="str">
        <f>+dHdcp[[#This Row],[Maximo]]&amp;":"&amp;dHdcp[[#This Row],[Nombre]]</f>
        <v>0:Ignacio Cadarso</v>
      </c>
      <c r="I538" t="str">
        <f>+dHdcp[[#This Row],[Maximo]]&amp;":"&amp;_xlfn.XLOOKUP(dHdcp[[#This Row],[Nombre]],dJugador[Nombre],dJugador[Mote],"",0)</f>
        <v>0:Ignacio</v>
      </c>
      <c r="J538" t="str">
        <f>+IF(dHdcp[[#This Row],[Maximo]]=0,"",_xlfn.RANK.EQ(dHdcp[[#This Row],[Handicap]],dHdcp[Handicap],1))</f>
        <v/>
      </c>
      <c r="K538" t="str">
        <f>IFERROR(+_xlfn.RANK.EQ(dHdcp[[#This Row],[Ranking]],dHdcp[Ranking],1),"")</f>
        <v/>
      </c>
      <c r="M538" t="str">
        <f>+dHdcp[[#This Row],[Fecha]]&amp;":"&amp;dHdcp[[#This Row],[Nombre]]</f>
        <v>43879:Ignacio Cadarso</v>
      </c>
      <c r="N538">
        <f>+COUNTIF(dHdcp[Columna1],dHdcp[[#This Row],[Columna1]])</f>
        <v>2</v>
      </c>
    </row>
    <row r="539" spans="1:14">
      <c r="A539" s="2">
        <v>43879</v>
      </c>
      <c r="B539" t="s">
        <v>23</v>
      </c>
      <c r="C539" s="51">
        <v>17.899999999999999</v>
      </c>
      <c r="D539">
        <v>3</v>
      </c>
      <c r="E539" t="s">
        <v>74</v>
      </c>
      <c r="F539" t="s">
        <v>1005</v>
      </c>
      <c r="G539">
        <f>+IF(dHdcp[[#This Row],[Fecha]]=MAX(dHdcp[Fecha]),1,0)</f>
        <v>0</v>
      </c>
      <c r="H539" t="str">
        <f>+dHdcp[[#This Row],[Maximo]]&amp;":"&amp;dHdcp[[#This Row],[Nombre]]</f>
        <v>0:J. Enrique Gonzalez</v>
      </c>
      <c r="I539" t="str">
        <f>+dHdcp[[#This Row],[Maximo]]&amp;":"&amp;_xlfn.XLOOKUP(dHdcp[[#This Row],[Nombre]],dJugador[Nombre],dJugador[Mote],"",0)</f>
        <v>0:Kike</v>
      </c>
      <c r="J539" t="str">
        <f>+IF(dHdcp[[#This Row],[Maximo]]=0,"",_xlfn.RANK.EQ(dHdcp[[#This Row],[Handicap]],dHdcp[Handicap],1))</f>
        <v/>
      </c>
      <c r="K539" t="str">
        <f>IFERROR(+_xlfn.RANK.EQ(dHdcp[[#This Row],[Ranking]],dHdcp[Ranking],1),"")</f>
        <v/>
      </c>
      <c r="M539" t="str">
        <f>+dHdcp[[#This Row],[Fecha]]&amp;":"&amp;dHdcp[[#This Row],[Nombre]]</f>
        <v>43879:J. Enrique Gonzalez</v>
      </c>
      <c r="N539">
        <f>+COUNTIF(dHdcp[Columna1],dHdcp[[#This Row],[Columna1]])</f>
        <v>2</v>
      </c>
    </row>
    <row r="540" spans="1:14">
      <c r="A540" s="2">
        <v>43879</v>
      </c>
      <c r="B540" t="s">
        <v>23</v>
      </c>
      <c r="C540" s="51">
        <v>17.899999999999999</v>
      </c>
      <c r="D540">
        <v>3</v>
      </c>
      <c r="E540" t="s">
        <v>75</v>
      </c>
      <c r="F540" t="s">
        <v>1006</v>
      </c>
      <c r="G540">
        <f>+IF(dHdcp[[#This Row],[Fecha]]=MAX(dHdcp[Fecha]),1,0)</f>
        <v>0</v>
      </c>
      <c r="H540" t="str">
        <f>+dHdcp[[#This Row],[Maximo]]&amp;":"&amp;dHdcp[[#This Row],[Nombre]]</f>
        <v>0:J. Enrique Gonzalez</v>
      </c>
      <c r="I540" t="str">
        <f>+dHdcp[[#This Row],[Maximo]]&amp;":"&amp;_xlfn.XLOOKUP(dHdcp[[#This Row],[Nombre]],dJugador[Nombre],dJugador[Mote],"",0)</f>
        <v>0:Kike</v>
      </c>
      <c r="J540" t="str">
        <f>+IF(dHdcp[[#This Row],[Maximo]]=0,"",_xlfn.RANK.EQ(dHdcp[[#This Row],[Handicap]],dHdcp[Handicap],1))</f>
        <v/>
      </c>
      <c r="K540" t="str">
        <f>IFERROR(+_xlfn.RANK.EQ(dHdcp[[#This Row],[Ranking]],dHdcp[Ranking],1),"")</f>
        <v/>
      </c>
      <c r="M540" t="str">
        <f>+dHdcp[[#This Row],[Fecha]]&amp;":"&amp;dHdcp[[#This Row],[Nombre]]</f>
        <v>43879:J. Enrique Gonzalez</v>
      </c>
      <c r="N540">
        <f>+COUNTIF(dHdcp[Columna1],dHdcp[[#This Row],[Columna1]])</f>
        <v>2</v>
      </c>
    </row>
    <row r="541" spans="1:14">
      <c r="A541" s="2">
        <v>43879</v>
      </c>
      <c r="B541" t="s">
        <v>46</v>
      </c>
      <c r="C541" s="51">
        <v>13.9</v>
      </c>
      <c r="D541">
        <v>3</v>
      </c>
      <c r="E541" t="s">
        <v>74</v>
      </c>
      <c r="F541" t="s">
        <v>1007</v>
      </c>
      <c r="G541">
        <f>+IF(dHdcp[[#This Row],[Fecha]]=MAX(dHdcp[Fecha]),1,0)</f>
        <v>0</v>
      </c>
      <c r="H541" t="str">
        <f>+dHdcp[[#This Row],[Maximo]]&amp;":"&amp;dHdcp[[#This Row],[Nombre]]</f>
        <v>0:Javier Cervera</v>
      </c>
      <c r="I541" t="str">
        <f>+dHdcp[[#This Row],[Maximo]]&amp;":"&amp;_xlfn.XLOOKUP(dHdcp[[#This Row],[Nombre]],dJugador[Nombre],dJugador[Mote],"",0)</f>
        <v>0:Virus</v>
      </c>
      <c r="J541" t="str">
        <f>+IF(dHdcp[[#This Row],[Maximo]]=0,"",_xlfn.RANK.EQ(dHdcp[[#This Row],[Handicap]],dHdcp[Handicap],1))</f>
        <v/>
      </c>
      <c r="K541" t="str">
        <f>IFERROR(+_xlfn.RANK.EQ(dHdcp[[#This Row],[Ranking]],dHdcp[Ranking],1),"")</f>
        <v/>
      </c>
      <c r="M541" t="str">
        <f>+dHdcp[[#This Row],[Fecha]]&amp;":"&amp;dHdcp[[#This Row],[Nombre]]</f>
        <v>43879:Javier Cervera</v>
      </c>
      <c r="N541">
        <f>+COUNTIF(dHdcp[Columna1],dHdcp[[#This Row],[Columna1]])</f>
        <v>2</v>
      </c>
    </row>
    <row r="542" spans="1:14">
      <c r="A542" s="2">
        <v>43879</v>
      </c>
      <c r="B542" t="s">
        <v>46</v>
      </c>
      <c r="C542" s="51">
        <v>13.799999999999995</v>
      </c>
      <c r="D542">
        <v>3</v>
      </c>
      <c r="E542" t="s">
        <v>75</v>
      </c>
      <c r="F542" t="s">
        <v>1008</v>
      </c>
      <c r="G542">
        <f>+IF(dHdcp[[#This Row],[Fecha]]=MAX(dHdcp[Fecha]),1,0)</f>
        <v>0</v>
      </c>
      <c r="H542" t="str">
        <f>+dHdcp[[#This Row],[Maximo]]&amp;":"&amp;dHdcp[[#This Row],[Nombre]]</f>
        <v>0:Javier Cervera</v>
      </c>
      <c r="I542" t="str">
        <f>+dHdcp[[#This Row],[Maximo]]&amp;":"&amp;_xlfn.XLOOKUP(dHdcp[[#This Row],[Nombre]],dJugador[Nombre],dJugador[Mote],"",0)</f>
        <v>0:Virus</v>
      </c>
      <c r="J542" t="str">
        <f>+IF(dHdcp[[#This Row],[Maximo]]=0,"",_xlfn.RANK.EQ(dHdcp[[#This Row],[Handicap]],dHdcp[Handicap],1))</f>
        <v/>
      </c>
      <c r="K542" t="str">
        <f>IFERROR(+_xlfn.RANK.EQ(dHdcp[[#This Row],[Ranking]],dHdcp[Ranking],1),"")</f>
        <v/>
      </c>
      <c r="M542" t="str">
        <f>+dHdcp[[#This Row],[Fecha]]&amp;":"&amp;dHdcp[[#This Row],[Nombre]]</f>
        <v>43879:Javier Cervera</v>
      </c>
      <c r="N542">
        <f>+COUNTIF(dHdcp[Columna1],dHdcp[[#This Row],[Columna1]])</f>
        <v>2</v>
      </c>
    </row>
    <row r="543" spans="1:14">
      <c r="A543" s="2">
        <v>43879</v>
      </c>
      <c r="B543" t="s">
        <v>20</v>
      </c>
      <c r="C543" s="51">
        <v>14.1</v>
      </c>
      <c r="D543">
        <v>3</v>
      </c>
      <c r="E543" t="s">
        <v>74</v>
      </c>
      <c r="F543" t="s">
        <v>1009</v>
      </c>
      <c r="G543">
        <f>+IF(dHdcp[[#This Row],[Fecha]]=MAX(dHdcp[Fecha]),1,0)</f>
        <v>0</v>
      </c>
      <c r="H543" t="str">
        <f>+dHdcp[[#This Row],[Maximo]]&amp;":"&amp;dHdcp[[#This Row],[Nombre]]</f>
        <v>0:Javier Gonzalez Salvador</v>
      </c>
      <c r="I543" t="str">
        <f>+dHdcp[[#This Row],[Maximo]]&amp;":"&amp;_xlfn.XLOOKUP(dHdcp[[#This Row],[Nombre]],dJugador[Nombre],dJugador[Mote],"",0)</f>
        <v>0:Javi</v>
      </c>
      <c r="J543" t="str">
        <f>+IF(dHdcp[[#This Row],[Maximo]]=0,"",_xlfn.RANK.EQ(dHdcp[[#This Row],[Handicap]],dHdcp[Handicap],1))</f>
        <v/>
      </c>
      <c r="K543" t="str">
        <f>IFERROR(+_xlfn.RANK.EQ(dHdcp[[#This Row],[Ranking]],dHdcp[Ranking],1),"")</f>
        <v/>
      </c>
      <c r="M543" t="str">
        <f>+dHdcp[[#This Row],[Fecha]]&amp;":"&amp;dHdcp[[#This Row],[Nombre]]</f>
        <v>43879:Javier Gonzalez Salvador</v>
      </c>
      <c r="N543">
        <f>+COUNTIF(dHdcp[Columna1],dHdcp[[#This Row],[Columna1]])</f>
        <v>2</v>
      </c>
    </row>
    <row r="544" spans="1:14">
      <c r="A544" s="2">
        <v>43879</v>
      </c>
      <c r="B544" t="s">
        <v>20</v>
      </c>
      <c r="C544" s="51">
        <v>10.899999999999997</v>
      </c>
      <c r="D544">
        <v>2</v>
      </c>
      <c r="E544" t="s">
        <v>75</v>
      </c>
      <c r="F544" t="s">
        <v>1010</v>
      </c>
      <c r="G544">
        <f>+IF(dHdcp[[#This Row],[Fecha]]=MAX(dHdcp[Fecha]),1,0)</f>
        <v>0</v>
      </c>
      <c r="H544" t="str">
        <f>+dHdcp[[#This Row],[Maximo]]&amp;":"&amp;dHdcp[[#This Row],[Nombre]]</f>
        <v>0:Javier Gonzalez Salvador</v>
      </c>
      <c r="I544" t="str">
        <f>+dHdcp[[#This Row],[Maximo]]&amp;":"&amp;_xlfn.XLOOKUP(dHdcp[[#This Row],[Nombre]],dJugador[Nombre],dJugador[Mote],"",0)</f>
        <v>0:Javi</v>
      </c>
      <c r="J544" t="str">
        <f>+IF(dHdcp[[#This Row],[Maximo]]=0,"",_xlfn.RANK.EQ(dHdcp[[#This Row],[Handicap]],dHdcp[Handicap],1))</f>
        <v/>
      </c>
      <c r="K544" t="str">
        <f>IFERROR(+_xlfn.RANK.EQ(dHdcp[[#This Row],[Ranking]],dHdcp[Ranking],1),"")</f>
        <v/>
      </c>
      <c r="M544" t="str">
        <f>+dHdcp[[#This Row],[Fecha]]&amp;":"&amp;dHdcp[[#This Row],[Nombre]]</f>
        <v>43879:Javier Gonzalez Salvador</v>
      </c>
      <c r="N544">
        <f>+COUNTIF(dHdcp[Columna1],dHdcp[[#This Row],[Columna1]])</f>
        <v>2</v>
      </c>
    </row>
    <row r="545" spans="1:14">
      <c r="A545" s="2">
        <v>43879</v>
      </c>
      <c r="B545" t="s">
        <v>41</v>
      </c>
      <c r="C545" s="51">
        <v>21.5</v>
      </c>
      <c r="D545">
        <v>4</v>
      </c>
      <c r="E545" t="s">
        <v>74</v>
      </c>
      <c r="F545" t="s">
        <v>1011</v>
      </c>
      <c r="G545">
        <f>+IF(dHdcp[[#This Row],[Fecha]]=MAX(dHdcp[Fecha]),1,0)</f>
        <v>0</v>
      </c>
      <c r="H545" t="str">
        <f>+dHdcp[[#This Row],[Maximo]]&amp;":"&amp;dHdcp[[#This Row],[Nombre]]</f>
        <v>0:Jesus Touceda</v>
      </c>
      <c r="I545" t="str">
        <f>+dHdcp[[#This Row],[Maximo]]&amp;":"&amp;_xlfn.XLOOKUP(dHdcp[[#This Row],[Nombre]],dJugador[Nombre],dJugador[Mote],"",0)</f>
        <v>0:Jesús</v>
      </c>
      <c r="J545" t="str">
        <f>+IF(dHdcp[[#This Row],[Maximo]]=0,"",_xlfn.RANK.EQ(dHdcp[[#This Row],[Handicap]],dHdcp[Handicap],1))</f>
        <v/>
      </c>
      <c r="K545" t="str">
        <f>IFERROR(+_xlfn.RANK.EQ(dHdcp[[#This Row],[Ranking]],dHdcp[Ranking],1),"")</f>
        <v/>
      </c>
      <c r="M545" t="str">
        <f>+dHdcp[[#This Row],[Fecha]]&amp;":"&amp;dHdcp[[#This Row],[Nombre]]</f>
        <v>43879:Jesus Touceda</v>
      </c>
      <c r="N545">
        <f>+COUNTIF(dHdcp[Columna1],dHdcp[[#This Row],[Columna1]])</f>
        <v>2</v>
      </c>
    </row>
    <row r="546" spans="1:14">
      <c r="A546" s="2">
        <v>43879</v>
      </c>
      <c r="B546" t="s">
        <v>41</v>
      </c>
      <c r="C546" s="51">
        <v>21.500000000000004</v>
      </c>
      <c r="D546">
        <v>4</v>
      </c>
      <c r="E546" t="s">
        <v>75</v>
      </c>
      <c r="F546" t="s">
        <v>1012</v>
      </c>
      <c r="G546">
        <f>+IF(dHdcp[[#This Row],[Fecha]]=MAX(dHdcp[Fecha]),1,0)</f>
        <v>0</v>
      </c>
      <c r="H546" t="str">
        <f>+dHdcp[[#This Row],[Maximo]]&amp;":"&amp;dHdcp[[#This Row],[Nombre]]</f>
        <v>0:Jesus Touceda</v>
      </c>
      <c r="I546" t="str">
        <f>+dHdcp[[#This Row],[Maximo]]&amp;":"&amp;_xlfn.XLOOKUP(dHdcp[[#This Row],[Nombre]],dJugador[Nombre],dJugador[Mote],"",0)</f>
        <v>0:Jesús</v>
      </c>
      <c r="J546" t="str">
        <f>+IF(dHdcp[[#This Row],[Maximo]]=0,"",_xlfn.RANK.EQ(dHdcp[[#This Row],[Handicap]],dHdcp[Handicap],1))</f>
        <v/>
      </c>
      <c r="K546" t="str">
        <f>IFERROR(+_xlfn.RANK.EQ(dHdcp[[#This Row],[Ranking]],dHdcp[Ranking],1),"")</f>
        <v/>
      </c>
      <c r="M546" t="str">
        <f>+dHdcp[[#This Row],[Fecha]]&amp;":"&amp;dHdcp[[#This Row],[Nombre]]</f>
        <v>43879:Jesus Touceda</v>
      </c>
      <c r="N546">
        <f>+COUNTIF(dHdcp[Columna1],dHdcp[[#This Row],[Columna1]])</f>
        <v>2</v>
      </c>
    </row>
    <row r="547" spans="1:14">
      <c r="A547" s="2">
        <v>43879</v>
      </c>
      <c r="B547" t="s">
        <v>18</v>
      </c>
      <c r="C547" s="51">
        <v>7</v>
      </c>
      <c r="D547">
        <v>2</v>
      </c>
      <c r="E547" t="s">
        <v>74</v>
      </c>
      <c r="F547" t="s">
        <v>1013</v>
      </c>
      <c r="G547">
        <f>+IF(dHdcp[[#This Row],[Fecha]]=MAX(dHdcp[Fecha]),1,0)</f>
        <v>0</v>
      </c>
      <c r="H547" t="str">
        <f>+dHdcp[[#This Row],[Maximo]]&amp;":"&amp;dHdcp[[#This Row],[Nombre]]</f>
        <v>0:José Pablo Guil</v>
      </c>
      <c r="I547" t="str">
        <f>+dHdcp[[#This Row],[Maximo]]&amp;":"&amp;_xlfn.XLOOKUP(dHdcp[[#This Row],[Nombre]],dJugador[Nombre],dJugador[Mote],"",0)</f>
        <v>0:JP</v>
      </c>
      <c r="J547" t="str">
        <f>+IF(dHdcp[[#This Row],[Maximo]]=0,"",_xlfn.RANK.EQ(dHdcp[[#This Row],[Handicap]],dHdcp[Handicap],1))</f>
        <v/>
      </c>
      <c r="K547" t="str">
        <f>IFERROR(+_xlfn.RANK.EQ(dHdcp[[#This Row],[Ranking]],dHdcp[Ranking],1),"")</f>
        <v/>
      </c>
      <c r="M547" t="str">
        <f>+dHdcp[[#This Row],[Fecha]]&amp;":"&amp;dHdcp[[#This Row],[Nombre]]</f>
        <v>43879:José Pablo Guil</v>
      </c>
      <c r="N547">
        <f>+COUNTIF(dHdcp[Columna1],dHdcp[[#This Row],[Columna1]])</f>
        <v>2</v>
      </c>
    </row>
    <row r="548" spans="1:14">
      <c r="A548" s="2">
        <v>43879</v>
      </c>
      <c r="B548" t="s">
        <v>18</v>
      </c>
      <c r="C548" s="51">
        <v>5.6999999999999957</v>
      </c>
      <c r="D548">
        <v>2</v>
      </c>
      <c r="E548" t="s">
        <v>75</v>
      </c>
      <c r="F548" t="s">
        <v>1014</v>
      </c>
      <c r="G548">
        <f>+IF(dHdcp[[#This Row],[Fecha]]=MAX(dHdcp[Fecha]),1,0)</f>
        <v>0</v>
      </c>
      <c r="H548" t="str">
        <f>+dHdcp[[#This Row],[Maximo]]&amp;":"&amp;dHdcp[[#This Row],[Nombre]]</f>
        <v>0:José Pablo Guil</v>
      </c>
      <c r="I548" t="str">
        <f>+dHdcp[[#This Row],[Maximo]]&amp;":"&amp;_xlfn.XLOOKUP(dHdcp[[#This Row],[Nombre]],dJugador[Nombre],dJugador[Mote],"",0)</f>
        <v>0:JP</v>
      </c>
      <c r="J548" t="str">
        <f>+IF(dHdcp[[#This Row],[Maximo]]=0,"",_xlfn.RANK.EQ(dHdcp[[#This Row],[Handicap]],dHdcp[Handicap],1))</f>
        <v/>
      </c>
      <c r="K548" t="str">
        <f>IFERROR(+_xlfn.RANK.EQ(dHdcp[[#This Row],[Ranking]],dHdcp[Ranking],1),"")</f>
        <v/>
      </c>
      <c r="M548" t="str">
        <f>+dHdcp[[#This Row],[Fecha]]&amp;":"&amp;dHdcp[[#This Row],[Nombre]]</f>
        <v>43879:José Pablo Guil</v>
      </c>
      <c r="N548">
        <f>+COUNTIF(dHdcp[Columna1],dHdcp[[#This Row],[Columna1]])</f>
        <v>2</v>
      </c>
    </row>
    <row r="549" spans="1:14">
      <c r="A549" s="2">
        <v>43879</v>
      </c>
      <c r="B549" t="s">
        <v>43</v>
      </c>
      <c r="C549" s="51">
        <v>17.399999999999999</v>
      </c>
      <c r="D549">
        <v>3</v>
      </c>
      <c r="E549" t="s">
        <v>74</v>
      </c>
      <c r="F549" t="s">
        <v>1015</v>
      </c>
      <c r="G549">
        <f>+IF(dHdcp[[#This Row],[Fecha]]=MAX(dHdcp[Fecha]),1,0)</f>
        <v>0</v>
      </c>
      <c r="H549" t="str">
        <f>+dHdcp[[#This Row],[Maximo]]&amp;":"&amp;dHdcp[[#This Row],[Nombre]]</f>
        <v>0:Luis Escudero</v>
      </c>
      <c r="I549" t="str">
        <f>+dHdcp[[#This Row],[Maximo]]&amp;":"&amp;_xlfn.XLOOKUP(dHdcp[[#This Row],[Nombre]],dJugador[Nombre],dJugador[Mote],"",0)</f>
        <v>0:Lucho</v>
      </c>
      <c r="J549" t="str">
        <f>+IF(dHdcp[[#This Row],[Maximo]]=0,"",_xlfn.RANK.EQ(dHdcp[[#This Row],[Handicap]],dHdcp[Handicap],1))</f>
        <v/>
      </c>
      <c r="K549" t="str">
        <f>IFERROR(+_xlfn.RANK.EQ(dHdcp[[#This Row],[Ranking]],dHdcp[Ranking],1),"")</f>
        <v/>
      </c>
      <c r="M549" t="str">
        <f>+dHdcp[[#This Row],[Fecha]]&amp;":"&amp;dHdcp[[#This Row],[Nombre]]</f>
        <v>43879:Luis Escudero</v>
      </c>
      <c r="N549">
        <f>+COUNTIF(dHdcp[Columna1],dHdcp[[#This Row],[Columna1]])</f>
        <v>2</v>
      </c>
    </row>
    <row r="550" spans="1:14">
      <c r="A550" s="2">
        <v>43879</v>
      </c>
      <c r="B550" t="s">
        <v>43</v>
      </c>
      <c r="C550" s="51">
        <v>16.999999999999996</v>
      </c>
      <c r="D550">
        <v>3</v>
      </c>
      <c r="E550" t="s">
        <v>75</v>
      </c>
      <c r="F550" t="s">
        <v>1016</v>
      </c>
      <c r="G550">
        <f>+IF(dHdcp[[#This Row],[Fecha]]=MAX(dHdcp[Fecha]),1,0)</f>
        <v>0</v>
      </c>
      <c r="H550" t="str">
        <f>+dHdcp[[#This Row],[Maximo]]&amp;":"&amp;dHdcp[[#This Row],[Nombre]]</f>
        <v>0:Luis Escudero</v>
      </c>
      <c r="I550" t="str">
        <f>+dHdcp[[#This Row],[Maximo]]&amp;":"&amp;_xlfn.XLOOKUP(dHdcp[[#This Row],[Nombre]],dJugador[Nombre],dJugador[Mote],"",0)</f>
        <v>0:Lucho</v>
      </c>
      <c r="J550" t="str">
        <f>+IF(dHdcp[[#This Row],[Maximo]]=0,"",_xlfn.RANK.EQ(dHdcp[[#This Row],[Handicap]],dHdcp[Handicap],1))</f>
        <v/>
      </c>
      <c r="K550" t="str">
        <f>IFERROR(+_xlfn.RANK.EQ(dHdcp[[#This Row],[Ranking]],dHdcp[Ranking],1),"")</f>
        <v/>
      </c>
      <c r="M550" t="str">
        <f>+dHdcp[[#This Row],[Fecha]]&amp;":"&amp;dHdcp[[#This Row],[Nombre]]</f>
        <v>43879:Luis Escudero</v>
      </c>
      <c r="N550">
        <f>+COUNTIF(dHdcp[Columna1],dHdcp[[#This Row],[Columna1]])</f>
        <v>2</v>
      </c>
    </row>
    <row r="551" spans="1:14">
      <c r="A551" s="2">
        <v>43879</v>
      </c>
      <c r="B551" t="s">
        <v>51</v>
      </c>
      <c r="C551" s="51">
        <v>1.6</v>
      </c>
      <c r="D551">
        <v>1</v>
      </c>
      <c r="E551" t="s">
        <v>74</v>
      </c>
      <c r="F551" t="s">
        <v>1017</v>
      </c>
      <c r="G551">
        <f>+IF(dHdcp[[#This Row],[Fecha]]=MAX(dHdcp[Fecha]),1,0)</f>
        <v>0</v>
      </c>
      <c r="H551" t="str">
        <f>+dHdcp[[#This Row],[Maximo]]&amp;":"&amp;dHdcp[[#This Row],[Nombre]]</f>
        <v>0:Miguel Diaz Del Moral</v>
      </c>
      <c r="I551" t="str">
        <f>+dHdcp[[#This Row],[Maximo]]&amp;":"&amp;_xlfn.XLOOKUP(dHdcp[[#This Row],[Nombre]],dJugador[Nombre],dJugador[Mote],"",0)</f>
        <v>0:Cañita</v>
      </c>
      <c r="J551" t="str">
        <f>+IF(dHdcp[[#This Row],[Maximo]]=0,"",_xlfn.RANK.EQ(dHdcp[[#This Row],[Handicap]],dHdcp[Handicap],1))</f>
        <v/>
      </c>
      <c r="K551" t="str">
        <f>IFERROR(+_xlfn.RANK.EQ(dHdcp[[#This Row],[Ranking]],dHdcp[Ranking],1),"")</f>
        <v/>
      </c>
      <c r="M551" t="str">
        <f>+dHdcp[[#This Row],[Fecha]]&amp;":"&amp;dHdcp[[#This Row],[Nombre]]</f>
        <v>43879:Miguel Diaz Del Moral</v>
      </c>
      <c r="N551">
        <f>+COUNTIF(dHdcp[Columna1],dHdcp[[#This Row],[Columna1]])</f>
        <v>1</v>
      </c>
    </row>
    <row r="552" spans="1:14">
      <c r="A552" s="2">
        <v>43879</v>
      </c>
      <c r="B552" t="s">
        <v>3</v>
      </c>
      <c r="C552" s="51">
        <v>6.2</v>
      </c>
      <c r="D552">
        <v>2</v>
      </c>
      <c r="E552" t="s">
        <v>74</v>
      </c>
      <c r="F552" t="s">
        <v>1018</v>
      </c>
      <c r="G552">
        <f>+IF(dHdcp[[#This Row],[Fecha]]=MAX(dHdcp[Fecha]),1,0)</f>
        <v>0</v>
      </c>
      <c r="H552" t="str">
        <f>+dHdcp[[#This Row],[Maximo]]&amp;":"&amp;dHdcp[[#This Row],[Nombre]]</f>
        <v>0:Nacho Gonzalez</v>
      </c>
      <c r="I552" t="str">
        <f>+dHdcp[[#This Row],[Maximo]]&amp;":"&amp;_xlfn.XLOOKUP(dHdcp[[#This Row],[Nombre]],dJugador[Nombre],dJugador[Mote],"",0)</f>
        <v>0:Nacho</v>
      </c>
      <c r="J552" t="str">
        <f>+IF(dHdcp[[#This Row],[Maximo]]=0,"",_xlfn.RANK.EQ(dHdcp[[#This Row],[Handicap]],dHdcp[Handicap],1))</f>
        <v/>
      </c>
      <c r="K552" t="str">
        <f>IFERROR(+_xlfn.RANK.EQ(dHdcp[[#This Row],[Ranking]],dHdcp[Ranking],1),"")</f>
        <v/>
      </c>
      <c r="M552" t="str">
        <f>+dHdcp[[#This Row],[Fecha]]&amp;":"&amp;dHdcp[[#This Row],[Nombre]]</f>
        <v>43879:Nacho Gonzalez</v>
      </c>
      <c r="N552">
        <f>+COUNTIF(dHdcp[Columna1],dHdcp[[#This Row],[Columna1]])</f>
        <v>2</v>
      </c>
    </row>
    <row r="553" spans="1:14">
      <c r="A553" s="2">
        <v>43879</v>
      </c>
      <c r="B553" t="s">
        <v>3</v>
      </c>
      <c r="C553" s="51">
        <v>4.3999999999999995</v>
      </c>
      <c r="D553">
        <v>1</v>
      </c>
      <c r="E553" t="s">
        <v>75</v>
      </c>
      <c r="F553" t="s">
        <v>1019</v>
      </c>
      <c r="G553">
        <f>+IF(dHdcp[[#This Row],[Fecha]]=MAX(dHdcp[Fecha]),1,0)</f>
        <v>0</v>
      </c>
      <c r="H553" t="str">
        <f>+dHdcp[[#This Row],[Maximo]]&amp;":"&amp;dHdcp[[#This Row],[Nombre]]</f>
        <v>0:Nacho Gonzalez</v>
      </c>
      <c r="I553" t="str">
        <f>+dHdcp[[#This Row],[Maximo]]&amp;":"&amp;_xlfn.XLOOKUP(dHdcp[[#This Row],[Nombre]],dJugador[Nombre],dJugador[Mote],"",0)</f>
        <v>0:Nacho</v>
      </c>
      <c r="J553" t="str">
        <f>+IF(dHdcp[[#This Row],[Maximo]]=0,"",_xlfn.RANK.EQ(dHdcp[[#This Row],[Handicap]],dHdcp[Handicap],1))</f>
        <v/>
      </c>
      <c r="K553" t="str">
        <f>IFERROR(+_xlfn.RANK.EQ(dHdcp[[#This Row],[Ranking]],dHdcp[Ranking],1),"")</f>
        <v/>
      </c>
      <c r="M553" t="str">
        <f>+dHdcp[[#This Row],[Fecha]]&amp;":"&amp;dHdcp[[#This Row],[Nombre]]</f>
        <v>43879:Nacho Gonzalez</v>
      </c>
      <c r="N553">
        <f>+COUNTIF(dHdcp[Columna1],dHdcp[[#This Row],[Columna1]])</f>
        <v>2</v>
      </c>
    </row>
    <row r="554" spans="1:14">
      <c r="A554" s="2">
        <v>43879</v>
      </c>
      <c r="B554" t="s">
        <v>28</v>
      </c>
      <c r="C554" s="51">
        <v>13.4</v>
      </c>
      <c r="D554">
        <v>3</v>
      </c>
      <c r="E554" t="s">
        <v>74</v>
      </c>
      <c r="F554" t="s">
        <v>1020</v>
      </c>
      <c r="G554">
        <f>+IF(dHdcp[[#This Row],[Fecha]]=MAX(dHdcp[Fecha]),1,0)</f>
        <v>0</v>
      </c>
      <c r="H554" t="str">
        <f>+dHdcp[[#This Row],[Maximo]]&amp;":"&amp;dHdcp[[#This Row],[Nombre]]</f>
        <v>0:Pablo Munitiz</v>
      </c>
      <c r="I554" t="str">
        <f>+dHdcp[[#This Row],[Maximo]]&amp;":"&amp;_xlfn.XLOOKUP(dHdcp[[#This Row],[Nombre]],dJugador[Nombre],dJugador[Mote],"",0)</f>
        <v>0:Muni</v>
      </c>
      <c r="J554" t="str">
        <f>+IF(dHdcp[[#This Row],[Maximo]]=0,"",_xlfn.RANK.EQ(dHdcp[[#This Row],[Handicap]],dHdcp[Handicap],1))</f>
        <v/>
      </c>
      <c r="K554" t="str">
        <f>IFERROR(+_xlfn.RANK.EQ(dHdcp[[#This Row],[Ranking]],dHdcp[Ranking],1),"")</f>
        <v/>
      </c>
      <c r="M554" t="str">
        <f>+dHdcp[[#This Row],[Fecha]]&amp;":"&amp;dHdcp[[#This Row],[Nombre]]</f>
        <v>43879:Pablo Munitiz</v>
      </c>
      <c r="N554">
        <f>+COUNTIF(dHdcp[Columna1],dHdcp[[#This Row],[Columna1]])</f>
        <v>2</v>
      </c>
    </row>
    <row r="555" spans="1:14">
      <c r="A555" s="2">
        <v>43879</v>
      </c>
      <c r="B555" t="s">
        <v>28</v>
      </c>
      <c r="C555" s="51">
        <v>13.4</v>
      </c>
      <c r="D555">
        <v>3</v>
      </c>
      <c r="E555" t="s">
        <v>75</v>
      </c>
      <c r="F555" t="s">
        <v>1021</v>
      </c>
      <c r="G555">
        <f>+IF(dHdcp[[#This Row],[Fecha]]=MAX(dHdcp[Fecha]),1,0)</f>
        <v>0</v>
      </c>
      <c r="H555" t="str">
        <f>+dHdcp[[#This Row],[Maximo]]&amp;":"&amp;dHdcp[[#This Row],[Nombre]]</f>
        <v>0:Pablo Munitiz</v>
      </c>
      <c r="I555" t="str">
        <f>+dHdcp[[#This Row],[Maximo]]&amp;":"&amp;_xlfn.XLOOKUP(dHdcp[[#This Row],[Nombre]],dJugador[Nombre],dJugador[Mote],"",0)</f>
        <v>0:Muni</v>
      </c>
      <c r="J555" t="str">
        <f>+IF(dHdcp[[#This Row],[Maximo]]=0,"",_xlfn.RANK.EQ(dHdcp[[#This Row],[Handicap]],dHdcp[Handicap],1))</f>
        <v/>
      </c>
      <c r="K555" t="str">
        <f>IFERROR(+_xlfn.RANK.EQ(dHdcp[[#This Row],[Ranking]],dHdcp[Ranking],1),"")</f>
        <v/>
      </c>
      <c r="M555" t="str">
        <f>+dHdcp[[#This Row],[Fecha]]&amp;":"&amp;dHdcp[[#This Row],[Nombre]]</f>
        <v>43879:Pablo Munitiz</v>
      </c>
      <c r="N555">
        <f>+COUNTIF(dHdcp[Columna1],dHdcp[[#This Row],[Columna1]])</f>
        <v>2</v>
      </c>
    </row>
    <row r="556" spans="1:14">
      <c r="A556" s="2">
        <v>43992</v>
      </c>
      <c r="B556" t="s">
        <v>9</v>
      </c>
      <c r="C556" s="51">
        <v>9.3000000000000007</v>
      </c>
      <c r="D556">
        <f>+VLOOKUP(dHdcp[[#This Row],[Handicap]],'Categoría Hdcap'!$B$2:$E$7,4)</f>
        <v>2</v>
      </c>
      <c r="E556" t="s">
        <v>74</v>
      </c>
      <c r="F556" t="s">
        <v>1022</v>
      </c>
      <c r="G556">
        <f>+IF(dHdcp[[#This Row],[Fecha]]=MAX(dHdcp[Fecha]),1,0)</f>
        <v>0</v>
      </c>
      <c r="H556" t="str">
        <f>+dHdcp[[#This Row],[Maximo]]&amp;":"&amp;dHdcp[[#This Row],[Nombre]]</f>
        <v>0:Alfonso Hidalgo</v>
      </c>
      <c r="I556" t="str">
        <f>+dHdcp[[#This Row],[Maximo]]&amp;":"&amp;_xlfn.XLOOKUP(dHdcp[[#This Row],[Nombre]],dJugador[Nombre],dJugador[Mote],"",0)</f>
        <v>0:Alfonso</v>
      </c>
      <c r="J556" t="str">
        <f>+IF(dHdcp[[#This Row],[Maximo]]=0,"",_xlfn.RANK.EQ(dHdcp[[#This Row],[Handicap]],dHdcp[Handicap],1))</f>
        <v/>
      </c>
      <c r="K556" t="str">
        <f>IFERROR(+_xlfn.RANK.EQ(dHdcp[[#This Row],[Ranking]],dHdcp[Ranking],1),"")</f>
        <v/>
      </c>
      <c r="M556" t="str">
        <f>+dHdcp[[#This Row],[Fecha]]&amp;":"&amp;dHdcp[[#This Row],[Nombre]]</f>
        <v>43992:Alfonso Hidalgo</v>
      </c>
      <c r="N556">
        <f>+COUNTIF(dHdcp[Columna1],dHdcp[[#This Row],[Columna1]])</f>
        <v>2</v>
      </c>
    </row>
    <row r="557" spans="1:14">
      <c r="A557" s="2">
        <v>43992</v>
      </c>
      <c r="B557" t="s">
        <v>9</v>
      </c>
      <c r="C557" s="51">
        <v>8.0000000000000036</v>
      </c>
      <c r="D557">
        <v>2</v>
      </c>
      <c r="E557" t="s">
        <v>75</v>
      </c>
      <c r="F557" t="s">
        <v>1023</v>
      </c>
      <c r="G557">
        <f>+IF(dHdcp[[#This Row],[Fecha]]=MAX(dHdcp[Fecha]),1,0)</f>
        <v>0</v>
      </c>
      <c r="H557" t="str">
        <f>+dHdcp[[#This Row],[Maximo]]&amp;":"&amp;dHdcp[[#This Row],[Nombre]]</f>
        <v>0:Alfonso Hidalgo</v>
      </c>
      <c r="I557" t="str">
        <f>+dHdcp[[#This Row],[Maximo]]&amp;":"&amp;_xlfn.XLOOKUP(dHdcp[[#This Row],[Nombre]],dJugador[Nombre],dJugador[Mote],"",0)</f>
        <v>0:Alfonso</v>
      </c>
      <c r="J557" t="str">
        <f>+IF(dHdcp[[#This Row],[Maximo]]=0,"",_xlfn.RANK.EQ(dHdcp[[#This Row],[Handicap]],dHdcp[Handicap],1))</f>
        <v/>
      </c>
      <c r="K557" t="str">
        <f>IFERROR(+_xlfn.RANK.EQ(dHdcp[[#This Row],[Ranking]],dHdcp[Ranking],1),"")</f>
        <v/>
      </c>
      <c r="M557" t="str">
        <f>+dHdcp[[#This Row],[Fecha]]&amp;":"&amp;dHdcp[[#This Row],[Nombre]]</f>
        <v>43992:Alfonso Hidalgo</v>
      </c>
      <c r="N557">
        <f>+COUNTIF(dHdcp[Columna1],dHdcp[[#This Row],[Columna1]])</f>
        <v>2</v>
      </c>
    </row>
    <row r="558" spans="1:14">
      <c r="A558" s="2">
        <v>43992</v>
      </c>
      <c r="B558" t="s">
        <v>15</v>
      </c>
      <c r="C558" s="51">
        <v>4.8</v>
      </c>
      <c r="D558">
        <f>+VLOOKUP(dHdcp[[#This Row],[Handicap]],'Categoría Hdcap'!$B$2:$E$7,4)</f>
        <v>2</v>
      </c>
      <c r="E558" t="s">
        <v>74</v>
      </c>
      <c r="F558" t="s">
        <v>1024</v>
      </c>
      <c r="G558">
        <f>+IF(dHdcp[[#This Row],[Fecha]]=MAX(dHdcp[Fecha]),1,0)</f>
        <v>0</v>
      </c>
      <c r="H558" t="str">
        <f>+dHdcp[[#This Row],[Maximo]]&amp;":"&amp;dHdcp[[#This Row],[Nombre]]</f>
        <v>0:Alvaro Aguirre</v>
      </c>
      <c r="I558" t="str">
        <f>+dHdcp[[#This Row],[Maximo]]&amp;":"&amp;_xlfn.XLOOKUP(dHdcp[[#This Row],[Nombre]],dJugador[Nombre],dJugador[Mote],"",0)</f>
        <v>0:Gifu</v>
      </c>
      <c r="J558" t="str">
        <f>+IF(dHdcp[[#This Row],[Maximo]]=0,"",_xlfn.RANK.EQ(dHdcp[[#This Row],[Handicap]],dHdcp[Handicap],1))</f>
        <v/>
      </c>
      <c r="K558" t="str">
        <f>IFERROR(+_xlfn.RANK.EQ(dHdcp[[#This Row],[Ranking]],dHdcp[Ranking],1),"")</f>
        <v/>
      </c>
      <c r="M558" t="str">
        <f>+dHdcp[[#This Row],[Fecha]]&amp;":"&amp;dHdcp[[#This Row],[Nombre]]</f>
        <v>43992:Alvaro Aguirre</v>
      </c>
      <c r="N558">
        <f>+COUNTIF(dHdcp[Columna1],dHdcp[[#This Row],[Columna1]])</f>
        <v>2</v>
      </c>
    </row>
    <row r="559" spans="1:14">
      <c r="A559" s="2">
        <v>43992</v>
      </c>
      <c r="B559" t="s">
        <v>15</v>
      </c>
      <c r="C559" s="51">
        <v>4.799999999999998</v>
      </c>
      <c r="D559">
        <v>2</v>
      </c>
      <c r="E559" t="s">
        <v>75</v>
      </c>
      <c r="F559" t="s">
        <v>1025</v>
      </c>
      <c r="G559">
        <f>+IF(dHdcp[[#This Row],[Fecha]]=MAX(dHdcp[Fecha]),1,0)</f>
        <v>0</v>
      </c>
      <c r="H559" t="str">
        <f>+dHdcp[[#This Row],[Maximo]]&amp;":"&amp;dHdcp[[#This Row],[Nombre]]</f>
        <v>0:Alvaro Aguirre</v>
      </c>
      <c r="I559" t="str">
        <f>+dHdcp[[#This Row],[Maximo]]&amp;":"&amp;_xlfn.XLOOKUP(dHdcp[[#This Row],[Nombre]],dJugador[Nombre],dJugador[Mote],"",0)</f>
        <v>0:Gifu</v>
      </c>
      <c r="J559" t="str">
        <f>+IF(dHdcp[[#This Row],[Maximo]]=0,"",_xlfn.RANK.EQ(dHdcp[[#This Row],[Handicap]],dHdcp[Handicap],1))</f>
        <v/>
      </c>
      <c r="K559" t="str">
        <f>IFERROR(+_xlfn.RANK.EQ(dHdcp[[#This Row],[Ranking]],dHdcp[Ranking],1),"")</f>
        <v/>
      </c>
      <c r="M559" t="str">
        <f>+dHdcp[[#This Row],[Fecha]]&amp;":"&amp;dHdcp[[#This Row],[Nombre]]</f>
        <v>43992:Alvaro Aguirre</v>
      </c>
      <c r="N559">
        <f>+COUNTIF(dHdcp[Columna1],dHdcp[[#This Row],[Columna1]])</f>
        <v>2</v>
      </c>
    </row>
    <row r="560" spans="1:14">
      <c r="A560" s="2">
        <v>43992</v>
      </c>
      <c r="B560" t="s">
        <v>25</v>
      </c>
      <c r="C560" s="51">
        <v>14.1</v>
      </c>
      <c r="D560">
        <f>+VLOOKUP(dHdcp[[#This Row],[Handicap]],'Categoría Hdcap'!$B$2:$E$7,4)</f>
        <v>3</v>
      </c>
      <c r="E560" t="s">
        <v>74</v>
      </c>
      <c r="F560" t="s">
        <v>1026</v>
      </c>
      <c r="G560">
        <f>+IF(dHdcp[[#This Row],[Fecha]]=MAX(dHdcp[Fecha]),1,0)</f>
        <v>0</v>
      </c>
      <c r="H560" t="str">
        <f>+dHdcp[[#This Row],[Maximo]]&amp;":"&amp;dHdcp[[#This Row],[Nombre]]</f>
        <v>0:Alvaro Nieto</v>
      </c>
      <c r="I560" t="str">
        <f>+dHdcp[[#This Row],[Maximo]]&amp;":"&amp;_xlfn.XLOOKUP(dHdcp[[#This Row],[Nombre]],dJugador[Nombre],dJugador[Mote],"",0)</f>
        <v>0:Alvaro</v>
      </c>
      <c r="J560" t="str">
        <f>+IF(dHdcp[[#This Row],[Maximo]]=0,"",_xlfn.RANK.EQ(dHdcp[[#This Row],[Handicap]],dHdcp[Handicap],1))</f>
        <v/>
      </c>
      <c r="K560" t="str">
        <f>IFERROR(+_xlfn.RANK.EQ(dHdcp[[#This Row],[Ranking]],dHdcp[Ranking],1),"")</f>
        <v/>
      </c>
      <c r="M560" t="str">
        <f>+dHdcp[[#This Row],[Fecha]]&amp;":"&amp;dHdcp[[#This Row],[Nombre]]</f>
        <v>43992:Alvaro Nieto</v>
      </c>
      <c r="N560">
        <f>+COUNTIF(dHdcp[Columna1],dHdcp[[#This Row],[Columna1]])</f>
        <v>2</v>
      </c>
    </row>
    <row r="561" spans="1:14">
      <c r="A561" s="2">
        <v>43992</v>
      </c>
      <c r="B561" t="s">
        <v>25</v>
      </c>
      <c r="C561" s="51">
        <v>13.2</v>
      </c>
      <c r="D561">
        <v>3</v>
      </c>
      <c r="E561" t="s">
        <v>75</v>
      </c>
      <c r="F561" t="s">
        <v>1027</v>
      </c>
      <c r="G561">
        <f>+IF(dHdcp[[#This Row],[Fecha]]=MAX(dHdcp[Fecha]),1,0)</f>
        <v>0</v>
      </c>
      <c r="H561" t="str">
        <f>+dHdcp[[#This Row],[Maximo]]&amp;":"&amp;dHdcp[[#This Row],[Nombre]]</f>
        <v>0:Alvaro Nieto</v>
      </c>
      <c r="I561" t="str">
        <f>+dHdcp[[#This Row],[Maximo]]&amp;":"&amp;_xlfn.XLOOKUP(dHdcp[[#This Row],[Nombre]],dJugador[Nombre],dJugador[Mote],"",0)</f>
        <v>0:Alvaro</v>
      </c>
      <c r="J561" t="str">
        <f>+IF(dHdcp[[#This Row],[Maximo]]=0,"",_xlfn.RANK.EQ(dHdcp[[#This Row],[Handicap]],dHdcp[Handicap],1))</f>
        <v/>
      </c>
      <c r="K561" t="str">
        <f>IFERROR(+_xlfn.RANK.EQ(dHdcp[[#This Row],[Ranking]],dHdcp[Ranking],1),"")</f>
        <v/>
      </c>
      <c r="M561" t="str">
        <f>+dHdcp[[#This Row],[Fecha]]&amp;":"&amp;dHdcp[[#This Row],[Nombre]]</f>
        <v>43992:Alvaro Nieto</v>
      </c>
      <c r="N561">
        <f>+COUNTIF(dHdcp[Columna1],dHdcp[[#This Row],[Columna1]])</f>
        <v>2</v>
      </c>
    </row>
    <row r="562" spans="1:14">
      <c r="A562" s="2">
        <v>43992</v>
      </c>
      <c r="B562" t="s">
        <v>33</v>
      </c>
      <c r="C562" s="51">
        <v>8.3000000000000007</v>
      </c>
      <c r="D562">
        <f>+VLOOKUP(dHdcp[[#This Row],[Handicap]],'Categoría Hdcap'!$B$2:$E$7,4)</f>
        <v>2</v>
      </c>
      <c r="E562" t="s">
        <v>74</v>
      </c>
      <c r="F562" t="s">
        <v>1028</v>
      </c>
      <c r="G562">
        <f>+IF(dHdcp[[#This Row],[Fecha]]=MAX(dHdcp[Fecha]),1,0)</f>
        <v>0</v>
      </c>
      <c r="H562" t="str">
        <f>+dHdcp[[#This Row],[Maximo]]&amp;":"&amp;dHdcp[[#This Row],[Nombre]]</f>
        <v>0:Angel Hernandez</v>
      </c>
      <c r="I562" t="str">
        <f>+dHdcp[[#This Row],[Maximo]]&amp;":"&amp;_xlfn.XLOOKUP(dHdcp[[#This Row],[Nombre]],dJugador[Nombre],dJugador[Mote],"",0)</f>
        <v>0:Angel</v>
      </c>
      <c r="J562" t="str">
        <f>+IF(dHdcp[[#This Row],[Maximo]]=0,"",_xlfn.RANK.EQ(dHdcp[[#This Row],[Handicap]],dHdcp[Handicap],1))</f>
        <v/>
      </c>
      <c r="K562" t="str">
        <f>IFERROR(+_xlfn.RANK.EQ(dHdcp[[#This Row],[Ranking]],dHdcp[Ranking],1),"")</f>
        <v/>
      </c>
      <c r="M562" t="str">
        <f>+dHdcp[[#This Row],[Fecha]]&amp;":"&amp;dHdcp[[#This Row],[Nombre]]</f>
        <v>43992:Angel Hernandez</v>
      </c>
      <c r="N562">
        <f>+COUNTIF(dHdcp[Columna1],dHdcp[[#This Row],[Columna1]])</f>
        <v>2</v>
      </c>
    </row>
    <row r="563" spans="1:14">
      <c r="A563" s="2">
        <v>43992</v>
      </c>
      <c r="B563" t="s">
        <v>33</v>
      </c>
      <c r="C563" s="51">
        <v>6.4999999999999938</v>
      </c>
      <c r="D563">
        <v>2</v>
      </c>
      <c r="E563" t="s">
        <v>75</v>
      </c>
      <c r="F563" t="s">
        <v>1029</v>
      </c>
      <c r="G563">
        <f>+IF(dHdcp[[#This Row],[Fecha]]=MAX(dHdcp[Fecha]),1,0)</f>
        <v>0</v>
      </c>
      <c r="H563" t="str">
        <f>+dHdcp[[#This Row],[Maximo]]&amp;":"&amp;dHdcp[[#This Row],[Nombre]]</f>
        <v>0:Angel Hernandez</v>
      </c>
      <c r="I563" t="str">
        <f>+dHdcp[[#This Row],[Maximo]]&amp;":"&amp;_xlfn.XLOOKUP(dHdcp[[#This Row],[Nombre]],dJugador[Nombre],dJugador[Mote],"",0)</f>
        <v>0:Angel</v>
      </c>
      <c r="J563" t="str">
        <f>+IF(dHdcp[[#This Row],[Maximo]]=0,"",_xlfn.RANK.EQ(dHdcp[[#This Row],[Handicap]],dHdcp[Handicap],1))</f>
        <v/>
      </c>
      <c r="K563" t="str">
        <f>IFERROR(+_xlfn.RANK.EQ(dHdcp[[#This Row],[Ranking]],dHdcp[Ranking],1),"")</f>
        <v/>
      </c>
      <c r="M563" t="str">
        <f>+dHdcp[[#This Row],[Fecha]]&amp;":"&amp;dHdcp[[#This Row],[Nombre]]</f>
        <v>43992:Angel Hernandez</v>
      </c>
      <c r="N563">
        <f>+COUNTIF(dHdcp[Columna1],dHdcp[[#This Row],[Columna1]])</f>
        <v>2</v>
      </c>
    </row>
    <row r="564" spans="1:14">
      <c r="A564" s="2">
        <v>43992</v>
      </c>
      <c r="B564" t="s">
        <v>30</v>
      </c>
      <c r="C564" s="51">
        <v>11</v>
      </c>
      <c r="D564">
        <f>+VLOOKUP(dHdcp[[#This Row],[Handicap]],'Categoría Hdcap'!$B$2:$E$7,4)</f>
        <v>2</v>
      </c>
      <c r="E564" t="s">
        <v>74</v>
      </c>
      <c r="F564" t="s">
        <v>1030</v>
      </c>
      <c r="G564">
        <f>+IF(dHdcp[[#This Row],[Fecha]]=MAX(dHdcp[Fecha]),1,0)</f>
        <v>0</v>
      </c>
      <c r="H564" t="str">
        <f>+dHdcp[[#This Row],[Maximo]]&amp;":"&amp;dHdcp[[#This Row],[Nombre]]</f>
        <v>0:David Sequera</v>
      </c>
      <c r="I564" t="str">
        <f>+dHdcp[[#This Row],[Maximo]]&amp;":"&amp;_xlfn.XLOOKUP(dHdcp[[#This Row],[Nombre]],dJugador[Nombre],dJugador[Mote],"",0)</f>
        <v>0:David</v>
      </c>
      <c r="J564" t="str">
        <f>+IF(dHdcp[[#This Row],[Maximo]]=0,"",_xlfn.RANK.EQ(dHdcp[[#This Row],[Handicap]],dHdcp[Handicap],1))</f>
        <v/>
      </c>
      <c r="K564" t="str">
        <f>IFERROR(+_xlfn.RANK.EQ(dHdcp[[#This Row],[Ranking]],dHdcp[Ranking],1),"")</f>
        <v/>
      </c>
      <c r="M564" t="str">
        <f>+dHdcp[[#This Row],[Fecha]]&amp;":"&amp;dHdcp[[#This Row],[Nombre]]</f>
        <v>43992:David Sequera</v>
      </c>
      <c r="N564">
        <f>+COUNTIF(dHdcp[Columna1],dHdcp[[#This Row],[Columna1]])</f>
        <v>2</v>
      </c>
    </row>
    <row r="565" spans="1:14">
      <c r="A565" s="2">
        <v>43992</v>
      </c>
      <c r="B565" t="s">
        <v>30</v>
      </c>
      <c r="C565" s="51">
        <v>10.499999999999998</v>
      </c>
      <c r="D565">
        <v>2</v>
      </c>
      <c r="E565" t="s">
        <v>75</v>
      </c>
      <c r="F565" t="s">
        <v>1031</v>
      </c>
      <c r="G565">
        <f>+IF(dHdcp[[#This Row],[Fecha]]=MAX(dHdcp[Fecha]),1,0)</f>
        <v>0</v>
      </c>
      <c r="H565" t="str">
        <f>+dHdcp[[#This Row],[Maximo]]&amp;":"&amp;dHdcp[[#This Row],[Nombre]]</f>
        <v>0:David Sequera</v>
      </c>
      <c r="I565" t="str">
        <f>+dHdcp[[#This Row],[Maximo]]&amp;":"&amp;_xlfn.XLOOKUP(dHdcp[[#This Row],[Nombre]],dJugador[Nombre],dJugador[Mote],"",0)</f>
        <v>0:David</v>
      </c>
      <c r="J565" t="str">
        <f>+IF(dHdcp[[#This Row],[Maximo]]=0,"",_xlfn.RANK.EQ(dHdcp[[#This Row],[Handicap]],dHdcp[Handicap],1))</f>
        <v/>
      </c>
      <c r="K565" t="str">
        <f>IFERROR(+_xlfn.RANK.EQ(dHdcp[[#This Row],[Ranking]],dHdcp[Ranking],1),"")</f>
        <v/>
      </c>
      <c r="M565" t="str">
        <f>+dHdcp[[#This Row],[Fecha]]&amp;":"&amp;dHdcp[[#This Row],[Nombre]]</f>
        <v>43992:David Sequera</v>
      </c>
      <c r="N565">
        <f>+COUNTIF(dHdcp[Columna1],dHdcp[[#This Row],[Columna1]])</f>
        <v>2</v>
      </c>
    </row>
    <row r="566" spans="1:14">
      <c r="A566" s="2">
        <v>43992</v>
      </c>
      <c r="B566" t="s">
        <v>12</v>
      </c>
      <c r="C566" s="51">
        <v>16.2</v>
      </c>
      <c r="D566">
        <f>+VLOOKUP(dHdcp[[#This Row],[Handicap]],'Categoría Hdcap'!$B$2:$E$7,4)</f>
        <v>3</v>
      </c>
      <c r="E566" t="s">
        <v>74</v>
      </c>
      <c r="F566" t="s">
        <v>1032</v>
      </c>
      <c r="G566">
        <f>+IF(dHdcp[[#This Row],[Fecha]]=MAX(dHdcp[Fecha]),1,0)</f>
        <v>0</v>
      </c>
      <c r="H566" t="str">
        <f>+dHdcp[[#This Row],[Maximo]]&amp;":"&amp;dHdcp[[#This Row],[Nombre]]</f>
        <v>0:Francisco Alvarez</v>
      </c>
      <c r="I566" t="str">
        <f>+dHdcp[[#This Row],[Maximo]]&amp;":"&amp;_xlfn.XLOOKUP(dHdcp[[#This Row],[Nombre]],dJugador[Nombre],dJugador[Mote],"",0)</f>
        <v>0:Paco</v>
      </c>
      <c r="J566" t="str">
        <f>+IF(dHdcp[[#This Row],[Maximo]]=0,"",_xlfn.RANK.EQ(dHdcp[[#This Row],[Handicap]],dHdcp[Handicap],1))</f>
        <v/>
      </c>
      <c r="K566" t="str">
        <f>IFERROR(+_xlfn.RANK.EQ(dHdcp[[#This Row],[Ranking]],dHdcp[Ranking],1),"")</f>
        <v/>
      </c>
      <c r="M566" t="str">
        <f>+dHdcp[[#This Row],[Fecha]]&amp;":"&amp;dHdcp[[#This Row],[Nombre]]</f>
        <v>43992:Francisco Alvarez</v>
      </c>
      <c r="N566">
        <f>+COUNTIF(dHdcp[Columna1],dHdcp[[#This Row],[Columna1]])</f>
        <v>2</v>
      </c>
    </row>
    <row r="567" spans="1:14">
      <c r="A567" s="2">
        <v>43992</v>
      </c>
      <c r="B567" t="s">
        <v>12</v>
      </c>
      <c r="C567" s="51">
        <v>14</v>
      </c>
      <c r="D567">
        <v>3</v>
      </c>
      <c r="E567" t="s">
        <v>75</v>
      </c>
      <c r="F567" t="s">
        <v>1033</v>
      </c>
      <c r="G567">
        <f>+IF(dHdcp[[#This Row],[Fecha]]=MAX(dHdcp[Fecha]),1,0)</f>
        <v>0</v>
      </c>
      <c r="H567" t="str">
        <f>+dHdcp[[#This Row],[Maximo]]&amp;":"&amp;dHdcp[[#This Row],[Nombre]]</f>
        <v>0:Francisco Alvarez</v>
      </c>
      <c r="I567" t="str">
        <f>+dHdcp[[#This Row],[Maximo]]&amp;":"&amp;_xlfn.XLOOKUP(dHdcp[[#This Row],[Nombre]],dJugador[Nombre],dJugador[Mote],"",0)</f>
        <v>0:Paco</v>
      </c>
      <c r="J567" t="str">
        <f>+IF(dHdcp[[#This Row],[Maximo]]=0,"",_xlfn.RANK.EQ(dHdcp[[#This Row],[Handicap]],dHdcp[Handicap],1))</f>
        <v/>
      </c>
      <c r="K567" t="str">
        <f>IFERROR(+_xlfn.RANK.EQ(dHdcp[[#This Row],[Ranking]],dHdcp[Ranking],1),"")</f>
        <v/>
      </c>
      <c r="M567" t="str">
        <f>+dHdcp[[#This Row],[Fecha]]&amp;":"&amp;dHdcp[[#This Row],[Nombre]]</f>
        <v>43992:Francisco Alvarez</v>
      </c>
      <c r="N567">
        <f>+COUNTIF(dHdcp[Columna1],dHdcp[[#This Row],[Columna1]])</f>
        <v>2</v>
      </c>
    </row>
    <row r="568" spans="1:14">
      <c r="A568" s="2">
        <v>43992</v>
      </c>
      <c r="B568" t="s">
        <v>49</v>
      </c>
      <c r="C568" s="51">
        <v>15.3</v>
      </c>
      <c r="D568">
        <f>+VLOOKUP(dHdcp[[#This Row],[Handicap]],'Categoría Hdcap'!$B$2:$E$7,4)</f>
        <v>3</v>
      </c>
      <c r="E568" t="s">
        <v>74</v>
      </c>
      <c r="F568" t="s">
        <v>1034</v>
      </c>
      <c r="G568">
        <f>+IF(dHdcp[[#This Row],[Fecha]]=MAX(dHdcp[Fecha]),1,0)</f>
        <v>0</v>
      </c>
      <c r="H568" t="str">
        <f>+dHdcp[[#This Row],[Maximo]]&amp;":"&amp;dHdcp[[#This Row],[Nombre]]</f>
        <v>0:Francisco Hidalgo</v>
      </c>
      <c r="I568" t="str">
        <f>+dHdcp[[#This Row],[Maximo]]&amp;":"&amp;_xlfn.XLOOKUP(dHdcp[[#This Row],[Nombre]],dJugador[Nombre],dJugador[Mote],"",0)</f>
        <v>0:Fran</v>
      </c>
      <c r="J568" t="str">
        <f>+IF(dHdcp[[#This Row],[Maximo]]=0,"",_xlfn.RANK.EQ(dHdcp[[#This Row],[Handicap]],dHdcp[Handicap],1))</f>
        <v/>
      </c>
      <c r="K568" t="str">
        <f>IFERROR(+_xlfn.RANK.EQ(dHdcp[[#This Row],[Ranking]],dHdcp[Ranking],1),"")</f>
        <v/>
      </c>
      <c r="M568" t="str">
        <f>+dHdcp[[#This Row],[Fecha]]&amp;":"&amp;dHdcp[[#This Row],[Nombre]]</f>
        <v>43992:Francisco Hidalgo</v>
      </c>
      <c r="N568">
        <f>+COUNTIF(dHdcp[Columna1],dHdcp[[#This Row],[Columna1]])</f>
        <v>2</v>
      </c>
    </row>
    <row r="569" spans="1:14">
      <c r="A569" s="2">
        <v>43992</v>
      </c>
      <c r="B569" t="s">
        <v>49</v>
      </c>
      <c r="C569" s="51">
        <v>13.599999999999996</v>
      </c>
      <c r="D569">
        <v>3</v>
      </c>
      <c r="E569" t="s">
        <v>75</v>
      </c>
      <c r="F569" t="s">
        <v>1035</v>
      </c>
      <c r="G569">
        <f>+IF(dHdcp[[#This Row],[Fecha]]=MAX(dHdcp[Fecha]),1,0)</f>
        <v>0</v>
      </c>
      <c r="H569" t="str">
        <f>+dHdcp[[#This Row],[Maximo]]&amp;":"&amp;dHdcp[[#This Row],[Nombre]]</f>
        <v>0:Francisco Hidalgo</v>
      </c>
      <c r="I569" t="str">
        <f>+dHdcp[[#This Row],[Maximo]]&amp;":"&amp;_xlfn.XLOOKUP(dHdcp[[#This Row],[Nombre]],dJugador[Nombre],dJugador[Mote],"",0)</f>
        <v>0:Fran</v>
      </c>
      <c r="J569" t="str">
        <f>+IF(dHdcp[[#This Row],[Maximo]]=0,"",_xlfn.RANK.EQ(dHdcp[[#This Row],[Handicap]],dHdcp[Handicap],1))</f>
        <v/>
      </c>
      <c r="K569" t="str">
        <f>IFERROR(+_xlfn.RANK.EQ(dHdcp[[#This Row],[Ranking]],dHdcp[Ranking],1),"")</f>
        <v/>
      </c>
      <c r="M569" t="str">
        <f>+dHdcp[[#This Row],[Fecha]]&amp;":"&amp;dHdcp[[#This Row],[Nombre]]</f>
        <v>43992:Francisco Hidalgo</v>
      </c>
      <c r="N569">
        <f>+COUNTIF(dHdcp[Columna1],dHdcp[[#This Row],[Columna1]])</f>
        <v>2</v>
      </c>
    </row>
    <row r="570" spans="1:14">
      <c r="A570" s="2">
        <v>43992</v>
      </c>
      <c r="B570" t="s">
        <v>35</v>
      </c>
      <c r="C570" s="51">
        <v>18.2</v>
      </c>
      <c r="D570">
        <f>+VLOOKUP(dHdcp[[#This Row],[Handicap]],'Categoría Hdcap'!$B$2:$E$7,4)</f>
        <v>3</v>
      </c>
      <c r="E570" t="s">
        <v>74</v>
      </c>
      <c r="F570" t="s">
        <v>1036</v>
      </c>
      <c r="G570">
        <f>+IF(dHdcp[[#This Row],[Fecha]]=MAX(dHdcp[Fecha]),1,0)</f>
        <v>0</v>
      </c>
      <c r="H570" t="str">
        <f>+dHdcp[[#This Row],[Maximo]]&amp;":"&amp;dHdcp[[#This Row],[Nombre]]</f>
        <v>0:GLEZ JUAN JOSÉ</v>
      </c>
      <c r="I570" t="str">
        <f>+dHdcp[[#This Row],[Maximo]]&amp;":"&amp;_xlfn.XLOOKUP(dHdcp[[#This Row],[Nombre]],dJugador[Nombre],dJugador[Mote],"",0)</f>
        <v>0:Juanjo</v>
      </c>
      <c r="J570" t="str">
        <f>+IF(dHdcp[[#This Row],[Maximo]]=0,"",_xlfn.RANK.EQ(dHdcp[[#This Row],[Handicap]],dHdcp[Handicap],1))</f>
        <v/>
      </c>
      <c r="K570" t="str">
        <f>IFERROR(+_xlfn.RANK.EQ(dHdcp[[#This Row],[Ranking]],dHdcp[Ranking],1),"")</f>
        <v/>
      </c>
      <c r="M570" t="str">
        <f>+dHdcp[[#This Row],[Fecha]]&amp;":"&amp;dHdcp[[#This Row],[Nombre]]</f>
        <v>43992:GLEZ JUAN JOSÉ</v>
      </c>
      <c r="N570">
        <f>+COUNTIF(dHdcp[Columna1],dHdcp[[#This Row],[Columna1]])</f>
        <v>2</v>
      </c>
    </row>
    <row r="571" spans="1:14">
      <c r="A571" s="2">
        <v>43992</v>
      </c>
      <c r="B571" t="s">
        <v>35</v>
      </c>
      <c r="C571" s="51">
        <v>17.399999999999999</v>
      </c>
      <c r="D571">
        <v>3</v>
      </c>
      <c r="E571" t="s">
        <v>75</v>
      </c>
      <c r="F571" t="s">
        <v>1037</v>
      </c>
      <c r="G571">
        <f>+IF(dHdcp[[#This Row],[Fecha]]=MAX(dHdcp[Fecha]),1,0)</f>
        <v>0</v>
      </c>
      <c r="H571" t="str">
        <f>+dHdcp[[#This Row],[Maximo]]&amp;":"&amp;dHdcp[[#This Row],[Nombre]]</f>
        <v>0:GLEZ JUAN JOSÉ</v>
      </c>
      <c r="I571" t="str">
        <f>+dHdcp[[#This Row],[Maximo]]&amp;":"&amp;_xlfn.XLOOKUP(dHdcp[[#This Row],[Nombre]],dJugador[Nombre],dJugador[Mote],"",0)</f>
        <v>0:Juanjo</v>
      </c>
      <c r="J571" t="str">
        <f>+IF(dHdcp[[#This Row],[Maximo]]=0,"",_xlfn.RANK.EQ(dHdcp[[#This Row],[Handicap]],dHdcp[Handicap],1))</f>
        <v/>
      </c>
      <c r="K571" t="str">
        <f>IFERROR(+_xlfn.RANK.EQ(dHdcp[[#This Row],[Ranking]],dHdcp[Ranking],1),"")</f>
        <v/>
      </c>
      <c r="M571" t="str">
        <f>+dHdcp[[#This Row],[Fecha]]&amp;":"&amp;dHdcp[[#This Row],[Nombre]]</f>
        <v>43992:GLEZ JUAN JOSÉ</v>
      </c>
      <c r="N571">
        <f>+COUNTIF(dHdcp[Columna1],dHdcp[[#This Row],[Columna1]])</f>
        <v>2</v>
      </c>
    </row>
    <row r="572" spans="1:14">
      <c r="A572" s="2">
        <v>43992</v>
      </c>
      <c r="B572" t="s">
        <v>6</v>
      </c>
      <c r="C572" s="51">
        <v>6.1</v>
      </c>
      <c r="D572">
        <f>+VLOOKUP(dHdcp[[#This Row],[Handicap]],'Categoría Hdcap'!$B$2:$E$7,4)</f>
        <v>2</v>
      </c>
      <c r="E572" t="s">
        <v>74</v>
      </c>
      <c r="F572" t="s">
        <v>1038</v>
      </c>
      <c r="G572">
        <f>+IF(dHdcp[[#This Row],[Fecha]]=MAX(dHdcp[Fecha]),1,0)</f>
        <v>0</v>
      </c>
      <c r="H572" t="str">
        <f>+dHdcp[[#This Row],[Maximo]]&amp;":"&amp;dHdcp[[#This Row],[Nombre]]</f>
        <v>0:Ignacio Cadarso</v>
      </c>
      <c r="I572" t="str">
        <f>+dHdcp[[#This Row],[Maximo]]&amp;":"&amp;_xlfn.XLOOKUP(dHdcp[[#This Row],[Nombre]],dJugador[Nombre],dJugador[Mote],"",0)</f>
        <v>0:Ignacio</v>
      </c>
      <c r="J572" t="str">
        <f>+IF(dHdcp[[#This Row],[Maximo]]=0,"",_xlfn.RANK.EQ(dHdcp[[#This Row],[Handicap]],dHdcp[Handicap],1))</f>
        <v/>
      </c>
      <c r="K572" t="str">
        <f>IFERROR(+_xlfn.RANK.EQ(dHdcp[[#This Row],[Ranking]],dHdcp[Ranking],1),"")</f>
        <v/>
      </c>
      <c r="M572" t="str">
        <f>+dHdcp[[#This Row],[Fecha]]&amp;":"&amp;dHdcp[[#This Row],[Nombre]]</f>
        <v>43992:Ignacio Cadarso</v>
      </c>
      <c r="N572">
        <f>+COUNTIF(dHdcp[Columna1],dHdcp[[#This Row],[Columna1]])</f>
        <v>2</v>
      </c>
    </row>
    <row r="573" spans="1:14">
      <c r="A573" s="2">
        <v>43992</v>
      </c>
      <c r="B573" t="s">
        <v>6</v>
      </c>
      <c r="C573" s="51">
        <v>4.8999999999999977</v>
      </c>
      <c r="D573">
        <v>2</v>
      </c>
      <c r="E573" t="s">
        <v>75</v>
      </c>
      <c r="F573" t="s">
        <v>1039</v>
      </c>
      <c r="G573">
        <f>+IF(dHdcp[[#This Row],[Fecha]]=MAX(dHdcp[Fecha]),1,0)</f>
        <v>0</v>
      </c>
      <c r="H573" t="str">
        <f>+dHdcp[[#This Row],[Maximo]]&amp;":"&amp;dHdcp[[#This Row],[Nombre]]</f>
        <v>0:Ignacio Cadarso</v>
      </c>
      <c r="I573" t="str">
        <f>+dHdcp[[#This Row],[Maximo]]&amp;":"&amp;_xlfn.XLOOKUP(dHdcp[[#This Row],[Nombre]],dJugador[Nombre],dJugador[Mote],"",0)</f>
        <v>0:Ignacio</v>
      </c>
      <c r="J573" t="str">
        <f>+IF(dHdcp[[#This Row],[Maximo]]=0,"",_xlfn.RANK.EQ(dHdcp[[#This Row],[Handicap]],dHdcp[Handicap],1))</f>
        <v/>
      </c>
      <c r="K573" t="str">
        <f>IFERROR(+_xlfn.RANK.EQ(dHdcp[[#This Row],[Ranking]],dHdcp[Ranking],1),"")</f>
        <v/>
      </c>
      <c r="M573" t="str">
        <f>+dHdcp[[#This Row],[Fecha]]&amp;":"&amp;dHdcp[[#This Row],[Nombre]]</f>
        <v>43992:Ignacio Cadarso</v>
      </c>
      <c r="N573">
        <f>+COUNTIF(dHdcp[Columna1],dHdcp[[#This Row],[Columna1]])</f>
        <v>2</v>
      </c>
    </row>
    <row r="574" spans="1:14">
      <c r="A574" s="2">
        <v>43992</v>
      </c>
      <c r="B574" t="s">
        <v>23</v>
      </c>
      <c r="C574" s="51">
        <v>20.100000000000001</v>
      </c>
      <c r="D574">
        <f>+VLOOKUP(dHdcp[[#This Row],[Handicap]],'Categoría Hdcap'!$B$2:$E$7,4)</f>
        <v>4</v>
      </c>
      <c r="E574" t="s">
        <v>74</v>
      </c>
      <c r="F574" t="s">
        <v>1040</v>
      </c>
      <c r="G574">
        <f>+IF(dHdcp[[#This Row],[Fecha]]=MAX(dHdcp[Fecha]),1,0)</f>
        <v>0</v>
      </c>
      <c r="H574" t="str">
        <f>+dHdcp[[#This Row],[Maximo]]&amp;":"&amp;dHdcp[[#This Row],[Nombre]]</f>
        <v>0:J. Enrique Gonzalez</v>
      </c>
      <c r="I574" t="str">
        <f>+dHdcp[[#This Row],[Maximo]]&amp;":"&amp;_xlfn.XLOOKUP(dHdcp[[#This Row],[Nombre]],dJugador[Nombre],dJugador[Mote],"",0)</f>
        <v>0:Kike</v>
      </c>
      <c r="J574" t="str">
        <f>+IF(dHdcp[[#This Row],[Maximo]]=0,"",_xlfn.RANK.EQ(dHdcp[[#This Row],[Handicap]],dHdcp[Handicap],1))</f>
        <v/>
      </c>
      <c r="K574" t="str">
        <f>IFERROR(+_xlfn.RANK.EQ(dHdcp[[#This Row],[Ranking]],dHdcp[Ranking],1),"")</f>
        <v/>
      </c>
      <c r="M574" t="str">
        <f>+dHdcp[[#This Row],[Fecha]]&amp;":"&amp;dHdcp[[#This Row],[Nombre]]</f>
        <v>43992:J. Enrique Gonzalez</v>
      </c>
      <c r="N574">
        <f>+COUNTIF(dHdcp[Columna1],dHdcp[[#This Row],[Columna1]])</f>
        <v>2</v>
      </c>
    </row>
    <row r="575" spans="1:14">
      <c r="A575" s="2">
        <v>43992</v>
      </c>
      <c r="B575" t="s">
        <v>23</v>
      </c>
      <c r="C575" s="51">
        <v>17.899999999999999</v>
      </c>
      <c r="D575">
        <v>3</v>
      </c>
      <c r="E575" t="s">
        <v>75</v>
      </c>
      <c r="F575" t="s">
        <v>1041</v>
      </c>
      <c r="G575">
        <f>+IF(dHdcp[[#This Row],[Fecha]]=MAX(dHdcp[Fecha]),1,0)</f>
        <v>0</v>
      </c>
      <c r="H575" t="str">
        <f>+dHdcp[[#This Row],[Maximo]]&amp;":"&amp;dHdcp[[#This Row],[Nombre]]</f>
        <v>0:J. Enrique Gonzalez</v>
      </c>
      <c r="I575" t="str">
        <f>+dHdcp[[#This Row],[Maximo]]&amp;":"&amp;_xlfn.XLOOKUP(dHdcp[[#This Row],[Nombre]],dJugador[Nombre],dJugador[Mote],"",0)</f>
        <v>0:Kike</v>
      </c>
      <c r="J575" t="str">
        <f>+IF(dHdcp[[#This Row],[Maximo]]=0,"",_xlfn.RANK.EQ(dHdcp[[#This Row],[Handicap]],dHdcp[Handicap],1))</f>
        <v/>
      </c>
      <c r="K575" t="str">
        <f>IFERROR(+_xlfn.RANK.EQ(dHdcp[[#This Row],[Ranking]],dHdcp[Ranking],1),"")</f>
        <v/>
      </c>
      <c r="M575" t="str">
        <f>+dHdcp[[#This Row],[Fecha]]&amp;":"&amp;dHdcp[[#This Row],[Nombre]]</f>
        <v>43992:J. Enrique Gonzalez</v>
      </c>
      <c r="N575">
        <f>+COUNTIF(dHdcp[Columna1],dHdcp[[#This Row],[Columna1]])</f>
        <v>2</v>
      </c>
    </row>
    <row r="576" spans="1:14">
      <c r="A576" s="2">
        <v>43992</v>
      </c>
      <c r="B576" t="s">
        <v>46</v>
      </c>
      <c r="C576" s="51">
        <v>15.4</v>
      </c>
      <c r="D576">
        <f>+VLOOKUP(dHdcp[[#This Row],[Handicap]],'Categoría Hdcap'!$B$2:$E$7,4)</f>
        <v>3</v>
      </c>
      <c r="E576" t="s">
        <v>74</v>
      </c>
      <c r="F576" t="s">
        <v>1042</v>
      </c>
      <c r="G576">
        <f>+IF(dHdcp[[#This Row],[Fecha]]=MAX(dHdcp[Fecha]),1,0)</f>
        <v>0</v>
      </c>
      <c r="H576" t="str">
        <f>+dHdcp[[#This Row],[Maximo]]&amp;":"&amp;dHdcp[[#This Row],[Nombre]]</f>
        <v>0:Javier Cervera</v>
      </c>
      <c r="I576" t="str">
        <f>+dHdcp[[#This Row],[Maximo]]&amp;":"&amp;_xlfn.XLOOKUP(dHdcp[[#This Row],[Nombre]],dJugador[Nombre],dJugador[Mote],"",0)</f>
        <v>0:Virus</v>
      </c>
      <c r="J576" t="str">
        <f>+IF(dHdcp[[#This Row],[Maximo]]=0,"",_xlfn.RANK.EQ(dHdcp[[#This Row],[Handicap]],dHdcp[Handicap],1))</f>
        <v/>
      </c>
      <c r="K576" t="str">
        <f>IFERROR(+_xlfn.RANK.EQ(dHdcp[[#This Row],[Ranking]],dHdcp[Ranking],1),"")</f>
        <v/>
      </c>
      <c r="M576" t="str">
        <f>+dHdcp[[#This Row],[Fecha]]&amp;":"&amp;dHdcp[[#This Row],[Nombre]]</f>
        <v>43992:Javier Cervera</v>
      </c>
      <c r="N576">
        <f>+COUNTIF(dHdcp[Columna1],dHdcp[[#This Row],[Columna1]])</f>
        <v>2</v>
      </c>
    </row>
    <row r="577" spans="1:14">
      <c r="A577" s="2">
        <v>43992</v>
      </c>
      <c r="B577" t="s">
        <v>46</v>
      </c>
      <c r="C577" s="51">
        <v>13.799999999999995</v>
      </c>
      <c r="D577">
        <v>3</v>
      </c>
      <c r="E577" t="s">
        <v>75</v>
      </c>
      <c r="F577" t="s">
        <v>1043</v>
      </c>
      <c r="G577">
        <f>+IF(dHdcp[[#This Row],[Fecha]]=MAX(dHdcp[Fecha]),1,0)</f>
        <v>0</v>
      </c>
      <c r="H577" t="str">
        <f>+dHdcp[[#This Row],[Maximo]]&amp;":"&amp;dHdcp[[#This Row],[Nombre]]</f>
        <v>0:Javier Cervera</v>
      </c>
      <c r="I577" t="str">
        <f>+dHdcp[[#This Row],[Maximo]]&amp;":"&amp;_xlfn.XLOOKUP(dHdcp[[#This Row],[Nombre]],dJugador[Nombre],dJugador[Mote],"",0)</f>
        <v>0:Virus</v>
      </c>
      <c r="J577" t="str">
        <f>+IF(dHdcp[[#This Row],[Maximo]]=0,"",_xlfn.RANK.EQ(dHdcp[[#This Row],[Handicap]],dHdcp[Handicap],1))</f>
        <v/>
      </c>
      <c r="K577" t="str">
        <f>IFERROR(+_xlfn.RANK.EQ(dHdcp[[#This Row],[Ranking]],dHdcp[Ranking],1),"")</f>
        <v/>
      </c>
      <c r="M577" t="str">
        <f>+dHdcp[[#This Row],[Fecha]]&amp;":"&amp;dHdcp[[#This Row],[Nombre]]</f>
        <v>43992:Javier Cervera</v>
      </c>
      <c r="N577">
        <f>+COUNTIF(dHdcp[Columna1],dHdcp[[#This Row],[Columna1]])</f>
        <v>2</v>
      </c>
    </row>
    <row r="578" spans="1:14">
      <c r="A578" s="2">
        <v>43992</v>
      </c>
      <c r="B578" t="s">
        <v>20</v>
      </c>
      <c r="C578" s="51">
        <v>15.2</v>
      </c>
      <c r="D578">
        <f>+VLOOKUP(dHdcp[[#This Row],[Handicap]],'Categoría Hdcap'!$B$2:$E$7,4)</f>
        <v>3</v>
      </c>
      <c r="E578" t="s">
        <v>74</v>
      </c>
      <c r="F578" t="s">
        <v>1044</v>
      </c>
      <c r="G578">
        <f>+IF(dHdcp[[#This Row],[Fecha]]=MAX(dHdcp[Fecha]),1,0)</f>
        <v>0</v>
      </c>
      <c r="H578" t="str">
        <f>+dHdcp[[#This Row],[Maximo]]&amp;":"&amp;dHdcp[[#This Row],[Nombre]]</f>
        <v>0:Javier Gonzalez Salvador</v>
      </c>
      <c r="I578" t="str">
        <f>+dHdcp[[#This Row],[Maximo]]&amp;":"&amp;_xlfn.XLOOKUP(dHdcp[[#This Row],[Nombre]],dJugador[Nombre],dJugador[Mote],"",0)</f>
        <v>0:Javi</v>
      </c>
      <c r="J578" t="str">
        <f>+IF(dHdcp[[#This Row],[Maximo]]=0,"",_xlfn.RANK.EQ(dHdcp[[#This Row],[Handicap]],dHdcp[Handicap],1))</f>
        <v/>
      </c>
      <c r="K578" t="str">
        <f>IFERROR(+_xlfn.RANK.EQ(dHdcp[[#This Row],[Ranking]],dHdcp[Ranking],1),"")</f>
        <v/>
      </c>
      <c r="M578" t="str">
        <f>+dHdcp[[#This Row],[Fecha]]&amp;":"&amp;dHdcp[[#This Row],[Nombre]]</f>
        <v>43992:Javier Gonzalez Salvador</v>
      </c>
      <c r="N578">
        <f>+COUNTIF(dHdcp[Columna1],dHdcp[[#This Row],[Columna1]])</f>
        <v>2</v>
      </c>
    </row>
    <row r="579" spans="1:14">
      <c r="A579" s="2">
        <v>43992</v>
      </c>
      <c r="B579" t="s">
        <v>20</v>
      </c>
      <c r="C579" s="51">
        <v>10.899999999999997</v>
      </c>
      <c r="D579">
        <v>2</v>
      </c>
      <c r="E579" t="s">
        <v>75</v>
      </c>
      <c r="F579" t="s">
        <v>1045</v>
      </c>
      <c r="G579">
        <f>+IF(dHdcp[[#This Row],[Fecha]]=MAX(dHdcp[Fecha]),1,0)</f>
        <v>0</v>
      </c>
      <c r="H579" t="str">
        <f>+dHdcp[[#This Row],[Maximo]]&amp;":"&amp;dHdcp[[#This Row],[Nombre]]</f>
        <v>0:Javier Gonzalez Salvador</v>
      </c>
      <c r="I579" t="str">
        <f>+dHdcp[[#This Row],[Maximo]]&amp;":"&amp;_xlfn.XLOOKUP(dHdcp[[#This Row],[Nombre]],dJugador[Nombre],dJugador[Mote],"",0)</f>
        <v>0:Javi</v>
      </c>
      <c r="J579" t="str">
        <f>+IF(dHdcp[[#This Row],[Maximo]]=0,"",_xlfn.RANK.EQ(dHdcp[[#This Row],[Handicap]],dHdcp[Handicap],1))</f>
        <v/>
      </c>
      <c r="K579" t="str">
        <f>IFERROR(+_xlfn.RANK.EQ(dHdcp[[#This Row],[Ranking]],dHdcp[Ranking],1),"")</f>
        <v/>
      </c>
      <c r="M579" t="str">
        <f>+dHdcp[[#This Row],[Fecha]]&amp;":"&amp;dHdcp[[#This Row],[Nombre]]</f>
        <v>43992:Javier Gonzalez Salvador</v>
      </c>
      <c r="N579">
        <f>+COUNTIF(dHdcp[Columna1],dHdcp[[#This Row],[Columna1]])</f>
        <v>2</v>
      </c>
    </row>
    <row r="580" spans="1:14">
      <c r="A580" s="2">
        <v>43992</v>
      </c>
      <c r="B580" t="s">
        <v>41</v>
      </c>
      <c r="C580" s="51">
        <v>22.6</v>
      </c>
      <c r="D580">
        <f>+VLOOKUP(dHdcp[[#This Row],[Handicap]],'Categoría Hdcap'!$B$2:$E$7,4)</f>
        <v>4</v>
      </c>
      <c r="E580" t="s">
        <v>74</v>
      </c>
      <c r="F580" t="s">
        <v>1046</v>
      </c>
      <c r="G580">
        <f>+IF(dHdcp[[#This Row],[Fecha]]=MAX(dHdcp[Fecha]),1,0)</f>
        <v>0</v>
      </c>
      <c r="H580" t="str">
        <f>+dHdcp[[#This Row],[Maximo]]&amp;":"&amp;dHdcp[[#This Row],[Nombre]]</f>
        <v>0:Jesus Touceda</v>
      </c>
      <c r="I580" t="str">
        <f>+dHdcp[[#This Row],[Maximo]]&amp;":"&amp;_xlfn.XLOOKUP(dHdcp[[#This Row],[Nombre]],dJugador[Nombre],dJugador[Mote],"",0)</f>
        <v>0:Jesús</v>
      </c>
      <c r="J580" t="str">
        <f>+IF(dHdcp[[#This Row],[Maximo]]=0,"",_xlfn.RANK.EQ(dHdcp[[#This Row],[Handicap]],dHdcp[Handicap],1))</f>
        <v/>
      </c>
      <c r="K580" t="str">
        <f>IFERROR(+_xlfn.RANK.EQ(dHdcp[[#This Row],[Ranking]],dHdcp[Ranking],1),"")</f>
        <v/>
      </c>
      <c r="M580" t="str">
        <f>+dHdcp[[#This Row],[Fecha]]&amp;":"&amp;dHdcp[[#This Row],[Nombre]]</f>
        <v>43992:Jesus Touceda</v>
      </c>
      <c r="N580">
        <f>+COUNTIF(dHdcp[Columna1],dHdcp[[#This Row],[Columna1]])</f>
        <v>2</v>
      </c>
    </row>
    <row r="581" spans="1:14">
      <c r="A581" s="2">
        <v>43992</v>
      </c>
      <c r="B581" t="s">
        <v>41</v>
      </c>
      <c r="C581" s="51">
        <v>21.500000000000004</v>
      </c>
      <c r="D581">
        <v>4</v>
      </c>
      <c r="E581" t="s">
        <v>75</v>
      </c>
      <c r="F581" t="s">
        <v>1047</v>
      </c>
      <c r="G581">
        <f>+IF(dHdcp[[#This Row],[Fecha]]=MAX(dHdcp[Fecha]),1,0)</f>
        <v>0</v>
      </c>
      <c r="H581" t="str">
        <f>+dHdcp[[#This Row],[Maximo]]&amp;":"&amp;dHdcp[[#This Row],[Nombre]]</f>
        <v>0:Jesus Touceda</v>
      </c>
      <c r="I581" t="str">
        <f>+dHdcp[[#This Row],[Maximo]]&amp;":"&amp;_xlfn.XLOOKUP(dHdcp[[#This Row],[Nombre]],dJugador[Nombre],dJugador[Mote],"",0)</f>
        <v>0:Jesús</v>
      </c>
      <c r="J581" t="str">
        <f>+IF(dHdcp[[#This Row],[Maximo]]=0,"",_xlfn.RANK.EQ(dHdcp[[#This Row],[Handicap]],dHdcp[Handicap],1))</f>
        <v/>
      </c>
      <c r="K581" t="str">
        <f>IFERROR(+_xlfn.RANK.EQ(dHdcp[[#This Row],[Ranking]],dHdcp[Ranking],1),"")</f>
        <v/>
      </c>
      <c r="M581" t="str">
        <f>+dHdcp[[#This Row],[Fecha]]&amp;":"&amp;dHdcp[[#This Row],[Nombre]]</f>
        <v>43992:Jesus Touceda</v>
      </c>
      <c r="N581">
        <f>+COUNTIF(dHdcp[Columna1],dHdcp[[#This Row],[Columna1]])</f>
        <v>2</v>
      </c>
    </row>
    <row r="582" spans="1:14">
      <c r="A582" s="2">
        <v>43992</v>
      </c>
      <c r="B582" t="s">
        <v>18</v>
      </c>
      <c r="C582" s="51">
        <v>6.9</v>
      </c>
      <c r="D582">
        <f>+VLOOKUP(dHdcp[[#This Row],[Handicap]],'Categoría Hdcap'!$B$2:$E$7,4)</f>
        <v>2</v>
      </c>
      <c r="E582" t="s">
        <v>74</v>
      </c>
      <c r="F582" t="s">
        <v>1048</v>
      </c>
      <c r="G582">
        <f>+IF(dHdcp[[#This Row],[Fecha]]=MAX(dHdcp[Fecha]),1,0)</f>
        <v>0</v>
      </c>
      <c r="H582" t="str">
        <f>+dHdcp[[#This Row],[Maximo]]&amp;":"&amp;dHdcp[[#This Row],[Nombre]]</f>
        <v>0:José Pablo Guil</v>
      </c>
      <c r="I582" t="str">
        <f>+dHdcp[[#This Row],[Maximo]]&amp;":"&amp;_xlfn.XLOOKUP(dHdcp[[#This Row],[Nombre]],dJugador[Nombre],dJugador[Mote],"",0)</f>
        <v>0:JP</v>
      </c>
      <c r="J582" t="str">
        <f>+IF(dHdcp[[#This Row],[Maximo]]=0,"",_xlfn.RANK.EQ(dHdcp[[#This Row],[Handicap]],dHdcp[Handicap],1))</f>
        <v/>
      </c>
      <c r="K582" t="str">
        <f>IFERROR(+_xlfn.RANK.EQ(dHdcp[[#This Row],[Ranking]],dHdcp[Ranking],1),"")</f>
        <v/>
      </c>
      <c r="M582" t="str">
        <f>+dHdcp[[#This Row],[Fecha]]&amp;":"&amp;dHdcp[[#This Row],[Nombre]]</f>
        <v>43992:José Pablo Guil</v>
      </c>
      <c r="N582">
        <f>+COUNTIF(dHdcp[Columna1],dHdcp[[#This Row],[Columna1]])</f>
        <v>2</v>
      </c>
    </row>
    <row r="583" spans="1:14">
      <c r="A583" s="2">
        <v>43992</v>
      </c>
      <c r="B583" t="s">
        <v>18</v>
      </c>
      <c r="C583" s="51">
        <v>5.6999999999999957</v>
      </c>
      <c r="D583">
        <v>2</v>
      </c>
      <c r="E583" t="s">
        <v>75</v>
      </c>
      <c r="F583" t="s">
        <v>1049</v>
      </c>
      <c r="G583">
        <f>+IF(dHdcp[[#This Row],[Fecha]]=MAX(dHdcp[Fecha]),1,0)</f>
        <v>0</v>
      </c>
      <c r="H583" t="str">
        <f>+dHdcp[[#This Row],[Maximo]]&amp;":"&amp;dHdcp[[#This Row],[Nombre]]</f>
        <v>0:José Pablo Guil</v>
      </c>
      <c r="I583" t="str">
        <f>+dHdcp[[#This Row],[Maximo]]&amp;":"&amp;_xlfn.XLOOKUP(dHdcp[[#This Row],[Nombre]],dJugador[Nombre],dJugador[Mote],"",0)</f>
        <v>0:JP</v>
      </c>
      <c r="J583" t="str">
        <f>+IF(dHdcp[[#This Row],[Maximo]]=0,"",_xlfn.RANK.EQ(dHdcp[[#This Row],[Handicap]],dHdcp[Handicap],1))</f>
        <v/>
      </c>
      <c r="K583" t="str">
        <f>IFERROR(+_xlfn.RANK.EQ(dHdcp[[#This Row],[Ranking]],dHdcp[Ranking],1),"")</f>
        <v/>
      </c>
      <c r="M583" t="str">
        <f>+dHdcp[[#This Row],[Fecha]]&amp;":"&amp;dHdcp[[#This Row],[Nombre]]</f>
        <v>43992:José Pablo Guil</v>
      </c>
      <c r="N583">
        <f>+COUNTIF(dHdcp[Columna1],dHdcp[[#This Row],[Columna1]])</f>
        <v>2</v>
      </c>
    </row>
    <row r="584" spans="1:14">
      <c r="A584" s="2">
        <v>43992</v>
      </c>
      <c r="B584" t="s">
        <v>43</v>
      </c>
      <c r="C584" s="51">
        <v>18.3</v>
      </c>
      <c r="D584">
        <f>+VLOOKUP(dHdcp[[#This Row],[Handicap]],'Categoría Hdcap'!$B$2:$E$7,4)</f>
        <v>3</v>
      </c>
      <c r="E584" t="s">
        <v>74</v>
      </c>
      <c r="F584" t="s">
        <v>1050</v>
      </c>
      <c r="G584">
        <f>+IF(dHdcp[[#This Row],[Fecha]]=MAX(dHdcp[Fecha]),1,0)</f>
        <v>0</v>
      </c>
      <c r="H584" t="str">
        <f>+dHdcp[[#This Row],[Maximo]]&amp;":"&amp;dHdcp[[#This Row],[Nombre]]</f>
        <v>0:Luis Escudero</v>
      </c>
      <c r="I584" t="str">
        <f>+dHdcp[[#This Row],[Maximo]]&amp;":"&amp;_xlfn.XLOOKUP(dHdcp[[#This Row],[Nombre]],dJugador[Nombre],dJugador[Mote],"",0)</f>
        <v>0:Lucho</v>
      </c>
      <c r="J584" t="str">
        <f>+IF(dHdcp[[#This Row],[Maximo]]=0,"",_xlfn.RANK.EQ(dHdcp[[#This Row],[Handicap]],dHdcp[Handicap],1))</f>
        <v/>
      </c>
      <c r="K584" t="str">
        <f>IFERROR(+_xlfn.RANK.EQ(dHdcp[[#This Row],[Ranking]],dHdcp[Ranking],1),"")</f>
        <v/>
      </c>
      <c r="M584" t="str">
        <f>+dHdcp[[#This Row],[Fecha]]&amp;":"&amp;dHdcp[[#This Row],[Nombre]]</f>
        <v>43992:Luis Escudero</v>
      </c>
      <c r="N584">
        <f>+COUNTIF(dHdcp[Columna1],dHdcp[[#This Row],[Columna1]])</f>
        <v>2</v>
      </c>
    </row>
    <row r="585" spans="1:14">
      <c r="A585" s="2">
        <v>43992</v>
      </c>
      <c r="B585" t="s">
        <v>43</v>
      </c>
      <c r="C585" s="51">
        <v>16.999999999999996</v>
      </c>
      <c r="D585">
        <v>3</v>
      </c>
      <c r="E585" t="s">
        <v>75</v>
      </c>
      <c r="F585" t="s">
        <v>1051</v>
      </c>
      <c r="G585">
        <f>+IF(dHdcp[[#This Row],[Fecha]]=MAX(dHdcp[Fecha]),1,0)</f>
        <v>0</v>
      </c>
      <c r="H585" t="str">
        <f>+dHdcp[[#This Row],[Maximo]]&amp;":"&amp;dHdcp[[#This Row],[Nombre]]</f>
        <v>0:Luis Escudero</v>
      </c>
      <c r="I585" t="str">
        <f>+dHdcp[[#This Row],[Maximo]]&amp;":"&amp;_xlfn.XLOOKUP(dHdcp[[#This Row],[Nombre]],dJugador[Nombre],dJugador[Mote],"",0)</f>
        <v>0:Lucho</v>
      </c>
      <c r="J585" t="str">
        <f>+IF(dHdcp[[#This Row],[Maximo]]=0,"",_xlfn.RANK.EQ(dHdcp[[#This Row],[Handicap]],dHdcp[Handicap],1))</f>
        <v/>
      </c>
      <c r="K585" t="str">
        <f>IFERROR(+_xlfn.RANK.EQ(dHdcp[[#This Row],[Ranking]],dHdcp[Ranking],1),"")</f>
        <v/>
      </c>
      <c r="M585" t="str">
        <f>+dHdcp[[#This Row],[Fecha]]&amp;":"&amp;dHdcp[[#This Row],[Nombre]]</f>
        <v>43992:Luis Escudero</v>
      </c>
      <c r="N585">
        <f>+COUNTIF(dHdcp[Columna1],dHdcp[[#This Row],[Columna1]])</f>
        <v>2</v>
      </c>
    </row>
    <row r="586" spans="1:14">
      <c r="A586" s="2">
        <v>43992</v>
      </c>
      <c r="B586" t="s">
        <v>51</v>
      </c>
      <c r="C586" s="51">
        <v>0.1</v>
      </c>
      <c r="D586">
        <f>+VLOOKUP(dHdcp[[#This Row],[Handicap]],'Categoría Hdcap'!$B$2:$E$7,4)</f>
        <v>1</v>
      </c>
      <c r="E586" t="s">
        <v>74</v>
      </c>
      <c r="F586" t="s">
        <v>1052</v>
      </c>
      <c r="G586">
        <f>+IF(dHdcp[[#This Row],[Fecha]]=MAX(dHdcp[Fecha]),1,0)</f>
        <v>0</v>
      </c>
      <c r="H586" t="str">
        <f>+dHdcp[[#This Row],[Maximo]]&amp;":"&amp;dHdcp[[#This Row],[Nombre]]</f>
        <v>0:Miguel Diaz Del Moral</v>
      </c>
      <c r="I586" t="str">
        <f>+dHdcp[[#This Row],[Maximo]]&amp;":"&amp;_xlfn.XLOOKUP(dHdcp[[#This Row],[Nombre]],dJugador[Nombre],dJugador[Mote],"",0)</f>
        <v>0:Cañita</v>
      </c>
      <c r="J586" t="str">
        <f>+IF(dHdcp[[#This Row],[Maximo]]=0,"",_xlfn.RANK.EQ(dHdcp[[#This Row],[Handicap]],dHdcp[Handicap],1))</f>
        <v/>
      </c>
      <c r="K586" t="str">
        <f>IFERROR(+_xlfn.RANK.EQ(dHdcp[[#This Row],[Ranking]],dHdcp[Ranking],1),"")</f>
        <v/>
      </c>
      <c r="M586" t="str">
        <f>+dHdcp[[#This Row],[Fecha]]&amp;":"&amp;dHdcp[[#This Row],[Nombre]]</f>
        <v>43992:Miguel Diaz Del Moral</v>
      </c>
      <c r="N586">
        <f>+COUNTIF(dHdcp[Columna1],dHdcp[[#This Row],[Columna1]])</f>
        <v>1</v>
      </c>
    </row>
    <row r="587" spans="1:14">
      <c r="A587" s="2">
        <v>43992</v>
      </c>
      <c r="B587" t="s">
        <v>3</v>
      </c>
      <c r="C587" s="51">
        <v>6.4</v>
      </c>
      <c r="D587">
        <f>+VLOOKUP(dHdcp[[#This Row],[Handicap]],'Categoría Hdcap'!$B$2:$E$7,4)</f>
        <v>2</v>
      </c>
      <c r="E587" t="s">
        <v>74</v>
      </c>
      <c r="F587" t="s">
        <v>1053</v>
      </c>
      <c r="G587">
        <f>+IF(dHdcp[[#This Row],[Fecha]]=MAX(dHdcp[Fecha]),1,0)</f>
        <v>0</v>
      </c>
      <c r="H587" t="str">
        <f>+dHdcp[[#This Row],[Maximo]]&amp;":"&amp;dHdcp[[#This Row],[Nombre]]</f>
        <v>0:Nacho Gonzalez</v>
      </c>
      <c r="I587" t="str">
        <f>+dHdcp[[#This Row],[Maximo]]&amp;":"&amp;_xlfn.XLOOKUP(dHdcp[[#This Row],[Nombre]],dJugador[Nombre],dJugador[Mote],"",0)</f>
        <v>0:Nacho</v>
      </c>
      <c r="J587" t="str">
        <f>+IF(dHdcp[[#This Row],[Maximo]]=0,"",_xlfn.RANK.EQ(dHdcp[[#This Row],[Handicap]],dHdcp[Handicap],1))</f>
        <v/>
      </c>
      <c r="K587" t="str">
        <f>IFERROR(+_xlfn.RANK.EQ(dHdcp[[#This Row],[Ranking]],dHdcp[Ranking],1),"")</f>
        <v/>
      </c>
      <c r="M587" t="str">
        <f>+dHdcp[[#This Row],[Fecha]]&amp;":"&amp;dHdcp[[#This Row],[Nombre]]</f>
        <v>43992:Nacho Gonzalez</v>
      </c>
      <c r="N587">
        <f>+COUNTIF(dHdcp[Columna1],dHdcp[[#This Row],[Columna1]])</f>
        <v>2</v>
      </c>
    </row>
    <row r="588" spans="1:14">
      <c r="A588" s="2">
        <v>43992</v>
      </c>
      <c r="B588" t="s">
        <v>3</v>
      </c>
      <c r="C588" s="51">
        <v>4.3999999999999995</v>
      </c>
      <c r="D588">
        <v>1</v>
      </c>
      <c r="E588" t="s">
        <v>75</v>
      </c>
      <c r="F588" t="s">
        <v>1054</v>
      </c>
      <c r="G588">
        <f>+IF(dHdcp[[#This Row],[Fecha]]=MAX(dHdcp[Fecha]),1,0)</f>
        <v>0</v>
      </c>
      <c r="H588" t="str">
        <f>+dHdcp[[#This Row],[Maximo]]&amp;":"&amp;dHdcp[[#This Row],[Nombre]]</f>
        <v>0:Nacho Gonzalez</v>
      </c>
      <c r="I588" t="str">
        <f>+dHdcp[[#This Row],[Maximo]]&amp;":"&amp;_xlfn.XLOOKUP(dHdcp[[#This Row],[Nombre]],dJugador[Nombre],dJugador[Mote],"",0)</f>
        <v>0:Nacho</v>
      </c>
      <c r="J588" t="str">
        <f>+IF(dHdcp[[#This Row],[Maximo]]=0,"",_xlfn.RANK.EQ(dHdcp[[#This Row],[Handicap]],dHdcp[Handicap],1))</f>
        <v/>
      </c>
      <c r="K588" t="str">
        <f>IFERROR(+_xlfn.RANK.EQ(dHdcp[[#This Row],[Ranking]],dHdcp[Ranking],1),"")</f>
        <v/>
      </c>
      <c r="M588" t="str">
        <f>+dHdcp[[#This Row],[Fecha]]&amp;":"&amp;dHdcp[[#This Row],[Nombre]]</f>
        <v>43992:Nacho Gonzalez</v>
      </c>
      <c r="N588">
        <f>+COUNTIF(dHdcp[Columna1],dHdcp[[#This Row],[Columna1]])</f>
        <v>2</v>
      </c>
    </row>
    <row r="589" spans="1:14">
      <c r="A589" s="2">
        <v>43992</v>
      </c>
      <c r="B589" t="s">
        <v>28</v>
      </c>
      <c r="C589" s="51">
        <v>13.7</v>
      </c>
      <c r="D589">
        <f>+VLOOKUP(dHdcp[[#This Row],[Handicap]],'Categoría Hdcap'!$B$2:$E$7,4)</f>
        <v>3</v>
      </c>
      <c r="E589" t="s">
        <v>74</v>
      </c>
      <c r="F589" t="s">
        <v>1055</v>
      </c>
      <c r="G589">
        <f>+IF(dHdcp[[#This Row],[Fecha]]=MAX(dHdcp[Fecha]),1,0)</f>
        <v>0</v>
      </c>
      <c r="H589" t="str">
        <f>+dHdcp[[#This Row],[Maximo]]&amp;":"&amp;dHdcp[[#This Row],[Nombre]]</f>
        <v>0:Pablo Munitiz</v>
      </c>
      <c r="I589" t="str">
        <f>+dHdcp[[#This Row],[Maximo]]&amp;":"&amp;_xlfn.XLOOKUP(dHdcp[[#This Row],[Nombre]],dJugador[Nombre],dJugador[Mote],"",0)</f>
        <v>0:Muni</v>
      </c>
      <c r="J589" t="str">
        <f>+IF(dHdcp[[#This Row],[Maximo]]=0,"",_xlfn.RANK.EQ(dHdcp[[#This Row],[Handicap]],dHdcp[Handicap],1))</f>
        <v/>
      </c>
      <c r="K589" t="str">
        <f>IFERROR(+_xlfn.RANK.EQ(dHdcp[[#This Row],[Ranking]],dHdcp[Ranking],1),"")</f>
        <v/>
      </c>
      <c r="M589" t="str">
        <f>+dHdcp[[#This Row],[Fecha]]&amp;":"&amp;dHdcp[[#This Row],[Nombre]]</f>
        <v>43992:Pablo Munitiz</v>
      </c>
      <c r="N589">
        <f>+COUNTIF(dHdcp[Columna1],dHdcp[[#This Row],[Columna1]])</f>
        <v>2</v>
      </c>
    </row>
    <row r="590" spans="1:14">
      <c r="A590" s="2">
        <v>43992</v>
      </c>
      <c r="B590" t="s">
        <v>28</v>
      </c>
      <c r="C590" s="51">
        <v>13.4</v>
      </c>
      <c r="D590">
        <v>3</v>
      </c>
      <c r="E590" t="s">
        <v>75</v>
      </c>
      <c r="F590" t="s">
        <v>1056</v>
      </c>
      <c r="G590">
        <f>+IF(dHdcp[[#This Row],[Fecha]]=MAX(dHdcp[Fecha]),1,0)</f>
        <v>0</v>
      </c>
      <c r="H590" t="str">
        <f>+dHdcp[[#This Row],[Maximo]]&amp;":"&amp;dHdcp[[#This Row],[Nombre]]</f>
        <v>0:Pablo Munitiz</v>
      </c>
      <c r="I590" t="str">
        <f>+dHdcp[[#This Row],[Maximo]]&amp;":"&amp;_xlfn.XLOOKUP(dHdcp[[#This Row],[Nombre]],dJugador[Nombre],dJugador[Mote],"",0)</f>
        <v>0:Muni</v>
      </c>
      <c r="J590" t="str">
        <f>+IF(dHdcp[[#This Row],[Maximo]]=0,"",_xlfn.RANK.EQ(dHdcp[[#This Row],[Handicap]],dHdcp[Handicap],1))</f>
        <v/>
      </c>
      <c r="K590" t="str">
        <f>IFERROR(+_xlfn.RANK.EQ(dHdcp[[#This Row],[Ranking]],dHdcp[Ranking],1),"")</f>
        <v/>
      </c>
      <c r="M590" t="str">
        <f>+dHdcp[[#This Row],[Fecha]]&amp;":"&amp;dHdcp[[#This Row],[Nombre]]</f>
        <v>43992:Pablo Munitiz</v>
      </c>
      <c r="N590">
        <f>+COUNTIF(dHdcp[Columna1],dHdcp[[#This Row],[Columna1]])</f>
        <v>2</v>
      </c>
    </row>
    <row r="591" spans="1:14">
      <c r="A591" s="2">
        <v>44090</v>
      </c>
      <c r="B591" t="s">
        <v>9</v>
      </c>
      <c r="C591" s="51">
        <v>9.1</v>
      </c>
      <c r="D591">
        <f>+VLOOKUP(dHdcp[[#This Row],[Handicap]],'Categoría Hdcap'!$B$2:$E$7,4)</f>
        <v>2</v>
      </c>
      <c r="E591" t="s">
        <v>74</v>
      </c>
      <c r="F591" t="s">
        <v>1057</v>
      </c>
      <c r="G591">
        <f>+IF(dHdcp[[#This Row],[Fecha]]=MAX(dHdcp[Fecha]),1,0)</f>
        <v>0</v>
      </c>
      <c r="H591" t="str">
        <f>+dHdcp[[#This Row],[Maximo]]&amp;":"&amp;dHdcp[[#This Row],[Nombre]]</f>
        <v>0:Alfonso Hidalgo</v>
      </c>
      <c r="I591" t="str">
        <f>+dHdcp[[#This Row],[Maximo]]&amp;":"&amp;_xlfn.XLOOKUP(dHdcp[[#This Row],[Nombre]],dJugador[Nombre],dJugador[Mote],"",0)</f>
        <v>0:Alfonso</v>
      </c>
      <c r="J591" t="str">
        <f>+IF(dHdcp[[#This Row],[Maximo]]=0,"",_xlfn.RANK.EQ(dHdcp[[#This Row],[Handicap]],dHdcp[Handicap],1))</f>
        <v/>
      </c>
      <c r="K591" t="str">
        <f>IFERROR(+_xlfn.RANK.EQ(dHdcp[[#This Row],[Ranking]],dHdcp[Ranking],1),"")</f>
        <v/>
      </c>
      <c r="M591" t="str">
        <f>+dHdcp[[#This Row],[Fecha]]&amp;":"&amp;dHdcp[[#This Row],[Nombre]]</f>
        <v>44090:Alfonso Hidalgo</v>
      </c>
      <c r="N591">
        <f>+COUNTIF(dHdcp[Columna1],dHdcp[[#This Row],[Columna1]])</f>
        <v>2</v>
      </c>
    </row>
    <row r="592" spans="1:14">
      <c r="A592" s="2">
        <v>44090</v>
      </c>
      <c r="B592" t="s">
        <v>9</v>
      </c>
      <c r="C592" s="51">
        <v>8.1000000000000032</v>
      </c>
      <c r="D592">
        <v>2</v>
      </c>
      <c r="E592" t="s">
        <v>75</v>
      </c>
      <c r="F592" t="s">
        <v>1058</v>
      </c>
      <c r="G592">
        <f>+IF(dHdcp[[#This Row],[Fecha]]=MAX(dHdcp[Fecha]),1,0)</f>
        <v>0</v>
      </c>
      <c r="H592" t="str">
        <f>+dHdcp[[#This Row],[Maximo]]&amp;":"&amp;dHdcp[[#This Row],[Nombre]]</f>
        <v>0:Alfonso Hidalgo</v>
      </c>
      <c r="I592" t="str">
        <f>+dHdcp[[#This Row],[Maximo]]&amp;":"&amp;_xlfn.XLOOKUP(dHdcp[[#This Row],[Nombre]],dJugador[Nombre],dJugador[Mote],"",0)</f>
        <v>0:Alfonso</v>
      </c>
      <c r="J592" t="str">
        <f>+IF(dHdcp[[#This Row],[Maximo]]=0,"",_xlfn.RANK.EQ(dHdcp[[#This Row],[Handicap]],dHdcp[Handicap],1))</f>
        <v/>
      </c>
      <c r="K592" t="str">
        <f>IFERROR(+_xlfn.RANK.EQ(dHdcp[[#This Row],[Ranking]],dHdcp[Ranking],1),"")</f>
        <v/>
      </c>
      <c r="M592" t="str">
        <f>+dHdcp[[#This Row],[Fecha]]&amp;":"&amp;dHdcp[[#This Row],[Nombre]]</f>
        <v>44090:Alfonso Hidalgo</v>
      </c>
      <c r="N592">
        <f>+COUNTIF(dHdcp[Columna1],dHdcp[[#This Row],[Columna1]])</f>
        <v>2</v>
      </c>
    </row>
    <row r="593" spans="1:14">
      <c r="A593" s="2">
        <v>44090</v>
      </c>
      <c r="B593" t="s">
        <v>15</v>
      </c>
      <c r="C593" s="51">
        <v>5.6</v>
      </c>
      <c r="D593">
        <f>+VLOOKUP(dHdcp[[#This Row],[Handicap]],'Categoría Hdcap'!$B$2:$E$7,4)</f>
        <v>2</v>
      </c>
      <c r="E593" t="s">
        <v>74</v>
      </c>
      <c r="F593" t="s">
        <v>1059</v>
      </c>
      <c r="G593">
        <f>+IF(dHdcp[[#This Row],[Fecha]]=MAX(dHdcp[Fecha]),1,0)</f>
        <v>0</v>
      </c>
      <c r="H593" t="str">
        <f>+dHdcp[[#This Row],[Maximo]]&amp;":"&amp;dHdcp[[#This Row],[Nombre]]</f>
        <v>0:Alvaro Aguirre</v>
      </c>
      <c r="I593" t="str">
        <f>+dHdcp[[#This Row],[Maximo]]&amp;":"&amp;_xlfn.XLOOKUP(dHdcp[[#This Row],[Nombre]],dJugador[Nombre],dJugador[Mote],"",0)</f>
        <v>0:Gifu</v>
      </c>
      <c r="J593" t="str">
        <f>+IF(dHdcp[[#This Row],[Maximo]]=0,"",_xlfn.RANK.EQ(dHdcp[[#This Row],[Handicap]],dHdcp[Handicap],1))</f>
        <v/>
      </c>
      <c r="K593" t="str">
        <f>IFERROR(+_xlfn.RANK.EQ(dHdcp[[#This Row],[Ranking]],dHdcp[Ranking],1),"")</f>
        <v/>
      </c>
      <c r="M593" t="str">
        <f>+dHdcp[[#This Row],[Fecha]]&amp;":"&amp;dHdcp[[#This Row],[Nombre]]</f>
        <v>44090:Alvaro Aguirre</v>
      </c>
      <c r="N593">
        <f>+COUNTIF(dHdcp[Columna1],dHdcp[[#This Row],[Columna1]])</f>
        <v>2</v>
      </c>
    </row>
    <row r="594" spans="1:14">
      <c r="A594" s="2">
        <v>44090</v>
      </c>
      <c r="B594" t="s">
        <v>15</v>
      </c>
      <c r="C594" s="51">
        <v>4.8999999999999977</v>
      </c>
      <c r="D594">
        <v>2</v>
      </c>
      <c r="E594" t="s">
        <v>75</v>
      </c>
      <c r="F594" t="s">
        <v>1060</v>
      </c>
      <c r="G594">
        <f>+IF(dHdcp[[#This Row],[Fecha]]=MAX(dHdcp[Fecha]),1,0)</f>
        <v>0</v>
      </c>
      <c r="H594" t="str">
        <f>+dHdcp[[#This Row],[Maximo]]&amp;":"&amp;dHdcp[[#This Row],[Nombre]]</f>
        <v>0:Alvaro Aguirre</v>
      </c>
      <c r="I594" t="str">
        <f>+dHdcp[[#This Row],[Maximo]]&amp;":"&amp;_xlfn.XLOOKUP(dHdcp[[#This Row],[Nombre]],dJugador[Nombre],dJugador[Mote],"",0)</f>
        <v>0:Gifu</v>
      </c>
      <c r="J594" t="str">
        <f>+IF(dHdcp[[#This Row],[Maximo]]=0,"",_xlfn.RANK.EQ(dHdcp[[#This Row],[Handicap]],dHdcp[Handicap],1))</f>
        <v/>
      </c>
      <c r="K594" t="str">
        <f>IFERROR(+_xlfn.RANK.EQ(dHdcp[[#This Row],[Ranking]],dHdcp[Ranking],1),"")</f>
        <v/>
      </c>
      <c r="M594" t="str">
        <f>+dHdcp[[#This Row],[Fecha]]&amp;":"&amp;dHdcp[[#This Row],[Nombre]]</f>
        <v>44090:Alvaro Aguirre</v>
      </c>
      <c r="N594">
        <f>+COUNTIF(dHdcp[Columna1],dHdcp[[#This Row],[Columna1]])</f>
        <v>2</v>
      </c>
    </row>
    <row r="595" spans="1:14">
      <c r="A595" s="2">
        <v>44090</v>
      </c>
      <c r="B595" t="s">
        <v>25</v>
      </c>
      <c r="C595" s="51">
        <v>14.1</v>
      </c>
      <c r="D595">
        <f>+VLOOKUP(dHdcp[[#This Row],[Handicap]],'Categoría Hdcap'!$B$2:$E$7,4)</f>
        <v>3</v>
      </c>
      <c r="E595" t="s">
        <v>74</v>
      </c>
      <c r="F595" t="s">
        <v>1061</v>
      </c>
      <c r="G595">
        <f>+IF(dHdcp[[#This Row],[Fecha]]=MAX(dHdcp[Fecha]),1,0)</f>
        <v>0</v>
      </c>
      <c r="H595" t="str">
        <f>+dHdcp[[#This Row],[Maximo]]&amp;":"&amp;dHdcp[[#This Row],[Nombre]]</f>
        <v>0:Alvaro Nieto</v>
      </c>
      <c r="I595" t="str">
        <f>+dHdcp[[#This Row],[Maximo]]&amp;":"&amp;_xlfn.XLOOKUP(dHdcp[[#This Row],[Nombre]],dJugador[Nombre],dJugador[Mote],"",0)</f>
        <v>0:Alvaro</v>
      </c>
      <c r="J595" t="str">
        <f>+IF(dHdcp[[#This Row],[Maximo]]=0,"",_xlfn.RANK.EQ(dHdcp[[#This Row],[Handicap]],dHdcp[Handicap],1))</f>
        <v/>
      </c>
      <c r="K595" t="str">
        <f>IFERROR(+_xlfn.RANK.EQ(dHdcp[[#This Row],[Ranking]],dHdcp[Ranking],1),"")</f>
        <v/>
      </c>
      <c r="M595" t="str">
        <f>+dHdcp[[#This Row],[Fecha]]&amp;":"&amp;dHdcp[[#This Row],[Nombre]]</f>
        <v>44090:Alvaro Nieto</v>
      </c>
      <c r="N595">
        <f>+COUNTIF(dHdcp[Columna1],dHdcp[[#This Row],[Columna1]])</f>
        <v>2</v>
      </c>
    </row>
    <row r="596" spans="1:14">
      <c r="A596" s="2">
        <v>44090</v>
      </c>
      <c r="B596" t="s">
        <v>25</v>
      </c>
      <c r="C596" s="51">
        <v>13.299999999999999</v>
      </c>
      <c r="D596">
        <v>3</v>
      </c>
      <c r="E596" t="s">
        <v>75</v>
      </c>
      <c r="F596" t="s">
        <v>1062</v>
      </c>
      <c r="G596">
        <f>+IF(dHdcp[[#This Row],[Fecha]]=MAX(dHdcp[Fecha]),1,0)</f>
        <v>0</v>
      </c>
      <c r="H596" t="str">
        <f>+dHdcp[[#This Row],[Maximo]]&amp;":"&amp;dHdcp[[#This Row],[Nombre]]</f>
        <v>0:Alvaro Nieto</v>
      </c>
      <c r="I596" t="str">
        <f>+dHdcp[[#This Row],[Maximo]]&amp;":"&amp;_xlfn.XLOOKUP(dHdcp[[#This Row],[Nombre]],dJugador[Nombre],dJugador[Mote],"",0)</f>
        <v>0:Alvaro</v>
      </c>
      <c r="J596" t="str">
        <f>+IF(dHdcp[[#This Row],[Maximo]]=0,"",_xlfn.RANK.EQ(dHdcp[[#This Row],[Handicap]],dHdcp[Handicap],1))</f>
        <v/>
      </c>
      <c r="K596" t="str">
        <f>IFERROR(+_xlfn.RANK.EQ(dHdcp[[#This Row],[Ranking]],dHdcp[Ranking],1),"")</f>
        <v/>
      </c>
      <c r="M596" t="str">
        <f>+dHdcp[[#This Row],[Fecha]]&amp;":"&amp;dHdcp[[#This Row],[Nombre]]</f>
        <v>44090:Alvaro Nieto</v>
      </c>
      <c r="N596">
        <f>+COUNTIF(dHdcp[Columna1],dHdcp[[#This Row],[Columna1]])</f>
        <v>2</v>
      </c>
    </row>
    <row r="597" spans="1:14">
      <c r="A597" s="2">
        <v>44090</v>
      </c>
      <c r="B597" t="s">
        <v>33</v>
      </c>
      <c r="C597" s="51">
        <v>7.4</v>
      </c>
      <c r="D597">
        <f>+VLOOKUP(dHdcp[[#This Row],[Handicap]],'Categoría Hdcap'!$B$2:$E$7,4)</f>
        <v>2</v>
      </c>
      <c r="E597" t="s">
        <v>74</v>
      </c>
      <c r="F597" t="s">
        <v>1063</v>
      </c>
      <c r="G597">
        <f>+IF(dHdcp[[#This Row],[Fecha]]=MAX(dHdcp[Fecha]),1,0)</f>
        <v>0</v>
      </c>
      <c r="H597" t="str">
        <f>+dHdcp[[#This Row],[Maximo]]&amp;":"&amp;dHdcp[[#This Row],[Nombre]]</f>
        <v>0:Angel Hernandez</v>
      </c>
      <c r="I597" t="str">
        <f>+dHdcp[[#This Row],[Maximo]]&amp;":"&amp;_xlfn.XLOOKUP(dHdcp[[#This Row],[Nombre]],dJugador[Nombre],dJugador[Mote],"",0)</f>
        <v>0:Angel</v>
      </c>
      <c r="J597" t="str">
        <f>+IF(dHdcp[[#This Row],[Maximo]]=0,"",_xlfn.RANK.EQ(dHdcp[[#This Row],[Handicap]],dHdcp[Handicap],1))</f>
        <v/>
      </c>
      <c r="K597" t="str">
        <f>IFERROR(+_xlfn.RANK.EQ(dHdcp[[#This Row],[Ranking]],dHdcp[Ranking],1),"")</f>
        <v/>
      </c>
      <c r="M597" t="str">
        <f>+dHdcp[[#This Row],[Fecha]]&amp;":"&amp;dHdcp[[#This Row],[Nombre]]</f>
        <v>44090:Angel Hernandez</v>
      </c>
      <c r="N597">
        <f>+COUNTIF(dHdcp[Columna1],dHdcp[[#This Row],[Columna1]])</f>
        <v>2</v>
      </c>
    </row>
    <row r="598" spans="1:14">
      <c r="A598" s="2">
        <v>44090</v>
      </c>
      <c r="B598" t="s">
        <v>33</v>
      </c>
      <c r="C598" s="51">
        <v>6.5999999999999934</v>
      </c>
      <c r="D598">
        <v>2</v>
      </c>
      <c r="E598" t="s">
        <v>75</v>
      </c>
      <c r="F598" t="s">
        <v>1064</v>
      </c>
      <c r="G598">
        <f>+IF(dHdcp[[#This Row],[Fecha]]=MAX(dHdcp[Fecha]),1,0)</f>
        <v>0</v>
      </c>
      <c r="H598" t="str">
        <f>+dHdcp[[#This Row],[Maximo]]&amp;":"&amp;dHdcp[[#This Row],[Nombre]]</f>
        <v>0:Angel Hernandez</v>
      </c>
      <c r="I598" t="str">
        <f>+dHdcp[[#This Row],[Maximo]]&amp;":"&amp;_xlfn.XLOOKUP(dHdcp[[#This Row],[Nombre]],dJugador[Nombre],dJugador[Mote],"",0)</f>
        <v>0:Angel</v>
      </c>
      <c r="J598" t="str">
        <f>+IF(dHdcp[[#This Row],[Maximo]]=0,"",_xlfn.RANK.EQ(dHdcp[[#This Row],[Handicap]],dHdcp[Handicap],1))</f>
        <v/>
      </c>
      <c r="K598" t="str">
        <f>IFERROR(+_xlfn.RANK.EQ(dHdcp[[#This Row],[Ranking]],dHdcp[Ranking],1),"")</f>
        <v/>
      </c>
      <c r="M598" t="str">
        <f>+dHdcp[[#This Row],[Fecha]]&amp;":"&amp;dHdcp[[#This Row],[Nombre]]</f>
        <v>44090:Angel Hernandez</v>
      </c>
      <c r="N598">
        <f>+COUNTIF(dHdcp[Columna1],dHdcp[[#This Row],[Columna1]])</f>
        <v>2</v>
      </c>
    </row>
    <row r="599" spans="1:14">
      <c r="A599" s="2">
        <v>44090</v>
      </c>
      <c r="B599" t="s">
        <v>30</v>
      </c>
      <c r="C599" s="51">
        <v>11.4</v>
      </c>
      <c r="D599">
        <f>+VLOOKUP(dHdcp[[#This Row],[Handicap]],'Categoría Hdcap'!$B$2:$E$7,4)</f>
        <v>2</v>
      </c>
      <c r="E599" t="s">
        <v>74</v>
      </c>
      <c r="F599" t="s">
        <v>1065</v>
      </c>
      <c r="G599">
        <f>+IF(dHdcp[[#This Row],[Fecha]]=MAX(dHdcp[Fecha]),1,0)</f>
        <v>0</v>
      </c>
      <c r="H599" t="str">
        <f>+dHdcp[[#This Row],[Maximo]]&amp;":"&amp;dHdcp[[#This Row],[Nombre]]</f>
        <v>0:David Sequera</v>
      </c>
      <c r="I599" t="str">
        <f>+dHdcp[[#This Row],[Maximo]]&amp;":"&amp;_xlfn.XLOOKUP(dHdcp[[#This Row],[Nombre]],dJugador[Nombre],dJugador[Mote],"",0)</f>
        <v>0:David</v>
      </c>
      <c r="J599" t="str">
        <f>+IF(dHdcp[[#This Row],[Maximo]]=0,"",_xlfn.RANK.EQ(dHdcp[[#This Row],[Handicap]],dHdcp[Handicap],1))</f>
        <v/>
      </c>
      <c r="K599" t="str">
        <f>IFERROR(+_xlfn.RANK.EQ(dHdcp[[#This Row],[Ranking]],dHdcp[Ranking],1),"")</f>
        <v/>
      </c>
      <c r="M599" t="str">
        <f>+dHdcp[[#This Row],[Fecha]]&amp;":"&amp;dHdcp[[#This Row],[Nombre]]</f>
        <v>44090:David Sequera</v>
      </c>
      <c r="N599">
        <f>+COUNTIF(dHdcp[Columna1],dHdcp[[#This Row],[Columna1]])</f>
        <v>2</v>
      </c>
    </row>
    <row r="600" spans="1:14">
      <c r="A600" s="2">
        <v>44090</v>
      </c>
      <c r="B600" t="s">
        <v>30</v>
      </c>
      <c r="C600" s="51">
        <v>10.599999999999998</v>
      </c>
      <c r="D600">
        <v>2</v>
      </c>
      <c r="E600" t="s">
        <v>75</v>
      </c>
      <c r="F600" t="s">
        <v>1066</v>
      </c>
      <c r="G600">
        <f>+IF(dHdcp[[#This Row],[Fecha]]=MAX(dHdcp[Fecha]),1,0)</f>
        <v>0</v>
      </c>
      <c r="H600" t="str">
        <f>+dHdcp[[#This Row],[Maximo]]&amp;":"&amp;dHdcp[[#This Row],[Nombre]]</f>
        <v>0:David Sequera</v>
      </c>
      <c r="I600" t="str">
        <f>+dHdcp[[#This Row],[Maximo]]&amp;":"&amp;_xlfn.XLOOKUP(dHdcp[[#This Row],[Nombre]],dJugador[Nombre],dJugador[Mote],"",0)</f>
        <v>0:David</v>
      </c>
      <c r="J600" t="str">
        <f>+IF(dHdcp[[#This Row],[Maximo]]=0,"",_xlfn.RANK.EQ(dHdcp[[#This Row],[Handicap]],dHdcp[Handicap],1))</f>
        <v/>
      </c>
      <c r="K600" t="str">
        <f>IFERROR(+_xlfn.RANK.EQ(dHdcp[[#This Row],[Ranking]],dHdcp[Ranking],1),"")</f>
        <v/>
      </c>
      <c r="M600" t="str">
        <f>+dHdcp[[#This Row],[Fecha]]&amp;":"&amp;dHdcp[[#This Row],[Nombre]]</f>
        <v>44090:David Sequera</v>
      </c>
      <c r="N600">
        <f>+COUNTIF(dHdcp[Columna1],dHdcp[[#This Row],[Columna1]])</f>
        <v>2</v>
      </c>
    </row>
    <row r="601" spans="1:14">
      <c r="A601" s="2">
        <v>44090</v>
      </c>
      <c r="B601" t="s">
        <v>12</v>
      </c>
      <c r="C601" s="51">
        <v>16.2</v>
      </c>
      <c r="D601">
        <f>+VLOOKUP(dHdcp[[#This Row],[Handicap]],'Categoría Hdcap'!$B$2:$E$7,4)</f>
        <v>3</v>
      </c>
      <c r="E601" t="s">
        <v>74</v>
      </c>
      <c r="F601" t="s">
        <v>1067</v>
      </c>
      <c r="G601">
        <f>+IF(dHdcp[[#This Row],[Fecha]]=MAX(dHdcp[Fecha]),1,0)</f>
        <v>0</v>
      </c>
      <c r="H601" t="str">
        <f>+dHdcp[[#This Row],[Maximo]]&amp;":"&amp;dHdcp[[#This Row],[Nombre]]</f>
        <v>0:Francisco Alvarez</v>
      </c>
      <c r="I601" t="str">
        <f>+dHdcp[[#This Row],[Maximo]]&amp;":"&amp;_xlfn.XLOOKUP(dHdcp[[#This Row],[Nombre]],dJugador[Nombre],dJugador[Mote],"",0)</f>
        <v>0:Paco</v>
      </c>
      <c r="J601" t="str">
        <f>+IF(dHdcp[[#This Row],[Maximo]]=0,"",_xlfn.RANK.EQ(dHdcp[[#This Row],[Handicap]],dHdcp[Handicap],1))</f>
        <v/>
      </c>
      <c r="K601" t="str">
        <f>IFERROR(+_xlfn.RANK.EQ(dHdcp[[#This Row],[Ranking]],dHdcp[Ranking],1),"")</f>
        <v/>
      </c>
      <c r="M601" t="str">
        <f>+dHdcp[[#This Row],[Fecha]]&amp;":"&amp;dHdcp[[#This Row],[Nombre]]</f>
        <v>44090:Francisco Alvarez</v>
      </c>
      <c r="N601">
        <f>+COUNTIF(dHdcp[Columna1],dHdcp[[#This Row],[Columna1]])</f>
        <v>2</v>
      </c>
    </row>
    <row r="602" spans="1:14">
      <c r="A602" s="2">
        <v>44090</v>
      </c>
      <c r="B602" t="s">
        <v>12</v>
      </c>
      <c r="C602" s="51">
        <v>14.1</v>
      </c>
      <c r="D602">
        <v>3</v>
      </c>
      <c r="E602" t="s">
        <v>75</v>
      </c>
      <c r="F602" t="s">
        <v>1068</v>
      </c>
      <c r="G602">
        <f>+IF(dHdcp[[#This Row],[Fecha]]=MAX(dHdcp[Fecha]),1,0)</f>
        <v>0</v>
      </c>
      <c r="H602" t="str">
        <f>+dHdcp[[#This Row],[Maximo]]&amp;":"&amp;dHdcp[[#This Row],[Nombre]]</f>
        <v>0:Francisco Alvarez</v>
      </c>
      <c r="I602" t="str">
        <f>+dHdcp[[#This Row],[Maximo]]&amp;":"&amp;_xlfn.XLOOKUP(dHdcp[[#This Row],[Nombre]],dJugador[Nombre],dJugador[Mote],"",0)</f>
        <v>0:Paco</v>
      </c>
      <c r="J602" t="str">
        <f>+IF(dHdcp[[#This Row],[Maximo]]=0,"",_xlfn.RANK.EQ(dHdcp[[#This Row],[Handicap]],dHdcp[Handicap],1))</f>
        <v/>
      </c>
      <c r="K602" t="str">
        <f>IFERROR(+_xlfn.RANK.EQ(dHdcp[[#This Row],[Ranking]],dHdcp[Ranking],1),"")</f>
        <v/>
      </c>
      <c r="M602" t="str">
        <f>+dHdcp[[#This Row],[Fecha]]&amp;":"&amp;dHdcp[[#This Row],[Nombre]]</f>
        <v>44090:Francisco Alvarez</v>
      </c>
      <c r="N602">
        <f>+COUNTIF(dHdcp[Columna1],dHdcp[[#This Row],[Columna1]])</f>
        <v>2</v>
      </c>
    </row>
    <row r="603" spans="1:14">
      <c r="A603" s="2">
        <v>44090</v>
      </c>
      <c r="B603" t="s">
        <v>49</v>
      </c>
      <c r="C603" s="51">
        <v>15.3</v>
      </c>
      <c r="D603">
        <f>+VLOOKUP(dHdcp[[#This Row],[Handicap]],'Categoría Hdcap'!$B$2:$E$7,4)</f>
        <v>3</v>
      </c>
      <c r="E603" t="s">
        <v>74</v>
      </c>
      <c r="F603" t="s">
        <v>1069</v>
      </c>
      <c r="G603">
        <f>+IF(dHdcp[[#This Row],[Fecha]]=MAX(dHdcp[Fecha]),1,0)</f>
        <v>0</v>
      </c>
      <c r="H603" t="str">
        <f>+dHdcp[[#This Row],[Maximo]]&amp;":"&amp;dHdcp[[#This Row],[Nombre]]</f>
        <v>0:Francisco Hidalgo</v>
      </c>
      <c r="I603" t="str">
        <f>+dHdcp[[#This Row],[Maximo]]&amp;":"&amp;_xlfn.XLOOKUP(dHdcp[[#This Row],[Nombre]],dJugador[Nombre],dJugador[Mote],"",0)</f>
        <v>0:Fran</v>
      </c>
      <c r="J603" t="str">
        <f>+IF(dHdcp[[#This Row],[Maximo]]=0,"",_xlfn.RANK.EQ(dHdcp[[#This Row],[Handicap]],dHdcp[Handicap],1))</f>
        <v/>
      </c>
      <c r="K603" t="str">
        <f>IFERROR(+_xlfn.RANK.EQ(dHdcp[[#This Row],[Ranking]],dHdcp[Ranking],1),"")</f>
        <v/>
      </c>
      <c r="M603" t="str">
        <f>+dHdcp[[#This Row],[Fecha]]&amp;":"&amp;dHdcp[[#This Row],[Nombre]]</f>
        <v>44090:Francisco Hidalgo</v>
      </c>
      <c r="N603">
        <f>+COUNTIF(dHdcp[Columna1],dHdcp[[#This Row],[Columna1]])</f>
        <v>2</v>
      </c>
    </row>
    <row r="604" spans="1:14">
      <c r="A604" s="2">
        <v>44090</v>
      </c>
      <c r="B604" t="s">
        <v>49</v>
      </c>
      <c r="C604" s="51">
        <v>13.699999999999996</v>
      </c>
      <c r="D604">
        <v>3</v>
      </c>
      <c r="E604" t="s">
        <v>75</v>
      </c>
      <c r="F604" t="s">
        <v>1070</v>
      </c>
      <c r="G604">
        <f>+IF(dHdcp[[#This Row],[Fecha]]=MAX(dHdcp[Fecha]),1,0)</f>
        <v>0</v>
      </c>
      <c r="H604" t="str">
        <f>+dHdcp[[#This Row],[Maximo]]&amp;":"&amp;dHdcp[[#This Row],[Nombre]]</f>
        <v>0:Francisco Hidalgo</v>
      </c>
      <c r="I604" t="str">
        <f>+dHdcp[[#This Row],[Maximo]]&amp;":"&amp;_xlfn.XLOOKUP(dHdcp[[#This Row],[Nombre]],dJugador[Nombre],dJugador[Mote],"",0)</f>
        <v>0:Fran</v>
      </c>
      <c r="J604" t="str">
        <f>+IF(dHdcp[[#This Row],[Maximo]]=0,"",_xlfn.RANK.EQ(dHdcp[[#This Row],[Handicap]],dHdcp[Handicap],1))</f>
        <v/>
      </c>
      <c r="K604" t="str">
        <f>IFERROR(+_xlfn.RANK.EQ(dHdcp[[#This Row],[Ranking]],dHdcp[Ranking],1),"")</f>
        <v/>
      </c>
      <c r="M604" t="str">
        <f>+dHdcp[[#This Row],[Fecha]]&amp;":"&amp;dHdcp[[#This Row],[Nombre]]</f>
        <v>44090:Francisco Hidalgo</v>
      </c>
      <c r="N604">
        <f>+COUNTIF(dHdcp[Columna1],dHdcp[[#This Row],[Columna1]])</f>
        <v>2</v>
      </c>
    </row>
    <row r="605" spans="1:14">
      <c r="A605" s="2">
        <v>44090</v>
      </c>
      <c r="B605" t="s">
        <v>35</v>
      </c>
      <c r="C605" s="51">
        <v>18.899999999999999</v>
      </c>
      <c r="D605">
        <f>+VLOOKUP(dHdcp[[#This Row],[Handicap]],'Categoría Hdcap'!$B$2:$E$7,4)</f>
        <v>4</v>
      </c>
      <c r="E605" t="s">
        <v>74</v>
      </c>
      <c r="F605" t="s">
        <v>1071</v>
      </c>
      <c r="G605">
        <f>+IF(dHdcp[[#This Row],[Fecha]]=MAX(dHdcp[Fecha]),1,0)</f>
        <v>0</v>
      </c>
      <c r="H605" t="str">
        <f>+dHdcp[[#This Row],[Maximo]]&amp;":"&amp;dHdcp[[#This Row],[Nombre]]</f>
        <v>0:GLEZ JUAN JOSÉ</v>
      </c>
      <c r="I605" t="str">
        <f>+dHdcp[[#This Row],[Maximo]]&amp;":"&amp;_xlfn.XLOOKUP(dHdcp[[#This Row],[Nombre]],dJugador[Nombre],dJugador[Mote],"",0)</f>
        <v>0:Juanjo</v>
      </c>
      <c r="J605" t="str">
        <f>+IF(dHdcp[[#This Row],[Maximo]]=0,"",_xlfn.RANK.EQ(dHdcp[[#This Row],[Handicap]],dHdcp[Handicap],1))</f>
        <v/>
      </c>
      <c r="K605" t="str">
        <f>IFERROR(+_xlfn.RANK.EQ(dHdcp[[#This Row],[Ranking]],dHdcp[Ranking],1),"")</f>
        <v/>
      </c>
      <c r="M605" t="str">
        <f>+dHdcp[[#This Row],[Fecha]]&amp;":"&amp;dHdcp[[#This Row],[Nombre]]</f>
        <v>44090:GLEZ JUAN JOSÉ</v>
      </c>
      <c r="N605">
        <f>+COUNTIF(dHdcp[Columna1],dHdcp[[#This Row],[Columna1]])</f>
        <v>2</v>
      </c>
    </row>
    <row r="606" spans="1:14">
      <c r="A606" s="2">
        <v>44090</v>
      </c>
      <c r="B606" t="s">
        <v>35</v>
      </c>
      <c r="C606" s="51">
        <v>17.5</v>
      </c>
      <c r="D606">
        <v>3</v>
      </c>
      <c r="E606" t="s">
        <v>75</v>
      </c>
      <c r="F606" t="s">
        <v>1072</v>
      </c>
      <c r="G606">
        <f>+IF(dHdcp[[#This Row],[Fecha]]=MAX(dHdcp[Fecha]),1,0)</f>
        <v>0</v>
      </c>
      <c r="H606" t="str">
        <f>+dHdcp[[#This Row],[Maximo]]&amp;":"&amp;dHdcp[[#This Row],[Nombre]]</f>
        <v>0:GLEZ JUAN JOSÉ</v>
      </c>
      <c r="I606" t="str">
        <f>+dHdcp[[#This Row],[Maximo]]&amp;":"&amp;_xlfn.XLOOKUP(dHdcp[[#This Row],[Nombre]],dJugador[Nombre],dJugador[Mote],"",0)</f>
        <v>0:Juanjo</v>
      </c>
      <c r="J606" t="str">
        <f>+IF(dHdcp[[#This Row],[Maximo]]=0,"",_xlfn.RANK.EQ(dHdcp[[#This Row],[Handicap]],dHdcp[Handicap],1))</f>
        <v/>
      </c>
      <c r="K606" t="str">
        <f>IFERROR(+_xlfn.RANK.EQ(dHdcp[[#This Row],[Ranking]],dHdcp[Ranking],1),"")</f>
        <v/>
      </c>
      <c r="M606" t="str">
        <f>+dHdcp[[#This Row],[Fecha]]&amp;":"&amp;dHdcp[[#This Row],[Nombre]]</f>
        <v>44090:GLEZ JUAN JOSÉ</v>
      </c>
      <c r="N606">
        <f>+COUNTIF(dHdcp[Columna1],dHdcp[[#This Row],[Columna1]])</f>
        <v>2</v>
      </c>
    </row>
    <row r="607" spans="1:14">
      <c r="A607" s="2">
        <v>44090</v>
      </c>
      <c r="B607" t="s">
        <v>6</v>
      </c>
      <c r="C607" s="51">
        <v>5.6</v>
      </c>
      <c r="D607">
        <f>+VLOOKUP(dHdcp[[#This Row],[Handicap]],'Categoría Hdcap'!$B$2:$E$7,4)</f>
        <v>2</v>
      </c>
      <c r="E607" t="s">
        <v>74</v>
      </c>
      <c r="F607" t="s">
        <v>1073</v>
      </c>
      <c r="G607">
        <f>+IF(dHdcp[[#This Row],[Fecha]]=MAX(dHdcp[Fecha]),1,0)</f>
        <v>0</v>
      </c>
      <c r="H607" t="str">
        <f>+dHdcp[[#This Row],[Maximo]]&amp;":"&amp;dHdcp[[#This Row],[Nombre]]</f>
        <v>0:Ignacio Cadarso</v>
      </c>
      <c r="I607" t="str">
        <f>+dHdcp[[#This Row],[Maximo]]&amp;":"&amp;_xlfn.XLOOKUP(dHdcp[[#This Row],[Nombre]],dJugador[Nombre],dJugador[Mote],"",0)</f>
        <v>0:Ignacio</v>
      </c>
      <c r="J607" t="str">
        <f>+IF(dHdcp[[#This Row],[Maximo]]=0,"",_xlfn.RANK.EQ(dHdcp[[#This Row],[Handicap]],dHdcp[Handicap],1))</f>
        <v/>
      </c>
      <c r="K607" t="str">
        <f>IFERROR(+_xlfn.RANK.EQ(dHdcp[[#This Row],[Ranking]],dHdcp[Ranking],1),"")</f>
        <v/>
      </c>
      <c r="M607" t="str">
        <f>+dHdcp[[#This Row],[Fecha]]&amp;":"&amp;dHdcp[[#This Row],[Nombre]]</f>
        <v>44090:Ignacio Cadarso</v>
      </c>
      <c r="N607">
        <f>+COUNTIF(dHdcp[Columna1],dHdcp[[#This Row],[Columna1]])</f>
        <v>2</v>
      </c>
    </row>
    <row r="608" spans="1:14">
      <c r="A608" s="2">
        <v>44090</v>
      </c>
      <c r="B608" t="s">
        <v>6</v>
      </c>
      <c r="C608" s="51">
        <v>4.9999999999999973</v>
      </c>
      <c r="D608">
        <v>2</v>
      </c>
      <c r="E608" t="s">
        <v>75</v>
      </c>
      <c r="F608" t="s">
        <v>1074</v>
      </c>
      <c r="G608">
        <f>+IF(dHdcp[[#This Row],[Fecha]]=MAX(dHdcp[Fecha]),1,0)</f>
        <v>0</v>
      </c>
      <c r="H608" t="str">
        <f>+dHdcp[[#This Row],[Maximo]]&amp;":"&amp;dHdcp[[#This Row],[Nombre]]</f>
        <v>0:Ignacio Cadarso</v>
      </c>
      <c r="I608" t="str">
        <f>+dHdcp[[#This Row],[Maximo]]&amp;":"&amp;_xlfn.XLOOKUP(dHdcp[[#This Row],[Nombre]],dJugador[Nombre],dJugador[Mote],"",0)</f>
        <v>0:Ignacio</v>
      </c>
      <c r="J608" t="str">
        <f>+IF(dHdcp[[#This Row],[Maximo]]=0,"",_xlfn.RANK.EQ(dHdcp[[#This Row],[Handicap]],dHdcp[Handicap],1))</f>
        <v/>
      </c>
      <c r="K608" t="str">
        <f>IFERROR(+_xlfn.RANK.EQ(dHdcp[[#This Row],[Ranking]],dHdcp[Ranking],1),"")</f>
        <v/>
      </c>
      <c r="M608" t="str">
        <f>+dHdcp[[#This Row],[Fecha]]&amp;":"&amp;dHdcp[[#This Row],[Nombre]]</f>
        <v>44090:Ignacio Cadarso</v>
      </c>
      <c r="N608">
        <f>+COUNTIF(dHdcp[Columna1],dHdcp[[#This Row],[Columna1]])</f>
        <v>2</v>
      </c>
    </row>
    <row r="609" spans="1:14">
      <c r="A609" s="2">
        <v>44090</v>
      </c>
      <c r="B609" t="s">
        <v>23</v>
      </c>
      <c r="C609" s="51">
        <v>20.100000000000001</v>
      </c>
      <c r="D609">
        <f>+VLOOKUP(dHdcp[[#This Row],[Handicap]],'Categoría Hdcap'!$B$2:$E$7,4)</f>
        <v>4</v>
      </c>
      <c r="E609" t="s">
        <v>74</v>
      </c>
      <c r="F609" s="94" t="s">
        <v>1075</v>
      </c>
      <c r="G609">
        <f>+IF(dHdcp[[#This Row],[Fecha]]=MAX(dHdcp[Fecha]),1,0)</f>
        <v>0</v>
      </c>
      <c r="H609" t="str">
        <f>+dHdcp[[#This Row],[Maximo]]&amp;":"&amp;dHdcp[[#This Row],[Nombre]]</f>
        <v>0:J. Enrique Gonzalez</v>
      </c>
      <c r="I609" t="str">
        <f>+dHdcp[[#This Row],[Maximo]]&amp;":"&amp;_xlfn.XLOOKUP(dHdcp[[#This Row],[Nombre]],dJugador[Nombre],dJugador[Mote],"",0)</f>
        <v>0:Kike</v>
      </c>
      <c r="J609" t="str">
        <f>+IF(dHdcp[[#This Row],[Maximo]]=0,"",_xlfn.RANK.EQ(dHdcp[[#This Row],[Handicap]],dHdcp[Handicap],1))</f>
        <v/>
      </c>
      <c r="K609" t="str">
        <f>IFERROR(+_xlfn.RANK.EQ(dHdcp[[#This Row],[Ranking]],dHdcp[Ranking],1),"")</f>
        <v/>
      </c>
      <c r="M609" t="str">
        <f>+dHdcp[[#This Row],[Fecha]]&amp;":"&amp;dHdcp[[#This Row],[Nombre]]</f>
        <v>44090:J. Enrique Gonzalez</v>
      </c>
      <c r="N609">
        <f>+COUNTIF(dHdcp[Columna1],dHdcp[[#This Row],[Columna1]])</f>
        <v>2</v>
      </c>
    </row>
    <row r="610" spans="1:14">
      <c r="A610" s="2">
        <v>44090</v>
      </c>
      <c r="B610" t="s">
        <v>23</v>
      </c>
      <c r="C610" s="51">
        <v>18</v>
      </c>
      <c r="D610">
        <v>3</v>
      </c>
      <c r="E610" t="s">
        <v>75</v>
      </c>
      <c r="F610" t="s">
        <v>1076</v>
      </c>
      <c r="G610">
        <f>+IF(dHdcp[[#This Row],[Fecha]]=MAX(dHdcp[Fecha]),1,0)</f>
        <v>0</v>
      </c>
      <c r="H610" t="str">
        <f>+dHdcp[[#This Row],[Maximo]]&amp;":"&amp;dHdcp[[#This Row],[Nombre]]</f>
        <v>0:J. Enrique Gonzalez</v>
      </c>
      <c r="I610" t="str">
        <f>+dHdcp[[#This Row],[Maximo]]&amp;":"&amp;_xlfn.XLOOKUP(dHdcp[[#This Row],[Nombre]],dJugador[Nombre],dJugador[Mote],"",0)</f>
        <v>0:Kike</v>
      </c>
      <c r="J610" t="str">
        <f>+IF(dHdcp[[#This Row],[Maximo]]=0,"",_xlfn.RANK.EQ(dHdcp[[#This Row],[Handicap]],dHdcp[Handicap],1))</f>
        <v/>
      </c>
      <c r="K610" t="str">
        <f>IFERROR(+_xlfn.RANK.EQ(dHdcp[[#This Row],[Ranking]],dHdcp[Ranking],1),"")</f>
        <v/>
      </c>
      <c r="M610" t="str">
        <f>+dHdcp[[#This Row],[Fecha]]&amp;":"&amp;dHdcp[[#This Row],[Nombre]]</f>
        <v>44090:J. Enrique Gonzalez</v>
      </c>
      <c r="N610">
        <f>+COUNTIF(dHdcp[Columna1],dHdcp[[#This Row],[Columna1]])</f>
        <v>2</v>
      </c>
    </row>
    <row r="611" spans="1:14">
      <c r="A611" s="2">
        <v>44090</v>
      </c>
      <c r="B611" t="s">
        <v>46</v>
      </c>
      <c r="C611" s="51">
        <v>15.1</v>
      </c>
      <c r="D611">
        <f>+VLOOKUP(dHdcp[[#This Row],[Handicap]],'Categoría Hdcap'!$B$2:$E$7,4)</f>
        <v>3</v>
      </c>
      <c r="E611" t="s">
        <v>74</v>
      </c>
      <c r="F611" t="s">
        <v>1077</v>
      </c>
      <c r="G611">
        <f>+IF(dHdcp[[#This Row],[Fecha]]=MAX(dHdcp[Fecha]),1,0)</f>
        <v>0</v>
      </c>
      <c r="H611" t="str">
        <f>+dHdcp[[#This Row],[Maximo]]&amp;":"&amp;dHdcp[[#This Row],[Nombre]]</f>
        <v>0:Javier Cervera</v>
      </c>
      <c r="I611" t="str">
        <f>+dHdcp[[#This Row],[Maximo]]&amp;":"&amp;_xlfn.XLOOKUP(dHdcp[[#This Row],[Nombre]],dJugador[Nombre],dJugador[Mote],"",0)</f>
        <v>0:Virus</v>
      </c>
      <c r="J611" t="str">
        <f>+IF(dHdcp[[#This Row],[Maximo]]=0,"",_xlfn.RANK.EQ(dHdcp[[#This Row],[Handicap]],dHdcp[Handicap],1))</f>
        <v/>
      </c>
      <c r="K611" t="str">
        <f>IFERROR(+_xlfn.RANK.EQ(dHdcp[[#This Row],[Ranking]],dHdcp[Ranking],1),"")</f>
        <v/>
      </c>
      <c r="M611" t="str">
        <f>+dHdcp[[#This Row],[Fecha]]&amp;":"&amp;dHdcp[[#This Row],[Nombre]]</f>
        <v>44090:Javier Cervera</v>
      </c>
      <c r="N611">
        <f>+COUNTIF(dHdcp[Columna1],dHdcp[[#This Row],[Columna1]])</f>
        <v>2</v>
      </c>
    </row>
    <row r="612" spans="1:14">
      <c r="A612" s="2">
        <v>44090</v>
      </c>
      <c r="B612" t="s">
        <v>46</v>
      </c>
      <c r="C612" s="51">
        <v>13.899999999999995</v>
      </c>
      <c r="D612">
        <v>3</v>
      </c>
      <c r="E612" t="s">
        <v>75</v>
      </c>
      <c r="F612" t="s">
        <v>1078</v>
      </c>
      <c r="G612">
        <f>+IF(dHdcp[[#This Row],[Fecha]]=MAX(dHdcp[Fecha]),1,0)</f>
        <v>0</v>
      </c>
      <c r="H612" t="str">
        <f>+dHdcp[[#This Row],[Maximo]]&amp;":"&amp;dHdcp[[#This Row],[Nombre]]</f>
        <v>0:Javier Cervera</v>
      </c>
      <c r="I612" t="str">
        <f>+dHdcp[[#This Row],[Maximo]]&amp;":"&amp;_xlfn.XLOOKUP(dHdcp[[#This Row],[Nombre]],dJugador[Nombre],dJugador[Mote],"",0)</f>
        <v>0:Virus</v>
      </c>
      <c r="J612" t="str">
        <f>+IF(dHdcp[[#This Row],[Maximo]]=0,"",_xlfn.RANK.EQ(dHdcp[[#This Row],[Handicap]],dHdcp[Handicap],1))</f>
        <v/>
      </c>
      <c r="K612" t="str">
        <f>IFERROR(+_xlfn.RANK.EQ(dHdcp[[#This Row],[Ranking]],dHdcp[Ranking],1),"")</f>
        <v/>
      </c>
      <c r="M612" t="str">
        <f>+dHdcp[[#This Row],[Fecha]]&amp;":"&amp;dHdcp[[#This Row],[Nombre]]</f>
        <v>44090:Javier Cervera</v>
      </c>
      <c r="N612">
        <f>+COUNTIF(dHdcp[Columna1],dHdcp[[#This Row],[Columna1]])</f>
        <v>2</v>
      </c>
    </row>
    <row r="613" spans="1:14">
      <c r="A613" s="2">
        <v>44090</v>
      </c>
      <c r="B613" t="s">
        <v>20</v>
      </c>
      <c r="C613" s="51">
        <v>15.2</v>
      </c>
      <c r="D613">
        <f>+VLOOKUP(dHdcp[[#This Row],[Handicap]],'Categoría Hdcap'!$B$2:$E$7,4)</f>
        <v>3</v>
      </c>
      <c r="E613" t="s">
        <v>74</v>
      </c>
      <c r="F613" t="s">
        <v>1079</v>
      </c>
      <c r="G613">
        <f>+IF(dHdcp[[#This Row],[Fecha]]=MAX(dHdcp[Fecha]),1,0)</f>
        <v>0</v>
      </c>
      <c r="H613" t="str">
        <f>+dHdcp[[#This Row],[Maximo]]&amp;":"&amp;dHdcp[[#This Row],[Nombre]]</f>
        <v>0:Javier Gonzalez Salvador</v>
      </c>
      <c r="I613" t="str">
        <f>+dHdcp[[#This Row],[Maximo]]&amp;":"&amp;_xlfn.XLOOKUP(dHdcp[[#This Row],[Nombre]],dJugador[Nombre],dJugador[Mote],"",0)</f>
        <v>0:Javi</v>
      </c>
      <c r="J613" t="str">
        <f>+IF(dHdcp[[#This Row],[Maximo]]=0,"",_xlfn.RANK.EQ(dHdcp[[#This Row],[Handicap]],dHdcp[Handicap],1))</f>
        <v/>
      </c>
      <c r="K613" t="str">
        <f>IFERROR(+_xlfn.RANK.EQ(dHdcp[[#This Row],[Ranking]],dHdcp[Ranking],1),"")</f>
        <v/>
      </c>
      <c r="M613" t="str">
        <f>+dHdcp[[#This Row],[Fecha]]&amp;":"&amp;dHdcp[[#This Row],[Nombre]]</f>
        <v>44090:Javier Gonzalez Salvador</v>
      </c>
      <c r="N613">
        <f>+COUNTIF(dHdcp[Columna1],dHdcp[[#This Row],[Columna1]])</f>
        <v>2</v>
      </c>
    </row>
    <row r="614" spans="1:14">
      <c r="A614" s="2">
        <v>44090</v>
      </c>
      <c r="B614" t="s">
        <v>20</v>
      </c>
      <c r="C614" s="51">
        <v>10.999999999999996</v>
      </c>
      <c r="D614">
        <v>2</v>
      </c>
      <c r="E614" t="s">
        <v>75</v>
      </c>
      <c r="F614" t="s">
        <v>1080</v>
      </c>
      <c r="G614">
        <f>+IF(dHdcp[[#This Row],[Fecha]]=MAX(dHdcp[Fecha]),1,0)</f>
        <v>0</v>
      </c>
      <c r="H614" t="str">
        <f>+dHdcp[[#This Row],[Maximo]]&amp;":"&amp;dHdcp[[#This Row],[Nombre]]</f>
        <v>0:Javier Gonzalez Salvador</v>
      </c>
      <c r="I614" t="str">
        <f>+dHdcp[[#This Row],[Maximo]]&amp;":"&amp;_xlfn.XLOOKUP(dHdcp[[#This Row],[Nombre]],dJugador[Nombre],dJugador[Mote],"",0)</f>
        <v>0:Javi</v>
      </c>
      <c r="J614" t="str">
        <f>+IF(dHdcp[[#This Row],[Maximo]]=0,"",_xlfn.RANK.EQ(dHdcp[[#This Row],[Handicap]],dHdcp[Handicap],1))</f>
        <v/>
      </c>
      <c r="K614" t="str">
        <f>IFERROR(+_xlfn.RANK.EQ(dHdcp[[#This Row],[Ranking]],dHdcp[Ranking],1),"")</f>
        <v/>
      </c>
      <c r="M614" t="str">
        <f>+dHdcp[[#This Row],[Fecha]]&amp;":"&amp;dHdcp[[#This Row],[Nombre]]</f>
        <v>44090:Javier Gonzalez Salvador</v>
      </c>
      <c r="N614">
        <f>+COUNTIF(dHdcp[Columna1],dHdcp[[#This Row],[Columna1]])</f>
        <v>2</v>
      </c>
    </row>
    <row r="615" spans="1:14">
      <c r="A615" s="2">
        <v>44090</v>
      </c>
      <c r="B615" t="s">
        <v>41</v>
      </c>
      <c r="C615" s="51">
        <v>22.7</v>
      </c>
      <c r="D615">
        <f>+VLOOKUP(dHdcp[[#This Row],[Handicap]],'Categoría Hdcap'!$B$2:$E$7,4)</f>
        <v>4</v>
      </c>
      <c r="E615" t="s">
        <v>74</v>
      </c>
      <c r="F615" t="s">
        <v>1081</v>
      </c>
      <c r="G615">
        <f>+IF(dHdcp[[#This Row],[Fecha]]=MAX(dHdcp[Fecha]),1,0)</f>
        <v>0</v>
      </c>
      <c r="H615" t="str">
        <f>+dHdcp[[#This Row],[Maximo]]&amp;":"&amp;dHdcp[[#This Row],[Nombre]]</f>
        <v>0:Jesus Touceda</v>
      </c>
      <c r="I615" t="str">
        <f>+dHdcp[[#This Row],[Maximo]]&amp;":"&amp;_xlfn.XLOOKUP(dHdcp[[#This Row],[Nombre]],dJugador[Nombre],dJugador[Mote],"",0)</f>
        <v>0:Jesús</v>
      </c>
      <c r="J615" t="str">
        <f>+IF(dHdcp[[#This Row],[Maximo]]=0,"",_xlfn.RANK.EQ(dHdcp[[#This Row],[Handicap]],dHdcp[Handicap],1))</f>
        <v/>
      </c>
      <c r="K615" t="str">
        <f>IFERROR(+_xlfn.RANK.EQ(dHdcp[[#This Row],[Ranking]],dHdcp[Ranking],1),"")</f>
        <v/>
      </c>
      <c r="M615" t="str">
        <f>+dHdcp[[#This Row],[Fecha]]&amp;":"&amp;dHdcp[[#This Row],[Nombre]]</f>
        <v>44090:Jesus Touceda</v>
      </c>
      <c r="N615">
        <f>+COUNTIF(dHdcp[Columna1],dHdcp[[#This Row],[Columna1]])</f>
        <v>2</v>
      </c>
    </row>
    <row r="616" spans="1:14">
      <c r="A616" s="2">
        <v>44090</v>
      </c>
      <c r="B616" t="s">
        <v>41</v>
      </c>
      <c r="C616" s="51">
        <v>21.600000000000005</v>
      </c>
      <c r="D616">
        <v>4</v>
      </c>
      <c r="E616" t="s">
        <v>75</v>
      </c>
      <c r="F616" t="s">
        <v>1082</v>
      </c>
      <c r="G616">
        <f>+IF(dHdcp[[#This Row],[Fecha]]=MAX(dHdcp[Fecha]),1,0)</f>
        <v>0</v>
      </c>
      <c r="H616" t="str">
        <f>+dHdcp[[#This Row],[Maximo]]&amp;":"&amp;dHdcp[[#This Row],[Nombre]]</f>
        <v>0:Jesus Touceda</v>
      </c>
      <c r="I616" t="str">
        <f>+dHdcp[[#This Row],[Maximo]]&amp;":"&amp;_xlfn.XLOOKUP(dHdcp[[#This Row],[Nombre]],dJugador[Nombre],dJugador[Mote],"",0)</f>
        <v>0:Jesús</v>
      </c>
      <c r="J616" t="str">
        <f>+IF(dHdcp[[#This Row],[Maximo]]=0,"",_xlfn.RANK.EQ(dHdcp[[#This Row],[Handicap]],dHdcp[Handicap],1))</f>
        <v/>
      </c>
      <c r="K616" t="str">
        <f>IFERROR(+_xlfn.RANK.EQ(dHdcp[[#This Row],[Ranking]],dHdcp[Ranking],1),"")</f>
        <v/>
      </c>
      <c r="M616" t="str">
        <f>+dHdcp[[#This Row],[Fecha]]&amp;":"&amp;dHdcp[[#This Row],[Nombre]]</f>
        <v>44090:Jesus Touceda</v>
      </c>
      <c r="N616">
        <f>+COUNTIF(dHdcp[Columna1],dHdcp[[#This Row],[Columna1]])</f>
        <v>2</v>
      </c>
    </row>
    <row r="617" spans="1:14">
      <c r="A617" s="2">
        <v>44090</v>
      </c>
      <c r="B617" t="s">
        <v>18</v>
      </c>
      <c r="C617" s="51">
        <v>6.9</v>
      </c>
      <c r="D617">
        <f>+VLOOKUP(dHdcp[[#This Row],[Handicap]],'Categoría Hdcap'!$B$2:$E$7,4)</f>
        <v>2</v>
      </c>
      <c r="E617" t="s">
        <v>74</v>
      </c>
      <c r="F617" t="s">
        <v>1083</v>
      </c>
      <c r="G617">
        <f>+IF(dHdcp[[#This Row],[Fecha]]=MAX(dHdcp[Fecha]),1,0)</f>
        <v>0</v>
      </c>
      <c r="H617" t="str">
        <f>+dHdcp[[#This Row],[Maximo]]&amp;":"&amp;dHdcp[[#This Row],[Nombre]]</f>
        <v>0:José Pablo Guil</v>
      </c>
      <c r="I617" t="str">
        <f>+dHdcp[[#This Row],[Maximo]]&amp;":"&amp;_xlfn.XLOOKUP(dHdcp[[#This Row],[Nombre]],dJugador[Nombre],dJugador[Mote],"",0)</f>
        <v>0:JP</v>
      </c>
      <c r="J617" t="str">
        <f>+IF(dHdcp[[#This Row],[Maximo]]=0,"",_xlfn.RANK.EQ(dHdcp[[#This Row],[Handicap]],dHdcp[Handicap],1))</f>
        <v/>
      </c>
      <c r="K617" t="str">
        <f>IFERROR(+_xlfn.RANK.EQ(dHdcp[[#This Row],[Ranking]],dHdcp[Ranking],1),"")</f>
        <v/>
      </c>
      <c r="M617" t="str">
        <f>+dHdcp[[#This Row],[Fecha]]&amp;":"&amp;dHdcp[[#This Row],[Nombre]]</f>
        <v>44090:José Pablo Guil</v>
      </c>
      <c r="N617">
        <f>+COUNTIF(dHdcp[Columna1],dHdcp[[#This Row],[Columna1]])</f>
        <v>2</v>
      </c>
    </row>
    <row r="618" spans="1:14">
      <c r="A618" s="2">
        <v>44090</v>
      </c>
      <c r="B618" t="s">
        <v>18</v>
      </c>
      <c r="C618" s="51">
        <v>5.7999999999999954</v>
      </c>
      <c r="D618">
        <v>2</v>
      </c>
      <c r="E618" t="s">
        <v>75</v>
      </c>
      <c r="F618" t="s">
        <v>1084</v>
      </c>
      <c r="G618">
        <f>+IF(dHdcp[[#This Row],[Fecha]]=MAX(dHdcp[Fecha]),1,0)</f>
        <v>0</v>
      </c>
      <c r="H618" t="str">
        <f>+dHdcp[[#This Row],[Maximo]]&amp;":"&amp;dHdcp[[#This Row],[Nombre]]</f>
        <v>0:José Pablo Guil</v>
      </c>
      <c r="I618" t="str">
        <f>+dHdcp[[#This Row],[Maximo]]&amp;":"&amp;_xlfn.XLOOKUP(dHdcp[[#This Row],[Nombre]],dJugador[Nombre],dJugador[Mote],"",0)</f>
        <v>0:JP</v>
      </c>
      <c r="J618" t="str">
        <f>+IF(dHdcp[[#This Row],[Maximo]]=0,"",_xlfn.RANK.EQ(dHdcp[[#This Row],[Handicap]],dHdcp[Handicap],1))</f>
        <v/>
      </c>
      <c r="K618" t="str">
        <f>IFERROR(+_xlfn.RANK.EQ(dHdcp[[#This Row],[Ranking]],dHdcp[Ranking],1),"")</f>
        <v/>
      </c>
      <c r="M618" t="str">
        <f>+dHdcp[[#This Row],[Fecha]]&amp;":"&amp;dHdcp[[#This Row],[Nombre]]</f>
        <v>44090:José Pablo Guil</v>
      </c>
      <c r="N618">
        <f>+COUNTIF(dHdcp[Columna1],dHdcp[[#This Row],[Columna1]])</f>
        <v>2</v>
      </c>
    </row>
    <row r="619" spans="1:14">
      <c r="A619" s="2">
        <v>44090</v>
      </c>
      <c r="B619" t="s">
        <v>43</v>
      </c>
      <c r="C619" s="51">
        <v>18.3</v>
      </c>
      <c r="D619">
        <f>+VLOOKUP(dHdcp[[#This Row],[Handicap]],'Categoría Hdcap'!$B$2:$E$7,4)</f>
        <v>3</v>
      </c>
      <c r="E619" t="s">
        <v>74</v>
      </c>
      <c r="F619" t="s">
        <v>1085</v>
      </c>
      <c r="G619">
        <f>+IF(dHdcp[[#This Row],[Fecha]]=MAX(dHdcp[Fecha]),1,0)</f>
        <v>0</v>
      </c>
      <c r="H619" t="str">
        <f>+dHdcp[[#This Row],[Maximo]]&amp;":"&amp;dHdcp[[#This Row],[Nombre]]</f>
        <v>0:Luis Escudero</v>
      </c>
      <c r="I619" t="str">
        <f>+dHdcp[[#This Row],[Maximo]]&amp;":"&amp;_xlfn.XLOOKUP(dHdcp[[#This Row],[Nombre]],dJugador[Nombre],dJugador[Mote],"",0)</f>
        <v>0:Lucho</v>
      </c>
      <c r="J619" t="str">
        <f>+IF(dHdcp[[#This Row],[Maximo]]=0,"",_xlfn.RANK.EQ(dHdcp[[#This Row],[Handicap]],dHdcp[Handicap],1))</f>
        <v/>
      </c>
      <c r="K619" t="str">
        <f>IFERROR(+_xlfn.RANK.EQ(dHdcp[[#This Row],[Ranking]],dHdcp[Ranking],1),"")</f>
        <v/>
      </c>
      <c r="M619" t="str">
        <f>+dHdcp[[#This Row],[Fecha]]&amp;":"&amp;dHdcp[[#This Row],[Nombre]]</f>
        <v>44090:Luis Escudero</v>
      </c>
      <c r="N619">
        <f>+COUNTIF(dHdcp[Columna1],dHdcp[[#This Row],[Columna1]])</f>
        <v>2</v>
      </c>
    </row>
    <row r="620" spans="1:14">
      <c r="A620" s="2">
        <v>44090</v>
      </c>
      <c r="B620" t="s">
        <v>43</v>
      </c>
      <c r="C620" s="51">
        <v>17.099999999999998</v>
      </c>
      <c r="D620">
        <v>3</v>
      </c>
      <c r="E620" t="s">
        <v>75</v>
      </c>
      <c r="F620" t="s">
        <v>1086</v>
      </c>
      <c r="G620">
        <f>+IF(dHdcp[[#This Row],[Fecha]]=MAX(dHdcp[Fecha]),1,0)</f>
        <v>0</v>
      </c>
      <c r="H620" t="str">
        <f>+dHdcp[[#This Row],[Maximo]]&amp;":"&amp;dHdcp[[#This Row],[Nombre]]</f>
        <v>0:Luis Escudero</v>
      </c>
      <c r="I620" t="str">
        <f>+dHdcp[[#This Row],[Maximo]]&amp;":"&amp;_xlfn.XLOOKUP(dHdcp[[#This Row],[Nombre]],dJugador[Nombre],dJugador[Mote],"",0)</f>
        <v>0:Lucho</v>
      </c>
      <c r="J620" t="str">
        <f>+IF(dHdcp[[#This Row],[Maximo]]=0,"",_xlfn.RANK.EQ(dHdcp[[#This Row],[Handicap]],dHdcp[Handicap],1))</f>
        <v/>
      </c>
      <c r="K620" t="str">
        <f>IFERROR(+_xlfn.RANK.EQ(dHdcp[[#This Row],[Ranking]],dHdcp[Ranking],1),"")</f>
        <v/>
      </c>
      <c r="M620" t="str">
        <f>+dHdcp[[#This Row],[Fecha]]&amp;":"&amp;dHdcp[[#This Row],[Nombre]]</f>
        <v>44090:Luis Escudero</v>
      </c>
      <c r="N620">
        <f>+COUNTIF(dHdcp[Columna1],dHdcp[[#This Row],[Columna1]])</f>
        <v>2</v>
      </c>
    </row>
    <row r="621" spans="1:14">
      <c r="A621" s="2">
        <v>44090</v>
      </c>
      <c r="B621" t="s">
        <v>51</v>
      </c>
      <c r="C621" s="51">
        <v>0.5</v>
      </c>
      <c r="D621">
        <f>+VLOOKUP(dHdcp[[#This Row],[Handicap]],'Categoría Hdcap'!$B$2:$E$7,4)</f>
        <v>1</v>
      </c>
      <c r="E621" t="s">
        <v>74</v>
      </c>
      <c r="F621" t="s">
        <v>1087</v>
      </c>
      <c r="G621">
        <f>+IF(dHdcp[[#This Row],[Fecha]]=MAX(dHdcp[Fecha]),1,0)</f>
        <v>0</v>
      </c>
      <c r="H621" t="str">
        <f>+dHdcp[[#This Row],[Maximo]]&amp;":"&amp;dHdcp[[#This Row],[Nombre]]</f>
        <v>0:Miguel Diaz Del Moral</v>
      </c>
      <c r="I621" t="str">
        <f>+dHdcp[[#This Row],[Maximo]]&amp;":"&amp;_xlfn.XLOOKUP(dHdcp[[#This Row],[Nombre]],dJugador[Nombre],dJugador[Mote],"",0)</f>
        <v>0:Cañita</v>
      </c>
      <c r="J621" t="str">
        <f>+IF(dHdcp[[#This Row],[Maximo]]=0,"",_xlfn.RANK.EQ(dHdcp[[#This Row],[Handicap]],dHdcp[Handicap],1))</f>
        <v/>
      </c>
      <c r="K621" t="str">
        <f>IFERROR(+_xlfn.RANK.EQ(dHdcp[[#This Row],[Ranking]],dHdcp[Ranking],1),"")</f>
        <v/>
      </c>
      <c r="M621" t="str">
        <f>+dHdcp[[#This Row],[Fecha]]&amp;":"&amp;dHdcp[[#This Row],[Nombre]]</f>
        <v>44090:Miguel Diaz Del Moral</v>
      </c>
      <c r="N621">
        <f>+COUNTIF(dHdcp[Columna1],dHdcp[[#This Row],[Columna1]])</f>
        <v>1</v>
      </c>
    </row>
    <row r="622" spans="1:14">
      <c r="A622" s="2">
        <v>44090</v>
      </c>
      <c r="B622" t="s">
        <v>3</v>
      </c>
      <c r="C622" s="51">
        <v>6.3</v>
      </c>
      <c r="D622">
        <f>+VLOOKUP(dHdcp[[#This Row],[Handicap]],'Categoría Hdcap'!$B$2:$E$7,4)</f>
        <v>2</v>
      </c>
      <c r="E622" t="s">
        <v>74</v>
      </c>
      <c r="F622" t="s">
        <v>1088</v>
      </c>
      <c r="G622">
        <f>+IF(dHdcp[[#This Row],[Fecha]]=MAX(dHdcp[Fecha]),1,0)</f>
        <v>0</v>
      </c>
      <c r="H622" t="str">
        <f>+dHdcp[[#This Row],[Maximo]]&amp;":"&amp;dHdcp[[#This Row],[Nombre]]</f>
        <v>0:Nacho Gonzalez</v>
      </c>
      <c r="I622" t="str">
        <f>+dHdcp[[#This Row],[Maximo]]&amp;":"&amp;_xlfn.XLOOKUP(dHdcp[[#This Row],[Nombre]],dJugador[Nombre],dJugador[Mote],"",0)</f>
        <v>0:Nacho</v>
      </c>
      <c r="J622" t="str">
        <f>+IF(dHdcp[[#This Row],[Maximo]]=0,"",_xlfn.RANK.EQ(dHdcp[[#This Row],[Handicap]],dHdcp[Handicap],1))</f>
        <v/>
      </c>
      <c r="K622" t="str">
        <f>IFERROR(+_xlfn.RANK.EQ(dHdcp[[#This Row],[Ranking]],dHdcp[Ranking],1),"")</f>
        <v/>
      </c>
      <c r="M622" t="str">
        <f>+dHdcp[[#This Row],[Fecha]]&amp;":"&amp;dHdcp[[#This Row],[Nombre]]</f>
        <v>44090:Nacho Gonzalez</v>
      </c>
      <c r="N622">
        <f>+COUNTIF(dHdcp[Columna1],dHdcp[[#This Row],[Columna1]])</f>
        <v>2</v>
      </c>
    </row>
    <row r="623" spans="1:14">
      <c r="A623" s="2">
        <v>44090</v>
      </c>
      <c r="B623" t="s">
        <v>3</v>
      </c>
      <c r="C623" s="51">
        <v>4.4999999999999991</v>
      </c>
      <c r="D623">
        <v>1</v>
      </c>
      <c r="E623" t="s">
        <v>75</v>
      </c>
      <c r="F623" t="s">
        <v>1089</v>
      </c>
      <c r="G623">
        <f>+IF(dHdcp[[#This Row],[Fecha]]=MAX(dHdcp[Fecha]),1,0)</f>
        <v>0</v>
      </c>
      <c r="H623" t="str">
        <f>+dHdcp[[#This Row],[Maximo]]&amp;":"&amp;dHdcp[[#This Row],[Nombre]]</f>
        <v>0:Nacho Gonzalez</v>
      </c>
      <c r="I623" t="str">
        <f>+dHdcp[[#This Row],[Maximo]]&amp;":"&amp;_xlfn.XLOOKUP(dHdcp[[#This Row],[Nombre]],dJugador[Nombre],dJugador[Mote],"",0)</f>
        <v>0:Nacho</v>
      </c>
      <c r="J623" t="str">
        <f>+IF(dHdcp[[#This Row],[Maximo]]=0,"",_xlfn.RANK.EQ(dHdcp[[#This Row],[Handicap]],dHdcp[Handicap],1))</f>
        <v/>
      </c>
      <c r="K623" t="str">
        <f>IFERROR(+_xlfn.RANK.EQ(dHdcp[[#This Row],[Ranking]],dHdcp[Ranking],1),"")</f>
        <v/>
      </c>
      <c r="M623" t="str">
        <f>+dHdcp[[#This Row],[Fecha]]&amp;":"&amp;dHdcp[[#This Row],[Nombre]]</f>
        <v>44090:Nacho Gonzalez</v>
      </c>
      <c r="N623">
        <f>+COUNTIF(dHdcp[Columna1],dHdcp[[#This Row],[Columna1]])</f>
        <v>2</v>
      </c>
    </row>
    <row r="624" spans="1:14">
      <c r="A624" s="2">
        <v>44090</v>
      </c>
      <c r="B624" t="s">
        <v>28</v>
      </c>
      <c r="C624" s="51">
        <v>13.7</v>
      </c>
      <c r="D624">
        <f>+VLOOKUP(dHdcp[[#This Row],[Handicap]],'Categoría Hdcap'!$B$2:$E$7,4)</f>
        <v>3</v>
      </c>
      <c r="E624" t="s">
        <v>74</v>
      </c>
      <c r="F624" t="s">
        <v>1090</v>
      </c>
      <c r="G624">
        <f>+IF(dHdcp[[#This Row],[Fecha]]=MAX(dHdcp[Fecha]),1,0)</f>
        <v>0</v>
      </c>
      <c r="H624" t="str">
        <f>+dHdcp[[#This Row],[Maximo]]&amp;":"&amp;dHdcp[[#This Row],[Nombre]]</f>
        <v>0:Pablo Munitiz</v>
      </c>
      <c r="I624" t="str">
        <f>+dHdcp[[#This Row],[Maximo]]&amp;":"&amp;_xlfn.XLOOKUP(dHdcp[[#This Row],[Nombre]],dJugador[Nombre],dJugador[Mote],"",0)</f>
        <v>0:Muni</v>
      </c>
      <c r="J624" t="str">
        <f>+IF(dHdcp[[#This Row],[Maximo]]=0,"",_xlfn.RANK.EQ(dHdcp[[#This Row],[Handicap]],dHdcp[Handicap],1))</f>
        <v/>
      </c>
      <c r="K624" t="str">
        <f>IFERROR(+_xlfn.RANK.EQ(dHdcp[[#This Row],[Ranking]],dHdcp[Ranking],1),"")</f>
        <v/>
      </c>
      <c r="M624" t="str">
        <f>+dHdcp[[#This Row],[Fecha]]&amp;":"&amp;dHdcp[[#This Row],[Nombre]]</f>
        <v>44090:Pablo Munitiz</v>
      </c>
      <c r="N624">
        <f>+COUNTIF(dHdcp[Columna1],dHdcp[[#This Row],[Columna1]])</f>
        <v>2</v>
      </c>
    </row>
    <row r="625" spans="1:14">
      <c r="A625" s="2">
        <v>44090</v>
      </c>
      <c r="B625" t="s">
        <v>28</v>
      </c>
      <c r="C625" s="51">
        <v>13.5</v>
      </c>
      <c r="D625">
        <v>3</v>
      </c>
      <c r="E625" t="s">
        <v>75</v>
      </c>
      <c r="F625" t="s">
        <v>1091</v>
      </c>
      <c r="G625">
        <f>+IF(dHdcp[[#This Row],[Fecha]]=MAX(dHdcp[Fecha]),1,0)</f>
        <v>0</v>
      </c>
      <c r="H625" t="str">
        <f>+dHdcp[[#This Row],[Maximo]]&amp;":"&amp;dHdcp[[#This Row],[Nombre]]</f>
        <v>0:Pablo Munitiz</v>
      </c>
      <c r="I625" t="str">
        <f>+dHdcp[[#This Row],[Maximo]]&amp;":"&amp;_xlfn.XLOOKUP(dHdcp[[#This Row],[Nombre]],dJugador[Nombre],dJugador[Mote],"",0)</f>
        <v>0:Muni</v>
      </c>
      <c r="J625" t="str">
        <f>+IF(dHdcp[[#This Row],[Maximo]]=0,"",_xlfn.RANK.EQ(dHdcp[[#This Row],[Handicap]],dHdcp[Handicap],1))</f>
        <v/>
      </c>
      <c r="K625" t="str">
        <f>IFERROR(+_xlfn.RANK.EQ(dHdcp[[#This Row],[Ranking]],dHdcp[Ranking],1),"")</f>
        <v/>
      </c>
      <c r="M625" t="str">
        <f>+dHdcp[[#This Row],[Fecha]]&amp;":"&amp;dHdcp[[#This Row],[Nombre]]</f>
        <v>44090:Pablo Munitiz</v>
      </c>
      <c r="N625">
        <f>+COUNTIF(dHdcp[Columna1],dHdcp[[#This Row],[Columna1]])</f>
        <v>2</v>
      </c>
    </row>
    <row r="626" spans="1:14">
      <c r="A626" s="2">
        <v>44178</v>
      </c>
      <c r="B626" t="s">
        <v>9</v>
      </c>
      <c r="C626" s="51">
        <v>9.3000000000000007</v>
      </c>
      <c r="D626">
        <f>+VLOOKUP(dHdcp[[#This Row],[Handicap]],'Categoría Hdcap'!$B$2:$E$7,4)</f>
        <v>2</v>
      </c>
      <c r="E626" t="s">
        <v>74</v>
      </c>
      <c r="F626" t="s">
        <v>1092</v>
      </c>
      <c r="G626">
        <f>+IF(dHdcp[[#This Row],[Fecha]]=MAX(dHdcp[Fecha]),1,0)</f>
        <v>0</v>
      </c>
      <c r="H626" t="str">
        <f>+dHdcp[[#This Row],[Maximo]]&amp;":"&amp;dHdcp[[#This Row],[Nombre]]</f>
        <v>0:Alfonso Hidalgo</v>
      </c>
      <c r="I626" t="str">
        <f>+dHdcp[[#This Row],[Maximo]]&amp;":"&amp;_xlfn.XLOOKUP(dHdcp[[#This Row],[Nombre]],dJugador[Nombre],dJugador[Mote],"",0)</f>
        <v>0:Alfonso</v>
      </c>
      <c r="J626" t="str">
        <f>+IF(dHdcp[[#This Row],[Maximo]]=0,"",_xlfn.RANK.EQ(dHdcp[[#This Row],[Handicap]],dHdcp[Handicap],1))</f>
        <v/>
      </c>
      <c r="K626" t="str">
        <f>IFERROR(+_xlfn.RANK.EQ(dHdcp[[#This Row],[Ranking]],dHdcp[Ranking],1),"")</f>
        <v/>
      </c>
      <c r="M626" t="str">
        <f>+dHdcp[[#This Row],[Fecha]]&amp;":"&amp;dHdcp[[#This Row],[Nombre]]</f>
        <v>44178:Alfonso Hidalgo</v>
      </c>
      <c r="N626">
        <f>+COUNTIF(dHdcp[Columna1],dHdcp[[#This Row],[Columna1]])</f>
        <v>2</v>
      </c>
    </row>
    <row r="627" spans="1:14">
      <c r="A627" s="2">
        <v>44178</v>
      </c>
      <c r="B627" t="s">
        <v>9</v>
      </c>
      <c r="C627" s="51">
        <v>8.2000000000000028</v>
      </c>
      <c r="D627">
        <v>2</v>
      </c>
      <c r="E627" t="s">
        <v>75</v>
      </c>
      <c r="F627" t="s">
        <v>1093</v>
      </c>
      <c r="G627">
        <f>+IF(dHdcp[[#This Row],[Fecha]]=MAX(dHdcp[Fecha]),1,0)</f>
        <v>0</v>
      </c>
      <c r="H627" t="str">
        <f>+dHdcp[[#This Row],[Maximo]]&amp;":"&amp;dHdcp[[#This Row],[Nombre]]</f>
        <v>0:Alfonso Hidalgo</v>
      </c>
      <c r="I627" t="str">
        <f>+dHdcp[[#This Row],[Maximo]]&amp;":"&amp;_xlfn.XLOOKUP(dHdcp[[#This Row],[Nombre]],dJugador[Nombre],dJugador[Mote],"",0)</f>
        <v>0:Alfonso</v>
      </c>
      <c r="J627" t="str">
        <f>+IF(dHdcp[[#This Row],[Maximo]]=0,"",_xlfn.RANK.EQ(dHdcp[[#This Row],[Handicap]],dHdcp[Handicap],1))</f>
        <v/>
      </c>
      <c r="K627" t="str">
        <f>IFERROR(+_xlfn.RANK.EQ(dHdcp[[#This Row],[Ranking]],dHdcp[Ranking],1),"")</f>
        <v/>
      </c>
      <c r="M627" t="str">
        <f>+dHdcp[[#This Row],[Fecha]]&amp;":"&amp;dHdcp[[#This Row],[Nombre]]</f>
        <v>44178:Alfonso Hidalgo</v>
      </c>
      <c r="N627">
        <f>+COUNTIF(dHdcp[Columna1],dHdcp[[#This Row],[Columna1]])</f>
        <v>2</v>
      </c>
    </row>
    <row r="628" spans="1:14">
      <c r="A628" s="2">
        <v>44178</v>
      </c>
      <c r="B628" t="s">
        <v>15</v>
      </c>
      <c r="C628" s="51">
        <v>6.3</v>
      </c>
      <c r="D628">
        <f>+VLOOKUP(dHdcp[[#This Row],[Handicap]],'Categoría Hdcap'!$B$2:$E$7,4)</f>
        <v>2</v>
      </c>
      <c r="E628" t="s">
        <v>74</v>
      </c>
      <c r="F628" t="s">
        <v>1094</v>
      </c>
      <c r="G628">
        <f>+IF(dHdcp[[#This Row],[Fecha]]=MAX(dHdcp[Fecha]),1,0)</f>
        <v>0</v>
      </c>
      <c r="H628" t="str">
        <f>+dHdcp[[#This Row],[Maximo]]&amp;":"&amp;dHdcp[[#This Row],[Nombre]]</f>
        <v>0:Alvaro Aguirre</v>
      </c>
      <c r="I628" t="str">
        <f>+dHdcp[[#This Row],[Maximo]]&amp;":"&amp;_xlfn.XLOOKUP(dHdcp[[#This Row],[Nombre]],dJugador[Nombre],dJugador[Mote],"",0)</f>
        <v>0:Gifu</v>
      </c>
      <c r="J628" t="str">
        <f>+IF(dHdcp[[#This Row],[Maximo]]=0,"",_xlfn.RANK.EQ(dHdcp[[#This Row],[Handicap]],dHdcp[Handicap],1))</f>
        <v/>
      </c>
      <c r="K628" t="str">
        <f>IFERROR(+_xlfn.RANK.EQ(dHdcp[[#This Row],[Ranking]],dHdcp[Ranking],1),"")</f>
        <v/>
      </c>
      <c r="M628" t="str">
        <f>+dHdcp[[#This Row],[Fecha]]&amp;":"&amp;dHdcp[[#This Row],[Nombre]]</f>
        <v>44178:Alvaro Aguirre</v>
      </c>
      <c r="N628">
        <f>+COUNTIF(dHdcp[Columna1],dHdcp[[#This Row],[Columna1]])</f>
        <v>2</v>
      </c>
    </row>
    <row r="629" spans="1:14">
      <c r="A629" s="2">
        <v>44178</v>
      </c>
      <c r="B629" t="s">
        <v>15</v>
      </c>
      <c r="C629" s="51">
        <v>4.9999999999999973</v>
      </c>
      <c r="D629">
        <v>2</v>
      </c>
      <c r="E629" t="s">
        <v>75</v>
      </c>
      <c r="F629" s="94" t="s">
        <v>1095</v>
      </c>
      <c r="G629">
        <f>+IF(dHdcp[[#This Row],[Fecha]]=MAX(dHdcp[Fecha]),1,0)</f>
        <v>0</v>
      </c>
      <c r="H629" t="str">
        <f>+dHdcp[[#This Row],[Maximo]]&amp;":"&amp;dHdcp[[#This Row],[Nombre]]</f>
        <v>0:Alvaro Aguirre</v>
      </c>
      <c r="I629" t="str">
        <f>+dHdcp[[#This Row],[Maximo]]&amp;":"&amp;_xlfn.XLOOKUP(dHdcp[[#This Row],[Nombre]],dJugador[Nombre],dJugador[Mote],"",0)</f>
        <v>0:Gifu</v>
      </c>
      <c r="J629" t="str">
        <f>+IF(dHdcp[[#This Row],[Maximo]]=0,"",_xlfn.RANK.EQ(dHdcp[[#This Row],[Handicap]],dHdcp[Handicap],1))</f>
        <v/>
      </c>
      <c r="K629" t="str">
        <f>IFERROR(+_xlfn.RANK.EQ(dHdcp[[#This Row],[Ranking]],dHdcp[Ranking],1),"")</f>
        <v/>
      </c>
      <c r="M629" t="str">
        <f>+dHdcp[[#This Row],[Fecha]]&amp;":"&amp;dHdcp[[#This Row],[Nombre]]</f>
        <v>44178:Alvaro Aguirre</v>
      </c>
      <c r="N629">
        <f>+COUNTIF(dHdcp[Columna1],dHdcp[[#This Row],[Columna1]])</f>
        <v>2</v>
      </c>
    </row>
    <row r="630" spans="1:14">
      <c r="A630" s="2">
        <v>44178</v>
      </c>
      <c r="B630" t="s">
        <v>25</v>
      </c>
      <c r="C630" s="51">
        <v>14</v>
      </c>
      <c r="D630">
        <f>+VLOOKUP(dHdcp[[#This Row],[Handicap]],'Categoría Hdcap'!$B$2:$E$7,4)</f>
        <v>3</v>
      </c>
      <c r="E630" t="s">
        <v>74</v>
      </c>
      <c r="F630" t="s">
        <v>1096</v>
      </c>
      <c r="G630">
        <f>+IF(dHdcp[[#This Row],[Fecha]]=MAX(dHdcp[Fecha]),1,0)</f>
        <v>0</v>
      </c>
      <c r="H630" t="str">
        <f>+dHdcp[[#This Row],[Maximo]]&amp;":"&amp;dHdcp[[#This Row],[Nombre]]</f>
        <v>0:Alvaro Nieto</v>
      </c>
      <c r="I630" t="str">
        <f>+dHdcp[[#This Row],[Maximo]]&amp;":"&amp;_xlfn.XLOOKUP(dHdcp[[#This Row],[Nombre]],dJugador[Nombre],dJugador[Mote],"",0)</f>
        <v>0:Alvaro</v>
      </c>
      <c r="J630" t="str">
        <f>+IF(dHdcp[[#This Row],[Maximo]]=0,"",_xlfn.RANK.EQ(dHdcp[[#This Row],[Handicap]],dHdcp[Handicap],1))</f>
        <v/>
      </c>
      <c r="K630" t="str">
        <f>IFERROR(+_xlfn.RANK.EQ(dHdcp[[#This Row],[Ranking]],dHdcp[Ranking],1),"")</f>
        <v/>
      </c>
      <c r="M630" t="str">
        <f>+dHdcp[[#This Row],[Fecha]]&amp;":"&amp;dHdcp[[#This Row],[Nombre]]</f>
        <v>44178:Alvaro Nieto</v>
      </c>
      <c r="N630">
        <f>+COUNTIF(dHdcp[Columna1],dHdcp[[#This Row],[Columna1]])</f>
        <v>2</v>
      </c>
    </row>
    <row r="631" spans="1:14">
      <c r="A631" s="2">
        <v>44178</v>
      </c>
      <c r="B631" t="s">
        <v>25</v>
      </c>
      <c r="C631" s="51">
        <v>13.299999999999999</v>
      </c>
      <c r="D631">
        <v>3</v>
      </c>
      <c r="E631" t="s">
        <v>75</v>
      </c>
      <c r="F631" t="s">
        <v>1097</v>
      </c>
      <c r="G631">
        <f>+IF(dHdcp[[#This Row],[Fecha]]=MAX(dHdcp[Fecha]),1,0)</f>
        <v>0</v>
      </c>
      <c r="H631" t="str">
        <f>+dHdcp[[#This Row],[Maximo]]&amp;":"&amp;dHdcp[[#This Row],[Nombre]]</f>
        <v>0:Alvaro Nieto</v>
      </c>
      <c r="I631" t="str">
        <f>+dHdcp[[#This Row],[Maximo]]&amp;":"&amp;_xlfn.XLOOKUP(dHdcp[[#This Row],[Nombre]],dJugador[Nombre],dJugador[Mote],"",0)</f>
        <v>0:Alvaro</v>
      </c>
      <c r="J631" t="str">
        <f>+IF(dHdcp[[#This Row],[Maximo]]=0,"",_xlfn.RANK.EQ(dHdcp[[#This Row],[Handicap]],dHdcp[Handicap],1))</f>
        <v/>
      </c>
      <c r="K631" t="str">
        <f>IFERROR(+_xlfn.RANK.EQ(dHdcp[[#This Row],[Ranking]],dHdcp[Ranking],1),"")</f>
        <v/>
      </c>
      <c r="M631" t="str">
        <f>+dHdcp[[#This Row],[Fecha]]&amp;":"&amp;dHdcp[[#This Row],[Nombre]]</f>
        <v>44178:Alvaro Nieto</v>
      </c>
      <c r="N631">
        <f>+COUNTIF(dHdcp[Columna1],dHdcp[[#This Row],[Columna1]])</f>
        <v>2</v>
      </c>
    </row>
    <row r="632" spans="1:14">
      <c r="A632" s="2">
        <v>44178</v>
      </c>
      <c r="B632" t="s">
        <v>33</v>
      </c>
      <c r="C632" s="51">
        <v>7.6</v>
      </c>
      <c r="D632">
        <f>+VLOOKUP(dHdcp[[#This Row],[Handicap]],'Categoría Hdcap'!$B$2:$E$7,4)</f>
        <v>2</v>
      </c>
      <c r="E632" t="s">
        <v>74</v>
      </c>
      <c r="F632" t="s">
        <v>1098</v>
      </c>
      <c r="G632">
        <f>+IF(dHdcp[[#This Row],[Fecha]]=MAX(dHdcp[Fecha]),1,0)</f>
        <v>0</v>
      </c>
      <c r="H632" t="str">
        <f>+dHdcp[[#This Row],[Maximo]]&amp;":"&amp;dHdcp[[#This Row],[Nombre]]</f>
        <v>0:Angel Hernandez</v>
      </c>
      <c r="I632" t="str">
        <f>+dHdcp[[#This Row],[Maximo]]&amp;":"&amp;_xlfn.XLOOKUP(dHdcp[[#This Row],[Nombre]],dJugador[Nombre],dJugador[Mote],"",0)</f>
        <v>0:Angel</v>
      </c>
      <c r="J632" t="str">
        <f>+IF(dHdcp[[#This Row],[Maximo]]=0,"",_xlfn.RANK.EQ(dHdcp[[#This Row],[Handicap]],dHdcp[Handicap],1))</f>
        <v/>
      </c>
      <c r="K632" t="str">
        <f>IFERROR(+_xlfn.RANK.EQ(dHdcp[[#This Row],[Ranking]],dHdcp[Ranking],1),"")</f>
        <v/>
      </c>
      <c r="M632" t="str">
        <f>+dHdcp[[#This Row],[Fecha]]&amp;":"&amp;dHdcp[[#This Row],[Nombre]]</f>
        <v>44178:Angel Hernandez</v>
      </c>
      <c r="N632">
        <f>+COUNTIF(dHdcp[Columna1],dHdcp[[#This Row],[Columna1]])</f>
        <v>2</v>
      </c>
    </row>
    <row r="633" spans="1:14">
      <c r="A633" s="2">
        <v>44178</v>
      </c>
      <c r="B633" t="s">
        <v>33</v>
      </c>
      <c r="C633" s="51">
        <v>6.6999999999999931</v>
      </c>
      <c r="D633">
        <v>2</v>
      </c>
      <c r="E633" t="s">
        <v>75</v>
      </c>
      <c r="F633" s="94" t="s">
        <v>1099</v>
      </c>
      <c r="G633">
        <f>+IF(dHdcp[[#This Row],[Fecha]]=MAX(dHdcp[Fecha]),1,0)</f>
        <v>0</v>
      </c>
      <c r="H633" t="str">
        <f>+dHdcp[[#This Row],[Maximo]]&amp;":"&amp;dHdcp[[#This Row],[Nombre]]</f>
        <v>0:Angel Hernandez</v>
      </c>
      <c r="I633" t="str">
        <f>+dHdcp[[#This Row],[Maximo]]&amp;":"&amp;_xlfn.XLOOKUP(dHdcp[[#This Row],[Nombre]],dJugador[Nombre],dJugador[Mote],"",0)</f>
        <v>0:Angel</v>
      </c>
      <c r="J633" t="str">
        <f>+IF(dHdcp[[#This Row],[Maximo]]=0,"",_xlfn.RANK.EQ(dHdcp[[#This Row],[Handicap]],dHdcp[Handicap],1))</f>
        <v/>
      </c>
      <c r="K633" t="str">
        <f>IFERROR(+_xlfn.RANK.EQ(dHdcp[[#This Row],[Ranking]],dHdcp[Ranking],1),"")</f>
        <v/>
      </c>
      <c r="M633" t="str">
        <f>+dHdcp[[#This Row],[Fecha]]&amp;":"&amp;dHdcp[[#This Row],[Nombre]]</f>
        <v>44178:Angel Hernandez</v>
      </c>
      <c r="N633">
        <f>+COUNTIF(dHdcp[Columna1],dHdcp[[#This Row],[Columna1]])</f>
        <v>2</v>
      </c>
    </row>
    <row r="634" spans="1:14">
      <c r="A634" s="2">
        <v>44178</v>
      </c>
      <c r="B634" t="s">
        <v>30</v>
      </c>
      <c r="C634" s="51">
        <v>11.4</v>
      </c>
      <c r="D634">
        <f>+VLOOKUP(dHdcp[[#This Row],[Handicap]],'Categoría Hdcap'!$B$2:$E$7,4)</f>
        <v>2</v>
      </c>
      <c r="E634" t="s">
        <v>74</v>
      </c>
      <c r="F634" t="s">
        <v>1100</v>
      </c>
      <c r="G634">
        <f>+IF(dHdcp[[#This Row],[Fecha]]=MAX(dHdcp[Fecha]),1,0)</f>
        <v>0</v>
      </c>
      <c r="H634" t="str">
        <f>+dHdcp[[#This Row],[Maximo]]&amp;":"&amp;dHdcp[[#This Row],[Nombre]]</f>
        <v>0:David Sequera</v>
      </c>
      <c r="I634" t="str">
        <f>+dHdcp[[#This Row],[Maximo]]&amp;":"&amp;_xlfn.XLOOKUP(dHdcp[[#This Row],[Nombre]],dJugador[Nombre],dJugador[Mote],"",0)</f>
        <v>0:David</v>
      </c>
      <c r="J634" t="str">
        <f>+IF(dHdcp[[#This Row],[Maximo]]=0,"",_xlfn.RANK.EQ(dHdcp[[#This Row],[Handicap]],dHdcp[Handicap],1))</f>
        <v/>
      </c>
      <c r="K634" t="str">
        <f>IFERROR(+_xlfn.RANK.EQ(dHdcp[[#This Row],[Ranking]],dHdcp[Ranking],1),"")</f>
        <v/>
      </c>
      <c r="M634" t="str">
        <f>+dHdcp[[#This Row],[Fecha]]&amp;":"&amp;dHdcp[[#This Row],[Nombre]]</f>
        <v>44178:David Sequera</v>
      </c>
      <c r="N634">
        <f>+COUNTIF(dHdcp[Columna1],dHdcp[[#This Row],[Columna1]])</f>
        <v>2</v>
      </c>
    </row>
    <row r="635" spans="1:14">
      <c r="A635" s="2">
        <v>44178</v>
      </c>
      <c r="B635" t="s">
        <v>30</v>
      </c>
      <c r="C635" s="51">
        <v>10.699999999999998</v>
      </c>
      <c r="D635">
        <v>2</v>
      </c>
      <c r="E635" t="s">
        <v>75</v>
      </c>
      <c r="F635" t="s">
        <v>1101</v>
      </c>
      <c r="G635">
        <f>+IF(dHdcp[[#This Row],[Fecha]]=MAX(dHdcp[Fecha]),1,0)</f>
        <v>0</v>
      </c>
      <c r="H635" t="str">
        <f>+dHdcp[[#This Row],[Maximo]]&amp;":"&amp;dHdcp[[#This Row],[Nombre]]</f>
        <v>0:David Sequera</v>
      </c>
      <c r="I635" t="str">
        <f>+dHdcp[[#This Row],[Maximo]]&amp;":"&amp;_xlfn.XLOOKUP(dHdcp[[#This Row],[Nombre]],dJugador[Nombre],dJugador[Mote],"",0)</f>
        <v>0:David</v>
      </c>
      <c r="J635" t="str">
        <f>+IF(dHdcp[[#This Row],[Maximo]]=0,"",_xlfn.RANK.EQ(dHdcp[[#This Row],[Handicap]],dHdcp[Handicap],1))</f>
        <v/>
      </c>
      <c r="K635" t="str">
        <f>IFERROR(+_xlfn.RANK.EQ(dHdcp[[#This Row],[Ranking]],dHdcp[Ranking],1),"")</f>
        <v/>
      </c>
      <c r="M635" t="str">
        <f>+dHdcp[[#This Row],[Fecha]]&amp;":"&amp;dHdcp[[#This Row],[Nombre]]</f>
        <v>44178:David Sequera</v>
      </c>
      <c r="N635">
        <f>+COUNTIF(dHdcp[Columna1],dHdcp[[#This Row],[Columna1]])</f>
        <v>2</v>
      </c>
    </row>
    <row r="636" spans="1:14">
      <c r="A636" s="2">
        <v>44178</v>
      </c>
      <c r="B636" t="s">
        <v>12</v>
      </c>
      <c r="C636" s="51">
        <v>16.2</v>
      </c>
      <c r="D636">
        <f>+VLOOKUP(dHdcp[[#This Row],[Handicap]],'Categoría Hdcap'!$B$2:$E$7,4)</f>
        <v>3</v>
      </c>
      <c r="E636" t="s">
        <v>74</v>
      </c>
      <c r="F636" t="s">
        <v>1102</v>
      </c>
      <c r="G636">
        <f>+IF(dHdcp[[#This Row],[Fecha]]=MAX(dHdcp[Fecha]),1,0)</f>
        <v>0</v>
      </c>
      <c r="H636" t="str">
        <f>+dHdcp[[#This Row],[Maximo]]&amp;":"&amp;dHdcp[[#This Row],[Nombre]]</f>
        <v>0:Francisco Alvarez</v>
      </c>
      <c r="I636" t="str">
        <f>+dHdcp[[#This Row],[Maximo]]&amp;":"&amp;_xlfn.XLOOKUP(dHdcp[[#This Row],[Nombre]],dJugador[Nombre],dJugador[Mote],"",0)</f>
        <v>0:Paco</v>
      </c>
      <c r="J636" t="str">
        <f>+IF(dHdcp[[#This Row],[Maximo]]=0,"",_xlfn.RANK.EQ(dHdcp[[#This Row],[Handicap]],dHdcp[Handicap],1))</f>
        <v/>
      </c>
      <c r="K636" t="str">
        <f>IFERROR(+_xlfn.RANK.EQ(dHdcp[[#This Row],[Ranking]],dHdcp[Ranking],1),"")</f>
        <v/>
      </c>
      <c r="M636" t="str">
        <f>+dHdcp[[#This Row],[Fecha]]&amp;":"&amp;dHdcp[[#This Row],[Nombre]]</f>
        <v>44178:Francisco Alvarez</v>
      </c>
      <c r="N636">
        <f>+COUNTIF(dHdcp[Columna1],dHdcp[[#This Row],[Columna1]])</f>
        <v>2</v>
      </c>
    </row>
    <row r="637" spans="1:14">
      <c r="A637" s="2">
        <v>44178</v>
      </c>
      <c r="B637" t="s">
        <v>12</v>
      </c>
      <c r="C637" s="51">
        <v>14.2</v>
      </c>
      <c r="D637">
        <v>3</v>
      </c>
      <c r="E637" t="s">
        <v>75</v>
      </c>
      <c r="F637" t="s">
        <v>1103</v>
      </c>
      <c r="G637">
        <f>+IF(dHdcp[[#This Row],[Fecha]]=MAX(dHdcp[Fecha]),1,0)</f>
        <v>0</v>
      </c>
      <c r="H637" t="str">
        <f>+dHdcp[[#This Row],[Maximo]]&amp;":"&amp;dHdcp[[#This Row],[Nombre]]</f>
        <v>0:Francisco Alvarez</v>
      </c>
      <c r="I637" t="str">
        <f>+dHdcp[[#This Row],[Maximo]]&amp;":"&amp;_xlfn.XLOOKUP(dHdcp[[#This Row],[Nombre]],dJugador[Nombre],dJugador[Mote],"",0)</f>
        <v>0:Paco</v>
      </c>
      <c r="J637" t="str">
        <f>+IF(dHdcp[[#This Row],[Maximo]]=0,"",_xlfn.RANK.EQ(dHdcp[[#This Row],[Handicap]],dHdcp[Handicap],1))</f>
        <v/>
      </c>
      <c r="K637" t="str">
        <f>IFERROR(+_xlfn.RANK.EQ(dHdcp[[#This Row],[Ranking]],dHdcp[Ranking],1),"")</f>
        <v/>
      </c>
      <c r="M637" t="str">
        <f>+dHdcp[[#This Row],[Fecha]]&amp;":"&amp;dHdcp[[#This Row],[Nombre]]</f>
        <v>44178:Francisco Alvarez</v>
      </c>
      <c r="N637">
        <f>+COUNTIF(dHdcp[Columna1],dHdcp[[#This Row],[Columna1]])</f>
        <v>2</v>
      </c>
    </row>
    <row r="638" spans="1:14">
      <c r="A638" s="2">
        <v>44178</v>
      </c>
      <c r="B638" t="s">
        <v>49</v>
      </c>
      <c r="C638" s="51">
        <v>14.7</v>
      </c>
      <c r="D638">
        <f>+VLOOKUP(dHdcp[[#This Row],[Handicap]],'Categoría Hdcap'!$B$2:$E$7,4)</f>
        <v>3</v>
      </c>
      <c r="E638" t="s">
        <v>74</v>
      </c>
      <c r="F638" t="s">
        <v>1104</v>
      </c>
      <c r="G638">
        <f>+IF(dHdcp[[#This Row],[Fecha]]=MAX(dHdcp[Fecha]),1,0)</f>
        <v>0</v>
      </c>
      <c r="H638" t="str">
        <f>+dHdcp[[#This Row],[Maximo]]&amp;":"&amp;dHdcp[[#This Row],[Nombre]]</f>
        <v>0:Francisco Hidalgo</v>
      </c>
      <c r="I638" t="str">
        <f>+dHdcp[[#This Row],[Maximo]]&amp;":"&amp;_xlfn.XLOOKUP(dHdcp[[#This Row],[Nombre]],dJugador[Nombre],dJugador[Mote],"",0)</f>
        <v>0:Fran</v>
      </c>
      <c r="J638" t="str">
        <f>+IF(dHdcp[[#This Row],[Maximo]]=0,"",_xlfn.RANK.EQ(dHdcp[[#This Row],[Handicap]],dHdcp[Handicap],1))</f>
        <v/>
      </c>
      <c r="K638" t="str">
        <f>IFERROR(+_xlfn.RANK.EQ(dHdcp[[#This Row],[Ranking]],dHdcp[Ranking],1),"")</f>
        <v/>
      </c>
      <c r="M638" t="str">
        <f>+dHdcp[[#This Row],[Fecha]]&amp;":"&amp;dHdcp[[#This Row],[Nombre]]</f>
        <v>44178:Francisco Hidalgo</v>
      </c>
      <c r="N638">
        <f>+COUNTIF(dHdcp[Columna1],dHdcp[[#This Row],[Columna1]])</f>
        <v>2</v>
      </c>
    </row>
    <row r="639" spans="1:14">
      <c r="A639" s="2">
        <v>44178</v>
      </c>
      <c r="B639" t="s">
        <v>49</v>
      </c>
      <c r="C639" s="51">
        <v>13.699999999999996</v>
      </c>
      <c r="D639">
        <v>3</v>
      </c>
      <c r="E639" t="s">
        <v>75</v>
      </c>
      <c r="F639" t="s">
        <v>1105</v>
      </c>
      <c r="G639">
        <f>+IF(dHdcp[[#This Row],[Fecha]]=MAX(dHdcp[Fecha]),1,0)</f>
        <v>0</v>
      </c>
      <c r="H639" t="str">
        <f>+dHdcp[[#This Row],[Maximo]]&amp;":"&amp;dHdcp[[#This Row],[Nombre]]</f>
        <v>0:Francisco Hidalgo</v>
      </c>
      <c r="I639" t="str">
        <f>+dHdcp[[#This Row],[Maximo]]&amp;":"&amp;_xlfn.XLOOKUP(dHdcp[[#This Row],[Nombre]],dJugador[Nombre],dJugador[Mote],"",0)</f>
        <v>0:Fran</v>
      </c>
      <c r="J639" t="str">
        <f>+IF(dHdcp[[#This Row],[Maximo]]=0,"",_xlfn.RANK.EQ(dHdcp[[#This Row],[Handicap]],dHdcp[Handicap],1))</f>
        <v/>
      </c>
      <c r="K639" t="str">
        <f>IFERROR(+_xlfn.RANK.EQ(dHdcp[[#This Row],[Ranking]],dHdcp[Ranking],1),"")</f>
        <v/>
      </c>
      <c r="M639" t="str">
        <f>+dHdcp[[#This Row],[Fecha]]&amp;":"&amp;dHdcp[[#This Row],[Nombre]]</f>
        <v>44178:Francisco Hidalgo</v>
      </c>
      <c r="N639">
        <f>+COUNTIF(dHdcp[Columna1],dHdcp[[#This Row],[Columna1]])</f>
        <v>2</v>
      </c>
    </row>
    <row r="640" spans="1:14">
      <c r="A640" s="2">
        <v>44178</v>
      </c>
      <c r="B640" t="s">
        <v>35</v>
      </c>
      <c r="C640" s="51">
        <v>18.600000000000001</v>
      </c>
      <c r="D640">
        <f>+VLOOKUP(dHdcp[[#This Row],[Handicap]],'Categoría Hdcap'!$B$2:$E$7,4)</f>
        <v>4</v>
      </c>
      <c r="E640" t="s">
        <v>74</v>
      </c>
      <c r="F640" t="s">
        <v>1106</v>
      </c>
      <c r="G640">
        <f>+IF(dHdcp[[#This Row],[Fecha]]=MAX(dHdcp[Fecha]),1,0)</f>
        <v>0</v>
      </c>
      <c r="H640" t="str">
        <f>+dHdcp[[#This Row],[Maximo]]&amp;":"&amp;dHdcp[[#This Row],[Nombre]]</f>
        <v>0:GLEZ JUAN JOSÉ</v>
      </c>
      <c r="I640" t="str">
        <f>+dHdcp[[#This Row],[Maximo]]&amp;":"&amp;_xlfn.XLOOKUP(dHdcp[[#This Row],[Nombre]],dJugador[Nombre],dJugador[Mote],"",0)</f>
        <v>0:Juanjo</v>
      </c>
      <c r="J640" t="str">
        <f>+IF(dHdcp[[#This Row],[Maximo]]=0,"",_xlfn.RANK.EQ(dHdcp[[#This Row],[Handicap]],dHdcp[Handicap],1))</f>
        <v/>
      </c>
      <c r="K640" t="str">
        <f>IFERROR(+_xlfn.RANK.EQ(dHdcp[[#This Row],[Ranking]],dHdcp[Ranking],1),"")</f>
        <v/>
      </c>
      <c r="M640" t="str">
        <f>+dHdcp[[#This Row],[Fecha]]&amp;":"&amp;dHdcp[[#This Row],[Nombre]]</f>
        <v>44178:GLEZ JUAN JOSÉ</v>
      </c>
      <c r="N640">
        <f>+COUNTIF(dHdcp[Columna1],dHdcp[[#This Row],[Columna1]])</f>
        <v>2</v>
      </c>
    </row>
    <row r="641" spans="1:14">
      <c r="A641" s="2">
        <v>44178</v>
      </c>
      <c r="B641" t="s">
        <v>35</v>
      </c>
      <c r="C641" s="51">
        <v>17.5</v>
      </c>
      <c r="D641">
        <v>3</v>
      </c>
      <c r="E641" t="s">
        <v>75</v>
      </c>
      <c r="F641" t="s">
        <v>1107</v>
      </c>
      <c r="G641">
        <f>+IF(dHdcp[[#This Row],[Fecha]]=MAX(dHdcp[Fecha]),1,0)</f>
        <v>0</v>
      </c>
      <c r="H641" t="str">
        <f>+dHdcp[[#This Row],[Maximo]]&amp;":"&amp;dHdcp[[#This Row],[Nombre]]</f>
        <v>0:GLEZ JUAN JOSÉ</v>
      </c>
      <c r="I641" t="str">
        <f>+dHdcp[[#This Row],[Maximo]]&amp;":"&amp;_xlfn.XLOOKUP(dHdcp[[#This Row],[Nombre]],dJugador[Nombre],dJugador[Mote],"",0)</f>
        <v>0:Juanjo</v>
      </c>
      <c r="J641" t="str">
        <f>+IF(dHdcp[[#This Row],[Maximo]]=0,"",_xlfn.RANK.EQ(dHdcp[[#This Row],[Handicap]],dHdcp[Handicap],1))</f>
        <v/>
      </c>
      <c r="K641" t="str">
        <f>IFERROR(+_xlfn.RANK.EQ(dHdcp[[#This Row],[Ranking]],dHdcp[Ranking],1),"")</f>
        <v/>
      </c>
      <c r="M641" t="str">
        <f>+dHdcp[[#This Row],[Fecha]]&amp;":"&amp;dHdcp[[#This Row],[Nombre]]</f>
        <v>44178:GLEZ JUAN JOSÉ</v>
      </c>
      <c r="N641">
        <f>+COUNTIF(dHdcp[Columna1],dHdcp[[#This Row],[Columna1]])</f>
        <v>2</v>
      </c>
    </row>
    <row r="642" spans="1:14">
      <c r="A642" s="2">
        <v>44178</v>
      </c>
      <c r="B642" t="s">
        <v>6</v>
      </c>
      <c r="C642" s="51">
        <v>5.9</v>
      </c>
      <c r="D642">
        <f>+VLOOKUP(dHdcp[[#This Row],[Handicap]],'Categoría Hdcap'!$B$2:$E$7,4)</f>
        <v>2</v>
      </c>
      <c r="E642" t="s">
        <v>74</v>
      </c>
      <c r="F642" t="s">
        <v>1108</v>
      </c>
      <c r="G642">
        <f>+IF(dHdcp[[#This Row],[Fecha]]=MAX(dHdcp[Fecha]),1,0)</f>
        <v>0</v>
      </c>
      <c r="H642" t="str">
        <f>+dHdcp[[#This Row],[Maximo]]&amp;":"&amp;dHdcp[[#This Row],[Nombre]]</f>
        <v>0:Ignacio Cadarso</v>
      </c>
      <c r="I642" t="str">
        <f>+dHdcp[[#This Row],[Maximo]]&amp;":"&amp;_xlfn.XLOOKUP(dHdcp[[#This Row],[Nombre]],dJugador[Nombre],dJugador[Mote],"",0)</f>
        <v>0:Ignacio</v>
      </c>
      <c r="J642" t="str">
        <f>+IF(dHdcp[[#This Row],[Maximo]]=0,"",_xlfn.RANK.EQ(dHdcp[[#This Row],[Handicap]],dHdcp[Handicap],1))</f>
        <v/>
      </c>
      <c r="K642" t="str">
        <f>IFERROR(+_xlfn.RANK.EQ(dHdcp[[#This Row],[Ranking]],dHdcp[Ranking],1),"")</f>
        <v/>
      </c>
      <c r="M642" t="str">
        <f>+dHdcp[[#This Row],[Fecha]]&amp;":"&amp;dHdcp[[#This Row],[Nombre]]</f>
        <v>44178:Ignacio Cadarso</v>
      </c>
      <c r="N642">
        <f>+COUNTIF(dHdcp[Columna1],dHdcp[[#This Row],[Columna1]])</f>
        <v>2</v>
      </c>
    </row>
    <row r="643" spans="1:14">
      <c r="A643" s="2">
        <v>44178</v>
      </c>
      <c r="B643" t="s">
        <v>6</v>
      </c>
      <c r="C643" s="51">
        <v>5.099999999999997</v>
      </c>
      <c r="D643">
        <v>2</v>
      </c>
      <c r="E643" t="s">
        <v>75</v>
      </c>
      <c r="F643" t="s">
        <v>1109</v>
      </c>
      <c r="G643">
        <f>+IF(dHdcp[[#This Row],[Fecha]]=MAX(dHdcp[Fecha]),1,0)</f>
        <v>0</v>
      </c>
      <c r="H643" t="str">
        <f>+dHdcp[[#This Row],[Maximo]]&amp;":"&amp;dHdcp[[#This Row],[Nombre]]</f>
        <v>0:Ignacio Cadarso</v>
      </c>
      <c r="I643" t="str">
        <f>+dHdcp[[#This Row],[Maximo]]&amp;":"&amp;_xlfn.XLOOKUP(dHdcp[[#This Row],[Nombre]],dJugador[Nombre],dJugador[Mote],"",0)</f>
        <v>0:Ignacio</v>
      </c>
      <c r="J643" t="str">
        <f>+IF(dHdcp[[#This Row],[Maximo]]=0,"",_xlfn.RANK.EQ(dHdcp[[#This Row],[Handicap]],dHdcp[Handicap],1))</f>
        <v/>
      </c>
      <c r="K643" t="str">
        <f>IFERROR(+_xlfn.RANK.EQ(dHdcp[[#This Row],[Ranking]],dHdcp[Ranking],1),"")</f>
        <v/>
      </c>
      <c r="M643" t="str">
        <f>+dHdcp[[#This Row],[Fecha]]&amp;":"&amp;dHdcp[[#This Row],[Nombre]]</f>
        <v>44178:Ignacio Cadarso</v>
      </c>
      <c r="N643">
        <f>+COUNTIF(dHdcp[Columna1],dHdcp[[#This Row],[Columna1]])</f>
        <v>2</v>
      </c>
    </row>
    <row r="644" spans="1:14">
      <c r="A644" s="2">
        <v>44178</v>
      </c>
      <c r="B644" t="s">
        <v>23</v>
      </c>
      <c r="C644" s="51">
        <v>19.8</v>
      </c>
      <c r="D644">
        <f>+VLOOKUP(dHdcp[[#This Row],[Handicap]],'Categoría Hdcap'!$B$2:$E$7,4)</f>
        <v>4</v>
      </c>
      <c r="E644" t="s">
        <v>74</v>
      </c>
      <c r="F644" t="s">
        <v>1110</v>
      </c>
      <c r="G644">
        <f>+IF(dHdcp[[#This Row],[Fecha]]=MAX(dHdcp[Fecha]),1,0)</f>
        <v>0</v>
      </c>
      <c r="H644" t="str">
        <f>+dHdcp[[#This Row],[Maximo]]&amp;":"&amp;dHdcp[[#This Row],[Nombre]]</f>
        <v>0:J. Enrique Gonzalez</v>
      </c>
      <c r="I644" t="str">
        <f>+dHdcp[[#This Row],[Maximo]]&amp;":"&amp;_xlfn.XLOOKUP(dHdcp[[#This Row],[Nombre]],dJugador[Nombre],dJugador[Mote],"",0)</f>
        <v>0:Kike</v>
      </c>
      <c r="J644" t="str">
        <f>+IF(dHdcp[[#This Row],[Maximo]]=0,"",_xlfn.RANK.EQ(dHdcp[[#This Row],[Handicap]],dHdcp[Handicap],1))</f>
        <v/>
      </c>
      <c r="K644" t="str">
        <f>IFERROR(+_xlfn.RANK.EQ(dHdcp[[#This Row],[Ranking]],dHdcp[Ranking],1),"")</f>
        <v/>
      </c>
      <c r="M644" t="str">
        <f>+dHdcp[[#This Row],[Fecha]]&amp;":"&amp;dHdcp[[#This Row],[Nombre]]</f>
        <v>44178:J. Enrique Gonzalez</v>
      </c>
      <c r="N644">
        <f>+COUNTIF(dHdcp[Columna1],dHdcp[[#This Row],[Columna1]])</f>
        <v>2</v>
      </c>
    </row>
    <row r="645" spans="1:14">
      <c r="A645" s="2">
        <v>44178</v>
      </c>
      <c r="B645" t="s">
        <v>23</v>
      </c>
      <c r="C645" s="51">
        <v>18.100000000000001</v>
      </c>
      <c r="D645">
        <v>3</v>
      </c>
      <c r="E645" t="s">
        <v>75</v>
      </c>
      <c r="F645" t="s">
        <v>1111</v>
      </c>
      <c r="G645">
        <f>+IF(dHdcp[[#This Row],[Fecha]]=MAX(dHdcp[Fecha]),1,0)</f>
        <v>0</v>
      </c>
      <c r="H645" t="str">
        <f>+dHdcp[[#This Row],[Maximo]]&amp;":"&amp;dHdcp[[#This Row],[Nombre]]</f>
        <v>0:J. Enrique Gonzalez</v>
      </c>
      <c r="I645" t="str">
        <f>+dHdcp[[#This Row],[Maximo]]&amp;":"&amp;_xlfn.XLOOKUP(dHdcp[[#This Row],[Nombre]],dJugador[Nombre],dJugador[Mote],"",0)</f>
        <v>0:Kike</v>
      </c>
      <c r="J645" t="str">
        <f>+IF(dHdcp[[#This Row],[Maximo]]=0,"",_xlfn.RANK.EQ(dHdcp[[#This Row],[Handicap]],dHdcp[Handicap],1))</f>
        <v/>
      </c>
      <c r="K645" t="str">
        <f>IFERROR(+_xlfn.RANK.EQ(dHdcp[[#This Row],[Ranking]],dHdcp[Ranking],1),"")</f>
        <v/>
      </c>
      <c r="M645" t="str">
        <f>+dHdcp[[#This Row],[Fecha]]&amp;":"&amp;dHdcp[[#This Row],[Nombre]]</f>
        <v>44178:J. Enrique Gonzalez</v>
      </c>
      <c r="N645">
        <f>+COUNTIF(dHdcp[Columna1],dHdcp[[#This Row],[Columna1]])</f>
        <v>2</v>
      </c>
    </row>
    <row r="646" spans="1:14">
      <c r="A646" s="2">
        <v>44178</v>
      </c>
      <c r="B646" t="s">
        <v>46</v>
      </c>
      <c r="C646" s="51">
        <v>15.1</v>
      </c>
      <c r="D646">
        <f>+VLOOKUP(dHdcp[[#This Row],[Handicap]],'Categoría Hdcap'!$B$2:$E$7,4)</f>
        <v>3</v>
      </c>
      <c r="E646" t="s">
        <v>74</v>
      </c>
      <c r="F646" t="s">
        <v>1112</v>
      </c>
      <c r="G646">
        <f>+IF(dHdcp[[#This Row],[Fecha]]=MAX(dHdcp[Fecha]),1,0)</f>
        <v>0</v>
      </c>
      <c r="H646" t="str">
        <f>+dHdcp[[#This Row],[Maximo]]&amp;":"&amp;dHdcp[[#This Row],[Nombre]]</f>
        <v>0:Javier Cervera</v>
      </c>
      <c r="I646" t="str">
        <f>+dHdcp[[#This Row],[Maximo]]&amp;":"&amp;_xlfn.XLOOKUP(dHdcp[[#This Row],[Nombre]],dJugador[Nombre],dJugador[Mote],"",0)</f>
        <v>0:Virus</v>
      </c>
      <c r="J646" t="str">
        <f>+IF(dHdcp[[#This Row],[Maximo]]=0,"",_xlfn.RANK.EQ(dHdcp[[#This Row],[Handicap]],dHdcp[Handicap],1))</f>
        <v/>
      </c>
      <c r="K646" t="str">
        <f>IFERROR(+_xlfn.RANK.EQ(dHdcp[[#This Row],[Ranking]],dHdcp[Ranking],1),"")</f>
        <v/>
      </c>
      <c r="M646" t="str">
        <f>+dHdcp[[#This Row],[Fecha]]&amp;":"&amp;dHdcp[[#This Row],[Nombre]]</f>
        <v>44178:Javier Cervera</v>
      </c>
      <c r="N646">
        <f>+COUNTIF(dHdcp[Columna1],dHdcp[[#This Row],[Columna1]])</f>
        <v>2</v>
      </c>
    </row>
    <row r="647" spans="1:14">
      <c r="A647" s="2">
        <v>44178</v>
      </c>
      <c r="B647" t="s">
        <v>46</v>
      </c>
      <c r="C647" s="51">
        <v>13.999999999999995</v>
      </c>
      <c r="D647">
        <v>3</v>
      </c>
      <c r="E647" t="s">
        <v>75</v>
      </c>
      <c r="F647" t="s">
        <v>1113</v>
      </c>
      <c r="G647">
        <f>+IF(dHdcp[[#This Row],[Fecha]]=MAX(dHdcp[Fecha]),1,0)</f>
        <v>0</v>
      </c>
      <c r="H647" t="str">
        <f>+dHdcp[[#This Row],[Maximo]]&amp;":"&amp;dHdcp[[#This Row],[Nombre]]</f>
        <v>0:Javier Cervera</v>
      </c>
      <c r="I647" t="str">
        <f>+dHdcp[[#This Row],[Maximo]]&amp;":"&amp;_xlfn.XLOOKUP(dHdcp[[#This Row],[Nombre]],dJugador[Nombre],dJugador[Mote],"",0)</f>
        <v>0:Virus</v>
      </c>
      <c r="J647" t="str">
        <f>+IF(dHdcp[[#This Row],[Maximo]]=0,"",_xlfn.RANK.EQ(dHdcp[[#This Row],[Handicap]],dHdcp[Handicap],1))</f>
        <v/>
      </c>
      <c r="K647" t="str">
        <f>IFERROR(+_xlfn.RANK.EQ(dHdcp[[#This Row],[Ranking]],dHdcp[Ranking],1),"")</f>
        <v/>
      </c>
      <c r="M647" t="str">
        <f>+dHdcp[[#This Row],[Fecha]]&amp;":"&amp;dHdcp[[#This Row],[Nombre]]</f>
        <v>44178:Javier Cervera</v>
      </c>
      <c r="N647">
        <f>+COUNTIF(dHdcp[Columna1],dHdcp[[#This Row],[Columna1]])</f>
        <v>2</v>
      </c>
    </row>
    <row r="648" spans="1:14">
      <c r="A648" s="2">
        <v>44178</v>
      </c>
      <c r="B648" t="s">
        <v>20</v>
      </c>
      <c r="C648" s="51">
        <v>15.3</v>
      </c>
      <c r="D648">
        <f>+VLOOKUP(dHdcp[[#This Row],[Handicap]],'Categoría Hdcap'!$B$2:$E$7,4)</f>
        <v>3</v>
      </c>
      <c r="E648" t="s">
        <v>74</v>
      </c>
      <c r="F648" t="s">
        <v>1114</v>
      </c>
      <c r="G648">
        <f>+IF(dHdcp[[#This Row],[Fecha]]=MAX(dHdcp[Fecha]),1,0)</f>
        <v>0</v>
      </c>
      <c r="H648" t="str">
        <f>+dHdcp[[#This Row],[Maximo]]&amp;":"&amp;dHdcp[[#This Row],[Nombre]]</f>
        <v>0:Javier Gonzalez Salvador</v>
      </c>
      <c r="I648" t="str">
        <f>+dHdcp[[#This Row],[Maximo]]&amp;":"&amp;_xlfn.XLOOKUP(dHdcp[[#This Row],[Nombre]],dJugador[Nombre],dJugador[Mote],"",0)</f>
        <v>0:Javi</v>
      </c>
      <c r="J648" t="str">
        <f>+IF(dHdcp[[#This Row],[Maximo]]=0,"",_xlfn.RANK.EQ(dHdcp[[#This Row],[Handicap]],dHdcp[Handicap],1))</f>
        <v/>
      </c>
      <c r="K648" t="str">
        <f>IFERROR(+_xlfn.RANK.EQ(dHdcp[[#This Row],[Ranking]],dHdcp[Ranking],1),"")</f>
        <v/>
      </c>
      <c r="M648" t="str">
        <f>+dHdcp[[#This Row],[Fecha]]&amp;":"&amp;dHdcp[[#This Row],[Nombre]]</f>
        <v>44178:Javier Gonzalez Salvador</v>
      </c>
      <c r="N648">
        <f>+COUNTIF(dHdcp[Columna1],dHdcp[[#This Row],[Columna1]])</f>
        <v>2</v>
      </c>
    </row>
    <row r="649" spans="1:14">
      <c r="A649" s="2">
        <v>44178</v>
      </c>
      <c r="B649" t="s">
        <v>20</v>
      </c>
      <c r="C649" s="51">
        <v>11.099999999999996</v>
      </c>
      <c r="D649">
        <v>2</v>
      </c>
      <c r="E649" t="s">
        <v>75</v>
      </c>
      <c r="F649" t="s">
        <v>1115</v>
      </c>
      <c r="G649">
        <f>+IF(dHdcp[[#This Row],[Fecha]]=MAX(dHdcp[Fecha]),1,0)</f>
        <v>0</v>
      </c>
      <c r="H649" t="str">
        <f>+dHdcp[[#This Row],[Maximo]]&amp;":"&amp;dHdcp[[#This Row],[Nombre]]</f>
        <v>0:Javier Gonzalez Salvador</v>
      </c>
      <c r="I649" t="str">
        <f>+dHdcp[[#This Row],[Maximo]]&amp;":"&amp;_xlfn.XLOOKUP(dHdcp[[#This Row],[Nombre]],dJugador[Nombre],dJugador[Mote],"",0)</f>
        <v>0:Javi</v>
      </c>
      <c r="J649" t="str">
        <f>+IF(dHdcp[[#This Row],[Maximo]]=0,"",_xlfn.RANK.EQ(dHdcp[[#This Row],[Handicap]],dHdcp[Handicap],1))</f>
        <v/>
      </c>
      <c r="K649" t="str">
        <f>IFERROR(+_xlfn.RANK.EQ(dHdcp[[#This Row],[Ranking]],dHdcp[Ranking],1),"")</f>
        <v/>
      </c>
      <c r="M649" t="str">
        <f>+dHdcp[[#This Row],[Fecha]]&amp;":"&amp;dHdcp[[#This Row],[Nombre]]</f>
        <v>44178:Javier Gonzalez Salvador</v>
      </c>
      <c r="N649">
        <f>+COUNTIF(dHdcp[Columna1],dHdcp[[#This Row],[Columna1]])</f>
        <v>2</v>
      </c>
    </row>
    <row r="650" spans="1:14">
      <c r="A650" s="2">
        <v>44178</v>
      </c>
      <c r="B650" t="s">
        <v>41</v>
      </c>
      <c r="C650" s="51">
        <v>22.6</v>
      </c>
      <c r="D650">
        <f>+VLOOKUP(dHdcp[[#This Row],[Handicap]],'Categoría Hdcap'!$B$2:$E$7,4)</f>
        <v>4</v>
      </c>
      <c r="E650" t="s">
        <v>74</v>
      </c>
      <c r="F650" t="s">
        <v>1116</v>
      </c>
      <c r="G650">
        <f>+IF(dHdcp[[#This Row],[Fecha]]=MAX(dHdcp[Fecha]),1,0)</f>
        <v>0</v>
      </c>
      <c r="H650" t="str">
        <f>+dHdcp[[#This Row],[Maximo]]&amp;":"&amp;dHdcp[[#This Row],[Nombre]]</f>
        <v>0:Jesus Touceda</v>
      </c>
      <c r="I650" t="str">
        <f>+dHdcp[[#This Row],[Maximo]]&amp;":"&amp;_xlfn.XLOOKUP(dHdcp[[#This Row],[Nombre]],dJugador[Nombre],dJugador[Mote],"",0)</f>
        <v>0:Jesús</v>
      </c>
      <c r="J650" t="str">
        <f>+IF(dHdcp[[#This Row],[Maximo]]=0,"",_xlfn.RANK.EQ(dHdcp[[#This Row],[Handicap]],dHdcp[Handicap],1))</f>
        <v/>
      </c>
      <c r="K650" t="str">
        <f>IFERROR(+_xlfn.RANK.EQ(dHdcp[[#This Row],[Ranking]],dHdcp[Ranking],1),"")</f>
        <v/>
      </c>
      <c r="M650" t="str">
        <f>+dHdcp[[#This Row],[Fecha]]&amp;":"&amp;dHdcp[[#This Row],[Nombre]]</f>
        <v>44178:Jesus Touceda</v>
      </c>
      <c r="N650">
        <f>+COUNTIF(dHdcp[Columna1],dHdcp[[#This Row],[Columna1]])</f>
        <v>2</v>
      </c>
    </row>
    <row r="651" spans="1:14">
      <c r="A651" s="2">
        <v>44178</v>
      </c>
      <c r="B651" t="s">
        <v>41</v>
      </c>
      <c r="C651" s="51">
        <v>21.600000000000005</v>
      </c>
      <c r="D651">
        <v>4</v>
      </c>
      <c r="E651" t="s">
        <v>75</v>
      </c>
      <c r="F651" t="s">
        <v>1117</v>
      </c>
      <c r="G651">
        <f>+IF(dHdcp[[#This Row],[Fecha]]=MAX(dHdcp[Fecha]),1,0)</f>
        <v>0</v>
      </c>
      <c r="H651" t="str">
        <f>+dHdcp[[#This Row],[Maximo]]&amp;":"&amp;dHdcp[[#This Row],[Nombre]]</f>
        <v>0:Jesus Touceda</v>
      </c>
      <c r="I651" t="str">
        <f>+dHdcp[[#This Row],[Maximo]]&amp;":"&amp;_xlfn.XLOOKUP(dHdcp[[#This Row],[Nombre]],dJugador[Nombre],dJugador[Mote],"",0)</f>
        <v>0:Jesús</v>
      </c>
      <c r="J651" t="str">
        <f>+IF(dHdcp[[#This Row],[Maximo]]=0,"",_xlfn.RANK.EQ(dHdcp[[#This Row],[Handicap]],dHdcp[Handicap],1))</f>
        <v/>
      </c>
      <c r="K651" t="str">
        <f>IFERROR(+_xlfn.RANK.EQ(dHdcp[[#This Row],[Ranking]],dHdcp[Ranking],1),"")</f>
        <v/>
      </c>
      <c r="M651" t="str">
        <f>+dHdcp[[#This Row],[Fecha]]&amp;":"&amp;dHdcp[[#This Row],[Nombre]]</f>
        <v>44178:Jesus Touceda</v>
      </c>
      <c r="N651">
        <f>+COUNTIF(dHdcp[Columna1],dHdcp[[#This Row],[Columna1]])</f>
        <v>2</v>
      </c>
    </row>
    <row r="652" spans="1:14">
      <c r="A652" s="2">
        <v>44178</v>
      </c>
      <c r="B652" t="s">
        <v>18</v>
      </c>
      <c r="C652" s="51">
        <v>6.9</v>
      </c>
      <c r="D652">
        <f>+VLOOKUP(dHdcp[[#This Row],[Handicap]],'Categoría Hdcap'!$B$2:$E$7,4)</f>
        <v>2</v>
      </c>
      <c r="E652" t="s">
        <v>74</v>
      </c>
      <c r="F652" t="s">
        <v>1118</v>
      </c>
      <c r="G652">
        <f>+IF(dHdcp[[#This Row],[Fecha]]=MAX(dHdcp[Fecha]),1,0)</f>
        <v>0</v>
      </c>
      <c r="H652" t="str">
        <f>+dHdcp[[#This Row],[Maximo]]&amp;":"&amp;dHdcp[[#This Row],[Nombre]]</f>
        <v>0:José Pablo Guil</v>
      </c>
      <c r="I652" t="str">
        <f>+dHdcp[[#This Row],[Maximo]]&amp;":"&amp;_xlfn.XLOOKUP(dHdcp[[#This Row],[Nombre]],dJugador[Nombre],dJugador[Mote],"",0)</f>
        <v>0:JP</v>
      </c>
      <c r="J652" t="str">
        <f>+IF(dHdcp[[#This Row],[Maximo]]=0,"",_xlfn.RANK.EQ(dHdcp[[#This Row],[Handicap]],dHdcp[Handicap],1))</f>
        <v/>
      </c>
      <c r="K652" t="str">
        <f>IFERROR(+_xlfn.RANK.EQ(dHdcp[[#This Row],[Ranking]],dHdcp[Ranking],1),"")</f>
        <v/>
      </c>
      <c r="M652" t="str">
        <f>+dHdcp[[#This Row],[Fecha]]&amp;":"&amp;dHdcp[[#This Row],[Nombre]]</f>
        <v>44178:José Pablo Guil</v>
      </c>
      <c r="N652">
        <f>+COUNTIF(dHdcp[Columna1],dHdcp[[#This Row],[Columna1]])</f>
        <v>2</v>
      </c>
    </row>
    <row r="653" spans="1:14">
      <c r="A653" s="2">
        <v>44178</v>
      </c>
      <c r="B653" t="s">
        <v>18</v>
      </c>
      <c r="C653" s="51">
        <v>5.7999999999999954</v>
      </c>
      <c r="D653">
        <v>2</v>
      </c>
      <c r="E653" t="s">
        <v>75</v>
      </c>
      <c r="F653" t="s">
        <v>1119</v>
      </c>
      <c r="G653">
        <f>+IF(dHdcp[[#This Row],[Fecha]]=MAX(dHdcp[Fecha]),1,0)</f>
        <v>0</v>
      </c>
      <c r="H653" t="str">
        <f>+dHdcp[[#This Row],[Maximo]]&amp;":"&amp;dHdcp[[#This Row],[Nombre]]</f>
        <v>0:José Pablo Guil</v>
      </c>
      <c r="I653" t="str">
        <f>+dHdcp[[#This Row],[Maximo]]&amp;":"&amp;_xlfn.XLOOKUP(dHdcp[[#This Row],[Nombre]],dJugador[Nombre],dJugador[Mote],"",0)</f>
        <v>0:JP</v>
      </c>
      <c r="J653" t="str">
        <f>+IF(dHdcp[[#This Row],[Maximo]]=0,"",_xlfn.RANK.EQ(dHdcp[[#This Row],[Handicap]],dHdcp[Handicap],1))</f>
        <v/>
      </c>
      <c r="K653" t="str">
        <f>IFERROR(+_xlfn.RANK.EQ(dHdcp[[#This Row],[Ranking]],dHdcp[Ranking],1),"")</f>
        <v/>
      </c>
      <c r="M653" t="str">
        <f>+dHdcp[[#This Row],[Fecha]]&amp;":"&amp;dHdcp[[#This Row],[Nombre]]</f>
        <v>44178:José Pablo Guil</v>
      </c>
      <c r="N653">
        <f>+COUNTIF(dHdcp[Columna1],dHdcp[[#This Row],[Columna1]])</f>
        <v>2</v>
      </c>
    </row>
    <row r="654" spans="1:14">
      <c r="A654" s="2">
        <v>44178</v>
      </c>
      <c r="B654" t="s">
        <v>43</v>
      </c>
      <c r="C654" s="51">
        <v>18.3</v>
      </c>
      <c r="D654">
        <f>+VLOOKUP(dHdcp[[#This Row],[Handicap]],'Categoría Hdcap'!$B$2:$E$7,4)</f>
        <v>3</v>
      </c>
      <c r="E654" t="s">
        <v>74</v>
      </c>
      <c r="F654" t="s">
        <v>1120</v>
      </c>
      <c r="G654">
        <f>+IF(dHdcp[[#This Row],[Fecha]]=MAX(dHdcp[Fecha]),1,0)</f>
        <v>0</v>
      </c>
      <c r="H654" t="str">
        <f>+dHdcp[[#This Row],[Maximo]]&amp;":"&amp;dHdcp[[#This Row],[Nombre]]</f>
        <v>0:Luis Escudero</v>
      </c>
      <c r="I654" t="str">
        <f>+dHdcp[[#This Row],[Maximo]]&amp;":"&amp;_xlfn.XLOOKUP(dHdcp[[#This Row],[Nombre]],dJugador[Nombre],dJugador[Mote],"",0)</f>
        <v>0:Lucho</v>
      </c>
      <c r="J654" t="str">
        <f>+IF(dHdcp[[#This Row],[Maximo]]=0,"",_xlfn.RANK.EQ(dHdcp[[#This Row],[Handicap]],dHdcp[Handicap],1))</f>
        <v/>
      </c>
      <c r="K654" t="str">
        <f>IFERROR(+_xlfn.RANK.EQ(dHdcp[[#This Row],[Ranking]],dHdcp[Ranking],1),"")</f>
        <v/>
      </c>
      <c r="M654" t="str">
        <f>+dHdcp[[#This Row],[Fecha]]&amp;":"&amp;dHdcp[[#This Row],[Nombre]]</f>
        <v>44178:Luis Escudero</v>
      </c>
      <c r="N654">
        <f>+COUNTIF(dHdcp[Columna1],dHdcp[[#This Row],[Columna1]])</f>
        <v>2</v>
      </c>
    </row>
    <row r="655" spans="1:14">
      <c r="A655" s="2">
        <v>44178</v>
      </c>
      <c r="B655" t="s">
        <v>43</v>
      </c>
      <c r="C655" s="51">
        <v>17.099999999999998</v>
      </c>
      <c r="D655">
        <v>3</v>
      </c>
      <c r="E655" t="s">
        <v>75</v>
      </c>
      <c r="F655" t="s">
        <v>1121</v>
      </c>
      <c r="G655">
        <f>+IF(dHdcp[[#This Row],[Fecha]]=MAX(dHdcp[Fecha]),1,0)</f>
        <v>0</v>
      </c>
      <c r="H655" t="str">
        <f>+dHdcp[[#This Row],[Maximo]]&amp;":"&amp;dHdcp[[#This Row],[Nombre]]</f>
        <v>0:Luis Escudero</v>
      </c>
      <c r="I655" t="str">
        <f>+dHdcp[[#This Row],[Maximo]]&amp;":"&amp;_xlfn.XLOOKUP(dHdcp[[#This Row],[Nombre]],dJugador[Nombre],dJugador[Mote],"",0)</f>
        <v>0:Lucho</v>
      </c>
      <c r="J655" t="str">
        <f>+IF(dHdcp[[#This Row],[Maximo]]=0,"",_xlfn.RANK.EQ(dHdcp[[#This Row],[Handicap]],dHdcp[Handicap],1))</f>
        <v/>
      </c>
      <c r="K655" t="str">
        <f>IFERROR(+_xlfn.RANK.EQ(dHdcp[[#This Row],[Ranking]],dHdcp[Ranking],1),"")</f>
        <v/>
      </c>
      <c r="M655" t="str">
        <f>+dHdcp[[#This Row],[Fecha]]&amp;":"&amp;dHdcp[[#This Row],[Nombre]]</f>
        <v>44178:Luis Escudero</v>
      </c>
      <c r="N655">
        <f>+COUNTIF(dHdcp[Columna1],dHdcp[[#This Row],[Columna1]])</f>
        <v>2</v>
      </c>
    </row>
    <row r="656" spans="1:14">
      <c r="A656" s="2">
        <v>44178</v>
      </c>
      <c r="B656" t="s">
        <v>51</v>
      </c>
      <c r="C656" s="51">
        <v>0.4</v>
      </c>
      <c r="D656">
        <f>+VLOOKUP(dHdcp[[#This Row],[Handicap]],'Categoría Hdcap'!$B$2:$E$7,4)</f>
        <v>1</v>
      </c>
      <c r="E656" t="s">
        <v>74</v>
      </c>
      <c r="F656" t="s">
        <v>1122</v>
      </c>
      <c r="G656">
        <f>+IF(dHdcp[[#This Row],[Fecha]]=MAX(dHdcp[Fecha]),1,0)</f>
        <v>0</v>
      </c>
      <c r="H656" t="str">
        <f>+dHdcp[[#This Row],[Maximo]]&amp;":"&amp;dHdcp[[#This Row],[Nombre]]</f>
        <v>0:Miguel Diaz Del Moral</v>
      </c>
      <c r="I656" t="str">
        <f>+dHdcp[[#This Row],[Maximo]]&amp;":"&amp;_xlfn.XLOOKUP(dHdcp[[#This Row],[Nombre]],dJugador[Nombre],dJugador[Mote],"",0)</f>
        <v>0:Cañita</v>
      </c>
      <c r="J656" t="str">
        <f>+IF(dHdcp[[#This Row],[Maximo]]=0,"",_xlfn.RANK.EQ(dHdcp[[#This Row],[Handicap]],dHdcp[Handicap],1))</f>
        <v/>
      </c>
      <c r="K656" t="str">
        <f>IFERROR(+_xlfn.RANK.EQ(dHdcp[[#This Row],[Ranking]],dHdcp[Ranking],1),"")</f>
        <v/>
      </c>
      <c r="M656" t="str">
        <f>+dHdcp[[#This Row],[Fecha]]&amp;":"&amp;dHdcp[[#This Row],[Nombre]]</f>
        <v>44178:Miguel Diaz Del Moral</v>
      </c>
      <c r="N656">
        <f>+COUNTIF(dHdcp[Columna1],dHdcp[[#This Row],[Columna1]])</f>
        <v>1</v>
      </c>
    </row>
    <row r="657" spans="1:14">
      <c r="A657" s="2">
        <v>44178</v>
      </c>
      <c r="B657" t="s">
        <v>3</v>
      </c>
      <c r="C657" s="51">
        <v>6.1</v>
      </c>
      <c r="D657">
        <f>+VLOOKUP(dHdcp[[#This Row],[Handicap]],'Categoría Hdcap'!$B$2:$E$7,4)</f>
        <v>2</v>
      </c>
      <c r="E657" t="s">
        <v>74</v>
      </c>
      <c r="F657" t="s">
        <v>1123</v>
      </c>
      <c r="G657">
        <f>+IF(dHdcp[[#This Row],[Fecha]]=MAX(dHdcp[Fecha]),1,0)</f>
        <v>0</v>
      </c>
      <c r="H657" t="str">
        <f>+dHdcp[[#This Row],[Maximo]]&amp;":"&amp;dHdcp[[#This Row],[Nombre]]</f>
        <v>0:Nacho Gonzalez</v>
      </c>
      <c r="I657" t="str">
        <f>+dHdcp[[#This Row],[Maximo]]&amp;":"&amp;_xlfn.XLOOKUP(dHdcp[[#This Row],[Nombre]],dJugador[Nombre],dJugador[Mote],"",0)</f>
        <v>0:Nacho</v>
      </c>
      <c r="J657" t="str">
        <f>+IF(dHdcp[[#This Row],[Maximo]]=0,"",_xlfn.RANK.EQ(dHdcp[[#This Row],[Handicap]],dHdcp[Handicap],1))</f>
        <v/>
      </c>
      <c r="K657" t="str">
        <f>IFERROR(+_xlfn.RANK.EQ(dHdcp[[#This Row],[Ranking]],dHdcp[Ranking],1),"")</f>
        <v/>
      </c>
      <c r="M657" t="str">
        <f>+dHdcp[[#This Row],[Fecha]]&amp;":"&amp;dHdcp[[#This Row],[Nombre]]</f>
        <v>44178:Nacho Gonzalez</v>
      </c>
      <c r="N657">
        <f>+COUNTIF(dHdcp[Columna1],dHdcp[[#This Row],[Columna1]])</f>
        <v>2</v>
      </c>
    </row>
    <row r="658" spans="1:14">
      <c r="A658" s="2">
        <v>44178</v>
      </c>
      <c r="B658" t="s">
        <v>3</v>
      </c>
      <c r="C658" s="51">
        <v>4.5999999999999988</v>
      </c>
      <c r="D658">
        <v>1</v>
      </c>
      <c r="E658" t="s">
        <v>75</v>
      </c>
      <c r="F658" t="s">
        <v>1124</v>
      </c>
      <c r="G658">
        <f>+IF(dHdcp[[#This Row],[Fecha]]=MAX(dHdcp[Fecha]),1,0)</f>
        <v>0</v>
      </c>
      <c r="H658" t="str">
        <f>+dHdcp[[#This Row],[Maximo]]&amp;":"&amp;dHdcp[[#This Row],[Nombre]]</f>
        <v>0:Nacho Gonzalez</v>
      </c>
      <c r="I658" t="str">
        <f>+dHdcp[[#This Row],[Maximo]]&amp;":"&amp;_xlfn.XLOOKUP(dHdcp[[#This Row],[Nombre]],dJugador[Nombre],dJugador[Mote],"",0)</f>
        <v>0:Nacho</v>
      </c>
      <c r="J658" t="str">
        <f>+IF(dHdcp[[#This Row],[Maximo]]=0,"",_xlfn.RANK.EQ(dHdcp[[#This Row],[Handicap]],dHdcp[Handicap],1))</f>
        <v/>
      </c>
      <c r="K658" t="str">
        <f>IFERROR(+_xlfn.RANK.EQ(dHdcp[[#This Row],[Ranking]],dHdcp[Ranking],1),"")</f>
        <v/>
      </c>
      <c r="M658" t="str">
        <f>+dHdcp[[#This Row],[Fecha]]&amp;":"&amp;dHdcp[[#This Row],[Nombre]]</f>
        <v>44178:Nacho Gonzalez</v>
      </c>
      <c r="N658">
        <f>+COUNTIF(dHdcp[Columna1],dHdcp[[#This Row],[Columna1]])</f>
        <v>2</v>
      </c>
    </row>
    <row r="659" spans="1:14">
      <c r="A659" s="2">
        <v>44178</v>
      </c>
      <c r="B659" t="s">
        <v>28</v>
      </c>
      <c r="C659" s="51">
        <v>13.7</v>
      </c>
      <c r="D659">
        <f>+VLOOKUP(dHdcp[[#This Row],[Handicap]],'Categoría Hdcap'!$B$2:$E$7,4)</f>
        <v>3</v>
      </c>
      <c r="E659" t="s">
        <v>74</v>
      </c>
      <c r="F659" t="s">
        <v>1125</v>
      </c>
      <c r="G659">
        <f>+IF(dHdcp[[#This Row],[Fecha]]=MAX(dHdcp[Fecha]),1,0)</f>
        <v>0</v>
      </c>
      <c r="H659" t="str">
        <f>+dHdcp[[#This Row],[Maximo]]&amp;":"&amp;dHdcp[[#This Row],[Nombre]]</f>
        <v>0:Pablo Munitiz</v>
      </c>
      <c r="I659" t="str">
        <f>+dHdcp[[#This Row],[Maximo]]&amp;":"&amp;_xlfn.XLOOKUP(dHdcp[[#This Row],[Nombre]],dJugador[Nombre],dJugador[Mote],"",0)</f>
        <v>0:Muni</v>
      </c>
      <c r="J659" t="str">
        <f>+IF(dHdcp[[#This Row],[Maximo]]=0,"",_xlfn.RANK.EQ(dHdcp[[#This Row],[Handicap]],dHdcp[Handicap],1))</f>
        <v/>
      </c>
      <c r="K659" t="str">
        <f>IFERROR(+_xlfn.RANK.EQ(dHdcp[[#This Row],[Ranking]],dHdcp[Ranking],1),"")</f>
        <v/>
      </c>
      <c r="M659" t="str">
        <f>+dHdcp[[#This Row],[Fecha]]&amp;":"&amp;dHdcp[[#This Row],[Nombre]]</f>
        <v>44178:Pablo Munitiz</v>
      </c>
      <c r="N659">
        <f>+COUNTIF(dHdcp[Columna1],dHdcp[[#This Row],[Columna1]])</f>
        <v>2</v>
      </c>
    </row>
    <row r="660" spans="1:14">
      <c r="A660" s="2">
        <v>44178</v>
      </c>
      <c r="B660" t="s">
        <v>28</v>
      </c>
      <c r="C660" s="51">
        <v>13.6</v>
      </c>
      <c r="D660">
        <v>3</v>
      </c>
      <c r="E660" t="s">
        <v>75</v>
      </c>
      <c r="F660" t="s">
        <v>1126</v>
      </c>
      <c r="G660">
        <f>+IF(dHdcp[[#This Row],[Fecha]]=MAX(dHdcp[Fecha]),1,0)</f>
        <v>0</v>
      </c>
      <c r="H660" t="str">
        <f>+dHdcp[[#This Row],[Maximo]]&amp;":"&amp;dHdcp[[#This Row],[Nombre]]</f>
        <v>0:Pablo Munitiz</v>
      </c>
      <c r="I660" t="str">
        <f>+dHdcp[[#This Row],[Maximo]]&amp;":"&amp;_xlfn.XLOOKUP(dHdcp[[#This Row],[Nombre]],dJugador[Nombre],dJugador[Mote],"",0)</f>
        <v>0:Muni</v>
      </c>
      <c r="J660" t="str">
        <f>+IF(dHdcp[[#This Row],[Maximo]]=0,"",_xlfn.RANK.EQ(dHdcp[[#This Row],[Handicap]],dHdcp[Handicap],1))</f>
        <v/>
      </c>
      <c r="K660" t="str">
        <f>IFERROR(+_xlfn.RANK.EQ(dHdcp[[#This Row],[Ranking]],dHdcp[Ranking],1),"")</f>
        <v/>
      </c>
      <c r="M660" t="str">
        <f>+dHdcp[[#This Row],[Fecha]]&amp;":"&amp;dHdcp[[#This Row],[Nombre]]</f>
        <v>44178:Pablo Munitiz</v>
      </c>
      <c r="N660">
        <f>+COUNTIF(dHdcp[Columna1],dHdcp[[#This Row],[Columna1]])</f>
        <v>2</v>
      </c>
    </row>
    <row r="661" spans="1:14">
      <c r="A661" s="2">
        <v>44185</v>
      </c>
      <c r="B661" t="s">
        <v>9</v>
      </c>
      <c r="C661" s="51">
        <v>9.3000000000000007</v>
      </c>
      <c r="D661">
        <f>+VLOOKUP(dHdcp[[#This Row],[Handicap]],'Categoría Hdcap'!$B$2:$E$7,4)</f>
        <v>2</v>
      </c>
      <c r="E661" t="s">
        <v>74</v>
      </c>
      <c r="F661" t="s">
        <v>1127</v>
      </c>
      <c r="G661">
        <f>+IF(dHdcp[[#This Row],[Fecha]]=MAX(dHdcp[Fecha]),1,0)</f>
        <v>0</v>
      </c>
      <c r="H661" t="str">
        <f>+dHdcp[[#This Row],[Maximo]]&amp;":"&amp;dHdcp[[#This Row],[Nombre]]</f>
        <v>0:Alfonso Hidalgo</v>
      </c>
      <c r="I661" t="str">
        <f>+dHdcp[[#This Row],[Maximo]]&amp;":"&amp;_xlfn.XLOOKUP(dHdcp[[#This Row],[Nombre]],dJugador[Nombre],dJugador[Mote],"",0)</f>
        <v>0:Alfonso</v>
      </c>
      <c r="J661" t="str">
        <f>+IF(dHdcp[[#This Row],[Maximo]]=0,"",_xlfn.RANK.EQ(dHdcp[[#This Row],[Handicap]],dHdcp[Handicap],1))</f>
        <v/>
      </c>
      <c r="K661" t="str">
        <f>IFERROR(+_xlfn.RANK.EQ(dHdcp[[#This Row],[Ranking]],dHdcp[Ranking],1),"")</f>
        <v/>
      </c>
      <c r="M661" t="str">
        <f>+dHdcp[[#This Row],[Fecha]]&amp;":"&amp;dHdcp[[#This Row],[Nombre]]</f>
        <v>44185:Alfonso Hidalgo</v>
      </c>
      <c r="N661">
        <f>+COUNTIF(dHdcp[Columna1],dHdcp[[#This Row],[Columna1]])</f>
        <v>2</v>
      </c>
    </row>
    <row r="662" spans="1:14">
      <c r="A662" s="2">
        <v>44185</v>
      </c>
      <c r="B662" t="s">
        <v>9</v>
      </c>
      <c r="C662" s="51">
        <v>8.3000000000000025</v>
      </c>
      <c r="D662">
        <v>2</v>
      </c>
      <c r="E662" t="s">
        <v>75</v>
      </c>
      <c r="F662" t="s">
        <v>1128</v>
      </c>
      <c r="G662">
        <f>+IF(dHdcp[[#This Row],[Fecha]]=MAX(dHdcp[Fecha]),1,0)</f>
        <v>0</v>
      </c>
      <c r="H662" t="str">
        <f>+dHdcp[[#This Row],[Maximo]]&amp;":"&amp;dHdcp[[#This Row],[Nombre]]</f>
        <v>0:Alfonso Hidalgo</v>
      </c>
      <c r="I662" t="str">
        <f>+dHdcp[[#This Row],[Maximo]]&amp;":"&amp;_xlfn.XLOOKUP(dHdcp[[#This Row],[Nombre]],dJugador[Nombre],dJugador[Mote],"",0)</f>
        <v>0:Alfonso</v>
      </c>
      <c r="J662" t="str">
        <f>+IF(dHdcp[[#This Row],[Maximo]]=0,"",_xlfn.RANK.EQ(dHdcp[[#This Row],[Handicap]],dHdcp[Handicap],1))</f>
        <v/>
      </c>
      <c r="K662" t="str">
        <f>IFERROR(+_xlfn.RANK.EQ(dHdcp[[#This Row],[Ranking]],dHdcp[Ranking],1),"")</f>
        <v/>
      </c>
      <c r="M662" t="str">
        <f>+dHdcp[[#This Row],[Fecha]]&amp;":"&amp;dHdcp[[#This Row],[Nombre]]</f>
        <v>44185:Alfonso Hidalgo</v>
      </c>
      <c r="N662">
        <f>+COUNTIF(dHdcp[Columna1],dHdcp[[#This Row],[Columna1]])</f>
        <v>2</v>
      </c>
    </row>
    <row r="663" spans="1:14">
      <c r="A663" s="2">
        <v>44185</v>
      </c>
      <c r="B663" t="s">
        <v>15</v>
      </c>
      <c r="C663" s="51">
        <v>6.4</v>
      </c>
      <c r="D663">
        <f>+VLOOKUP(dHdcp[[#This Row],[Handicap]],'Categoría Hdcap'!$B$2:$E$7,4)</f>
        <v>2</v>
      </c>
      <c r="E663" t="s">
        <v>74</v>
      </c>
      <c r="F663" t="s">
        <v>1129</v>
      </c>
      <c r="G663">
        <f>+IF(dHdcp[[#This Row],[Fecha]]=MAX(dHdcp[Fecha]),1,0)</f>
        <v>0</v>
      </c>
      <c r="H663" t="str">
        <f>+dHdcp[[#This Row],[Maximo]]&amp;":"&amp;dHdcp[[#This Row],[Nombre]]</f>
        <v>0:Alvaro Aguirre</v>
      </c>
      <c r="I663" t="str">
        <f>+dHdcp[[#This Row],[Maximo]]&amp;":"&amp;_xlfn.XLOOKUP(dHdcp[[#This Row],[Nombre]],dJugador[Nombre],dJugador[Mote],"",0)</f>
        <v>0:Gifu</v>
      </c>
      <c r="J663" t="str">
        <f>+IF(dHdcp[[#This Row],[Maximo]]=0,"",_xlfn.RANK.EQ(dHdcp[[#This Row],[Handicap]],dHdcp[Handicap],1))</f>
        <v/>
      </c>
      <c r="K663" t="str">
        <f>IFERROR(+_xlfn.RANK.EQ(dHdcp[[#This Row],[Ranking]],dHdcp[Ranking],1),"")</f>
        <v/>
      </c>
      <c r="M663" t="str">
        <f>+dHdcp[[#This Row],[Fecha]]&amp;":"&amp;dHdcp[[#This Row],[Nombre]]</f>
        <v>44185:Alvaro Aguirre</v>
      </c>
      <c r="N663">
        <f>+COUNTIF(dHdcp[Columna1],dHdcp[[#This Row],[Columna1]])</f>
        <v>2</v>
      </c>
    </row>
    <row r="664" spans="1:14">
      <c r="A664" s="2">
        <v>44185</v>
      </c>
      <c r="B664" t="s">
        <v>15</v>
      </c>
      <c r="C664" s="51">
        <v>5.099999999999997</v>
      </c>
      <c r="D664">
        <v>2</v>
      </c>
      <c r="E664" t="s">
        <v>75</v>
      </c>
      <c r="F664" t="s">
        <v>1130</v>
      </c>
      <c r="G664">
        <f>+IF(dHdcp[[#This Row],[Fecha]]=MAX(dHdcp[Fecha]),1,0)</f>
        <v>0</v>
      </c>
      <c r="H664" t="str">
        <f>+dHdcp[[#This Row],[Maximo]]&amp;":"&amp;dHdcp[[#This Row],[Nombre]]</f>
        <v>0:Alvaro Aguirre</v>
      </c>
      <c r="I664" t="str">
        <f>+dHdcp[[#This Row],[Maximo]]&amp;":"&amp;_xlfn.XLOOKUP(dHdcp[[#This Row],[Nombre]],dJugador[Nombre],dJugador[Mote],"",0)</f>
        <v>0:Gifu</v>
      </c>
      <c r="J664" t="str">
        <f>+IF(dHdcp[[#This Row],[Maximo]]=0,"",_xlfn.RANK.EQ(dHdcp[[#This Row],[Handicap]],dHdcp[Handicap],1))</f>
        <v/>
      </c>
      <c r="K664" t="str">
        <f>IFERROR(+_xlfn.RANK.EQ(dHdcp[[#This Row],[Ranking]],dHdcp[Ranking],1),"")</f>
        <v/>
      </c>
      <c r="M664" t="str">
        <f>+dHdcp[[#This Row],[Fecha]]&amp;":"&amp;dHdcp[[#This Row],[Nombre]]</f>
        <v>44185:Alvaro Aguirre</v>
      </c>
      <c r="N664">
        <f>+COUNTIF(dHdcp[Columna1],dHdcp[[#This Row],[Columna1]])</f>
        <v>2</v>
      </c>
    </row>
    <row r="665" spans="1:14">
      <c r="A665" s="2">
        <v>44185</v>
      </c>
      <c r="B665" t="s">
        <v>25</v>
      </c>
      <c r="C665" s="51">
        <v>14</v>
      </c>
      <c r="D665">
        <f>+VLOOKUP(dHdcp[[#This Row],[Handicap]],'Categoría Hdcap'!$B$2:$E$7,4)</f>
        <v>3</v>
      </c>
      <c r="E665" t="s">
        <v>74</v>
      </c>
      <c r="F665" t="s">
        <v>1131</v>
      </c>
      <c r="G665">
        <f>+IF(dHdcp[[#This Row],[Fecha]]=MAX(dHdcp[Fecha]),1,0)</f>
        <v>0</v>
      </c>
      <c r="H665" t="str">
        <f>+dHdcp[[#This Row],[Maximo]]&amp;":"&amp;dHdcp[[#This Row],[Nombre]]</f>
        <v>0:Alvaro Nieto</v>
      </c>
      <c r="I665" t="str">
        <f>+dHdcp[[#This Row],[Maximo]]&amp;":"&amp;_xlfn.XLOOKUP(dHdcp[[#This Row],[Nombre]],dJugador[Nombre],dJugador[Mote],"",0)</f>
        <v>0:Alvaro</v>
      </c>
      <c r="J665" t="str">
        <f>+IF(dHdcp[[#This Row],[Maximo]]=0,"",_xlfn.RANK.EQ(dHdcp[[#This Row],[Handicap]],dHdcp[Handicap],1))</f>
        <v/>
      </c>
      <c r="K665" t="str">
        <f>IFERROR(+_xlfn.RANK.EQ(dHdcp[[#This Row],[Ranking]],dHdcp[Ranking],1),"")</f>
        <v/>
      </c>
      <c r="M665" t="str">
        <f>+dHdcp[[#This Row],[Fecha]]&amp;":"&amp;dHdcp[[#This Row],[Nombre]]</f>
        <v>44185:Alvaro Nieto</v>
      </c>
      <c r="N665">
        <f>+COUNTIF(dHdcp[Columna1],dHdcp[[#This Row],[Columna1]])</f>
        <v>2</v>
      </c>
    </row>
    <row r="666" spans="1:14">
      <c r="A666" s="2">
        <v>44185</v>
      </c>
      <c r="B666" t="s">
        <v>25</v>
      </c>
      <c r="C666" s="51">
        <v>13.399999999999999</v>
      </c>
      <c r="D666">
        <v>3</v>
      </c>
      <c r="E666" t="s">
        <v>75</v>
      </c>
      <c r="F666" t="s">
        <v>1132</v>
      </c>
      <c r="G666">
        <f>+IF(dHdcp[[#This Row],[Fecha]]=MAX(dHdcp[Fecha]),1,0)</f>
        <v>0</v>
      </c>
      <c r="H666" t="str">
        <f>+dHdcp[[#This Row],[Maximo]]&amp;":"&amp;dHdcp[[#This Row],[Nombre]]</f>
        <v>0:Alvaro Nieto</v>
      </c>
      <c r="I666" t="str">
        <f>+dHdcp[[#This Row],[Maximo]]&amp;":"&amp;_xlfn.XLOOKUP(dHdcp[[#This Row],[Nombre]],dJugador[Nombre],dJugador[Mote],"",0)</f>
        <v>0:Alvaro</v>
      </c>
      <c r="J666" t="str">
        <f>+IF(dHdcp[[#This Row],[Maximo]]=0,"",_xlfn.RANK.EQ(dHdcp[[#This Row],[Handicap]],dHdcp[Handicap],1))</f>
        <v/>
      </c>
      <c r="K666" t="str">
        <f>IFERROR(+_xlfn.RANK.EQ(dHdcp[[#This Row],[Ranking]],dHdcp[Ranking],1),"")</f>
        <v/>
      </c>
      <c r="M666" t="str">
        <f>+dHdcp[[#This Row],[Fecha]]&amp;":"&amp;dHdcp[[#This Row],[Nombre]]</f>
        <v>44185:Alvaro Nieto</v>
      </c>
      <c r="N666">
        <f>+COUNTIF(dHdcp[Columna1],dHdcp[[#This Row],[Columna1]])</f>
        <v>2</v>
      </c>
    </row>
    <row r="667" spans="1:14">
      <c r="A667" s="2">
        <v>44185</v>
      </c>
      <c r="B667" t="s">
        <v>33</v>
      </c>
      <c r="C667" s="51">
        <v>7.6</v>
      </c>
      <c r="D667">
        <f>+VLOOKUP(dHdcp[[#This Row],[Handicap]],'Categoría Hdcap'!$B$2:$E$7,4)</f>
        <v>2</v>
      </c>
      <c r="E667" t="s">
        <v>74</v>
      </c>
      <c r="F667" t="s">
        <v>1133</v>
      </c>
      <c r="G667">
        <f>+IF(dHdcp[[#This Row],[Fecha]]=MAX(dHdcp[Fecha]),1,0)</f>
        <v>0</v>
      </c>
      <c r="H667" t="str">
        <f>+dHdcp[[#This Row],[Maximo]]&amp;":"&amp;dHdcp[[#This Row],[Nombre]]</f>
        <v>0:Angel Hernandez</v>
      </c>
      <c r="I667" t="str">
        <f>+dHdcp[[#This Row],[Maximo]]&amp;":"&amp;_xlfn.XLOOKUP(dHdcp[[#This Row],[Nombre]],dJugador[Nombre],dJugador[Mote],"",0)</f>
        <v>0:Angel</v>
      </c>
      <c r="J667" t="str">
        <f>+IF(dHdcp[[#This Row],[Maximo]]=0,"",_xlfn.RANK.EQ(dHdcp[[#This Row],[Handicap]],dHdcp[Handicap],1))</f>
        <v/>
      </c>
      <c r="K667" t="str">
        <f>IFERROR(+_xlfn.RANK.EQ(dHdcp[[#This Row],[Ranking]],dHdcp[Ranking],1),"")</f>
        <v/>
      </c>
      <c r="M667" t="str">
        <f>+dHdcp[[#This Row],[Fecha]]&amp;":"&amp;dHdcp[[#This Row],[Nombre]]</f>
        <v>44185:Angel Hernandez</v>
      </c>
      <c r="N667">
        <f>+COUNTIF(dHdcp[Columna1],dHdcp[[#This Row],[Columna1]])</f>
        <v>2</v>
      </c>
    </row>
    <row r="668" spans="1:14">
      <c r="A668" s="2">
        <v>44185</v>
      </c>
      <c r="B668" t="s">
        <v>33</v>
      </c>
      <c r="C668" s="51">
        <v>6.7999999999999927</v>
      </c>
      <c r="D668">
        <v>2</v>
      </c>
      <c r="E668" t="s">
        <v>75</v>
      </c>
      <c r="F668" t="s">
        <v>1134</v>
      </c>
      <c r="G668">
        <f>+IF(dHdcp[[#This Row],[Fecha]]=MAX(dHdcp[Fecha]),1,0)</f>
        <v>0</v>
      </c>
      <c r="H668" t="str">
        <f>+dHdcp[[#This Row],[Maximo]]&amp;":"&amp;dHdcp[[#This Row],[Nombre]]</f>
        <v>0:Angel Hernandez</v>
      </c>
      <c r="I668" t="str">
        <f>+dHdcp[[#This Row],[Maximo]]&amp;":"&amp;_xlfn.XLOOKUP(dHdcp[[#This Row],[Nombre]],dJugador[Nombre],dJugador[Mote],"",0)</f>
        <v>0:Angel</v>
      </c>
      <c r="J668" t="str">
        <f>+IF(dHdcp[[#This Row],[Maximo]]=0,"",_xlfn.RANK.EQ(dHdcp[[#This Row],[Handicap]],dHdcp[Handicap],1))</f>
        <v/>
      </c>
      <c r="K668" t="str">
        <f>IFERROR(+_xlfn.RANK.EQ(dHdcp[[#This Row],[Ranking]],dHdcp[Ranking],1),"")</f>
        <v/>
      </c>
      <c r="M668" t="str">
        <f>+dHdcp[[#This Row],[Fecha]]&amp;":"&amp;dHdcp[[#This Row],[Nombre]]</f>
        <v>44185:Angel Hernandez</v>
      </c>
      <c r="N668">
        <f>+COUNTIF(dHdcp[Columna1],dHdcp[[#This Row],[Columna1]])</f>
        <v>2</v>
      </c>
    </row>
    <row r="669" spans="1:14">
      <c r="A669" s="2">
        <v>44185</v>
      </c>
      <c r="B669" t="s">
        <v>30</v>
      </c>
      <c r="C669" s="51">
        <v>11.2</v>
      </c>
      <c r="D669">
        <f>+VLOOKUP(dHdcp[[#This Row],[Handicap]],'Categoría Hdcap'!$B$2:$E$7,4)</f>
        <v>2</v>
      </c>
      <c r="E669" t="s">
        <v>74</v>
      </c>
      <c r="F669" t="s">
        <v>1135</v>
      </c>
      <c r="G669">
        <f>+IF(dHdcp[[#This Row],[Fecha]]=MAX(dHdcp[Fecha]),1,0)</f>
        <v>0</v>
      </c>
      <c r="H669" t="str">
        <f>+dHdcp[[#This Row],[Maximo]]&amp;":"&amp;dHdcp[[#This Row],[Nombre]]</f>
        <v>0:David Sequera</v>
      </c>
      <c r="I669" t="str">
        <f>+dHdcp[[#This Row],[Maximo]]&amp;":"&amp;_xlfn.XLOOKUP(dHdcp[[#This Row],[Nombre]],dJugador[Nombre],dJugador[Mote],"",0)</f>
        <v>0:David</v>
      </c>
      <c r="J669" t="str">
        <f>+IF(dHdcp[[#This Row],[Maximo]]=0,"",_xlfn.RANK.EQ(dHdcp[[#This Row],[Handicap]],dHdcp[Handicap],1))</f>
        <v/>
      </c>
      <c r="K669" t="str">
        <f>IFERROR(+_xlfn.RANK.EQ(dHdcp[[#This Row],[Ranking]],dHdcp[Ranking],1),"")</f>
        <v/>
      </c>
      <c r="M669" t="str">
        <f>+dHdcp[[#This Row],[Fecha]]&amp;":"&amp;dHdcp[[#This Row],[Nombre]]</f>
        <v>44185:David Sequera</v>
      </c>
      <c r="N669">
        <f>+COUNTIF(dHdcp[Columna1],dHdcp[[#This Row],[Columna1]])</f>
        <v>2</v>
      </c>
    </row>
    <row r="670" spans="1:14">
      <c r="A670" s="2">
        <v>44185</v>
      </c>
      <c r="B670" t="s">
        <v>30</v>
      </c>
      <c r="C670" s="51">
        <v>10.799999999999997</v>
      </c>
      <c r="D670">
        <v>2</v>
      </c>
      <c r="E670" t="s">
        <v>75</v>
      </c>
      <c r="F670" t="s">
        <v>1136</v>
      </c>
      <c r="G670">
        <f>+IF(dHdcp[[#This Row],[Fecha]]=MAX(dHdcp[Fecha]),1,0)</f>
        <v>0</v>
      </c>
      <c r="H670" t="str">
        <f>+dHdcp[[#This Row],[Maximo]]&amp;":"&amp;dHdcp[[#This Row],[Nombre]]</f>
        <v>0:David Sequera</v>
      </c>
      <c r="I670" t="str">
        <f>+dHdcp[[#This Row],[Maximo]]&amp;":"&amp;_xlfn.XLOOKUP(dHdcp[[#This Row],[Nombre]],dJugador[Nombre],dJugador[Mote],"",0)</f>
        <v>0:David</v>
      </c>
      <c r="J670" t="str">
        <f>+IF(dHdcp[[#This Row],[Maximo]]=0,"",_xlfn.RANK.EQ(dHdcp[[#This Row],[Handicap]],dHdcp[Handicap],1))</f>
        <v/>
      </c>
      <c r="K670" t="str">
        <f>IFERROR(+_xlfn.RANK.EQ(dHdcp[[#This Row],[Ranking]],dHdcp[Ranking],1),"")</f>
        <v/>
      </c>
      <c r="M670" t="str">
        <f>+dHdcp[[#This Row],[Fecha]]&amp;":"&amp;dHdcp[[#This Row],[Nombre]]</f>
        <v>44185:David Sequera</v>
      </c>
      <c r="N670">
        <f>+COUNTIF(dHdcp[Columna1],dHdcp[[#This Row],[Columna1]])</f>
        <v>2</v>
      </c>
    </row>
    <row r="671" spans="1:14">
      <c r="A671" s="2">
        <v>44185</v>
      </c>
      <c r="B671" t="s">
        <v>12</v>
      </c>
      <c r="C671" s="51">
        <v>16.2</v>
      </c>
      <c r="D671">
        <f>+VLOOKUP(dHdcp[[#This Row],[Handicap]],'Categoría Hdcap'!$B$2:$E$7,4)</f>
        <v>3</v>
      </c>
      <c r="E671" t="s">
        <v>74</v>
      </c>
      <c r="F671" t="s">
        <v>1137</v>
      </c>
      <c r="G671">
        <f>+IF(dHdcp[[#This Row],[Fecha]]=MAX(dHdcp[Fecha]),1,0)</f>
        <v>0</v>
      </c>
      <c r="H671" t="str">
        <f>+dHdcp[[#This Row],[Maximo]]&amp;":"&amp;dHdcp[[#This Row],[Nombre]]</f>
        <v>0:Francisco Alvarez</v>
      </c>
      <c r="I671" t="str">
        <f>+dHdcp[[#This Row],[Maximo]]&amp;":"&amp;_xlfn.XLOOKUP(dHdcp[[#This Row],[Nombre]],dJugador[Nombre],dJugador[Mote],"",0)</f>
        <v>0:Paco</v>
      </c>
      <c r="J671" t="str">
        <f>+IF(dHdcp[[#This Row],[Maximo]]=0,"",_xlfn.RANK.EQ(dHdcp[[#This Row],[Handicap]],dHdcp[Handicap],1))</f>
        <v/>
      </c>
      <c r="K671" t="str">
        <f>IFERROR(+_xlfn.RANK.EQ(dHdcp[[#This Row],[Ranking]],dHdcp[Ranking],1),"")</f>
        <v/>
      </c>
      <c r="M671" t="str">
        <f>+dHdcp[[#This Row],[Fecha]]&amp;":"&amp;dHdcp[[#This Row],[Nombre]]</f>
        <v>44185:Francisco Alvarez</v>
      </c>
      <c r="N671">
        <f>+COUNTIF(dHdcp[Columna1],dHdcp[[#This Row],[Columna1]])</f>
        <v>2</v>
      </c>
    </row>
    <row r="672" spans="1:14">
      <c r="A672" s="2">
        <v>44185</v>
      </c>
      <c r="B672" t="s">
        <v>12</v>
      </c>
      <c r="C672" s="51">
        <v>14.299999999999999</v>
      </c>
      <c r="D672">
        <v>3</v>
      </c>
      <c r="E672" t="s">
        <v>75</v>
      </c>
      <c r="F672" t="s">
        <v>1138</v>
      </c>
      <c r="G672">
        <f>+IF(dHdcp[[#This Row],[Fecha]]=MAX(dHdcp[Fecha]),1,0)</f>
        <v>0</v>
      </c>
      <c r="H672" t="str">
        <f>+dHdcp[[#This Row],[Maximo]]&amp;":"&amp;dHdcp[[#This Row],[Nombre]]</f>
        <v>0:Francisco Alvarez</v>
      </c>
      <c r="I672" t="str">
        <f>+dHdcp[[#This Row],[Maximo]]&amp;":"&amp;_xlfn.XLOOKUP(dHdcp[[#This Row],[Nombre]],dJugador[Nombre],dJugador[Mote],"",0)</f>
        <v>0:Paco</v>
      </c>
      <c r="J672" t="str">
        <f>+IF(dHdcp[[#This Row],[Maximo]]=0,"",_xlfn.RANK.EQ(dHdcp[[#This Row],[Handicap]],dHdcp[Handicap],1))</f>
        <v/>
      </c>
      <c r="K672" t="str">
        <f>IFERROR(+_xlfn.RANK.EQ(dHdcp[[#This Row],[Ranking]],dHdcp[Ranking],1),"")</f>
        <v/>
      </c>
      <c r="M672" t="str">
        <f>+dHdcp[[#This Row],[Fecha]]&amp;":"&amp;dHdcp[[#This Row],[Nombre]]</f>
        <v>44185:Francisco Alvarez</v>
      </c>
      <c r="N672">
        <f>+COUNTIF(dHdcp[Columna1],dHdcp[[#This Row],[Columna1]])</f>
        <v>2</v>
      </c>
    </row>
    <row r="673" spans="1:14">
      <c r="A673" s="2">
        <v>44185</v>
      </c>
      <c r="B673" t="s">
        <v>49</v>
      </c>
      <c r="C673" s="51">
        <v>14.3</v>
      </c>
      <c r="D673">
        <f>+VLOOKUP(dHdcp[[#This Row],[Handicap]],'Categoría Hdcap'!$B$2:$E$7,4)</f>
        <v>3</v>
      </c>
      <c r="E673" t="s">
        <v>74</v>
      </c>
      <c r="F673" t="s">
        <v>1139</v>
      </c>
      <c r="G673">
        <f>+IF(dHdcp[[#This Row],[Fecha]]=MAX(dHdcp[Fecha]),1,0)</f>
        <v>0</v>
      </c>
      <c r="H673" t="str">
        <f>+dHdcp[[#This Row],[Maximo]]&amp;":"&amp;dHdcp[[#This Row],[Nombre]]</f>
        <v>0:Francisco Hidalgo</v>
      </c>
      <c r="I673" t="str">
        <f>+dHdcp[[#This Row],[Maximo]]&amp;":"&amp;_xlfn.XLOOKUP(dHdcp[[#This Row],[Nombre]],dJugador[Nombre],dJugador[Mote],"",0)</f>
        <v>0:Fran</v>
      </c>
      <c r="J673" t="str">
        <f>+IF(dHdcp[[#This Row],[Maximo]]=0,"",_xlfn.RANK.EQ(dHdcp[[#This Row],[Handicap]],dHdcp[Handicap],1))</f>
        <v/>
      </c>
      <c r="K673" t="str">
        <f>IFERROR(+_xlfn.RANK.EQ(dHdcp[[#This Row],[Ranking]],dHdcp[Ranking],1),"")</f>
        <v/>
      </c>
      <c r="M673" t="str">
        <f>+dHdcp[[#This Row],[Fecha]]&amp;":"&amp;dHdcp[[#This Row],[Nombre]]</f>
        <v>44185:Francisco Hidalgo</v>
      </c>
      <c r="N673">
        <f>+COUNTIF(dHdcp[Columna1],dHdcp[[#This Row],[Columna1]])</f>
        <v>2</v>
      </c>
    </row>
    <row r="674" spans="1:14">
      <c r="A674" s="2">
        <v>44185</v>
      </c>
      <c r="B674" t="s">
        <v>49</v>
      </c>
      <c r="C674" s="51">
        <v>13.699999999999996</v>
      </c>
      <c r="D674">
        <v>3</v>
      </c>
      <c r="E674" t="s">
        <v>75</v>
      </c>
      <c r="F674" t="s">
        <v>1140</v>
      </c>
      <c r="G674">
        <f>+IF(dHdcp[[#This Row],[Fecha]]=MAX(dHdcp[Fecha]),1,0)</f>
        <v>0</v>
      </c>
      <c r="H674" t="str">
        <f>+dHdcp[[#This Row],[Maximo]]&amp;":"&amp;dHdcp[[#This Row],[Nombre]]</f>
        <v>0:Francisco Hidalgo</v>
      </c>
      <c r="I674" t="str">
        <f>+dHdcp[[#This Row],[Maximo]]&amp;":"&amp;_xlfn.XLOOKUP(dHdcp[[#This Row],[Nombre]],dJugador[Nombre],dJugador[Mote],"",0)</f>
        <v>0:Fran</v>
      </c>
      <c r="J674" t="str">
        <f>+IF(dHdcp[[#This Row],[Maximo]]=0,"",_xlfn.RANK.EQ(dHdcp[[#This Row],[Handicap]],dHdcp[Handicap],1))</f>
        <v/>
      </c>
      <c r="K674" t="str">
        <f>IFERROR(+_xlfn.RANK.EQ(dHdcp[[#This Row],[Ranking]],dHdcp[Ranking],1),"")</f>
        <v/>
      </c>
      <c r="M674" t="str">
        <f>+dHdcp[[#This Row],[Fecha]]&amp;":"&amp;dHdcp[[#This Row],[Nombre]]</f>
        <v>44185:Francisco Hidalgo</v>
      </c>
      <c r="N674">
        <f>+COUNTIF(dHdcp[Columna1],dHdcp[[#This Row],[Columna1]])</f>
        <v>2</v>
      </c>
    </row>
    <row r="675" spans="1:14">
      <c r="A675" s="2">
        <v>44185</v>
      </c>
      <c r="B675" t="s">
        <v>35</v>
      </c>
      <c r="C675" s="51">
        <v>18.8</v>
      </c>
      <c r="D675">
        <f>+VLOOKUP(dHdcp[[#This Row],[Handicap]],'Categoría Hdcap'!$B$2:$E$7,4)</f>
        <v>4</v>
      </c>
      <c r="E675" t="s">
        <v>74</v>
      </c>
      <c r="F675" t="s">
        <v>1141</v>
      </c>
      <c r="G675">
        <f>+IF(dHdcp[[#This Row],[Fecha]]=MAX(dHdcp[Fecha]),1,0)</f>
        <v>0</v>
      </c>
      <c r="H675" t="str">
        <f>+dHdcp[[#This Row],[Maximo]]&amp;":"&amp;dHdcp[[#This Row],[Nombre]]</f>
        <v>0:GLEZ JUAN JOSÉ</v>
      </c>
      <c r="I675" t="str">
        <f>+dHdcp[[#This Row],[Maximo]]&amp;":"&amp;_xlfn.XLOOKUP(dHdcp[[#This Row],[Nombre]],dJugador[Nombre],dJugador[Mote],"",0)</f>
        <v>0:Juanjo</v>
      </c>
      <c r="J675" t="str">
        <f>+IF(dHdcp[[#This Row],[Maximo]]=0,"",_xlfn.RANK.EQ(dHdcp[[#This Row],[Handicap]],dHdcp[Handicap],1))</f>
        <v/>
      </c>
      <c r="K675" t="str">
        <f>IFERROR(+_xlfn.RANK.EQ(dHdcp[[#This Row],[Ranking]],dHdcp[Ranking],1),"")</f>
        <v/>
      </c>
      <c r="M675" t="str">
        <f>+dHdcp[[#This Row],[Fecha]]&amp;":"&amp;dHdcp[[#This Row],[Nombre]]</f>
        <v>44185:GLEZ JUAN JOSÉ</v>
      </c>
      <c r="N675">
        <f>+COUNTIF(dHdcp[Columna1],dHdcp[[#This Row],[Columna1]])</f>
        <v>2</v>
      </c>
    </row>
    <row r="676" spans="1:14">
      <c r="A676" s="2">
        <v>44185</v>
      </c>
      <c r="B676" t="s">
        <v>35</v>
      </c>
      <c r="C676" s="51">
        <v>17.600000000000001</v>
      </c>
      <c r="D676">
        <v>3</v>
      </c>
      <c r="E676" t="s">
        <v>75</v>
      </c>
      <c r="F676" t="s">
        <v>1142</v>
      </c>
      <c r="G676">
        <f>+IF(dHdcp[[#This Row],[Fecha]]=MAX(dHdcp[Fecha]),1,0)</f>
        <v>0</v>
      </c>
      <c r="H676" t="str">
        <f>+dHdcp[[#This Row],[Maximo]]&amp;":"&amp;dHdcp[[#This Row],[Nombre]]</f>
        <v>0:GLEZ JUAN JOSÉ</v>
      </c>
      <c r="I676" t="str">
        <f>+dHdcp[[#This Row],[Maximo]]&amp;":"&amp;_xlfn.XLOOKUP(dHdcp[[#This Row],[Nombre]],dJugador[Nombre],dJugador[Mote],"",0)</f>
        <v>0:Juanjo</v>
      </c>
      <c r="J676" t="str">
        <f>+IF(dHdcp[[#This Row],[Maximo]]=0,"",_xlfn.RANK.EQ(dHdcp[[#This Row],[Handicap]],dHdcp[Handicap],1))</f>
        <v/>
      </c>
      <c r="K676" t="str">
        <f>IFERROR(+_xlfn.RANK.EQ(dHdcp[[#This Row],[Ranking]],dHdcp[Ranking],1),"")</f>
        <v/>
      </c>
      <c r="M676" t="str">
        <f>+dHdcp[[#This Row],[Fecha]]&amp;":"&amp;dHdcp[[#This Row],[Nombre]]</f>
        <v>44185:GLEZ JUAN JOSÉ</v>
      </c>
      <c r="N676">
        <f>+COUNTIF(dHdcp[Columna1],dHdcp[[#This Row],[Columna1]])</f>
        <v>2</v>
      </c>
    </row>
    <row r="677" spans="1:14">
      <c r="A677" s="2">
        <v>44185</v>
      </c>
      <c r="B677" t="s">
        <v>6</v>
      </c>
      <c r="C677" s="51">
        <v>5.9</v>
      </c>
      <c r="D677">
        <f>+VLOOKUP(dHdcp[[#This Row],[Handicap]],'Categoría Hdcap'!$B$2:$E$7,4)</f>
        <v>2</v>
      </c>
      <c r="E677" t="s">
        <v>74</v>
      </c>
      <c r="F677" t="s">
        <v>1143</v>
      </c>
      <c r="G677">
        <f>+IF(dHdcp[[#This Row],[Fecha]]=MAX(dHdcp[Fecha]),1,0)</f>
        <v>0</v>
      </c>
      <c r="H677" t="str">
        <f>+dHdcp[[#This Row],[Maximo]]&amp;":"&amp;dHdcp[[#This Row],[Nombre]]</f>
        <v>0:Ignacio Cadarso</v>
      </c>
      <c r="I677" t="str">
        <f>+dHdcp[[#This Row],[Maximo]]&amp;":"&amp;_xlfn.XLOOKUP(dHdcp[[#This Row],[Nombre]],dJugador[Nombre],dJugador[Mote],"",0)</f>
        <v>0:Ignacio</v>
      </c>
      <c r="J677" t="str">
        <f>+IF(dHdcp[[#This Row],[Maximo]]=0,"",_xlfn.RANK.EQ(dHdcp[[#This Row],[Handicap]],dHdcp[Handicap],1))</f>
        <v/>
      </c>
      <c r="K677" t="str">
        <f>IFERROR(+_xlfn.RANK.EQ(dHdcp[[#This Row],[Ranking]],dHdcp[Ranking],1),"")</f>
        <v/>
      </c>
      <c r="M677" t="str">
        <f>+dHdcp[[#This Row],[Fecha]]&amp;":"&amp;dHdcp[[#This Row],[Nombre]]</f>
        <v>44185:Ignacio Cadarso</v>
      </c>
      <c r="N677">
        <f>+COUNTIF(dHdcp[Columna1],dHdcp[[#This Row],[Columna1]])</f>
        <v>2</v>
      </c>
    </row>
    <row r="678" spans="1:14">
      <c r="A678" s="2">
        <v>44185</v>
      </c>
      <c r="B678" t="s">
        <v>6</v>
      </c>
      <c r="C678" s="51">
        <v>5.1999999999999966</v>
      </c>
      <c r="D678">
        <v>2</v>
      </c>
      <c r="E678" t="s">
        <v>75</v>
      </c>
      <c r="F678" t="s">
        <v>1144</v>
      </c>
      <c r="G678">
        <f>+IF(dHdcp[[#This Row],[Fecha]]=MAX(dHdcp[Fecha]),1,0)</f>
        <v>0</v>
      </c>
      <c r="H678" t="str">
        <f>+dHdcp[[#This Row],[Maximo]]&amp;":"&amp;dHdcp[[#This Row],[Nombre]]</f>
        <v>0:Ignacio Cadarso</v>
      </c>
      <c r="I678" t="str">
        <f>+dHdcp[[#This Row],[Maximo]]&amp;":"&amp;_xlfn.XLOOKUP(dHdcp[[#This Row],[Nombre]],dJugador[Nombre],dJugador[Mote],"",0)</f>
        <v>0:Ignacio</v>
      </c>
      <c r="J678" t="str">
        <f>+IF(dHdcp[[#This Row],[Maximo]]=0,"",_xlfn.RANK.EQ(dHdcp[[#This Row],[Handicap]],dHdcp[Handicap],1))</f>
        <v/>
      </c>
      <c r="K678" t="str">
        <f>IFERROR(+_xlfn.RANK.EQ(dHdcp[[#This Row],[Ranking]],dHdcp[Ranking],1),"")</f>
        <v/>
      </c>
      <c r="M678" t="str">
        <f>+dHdcp[[#This Row],[Fecha]]&amp;":"&amp;dHdcp[[#This Row],[Nombre]]</f>
        <v>44185:Ignacio Cadarso</v>
      </c>
      <c r="N678">
        <f>+COUNTIF(dHdcp[Columna1],dHdcp[[#This Row],[Columna1]])</f>
        <v>2</v>
      </c>
    </row>
    <row r="679" spans="1:14">
      <c r="A679" s="2">
        <v>44185</v>
      </c>
      <c r="B679" t="s">
        <v>23</v>
      </c>
      <c r="C679" s="51">
        <v>19.5</v>
      </c>
      <c r="D679">
        <f>+VLOOKUP(dHdcp[[#This Row],[Handicap]],'Categoría Hdcap'!$B$2:$E$7,4)</f>
        <v>4</v>
      </c>
      <c r="E679" t="s">
        <v>74</v>
      </c>
      <c r="F679" t="s">
        <v>1145</v>
      </c>
      <c r="G679">
        <f>+IF(dHdcp[[#This Row],[Fecha]]=MAX(dHdcp[Fecha]),1,0)</f>
        <v>0</v>
      </c>
      <c r="H679" t="str">
        <f>+dHdcp[[#This Row],[Maximo]]&amp;":"&amp;dHdcp[[#This Row],[Nombre]]</f>
        <v>0:J. Enrique Gonzalez</v>
      </c>
      <c r="I679" t="str">
        <f>+dHdcp[[#This Row],[Maximo]]&amp;":"&amp;_xlfn.XLOOKUP(dHdcp[[#This Row],[Nombre]],dJugador[Nombre],dJugador[Mote],"",0)</f>
        <v>0:Kike</v>
      </c>
      <c r="J679" t="str">
        <f>+IF(dHdcp[[#This Row],[Maximo]]=0,"",_xlfn.RANK.EQ(dHdcp[[#This Row],[Handicap]],dHdcp[Handicap],1))</f>
        <v/>
      </c>
      <c r="K679" t="str">
        <f>IFERROR(+_xlfn.RANK.EQ(dHdcp[[#This Row],[Ranking]],dHdcp[Ranking],1),"")</f>
        <v/>
      </c>
      <c r="M679" t="str">
        <f>+dHdcp[[#This Row],[Fecha]]&amp;":"&amp;dHdcp[[#This Row],[Nombre]]</f>
        <v>44185:J. Enrique Gonzalez</v>
      </c>
      <c r="N679">
        <f>+COUNTIF(dHdcp[Columna1],dHdcp[[#This Row],[Columna1]])</f>
        <v>2</v>
      </c>
    </row>
    <row r="680" spans="1:14">
      <c r="A680" s="2">
        <v>44185</v>
      </c>
      <c r="B680" t="s">
        <v>23</v>
      </c>
      <c r="C680" s="51">
        <v>18.100000000000001</v>
      </c>
      <c r="D680">
        <v>3</v>
      </c>
      <c r="E680" t="s">
        <v>75</v>
      </c>
      <c r="F680" t="s">
        <v>1146</v>
      </c>
      <c r="G680">
        <f>+IF(dHdcp[[#This Row],[Fecha]]=MAX(dHdcp[Fecha]),1,0)</f>
        <v>0</v>
      </c>
      <c r="H680" t="str">
        <f>+dHdcp[[#This Row],[Maximo]]&amp;":"&amp;dHdcp[[#This Row],[Nombre]]</f>
        <v>0:J. Enrique Gonzalez</v>
      </c>
      <c r="I680" t="str">
        <f>+dHdcp[[#This Row],[Maximo]]&amp;":"&amp;_xlfn.XLOOKUP(dHdcp[[#This Row],[Nombre]],dJugador[Nombre],dJugador[Mote],"",0)</f>
        <v>0:Kike</v>
      </c>
      <c r="J680" t="str">
        <f>+IF(dHdcp[[#This Row],[Maximo]]=0,"",_xlfn.RANK.EQ(dHdcp[[#This Row],[Handicap]],dHdcp[Handicap],1))</f>
        <v/>
      </c>
      <c r="K680" t="str">
        <f>IFERROR(+_xlfn.RANK.EQ(dHdcp[[#This Row],[Ranking]],dHdcp[Ranking],1),"")</f>
        <v/>
      </c>
      <c r="M680" t="str">
        <f>+dHdcp[[#This Row],[Fecha]]&amp;":"&amp;dHdcp[[#This Row],[Nombre]]</f>
        <v>44185:J. Enrique Gonzalez</v>
      </c>
      <c r="N680">
        <f>+COUNTIF(dHdcp[Columna1],dHdcp[[#This Row],[Columna1]])</f>
        <v>2</v>
      </c>
    </row>
    <row r="681" spans="1:14">
      <c r="A681" s="2">
        <v>44185</v>
      </c>
      <c r="B681" t="s">
        <v>46</v>
      </c>
      <c r="C681" s="51">
        <v>15.1</v>
      </c>
      <c r="D681">
        <f>+VLOOKUP(dHdcp[[#This Row],[Handicap]],'Categoría Hdcap'!$B$2:$E$7,4)</f>
        <v>3</v>
      </c>
      <c r="E681" t="s">
        <v>74</v>
      </c>
      <c r="F681" t="s">
        <v>1147</v>
      </c>
      <c r="G681">
        <f>+IF(dHdcp[[#This Row],[Fecha]]=MAX(dHdcp[Fecha]),1,0)</f>
        <v>0</v>
      </c>
      <c r="H681" t="str">
        <f>+dHdcp[[#This Row],[Maximo]]&amp;":"&amp;dHdcp[[#This Row],[Nombre]]</f>
        <v>0:Javier Cervera</v>
      </c>
      <c r="I681" t="str">
        <f>+dHdcp[[#This Row],[Maximo]]&amp;":"&amp;_xlfn.XLOOKUP(dHdcp[[#This Row],[Nombre]],dJugador[Nombre],dJugador[Mote],"",0)</f>
        <v>0:Virus</v>
      </c>
      <c r="J681" t="str">
        <f>+IF(dHdcp[[#This Row],[Maximo]]=0,"",_xlfn.RANK.EQ(dHdcp[[#This Row],[Handicap]],dHdcp[Handicap],1))</f>
        <v/>
      </c>
      <c r="K681" t="str">
        <f>IFERROR(+_xlfn.RANK.EQ(dHdcp[[#This Row],[Ranking]],dHdcp[Ranking],1),"")</f>
        <v/>
      </c>
      <c r="M681" t="str">
        <f>+dHdcp[[#This Row],[Fecha]]&amp;":"&amp;dHdcp[[#This Row],[Nombre]]</f>
        <v>44185:Javier Cervera</v>
      </c>
      <c r="N681">
        <f>+COUNTIF(dHdcp[Columna1],dHdcp[[#This Row],[Columna1]])</f>
        <v>2</v>
      </c>
    </row>
    <row r="682" spans="1:14">
      <c r="A682" s="2">
        <v>44185</v>
      </c>
      <c r="B682" t="s">
        <v>46</v>
      </c>
      <c r="C682" s="51">
        <v>14.099999999999994</v>
      </c>
      <c r="D682">
        <v>3</v>
      </c>
      <c r="E682" t="s">
        <v>75</v>
      </c>
      <c r="F682" t="s">
        <v>1148</v>
      </c>
      <c r="G682">
        <f>+IF(dHdcp[[#This Row],[Fecha]]=MAX(dHdcp[Fecha]),1,0)</f>
        <v>0</v>
      </c>
      <c r="H682" t="str">
        <f>+dHdcp[[#This Row],[Maximo]]&amp;":"&amp;dHdcp[[#This Row],[Nombre]]</f>
        <v>0:Javier Cervera</v>
      </c>
      <c r="I682" t="str">
        <f>+dHdcp[[#This Row],[Maximo]]&amp;":"&amp;_xlfn.XLOOKUP(dHdcp[[#This Row],[Nombre]],dJugador[Nombre],dJugador[Mote],"",0)</f>
        <v>0:Virus</v>
      </c>
      <c r="J682" t="str">
        <f>+IF(dHdcp[[#This Row],[Maximo]]=0,"",_xlfn.RANK.EQ(dHdcp[[#This Row],[Handicap]],dHdcp[Handicap],1))</f>
        <v/>
      </c>
      <c r="K682" t="str">
        <f>IFERROR(+_xlfn.RANK.EQ(dHdcp[[#This Row],[Ranking]],dHdcp[Ranking],1),"")</f>
        <v/>
      </c>
      <c r="M682" t="str">
        <f>+dHdcp[[#This Row],[Fecha]]&amp;":"&amp;dHdcp[[#This Row],[Nombre]]</f>
        <v>44185:Javier Cervera</v>
      </c>
      <c r="N682">
        <f>+COUNTIF(dHdcp[Columna1],dHdcp[[#This Row],[Columna1]])</f>
        <v>2</v>
      </c>
    </row>
    <row r="683" spans="1:14">
      <c r="A683" s="2">
        <v>44185</v>
      </c>
      <c r="B683" t="s">
        <v>20</v>
      </c>
      <c r="C683" s="51">
        <v>15.3</v>
      </c>
      <c r="D683">
        <f>+VLOOKUP(dHdcp[[#This Row],[Handicap]],'Categoría Hdcap'!$B$2:$E$7,4)</f>
        <v>3</v>
      </c>
      <c r="E683" t="s">
        <v>74</v>
      </c>
      <c r="F683" t="s">
        <v>1149</v>
      </c>
      <c r="G683">
        <f>+IF(dHdcp[[#This Row],[Fecha]]=MAX(dHdcp[Fecha]),1,0)</f>
        <v>0</v>
      </c>
      <c r="H683" t="str">
        <f>+dHdcp[[#This Row],[Maximo]]&amp;":"&amp;dHdcp[[#This Row],[Nombre]]</f>
        <v>0:Javier Gonzalez Salvador</v>
      </c>
      <c r="I683" t="str">
        <f>+dHdcp[[#This Row],[Maximo]]&amp;":"&amp;_xlfn.XLOOKUP(dHdcp[[#This Row],[Nombre]],dJugador[Nombre],dJugador[Mote],"",0)</f>
        <v>0:Javi</v>
      </c>
      <c r="J683" t="str">
        <f>+IF(dHdcp[[#This Row],[Maximo]]=0,"",_xlfn.RANK.EQ(dHdcp[[#This Row],[Handicap]],dHdcp[Handicap],1))</f>
        <v/>
      </c>
      <c r="K683" t="str">
        <f>IFERROR(+_xlfn.RANK.EQ(dHdcp[[#This Row],[Ranking]],dHdcp[Ranking],1),"")</f>
        <v/>
      </c>
      <c r="M683" t="str">
        <f>+dHdcp[[#This Row],[Fecha]]&amp;":"&amp;dHdcp[[#This Row],[Nombre]]</f>
        <v>44185:Javier Gonzalez Salvador</v>
      </c>
      <c r="N683">
        <f>+COUNTIF(dHdcp[Columna1],dHdcp[[#This Row],[Columna1]])</f>
        <v>2</v>
      </c>
    </row>
    <row r="684" spans="1:14">
      <c r="A684" s="2">
        <v>44185</v>
      </c>
      <c r="B684" t="s">
        <v>20</v>
      </c>
      <c r="C684" s="51">
        <v>11.199999999999996</v>
      </c>
      <c r="D684">
        <v>2</v>
      </c>
      <c r="E684" t="s">
        <v>75</v>
      </c>
      <c r="F684" t="s">
        <v>1150</v>
      </c>
      <c r="G684">
        <f>+IF(dHdcp[[#This Row],[Fecha]]=MAX(dHdcp[Fecha]),1,0)</f>
        <v>0</v>
      </c>
      <c r="H684" t="str">
        <f>+dHdcp[[#This Row],[Maximo]]&amp;":"&amp;dHdcp[[#This Row],[Nombre]]</f>
        <v>0:Javier Gonzalez Salvador</v>
      </c>
      <c r="I684" t="str">
        <f>+dHdcp[[#This Row],[Maximo]]&amp;":"&amp;_xlfn.XLOOKUP(dHdcp[[#This Row],[Nombre]],dJugador[Nombre],dJugador[Mote],"",0)</f>
        <v>0:Javi</v>
      </c>
      <c r="J684" t="str">
        <f>+IF(dHdcp[[#This Row],[Maximo]]=0,"",_xlfn.RANK.EQ(dHdcp[[#This Row],[Handicap]],dHdcp[Handicap],1))</f>
        <v/>
      </c>
      <c r="K684" t="str">
        <f>IFERROR(+_xlfn.RANK.EQ(dHdcp[[#This Row],[Ranking]],dHdcp[Ranking],1),"")</f>
        <v/>
      </c>
      <c r="M684" t="str">
        <f>+dHdcp[[#This Row],[Fecha]]&amp;":"&amp;dHdcp[[#This Row],[Nombre]]</f>
        <v>44185:Javier Gonzalez Salvador</v>
      </c>
      <c r="N684">
        <f>+COUNTIF(dHdcp[Columna1],dHdcp[[#This Row],[Columna1]])</f>
        <v>2</v>
      </c>
    </row>
    <row r="685" spans="1:14">
      <c r="A685" s="2">
        <v>44185</v>
      </c>
      <c r="B685" t="s">
        <v>41</v>
      </c>
      <c r="C685" s="51">
        <v>22.6</v>
      </c>
      <c r="D685">
        <f>+VLOOKUP(dHdcp[[#This Row],[Handicap]],'Categoría Hdcap'!$B$2:$E$7,4)</f>
        <v>4</v>
      </c>
      <c r="E685" t="s">
        <v>74</v>
      </c>
      <c r="F685" t="s">
        <v>1151</v>
      </c>
      <c r="G685">
        <f>+IF(dHdcp[[#This Row],[Fecha]]=MAX(dHdcp[Fecha]),1,0)</f>
        <v>0</v>
      </c>
      <c r="H685" t="str">
        <f>+dHdcp[[#This Row],[Maximo]]&amp;":"&amp;dHdcp[[#This Row],[Nombre]]</f>
        <v>0:Jesus Touceda</v>
      </c>
      <c r="I685" t="str">
        <f>+dHdcp[[#This Row],[Maximo]]&amp;":"&amp;_xlfn.XLOOKUP(dHdcp[[#This Row],[Nombre]],dJugador[Nombre],dJugador[Mote],"",0)</f>
        <v>0:Jesús</v>
      </c>
      <c r="J685" t="str">
        <f>+IF(dHdcp[[#This Row],[Maximo]]=0,"",_xlfn.RANK.EQ(dHdcp[[#This Row],[Handicap]],dHdcp[Handicap],1))</f>
        <v/>
      </c>
      <c r="K685" t="str">
        <f>IFERROR(+_xlfn.RANK.EQ(dHdcp[[#This Row],[Ranking]],dHdcp[Ranking],1),"")</f>
        <v/>
      </c>
      <c r="M685" t="str">
        <f>+dHdcp[[#This Row],[Fecha]]&amp;":"&amp;dHdcp[[#This Row],[Nombre]]</f>
        <v>44185:Jesus Touceda</v>
      </c>
      <c r="N685">
        <f>+COUNTIF(dHdcp[Columna1],dHdcp[[#This Row],[Columna1]])</f>
        <v>2</v>
      </c>
    </row>
    <row r="686" spans="1:14">
      <c r="A686" s="2">
        <v>44185</v>
      </c>
      <c r="B686" t="s">
        <v>41</v>
      </c>
      <c r="C686" s="51">
        <v>21.700000000000006</v>
      </c>
      <c r="D686">
        <v>4</v>
      </c>
      <c r="E686" t="s">
        <v>75</v>
      </c>
      <c r="F686" t="s">
        <v>1152</v>
      </c>
      <c r="G686">
        <f>+IF(dHdcp[[#This Row],[Fecha]]=MAX(dHdcp[Fecha]),1,0)</f>
        <v>0</v>
      </c>
      <c r="H686" t="str">
        <f>+dHdcp[[#This Row],[Maximo]]&amp;":"&amp;dHdcp[[#This Row],[Nombre]]</f>
        <v>0:Jesus Touceda</v>
      </c>
      <c r="I686" t="str">
        <f>+dHdcp[[#This Row],[Maximo]]&amp;":"&amp;_xlfn.XLOOKUP(dHdcp[[#This Row],[Nombre]],dJugador[Nombre],dJugador[Mote],"",0)</f>
        <v>0:Jesús</v>
      </c>
      <c r="J686" t="str">
        <f>+IF(dHdcp[[#This Row],[Maximo]]=0,"",_xlfn.RANK.EQ(dHdcp[[#This Row],[Handicap]],dHdcp[Handicap],1))</f>
        <v/>
      </c>
      <c r="K686" t="str">
        <f>IFERROR(+_xlfn.RANK.EQ(dHdcp[[#This Row],[Ranking]],dHdcp[Ranking],1),"")</f>
        <v/>
      </c>
      <c r="M686" t="str">
        <f>+dHdcp[[#This Row],[Fecha]]&amp;":"&amp;dHdcp[[#This Row],[Nombre]]</f>
        <v>44185:Jesus Touceda</v>
      </c>
      <c r="N686">
        <f>+COUNTIF(dHdcp[Columna1],dHdcp[[#This Row],[Columna1]])</f>
        <v>2</v>
      </c>
    </row>
    <row r="687" spans="1:14">
      <c r="A687" s="2">
        <v>44185</v>
      </c>
      <c r="B687" t="s">
        <v>18</v>
      </c>
      <c r="C687" s="51">
        <v>6.5</v>
      </c>
      <c r="D687">
        <f>+VLOOKUP(dHdcp[[#This Row],[Handicap]],'Categoría Hdcap'!$B$2:$E$7,4)</f>
        <v>2</v>
      </c>
      <c r="E687" t="s">
        <v>74</v>
      </c>
      <c r="F687" t="s">
        <v>1153</v>
      </c>
      <c r="G687">
        <f>+IF(dHdcp[[#This Row],[Fecha]]=MAX(dHdcp[Fecha]),1,0)</f>
        <v>0</v>
      </c>
      <c r="H687" t="str">
        <f>+dHdcp[[#This Row],[Maximo]]&amp;":"&amp;dHdcp[[#This Row],[Nombre]]</f>
        <v>0:José Pablo Guil</v>
      </c>
      <c r="I687" t="str">
        <f>+dHdcp[[#This Row],[Maximo]]&amp;":"&amp;_xlfn.XLOOKUP(dHdcp[[#This Row],[Nombre]],dJugador[Nombre],dJugador[Mote],"",0)</f>
        <v>0:JP</v>
      </c>
      <c r="J687" t="str">
        <f>+IF(dHdcp[[#This Row],[Maximo]]=0,"",_xlfn.RANK.EQ(dHdcp[[#This Row],[Handicap]],dHdcp[Handicap],1))</f>
        <v/>
      </c>
      <c r="K687" t="str">
        <f>IFERROR(+_xlfn.RANK.EQ(dHdcp[[#This Row],[Ranking]],dHdcp[Ranking],1),"")</f>
        <v/>
      </c>
      <c r="M687" t="str">
        <f>+dHdcp[[#This Row],[Fecha]]&amp;":"&amp;dHdcp[[#This Row],[Nombre]]</f>
        <v>44185:José Pablo Guil</v>
      </c>
      <c r="N687">
        <f>+COUNTIF(dHdcp[Columna1],dHdcp[[#This Row],[Columna1]])</f>
        <v>2</v>
      </c>
    </row>
    <row r="688" spans="1:14">
      <c r="A688" s="2">
        <v>44185</v>
      </c>
      <c r="B688" t="s">
        <v>18</v>
      </c>
      <c r="C688" s="51">
        <v>5.7999999999999954</v>
      </c>
      <c r="D688">
        <v>2</v>
      </c>
      <c r="E688" t="s">
        <v>75</v>
      </c>
      <c r="F688" t="s">
        <v>1154</v>
      </c>
      <c r="G688">
        <f>+IF(dHdcp[[#This Row],[Fecha]]=MAX(dHdcp[Fecha]),1,0)</f>
        <v>0</v>
      </c>
      <c r="H688" t="str">
        <f>+dHdcp[[#This Row],[Maximo]]&amp;":"&amp;dHdcp[[#This Row],[Nombre]]</f>
        <v>0:José Pablo Guil</v>
      </c>
      <c r="I688" t="str">
        <f>+dHdcp[[#This Row],[Maximo]]&amp;":"&amp;_xlfn.XLOOKUP(dHdcp[[#This Row],[Nombre]],dJugador[Nombre],dJugador[Mote],"",0)</f>
        <v>0:JP</v>
      </c>
      <c r="J688" t="str">
        <f>+IF(dHdcp[[#This Row],[Maximo]]=0,"",_xlfn.RANK.EQ(dHdcp[[#This Row],[Handicap]],dHdcp[Handicap],1))</f>
        <v/>
      </c>
      <c r="K688" t="str">
        <f>IFERROR(+_xlfn.RANK.EQ(dHdcp[[#This Row],[Ranking]],dHdcp[Ranking],1),"")</f>
        <v/>
      </c>
      <c r="M688" t="str">
        <f>+dHdcp[[#This Row],[Fecha]]&amp;":"&amp;dHdcp[[#This Row],[Nombre]]</f>
        <v>44185:José Pablo Guil</v>
      </c>
      <c r="N688">
        <f>+COUNTIF(dHdcp[Columna1],dHdcp[[#This Row],[Columna1]])</f>
        <v>2</v>
      </c>
    </row>
    <row r="689" spans="1:14">
      <c r="A689" s="2">
        <v>44185</v>
      </c>
      <c r="B689" t="s">
        <v>43</v>
      </c>
      <c r="C689" s="51">
        <v>18.3</v>
      </c>
      <c r="D689">
        <f>+VLOOKUP(dHdcp[[#This Row],[Handicap]],'Categoría Hdcap'!$B$2:$E$7,4)</f>
        <v>3</v>
      </c>
      <c r="E689" t="s">
        <v>74</v>
      </c>
      <c r="F689" t="s">
        <v>1155</v>
      </c>
      <c r="G689">
        <f>+IF(dHdcp[[#This Row],[Fecha]]=MAX(dHdcp[Fecha]),1,0)</f>
        <v>0</v>
      </c>
      <c r="H689" t="str">
        <f>+dHdcp[[#This Row],[Maximo]]&amp;":"&amp;dHdcp[[#This Row],[Nombre]]</f>
        <v>0:Luis Escudero</v>
      </c>
      <c r="I689" t="str">
        <f>+dHdcp[[#This Row],[Maximo]]&amp;":"&amp;_xlfn.XLOOKUP(dHdcp[[#This Row],[Nombre]],dJugador[Nombre],dJugador[Mote],"",0)</f>
        <v>0:Lucho</v>
      </c>
      <c r="J689" t="str">
        <f>+IF(dHdcp[[#This Row],[Maximo]]=0,"",_xlfn.RANK.EQ(dHdcp[[#This Row],[Handicap]],dHdcp[Handicap],1))</f>
        <v/>
      </c>
      <c r="K689" t="str">
        <f>IFERROR(+_xlfn.RANK.EQ(dHdcp[[#This Row],[Ranking]],dHdcp[Ranking],1),"")</f>
        <v/>
      </c>
      <c r="M689" t="str">
        <f>+dHdcp[[#This Row],[Fecha]]&amp;":"&amp;dHdcp[[#This Row],[Nombre]]</f>
        <v>44185:Luis Escudero</v>
      </c>
      <c r="N689">
        <f>+COUNTIF(dHdcp[Columna1],dHdcp[[#This Row],[Columna1]])</f>
        <v>2</v>
      </c>
    </row>
    <row r="690" spans="1:14">
      <c r="A690" s="2">
        <v>44185</v>
      </c>
      <c r="B690" t="s">
        <v>43</v>
      </c>
      <c r="C690" s="51">
        <v>17.099999999999998</v>
      </c>
      <c r="D690">
        <v>3</v>
      </c>
      <c r="E690" t="s">
        <v>75</v>
      </c>
      <c r="F690" t="s">
        <v>1156</v>
      </c>
      <c r="G690">
        <f>+IF(dHdcp[[#This Row],[Fecha]]=MAX(dHdcp[Fecha]),1,0)</f>
        <v>0</v>
      </c>
      <c r="H690" t="str">
        <f>+dHdcp[[#This Row],[Maximo]]&amp;":"&amp;dHdcp[[#This Row],[Nombre]]</f>
        <v>0:Luis Escudero</v>
      </c>
      <c r="I690" t="str">
        <f>+dHdcp[[#This Row],[Maximo]]&amp;":"&amp;_xlfn.XLOOKUP(dHdcp[[#This Row],[Nombre]],dJugador[Nombre],dJugador[Mote],"",0)</f>
        <v>0:Lucho</v>
      </c>
      <c r="J690" t="str">
        <f>+IF(dHdcp[[#This Row],[Maximo]]=0,"",_xlfn.RANK.EQ(dHdcp[[#This Row],[Handicap]],dHdcp[Handicap],1))</f>
        <v/>
      </c>
      <c r="K690" t="str">
        <f>IFERROR(+_xlfn.RANK.EQ(dHdcp[[#This Row],[Ranking]],dHdcp[Ranking],1),"")</f>
        <v/>
      </c>
      <c r="M690" t="str">
        <f>+dHdcp[[#This Row],[Fecha]]&amp;":"&amp;dHdcp[[#This Row],[Nombre]]</f>
        <v>44185:Luis Escudero</v>
      </c>
      <c r="N690">
        <f>+COUNTIF(dHdcp[Columna1],dHdcp[[#This Row],[Columna1]])</f>
        <v>2</v>
      </c>
    </row>
    <row r="691" spans="1:14">
      <c r="A691" s="2">
        <v>44185</v>
      </c>
      <c r="B691" t="s">
        <v>51</v>
      </c>
      <c r="C691" s="51">
        <v>0.4</v>
      </c>
      <c r="D691">
        <f>+VLOOKUP(dHdcp[[#This Row],[Handicap]],'Categoría Hdcap'!$B$2:$E$7,4)</f>
        <v>1</v>
      </c>
      <c r="E691" t="s">
        <v>74</v>
      </c>
      <c r="F691" t="s">
        <v>1157</v>
      </c>
      <c r="G691">
        <f>+IF(dHdcp[[#This Row],[Fecha]]=MAX(dHdcp[Fecha]),1,0)</f>
        <v>0</v>
      </c>
      <c r="H691" t="str">
        <f>+dHdcp[[#This Row],[Maximo]]&amp;":"&amp;dHdcp[[#This Row],[Nombre]]</f>
        <v>0:Miguel Diaz Del Moral</v>
      </c>
      <c r="I691" t="str">
        <f>+dHdcp[[#This Row],[Maximo]]&amp;":"&amp;_xlfn.XLOOKUP(dHdcp[[#This Row],[Nombre]],dJugador[Nombre],dJugador[Mote],"",0)</f>
        <v>0:Cañita</v>
      </c>
      <c r="J691" t="str">
        <f>+IF(dHdcp[[#This Row],[Maximo]]=0,"",_xlfn.RANK.EQ(dHdcp[[#This Row],[Handicap]],dHdcp[Handicap],1))</f>
        <v/>
      </c>
      <c r="K691" t="str">
        <f>IFERROR(+_xlfn.RANK.EQ(dHdcp[[#This Row],[Ranking]],dHdcp[Ranking],1),"")</f>
        <v/>
      </c>
      <c r="M691" t="str">
        <f>+dHdcp[[#This Row],[Fecha]]&amp;":"&amp;dHdcp[[#This Row],[Nombre]]</f>
        <v>44185:Miguel Diaz Del Moral</v>
      </c>
      <c r="N691">
        <f>+COUNTIF(dHdcp[Columna1],dHdcp[[#This Row],[Columna1]])</f>
        <v>1</v>
      </c>
    </row>
    <row r="692" spans="1:14">
      <c r="A692" s="2">
        <v>44185</v>
      </c>
      <c r="B692" t="s">
        <v>3</v>
      </c>
      <c r="C692" s="51">
        <v>5.7</v>
      </c>
      <c r="D692">
        <f>+VLOOKUP(dHdcp[[#This Row],[Handicap]],'Categoría Hdcap'!$B$2:$E$7,4)</f>
        <v>2</v>
      </c>
      <c r="E692" t="s">
        <v>74</v>
      </c>
      <c r="F692" t="s">
        <v>1158</v>
      </c>
      <c r="G692">
        <f>+IF(dHdcp[[#This Row],[Fecha]]=MAX(dHdcp[Fecha]),1,0)</f>
        <v>0</v>
      </c>
      <c r="H692" t="str">
        <f>+dHdcp[[#This Row],[Maximo]]&amp;":"&amp;dHdcp[[#This Row],[Nombre]]</f>
        <v>0:Nacho Gonzalez</v>
      </c>
      <c r="I692" t="str">
        <f>+dHdcp[[#This Row],[Maximo]]&amp;":"&amp;_xlfn.XLOOKUP(dHdcp[[#This Row],[Nombre]],dJugador[Nombre],dJugador[Mote],"",0)</f>
        <v>0:Nacho</v>
      </c>
      <c r="J692" t="str">
        <f>+IF(dHdcp[[#This Row],[Maximo]]=0,"",_xlfn.RANK.EQ(dHdcp[[#This Row],[Handicap]],dHdcp[Handicap],1))</f>
        <v/>
      </c>
      <c r="K692" t="str">
        <f>IFERROR(+_xlfn.RANK.EQ(dHdcp[[#This Row],[Ranking]],dHdcp[Ranking],1),"")</f>
        <v/>
      </c>
      <c r="M692" t="str">
        <f>+dHdcp[[#This Row],[Fecha]]&amp;":"&amp;dHdcp[[#This Row],[Nombre]]</f>
        <v>44185:Nacho Gonzalez</v>
      </c>
      <c r="N692">
        <f>+COUNTIF(dHdcp[Columna1],dHdcp[[#This Row],[Columna1]])</f>
        <v>2</v>
      </c>
    </row>
    <row r="693" spans="1:14">
      <c r="A693" s="2">
        <v>44185</v>
      </c>
      <c r="B693" t="s">
        <v>3</v>
      </c>
      <c r="C693" s="51">
        <v>4.4999999999999991</v>
      </c>
      <c r="D693">
        <v>1</v>
      </c>
      <c r="E693" t="s">
        <v>75</v>
      </c>
      <c r="F693" t="s">
        <v>1159</v>
      </c>
      <c r="G693">
        <f>+IF(dHdcp[[#This Row],[Fecha]]=MAX(dHdcp[Fecha]),1,0)</f>
        <v>0</v>
      </c>
      <c r="H693" t="str">
        <f>+dHdcp[[#This Row],[Maximo]]&amp;":"&amp;dHdcp[[#This Row],[Nombre]]</f>
        <v>0:Nacho Gonzalez</v>
      </c>
      <c r="I693" t="str">
        <f>+dHdcp[[#This Row],[Maximo]]&amp;":"&amp;_xlfn.XLOOKUP(dHdcp[[#This Row],[Nombre]],dJugador[Nombre],dJugador[Mote],"",0)</f>
        <v>0:Nacho</v>
      </c>
      <c r="J693" t="str">
        <f>+IF(dHdcp[[#This Row],[Maximo]]=0,"",_xlfn.RANK.EQ(dHdcp[[#This Row],[Handicap]],dHdcp[Handicap],1))</f>
        <v/>
      </c>
      <c r="K693" t="str">
        <f>IFERROR(+_xlfn.RANK.EQ(dHdcp[[#This Row],[Ranking]],dHdcp[Ranking],1),"")</f>
        <v/>
      </c>
      <c r="M693" t="str">
        <f>+dHdcp[[#This Row],[Fecha]]&amp;":"&amp;dHdcp[[#This Row],[Nombre]]</f>
        <v>44185:Nacho Gonzalez</v>
      </c>
      <c r="N693">
        <f>+COUNTIF(dHdcp[Columna1],dHdcp[[#This Row],[Columna1]])</f>
        <v>2</v>
      </c>
    </row>
    <row r="694" spans="1:14">
      <c r="A694" s="2">
        <v>44185</v>
      </c>
      <c r="B694" t="s">
        <v>28</v>
      </c>
      <c r="C694" s="51">
        <v>13.7</v>
      </c>
      <c r="D694">
        <f>+VLOOKUP(dHdcp[[#This Row],[Handicap]],'Categoría Hdcap'!$B$2:$E$7,4)</f>
        <v>3</v>
      </c>
      <c r="E694" t="s">
        <v>74</v>
      </c>
      <c r="F694" t="s">
        <v>1160</v>
      </c>
      <c r="G694">
        <f>+IF(dHdcp[[#This Row],[Fecha]]=MAX(dHdcp[Fecha]),1,0)</f>
        <v>0</v>
      </c>
      <c r="H694" t="str">
        <f>+dHdcp[[#This Row],[Maximo]]&amp;":"&amp;dHdcp[[#This Row],[Nombre]]</f>
        <v>0:Pablo Munitiz</v>
      </c>
      <c r="I694" t="str">
        <f>+dHdcp[[#This Row],[Maximo]]&amp;":"&amp;_xlfn.XLOOKUP(dHdcp[[#This Row],[Nombre]],dJugador[Nombre],dJugador[Mote],"",0)</f>
        <v>0:Muni</v>
      </c>
      <c r="J694" t="str">
        <f>+IF(dHdcp[[#This Row],[Maximo]]=0,"",_xlfn.RANK.EQ(dHdcp[[#This Row],[Handicap]],dHdcp[Handicap],1))</f>
        <v/>
      </c>
      <c r="K694" t="str">
        <f>IFERROR(+_xlfn.RANK.EQ(dHdcp[[#This Row],[Ranking]],dHdcp[Ranking],1),"")</f>
        <v/>
      </c>
      <c r="M694" t="str">
        <f>+dHdcp[[#This Row],[Fecha]]&amp;":"&amp;dHdcp[[#This Row],[Nombre]]</f>
        <v>44185:Pablo Munitiz</v>
      </c>
      <c r="N694">
        <f>+COUNTIF(dHdcp[Columna1],dHdcp[[#This Row],[Columna1]])</f>
        <v>2</v>
      </c>
    </row>
    <row r="695" spans="1:14">
      <c r="A695" s="2">
        <v>44185</v>
      </c>
      <c r="B695" t="s">
        <v>28</v>
      </c>
      <c r="C695" s="51">
        <v>13.7</v>
      </c>
      <c r="D695">
        <v>3</v>
      </c>
      <c r="E695" t="s">
        <v>75</v>
      </c>
      <c r="F695" t="s">
        <v>1161</v>
      </c>
      <c r="G695">
        <f>+IF(dHdcp[[#This Row],[Fecha]]=MAX(dHdcp[Fecha]),1,0)</f>
        <v>0</v>
      </c>
      <c r="H695" t="str">
        <f>+dHdcp[[#This Row],[Maximo]]&amp;":"&amp;dHdcp[[#This Row],[Nombre]]</f>
        <v>0:Pablo Munitiz</v>
      </c>
      <c r="I695" t="str">
        <f>+dHdcp[[#This Row],[Maximo]]&amp;":"&amp;_xlfn.XLOOKUP(dHdcp[[#This Row],[Nombre]],dJugador[Nombre],dJugador[Mote],"",0)</f>
        <v>0:Muni</v>
      </c>
      <c r="J695" t="str">
        <f>+IF(dHdcp[[#This Row],[Maximo]]=0,"",_xlfn.RANK.EQ(dHdcp[[#This Row],[Handicap]],dHdcp[Handicap],1))</f>
        <v/>
      </c>
      <c r="K695" t="str">
        <f>IFERROR(+_xlfn.RANK.EQ(dHdcp[[#This Row],[Ranking]],dHdcp[Ranking],1),"")</f>
        <v/>
      </c>
      <c r="M695" t="str">
        <f>+dHdcp[[#This Row],[Fecha]]&amp;":"&amp;dHdcp[[#This Row],[Nombre]]</f>
        <v>44185:Pablo Munitiz</v>
      </c>
      <c r="N695">
        <f>+COUNTIF(dHdcp[Columna1],dHdcp[[#This Row],[Columna1]])</f>
        <v>2</v>
      </c>
    </row>
    <row r="696" spans="1:14">
      <c r="A696" s="2">
        <v>44241</v>
      </c>
      <c r="B696" t="s">
        <v>9</v>
      </c>
      <c r="C696" s="51">
        <v>9.3000000000000007</v>
      </c>
      <c r="D696">
        <f>+VLOOKUP(dHdcp[[#This Row],[Handicap]],'Categoría Hdcap'!$B$2:$E$7,4)</f>
        <v>2</v>
      </c>
      <c r="E696" t="s">
        <v>74</v>
      </c>
      <c r="F696" t="s">
        <v>1162</v>
      </c>
      <c r="G696">
        <f>+IF(dHdcp[[#This Row],[Fecha]]=MAX(dHdcp[Fecha]),1,0)</f>
        <v>0</v>
      </c>
      <c r="H696" t="str">
        <f>+dHdcp[[#This Row],[Maximo]]&amp;":"&amp;dHdcp[[#This Row],[Nombre]]</f>
        <v>0:Alfonso Hidalgo</v>
      </c>
      <c r="I696" t="str">
        <f>+dHdcp[[#This Row],[Maximo]]&amp;":"&amp;_xlfn.XLOOKUP(dHdcp[[#This Row],[Nombre]],dJugador[Nombre],dJugador[Mote],"",0)</f>
        <v>0:Alfonso</v>
      </c>
      <c r="J696" t="str">
        <f>+IF(dHdcp[[#This Row],[Maximo]]=0,"",_xlfn.RANK.EQ(dHdcp[[#This Row],[Handicap]],dHdcp[Handicap],1))</f>
        <v/>
      </c>
      <c r="K696" t="str">
        <f>IFERROR(+_xlfn.RANK.EQ(dHdcp[[#This Row],[Ranking]],dHdcp[Ranking],1),"")</f>
        <v/>
      </c>
      <c r="M696" t="str">
        <f>+dHdcp[[#This Row],[Fecha]]&amp;":"&amp;dHdcp[[#This Row],[Nombre]]</f>
        <v>44241:Alfonso Hidalgo</v>
      </c>
      <c r="N696">
        <f>+COUNTIF(dHdcp[Columna1],dHdcp[[#This Row],[Columna1]])</f>
        <v>1</v>
      </c>
    </row>
    <row r="697" spans="1:14">
      <c r="A697" s="2">
        <v>44241</v>
      </c>
      <c r="B697" t="s">
        <v>15</v>
      </c>
      <c r="C697" s="51">
        <v>6.4</v>
      </c>
      <c r="D697">
        <f>+VLOOKUP(dHdcp[[#This Row],[Handicap]],'Categoría Hdcap'!$B$2:$E$7,4)</f>
        <v>2</v>
      </c>
      <c r="E697" t="s">
        <v>74</v>
      </c>
      <c r="F697" t="s">
        <v>1163</v>
      </c>
      <c r="G697">
        <f>+IF(dHdcp[[#This Row],[Fecha]]=MAX(dHdcp[Fecha]),1,0)</f>
        <v>0</v>
      </c>
      <c r="H697" t="str">
        <f>+dHdcp[[#This Row],[Maximo]]&amp;":"&amp;dHdcp[[#This Row],[Nombre]]</f>
        <v>0:Alvaro Aguirre</v>
      </c>
      <c r="I697" t="str">
        <f>+dHdcp[[#This Row],[Maximo]]&amp;":"&amp;_xlfn.XLOOKUP(dHdcp[[#This Row],[Nombre]],dJugador[Nombre],dJugador[Mote],"",0)</f>
        <v>0:Gifu</v>
      </c>
      <c r="J697" t="str">
        <f>+IF(dHdcp[[#This Row],[Maximo]]=0,"",_xlfn.RANK.EQ(dHdcp[[#This Row],[Handicap]],dHdcp[Handicap],1))</f>
        <v/>
      </c>
      <c r="K697" t="str">
        <f>IFERROR(+_xlfn.RANK.EQ(dHdcp[[#This Row],[Ranking]],dHdcp[Ranking],1),"")</f>
        <v/>
      </c>
      <c r="M697" t="str">
        <f>+dHdcp[[#This Row],[Fecha]]&amp;":"&amp;dHdcp[[#This Row],[Nombre]]</f>
        <v>44241:Alvaro Aguirre</v>
      </c>
      <c r="N697">
        <f>+COUNTIF(dHdcp[Columna1],dHdcp[[#This Row],[Columna1]])</f>
        <v>1</v>
      </c>
    </row>
    <row r="698" spans="1:14">
      <c r="A698" s="2">
        <v>44241</v>
      </c>
      <c r="B698" t="s">
        <v>25</v>
      </c>
      <c r="C698" s="51">
        <v>14</v>
      </c>
      <c r="D698">
        <f>+VLOOKUP(dHdcp[[#This Row],[Handicap]],'Categoría Hdcap'!$B$2:$E$7,4)</f>
        <v>3</v>
      </c>
      <c r="E698" t="s">
        <v>74</v>
      </c>
      <c r="F698" t="s">
        <v>1164</v>
      </c>
      <c r="G698">
        <f>+IF(dHdcp[[#This Row],[Fecha]]=MAX(dHdcp[Fecha]),1,0)</f>
        <v>0</v>
      </c>
      <c r="H698" t="str">
        <f>+dHdcp[[#This Row],[Maximo]]&amp;":"&amp;dHdcp[[#This Row],[Nombre]]</f>
        <v>0:Alvaro Nieto</v>
      </c>
      <c r="I698" t="str">
        <f>+dHdcp[[#This Row],[Maximo]]&amp;":"&amp;_xlfn.XLOOKUP(dHdcp[[#This Row],[Nombre]],dJugador[Nombre],dJugador[Mote],"",0)</f>
        <v>0:Alvaro</v>
      </c>
      <c r="J698" t="str">
        <f>+IF(dHdcp[[#This Row],[Maximo]]=0,"",_xlfn.RANK.EQ(dHdcp[[#This Row],[Handicap]],dHdcp[Handicap],1))</f>
        <v/>
      </c>
      <c r="K698" t="str">
        <f>IFERROR(+_xlfn.RANK.EQ(dHdcp[[#This Row],[Ranking]],dHdcp[Ranking],1),"")</f>
        <v/>
      </c>
      <c r="M698" t="str">
        <f>+dHdcp[[#This Row],[Fecha]]&amp;":"&amp;dHdcp[[#This Row],[Nombre]]</f>
        <v>44241:Alvaro Nieto</v>
      </c>
      <c r="N698">
        <f>+COUNTIF(dHdcp[Columna1],dHdcp[[#This Row],[Columna1]])</f>
        <v>1</v>
      </c>
    </row>
    <row r="699" spans="1:14">
      <c r="A699" s="2">
        <v>44241</v>
      </c>
      <c r="B699" t="s">
        <v>33</v>
      </c>
      <c r="C699" s="51">
        <v>7.6</v>
      </c>
      <c r="D699">
        <f>+VLOOKUP(dHdcp[[#This Row],[Handicap]],'Categoría Hdcap'!$B$2:$E$7,4)</f>
        <v>2</v>
      </c>
      <c r="E699" t="s">
        <v>74</v>
      </c>
      <c r="F699" t="s">
        <v>1165</v>
      </c>
      <c r="G699">
        <f>+IF(dHdcp[[#This Row],[Fecha]]=MAX(dHdcp[Fecha]),1,0)</f>
        <v>0</v>
      </c>
      <c r="H699" t="str">
        <f>+dHdcp[[#This Row],[Maximo]]&amp;":"&amp;dHdcp[[#This Row],[Nombre]]</f>
        <v>0:Angel Hernandez</v>
      </c>
      <c r="I699" t="str">
        <f>+dHdcp[[#This Row],[Maximo]]&amp;":"&amp;_xlfn.XLOOKUP(dHdcp[[#This Row],[Nombre]],dJugador[Nombre],dJugador[Mote],"",0)</f>
        <v>0:Angel</v>
      </c>
      <c r="J699" t="str">
        <f>+IF(dHdcp[[#This Row],[Maximo]]=0,"",_xlfn.RANK.EQ(dHdcp[[#This Row],[Handicap]],dHdcp[Handicap],1))</f>
        <v/>
      </c>
      <c r="K699" t="str">
        <f>IFERROR(+_xlfn.RANK.EQ(dHdcp[[#This Row],[Ranking]],dHdcp[Ranking],1),"")</f>
        <v/>
      </c>
      <c r="M699" t="str">
        <f>+dHdcp[[#This Row],[Fecha]]&amp;":"&amp;dHdcp[[#This Row],[Nombre]]</f>
        <v>44241:Angel Hernandez</v>
      </c>
      <c r="N699">
        <f>+COUNTIF(dHdcp[Columna1],dHdcp[[#This Row],[Columna1]])</f>
        <v>1</v>
      </c>
    </row>
    <row r="700" spans="1:14">
      <c r="A700" s="2">
        <v>44241</v>
      </c>
      <c r="B700" t="s">
        <v>30</v>
      </c>
      <c r="C700" s="51">
        <v>11.2</v>
      </c>
      <c r="D700">
        <f>+VLOOKUP(dHdcp[[#This Row],[Handicap]],'Categoría Hdcap'!$B$2:$E$7,4)</f>
        <v>2</v>
      </c>
      <c r="E700" t="s">
        <v>74</v>
      </c>
      <c r="F700" t="s">
        <v>1166</v>
      </c>
      <c r="G700">
        <f>+IF(dHdcp[[#This Row],[Fecha]]=MAX(dHdcp[Fecha]),1,0)</f>
        <v>0</v>
      </c>
      <c r="H700" t="str">
        <f>+dHdcp[[#This Row],[Maximo]]&amp;":"&amp;dHdcp[[#This Row],[Nombre]]</f>
        <v>0:David Sequera</v>
      </c>
      <c r="I700" t="str">
        <f>+dHdcp[[#This Row],[Maximo]]&amp;":"&amp;_xlfn.XLOOKUP(dHdcp[[#This Row],[Nombre]],dJugador[Nombre],dJugador[Mote],"",0)</f>
        <v>0:David</v>
      </c>
      <c r="J700" t="str">
        <f>+IF(dHdcp[[#This Row],[Maximo]]=0,"",_xlfn.RANK.EQ(dHdcp[[#This Row],[Handicap]],dHdcp[Handicap],1))</f>
        <v/>
      </c>
      <c r="K700" t="str">
        <f>IFERROR(+_xlfn.RANK.EQ(dHdcp[[#This Row],[Ranking]],dHdcp[Ranking],1),"")</f>
        <v/>
      </c>
      <c r="M700" t="str">
        <f>+dHdcp[[#This Row],[Fecha]]&amp;":"&amp;dHdcp[[#This Row],[Nombre]]</f>
        <v>44241:David Sequera</v>
      </c>
      <c r="N700">
        <f>+COUNTIF(dHdcp[Columna1],dHdcp[[#This Row],[Columna1]])</f>
        <v>1</v>
      </c>
    </row>
    <row r="701" spans="1:14">
      <c r="A701" s="2">
        <v>44241</v>
      </c>
      <c r="B701" t="s">
        <v>12</v>
      </c>
      <c r="C701" s="51">
        <v>16.2</v>
      </c>
      <c r="D701">
        <f>+VLOOKUP(dHdcp[[#This Row],[Handicap]],'Categoría Hdcap'!$B$2:$E$7,4)</f>
        <v>3</v>
      </c>
      <c r="E701" t="s">
        <v>74</v>
      </c>
      <c r="F701" t="s">
        <v>1167</v>
      </c>
      <c r="G701">
        <f>+IF(dHdcp[[#This Row],[Fecha]]=MAX(dHdcp[Fecha]),1,0)</f>
        <v>0</v>
      </c>
      <c r="H701" t="str">
        <f>+dHdcp[[#This Row],[Maximo]]&amp;":"&amp;dHdcp[[#This Row],[Nombre]]</f>
        <v>0:Francisco Alvarez</v>
      </c>
      <c r="I701" t="str">
        <f>+dHdcp[[#This Row],[Maximo]]&amp;":"&amp;_xlfn.XLOOKUP(dHdcp[[#This Row],[Nombre]],dJugador[Nombre],dJugador[Mote],"",0)</f>
        <v>0:Paco</v>
      </c>
      <c r="J701" t="str">
        <f>+IF(dHdcp[[#This Row],[Maximo]]=0,"",_xlfn.RANK.EQ(dHdcp[[#This Row],[Handicap]],dHdcp[Handicap],1))</f>
        <v/>
      </c>
      <c r="K701" t="str">
        <f>IFERROR(+_xlfn.RANK.EQ(dHdcp[[#This Row],[Ranking]],dHdcp[Ranking],1),"")</f>
        <v/>
      </c>
      <c r="M701" t="str">
        <f>+dHdcp[[#This Row],[Fecha]]&amp;":"&amp;dHdcp[[#This Row],[Nombre]]</f>
        <v>44241:Francisco Alvarez</v>
      </c>
      <c r="N701">
        <f>+COUNTIF(dHdcp[Columna1],dHdcp[[#This Row],[Columna1]])</f>
        <v>1</v>
      </c>
    </row>
    <row r="702" spans="1:14">
      <c r="A702" s="2">
        <v>44241</v>
      </c>
      <c r="B702" t="s">
        <v>49</v>
      </c>
      <c r="C702" s="51">
        <v>14.3</v>
      </c>
      <c r="D702">
        <f>+VLOOKUP(dHdcp[[#This Row],[Handicap]],'Categoría Hdcap'!$B$2:$E$7,4)</f>
        <v>3</v>
      </c>
      <c r="E702" t="s">
        <v>74</v>
      </c>
      <c r="F702" t="s">
        <v>1168</v>
      </c>
      <c r="G702">
        <f>+IF(dHdcp[[#This Row],[Fecha]]=MAX(dHdcp[Fecha]),1,0)</f>
        <v>0</v>
      </c>
      <c r="H702" t="str">
        <f>+dHdcp[[#This Row],[Maximo]]&amp;":"&amp;dHdcp[[#This Row],[Nombre]]</f>
        <v>0:Francisco Hidalgo</v>
      </c>
      <c r="I702" t="str">
        <f>+dHdcp[[#This Row],[Maximo]]&amp;":"&amp;_xlfn.XLOOKUP(dHdcp[[#This Row],[Nombre]],dJugador[Nombre],dJugador[Mote],"",0)</f>
        <v>0:Fran</v>
      </c>
      <c r="J702" t="str">
        <f>+IF(dHdcp[[#This Row],[Maximo]]=0,"",_xlfn.RANK.EQ(dHdcp[[#This Row],[Handicap]],dHdcp[Handicap],1))</f>
        <v/>
      </c>
      <c r="K702" t="str">
        <f>IFERROR(+_xlfn.RANK.EQ(dHdcp[[#This Row],[Ranking]],dHdcp[Ranking],1),"")</f>
        <v/>
      </c>
      <c r="M702" t="str">
        <f>+dHdcp[[#This Row],[Fecha]]&amp;":"&amp;dHdcp[[#This Row],[Nombre]]</f>
        <v>44241:Francisco Hidalgo</v>
      </c>
      <c r="N702">
        <f>+COUNTIF(dHdcp[Columna1],dHdcp[[#This Row],[Columna1]])</f>
        <v>1</v>
      </c>
    </row>
    <row r="703" spans="1:14">
      <c r="A703" s="2">
        <v>44241</v>
      </c>
      <c r="B703" t="s">
        <v>35</v>
      </c>
      <c r="C703" s="51">
        <v>18.8</v>
      </c>
      <c r="D703">
        <f>+VLOOKUP(dHdcp[[#This Row],[Handicap]],'Categoría Hdcap'!$B$2:$E$7,4)</f>
        <v>4</v>
      </c>
      <c r="E703" t="s">
        <v>74</v>
      </c>
      <c r="F703" t="s">
        <v>1169</v>
      </c>
      <c r="G703">
        <f>+IF(dHdcp[[#This Row],[Fecha]]=MAX(dHdcp[Fecha]),1,0)</f>
        <v>0</v>
      </c>
      <c r="H703" t="str">
        <f>+dHdcp[[#This Row],[Maximo]]&amp;":"&amp;dHdcp[[#This Row],[Nombre]]</f>
        <v>0:GLEZ JUAN JOSÉ</v>
      </c>
      <c r="I703" t="str">
        <f>+dHdcp[[#This Row],[Maximo]]&amp;":"&amp;_xlfn.XLOOKUP(dHdcp[[#This Row],[Nombre]],dJugador[Nombre],dJugador[Mote],"",0)</f>
        <v>0:Juanjo</v>
      </c>
      <c r="J703" t="str">
        <f>+IF(dHdcp[[#This Row],[Maximo]]=0,"",_xlfn.RANK.EQ(dHdcp[[#This Row],[Handicap]],dHdcp[Handicap],1))</f>
        <v/>
      </c>
      <c r="K703" t="str">
        <f>IFERROR(+_xlfn.RANK.EQ(dHdcp[[#This Row],[Ranking]],dHdcp[Ranking],1),"")</f>
        <v/>
      </c>
      <c r="M703" t="str">
        <f>+dHdcp[[#This Row],[Fecha]]&amp;":"&amp;dHdcp[[#This Row],[Nombre]]</f>
        <v>44241:GLEZ JUAN JOSÉ</v>
      </c>
      <c r="N703">
        <f>+COUNTIF(dHdcp[Columna1],dHdcp[[#This Row],[Columna1]])</f>
        <v>1</v>
      </c>
    </row>
    <row r="704" spans="1:14">
      <c r="A704" s="2">
        <v>44241</v>
      </c>
      <c r="B704" t="s">
        <v>6</v>
      </c>
      <c r="C704" s="51">
        <v>5.9</v>
      </c>
      <c r="D704">
        <f>+VLOOKUP(dHdcp[[#This Row],[Handicap]],'Categoría Hdcap'!$B$2:$E$7,4)</f>
        <v>2</v>
      </c>
      <c r="E704" t="s">
        <v>74</v>
      </c>
      <c r="F704" t="s">
        <v>1170</v>
      </c>
      <c r="G704">
        <f>+IF(dHdcp[[#This Row],[Fecha]]=MAX(dHdcp[Fecha]),1,0)</f>
        <v>0</v>
      </c>
      <c r="H704" t="str">
        <f>+dHdcp[[#This Row],[Maximo]]&amp;":"&amp;dHdcp[[#This Row],[Nombre]]</f>
        <v>0:Ignacio Cadarso</v>
      </c>
      <c r="I704" t="str">
        <f>+dHdcp[[#This Row],[Maximo]]&amp;":"&amp;_xlfn.XLOOKUP(dHdcp[[#This Row],[Nombre]],dJugador[Nombre],dJugador[Mote],"",0)</f>
        <v>0:Ignacio</v>
      </c>
      <c r="J704" t="str">
        <f>+IF(dHdcp[[#This Row],[Maximo]]=0,"",_xlfn.RANK.EQ(dHdcp[[#This Row],[Handicap]],dHdcp[Handicap],1))</f>
        <v/>
      </c>
      <c r="K704" t="str">
        <f>IFERROR(+_xlfn.RANK.EQ(dHdcp[[#This Row],[Ranking]],dHdcp[Ranking],1),"")</f>
        <v/>
      </c>
      <c r="M704" t="str">
        <f>+dHdcp[[#This Row],[Fecha]]&amp;":"&amp;dHdcp[[#This Row],[Nombre]]</f>
        <v>44241:Ignacio Cadarso</v>
      </c>
      <c r="N704">
        <f>+COUNTIF(dHdcp[Columna1],dHdcp[[#This Row],[Columna1]])</f>
        <v>1</v>
      </c>
    </row>
    <row r="705" spans="1:14">
      <c r="A705" s="2">
        <v>44241</v>
      </c>
      <c r="B705" t="s">
        <v>23</v>
      </c>
      <c r="C705" s="51">
        <v>19.5</v>
      </c>
      <c r="D705">
        <f>+VLOOKUP(dHdcp[[#This Row],[Handicap]],'Categoría Hdcap'!$B$2:$E$7,4)</f>
        <v>4</v>
      </c>
      <c r="E705" t="s">
        <v>74</v>
      </c>
      <c r="F705" t="s">
        <v>1171</v>
      </c>
      <c r="G705">
        <f>+IF(dHdcp[[#This Row],[Fecha]]=MAX(dHdcp[Fecha]),1,0)</f>
        <v>0</v>
      </c>
      <c r="H705" t="str">
        <f>+dHdcp[[#This Row],[Maximo]]&amp;":"&amp;dHdcp[[#This Row],[Nombre]]</f>
        <v>0:J. Enrique Gonzalez</v>
      </c>
      <c r="I705" t="str">
        <f>+dHdcp[[#This Row],[Maximo]]&amp;":"&amp;_xlfn.XLOOKUP(dHdcp[[#This Row],[Nombre]],dJugador[Nombre],dJugador[Mote],"",0)</f>
        <v>0:Kike</v>
      </c>
      <c r="J705" t="str">
        <f>+IF(dHdcp[[#This Row],[Maximo]]=0,"",_xlfn.RANK.EQ(dHdcp[[#This Row],[Handicap]],dHdcp[Handicap],1))</f>
        <v/>
      </c>
      <c r="K705" t="str">
        <f>IFERROR(+_xlfn.RANK.EQ(dHdcp[[#This Row],[Ranking]],dHdcp[Ranking],1),"")</f>
        <v/>
      </c>
      <c r="M705" t="str">
        <f>+dHdcp[[#This Row],[Fecha]]&amp;":"&amp;dHdcp[[#This Row],[Nombre]]</f>
        <v>44241:J. Enrique Gonzalez</v>
      </c>
      <c r="N705">
        <f>+COUNTIF(dHdcp[Columna1],dHdcp[[#This Row],[Columna1]])</f>
        <v>1</v>
      </c>
    </row>
    <row r="706" spans="1:14">
      <c r="A706" s="2">
        <v>44241</v>
      </c>
      <c r="B706" t="s">
        <v>46</v>
      </c>
      <c r="C706" s="51">
        <v>15.1</v>
      </c>
      <c r="D706">
        <f>+VLOOKUP(dHdcp[[#This Row],[Handicap]],'Categoría Hdcap'!$B$2:$E$7,4)</f>
        <v>3</v>
      </c>
      <c r="E706" t="s">
        <v>74</v>
      </c>
      <c r="F706" t="s">
        <v>1172</v>
      </c>
      <c r="G706">
        <f>+IF(dHdcp[[#This Row],[Fecha]]=MAX(dHdcp[Fecha]),1,0)</f>
        <v>0</v>
      </c>
      <c r="H706" t="str">
        <f>+dHdcp[[#This Row],[Maximo]]&amp;":"&amp;dHdcp[[#This Row],[Nombre]]</f>
        <v>0:Javier Cervera</v>
      </c>
      <c r="I706" t="str">
        <f>+dHdcp[[#This Row],[Maximo]]&amp;":"&amp;_xlfn.XLOOKUP(dHdcp[[#This Row],[Nombre]],dJugador[Nombre],dJugador[Mote],"",0)</f>
        <v>0:Virus</v>
      </c>
      <c r="J706" t="str">
        <f>+IF(dHdcp[[#This Row],[Maximo]]=0,"",_xlfn.RANK.EQ(dHdcp[[#This Row],[Handicap]],dHdcp[Handicap],1))</f>
        <v/>
      </c>
      <c r="K706" t="str">
        <f>IFERROR(+_xlfn.RANK.EQ(dHdcp[[#This Row],[Ranking]],dHdcp[Ranking],1),"")</f>
        <v/>
      </c>
      <c r="M706" t="str">
        <f>+dHdcp[[#This Row],[Fecha]]&amp;":"&amp;dHdcp[[#This Row],[Nombre]]</f>
        <v>44241:Javier Cervera</v>
      </c>
      <c r="N706">
        <f>+COUNTIF(dHdcp[Columna1],dHdcp[[#This Row],[Columna1]])</f>
        <v>1</v>
      </c>
    </row>
    <row r="707" spans="1:14">
      <c r="A707" s="2">
        <v>44241</v>
      </c>
      <c r="B707" t="s">
        <v>20</v>
      </c>
      <c r="C707" s="51">
        <v>15.3</v>
      </c>
      <c r="D707">
        <f>+VLOOKUP(dHdcp[[#This Row],[Handicap]],'Categoría Hdcap'!$B$2:$E$7,4)</f>
        <v>3</v>
      </c>
      <c r="E707" t="s">
        <v>74</v>
      </c>
      <c r="F707" t="s">
        <v>1173</v>
      </c>
      <c r="G707">
        <f>+IF(dHdcp[[#This Row],[Fecha]]=MAX(dHdcp[Fecha]),1,0)</f>
        <v>0</v>
      </c>
      <c r="H707" t="str">
        <f>+dHdcp[[#This Row],[Maximo]]&amp;":"&amp;dHdcp[[#This Row],[Nombre]]</f>
        <v>0:Javier Gonzalez Salvador</v>
      </c>
      <c r="I707" t="str">
        <f>+dHdcp[[#This Row],[Maximo]]&amp;":"&amp;_xlfn.XLOOKUP(dHdcp[[#This Row],[Nombre]],dJugador[Nombre],dJugador[Mote],"",0)</f>
        <v>0:Javi</v>
      </c>
      <c r="J707" t="str">
        <f>+IF(dHdcp[[#This Row],[Maximo]]=0,"",_xlfn.RANK.EQ(dHdcp[[#This Row],[Handicap]],dHdcp[Handicap],1))</f>
        <v/>
      </c>
      <c r="K707" t="str">
        <f>IFERROR(+_xlfn.RANK.EQ(dHdcp[[#This Row],[Ranking]],dHdcp[Ranking],1),"")</f>
        <v/>
      </c>
      <c r="M707" t="str">
        <f>+dHdcp[[#This Row],[Fecha]]&amp;":"&amp;dHdcp[[#This Row],[Nombre]]</f>
        <v>44241:Javier Gonzalez Salvador</v>
      </c>
      <c r="N707">
        <f>+COUNTIF(dHdcp[Columna1],dHdcp[[#This Row],[Columna1]])</f>
        <v>1</v>
      </c>
    </row>
    <row r="708" spans="1:14">
      <c r="A708" s="2">
        <v>44241</v>
      </c>
      <c r="B708" t="s">
        <v>41</v>
      </c>
      <c r="C708" s="51">
        <v>22.6</v>
      </c>
      <c r="D708">
        <f>+VLOOKUP(dHdcp[[#This Row],[Handicap]],'Categoría Hdcap'!$B$2:$E$7,4)</f>
        <v>4</v>
      </c>
      <c r="E708" t="s">
        <v>74</v>
      </c>
      <c r="F708" t="s">
        <v>1174</v>
      </c>
      <c r="G708">
        <f>+IF(dHdcp[[#This Row],[Fecha]]=MAX(dHdcp[Fecha]),1,0)</f>
        <v>0</v>
      </c>
      <c r="H708" t="str">
        <f>+dHdcp[[#This Row],[Maximo]]&amp;":"&amp;dHdcp[[#This Row],[Nombre]]</f>
        <v>0:Jesus Touceda</v>
      </c>
      <c r="I708" t="str">
        <f>+dHdcp[[#This Row],[Maximo]]&amp;":"&amp;_xlfn.XLOOKUP(dHdcp[[#This Row],[Nombre]],dJugador[Nombre],dJugador[Mote],"",0)</f>
        <v>0:Jesús</v>
      </c>
      <c r="J708" t="str">
        <f>+IF(dHdcp[[#This Row],[Maximo]]=0,"",_xlfn.RANK.EQ(dHdcp[[#This Row],[Handicap]],dHdcp[Handicap],1))</f>
        <v/>
      </c>
      <c r="K708" t="str">
        <f>IFERROR(+_xlfn.RANK.EQ(dHdcp[[#This Row],[Ranking]],dHdcp[Ranking],1),"")</f>
        <v/>
      </c>
      <c r="M708" t="str">
        <f>+dHdcp[[#This Row],[Fecha]]&amp;":"&amp;dHdcp[[#This Row],[Nombre]]</f>
        <v>44241:Jesus Touceda</v>
      </c>
      <c r="N708">
        <f>+COUNTIF(dHdcp[Columna1],dHdcp[[#This Row],[Columna1]])</f>
        <v>1</v>
      </c>
    </row>
    <row r="709" spans="1:14">
      <c r="A709" s="2">
        <v>44241</v>
      </c>
      <c r="B709" t="s">
        <v>18</v>
      </c>
      <c r="C709" s="51">
        <v>6.5</v>
      </c>
      <c r="D709">
        <f>+VLOOKUP(dHdcp[[#This Row],[Handicap]],'Categoría Hdcap'!$B$2:$E$7,4)</f>
        <v>2</v>
      </c>
      <c r="E709" t="s">
        <v>74</v>
      </c>
      <c r="F709" t="s">
        <v>1175</v>
      </c>
      <c r="G709">
        <f>+IF(dHdcp[[#This Row],[Fecha]]=MAX(dHdcp[Fecha]),1,0)</f>
        <v>0</v>
      </c>
      <c r="H709" t="str">
        <f>+dHdcp[[#This Row],[Maximo]]&amp;":"&amp;dHdcp[[#This Row],[Nombre]]</f>
        <v>0:José Pablo Guil</v>
      </c>
      <c r="I709" t="str">
        <f>+dHdcp[[#This Row],[Maximo]]&amp;":"&amp;_xlfn.XLOOKUP(dHdcp[[#This Row],[Nombre]],dJugador[Nombre],dJugador[Mote],"",0)</f>
        <v>0:JP</v>
      </c>
      <c r="J709" t="str">
        <f>+IF(dHdcp[[#This Row],[Maximo]]=0,"",_xlfn.RANK.EQ(dHdcp[[#This Row],[Handicap]],dHdcp[Handicap],1))</f>
        <v/>
      </c>
      <c r="K709" t="str">
        <f>IFERROR(+_xlfn.RANK.EQ(dHdcp[[#This Row],[Ranking]],dHdcp[Ranking],1),"")</f>
        <v/>
      </c>
      <c r="M709" t="str">
        <f>+dHdcp[[#This Row],[Fecha]]&amp;":"&amp;dHdcp[[#This Row],[Nombre]]</f>
        <v>44241:José Pablo Guil</v>
      </c>
      <c r="N709">
        <f>+COUNTIF(dHdcp[Columna1],dHdcp[[#This Row],[Columna1]])</f>
        <v>1</v>
      </c>
    </row>
    <row r="710" spans="1:14">
      <c r="A710" s="2">
        <v>44241</v>
      </c>
      <c r="B710" t="s">
        <v>43</v>
      </c>
      <c r="C710" s="51">
        <v>18.3</v>
      </c>
      <c r="D710">
        <f>+VLOOKUP(dHdcp[[#This Row],[Handicap]],'Categoría Hdcap'!$B$2:$E$7,4)</f>
        <v>3</v>
      </c>
      <c r="E710" t="s">
        <v>74</v>
      </c>
      <c r="F710" t="s">
        <v>1176</v>
      </c>
      <c r="G710">
        <f>+IF(dHdcp[[#This Row],[Fecha]]=MAX(dHdcp[Fecha]),1,0)</f>
        <v>0</v>
      </c>
      <c r="H710" t="str">
        <f>+dHdcp[[#This Row],[Maximo]]&amp;":"&amp;dHdcp[[#This Row],[Nombre]]</f>
        <v>0:Luis Escudero</v>
      </c>
      <c r="I710" t="str">
        <f>+dHdcp[[#This Row],[Maximo]]&amp;":"&amp;_xlfn.XLOOKUP(dHdcp[[#This Row],[Nombre]],dJugador[Nombre],dJugador[Mote],"",0)</f>
        <v>0:Lucho</v>
      </c>
      <c r="J710" t="str">
        <f>+IF(dHdcp[[#This Row],[Maximo]]=0,"",_xlfn.RANK.EQ(dHdcp[[#This Row],[Handicap]],dHdcp[Handicap],1))</f>
        <v/>
      </c>
      <c r="K710" t="str">
        <f>IFERROR(+_xlfn.RANK.EQ(dHdcp[[#This Row],[Ranking]],dHdcp[Ranking],1),"")</f>
        <v/>
      </c>
      <c r="M710" t="str">
        <f>+dHdcp[[#This Row],[Fecha]]&amp;":"&amp;dHdcp[[#This Row],[Nombre]]</f>
        <v>44241:Luis Escudero</v>
      </c>
      <c r="N710">
        <f>+COUNTIF(dHdcp[Columna1],dHdcp[[#This Row],[Columna1]])</f>
        <v>1</v>
      </c>
    </row>
    <row r="711" spans="1:14">
      <c r="A711" s="9">
        <v>44241</v>
      </c>
      <c r="B711" s="10" t="s">
        <v>135</v>
      </c>
      <c r="C711" s="53">
        <v>18.7</v>
      </c>
      <c r="D711" s="10">
        <f>+VLOOKUP(dHdcp[[#This Row],[Handicap]],'Categoría Hdcap'!$B$2:$E$7,4)</f>
        <v>4</v>
      </c>
      <c r="E711" s="10" t="s">
        <v>74</v>
      </c>
      <c r="F711" s="10" t="s">
        <v>1177</v>
      </c>
      <c r="G711">
        <f>+IF(dHdcp[[#This Row],[Fecha]]=MAX(dHdcp[Fecha]),1,0)</f>
        <v>0</v>
      </c>
      <c r="H711" t="str">
        <f>+dHdcp[[#This Row],[Maximo]]&amp;":"&amp;dHdcp[[#This Row],[Nombre]]</f>
        <v>0:Miche Lopez</v>
      </c>
      <c r="I711" t="str">
        <f>+dHdcp[[#This Row],[Maximo]]&amp;":"&amp;_xlfn.XLOOKUP(dHdcp[[#This Row],[Nombre]],dJugador[Nombre],dJugador[Mote],"",0)</f>
        <v>0:Miche</v>
      </c>
      <c r="J711" t="str">
        <f>+IF(dHdcp[[#This Row],[Maximo]]=0,"",_xlfn.RANK.EQ(dHdcp[[#This Row],[Handicap]],dHdcp[Handicap],1))</f>
        <v/>
      </c>
      <c r="K711" t="str">
        <f>IFERROR(+_xlfn.RANK.EQ(dHdcp[[#This Row],[Ranking]],dHdcp[Ranking],1),"")</f>
        <v/>
      </c>
      <c r="M711" t="str">
        <f>+dHdcp[[#This Row],[Fecha]]&amp;":"&amp;dHdcp[[#This Row],[Nombre]]</f>
        <v>44241:Miche Lopez</v>
      </c>
      <c r="N711">
        <f>+COUNTIF(dHdcp[Columna1],dHdcp[[#This Row],[Columna1]])</f>
        <v>1</v>
      </c>
    </row>
    <row r="712" spans="1:14">
      <c r="A712" s="2">
        <v>44241</v>
      </c>
      <c r="B712" t="s">
        <v>51</v>
      </c>
      <c r="C712" s="51">
        <v>0.5</v>
      </c>
      <c r="D712">
        <f>+VLOOKUP(dHdcp[[#This Row],[Handicap]],'Categoría Hdcap'!$B$2:$E$7,4)</f>
        <v>1</v>
      </c>
      <c r="E712" t="s">
        <v>74</v>
      </c>
      <c r="F712" t="s">
        <v>1178</v>
      </c>
      <c r="G712">
        <f>+IF(dHdcp[[#This Row],[Fecha]]=MAX(dHdcp[Fecha]),1,0)</f>
        <v>0</v>
      </c>
      <c r="H712" t="str">
        <f>+dHdcp[[#This Row],[Maximo]]&amp;":"&amp;dHdcp[[#This Row],[Nombre]]</f>
        <v>0:Miguel Diaz Del Moral</v>
      </c>
      <c r="I712" t="str">
        <f>+dHdcp[[#This Row],[Maximo]]&amp;":"&amp;_xlfn.XLOOKUP(dHdcp[[#This Row],[Nombre]],dJugador[Nombre],dJugador[Mote],"",0)</f>
        <v>0:Cañita</v>
      </c>
      <c r="J712" t="str">
        <f>+IF(dHdcp[[#This Row],[Maximo]]=0,"",_xlfn.RANK.EQ(dHdcp[[#This Row],[Handicap]],dHdcp[Handicap],1))</f>
        <v/>
      </c>
      <c r="K712" t="str">
        <f>IFERROR(+_xlfn.RANK.EQ(dHdcp[[#This Row],[Ranking]],dHdcp[Ranking],1),"")</f>
        <v/>
      </c>
      <c r="M712" t="str">
        <f>+dHdcp[[#This Row],[Fecha]]&amp;":"&amp;dHdcp[[#This Row],[Nombre]]</f>
        <v>44241:Miguel Diaz Del Moral</v>
      </c>
      <c r="N712">
        <f>+COUNTIF(dHdcp[Columna1],dHdcp[[#This Row],[Columna1]])</f>
        <v>1</v>
      </c>
    </row>
    <row r="713" spans="1:14">
      <c r="A713" s="2">
        <v>44241</v>
      </c>
      <c r="B713" t="s">
        <v>3</v>
      </c>
      <c r="C713" s="51">
        <v>5.7</v>
      </c>
      <c r="D713">
        <f>+VLOOKUP(dHdcp[[#This Row],[Handicap]],'Categoría Hdcap'!$B$2:$E$7,4)</f>
        <v>2</v>
      </c>
      <c r="E713" t="s">
        <v>74</v>
      </c>
      <c r="F713" t="s">
        <v>1179</v>
      </c>
      <c r="G713">
        <f>+IF(dHdcp[[#This Row],[Fecha]]=MAX(dHdcp[Fecha]),1,0)</f>
        <v>0</v>
      </c>
      <c r="H713" t="str">
        <f>+dHdcp[[#This Row],[Maximo]]&amp;":"&amp;dHdcp[[#This Row],[Nombre]]</f>
        <v>0:Nacho Gonzalez</v>
      </c>
      <c r="I713" t="str">
        <f>+dHdcp[[#This Row],[Maximo]]&amp;":"&amp;_xlfn.XLOOKUP(dHdcp[[#This Row],[Nombre]],dJugador[Nombre],dJugador[Mote],"",0)</f>
        <v>0:Nacho</v>
      </c>
      <c r="J713" t="str">
        <f>+IF(dHdcp[[#This Row],[Maximo]]=0,"",_xlfn.RANK.EQ(dHdcp[[#This Row],[Handicap]],dHdcp[Handicap],1))</f>
        <v/>
      </c>
      <c r="K713" t="str">
        <f>IFERROR(+_xlfn.RANK.EQ(dHdcp[[#This Row],[Ranking]],dHdcp[Ranking],1),"")</f>
        <v/>
      </c>
      <c r="M713" t="str">
        <f>+dHdcp[[#This Row],[Fecha]]&amp;":"&amp;dHdcp[[#This Row],[Nombre]]</f>
        <v>44241:Nacho Gonzalez</v>
      </c>
      <c r="N713">
        <f>+COUNTIF(dHdcp[Columna1],dHdcp[[#This Row],[Columna1]])</f>
        <v>1</v>
      </c>
    </row>
    <row r="714" spans="1:14">
      <c r="A714" s="2">
        <v>44241</v>
      </c>
      <c r="B714" t="s">
        <v>28</v>
      </c>
      <c r="C714" s="51">
        <v>13.7</v>
      </c>
      <c r="D714">
        <f>+VLOOKUP(dHdcp[[#This Row],[Handicap]],'Categoría Hdcap'!$B$2:$E$7,4)</f>
        <v>3</v>
      </c>
      <c r="E714" t="s">
        <v>74</v>
      </c>
      <c r="F714" t="s">
        <v>1180</v>
      </c>
      <c r="G714">
        <f>+IF(dHdcp[[#This Row],[Fecha]]=MAX(dHdcp[Fecha]),1,0)</f>
        <v>0</v>
      </c>
      <c r="H714" t="str">
        <f>+dHdcp[[#This Row],[Maximo]]&amp;":"&amp;dHdcp[[#This Row],[Nombre]]</f>
        <v>0:Pablo Munitiz</v>
      </c>
      <c r="I714" t="str">
        <f>+dHdcp[[#This Row],[Maximo]]&amp;":"&amp;_xlfn.XLOOKUP(dHdcp[[#This Row],[Nombre]],dJugador[Nombre],dJugador[Mote],"",0)</f>
        <v>0:Muni</v>
      </c>
      <c r="J714" t="str">
        <f>+IF(dHdcp[[#This Row],[Maximo]]=0,"",_xlfn.RANK.EQ(dHdcp[[#This Row],[Handicap]],dHdcp[Handicap],1))</f>
        <v/>
      </c>
      <c r="K714" t="str">
        <f>IFERROR(+_xlfn.RANK.EQ(dHdcp[[#This Row],[Ranking]],dHdcp[Ranking],1),"")</f>
        <v/>
      </c>
      <c r="M714" t="str">
        <f>+dHdcp[[#This Row],[Fecha]]&amp;":"&amp;dHdcp[[#This Row],[Nombre]]</f>
        <v>44241:Pablo Munitiz</v>
      </c>
      <c r="N714">
        <f>+COUNTIF(dHdcp[Columna1],dHdcp[[#This Row],[Columna1]])</f>
        <v>1</v>
      </c>
    </row>
    <row r="715" spans="1:14">
      <c r="A715" s="2">
        <v>44255</v>
      </c>
      <c r="B715" t="s">
        <v>9</v>
      </c>
      <c r="C715" s="51">
        <v>9.3000000000000007</v>
      </c>
      <c r="D715">
        <f>+VLOOKUP(dHdcp[[#This Row],[Handicap]],'Categoría Hdcap'!$B$2:$E$7,4)</f>
        <v>2</v>
      </c>
      <c r="E715" t="s">
        <v>74</v>
      </c>
      <c r="F715" t="s">
        <v>1181</v>
      </c>
      <c r="G715">
        <f>+IF(dHdcp[[#This Row],[Fecha]]=MAX(dHdcp[Fecha]),1,0)</f>
        <v>0</v>
      </c>
      <c r="H715" t="str">
        <f>+dHdcp[[#This Row],[Maximo]]&amp;":"&amp;dHdcp[[#This Row],[Nombre]]</f>
        <v>0:Alfonso Hidalgo</v>
      </c>
      <c r="I715" t="str">
        <f>+dHdcp[[#This Row],[Maximo]]&amp;":"&amp;_xlfn.XLOOKUP(dHdcp[[#This Row],[Nombre]],dJugador[Nombre],dJugador[Mote],"",0)</f>
        <v>0:Alfonso</v>
      </c>
      <c r="J715" t="str">
        <f>+IF(dHdcp[[#This Row],[Maximo]]=0,"",_xlfn.RANK.EQ(dHdcp[[#This Row],[Handicap]],dHdcp[Handicap],1))</f>
        <v/>
      </c>
      <c r="K715" t="str">
        <f>IFERROR(+_xlfn.RANK.EQ(dHdcp[[#This Row],[Ranking]],dHdcp[Ranking],1),"")</f>
        <v/>
      </c>
      <c r="M715" t="str">
        <f>+dHdcp[[#This Row],[Fecha]]&amp;":"&amp;dHdcp[[#This Row],[Nombre]]</f>
        <v>44255:Alfonso Hidalgo</v>
      </c>
      <c r="N715">
        <f>+COUNTIF(dHdcp[Columna1],dHdcp[[#This Row],[Columna1]])</f>
        <v>1</v>
      </c>
    </row>
    <row r="716" spans="1:14">
      <c r="A716" s="2">
        <v>44255</v>
      </c>
      <c r="B716" t="s">
        <v>15</v>
      </c>
      <c r="C716" s="51">
        <v>6.2</v>
      </c>
      <c r="D716">
        <f>+VLOOKUP(dHdcp[[#This Row],[Handicap]],'Categoría Hdcap'!$B$2:$E$7,4)</f>
        <v>2</v>
      </c>
      <c r="E716" t="s">
        <v>74</v>
      </c>
      <c r="F716" t="s">
        <v>1182</v>
      </c>
      <c r="G716">
        <f>+IF(dHdcp[[#This Row],[Fecha]]=MAX(dHdcp[Fecha]),1,0)</f>
        <v>0</v>
      </c>
      <c r="H716" t="str">
        <f>+dHdcp[[#This Row],[Maximo]]&amp;":"&amp;dHdcp[[#This Row],[Nombre]]</f>
        <v>0:Alvaro Aguirre</v>
      </c>
      <c r="I716" t="str">
        <f>+dHdcp[[#This Row],[Maximo]]&amp;":"&amp;_xlfn.XLOOKUP(dHdcp[[#This Row],[Nombre]],dJugador[Nombre],dJugador[Mote],"",0)</f>
        <v>0:Gifu</v>
      </c>
      <c r="J716" t="str">
        <f>+IF(dHdcp[[#This Row],[Maximo]]=0,"",_xlfn.RANK.EQ(dHdcp[[#This Row],[Handicap]],dHdcp[Handicap],1))</f>
        <v/>
      </c>
      <c r="K716" t="str">
        <f>IFERROR(+_xlfn.RANK.EQ(dHdcp[[#This Row],[Ranking]],dHdcp[Ranking],1),"")</f>
        <v/>
      </c>
      <c r="M716" t="str">
        <f>+dHdcp[[#This Row],[Fecha]]&amp;":"&amp;dHdcp[[#This Row],[Nombre]]</f>
        <v>44255:Alvaro Aguirre</v>
      </c>
      <c r="N716">
        <f>+COUNTIF(dHdcp[Columna1],dHdcp[[#This Row],[Columna1]])</f>
        <v>1</v>
      </c>
    </row>
    <row r="717" spans="1:14">
      <c r="A717" s="2">
        <v>44255</v>
      </c>
      <c r="B717" t="s">
        <v>25</v>
      </c>
      <c r="C717" s="51">
        <v>14</v>
      </c>
      <c r="D717">
        <f>+VLOOKUP(dHdcp[[#This Row],[Handicap]],'Categoría Hdcap'!$B$2:$E$7,4)</f>
        <v>3</v>
      </c>
      <c r="E717" t="s">
        <v>74</v>
      </c>
      <c r="F717" t="s">
        <v>1183</v>
      </c>
      <c r="G717">
        <f>+IF(dHdcp[[#This Row],[Fecha]]=MAX(dHdcp[Fecha]),1,0)</f>
        <v>0</v>
      </c>
      <c r="H717" t="str">
        <f>+dHdcp[[#This Row],[Maximo]]&amp;":"&amp;dHdcp[[#This Row],[Nombre]]</f>
        <v>0:Alvaro Nieto</v>
      </c>
      <c r="I717" t="str">
        <f>+dHdcp[[#This Row],[Maximo]]&amp;":"&amp;_xlfn.XLOOKUP(dHdcp[[#This Row],[Nombre]],dJugador[Nombre],dJugador[Mote],"",0)</f>
        <v>0:Alvaro</v>
      </c>
      <c r="J717" t="str">
        <f>+IF(dHdcp[[#This Row],[Maximo]]=0,"",_xlfn.RANK.EQ(dHdcp[[#This Row],[Handicap]],dHdcp[Handicap],1))</f>
        <v/>
      </c>
      <c r="K717" t="str">
        <f>IFERROR(+_xlfn.RANK.EQ(dHdcp[[#This Row],[Ranking]],dHdcp[Ranking],1),"")</f>
        <v/>
      </c>
      <c r="M717" t="str">
        <f>+dHdcp[[#This Row],[Fecha]]&amp;":"&amp;dHdcp[[#This Row],[Nombre]]</f>
        <v>44255:Alvaro Nieto</v>
      </c>
      <c r="N717">
        <f>+COUNTIF(dHdcp[Columna1],dHdcp[[#This Row],[Columna1]])</f>
        <v>1</v>
      </c>
    </row>
    <row r="718" spans="1:14">
      <c r="A718" s="2">
        <v>44255</v>
      </c>
      <c r="B718" t="s">
        <v>33</v>
      </c>
      <c r="C718" s="51">
        <v>7.6</v>
      </c>
      <c r="D718">
        <f>+VLOOKUP(dHdcp[[#This Row],[Handicap]],'Categoría Hdcap'!$B$2:$E$7,4)</f>
        <v>2</v>
      </c>
      <c r="E718" t="s">
        <v>74</v>
      </c>
      <c r="F718" t="s">
        <v>1184</v>
      </c>
      <c r="G718">
        <f>+IF(dHdcp[[#This Row],[Fecha]]=MAX(dHdcp[Fecha]),1,0)</f>
        <v>0</v>
      </c>
      <c r="H718" t="str">
        <f>+dHdcp[[#This Row],[Maximo]]&amp;":"&amp;dHdcp[[#This Row],[Nombre]]</f>
        <v>0:Angel Hernandez</v>
      </c>
      <c r="I718" t="str">
        <f>+dHdcp[[#This Row],[Maximo]]&amp;":"&amp;_xlfn.XLOOKUP(dHdcp[[#This Row],[Nombre]],dJugador[Nombre],dJugador[Mote],"",0)</f>
        <v>0:Angel</v>
      </c>
      <c r="J718" t="str">
        <f>+IF(dHdcp[[#This Row],[Maximo]]=0,"",_xlfn.RANK.EQ(dHdcp[[#This Row],[Handicap]],dHdcp[Handicap],1))</f>
        <v/>
      </c>
      <c r="K718" t="str">
        <f>IFERROR(+_xlfn.RANK.EQ(dHdcp[[#This Row],[Ranking]],dHdcp[Ranking],1),"")</f>
        <v/>
      </c>
      <c r="M718" t="str">
        <f>+dHdcp[[#This Row],[Fecha]]&amp;":"&amp;dHdcp[[#This Row],[Nombre]]</f>
        <v>44255:Angel Hernandez</v>
      </c>
      <c r="N718">
        <f>+COUNTIF(dHdcp[Columna1],dHdcp[[#This Row],[Columna1]])</f>
        <v>1</v>
      </c>
    </row>
    <row r="719" spans="1:14">
      <c r="A719" s="2">
        <v>44255</v>
      </c>
      <c r="B719" t="s">
        <v>30</v>
      </c>
      <c r="C719" s="51">
        <v>11.2</v>
      </c>
      <c r="D719">
        <f>+VLOOKUP(dHdcp[[#This Row],[Handicap]],'Categoría Hdcap'!$B$2:$E$7,4)</f>
        <v>2</v>
      </c>
      <c r="E719" t="s">
        <v>74</v>
      </c>
      <c r="F719" t="s">
        <v>1185</v>
      </c>
      <c r="G719">
        <f>+IF(dHdcp[[#This Row],[Fecha]]=MAX(dHdcp[Fecha]),1,0)</f>
        <v>0</v>
      </c>
      <c r="H719" t="str">
        <f>+dHdcp[[#This Row],[Maximo]]&amp;":"&amp;dHdcp[[#This Row],[Nombre]]</f>
        <v>0:David Sequera</v>
      </c>
      <c r="I719" t="str">
        <f>+dHdcp[[#This Row],[Maximo]]&amp;":"&amp;_xlfn.XLOOKUP(dHdcp[[#This Row],[Nombre]],dJugador[Nombre],dJugador[Mote],"",0)</f>
        <v>0:David</v>
      </c>
      <c r="J719" t="str">
        <f>+IF(dHdcp[[#This Row],[Maximo]]=0,"",_xlfn.RANK.EQ(dHdcp[[#This Row],[Handicap]],dHdcp[Handicap],1))</f>
        <v/>
      </c>
      <c r="K719" t="str">
        <f>IFERROR(+_xlfn.RANK.EQ(dHdcp[[#This Row],[Ranking]],dHdcp[Ranking],1),"")</f>
        <v/>
      </c>
      <c r="M719" t="str">
        <f>+dHdcp[[#This Row],[Fecha]]&amp;":"&amp;dHdcp[[#This Row],[Nombre]]</f>
        <v>44255:David Sequera</v>
      </c>
      <c r="N719">
        <f>+COUNTIF(dHdcp[Columna1],dHdcp[[#This Row],[Columna1]])</f>
        <v>1</v>
      </c>
    </row>
    <row r="720" spans="1:14">
      <c r="A720" s="2">
        <v>44255</v>
      </c>
      <c r="B720" t="s">
        <v>12</v>
      </c>
      <c r="C720" s="51">
        <v>16.2</v>
      </c>
      <c r="D720">
        <f>+VLOOKUP(dHdcp[[#This Row],[Handicap]],'Categoría Hdcap'!$B$2:$E$7,4)</f>
        <v>3</v>
      </c>
      <c r="E720" t="s">
        <v>74</v>
      </c>
      <c r="F720" t="s">
        <v>1186</v>
      </c>
      <c r="G720">
        <f>+IF(dHdcp[[#This Row],[Fecha]]=MAX(dHdcp[Fecha]),1,0)</f>
        <v>0</v>
      </c>
      <c r="H720" t="str">
        <f>+dHdcp[[#This Row],[Maximo]]&amp;":"&amp;dHdcp[[#This Row],[Nombre]]</f>
        <v>0:Francisco Alvarez</v>
      </c>
      <c r="I720" t="str">
        <f>+dHdcp[[#This Row],[Maximo]]&amp;":"&amp;_xlfn.XLOOKUP(dHdcp[[#This Row],[Nombre]],dJugador[Nombre],dJugador[Mote],"",0)</f>
        <v>0:Paco</v>
      </c>
      <c r="J720" t="str">
        <f>+IF(dHdcp[[#This Row],[Maximo]]=0,"",_xlfn.RANK.EQ(dHdcp[[#This Row],[Handicap]],dHdcp[Handicap],1))</f>
        <v/>
      </c>
      <c r="K720" t="str">
        <f>IFERROR(+_xlfn.RANK.EQ(dHdcp[[#This Row],[Ranking]],dHdcp[Ranking],1),"")</f>
        <v/>
      </c>
      <c r="M720" t="str">
        <f>+dHdcp[[#This Row],[Fecha]]&amp;":"&amp;dHdcp[[#This Row],[Nombre]]</f>
        <v>44255:Francisco Alvarez</v>
      </c>
      <c r="N720">
        <f>+COUNTIF(dHdcp[Columna1],dHdcp[[#This Row],[Columna1]])</f>
        <v>1</v>
      </c>
    </row>
    <row r="721" spans="1:18">
      <c r="A721" s="2">
        <v>44255</v>
      </c>
      <c r="B721" t="s">
        <v>49</v>
      </c>
      <c r="C721" s="51">
        <v>14.3</v>
      </c>
      <c r="D721">
        <f>+VLOOKUP(dHdcp[[#This Row],[Handicap]],'Categoría Hdcap'!$B$2:$E$7,4)</f>
        <v>3</v>
      </c>
      <c r="E721" t="s">
        <v>74</v>
      </c>
      <c r="F721" t="s">
        <v>1187</v>
      </c>
      <c r="G721">
        <f>+IF(dHdcp[[#This Row],[Fecha]]=MAX(dHdcp[Fecha]),1,0)</f>
        <v>0</v>
      </c>
      <c r="H721" t="str">
        <f>+dHdcp[[#This Row],[Maximo]]&amp;":"&amp;dHdcp[[#This Row],[Nombre]]</f>
        <v>0:Francisco Hidalgo</v>
      </c>
      <c r="I721" t="str">
        <f>+dHdcp[[#This Row],[Maximo]]&amp;":"&amp;_xlfn.XLOOKUP(dHdcp[[#This Row],[Nombre]],dJugador[Nombre],dJugador[Mote],"",0)</f>
        <v>0:Fran</v>
      </c>
      <c r="J721" t="str">
        <f>+IF(dHdcp[[#This Row],[Maximo]]=0,"",_xlfn.RANK.EQ(dHdcp[[#This Row],[Handicap]],dHdcp[Handicap],1))</f>
        <v/>
      </c>
      <c r="K721" t="str">
        <f>IFERROR(+_xlfn.RANK.EQ(dHdcp[[#This Row],[Ranking]],dHdcp[Ranking],1),"")</f>
        <v/>
      </c>
      <c r="M721" t="str">
        <f>+dHdcp[[#This Row],[Fecha]]&amp;":"&amp;dHdcp[[#This Row],[Nombre]]</f>
        <v>44255:Francisco Hidalgo</v>
      </c>
      <c r="N721">
        <f>+COUNTIF(dHdcp[Columna1],dHdcp[[#This Row],[Columna1]])</f>
        <v>1</v>
      </c>
    </row>
    <row r="722" spans="1:18">
      <c r="A722" s="2">
        <v>44255</v>
      </c>
      <c r="B722" t="s">
        <v>35</v>
      </c>
      <c r="C722" s="51">
        <v>18.8</v>
      </c>
      <c r="D722">
        <f>+VLOOKUP(dHdcp[[#This Row],[Handicap]],'Categoría Hdcap'!$B$2:$E$7,4)</f>
        <v>4</v>
      </c>
      <c r="E722" t="s">
        <v>74</v>
      </c>
      <c r="F722" t="s">
        <v>1188</v>
      </c>
      <c r="G722">
        <f>+IF(dHdcp[[#This Row],[Fecha]]=MAX(dHdcp[Fecha]),1,0)</f>
        <v>0</v>
      </c>
      <c r="H722" t="str">
        <f>+dHdcp[[#This Row],[Maximo]]&amp;":"&amp;dHdcp[[#This Row],[Nombre]]</f>
        <v>0:GLEZ JUAN JOSÉ</v>
      </c>
      <c r="I722" t="str">
        <f>+dHdcp[[#This Row],[Maximo]]&amp;":"&amp;_xlfn.XLOOKUP(dHdcp[[#This Row],[Nombre]],dJugador[Nombre],dJugador[Mote],"",0)</f>
        <v>0:Juanjo</v>
      </c>
      <c r="J722" t="str">
        <f>+IF(dHdcp[[#This Row],[Maximo]]=0,"",_xlfn.RANK.EQ(dHdcp[[#This Row],[Handicap]],dHdcp[Handicap],1))</f>
        <v/>
      </c>
      <c r="K722" t="str">
        <f>IFERROR(+_xlfn.RANK.EQ(dHdcp[[#This Row],[Ranking]],dHdcp[Ranking],1),"")</f>
        <v/>
      </c>
      <c r="M722" t="str">
        <f>+dHdcp[[#This Row],[Fecha]]&amp;":"&amp;dHdcp[[#This Row],[Nombre]]</f>
        <v>44255:GLEZ JUAN JOSÉ</v>
      </c>
      <c r="N722">
        <f>+COUNTIF(dHdcp[Columna1],dHdcp[[#This Row],[Columna1]])</f>
        <v>1</v>
      </c>
    </row>
    <row r="723" spans="1:18">
      <c r="A723" s="2">
        <v>44255</v>
      </c>
      <c r="B723" t="s">
        <v>6</v>
      </c>
      <c r="C723" s="51">
        <v>5.9</v>
      </c>
      <c r="D723">
        <f>+VLOOKUP(dHdcp[[#This Row],[Handicap]],'Categoría Hdcap'!$B$2:$E$7,4)</f>
        <v>2</v>
      </c>
      <c r="E723" t="s">
        <v>74</v>
      </c>
      <c r="F723" t="s">
        <v>1189</v>
      </c>
      <c r="G723">
        <f>+IF(dHdcp[[#This Row],[Fecha]]=MAX(dHdcp[Fecha]),1,0)</f>
        <v>0</v>
      </c>
      <c r="H723" t="str">
        <f>+dHdcp[[#This Row],[Maximo]]&amp;":"&amp;dHdcp[[#This Row],[Nombre]]</f>
        <v>0:Ignacio Cadarso</v>
      </c>
      <c r="I723" t="str">
        <f>+dHdcp[[#This Row],[Maximo]]&amp;":"&amp;_xlfn.XLOOKUP(dHdcp[[#This Row],[Nombre]],dJugador[Nombre],dJugador[Mote],"",0)</f>
        <v>0:Ignacio</v>
      </c>
      <c r="J723" t="str">
        <f>+IF(dHdcp[[#This Row],[Maximo]]=0,"",_xlfn.RANK.EQ(dHdcp[[#This Row],[Handicap]],dHdcp[Handicap],1))</f>
        <v/>
      </c>
      <c r="K723" t="str">
        <f>IFERROR(+_xlfn.RANK.EQ(dHdcp[[#This Row],[Ranking]],dHdcp[Ranking],1),"")</f>
        <v/>
      </c>
      <c r="M723" t="str">
        <f>+dHdcp[[#This Row],[Fecha]]&amp;":"&amp;dHdcp[[#This Row],[Nombre]]</f>
        <v>44255:Ignacio Cadarso</v>
      </c>
      <c r="N723">
        <f>+COUNTIF(dHdcp[Columna1],dHdcp[[#This Row],[Columna1]])</f>
        <v>1</v>
      </c>
    </row>
    <row r="724" spans="1:18">
      <c r="A724" s="2">
        <v>44255</v>
      </c>
      <c r="B724" t="s">
        <v>23</v>
      </c>
      <c r="C724" s="51">
        <v>19.5</v>
      </c>
      <c r="D724">
        <f>+VLOOKUP(dHdcp[[#This Row],[Handicap]],'Categoría Hdcap'!$B$2:$E$7,4)</f>
        <v>4</v>
      </c>
      <c r="E724" t="s">
        <v>74</v>
      </c>
      <c r="F724" t="s">
        <v>1190</v>
      </c>
      <c r="G724">
        <f>+IF(dHdcp[[#This Row],[Fecha]]=MAX(dHdcp[Fecha]),1,0)</f>
        <v>0</v>
      </c>
      <c r="H724" t="str">
        <f>+dHdcp[[#This Row],[Maximo]]&amp;":"&amp;dHdcp[[#This Row],[Nombre]]</f>
        <v>0:J. Enrique Gonzalez</v>
      </c>
      <c r="I724" t="str">
        <f>+dHdcp[[#This Row],[Maximo]]&amp;":"&amp;_xlfn.XLOOKUP(dHdcp[[#This Row],[Nombre]],dJugador[Nombre],dJugador[Mote],"",0)</f>
        <v>0:Kike</v>
      </c>
      <c r="J724" t="str">
        <f>+IF(dHdcp[[#This Row],[Maximo]]=0,"",_xlfn.RANK.EQ(dHdcp[[#This Row],[Handicap]],dHdcp[Handicap],1))</f>
        <v/>
      </c>
      <c r="K724" t="str">
        <f>IFERROR(+_xlfn.RANK.EQ(dHdcp[[#This Row],[Ranking]],dHdcp[Ranking],1),"")</f>
        <v/>
      </c>
      <c r="M724" t="str">
        <f>+dHdcp[[#This Row],[Fecha]]&amp;":"&amp;dHdcp[[#This Row],[Nombre]]</f>
        <v>44255:J. Enrique Gonzalez</v>
      </c>
      <c r="N724">
        <f>+COUNTIF(dHdcp[Columna1],dHdcp[[#This Row],[Columna1]])</f>
        <v>1</v>
      </c>
    </row>
    <row r="725" spans="1:18">
      <c r="A725" s="2">
        <v>44255</v>
      </c>
      <c r="B725" t="s">
        <v>46</v>
      </c>
      <c r="C725" s="51">
        <v>15.1</v>
      </c>
      <c r="D725">
        <f>+VLOOKUP(dHdcp[[#This Row],[Handicap]],'Categoría Hdcap'!$B$2:$E$7,4)</f>
        <v>3</v>
      </c>
      <c r="E725" t="s">
        <v>74</v>
      </c>
      <c r="F725" t="s">
        <v>1191</v>
      </c>
      <c r="G725">
        <f>+IF(dHdcp[[#This Row],[Fecha]]=MAX(dHdcp[Fecha]),1,0)</f>
        <v>0</v>
      </c>
      <c r="H725" t="str">
        <f>+dHdcp[[#This Row],[Maximo]]&amp;":"&amp;dHdcp[[#This Row],[Nombre]]</f>
        <v>0:Javier Cervera</v>
      </c>
      <c r="I725" t="str">
        <f>+dHdcp[[#This Row],[Maximo]]&amp;":"&amp;_xlfn.XLOOKUP(dHdcp[[#This Row],[Nombre]],dJugador[Nombre],dJugador[Mote],"",0)</f>
        <v>0:Virus</v>
      </c>
      <c r="J725" t="str">
        <f>+IF(dHdcp[[#This Row],[Maximo]]=0,"",_xlfn.RANK.EQ(dHdcp[[#This Row],[Handicap]],dHdcp[Handicap],1))</f>
        <v/>
      </c>
      <c r="K725" t="str">
        <f>IFERROR(+_xlfn.RANK.EQ(dHdcp[[#This Row],[Ranking]],dHdcp[Ranking],1),"")</f>
        <v/>
      </c>
      <c r="M725" t="str">
        <f>+dHdcp[[#This Row],[Fecha]]&amp;":"&amp;dHdcp[[#This Row],[Nombre]]</f>
        <v>44255:Javier Cervera</v>
      </c>
      <c r="N725">
        <f>+COUNTIF(dHdcp[Columna1],dHdcp[[#This Row],[Columna1]])</f>
        <v>1</v>
      </c>
    </row>
    <row r="726" spans="1:18">
      <c r="A726" s="2">
        <v>44255</v>
      </c>
      <c r="B726" t="s">
        <v>20</v>
      </c>
      <c r="C726" s="51">
        <v>15.3</v>
      </c>
      <c r="D726">
        <f>+VLOOKUP(dHdcp[[#This Row],[Handicap]],'Categoría Hdcap'!$B$2:$E$7,4)</f>
        <v>3</v>
      </c>
      <c r="E726" t="s">
        <v>74</v>
      </c>
      <c r="F726" t="s">
        <v>1192</v>
      </c>
      <c r="G726">
        <f>+IF(dHdcp[[#This Row],[Fecha]]=MAX(dHdcp[Fecha]),1,0)</f>
        <v>0</v>
      </c>
      <c r="H726" t="str">
        <f>+dHdcp[[#This Row],[Maximo]]&amp;":"&amp;dHdcp[[#This Row],[Nombre]]</f>
        <v>0:Javier Gonzalez Salvador</v>
      </c>
      <c r="I726" t="str">
        <f>+dHdcp[[#This Row],[Maximo]]&amp;":"&amp;_xlfn.XLOOKUP(dHdcp[[#This Row],[Nombre]],dJugador[Nombre],dJugador[Mote],"",0)</f>
        <v>0:Javi</v>
      </c>
      <c r="J726" t="str">
        <f>+IF(dHdcp[[#This Row],[Maximo]]=0,"",_xlfn.RANK.EQ(dHdcp[[#This Row],[Handicap]],dHdcp[Handicap],1))</f>
        <v/>
      </c>
      <c r="K726" t="str">
        <f>IFERROR(+_xlfn.RANK.EQ(dHdcp[[#This Row],[Ranking]],dHdcp[Ranking],1),"")</f>
        <v/>
      </c>
      <c r="M726" t="str">
        <f>+dHdcp[[#This Row],[Fecha]]&amp;":"&amp;dHdcp[[#This Row],[Nombre]]</f>
        <v>44255:Javier Gonzalez Salvador</v>
      </c>
      <c r="N726">
        <f>+COUNTIF(dHdcp[Columna1],dHdcp[[#This Row],[Columna1]])</f>
        <v>1</v>
      </c>
    </row>
    <row r="727" spans="1:18">
      <c r="A727" s="2">
        <v>44255</v>
      </c>
      <c r="B727" t="s">
        <v>41</v>
      </c>
      <c r="C727" s="51">
        <v>22.6</v>
      </c>
      <c r="D727">
        <f>+VLOOKUP(dHdcp[[#This Row],[Handicap]],'Categoría Hdcap'!$B$2:$E$7,4)</f>
        <v>4</v>
      </c>
      <c r="E727" t="s">
        <v>74</v>
      </c>
      <c r="F727" t="s">
        <v>1193</v>
      </c>
      <c r="G727">
        <f>+IF(dHdcp[[#This Row],[Fecha]]=MAX(dHdcp[Fecha]),1,0)</f>
        <v>0</v>
      </c>
      <c r="H727" t="str">
        <f>+dHdcp[[#This Row],[Maximo]]&amp;":"&amp;dHdcp[[#This Row],[Nombre]]</f>
        <v>0:Jesus Touceda</v>
      </c>
      <c r="I727" t="str">
        <f>+dHdcp[[#This Row],[Maximo]]&amp;":"&amp;_xlfn.XLOOKUP(dHdcp[[#This Row],[Nombre]],dJugador[Nombre],dJugador[Mote],"",0)</f>
        <v>0:Jesús</v>
      </c>
      <c r="J727" t="str">
        <f>+IF(dHdcp[[#This Row],[Maximo]]=0,"",_xlfn.RANK.EQ(dHdcp[[#This Row],[Handicap]],dHdcp[Handicap],1))</f>
        <v/>
      </c>
      <c r="K727" t="str">
        <f>IFERROR(+_xlfn.RANK.EQ(dHdcp[[#This Row],[Ranking]],dHdcp[Ranking],1),"")</f>
        <v/>
      </c>
      <c r="M727" t="str">
        <f>+dHdcp[[#This Row],[Fecha]]&amp;":"&amp;dHdcp[[#This Row],[Nombre]]</f>
        <v>44255:Jesus Touceda</v>
      </c>
      <c r="N727">
        <f>+COUNTIF(dHdcp[Columna1],dHdcp[[#This Row],[Columna1]])</f>
        <v>1</v>
      </c>
    </row>
    <row r="728" spans="1:18">
      <c r="A728" s="2">
        <v>44255</v>
      </c>
      <c r="B728" t="s">
        <v>18</v>
      </c>
      <c r="C728" s="51">
        <v>6.5</v>
      </c>
      <c r="D728">
        <f>+VLOOKUP(dHdcp[[#This Row],[Handicap]],'Categoría Hdcap'!$B$2:$E$7,4)</f>
        <v>2</v>
      </c>
      <c r="E728" t="s">
        <v>74</v>
      </c>
      <c r="F728" t="s">
        <v>1194</v>
      </c>
      <c r="G728">
        <f>+IF(dHdcp[[#This Row],[Fecha]]=MAX(dHdcp[Fecha]),1,0)</f>
        <v>0</v>
      </c>
      <c r="H728" t="str">
        <f>+dHdcp[[#This Row],[Maximo]]&amp;":"&amp;dHdcp[[#This Row],[Nombre]]</f>
        <v>0:José Pablo Guil</v>
      </c>
      <c r="I728" t="str">
        <f>+dHdcp[[#This Row],[Maximo]]&amp;":"&amp;_xlfn.XLOOKUP(dHdcp[[#This Row],[Nombre]],dJugador[Nombre],dJugador[Mote],"",0)</f>
        <v>0:JP</v>
      </c>
      <c r="J728" t="str">
        <f>+IF(dHdcp[[#This Row],[Maximo]]=0,"",_xlfn.RANK.EQ(dHdcp[[#This Row],[Handicap]],dHdcp[Handicap],1))</f>
        <v/>
      </c>
      <c r="K728" t="str">
        <f>IFERROR(+_xlfn.RANK.EQ(dHdcp[[#This Row],[Ranking]],dHdcp[Ranking],1),"")</f>
        <v/>
      </c>
      <c r="M728" t="str">
        <f>+dHdcp[[#This Row],[Fecha]]&amp;":"&amp;dHdcp[[#This Row],[Nombre]]</f>
        <v>44255:José Pablo Guil</v>
      </c>
      <c r="N728">
        <f>+COUNTIF(dHdcp[Columna1],dHdcp[[#This Row],[Columna1]])</f>
        <v>1</v>
      </c>
    </row>
    <row r="729" spans="1:18">
      <c r="A729" s="2">
        <v>44255</v>
      </c>
      <c r="B729" t="s">
        <v>43</v>
      </c>
      <c r="C729" s="51">
        <v>18.3</v>
      </c>
      <c r="D729">
        <f>+VLOOKUP(dHdcp[[#This Row],[Handicap]],'Categoría Hdcap'!$B$2:$E$7,4)</f>
        <v>3</v>
      </c>
      <c r="E729" t="s">
        <v>74</v>
      </c>
      <c r="F729" t="s">
        <v>1195</v>
      </c>
      <c r="G729">
        <f>+IF(dHdcp[[#This Row],[Fecha]]=MAX(dHdcp[Fecha]),1,0)</f>
        <v>0</v>
      </c>
      <c r="H729" t="str">
        <f>+dHdcp[[#This Row],[Maximo]]&amp;":"&amp;dHdcp[[#This Row],[Nombre]]</f>
        <v>0:Luis Escudero</v>
      </c>
      <c r="I729" t="str">
        <f>+dHdcp[[#This Row],[Maximo]]&amp;":"&amp;_xlfn.XLOOKUP(dHdcp[[#This Row],[Nombre]],dJugador[Nombre],dJugador[Mote],"",0)</f>
        <v>0:Lucho</v>
      </c>
      <c r="J729" t="str">
        <f>+IF(dHdcp[[#This Row],[Maximo]]=0,"",_xlfn.RANK.EQ(dHdcp[[#This Row],[Handicap]],dHdcp[Handicap],1))</f>
        <v/>
      </c>
      <c r="K729" t="str">
        <f>IFERROR(+_xlfn.RANK.EQ(dHdcp[[#This Row],[Ranking]],dHdcp[Ranking],1),"")</f>
        <v/>
      </c>
      <c r="M729" t="str">
        <f>+dHdcp[[#This Row],[Fecha]]&amp;":"&amp;dHdcp[[#This Row],[Nombre]]</f>
        <v>44255:Luis Escudero</v>
      </c>
      <c r="N729">
        <f>+COUNTIF(dHdcp[Columna1],dHdcp[[#This Row],[Columna1]])</f>
        <v>1</v>
      </c>
      <c r="R729">
        <v>1</v>
      </c>
    </row>
    <row r="730" spans="1:18">
      <c r="A730" s="2">
        <v>44255</v>
      </c>
      <c r="B730" s="10" t="s">
        <v>135</v>
      </c>
      <c r="C730" s="53">
        <v>18.7</v>
      </c>
      <c r="D730" s="10">
        <f>+VLOOKUP(dHdcp[[#This Row],[Handicap]],'Categoría Hdcap'!$B$2:$E$7,4)</f>
        <v>4</v>
      </c>
      <c r="E730" s="10" t="s">
        <v>74</v>
      </c>
      <c r="F730" s="10" t="s">
        <v>1196</v>
      </c>
      <c r="G730">
        <f>+IF(dHdcp[[#This Row],[Fecha]]=MAX(dHdcp[Fecha]),1,0)</f>
        <v>0</v>
      </c>
      <c r="H730" t="str">
        <f>+dHdcp[[#This Row],[Maximo]]&amp;":"&amp;dHdcp[[#This Row],[Nombre]]</f>
        <v>0:Miche Lopez</v>
      </c>
      <c r="I730" t="str">
        <f>+dHdcp[[#This Row],[Maximo]]&amp;":"&amp;_xlfn.XLOOKUP(dHdcp[[#This Row],[Nombre]],dJugador[Nombre],dJugador[Mote],"",0)</f>
        <v>0:Miche</v>
      </c>
      <c r="J730" t="str">
        <f>+IF(dHdcp[[#This Row],[Maximo]]=0,"",_xlfn.RANK.EQ(dHdcp[[#This Row],[Handicap]],dHdcp[Handicap],1))</f>
        <v/>
      </c>
      <c r="K730" t="str">
        <f>IFERROR(+_xlfn.RANK.EQ(dHdcp[[#This Row],[Ranking]],dHdcp[Ranking],1),"")</f>
        <v/>
      </c>
      <c r="M730" t="str">
        <f>+dHdcp[[#This Row],[Fecha]]&amp;":"&amp;dHdcp[[#This Row],[Nombre]]</f>
        <v>44255:Miche Lopez</v>
      </c>
      <c r="N730">
        <f>+COUNTIF(dHdcp[Columna1],dHdcp[[#This Row],[Columna1]])</f>
        <v>1</v>
      </c>
      <c r="R730">
        <v>71</v>
      </c>
    </row>
    <row r="731" spans="1:18">
      <c r="A731" s="2">
        <v>44255</v>
      </c>
      <c r="B731" t="s">
        <v>51</v>
      </c>
      <c r="C731" s="51">
        <v>0.7</v>
      </c>
      <c r="D731">
        <f>+VLOOKUP(dHdcp[[#This Row],[Handicap]],'Categoría Hdcap'!$B$2:$E$7,4)</f>
        <v>1</v>
      </c>
      <c r="E731" t="s">
        <v>74</v>
      </c>
      <c r="F731" t="s">
        <v>1197</v>
      </c>
      <c r="G731">
        <f>+IF(dHdcp[[#This Row],[Fecha]]=MAX(dHdcp[Fecha]),1,0)</f>
        <v>0</v>
      </c>
      <c r="H731" t="str">
        <f>+dHdcp[[#This Row],[Maximo]]&amp;":"&amp;dHdcp[[#This Row],[Nombre]]</f>
        <v>0:Miguel Diaz Del Moral</v>
      </c>
      <c r="I731" t="str">
        <f>+dHdcp[[#This Row],[Maximo]]&amp;":"&amp;_xlfn.XLOOKUP(dHdcp[[#This Row],[Nombre]],dJugador[Nombre],dJugador[Mote],"",0)</f>
        <v>0:Cañita</v>
      </c>
      <c r="J731" t="str">
        <f>+IF(dHdcp[[#This Row],[Maximo]]=0,"",_xlfn.RANK.EQ(dHdcp[[#This Row],[Handicap]],dHdcp[Handicap],1))</f>
        <v/>
      </c>
      <c r="K731" t="str">
        <f>IFERROR(+_xlfn.RANK.EQ(dHdcp[[#This Row],[Ranking]],dHdcp[Ranking],1),"")</f>
        <v/>
      </c>
      <c r="M731" t="str">
        <f>+dHdcp[[#This Row],[Fecha]]&amp;":"&amp;dHdcp[[#This Row],[Nombre]]</f>
        <v>44255:Miguel Diaz Del Moral</v>
      </c>
      <c r="N731">
        <f>+COUNTIF(dHdcp[Columna1],dHdcp[[#This Row],[Columna1]])</f>
        <v>1</v>
      </c>
      <c r="R731">
        <v>127</v>
      </c>
    </row>
    <row r="732" spans="1:18">
      <c r="A732" s="2">
        <v>44255</v>
      </c>
      <c r="B732" t="s">
        <v>3</v>
      </c>
      <c r="C732" s="51">
        <v>5.7</v>
      </c>
      <c r="D732">
        <f>+VLOOKUP(dHdcp[[#This Row],[Handicap]],'Categoría Hdcap'!$B$2:$E$7,4)</f>
        <v>2</v>
      </c>
      <c r="E732" t="s">
        <v>74</v>
      </c>
      <c r="F732" t="s">
        <v>1198</v>
      </c>
      <c r="G732">
        <f>+IF(dHdcp[[#This Row],[Fecha]]=MAX(dHdcp[Fecha]),1,0)</f>
        <v>0</v>
      </c>
      <c r="H732" t="str">
        <f>+dHdcp[[#This Row],[Maximo]]&amp;":"&amp;dHdcp[[#This Row],[Nombre]]</f>
        <v>0:Nacho Gonzalez</v>
      </c>
      <c r="I732" t="str">
        <f>+dHdcp[[#This Row],[Maximo]]&amp;":"&amp;_xlfn.XLOOKUP(dHdcp[[#This Row],[Nombre]],dJugador[Nombre],dJugador[Mote],"",0)</f>
        <v>0:Nacho</v>
      </c>
      <c r="J732" t="str">
        <f>+IF(dHdcp[[#This Row],[Maximo]]=0,"",_xlfn.RANK.EQ(dHdcp[[#This Row],[Handicap]],dHdcp[Handicap],1))</f>
        <v/>
      </c>
      <c r="K732" t="str">
        <f>IFERROR(+_xlfn.RANK.EQ(dHdcp[[#This Row],[Ranking]],dHdcp[Ranking],1),"")</f>
        <v/>
      </c>
      <c r="M732" t="str">
        <f>+dHdcp[[#This Row],[Fecha]]&amp;":"&amp;dHdcp[[#This Row],[Nombre]]</f>
        <v>44255:Nacho Gonzalez</v>
      </c>
      <c r="N732">
        <f>+COUNTIF(dHdcp[Columna1],dHdcp[[#This Row],[Columna1]])</f>
        <v>1</v>
      </c>
      <c r="R732">
        <v>72</v>
      </c>
    </row>
    <row r="733" spans="1:18">
      <c r="A733" s="2">
        <v>44255</v>
      </c>
      <c r="B733" t="s">
        <v>28</v>
      </c>
      <c r="C733" s="51">
        <v>13.7</v>
      </c>
      <c r="D733">
        <f>+VLOOKUP(dHdcp[[#This Row],[Handicap]],'Categoría Hdcap'!$B$2:$E$7,4)</f>
        <v>3</v>
      </c>
      <c r="E733" t="s">
        <v>74</v>
      </c>
      <c r="F733" t="s">
        <v>1199</v>
      </c>
      <c r="G733">
        <f>+IF(dHdcp[[#This Row],[Fecha]]=MAX(dHdcp[Fecha]),1,0)</f>
        <v>0</v>
      </c>
      <c r="H733" t="str">
        <f>+dHdcp[[#This Row],[Maximo]]&amp;":"&amp;dHdcp[[#This Row],[Nombre]]</f>
        <v>0:Pablo Munitiz</v>
      </c>
      <c r="I733" t="str">
        <f>+dHdcp[[#This Row],[Maximo]]&amp;":"&amp;_xlfn.XLOOKUP(dHdcp[[#This Row],[Nombre]],dJugador[Nombre],dJugador[Mote],"",0)</f>
        <v>0:Muni</v>
      </c>
      <c r="J733" t="str">
        <f>+IF(dHdcp[[#This Row],[Maximo]]=0,"",_xlfn.RANK.EQ(dHdcp[[#This Row],[Handicap]],dHdcp[Handicap],1))</f>
        <v/>
      </c>
      <c r="K733" t="str">
        <f>IFERROR(+_xlfn.RANK.EQ(dHdcp[[#This Row],[Ranking]],dHdcp[Ranking],1),"")</f>
        <v/>
      </c>
      <c r="M733" t="str">
        <f>+dHdcp[[#This Row],[Fecha]]&amp;":"&amp;dHdcp[[#This Row],[Nombre]]</f>
        <v>44255:Pablo Munitiz</v>
      </c>
      <c r="N733">
        <f>+COUNTIF(dHdcp[Columna1],dHdcp[[#This Row],[Columna1]])</f>
        <v>1</v>
      </c>
      <c r="R733">
        <v>113</v>
      </c>
    </row>
    <row r="734" spans="1:18">
      <c r="A734" s="2">
        <v>44303</v>
      </c>
      <c r="B734" t="s">
        <v>9</v>
      </c>
      <c r="C734" s="51">
        <v>9.3000000000000007</v>
      </c>
      <c r="D734">
        <f>+VLOOKUP(dHdcp[[#This Row],[Handicap]],'Categoría Hdcap'!$B$2:$E$7,4)</f>
        <v>2</v>
      </c>
      <c r="E734" t="s">
        <v>74</v>
      </c>
      <c r="F734" t="s">
        <v>1200</v>
      </c>
      <c r="G734">
        <f>+IF(dHdcp[[#This Row],[Fecha]]=MAX(dHdcp[Fecha]),1,0)</f>
        <v>0</v>
      </c>
      <c r="H734" t="str">
        <f>+dHdcp[[#This Row],[Maximo]]&amp;":"&amp;dHdcp[[#This Row],[Nombre]]</f>
        <v>0:Alfonso Hidalgo</v>
      </c>
      <c r="I734" t="str">
        <f>+dHdcp[[#This Row],[Maximo]]&amp;":"&amp;_xlfn.XLOOKUP(dHdcp[[#This Row],[Nombre]],dJugador[Nombre],dJugador[Mote],"",0)</f>
        <v>0:Alfonso</v>
      </c>
      <c r="J734" t="str">
        <f>+IF(dHdcp[[#This Row],[Maximo]]=0,"",_xlfn.RANK.EQ(dHdcp[[#This Row],[Handicap]],dHdcp[Handicap],1))</f>
        <v/>
      </c>
      <c r="K734" t="str">
        <f>IFERROR(+_xlfn.RANK.EQ(dHdcp[[#This Row],[Ranking]],dHdcp[Ranking],1),"")</f>
        <v/>
      </c>
      <c r="M734" t="str">
        <f>+dHdcp[[#This Row],[Fecha]]&amp;":"&amp;dHdcp[[#This Row],[Nombre]]</f>
        <v>44303:Alfonso Hidalgo</v>
      </c>
      <c r="N734">
        <f>+COUNTIF(dHdcp[Columna1],dHdcp[[#This Row],[Columna1]])</f>
        <v>1</v>
      </c>
      <c r="R734">
        <f>ROUND(dHdcp[[#This Row],[Handicap]]*R$729*(R$731/R$733)+(R$730-R$732),0)</f>
        <v>9</v>
      </c>
    </row>
    <row r="735" spans="1:18">
      <c r="A735" s="2">
        <v>44303</v>
      </c>
      <c r="B735" t="s">
        <v>15</v>
      </c>
      <c r="C735" s="51">
        <v>6.4</v>
      </c>
      <c r="D735">
        <f>+VLOOKUP(dHdcp[[#This Row],[Handicap]],'Categoría Hdcap'!$B$2:$E$7,4)</f>
        <v>2</v>
      </c>
      <c r="E735" t="s">
        <v>74</v>
      </c>
      <c r="F735" t="s">
        <v>1201</v>
      </c>
      <c r="G735">
        <f>+IF(dHdcp[[#This Row],[Fecha]]=MAX(dHdcp[Fecha]),1,0)</f>
        <v>0</v>
      </c>
      <c r="H735" t="str">
        <f>+dHdcp[[#This Row],[Maximo]]&amp;":"&amp;dHdcp[[#This Row],[Nombre]]</f>
        <v>0:Alvaro Aguirre</v>
      </c>
      <c r="I735" t="str">
        <f>+dHdcp[[#This Row],[Maximo]]&amp;":"&amp;_xlfn.XLOOKUP(dHdcp[[#This Row],[Nombre]],dJugador[Nombre],dJugador[Mote],"",0)</f>
        <v>0:Gifu</v>
      </c>
      <c r="J735" t="str">
        <f>+IF(dHdcp[[#This Row],[Maximo]]=0,"",_xlfn.RANK.EQ(dHdcp[[#This Row],[Handicap]],dHdcp[Handicap],1))</f>
        <v/>
      </c>
      <c r="K735" t="str">
        <f>IFERROR(+_xlfn.RANK.EQ(dHdcp[[#This Row],[Ranking]],dHdcp[Ranking],1),"")</f>
        <v/>
      </c>
      <c r="M735" t="str">
        <f>+dHdcp[[#This Row],[Fecha]]&amp;":"&amp;dHdcp[[#This Row],[Nombre]]</f>
        <v>44303:Alvaro Aguirre</v>
      </c>
      <c r="N735">
        <f>+COUNTIF(dHdcp[Columna1],dHdcp[[#This Row],[Columna1]])</f>
        <v>1</v>
      </c>
    </row>
    <row r="736" spans="1:18">
      <c r="A736" s="2">
        <v>44303</v>
      </c>
      <c r="B736" t="s">
        <v>25</v>
      </c>
      <c r="C736" s="51">
        <v>14.1</v>
      </c>
      <c r="D736">
        <f>+VLOOKUP(dHdcp[[#This Row],[Handicap]],'Categoría Hdcap'!$B$2:$E$7,4)</f>
        <v>3</v>
      </c>
      <c r="E736" t="s">
        <v>74</v>
      </c>
      <c r="F736" t="s">
        <v>1202</v>
      </c>
      <c r="G736">
        <f>+IF(dHdcp[[#This Row],[Fecha]]=MAX(dHdcp[Fecha]),1,0)</f>
        <v>0</v>
      </c>
      <c r="H736" t="str">
        <f>+dHdcp[[#This Row],[Maximo]]&amp;":"&amp;dHdcp[[#This Row],[Nombre]]</f>
        <v>0:Alvaro Nieto</v>
      </c>
      <c r="I736" t="str">
        <f>+dHdcp[[#This Row],[Maximo]]&amp;":"&amp;_xlfn.XLOOKUP(dHdcp[[#This Row],[Nombre]],dJugador[Nombre],dJugador[Mote],"",0)</f>
        <v>0:Alvaro</v>
      </c>
      <c r="J736" t="str">
        <f>+IF(dHdcp[[#This Row],[Maximo]]=0,"",_xlfn.RANK.EQ(dHdcp[[#This Row],[Handicap]],dHdcp[Handicap],1))</f>
        <v/>
      </c>
      <c r="K736" t="str">
        <f>IFERROR(+_xlfn.RANK.EQ(dHdcp[[#This Row],[Ranking]],dHdcp[Ranking],1),"")</f>
        <v/>
      </c>
      <c r="M736" t="str">
        <f>+dHdcp[[#This Row],[Fecha]]&amp;":"&amp;dHdcp[[#This Row],[Nombre]]</f>
        <v>44303:Alvaro Nieto</v>
      </c>
      <c r="N736">
        <f>+COUNTIF(dHdcp[Columna1],dHdcp[[#This Row],[Columna1]])</f>
        <v>1</v>
      </c>
    </row>
    <row r="737" spans="1:14">
      <c r="A737" s="2">
        <v>44303</v>
      </c>
      <c r="B737" t="s">
        <v>33</v>
      </c>
      <c r="C737" s="51">
        <v>7.6</v>
      </c>
      <c r="D737">
        <f>+VLOOKUP(dHdcp[[#This Row],[Handicap]],'Categoría Hdcap'!$B$2:$E$7,4)</f>
        <v>2</v>
      </c>
      <c r="E737" t="s">
        <v>74</v>
      </c>
      <c r="F737" t="s">
        <v>1203</v>
      </c>
      <c r="G737">
        <f>+IF(dHdcp[[#This Row],[Fecha]]=MAX(dHdcp[Fecha]),1,0)</f>
        <v>0</v>
      </c>
      <c r="H737" t="str">
        <f>+dHdcp[[#This Row],[Maximo]]&amp;":"&amp;dHdcp[[#This Row],[Nombre]]</f>
        <v>0:Angel Hernandez</v>
      </c>
      <c r="I737" t="str">
        <f>+dHdcp[[#This Row],[Maximo]]&amp;":"&amp;_xlfn.XLOOKUP(dHdcp[[#This Row],[Nombre]],dJugador[Nombre],dJugador[Mote],"",0)</f>
        <v>0:Angel</v>
      </c>
      <c r="J737" t="str">
        <f>+IF(dHdcp[[#This Row],[Maximo]]=0,"",_xlfn.RANK.EQ(dHdcp[[#This Row],[Handicap]],dHdcp[Handicap],1))</f>
        <v/>
      </c>
      <c r="K737" t="str">
        <f>IFERROR(+_xlfn.RANK.EQ(dHdcp[[#This Row],[Ranking]],dHdcp[Ranking],1),"")</f>
        <v/>
      </c>
      <c r="M737" t="str">
        <f>+dHdcp[[#This Row],[Fecha]]&amp;":"&amp;dHdcp[[#This Row],[Nombre]]</f>
        <v>44303:Angel Hernandez</v>
      </c>
      <c r="N737">
        <f>+COUNTIF(dHdcp[Columna1],dHdcp[[#This Row],[Columna1]])</f>
        <v>1</v>
      </c>
    </row>
    <row r="738" spans="1:14">
      <c r="A738" s="2">
        <v>44303</v>
      </c>
      <c r="B738" t="s">
        <v>30</v>
      </c>
      <c r="C738" s="51">
        <v>12.2</v>
      </c>
      <c r="D738">
        <f>+VLOOKUP(dHdcp[[#This Row],[Handicap]],'Categoría Hdcap'!$B$2:$E$7,4)</f>
        <v>3</v>
      </c>
      <c r="E738" t="s">
        <v>74</v>
      </c>
      <c r="F738" t="s">
        <v>1204</v>
      </c>
      <c r="G738">
        <f>+IF(dHdcp[[#This Row],[Fecha]]=MAX(dHdcp[Fecha]),1,0)</f>
        <v>0</v>
      </c>
      <c r="H738" t="str">
        <f>+dHdcp[[#This Row],[Maximo]]&amp;":"&amp;dHdcp[[#This Row],[Nombre]]</f>
        <v>0:David Sequera</v>
      </c>
      <c r="I738" t="str">
        <f>+dHdcp[[#This Row],[Maximo]]&amp;":"&amp;_xlfn.XLOOKUP(dHdcp[[#This Row],[Nombre]],dJugador[Nombre],dJugador[Mote],"",0)</f>
        <v>0:David</v>
      </c>
      <c r="J738" t="str">
        <f>+IF(dHdcp[[#This Row],[Maximo]]=0,"",_xlfn.RANK.EQ(dHdcp[[#This Row],[Handicap]],dHdcp[Handicap],1))</f>
        <v/>
      </c>
      <c r="K738" t="str">
        <f>IFERROR(+_xlfn.RANK.EQ(dHdcp[[#This Row],[Ranking]],dHdcp[Ranking],1),"")</f>
        <v/>
      </c>
      <c r="M738" t="str">
        <f>+dHdcp[[#This Row],[Fecha]]&amp;":"&amp;dHdcp[[#This Row],[Nombre]]</f>
        <v>44303:David Sequera</v>
      </c>
      <c r="N738">
        <f>+COUNTIF(dHdcp[Columna1],dHdcp[[#This Row],[Columna1]])</f>
        <v>1</v>
      </c>
    </row>
    <row r="739" spans="1:14">
      <c r="A739" s="2">
        <v>44303</v>
      </c>
      <c r="B739" t="s">
        <v>12</v>
      </c>
      <c r="C739" s="51">
        <v>16.399999999999999</v>
      </c>
      <c r="D739">
        <f>+VLOOKUP(dHdcp[[#This Row],[Handicap]],'Categoría Hdcap'!$B$2:$E$7,4)</f>
        <v>3</v>
      </c>
      <c r="E739" t="s">
        <v>74</v>
      </c>
      <c r="F739" t="s">
        <v>1205</v>
      </c>
      <c r="G739">
        <f>+IF(dHdcp[[#This Row],[Fecha]]=MAX(dHdcp[Fecha]),1,0)</f>
        <v>0</v>
      </c>
      <c r="H739" t="str">
        <f>+dHdcp[[#This Row],[Maximo]]&amp;":"&amp;dHdcp[[#This Row],[Nombre]]</f>
        <v>0:Francisco Alvarez</v>
      </c>
      <c r="I739" t="str">
        <f>+dHdcp[[#This Row],[Maximo]]&amp;":"&amp;_xlfn.XLOOKUP(dHdcp[[#This Row],[Nombre]],dJugador[Nombre],dJugador[Mote],"",0)</f>
        <v>0:Paco</v>
      </c>
      <c r="J739" t="str">
        <f>+IF(dHdcp[[#This Row],[Maximo]]=0,"",_xlfn.RANK.EQ(dHdcp[[#This Row],[Handicap]],dHdcp[Handicap],1))</f>
        <v/>
      </c>
      <c r="K739" t="str">
        <f>IFERROR(+_xlfn.RANK.EQ(dHdcp[[#This Row],[Ranking]],dHdcp[Ranking],1),"")</f>
        <v/>
      </c>
      <c r="M739" t="str">
        <f>+dHdcp[[#This Row],[Fecha]]&amp;":"&amp;dHdcp[[#This Row],[Nombre]]</f>
        <v>44303:Francisco Alvarez</v>
      </c>
      <c r="N739">
        <f>+COUNTIF(dHdcp[Columna1],dHdcp[[#This Row],[Columna1]])</f>
        <v>1</v>
      </c>
    </row>
    <row r="740" spans="1:14">
      <c r="A740" s="2">
        <v>44303</v>
      </c>
      <c r="B740" t="s">
        <v>49</v>
      </c>
      <c r="C740" s="51">
        <v>13.7</v>
      </c>
      <c r="D740">
        <f>+VLOOKUP(dHdcp[[#This Row],[Handicap]],'Categoría Hdcap'!$B$2:$E$7,4)</f>
        <v>3</v>
      </c>
      <c r="E740" t="s">
        <v>74</v>
      </c>
      <c r="F740" t="s">
        <v>1206</v>
      </c>
      <c r="G740">
        <f>+IF(dHdcp[[#This Row],[Fecha]]=MAX(dHdcp[Fecha]),1,0)</f>
        <v>0</v>
      </c>
      <c r="H740" t="str">
        <f>+dHdcp[[#This Row],[Maximo]]&amp;":"&amp;dHdcp[[#This Row],[Nombre]]</f>
        <v>0:Francisco Hidalgo</v>
      </c>
      <c r="I740" t="str">
        <f>+dHdcp[[#This Row],[Maximo]]&amp;":"&amp;_xlfn.XLOOKUP(dHdcp[[#This Row],[Nombre]],dJugador[Nombre],dJugador[Mote],"",0)</f>
        <v>0:Fran</v>
      </c>
      <c r="J740" t="str">
        <f>+IF(dHdcp[[#This Row],[Maximo]]=0,"",_xlfn.RANK.EQ(dHdcp[[#This Row],[Handicap]],dHdcp[Handicap],1))</f>
        <v/>
      </c>
      <c r="K740" t="str">
        <f>IFERROR(+_xlfn.RANK.EQ(dHdcp[[#This Row],[Ranking]],dHdcp[Ranking],1),"")</f>
        <v/>
      </c>
      <c r="M740" t="str">
        <f>+dHdcp[[#This Row],[Fecha]]&amp;":"&amp;dHdcp[[#This Row],[Nombre]]</f>
        <v>44303:Francisco Hidalgo</v>
      </c>
      <c r="N740">
        <f>+COUNTIF(dHdcp[Columna1],dHdcp[[#This Row],[Columna1]])</f>
        <v>1</v>
      </c>
    </row>
    <row r="741" spans="1:14">
      <c r="A741" s="2">
        <v>44303</v>
      </c>
      <c r="B741" t="s">
        <v>35</v>
      </c>
      <c r="C741" s="51">
        <v>18.7</v>
      </c>
      <c r="D741">
        <f>+VLOOKUP(dHdcp[[#This Row],[Handicap]],'Categoría Hdcap'!$B$2:$E$7,4)</f>
        <v>4</v>
      </c>
      <c r="E741" t="s">
        <v>74</v>
      </c>
      <c r="F741" t="s">
        <v>1207</v>
      </c>
      <c r="G741">
        <f>+IF(dHdcp[[#This Row],[Fecha]]=MAX(dHdcp[Fecha]),1,0)</f>
        <v>0</v>
      </c>
      <c r="H741" t="str">
        <f>+dHdcp[[#This Row],[Maximo]]&amp;":"&amp;dHdcp[[#This Row],[Nombre]]</f>
        <v>0:GLEZ JUAN JOSÉ</v>
      </c>
      <c r="I741" t="str">
        <f>+dHdcp[[#This Row],[Maximo]]&amp;":"&amp;_xlfn.XLOOKUP(dHdcp[[#This Row],[Nombre]],dJugador[Nombre],dJugador[Mote],"",0)</f>
        <v>0:Juanjo</v>
      </c>
      <c r="J741" t="str">
        <f>+IF(dHdcp[[#This Row],[Maximo]]=0,"",_xlfn.RANK.EQ(dHdcp[[#This Row],[Handicap]],dHdcp[Handicap],1))</f>
        <v/>
      </c>
      <c r="K741" t="str">
        <f>IFERROR(+_xlfn.RANK.EQ(dHdcp[[#This Row],[Ranking]],dHdcp[Ranking],1),"")</f>
        <v/>
      </c>
      <c r="M741" t="str">
        <f>+dHdcp[[#This Row],[Fecha]]&amp;":"&amp;dHdcp[[#This Row],[Nombre]]</f>
        <v>44303:GLEZ JUAN JOSÉ</v>
      </c>
      <c r="N741">
        <f>+COUNTIF(dHdcp[Columna1],dHdcp[[#This Row],[Columna1]])</f>
        <v>1</v>
      </c>
    </row>
    <row r="742" spans="1:14">
      <c r="A742" s="2">
        <v>44303</v>
      </c>
      <c r="B742" t="s">
        <v>6</v>
      </c>
      <c r="C742" s="51">
        <v>6.5</v>
      </c>
      <c r="D742">
        <f>+VLOOKUP(dHdcp[[#This Row],[Handicap]],'Categoría Hdcap'!$B$2:$E$7,4)</f>
        <v>2</v>
      </c>
      <c r="E742" t="s">
        <v>74</v>
      </c>
      <c r="F742" t="s">
        <v>1208</v>
      </c>
      <c r="G742">
        <f>+IF(dHdcp[[#This Row],[Fecha]]=MAX(dHdcp[Fecha]),1,0)</f>
        <v>0</v>
      </c>
      <c r="H742" t="str">
        <f>+dHdcp[[#This Row],[Maximo]]&amp;":"&amp;dHdcp[[#This Row],[Nombre]]</f>
        <v>0:Ignacio Cadarso</v>
      </c>
      <c r="I742" t="str">
        <f>+dHdcp[[#This Row],[Maximo]]&amp;":"&amp;_xlfn.XLOOKUP(dHdcp[[#This Row],[Nombre]],dJugador[Nombre],dJugador[Mote],"",0)</f>
        <v>0:Ignacio</v>
      </c>
      <c r="J742" t="str">
        <f>+IF(dHdcp[[#This Row],[Maximo]]=0,"",_xlfn.RANK.EQ(dHdcp[[#This Row],[Handicap]],dHdcp[Handicap],1))</f>
        <v/>
      </c>
      <c r="K742" t="str">
        <f>IFERROR(+_xlfn.RANK.EQ(dHdcp[[#This Row],[Ranking]],dHdcp[Ranking],1),"")</f>
        <v/>
      </c>
      <c r="M742" t="str">
        <f>+dHdcp[[#This Row],[Fecha]]&amp;":"&amp;dHdcp[[#This Row],[Nombre]]</f>
        <v>44303:Ignacio Cadarso</v>
      </c>
      <c r="N742">
        <f>+COUNTIF(dHdcp[Columna1],dHdcp[[#This Row],[Columna1]])</f>
        <v>1</v>
      </c>
    </row>
    <row r="743" spans="1:14">
      <c r="A743" s="2">
        <v>44303</v>
      </c>
      <c r="B743" t="s">
        <v>23</v>
      </c>
      <c r="C743" s="51">
        <v>19.100000000000001</v>
      </c>
      <c r="D743">
        <f>+VLOOKUP(dHdcp[[#This Row],[Handicap]],'Categoría Hdcap'!$B$2:$E$7,4)</f>
        <v>4</v>
      </c>
      <c r="E743" t="s">
        <v>74</v>
      </c>
      <c r="F743" t="s">
        <v>1209</v>
      </c>
      <c r="G743">
        <f>+IF(dHdcp[[#This Row],[Fecha]]=MAX(dHdcp[Fecha]),1,0)</f>
        <v>0</v>
      </c>
      <c r="H743" t="str">
        <f>+dHdcp[[#This Row],[Maximo]]&amp;":"&amp;dHdcp[[#This Row],[Nombre]]</f>
        <v>0:J. Enrique Gonzalez</v>
      </c>
      <c r="I743" t="str">
        <f>+dHdcp[[#This Row],[Maximo]]&amp;":"&amp;_xlfn.XLOOKUP(dHdcp[[#This Row],[Nombre]],dJugador[Nombre],dJugador[Mote],"",0)</f>
        <v>0:Kike</v>
      </c>
      <c r="J743" t="str">
        <f>+IF(dHdcp[[#This Row],[Maximo]]=0,"",_xlfn.RANK.EQ(dHdcp[[#This Row],[Handicap]],dHdcp[Handicap],1))</f>
        <v/>
      </c>
      <c r="K743" t="str">
        <f>IFERROR(+_xlfn.RANK.EQ(dHdcp[[#This Row],[Ranking]],dHdcp[Ranking],1),"")</f>
        <v/>
      </c>
      <c r="M743" t="str">
        <f>+dHdcp[[#This Row],[Fecha]]&amp;":"&amp;dHdcp[[#This Row],[Nombre]]</f>
        <v>44303:J. Enrique Gonzalez</v>
      </c>
      <c r="N743">
        <f>+COUNTIF(dHdcp[Columna1],dHdcp[[#This Row],[Columna1]])</f>
        <v>1</v>
      </c>
    </row>
    <row r="744" spans="1:14">
      <c r="A744" s="2">
        <v>44303</v>
      </c>
      <c r="B744" t="s">
        <v>46</v>
      </c>
      <c r="C744" s="51">
        <v>15.1</v>
      </c>
      <c r="D744">
        <f>+VLOOKUP(dHdcp[[#This Row],[Handicap]],'Categoría Hdcap'!$B$2:$E$7,4)</f>
        <v>3</v>
      </c>
      <c r="E744" t="s">
        <v>74</v>
      </c>
      <c r="F744" t="s">
        <v>1210</v>
      </c>
      <c r="G744">
        <f>+IF(dHdcp[[#This Row],[Fecha]]=MAX(dHdcp[Fecha]),1,0)</f>
        <v>0</v>
      </c>
      <c r="H744" t="str">
        <f>+dHdcp[[#This Row],[Maximo]]&amp;":"&amp;dHdcp[[#This Row],[Nombre]]</f>
        <v>0:Javier Cervera</v>
      </c>
      <c r="I744" t="str">
        <f>+dHdcp[[#This Row],[Maximo]]&amp;":"&amp;_xlfn.XLOOKUP(dHdcp[[#This Row],[Nombre]],dJugador[Nombre],dJugador[Mote],"",0)</f>
        <v>0:Virus</v>
      </c>
      <c r="J744" t="str">
        <f>+IF(dHdcp[[#This Row],[Maximo]]=0,"",_xlfn.RANK.EQ(dHdcp[[#This Row],[Handicap]],dHdcp[Handicap],1))</f>
        <v/>
      </c>
      <c r="K744" t="str">
        <f>IFERROR(+_xlfn.RANK.EQ(dHdcp[[#This Row],[Ranking]],dHdcp[Ranking],1),"")</f>
        <v/>
      </c>
      <c r="M744" t="str">
        <f>+dHdcp[[#This Row],[Fecha]]&amp;":"&amp;dHdcp[[#This Row],[Nombre]]</f>
        <v>44303:Javier Cervera</v>
      </c>
      <c r="N744">
        <f>+COUNTIF(dHdcp[Columna1],dHdcp[[#This Row],[Columna1]])</f>
        <v>1</v>
      </c>
    </row>
    <row r="745" spans="1:14">
      <c r="A745" s="2">
        <v>44303</v>
      </c>
      <c r="B745" t="s">
        <v>20</v>
      </c>
      <c r="C745" s="51">
        <v>15.7</v>
      </c>
      <c r="D745">
        <f>+VLOOKUP(dHdcp[[#This Row],[Handicap]],'Categoría Hdcap'!$B$2:$E$7,4)</f>
        <v>3</v>
      </c>
      <c r="E745" t="s">
        <v>74</v>
      </c>
      <c r="F745" t="s">
        <v>1211</v>
      </c>
      <c r="G745">
        <f>+IF(dHdcp[[#This Row],[Fecha]]=MAX(dHdcp[Fecha]),1,0)</f>
        <v>0</v>
      </c>
      <c r="H745" t="str">
        <f>+dHdcp[[#This Row],[Maximo]]&amp;":"&amp;dHdcp[[#This Row],[Nombre]]</f>
        <v>0:Javier Gonzalez Salvador</v>
      </c>
      <c r="I745" t="str">
        <f>+dHdcp[[#This Row],[Maximo]]&amp;":"&amp;_xlfn.XLOOKUP(dHdcp[[#This Row],[Nombre]],dJugador[Nombre],dJugador[Mote],"",0)</f>
        <v>0:Javi</v>
      </c>
      <c r="J745" t="str">
        <f>+IF(dHdcp[[#This Row],[Maximo]]=0,"",_xlfn.RANK.EQ(dHdcp[[#This Row],[Handicap]],dHdcp[Handicap],1))</f>
        <v/>
      </c>
      <c r="K745" t="str">
        <f>IFERROR(+_xlfn.RANK.EQ(dHdcp[[#This Row],[Ranking]],dHdcp[Ranking],1),"")</f>
        <v/>
      </c>
      <c r="M745" t="str">
        <f>+dHdcp[[#This Row],[Fecha]]&amp;":"&amp;dHdcp[[#This Row],[Nombre]]</f>
        <v>44303:Javier Gonzalez Salvador</v>
      </c>
      <c r="N745">
        <f>+COUNTIF(dHdcp[Columna1],dHdcp[[#This Row],[Columna1]])</f>
        <v>1</v>
      </c>
    </row>
    <row r="746" spans="1:14">
      <c r="A746" s="2">
        <v>44303</v>
      </c>
      <c r="B746" t="s">
        <v>41</v>
      </c>
      <c r="C746" s="51">
        <v>22.6</v>
      </c>
      <c r="D746">
        <f>+VLOOKUP(dHdcp[[#This Row],[Handicap]],'Categoría Hdcap'!$B$2:$E$7,4)</f>
        <v>4</v>
      </c>
      <c r="E746" t="s">
        <v>74</v>
      </c>
      <c r="F746" t="s">
        <v>1212</v>
      </c>
      <c r="G746">
        <f>+IF(dHdcp[[#This Row],[Fecha]]=MAX(dHdcp[Fecha]),1,0)</f>
        <v>0</v>
      </c>
      <c r="H746" t="str">
        <f>+dHdcp[[#This Row],[Maximo]]&amp;":"&amp;dHdcp[[#This Row],[Nombre]]</f>
        <v>0:Jesus Touceda</v>
      </c>
      <c r="I746" t="str">
        <f>+dHdcp[[#This Row],[Maximo]]&amp;":"&amp;_xlfn.XLOOKUP(dHdcp[[#This Row],[Nombre]],dJugador[Nombre],dJugador[Mote],"",0)</f>
        <v>0:Jesús</v>
      </c>
      <c r="J746" t="str">
        <f>+IF(dHdcp[[#This Row],[Maximo]]=0,"",_xlfn.RANK.EQ(dHdcp[[#This Row],[Handicap]],dHdcp[Handicap],1))</f>
        <v/>
      </c>
      <c r="K746" t="str">
        <f>IFERROR(+_xlfn.RANK.EQ(dHdcp[[#This Row],[Ranking]],dHdcp[Ranking],1),"")</f>
        <v/>
      </c>
      <c r="M746" t="str">
        <f>+dHdcp[[#This Row],[Fecha]]&amp;":"&amp;dHdcp[[#This Row],[Nombre]]</f>
        <v>44303:Jesus Touceda</v>
      </c>
      <c r="N746">
        <f>+COUNTIF(dHdcp[Columna1],dHdcp[[#This Row],[Columna1]])</f>
        <v>1</v>
      </c>
    </row>
    <row r="747" spans="1:14">
      <c r="A747" s="2">
        <v>44303</v>
      </c>
      <c r="B747" t="s">
        <v>18</v>
      </c>
      <c r="C747" s="51">
        <v>6.8</v>
      </c>
      <c r="D747">
        <f>+VLOOKUP(dHdcp[[#This Row],[Handicap]],'Categoría Hdcap'!$B$2:$E$7,4)</f>
        <v>2</v>
      </c>
      <c r="E747" t="s">
        <v>74</v>
      </c>
      <c r="F747" t="s">
        <v>1213</v>
      </c>
      <c r="G747">
        <f>+IF(dHdcp[[#This Row],[Fecha]]=MAX(dHdcp[Fecha]),1,0)</f>
        <v>0</v>
      </c>
      <c r="H747" t="str">
        <f>+dHdcp[[#This Row],[Maximo]]&amp;":"&amp;dHdcp[[#This Row],[Nombre]]</f>
        <v>0:José Pablo Guil</v>
      </c>
      <c r="I747" t="str">
        <f>+dHdcp[[#This Row],[Maximo]]&amp;":"&amp;_xlfn.XLOOKUP(dHdcp[[#This Row],[Nombre]],dJugador[Nombre],dJugador[Mote],"",0)</f>
        <v>0:JP</v>
      </c>
      <c r="J747" t="str">
        <f>+IF(dHdcp[[#This Row],[Maximo]]=0,"",_xlfn.RANK.EQ(dHdcp[[#This Row],[Handicap]],dHdcp[Handicap],1))</f>
        <v/>
      </c>
      <c r="K747" t="str">
        <f>IFERROR(+_xlfn.RANK.EQ(dHdcp[[#This Row],[Ranking]],dHdcp[Ranking],1),"")</f>
        <v/>
      </c>
      <c r="M747" t="str">
        <f>+dHdcp[[#This Row],[Fecha]]&amp;":"&amp;dHdcp[[#This Row],[Nombre]]</f>
        <v>44303:José Pablo Guil</v>
      </c>
      <c r="N747">
        <f>+COUNTIF(dHdcp[Columna1],dHdcp[[#This Row],[Columna1]])</f>
        <v>1</v>
      </c>
    </row>
    <row r="748" spans="1:14">
      <c r="A748" s="2">
        <v>44303</v>
      </c>
      <c r="B748" t="s">
        <v>43</v>
      </c>
      <c r="C748" s="51">
        <v>18.3</v>
      </c>
      <c r="D748">
        <f>+VLOOKUP(dHdcp[[#This Row],[Handicap]],'Categoría Hdcap'!$B$2:$E$7,4)</f>
        <v>3</v>
      </c>
      <c r="E748" t="s">
        <v>74</v>
      </c>
      <c r="F748" t="s">
        <v>1214</v>
      </c>
      <c r="G748">
        <f>+IF(dHdcp[[#This Row],[Fecha]]=MAX(dHdcp[Fecha]),1,0)</f>
        <v>0</v>
      </c>
      <c r="H748" t="str">
        <f>+dHdcp[[#This Row],[Maximo]]&amp;":"&amp;dHdcp[[#This Row],[Nombre]]</f>
        <v>0:Luis Escudero</v>
      </c>
      <c r="I748" t="str">
        <f>+dHdcp[[#This Row],[Maximo]]&amp;":"&amp;_xlfn.XLOOKUP(dHdcp[[#This Row],[Nombre]],dJugador[Nombre],dJugador[Mote],"",0)</f>
        <v>0:Lucho</v>
      </c>
      <c r="J748" t="str">
        <f>+IF(dHdcp[[#This Row],[Maximo]]=0,"",_xlfn.RANK.EQ(dHdcp[[#This Row],[Handicap]],dHdcp[Handicap],1))</f>
        <v/>
      </c>
      <c r="K748" t="str">
        <f>IFERROR(+_xlfn.RANK.EQ(dHdcp[[#This Row],[Ranking]],dHdcp[Ranking],1),"")</f>
        <v/>
      </c>
      <c r="M748" t="str">
        <f>+dHdcp[[#This Row],[Fecha]]&amp;":"&amp;dHdcp[[#This Row],[Nombre]]</f>
        <v>44303:Luis Escudero</v>
      </c>
      <c r="N748">
        <f>+COUNTIF(dHdcp[Columna1],dHdcp[[#This Row],[Columna1]])</f>
        <v>1</v>
      </c>
    </row>
    <row r="749" spans="1:14">
      <c r="A749" s="2">
        <v>44303</v>
      </c>
      <c r="B749" s="10" t="s">
        <v>135</v>
      </c>
      <c r="C749" s="53">
        <v>19.899999999999999</v>
      </c>
      <c r="D749" s="10">
        <f>+VLOOKUP(dHdcp[[#This Row],[Handicap]],'Categoría Hdcap'!$B$2:$E$7,4)</f>
        <v>4</v>
      </c>
      <c r="E749" s="10" t="s">
        <v>74</v>
      </c>
      <c r="F749" s="10" t="s">
        <v>1215</v>
      </c>
      <c r="G749">
        <f>+IF(dHdcp[[#This Row],[Fecha]]=MAX(dHdcp[Fecha]),1,0)</f>
        <v>0</v>
      </c>
      <c r="H749" t="str">
        <f>+dHdcp[[#This Row],[Maximo]]&amp;":"&amp;dHdcp[[#This Row],[Nombre]]</f>
        <v>0:Miche Lopez</v>
      </c>
      <c r="I749" t="str">
        <f>+dHdcp[[#This Row],[Maximo]]&amp;":"&amp;_xlfn.XLOOKUP(dHdcp[[#This Row],[Nombre]],dJugador[Nombre],dJugador[Mote],"",0)</f>
        <v>0:Miche</v>
      </c>
      <c r="J749" t="str">
        <f>+IF(dHdcp[[#This Row],[Maximo]]=0,"",_xlfn.RANK.EQ(dHdcp[[#This Row],[Handicap]],dHdcp[Handicap],1))</f>
        <v/>
      </c>
      <c r="K749" t="str">
        <f>IFERROR(+_xlfn.RANK.EQ(dHdcp[[#This Row],[Ranking]],dHdcp[Ranking],1),"")</f>
        <v/>
      </c>
      <c r="M749" t="str">
        <f>+dHdcp[[#This Row],[Fecha]]&amp;":"&amp;dHdcp[[#This Row],[Nombre]]</f>
        <v>44303:Miche Lopez</v>
      </c>
      <c r="N749">
        <f>+COUNTIF(dHdcp[Columna1],dHdcp[[#This Row],[Columna1]])</f>
        <v>1</v>
      </c>
    </row>
    <row r="750" spans="1:14">
      <c r="A750" s="2">
        <v>44303</v>
      </c>
      <c r="B750" t="s">
        <v>51</v>
      </c>
      <c r="C750" s="51">
        <v>1.1000000000000001</v>
      </c>
      <c r="D750">
        <f>+VLOOKUP(dHdcp[[#This Row],[Handicap]],'Categoría Hdcap'!$B$2:$E$7,4)</f>
        <v>1</v>
      </c>
      <c r="E750" t="s">
        <v>74</v>
      </c>
      <c r="F750" t="s">
        <v>1216</v>
      </c>
      <c r="G750">
        <f>+IF(dHdcp[[#This Row],[Fecha]]=MAX(dHdcp[Fecha]),1,0)</f>
        <v>0</v>
      </c>
      <c r="H750" t="str">
        <f>+dHdcp[[#This Row],[Maximo]]&amp;":"&amp;dHdcp[[#This Row],[Nombre]]</f>
        <v>0:Miguel Diaz Del Moral</v>
      </c>
      <c r="I750" t="str">
        <f>+dHdcp[[#This Row],[Maximo]]&amp;":"&amp;_xlfn.XLOOKUP(dHdcp[[#This Row],[Nombre]],dJugador[Nombre],dJugador[Mote],"",0)</f>
        <v>0:Cañita</v>
      </c>
      <c r="J750" t="str">
        <f>+IF(dHdcp[[#This Row],[Maximo]]=0,"",_xlfn.RANK.EQ(dHdcp[[#This Row],[Handicap]],dHdcp[Handicap],1))</f>
        <v/>
      </c>
      <c r="K750" t="str">
        <f>IFERROR(+_xlfn.RANK.EQ(dHdcp[[#This Row],[Ranking]],dHdcp[Ranking],1),"")</f>
        <v/>
      </c>
      <c r="M750" t="str">
        <f>+dHdcp[[#This Row],[Fecha]]&amp;":"&amp;dHdcp[[#This Row],[Nombre]]</f>
        <v>44303:Miguel Diaz Del Moral</v>
      </c>
      <c r="N750">
        <f>+COUNTIF(dHdcp[Columna1],dHdcp[[#This Row],[Columna1]])</f>
        <v>1</v>
      </c>
    </row>
    <row r="751" spans="1:14">
      <c r="A751" s="2">
        <v>44303</v>
      </c>
      <c r="B751" t="s">
        <v>3</v>
      </c>
      <c r="C751" s="51">
        <v>5.5</v>
      </c>
      <c r="D751">
        <f>+VLOOKUP(dHdcp[[#This Row],[Handicap]],'Categoría Hdcap'!$B$2:$E$7,4)</f>
        <v>2</v>
      </c>
      <c r="E751" t="s">
        <v>74</v>
      </c>
      <c r="F751" t="s">
        <v>1217</v>
      </c>
      <c r="G751">
        <f>+IF(dHdcp[[#This Row],[Fecha]]=MAX(dHdcp[Fecha]),1,0)</f>
        <v>0</v>
      </c>
      <c r="H751" t="str">
        <f>+dHdcp[[#This Row],[Maximo]]&amp;":"&amp;dHdcp[[#This Row],[Nombre]]</f>
        <v>0:Nacho Gonzalez</v>
      </c>
      <c r="I751" t="str">
        <f>+dHdcp[[#This Row],[Maximo]]&amp;":"&amp;_xlfn.XLOOKUP(dHdcp[[#This Row],[Nombre]],dJugador[Nombre],dJugador[Mote],"",0)</f>
        <v>0:Nacho</v>
      </c>
      <c r="J751" t="str">
        <f>+IF(dHdcp[[#This Row],[Maximo]]=0,"",_xlfn.RANK.EQ(dHdcp[[#This Row],[Handicap]],dHdcp[Handicap],1))</f>
        <v/>
      </c>
      <c r="K751" t="str">
        <f>IFERROR(+_xlfn.RANK.EQ(dHdcp[[#This Row],[Ranking]],dHdcp[Ranking],1),"")</f>
        <v/>
      </c>
      <c r="M751" t="str">
        <f>+dHdcp[[#This Row],[Fecha]]&amp;":"&amp;dHdcp[[#This Row],[Nombre]]</f>
        <v>44303:Nacho Gonzalez</v>
      </c>
      <c r="N751">
        <f>+COUNTIF(dHdcp[Columna1],dHdcp[[#This Row],[Columna1]])</f>
        <v>1</v>
      </c>
    </row>
    <row r="752" spans="1:14">
      <c r="A752" s="2">
        <v>44303</v>
      </c>
      <c r="B752" t="s">
        <v>28</v>
      </c>
      <c r="C752" s="51">
        <v>13.7</v>
      </c>
      <c r="D752">
        <f>+VLOOKUP(dHdcp[[#This Row],[Handicap]],'Categoría Hdcap'!$B$2:$E$7,4)</f>
        <v>3</v>
      </c>
      <c r="E752" t="s">
        <v>74</v>
      </c>
      <c r="F752" t="s">
        <v>1218</v>
      </c>
      <c r="G752">
        <f>+IF(dHdcp[[#This Row],[Fecha]]=MAX(dHdcp[Fecha]),1,0)</f>
        <v>0</v>
      </c>
      <c r="H752" t="str">
        <f>+dHdcp[[#This Row],[Maximo]]&amp;":"&amp;dHdcp[[#This Row],[Nombre]]</f>
        <v>0:Pablo Munitiz</v>
      </c>
      <c r="I752" t="str">
        <f>+dHdcp[[#This Row],[Maximo]]&amp;":"&amp;_xlfn.XLOOKUP(dHdcp[[#This Row],[Nombre]],dJugador[Nombre],dJugador[Mote],"",0)</f>
        <v>0:Muni</v>
      </c>
      <c r="J752" t="str">
        <f>+IF(dHdcp[[#This Row],[Maximo]]=0,"",_xlfn.RANK.EQ(dHdcp[[#This Row],[Handicap]],dHdcp[Handicap],1))</f>
        <v/>
      </c>
      <c r="K752" t="str">
        <f>IFERROR(+_xlfn.RANK.EQ(dHdcp[[#This Row],[Ranking]],dHdcp[Ranking],1),"")</f>
        <v/>
      </c>
      <c r="M752" t="str">
        <f>+dHdcp[[#This Row],[Fecha]]&amp;":"&amp;dHdcp[[#This Row],[Nombre]]</f>
        <v>44303:Pablo Munitiz</v>
      </c>
      <c r="N752">
        <f>+COUNTIF(dHdcp[Columna1],dHdcp[[#This Row],[Columna1]])</f>
        <v>1</v>
      </c>
    </row>
    <row r="753" spans="1:14">
      <c r="A753" s="2">
        <v>44323</v>
      </c>
      <c r="B753" t="s">
        <v>9</v>
      </c>
      <c r="C753" s="51">
        <v>9.3000000000000007</v>
      </c>
      <c r="D753">
        <f>+VLOOKUP(dHdcp[[#This Row],[Handicap]],'Categoría Hdcap'!$B$2:$E$7,4)</f>
        <v>2</v>
      </c>
      <c r="E753" t="s">
        <v>74</v>
      </c>
      <c r="F753" t="s">
        <v>1219</v>
      </c>
      <c r="G753">
        <f>+IF(dHdcp[[#This Row],[Fecha]]=MAX(dHdcp[Fecha]),1,0)</f>
        <v>0</v>
      </c>
      <c r="H753" t="str">
        <f>+dHdcp[[#This Row],[Maximo]]&amp;":"&amp;dHdcp[[#This Row],[Nombre]]</f>
        <v>0:Alfonso Hidalgo</v>
      </c>
      <c r="I753" t="str">
        <f>+dHdcp[[#This Row],[Maximo]]&amp;":"&amp;_xlfn.XLOOKUP(dHdcp[[#This Row],[Nombre]],dJugador[Nombre],dJugador[Mote],"",0)</f>
        <v>0:Alfonso</v>
      </c>
      <c r="J753" t="str">
        <f>+IF(dHdcp[[#This Row],[Maximo]]=0,"",_xlfn.RANK.EQ(dHdcp[[#This Row],[Handicap]],dHdcp[Handicap],1))</f>
        <v/>
      </c>
      <c r="K753" t="str">
        <f>IFERROR(+_xlfn.RANK.EQ(dHdcp[[#This Row],[Ranking]],dHdcp[Ranking],1),"")</f>
        <v/>
      </c>
      <c r="M753" t="str">
        <f>+dHdcp[[#This Row],[Fecha]]&amp;":"&amp;dHdcp[[#This Row],[Nombre]]</f>
        <v>44323:Alfonso Hidalgo</v>
      </c>
      <c r="N753">
        <f>+COUNTIF(dHdcp[Columna1],dHdcp[[#This Row],[Columna1]])</f>
        <v>1</v>
      </c>
    </row>
    <row r="754" spans="1:14">
      <c r="A754" s="2">
        <v>44323</v>
      </c>
      <c r="B754" t="s">
        <v>15</v>
      </c>
      <c r="C754" s="51">
        <v>6.4</v>
      </c>
      <c r="D754">
        <f>+VLOOKUP(dHdcp[[#This Row],[Handicap]],'Categoría Hdcap'!$B$2:$E$7,4)</f>
        <v>2</v>
      </c>
      <c r="E754" t="s">
        <v>74</v>
      </c>
      <c r="F754" t="s">
        <v>1220</v>
      </c>
      <c r="G754">
        <f>+IF(dHdcp[[#This Row],[Fecha]]=MAX(dHdcp[Fecha]),1,0)</f>
        <v>0</v>
      </c>
      <c r="H754" t="str">
        <f>+dHdcp[[#This Row],[Maximo]]&amp;":"&amp;dHdcp[[#This Row],[Nombre]]</f>
        <v>0:Alvaro Aguirre</v>
      </c>
      <c r="I754" t="str">
        <f>+dHdcp[[#This Row],[Maximo]]&amp;":"&amp;_xlfn.XLOOKUP(dHdcp[[#This Row],[Nombre]],dJugador[Nombre],dJugador[Mote],"",0)</f>
        <v>0:Gifu</v>
      </c>
      <c r="J754" t="str">
        <f>+IF(dHdcp[[#This Row],[Maximo]]=0,"",_xlfn.RANK.EQ(dHdcp[[#This Row],[Handicap]],dHdcp[Handicap],1))</f>
        <v/>
      </c>
      <c r="K754" t="str">
        <f>IFERROR(+_xlfn.RANK.EQ(dHdcp[[#This Row],[Ranking]],dHdcp[Ranking],1),"")</f>
        <v/>
      </c>
      <c r="M754" t="str">
        <f>+dHdcp[[#This Row],[Fecha]]&amp;":"&amp;dHdcp[[#This Row],[Nombre]]</f>
        <v>44323:Alvaro Aguirre</v>
      </c>
      <c r="N754">
        <f>+COUNTIF(dHdcp[Columna1],dHdcp[[#This Row],[Columna1]])</f>
        <v>1</v>
      </c>
    </row>
    <row r="755" spans="1:14">
      <c r="A755" s="2">
        <v>44323</v>
      </c>
      <c r="B755" t="s">
        <v>25</v>
      </c>
      <c r="C755" s="51">
        <v>14.4</v>
      </c>
      <c r="D755">
        <f>+VLOOKUP(dHdcp[[#This Row],[Handicap]],'Categoría Hdcap'!$B$2:$E$7,4)</f>
        <v>3</v>
      </c>
      <c r="E755" t="s">
        <v>74</v>
      </c>
      <c r="F755" t="s">
        <v>1221</v>
      </c>
      <c r="G755">
        <f>+IF(dHdcp[[#This Row],[Fecha]]=MAX(dHdcp[Fecha]),1,0)</f>
        <v>0</v>
      </c>
      <c r="H755" t="str">
        <f>+dHdcp[[#This Row],[Maximo]]&amp;":"&amp;dHdcp[[#This Row],[Nombre]]</f>
        <v>0:Alvaro Nieto</v>
      </c>
      <c r="I755" t="str">
        <f>+dHdcp[[#This Row],[Maximo]]&amp;":"&amp;_xlfn.XLOOKUP(dHdcp[[#This Row],[Nombre]],dJugador[Nombre],dJugador[Mote],"",0)</f>
        <v>0:Alvaro</v>
      </c>
      <c r="J755" t="str">
        <f>+IF(dHdcp[[#This Row],[Maximo]]=0,"",_xlfn.RANK.EQ(dHdcp[[#This Row],[Handicap]],dHdcp[Handicap],1))</f>
        <v/>
      </c>
      <c r="K755" t="str">
        <f>IFERROR(+_xlfn.RANK.EQ(dHdcp[[#This Row],[Ranking]],dHdcp[Ranking],1),"")</f>
        <v/>
      </c>
      <c r="M755" t="str">
        <f>+dHdcp[[#This Row],[Fecha]]&amp;":"&amp;dHdcp[[#This Row],[Nombre]]</f>
        <v>44323:Alvaro Nieto</v>
      </c>
      <c r="N755">
        <f>+COUNTIF(dHdcp[Columna1],dHdcp[[#This Row],[Columna1]])</f>
        <v>1</v>
      </c>
    </row>
    <row r="756" spans="1:14">
      <c r="A756" s="2">
        <v>44323</v>
      </c>
      <c r="B756" t="s">
        <v>33</v>
      </c>
      <c r="C756" s="51">
        <v>7.6</v>
      </c>
      <c r="D756">
        <f>+VLOOKUP(dHdcp[[#This Row],[Handicap]],'Categoría Hdcap'!$B$2:$E$7,4)</f>
        <v>2</v>
      </c>
      <c r="E756" t="s">
        <v>74</v>
      </c>
      <c r="F756" t="s">
        <v>1222</v>
      </c>
      <c r="G756">
        <f>+IF(dHdcp[[#This Row],[Fecha]]=MAX(dHdcp[Fecha]),1,0)</f>
        <v>0</v>
      </c>
      <c r="H756" t="str">
        <f>+dHdcp[[#This Row],[Maximo]]&amp;":"&amp;dHdcp[[#This Row],[Nombre]]</f>
        <v>0:Angel Hernandez</v>
      </c>
      <c r="I756" t="str">
        <f>+dHdcp[[#This Row],[Maximo]]&amp;":"&amp;_xlfn.XLOOKUP(dHdcp[[#This Row],[Nombre]],dJugador[Nombre],dJugador[Mote],"",0)</f>
        <v>0:Angel</v>
      </c>
      <c r="J756" t="str">
        <f>+IF(dHdcp[[#This Row],[Maximo]]=0,"",_xlfn.RANK.EQ(dHdcp[[#This Row],[Handicap]],dHdcp[Handicap],1))</f>
        <v/>
      </c>
      <c r="K756" t="str">
        <f>IFERROR(+_xlfn.RANK.EQ(dHdcp[[#This Row],[Ranking]],dHdcp[Ranking],1),"")</f>
        <v/>
      </c>
      <c r="M756" t="str">
        <f>+dHdcp[[#This Row],[Fecha]]&amp;":"&amp;dHdcp[[#This Row],[Nombre]]</f>
        <v>44323:Angel Hernandez</v>
      </c>
      <c r="N756">
        <f>+COUNTIF(dHdcp[Columna1],dHdcp[[#This Row],[Columna1]])</f>
        <v>1</v>
      </c>
    </row>
    <row r="757" spans="1:14">
      <c r="A757" s="2">
        <v>44323</v>
      </c>
      <c r="B757" t="s">
        <v>30</v>
      </c>
      <c r="C757" s="51">
        <v>12.3</v>
      </c>
      <c r="D757">
        <f>+VLOOKUP(dHdcp[[#This Row],[Handicap]],'Categoría Hdcap'!$B$2:$E$7,4)</f>
        <v>3</v>
      </c>
      <c r="E757" t="s">
        <v>74</v>
      </c>
      <c r="F757" t="s">
        <v>1223</v>
      </c>
      <c r="G757">
        <f>+IF(dHdcp[[#This Row],[Fecha]]=MAX(dHdcp[Fecha]),1,0)</f>
        <v>0</v>
      </c>
      <c r="H757" t="str">
        <f>+dHdcp[[#This Row],[Maximo]]&amp;":"&amp;dHdcp[[#This Row],[Nombre]]</f>
        <v>0:David Sequera</v>
      </c>
      <c r="I757" t="str">
        <f>+dHdcp[[#This Row],[Maximo]]&amp;":"&amp;_xlfn.XLOOKUP(dHdcp[[#This Row],[Nombre]],dJugador[Nombre],dJugador[Mote],"",0)</f>
        <v>0:David</v>
      </c>
      <c r="J757" t="str">
        <f>+IF(dHdcp[[#This Row],[Maximo]]=0,"",_xlfn.RANK.EQ(dHdcp[[#This Row],[Handicap]],dHdcp[Handicap],1))</f>
        <v/>
      </c>
      <c r="K757" t="str">
        <f>IFERROR(+_xlfn.RANK.EQ(dHdcp[[#This Row],[Ranking]],dHdcp[Ranking],1),"")</f>
        <v/>
      </c>
      <c r="M757" t="str">
        <f>+dHdcp[[#This Row],[Fecha]]&amp;":"&amp;dHdcp[[#This Row],[Nombre]]</f>
        <v>44323:David Sequera</v>
      </c>
      <c r="N757">
        <f>+COUNTIF(dHdcp[Columna1],dHdcp[[#This Row],[Columna1]])</f>
        <v>1</v>
      </c>
    </row>
    <row r="758" spans="1:14">
      <c r="A758" s="2">
        <v>44323</v>
      </c>
      <c r="B758" t="s">
        <v>12</v>
      </c>
      <c r="C758" s="51">
        <v>16.399999999999999</v>
      </c>
      <c r="D758">
        <f>+VLOOKUP(dHdcp[[#This Row],[Handicap]],'Categoría Hdcap'!$B$2:$E$7,4)</f>
        <v>3</v>
      </c>
      <c r="E758" t="s">
        <v>74</v>
      </c>
      <c r="F758" t="s">
        <v>1224</v>
      </c>
      <c r="G758">
        <f>+IF(dHdcp[[#This Row],[Fecha]]=MAX(dHdcp[Fecha]),1,0)</f>
        <v>0</v>
      </c>
      <c r="H758" t="str">
        <f>+dHdcp[[#This Row],[Maximo]]&amp;":"&amp;dHdcp[[#This Row],[Nombre]]</f>
        <v>0:Francisco Alvarez</v>
      </c>
      <c r="I758" t="str">
        <f>+dHdcp[[#This Row],[Maximo]]&amp;":"&amp;_xlfn.XLOOKUP(dHdcp[[#This Row],[Nombre]],dJugador[Nombre],dJugador[Mote],"",0)</f>
        <v>0:Paco</v>
      </c>
      <c r="J758" t="str">
        <f>+IF(dHdcp[[#This Row],[Maximo]]=0,"",_xlfn.RANK.EQ(dHdcp[[#This Row],[Handicap]],dHdcp[Handicap],1))</f>
        <v/>
      </c>
      <c r="K758" t="str">
        <f>IFERROR(+_xlfn.RANK.EQ(dHdcp[[#This Row],[Ranking]],dHdcp[Ranking],1),"")</f>
        <v/>
      </c>
      <c r="M758" t="str">
        <f>+dHdcp[[#This Row],[Fecha]]&amp;":"&amp;dHdcp[[#This Row],[Nombre]]</f>
        <v>44323:Francisco Alvarez</v>
      </c>
      <c r="N758">
        <f>+COUNTIF(dHdcp[Columna1],dHdcp[[#This Row],[Columna1]])</f>
        <v>1</v>
      </c>
    </row>
    <row r="759" spans="1:14">
      <c r="A759" s="2">
        <v>44323</v>
      </c>
      <c r="B759" t="s">
        <v>49</v>
      </c>
      <c r="C759" s="51">
        <v>13.8</v>
      </c>
      <c r="D759">
        <f>+VLOOKUP(dHdcp[[#This Row],[Handicap]],'Categoría Hdcap'!$B$2:$E$7,4)</f>
        <v>3</v>
      </c>
      <c r="E759" t="s">
        <v>74</v>
      </c>
      <c r="F759" t="s">
        <v>1225</v>
      </c>
      <c r="G759">
        <f>+IF(dHdcp[[#This Row],[Fecha]]=MAX(dHdcp[Fecha]),1,0)</f>
        <v>0</v>
      </c>
      <c r="H759" t="str">
        <f>+dHdcp[[#This Row],[Maximo]]&amp;":"&amp;dHdcp[[#This Row],[Nombre]]</f>
        <v>0:Francisco Hidalgo</v>
      </c>
      <c r="I759" t="str">
        <f>+dHdcp[[#This Row],[Maximo]]&amp;":"&amp;_xlfn.XLOOKUP(dHdcp[[#This Row],[Nombre]],dJugador[Nombre],dJugador[Mote],"",0)</f>
        <v>0:Fran</v>
      </c>
      <c r="J759" t="str">
        <f>+IF(dHdcp[[#This Row],[Maximo]]=0,"",_xlfn.RANK.EQ(dHdcp[[#This Row],[Handicap]],dHdcp[Handicap],1))</f>
        <v/>
      </c>
      <c r="K759" t="str">
        <f>IFERROR(+_xlfn.RANK.EQ(dHdcp[[#This Row],[Ranking]],dHdcp[Ranking],1),"")</f>
        <v/>
      </c>
      <c r="M759" t="str">
        <f>+dHdcp[[#This Row],[Fecha]]&amp;":"&amp;dHdcp[[#This Row],[Nombre]]</f>
        <v>44323:Francisco Hidalgo</v>
      </c>
      <c r="N759">
        <f>+COUNTIF(dHdcp[Columna1],dHdcp[[#This Row],[Columna1]])</f>
        <v>1</v>
      </c>
    </row>
    <row r="760" spans="1:14">
      <c r="A760" s="2">
        <v>44323</v>
      </c>
      <c r="B760" t="s">
        <v>35</v>
      </c>
      <c r="C760" s="51">
        <v>18.600000000000001</v>
      </c>
      <c r="D760">
        <f>+VLOOKUP(dHdcp[[#This Row],[Handicap]],'Categoría Hdcap'!$B$2:$E$7,4)</f>
        <v>4</v>
      </c>
      <c r="E760" t="s">
        <v>74</v>
      </c>
      <c r="F760" t="s">
        <v>1226</v>
      </c>
      <c r="G760">
        <f>+IF(dHdcp[[#This Row],[Fecha]]=MAX(dHdcp[Fecha]),1,0)</f>
        <v>0</v>
      </c>
      <c r="H760" t="str">
        <f>+dHdcp[[#This Row],[Maximo]]&amp;":"&amp;dHdcp[[#This Row],[Nombre]]</f>
        <v>0:GLEZ JUAN JOSÉ</v>
      </c>
      <c r="I760" t="str">
        <f>+dHdcp[[#This Row],[Maximo]]&amp;":"&amp;_xlfn.XLOOKUP(dHdcp[[#This Row],[Nombre]],dJugador[Nombre],dJugador[Mote],"",0)</f>
        <v>0:Juanjo</v>
      </c>
      <c r="J760" t="str">
        <f>+IF(dHdcp[[#This Row],[Maximo]]=0,"",_xlfn.RANK.EQ(dHdcp[[#This Row],[Handicap]],dHdcp[Handicap],1))</f>
        <v/>
      </c>
      <c r="K760" t="str">
        <f>IFERROR(+_xlfn.RANK.EQ(dHdcp[[#This Row],[Ranking]],dHdcp[Ranking],1),"")</f>
        <v/>
      </c>
      <c r="M760" t="str">
        <f>+dHdcp[[#This Row],[Fecha]]&amp;":"&amp;dHdcp[[#This Row],[Nombre]]</f>
        <v>44323:GLEZ JUAN JOSÉ</v>
      </c>
      <c r="N760">
        <f>+COUNTIF(dHdcp[Columna1],dHdcp[[#This Row],[Columna1]])</f>
        <v>1</v>
      </c>
    </row>
    <row r="761" spans="1:14">
      <c r="A761" s="2">
        <v>44323</v>
      </c>
      <c r="B761" t="s">
        <v>6</v>
      </c>
      <c r="C761" s="51">
        <v>6.5</v>
      </c>
      <c r="D761">
        <f>+VLOOKUP(dHdcp[[#This Row],[Handicap]],'Categoría Hdcap'!$B$2:$E$7,4)</f>
        <v>2</v>
      </c>
      <c r="E761" t="s">
        <v>74</v>
      </c>
      <c r="F761" t="s">
        <v>1227</v>
      </c>
      <c r="G761">
        <f>+IF(dHdcp[[#This Row],[Fecha]]=MAX(dHdcp[Fecha]),1,0)</f>
        <v>0</v>
      </c>
      <c r="H761" t="str">
        <f>+dHdcp[[#This Row],[Maximo]]&amp;":"&amp;dHdcp[[#This Row],[Nombre]]</f>
        <v>0:Ignacio Cadarso</v>
      </c>
      <c r="I761" t="str">
        <f>+dHdcp[[#This Row],[Maximo]]&amp;":"&amp;_xlfn.XLOOKUP(dHdcp[[#This Row],[Nombre]],dJugador[Nombre],dJugador[Mote],"",0)</f>
        <v>0:Ignacio</v>
      </c>
      <c r="J761" t="str">
        <f>+IF(dHdcp[[#This Row],[Maximo]]=0,"",_xlfn.RANK.EQ(dHdcp[[#This Row],[Handicap]],dHdcp[Handicap],1))</f>
        <v/>
      </c>
      <c r="K761" t="str">
        <f>IFERROR(+_xlfn.RANK.EQ(dHdcp[[#This Row],[Ranking]],dHdcp[Ranking],1),"")</f>
        <v/>
      </c>
      <c r="M761" t="str">
        <f>+dHdcp[[#This Row],[Fecha]]&amp;":"&amp;dHdcp[[#This Row],[Nombre]]</f>
        <v>44323:Ignacio Cadarso</v>
      </c>
      <c r="N761">
        <f>+COUNTIF(dHdcp[Columna1],dHdcp[[#This Row],[Columna1]])</f>
        <v>1</v>
      </c>
    </row>
    <row r="762" spans="1:14">
      <c r="A762" s="2">
        <v>44323</v>
      </c>
      <c r="B762" t="s">
        <v>23</v>
      </c>
      <c r="C762" s="51">
        <v>18.8</v>
      </c>
      <c r="D762">
        <f>+VLOOKUP(dHdcp[[#This Row],[Handicap]],'Categoría Hdcap'!$B$2:$E$7,4)</f>
        <v>4</v>
      </c>
      <c r="E762" t="s">
        <v>74</v>
      </c>
      <c r="F762" t="s">
        <v>1228</v>
      </c>
      <c r="G762">
        <f>+IF(dHdcp[[#This Row],[Fecha]]=MAX(dHdcp[Fecha]),1,0)</f>
        <v>0</v>
      </c>
      <c r="H762" t="str">
        <f>+dHdcp[[#This Row],[Maximo]]&amp;":"&amp;dHdcp[[#This Row],[Nombre]]</f>
        <v>0:J. Enrique Gonzalez</v>
      </c>
      <c r="I762" t="str">
        <f>+dHdcp[[#This Row],[Maximo]]&amp;":"&amp;_xlfn.XLOOKUP(dHdcp[[#This Row],[Nombre]],dJugador[Nombre],dJugador[Mote],"",0)</f>
        <v>0:Kike</v>
      </c>
      <c r="J762" t="str">
        <f>+IF(dHdcp[[#This Row],[Maximo]]=0,"",_xlfn.RANK.EQ(dHdcp[[#This Row],[Handicap]],dHdcp[Handicap],1))</f>
        <v/>
      </c>
      <c r="K762" t="str">
        <f>IFERROR(+_xlfn.RANK.EQ(dHdcp[[#This Row],[Ranking]],dHdcp[Ranking],1),"")</f>
        <v/>
      </c>
      <c r="M762" t="str">
        <f>+dHdcp[[#This Row],[Fecha]]&amp;":"&amp;dHdcp[[#This Row],[Nombre]]</f>
        <v>44323:J. Enrique Gonzalez</v>
      </c>
      <c r="N762">
        <f>+COUNTIF(dHdcp[Columna1],dHdcp[[#This Row],[Columna1]])</f>
        <v>1</v>
      </c>
    </row>
    <row r="763" spans="1:14">
      <c r="A763" s="2">
        <v>44323</v>
      </c>
      <c r="B763" t="s">
        <v>46</v>
      </c>
      <c r="C763" s="51">
        <v>15.5</v>
      </c>
      <c r="D763">
        <f>+VLOOKUP(dHdcp[[#This Row],[Handicap]],'Categoría Hdcap'!$B$2:$E$7,4)</f>
        <v>3</v>
      </c>
      <c r="E763" t="s">
        <v>74</v>
      </c>
      <c r="F763" t="s">
        <v>1229</v>
      </c>
      <c r="G763">
        <f>+IF(dHdcp[[#This Row],[Fecha]]=MAX(dHdcp[Fecha]),1,0)</f>
        <v>0</v>
      </c>
      <c r="H763" t="str">
        <f>+dHdcp[[#This Row],[Maximo]]&amp;":"&amp;dHdcp[[#This Row],[Nombre]]</f>
        <v>0:Javier Cervera</v>
      </c>
      <c r="I763" t="str">
        <f>+dHdcp[[#This Row],[Maximo]]&amp;":"&amp;_xlfn.XLOOKUP(dHdcp[[#This Row],[Nombre]],dJugador[Nombre],dJugador[Mote],"",0)</f>
        <v>0:Virus</v>
      </c>
      <c r="J763" t="str">
        <f>+IF(dHdcp[[#This Row],[Maximo]]=0,"",_xlfn.RANK.EQ(dHdcp[[#This Row],[Handicap]],dHdcp[Handicap],1))</f>
        <v/>
      </c>
      <c r="K763" t="str">
        <f>IFERROR(+_xlfn.RANK.EQ(dHdcp[[#This Row],[Ranking]],dHdcp[Ranking],1),"")</f>
        <v/>
      </c>
      <c r="M763" t="str">
        <f>+dHdcp[[#This Row],[Fecha]]&amp;":"&amp;dHdcp[[#This Row],[Nombre]]</f>
        <v>44323:Javier Cervera</v>
      </c>
      <c r="N763">
        <f>+COUNTIF(dHdcp[Columna1],dHdcp[[#This Row],[Columna1]])</f>
        <v>1</v>
      </c>
    </row>
    <row r="764" spans="1:14">
      <c r="A764" s="2">
        <v>44323</v>
      </c>
      <c r="B764" t="s">
        <v>20</v>
      </c>
      <c r="C764" s="51">
        <v>15.4</v>
      </c>
      <c r="D764">
        <f>+VLOOKUP(dHdcp[[#This Row],[Handicap]],'Categoría Hdcap'!$B$2:$E$7,4)</f>
        <v>3</v>
      </c>
      <c r="E764" t="s">
        <v>74</v>
      </c>
      <c r="F764" t="s">
        <v>1230</v>
      </c>
      <c r="G764">
        <f>+IF(dHdcp[[#This Row],[Fecha]]=MAX(dHdcp[Fecha]),1,0)</f>
        <v>0</v>
      </c>
      <c r="H764" t="str">
        <f>+dHdcp[[#This Row],[Maximo]]&amp;":"&amp;dHdcp[[#This Row],[Nombre]]</f>
        <v>0:Javier Gonzalez Salvador</v>
      </c>
      <c r="I764" t="str">
        <f>+dHdcp[[#This Row],[Maximo]]&amp;":"&amp;_xlfn.XLOOKUP(dHdcp[[#This Row],[Nombre]],dJugador[Nombre],dJugador[Mote],"",0)</f>
        <v>0:Javi</v>
      </c>
      <c r="J764" t="str">
        <f>+IF(dHdcp[[#This Row],[Maximo]]=0,"",_xlfn.RANK.EQ(dHdcp[[#This Row],[Handicap]],dHdcp[Handicap],1))</f>
        <v/>
      </c>
      <c r="K764" t="str">
        <f>IFERROR(+_xlfn.RANK.EQ(dHdcp[[#This Row],[Ranking]],dHdcp[Ranking],1),"")</f>
        <v/>
      </c>
      <c r="M764" t="str">
        <f>+dHdcp[[#This Row],[Fecha]]&amp;":"&amp;dHdcp[[#This Row],[Nombre]]</f>
        <v>44323:Javier Gonzalez Salvador</v>
      </c>
      <c r="N764">
        <f>+COUNTIF(dHdcp[Columna1],dHdcp[[#This Row],[Columna1]])</f>
        <v>1</v>
      </c>
    </row>
    <row r="765" spans="1:14">
      <c r="A765" s="2">
        <v>44323</v>
      </c>
      <c r="B765" t="s">
        <v>41</v>
      </c>
      <c r="C765" s="51">
        <v>22.6</v>
      </c>
      <c r="D765">
        <f>+VLOOKUP(dHdcp[[#This Row],[Handicap]],'Categoría Hdcap'!$B$2:$E$7,4)</f>
        <v>4</v>
      </c>
      <c r="E765" t="s">
        <v>74</v>
      </c>
      <c r="F765" t="s">
        <v>1231</v>
      </c>
      <c r="G765">
        <f>+IF(dHdcp[[#This Row],[Fecha]]=MAX(dHdcp[Fecha]),1,0)</f>
        <v>0</v>
      </c>
      <c r="H765" t="str">
        <f>+dHdcp[[#This Row],[Maximo]]&amp;":"&amp;dHdcp[[#This Row],[Nombre]]</f>
        <v>0:Jesus Touceda</v>
      </c>
      <c r="I765" t="str">
        <f>+dHdcp[[#This Row],[Maximo]]&amp;":"&amp;_xlfn.XLOOKUP(dHdcp[[#This Row],[Nombre]],dJugador[Nombre],dJugador[Mote],"",0)</f>
        <v>0:Jesús</v>
      </c>
      <c r="J765" t="str">
        <f>+IF(dHdcp[[#This Row],[Maximo]]=0,"",_xlfn.RANK.EQ(dHdcp[[#This Row],[Handicap]],dHdcp[Handicap],1))</f>
        <v/>
      </c>
      <c r="K765" t="str">
        <f>IFERROR(+_xlfn.RANK.EQ(dHdcp[[#This Row],[Ranking]],dHdcp[Ranking],1),"")</f>
        <v/>
      </c>
      <c r="M765" t="str">
        <f>+dHdcp[[#This Row],[Fecha]]&amp;":"&amp;dHdcp[[#This Row],[Nombre]]</f>
        <v>44323:Jesus Touceda</v>
      </c>
      <c r="N765">
        <f>+COUNTIF(dHdcp[Columna1],dHdcp[[#This Row],[Columna1]])</f>
        <v>1</v>
      </c>
    </row>
    <row r="766" spans="1:14">
      <c r="A766" s="2">
        <v>44323</v>
      </c>
      <c r="B766" t="s">
        <v>18</v>
      </c>
      <c r="C766" s="51">
        <v>6.8</v>
      </c>
      <c r="D766">
        <f>+VLOOKUP(dHdcp[[#This Row],[Handicap]],'Categoría Hdcap'!$B$2:$E$7,4)</f>
        <v>2</v>
      </c>
      <c r="E766" t="s">
        <v>74</v>
      </c>
      <c r="F766" t="s">
        <v>1232</v>
      </c>
      <c r="G766">
        <f>+IF(dHdcp[[#This Row],[Fecha]]=MAX(dHdcp[Fecha]),1,0)</f>
        <v>0</v>
      </c>
      <c r="H766" t="str">
        <f>+dHdcp[[#This Row],[Maximo]]&amp;":"&amp;dHdcp[[#This Row],[Nombre]]</f>
        <v>0:José Pablo Guil</v>
      </c>
      <c r="I766" t="str">
        <f>+dHdcp[[#This Row],[Maximo]]&amp;":"&amp;_xlfn.XLOOKUP(dHdcp[[#This Row],[Nombre]],dJugador[Nombre],dJugador[Mote],"",0)</f>
        <v>0:JP</v>
      </c>
      <c r="J766" t="str">
        <f>+IF(dHdcp[[#This Row],[Maximo]]=0,"",_xlfn.RANK.EQ(dHdcp[[#This Row],[Handicap]],dHdcp[Handicap],1))</f>
        <v/>
      </c>
      <c r="K766" t="str">
        <f>IFERROR(+_xlfn.RANK.EQ(dHdcp[[#This Row],[Ranking]],dHdcp[Ranking],1),"")</f>
        <v/>
      </c>
      <c r="M766" t="str">
        <f>+dHdcp[[#This Row],[Fecha]]&amp;":"&amp;dHdcp[[#This Row],[Nombre]]</f>
        <v>44323:José Pablo Guil</v>
      </c>
      <c r="N766">
        <f>+COUNTIF(dHdcp[Columna1],dHdcp[[#This Row],[Columna1]])</f>
        <v>1</v>
      </c>
    </row>
    <row r="767" spans="1:14">
      <c r="A767" s="2">
        <v>44323</v>
      </c>
      <c r="B767" t="s">
        <v>43</v>
      </c>
      <c r="C767" s="51">
        <v>18.3</v>
      </c>
      <c r="D767">
        <f>+VLOOKUP(dHdcp[[#This Row],[Handicap]],'Categoría Hdcap'!$B$2:$E$7,4)</f>
        <v>3</v>
      </c>
      <c r="E767" t="s">
        <v>74</v>
      </c>
      <c r="F767" t="s">
        <v>1233</v>
      </c>
      <c r="G767">
        <f>+IF(dHdcp[[#This Row],[Fecha]]=MAX(dHdcp[Fecha]),1,0)</f>
        <v>0</v>
      </c>
      <c r="H767" t="str">
        <f>+dHdcp[[#This Row],[Maximo]]&amp;":"&amp;dHdcp[[#This Row],[Nombre]]</f>
        <v>0:Luis Escudero</v>
      </c>
      <c r="I767" t="str">
        <f>+dHdcp[[#This Row],[Maximo]]&amp;":"&amp;_xlfn.XLOOKUP(dHdcp[[#This Row],[Nombre]],dJugador[Nombre],dJugador[Mote],"",0)</f>
        <v>0:Lucho</v>
      </c>
      <c r="J767" t="str">
        <f>+IF(dHdcp[[#This Row],[Maximo]]=0,"",_xlfn.RANK.EQ(dHdcp[[#This Row],[Handicap]],dHdcp[Handicap],1))</f>
        <v/>
      </c>
      <c r="K767" t="str">
        <f>IFERROR(+_xlfn.RANK.EQ(dHdcp[[#This Row],[Ranking]],dHdcp[Ranking],1),"")</f>
        <v/>
      </c>
      <c r="M767" t="str">
        <f>+dHdcp[[#This Row],[Fecha]]&amp;":"&amp;dHdcp[[#This Row],[Nombre]]</f>
        <v>44323:Luis Escudero</v>
      </c>
      <c r="N767">
        <f>+COUNTIF(dHdcp[Columna1],dHdcp[[#This Row],[Columna1]])</f>
        <v>1</v>
      </c>
    </row>
    <row r="768" spans="1:14">
      <c r="A768" s="2">
        <v>44323</v>
      </c>
      <c r="B768" s="10" t="s">
        <v>135</v>
      </c>
      <c r="C768" s="53">
        <v>21.1</v>
      </c>
      <c r="D768" s="10">
        <f>+VLOOKUP(dHdcp[[#This Row],[Handicap]],'Categoría Hdcap'!$B$2:$E$7,4)</f>
        <v>4</v>
      </c>
      <c r="E768" s="10" t="s">
        <v>74</v>
      </c>
      <c r="F768" s="10" t="s">
        <v>1234</v>
      </c>
      <c r="G768">
        <f>+IF(dHdcp[[#This Row],[Fecha]]=MAX(dHdcp[Fecha]),1,0)</f>
        <v>0</v>
      </c>
      <c r="H768" t="str">
        <f>+dHdcp[[#This Row],[Maximo]]&amp;":"&amp;dHdcp[[#This Row],[Nombre]]</f>
        <v>0:Miche Lopez</v>
      </c>
      <c r="I768" t="str">
        <f>+dHdcp[[#This Row],[Maximo]]&amp;":"&amp;_xlfn.XLOOKUP(dHdcp[[#This Row],[Nombre]],dJugador[Nombre],dJugador[Mote],"",0)</f>
        <v>0:Miche</v>
      </c>
      <c r="J768" t="str">
        <f>+IF(dHdcp[[#This Row],[Maximo]]=0,"",_xlfn.RANK.EQ(dHdcp[[#This Row],[Handicap]],dHdcp[Handicap],1))</f>
        <v/>
      </c>
      <c r="K768" t="str">
        <f>IFERROR(+_xlfn.RANK.EQ(dHdcp[[#This Row],[Ranking]],dHdcp[Ranking],1),"")</f>
        <v/>
      </c>
      <c r="M768" t="str">
        <f>+dHdcp[[#This Row],[Fecha]]&amp;":"&amp;dHdcp[[#This Row],[Nombre]]</f>
        <v>44323:Miche Lopez</v>
      </c>
      <c r="N768">
        <f>+COUNTIF(dHdcp[Columna1],dHdcp[[#This Row],[Columna1]])</f>
        <v>1</v>
      </c>
    </row>
    <row r="769" spans="1:14">
      <c r="A769" s="2">
        <v>44323</v>
      </c>
      <c r="B769" t="s">
        <v>51</v>
      </c>
      <c r="C769" s="51">
        <v>-0.2</v>
      </c>
      <c r="D769">
        <f>+VLOOKUP(dHdcp[[#This Row],[Handicap]],'Categoría Hdcap'!$B$2:$E$7,4)</f>
        <v>1</v>
      </c>
      <c r="E769" t="s">
        <v>74</v>
      </c>
      <c r="F769" t="s">
        <v>1235</v>
      </c>
      <c r="G769">
        <f>+IF(dHdcp[[#This Row],[Fecha]]=MAX(dHdcp[Fecha]),1,0)</f>
        <v>0</v>
      </c>
      <c r="H769" t="str">
        <f>+dHdcp[[#This Row],[Maximo]]&amp;":"&amp;dHdcp[[#This Row],[Nombre]]</f>
        <v>0:Miguel Diaz Del Moral</v>
      </c>
      <c r="I769" t="str">
        <f>+dHdcp[[#This Row],[Maximo]]&amp;":"&amp;_xlfn.XLOOKUP(dHdcp[[#This Row],[Nombre]],dJugador[Nombre],dJugador[Mote],"",0)</f>
        <v>0:Cañita</v>
      </c>
      <c r="J769" t="str">
        <f>+IF(dHdcp[[#This Row],[Maximo]]=0,"",_xlfn.RANK.EQ(dHdcp[[#This Row],[Handicap]],dHdcp[Handicap],1))</f>
        <v/>
      </c>
      <c r="K769" t="str">
        <f>IFERROR(+_xlfn.RANK.EQ(dHdcp[[#This Row],[Ranking]],dHdcp[Ranking],1),"")</f>
        <v/>
      </c>
      <c r="M769" t="str">
        <f>+dHdcp[[#This Row],[Fecha]]&amp;":"&amp;dHdcp[[#This Row],[Nombre]]</f>
        <v>44323:Miguel Diaz Del Moral</v>
      </c>
      <c r="N769">
        <f>+COUNTIF(dHdcp[Columna1],dHdcp[[#This Row],[Columna1]])</f>
        <v>1</v>
      </c>
    </row>
    <row r="770" spans="1:14">
      <c r="A770" s="2">
        <v>44323</v>
      </c>
      <c r="B770" t="s">
        <v>3</v>
      </c>
      <c r="C770" s="51">
        <v>5.5</v>
      </c>
      <c r="D770">
        <f>+VLOOKUP(dHdcp[[#This Row],[Handicap]],'Categoría Hdcap'!$B$2:$E$7,4)</f>
        <v>2</v>
      </c>
      <c r="E770" t="s">
        <v>74</v>
      </c>
      <c r="F770" t="s">
        <v>1236</v>
      </c>
      <c r="G770">
        <f>+IF(dHdcp[[#This Row],[Fecha]]=MAX(dHdcp[Fecha]),1,0)</f>
        <v>0</v>
      </c>
      <c r="H770" t="str">
        <f>+dHdcp[[#This Row],[Maximo]]&amp;":"&amp;dHdcp[[#This Row],[Nombre]]</f>
        <v>0:Nacho Gonzalez</v>
      </c>
      <c r="I770" t="str">
        <f>+dHdcp[[#This Row],[Maximo]]&amp;":"&amp;_xlfn.XLOOKUP(dHdcp[[#This Row],[Nombre]],dJugador[Nombre],dJugador[Mote],"",0)</f>
        <v>0:Nacho</v>
      </c>
      <c r="J770" t="str">
        <f>+IF(dHdcp[[#This Row],[Maximo]]=0,"",_xlfn.RANK.EQ(dHdcp[[#This Row],[Handicap]],dHdcp[Handicap],1))</f>
        <v/>
      </c>
      <c r="K770" t="str">
        <f>IFERROR(+_xlfn.RANK.EQ(dHdcp[[#This Row],[Ranking]],dHdcp[Ranking],1),"")</f>
        <v/>
      </c>
      <c r="M770" t="str">
        <f>+dHdcp[[#This Row],[Fecha]]&amp;":"&amp;dHdcp[[#This Row],[Nombre]]</f>
        <v>44323:Nacho Gonzalez</v>
      </c>
      <c r="N770">
        <f>+COUNTIF(dHdcp[Columna1],dHdcp[[#This Row],[Columna1]])</f>
        <v>1</v>
      </c>
    </row>
    <row r="771" spans="1:14">
      <c r="A771" s="2">
        <v>44323</v>
      </c>
      <c r="B771" t="s">
        <v>28</v>
      </c>
      <c r="C771" s="51">
        <v>13.7</v>
      </c>
      <c r="D771">
        <f>+VLOOKUP(dHdcp[[#This Row],[Handicap]],'Categoría Hdcap'!$B$2:$E$7,4)</f>
        <v>3</v>
      </c>
      <c r="E771" t="s">
        <v>74</v>
      </c>
      <c r="F771" t="s">
        <v>1237</v>
      </c>
      <c r="G771">
        <f>+IF(dHdcp[[#This Row],[Fecha]]=MAX(dHdcp[Fecha]),1,0)</f>
        <v>0</v>
      </c>
      <c r="H771" t="str">
        <f>+dHdcp[[#This Row],[Maximo]]&amp;":"&amp;dHdcp[[#This Row],[Nombre]]</f>
        <v>0:Pablo Munitiz</v>
      </c>
      <c r="I771" t="str">
        <f>+dHdcp[[#This Row],[Maximo]]&amp;":"&amp;_xlfn.XLOOKUP(dHdcp[[#This Row],[Nombre]],dJugador[Nombre],dJugador[Mote],"",0)</f>
        <v>0:Muni</v>
      </c>
      <c r="J771" t="str">
        <f>+IF(dHdcp[[#This Row],[Maximo]]=0,"",_xlfn.RANK.EQ(dHdcp[[#This Row],[Handicap]],dHdcp[Handicap],1))</f>
        <v/>
      </c>
      <c r="K771" t="str">
        <f>IFERROR(+_xlfn.RANK.EQ(dHdcp[[#This Row],[Ranking]],dHdcp[Ranking],1),"")</f>
        <v/>
      </c>
      <c r="M771" t="str">
        <f>+dHdcp[[#This Row],[Fecha]]&amp;":"&amp;dHdcp[[#This Row],[Nombre]]</f>
        <v>44323:Pablo Munitiz</v>
      </c>
      <c r="N771">
        <f>+COUNTIF(dHdcp[Columna1],dHdcp[[#This Row],[Columna1]])</f>
        <v>1</v>
      </c>
    </row>
    <row r="772" spans="1:14">
      <c r="A772" s="2">
        <v>44331</v>
      </c>
      <c r="B772" t="s">
        <v>9</v>
      </c>
      <c r="C772" s="51">
        <v>9.3000000000000007</v>
      </c>
      <c r="D772">
        <f>+VLOOKUP(dHdcp[[#This Row],[Handicap]],'Categoría Hdcap'!$B$2:$E$7,4)</f>
        <v>2</v>
      </c>
      <c r="E772" t="s">
        <v>74</v>
      </c>
      <c r="F772" t="s">
        <v>1238</v>
      </c>
      <c r="G772">
        <f>+IF(dHdcp[[#This Row],[Fecha]]=MAX(dHdcp[Fecha]),1,0)</f>
        <v>0</v>
      </c>
      <c r="H772" t="str">
        <f>+dHdcp[[#This Row],[Maximo]]&amp;":"&amp;dHdcp[[#This Row],[Nombre]]</f>
        <v>0:Alfonso Hidalgo</v>
      </c>
      <c r="I772" t="str">
        <f>+dHdcp[[#This Row],[Maximo]]&amp;":"&amp;_xlfn.XLOOKUP(dHdcp[[#This Row],[Nombre]],dJugador[Nombre],dJugador[Mote],"",0)</f>
        <v>0:Alfonso</v>
      </c>
      <c r="J772" t="str">
        <f>+IF(dHdcp[[#This Row],[Maximo]]=0,"",_xlfn.RANK.EQ(dHdcp[[#This Row],[Handicap]],dHdcp[Handicap],1))</f>
        <v/>
      </c>
      <c r="K772" t="str">
        <f>IFERROR(+_xlfn.RANK.EQ(dHdcp[[#This Row],[Ranking]],dHdcp[Ranking],1),"")</f>
        <v/>
      </c>
      <c r="M772" t="str">
        <f>+dHdcp[[#This Row],[Fecha]]&amp;":"&amp;dHdcp[[#This Row],[Nombre]]</f>
        <v>44331:Alfonso Hidalgo</v>
      </c>
      <c r="N772">
        <f>+COUNTIF(dHdcp[Columna1],dHdcp[[#This Row],[Columna1]])</f>
        <v>1</v>
      </c>
    </row>
    <row r="773" spans="1:14">
      <c r="A773" s="2">
        <v>44331</v>
      </c>
      <c r="B773" t="s">
        <v>15</v>
      </c>
      <c r="C773" s="51">
        <v>6.6</v>
      </c>
      <c r="D773">
        <f>+VLOOKUP(dHdcp[[#This Row],[Handicap]],'Categoría Hdcap'!$B$2:$E$7,4)</f>
        <v>2</v>
      </c>
      <c r="E773" t="s">
        <v>74</v>
      </c>
      <c r="F773" t="s">
        <v>1239</v>
      </c>
      <c r="G773">
        <f>+IF(dHdcp[[#This Row],[Fecha]]=MAX(dHdcp[Fecha]),1,0)</f>
        <v>0</v>
      </c>
      <c r="H773" t="str">
        <f>+dHdcp[[#This Row],[Maximo]]&amp;":"&amp;dHdcp[[#This Row],[Nombre]]</f>
        <v>0:Alvaro Aguirre</v>
      </c>
      <c r="I773" t="str">
        <f>+dHdcp[[#This Row],[Maximo]]&amp;":"&amp;_xlfn.XLOOKUP(dHdcp[[#This Row],[Nombre]],dJugador[Nombre],dJugador[Mote],"",0)</f>
        <v>0:Gifu</v>
      </c>
      <c r="J773" t="str">
        <f>+IF(dHdcp[[#This Row],[Maximo]]=0,"",_xlfn.RANK.EQ(dHdcp[[#This Row],[Handicap]],dHdcp[Handicap],1))</f>
        <v/>
      </c>
      <c r="K773" t="str">
        <f>IFERROR(+_xlfn.RANK.EQ(dHdcp[[#This Row],[Ranking]],dHdcp[Ranking],1),"")</f>
        <v/>
      </c>
      <c r="M773" t="str">
        <f>+dHdcp[[#This Row],[Fecha]]&amp;":"&amp;dHdcp[[#This Row],[Nombre]]</f>
        <v>44331:Alvaro Aguirre</v>
      </c>
      <c r="N773">
        <f>+COUNTIF(dHdcp[Columna1],dHdcp[[#This Row],[Columna1]])</f>
        <v>1</v>
      </c>
    </row>
    <row r="774" spans="1:14">
      <c r="A774" s="2">
        <v>44331</v>
      </c>
      <c r="B774" t="s">
        <v>25</v>
      </c>
      <c r="C774" s="51">
        <v>14.4</v>
      </c>
      <c r="D774">
        <f>+VLOOKUP(dHdcp[[#This Row],[Handicap]],'Categoría Hdcap'!$B$2:$E$7,4)</f>
        <v>3</v>
      </c>
      <c r="E774" t="s">
        <v>74</v>
      </c>
      <c r="F774" t="s">
        <v>1240</v>
      </c>
      <c r="G774">
        <f>+IF(dHdcp[[#This Row],[Fecha]]=MAX(dHdcp[Fecha]),1,0)</f>
        <v>0</v>
      </c>
      <c r="H774" t="str">
        <f>+dHdcp[[#This Row],[Maximo]]&amp;":"&amp;dHdcp[[#This Row],[Nombre]]</f>
        <v>0:Alvaro Nieto</v>
      </c>
      <c r="I774" t="str">
        <f>+dHdcp[[#This Row],[Maximo]]&amp;":"&amp;_xlfn.XLOOKUP(dHdcp[[#This Row],[Nombre]],dJugador[Nombre],dJugador[Mote],"",0)</f>
        <v>0:Alvaro</v>
      </c>
      <c r="J774" t="str">
        <f>+IF(dHdcp[[#This Row],[Maximo]]=0,"",_xlfn.RANK.EQ(dHdcp[[#This Row],[Handicap]],dHdcp[Handicap],1))</f>
        <v/>
      </c>
      <c r="K774" t="str">
        <f>IFERROR(+_xlfn.RANK.EQ(dHdcp[[#This Row],[Ranking]],dHdcp[Ranking],1),"")</f>
        <v/>
      </c>
      <c r="M774" t="str">
        <f>+dHdcp[[#This Row],[Fecha]]&amp;":"&amp;dHdcp[[#This Row],[Nombre]]</f>
        <v>44331:Alvaro Nieto</v>
      </c>
      <c r="N774">
        <f>+COUNTIF(dHdcp[Columna1],dHdcp[[#This Row],[Columna1]])</f>
        <v>1</v>
      </c>
    </row>
    <row r="775" spans="1:14">
      <c r="A775" s="2">
        <v>44331</v>
      </c>
      <c r="B775" t="s">
        <v>33</v>
      </c>
      <c r="C775" s="51">
        <v>7.6</v>
      </c>
      <c r="D775">
        <f>+VLOOKUP(dHdcp[[#This Row],[Handicap]],'Categoría Hdcap'!$B$2:$E$7,4)</f>
        <v>2</v>
      </c>
      <c r="E775" t="s">
        <v>74</v>
      </c>
      <c r="F775" t="s">
        <v>1241</v>
      </c>
      <c r="G775">
        <f>+IF(dHdcp[[#This Row],[Fecha]]=MAX(dHdcp[Fecha]),1,0)</f>
        <v>0</v>
      </c>
      <c r="H775" t="str">
        <f>+dHdcp[[#This Row],[Maximo]]&amp;":"&amp;dHdcp[[#This Row],[Nombre]]</f>
        <v>0:Angel Hernandez</v>
      </c>
      <c r="I775" t="str">
        <f>+dHdcp[[#This Row],[Maximo]]&amp;":"&amp;_xlfn.XLOOKUP(dHdcp[[#This Row],[Nombre]],dJugador[Nombre],dJugador[Mote],"",0)</f>
        <v>0:Angel</v>
      </c>
      <c r="J775" t="str">
        <f>+IF(dHdcp[[#This Row],[Maximo]]=0,"",_xlfn.RANK.EQ(dHdcp[[#This Row],[Handicap]],dHdcp[Handicap],1))</f>
        <v/>
      </c>
      <c r="K775" t="str">
        <f>IFERROR(+_xlfn.RANK.EQ(dHdcp[[#This Row],[Ranking]],dHdcp[Ranking],1),"")</f>
        <v/>
      </c>
      <c r="M775" t="str">
        <f>+dHdcp[[#This Row],[Fecha]]&amp;":"&amp;dHdcp[[#This Row],[Nombre]]</f>
        <v>44331:Angel Hernandez</v>
      </c>
      <c r="N775">
        <f>+COUNTIF(dHdcp[Columna1],dHdcp[[#This Row],[Columna1]])</f>
        <v>1</v>
      </c>
    </row>
    <row r="776" spans="1:14">
      <c r="A776" s="2">
        <v>44331</v>
      </c>
      <c r="B776" t="s">
        <v>30</v>
      </c>
      <c r="C776" s="51">
        <v>12.4</v>
      </c>
      <c r="D776">
        <f>+VLOOKUP(dHdcp[[#This Row],[Handicap]],'Categoría Hdcap'!$B$2:$E$7,4)</f>
        <v>3</v>
      </c>
      <c r="E776" t="s">
        <v>74</v>
      </c>
      <c r="F776" t="s">
        <v>1242</v>
      </c>
      <c r="G776">
        <f>+IF(dHdcp[[#This Row],[Fecha]]=MAX(dHdcp[Fecha]),1,0)</f>
        <v>0</v>
      </c>
      <c r="H776" t="str">
        <f>+dHdcp[[#This Row],[Maximo]]&amp;":"&amp;dHdcp[[#This Row],[Nombre]]</f>
        <v>0:David Sequera</v>
      </c>
      <c r="I776" t="str">
        <f>+dHdcp[[#This Row],[Maximo]]&amp;":"&amp;_xlfn.XLOOKUP(dHdcp[[#This Row],[Nombre]],dJugador[Nombre],dJugador[Mote],"",0)</f>
        <v>0:David</v>
      </c>
      <c r="J776" t="str">
        <f>+IF(dHdcp[[#This Row],[Maximo]]=0,"",_xlfn.RANK.EQ(dHdcp[[#This Row],[Handicap]],dHdcp[Handicap],1))</f>
        <v/>
      </c>
      <c r="K776" t="str">
        <f>IFERROR(+_xlfn.RANK.EQ(dHdcp[[#This Row],[Ranking]],dHdcp[Ranking],1),"")</f>
        <v/>
      </c>
      <c r="M776" t="str">
        <f>+dHdcp[[#This Row],[Fecha]]&amp;":"&amp;dHdcp[[#This Row],[Nombre]]</f>
        <v>44331:David Sequera</v>
      </c>
      <c r="N776">
        <f>+COUNTIF(dHdcp[Columna1],dHdcp[[#This Row],[Columna1]])</f>
        <v>1</v>
      </c>
    </row>
    <row r="777" spans="1:14">
      <c r="A777" s="2">
        <v>44331</v>
      </c>
      <c r="B777" t="s">
        <v>12</v>
      </c>
      <c r="C777" s="51">
        <v>16.399999999999999</v>
      </c>
      <c r="D777">
        <f>+VLOOKUP(dHdcp[[#This Row],[Handicap]],'Categoría Hdcap'!$B$2:$E$7,4)</f>
        <v>3</v>
      </c>
      <c r="E777" t="s">
        <v>74</v>
      </c>
      <c r="F777" s="94" t="s">
        <v>1243</v>
      </c>
      <c r="G777">
        <f>+IF(dHdcp[[#This Row],[Fecha]]=MAX(dHdcp[Fecha]),1,0)</f>
        <v>0</v>
      </c>
      <c r="H777" t="str">
        <f>+dHdcp[[#This Row],[Maximo]]&amp;":"&amp;dHdcp[[#This Row],[Nombre]]</f>
        <v>0:Francisco Alvarez</v>
      </c>
      <c r="I777" t="str">
        <f>+dHdcp[[#This Row],[Maximo]]&amp;":"&amp;_xlfn.XLOOKUP(dHdcp[[#This Row],[Nombre]],dJugador[Nombre],dJugador[Mote],"",0)</f>
        <v>0:Paco</v>
      </c>
      <c r="J777" t="str">
        <f>+IF(dHdcp[[#This Row],[Maximo]]=0,"",_xlfn.RANK.EQ(dHdcp[[#This Row],[Handicap]],dHdcp[Handicap],1))</f>
        <v/>
      </c>
      <c r="K777" t="str">
        <f>IFERROR(+_xlfn.RANK.EQ(dHdcp[[#This Row],[Ranking]],dHdcp[Ranking],1),"")</f>
        <v/>
      </c>
      <c r="M777" t="str">
        <f>+dHdcp[[#This Row],[Fecha]]&amp;":"&amp;dHdcp[[#This Row],[Nombre]]</f>
        <v>44331:Francisco Alvarez</v>
      </c>
      <c r="N777">
        <f>+COUNTIF(dHdcp[Columna1],dHdcp[[#This Row],[Columna1]])</f>
        <v>1</v>
      </c>
    </row>
    <row r="778" spans="1:14">
      <c r="A778" s="2">
        <v>44331</v>
      </c>
      <c r="B778" t="s">
        <v>49</v>
      </c>
      <c r="C778" s="51">
        <v>13.8</v>
      </c>
      <c r="D778">
        <f>+VLOOKUP(dHdcp[[#This Row],[Handicap]],'Categoría Hdcap'!$B$2:$E$7,4)</f>
        <v>3</v>
      </c>
      <c r="E778" t="s">
        <v>74</v>
      </c>
      <c r="F778" t="s">
        <v>1244</v>
      </c>
      <c r="G778">
        <f>+IF(dHdcp[[#This Row],[Fecha]]=MAX(dHdcp[Fecha]),1,0)</f>
        <v>0</v>
      </c>
      <c r="H778" t="str">
        <f>+dHdcp[[#This Row],[Maximo]]&amp;":"&amp;dHdcp[[#This Row],[Nombre]]</f>
        <v>0:Francisco Hidalgo</v>
      </c>
      <c r="I778" t="str">
        <f>+dHdcp[[#This Row],[Maximo]]&amp;":"&amp;_xlfn.XLOOKUP(dHdcp[[#This Row],[Nombre]],dJugador[Nombre],dJugador[Mote],"",0)</f>
        <v>0:Fran</v>
      </c>
      <c r="J778" t="str">
        <f>+IF(dHdcp[[#This Row],[Maximo]]=0,"",_xlfn.RANK.EQ(dHdcp[[#This Row],[Handicap]],dHdcp[Handicap],1))</f>
        <v/>
      </c>
      <c r="K778" t="str">
        <f>IFERROR(+_xlfn.RANK.EQ(dHdcp[[#This Row],[Ranking]],dHdcp[Ranking],1),"")</f>
        <v/>
      </c>
      <c r="M778" t="str">
        <f>+dHdcp[[#This Row],[Fecha]]&amp;":"&amp;dHdcp[[#This Row],[Nombre]]</f>
        <v>44331:Francisco Hidalgo</v>
      </c>
      <c r="N778">
        <f>+COUNTIF(dHdcp[Columna1],dHdcp[[#This Row],[Columna1]])</f>
        <v>1</v>
      </c>
    </row>
    <row r="779" spans="1:14">
      <c r="A779" s="2">
        <v>44331</v>
      </c>
      <c r="B779" t="s">
        <v>35</v>
      </c>
      <c r="C779" s="51">
        <v>18.600000000000001</v>
      </c>
      <c r="D779">
        <f>+VLOOKUP(dHdcp[[#This Row],[Handicap]],'Categoría Hdcap'!$B$2:$E$7,4)</f>
        <v>4</v>
      </c>
      <c r="E779" t="s">
        <v>74</v>
      </c>
      <c r="F779" t="s">
        <v>1245</v>
      </c>
      <c r="G779">
        <f>+IF(dHdcp[[#This Row],[Fecha]]=MAX(dHdcp[Fecha]),1,0)</f>
        <v>0</v>
      </c>
      <c r="H779" t="str">
        <f>+dHdcp[[#This Row],[Maximo]]&amp;":"&amp;dHdcp[[#This Row],[Nombre]]</f>
        <v>0:GLEZ JUAN JOSÉ</v>
      </c>
      <c r="I779" t="str">
        <f>+dHdcp[[#This Row],[Maximo]]&amp;":"&amp;_xlfn.XLOOKUP(dHdcp[[#This Row],[Nombre]],dJugador[Nombre],dJugador[Mote],"",0)</f>
        <v>0:Juanjo</v>
      </c>
      <c r="J779" t="str">
        <f>+IF(dHdcp[[#This Row],[Maximo]]=0,"",_xlfn.RANK.EQ(dHdcp[[#This Row],[Handicap]],dHdcp[Handicap],1))</f>
        <v/>
      </c>
      <c r="K779" t="str">
        <f>IFERROR(+_xlfn.RANK.EQ(dHdcp[[#This Row],[Ranking]],dHdcp[Ranking],1),"")</f>
        <v/>
      </c>
      <c r="M779" t="str">
        <f>+dHdcp[[#This Row],[Fecha]]&amp;":"&amp;dHdcp[[#This Row],[Nombre]]</f>
        <v>44331:GLEZ JUAN JOSÉ</v>
      </c>
      <c r="N779">
        <f>+COUNTIF(dHdcp[Columna1],dHdcp[[#This Row],[Columna1]])</f>
        <v>1</v>
      </c>
    </row>
    <row r="780" spans="1:14">
      <c r="A780" s="2">
        <v>44331</v>
      </c>
      <c r="B780" t="s">
        <v>6</v>
      </c>
      <c r="C780" s="51">
        <v>6.5</v>
      </c>
      <c r="D780">
        <f>+VLOOKUP(dHdcp[[#This Row],[Handicap]],'Categoría Hdcap'!$B$2:$E$7,4)</f>
        <v>2</v>
      </c>
      <c r="E780" t="s">
        <v>74</v>
      </c>
      <c r="F780" t="s">
        <v>1246</v>
      </c>
      <c r="G780">
        <f>+IF(dHdcp[[#This Row],[Fecha]]=MAX(dHdcp[Fecha]),1,0)</f>
        <v>0</v>
      </c>
      <c r="H780" t="str">
        <f>+dHdcp[[#This Row],[Maximo]]&amp;":"&amp;dHdcp[[#This Row],[Nombre]]</f>
        <v>0:Ignacio Cadarso</v>
      </c>
      <c r="I780" t="str">
        <f>+dHdcp[[#This Row],[Maximo]]&amp;":"&amp;_xlfn.XLOOKUP(dHdcp[[#This Row],[Nombre]],dJugador[Nombre],dJugador[Mote],"",0)</f>
        <v>0:Ignacio</v>
      </c>
      <c r="J780" t="str">
        <f>+IF(dHdcp[[#This Row],[Maximo]]=0,"",_xlfn.RANK.EQ(dHdcp[[#This Row],[Handicap]],dHdcp[Handicap],1))</f>
        <v/>
      </c>
      <c r="K780" t="str">
        <f>IFERROR(+_xlfn.RANK.EQ(dHdcp[[#This Row],[Ranking]],dHdcp[Ranking],1),"")</f>
        <v/>
      </c>
      <c r="M780" t="str">
        <f>+dHdcp[[#This Row],[Fecha]]&amp;":"&amp;dHdcp[[#This Row],[Nombre]]</f>
        <v>44331:Ignacio Cadarso</v>
      </c>
      <c r="N780">
        <f>+COUNTIF(dHdcp[Columna1],dHdcp[[#This Row],[Columna1]])</f>
        <v>1</v>
      </c>
    </row>
    <row r="781" spans="1:14">
      <c r="A781" s="2">
        <v>44331</v>
      </c>
      <c r="B781" t="s">
        <v>23</v>
      </c>
      <c r="C781" s="51">
        <v>18.8</v>
      </c>
      <c r="D781">
        <f>+VLOOKUP(dHdcp[[#This Row],[Handicap]],'Categoría Hdcap'!$B$2:$E$7,4)</f>
        <v>4</v>
      </c>
      <c r="E781" t="s">
        <v>74</v>
      </c>
      <c r="F781" t="s">
        <v>1247</v>
      </c>
      <c r="G781">
        <f>+IF(dHdcp[[#This Row],[Fecha]]=MAX(dHdcp[Fecha]),1,0)</f>
        <v>0</v>
      </c>
      <c r="H781" t="str">
        <f>+dHdcp[[#This Row],[Maximo]]&amp;":"&amp;dHdcp[[#This Row],[Nombre]]</f>
        <v>0:J. Enrique Gonzalez</v>
      </c>
      <c r="I781" t="str">
        <f>+dHdcp[[#This Row],[Maximo]]&amp;":"&amp;_xlfn.XLOOKUP(dHdcp[[#This Row],[Nombre]],dJugador[Nombre],dJugador[Mote],"",0)</f>
        <v>0:Kike</v>
      </c>
      <c r="J781" t="str">
        <f>+IF(dHdcp[[#This Row],[Maximo]]=0,"",_xlfn.RANK.EQ(dHdcp[[#This Row],[Handicap]],dHdcp[Handicap],1))</f>
        <v/>
      </c>
      <c r="K781" t="str">
        <f>IFERROR(+_xlfn.RANK.EQ(dHdcp[[#This Row],[Ranking]],dHdcp[Ranking],1),"")</f>
        <v/>
      </c>
      <c r="M781" t="str">
        <f>+dHdcp[[#This Row],[Fecha]]&amp;":"&amp;dHdcp[[#This Row],[Nombre]]</f>
        <v>44331:J. Enrique Gonzalez</v>
      </c>
      <c r="N781">
        <f>+COUNTIF(dHdcp[Columna1],dHdcp[[#This Row],[Columna1]])</f>
        <v>1</v>
      </c>
    </row>
    <row r="782" spans="1:14">
      <c r="A782" s="2">
        <v>44331</v>
      </c>
      <c r="B782" t="s">
        <v>46</v>
      </c>
      <c r="C782" s="51">
        <v>15.5</v>
      </c>
      <c r="D782">
        <f>+VLOOKUP(dHdcp[[#This Row],[Handicap]],'Categoría Hdcap'!$B$2:$E$7,4)</f>
        <v>3</v>
      </c>
      <c r="E782" t="s">
        <v>74</v>
      </c>
      <c r="F782" t="s">
        <v>1248</v>
      </c>
      <c r="G782">
        <f>+IF(dHdcp[[#This Row],[Fecha]]=MAX(dHdcp[Fecha]),1,0)</f>
        <v>0</v>
      </c>
      <c r="H782" t="str">
        <f>+dHdcp[[#This Row],[Maximo]]&amp;":"&amp;dHdcp[[#This Row],[Nombre]]</f>
        <v>0:Javier Cervera</v>
      </c>
      <c r="I782" t="str">
        <f>+dHdcp[[#This Row],[Maximo]]&amp;":"&amp;_xlfn.XLOOKUP(dHdcp[[#This Row],[Nombre]],dJugador[Nombre],dJugador[Mote],"",0)</f>
        <v>0:Virus</v>
      </c>
      <c r="J782" t="str">
        <f>+IF(dHdcp[[#This Row],[Maximo]]=0,"",_xlfn.RANK.EQ(dHdcp[[#This Row],[Handicap]],dHdcp[Handicap],1))</f>
        <v/>
      </c>
      <c r="K782" t="str">
        <f>IFERROR(+_xlfn.RANK.EQ(dHdcp[[#This Row],[Ranking]],dHdcp[Ranking],1),"")</f>
        <v/>
      </c>
      <c r="M782" t="str">
        <f>+dHdcp[[#This Row],[Fecha]]&amp;":"&amp;dHdcp[[#This Row],[Nombre]]</f>
        <v>44331:Javier Cervera</v>
      </c>
      <c r="N782">
        <f>+COUNTIF(dHdcp[Columna1],dHdcp[[#This Row],[Columna1]])</f>
        <v>1</v>
      </c>
    </row>
    <row r="783" spans="1:14">
      <c r="A783" s="2">
        <v>44331</v>
      </c>
      <c r="B783" t="s">
        <v>20</v>
      </c>
      <c r="C783" s="51">
        <v>15.4</v>
      </c>
      <c r="D783">
        <f>+VLOOKUP(dHdcp[[#This Row],[Handicap]],'Categoría Hdcap'!$B$2:$E$7,4)</f>
        <v>3</v>
      </c>
      <c r="E783" t="s">
        <v>74</v>
      </c>
      <c r="F783" t="s">
        <v>1249</v>
      </c>
      <c r="G783">
        <f>+IF(dHdcp[[#This Row],[Fecha]]=MAX(dHdcp[Fecha]),1,0)</f>
        <v>0</v>
      </c>
      <c r="H783" t="str">
        <f>+dHdcp[[#This Row],[Maximo]]&amp;":"&amp;dHdcp[[#This Row],[Nombre]]</f>
        <v>0:Javier Gonzalez Salvador</v>
      </c>
      <c r="I783" t="str">
        <f>+dHdcp[[#This Row],[Maximo]]&amp;":"&amp;_xlfn.XLOOKUP(dHdcp[[#This Row],[Nombre]],dJugador[Nombre],dJugador[Mote],"",0)</f>
        <v>0:Javi</v>
      </c>
      <c r="J783" t="str">
        <f>+IF(dHdcp[[#This Row],[Maximo]]=0,"",_xlfn.RANK.EQ(dHdcp[[#This Row],[Handicap]],dHdcp[Handicap],1))</f>
        <v/>
      </c>
      <c r="K783" t="str">
        <f>IFERROR(+_xlfn.RANK.EQ(dHdcp[[#This Row],[Ranking]],dHdcp[Ranking],1),"")</f>
        <v/>
      </c>
      <c r="M783" t="str">
        <f>+dHdcp[[#This Row],[Fecha]]&amp;":"&amp;dHdcp[[#This Row],[Nombre]]</f>
        <v>44331:Javier Gonzalez Salvador</v>
      </c>
      <c r="N783">
        <f>+COUNTIF(dHdcp[Columna1],dHdcp[[#This Row],[Columna1]])</f>
        <v>1</v>
      </c>
    </row>
    <row r="784" spans="1:14">
      <c r="A784" s="2">
        <v>44331</v>
      </c>
      <c r="B784" t="s">
        <v>41</v>
      </c>
      <c r="C784" s="51">
        <v>22.6</v>
      </c>
      <c r="D784">
        <f>+VLOOKUP(dHdcp[[#This Row],[Handicap]],'Categoría Hdcap'!$B$2:$E$7,4)</f>
        <v>4</v>
      </c>
      <c r="E784" t="s">
        <v>74</v>
      </c>
      <c r="F784" t="s">
        <v>1250</v>
      </c>
      <c r="G784">
        <f>+IF(dHdcp[[#This Row],[Fecha]]=MAX(dHdcp[Fecha]),1,0)</f>
        <v>0</v>
      </c>
      <c r="H784" t="str">
        <f>+dHdcp[[#This Row],[Maximo]]&amp;":"&amp;dHdcp[[#This Row],[Nombre]]</f>
        <v>0:Jesus Touceda</v>
      </c>
      <c r="I784" t="str">
        <f>+dHdcp[[#This Row],[Maximo]]&amp;":"&amp;_xlfn.XLOOKUP(dHdcp[[#This Row],[Nombre]],dJugador[Nombre],dJugador[Mote],"",0)</f>
        <v>0:Jesús</v>
      </c>
      <c r="J784" t="str">
        <f>+IF(dHdcp[[#This Row],[Maximo]]=0,"",_xlfn.RANK.EQ(dHdcp[[#This Row],[Handicap]],dHdcp[Handicap],1))</f>
        <v/>
      </c>
      <c r="K784" t="str">
        <f>IFERROR(+_xlfn.RANK.EQ(dHdcp[[#This Row],[Ranking]],dHdcp[Ranking],1),"")</f>
        <v/>
      </c>
      <c r="M784" t="str">
        <f>+dHdcp[[#This Row],[Fecha]]&amp;":"&amp;dHdcp[[#This Row],[Nombre]]</f>
        <v>44331:Jesus Touceda</v>
      </c>
      <c r="N784">
        <f>+COUNTIF(dHdcp[Columna1],dHdcp[[#This Row],[Columna1]])</f>
        <v>1</v>
      </c>
    </row>
    <row r="785" spans="1:14">
      <c r="A785" s="2">
        <v>44331</v>
      </c>
      <c r="B785" t="s">
        <v>18</v>
      </c>
      <c r="C785" s="51">
        <v>6.8</v>
      </c>
      <c r="D785">
        <f>+VLOOKUP(dHdcp[[#This Row],[Handicap]],'Categoría Hdcap'!$B$2:$E$7,4)</f>
        <v>2</v>
      </c>
      <c r="E785" t="s">
        <v>74</v>
      </c>
      <c r="F785" t="s">
        <v>1251</v>
      </c>
      <c r="G785">
        <f>+IF(dHdcp[[#This Row],[Fecha]]=MAX(dHdcp[Fecha]),1,0)</f>
        <v>0</v>
      </c>
      <c r="H785" t="str">
        <f>+dHdcp[[#This Row],[Maximo]]&amp;":"&amp;dHdcp[[#This Row],[Nombre]]</f>
        <v>0:José Pablo Guil</v>
      </c>
      <c r="I785" t="str">
        <f>+dHdcp[[#This Row],[Maximo]]&amp;":"&amp;_xlfn.XLOOKUP(dHdcp[[#This Row],[Nombre]],dJugador[Nombre],dJugador[Mote],"",0)</f>
        <v>0:JP</v>
      </c>
      <c r="J785" t="str">
        <f>+IF(dHdcp[[#This Row],[Maximo]]=0,"",_xlfn.RANK.EQ(dHdcp[[#This Row],[Handicap]],dHdcp[Handicap],1))</f>
        <v/>
      </c>
      <c r="K785" t="str">
        <f>IFERROR(+_xlfn.RANK.EQ(dHdcp[[#This Row],[Ranking]],dHdcp[Ranking],1),"")</f>
        <v/>
      </c>
      <c r="M785" t="str">
        <f>+dHdcp[[#This Row],[Fecha]]&amp;":"&amp;dHdcp[[#This Row],[Nombre]]</f>
        <v>44331:José Pablo Guil</v>
      </c>
      <c r="N785">
        <f>+COUNTIF(dHdcp[Columna1],dHdcp[[#This Row],[Columna1]])</f>
        <v>1</v>
      </c>
    </row>
    <row r="786" spans="1:14">
      <c r="A786" s="2">
        <v>44331</v>
      </c>
      <c r="B786" t="s">
        <v>43</v>
      </c>
      <c r="C786" s="51">
        <v>18.3</v>
      </c>
      <c r="D786">
        <f>+VLOOKUP(dHdcp[[#This Row],[Handicap]],'Categoría Hdcap'!$B$2:$E$7,4)</f>
        <v>3</v>
      </c>
      <c r="E786" t="s">
        <v>74</v>
      </c>
      <c r="F786" t="s">
        <v>1252</v>
      </c>
      <c r="G786">
        <f>+IF(dHdcp[[#This Row],[Fecha]]=MAX(dHdcp[Fecha]),1,0)</f>
        <v>0</v>
      </c>
      <c r="H786" t="str">
        <f>+dHdcp[[#This Row],[Maximo]]&amp;":"&amp;dHdcp[[#This Row],[Nombre]]</f>
        <v>0:Luis Escudero</v>
      </c>
      <c r="I786" t="str">
        <f>+dHdcp[[#This Row],[Maximo]]&amp;":"&amp;_xlfn.XLOOKUP(dHdcp[[#This Row],[Nombre]],dJugador[Nombre],dJugador[Mote],"",0)</f>
        <v>0:Lucho</v>
      </c>
      <c r="J786" t="str">
        <f>+IF(dHdcp[[#This Row],[Maximo]]=0,"",_xlfn.RANK.EQ(dHdcp[[#This Row],[Handicap]],dHdcp[Handicap],1))</f>
        <v/>
      </c>
      <c r="K786" t="str">
        <f>IFERROR(+_xlfn.RANK.EQ(dHdcp[[#This Row],[Ranking]],dHdcp[Ranking],1),"")</f>
        <v/>
      </c>
      <c r="M786" t="str">
        <f>+dHdcp[[#This Row],[Fecha]]&amp;":"&amp;dHdcp[[#This Row],[Nombre]]</f>
        <v>44331:Luis Escudero</v>
      </c>
      <c r="N786">
        <f>+COUNTIF(dHdcp[Columna1],dHdcp[[#This Row],[Columna1]])</f>
        <v>1</v>
      </c>
    </row>
    <row r="787" spans="1:14">
      <c r="A787" s="2">
        <v>44331</v>
      </c>
      <c r="B787" s="10" t="s">
        <v>135</v>
      </c>
      <c r="C787" s="53">
        <v>21.1</v>
      </c>
      <c r="D787" s="10">
        <f>+VLOOKUP(dHdcp[[#This Row],[Handicap]],'Categoría Hdcap'!$B$2:$E$7,4)</f>
        <v>4</v>
      </c>
      <c r="E787" s="10" t="s">
        <v>74</v>
      </c>
      <c r="F787" s="10" t="s">
        <v>1253</v>
      </c>
      <c r="G787">
        <f>+IF(dHdcp[[#This Row],[Fecha]]=MAX(dHdcp[Fecha]),1,0)</f>
        <v>0</v>
      </c>
      <c r="H787" t="str">
        <f>+dHdcp[[#This Row],[Maximo]]&amp;":"&amp;dHdcp[[#This Row],[Nombre]]</f>
        <v>0:Miche Lopez</v>
      </c>
      <c r="I787" t="str">
        <f>+dHdcp[[#This Row],[Maximo]]&amp;":"&amp;_xlfn.XLOOKUP(dHdcp[[#This Row],[Nombre]],dJugador[Nombre],dJugador[Mote],"",0)</f>
        <v>0:Miche</v>
      </c>
      <c r="J787" t="str">
        <f>+IF(dHdcp[[#This Row],[Maximo]]=0,"",_xlfn.RANK.EQ(dHdcp[[#This Row],[Handicap]],dHdcp[Handicap],1))</f>
        <v/>
      </c>
      <c r="K787" t="str">
        <f>IFERROR(+_xlfn.RANK.EQ(dHdcp[[#This Row],[Ranking]],dHdcp[Ranking],1),"")</f>
        <v/>
      </c>
      <c r="M787" t="str">
        <f>+dHdcp[[#This Row],[Fecha]]&amp;":"&amp;dHdcp[[#This Row],[Nombre]]</f>
        <v>44331:Miche Lopez</v>
      </c>
      <c r="N787">
        <f>+COUNTIF(dHdcp[Columna1],dHdcp[[#This Row],[Columna1]])</f>
        <v>1</v>
      </c>
    </row>
    <row r="788" spans="1:14">
      <c r="A788" s="2">
        <v>44331</v>
      </c>
      <c r="B788" t="s">
        <v>51</v>
      </c>
      <c r="C788" s="51">
        <v>-0.2</v>
      </c>
      <c r="D788">
        <f>+VLOOKUP(dHdcp[[#This Row],[Handicap]],'Categoría Hdcap'!$B$2:$E$7,4)</f>
        <v>1</v>
      </c>
      <c r="E788" t="s">
        <v>74</v>
      </c>
      <c r="F788" t="s">
        <v>1254</v>
      </c>
      <c r="G788">
        <f>+IF(dHdcp[[#This Row],[Fecha]]=MAX(dHdcp[Fecha]),1,0)</f>
        <v>0</v>
      </c>
      <c r="H788" t="str">
        <f>+dHdcp[[#This Row],[Maximo]]&amp;":"&amp;dHdcp[[#This Row],[Nombre]]</f>
        <v>0:Miguel Diaz Del Moral</v>
      </c>
      <c r="I788" t="str">
        <f>+dHdcp[[#This Row],[Maximo]]&amp;":"&amp;_xlfn.XLOOKUP(dHdcp[[#This Row],[Nombre]],dJugador[Nombre],dJugador[Mote],"",0)</f>
        <v>0:Cañita</v>
      </c>
      <c r="J788" t="str">
        <f>+IF(dHdcp[[#This Row],[Maximo]]=0,"",_xlfn.RANK.EQ(dHdcp[[#This Row],[Handicap]],dHdcp[Handicap],1))</f>
        <v/>
      </c>
      <c r="K788" t="str">
        <f>IFERROR(+_xlfn.RANK.EQ(dHdcp[[#This Row],[Ranking]],dHdcp[Ranking],1),"")</f>
        <v/>
      </c>
      <c r="M788" t="str">
        <f>+dHdcp[[#This Row],[Fecha]]&amp;":"&amp;dHdcp[[#This Row],[Nombre]]</f>
        <v>44331:Miguel Diaz Del Moral</v>
      </c>
      <c r="N788">
        <f>+COUNTIF(dHdcp[Columna1],dHdcp[[#This Row],[Columna1]])</f>
        <v>1</v>
      </c>
    </row>
    <row r="789" spans="1:14">
      <c r="A789" s="2">
        <v>44331</v>
      </c>
      <c r="B789" t="s">
        <v>3</v>
      </c>
      <c r="C789" s="51">
        <v>5.6</v>
      </c>
      <c r="D789">
        <f>+VLOOKUP(dHdcp[[#This Row],[Handicap]],'Categoría Hdcap'!$B$2:$E$7,4)</f>
        <v>2</v>
      </c>
      <c r="E789" t="s">
        <v>74</v>
      </c>
      <c r="F789" t="s">
        <v>1255</v>
      </c>
      <c r="G789">
        <f>+IF(dHdcp[[#This Row],[Fecha]]=MAX(dHdcp[Fecha]),1,0)</f>
        <v>0</v>
      </c>
      <c r="H789" t="str">
        <f>+dHdcp[[#This Row],[Maximo]]&amp;":"&amp;dHdcp[[#This Row],[Nombre]]</f>
        <v>0:Nacho Gonzalez</v>
      </c>
      <c r="I789" t="str">
        <f>+dHdcp[[#This Row],[Maximo]]&amp;":"&amp;_xlfn.XLOOKUP(dHdcp[[#This Row],[Nombre]],dJugador[Nombre],dJugador[Mote],"",0)</f>
        <v>0:Nacho</v>
      </c>
      <c r="J789" t="str">
        <f>+IF(dHdcp[[#This Row],[Maximo]]=0,"",_xlfn.RANK.EQ(dHdcp[[#This Row],[Handicap]],dHdcp[Handicap],1))</f>
        <v/>
      </c>
      <c r="K789" t="str">
        <f>IFERROR(+_xlfn.RANK.EQ(dHdcp[[#This Row],[Ranking]],dHdcp[Ranking],1),"")</f>
        <v/>
      </c>
      <c r="M789" t="str">
        <f>+dHdcp[[#This Row],[Fecha]]&amp;":"&amp;dHdcp[[#This Row],[Nombre]]</f>
        <v>44331:Nacho Gonzalez</v>
      </c>
      <c r="N789">
        <f>+COUNTIF(dHdcp[Columna1],dHdcp[[#This Row],[Columna1]])</f>
        <v>1</v>
      </c>
    </row>
    <row r="790" spans="1:14">
      <c r="A790" s="2">
        <v>44331</v>
      </c>
      <c r="B790" t="s">
        <v>28</v>
      </c>
      <c r="C790" s="51">
        <v>13.7</v>
      </c>
      <c r="D790">
        <f>+VLOOKUP(dHdcp[[#This Row],[Handicap]],'Categoría Hdcap'!$B$2:$E$7,4)</f>
        <v>3</v>
      </c>
      <c r="E790" t="s">
        <v>74</v>
      </c>
      <c r="F790" t="s">
        <v>1256</v>
      </c>
      <c r="G790">
        <f>+IF(dHdcp[[#This Row],[Fecha]]=MAX(dHdcp[Fecha]),1,0)</f>
        <v>0</v>
      </c>
      <c r="H790" t="str">
        <f>+dHdcp[[#This Row],[Maximo]]&amp;":"&amp;dHdcp[[#This Row],[Nombre]]</f>
        <v>0:Pablo Munitiz</v>
      </c>
      <c r="I790" t="str">
        <f>+dHdcp[[#This Row],[Maximo]]&amp;":"&amp;_xlfn.XLOOKUP(dHdcp[[#This Row],[Nombre]],dJugador[Nombre],dJugador[Mote],"",0)</f>
        <v>0:Muni</v>
      </c>
      <c r="J790" t="str">
        <f>+IF(dHdcp[[#This Row],[Maximo]]=0,"",_xlfn.RANK.EQ(dHdcp[[#This Row],[Handicap]],dHdcp[Handicap],1))</f>
        <v/>
      </c>
      <c r="K790" t="str">
        <f>IFERROR(+_xlfn.RANK.EQ(dHdcp[[#This Row],[Ranking]],dHdcp[Ranking],1),"")</f>
        <v/>
      </c>
      <c r="M790" t="str">
        <f>+dHdcp[[#This Row],[Fecha]]&amp;":"&amp;dHdcp[[#This Row],[Nombre]]</f>
        <v>44331:Pablo Munitiz</v>
      </c>
      <c r="N790">
        <f>+COUNTIF(dHdcp[Columna1],dHdcp[[#This Row],[Columna1]])</f>
        <v>1</v>
      </c>
    </row>
    <row r="791" spans="1:14">
      <c r="A791" s="2">
        <v>44332</v>
      </c>
      <c r="B791" t="s">
        <v>9</v>
      </c>
      <c r="C791" s="51">
        <v>10.1</v>
      </c>
      <c r="D791">
        <f>+VLOOKUP(dHdcp[[#This Row],[Handicap]],'Categoría Hdcap'!$B$2:$E$7,4)</f>
        <v>2</v>
      </c>
      <c r="E791" t="s">
        <v>74</v>
      </c>
      <c r="F791" t="s">
        <v>1257</v>
      </c>
      <c r="G791">
        <f>+IF(dHdcp[[#This Row],[Fecha]]=MAX(dHdcp[Fecha]),1,0)</f>
        <v>0</v>
      </c>
      <c r="H791" t="str">
        <f>+dHdcp[[#This Row],[Maximo]]&amp;":"&amp;dHdcp[[#This Row],[Nombre]]</f>
        <v>0:Alfonso Hidalgo</v>
      </c>
      <c r="I791" t="str">
        <f>+dHdcp[[#This Row],[Maximo]]&amp;":"&amp;_xlfn.XLOOKUP(dHdcp[[#This Row],[Nombre]],dJugador[Nombre],dJugador[Mote],"",0)</f>
        <v>0:Alfonso</v>
      </c>
      <c r="J791" t="str">
        <f>+IF(dHdcp[[#This Row],[Maximo]]=0,"",_xlfn.RANK.EQ(dHdcp[[#This Row],[Handicap]],dHdcp[Handicap],1))</f>
        <v/>
      </c>
      <c r="K791" t="str">
        <f>IFERROR(+_xlfn.RANK.EQ(dHdcp[[#This Row],[Ranking]],dHdcp[Ranking],1),"")</f>
        <v/>
      </c>
      <c r="M791" t="str">
        <f>+dHdcp[[#This Row],[Fecha]]&amp;":"&amp;dHdcp[[#This Row],[Nombre]]</f>
        <v>44332:Alfonso Hidalgo</v>
      </c>
      <c r="N791">
        <f>+COUNTIF(dHdcp[Columna1],dHdcp[[#This Row],[Columna1]])</f>
        <v>1</v>
      </c>
    </row>
    <row r="792" spans="1:14">
      <c r="A792" s="2">
        <v>44332</v>
      </c>
      <c r="B792" t="s">
        <v>15</v>
      </c>
      <c r="C792" s="51">
        <v>7.4</v>
      </c>
      <c r="D792">
        <f>+VLOOKUP(dHdcp[[#This Row],[Handicap]],'Categoría Hdcap'!$B$2:$E$7,4)</f>
        <v>2</v>
      </c>
      <c r="E792" t="s">
        <v>74</v>
      </c>
      <c r="F792" t="s">
        <v>1258</v>
      </c>
      <c r="G792">
        <f>+IF(dHdcp[[#This Row],[Fecha]]=MAX(dHdcp[Fecha]),1,0)</f>
        <v>0</v>
      </c>
      <c r="H792" t="str">
        <f>+dHdcp[[#This Row],[Maximo]]&amp;":"&amp;dHdcp[[#This Row],[Nombre]]</f>
        <v>0:Alvaro Aguirre</v>
      </c>
      <c r="I792" t="str">
        <f>+dHdcp[[#This Row],[Maximo]]&amp;":"&amp;_xlfn.XLOOKUP(dHdcp[[#This Row],[Nombre]],dJugador[Nombre],dJugador[Mote],"",0)</f>
        <v>0:Gifu</v>
      </c>
      <c r="J792" t="str">
        <f>+IF(dHdcp[[#This Row],[Maximo]]=0,"",_xlfn.RANK.EQ(dHdcp[[#This Row],[Handicap]],dHdcp[Handicap],1))</f>
        <v/>
      </c>
      <c r="K792" t="str">
        <f>IFERROR(+_xlfn.RANK.EQ(dHdcp[[#This Row],[Ranking]],dHdcp[Ranking],1),"")</f>
        <v/>
      </c>
      <c r="M792" t="str">
        <f>+dHdcp[[#This Row],[Fecha]]&amp;":"&amp;dHdcp[[#This Row],[Nombre]]</f>
        <v>44332:Alvaro Aguirre</v>
      </c>
      <c r="N792">
        <f>+COUNTIF(dHdcp[Columna1],dHdcp[[#This Row],[Columna1]])</f>
        <v>1</v>
      </c>
    </row>
    <row r="793" spans="1:14">
      <c r="A793" s="2">
        <v>44332</v>
      </c>
      <c r="B793" t="s">
        <v>25</v>
      </c>
      <c r="C793" s="51">
        <v>15</v>
      </c>
      <c r="D793">
        <f>+VLOOKUP(dHdcp[[#This Row],[Handicap]],'Categoría Hdcap'!$B$2:$E$7,4)</f>
        <v>3</v>
      </c>
      <c r="E793" t="s">
        <v>74</v>
      </c>
      <c r="F793" t="s">
        <v>1259</v>
      </c>
      <c r="G793">
        <f>+IF(dHdcp[[#This Row],[Fecha]]=MAX(dHdcp[Fecha]),1,0)</f>
        <v>0</v>
      </c>
      <c r="H793" t="str">
        <f>+dHdcp[[#This Row],[Maximo]]&amp;":"&amp;dHdcp[[#This Row],[Nombre]]</f>
        <v>0:Alvaro Nieto</v>
      </c>
      <c r="I793" t="str">
        <f>+dHdcp[[#This Row],[Maximo]]&amp;":"&amp;_xlfn.XLOOKUP(dHdcp[[#This Row],[Nombre]],dJugador[Nombre],dJugador[Mote],"",0)</f>
        <v>0:Alvaro</v>
      </c>
      <c r="J793" t="str">
        <f>+IF(dHdcp[[#This Row],[Maximo]]=0,"",_xlfn.RANK.EQ(dHdcp[[#This Row],[Handicap]],dHdcp[Handicap],1))</f>
        <v/>
      </c>
      <c r="K793" t="str">
        <f>IFERROR(+_xlfn.RANK.EQ(dHdcp[[#This Row],[Ranking]],dHdcp[Ranking],1),"")</f>
        <v/>
      </c>
      <c r="M793" t="str">
        <f>+dHdcp[[#This Row],[Fecha]]&amp;":"&amp;dHdcp[[#This Row],[Nombre]]</f>
        <v>44332:Alvaro Nieto</v>
      </c>
      <c r="N793">
        <f>+COUNTIF(dHdcp[Columna1],dHdcp[[#This Row],[Columna1]])</f>
        <v>1</v>
      </c>
    </row>
    <row r="794" spans="1:14">
      <c r="A794" s="2">
        <v>44332</v>
      </c>
      <c r="B794" t="s">
        <v>33</v>
      </c>
      <c r="C794" s="51">
        <v>7.6</v>
      </c>
      <c r="D794">
        <f>+VLOOKUP(dHdcp[[#This Row],[Handicap]],'Categoría Hdcap'!$B$2:$E$7,4)</f>
        <v>2</v>
      </c>
      <c r="E794" t="s">
        <v>74</v>
      </c>
      <c r="F794" t="s">
        <v>1260</v>
      </c>
      <c r="G794">
        <f>+IF(dHdcp[[#This Row],[Fecha]]=MAX(dHdcp[Fecha]),1,0)</f>
        <v>0</v>
      </c>
      <c r="H794" t="str">
        <f>+dHdcp[[#This Row],[Maximo]]&amp;":"&amp;dHdcp[[#This Row],[Nombre]]</f>
        <v>0:Angel Hernandez</v>
      </c>
      <c r="I794" t="str">
        <f>+dHdcp[[#This Row],[Maximo]]&amp;":"&amp;_xlfn.XLOOKUP(dHdcp[[#This Row],[Nombre]],dJugador[Nombre],dJugador[Mote],"",0)</f>
        <v>0:Angel</v>
      </c>
      <c r="J794" t="str">
        <f>+IF(dHdcp[[#This Row],[Maximo]]=0,"",_xlfn.RANK.EQ(dHdcp[[#This Row],[Handicap]],dHdcp[Handicap],1))</f>
        <v/>
      </c>
      <c r="K794" t="str">
        <f>IFERROR(+_xlfn.RANK.EQ(dHdcp[[#This Row],[Ranking]],dHdcp[Ranking],1),"")</f>
        <v/>
      </c>
      <c r="M794" t="str">
        <f>+dHdcp[[#This Row],[Fecha]]&amp;":"&amp;dHdcp[[#This Row],[Nombre]]</f>
        <v>44332:Angel Hernandez</v>
      </c>
      <c r="N794">
        <f>+COUNTIF(dHdcp[Columna1],dHdcp[[#This Row],[Columna1]])</f>
        <v>1</v>
      </c>
    </row>
    <row r="795" spans="1:14">
      <c r="A795" s="2">
        <v>44332</v>
      </c>
      <c r="B795" t="s">
        <v>30</v>
      </c>
      <c r="C795" s="51">
        <v>12</v>
      </c>
      <c r="D795">
        <f>+VLOOKUP(dHdcp[[#This Row],[Handicap]],'Categoría Hdcap'!$B$2:$E$7,4)</f>
        <v>3</v>
      </c>
      <c r="E795" t="s">
        <v>74</v>
      </c>
      <c r="F795" t="s">
        <v>1261</v>
      </c>
      <c r="G795">
        <f>+IF(dHdcp[[#This Row],[Fecha]]=MAX(dHdcp[Fecha]),1,0)</f>
        <v>0</v>
      </c>
      <c r="H795" t="str">
        <f>+dHdcp[[#This Row],[Maximo]]&amp;":"&amp;dHdcp[[#This Row],[Nombre]]</f>
        <v>0:David Sequera</v>
      </c>
      <c r="I795" t="str">
        <f>+dHdcp[[#This Row],[Maximo]]&amp;":"&amp;_xlfn.XLOOKUP(dHdcp[[#This Row],[Nombre]],dJugador[Nombre],dJugador[Mote],"",0)</f>
        <v>0:David</v>
      </c>
      <c r="J795" t="str">
        <f>+IF(dHdcp[[#This Row],[Maximo]]=0,"",_xlfn.RANK.EQ(dHdcp[[#This Row],[Handicap]],dHdcp[Handicap],1))</f>
        <v/>
      </c>
      <c r="K795" t="str">
        <f>IFERROR(+_xlfn.RANK.EQ(dHdcp[[#This Row],[Ranking]],dHdcp[Ranking],1),"")</f>
        <v/>
      </c>
      <c r="M795" t="str">
        <f>+dHdcp[[#This Row],[Fecha]]&amp;":"&amp;dHdcp[[#This Row],[Nombre]]</f>
        <v>44332:David Sequera</v>
      </c>
      <c r="N795">
        <f>+COUNTIF(dHdcp[Columna1],dHdcp[[#This Row],[Columna1]])</f>
        <v>1</v>
      </c>
    </row>
    <row r="796" spans="1:14">
      <c r="A796" s="2">
        <v>44332</v>
      </c>
      <c r="B796" t="s">
        <v>12</v>
      </c>
      <c r="C796" s="51">
        <v>16.100000000000001</v>
      </c>
      <c r="D796">
        <f>+VLOOKUP(dHdcp[[#This Row],[Handicap]],'Categoría Hdcap'!$B$2:$E$7,4)</f>
        <v>3</v>
      </c>
      <c r="E796" t="s">
        <v>74</v>
      </c>
      <c r="F796" t="s">
        <v>1262</v>
      </c>
      <c r="G796">
        <f>+IF(dHdcp[[#This Row],[Fecha]]=MAX(dHdcp[Fecha]),1,0)</f>
        <v>0</v>
      </c>
      <c r="H796" t="str">
        <f>+dHdcp[[#This Row],[Maximo]]&amp;":"&amp;dHdcp[[#This Row],[Nombre]]</f>
        <v>0:Francisco Alvarez</v>
      </c>
      <c r="I796" t="str">
        <f>+dHdcp[[#This Row],[Maximo]]&amp;":"&amp;_xlfn.XLOOKUP(dHdcp[[#This Row],[Nombre]],dJugador[Nombre],dJugador[Mote],"",0)</f>
        <v>0:Paco</v>
      </c>
      <c r="J796" t="str">
        <f>+IF(dHdcp[[#This Row],[Maximo]]=0,"",_xlfn.RANK.EQ(dHdcp[[#This Row],[Handicap]],dHdcp[Handicap],1))</f>
        <v/>
      </c>
      <c r="K796" t="str">
        <f>IFERROR(+_xlfn.RANK.EQ(dHdcp[[#This Row],[Ranking]],dHdcp[Ranking],1),"")</f>
        <v/>
      </c>
      <c r="M796" t="str">
        <f>+dHdcp[[#This Row],[Fecha]]&amp;":"&amp;dHdcp[[#This Row],[Nombre]]</f>
        <v>44332:Francisco Alvarez</v>
      </c>
      <c r="N796">
        <f>+COUNTIF(dHdcp[Columna1],dHdcp[[#This Row],[Columna1]])</f>
        <v>1</v>
      </c>
    </row>
    <row r="797" spans="1:14">
      <c r="A797" s="2">
        <v>44332</v>
      </c>
      <c r="B797" t="s">
        <v>49</v>
      </c>
      <c r="C797" s="51">
        <v>13.8</v>
      </c>
      <c r="D797">
        <f>+VLOOKUP(dHdcp[[#This Row],[Handicap]],'Categoría Hdcap'!$B$2:$E$7,4)</f>
        <v>3</v>
      </c>
      <c r="E797" t="s">
        <v>74</v>
      </c>
      <c r="F797" t="s">
        <v>1263</v>
      </c>
      <c r="G797">
        <f>+IF(dHdcp[[#This Row],[Fecha]]=MAX(dHdcp[Fecha]),1,0)</f>
        <v>0</v>
      </c>
      <c r="H797" t="str">
        <f>+dHdcp[[#This Row],[Maximo]]&amp;":"&amp;dHdcp[[#This Row],[Nombre]]</f>
        <v>0:Francisco Hidalgo</v>
      </c>
      <c r="I797" t="str">
        <f>+dHdcp[[#This Row],[Maximo]]&amp;":"&amp;_xlfn.XLOOKUP(dHdcp[[#This Row],[Nombre]],dJugador[Nombre],dJugador[Mote],"",0)</f>
        <v>0:Fran</v>
      </c>
      <c r="J797" t="str">
        <f>+IF(dHdcp[[#This Row],[Maximo]]=0,"",_xlfn.RANK.EQ(dHdcp[[#This Row],[Handicap]],dHdcp[Handicap],1))</f>
        <v/>
      </c>
      <c r="K797" t="str">
        <f>IFERROR(+_xlfn.RANK.EQ(dHdcp[[#This Row],[Ranking]],dHdcp[Ranking],1),"")</f>
        <v/>
      </c>
      <c r="M797" t="str">
        <f>+dHdcp[[#This Row],[Fecha]]&amp;":"&amp;dHdcp[[#This Row],[Nombre]]</f>
        <v>44332:Francisco Hidalgo</v>
      </c>
      <c r="N797">
        <f>+COUNTIF(dHdcp[Columna1],dHdcp[[#This Row],[Columna1]])</f>
        <v>1</v>
      </c>
    </row>
    <row r="798" spans="1:14">
      <c r="A798" s="2">
        <v>44332</v>
      </c>
      <c r="B798" t="s">
        <v>35</v>
      </c>
      <c r="C798" s="51">
        <v>17.899999999999999</v>
      </c>
      <c r="D798">
        <f>+VLOOKUP(dHdcp[[#This Row],[Handicap]],'Categoría Hdcap'!$B$2:$E$7,4)</f>
        <v>3</v>
      </c>
      <c r="E798" t="s">
        <v>74</v>
      </c>
      <c r="F798" t="s">
        <v>1264</v>
      </c>
      <c r="G798">
        <f>+IF(dHdcp[[#This Row],[Fecha]]=MAX(dHdcp[Fecha]),1,0)</f>
        <v>0</v>
      </c>
      <c r="H798" t="str">
        <f>+dHdcp[[#This Row],[Maximo]]&amp;":"&amp;dHdcp[[#This Row],[Nombre]]</f>
        <v>0:GLEZ JUAN JOSÉ</v>
      </c>
      <c r="I798" t="str">
        <f>+dHdcp[[#This Row],[Maximo]]&amp;":"&amp;_xlfn.XLOOKUP(dHdcp[[#This Row],[Nombre]],dJugador[Nombre],dJugador[Mote],"",0)</f>
        <v>0:Juanjo</v>
      </c>
      <c r="J798" t="str">
        <f>+IF(dHdcp[[#This Row],[Maximo]]=0,"",_xlfn.RANK.EQ(dHdcp[[#This Row],[Handicap]],dHdcp[Handicap],1))</f>
        <v/>
      </c>
      <c r="K798" t="str">
        <f>IFERROR(+_xlfn.RANK.EQ(dHdcp[[#This Row],[Ranking]],dHdcp[Ranking],1),"")</f>
        <v/>
      </c>
      <c r="M798" t="str">
        <f>+dHdcp[[#This Row],[Fecha]]&amp;":"&amp;dHdcp[[#This Row],[Nombre]]</f>
        <v>44332:GLEZ JUAN JOSÉ</v>
      </c>
      <c r="N798">
        <f>+COUNTIF(dHdcp[Columna1],dHdcp[[#This Row],[Columna1]])</f>
        <v>1</v>
      </c>
    </row>
    <row r="799" spans="1:14">
      <c r="A799" s="2">
        <v>44332</v>
      </c>
      <c r="B799" t="s">
        <v>6</v>
      </c>
      <c r="C799" s="51">
        <v>6.6</v>
      </c>
      <c r="D799">
        <f>+VLOOKUP(dHdcp[[#This Row],[Handicap]],'Categoría Hdcap'!$B$2:$E$7,4)</f>
        <v>2</v>
      </c>
      <c r="E799" t="s">
        <v>74</v>
      </c>
      <c r="F799" t="s">
        <v>1265</v>
      </c>
      <c r="G799">
        <f>+IF(dHdcp[[#This Row],[Fecha]]=MAX(dHdcp[Fecha]),1,0)</f>
        <v>0</v>
      </c>
      <c r="H799" t="str">
        <f>+dHdcp[[#This Row],[Maximo]]&amp;":"&amp;dHdcp[[#This Row],[Nombre]]</f>
        <v>0:Ignacio Cadarso</v>
      </c>
      <c r="I799" t="str">
        <f>+dHdcp[[#This Row],[Maximo]]&amp;":"&amp;_xlfn.XLOOKUP(dHdcp[[#This Row],[Nombre]],dJugador[Nombre],dJugador[Mote],"",0)</f>
        <v>0:Ignacio</v>
      </c>
      <c r="J799" t="str">
        <f>+IF(dHdcp[[#This Row],[Maximo]]=0,"",_xlfn.RANK.EQ(dHdcp[[#This Row],[Handicap]],dHdcp[Handicap],1))</f>
        <v/>
      </c>
      <c r="K799" t="str">
        <f>IFERROR(+_xlfn.RANK.EQ(dHdcp[[#This Row],[Ranking]],dHdcp[Ranking],1),"")</f>
        <v/>
      </c>
      <c r="M799" t="str">
        <f>+dHdcp[[#This Row],[Fecha]]&amp;":"&amp;dHdcp[[#This Row],[Nombre]]</f>
        <v>44332:Ignacio Cadarso</v>
      </c>
      <c r="N799">
        <f>+COUNTIF(dHdcp[Columna1],dHdcp[[#This Row],[Columna1]])</f>
        <v>1</v>
      </c>
    </row>
    <row r="800" spans="1:14">
      <c r="A800" s="2">
        <v>44332</v>
      </c>
      <c r="B800" t="s">
        <v>23</v>
      </c>
      <c r="C800" s="51">
        <v>19</v>
      </c>
      <c r="D800">
        <f>+VLOOKUP(dHdcp[[#This Row],[Handicap]],'Categoría Hdcap'!$B$2:$E$7,4)</f>
        <v>4</v>
      </c>
      <c r="E800" t="s">
        <v>74</v>
      </c>
      <c r="F800" t="s">
        <v>1266</v>
      </c>
      <c r="G800">
        <f>+IF(dHdcp[[#This Row],[Fecha]]=MAX(dHdcp[Fecha]),1,0)</f>
        <v>0</v>
      </c>
      <c r="H800" t="str">
        <f>+dHdcp[[#This Row],[Maximo]]&amp;":"&amp;dHdcp[[#This Row],[Nombre]]</f>
        <v>0:J. Enrique Gonzalez</v>
      </c>
      <c r="I800" t="str">
        <f>+dHdcp[[#This Row],[Maximo]]&amp;":"&amp;_xlfn.XLOOKUP(dHdcp[[#This Row],[Nombre]],dJugador[Nombre],dJugador[Mote],"",0)</f>
        <v>0:Kike</v>
      </c>
      <c r="J800" t="str">
        <f>+IF(dHdcp[[#This Row],[Maximo]]=0,"",_xlfn.RANK.EQ(dHdcp[[#This Row],[Handicap]],dHdcp[Handicap],1))</f>
        <v/>
      </c>
      <c r="K800" t="str">
        <f>IFERROR(+_xlfn.RANK.EQ(dHdcp[[#This Row],[Ranking]],dHdcp[Ranking],1),"")</f>
        <v/>
      </c>
      <c r="M800" t="str">
        <f>+dHdcp[[#This Row],[Fecha]]&amp;":"&amp;dHdcp[[#This Row],[Nombre]]</f>
        <v>44332:J. Enrique Gonzalez</v>
      </c>
      <c r="N800">
        <f>+COUNTIF(dHdcp[Columna1],dHdcp[[#This Row],[Columna1]])</f>
        <v>1</v>
      </c>
    </row>
    <row r="801" spans="1:14">
      <c r="A801" s="2">
        <v>44332</v>
      </c>
      <c r="B801" t="s">
        <v>46</v>
      </c>
      <c r="C801" s="51">
        <v>16</v>
      </c>
      <c r="D801">
        <f>+VLOOKUP(dHdcp[[#This Row],[Handicap]],'Categoría Hdcap'!$B$2:$E$7,4)</f>
        <v>3</v>
      </c>
      <c r="E801" t="s">
        <v>74</v>
      </c>
      <c r="F801" t="s">
        <v>1267</v>
      </c>
      <c r="G801">
        <f>+IF(dHdcp[[#This Row],[Fecha]]=MAX(dHdcp[Fecha]),1,0)</f>
        <v>0</v>
      </c>
      <c r="H801" t="str">
        <f>+dHdcp[[#This Row],[Maximo]]&amp;":"&amp;dHdcp[[#This Row],[Nombre]]</f>
        <v>0:Javier Cervera</v>
      </c>
      <c r="I801" t="str">
        <f>+dHdcp[[#This Row],[Maximo]]&amp;":"&amp;_xlfn.XLOOKUP(dHdcp[[#This Row],[Nombre]],dJugador[Nombre],dJugador[Mote],"",0)</f>
        <v>0:Virus</v>
      </c>
      <c r="J801" t="str">
        <f>+IF(dHdcp[[#This Row],[Maximo]]=0,"",_xlfn.RANK.EQ(dHdcp[[#This Row],[Handicap]],dHdcp[Handicap],1))</f>
        <v/>
      </c>
      <c r="K801" t="str">
        <f>IFERROR(+_xlfn.RANK.EQ(dHdcp[[#This Row],[Ranking]],dHdcp[Ranking],1),"")</f>
        <v/>
      </c>
      <c r="M801" t="str">
        <f>+dHdcp[[#This Row],[Fecha]]&amp;":"&amp;dHdcp[[#This Row],[Nombre]]</f>
        <v>44332:Javier Cervera</v>
      </c>
      <c r="N801">
        <f>+COUNTIF(dHdcp[Columna1],dHdcp[[#This Row],[Columna1]])</f>
        <v>1</v>
      </c>
    </row>
    <row r="802" spans="1:14">
      <c r="A802" s="2">
        <v>44332</v>
      </c>
      <c r="B802" t="s">
        <v>20</v>
      </c>
      <c r="C802" s="51">
        <v>15.4</v>
      </c>
      <c r="D802">
        <f>+VLOOKUP(dHdcp[[#This Row],[Handicap]],'Categoría Hdcap'!$B$2:$E$7,4)</f>
        <v>3</v>
      </c>
      <c r="E802" t="s">
        <v>74</v>
      </c>
      <c r="F802" t="s">
        <v>1268</v>
      </c>
      <c r="G802">
        <f>+IF(dHdcp[[#This Row],[Fecha]]=MAX(dHdcp[Fecha]),1,0)</f>
        <v>0</v>
      </c>
      <c r="H802" t="str">
        <f>+dHdcp[[#This Row],[Maximo]]&amp;":"&amp;dHdcp[[#This Row],[Nombre]]</f>
        <v>0:Javier Gonzalez Salvador</v>
      </c>
      <c r="I802" t="str">
        <f>+dHdcp[[#This Row],[Maximo]]&amp;":"&amp;_xlfn.XLOOKUP(dHdcp[[#This Row],[Nombre]],dJugador[Nombre],dJugador[Mote],"",0)</f>
        <v>0:Javi</v>
      </c>
      <c r="J802" t="str">
        <f>+IF(dHdcp[[#This Row],[Maximo]]=0,"",_xlfn.RANK.EQ(dHdcp[[#This Row],[Handicap]],dHdcp[Handicap],1))</f>
        <v/>
      </c>
      <c r="K802" t="str">
        <f>IFERROR(+_xlfn.RANK.EQ(dHdcp[[#This Row],[Ranking]],dHdcp[Ranking],1),"")</f>
        <v/>
      </c>
      <c r="M802" t="str">
        <f>+dHdcp[[#This Row],[Fecha]]&amp;":"&amp;dHdcp[[#This Row],[Nombre]]</f>
        <v>44332:Javier Gonzalez Salvador</v>
      </c>
      <c r="N802">
        <f>+COUNTIF(dHdcp[Columna1],dHdcp[[#This Row],[Columna1]])</f>
        <v>1</v>
      </c>
    </row>
    <row r="803" spans="1:14">
      <c r="A803" s="2">
        <v>44332</v>
      </c>
      <c r="B803" t="s">
        <v>41</v>
      </c>
      <c r="C803" s="51">
        <v>22.6</v>
      </c>
      <c r="D803">
        <f>+VLOOKUP(dHdcp[[#This Row],[Handicap]],'Categoría Hdcap'!$B$2:$E$7,4)</f>
        <v>4</v>
      </c>
      <c r="E803" t="s">
        <v>74</v>
      </c>
      <c r="F803" t="s">
        <v>1269</v>
      </c>
      <c r="G803">
        <f>+IF(dHdcp[[#This Row],[Fecha]]=MAX(dHdcp[Fecha]),1,0)</f>
        <v>0</v>
      </c>
      <c r="H803" t="str">
        <f>+dHdcp[[#This Row],[Maximo]]&amp;":"&amp;dHdcp[[#This Row],[Nombre]]</f>
        <v>0:Jesus Touceda</v>
      </c>
      <c r="I803" t="str">
        <f>+dHdcp[[#This Row],[Maximo]]&amp;":"&amp;_xlfn.XLOOKUP(dHdcp[[#This Row],[Nombre]],dJugador[Nombre],dJugador[Mote],"",0)</f>
        <v>0:Jesús</v>
      </c>
      <c r="J803" t="str">
        <f>+IF(dHdcp[[#This Row],[Maximo]]=0,"",_xlfn.RANK.EQ(dHdcp[[#This Row],[Handicap]],dHdcp[Handicap],1))</f>
        <v/>
      </c>
      <c r="K803" t="str">
        <f>IFERROR(+_xlfn.RANK.EQ(dHdcp[[#This Row],[Ranking]],dHdcp[Ranking],1),"")</f>
        <v/>
      </c>
      <c r="M803" t="str">
        <f>+dHdcp[[#This Row],[Fecha]]&amp;":"&amp;dHdcp[[#This Row],[Nombre]]</f>
        <v>44332:Jesus Touceda</v>
      </c>
      <c r="N803">
        <f>+COUNTIF(dHdcp[Columna1],dHdcp[[#This Row],[Columna1]])</f>
        <v>1</v>
      </c>
    </row>
    <row r="804" spans="1:14">
      <c r="A804" s="2">
        <v>44332</v>
      </c>
      <c r="B804" t="s">
        <v>18</v>
      </c>
      <c r="C804" s="51">
        <v>6.8</v>
      </c>
      <c r="D804">
        <f>+VLOOKUP(dHdcp[[#This Row],[Handicap]],'Categoría Hdcap'!$B$2:$E$7,4)</f>
        <v>2</v>
      </c>
      <c r="E804" t="s">
        <v>74</v>
      </c>
      <c r="F804" t="s">
        <v>1270</v>
      </c>
      <c r="G804">
        <f>+IF(dHdcp[[#This Row],[Fecha]]=MAX(dHdcp[Fecha]),1,0)</f>
        <v>0</v>
      </c>
      <c r="H804" t="str">
        <f>+dHdcp[[#This Row],[Maximo]]&amp;":"&amp;dHdcp[[#This Row],[Nombre]]</f>
        <v>0:José Pablo Guil</v>
      </c>
      <c r="I804" t="str">
        <f>+dHdcp[[#This Row],[Maximo]]&amp;":"&amp;_xlfn.XLOOKUP(dHdcp[[#This Row],[Nombre]],dJugador[Nombre],dJugador[Mote],"",0)</f>
        <v>0:JP</v>
      </c>
      <c r="J804" t="str">
        <f>+IF(dHdcp[[#This Row],[Maximo]]=0,"",_xlfn.RANK.EQ(dHdcp[[#This Row],[Handicap]],dHdcp[Handicap],1))</f>
        <v/>
      </c>
      <c r="K804" t="str">
        <f>IFERROR(+_xlfn.RANK.EQ(dHdcp[[#This Row],[Ranking]],dHdcp[Ranking],1),"")</f>
        <v/>
      </c>
      <c r="M804" t="str">
        <f>+dHdcp[[#This Row],[Fecha]]&amp;":"&amp;dHdcp[[#This Row],[Nombre]]</f>
        <v>44332:José Pablo Guil</v>
      </c>
      <c r="N804">
        <f>+COUNTIF(dHdcp[Columna1],dHdcp[[#This Row],[Columna1]])</f>
        <v>1</v>
      </c>
    </row>
    <row r="805" spans="1:14">
      <c r="A805" s="2">
        <v>44332</v>
      </c>
      <c r="B805" t="s">
        <v>43</v>
      </c>
      <c r="C805" s="51">
        <v>18.3</v>
      </c>
      <c r="D805">
        <f>+VLOOKUP(dHdcp[[#This Row],[Handicap]],'Categoría Hdcap'!$B$2:$E$7,4)</f>
        <v>3</v>
      </c>
      <c r="E805" t="s">
        <v>74</v>
      </c>
      <c r="F805" t="s">
        <v>1271</v>
      </c>
      <c r="G805">
        <f>+IF(dHdcp[[#This Row],[Fecha]]=MAX(dHdcp[Fecha]),1,0)</f>
        <v>0</v>
      </c>
      <c r="H805" t="str">
        <f>+dHdcp[[#This Row],[Maximo]]&amp;":"&amp;dHdcp[[#This Row],[Nombre]]</f>
        <v>0:Luis Escudero</v>
      </c>
      <c r="I805" t="str">
        <f>+dHdcp[[#This Row],[Maximo]]&amp;":"&amp;_xlfn.XLOOKUP(dHdcp[[#This Row],[Nombre]],dJugador[Nombre],dJugador[Mote],"",0)</f>
        <v>0:Lucho</v>
      </c>
      <c r="J805" t="str">
        <f>+IF(dHdcp[[#This Row],[Maximo]]=0,"",_xlfn.RANK.EQ(dHdcp[[#This Row],[Handicap]],dHdcp[Handicap],1))</f>
        <v/>
      </c>
      <c r="K805" t="str">
        <f>IFERROR(+_xlfn.RANK.EQ(dHdcp[[#This Row],[Ranking]],dHdcp[Ranking],1),"")</f>
        <v/>
      </c>
      <c r="M805" t="str">
        <f>+dHdcp[[#This Row],[Fecha]]&amp;":"&amp;dHdcp[[#This Row],[Nombre]]</f>
        <v>44332:Luis Escudero</v>
      </c>
      <c r="N805">
        <f>+COUNTIF(dHdcp[Columna1],dHdcp[[#This Row],[Columna1]])</f>
        <v>1</v>
      </c>
    </row>
    <row r="806" spans="1:14">
      <c r="A806" s="2">
        <v>44332</v>
      </c>
      <c r="B806" s="10" t="s">
        <v>135</v>
      </c>
      <c r="C806" s="53">
        <v>21.1</v>
      </c>
      <c r="D806" s="10">
        <f>+VLOOKUP(dHdcp[[#This Row],[Handicap]],'Categoría Hdcap'!$B$2:$E$7,4)</f>
        <v>4</v>
      </c>
      <c r="E806" s="10" t="s">
        <v>74</v>
      </c>
      <c r="F806" s="10" t="s">
        <v>1272</v>
      </c>
      <c r="G806">
        <f>+IF(dHdcp[[#This Row],[Fecha]]=MAX(dHdcp[Fecha]),1,0)</f>
        <v>0</v>
      </c>
      <c r="H806" t="str">
        <f>+dHdcp[[#This Row],[Maximo]]&amp;":"&amp;dHdcp[[#This Row],[Nombre]]</f>
        <v>0:Miche Lopez</v>
      </c>
      <c r="I806" t="str">
        <f>+dHdcp[[#This Row],[Maximo]]&amp;":"&amp;_xlfn.XLOOKUP(dHdcp[[#This Row],[Nombre]],dJugador[Nombre],dJugador[Mote],"",0)</f>
        <v>0:Miche</v>
      </c>
      <c r="J806" t="str">
        <f>+IF(dHdcp[[#This Row],[Maximo]]=0,"",_xlfn.RANK.EQ(dHdcp[[#This Row],[Handicap]],dHdcp[Handicap],1))</f>
        <v/>
      </c>
      <c r="K806" t="str">
        <f>IFERROR(+_xlfn.RANK.EQ(dHdcp[[#This Row],[Ranking]],dHdcp[Ranking],1),"")</f>
        <v/>
      </c>
      <c r="M806" t="str">
        <f>+dHdcp[[#This Row],[Fecha]]&amp;":"&amp;dHdcp[[#This Row],[Nombre]]</f>
        <v>44332:Miche Lopez</v>
      </c>
      <c r="N806">
        <f>+COUNTIF(dHdcp[Columna1],dHdcp[[#This Row],[Columna1]])</f>
        <v>1</v>
      </c>
    </row>
    <row r="807" spans="1:14">
      <c r="A807" s="2">
        <v>44332</v>
      </c>
      <c r="B807" t="s">
        <v>51</v>
      </c>
      <c r="C807" s="51">
        <v>-0.2</v>
      </c>
      <c r="D807">
        <f>+VLOOKUP(dHdcp[[#This Row],[Handicap]],'Categoría Hdcap'!$B$2:$E$7,4)</f>
        <v>1</v>
      </c>
      <c r="E807" t="s">
        <v>74</v>
      </c>
      <c r="F807" t="s">
        <v>1273</v>
      </c>
      <c r="G807">
        <f>+IF(dHdcp[[#This Row],[Fecha]]=MAX(dHdcp[Fecha]),1,0)</f>
        <v>0</v>
      </c>
      <c r="H807" t="str">
        <f>+dHdcp[[#This Row],[Maximo]]&amp;":"&amp;dHdcp[[#This Row],[Nombre]]</f>
        <v>0:Miguel Diaz Del Moral</v>
      </c>
      <c r="I807" t="str">
        <f>+dHdcp[[#This Row],[Maximo]]&amp;":"&amp;_xlfn.XLOOKUP(dHdcp[[#This Row],[Nombre]],dJugador[Nombre],dJugador[Mote],"",0)</f>
        <v>0:Cañita</v>
      </c>
      <c r="J807" t="str">
        <f>+IF(dHdcp[[#This Row],[Maximo]]=0,"",_xlfn.RANK.EQ(dHdcp[[#This Row],[Handicap]],dHdcp[Handicap],1))</f>
        <v/>
      </c>
      <c r="K807" t="str">
        <f>IFERROR(+_xlfn.RANK.EQ(dHdcp[[#This Row],[Ranking]],dHdcp[Ranking],1),"")</f>
        <v/>
      </c>
      <c r="M807" t="str">
        <f>+dHdcp[[#This Row],[Fecha]]&amp;":"&amp;dHdcp[[#This Row],[Nombre]]</f>
        <v>44332:Miguel Diaz Del Moral</v>
      </c>
      <c r="N807">
        <f>+COUNTIF(dHdcp[Columna1],dHdcp[[#This Row],[Columna1]])</f>
        <v>1</v>
      </c>
    </row>
    <row r="808" spans="1:14">
      <c r="A808" s="2">
        <v>44332</v>
      </c>
      <c r="B808" t="s">
        <v>3</v>
      </c>
      <c r="C808" s="51">
        <v>5.7</v>
      </c>
      <c r="D808">
        <f>+VLOOKUP(dHdcp[[#This Row],[Handicap]],'Categoría Hdcap'!$B$2:$E$7,4)</f>
        <v>2</v>
      </c>
      <c r="E808" t="s">
        <v>74</v>
      </c>
      <c r="F808" t="s">
        <v>1274</v>
      </c>
      <c r="G808">
        <f>+IF(dHdcp[[#This Row],[Fecha]]=MAX(dHdcp[Fecha]),1,0)</f>
        <v>0</v>
      </c>
      <c r="H808" t="str">
        <f>+dHdcp[[#This Row],[Maximo]]&amp;":"&amp;dHdcp[[#This Row],[Nombre]]</f>
        <v>0:Nacho Gonzalez</v>
      </c>
      <c r="I808" t="str">
        <f>+dHdcp[[#This Row],[Maximo]]&amp;":"&amp;_xlfn.XLOOKUP(dHdcp[[#This Row],[Nombre]],dJugador[Nombre],dJugador[Mote],"",0)</f>
        <v>0:Nacho</v>
      </c>
      <c r="J808" t="str">
        <f>+IF(dHdcp[[#This Row],[Maximo]]=0,"",_xlfn.RANK.EQ(dHdcp[[#This Row],[Handicap]],dHdcp[Handicap],1))</f>
        <v/>
      </c>
      <c r="K808" t="str">
        <f>IFERROR(+_xlfn.RANK.EQ(dHdcp[[#This Row],[Ranking]],dHdcp[Ranking],1),"")</f>
        <v/>
      </c>
      <c r="M808" t="str">
        <f>+dHdcp[[#This Row],[Fecha]]&amp;":"&amp;dHdcp[[#This Row],[Nombre]]</f>
        <v>44332:Nacho Gonzalez</v>
      </c>
      <c r="N808">
        <f>+COUNTIF(dHdcp[Columna1],dHdcp[[#This Row],[Columna1]])</f>
        <v>1</v>
      </c>
    </row>
    <row r="809" spans="1:14">
      <c r="A809" s="2">
        <v>44332</v>
      </c>
      <c r="B809" t="s">
        <v>28</v>
      </c>
      <c r="C809" s="51">
        <v>13.7</v>
      </c>
      <c r="D809">
        <f>+VLOOKUP(dHdcp[[#This Row],[Handicap]],'Categoría Hdcap'!$B$2:$E$7,4)</f>
        <v>3</v>
      </c>
      <c r="E809" t="s">
        <v>74</v>
      </c>
      <c r="F809" t="s">
        <v>1275</v>
      </c>
      <c r="G809">
        <f>+IF(dHdcp[[#This Row],[Fecha]]=MAX(dHdcp[Fecha]),1,0)</f>
        <v>0</v>
      </c>
      <c r="H809" t="str">
        <f>+dHdcp[[#This Row],[Maximo]]&amp;":"&amp;dHdcp[[#This Row],[Nombre]]</f>
        <v>0:Pablo Munitiz</v>
      </c>
      <c r="I809" t="str">
        <f>+dHdcp[[#This Row],[Maximo]]&amp;":"&amp;_xlfn.XLOOKUP(dHdcp[[#This Row],[Nombre]],dJugador[Nombre],dJugador[Mote],"",0)</f>
        <v>0:Muni</v>
      </c>
      <c r="J809" t="str">
        <f>+IF(dHdcp[[#This Row],[Maximo]]=0,"",_xlfn.RANK.EQ(dHdcp[[#This Row],[Handicap]],dHdcp[Handicap],1))</f>
        <v/>
      </c>
      <c r="K809" t="str">
        <f>IFERROR(+_xlfn.RANK.EQ(dHdcp[[#This Row],[Ranking]],dHdcp[Ranking],1),"")</f>
        <v/>
      </c>
      <c r="M809" t="str">
        <f>+dHdcp[[#This Row],[Fecha]]&amp;":"&amp;dHdcp[[#This Row],[Nombre]]</f>
        <v>44332:Pablo Munitiz</v>
      </c>
      <c r="N809">
        <f>+COUNTIF(dHdcp[Columna1],dHdcp[[#This Row],[Columna1]])</f>
        <v>1</v>
      </c>
    </row>
    <row r="810" spans="1:14">
      <c r="A810" s="2">
        <v>44352</v>
      </c>
      <c r="B810" t="s">
        <v>9</v>
      </c>
      <c r="C810" s="51">
        <v>10.199999999999999</v>
      </c>
      <c r="D810">
        <f>+VLOOKUP(dHdcp[[#This Row],[Handicap]],'Categoría Hdcap'!$B$2:$E$7,4)</f>
        <v>2</v>
      </c>
      <c r="E810" t="s">
        <v>74</v>
      </c>
      <c r="F810" t="s">
        <v>1276</v>
      </c>
      <c r="G810">
        <f>+IF(dHdcp[[#This Row],[Fecha]]=MAX(dHdcp[Fecha]),1,0)</f>
        <v>0</v>
      </c>
      <c r="H810" t="str">
        <f>+dHdcp[[#This Row],[Maximo]]&amp;":"&amp;dHdcp[[#This Row],[Nombre]]</f>
        <v>0:Alfonso Hidalgo</v>
      </c>
      <c r="I810" t="str">
        <f>+dHdcp[[#This Row],[Maximo]]&amp;":"&amp;_xlfn.XLOOKUP(dHdcp[[#This Row],[Nombre]],dJugador[Nombre],dJugador[Mote],"",0)</f>
        <v>0:Alfonso</v>
      </c>
      <c r="J810" t="str">
        <f>+IF(dHdcp[[#This Row],[Maximo]]=0,"",_xlfn.RANK.EQ(dHdcp[[#This Row],[Handicap]],dHdcp[Handicap],1))</f>
        <v/>
      </c>
      <c r="K810" t="str">
        <f>IFERROR(+_xlfn.RANK.EQ(dHdcp[[#This Row],[Ranking]],dHdcp[Ranking],1),"")</f>
        <v/>
      </c>
      <c r="M810" t="str">
        <f>+dHdcp[[#This Row],[Fecha]]&amp;":"&amp;dHdcp[[#This Row],[Nombre]]</f>
        <v>44352:Alfonso Hidalgo</v>
      </c>
      <c r="N810">
        <f>+COUNTIF(dHdcp[Columna1],dHdcp[[#This Row],[Columna1]])</f>
        <v>1</v>
      </c>
    </row>
    <row r="811" spans="1:14">
      <c r="A811" s="2">
        <v>44352</v>
      </c>
      <c r="B811" t="s">
        <v>15</v>
      </c>
      <c r="C811" s="51">
        <v>7.4</v>
      </c>
      <c r="D811">
        <f>+VLOOKUP(dHdcp[[#This Row],[Handicap]],'Categoría Hdcap'!$B$2:$E$7,4)</f>
        <v>2</v>
      </c>
      <c r="E811" t="s">
        <v>74</v>
      </c>
      <c r="F811" t="s">
        <v>1277</v>
      </c>
      <c r="G811">
        <f>+IF(dHdcp[[#This Row],[Fecha]]=MAX(dHdcp[Fecha]),1,0)</f>
        <v>0</v>
      </c>
      <c r="H811" t="str">
        <f>+dHdcp[[#This Row],[Maximo]]&amp;":"&amp;dHdcp[[#This Row],[Nombre]]</f>
        <v>0:Alvaro Aguirre</v>
      </c>
      <c r="I811" t="str">
        <f>+dHdcp[[#This Row],[Maximo]]&amp;":"&amp;_xlfn.XLOOKUP(dHdcp[[#This Row],[Nombre]],dJugador[Nombre],dJugador[Mote],"",0)</f>
        <v>0:Gifu</v>
      </c>
      <c r="J811" t="str">
        <f>+IF(dHdcp[[#This Row],[Maximo]]=0,"",_xlfn.RANK.EQ(dHdcp[[#This Row],[Handicap]],dHdcp[Handicap],1))</f>
        <v/>
      </c>
      <c r="K811" t="str">
        <f>IFERROR(+_xlfn.RANK.EQ(dHdcp[[#This Row],[Ranking]],dHdcp[Ranking],1),"")</f>
        <v/>
      </c>
      <c r="M811" t="str">
        <f>+dHdcp[[#This Row],[Fecha]]&amp;":"&amp;dHdcp[[#This Row],[Nombre]]</f>
        <v>44352:Alvaro Aguirre</v>
      </c>
      <c r="N811">
        <f>+COUNTIF(dHdcp[Columna1],dHdcp[[#This Row],[Columna1]])</f>
        <v>1</v>
      </c>
    </row>
    <row r="812" spans="1:14">
      <c r="A812" s="2">
        <v>44352</v>
      </c>
      <c r="B812" t="s">
        <v>25</v>
      </c>
      <c r="C812" s="51">
        <v>13.9</v>
      </c>
      <c r="D812">
        <f>+VLOOKUP(dHdcp[[#This Row],[Handicap]],'Categoría Hdcap'!$B$2:$E$7,4)</f>
        <v>3</v>
      </c>
      <c r="E812" t="s">
        <v>74</v>
      </c>
      <c r="F812" t="s">
        <v>1278</v>
      </c>
      <c r="G812">
        <f>+IF(dHdcp[[#This Row],[Fecha]]=MAX(dHdcp[Fecha]),1,0)</f>
        <v>0</v>
      </c>
      <c r="H812" t="str">
        <f>+dHdcp[[#This Row],[Maximo]]&amp;":"&amp;dHdcp[[#This Row],[Nombre]]</f>
        <v>0:Alvaro Nieto</v>
      </c>
      <c r="I812" t="str">
        <f>+dHdcp[[#This Row],[Maximo]]&amp;":"&amp;_xlfn.XLOOKUP(dHdcp[[#This Row],[Nombre]],dJugador[Nombre],dJugador[Mote],"",0)</f>
        <v>0:Alvaro</v>
      </c>
      <c r="J812" t="str">
        <f>+IF(dHdcp[[#This Row],[Maximo]]=0,"",_xlfn.RANK.EQ(dHdcp[[#This Row],[Handicap]],dHdcp[Handicap],1))</f>
        <v/>
      </c>
      <c r="K812" t="str">
        <f>IFERROR(+_xlfn.RANK.EQ(dHdcp[[#This Row],[Ranking]],dHdcp[Ranking],1),"")</f>
        <v/>
      </c>
      <c r="M812" t="str">
        <f>+dHdcp[[#This Row],[Fecha]]&amp;":"&amp;dHdcp[[#This Row],[Nombre]]</f>
        <v>44352:Alvaro Nieto</v>
      </c>
      <c r="N812">
        <f>+COUNTIF(dHdcp[Columna1],dHdcp[[#This Row],[Columna1]])</f>
        <v>1</v>
      </c>
    </row>
    <row r="813" spans="1:14">
      <c r="A813" s="2">
        <v>44352</v>
      </c>
      <c r="B813" t="s">
        <v>33</v>
      </c>
      <c r="C813" s="51">
        <v>7.6</v>
      </c>
      <c r="D813">
        <f>+VLOOKUP(dHdcp[[#This Row],[Handicap]],'Categoría Hdcap'!$B$2:$E$7,4)</f>
        <v>2</v>
      </c>
      <c r="E813" t="s">
        <v>74</v>
      </c>
      <c r="F813" t="s">
        <v>1279</v>
      </c>
      <c r="G813">
        <f>+IF(dHdcp[[#This Row],[Fecha]]=MAX(dHdcp[Fecha]),1,0)</f>
        <v>0</v>
      </c>
      <c r="H813" t="str">
        <f>+dHdcp[[#This Row],[Maximo]]&amp;":"&amp;dHdcp[[#This Row],[Nombre]]</f>
        <v>0:Angel Hernandez</v>
      </c>
      <c r="I813" t="str">
        <f>+dHdcp[[#This Row],[Maximo]]&amp;":"&amp;_xlfn.XLOOKUP(dHdcp[[#This Row],[Nombre]],dJugador[Nombre],dJugador[Mote],"",0)</f>
        <v>0:Angel</v>
      </c>
      <c r="J813" t="str">
        <f>+IF(dHdcp[[#This Row],[Maximo]]=0,"",_xlfn.RANK.EQ(dHdcp[[#This Row],[Handicap]],dHdcp[Handicap],1))</f>
        <v/>
      </c>
      <c r="K813" t="str">
        <f>IFERROR(+_xlfn.RANK.EQ(dHdcp[[#This Row],[Ranking]],dHdcp[Ranking],1),"")</f>
        <v/>
      </c>
      <c r="M813" t="str">
        <f>+dHdcp[[#This Row],[Fecha]]&amp;":"&amp;dHdcp[[#This Row],[Nombre]]</f>
        <v>44352:Angel Hernandez</v>
      </c>
      <c r="N813">
        <f>+COUNTIF(dHdcp[Columna1],dHdcp[[#This Row],[Columna1]])</f>
        <v>1</v>
      </c>
    </row>
    <row r="814" spans="1:14">
      <c r="A814" s="2">
        <v>44352</v>
      </c>
      <c r="B814" t="s">
        <v>30</v>
      </c>
      <c r="C814" s="51">
        <v>11.6</v>
      </c>
      <c r="D814">
        <f>+VLOOKUP(dHdcp[[#This Row],[Handicap]],'Categoría Hdcap'!$B$2:$E$7,4)</f>
        <v>3</v>
      </c>
      <c r="E814" t="s">
        <v>74</v>
      </c>
      <c r="F814" t="s">
        <v>1280</v>
      </c>
      <c r="G814">
        <f>+IF(dHdcp[[#This Row],[Fecha]]=MAX(dHdcp[Fecha]),1,0)</f>
        <v>0</v>
      </c>
      <c r="H814" t="str">
        <f>+dHdcp[[#This Row],[Maximo]]&amp;":"&amp;dHdcp[[#This Row],[Nombre]]</f>
        <v>0:David Sequera</v>
      </c>
      <c r="I814" t="str">
        <f>+dHdcp[[#This Row],[Maximo]]&amp;":"&amp;_xlfn.XLOOKUP(dHdcp[[#This Row],[Nombre]],dJugador[Nombre],dJugador[Mote],"",0)</f>
        <v>0:David</v>
      </c>
      <c r="J814" t="str">
        <f>+IF(dHdcp[[#This Row],[Maximo]]=0,"",_xlfn.RANK.EQ(dHdcp[[#This Row],[Handicap]],dHdcp[Handicap],1))</f>
        <v/>
      </c>
      <c r="K814" t="str">
        <f>IFERROR(+_xlfn.RANK.EQ(dHdcp[[#This Row],[Ranking]],dHdcp[Ranking],1),"")</f>
        <v/>
      </c>
      <c r="M814" t="str">
        <f>+dHdcp[[#This Row],[Fecha]]&amp;":"&amp;dHdcp[[#This Row],[Nombre]]</f>
        <v>44352:David Sequera</v>
      </c>
      <c r="N814">
        <f>+COUNTIF(dHdcp[Columna1],dHdcp[[#This Row],[Columna1]])</f>
        <v>1</v>
      </c>
    </row>
    <row r="815" spans="1:14">
      <c r="A815" s="2">
        <v>44352</v>
      </c>
      <c r="B815" t="s">
        <v>12</v>
      </c>
      <c r="C815" s="51">
        <v>16.100000000000001</v>
      </c>
      <c r="D815">
        <f>+VLOOKUP(dHdcp[[#This Row],[Handicap]],'Categoría Hdcap'!$B$2:$E$7,4)</f>
        <v>3</v>
      </c>
      <c r="E815" t="s">
        <v>74</v>
      </c>
      <c r="F815" t="s">
        <v>1281</v>
      </c>
      <c r="G815">
        <f>+IF(dHdcp[[#This Row],[Fecha]]=MAX(dHdcp[Fecha]),1,0)</f>
        <v>0</v>
      </c>
      <c r="H815" t="str">
        <f>+dHdcp[[#This Row],[Maximo]]&amp;":"&amp;dHdcp[[#This Row],[Nombre]]</f>
        <v>0:Francisco Alvarez</v>
      </c>
      <c r="I815" t="str">
        <f>+dHdcp[[#This Row],[Maximo]]&amp;":"&amp;_xlfn.XLOOKUP(dHdcp[[#This Row],[Nombre]],dJugador[Nombre],dJugador[Mote],"",0)</f>
        <v>0:Paco</v>
      </c>
      <c r="J815" t="str">
        <f>+IF(dHdcp[[#This Row],[Maximo]]=0,"",_xlfn.RANK.EQ(dHdcp[[#This Row],[Handicap]],dHdcp[Handicap],1))</f>
        <v/>
      </c>
      <c r="K815" t="str">
        <f>IFERROR(+_xlfn.RANK.EQ(dHdcp[[#This Row],[Ranking]],dHdcp[Ranking],1),"")</f>
        <v/>
      </c>
      <c r="M815" t="str">
        <f>+dHdcp[[#This Row],[Fecha]]&amp;":"&amp;dHdcp[[#This Row],[Nombre]]</f>
        <v>44352:Francisco Alvarez</v>
      </c>
      <c r="N815">
        <f>+COUNTIF(dHdcp[Columna1],dHdcp[[#This Row],[Columna1]])</f>
        <v>1</v>
      </c>
    </row>
    <row r="816" spans="1:14">
      <c r="A816" s="2">
        <v>44352</v>
      </c>
      <c r="B816" t="s">
        <v>49</v>
      </c>
      <c r="C816" s="51">
        <v>13.8</v>
      </c>
      <c r="D816">
        <f>+VLOOKUP(dHdcp[[#This Row],[Handicap]],'Categoría Hdcap'!$B$2:$E$7,4)</f>
        <v>3</v>
      </c>
      <c r="E816" t="s">
        <v>74</v>
      </c>
      <c r="F816" t="s">
        <v>1282</v>
      </c>
      <c r="G816">
        <f>+IF(dHdcp[[#This Row],[Fecha]]=MAX(dHdcp[Fecha]),1,0)</f>
        <v>0</v>
      </c>
      <c r="H816" t="str">
        <f>+dHdcp[[#This Row],[Maximo]]&amp;":"&amp;dHdcp[[#This Row],[Nombre]]</f>
        <v>0:Francisco Hidalgo</v>
      </c>
      <c r="I816" t="str">
        <f>+dHdcp[[#This Row],[Maximo]]&amp;":"&amp;_xlfn.XLOOKUP(dHdcp[[#This Row],[Nombre]],dJugador[Nombre],dJugador[Mote],"",0)</f>
        <v>0:Fran</v>
      </c>
      <c r="J816" t="str">
        <f>+IF(dHdcp[[#This Row],[Maximo]]=0,"",_xlfn.RANK.EQ(dHdcp[[#This Row],[Handicap]],dHdcp[Handicap],1))</f>
        <v/>
      </c>
      <c r="K816" t="str">
        <f>IFERROR(+_xlfn.RANK.EQ(dHdcp[[#This Row],[Ranking]],dHdcp[Ranking],1),"")</f>
        <v/>
      </c>
      <c r="M816" t="str">
        <f>+dHdcp[[#This Row],[Fecha]]&amp;":"&amp;dHdcp[[#This Row],[Nombre]]</f>
        <v>44352:Francisco Hidalgo</v>
      </c>
      <c r="N816">
        <f>+COUNTIF(dHdcp[Columna1],dHdcp[[#This Row],[Columna1]])</f>
        <v>1</v>
      </c>
    </row>
    <row r="817" spans="1:25">
      <c r="A817" s="2">
        <v>44352</v>
      </c>
      <c r="B817" t="s">
        <v>35</v>
      </c>
      <c r="C817" s="51">
        <v>17.899999999999999</v>
      </c>
      <c r="D817">
        <f>+VLOOKUP(dHdcp[[#This Row],[Handicap]],'Categoría Hdcap'!$B$2:$E$7,4)</f>
        <v>3</v>
      </c>
      <c r="E817" t="s">
        <v>74</v>
      </c>
      <c r="F817" t="s">
        <v>1283</v>
      </c>
      <c r="G817">
        <f>+IF(dHdcp[[#This Row],[Fecha]]=MAX(dHdcp[Fecha]),1,0)</f>
        <v>0</v>
      </c>
      <c r="H817" t="str">
        <f>+dHdcp[[#This Row],[Maximo]]&amp;":"&amp;dHdcp[[#This Row],[Nombre]]</f>
        <v>0:GLEZ JUAN JOSÉ</v>
      </c>
      <c r="I817" t="str">
        <f>+dHdcp[[#This Row],[Maximo]]&amp;":"&amp;_xlfn.XLOOKUP(dHdcp[[#This Row],[Nombre]],dJugador[Nombre],dJugador[Mote],"",0)</f>
        <v>0:Juanjo</v>
      </c>
      <c r="J817" t="str">
        <f>+IF(dHdcp[[#This Row],[Maximo]]=0,"",_xlfn.RANK.EQ(dHdcp[[#This Row],[Handicap]],dHdcp[Handicap],1))</f>
        <v/>
      </c>
      <c r="K817" t="str">
        <f>IFERROR(+_xlfn.RANK.EQ(dHdcp[[#This Row],[Ranking]],dHdcp[Ranking],1),"")</f>
        <v/>
      </c>
      <c r="M817" t="str">
        <f>+dHdcp[[#This Row],[Fecha]]&amp;":"&amp;dHdcp[[#This Row],[Nombre]]</f>
        <v>44352:GLEZ JUAN JOSÉ</v>
      </c>
      <c r="N817">
        <f>+COUNTIF(dHdcp[Columna1],dHdcp[[#This Row],[Columna1]])</f>
        <v>1</v>
      </c>
    </row>
    <row r="818" spans="1:25">
      <c r="A818" s="2">
        <v>44352</v>
      </c>
      <c r="B818" t="s">
        <v>6</v>
      </c>
      <c r="C818" s="51">
        <v>6.8</v>
      </c>
      <c r="D818">
        <f>+VLOOKUP(dHdcp[[#This Row],[Handicap]],'Categoría Hdcap'!$B$2:$E$7,4)</f>
        <v>2</v>
      </c>
      <c r="E818" t="s">
        <v>74</v>
      </c>
      <c r="F818" t="s">
        <v>1284</v>
      </c>
      <c r="G818">
        <f>+IF(dHdcp[[#This Row],[Fecha]]=MAX(dHdcp[Fecha]),1,0)</f>
        <v>0</v>
      </c>
      <c r="H818" t="str">
        <f>+dHdcp[[#This Row],[Maximo]]&amp;":"&amp;dHdcp[[#This Row],[Nombre]]</f>
        <v>0:Ignacio Cadarso</v>
      </c>
      <c r="I818" t="str">
        <f>+dHdcp[[#This Row],[Maximo]]&amp;":"&amp;_xlfn.XLOOKUP(dHdcp[[#This Row],[Nombre]],dJugador[Nombre],dJugador[Mote],"",0)</f>
        <v>0:Ignacio</v>
      </c>
      <c r="J818" t="str">
        <f>+IF(dHdcp[[#This Row],[Maximo]]=0,"",_xlfn.RANK.EQ(dHdcp[[#This Row],[Handicap]],dHdcp[Handicap],1))</f>
        <v/>
      </c>
      <c r="K818" t="str">
        <f>IFERROR(+_xlfn.RANK.EQ(dHdcp[[#This Row],[Ranking]],dHdcp[Ranking],1),"")</f>
        <v/>
      </c>
      <c r="M818" t="str">
        <f>+dHdcp[[#This Row],[Fecha]]&amp;":"&amp;dHdcp[[#This Row],[Nombre]]</f>
        <v>44352:Ignacio Cadarso</v>
      </c>
      <c r="N818">
        <f>+COUNTIF(dHdcp[Columna1],dHdcp[[#This Row],[Columna1]])</f>
        <v>1</v>
      </c>
    </row>
    <row r="819" spans="1:25">
      <c r="A819" s="2">
        <v>44352</v>
      </c>
      <c r="B819" t="s">
        <v>23</v>
      </c>
      <c r="C819" s="51">
        <v>18.600000000000001</v>
      </c>
      <c r="D819">
        <f>+VLOOKUP(dHdcp[[#This Row],[Handicap]],'Categoría Hdcap'!$B$2:$E$7,4)</f>
        <v>4</v>
      </c>
      <c r="E819" t="s">
        <v>74</v>
      </c>
      <c r="F819" t="s">
        <v>1285</v>
      </c>
      <c r="G819">
        <f>+IF(dHdcp[[#This Row],[Fecha]]=MAX(dHdcp[Fecha]),1,0)</f>
        <v>0</v>
      </c>
      <c r="H819" t="str">
        <f>+dHdcp[[#This Row],[Maximo]]&amp;":"&amp;dHdcp[[#This Row],[Nombre]]</f>
        <v>0:J. Enrique Gonzalez</v>
      </c>
      <c r="I819" t="str">
        <f>+dHdcp[[#This Row],[Maximo]]&amp;":"&amp;_xlfn.XLOOKUP(dHdcp[[#This Row],[Nombre]],dJugador[Nombre],dJugador[Mote],"",0)</f>
        <v>0:Kike</v>
      </c>
      <c r="J819" t="str">
        <f>+IF(dHdcp[[#This Row],[Maximo]]=0,"",_xlfn.RANK.EQ(dHdcp[[#This Row],[Handicap]],dHdcp[Handicap],1))</f>
        <v/>
      </c>
      <c r="K819" t="str">
        <f>IFERROR(+_xlfn.RANK.EQ(dHdcp[[#This Row],[Ranking]],dHdcp[Ranking],1),"")</f>
        <v/>
      </c>
      <c r="M819" t="str">
        <f>+dHdcp[[#This Row],[Fecha]]&amp;":"&amp;dHdcp[[#This Row],[Nombre]]</f>
        <v>44352:J. Enrique Gonzalez</v>
      </c>
      <c r="N819">
        <f>+COUNTIF(dHdcp[Columna1],dHdcp[[#This Row],[Columna1]])</f>
        <v>1</v>
      </c>
    </row>
    <row r="820" spans="1:25">
      <c r="A820" s="2">
        <v>44352</v>
      </c>
      <c r="B820" t="s">
        <v>46</v>
      </c>
      <c r="C820" s="51">
        <v>16</v>
      </c>
      <c r="D820">
        <f>+VLOOKUP(dHdcp[[#This Row],[Handicap]],'Categoría Hdcap'!$B$2:$E$7,4)</f>
        <v>3</v>
      </c>
      <c r="E820" t="s">
        <v>74</v>
      </c>
      <c r="F820" t="s">
        <v>1286</v>
      </c>
      <c r="G820">
        <f>+IF(dHdcp[[#This Row],[Fecha]]=MAX(dHdcp[Fecha]),1,0)</f>
        <v>0</v>
      </c>
      <c r="H820" t="str">
        <f>+dHdcp[[#This Row],[Maximo]]&amp;":"&amp;dHdcp[[#This Row],[Nombre]]</f>
        <v>0:Javier Cervera</v>
      </c>
      <c r="I820" t="str">
        <f>+dHdcp[[#This Row],[Maximo]]&amp;":"&amp;_xlfn.XLOOKUP(dHdcp[[#This Row],[Nombre]],dJugador[Nombre],dJugador[Mote],"",0)</f>
        <v>0:Virus</v>
      </c>
      <c r="J820" t="str">
        <f>+IF(dHdcp[[#This Row],[Maximo]]=0,"",_xlfn.RANK.EQ(dHdcp[[#This Row],[Handicap]],dHdcp[Handicap],1))</f>
        <v/>
      </c>
      <c r="K820" t="str">
        <f>IFERROR(+_xlfn.RANK.EQ(dHdcp[[#This Row],[Ranking]],dHdcp[Ranking],1),"")</f>
        <v/>
      </c>
      <c r="M820" t="str">
        <f>+dHdcp[[#This Row],[Fecha]]&amp;":"&amp;dHdcp[[#This Row],[Nombre]]</f>
        <v>44352:Javier Cervera</v>
      </c>
      <c r="N820">
        <f>+COUNTIF(dHdcp[Columna1],dHdcp[[#This Row],[Columna1]])</f>
        <v>1</v>
      </c>
    </row>
    <row r="821" spans="1:25">
      <c r="A821" s="2">
        <v>44352</v>
      </c>
      <c r="B821" t="s">
        <v>20</v>
      </c>
      <c r="C821" s="51">
        <v>15.4</v>
      </c>
      <c r="D821">
        <f>+VLOOKUP(dHdcp[[#This Row],[Handicap]],'Categoría Hdcap'!$B$2:$E$7,4)</f>
        <v>3</v>
      </c>
      <c r="E821" t="s">
        <v>74</v>
      </c>
      <c r="F821" t="s">
        <v>1287</v>
      </c>
      <c r="G821">
        <f>+IF(dHdcp[[#This Row],[Fecha]]=MAX(dHdcp[Fecha]),1,0)</f>
        <v>0</v>
      </c>
      <c r="H821" t="str">
        <f>+dHdcp[[#This Row],[Maximo]]&amp;":"&amp;dHdcp[[#This Row],[Nombre]]</f>
        <v>0:Javier Gonzalez Salvador</v>
      </c>
      <c r="I821" t="str">
        <f>+dHdcp[[#This Row],[Maximo]]&amp;":"&amp;_xlfn.XLOOKUP(dHdcp[[#This Row],[Nombre]],dJugador[Nombre],dJugador[Mote],"",0)</f>
        <v>0:Javi</v>
      </c>
      <c r="J821" t="str">
        <f>+IF(dHdcp[[#This Row],[Maximo]]=0,"",_xlfn.RANK.EQ(dHdcp[[#This Row],[Handicap]],dHdcp[Handicap],1))</f>
        <v/>
      </c>
      <c r="K821" t="str">
        <f>IFERROR(+_xlfn.RANK.EQ(dHdcp[[#This Row],[Ranking]],dHdcp[Ranking],1),"")</f>
        <v/>
      </c>
      <c r="M821" t="str">
        <f>+dHdcp[[#This Row],[Fecha]]&amp;":"&amp;dHdcp[[#This Row],[Nombre]]</f>
        <v>44352:Javier Gonzalez Salvador</v>
      </c>
      <c r="N821">
        <f>+COUNTIF(dHdcp[Columna1],dHdcp[[#This Row],[Columna1]])</f>
        <v>1</v>
      </c>
    </row>
    <row r="822" spans="1:25">
      <c r="A822" s="2">
        <v>44352</v>
      </c>
      <c r="B822" t="s">
        <v>41</v>
      </c>
      <c r="C822" s="51">
        <v>22.6</v>
      </c>
      <c r="D822">
        <f>+VLOOKUP(dHdcp[[#This Row],[Handicap]],'Categoría Hdcap'!$B$2:$E$7,4)</f>
        <v>4</v>
      </c>
      <c r="E822" t="s">
        <v>74</v>
      </c>
      <c r="F822" t="s">
        <v>1288</v>
      </c>
      <c r="G822">
        <f>+IF(dHdcp[[#This Row],[Fecha]]=MAX(dHdcp[Fecha]),1,0)</f>
        <v>0</v>
      </c>
      <c r="H822" t="str">
        <f>+dHdcp[[#This Row],[Maximo]]&amp;":"&amp;dHdcp[[#This Row],[Nombre]]</f>
        <v>0:Jesus Touceda</v>
      </c>
      <c r="I822" t="str">
        <f>+dHdcp[[#This Row],[Maximo]]&amp;":"&amp;_xlfn.XLOOKUP(dHdcp[[#This Row],[Nombre]],dJugador[Nombre],dJugador[Mote],"",0)</f>
        <v>0:Jesús</v>
      </c>
      <c r="J822" t="str">
        <f>+IF(dHdcp[[#This Row],[Maximo]]=0,"",_xlfn.RANK.EQ(dHdcp[[#This Row],[Handicap]],dHdcp[Handicap],1))</f>
        <v/>
      </c>
      <c r="K822" t="str">
        <f>IFERROR(+_xlfn.RANK.EQ(dHdcp[[#This Row],[Ranking]],dHdcp[Ranking],1),"")</f>
        <v/>
      </c>
      <c r="M822" t="str">
        <f>+dHdcp[[#This Row],[Fecha]]&amp;":"&amp;dHdcp[[#This Row],[Nombre]]</f>
        <v>44352:Jesus Touceda</v>
      </c>
      <c r="N822">
        <f>+COUNTIF(dHdcp[Columna1],dHdcp[[#This Row],[Columna1]])</f>
        <v>1</v>
      </c>
    </row>
    <row r="823" spans="1:25">
      <c r="A823" s="2">
        <v>44352</v>
      </c>
      <c r="B823" t="s">
        <v>18</v>
      </c>
      <c r="C823" s="51">
        <v>6.8</v>
      </c>
      <c r="D823">
        <f>+VLOOKUP(dHdcp[[#This Row],[Handicap]],'Categoría Hdcap'!$B$2:$E$7,4)</f>
        <v>2</v>
      </c>
      <c r="E823" t="s">
        <v>74</v>
      </c>
      <c r="F823" t="s">
        <v>1289</v>
      </c>
      <c r="G823">
        <f>+IF(dHdcp[[#This Row],[Fecha]]=MAX(dHdcp[Fecha]),1,0)</f>
        <v>0</v>
      </c>
      <c r="H823" t="str">
        <f>+dHdcp[[#This Row],[Maximo]]&amp;":"&amp;dHdcp[[#This Row],[Nombre]]</f>
        <v>0:José Pablo Guil</v>
      </c>
      <c r="I823" t="str">
        <f>+dHdcp[[#This Row],[Maximo]]&amp;":"&amp;_xlfn.XLOOKUP(dHdcp[[#This Row],[Nombre]],dJugador[Nombre],dJugador[Mote],"",0)</f>
        <v>0:JP</v>
      </c>
      <c r="J823" t="str">
        <f>+IF(dHdcp[[#This Row],[Maximo]]=0,"",_xlfn.RANK.EQ(dHdcp[[#This Row],[Handicap]],dHdcp[Handicap],1))</f>
        <v/>
      </c>
      <c r="K823" t="str">
        <f>IFERROR(+_xlfn.RANK.EQ(dHdcp[[#This Row],[Ranking]],dHdcp[Ranking],1),"")</f>
        <v/>
      </c>
      <c r="M823" t="str">
        <f>+dHdcp[[#This Row],[Fecha]]&amp;":"&amp;dHdcp[[#This Row],[Nombre]]</f>
        <v>44352:José Pablo Guil</v>
      </c>
      <c r="N823">
        <f>+COUNTIF(dHdcp[Columna1],dHdcp[[#This Row],[Columna1]])</f>
        <v>1</v>
      </c>
    </row>
    <row r="824" spans="1:25">
      <c r="A824" s="2">
        <v>44352</v>
      </c>
      <c r="B824" t="s">
        <v>43</v>
      </c>
      <c r="C824" s="51">
        <v>18.3</v>
      </c>
      <c r="D824">
        <f>+VLOOKUP(dHdcp[[#This Row],[Handicap]],'Categoría Hdcap'!$B$2:$E$7,4)</f>
        <v>3</v>
      </c>
      <c r="E824" t="s">
        <v>74</v>
      </c>
      <c r="F824" t="s">
        <v>1290</v>
      </c>
      <c r="G824">
        <f>+IF(dHdcp[[#This Row],[Fecha]]=MAX(dHdcp[Fecha]),1,0)</f>
        <v>0</v>
      </c>
      <c r="H824" t="str">
        <f>+dHdcp[[#This Row],[Maximo]]&amp;":"&amp;dHdcp[[#This Row],[Nombre]]</f>
        <v>0:Luis Escudero</v>
      </c>
      <c r="I824" t="str">
        <f>+dHdcp[[#This Row],[Maximo]]&amp;":"&amp;_xlfn.XLOOKUP(dHdcp[[#This Row],[Nombre]],dJugador[Nombre],dJugador[Mote],"",0)</f>
        <v>0:Lucho</v>
      </c>
      <c r="J824" t="str">
        <f>+IF(dHdcp[[#This Row],[Maximo]]=0,"",_xlfn.RANK.EQ(dHdcp[[#This Row],[Handicap]],dHdcp[Handicap],1))</f>
        <v/>
      </c>
      <c r="K824" t="str">
        <f>IFERROR(+_xlfn.RANK.EQ(dHdcp[[#This Row],[Ranking]],dHdcp[Ranking],1),"")</f>
        <v/>
      </c>
      <c r="M824" t="str">
        <f>+dHdcp[[#This Row],[Fecha]]&amp;":"&amp;dHdcp[[#This Row],[Nombre]]</f>
        <v>44352:Luis Escudero</v>
      </c>
      <c r="N824">
        <f>+COUNTIF(dHdcp[Columna1],dHdcp[[#This Row],[Columna1]])</f>
        <v>1</v>
      </c>
    </row>
    <row r="825" spans="1:25">
      <c r="A825" s="2">
        <v>44352</v>
      </c>
      <c r="B825" s="10" t="s">
        <v>135</v>
      </c>
      <c r="C825" s="53">
        <v>22.1</v>
      </c>
      <c r="D825" s="10">
        <f>+VLOOKUP(dHdcp[[#This Row],[Handicap]],'Categoría Hdcap'!$B$2:$E$7,4)</f>
        <v>4</v>
      </c>
      <c r="E825" s="10" t="s">
        <v>74</v>
      </c>
      <c r="F825" s="10" t="s">
        <v>1291</v>
      </c>
      <c r="G825">
        <f>+IF(dHdcp[[#This Row],[Fecha]]=MAX(dHdcp[Fecha]),1,0)</f>
        <v>0</v>
      </c>
      <c r="H825" t="str">
        <f>+dHdcp[[#This Row],[Maximo]]&amp;":"&amp;dHdcp[[#This Row],[Nombre]]</f>
        <v>0:Miche Lopez</v>
      </c>
      <c r="I825" t="str">
        <f>+dHdcp[[#This Row],[Maximo]]&amp;":"&amp;_xlfn.XLOOKUP(dHdcp[[#This Row],[Nombre]],dJugador[Nombre],dJugador[Mote],"",0)</f>
        <v>0:Miche</v>
      </c>
      <c r="J825" t="str">
        <f>+IF(dHdcp[[#This Row],[Maximo]]=0,"",_xlfn.RANK.EQ(dHdcp[[#This Row],[Handicap]],dHdcp[Handicap],1))</f>
        <v/>
      </c>
      <c r="K825" t="str">
        <f>IFERROR(+_xlfn.RANK.EQ(dHdcp[[#This Row],[Ranking]],dHdcp[Ranking],1),"")</f>
        <v/>
      </c>
      <c r="M825" t="str">
        <f>+dHdcp[[#This Row],[Fecha]]&amp;":"&amp;dHdcp[[#This Row],[Nombre]]</f>
        <v>44352:Miche Lopez</v>
      </c>
      <c r="N825">
        <f>+COUNTIF(dHdcp[Columna1],dHdcp[[#This Row],[Columna1]])</f>
        <v>1</v>
      </c>
    </row>
    <row r="826" spans="1:25">
      <c r="A826" s="2">
        <v>44352</v>
      </c>
      <c r="B826" t="s">
        <v>51</v>
      </c>
      <c r="C826" s="51">
        <v>-0.1</v>
      </c>
      <c r="D826">
        <f>+VLOOKUP(dHdcp[[#This Row],[Handicap]],'Categoría Hdcap'!$B$2:$E$7,4)</f>
        <v>1</v>
      </c>
      <c r="E826" t="s">
        <v>74</v>
      </c>
      <c r="F826" t="s">
        <v>1292</v>
      </c>
      <c r="G826">
        <f>+IF(dHdcp[[#This Row],[Fecha]]=MAX(dHdcp[Fecha]),1,0)</f>
        <v>0</v>
      </c>
      <c r="H826" t="str">
        <f>+dHdcp[[#This Row],[Maximo]]&amp;":"&amp;dHdcp[[#This Row],[Nombre]]</f>
        <v>0:Miguel Diaz Del Moral</v>
      </c>
      <c r="I826" t="str">
        <f>+dHdcp[[#This Row],[Maximo]]&amp;":"&amp;_xlfn.XLOOKUP(dHdcp[[#This Row],[Nombre]],dJugador[Nombre],dJugador[Mote],"",0)</f>
        <v>0:Cañita</v>
      </c>
      <c r="J826" t="str">
        <f>+IF(dHdcp[[#This Row],[Maximo]]=0,"",_xlfn.RANK.EQ(dHdcp[[#This Row],[Handicap]],dHdcp[Handicap],1))</f>
        <v/>
      </c>
      <c r="K826" t="str">
        <f>IFERROR(+_xlfn.RANK.EQ(dHdcp[[#This Row],[Ranking]],dHdcp[Ranking],1),"")</f>
        <v/>
      </c>
      <c r="M826" t="str">
        <f>+dHdcp[[#This Row],[Fecha]]&amp;":"&amp;dHdcp[[#This Row],[Nombre]]</f>
        <v>44352:Miguel Diaz Del Moral</v>
      </c>
      <c r="N826">
        <f>+COUNTIF(dHdcp[Columna1],dHdcp[[#This Row],[Columna1]])</f>
        <v>1</v>
      </c>
    </row>
    <row r="827" spans="1:25">
      <c r="A827" s="2">
        <v>44352</v>
      </c>
      <c r="B827" t="s">
        <v>3</v>
      </c>
      <c r="C827" s="51">
        <v>6</v>
      </c>
      <c r="D827">
        <f>+VLOOKUP(dHdcp[[#This Row],[Handicap]],'Categoría Hdcap'!$B$2:$E$7,4)</f>
        <v>2</v>
      </c>
      <c r="E827" t="s">
        <v>74</v>
      </c>
      <c r="F827" t="s">
        <v>1293</v>
      </c>
      <c r="G827">
        <f>+IF(dHdcp[[#This Row],[Fecha]]=MAX(dHdcp[Fecha]),1,0)</f>
        <v>0</v>
      </c>
      <c r="H827" t="str">
        <f>+dHdcp[[#This Row],[Maximo]]&amp;":"&amp;dHdcp[[#This Row],[Nombre]]</f>
        <v>0:Nacho Gonzalez</v>
      </c>
      <c r="I827" t="str">
        <f>+dHdcp[[#This Row],[Maximo]]&amp;":"&amp;_xlfn.XLOOKUP(dHdcp[[#This Row],[Nombre]],dJugador[Nombre],dJugador[Mote],"",0)</f>
        <v>0:Nacho</v>
      </c>
      <c r="J827" t="str">
        <f>+IF(dHdcp[[#This Row],[Maximo]]=0,"",_xlfn.RANK.EQ(dHdcp[[#This Row],[Handicap]],dHdcp[Handicap],1))</f>
        <v/>
      </c>
      <c r="K827" t="str">
        <f>IFERROR(+_xlfn.RANK.EQ(dHdcp[[#This Row],[Ranking]],dHdcp[Ranking],1),"")</f>
        <v/>
      </c>
      <c r="M827" t="str">
        <f>+dHdcp[[#This Row],[Fecha]]&amp;":"&amp;dHdcp[[#This Row],[Nombre]]</f>
        <v>44352:Nacho Gonzalez</v>
      </c>
      <c r="N827">
        <f>+COUNTIF(dHdcp[Columna1],dHdcp[[#This Row],[Columna1]])</f>
        <v>1</v>
      </c>
    </row>
    <row r="828" spans="1:25">
      <c r="A828" s="2">
        <v>44352</v>
      </c>
      <c r="B828" t="s">
        <v>28</v>
      </c>
      <c r="C828" s="51">
        <v>13.7</v>
      </c>
      <c r="D828">
        <f>+VLOOKUP(dHdcp[[#This Row],[Handicap]],'Categoría Hdcap'!$B$2:$E$7,4)</f>
        <v>3</v>
      </c>
      <c r="E828" t="s">
        <v>74</v>
      </c>
      <c r="F828" t="s">
        <v>1294</v>
      </c>
      <c r="G828">
        <f>+IF(dHdcp[[#This Row],[Fecha]]=MAX(dHdcp[Fecha]),1,0)</f>
        <v>0</v>
      </c>
      <c r="H828" t="str">
        <f>+dHdcp[[#This Row],[Maximo]]&amp;":"&amp;dHdcp[[#This Row],[Nombre]]</f>
        <v>0:Pablo Munitiz</v>
      </c>
      <c r="I828" t="str">
        <f>+dHdcp[[#This Row],[Maximo]]&amp;":"&amp;_xlfn.XLOOKUP(dHdcp[[#This Row],[Nombre]],dJugador[Nombre],dJugador[Mote],"",0)</f>
        <v>0:Muni</v>
      </c>
      <c r="J828" t="str">
        <f>+IF(dHdcp[[#This Row],[Maximo]]=0,"",_xlfn.RANK.EQ(dHdcp[[#This Row],[Handicap]],dHdcp[Handicap],1))</f>
        <v/>
      </c>
      <c r="K828" t="str">
        <f>IFERROR(+_xlfn.RANK.EQ(dHdcp[[#This Row],[Ranking]],dHdcp[Ranking],1),"")</f>
        <v/>
      </c>
      <c r="M828" t="str">
        <f>+dHdcp[[#This Row],[Fecha]]&amp;":"&amp;dHdcp[[#This Row],[Nombre]]</f>
        <v>44352:Pablo Munitiz</v>
      </c>
      <c r="N828">
        <f>+COUNTIF(dHdcp[Columna1],dHdcp[[#This Row],[Columna1]])</f>
        <v>1</v>
      </c>
    </row>
    <row r="829" spans="1:25">
      <c r="A829" s="2">
        <v>44379</v>
      </c>
      <c r="B829" t="s">
        <v>9</v>
      </c>
      <c r="C829" s="51">
        <v>10.199999999999999</v>
      </c>
      <c r="D829">
        <f>+VLOOKUP(dHdcp[[#This Row],[Handicap]],'Categoría Hdcap'!$B$2:$E$7,4)</f>
        <v>2</v>
      </c>
      <c r="E829" t="s">
        <v>74</v>
      </c>
      <c r="F829" t="s">
        <v>1295</v>
      </c>
      <c r="G829">
        <f>+IF(dHdcp[[#This Row],[Fecha]]=MAX(dHdcp[Fecha]),1,0)</f>
        <v>0</v>
      </c>
      <c r="H829" t="str">
        <f>+dHdcp[[#This Row],[Maximo]]&amp;":"&amp;dHdcp[[#This Row],[Nombre]]</f>
        <v>0:Alfonso Hidalgo</v>
      </c>
      <c r="I829" t="str">
        <f>+dHdcp[[#This Row],[Maximo]]&amp;":"&amp;_xlfn.XLOOKUP(dHdcp[[#This Row],[Nombre]],dJugador[Nombre],dJugador[Mote],"",0)</f>
        <v>0:Alfonso</v>
      </c>
      <c r="J829" t="str">
        <f>+IF(dHdcp[[#This Row],[Maximo]]=0,"",_xlfn.RANK.EQ(dHdcp[[#This Row],[Handicap]],dHdcp[Handicap],1))</f>
        <v/>
      </c>
      <c r="K829" t="str">
        <f>IFERROR(+_xlfn.RANK.EQ(dHdcp[[#This Row],[Ranking]],dHdcp[Ranking],1),"")</f>
        <v/>
      </c>
      <c r="M829" t="str">
        <f>+dHdcp[[#This Row],[Fecha]]&amp;":"&amp;dHdcp[[#This Row],[Nombre]]</f>
        <v>44379:Alfonso Hidalgo</v>
      </c>
      <c r="N829">
        <f>+COUNTIF(dHdcp[Columna1],dHdcp[[#This Row],[Columna1]])</f>
        <v>1</v>
      </c>
      <c r="S829">
        <v>7.4</v>
      </c>
      <c r="T829">
        <v>0.2</v>
      </c>
      <c r="U829">
        <f>+S829-T829</f>
        <v>7.2</v>
      </c>
      <c r="V829">
        <v>71.400000000000006</v>
      </c>
      <c r="W829">
        <v>130</v>
      </c>
      <c r="X829">
        <v>113</v>
      </c>
      <c r="Y829" s="10">
        <f>+ROUND(U829*(W829/X829)+(V829-72),0)</f>
        <v>8</v>
      </c>
    </row>
    <row r="830" spans="1:25">
      <c r="A830" s="2">
        <v>44379</v>
      </c>
      <c r="B830" t="s">
        <v>15</v>
      </c>
      <c r="C830" s="51">
        <v>7.2</v>
      </c>
      <c r="D830">
        <f>+VLOOKUP(dHdcp[[#This Row],[Handicap]],'Categoría Hdcap'!$B$2:$E$7,4)</f>
        <v>2</v>
      </c>
      <c r="E830" t="s">
        <v>74</v>
      </c>
      <c r="F830" t="s">
        <v>1296</v>
      </c>
      <c r="G830">
        <f>+IF(dHdcp[[#This Row],[Fecha]]=MAX(dHdcp[Fecha]),1,0)</f>
        <v>0</v>
      </c>
      <c r="H830" t="str">
        <f>+dHdcp[[#This Row],[Maximo]]&amp;":"&amp;dHdcp[[#This Row],[Nombre]]</f>
        <v>0:Alvaro Aguirre</v>
      </c>
      <c r="I830" t="str">
        <f>+dHdcp[[#This Row],[Maximo]]&amp;":"&amp;_xlfn.XLOOKUP(dHdcp[[#This Row],[Nombre]],dJugador[Nombre],dJugador[Mote],"",0)</f>
        <v>0:Gifu</v>
      </c>
      <c r="J830" t="str">
        <f>+IF(dHdcp[[#This Row],[Maximo]]=0,"",_xlfn.RANK.EQ(dHdcp[[#This Row],[Handicap]],dHdcp[Handicap],1))</f>
        <v/>
      </c>
      <c r="K830" t="str">
        <f>IFERROR(+_xlfn.RANK.EQ(dHdcp[[#This Row],[Ranking]],dHdcp[Ranking],1),"")</f>
        <v/>
      </c>
      <c r="M830" t="str">
        <f>+dHdcp[[#This Row],[Fecha]]&amp;":"&amp;dHdcp[[#This Row],[Nombre]]</f>
        <v>44379:Alvaro Aguirre</v>
      </c>
      <c r="N830">
        <f>+COUNTIF(dHdcp[Columna1],dHdcp[[#This Row],[Columna1]])</f>
        <v>1</v>
      </c>
      <c r="S830">
        <v>10.199999999999999</v>
      </c>
      <c r="U830">
        <f t="shared" ref="U830:U847" si="0">+S830-T830</f>
        <v>10.199999999999999</v>
      </c>
      <c r="V830">
        <v>71.400000000000006</v>
      </c>
      <c r="W830">
        <v>130</v>
      </c>
      <c r="X830">
        <v>113</v>
      </c>
      <c r="Y830">
        <f t="shared" ref="Y830:Y847" si="1">+ROUND(U830*(W830/X830)+(V830-72),0)</f>
        <v>11</v>
      </c>
    </row>
    <row r="831" spans="1:25">
      <c r="A831" s="2">
        <v>44379</v>
      </c>
      <c r="B831" t="s">
        <v>25</v>
      </c>
      <c r="C831" s="51">
        <v>13.1</v>
      </c>
      <c r="D831">
        <f>+VLOOKUP(dHdcp[[#This Row],[Handicap]],'Categoría Hdcap'!$B$2:$E$7,4)</f>
        <v>3</v>
      </c>
      <c r="E831" t="s">
        <v>74</v>
      </c>
      <c r="F831" t="s">
        <v>1297</v>
      </c>
      <c r="G831">
        <f>+IF(dHdcp[[#This Row],[Fecha]]=MAX(dHdcp[Fecha]),1,0)</f>
        <v>0</v>
      </c>
      <c r="H831" t="str">
        <f>+dHdcp[[#This Row],[Maximo]]&amp;":"&amp;dHdcp[[#This Row],[Nombre]]</f>
        <v>0:Alvaro Nieto</v>
      </c>
      <c r="I831" t="str">
        <f>+dHdcp[[#This Row],[Maximo]]&amp;":"&amp;_xlfn.XLOOKUP(dHdcp[[#This Row],[Nombre]],dJugador[Nombre],dJugador[Mote],"",0)</f>
        <v>0:Alvaro</v>
      </c>
      <c r="J831" t="str">
        <f>+IF(dHdcp[[#This Row],[Maximo]]=0,"",_xlfn.RANK.EQ(dHdcp[[#This Row],[Handicap]],dHdcp[Handicap],1))</f>
        <v/>
      </c>
      <c r="K831" t="str">
        <f>IFERROR(+_xlfn.RANK.EQ(dHdcp[[#This Row],[Ranking]],dHdcp[Ranking],1),"")</f>
        <v/>
      </c>
      <c r="M831" t="str">
        <f>+dHdcp[[#This Row],[Fecha]]&amp;":"&amp;dHdcp[[#This Row],[Nombre]]</f>
        <v>44379:Alvaro Nieto</v>
      </c>
      <c r="N831">
        <f>+COUNTIF(dHdcp[Columna1],dHdcp[[#This Row],[Columna1]])</f>
        <v>1</v>
      </c>
      <c r="S831">
        <v>13.9</v>
      </c>
      <c r="T831" s="11">
        <v>0.8</v>
      </c>
      <c r="U831">
        <f t="shared" si="0"/>
        <v>13.1</v>
      </c>
      <c r="V831">
        <v>71.400000000000006</v>
      </c>
      <c r="W831">
        <v>130</v>
      </c>
      <c r="X831">
        <v>113</v>
      </c>
      <c r="Y831" s="10">
        <f t="shared" si="1"/>
        <v>14</v>
      </c>
    </row>
    <row r="832" spans="1:25">
      <c r="A832" s="2">
        <v>44379</v>
      </c>
      <c r="B832" t="s">
        <v>33</v>
      </c>
      <c r="C832" s="51">
        <v>7.6</v>
      </c>
      <c r="D832">
        <f>+VLOOKUP(dHdcp[[#This Row],[Handicap]],'Categoría Hdcap'!$B$2:$E$7,4)</f>
        <v>2</v>
      </c>
      <c r="E832" t="s">
        <v>74</v>
      </c>
      <c r="F832" t="s">
        <v>1298</v>
      </c>
      <c r="G832">
        <f>+IF(dHdcp[[#This Row],[Fecha]]=MAX(dHdcp[Fecha]),1,0)</f>
        <v>0</v>
      </c>
      <c r="H832" t="str">
        <f>+dHdcp[[#This Row],[Maximo]]&amp;":"&amp;dHdcp[[#This Row],[Nombre]]</f>
        <v>0:Angel Hernandez</v>
      </c>
      <c r="I832" t="str">
        <f>+dHdcp[[#This Row],[Maximo]]&amp;":"&amp;_xlfn.XLOOKUP(dHdcp[[#This Row],[Nombre]],dJugador[Nombre],dJugador[Mote],"",0)</f>
        <v>0:Angel</v>
      </c>
      <c r="J832" t="str">
        <f>+IF(dHdcp[[#This Row],[Maximo]]=0,"",_xlfn.RANK.EQ(dHdcp[[#This Row],[Handicap]],dHdcp[Handicap],1))</f>
        <v/>
      </c>
      <c r="K832" t="str">
        <f>IFERROR(+_xlfn.RANK.EQ(dHdcp[[#This Row],[Ranking]],dHdcp[Ranking],1),"")</f>
        <v/>
      </c>
      <c r="M832" t="str">
        <f>+dHdcp[[#This Row],[Fecha]]&amp;":"&amp;dHdcp[[#This Row],[Nombre]]</f>
        <v>44379:Angel Hernandez</v>
      </c>
      <c r="N832">
        <f>+COUNTIF(dHdcp[Columna1],dHdcp[[#This Row],[Columna1]])</f>
        <v>1</v>
      </c>
      <c r="S832">
        <v>7.6</v>
      </c>
      <c r="U832">
        <f t="shared" si="0"/>
        <v>7.6</v>
      </c>
      <c r="V832">
        <v>71.400000000000006</v>
      </c>
      <c r="W832">
        <v>130</v>
      </c>
      <c r="X832">
        <v>113</v>
      </c>
      <c r="Y832">
        <f t="shared" si="1"/>
        <v>8</v>
      </c>
    </row>
    <row r="833" spans="1:25">
      <c r="A833" s="2">
        <v>44379</v>
      </c>
      <c r="B833" t="s">
        <v>30</v>
      </c>
      <c r="C833" s="51">
        <v>11.1</v>
      </c>
      <c r="D833">
        <f>+VLOOKUP(dHdcp[[#This Row],[Handicap]],'Categoría Hdcap'!$B$2:$E$7,4)</f>
        <v>2</v>
      </c>
      <c r="E833" t="s">
        <v>74</v>
      </c>
      <c r="F833" t="s">
        <v>1299</v>
      </c>
      <c r="G833">
        <f>+IF(dHdcp[[#This Row],[Fecha]]=MAX(dHdcp[Fecha]),1,0)</f>
        <v>0</v>
      </c>
      <c r="H833" t="str">
        <f>+dHdcp[[#This Row],[Maximo]]&amp;":"&amp;dHdcp[[#This Row],[Nombre]]</f>
        <v>0:David Sequera</v>
      </c>
      <c r="I833" t="str">
        <f>+dHdcp[[#This Row],[Maximo]]&amp;":"&amp;_xlfn.XLOOKUP(dHdcp[[#This Row],[Nombre]],dJugador[Nombre],dJugador[Mote],"",0)</f>
        <v>0:David</v>
      </c>
      <c r="J833" t="str">
        <f>+IF(dHdcp[[#This Row],[Maximo]]=0,"",_xlfn.RANK.EQ(dHdcp[[#This Row],[Handicap]],dHdcp[Handicap],1))</f>
        <v/>
      </c>
      <c r="K833" t="str">
        <f>IFERROR(+_xlfn.RANK.EQ(dHdcp[[#This Row],[Ranking]],dHdcp[Ranking],1),"")</f>
        <v/>
      </c>
      <c r="M833" t="str">
        <f>+dHdcp[[#This Row],[Fecha]]&amp;":"&amp;dHdcp[[#This Row],[Nombre]]</f>
        <v>44379:David Sequera</v>
      </c>
      <c r="N833">
        <f>+COUNTIF(dHdcp[Columna1],dHdcp[[#This Row],[Columna1]])</f>
        <v>1</v>
      </c>
      <c r="S833">
        <v>11.1</v>
      </c>
      <c r="T833">
        <v>0</v>
      </c>
      <c r="U833">
        <f t="shared" si="0"/>
        <v>11.1</v>
      </c>
      <c r="V833">
        <v>71.400000000000006</v>
      </c>
      <c r="W833">
        <v>130</v>
      </c>
      <c r="X833">
        <v>113</v>
      </c>
      <c r="Y833" s="10">
        <f t="shared" si="1"/>
        <v>12</v>
      </c>
    </row>
    <row r="834" spans="1:25">
      <c r="A834" s="2">
        <v>44379</v>
      </c>
      <c r="B834" t="s">
        <v>12</v>
      </c>
      <c r="C834" s="51">
        <v>15.700000000000001</v>
      </c>
      <c r="D834">
        <f>+VLOOKUP(dHdcp[[#This Row],[Handicap]],'Categoría Hdcap'!$B$2:$E$7,4)</f>
        <v>3</v>
      </c>
      <c r="E834" t="s">
        <v>74</v>
      </c>
      <c r="F834" t="s">
        <v>1300</v>
      </c>
      <c r="G834">
        <f>+IF(dHdcp[[#This Row],[Fecha]]=MAX(dHdcp[Fecha]),1,0)</f>
        <v>0</v>
      </c>
      <c r="H834" t="str">
        <f>+dHdcp[[#This Row],[Maximo]]&amp;":"&amp;dHdcp[[#This Row],[Nombre]]</f>
        <v>0:Francisco Alvarez</v>
      </c>
      <c r="I834" t="str">
        <f>+dHdcp[[#This Row],[Maximo]]&amp;":"&amp;_xlfn.XLOOKUP(dHdcp[[#This Row],[Nombre]],dJugador[Nombre],dJugador[Mote],"",0)</f>
        <v>0:Paco</v>
      </c>
      <c r="J834" t="str">
        <f>+IF(dHdcp[[#This Row],[Maximo]]=0,"",_xlfn.RANK.EQ(dHdcp[[#This Row],[Handicap]],dHdcp[Handicap],1))</f>
        <v/>
      </c>
      <c r="K834" t="str">
        <f>IFERROR(+_xlfn.RANK.EQ(dHdcp[[#This Row],[Ranking]],dHdcp[Ranking],1),"")</f>
        <v/>
      </c>
      <c r="M834" t="str">
        <f>+dHdcp[[#This Row],[Fecha]]&amp;":"&amp;dHdcp[[#This Row],[Nombre]]</f>
        <v>44379:Francisco Alvarez</v>
      </c>
      <c r="N834">
        <f>+COUNTIF(dHdcp[Columna1],dHdcp[[#This Row],[Columna1]])</f>
        <v>1</v>
      </c>
      <c r="S834">
        <v>16.100000000000001</v>
      </c>
      <c r="T834">
        <v>0.4</v>
      </c>
      <c r="U834">
        <f t="shared" si="0"/>
        <v>15.700000000000001</v>
      </c>
      <c r="V834">
        <v>71.400000000000006</v>
      </c>
      <c r="W834">
        <v>130</v>
      </c>
      <c r="X834">
        <v>113</v>
      </c>
      <c r="Y834" s="10">
        <f t="shared" si="1"/>
        <v>17</v>
      </c>
    </row>
    <row r="835" spans="1:25">
      <c r="A835" s="2">
        <v>44379</v>
      </c>
      <c r="B835" t="s">
        <v>49</v>
      </c>
      <c r="C835" s="51">
        <v>13.8</v>
      </c>
      <c r="D835">
        <f>+VLOOKUP(dHdcp[[#This Row],[Handicap]],'Categoría Hdcap'!$B$2:$E$7,4)</f>
        <v>3</v>
      </c>
      <c r="E835" t="s">
        <v>74</v>
      </c>
      <c r="F835" t="s">
        <v>1301</v>
      </c>
      <c r="G835">
        <f>+IF(dHdcp[[#This Row],[Fecha]]=MAX(dHdcp[Fecha]),1,0)</f>
        <v>0</v>
      </c>
      <c r="H835" t="str">
        <f>+dHdcp[[#This Row],[Maximo]]&amp;":"&amp;dHdcp[[#This Row],[Nombre]]</f>
        <v>0:Francisco Hidalgo</v>
      </c>
      <c r="I835" t="str">
        <f>+dHdcp[[#This Row],[Maximo]]&amp;":"&amp;_xlfn.XLOOKUP(dHdcp[[#This Row],[Nombre]],dJugador[Nombre],dJugador[Mote],"",0)</f>
        <v>0:Fran</v>
      </c>
      <c r="J835" t="str">
        <f>+IF(dHdcp[[#This Row],[Maximo]]=0,"",_xlfn.RANK.EQ(dHdcp[[#This Row],[Handicap]],dHdcp[Handicap],1))</f>
        <v/>
      </c>
      <c r="K835" t="str">
        <f>IFERROR(+_xlfn.RANK.EQ(dHdcp[[#This Row],[Ranking]],dHdcp[Ranking],1),"")</f>
        <v/>
      </c>
      <c r="M835" t="str">
        <f>+dHdcp[[#This Row],[Fecha]]&amp;":"&amp;dHdcp[[#This Row],[Nombre]]</f>
        <v>44379:Francisco Hidalgo</v>
      </c>
      <c r="N835">
        <f>+COUNTIF(dHdcp[Columna1],dHdcp[[#This Row],[Columna1]])</f>
        <v>1</v>
      </c>
      <c r="S835">
        <v>13.8</v>
      </c>
      <c r="T835">
        <v>0</v>
      </c>
      <c r="U835">
        <f t="shared" si="0"/>
        <v>13.8</v>
      </c>
      <c r="V835">
        <v>71.400000000000006</v>
      </c>
      <c r="W835">
        <v>130</v>
      </c>
      <c r="X835">
        <v>113</v>
      </c>
      <c r="Y835" s="10">
        <f t="shared" si="1"/>
        <v>15</v>
      </c>
    </row>
    <row r="836" spans="1:25">
      <c r="A836" s="2">
        <v>44379</v>
      </c>
      <c r="B836" t="s">
        <v>35</v>
      </c>
      <c r="C836" s="51">
        <v>17.899999999999999</v>
      </c>
      <c r="D836">
        <f>+VLOOKUP(dHdcp[[#This Row],[Handicap]],'Categoría Hdcap'!$B$2:$E$7,4)</f>
        <v>3</v>
      </c>
      <c r="E836" t="s">
        <v>74</v>
      </c>
      <c r="F836" t="s">
        <v>1302</v>
      </c>
      <c r="G836">
        <f>+IF(dHdcp[[#This Row],[Fecha]]=MAX(dHdcp[Fecha]),1,0)</f>
        <v>0</v>
      </c>
      <c r="H836" t="str">
        <f>+dHdcp[[#This Row],[Maximo]]&amp;":"&amp;dHdcp[[#This Row],[Nombre]]</f>
        <v>0:GLEZ JUAN JOSÉ</v>
      </c>
      <c r="I836" t="str">
        <f>+dHdcp[[#This Row],[Maximo]]&amp;":"&amp;_xlfn.XLOOKUP(dHdcp[[#This Row],[Nombre]],dJugador[Nombre],dJugador[Mote],"",0)</f>
        <v>0:Juanjo</v>
      </c>
      <c r="J836" t="str">
        <f>+IF(dHdcp[[#This Row],[Maximo]]=0,"",_xlfn.RANK.EQ(dHdcp[[#This Row],[Handicap]],dHdcp[Handicap],1))</f>
        <v/>
      </c>
      <c r="K836" t="str">
        <f>IFERROR(+_xlfn.RANK.EQ(dHdcp[[#This Row],[Ranking]],dHdcp[Ranking],1),"")</f>
        <v/>
      </c>
      <c r="M836" t="str">
        <f>+dHdcp[[#This Row],[Fecha]]&amp;":"&amp;dHdcp[[#This Row],[Nombre]]</f>
        <v>44379:GLEZ JUAN JOSÉ</v>
      </c>
      <c r="N836">
        <f>+COUNTIF(dHdcp[Columna1],dHdcp[[#This Row],[Columna1]])</f>
        <v>1</v>
      </c>
      <c r="S836">
        <v>15.5</v>
      </c>
      <c r="U836">
        <f t="shared" si="0"/>
        <v>15.5</v>
      </c>
      <c r="V836">
        <v>71.400000000000006</v>
      </c>
      <c r="W836">
        <v>130</v>
      </c>
      <c r="X836">
        <v>113</v>
      </c>
      <c r="Y836">
        <f t="shared" si="1"/>
        <v>17</v>
      </c>
    </row>
    <row r="837" spans="1:25">
      <c r="A837" s="2">
        <v>44379</v>
      </c>
      <c r="B837" t="s">
        <v>6</v>
      </c>
      <c r="C837" s="51">
        <v>6.8</v>
      </c>
      <c r="D837">
        <f>+VLOOKUP(dHdcp[[#This Row],[Handicap]],'Categoría Hdcap'!$B$2:$E$7,4)</f>
        <v>2</v>
      </c>
      <c r="E837" t="s">
        <v>74</v>
      </c>
      <c r="F837" t="s">
        <v>1303</v>
      </c>
      <c r="G837">
        <f>+IF(dHdcp[[#This Row],[Fecha]]=MAX(dHdcp[Fecha]),1,0)</f>
        <v>0</v>
      </c>
      <c r="H837" t="str">
        <f>+dHdcp[[#This Row],[Maximo]]&amp;":"&amp;dHdcp[[#This Row],[Nombre]]</f>
        <v>0:Ignacio Cadarso</v>
      </c>
      <c r="I837" t="str">
        <f>+dHdcp[[#This Row],[Maximo]]&amp;":"&amp;_xlfn.XLOOKUP(dHdcp[[#This Row],[Nombre]],dJugador[Nombre],dJugador[Mote],"",0)</f>
        <v>0:Ignacio</v>
      </c>
      <c r="J837" t="str">
        <f>+IF(dHdcp[[#This Row],[Maximo]]=0,"",_xlfn.RANK.EQ(dHdcp[[#This Row],[Handicap]],dHdcp[Handicap],1))</f>
        <v/>
      </c>
      <c r="K837" t="str">
        <f>IFERROR(+_xlfn.RANK.EQ(dHdcp[[#This Row],[Ranking]],dHdcp[Ranking],1),"")</f>
        <v/>
      </c>
      <c r="M837" t="str">
        <f>+dHdcp[[#This Row],[Fecha]]&amp;":"&amp;dHdcp[[#This Row],[Nombre]]</f>
        <v>44379:Ignacio Cadarso</v>
      </c>
      <c r="N837">
        <f>+COUNTIF(dHdcp[Columna1],dHdcp[[#This Row],[Columna1]])</f>
        <v>1</v>
      </c>
      <c r="S837">
        <v>6.8</v>
      </c>
      <c r="T837">
        <v>0</v>
      </c>
      <c r="U837">
        <f t="shared" si="0"/>
        <v>6.8</v>
      </c>
      <c r="V837">
        <v>71.400000000000006</v>
      </c>
      <c r="W837">
        <v>130</v>
      </c>
      <c r="X837">
        <v>113</v>
      </c>
      <c r="Y837" s="10">
        <f t="shared" si="1"/>
        <v>7</v>
      </c>
    </row>
    <row r="838" spans="1:25">
      <c r="A838" s="2">
        <v>44379</v>
      </c>
      <c r="B838" t="s">
        <v>23</v>
      </c>
      <c r="C838" s="51">
        <v>18.600000000000001</v>
      </c>
      <c r="D838">
        <f>+VLOOKUP(dHdcp[[#This Row],[Handicap]],'Categoría Hdcap'!$B$2:$E$7,4)</f>
        <v>4</v>
      </c>
      <c r="E838" t="s">
        <v>74</v>
      </c>
      <c r="F838" t="s">
        <v>1304</v>
      </c>
      <c r="G838">
        <f>+IF(dHdcp[[#This Row],[Fecha]]=MAX(dHdcp[Fecha]),1,0)</f>
        <v>0</v>
      </c>
      <c r="H838" t="str">
        <f>+dHdcp[[#This Row],[Maximo]]&amp;":"&amp;dHdcp[[#This Row],[Nombre]]</f>
        <v>0:J. Enrique Gonzalez</v>
      </c>
      <c r="I838" t="str">
        <f>+dHdcp[[#This Row],[Maximo]]&amp;":"&amp;_xlfn.XLOOKUP(dHdcp[[#This Row],[Nombre]],dJugador[Nombre],dJugador[Mote],"",0)</f>
        <v>0:Kike</v>
      </c>
      <c r="J838" t="str">
        <f>+IF(dHdcp[[#This Row],[Maximo]]=0,"",_xlfn.RANK.EQ(dHdcp[[#This Row],[Handicap]],dHdcp[Handicap],1))</f>
        <v/>
      </c>
      <c r="K838" t="str">
        <f>IFERROR(+_xlfn.RANK.EQ(dHdcp[[#This Row],[Ranking]],dHdcp[Ranking],1),"")</f>
        <v/>
      </c>
      <c r="M838" t="str">
        <f>+dHdcp[[#This Row],[Fecha]]&amp;":"&amp;dHdcp[[#This Row],[Nombre]]</f>
        <v>44379:J. Enrique Gonzalez</v>
      </c>
      <c r="N838">
        <f>+COUNTIF(dHdcp[Columna1],dHdcp[[#This Row],[Columna1]])</f>
        <v>1</v>
      </c>
      <c r="S838">
        <v>6</v>
      </c>
      <c r="T838">
        <v>0</v>
      </c>
      <c r="U838">
        <f t="shared" si="0"/>
        <v>6</v>
      </c>
      <c r="V838">
        <v>71.400000000000006</v>
      </c>
      <c r="W838">
        <v>130</v>
      </c>
      <c r="X838">
        <v>113</v>
      </c>
      <c r="Y838" s="10">
        <f t="shared" si="1"/>
        <v>6</v>
      </c>
    </row>
    <row r="839" spans="1:25">
      <c r="A839" s="2">
        <v>44379</v>
      </c>
      <c r="B839" t="s">
        <v>46</v>
      </c>
      <c r="C839" s="51">
        <v>16</v>
      </c>
      <c r="D839">
        <f>+VLOOKUP(dHdcp[[#This Row],[Handicap]],'Categoría Hdcap'!$B$2:$E$7,4)</f>
        <v>3</v>
      </c>
      <c r="E839" t="s">
        <v>74</v>
      </c>
      <c r="F839" t="s">
        <v>1305</v>
      </c>
      <c r="G839">
        <f>+IF(dHdcp[[#This Row],[Fecha]]=MAX(dHdcp[Fecha]),1,0)</f>
        <v>0</v>
      </c>
      <c r="H839" t="str">
        <f>+dHdcp[[#This Row],[Maximo]]&amp;":"&amp;dHdcp[[#This Row],[Nombre]]</f>
        <v>0:Javier Cervera</v>
      </c>
      <c r="I839" t="str">
        <f>+dHdcp[[#This Row],[Maximo]]&amp;":"&amp;_xlfn.XLOOKUP(dHdcp[[#This Row],[Nombre]],dJugador[Nombre],dJugador[Mote],"",0)</f>
        <v>0:Virus</v>
      </c>
      <c r="J839" t="str">
        <f>+IF(dHdcp[[#This Row],[Maximo]]=0,"",_xlfn.RANK.EQ(dHdcp[[#This Row],[Handicap]],dHdcp[Handicap],1))</f>
        <v/>
      </c>
      <c r="K839" t="str">
        <f>IFERROR(+_xlfn.RANK.EQ(dHdcp[[#This Row],[Ranking]],dHdcp[Ranking],1),"")</f>
        <v/>
      </c>
      <c r="M839" t="str">
        <f>+dHdcp[[#This Row],[Fecha]]&amp;":"&amp;dHdcp[[#This Row],[Nombre]]</f>
        <v>44379:Javier Cervera</v>
      </c>
      <c r="N839">
        <f>+COUNTIF(dHdcp[Columna1],dHdcp[[#This Row],[Columna1]])</f>
        <v>1</v>
      </c>
      <c r="S839">
        <v>16</v>
      </c>
      <c r="T839">
        <v>0</v>
      </c>
      <c r="U839">
        <f t="shared" si="0"/>
        <v>16</v>
      </c>
      <c r="V839">
        <v>71.400000000000006</v>
      </c>
      <c r="W839">
        <v>130</v>
      </c>
      <c r="X839">
        <v>113</v>
      </c>
      <c r="Y839" s="10">
        <f t="shared" si="1"/>
        <v>18</v>
      </c>
    </row>
    <row r="840" spans="1:25">
      <c r="A840" s="2">
        <v>44379</v>
      </c>
      <c r="B840" t="s">
        <v>20</v>
      </c>
      <c r="C840" s="51">
        <v>15.5</v>
      </c>
      <c r="D840">
        <f>+VLOOKUP(dHdcp[[#This Row],[Handicap]],'Categoría Hdcap'!$B$2:$E$7,4)</f>
        <v>3</v>
      </c>
      <c r="E840" t="s">
        <v>74</v>
      </c>
      <c r="F840" t="s">
        <v>1306</v>
      </c>
      <c r="G840">
        <f>+IF(dHdcp[[#This Row],[Fecha]]=MAX(dHdcp[Fecha]),1,0)</f>
        <v>0</v>
      </c>
      <c r="H840" t="str">
        <f>+dHdcp[[#This Row],[Maximo]]&amp;":"&amp;dHdcp[[#This Row],[Nombre]]</f>
        <v>0:Javier Gonzalez Salvador</v>
      </c>
      <c r="I840" t="str">
        <f>+dHdcp[[#This Row],[Maximo]]&amp;":"&amp;_xlfn.XLOOKUP(dHdcp[[#This Row],[Nombre]],dJugador[Nombre],dJugador[Mote],"",0)</f>
        <v>0:Javi</v>
      </c>
      <c r="J840" t="str">
        <f>+IF(dHdcp[[#This Row],[Maximo]]=0,"",_xlfn.RANK.EQ(dHdcp[[#This Row],[Handicap]],dHdcp[Handicap],1))</f>
        <v/>
      </c>
      <c r="K840" t="str">
        <f>IFERROR(+_xlfn.RANK.EQ(dHdcp[[#This Row],[Ranking]],dHdcp[Ranking],1),"")</f>
        <v/>
      </c>
      <c r="M840" t="str">
        <f>+dHdcp[[#This Row],[Fecha]]&amp;":"&amp;dHdcp[[#This Row],[Nombre]]</f>
        <v>44379:Javier Gonzalez Salvador</v>
      </c>
      <c r="N840">
        <f>+COUNTIF(dHdcp[Columna1],dHdcp[[#This Row],[Columna1]])</f>
        <v>1</v>
      </c>
      <c r="S840">
        <v>22.6</v>
      </c>
      <c r="T840">
        <v>0</v>
      </c>
      <c r="U840">
        <f t="shared" si="0"/>
        <v>22.6</v>
      </c>
      <c r="V840">
        <v>71.400000000000006</v>
      </c>
      <c r="W840">
        <v>130</v>
      </c>
      <c r="X840">
        <v>113</v>
      </c>
      <c r="Y840" s="10">
        <f t="shared" si="1"/>
        <v>25</v>
      </c>
    </row>
    <row r="841" spans="1:25">
      <c r="A841" s="2">
        <v>44379</v>
      </c>
      <c r="B841" t="s">
        <v>41</v>
      </c>
      <c r="C841" s="51">
        <v>22.6</v>
      </c>
      <c r="D841">
        <f>+VLOOKUP(dHdcp[[#This Row],[Handicap]],'Categoría Hdcap'!$B$2:$E$7,4)</f>
        <v>4</v>
      </c>
      <c r="E841" t="s">
        <v>74</v>
      </c>
      <c r="F841" t="s">
        <v>1307</v>
      </c>
      <c r="G841">
        <f>+IF(dHdcp[[#This Row],[Fecha]]=MAX(dHdcp[Fecha]),1,0)</f>
        <v>0</v>
      </c>
      <c r="H841" t="str">
        <f>+dHdcp[[#This Row],[Maximo]]&amp;":"&amp;dHdcp[[#This Row],[Nombre]]</f>
        <v>0:Jesus Touceda</v>
      </c>
      <c r="I841" t="str">
        <f>+dHdcp[[#This Row],[Maximo]]&amp;":"&amp;_xlfn.XLOOKUP(dHdcp[[#This Row],[Nombre]],dJugador[Nombre],dJugador[Mote],"",0)</f>
        <v>0:Jesús</v>
      </c>
      <c r="J841" t="str">
        <f>+IF(dHdcp[[#This Row],[Maximo]]=0,"",_xlfn.RANK.EQ(dHdcp[[#This Row],[Handicap]],dHdcp[Handicap],1))</f>
        <v/>
      </c>
      <c r="K841" t="str">
        <f>IFERROR(+_xlfn.RANK.EQ(dHdcp[[#This Row],[Ranking]],dHdcp[Ranking],1),"")</f>
        <v/>
      </c>
      <c r="M841" t="str">
        <f>+dHdcp[[#This Row],[Fecha]]&amp;":"&amp;dHdcp[[#This Row],[Nombre]]</f>
        <v>44379:Jesus Touceda</v>
      </c>
      <c r="N841">
        <f>+COUNTIF(dHdcp[Columna1],dHdcp[[#This Row],[Columna1]])</f>
        <v>1</v>
      </c>
      <c r="S841">
        <v>6.8</v>
      </c>
      <c r="U841">
        <f t="shared" si="0"/>
        <v>6.8</v>
      </c>
      <c r="V841">
        <v>71.400000000000006</v>
      </c>
      <c r="W841">
        <v>130</v>
      </c>
      <c r="X841">
        <v>113</v>
      </c>
      <c r="Y841">
        <f t="shared" si="1"/>
        <v>7</v>
      </c>
    </row>
    <row r="842" spans="1:25">
      <c r="A842" s="2">
        <v>44379</v>
      </c>
      <c r="B842" t="s">
        <v>18</v>
      </c>
      <c r="C842" s="51">
        <v>6.8</v>
      </c>
      <c r="D842">
        <f>+VLOOKUP(dHdcp[[#This Row],[Handicap]],'Categoría Hdcap'!$B$2:$E$7,4)</f>
        <v>2</v>
      </c>
      <c r="E842" t="s">
        <v>74</v>
      </c>
      <c r="F842" t="s">
        <v>1308</v>
      </c>
      <c r="G842">
        <f>+IF(dHdcp[[#This Row],[Fecha]]=MAX(dHdcp[Fecha]),1,0)</f>
        <v>0</v>
      </c>
      <c r="H842" t="str">
        <f>+dHdcp[[#This Row],[Maximo]]&amp;":"&amp;dHdcp[[#This Row],[Nombre]]</f>
        <v>0:José Pablo Guil</v>
      </c>
      <c r="I842" t="str">
        <f>+dHdcp[[#This Row],[Maximo]]&amp;":"&amp;_xlfn.XLOOKUP(dHdcp[[#This Row],[Nombre]],dJugador[Nombre],dJugador[Mote],"",0)</f>
        <v>0:JP</v>
      </c>
      <c r="J842" t="str">
        <f>+IF(dHdcp[[#This Row],[Maximo]]=0,"",_xlfn.RANK.EQ(dHdcp[[#This Row],[Handicap]],dHdcp[Handicap],1))</f>
        <v/>
      </c>
      <c r="K842" t="str">
        <f>IFERROR(+_xlfn.RANK.EQ(dHdcp[[#This Row],[Ranking]],dHdcp[Ranking],1),"")</f>
        <v/>
      </c>
      <c r="M842" t="str">
        <f>+dHdcp[[#This Row],[Fecha]]&amp;":"&amp;dHdcp[[#This Row],[Nombre]]</f>
        <v>44379:José Pablo Guil</v>
      </c>
      <c r="N842">
        <f>+COUNTIF(dHdcp[Columna1],dHdcp[[#This Row],[Columna1]])</f>
        <v>1</v>
      </c>
      <c r="S842">
        <v>17.899999999999999</v>
      </c>
      <c r="U842">
        <f t="shared" si="0"/>
        <v>17.899999999999999</v>
      </c>
      <c r="V842">
        <v>71.400000000000006</v>
      </c>
      <c r="W842">
        <v>130</v>
      </c>
      <c r="X842">
        <v>113</v>
      </c>
      <c r="Y842">
        <f t="shared" si="1"/>
        <v>20</v>
      </c>
    </row>
    <row r="843" spans="1:25">
      <c r="A843" s="2">
        <v>44379</v>
      </c>
      <c r="B843" t="s">
        <v>43</v>
      </c>
      <c r="C843" s="51">
        <v>18.3</v>
      </c>
      <c r="D843">
        <f>+VLOOKUP(dHdcp[[#This Row],[Handicap]],'Categoría Hdcap'!$B$2:$E$7,4)</f>
        <v>3</v>
      </c>
      <c r="E843" t="s">
        <v>74</v>
      </c>
      <c r="F843" t="s">
        <v>1309</v>
      </c>
      <c r="G843">
        <f>+IF(dHdcp[[#This Row],[Fecha]]=MAX(dHdcp[Fecha]),1,0)</f>
        <v>0</v>
      </c>
      <c r="H843" t="str">
        <f>+dHdcp[[#This Row],[Maximo]]&amp;":"&amp;dHdcp[[#This Row],[Nombre]]</f>
        <v>0:Luis Escudero</v>
      </c>
      <c r="I843" t="str">
        <f>+dHdcp[[#This Row],[Maximo]]&amp;":"&amp;_xlfn.XLOOKUP(dHdcp[[#This Row],[Nombre]],dJugador[Nombre],dJugador[Mote],"",0)</f>
        <v>0:Lucho</v>
      </c>
      <c r="J843" t="str">
        <f>+IF(dHdcp[[#This Row],[Maximo]]=0,"",_xlfn.RANK.EQ(dHdcp[[#This Row],[Handicap]],dHdcp[Handicap],1))</f>
        <v/>
      </c>
      <c r="K843" t="str">
        <f>IFERROR(+_xlfn.RANK.EQ(dHdcp[[#This Row],[Ranking]],dHdcp[Ranking],1),"")</f>
        <v/>
      </c>
      <c r="M843" t="str">
        <f>+dHdcp[[#This Row],[Fecha]]&amp;":"&amp;dHdcp[[#This Row],[Nombre]]</f>
        <v>44379:Luis Escudero</v>
      </c>
      <c r="N843">
        <f>+COUNTIF(dHdcp[Columna1],dHdcp[[#This Row],[Columna1]])</f>
        <v>1</v>
      </c>
      <c r="S843">
        <v>18.600000000000001</v>
      </c>
      <c r="T843">
        <v>0</v>
      </c>
      <c r="U843">
        <f t="shared" si="0"/>
        <v>18.600000000000001</v>
      </c>
      <c r="V843">
        <v>71.400000000000006</v>
      </c>
      <c r="W843">
        <v>130</v>
      </c>
      <c r="X843">
        <v>113</v>
      </c>
      <c r="Y843" s="10">
        <f t="shared" si="1"/>
        <v>21</v>
      </c>
    </row>
    <row r="844" spans="1:25">
      <c r="A844" s="2">
        <v>44379</v>
      </c>
      <c r="B844" s="10" t="s">
        <v>135</v>
      </c>
      <c r="C844" s="53">
        <v>22.1</v>
      </c>
      <c r="D844" s="10">
        <f>+VLOOKUP(dHdcp[[#This Row],[Handicap]],'Categoría Hdcap'!$B$2:$E$7,4)</f>
        <v>4</v>
      </c>
      <c r="E844" s="10" t="s">
        <v>74</v>
      </c>
      <c r="F844" s="10" t="s">
        <v>1310</v>
      </c>
      <c r="G844">
        <f>+IF(dHdcp[[#This Row],[Fecha]]=MAX(dHdcp[Fecha]),1,0)</f>
        <v>0</v>
      </c>
      <c r="H844" t="str">
        <f>+dHdcp[[#This Row],[Maximo]]&amp;":"&amp;dHdcp[[#This Row],[Nombre]]</f>
        <v>0:Miche Lopez</v>
      </c>
      <c r="I844" t="str">
        <f>+dHdcp[[#This Row],[Maximo]]&amp;":"&amp;_xlfn.XLOOKUP(dHdcp[[#This Row],[Nombre]],dJugador[Nombre],dJugador[Mote],"",0)</f>
        <v>0:Miche</v>
      </c>
      <c r="J844" t="str">
        <f>+IF(dHdcp[[#This Row],[Maximo]]=0,"",_xlfn.RANK.EQ(dHdcp[[#This Row],[Handicap]],dHdcp[Handicap],1))</f>
        <v/>
      </c>
      <c r="K844" t="str">
        <f>IFERROR(+_xlfn.RANK.EQ(dHdcp[[#This Row],[Ranking]],dHdcp[Ranking],1),"")</f>
        <v/>
      </c>
      <c r="M844" t="str">
        <f>+dHdcp[[#This Row],[Fecha]]&amp;":"&amp;dHdcp[[#This Row],[Nombre]]</f>
        <v>44379:Miche Lopez</v>
      </c>
      <c r="N844">
        <f>+COUNTIF(dHdcp[Columna1],dHdcp[[#This Row],[Columna1]])</f>
        <v>1</v>
      </c>
      <c r="S844">
        <v>18.3</v>
      </c>
      <c r="U844">
        <f t="shared" si="0"/>
        <v>18.3</v>
      </c>
      <c r="V844">
        <v>71.400000000000006</v>
      </c>
      <c r="W844">
        <v>130</v>
      </c>
      <c r="X844">
        <v>113</v>
      </c>
      <c r="Y844">
        <f t="shared" si="1"/>
        <v>20</v>
      </c>
    </row>
    <row r="845" spans="1:25">
      <c r="A845" s="2">
        <v>44379</v>
      </c>
      <c r="B845" t="s">
        <v>51</v>
      </c>
      <c r="C845" s="51">
        <v>-0.1</v>
      </c>
      <c r="D845">
        <f>+VLOOKUP(dHdcp[[#This Row],[Handicap]],'Categoría Hdcap'!$B$2:$E$7,4)</f>
        <v>1</v>
      </c>
      <c r="E845" t="s">
        <v>74</v>
      </c>
      <c r="F845" t="s">
        <v>1311</v>
      </c>
      <c r="G845">
        <f>+IF(dHdcp[[#This Row],[Fecha]]=MAX(dHdcp[Fecha]),1,0)</f>
        <v>0</v>
      </c>
      <c r="H845" t="str">
        <f>+dHdcp[[#This Row],[Maximo]]&amp;":"&amp;dHdcp[[#This Row],[Nombre]]</f>
        <v>0:Miguel Diaz Del Moral</v>
      </c>
      <c r="I845" t="str">
        <f>+dHdcp[[#This Row],[Maximo]]&amp;":"&amp;_xlfn.XLOOKUP(dHdcp[[#This Row],[Nombre]],dJugador[Nombre],dJugador[Mote],"",0)</f>
        <v>0:Cañita</v>
      </c>
      <c r="J845" t="str">
        <f>+IF(dHdcp[[#This Row],[Maximo]]=0,"",_xlfn.RANK.EQ(dHdcp[[#This Row],[Handicap]],dHdcp[Handicap],1))</f>
        <v/>
      </c>
      <c r="K845" t="str">
        <f>IFERROR(+_xlfn.RANK.EQ(dHdcp[[#This Row],[Ranking]],dHdcp[Ranking],1),"")</f>
        <v/>
      </c>
      <c r="M845" t="str">
        <f>+dHdcp[[#This Row],[Fecha]]&amp;":"&amp;dHdcp[[#This Row],[Nombre]]</f>
        <v>44379:Miguel Diaz Del Moral</v>
      </c>
      <c r="N845">
        <f>+COUNTIF(dHdcp[Columna1],dHdcp[[#This Row],[Columna1]])</f>
        <v>1</v>
      </c>
      <c r="S845">
        <v>13.7</v>
      </c>
      <c r="U845">
        <f t="shared" si="0"/>
        <v>13.7</v>
      </c>
      <c r="V845">
        <v>71.400000000000006</v>
      </c>
      <c r="W845">
        <v>130</v>
      </c>
      <c r="X845">
        <v>113</v>
      </c>
      <c r="Y845">
        <f t="shared" si="1"/>
        <v>15</v>
      </c>
    </row>
    <row r="846" spans="1:25">
      <c r="A846" s="2">
        <v>44379</v>
      </c>
      <c r="B846" t="s">
        <v>3</v>
      </c>
      <c r="C846" s="51">
        <v>6</v>
      </c>
      <c r="D846">
        <f>+VLOOKUP(dHdcp[[#This Row],[Handicap]],'Categoría Hdcap'!$B$2:$E$7,4)</f>
        <v>2</v>
      </c>
      <c r="E846" t="s">
        <v>74</v>
      </c>
      <c r="F846" t="s">
        <v>1312</v>
      </c>
      <c r="G846">
        <f>+IF(dHdcp[[#This Row],[Fecha]]=MAX(dHdcp[Fecha]),1,0)</f>
        <v>0</v>
      </c>
      <c r="H846" t="str">
        <f>+dHdcp[[#This Row],[Maximo]]&amp;":"&amp;dHdcp[[#This Row],[Nombre]]</f>
        <v>0:Nacho Gonzalez</v>
      </c>
      <c r="I846" t="str">
        <f>+dHdcp[[#This Row],[Maximo]]&amp;":"&amp;_xlfn.XLOOKUP(dHdcp[[#This Row],[Nombre]],dJugador[Nombre],dJugador[Mote],"",0)</f>
        <v>0:Nacho</v>
      </c>
      <c r="J846" t="str">
        <f>+IF(dHdcp[[#This Row],[Maximo]]=0,"",_xlfn.RANK.EQ(dHdcp[[#This Row],[Handicap]],dHdcp[Handicap],1))</f>
        <v/>
      </c>
      <c r="K846" t="str">
        <f>IFERROR(+_xlfn.RANK.EQ(dHdcp[[#This Row],[Ranking]],dHdcp[Ranking],1),"")</f>
        <v/>
      </c>
      <c r="M846" t="str">
        <f>+dHdcp[[#This Row],[Fecha]]&amp;":"&amp;dHdcp[[#This Row],[Nombre]]</f>
        <v>44379:Nacho Gonzalez</v>
      </c>
      <c r="N846">
        <f>+COUNTIF(dHdcp[Columna1],dHdcp[[#This Row],[Columna1]])</f>
        <v>1</v>
      </c>
      <c r="S846">
        <v>-0.1</v>
      </c>
      <c r="U846">
        <f t="shared" si="0"/>
        <v>-0.1</v>
      </c>
      <c r="V846">
        <v>71.400000000000006</v>
      </c>
      <c r="W846">
        <v>130</v>
      </c>
      <c r="X846">
        <v>113</v>
      </c>
      <c r="Y846">
        <f t="shared" si="1"/>
        <v>-1</v>
      </c>
    </row>
    <row r="847" spans="1:25">
      <c r="A847" s="2">
        <v>44379</v>
      </c>
      <c r="B847" t="s">
        <v>28</v>
      </c>
      <c r="C847" s="51">
        <v>13.7</v>
      </c>
      <c r="D847">
        <f>+VLOOKUP(dHdcp[[#This Row],[Handicap]],'Categoría Hdcap'!$B$2:$E$7,4)</f>
        <v>3</v>
      </c>
      <c r="E847" t="s">
        <v>74</v>
      </c>
      <c r="F847" t="s">
        <v>1313</v>
      </c>
      <c r="G847">
        <f>+IF(dHdcp[[#This Row],[Fecha]]=MAX(dHdcp[Fecha]),1,0)</f>
        <v>0</v>
      </c>
      <c r="H847" t="str">
        <f>+dHdcp[[#This Row],[Maximo]]&amp;":"&amp;dHdcp[[#This Row],[Nombre]]</f>
        <v>0:Pablo Munitiz</v>
      </c>
      <c r="I847" t="str">
        <f>+dHdcp[[#This Row],[Maximo]]&amp;":"&amp;_xlfn.XLOOKUP(dHdcp[[#This Row],[Nombre]],dJugador[Nombre],dJugador[Mote],"",0)</f>
        <v>0:Muni</v>
      </c>
      <c r="J847" t="str">
        <f>+IF(dHdcp[[#This Row],[Maximo]]=0,"",_xlfn.RANK.EQ(dHdcp[[#This Row],[Handicap]],dHdcp[Handicap],1))</f>
        <v/>
      </c>
      <c r="K847" t="str">
        <f>IFERROR(+_xlfn.RANK.EQ(dHdcp[[#This Row],[Ranking]],dHdcp[Ranking],1),"")</f>
        <v/>
      </c>
      <c r="M847" t="str">
        <f>+dHdcp[[#This Row],[Fecha]]&amp;":"&amp;dHdcp[[#This Row],[Nombre]]</f>
        <v>44379:Pablo Munitiz</v>
      </c>
      <c r="N847">
        <f>+COUNTIF(dHdcp[Columna1],dHdcp[[#This Row],[Columna1]])</f>
        <v>1</v>
      </c>
      <c r="S847">
        <v>22.1</v>
      </c>
      <c r="U847">
        <f t="shared" si="0"/>
        <v>22.1</v>
      </c>
      <c r="V847">
        <v>71.400000000000006</v>
      </c>
      <c r="W847">
        <v>130</v>
      </c>
      <c r="X847">
        <v>113</v>
      </c>
      <c r="Y847">
        <f t="shared" si="1"/>
        <v>25</v>
      </c>
    </row>
    <row r="848" spans="1:25">
      <c r="A848" s="2">
        <v>44380</v>
      </c>
      <c r="B848" t="s">
        <v>9</v>
      </c>
      <c r="C848" s="51">
        <v>10.199999999999999</v>
      </c>
      <c r="D848">
        <f>+VLOOKUP(dHdcp[[#This Row],[Handicap]],'Categoría Hdcap'!$B$2:$E$7,4)</f>
        <v>2</v>
      </c>
      <c r="E848" t="s">
        <v>74</v>
      </c>
      <c r="F848" t="s">
        <v>1314</v>
      </c>
      <c r="G848">
        <f>+IF(dHdcp[[#This Row],[Fecha]]=MAX(dHdcp[Fecha]),1,0)</f>
        <v>0</v>
      </c>
      <c r="H848" t="str">
        <f>+dHdcp[[#This Row],[Maximo]]&amp;":"&amp;dHdcp[[#This Row],[Nombre]]</f>
        <v>0:Alfonso Hidalgo</v>
      </c>
      <c r="I848" t="str">
        <f>+dHdcp[[#This Row],[Maximo]]&amp;":"&amp;_xlfn.XLOOKUP(dHdcp[[#This Row],[Nombre]],dJugador[Nombre],dJugador[Mote],"",0)</f>
        <v>0:Alfonso</v>
      </c>
      <c r="J848" t="str">
        <f>+IF(dHdcp[[#This Row],[Maximo]]=0,"",_xlfn.RANK.EQ(dHdcp[[#This Row],[Handicap]],dHdcp[Handicap],1))</f>
        <v/>
      </c>
      <c r="K848" t="str">
        <f>IFERROR(+_xlfn.RANK.EQ(dHdcp[[#This Row],[Ranking]],dHdcp[Ranking],1),"")</f>
        <v/>
      </c>
      <c r="M848" t="str">
        <f>+dHdcp[[#This Row],[Fecha]]&amp;":"&amp;dHdcp[[#This Row],[Nombre]]</f>
        <v>44380:Alfonso Hidalgo</v>
      </c>
      <c r="N848">
        <f>+COUNTIF(dHdcp[Columna1],dHdcp[[#This Row],[Columna1]])</f>
        <v>1</v>
      </c>
      <c r="R848">
        <f>+dHdcp[[#This Row],[Handicap]]-C829</f>
        <v>0</v>
      </c>
      <c r="S848">
        <f>+dHdcp[[#This Row],[Handicap]]</f>
        <v>10.199999999999999</v>
      </c>
      <c r="U848">
        <f>+S848-T848</f>
        <v>10.199999999999999</v>
      </c>
      <c r="V848">
        <v>71.400000000000006</v>
      </c>
      <c r="W848">
        <v>130</v>
      </c>
      <c r="X848">
        <v>113</v>
      </c>
      <c r="Y848" s="10">
        <f>+ROUND(U848*(W848/X848)+(V848-72),0)</f>
        <v>11</v>
      </c>
    </row>
    <row r="849" spans="1:25">
      <c r="A849" s="2">
        <v>44380</v>
      </c>
      <c r="B849" t="s">
        <v>15</v>
      </c>
      <c r="C849" s="51">
        <v>6.9</v>
      </c>
      <c r="D849">
        <f>+VLOOKUP(dHdcp[[#This Row],[Handicap]],'Categoría Hdcap'!$B$2:$E$7,4)</f>
        <v>2</v>
      </c>
      <c r="E849" t="s">
        <v>74</v>
      </c>
      <c r="F849" t="s">
        <v>1315</v>
      </c>
      <c r="G849">
        <f>+IF(dHdcp[[#This Row],[Fecha]]=MAX(dHdcp[Fecha]),1,0)</f>
        <v>0</v>
      </c>
      <c r="H849" t="str">
        <f>+dHdcp[[#This Row],[Maximo]]&amp;":"&amp;dHdcp[[#This Row],[Nombre]]</f>
        <v>0:Alvaro Aguirre</v>
      </c>
      <c r="I849" t="str">
        <f>+dHdcp[[#This Row],[Maximo]]&amp;":"&amp;_xlfn.XLOOKUP(dHdcp[[#This Row],[Nombre]],dJugador[Nombre],dJugador[Mote],"",0)</f>
        <v>0:Gifu</v>
      </c>
      <c r="J849" t="str">
        <f>+IF(dHdcp[[#This Row],[Maximo]]=0,"",_xlfn.RANK.EQ(dHdcp[[#This Row],[Handicap]],dHdcp[Handicap],1))</f>
        <v/>
      </c>
      <c r="K849" t="str">
        <f>IFERROR(+_xlfn.RANK.EQ(dHdcp[[#This Row],[Ranking]],dHdcp[Ranking],1),"")</f>
        <v/>
      </c>
      <c r="M849" t="str">
        <f>+dHdcp[[#This Row],[Fecha]]&amp;":"&amp;dHdcp[[#This Row],[Nombre]]</f>
        <v>44380:Alvaro Aguirre</v>
      </c>
      <c r="N849">
        <f>+COUNTIF(dHdcp[Columna1],dHdcp[[#This Row],[Columna1]])</f>
        <v>1</v>
      </c>
      <c r="R849">
        <f>+dHdcp[[#This Row],[Handicap]]-C830</f>
        <v>-0.29999999999999982</v>
      </c>
      <c r="S849">
        <f>+dHdcp[[#This Row],[Handicap]]</f>
        <v>6.9</v>
      </c>
      <c r="U849">
        <f t="shared" ref="U849:U866" si="2">+S849-T849</f>
        <v>6.9</v>
      </c>
      <c r="V849">
        <v>71.400000000000006</v>
      </c>
      <c r="W849">
        <v>130</v>
      </c>
      <c r="X849">
        <v>113</v>
      </c>
      <c r="Y849">
        <f t="shared" ref="Y849:Y866" si="3">+ROUND(U849*(W849/X849)+(V849-72),0)</f>
        <v>7</v>
      </c>
    </row>
    <row r="850" spans="1:25">
      <c r="A850" s="2">
        <v>44380</v>
      </c>
      <c r="B850" t="s">
        <v>25</v>
      </c>
      <c r="C850" s="51">
        <v>12.8</v>
      </c>
      <c r="D850">
        <f>+VLOOKUP(dHdcp[[#This Row],[Handicap]],'Categoría Hdcap'!$B$2:$E$7,4)</f>
        <v>3</v>
      </c>
      <c r="E850" t="s">
        <v>74</v>
      </c>
      <c r="F850" t="s">
        <v>1316</v>
      </c>
      <c r="G850">
        <f>+IF(dHdcp[[#This Row],[Fecha]]=MAX(dHdcp[Fecha]),1,0)</f>
        <v>0</v>
      </c>
      <c r="H850" t="str">
        <f>+dHdcp[[#This Row],[Maximo]]&amp;":"&amp;dHdcp[[#This Row],[Nombre]]</f>
        <v>0:Alvaro Nieto</v>
      </c>
      <c r="I850" t="str">
        <f>+dHdcp[[#This Row],[Maximo]]&amp;":"&amp;_xlfn.XLOOKUP(dHdcp[[#This Row],[Nombre]],dJugador[Nombre],dJugador[Mote],"",0)</f>
        <v>0:Alvaro</v>
      </c>
      <c r="J850" t="str">
        <f>+IF(dHdcp[[#This Row],[Maximo]]=0,"",_xlfn.RANK.EQ(dHdcp[[#This Row],[Handicap]],dHdcp[Handicap],1))</f>
        <v/>
      </c>
      <c r="K850" t="str">
        <f>IFERROR(+_xlfn.RANK.EQ(dHdcp[[#This Row],[Ranking]],dHdcp[Ranking],1),"")</f>
        <v/>
      </c>
      <c r="M850" t="str">
        <f>+dHdcp[[#This Row],[Fecha]]&amp;":"&amp;dHdcp[[#This Row],[Nombre]]</f>
        <v>44380:Alvaro Nieto</v>
      </c>
      <c r="N850">
        <f>+COUNTIF(dHdcp[Columna1],dHdcp[[#This Row],[Columna1]])</f>
        <v>1</v>
      </c>
      <c r="R850">
        <f>+dHdcp[[#This Row],[Handicap]]-C831</f>
        <v>-0.29999999999999893</v>
      </c>
      <c r="S850">
        <f>+dHdcp[[#This Row],[Handicap]]</f>
        <v>12.8</v>
      </c>
      <c r="U850">
        <f t="shared" si="2"/>
        <v>12.8</v>
      </c>
      <c r="V850">
        <v>71.400000000000006</v>
      </c>
      <c r="W850">
        <v>130</v>
      </c>
      <c r="X850">
        <v>113</v>
      </c>
      <c r="Y850" s="10">
        <f t="shared" si="3"/>
        <v>14</v>
      </c>
    </row>
    <row r="851" spans="1:25">
      <c r="A851" s="2">
        <v>44380</v>
      </c>
      <c r="B851" t="s">
        <v>33</v>
      </c>
      <c r="C851" s="51">
        <v>7.6</v>
      </c>
      <c r="D851">
        <f>+VLOOKUP(dHdcp[[#This Row],[Handicap]],'Categoría Hdcap'!$B$2:$E$7,4)</f>
        <v>2</v>
      </c>
      <c r="E851" t="s">
        <v>74</v>
      </c>
      <c r="F851" t="s">
        <v>1317</v>
      </c>
      <c r="G851">
        <f>+IF(dHdcp[[#This Row],[Fecha]]=MAX(dHdcp[Fecha]),1,0)</f>
        <v>0</v>
      </c>
      <c r="H851" t="str">
        <f>+dHdcp[[#This Row],[Maximo]]&amp;":"&amp;dHdcp[[#This Row],[Nombre]]</f>
        <v>0:Angel Hernandez</v>
      </c>
      <c r="I851" t="str">
        <f>+dHdcp[[#This Row],[Maximo]]&amp;":"&amp;_xlfn.XLOOKUP(dHdcp[[#This Row],[Nombre]],dJugador[Nombre],dJugador[Mote],"",0)</f>
        <v>0:Angel</v>
      </c>
      <c r="J851" t="str">
        <f>+IF(dHdcp[[#This Row],[Maximo]]=0,"",_xlfn.RANK.EQ(dHdcp[[#This Row],[Handicap]],dHdcp[Handicap],1))</f>
        <v/>
      </c>
      <c r="K851" t="str">
        <f>IFERROR(+_xlfn.RANK.EQ(dHdcp[[#This Row],[Ranking]],dHdcp[Ranking],1),"")</f>
        <v/>
      </c>
      <c r="M851" t="str">
        <f>+dHdcp[[#This Row],[Fecha]]&amp;":"&amp;dHdcp[[#This Row],[Nombre]]</f>
        <v>44380:Angel Hernandez</v>
      </c>
      <c r="N851">
        <f>+COUNTIF(dHdcp[Columna1],dHdcp[[#This Row],[Columna1]])</f>
        <v>1</v>
      </c>
      <c r="R851">
        <f>+dHdcp[[#This Row],[Handicap]]-C832</f>
        <v>0</v>
      </c>
      <c r="S851">
        <f>+dHdcp[[#This Row],[Handicap]]</f>
        <v>7.6</v>
      </c>
      <c r="U851">
        <f t="shared" si="2"/>
        <v>7.6</v>
      </c>
      <c r="V851">
        <v>71.400000000000006</v>
      </c>
      <c r="W851">
        <v>130</v>
      </c>
      <c r="X851">
        <v>113</v>
      </c>
      <c r="Y851">
        <f t="shared" si="3"/>
        <v>8</v>
      </c>
    </row>
    <row r="852" spans="1:25">
      <c r="A852" s="2">
        <v>44380</v>
      </c>
      <c r="B852" t="s">
        <v>30</v>
      </c>
      <c r="C852" s="51">
        <v>11.1</v>
      </c>
      <c r="D852">
        <f>+VLOOKUP(dHdcp[[#This Row],[Handicap]],'Categoría Hdcap'!$B$2:$E$7,4)</f>
        <v>2</v>
      </c>
      <c r="E852" t="s">
        <v>74</v>
      </c>
      <c r="F852" t="s">
        <v>1318</v>
      </c>
      <c r="G852">
        <f>+IF(dHdcp[[#This Row],[Fecha]]=MAX(dHdcp[Fecha]),1,0)</f>
        <v>0</v>
      </c>
      <c r="H852" t="str">
        <f>+dHdcp[[#This Row],[Maximo]]&amp;":"&amp;dHdcp[[#This Row],[Nombre]]</f>
        <v>0:David Sequera</v>
      </c>
      <c r="I852" t="str">
        <f>+dHdcp[[#This Row],[Maximo]]&amp;":"&amp;_xlfn.XLOOKUP(dHdcp[[#This Row],[Nombre]],dJugador[Nombre],dJugador[Mote],"",0)</f>
        <v>0:David</v>
      </c>
      <c r="J852" t="str">
        <f>+IF(dHdcp[[#This Row],[Maximo]]=0,"",_xlfn.RANK.EQ(dHdcp[[#This Row],[Handicap]],dHdcp[Handicap],1))</f>
        <v/>
      </c>
      <c r="K852" t="str">
        <f>IFERROR(+_xlfn.RANK.EQ(dHdcp[[#This Row],[Ranking]],dHdcp[Ranking],1),"")</f>
        <v/>
      </c>
      <c r="M852" t="str">
        <f>+dHdcp[[#This Row],[Fecha]]&amp;":"&amp;dHdcp[[#This Row],[Nombre]]</f>
        <v>44380:David Sequera</v>
      </c>
      <c r="N852">
        <f>+COUNTIF(dHdcp[Columna1],dHdcp[[#This Row],[Columna1]])</f>
        <v>1</v>
      </c>
      <c r="R852">
        <f>+dHdcp[[#This Row],[Handicap]]-C833</f>
        <v>0</v>
      </c>
      <c r="S852">
        <f>+dHdcp[[#This Row],[Handicap]]</f>
        <v>11.1</v>
      </c>
      <c r="U852">
        <f t="shared" si="2"/>
        <v>11.1</v>
      </c>
      <c r="V852">
        <v>71.400000000000006</v>
      </c>
      <c r="W852">
        <v>130</v>
      </c>
      <c r="X852">
        <v>113</v>
      </c>
      <c r="Y852" s="10">
        <f t="shared" si="3"/>
        <v>12</v>
      </c>
    </row>
    <row r="853" spans="1:25">
      <c r="A853" s="2">
        <v>44380</v>
      </c>
      <c r="B853" t="s">
        <v>12</v>
      </c>
      <c r="C853" s="51">
        <v>15.1</v>
      </c>
      <c r="D853">
        <f>+VLOOKUP(dHdcp[[#This Row],[Handicap]],'Categoría Hdcap'!$B$2:$E$7,4)</f>
        <v>3</v>
      </c>
      <c r="E853" t="s">
        <v>74</v>
      </c>
      <c r="F853" t="s">
        <v>1319</v>
      </c>
      <c r="G853">
        <f>+IF(dHdcp[[#This Row],[Fecha]]=MAX(dHdcp[Fecha]),1,0)</f>
        <v>0</v>
      </c>
      <c r="H853" t="str">
        <f>+dHdcp[[#This Row],[Maximo]]&amp;":"&amp;dHdcp[[#This Row],[Nombre]]</f>
        <v>0:Francisco Alvarez</v>
      </c>
      <c r="I853" t="str">
        <f>+dHdcp[[#This Row],[Maximo]]&amp;":"&amp;_xlfn.XLOOKUP(dHdcp[[#This Row],[Nombre]],dJugador[Nombre],dJugador[Mote],"",0)</f>
        <v>0:Paco</v>
      </c>
      <c r="J853" t="str">
        <f>+IF(dHdcp[[#This Row],[Maximo]]=0,"",_xlfn.RANK.EQ(dHdcp[[#This Row],[Handicap]],dHdcp[Handicap],1))</f>
        <v/>
      </c>
      <c r="K853" t="str">
        <f>IFERROR(+_xlfn.RANK.EQ(dHdcp[[#This Row],[Ranking]],dHdcp[Ranking],1),"")</f>
        <v/>
      </c>
      <c r="M853" t="str">
        <f>+dHdcp[[#This Row],[Fecha]]&amp;":"&amp;dHdcp[[#This Row],[Nombre]]</f>
        <v>44380:Francisco Alvarez</v>
      </c>
      <c r="N853">
        <f>+COUNTIF(dHdcp[Columna1],dHdcp[[#This Row],[Columna1]])</f>
        <v>1</v>
      </c>
      <c r="R853">
        <f>+dHdcp[[#This Row],[Handicap]]-C834</f>
        <v>-0.60000000000000142</v>
      </c>
      <c r="S853">
        <f>+dHdcp[[#This Row],[Handicap]]</f>
        <v>15.1</v>
      </c>
      <c r="U853">
        <f t="shared" si="2"/>
        <v>15.1</v>
      </c>
      <c r="V853">
        <v>71.400000000000006</v>
      </c>
      <c r="W853">
        <v>130</v>
      </c>
      <c r="X853">
        <v>113</v>
      </c>
      <c r="Y853" s="10">
        <f t="shared" si="3"/>
        <v>17</v>
      </c>
    </row>
    <row r="854" spans="1:25">
      <c r="A854" s="2">
        <v>44380</v>
      </c>
      <c r="B854" t="s">
        <v>49</v>
      </c>
      <c r="C854" s="51">
        <v>14</v>
      </c>
      <c r="D854">
        <f>+VLOOKUP(dHdcp[[#This Row],[Handicap]],'Categoría Hdcap'!$B$2:$E$7,4)</f>
        <v>3</v>
      </c>
      <c r="E854" t="s">
        <v>74</v>
      </c>
      <c r="F854" t="s">
        <v>1320</v>
      </c>
      <c r="G854">
        <f>+IF(dHdcp[[#This Row],[Fecha]]=MAX(dHdcp[Fecha]),1,0)</f>
        <v>0</v>
      </c>
      <c r="H854" t="str">
        <f>+dHdcp[[#This Row],[Maximo]]&amp;":"&amp;dHdcp[[#This Row],[Nombre]]</f>
        <v>0:Francisco Hidalgo</v>
      </c>
      <c r="I854" t="str">
        <f>+dHdcp[[#This Row],[Maximo]]&amp;":"&amp;_xlfn.XLOOKUP(dHdcp[[#This Row],[Nombre]],dJugador[Nombre],dJugador[Mote],"",0)</f>
        <v>0:Fran</v>
      </c>
      <c r="J854" t="str">
        <f>+IF(dHdcp[[#This Row],[Maximo]]=0,"",_xlfn.RANK.EQ(dHdcp[[#This Row],[Handicap]],dHdcp[Handicap],1))</f>
        <v/>
      </c>
      <c r="K854" t="str">
        <f>IFERROR(+_xlfn.RANK.EQ(dHdcp[[#This Row],[Ranking]],dHdcp[Ranking],1),"")</f>
        <v/>
      </c>
      <c r="M854" t="str">
        <f>+dHdcp[[#This Row],[Fecha]]&amp;":"&amp;dHdcp[[#This Row],[Nombre]]</f>
        <v>44380:Francisco Hidalgo</v>
      </c>
      <c r="N854">
        <f>+COUNTIF(dHdcp[Columna1],dHdcp[[#This Row],[Columna1]])</f>
        <v>1</v>
      </c>
      <c r="R854">
        <f>+dHdcp[[#This Row],[Handicap]]-C835</f>
        <v>0.19999999999999929</v>
      </c>
      <c r="S854">
        <f>+dHdcp[[#This Row],[Handicap]]</f>
        <v>14</v>
      </c>
      <c r="U854">
        <f t="shared" si="2"/>
        <v>14</v>
      </c>
      <c r="V854">
        <v>71.400000000000006</v>
      </c>
      <c r="W854">
        <v>130</v>
      </c>
      <c r="X854">
        <v>113</v>
      </c>
      <c r="Y854" s="10">
        <f t="shared" si="3"/>
        <v>16</v>
      </c>
    </row>
    <row r="855" spans="1:25">
      <c r="A855" s="2">
        <v>44380</v>
      </c>
      <c r="B855" t="s">
        <v>35</v>
      </c>
      <c r="C855" s="51">
        <v>17.899999999999999</v>
      </c>
      <c r="D855">
        <f>+VLOOKUP(dHdcp[[#This Row],[Handicap]],'Categoría Hdcap'!$B$2:$E$7,4)</f>
        <v>3</v>
      </c>
      <c r="E855" t="s">
        <v>74</v>
      </c>
      <c r="F855" t="s">
        <v>1321</v>
      </c>
      <c r="G855">
        <f>+IF(dHdcp[[#This Row],[Fecha]]=MAX(dHdcp[Fecha]),1,0)</f>
        <v>0</v>
      </c>
      <c r="H855" t="str">
        <f>+dHdcp[[#This Row],[Maximo]]&amp;":"&amp;dHdcp[[#This Row],[Nombre]]</f>
        <v>0:GLEZ JUAN JOSÉ</v>
      </c>
      <c r="I855" t="str">
        <f>+dHdcp[[#This Row],[Maximo]]&amp;":"&amp;_xlfn.XLOOKUP(dHdcp[[#This Row],[Nombre]],dJugador[Nombre],dJugador[Mote],"",0)</f>
        <v>0:Juanjo</v>
      </c>
      <c r="J855" t="str">
        <f>+IF(dHdcp[[#This Row],[Maximo]]=0,"",_xlfn.RANK.EQ(dHdcp[[#This Row],[Handicap]],dHdcp[Handicap],1))</f>
        <v/>
      </c>
      <c r="K855" t="str">
        <f>IFERROR(+_xlfn.RANK.EQ(dHdcp[[#This Row],[Ranking]],dHdcp[Ranking],1),"")</f>
        <v/>
      </c>
      <c r="M855" t="str">
        <f>+dHdcp[[#This Row],[Fecha]]&amp;":"&amp;dHdcp[[#This Row],[Nombre]]</f>
        <v>44380:GLEZ JUAN JOSÉ</v>
      </c>
      <c r="N855">
        <f>+COUNTIF(dHdcp[Columna1],dHdcp[[#This Row],[Columna1]])</f>
        <v>1</v>
      </c>
      <c r="R855">
        <f>+dHdcp[[#This Row],[Handicap]]-C836</f>
        <v>0</v>
      </c>
      <c r="S855">
        <f>+dHdcp[[#This Row],[Handicap]]</f>
        <v>17.899999999999999</v>
      </c>
      <c r="U855">
        <f t="shared" si="2"/>
        <v>17.899999999999999</v>
      </c>
      <c r="V855">
        <v>71.400000000000006</v>
      </c>
      <c r="W855">
        <v>130</v>
      </c>
      <c r="X855">
        <v>113</v>
      </c>
      <c r="Y855">
        <f t="shared" si="3"/>
        <v>20</v>
      </c>
    </row>
    <row r="856" spans="1:25">
      <c r="A856" s="2">
        <v>44380</v>
      </c>
      <c r="B856" t="s">
        <v>6</v>
      </c>
      <c r="C856" s="51">
        <v>6.6</v>
      </c>
      <c r="D856">
        <f>+VLOOKUP(dHdcp[[#This Row],[Handicap]],'Categoría Hdcap'!$B$2:$E$7,4)</f>
        <v>2</v>
      </c>
      <c r="E856" t="s">
        <v>74</v>
      </c>
      <c r="F856" t="s">
        <v>1322</v>
      </c>
      <c r="G856">
        <f>+IF(dHdcp[[#This Row],[Fecha]]=MAX(dHdcp[Fecha]),1,0)</f>
        <v>0</v>
      </c>
      <c r="H856" t="str">
        <f>+dHdcp[[#This Row],[Maximo]]&amp;":"&amp;dHdcp[[#This Row],[Nombre]]</f>
        <v>0:Ignacio Cadarso</v>
      </c>
      <c r="I856" t="str">
        <f>+dHdcp[[#This Row],[Maximo]]&amp;":"&amp;_xlfn.XLOOKUP(dHdcp[[#This Row],[Nombre]],dJugador[Nombre],dJugador[Mote],"",0)</f>
        <v>0:Ignacio</v>
      </c>
      <c r="J856" t="str">
        <f>+IF(dHdcp[[#This Row],[Maximo]]=0,"",_xlfn.RANK.EQ(dHdcp[[#This Row],[Handicap]],dHdcp[Handicap],1))</f>
        <v/>
      </c>
      <c r="K856" t="str">
        <f>IFERROR(+_xlfn.RANK.EQ(dHdcp[[#This Row],[Ranking]],dHdcp[Ranking],1),"")</f>
        <v/>
      </c>
      <c r="M856" t="str">
        <f>+dHdcp[[#This Row],[Fecha]]&amp;":"&amp;dHdcp[[#This Row],[Nombre]]</f>
        <v>44380:Ignacio Cadarso</v>
      </c>
      <c r="N856">
        <f>+COUNTIF(dHdcp[Columna1],dHdcp[[#This Row],[Columna1]])</f>
        <v>1</v>
      </c>
      <c r="R856">
        <f>+dHdcp[[#This Row],[Handicap]]-C837</f>
        <v>-0.20000000000000018</v>
      </c>
      <c r="S856">
        <f>+dHdcp[[#This Row],[Handicap]]</f>
        <v>6.6</v>
      </c>
      <c r="U856">
        <f t="shared" si="2"/>
        <v>6.6</v>
      </c>
      <c r="V856">
        <v>71.400000000000006</v>
      </c>
      <c r="W856">
        <v>130</v>
      </c>
      <c r="X856">
        <v>113</v>
      </c>
      <c r="Y856" s="10">
        <f t="shared" si="3"/>
        <v>7</v>
      </c>
    </row>
    <row r="857" spans="1:25">
      <c r="A857" s="2">
        <v>44380</v>
      </c>
      <c r="B857" t="s">
        <v>23</v>
      </c>
      <c r="C857" s="51">
        <v>18.399999999999999</v>
      </c>
      <c r="D857">
        <f>+VLOOKUP(dHdcp[[#This Row],[Handicap]],'Categoría Hdcap'!$B$2:$E$7,4)</f>
        <v>3</v>
      </c>
      <c r="E857" t="s">
        <v>74</v>
      </c>
      <c r="F857" t="s">
        <v>1323</v>
      </c>
      <c r="G857">
        <f>+IF(dHdcp[[#This Row],[Fecha]]=MAX(dHdcp[Fecha]),1,0)</f>
        <v>0</v>
      </c>
      <c r="H857" t="str">
        <f>+dHdcp[[#This Row],[Maximo]]&amp;":"&amp;dHdcp[[#This Row],[Nombre]]</f>
        <v>0:J. Enrique Gonzalez</v>
      </c>
      <c r="I857" t="str">
        <f>+dHdcp[[#This Row],[Maximo]]&amp;":"&amp;_xlfn.XLOOKUP(dHdcp[[#This Row],[Nombre]],dJugador[Nombre],dJugador[Mote],"",0)</f>
        <v>0:Kike</v>
      </c>
      <c r="J857" t="str">
        <f>+IF(dHdcp[[#This Row],[Maximo]]=0,"",_xlfn.RANK.EQ(dHdcp[[#This Row],[Handicap]],dHdcp[Handicap],1))</f>
        <v/>
      </c>
      <c r="K857" t="str">
        <f>IFERROR(+_xlfn.RANK.EQ(dHdcp[[#This Row],[Ranking]],dHdcp[Ranking],1),"")</f>
        <v/>
      </c>
      <c r="M857" t="str">
        <f>+dHdcp[[#This Row],[Fecha]]&amp;":"&amp;dHdcp[[#This Row],[Nombre]]</f>
        <v>44380:J. Enrique Gonzalez</v>
      </c>
      <c r="N857">
        <f>+COUNTIF(dHdcp[Columna1],dHdcp[[#This Row],[Columna1]])</f>
        <v>1</v>
      </c>
      <c r="R857">
        <f>+dHdcp[[#This Row],[Handicap]]-C838</f>
        <v>-0.20000000000000284</v>
      </c>
      <c r="S857">
        <f>+dHdcp[[#This Row],[Handicap]]</f>
        <v>18.399999999999999</v>
      </c>
      <c r="U857">
        <f t="shared" si="2"/>
        <v>18.399999999999999</v>
      </c>
      <c r="V857">
        <v>71.400000000000006</v>
      </c>
      <c r="W857">
        <v>130</v>
      </c>
      <c r="X857">
        <v>113</v>
      </c>
      <c r="Y857" s="10">
        <f t="shared" si="3"/>
        <v>21</v>
      </c>
    </row>
    <row r="858" spans="1:25">
      <c r="A858" s="2">
        <v>44380</v>
      </c>
      <c r="B858" t="s">
        <v>46</v>
      </c>
      <c r="C858" s="51">
        <v>16.3</v>
      </c>
      <c r="D858">
        <f>+VLOOKUP(dHdcp[[#This Row],[Handicap]],'Categoría Hdcap'!$B$2:$E$7,4)</f>
        <v>3</v>
      </c>
      <c r="E858" t="s">
        <v>74</v>
      </c>
      <c r="F858" t="s">
        <v>1324</v>
      </c>
      <c r="G858">
        <f>+IF(dHdcp[[#This Row],[Fecha]]=MAX(dHdcp[Fecha]),1,0)</f>
        <v>0</v>
      </c>
      <c r="H858" t="str">
        <f>+dHdcp[[#This Row],[Maximo]]&amp;":"&amp;dHdcp[[#This Row],[Nombre]]</f>
        <v>0:Javier Cervera</v>
      </c>
      <c r="I858" t="str">
        <f>+dHdcp[[#This Row],[Maximo]]&amp;":"&amp;_xlfn.XLOOKUP(dHdcp[[#This Row],[Nombre]],dJugador[Nombre],dJugador[Mote],"",0)</f>
        <v>0:Virus</v>
      </c>
      <c r="J858" t="str">
        <f>+IF(dHdcp[[#This Row],[Maximo]]=0,"",_xlfn.RANK.EQ(dHdcp[[#This Row],[Handicap]],dHdcp[Handicap],1))</f>
        <v/>
      </c>
      <c r="K858" t="str">
        <f>IFERROR(+_xlfn.RANK.EQ(dHdcp[[#This Row],[Ranking]],dHdcp[Ranking],1),"")</f>
        <v/>
      </c>
      <c r="M858" t="str">
        <f>+dHdcp[[#This Row],[Fecha]]&amp;":"&amp;dHdcp[[#This Row],[Nombre]]</f>
        <v>44380:Javier Cervera</v>
      </c>
      <c r="N858">
        <f>+COUNTIF(dHdcp[Columna1],dHdcp[[#This Row],[Columna1]])</f>
        <v>1</v>
      </c>
      <c r="R858">
        <f>+dHdcp[[#This Row],[Handicap]]-C839</f>
        <v>0.30000000000000071</v>
      </c>
      <c r="S858">
        <f>+dHdcp[[#This Row],[Handicap]]</f>
        <v>16.3</v>
      </c>
      <c r="U858">
        <f t="shared" si="2"/>
        <v>16.3</v>
      </c>
      <c r="V858">
        <v>71.400000000000006</v>
      </c>
      <c r="W858">
        <v>130</v>
      </c>
      <c r="X858">
        <v>113</v>
      </c>
      <c r="Y858" s="10">
        <f t="shared" si="3"/>
        <v>18</v>
      </c>
    </row>
    <row r="859" spans="1:25">
      <c r="A859" s="2">
        <v>44380</v>
      </c>
      <c r="B859" t="s">
        <v>20</v>
      </c>
      <c r="C859" s="51">
        <v>15.5</v>
      </c>
      <c r="D859">
        <f>+VLOOKUP(dHdcp[[#This Row],[Handicap]],'Categoría Hdcap'!$B$2:$E$7,4)</f>
        <v>3</v>
      </c>
      <c r="E859" t="s">
        <v>74</v>
      </c>
      <c r="F859" t="s">
        <v>1325</v>
      </c>
      <c r="G859">
        <f>+IF(dHdcp[[#This Row],[Fecha]]=MAX(dHdcp[Fecha]),1,0)</f>
        <v>0</v>
      </c>
      <c r="H859" t="str">
        <f>+dHdcp[[#This Row],[Maximo]]&amp;":"&amp;dHdcp[[#This Row],[Nombre]]</f>
        <v>0:Javier Gonzalez Salvador</v>
      </c>
      <c r="I859" t="str">
        <f>+dHdcp[[#This Row],[Maximo]]&amp;":"&amp;_xlfn.XLOOKUP(dHdcp[[#This Row],[Nombre]],dJugador[Nombre],dJugador[Mote],"",0)</f>
        <v>0:Javi</v>
      </c>
      <c r="J859" t="str">
        <f>+IF(dHdcp[[#This Row],[Maximo]]=0,"",_xlfn.RANK.EQ(dHdcp[[#This Row],[Handicap]],dHdcp[Handicap],1))</f>
        <v/>
      </c>
      <c r="K859" t="str">
        <f>IFERROR(+_xlfn.RANK.EQ(dHdcp[[#This Row],[Ranking]],dHdcp[Ranking],1),"")</f>
        <v/>
      </c>
      <c r="M859" t="str">
        <f>+dHdcp[[#This Row],[Fecha]]&amp;":"&amp;dHdcp[[#This Row],[Nombre]]</f>
        <v>44380:Javier Gonzalez Salvador</v>
      </c>
      <c r="N859">
        <f>+COUNTIF(dHdcp[Columna1],dHdcp[[#This Row],[Columna1]])</f>
        <v>1</v>
      </c>
      <c r="R859">
        <f>+dHdcp[[#This Row],[Handicap]]-C840</f>
        <v>0</v>
      </c>
      <c r="S859">
        <f>+dHdcp[[#This Row],[Handicap]]</f>
        <v>15.5</v>
      </c>
      <c r="U859">
        <f t="shared" si="2"/>
        <v>15.5</v>
      </c>
      <c r="V859">
        <v>71.400000000000006</v>
      </c>
      <c r="W859">
        <v>130</v>
      </c>
      <c r="X859">
        <v>113</v>
      </c>
      <c r="Y859" s="10">
        <f t="shared" si="3"/>
        <v>17</v>
      </c>
    </row>
    <row r="860" spans="1:25">
      <c r="A860" s="2">
        <v>44380</v>
      </c>
      <c r="B860" t="s">
        <v>41</v>
      </c>
      <c r="C860" s="51">
        <v>23.3</v>
      </c>
      <c r="D860">
        <f>+VLOOKUP(dHdcp[[#This Row],[Handicap]],'Categoría Hdcap'!$B$2:$E$7,4)</f>
        <v>4</v>
      </c>
      <c r="E860" t="s">
        <v>74</v>
      </c>
      <c r="F860" t="s">
        <v>1326</v>
      </c>
      <c r="G860">
        <f>+IF(dHdcp[[#This Row],[Fecha]]=MAX(dHdcp[Fecha]),1,0)</f>
        <v>0</v>
      </c>
      <c r="H860" t="str">
        <f>+dHdcp[[#This Row],[Maximo]]&amp;":"&amp;dHdcp[[#This Row],[Nombre]]</f>
        <v>0:Jesus Touceda</v>
      </c>
      <c r="I860" t="str">
        <f>+dHdcp[[#This Row],[Maximo]]&amp;":"&amp;_xlfn.XLOOKUP(dHdcp[[#This Row],[Nombre]],dJugador[Nombre],dJugador[Mote],"",0)</f>
        <v>0:Jesús</v>
      </c>
      <c r="J860" t="str">
        <f>+IF(dHdcp[[#This Row],[Maximo]]=0,"",_xlfn.RANK.EQ(dHdcp[[#This Row],[Handicap]],dHdcp[Handicap],1))</f>
        <v/>
      </c>
      <c r="K860" t="str">
        <f>IFERROR(+_xlfn.RANK.EQ(dHdcp[[#This Row],[Ranking]],dHdcp[Ranking],1),"")</f>
        <v/>
      </c>
      <c r="M860" t="str">
        <f>+dHdcp[[#This Row],[Fecha]]&amp;":"&amp;dHdcp[[#This Row],[Nombre]]</f>
        <v>44380:Jesus Touceda</v>
      </c>
      <c r="N860">
        <f>+COUNTIF(dHdcp[Columna1],dHdcp[[#This Row],[Columna1]])</f>
        <v>1</v>
      </c>
      <c r="R860">
        <f>+dHdcp[[#This Row],[Handicap]]-C841</f>
        <v>0.69999999999999929</v>
      </c>
      <c r="S860">
        <f>+dHdcp[[#This Row],[Handicap]]</f>
        <v>23.3</v>
      </c>
      <c r="U860">
        <f t="shared" si="2"/>
        <v>23.3</v>
      </c>
      <c r="V860">
        <v>71.400000000000006</v>
      </c>
      <c r="W860">
        <v>130</v>
      </c>
      <c r="X860">
        <v>113</v>
      </c>
      <c r="Y860">
        <f t="shared" si="3"/>
        <v>26</v>
      </c>
    </row>
    <row r="861" spans="1:25">
      <c r="A861" s="2">
        <v>44380</v>
      </c>
      <c r="B861" t="s">
        <v>18</v>
      </c>
      <c r="C861" s="51">
        <v>6.8</v>
      </c>
      <c r="D861">
        <f>+VLOOKUP(dHdcp[[#This Row],[Handicap]],'Categoría Hdcap'!$B$2:$E$7,4)</f>
        <v>2</v>
      </c>
      <c r="E861" t="s">
        <v>74</v>
      </c>
      <c r="F861" t="s">
        <v>1327</v>
      </c>
      <c r="G861">
        <f>+IF(dHdcp[[#This Row],[Fecha]]=MAX(dHdcp[Fecha]),1,0)</f>
        <v>0</v>
      </c>
      <c r="H861" t="str">
        <f>+dHdcp[[#This Row],[Maximo]]&amp;":"&amp;dHdcp[[#This Row],[Nombre]]</f>
        <v>0:José Pablo Guil</v>
      </c>
      <c r="I861" t="str">
        <f>+dHdcp[[#This Row],[Maximo]]&amp;":"&amp;_xlfn.XLOOKUP(dHdcp[[#This Row],[Nombre]],dJugador[Nombre],dJugador[Mote],"",0)</f>
        <v>0:JP</v>
      </c>
      <c r="J861" t="str">
        <f>+IF(dHdcp[[#This Row],[Maximo]]=0,"",_xlfn.RANK.EQ(dHdcp[[#This Row],[Handicap]],dHdcp[Handicap],1))</f>
        <v/>
      </c>
      <c r="K861" t="str">
        <f>IFERROR(+_xlfn.RANK.EQ(dHdcp[[#This Row],[Ranking]],dHdcp[Ranking],1),"")</f>
        <v/>
      </c>
      <c r="M861" t="str">
        <f>+dHdcp[[#This Row],[Fecha]]&amp;":"&amp;dHdcp[[#This Row],[Nombre]]</f>
        <v>44380:José Pablo Guil</v>
      </c>
      <c r="N861">
        <f>+COUNTIF(dHdcp[Columna1],dHdcp[[#This Row],[Columna1]])</f>
        <v>1</v>
      </c>
      <c r="R861">
        <f>+dHdcp[[#This Row],[Handicap]]-C842</f>
        <v>0</v>
      </c>
      <c r="S861">
        <f>+dHdcp[[#This Row],[Handicap]]</f>
        <v>6.8</v>
      </c>
      <c r="U861">
        <f t="shared" si="2"/>
        <v>6.8</v>
      </c>
      <c r="V861">
        <v>71.400000000000006</v>
      </c>
      <c r="W861">
        <v>130</v>
      </c>
      <c r="X861">
        <v>113</v>
      </c>
      <c r="Y861">
        <f t="shared" si="3"/>
        <v>7</v>
      </c>
    </row>
    <row r="862" spans="1:25">
      <c r="A862" s="2">
        <v>44380</v>
      </c>
      <c r="B862" t="s">
        <v>43</v>
      </c>
      <c r="C862" s="51">
        <v>18.3</v>
      </c>
      <c r="D862">
        <f>+VLOOKUP(dHdcp[[#This Row],[Handicap]],'Categoría Hdcap'!$B$2:$E$7,4)</f>
        <v>3</v>
      </c>
      <c r="E862" t="s">
        <v>74</v>
      </c>
      <c r="F862" t="s">
        <v>1328</v>
      </c>
      <c r="G862">
        <f>+IF(dHdcp[[#This Row],[Fecha]]=MAX(dHdcp[Fecha]),1,0)</f>
        <v>0</v>
      </c>
      <c r="H862" t="str">
        <f>+dHdcp[[#This Row],[Maximo]]&amp;":"&amp;dHdcp[[#This Row],[Nombre]]</f>
        <v>0:Luis Escudero</v>
      </c>
      <c r="I862" t="str">
        <f>+dHdcp[[#This Row],[Maximo]]&amp;":"&amp;_xlfn.XLOOKUP(dHdcp[[#This Row],[Nombre]],dJugador[Nombre],dJugador[Mote],"",0)</f>
        <v>0:Lucho</v>
      </c>
      <c r="J862" t="str">
        <f>+IF(dHdcp[[#This Row],[Maximo]]=0,"",_xlfn.RANK.EQ(dHdcp[[#This Row],[Handicap]],dHdcp[Handicap],1))</f>
        <v/>
      </c>
      <c r="K862" t="str">
        <f>IFERROR(+_xlfn.RANK.EQ(dHdcp[[#This Row],[Ranking]],dHdcp[Ranking],1),"")</f>
        <v/>
      </c>
      <c r="M862" t="str">
        <f>+dHdcp[[#This Row],[Fecha]]&amp;":"&amp;dHdcp[[#This Row],[Nombre]]</f>
        <v>44380:Luis Escudero</v>
      </c>
      <c r="N862">
        <f>+COUNTIF(dHdcp[Columna1],dHdcp[[#This Row],[Columna1]])</f>
        <v>1</v>
      </c>
      <c r="R862">
        <f>+dHdcp[[#This Row],[Handicap]]-C843</f>
        <v>0</v>
      </c>
      <c r="S862">
        <f>+dHdcp[[#This Row],[Handicap]]</f>
        <v>18.3</v>
      </c>
      <c r="U862">
        <f t="shared" si="2"/>
        <v>18.3</v>
      </c>
      <c r="V862">
        <v>71.400000000000006</v>
      </c>
      <c r="W862">
        <v>130</v>
      </c>
      <c r="X862">
        <v>113</v>
      </c>
      <c r="Y862" s="10">
        <f t="shared" si="3"/>
        <v>20</v>
      </c>
    </row>
    <row r="863" spans="1:25">
      <c r="A863" s="2">
        <v>44380</v>
      </c>
      <c r="B863" s="10" t="s">
        <v>135</v>
      </c>
      <c r="C863" s="53">
        <v>22.6</v>
      </c>
      <c r="D863" s="10">
        <f>+VLOOKUP(dHdcp[[#This Row],[Handicap]],'Categoría Hdcap'!$B$2:$E$7,4)</f>
        <v>4</v>
      </c>
      <c r="E863" s="10" t="s">
        <v>74</v>
      </c>
      <c r="F863" s="10" t="s">
        <v>1329</v>
      </c>
      <c r="G863">
        <f>+IF(dHdcp[[#This Row],[Fecha]]=MAX(dHdcp[Fecha]),1,0)</f>
        <v>0</v>
      </c>
      <c r="H863" t="str">
        <f>+dHdcp[[#This Row],[Maximo]]&amp;":"&amp;dHdcp[[#This Row],[Nombre]]</f>
        <v>0:Miche Lopez</v>
      </c>
      <c r="I863" t="str">
        <f>+dHdcp[[#This Row],[Maximo]]&amp;":"&amp;_xlfn.XLOOKUP(dHdcp[[#This Row],[Nombre]],dJugador[Nombre],dJugador[Mote],"",0)</f>
        <v>0:Miche</v>
      </c>
      <c r="J863" t="str">
        <f>+IF(dHdcp[[#This Row],[Maximo]]=0,"",_xlfn.RANK.EQ(dHdcp[[#This Row],[Handicap]],dHdcp[Handicap],1))</f>
        <v/>
      </c>
      <c r="K863" t="str">
        <f>IFERROR(+_xlfn.RANK.EQ(dHdcp[[#This Row],[Ranking]],dHdcp[Ranking],1),"")</f>
        <v/>
      </c>
      <c r="M863" t="str">
        <f>+dHdcp[[#This Row],[Fecha]]&amp;":"&amp;dHdcp[[#This Row],[Nombre]]</f>
        <v>44380:Miche Lopez</v>
      </c>
      <c r="N863">
        <f>+COUNTIF(dHdcp[Columna1],dHdcp[[#This Row],[Columna1]])</f>
        <v>1</v>
      </c>
      <c r="R863">
        <f>+dHdcp[[#This Row],[Handicap]]-C844</f>
        <v>0.5</v>
      </c>
      <c r="S863">
        <f>+dHdcp[[#This Row],[Handicap]]</f>
        <v>22.6</v>
      </c>
      <c r="U863">
        <f t="shared" si="2"/>
        <v>22.6</v>
      </c>
      <c r="V863">
        <v>71.400000000000006</v>
      </c>
      <c r="W863">
        <v>130</v>
      </c>
      <c r="X863">
        <v>113</v>
      </c>
      <c r="Y863">
        <f t="shared" si="3"/>
        <v>25</v>
      </c>
    </row>
    <row r="864" spans="1:25">
      <c r="A864" s="2">
        <v>44380</v>
      </c>
      <c r="B864" t="s">
        <v>51</v>
      </c>
      <c r="C864" s="51">
        <v>-0.8</v>
      </c>
      <c r="D864">
        <f>+VLOOKUP(dHdcp[[#This Row],[Handicap]],'Categoría Hdcap'!$B$2:$E$7,4)</f>
        <v>1</v>
      </c>
      <c r="E864" t="s">
        <v>74</v>
      </c>
      <c r="F864" t="s">
        <v>1330</v>
      </c>
      <c r="G864">
        <f>+IF(dHdcp[[#This Row],[Fecha]]=MAX(dHdcp[Fecha]),1,0)</f>
        <v>0</v>
      </c>
      <c r="H864" t="str">
        <f>+dHdcp[[#This Row],[Maximo]]&amp;":"&amp;dHdcp[[#This Row],[Nombre]]</f>
        <v>0:Miguel Diaz Del Moral</v>
      </c>
      <c r="I864" t="str">
        <f>+dHdcp[[#This Row],[Maximo]]&amp;":"&amp;_xlfn.XLOOKUP(dHdcp[[#This Row],[Nombre]],dJugador[Nombre],dJugador[Mote],"",0)</f>
        <v>0:Cañita</v>
      </c>
      <c r="J864" t="str">
        <f>+IF(dHdcp[[#This Row],[Maximo]]=0,"",_xlfn.RANK.EQ(dHdcp[[#This Row],[Handicap]],dHdcp[Handicap],1))</f>
        <v/>
      </c>
      <c r="K864" t="str">
        <f>IFERROR(+_xlfn.RANK.EQ(dHdcp[[#This Row],[Ranking]],dHdcp[Ranking],1),"")</f>
        <v/>
      </c>
      <c r="M864" t="str">
        <f>+dHdcp[[#This Row],[Fecha]]&amp;":"&amp;dHdcp[[#This Row],[Nombre]]</f>
        <v>44380:Miguel Diaz Del Moral</v>
      </c>
      <c r="N864">
        <f>+COUNTIF(dHdcp[Columna1],dHdcp[[#This Row],[Columna1]])</f>
        <v>1</v>
      </c>
      <c r="R864">
        <f>+dHdcp[[#This Row],[Handicap]]-C845</f>
        <v>-0.70000000000000007</v>
      </c>
      <c r="S864">
        <f>+dHdcp[[#This Row],[Handicap]]</f>
        <v>-0.8</v>
      </c>
      <c r="U864">
        <f t="shared" si="2"/>
        <v>-0.8</v>
      </c>
      <c r="V864">
        <v>71.400000000000006</v>
      </c>
      <c r="W864">
        <v>130</v>
      </c>
      <c r="X864">
        <v>113</v>
      </c>
      <c r="Y864">
        <f t="shared" si="3"/>
        <v>-2</v>
      </c>
    </row>
    <row r="865" spans="1:25">
      <c r="A865" s="2">
        <v>44380</v>
      </c>
      <c r="B865" t="s">
        <v>3</v>
      </c>
      <c r="C865" s="51">
        <v>6</v>
      </c>
      <c r="D865">
        <f>+VLOOKUP(dHdcp[[#This Row],[Handicap]],'Categoría Hdcap'!$B$2:$E$7,4)</f>
        <v>2</v>
      </c>
      <c r="E865" t="s">
        <v>74</v>
      </c>
      <c r="F865" t="s">
        <v>1331</v>
      </c>
      <c r="G865">
        <f>+IF(dHdcp[[#This Row],[Fecha]]=MAX(dHdcp[Fecha]),1,0)</f>
        <v>0</v>
      </c>
      <c r="H865" t="str">
        <f>+dHdcp[[#This Row],[Maximo]]&amp;":"&amp;dHdcp[[#This Row],[Nombre]]</f>
        <v>0:Nacho Gonzalez</v>
      </c>
      <c r="I865" t="str">
        <f>+dHdcp[[#This Row],[Maximo]]&amp;":"&amp;_xlfn.XLOOKUP(dHdcp[[#This Row],[Nombre]],dJugador[Nombre],dJugador[Mote],"",0)</f>
        <v>0:Nacho</v>
      </c>
      <c r="J865" t="str">
        <f>+IF(dHdcp[[#This Row],[Maximo]]=0,"",_xlfn.RANK.EQ(dHdcp[[#This Row],[Handicap]],dHdcp[Handicap],1))</f>
        <v/>
      </c>
      <c r="K865" t="str">
        <f>IFERROR(+_xlfn.RANK.EQ(dHdcp[[#This Row],[Ranking]],dHdcp[Ranking],1),"")</f>
        <v/>
      </c>
      <c r="M865" t="str">
        <f>+dHdcp[[#This Row],[Fecha]]&amp;":"&amp;dHdcp[[#This Row],[Nombre]]</f>
        <v>44380:Nacho Gonzalez</v>
      </c>
      <c r="N865">
        <f>+COUNTIF(dHdcp[Columna1],dHdcp[[#This Row],[Columna1]])</f>
        <v>1</v>
      </c>
      <c r="R865">
        <f>+dHdcp[[#This Row],[Handicap]]-C846</f>
        <v>0</v>
      </c>
      <c r="S865">
        <f>+dHdcp[[#This Row],[Handicap]]</f>
        <v>6</v>
      </c>
      <c r="U865">
        <f t="shared" si="2"/>
        <v>6</v>
      </c>
      <c r="V865">
        <v>71.400000000000006</v>
      </c>
      <c r="W865">
        <v>130</v>
      </c>
      <c r="X865">
        <v>113</v>
      </c>
      <c r="Y865">
        <f t="shared" si="3"/>
        <v>6</v>
      </c>
    </row>
    <row r="866" spans="1:25">
      <c r="A866" s="2">
        <v>44380</v>
      </c>
      <c r="B866" t="s">
        <v>28</v>
      </c>
      <c r="C866" s="51">
        <v>13.7</v>
      </c>
      <c r="D866">
        <f>+VLOOKUP(dHdcp[[#This Row],[Handicap]],'Categoría Hdcap'!$B$2:$E$7,4)</f>
        <v>3</v>
      </c>
      <c r="E866" t="s">
        <v>74</v>
      </c>
      <c r="F866" t="s">
        <v>1332</v>
      </c>
      <c r="G866">
        <f>+IF(dHdcp[[#This Row],[Fecha]]=MAX(dHdcp[Fecha]),1,0)</f>
        <v>0</v>
      </c>
      <c r="H866" t="str">
        <f>+dHdcp[[#This Row],[Maximo]]&amp;":"&amp;dHdcp[[#This Row],[Nombre]]</f>
        <v>0:Pablo Munitiz</v>
      </c>
      <c r="I866" t="str">
        <f>+dHdcp[[#This Row],[Maximo]]&amp;":"&amp;_xlfn.XLOOKUP(dHdcp[[#This Row],[Nombre]],dJugador[Nombre],dJugador[Mote],"",0)</f>
        <v>0:Muni</v>
      </c>
      <c r="J866" t="str">
        <f>+IF(dHdcp[[#This Row],[Maximo]]=0,"",_xlfn.RANK.EQ(dHdcp[[#This Row],[Handicap]],dHdcp[Handicap],1))</f>
        <v/>
      </c>
      <c r="K866" t="str">
        <f>IFERROR(+_xlfn.RANK.EQ(dHdcp[[#This Row],[Ranking]],dHdcp[Ranking],1),"")</f>
        <v/>
      </c>
      <c r="M866" t="str">
        <f>+dHdcp[[#This Row],[Fecha]]&amp;":"&amp;dHdcp[[#This Row],[Nombre]]</f>
        <v>44380:Pablo Munitiz</v>
      </c>
      <c r="N866">
        <f>+COUNTIF(dHdcp[Columna1],dHdcp[[#This Row],[Columna1]])</f>
        <v>1</v>
      </c>
      <c r="R866">
        <f>+dHdcp[[#This Row],[Handicap]]-C847</f>
        <v>0</v>
      </c>
      <c r="S866">
        <f>+dHdcp[[#This Row],[Handicap]]</f>
        <v>13.7</v>
      </c>
      <c r="U866">
        <f t="shared" si="2"/>
        <v>13.7</v>
      </c>
      <c r="V866">
        <v>71.400000000000006</v>
      </c>
      <c r="W866">
        <v>130</v>
      </c>
      <c r="X866">
        <v>113</v>
      </c>
      <c r="Y866">
        <f t="shared" si="3"/>
        <v>15</v>
      </c>
    </row>
    <row r="867" spans="1:25">
      <c r="A867" s="2">
        <v>44450</v>
      </c>
      <c r="B867" t="s">
        <v>9</v>
      </c>
      <c r="C867" s="51">
        <v>10.199999999999999</v>
      </c>
      <c r="D867">
        <f>+VLOOKUP(dHdcp[[#This Row],[Handicap]],'Categoría Hdcap'!$B$2:$E$7,4)</f>
        <v>2</v>
      </c>
      <c r="E867" t="s">
        <v>74</v>
      </c>
      <c r="F867" t="s">
        <v>1333</v>
      </c>
      <c r="G867">
        <f>+IF(dHdcp[[#This Row],[Fecha]]=MAX(dHdcp[Fecha]),1,0)</f>
        <v>0</v>
      </c>
      <c r="H867" t="str">
        <f>+dHdcp[[#This Row],[Maximo]]&amp;":"&amp;dHdcp[[#This Row],[Nombre]]</f>
        <v>0:Alfonso Hidalgo</v>
      </c>
      <c r="I867" t="str">
        <f>+dHdcp[[#This Row],[Maximo]]&amp;":"&amp;_xlfn.XLOOKUP(dHdcp[[#This Row],[Nombre]],dJugador[Nombre],dJugador[Mote],"",0)</f>
        <v>0:Alfonso</v>
      </c>
      <c r="J867" t="str">
        <f>+IF(dHdcp[[#This Row],[Maximo]]=0,"",_xlfn.RANK.EQ(dHdcp[[#This Row],[Handicap]],dHdcp[Handicap],1))</f>
        <v/>
      </c>
      <c r="K867" t="str">
        <f>IFERROR(+_xlfn.RANK.EQ(dHdcp[[#This Row],[Ranking]],dHdcp[Ranking],1),"")</f>
        <v/>
      </c>
      <c r="M867" t="str">
        <f>+dHdcp[[#This Row],[Fecha]]&amp;":"&amp;dHdcp[[#This Row],[Nombre]]</f>
        <v>44450:Alfonso Hidalgo</v>
      </c>
      <c r="N867">
        <f>+COUNTIF(dHdcp[Columna1],dHdcp[[#This Row],[Columna1]])</f>
        <v>1</v>
      </c>
    </row>
    <row r="868" spans="1:25">
      <c r="A868" s="2">
        <v>44450</v>
      </c>
      <c r="B868" t="s">
        <v>15</v>
      </c>
      <c r="C868" s="51">
        <v>6.5</v>
      </c>
      <c r="D868">
        <f>+VLOOKUP(dHdcp[[#This Row],[Handicap]],'Categoría Hdcap'!$B$2:$E$7,4)</f>
        <v>2</v>
      </c>
      <c r="E868" t="s">
        <v>74</v>
      </c>
      <c r="F868" t="s">
        <v>1334</v>
      </c>
      <c r="G868">
        <f>+IF(dHdcp[[#This Row],[Fecha]]=MAX(dHdcp[Fecha]),1,0)</f>
        <v>0</v>
      </c>
      <c r="H868" t="str">
        <f>+dHdcp[[#This Row],[Maximo]]&amp;":"&amp;dHdcp[[#This Row],[Nombre]]</f>
        <v>0:Alvaro Aguirre</v>
      </c>
      <c r="I868" t="str">
        <f>+dHdcp[[#This Row],[Maximo]]&amp;":"&amp;_xlfn.XLOOKUP(dHdcp[[#This Row],[Nombre]],dJugador[Nombre],dJugador[Mote],"",0)</f>
        <v>0:Gifu</v>
      </c>
      <c r="J868" t="str">
        <f>+IF(dHdcp[[#This Row],[Maximo]]=0,"",_xlfn.RANK.EQ(dHdcp[[#This Row],[Handicap]],dHdcp[Handicap],1))</f>
        <v/>
      </c>
      <c r="K868" t="str">
        <f>IFERROR(+_xlfn.RANK.EQ(dHdcp[[#This Row],[Ranking]],dHdcp[Ranking],1),"")</f>
        <v/>
      </c>
      <c r="M868" t="str">
        <f>+dHdcp[[#This Row],[Fecha]]&amp;":"&amp;dHdcp[[#This Row],[Nombre]]</f>
        <v>44450:Alvaro Aguirre</v>
      </c>
      <c r="N868">
        <f>+COUNTIF(dHdcp[Columna1],dHdcp[[#This Row],[Columna1]])</f>
        <v>1</v>
      </c>
    </row>
    <row r="869" spans="1:25">
      <c r="A869" s="2">
        <v>44450</v>
      </c>
      <c r="B869" t="s">
        <v>25</v>
      </c>
      <c r="C869" s="51">
        <v>12.8</v>
      </c>
      <c r="D869">
        <f>+VLOOKUP(dHdcp[[#This Row],[Handicap]],'Categoría Hdcap'!$B$2:$E$7,4)</f>
        <v>3</v>
      </c>
      <c r="E869" t="s">
        <v>74</v>
      </c>
      <c r="F869" t="s">
        <v>1335</v>
      </c>
      <c r="G869">
        <f>+IF(dHdcp[[#This Row],[Fecha]]=MAX(dHdcp[Fecha]),1,0)</f>
        <v>0</v>
      </c>
      <c r="H869" t="str">
        <f>+dHdcp[[#This Row],[Maximo]]&amp;":"&amp;dHdcp[[#This Row],[Nombre]]</f>
        <v>0:Alvaro Nieto</v>
      </c>
      <c r="I869" t="str">
        <f>+dHdcp[[#This Row],[Maximo]]&amp;":"&amp;_xlfn.XLOOKUP(dHdcp[[#This Row],[Nombre]],dJugador[Nombre],dJugador[Mote],"",0)</f>
        <v>0:Alvaro</v>
      </c>
      <c r="J869" t="str">
        <f>+IF(dHdcp[[#This Row],[Maximo]]=0,"",_xlfn.RANK.EQ(dHdcp[[#This Row],[Handicap]],dHdcp[Handicap],1))</f>
        <v/>
      </c>
      <c r="K869" t="str">
        <f>IFERROR(+_xlfn.RANK.EQ(dHdcp[[#This Row],[Ranking]],dHdcp[Ranking],1),"")</f>
        <v/>
      </c>
      <c r="M869" t="str">
        <f>+dHdcp[[#This Row],[Fecha]]&amp;":"&amp;dHdcp[[#This Row],[Nombre]]</f>
        <v>44450:Alvaro Nieto</v>
      </c>
      <c r="N869">
        <f>+COUNTIF(dHdcp[Columna1],dHdcp[[#This Row],[Columna1]])</f>
        <v>1</v>
      </c>
    </row>
    <row r="870" spans="1:25">
      <c r="A870" s="2">
        <v>44450</v>
      </c>
      <c r="B870" t="s">
        <v>33</v>
      </c>
      <c r="C870" s="51">
        <v>7.6</v>
      </c>
      <c r="D870">
        <f>+VLOOKUP(dHdcp[[#This Row],[Handicap]],'Categoría Hdcap'!$B$2:$E$7,4)</f>
        <v>2</v>
      </c>
      <c r="E870" t="s">
        <v>74</v>
      </c>
      <c r="F870" t="s">
        <v>1336</v>
      </c>
      <c r="G870">
        <f>+IF(dHdcp[[#This Row],[Fecha]]=MAX(dHdcp[Fecha]),1,0)</f>
        <v>0</v>
      </c>
      <c r="H870" t="str">
        <f>+dHdcp[[#This Row],[Maximo]]&amp;":"&amp;dHdcp[[#This Row],[Nombre]]</f>
        <v>0:Angel Hernandez</v>
      </c>
      <c r="I870" t="str">
        <f>+dHdcp[[#This Row],[Maximo]]&amp;":"&amp;_xlfn.XLOOKUP(dHdcp[[#This Row],[Nombre]],dJugador[Nombre],dJugador[Mote],"",0)</f>
        <v>0:Angel</v>
      </c>
      <c r="J870" t="str">
        <f>+IF(dHdcp[[#This Row],[Maximo]]=0,"",_xlfn.RANK.EQ(dHdcp[[#This Row],[Handicap]],dHdcp[Handicap],1))</f>
        <v/>
      </c>
      <c r="K870" t="str">
        <f>IFERROR(+_xlfn.RANK.EQ(dHdcp[[#This Row],[Ranking]],dHdcp[Ranking],1),"")</f>
        <v/>
      </c>
      <c r="M870" t="str">
        <f>+dHdcp[[#This Row],[Fecha]]&amp;":"&amp;dHdcp[[#This Row],[Nombre]]</f>
        <v>44450:Angel Hernandez</v>
      </c>
      <c r="N870">
        <f>+COUNTIF(dHdcp[Columna1],dHdcp[[#This Row],[Columna1]])</f>
        <v>1</v>
      </c>
    </row>
    <row r="871" spans="1:25">
      <c r="A871" s="2">
        <v>44450</v>
      </c>
      <c r="B871" t="s">
        <v>30</v>
      </c>
      <c r="C871" s="51">
        <v>11.1</v>
      </c>
      <c r="D871">
        <f>+VLOOKUP(dHdcp[[#This Row],[Handicap]],'Categoría Hdcap'!$B$2:$E$7,4)</f>
        <v>2</v>
      </c>
      <c r="E871" t="s">
        <v>74</v>
      </c>
      <c r="F871" t="s">
        <v>1337</v>
      </c>
      <c r="G871">
        <f>+IF(dHdcp[[#This Row],[Fecha]]=MAX(dHdcp[Fecha]),1,0)</f>
        <v>0</v>
      </c>
      <c r="H871" t="str">
        <f>+dHdcp[[#This Row],[Maximo]]&amp;":"&amp;dHdcp[[#This Row],[Nombre]]</f>
        <v>0:David Sequera</v>
      </c>
      <c r="I871" t="str">
        <f>+dHdcp[[#This Row],[Maximo]]&amp;":"&amp;_xlfn.XLOOKUP(dHdcp[[#This Row],[Nombre]],dJugador[Nombre],dJugador[Mote],"",0)</f>
        <v>0:David</v>
      </c>
      <c r="J871" t="str">
        <f>+IF(dHdcp[[#This Row],[Maximo]]=0,"",_xlfn.RANK.EQ(dHdcp[[#This Row],[Handicap]],dHdcp[Handicap],1))</f>
        <v/>
      </c>
      <c r="K871" t="str">
        <f>IFERROR(+_xlfn.RANK.EQ(dHdcp[[#This Row],[Ranking]],dHdcp[Ranking],1),"")</f>
        <v/>
      </c>
      <c r="M871" t="str">
        <f>+dHdcp[[#This Row],[Fecha]]&amp;":"&amp;dHdcp[[#This Row],[Nombre]]</f>
        <v>44450:David Sequera</v>
      </c>
      <c r="N871">
        <f>+COUNTIF(dHdcp[Columna1],dHdcp[[#This Row],[Columna1]])</f>
        <v>1</v>
      </c>
    </row>
    <row r="872" spans="1:25">
      <c r="A872" s="2">
        <v>44450</v>
      </c>
      <c r="B872" t="s">
        <v>12</v>
      </c>
      <c r="C872" s="51">
        <v>15.1</v>
      </c>
      <c r="D872">
        <f>+VLOOKUP(dHdcp[[#This Row],[Handicap]],'Categoría Hdcap'!$B$2:$E$7,4)</f>
        <v>3</v>
      </c>
      <c r="E872" t="s">
        <v>74</v>
      </c>
      <c r="F872" t="s">
        <v>1338</v>
      </c>
      <c r="G872">
        <f>+IF(dHdcp[[#This Row],[Fecha]]=MAX(dHdcp[Fecha]),1,0)</f>
        <v>0</v>
      </c>
      <c r="H872" t="str">
        <f>+dHdcp[[#This Row],[Maximo]]&amp;":"&amp;dHdcp[[#This Row],[Nombre]]</f>
        <v>0:Francisco Alvarez</v>
      </c>
      <c r="I872" t="str">
        <f>+dHdcp[[#This Row],[Maximo]]&amp;":"&amp;_xlfn.XLOOKUP(dHdcp[[#This Row],[Nombre]],dJugador[Nombre],dJugador[Mote],"",0)</f>
        <v>0:Paco</v>
      </c>
      <c r="J872" t="str">
        <f>+IF(dHdcp[[#This Row],[Maximo]]=0,"",_xlfn.RANK.EQ(dHdcp[[#This Row],[Handicap]],dHdcp[Handicap],1))</f>
        <v/>
      </c>
      <c r="K872" t="str">
        <f>IFERROR(+_xlfn.RANK.EQ(dHdcp[[#This Row],[Ranking]],dHdcp[Ranking],1),"")</f>
        <v/>
      </c>
      <c r="M872" t="str">
        <f>+dHdcp[[#This Row],[Fecha]]&amp;":"&amp;dHdcp[[#This Row],[Nombre]]</f>
        <v>44450:Francisco Alvarez</v>
      </c>
      <c r="N872">
        <f>+COUNTIF(dHdcp[Columna1],dHdcp[[#This Row],[Columna1]])</f>
        <v>1</v>
      </c>
    </row>
    <row r="873" spans="1:25">
      <c r="A873" s="2">
        <v>44450</v>
      </c>
      <c r="B873" t="s">
        <v>49</v>
      </c>
      <c r="C873" s="51">
        <v>14</v>
      </c>
      <c r="D873">
        <f>+VLOOKUP(dHdcp[[#This Row],[Handicap]],'Categoría Hdcap'!$B$2:$E$7,4)</f>
        <v>3</v>
      </c>
      <c r="E873" t="s">
        <v>74</v>
      </c>
      <c r="F873" t="s">
        <v>1339</v>
      </c>
      <c r="G873">
        <f>+IF(dHdcp[[#This Row],[Fecha]]=MAX(dHdcp[Fecha]),1,0)</f>
        <v>0</v>
      </c>
      <c r="H873" t="str">
        <f>+dHdcp[[#This Row],[Maximo]]&amp;":"&amp;dHdcp[[#This Row],[Nombre]]</f>
        <v>0:Francisco Hidalgo</v>
      </c>
      <c r="I873" t="str">
        <f>+dHdcp[[#This Row],[Maximo]]&amp;":"&amp;_xlfn.XLOOKUP(dHdcp[[#This Row],[Nombre]],dJugador[Nombre],dJugador[Mote],"",0)</f>
        <v>0:Fran</v>
      </c>
      <c r="J873" t="str">
        <f>+IF(dHdcp[[#This Row],[Maximo]]=0,"",_xlfn.RANK.EQ(dHdcp[[#This Row],[Handicap]],dHdcp[Handicap],1))</f>
        <v/>
      </c>
      <c r="K873" t="str">
        <f>IFERROR(+_xlfn.RANK.EQ(dHdcp[[#This Row],[Ranking]],dHdcp[Ranking],1),"")</f>
        <v/>
      </c>
      <c r="M873" t="str">
        <f>+dHdcp[[#This Row],[Fecha]]&amp;":"&amp;dHdcp[[#This Row],[Nombre]]</f>
        <v>44450:Francisco Hidalgo</v>
      </c>
      <c r="N873">
        <f>+COUNTIF(dHdcp[Columna1],dHdcp[[#This Row],[Columna1]])</f>
        <v>1</v>
      </c>
    </row>
    <row r="874" spans="1:25">
      <c r="A874" s="2">
        <v>44450</v>
      </c>
      <c r="B874" t="s">
        <v>35</v>
      </c>
      <c r="C874" s="51">
        <v>17.899999999999999</v>
      </c>
      <c r="D874">
        <f>+VLOOKUP(dHdcp[[#This Row],[Handicap]],'Categoría Hdcap'!$B$2:$E$7,4)</f>
        <v>3</v>
      </c>
      <c r="E874" t="s">
        <v>74</v>
      </c>
      <c r="F874" t="s">
        <v>1340</v>
      </c>
      <c r="G874">
        <f>+IF(dHdcp[[#This Row],[Fecha]]=MAX(dHdcp[Fecha]),1,0)</f>
        <v>0</v>
      </c>
      <c r="H874" t="str">
        <f>+dHdcp[[#This Row],[Maximo]]&amp;":"&amp;dHdcp[[#This Row],[Nombre]]</f>
        <v>0:GLEZ JUAN JOSÉ</v>
      </c>
      <c r="I874" t="str">
        <f>+dHdcp[[#This Row],[Maximo]]&amp;":"&amp;_xlfn.XLOOKUP(dHdcp[[#This Row],[Nombre]],dJugador[Nombre],dJugador[Mote],"",0)</f>
        <v>0:Juanjo</v>
      </c>
      <c r="J874" t="str">
        <f>+IF(dHdcp[[#This Row],[Maximo]]=0,"",_xlfn.RANK.EQ(dHdcp[[#This Row],[Handicap]],dHdcp[Handicap],1))</f>
        <v/>
      </c>
      <c r="K874" t="str">
        <f>IFERROR(+_xlfn.RANK.EQ(dHdcp[[#This Row],[Ranking]],dHdcp[Ranking],1),"")</f>
        <v/>
      </c>
      <c r="M874" t="str">
        <f>+dHdcp[[#This Row],[Fecha]]&amp;":"&amp;dHdcp[[#This Row],[Nombre]]</f>
        <v>44450:GLEZ JUAN JOSÉ</v>
      </c>
      <c r="N874">
        <f>+COUNTIF(dHdcp[Columna1],dHdcp[[#This Row],[Columna1]])</f>
        <v>1</v>
      </c>
    </row>
    <row r="875" spans="1:25">
      <c r="A875" s="2">
        <v>44450</v>
      </c>
      <c r="B875" t="s">
        <v>6</v>
      </c>
      <c r="C875" s="51">
        <v>7.2</v>
      </c>
      <c r="D875">
        <f>+VLOOKUP(dHdcp[[#This Row],[Handicap]],'Categoría Hdcap'!$B$2:$E$7,4)</f>
        <v>2</v>
      </c>
      <c r="E875" t="s">
        <v>74</v>
      </c>
      <c r="F875" t="s">
        <v>1341</v>
      </c>
      <c r="G875">
        <f>+IF(dHdcp[[#This Row],[Fecha]]=MAX(dHdcp[Fecha]),1,0)</f>
        <v>0</v>
      </c>
      <c r="H875" t="str">
        <f>+dHdcp[[#This Row],[Maximo]]&amp;":"&amp;dHdcp[[#This Row],[Nombre]]</f>
        <v>0:Ignacio Cadarso</v>
      </c>
      <c r="I875" t="str">
        <f>+dHdcp[[#This Row],[Maximo]]&amp;":"&amp;_xlfn.XLOOKUP(dHdcp[[#This Row],[Nombre]],dJugador[Nombre],dJugador[Mote],"",0)</f>
        <v>0:Ignacio</v>
      </c>
      <c r="J875" t="str">
        <f>+IF(dHdcp[[#This Row],[Maximo]]=0,"",_xlfn.RANK.EQ(dHdcp[[#This Row],[Handicap]],dHdcp[Handicap],1))</f>
        <v/>
      </c>
      <c r="K875" t="str">
        <f>IFERROR(+_xlfn.RANK.EQ(dHdcp[[#This Row],[Ranking]],dHdcp[Ranking],1),"")</f>
        <v/>
      </c>
      <c r="M875" t="str">
        <f>+dHdcp[[#This Row],[Fecha]]&amp;":"&amp;dHdcp[[#This Row],[Nombre]]</f>
        <v>44450:Ignacio Cadarso</v>
      </c>
      <c r="N875">
        <f>+COUNTIF(dHdcp[Columna1],dHdcp[[#This Row],[Columna1]])</f>
        <v>1</v>
      </c>
    </row>
    <row r="876" spans="1:25">
      <c r="A876" s="2">
        <v>44450</v>
      </c>
      <c r="B876" t="s">
        <v>23</v>
      </c>
      <c r="C876" s="51">
        <v>18.399999999999999</v>
      </c>
      <c r="D876">
        <f>+VLOOKUP(dHdcp[[#This Row],[Handicap]],'Categoría Hdcap'!$B$2:$E$7,4)</f>
        <v>3</v>
      </c>
      <c r="E876" t="s">
        <v>74</v>
      </c>
      <c r="F876" t="s">
        <v>1342</v>
      </c>
      <c r="G876">
        <f>+IF(dHdcp[[#This Row],[Fecha]]=MAX(dHdcp[Fecha]),1,0)</f>
        <v>0</v>
      </c>
      <c r="H876" t="str">
        <f>+dHdcp[[#This Row],[Maximo]]&amp;":"&amp;dHdcp[[#This Row],[Nombre]]</f>
        <v>0:J. Enrique Gonzalez</v>
      </c>
      <c r="I876" t="str">
        <f>+dHdcp[[#This Row],[Maximo]]&amp;":"&amp;_xlfn.XLOOKUP(dHdcp[[#This Row],[Nombre]],dJugador[Nombre],dJugador[Mote],"",0)</f>
        <v>0:Kike</v>
      </c>
      <c r="J876" t="str">
        <f>+IF(dHdcp[[#This Row],[Maximo]]=0,"",_xlfn.RANK.EQ(dHdcp[[#This Row],[Handicap]],dHdcp[Handicap],1))</f>
        <v/>
      </c>
      <c r="K876" t="str">
        <f>IFERROR(+_xlfn.RANK.EQ(dHdcp[[#This Row],[Ranking]],dHdcp[Ranking],1),"")</f>
        <v/>
      </c>
      <c r="M876" t="str">
        <f>+dHdcp[[#This Row],[Fecha]]&amp;":"&amp;dHdcp[[#This Row],[Nombre]]</f>
        <v>44450:J. Enrique Gonzalez</v>
      </c>
      <c r="N876">
        <f>+COUNTIF(dHdcp[Columna1],dHdcp[[#This Row],[Columna1]])</f>
        <v>1</v>
      </c>
    </row>
    <row r="877" spans="1:25">
      <c r="A877" s="2">
        <v>44450</v>
      </c>
      <c r="B877" t="s">
        <v>46</v>
      </c>
      <c r="C877" s="51">
        <v>16.5</v>
      </c>
      <c r="D877">
        <f>+VLOOKUP(dHdcp[[#This Row],[Handicap]],'Categoría Hdcap'!$B$2:$E$7,4)</f>
        <v>3</v>
      </c>
      <c r="E877" t="s">
        <v>74</v>
      </c>
      <c r="F877" t="s">
        <v>1343</v>
      </c>
      <c r="G877">
        <f>+IF(dHdcp[[#This Row],[Fecha]]=MAX(dHdcp[Fecha]),1,0)</f>
        <v>0</v>
      </c>
      <c r="H877" t="str">
        <f>+dHdcp[[#This Row],[Maximo]]&amp;":"&amp;dHdcp[[#This Row],[Nombre]]</f>
        <v>0:Javier Cervera</v>
      </c>
      <c r="I877" t="str">
        <f>+dHdcp[[#This Row],[Maximo]]&amp;":"&amp;_xlfn.XLOOKUP(dHdcp[[#This Row],[Nombre]],dJugador[Nombre],dJugador[Mote],"",0)</f>
        <v>0:Virus</v>
      </c>
      <c r="J877" t="str">
        <f>+IF(dHdcp[[#This Row],[Maximo]]=0,"",_xlfn.RANK.EQ(dHdcp[[#This Row],[Handicap]],dHdcp[Handicap],1))</f>
        <v/>
      </c>
      <c r="K877" t="str">
        <f>IFERROR(+_xlfn.RANK.EQ(dHdcp[[#This Row],[Ranking]],dHdcp[Ranking],1),"")</f>
        <v/>
      </c>
      <c r="M877" t="str">
        <f>+dHdcp[[#This Row],[Fecha]]&amp;":"&amp;dHdcp[[#This Row],[Nombre]]</f>
        <v>44450:Javier Cervera</v>
      </c>
      <c r="N877">
        <f>+COUNTIF(dHdcp[Columna1],dHdcp[[#This Row],[Columna1]])</f>
        <v>1</v>
      </c>
    </row>
    <row r="878" spans="1:25">
      <c r="A878" s="2">
        <v>44450</v>
      </c>
      <c r="B878" t="s">
        <v>20</v>
      </c>
      <c r="C878" s="51">
        <v>15.5</v>
      </c>
      <c r="D878">
        <f>+VLOOKUP(dHdcp[[#This Row],[Handicap]],'Categoría Hdcap'!$B$2:$E$7,4)</f>
        <v>3</v>
      </c>
      <c r="E878" t="s">
        <v>74</v>
      </c>
      <c r="F878" t="s">
        <v>1344</v>
      </c>
      <c r="G878">
        <f>+IF(dHdcp[[#This Row],[Fecha]]=MAX(dHdcp[Fecha]),1,0)</f>
        <v>0</v>
      </c>
      <c r="H878" t="str">
        <f>+dHdcp[[#This Row],[Maximo]]&amp;":"&amp;dHdcp[[#This Row],[Nombre]]</f>
        <v>0:Javier Gonzalez Salvador</v>
      </c>
      <c r="I878" t="str">
        <f>+dHdcp[[#This Row],[Maximo]]&amp;":"&amp;_xlfn.XLOOKUP(dHdcp[[#This Row],[Nombre]],dJugador[Nombre],dJugador[Mote],"",0)</f>
        <v>0:Javi</v>
      </c>
      <c r="J878" t="str">
        <f>+IF(dHdcp[[#This Row],[Maximo]]=0,"",_xlfn.RANK.EQ(dHdcp[[#This Row],[Handicap]],dHdcp[Handicap],1))</f>
        <v/>
      </c>
      <c r="K878" t="str">
        <f>IFERROR(+_xlfn.RANK.EQ(dHdcp[[#This Row],[Ranking]],dHdcp[Ranking],1),"")</f>
        <v/>
      </c>
      <c r="M878" t="str">
        <f>+dHdcp[[#This Row],[Fecha]]&amp;":"&amp;dHdcp[[#This Row],[Nombre]]</f>
        <v>44450:Javier Gonzalez Salvador</v>
      </c>
      <c r="N878">
        <f>+COUNTIF(dHdcp[Columna1],dHdcp[[#This Row],[Columna1]])</f>
        <v>1</v>
      </c>
    </row>
    <row r="879" spans="1:25">
      <c r="A879" s="2">
        <v>44450</v>
      </c>
      <c r="B879" t="s">
        <v>41</v>
      </c>
      <c r="C879" s="51">
        <v>23.3</v>
      </c>
      <c r="D879">
        <f>+VLOOKUP(dHdcp[[#This Row],[Handicap]],'Categoría Hdcap'!$B$2:$E$7,4)</f>
        <v>4</v>
      </c>
      <c r="E879" t="s">
        <v>74</v>
      </c>
      <c r="F879" t="s">
        <v>1345</v>
      </c>
      <c r="G879">
        <f>+IF(dHdcp[[#This Row],[Fecha]]=MAX(dHdcp[Fecha]),1,0)</f>
        <v>0</v>
      </c>
      <c r="H879" t="str">
        <f>+dHdcp[[#This Row],[Maximo]]&amp;":"&amp;dHdcp[[#This Row],[Nombre]]</f>
        <v>0:Jesus Touceda</v>
      </c>
      <c r="I879" t="str">
        <f>+dHdcp[[#This Row],[Maximo]]&amp;":"&amp;_xlfn.XLOOKUP(dHdcp[[#This Row],[Nombre]],dJugador[Nombre],dJugador[Mote],"",0)</f>
        <v>0:Jesús</v>
      </c>
      <c r="J879" t="str">
        <f>+IF(dHdcp[[#This Row],[Maximo]]=0,"",_xlfn.RANK.EQ(dHdcp[[#This Row],[Handicap]],dHdcp[Handicap],1))</f>
        <v/>
      </c>
      <c r="K879" t="str">
        <f>IFERROR(+_xlfn.RANK.EQ(dHdcp[[#This Row],[Ranking]],dHdcp[Ranking],1),"")</f>
        <v/>
      </c>
      <c r="M879" t="str">
        <f>+dHdcp[[#This Row],[Fecha]]&amp;":"&amp;dHdcp[[#This Row],[Nombre]]</f>
        <v>44450:Jesus Touceda</v>
      </c>
      <c r="N879">
        <f>+COUNTIF(dHdcp[Columna1],dHdcp[[#This Row],[Columna1]])</f>
        <v>1</v>
      </c>
    </row>
    <row r="880" spans="1:25">
      <c r="A880" s="2">
        <v>44450</v>
      </c>
      <c r="B880" t="s">
        <v>18</v>
      </c>
      <c r="C880" s="51">
        <v>6.5</v>
      </c>
      <c r="D880">
        <f>+VLOOKUP(dHdcp[[#This Row],[Handicap]],'Categoría Hdcap'!$B$2:$E$7,4)</f>
        <v>2</v>
      </c>
      <c r="E880" t="s">
        <v>74</v>
      </c>
      <c r="F880" t="s">
        <v>1346</v>
      </c>
      <c r="G880">
        <f>+IF(dHdcp[[#This Row],[Fecha]]=MAX(dHdcp[Fecha]),1,0)</f>
        <v>0</v>
      </c>
      <c r="H880" t="str">
        <f>+dHdcp[[#This Row],[Maximo]]&amp;":"&amp;dHdcp[[#This Row],[Nombre]]</f>
        <v>0:José Pablo Guil</v>
      </c>
      <c r="I880" t="str">
        <f>+dHdcp[[#This Row],[Maximo]]&amp;":"&amp;_xlfn.XLOOKUP(dHdcp[[#This Row],[Nombre]],dJugador[Nombre],dJugador[Mote],"",0)</f>
        <v>0:JP</v>
      </c>
      <c r="J880" t="str">
        <f>+IF(dHdcp[[#This Row],[Maximo]]=0,"",_xlfn.RANK.EQ(dHdcp[[#This Row],[Handicap]],dHdcp[Handicap],1))</f>
        <v/>
      </c>
      <c r="K880" t="str">
        <f>IFERROR(+_xlfn.RANK.EQ(dHdcp[[#This Row],[Ranking]],dHdcp[Ranking],1),"")</f>
        <v/>
      </c>
      <c r="M880" t="str">
        <f>+dHdcp[[#This Row],[Fecha]]&amp;":"&amp;dHdcp[[#This Row],[Nombre]]</f>
        <v>44450:José Pablo Guil</v>
      </c>
      <c r="N880">
        <f>+COUNTIF(dHdcp[Columna1],dHdcp[[#This Row],[Columna1]])</f>
        <v>1</v>
      </c>
    </row>
    <row r="881" spans="1:14">
      <c r="A881" s="2">
        <v>44450</v>
      </c>
      <c r="B881" t="s">
        <v>43</v>
      </c>
      <c r="C881" s="51">
        <v>18.3</v>
      </c>
      <c r="D881">
        <f>+VLOOKUP(dHdcp[[#This Row],[Handicap]],'Categoría Hdcap'!$B$2:$E$7,4)</f>
        <v>3</v>
      </c>
      <c r="E881" t="s">
        <v>74</v>
      </c>
      <c r="F881" t="s">
        <v>1347</v>
      </c>
      <c r="G881">
        <f>+IF(dHdcp[[#This Row],[Fecha]]=MAX(dHdcp[Fecha]),1,0)</f>
        <v>0</v>
      </c>
      <c r="H881" t="str">
        <f>+dHdcp[[#This Row],[Maximo]]&amp;":"&amp;dHdcp[[#This Row],[Nombre]]</f>
        <v>0:Luis Escudero</v>
      </c>
      <c r="I881" t="str">
        <f>+dHdcp[[#This Row],[Maximo]]&amp;":"&amp;_xlfn.XLOOKUP(dHdcp[[#This Row],[Nombre]],dJugador[Nombre],dJugador[Mote],"",0)</f>
        <v>0:Lucho</v>
      </c>
      <c r="J881" t="str">
        <f>+IF(dHdcp[[#This Row],[Maximo]]=0,"",_xlfn.RANK.EQ(dHdcp[[#This Row],[Handicap]],dHdcp[Handicap],1))</f>
        <v/>
      </c>
      <c r="K881" t="str">
        <f>IFERROR(+_xlfn.RANK.EQ(dHdcp[[#This Row],[Ranking]],dHdcp[Ranking],1),"")</f>
        <v/>
      </c>
      <c r="M881" t="str">
        <f>+dHdcp[[#This Row],[Fecha]]&amp;":"&amp;dHdcp[[#This Row],[Nombre]]</f>
        <v>44450:Luis Escudero</v>
      </c>
      <c r="N881">
        <f>+COUNTIF(dHdcp[Columna1],dHdcp[[#This Row],[Columna1]])</f>
        <v>1</v>
      </c>
    </row>
    <row r="882" spans="1:14">
      <c r="A882" s="2">
        <v>44450</v>
      </c>
      <c r="B882" s="10" t="s">
        <v>135</v>
      </c>
      <c r="C882" s="53">
        <v>22.6</v>
      </c>
      <c r="D882" s="10">
        <f>+VLOOKUP(dHdcp[[#This Row],[Handicap]],'Categoría Hdcap'!$B$2:$E$7,4)</f>
        <v>4</v>
      </c>
      <c r="E882" s="10" t="s">
        <v>74</v>
      </c>
      <c r="F882" s="10" t="s">
        <v>1348</v>
      </c>
      <c r="G882">
        <f>+IF(dHdcp[[#This Row],[Fecha]]=MAX(dHdcp[Fecha]),1,0)</f>
        <v>0</v>
      </c>
      <c r="H882" t="str">
        <f>+dHdcp[[#This Row],[Maximo]]&amp;":"&amp;dHdcp[[#This Row],[Nombre]]</f>
        <v>0:Miche Lopez</v>
      </c>
      <c r="I882" t="str">
        <f>+dHdcp[[#This Row],[Maximo]]&amp;":"&amp;_xlfn.XLOOKUP(dHdcp[[#This Row],[Nombre]],dJugador[Nombre],dJugador[Mote],"",0)</f>
        <v>0:Miche</v>
      </c>
      <c r="J882" t="str">
        <f>+IF(dHdcp[[#This Row],[Maximo]]=0,"",_xlfn.RANK.EQ(dHdcp[[#This Row],[Handicap]],dHdcp[Handicap],1))</f>
        <v/>
      </c>
      <c r="K882" t="str">
        <f>IFERROR(+_xlfn.RANK.EQ(dHdcp[[#This Row],[Ranking]],dHdcp[Ranking],1),"")</f>
        <v/>
      </c>
      <c r="M882" t="str">
        <f>+dHdcp[[#This Row],[Fecha]]&amp;":"&amp;dHdcp[[#This Row],[Nombre]]</f>
        <v>44450:Miche Lopez</v>
      </c>
      <c r="N882">
        <f>+COUNTIF(dHdcp[Columna1],dHdcp[[#This Row],[Columna1]])</f>
        <v>1</v>
      </c>
    </row>
    <row r="883" spans="1:14">
      <c r="A883" s="2">
        <v>44450</v>
      </c>
      <c r="B883" t="s">
        <v>51</v>
      </c>
      <c r="C883" s="51">
        <v>-1.3</v>
      </c>
      <c r="D883">
        <f>+VLOOKUP(dHdcp[[#This Row],[Handicap]],'Categoría Hdcap'!$B$2:$E$7,4)</f>
        <v>1</v>
      </c>
      <c r="E883" t="s">
        <v>74</v>
      </c>
      <c r="F883" t="s">
        <v>1349</v>
      </c>
      <c r="G883">
        <f>+IF(dHdcp[[#This Row],[Fecha]]=MAX(dHdcp[Fecha]),1,0)</f>
        <v>0</v>
      </c>
      <c r="H883" t="str">
        <f>+dHdcp[[#This Row],[Maximo]]&amp;":"&amp;dHdcp[[#This Row],[Nombre]]</f>
        <v>0:Miguel Diaz Del Moral</v>
      </c>
      <c r="I883" t="str">
        <f>+dHdcp[[#This Row],[Maximo]]&amp;":"&amp;_xlfn.XLOOKUP(dHdcp[[#This Row],[Nombre]],dJugador[Nombre],dJugador[Mote],"",0)</f>
        <v>0:Cañita</v>
      </c>
      <c r="J883" t="str">
        <f>+IF(dHdcp[[#This Row],[Maximo]]=0,"",_xlfn.RANK.EQ(dHdcp[[#This Row],[Handicap]],dHdcp[Handicap],1))</f>
        <v/>
      </c>
      <c r="K883" t="str">
        <f>IFERROR(+_xlfn.RANK.EQ(dHdcp[[#This Row],[Ranking]],dHdcp[Ranking],1),"")</f>
        <v/>
      </c>
      <c r="M883" t="str">
        <f>+dHdcp[[#This Row],[Fecha]]&amp;":"&amp;dHdcp[[#This Row],[Nombre]]</f>
        <v>44450:Miguel Diaz Del Moral</v>
      </c>
      <c r="N883">
        <f>+COUNTIF(dHdcp[Columna1],dHdcp[[#This Row],[Columna1]])</f>
        <v>1</v>
      </c>
    </row>
    <row r="884" spans="1:14">
      <c r="A884" s="2">
        <v>44450</v>
      </c>
      <c r="B884" t="s">
        <v>3</v>
      </c>
      <c r="C884" s="51">
        <v>6</v>
      </c>
      <c r="D884">
        <f>+VLOOKUP(dHdcp[[#This Row],[Handicap]],'Categoría Hdcap'!$B$2:$E$7,4)</f>
        <v>2</v>
      </c>
      <c r="E884" t="s">
        <v>74</v>
      </c>
      <c r="F884" t="s">
        <v>1350</v>
      </c>
      <c r="G884">
        <f>+IF(dHdcp[[#This Row],[Fecha]]=MAX(dHdcp[Fecha]),1,0)</f>
        <v>0</v>
      </c>
      <c r="H884" t="str">
        <f>+dHdcp[[#This Row],[Maximo]]&amp;":"&amp;dHdcp[[#This Row],[Nombre]]</f>
        <v>0:Nacho Gonzalez</v>
      </c>
      <c r="I884" t="str">
        <f>+dHdcp[[#This Row],[Maximo]]&amp;":"&amp;_xlfn.XLOOKUP(dHdcp[[#This Row],[Nombre]],dJugador[Nombre],dJugador[Mote],"",0)</f>
        <v>0:Nacho</v>
      </c>
      <c r="J884" t="str">
        <f>+IF(dHdcp[[#This Row],[Maximo]]=0,"",_xlfn.RANK.EQ(dHdcp[[#This Row],[Handicap]],dHdcp[Handicap],1))</f>
        <v/>
      </c>
      <c r="K884" t="str">
        <f>IFERROR(+_xlfn.RANK.EQ(dHdcp[[#This Row],[Ranking]],dHdcp[Ranking],1),"")</f>
        <v/>
      </c>
      <c r="M884" t="str">
        <f>+dHdcp[[#This Row],[Fecha]]&amp;":"&amp;dHdcp[[#This Row],[Nombre]]</f>
        <v>44450:Nacho Gonzalez</v>
      </c>
      <c r="N884">
        <f>+COUNTIF(dHdcp[Columna1],dHdcp[[#This Row],[Columna1]])</f>
        <v>1</v>
      </c>
    </row>
    <row r="885" spans="1:14">
      <c r="A885" s="2">
        <v>44450</v>
      </c>
      <c r="B885" t="s">
        <v>28</v>
      </c>
      <c r="C885" s="51">
        <v>13.7</v>
      </c>
      <c r="D885">
        <f>+VLOOKUP(dHdcp[[#This Row],[Handicap]],'Categoría Hdcap'!$B$2:$E$7,4)</f>
        <v>3</v>
      </c>
      <c r="E885" t="s">
        <v>74</v>
      </c>
      <c r="F885" t="s">
        <v>1351</v>
      </c>
      <c r="G885">
        <f>+IF(dHdcp[[#This Row],[Fecha]]=MAX(dHdcp[Fecha]),1,0)</f>
        <v>0</v>
      </c>
      <c r="H885" t="str">
        <f>+dHdcp[[#This Row],[Maximo]]&amp;":"&amp;dHdcp[[#This Row],[Nombre]]</f>
        <v>0:Pablo Munitiz</v>
      </c>
      <c r="I885" t="str">
        <f>+dHdcp[[#This Row],[Maximo]]&amp;":"&amp;_xlfn.XLOOKUP(dHdcp[[#This Row],[Nombre]],dJugador[Nombre],dJugador[Mote],"",0)</f>
        <v>0:Muni</v>
      </c>
      <c r="J885" t="str">
        <f>+IF(dHdcp[[#This Row],[Maximo]]=0,"",_xlfn.RANK.EQ(dHdcp[[#This Row],[Handicap]],dHdcp[Handicap],1))</f>
        <v/>
      </c>
      <c r="K885" t="str">
        <f>IFERROR(+_xlfn.RANK.EQ(dHdcp[[#This Row],[Ranking]],dHdcp[Ranking],1),"")</f>
        <v/>
      </c>
      <c r="M885" t="str">
        <f>+dHdcp[[#This Row],[Fecha]]&amp;":"&amp;dHdcp[[#This Row],[Nombre]]</f>
        <v>44450:Pablo Munitiz</v>
      </c>
      <c r="N885">
        <f>+COUNTIF(dHdcp[Columna1],dHdcp[[#This Row],[Columna1]])</f>
        <v>1</v>
      </c>
    </row>
    <row r="886" spans="1:14">
      <c r="A886" s="2">
        <v>44485</v>
      </c>
      <c r="B886" t="s">
        <v>9</v>
      </c>
      <c r="C886" s="51">
        <v>10.4</v>
      </c>
      <c r="D886">
        <f>+VLOOKUP(dHdcp[[#This Row],[Handicap]],'Categoría Hdcap'!$B$2:$E$7,4)</f>
        <v>2</v>
      </c>
      <c r="E886" t="s">
        <v>74</v>
      </c>
      <c r="F886" t="s">
        <v>1352</v>
      </c>
      <c r="G886">
        <f>+IF(dHdcp[[#This Row],[Fecha]]=MAX(dHdcp[Fecha]),1,0)</f>
        <v>0</v>
      </c>
      <c r="H886" t="str">
        <f>+dHdcp[[#This Row],[Maximo]]&amp;":"&amp;dHdcp[[#This Row],[Nombre]]</f>
        <v>0:Alfonso Hidalgo</v>
      </c>
      <c r="I886" t="str">
        <f>+dHdcp[[#This Row],[Maximo]]&amp;":"&amp;_xlfn.XLOOKUP(dHdcp[[#This Row],[Nombre]],dJugador[Nombre],dJugador[Mote],"",0)</f>
        <v>0:Alfonso</v>
      </c>
      <c r="J886" t="str">
        <f>+IF(dHdcp[[#This Row],[Maximo]]=0,"",_xlfn.RANK.EQ(dHdcp[[#This Row],[Handicap]],dHdcp[Handicap],1))</f>
        <v/>
      </c>
      <c r="K886" t="str">
        <f>IFERROR(+_xlfn.RANK.EQ(dHdcp[[#This Row],[Ranking]],dHdcp[Ranking],1),"")</f>
        <v/>
      </c>
      <c r="M886" t="str">
        <f>+dHdcp[[#This Row],[Fecha]]&amp;":"&amp;dHdcp[[#This Row],[Nombre]]</f>
        <v>44485:Alfonso Hidalgo</v>
      </c>
      <c r="N886">
        <f>+COUNTIF(dHdcp[Columna1],dHdcp[[#This Row],[Columna1]])</f>
        <v>1</v>
      </c>
    </row>
    <row r="887" spans="1:14">
      <c r="A887" s="2">
        <v>44485</v>
      </c>
      <c r="B887" t="s">
        <v>15</v>
      </c>
      <c r="C887" s="51">
        <v>6.5</v>
      </c>
      <c r="D887">
        <f>+VLOOKUP(dHdcp[[#This Row],[Handicap]],'Categoría Hdcap'!$B$2:$E$7,4)</f>
        <v>2</v>
      </c>
      <c r="E887" t="s">
        <v>74</v>
      </c>
      <c r="F887" t="s">
        <v>1353</v>
      </c>
      <c r="G887">
        <f>+IF(dHdcp[[#This Row],[Fecha]]=MAX(dHdcp[Fecha]),1,0)</f>
        <v>0</v>
      </c>
      <c r="H887" t="str">
        <f>+dHdcp[[#This Row],[Maximo]]&amp;":"&amp;dHdcp[[#This Row],[Nombre]]</f>
        <v>0:Alvaro Aguirre</v>
      </c>
      <c r="I887" t="str">
        <f>+dHdcp[[#This Row],[Maximo]]&amp;":"&amp;_xlfn.XLOOKUP(dHdcp[[#This Row],[Nombre]],dJugador[Nombre],dJugador[Mote],"",0)</f>
        <v>0:Gifu</v>
      </c>
      <c r="J887" t="str">
        <f>+IF(dHdcp[[#This Row],[Maximo]]=0,"",_xlfn.RANK.EQ(dHdcp[[#This Row],[Handicap]],dHdcp[Handicap],1))</f>
        <v/>
      </c>
      <c r="K887" t="str">
        <f>IFERROR(+_xlfn.RANK.EQ(dHdcp[[#This Row],[Ranking]],dHdcp[Ranking],1),"")</f>
        <v/>
      </c>
      <c r="M887" t="str">
        <f>+dHdcp[[#This Row],[Fecha]]&amp;":"&amp;dHdcp[[#This Row],[Nombre]]</f>
        <v>44485:Alvaro Aguirre</v>
      </c>
      <c r="N887">
        <f>+COUNTIF(dHdcp[Columna1],dHdcp[[#This Row],[Columna1]])</f>
        <v>1</v>
      </c>
    </row>
    <row r="888" spans="1:14">
      <c r="A888" s="2">
        <v>44485</v>
      </c>
      <c r="B888" t="s">
        <v>25</v>
      </c>
      <c r="C888" s="51">
        <v>12.7</v>
      </c>
      <c r="D888">
        <f>+VLOOKUP(dHdcp[[#This Row],[Handicap]],'Categoría Hdcap'!$B$2:$E$7,4)</f>
        <v>3</v>
      </c>
      <c r="E888" t="s">
        <v>74</v>
      </c>
      <c r="F888" t="s">
        <v>1354</v>
      </c>
      <c r="G888">
        <f>+IF(dHdcp[[#This Row],[Fecha]]=MAX(dHdcp[Fecha]),1,0)</f>
        <v>0</v>
      </c>
      <c r="H888" t="str">
        <f>+dHdcp[[#This Row],[Maximo]]&amp;":"&amp;dHdcp[[#This Row],[Nombre]]</f>
        <v>0:Alvaro Nieto</v>
      </c>
      <c r="I888" t="str">
        <f>+dHdcp[[#This Row],[Maximo]]&amp;":"&amp;_xlfn.XLOOKUP(dHdcp[[#This Row],[Nombre]],dJugador[Nombre],dJugador[Mote],"",0)</f>
        <v>0:Alvaro</v>
      </c>
      <c r="J888" t="str">
        <f>+IF(dHdcp[[#This Row],[Maximo]]=0,"",_xlfn.RANK.EQ(dHdcp[[#This Row],[Handicap]],dHdcp[Handicap],1))</f>
        <v/>
      </c>
      <c r="K888" t="str">
        <f>IFERROR(+_xlfn.RANK.EQ(dHdcp[[#This Row],[Ranking]],dHdcp[Ranking],1),"")</f>
        <v/>
      </c>
      <c r="M888" t="str">
        <f>+dHdcp[[#This Row],[Fecha]]&amp;":"&amp;dHdcp[[#This Row],[Nombre]]</f>
        <v>44485:Alvaro Nieto</v>
      </c>
      <c r="N888">
        <f>+COUNTIF(dHdcp[Columna1],dHdcp[[#This Row],[Columna1]])</f>
        <v>1</v>
      </c>
    </row>
    <row r="889" spans="1:14">
      <c r="A889" s="2">
        <v>44485</v>
      </c>
      <c r="B889" t="s">
        <v>33</v>
      </c>
      <c r="C889" s="51">
        <v>7.6</v>
      </c>
      <c r="D889">
        <f>+VLOOKUP(dHdcp[[#This Row],[Handicap]],'Categoría Hdcap'!$B$2:$E$7,4)</f>
        <v>2</v>
      </c>
      <c r="E889" t="s">
        <v>74</v>
      </c>
      <c r="F889" t="s">
        <v>1355</v>
      </c>
      <c r="G889">
        <f>+IF(dHdcp[[#This Row],[Fecha]]=MAX(dHdcp[Fecha]),1,0)</f>
        <v>0</v>
      </c>
      <c r="H889" t="str">
        <f>+dHdcp[[#This Row],[Maximo]]&amp;":"&amp;dHdcp[[#This Row],[Nombre]]</f>
        <v>0:Angel Hernandez</v>
      </c>
      <c r="I889" t="str">
        <f>+dHdcp[[#This Row],[Maximo]]&amp;":"&amp;_xlfn.XLOOKUP(dHdcp[[#This Row],[Nombre]],dJugador[Nombre],dJugador[Mote],"",0)</f>
        <v>0:Angel</v>
      </c>
      <c r="J889" t="str">
        <f>+IF(dHdcp[[#This Row],[Maximo]]=0,"",_xlfn.RANK.EQ(dHdcp[[#This Row],[Handicap]],dHdcp[Handicap],1))</f>
        <v/>
      </c>
      <c r="K889" t="str">
        <f>IFERROR(+_xlfn.RANK.EQ(dHdcp[[#This Row],[Ranking]],dHdcp[Ranking],1),"")</f>
        <v/>
      </c>
      <c r="M889" t="str">
        <f>+dHdcp[[#This Row],[Fecha]]&amp;":"&amp;dHdcp[[#This Row],[Nombre]]</f>
        <v>44485:Angel Hernandez</v>
      </c>
      <c r="N889">
        <f>+COUNTIF(dHdcp[Columna1],dHdcp[[#This Row],[Columna1]])</f>
        <v>1</v>
      </c>
    </row>
    <row r="890" spans="1:14">
      <c r="A890" s="2">
        <v>44485</v>
      </c>
      <c r="B890" t="s">
        <v>30</v>
      </c>
      <c r="C890" s="51">
        <v>11.1</v>
      </c>
      <c r="D890">
        <f>+VLOOKUP(dHdcp[[#This Row],[Handicap]],'Categoría Hdcap'!$B$2:$E$7,4)</f>
        <v>2</v>
      </c>
      <c r="E890" t="s">
        <v>74</v>
      </c>
      <c r="F890" t="s">
        <v>1356</v>
      </c>
      <c r="G890">
        <f>+IF(dHdcp[[#This Row],[Fecha]]=MAX(dHdcp[Fecha]),1,0)</f>
        <v>0</v>
      </c>
      <c r="H890" t="str">
        <f>+dHdcp[[#This Row],[Maximo]]&amp;":"&amp;dHdcp[[#This Row],[Nombre]]</f>
        <v>0:David Sequera</v>
      </c>
      <c r="I890" t="str">
        <f>+dHdcp[[#This Row],[Maximo]]&amp;":"&amp;_xlfn.XLOOKUP(dHdcp[[#This Row],[Nombre]],dJugador[Nombre],dJugador[Mote],"",0)</f>
        <v>0:David</v>
      </c>
      <c r="J890" t="str">
        <f>+IF(dHdcp[[#This Row],[Maximo]]=0,"",_xlfn.RANK.EQ(dHdcp[[#This Row],[Handicap]],dHdcp[Handicap],1))</f>
        <v/>
      </c>
      <c r="K890" t="str">
        <f>IFERROR(+_xlfn.RANK.EQ(dHdcp[[#This Row],[Ranking]],dHdcp[Ranking],1),"")</f>
        <v/>
      </c>
      <c r="M890" t="str">
        <f>+dHdcp[[#This Row],[Fecha]]&amp;":"&amp;dHdcp[[#This Row],[Nombre]]</f>
        <v>44485:David Sequera</v>
      </c>
      <c r="N890">
        <f>+COUNTIF(dHdcp[Columna1],dHdcp[[#This Row],[Columna1]])</f>
        <v>1</v>
      </c>
    </row>
    <row r="891" spans="1:14">
      <c r="A891" s="2">
        <v>44485</v>
      </c>
      <c r="B891" t="s">
        <v>12</v>
      </c>
      <c r="C891" s="51">
        <v>14.8</v>
      </c>
      <c r="D891">
        <f>+VLOOKUP(dHdcp[[#This Row],[Handicap]],'Categoría Hdcap'!$B$2:$E$7,4)</f>
        <v>3</v>
      </c>
      <c r="E891" t="s">
        <v>74</v>
      </c>
      <c r="F891" t="s">
        <v>1357</v>
      </c>
      <c r="G891">
        <f>+IF(dHdcp[[#This Row],[Fecha]]=MAX(dHdcp[Fecha]),1,0)</f>
        <v>0</v>
      </c>
      <c r="H891" t="str">
        <f>+dHdcp[[#This Row],[Maximo]]&amp;":"&amp;dHdcp[[#This Row],[Nombre]]</f>
        <v>0:Francisco Alvarez</v>
      </c>
      <c r="I891" t="str">
        <f>+dHdcp[[#This Row],[Maximo]]&amp;":"&amp;_xlfn.XLOOKUP(dHdcp[[#This Row],[Nombre]],dJugador[Nombre],dJugador[Mote],"",0)</f>
        <v>0:Paco</v>
      </c>
      <c r="J891" t="str">
        <f>+IF(dHdcp[[#This Row],[Maximo]]=0,"",_xlfn.RANK.EQ(dHdcp[[#This Row],[Handicap]],dHdcp[Handicap],1))</f>
        <v/>
      </c>
      <c r="K891" t="str">
        <f>IFERROR(+_xlfn.RANK.EQ(dHdcp[[#This Row],[Ranking]],dHdcp[Ranking],1),"")</f>
        <v/>
      </c>
      <c r="M891" t="str">
        <f>+dHdcp[[#This Row],[Fecha]]&amp;":"&amp;dHdcp[[#This Row],[Nombre]]</f>
        <v>44485:Francisco Alvarez</v>
      </c>
      <c r="N891">
        <f>+COUNTIF(dHdcp[Columna1],dHdcp[[#This Row],[Columna1]])</f>
        <v>1</v>
      </c>
    </row>
    <row r="892" spans="1:14">
      <c r="A892" s="2">
        <v>44485</v>
      </c>
      <c r="B892" t="s">
        <v>49</v>
      </c>
      <c r="C892" s="51">
        <v>14.1</v>
      </c>
      <c r="D892">
        <f>+VLOOKUP(dHdcp[[#This Row],[Handicap]],'Categoría Hdcap'!$B$2:$E$7,4)</f>
        <v>3</v>
      </c>
      <c r="E892" t="s">
        <v>74</v>
      </c>
      <c r="F892" t="s">
        <v>1358</v>
      </c>
      <c r="G892">
        <f>+IF(dHdcp[[#This Row],[Fecha]]=MAX(dHdcp[Fecha]),1,0)</f>
        <v>0</v>
      </c>
      <c r="H892" t="str">
        <f>+dHdcp[[#This Row],[Maximo]]&amp;":"&amp;dHdcp[[#This Row],[Nombre]]</f>
        <v>0:Francisco Hidalgo</v>
      </c>
      <c r="I892" t="str">
        <f>+dHdcp[[#This Row],[Maximo]]&amp;":"&amp;_xlfn.XLOOKUP(dHdcp[[#This Row],[Nombre]],dJugador[Nombre],dJugador[Mote],"",0)</f>
        <v>0:Fran</v>
      </c>
      <c r="J892" t="str">
        <f>+IF(dHdcp[[#This Row],[Maximo]]=0,"",_xlfn.RANK.EQ(dHdcp[[#This Row],[Handicap]],dHdcp[Handicap],1))</f>
        <v/>
      </c>
      <c r="K892" t="str">
        <f>IFERROR(+_xlfn.RANK.EQ(dHdcp[[#This Row],[Ranking]],dHdcp[Ranking],1),"")</f>
        <v/>
      </c>
      <c r="M892" t="str">
        <f>+dHdcp[[#This Row],[Fecha]]&amp;":"&amp;dHdcp[[#This Row],[Nombre]]</f>
        <v>44485:Francisco Hidalgo</v>
      </c>
      <c r="N892">
        <f>+COUNTIF(dHdcp[Columna1],dHdcp[[#This Row],[Columna1]])</f>
        <v>1</v>
      </c>
    </row>
    <row r="893" spans="1:14">
      <c r="A893" s="2">
        <v>44485</v>
      </c>
      <c r="B893" t="s">
        <v>35</v>
      </c>
      <c r="C893" s="51">
        <v>17.5</v>
      </c>
      <c r="D893">
        <f>+VLOOKUP(dHdcp[[#This Row],[Handicap]],'Categoría Hdcap'!$B$2:$E$7,4)</f>
        <v>3</v>
      </c>
      <c r="E893" t="s">
        <v>74</v>
      </c>
      <c r="F893" t="s">
        <v>1359</v>
      </c>
      <c r="G893">
        <f>+IF(dHdcp[[#This Row],[Fecha]]=MAX(dHdcp[Fecha]),1,0)</f>
        <v>0</v>
      </c>
      <c r="H893" t="str">
        <f>+dHdcp[[#This Row],[Maximo]]&amp;":"&amp;dHdcp[[#This Row],[Nombre]]</f>
        <v>0:GLEZ JUAN JOSÉ</v>
      </c>
      <c r="I893" t="str">
        <f>+dHdcp[[#This Row],[Maximo]]&amp;":"&amp;_xlfn.XLOOKUP(dHdcp[[#This Row],[Nombre]],dJugador[Nombre],dJugador[Mote],"",0)</f>
        <v>0:Juanjo</v>
      </c>
      <c r="J893" t="str">
        <f>+IF(dHdcp[[#This Row],[Maximo]]=0,"",_xlfn.RANK.EQ(dHdcp[[#This Row],[Handicap]],dHdcp[Handicap],1))</f>
        <v/>
      </c>
      <c r="K893" t="str">
        <f>IFERROR(+_xlfn.RANK.EQ(dHdcp[[#This Row],[Ranking]],dHdcp[Ranking],1),"")</f>
        <v/>
      </c>
      <c r="M893" t="str">
        <f>+dHdcp[[#This Row],[Fecha]]&amp;":"&amp;dHdcp[[#This Row],[Nombre]]</f>
        <v>44485:GLEZ JUAN JOSÉ</v>
      </c>
      <c r="N893">
        <f>+COUNTIF(dHdcp[Columna1],dHdcp[[#This Row],[Columna1]])</f>
        <v>1</v>
      </c>
    </row>
    <row r="894" spans="1:14">
      <c r="A894" s="2">
        <v>44485</v>
      </c>
      <c r="B894" t="s">
        <v>6</v>
      </c>
      <c r="C894" s="51">
        <v>7.2</v>
      </c>
      <c r="D894">
        <f>+VLOOKUP(dHdcp[[#This Row],[Handicap]],'Categoría Hdcap'!$B$2:$E$7,4)</f>
        <v>2</v>
      </c>
      <c r="E894" t="s">
        <v>74</v>
      </c>
      <c r="F894" t="s">
        <v>1360</v>
      </c>
      <c r="G894">
        <f>+IF(dHdcp[[#This Row],[Fecha]]=MAX(dHdcp[Fecha]),1,0)</f>
        <v>0</v>
      </c>
      <c r="H894" t="str">
        <f>+dHdcp[[#This Row],[Maximo]]&amp;":"&amp;dHdcp[[#This Row],[Nombre]]</f>
        <v>0:Ignacio Cadarso</v>
      </c>
      <c r="I894" t="str">
        <f>+dHdcp[[#This Row],[Maximo]]&amp;":"&amp;_xlfn.XLOOKUP(dHdcp[[#This Row],[Nombre]],dJugador[Nombre],dJugador[Mote],"",0)</f>
        <v>0:Ignacio</v>
      </c>
      <c r="J894" t="str">
        <f>+IF(dHdcp[[#This Row],[Maximo]]=0,"",_xlfn.RANK.EQ(dHdcp[[#This Row],[Handicap]],dHdcp[Handicap],1))</f>
        <v/>
      </c>
      <c r="K894" t="str">
        <f>IFERROR(+_xlfn.RANK.EQ(dHdcp[[#This Row],[Ranking]],dHdcp[Ranking],1),"")</f>
        <v/>
      </c>
      <c r="M894" t="str">
        <f>+dHdcp[[#This Row],[Fecha]]&amp;":"&amp;dHdcp[[#This Row],[Nombre]]</f>
        <v>44485:Ignacio Cadarso</v>
      </c>
      <c r="N894">
        <f>+COUNTIF(dHdcp[Columna1],dHdcp[[#This Row],[Columna1]])</f>
        <v>1</v>
      </c>
    </row>
    <row r="895" spans="1:14">
      <c r="A895" s="2">
        <v>44485</v>
      </c>
      <c r="B895" t="s">
        <v>23</v>
      </c>
      <c r="C895" s="51">
        <v>17.899999999999999</v>
      </c>
      <c r="D895">
        <f>+VLOOKUP(dHdcp[[#This Row],[Handicap]],'Categoría Hdcap'!$B$2:$E$7,4)</f>
        <v>3</v>
      </c>
      <c r="E895" t="s">
        <v>74</v>
      </c>
      <c r="F895" t="s">
        <v>1361</v>
      </c>
      <c r="G895">
        <f>+IF(dHdcp[[#This Row],[Fecha]]=MAX(dHdcp[Fecha]),1,0)</f>
        <v>0</v>
      </c>
      <c r="H895" t="str">
        <f>+dHdcp[[#This Row],[Maximo]]&amp;":"&amp;dHdcp[[#This Row],[Nombre]]</f>
        <v>0:J. Enrique Gonzalez</v>
      </c>
      <c r="I895" t="str">
        <f>+dHdcp[[#This Row],[Maximo]]&amp;":"&amp;_xlfn.XLOOKUP(dHdcp[[#This Row],[Nombre]],dJugador[Nombre],dJugador[Mote],"",0)</f>
        <v>0:Kike</v>
      </c>
      <c r="J895" t="str">
        <f>+IF(dHdcp[[#This Row],[Maximo]]=0,"",_xlfn.RANK.EQ(dHdcp[[#This Row],[Handicap]],dHdcp[Handicap],1))</f>
        <v/>
      </c>
      <c r="K895" t="str">
        <f>IFERROR(+_xlfn.RANK.EQ(dHdcp[[#This Row],[Ranking]],dHdcp[Ranking],1),"")</f>
        <v/>
      </c>
      <c r="M895" t="str">
        <f>+dHdcp[[#This Row],[Fecha]]&amp;":"&amp;dHdcp[[#This Row],[Nombre]]</f>
        <v>44485:J. Enrique Gonzalez</v>
      </c>
      <c r="N895">
        <f>+COUNTIF(dHdcp[Columna1],dHdcp[[#This Row],[Columna1]])</f>
        <v>1</v>
      </c>
    </row>
    <row r="896" spans="1:14">
      <c r="A896" s="2">
        <v>44485</v>
      </c>
      <c r="B896" t="s">
        <v>46</v>
      </c>
      <c r="C896" s="51">
        <v>16.399999999999999</v>
      </c>
      <c r="D896">
        <f>+VLOOKUP(dHdcp[[#This Row],[Handicap]],'Categoría Hdcap'!$B$2:$E$7,4)</f>
        <v>3</v>
      </c>
      <c r="E896" t="s">
        <v>74</v>
      </c>
      <c r="F896" t="s">
        <v>1362</v>
      </c>
      <c r="G896">
        <f>+IF(dHdcp[[#This Row],[Fecha]]=MAX(dHdcp[Fecha]),1,0)</f>
        <v>0</v>
      </c>
      <c r="H896" t="str">
        <f>+dHdcp[[#This Row],[Maximo]]&amp;":"&amp;dHdcp[[#This Row],[Nombre]]</f>
        <v>0:Javier Cervera</v>
      </c>
      <c r="I896" t="str">
        <f>+dHdcp[[#This Row],[Maximo]]&amp;":"&amp;_xlfn.XLOOKUP(dHdcp[[#This Row],[Nombre]],dJugador[Nombre],dJugador[Mote],"",0)</f>
        <v>0:Virus</v>
      </c>
      <c r="J896" t="str">
        <f>+IF(dHdcp[[#This Row],[Maximo]]=0,"",_xlfn.RANK.EQ(dHdcp[[#This Row],[Handicap]],dHdcp[Handicap],1))</f>
        <v/>
      </c>
      <c r="K896" t="str">
        <f>IFERROR(+_xlfn.RANK.EQ(dHdcp[[#This Row],[Ranking]],dHdcp[Ranking],1),"")</f>
        <v/>
      </c>
      <c r="M896" t="str">
        <f>+dHdcp[[#This Row],[Fecha]]&amp;":"&amp;dHdcp[[#This Row],[Nombre]]</f>
        <v>44485:Javier Cervera</v>
      </c>
      <c r="N896">
        <f>+COUNTIF(dHdcp[Columna1],dHdcp[[#This Row],[Columna1]])</f>
        <v>1</v>
      </c>
    </row>
    <row r="897" spans="1:14">
      <c r="A897" s="2">
        <v>44485</v>
      </c>
      <c r="B897" t="s">
        <v>20</v>
      </c>
      <c r="C897" s="51">
        <v>15.4</v>
      </c>
      <c r="D897">
        <f>+VLOOKUP(dHdcp[[#This Row],[Handicap]],'Categoría Hdcap'!$B$2:$E$7,4)</f>
        <v>3</v>
      </c>
      <c r="E897" t="s">
        <v>74</v>
      </c>
      <c r="F897" t="s">
        <v>1363</v>
      </c>
      <c r="G897">
        <f>+IF(dHdcp[[#This Row],[Fecha]]=MAX(dHdcp[Fecha]),1,0)</f>
        <v>0</v>
      </c>
      <c r="H897" t="str">
        <f>+dHdcp[[#This Row],[Maximo]]&amp;":"&amp;dHdcp[[#This Row],[Nombre]]</f>
        <v>0:Javier Gonzalez Salvador</v>
      </c>
      <c r="I897" t="str">
        <f>+dHdcp[[#This Row],[Maximo]]&amp;":"&amp;_xlfn.XLOOKUP(dHdcp[[#This Row],[Nombre]],dJugador[Nombre],dJugador[Mote],"",0)</f>
        <v>0:Javi</v>
      </c>
      <c r="J897" t="str">
        <f>+IF(dHdcp[[#This Row],[Maximo]]=0,"",_xlfn.RANK.EQ(dHdcp[[#This Row],[Handicap]],dHdcp[Handicap],1))</f>
        <v/>
      </c>
      <c r="K897" t="str">
        <f>IFERROR(+_xlfn.RANK.EQ(dHdcp[[#This Row],[Ranking]],dHdcp[Ranking],1),"")</f>
        <v/>
      </c>
      <c r="M897" t="str">
        <f>+dHdcp[[#This Row],[Fecha]]&amp;":"&amp;dHdcp[[#This Row],[Nombre]]</f>
        <v>44485:Javier Gonzalez Salvador</v>
      </c>
      <c r="N897">
        <f>+COUNTIF(dHdcp[Columna1],dHdcp[[#This Row],[Columna1]])</f>
        <v>1</v>
      </c>
    </row>
    <row r="898" spans="1:14">
      <c r="A898" s="2">
        <v>44485</v>
      </c>
      <c r="B898" t="s">
        <v>41</v>
      </c>
      <c r="C898" s="51">
        <v>23.6</v>
      </c>
      <c r="D898">
        <f>+VLOOKUP(dHdcp[[#This Row],[Handicap]],'Categoría Hdcap'!$B$2:$E$7,4)</f>
        <v>4</v>
      </c>
      <c r="E898" t="s">
        <v>74</v>
      </c>
      <c r="F898" t="s">
        <v>1364</v>
      </c>
      <c r="G898">
        <f>+IF(dHdcp[[#This Row],[Fecha]]=MAX(dHdcp[Fecha]),1,0)</f>
        <v>0</v>
      </c>
      <c r="H898" t="str">
        <f>+dHdcp[[#This Row],[Maximo]]&amp;":"&amp;dHdcp[[#This Row],[Nombre]]</f>
        <v>0:Jesus Touceda</v>
      </c>
      <c r="I898" t="str">
        <f>+dHdcp[[#This Row],[Maximo]]&amp;":"&amp;_xlfn.XLOOKUP(dHdcp[[#This Row],[Nombre]],dJugador[Nombre],dJugador[Mote],"",0)</f>
        <v>0:Jesús</v>
      </c>
      <c r="J898" t="str">
        <f>+IF(dHdcp[[#This Row],[Maximo]]=0,"",_xlfn.RANK.EQ(dHdcp[[#This Row],[Handicap]],dHdcp[Handicap],1))</f>
        <v/>
      </c>
      <c r="K898" t="str">
        <f>IFERROR(+_xlfn.RANK.EQ(dHdcp[[#This Row],[Ranking]],dHdcp[Ranking],1),"")</f>
        <v/>
      </c>
      <c r="M898" t="str">
        <f>+dHdcp[[#This Row],[Fecha]]&amp;":"&amp;dHdcp[[#This Row],[Nombre]]</f>
        <v>44485:Jesus Touceda</v>
      </c>
      <c r="N898">
        <f>+COUNTIF(dHdcp[Columna1],dHdcp[[#This Row],[Columna1]])</f>
        <v>1</v>
      </c>
    </row>
    <row r="899" spans="1:14">
      <c r="A899" s="2">
        <v>44485</v>
      </c>
      <c r="B899" t="s">
        <v>18</v>
      </c>
      <c r="C899" s="51">
        <v>6.1</v>
      </c>
      <c r="D899">
        <f>+VLOOKUP(dHdcp[[#This Row],[Handicap]],'Categoría Hdcap'!$B$2:$E$7,4)</f>
        <v>2</v>
      </c>
      <c r="E899" t="s">
        <v>74</v>
      </c>
      <c r="F899" t="s">
        <v>1365</v>
      </c>
      <c r="G899">
        <f>+IF(dHdcp[[#This Row],[Fecha]]=MAX(dHdcp[Fecha]),1,0)</f>
        <v>0</v>
      </c>
      <c r="H899" t="str">
        <f>+dHdcp[[#This Row],[Maximo]]&amp;":"&amp;dHdcp[[#This Row],[Nombre]]</f>
        <v>0:José Pablo Guil</v>
      </c>
      <c r="I899" t="str">
        <f>+dHdcp[[#This Row],[Maximo]]&amp;":"&amp;_xlfn.XLOOKUP(dHdcp[[#This Row],[Nombre]],dJugador[Nombre],dJugador[Mote],"",0)</f>
        <v>0:JP</v>
      </c>
      <c r="J899" t="str">
        <f>+IF(dHdcp[[#This Row],[Maximo]]=0,"",_xlfn.RANK.EQ(dHdcp[[#This Row],[Handicap]],dHdcp[Handicap],1))</f>
        <v/>
      </c>
      <c r="K899" t="str">
        <f>IFERROR(+_xlfn.RANK.EQ(dHdcp[[#This Row],[Ranking]],dHdcp[Ranking],1),"")</f>
        <v/>
      </c>
      <c r="M899" t="str">
        <f>+dHdcp[[#This Row],[Fecha]]&amp;":"&amp;dHdcp[[#This Row],[Nombre]]</f>
        <v>44485:José Pablo Guil</v>
      </c>
      <c r="N899">
        <f>+COUNTIF(dHdcp[Columna1],dHdcp[[#This Row],[Columna1]])</f>
        <v>1</v>
      </c>
    </row>
    <row r="900" spans="1:14">
      <c r="A900" s="2">
        <v>44485</v>
      </c>
      <c r="B900" t="s">
        <v>43</v>
      </c>
      <c r="C900" s="51">
        <v>18.3</v>
      </c>
      <c r="D900">
        <f>+VLOOKUP(dHdcp[[#This Row],[Handicap]],'Categoría Hdcap'!$B$2:$E$7,4)</f>
        <v>3</v>
      </c>
      <c r="E900" t="s">
        <v>74</v>
      </c>
      <c r="F900" t="s">
        <v>1366</v>
      </c>
      <c r="G900">
        <f>+IF(dHdcp[[#This Row],[Fecha]]=MAX(dHdcp[Fecha]),1,0)</f>
        <v>0</v>
      </c>
      <c r="H900" t="str">
        <f>+dHdcp[[#This Row],[Maximo]]&amp;":"&amp;dHdcp[[#This Row],[Nombre]]</f>
        <v>0:Luis Escudero</v>
      </c>
      <c r="I900" t="str">
        <f>+dHdcp[[#This Row],[Maximo]]&amp;":"&amp;_xlfn.XLOOKUP(dHdcp[[#This Row],[Nombre]],dJugador[Nombre],dJugador[Mote],"",0)</f>
        <v>0:Lucho</v>
      </c>
      <c r="J900" t="str">
        <f>+IF(dHdcp[[#This Row],[Maximo]]=0,"",_xlfn.RANK.EQ(dHdcp[[#This Row],[Handicap]],dHdcp[Handicap],1))</f>
        <v/>
      </c>
      <c r="K900" t="str">
        <f>IFERROR(+_xlfn.RANK.EQ(dHdcp[[#This Row],[Ranking]],dHdcp[Ranking],1),"")</f>
        <v/>
      </c>
      <c r="M900" t="str">
        <f>+dHdcp[[#This Row],[Fecha]]&amp;":"&amp;dHdcp[[#This Row],[Nombre]]</f>
        <v>44485:Luis Escudero</v>
      </c>
      <c r="N900">
        <f>+COUNTIF(dHdcp[Columna1],dHdcp[[#This Row],[Columna1]])</f>
        <v>1</v>
      </c>
    </row>
    <row r="901" spans="1:14">
      <c r="A901" s="2">
        <v>44485</v>
      </c>
      <c r="B901" s="10" t="s">
        <v>135</v>
      </c>
      <c r="C901" s="53">
        <v>22.6</v>
      </c>
      <c r="D901" s="10">
        <f>+VLOOKUP(dHdcp[[#This Row],[Handicap]],'Categoría Hdcap'!$B$2:$E$7,4)</f>
        <v>4</v>
      </c>
      <c r="E901" s="10" t="s">
        <v>74</v>
      </c>
      <c r="F901" s="10" t="s">
        <v>1367</v>
      </c>
      <c r="G901">
        <f>+IF(dHdcp[[#This Row],[Fecha]]=MAX(dHdcp[Fecha]),1,0)</f>
        <v>0</v>
      </c>
      <c r="H901" t="str">
        <f>+dHdcp[[#This Row],[Maximo]]&amp;":"&amp;dHdcp[[#This Row],[Nombre]]</f>
        <v>0:Miche Lopez</v>
      </c>
      <c r="I901" t="str">
        <f>+dHdcp[[#This Row],[Maximo]]&amp;":"&amp;_xlfn.XLOOKUP(dHdcp[[#This Row],[Nombre]],dJugador[Nombre],dJugador[Mote],"",0)</f>
        <v>0:Miche</v>
      </c>
      <c r="J901" t="str">
        <f>+IF(dHdcp[[#This Row],[Maximo]]=0,"",_xlfn.RANK.EQ(dHdcp[[#This Row],[Handicap]],dHdcp[Handicap],1))</f>
        <v/>
      </c>
      <c r="K901" t="str">
        <f>IFERROR(+_xlfn.RANK.EQ(dHdcp[[#This Row],[Ranking]],dHdcp[Ranking],1),"")</f>
        <v/>
      </c>
      <c r="M901" t="str">
        <f>+dHdcp[[#This Row],[Fecha]]&amp;":"&amp;dHdcp[[#This Row],[Nombre]]</f>
        <v>44485:Miche Lopez</v>
      </c>
      <c r="N901">
        <f>+COUNTIF(dHdcp[Columna1],dHdcp[[#This Row],[Columna1]])</f>
        <v>1</v>
      </c>
    </row>
    <row r="902" spans="1:14">
      <c r="A902" s="2">
        <v>44485</v>
      </c>
      <c r="B902" t="s">
        <v>51</v>
      </c>
      <c r="C902" s="51">
        <v>-1.4</v>
      </c>
      <c r="D902">
        <f>+VLOOKUP(dHdcp[[#This Row],[Handicap]],'Categoría Hdcap'!$B$2:$E$7,4)</f>
        <v>1</v>
      </c>
      <c r="E902" t="s">
        <v>74</v>
      </c>
      <c r="F902" t="s">
        <v>1368</v>
      </c>
      <c r="G902">
        <f>+IF(dHdcp[[#This Row],[Fecha]]=MAX(dHdcp[Fecha]),1,0)</f>
        <v>0</v>
      </c>
      <c r="H902" t="str">
        <f>+dHdcp[[#This Row],[Maximo]]&amp;":"&amp;dHdcp[[#This Row],[Nombre]]</f>
        <v>0:Miguel Diaz Del Moral</v>
      </c>
      <c r="I902" t="str">
        <f>+dHdcp[[#This Row],[Maximo]]&amp;":"&amp;_xlfn.XLOOKUP(dHdcp[[#This Row],[Nombre]],dJugador[Nombre],dJugador[Mote],"",0)</f>
        <v>0:Cañita</v>
      </c>
      <c r="J902" t="str">
        <f>+IF(dHdcp[[#This Row],[Maximo]]=0,"",_xlfn.RANK.EQ(dHdcp[[#This Row],[Handicap]],dHdcp[Handicap],1))</f>
        <v/>
      </c>
      <c r="K902" t="str">
        <f>IFERROR(+_xlfn.RANK.EQ(dHdcp[[#This Row],[Ranking]],dHdcp[Ranking],1),"")</f>
        <v/>
      </c>
      <c r="M902" t="str">
        <f>+dHdcp[[#This Row],[Fecha]]&amp;":"&amp;dHdcp[[#This Row],[Nombre]]</f>
        <v>44485:Miguel Diaz Del Moral</v>
      </c>
      <c r="N902">
        <f>+COUNTIF(dHdcp[Columna1],dHdcp[[#This Row],[Columna1]])</f>
        <v>1</v>
      </c>
    </row>
    <row r="903" spans="1:14">
      <c r="A903" s="2">
        <v>44485</v>
      </c>
      <c r="B903" t="s">
        <v>3</v>
      </c>
      <c r="C903" s="51">
        <v>5.8</v>
      </c>
      <c r="D903">
        <f>+VLOOKUP(dHdcp[[#This Row],[Handicap]],'Categoría Hdcap'!$B$2:$E$7,4)</f>
        <v>2</v>
      </c>
      <c r="E903" t="s">
        <v>74</v>
      </c>
      <c r="F903" t="s">
        <v>1369</v>
      </c>
      <c r="G903">
        <f>+IF(dHdcp[[#This Row],[Fecha]]=MAX(dHdcp[Fecha]),1,0)</f>
        <v>0</v>
      </c>
      <c r="H903" t="str">
        <f>+dHdcp[[#This Row],[Maximo]]&amp;":"&amp;dHdcp[[#This Row],[Nombre]]</f>
        <v>0:Nacho Gonzalez</v>
      </c>
      <c r="I903" t="str">
        <f>+dHdcp[[#This Row],[Maximo]]&amp;":"&amp;_xlfn.XLOOKUP(dHdcp[[#This Row],[Nombre]],dJugador[Nombre],dJugador[Mote],"",0)</f>
        <v>0:Nacho</v>
      </c>
      <c r="J903" t="str">
        <f>+IF(dHdcp[[#This Row],[Maximo]]=0,"",_xlfn.RANK.EQ(dHdcp[[#This Row],[Handicap]],dHdcp[Handicap],1))</f>
        <v/>
      </c>
      <c r="K903" t="str">
        <f>IFERROR(+_xlfn.RANK.EQ(dHdcp[[#This Row],[Ranking]],dHdcp[Ranking],1),"")</f>
        <v/>
      </c>
      <c r="M903" t="str">
        <f>+dHdcp[[#This Row],[Fecha]]&amp;":"&amp;dHdcp[[#This Row],[Nombre]]</f>
        <v>44485:Nacho Gonzalez</v>
      </c>
      <c r="N903">
        <f>+COUNTIF(dHdcp[Columna1],dHdcp[[#This Row],[Columna1]])</f>
        <v>1</v>
      </c>
    </row>
    <row r="904" spans="1:14">
      <c r="A904" s="2">
        <v>44485</v>
      </c>
      <c r="B904" t="s">
        <v>28</v>
      </c>
      <c r="C904" s="51">
        <v>13.7</v>
      </c>
      <c r="D904">
        <f>+VLOOKUP(dHdcp[[#This Row],[Handicap]],'Categoría Hdcap'!$B$2:$E$7,4)</f>
        <v>3</v>
      </c>
      <c r="E904" t="s">
        <v>74</v>
      </c>
      <c r="F904" t="s">
        <v>1370</v>
      </c>
      <c r="G904">
        <f>+IF(dHdcp[[#This Row],[Fecha]]=MAX(dHdcp[Fecha]),1,0)</f>
        <v>0</v>
      </c>
      <c r="H904" t="str">
        <f>+dHdcp[[#This Row],[Maximo]]&amp;":"&amp;dHdcp[[#This Row],[Nombre]]</f>
        <v>0:Pablo Munitiz</v>
      </c>
      <c r="I904" t="str">
        <f>+dHdcp[[#This Row],[Maximo]]&amp;":"&amp;_xlfn.XLOOKUP(dHdcp[[#This Row],[Nombre]],dJugador[Nombre],dJugador[Mote],"",0)</f>
        <v>0:Muni</v>
      </c>
      <c r="J904" t="str">
        <f>+IF(dHdcp[[#This Row],[Maximo]]=0,"",_xlfn.RANK.EQ(dHdcp[[#This Row],[Handicap]],dHdcp[Handicap],1))</f>
        <v/>
      </c>
      <c r="K904" t="str">
        <f>IFERROR(+_xlfn.RANK.EQ(dHdcp[[#This Row],[Ranking]],dHdcp[Ranking],1),"")</f>
        <v/>
      </c>
      <c r="M904" t="str">
        <f>+dHdcp[[#This Row],[Fecha]]&amp;":"&amp;dHdcp[[#This Row],[Nombre]]</f>
        <v>44485:Pablo Munitiz</v>
      </c>
      <c r="N904">
        <f>+COUNTIF(dHdcp[Columna1],dHdcp[[#This Row],[Columna1]])</f>
        <v>1</v>
      </c>
    </row>
    <row r="905" spans="1:14">
      <c r="A905" s="2">
        <v>44486</v>
      </c>
      <c r="B905" t="s">
        <v>9</v>
      </c>
      <c r="C905" s="51">
        <v>10.4</v>
      </c>
      <c r="D905">
        <f>+VLOOKUP(dHdcp[[#This Row],[Handicap]],'Categoría Hdcap'!$B$2:$E$7,4)</f>
        <v>2</v>
      </c>
      <c r="E905" t="s">
        <v>74</v>
      </c>
      <c r="F905" t="s">
        <v>1371</v>
      </c>
      <c r="G905">
        <f>+IF(dHdcp[[#This Row],[Fecha]]=MAX(dHdcp[Fecha]),1,0)</f>
        <v>0</v>
      </c>
      <c r="H905" t="str">
        <f>+dHdcp[[#This Row],[Maximo]]&amp;":"&amp;dHdcp[[#This Row],[Nombre]]</f>
        <v>0:Alfonso Hidalgo</v>
      </c>
      <c r="I905" t="str">
        <f>+dHdcp[[#This Row],[Maximo]]&amp;":"&amp;_xlfn.XLOOKUP(dHdcp[[#This Row],[Nombre]],dJugador[Nombre],dJugador[Mote],"",0)</f>
        <v>0:Alfonso</v>
      </c>
      <c r="J905" t="str">
        <f>+IF(dHdcp[[#This Row],[Maximo]]=0,"",_xlfn.RANK.EQ(dHdcp[[#This Row],[Handicap]],dHdcp[Handicap],1))</f>
        <v/>
      </c>
      <c r="K905" t="str">
        <f>IFERROR(+_xlfn.RANK.EQ(dHdcp[[#This Row],[Ranking]],dHdcp[Ranking],1),"")</f>
        <v/>
      </c>
      <c r="M905" t="str">
        <f>+dHdcp[[#This Row],[Fecha]]&amp;":"&amp;dHdcp[[#This Row],[Nombre]]</f>
        <v>44486:Alfonso Hidalgo</v>
      </c>
      <c r="N905">
        <f>+COUNTIF(dHdcp[Columna1],dHdcp[[#This Row],[Columna1]])</f>
        <v>1</v>
      </c>
    </row>
    <row r="906" spans="1:14">
      <c r="A906" s="2">
        <v>44486</v>
      </c>
      <c r="B906" t="s">
        <v>15</v>
      </c>
      <c r="C906" s="51">
        <v>6.7</v>
      </c>
      <c r="D906">
        <f>+VLOOKUP(dHdcp[[#This Row],[Handicap]],'Categoría Hdcap'!$B$2:$E$7,4)</f>
        <v>2</v>
      </c>
      <c r="E906" t="s">
        <v>74</v>
      </c>
      <c r="F906" t="s">
        <v>1372</v>
      </c>
      <c r="G906">
        <f>+IF(dHdcp[[#This Row],[Fecha]]=MAX(dHdcp[Fecha]),1,0)</f>
        <v>0</v>
      </c>
      <c r="H906" t="str">
        <f>+dHdcp[[#This Row],[Maximo]]&amp;":"&amp;dHdcp[[#This Row],[Nombre]]</f>
        <v>0:Alvaro Aguirre</v>
      </c>
      <c r="I906" t="str">
        <f>+dHdcp[[#This Row],[Maximo]]&amp;":"&amp;_xlfn.XLOOKUP(dHdcp[[#This Row],[Nombre]],dJugador[Nombre],dJugador[Mote],"",0)</f>
        <v>0:Gifu</v>
      </c>
      <c r="J906" t="str">
        <f>+IF(dHdcp[[#This Row],[Maximo]]=0,"",_xlfn.RANK.EQ(dHdcp[[#This Row],[Handicap]],dHdcp[Handicap],1))</f>
        <v/>
      </c>
      <c r="K906" t="str">
        <f>IFERROR(+_xlfn.RANK.EQ(dHdcp[[#This Row],[Ranking]],dHdcp[Ranking],1),"")</f>
        <v/>
      </c>
      <c r="M906" t="str">
        <f>+dHdcp[[#This Row],[Fecha]]&amp;":"&amp;dHdcp[[#This Row],[Nombre]]</f>
        <v>44486:Alvaro Aguirre</v>
      </c>
      <c r="N906">
        <f>+COUNTIF(dHdcp[Columna1],dHdcp[[#This Row],[Columna1]])</f>
        <v>1</v>
      </c>
    </row>
    <row r="907" spans="1:14">
      <c r="A907" s="2">
        <v>44486</v>
      </c>
      <c r="B907" t="s">
        <v>25</v>
      </c>
      <c r="C907" s="51">
        <v>12.7</v>
      </c>
      <c r="D907">
        <f>+VLOOKUP(dHdcp[[#This Row],[Handicap]],'Categoría Hdcap'!$B$2:$E$7,4)</f>
        <v>3</v>
      </c>
      <c r="E907" t="s">
        <v>74</v>
      </c>
      <c r="F907" t="s">
        <v>1373</v>
      </c>
      <c r="G907">
        <f>+IF(dHdcp[[#This Row],[Fecha]]=MAX(dHdcp[Fecha]),1,0)</f>
        <v>0</v>
      </c>
      <c r="H907" t="str">
        <f>+dHdcp[[#This Row],[Maximo]]&amp;":"&amp;dHdcp[[#This Row],[Nombre]]</f>
        <v>0:Alvaro Nieto</v>
      </c>
      <c r="I907" t="str">
        <f>+dHdcp[[#This Row],[Maximo]]&amp;":"&amp;_xlfn.XLOOKUP(dHdcp[[#This Row],[Nombre]],dJugador[Nombre],dJugador[Mote],"",0)</f>
        <v>0:Alvaro</v>
      </c>
      <c r="J907" t="str">
        <f>+IF(dHdcp[[#This Row],[Maximo]]=0,"",_xlfn.RANK.EQ(dHdcp[[#This Row],[Handicap]],dHdcp[Handicap],1))</f>
        <v/>
      </c>
      <c r="K907" t="str">
        <f>IFERROR(+_xlfn.RANK.EQ(dHdcp[[#This Row],[Ranking]],dHdcp[Ranking],1),"")</f>
        <v/>
      </c>
      <c r="M907" t="str">
        <f>+dHdcp[[#This Row],[Fecha]]&amp;":"&amp;dHdcp[[#This Row],[Nombre]]</f>
        <v>44486:Alvaro Nieto</v>
      </c>
      <c r="N907">
        <f>+COUNTIF(dHdcp[Columna1],dHdcp[[#This Row],[Columna1]])</f>
        <v>1</v>
      </c>
    </row>
    <row r="908" spans="1:14">
      <c r="A908" s="2">
        <v>44486</v>
      </c>
      <c r="B908" t="s">
        <v>33</v>
      </c>
      <c r="C908" s="51">
        <v>7.6</v>
      </c>
      <c r="D908">
        <f>+VLOOKUP(dHdcp[[#This Row],[Handicap]],'Categoría Hdcap'!$B$2:$E$7,4)</f>
        <v>2</v>
      </c>
      <c r="E908" t="s">
        <v>74</v>
      </c>
      <c r="F908" t="s">
        <v>1374</v>
      </c>
      <c r="G908">
        <f>+IF(dHdcp[[#This Row],[Fecha]]=MAX(dHdcp[Fecha]),1,0)</f>
        <v>0</v>
      </c>
      <c r="H908" t="str">
        <f>+dHdcp[[#This Row],[Maximo]]&amp;":"&amp;dHdcp[[#This Row],[Nombre]]</f>
        <v>0:Angel Hernandez</v>
      </c>
      <c r="I908" t="str">
        <f>+dHdcp[[#This Row],[Maximo]]&amp;":"&amp;_xlfn.XLOOKUP(dHdcp[[#This Row],[Nombre]],dJugador[Nombre],dJugador[Mote],"",0)</f>
        <v>0:Angel</v>
      </c>
      <c r="J908" t="str">
        <f>+IF(dHdcp[[#This Row],[Maximo]]=0,"",_xlfn.RANK.EQ(dHdcp[[#This Row],[Handicap]],dHdcp[Handicap],1))</f>
        <v/>
      </c>
      <c r="K908" t="str">
        <f>IFERROR(+_xlfn.RANK.EQ(dHdcp[[#This Row],[Ranking]],dHdcp[Ranking],1),"")</f>
        <v/>
      </c>
      <c r="M908" t="str">
        <f>+dHdcp[[#This Row],[Fecha]]&amp;":"&amp;dHdcp[[#This Row],[Nombre]]</f>
        <v>44486:Angel Hernandez</v>
      </c>
      <c r="N908">
        <f>+COUNTIF(dHdcp[Columna1],dHdcp[[#This Row],[Columna1]])</f>
        <v>1</v>
      </c>
    </row>
    <row r="909" spans="1:14">
      <c r="A909" s="2">
        <v>44486</v>
      </c>
      <c r="B909" t="s">
        <v>30</v>
      </c>
      <c r="C909" s="51">
        <v>11.7</v>
      </c>
      <c r="D909">
        <f>+VLOOKUP(dHdcp[[#This Row],[Handicap]],'Categoría Hdcap'!$B$2:$E$7,4)</f>
        <v>3</v>
      </c>
      <c r="E909" t="s">
        <v>74</v>
      </c>
      <c r="F909" t="s">
        <v>1375</v>
      </c>
      <c r="G909">
        <f>+IF(dHdcp[[#This Row],[Fecha]]=MAX(dHdcp[Fecha]),1,0)</f>
        <v>0</v>
      </c>
      <c r="H909" t="str">
        <f>+dHdcp[[#This Row],[Maximo]]&amp;":"&amp;dHdcp[[#This Row],[Nombre]]</f>
        <v>0:David Sequera</v>
      </c>
      <c r="I909" t="str">
        <f>+dHdcp[[#This Row],[Maximo]]&amp;":"&amp;_xlfn.XLOOKUP(dHdcp[[#This Row],[Nombre]],dJugador[Nombre],dJugador[Mote],"",0)</f>
        <v>0:David</v>
      </c>
      <c r="J909" t="str">
        <f>+IF(dHdcp[[#This Row],[Maximo]]=0,"",_xlfn.RANK.EQ(dHdcp[[#This Row],[Handicap]],dHdcp[Handicap],1))</f>
        <v/>
      </c>
      <c r="K909" t="str">
        <f>IFERROR(+_xlfn.RANK.EQ(dHdcp[[#This Row],[Ranking]],dHdcp[Ranking],1),"")</f>
        <v/>
      </c>
      <c r="M909" t="str">
        <f>+dHdcp[[#This Row],[Fecha]]&amp;":"&amp;dHdcp[[#This Row],[Nombre]]</f>
        <v>44486:David Sequera</v>
      </c>
      <c r="N909">
        <f>+COUNTIF(dHdcp[Columna1],dHdcp[[#This Row],[Columna1]])</f>
        <v>1</v>
      </c>
    </row>
    <row r="910" spans="1:14">
      <c r="A910" s="2">
        <v>44486</v>
      </c>
      <c r="B910" t="s">
        <v>12</v>
      </c>
      <c r="C910" s="51">
        <v>14.8</v>
      </c>
      <c r="D910">
        <f>+VLOOKUP(dHdcp[[#This Row],[Handicap]],'Categoría Hdcap'!$B$2:$E$7,4)</f>
        <v>3</v>
      </c>
      <c r="E910" t="s">
        <v>74</v>
      </c>
      <c r="F910" t="s">
        <v>1376</v>
      </c>
      <c r="G910">
        <f>+IF(dHdcp[[#This Row],[Fecha]]=MAX(dHdcp[Fecha]),1,0)</f>
        <v>0</v>
      </c>
      <c r="H910" t="str">
        <f>+dHdcp[[#This Row],[Maximo]]&amp;":"&amp;dHdcp[[#This Row],[Nombre]]</f>
        <v>0:Francisco Alvarez</v>
      </c>
      <c r="I910" t="str">
        <f>+dHdcp[[#This Row],[Maximo]]&amp;":"&amp;_xlfn.XLOOKUP(dHdcp[[#This Row],[Nombre]],dJugador[Nombre],dJugador[Mote],"",0)</f>
        <v>0:Paco</v>
      </c>
      <c r="J910" t="str">
        <f>+IF(dHdcp[[#This Row],[Maximo]]=0,"",_xlfn.RANK.EQ(dHdcp[[#This Row],[Handicap]],dHdcp[Handicap],1))</f>
        <v/>
      </c>
      <c r="K910" t="str">
        <f>IFERROR(+_xlfn.RANK.EQ(dHdcp[[#This Row],[Ranking]],dHdcp[Ranking],1),"")</f>
        <v/>
      </c>
      <c r="M910" t="str">
        <f>+dHdcp[[#This Row],[Fecha]]&amp;":"&amp;dHdcp[[#This Row],[Nombre]]</f>
        <v>44486:Francisco Alvarez</v>
      </c>
      <c r="N910">
        <f>+COUNTIF(dHdcp[Columna1],dHdcp[[#This Row],[Columna1]])</f>
        <v>1</v>
      </c>
    </row>
    <row r="911" spans="1:14">
      <c r="A911" s="2">
        <v>44486</v>
      </c>
      <c r="B911" t="s">
        <v>49</v>
      </c>
      <c r="C911" s="51">
        <v>14.1</v>
      </c>
      <c r="D911">
        <f>+VLOOKUP(dHdcp[[#This Row],[Handicap]],'Categoría Hdcap'!$B$2:$E$7,4)</f>
        <v>3</v>
      </c>
      <c r="E911" t="s">
        <v>74</v>
      </c>
      <c r="F911" t="s">
        <v>1377</v>
      </c>
      <c r="G911">
        <f>+IF(dHdcp[[#This Row],[Fecha]]=MAX(dHdcp[Fecha]),1,0)</f>
        <v>0</v>
      </c>
      <c r="H911" t="str">
        <f>+dHdcp[[#This Row],[Maximo]]&amp;":"&amp;dHdcp[[#This Row],[Nombre]]</f>
        <v>0:Francisco Hidalgo</v>
      </c>
      <c r="I911" t="str">
        <f>+dHdcp[[#This Row],[Maximo]]&amp;":"&amp;_xlfn.XLOOKUP(dHdcp[[#This Row],[Nombre]],dJugador[Nombre],dJugador[Mote],"",0)</f>
        <v>0:Fran</v>
      </c>
      <c r="J911" t="str">
        <f>+IF(dHdcp[[#This Row],[Maximo]]=0,"",_xlfn.RANK.EQ(dHdcp[[#This Row],[Handicap]],dHdcp[Handicap],1))</f>
        <v/>
      </c>
      <c r="K911" t="str">
        <f>IFERROR(+_xlfn.RANK.EQ(dHdcp[[#This Row],[Ranking]],dHdcp[Ranking],1),"")</f>
        <v/>
      </c>
      <c r="M911" t="str">
        <f>+dHdcp[[#This Row],[Fecha]]&amp;":"&amp;dHdcp[[#This Row],[Nombre]]</f>
        <v>44486:Francisco Hidalgo</v>
      </c>
      <c r="N911">
        <f>+COUNTIF(dHdcp[Columna1],dHdcp[[#This Row],[Columna1]])</f>
        <v>1</v>
      </c>
    </row>
    <row r="912" spans="1:14">
      <c r="A912" s="2">
        <v>44486</v>
      </c>
      <c r="B912" t="s">
        <v>35</v>
      </c>
      <c r="C912" s="51">
        <v>17.8</v>
      </c>
      <c r="D912">
        <f>+VLOOKUP(dHdcp[[#This Row],[Handicap]],'Categoría Hdcap'!$B$2:$E$7,4)</f>
        <v>3</v>
      </c>
      <c r="E912" t="s">
        <v>74</v>
      </c>
      <c r="F912" t="s">
        <v>1378</v>
      </c>
      <c r="G912">
        <f>+IF(dHdcp[[#This Row],[Fecha]]=MAX(dHdcp[Fecha]),1,0)</f>
        <v>0</v>
      </c>
      <c r="H912" t="str">
        <f>+dHdcp[[#This Row],[Maximo]]&amp;":"&amp;dHdcp[[#This Row],[Nombre]]</f>
        <v>0:GLEZ JUAN JOSÉ</v>
      </c>
      <c r="I912" t="str">
        <f>+dHdcp[[#This Row],[Maximo]]&amp;":"&amp;_xlfn.XLOOKUP(dHdcp[[#This Row],[Nombre]],dJugador[Nombre],dJugador[Mote],"",0)</f>
        <v>0:Juanjo</v>
      </c>
      <c r="J912" t="str">
        <f>+IF(dHdcp[[#This Row],[Maximo]]=0,"",_xlfn.RANK.EQ(dHdcp[[#This Row],[Handicap]],dHdcp[Handicap],1))</f>
        <v/>
      </c>
      <c r="K912" t="str">
        <f>IFERROR(+_xlfn.RANK.EQ(dHdcp[[#This Row],[Ranking]],dHdcp[Ranking],1),"")</f>
        <v/>
      </c>
      <c r="M912" t="str">
        <f>+dHdcp[[#This Row],[Fecha]]&amp;":"&amp;dHdcp[[#This Row],[Nombre]]</f>
        <v>44486:GLEZ JUAN JOSÉ</v>
      </c>
      <c r="N912">
        <f>+COUNTIF(dHdcp[Columna1],dHdcp[[#This Row],[Columna1]])</f>
        <v>1</v>
      </c>
    </row>
    <row r="913" spans="1:14">
      <c r="A913" s="2">
        <v>44486</v>
      </c>
      <c r="B913" t="s">
        <v>6</v>
      </c>
      <c r="C913" s="51">
        <v>7.2</v>
      </c>
      <c r="D913">
        <f>+VLOOKUP(dHdcp[[#This Row],[Handicap]],'Categoría Hdcap'!$B$2:$E$7,4)</f>
        <v>2</v>
      </c>
      <c r="E913" t="s">
        <v>74</v>
      </c>
      <c r="F913" t="s">
        <v>1379</v>
      </c>
      <c r="G913">
        <f>+IF(dHdcp[[#This Row],[Fecha]]=MAX(dHdcp[Fecha]),1,0)</f>
        <v>0</v>
      </c>
      <c r="H913" t="str">
        <f>+dHdcp[[#This Row],[Maximo]]&amp;":"&amp;dHdcp[[#This Row],[Nombre]]</f>
        <v>0:Ignacio Cadarso</v>
      </c>
      <c r="I913" t="str">
        <f>+dHdcp[[#This Row],[Maximo]]&amp;":"&amp;_xlfn.XLOOKUP(dHdcp[[#This Row],[Nombre]],dJugador[Nombre],dJugador[Mote],"",0)</f>
        <v>0:Ignacio</v>
      </c>
      <c r="J913" t="str">
        <f>+IF(dHdcp[[#This Row],[Maximo]]=0,"",_xlfn.RANK.EQ(dHdcp[[#This Row],[Handicap]],dHdcp[Handicap],1))</f>
        <v/>
      </c>
      <c r="K913" t="str">
        <f>IFERROR(+_xlfn.RANK.EQ(dHdcp[[#This Row],[Ranking]],dHdcp[Ranking],1),"")</f>
        <v/>
      </c>
      <c r="M913" t="str">
        <f>+dHdcp[[#This Row],[Fecha]]&amp;":"&amp;dHdcp[[#This Row],[Nombre]]</f>
        <v>44486:Ignacio Cadarso</v>
      </c>
      <c r="N913">
        <f>+COUNTIF(dHdcp[Columna1],dHdcp[[#This Row],[Columna1]])</f>
        <v>1</v>
      </c>
    </row>
    <row r="914" spans="1:14">
      <c r="A914" s="2">
        <v>44486</v>
      </c>
      <c r="B914" t="s">
        <v>23</v>
      </c>
      <c r="C914" s="51">
        <v>17.899999999999999</v>
      </c>
      <c r="D914">
        <f>+VLOOKUP(dHdcp[[#This Row],[Handicap]],'Categoría Hdcap'!$B$2:$E$7,4)</f>
        <v>3</v>
      </c>
      <c r="E914" t="s">
        <v>74</v>
      </c>
      <c r="F914" t="s">
        <v>1380</v>
      </c>
      <c r="G914">
        <f>+IF(dHdcp[[#This Row],[Fecha]]=MAX(dHdcp[Fecha]),1,0)</f>
        <v>0</v>
      </c>
      <c r="H914" t="str">
        <f>+dHdcp[[#This Row],[Maximo]]&amp;":"&amp;dHdcp[[#This Row],[Nombre]]</f>
        <v>0:J. Enrique Gonzalez</v>
      </c>
      <c r="I914" t="str">
        <f>+dHdcp[[#This Row],[Maximo]]&amp;":"&amp;_xlfn.XLOOKUP(dHdcp[[#This Row],[Nombre]],dJugador[Nombre],dJugador[Mote],"",0)</f>
        <v>0:Kike</v>
      </c>
      <c r="J914" t="str">
        <f>+IF(dHdcp[[#This Row],[Maximo]]=0,"",_xlfn.RANK.EQ(dHdcp[[#This Row],[Handicap]],dHdcp[Handicap],1))</f>
        <v/>
      </c>
      <c r="K914" t="str">
        <f>IFERROR(+_xlfn.RANK.EQ(dHdcp[[#This Row],[Ranking]],dHdcp[Ranking],1),"")</f>
        <v/>
      </c>
      <c r="M914" t="str">
        <f>+dHdcp[[#This Row],[Fecha]]&amp;":"&amp;dHdcp[[#This Row],[Nombre]]</f>
        <v>44486:J. Enrique Gonzalez</v>
      </c>
      <c r="N914">
        <f>+COUNTIF(dHdcp[Columna1],dHdcp[[#This Row],[Columna1]])</f>
        <v>1</v>
      </c>
    </row>
    <row r="915" spans="1:14">
      <c r="A915" s="2">
        <v>44486</v>
      </c>
      <c r="B915" t="s">
        <v>46</v>
      </c>
      <c r="C915" s="51">
        <v>16.399999999999999</v>
      </c>
      <c r="D915">
        <f>+VLOOKUP(dHdcp[[#This Row],[Handicap]],'Categoría Hdcap'!$B$2:$E$7,4)</f>
        <v>3</v>
      </c>
      <c r="E915" t="s">
        <v>74</v>
      </c>
      <c r="F915" t="s">
        <v>1381</v>
      </c>
      <c r="G915">
        <f>+IF(dHdcp[[#This Row],[Fecha]]=MAX(dHdcp[Fecha]),1,0)</f>
        <v>0</v>
      </c>
      <c r="H915" t="str">
        <f>+dHdcp[[#This Row],[Maximo]]&amp;":"&amp;dHdcp[[#This Row],[Nombre]]</f>
        <v>0:Javier Cervera</v>
      </c>
      <c r="I915" t="str">
        <f>+dHdcp[[#This Row],[Maximo]]&amp;":"&amp;_xlfn.XLOOKUP(dHdcp[[#This Row],[Nombre]],dJugador[Nombre],dJugador[Mote],"",0)</f>
        <v>0:Virus</v>
      </c>
      <c r="J915" t="str">
        <f>+IF(dHdcp[[#This Row],[Maximo]]=0,"",_xlfn.RANK.EQ(dHdcp[[#This Row],[Handicap]],dHdcp[Handicap],1))</f>
        <v/>
      </c>
      <c r="K915" t="str">
        <f>IFERROR(+_xlfn.RANK.EQ(dHdcp[[#This Row],[Ranking]],dHdcp[Ranking],1),"")</f>
        <v/>
      </c>
      <c r="M915" t="str">
        <f>+dHdcp[[#This Row],[Fecha]]&amp;":"&amp;dHdcp[[#This Row],[Nombre]]</f>
        <v>44486:Javier Cervera</v>
      </c>
      <c r="N915">
        <f>+COUNTIF(dHdcp[Columna1],dHdcp[[#This Row],[Columna1]])</f>
        <v>1</v>
      </c>
    </row>
    <row r="916" spans="1:14">
      <c r="A916" s="2">
        <v>44486</v>
      </c>
      <c r="B916" t="s">
        <v>20</v>
      </c>
      <c r="C916" s="51">
        <v>15.7</v>
      </c>
      <c r="D916">
        <f>+VLOOKUP(dHdcp[[#This Row],[Handicap]],'Categoría Hdcap'!$B$2:$E$7,4)</f>
        <v>3</v>
      </c>
      <c r="E916" t="s">
        <v>74</v>
      </c>
      <c r="F916" t="s">
        <v>1382</v>
      </c>
      <c r="G916">
        <f>+IF(dHdcp[[#This Row],[Fecha]]=MAX(dHdcp[Fecha]),1,0)</f>
        <v>0</v>
      </c>
      <c r="H916" t="str">
        <f>+dHdcp[[#This Row],[Maximo]]&amp;":"&amp;dHdcp[[#This Row],[Nombre]]</f>
        <v>0:Javier Gonzalez Salvador</v>
      </c>
      <c r="I916" t="str">
        <f>+dHdcp[[#This Row],[Maximo]]&amp;":"&amp;_xlfn.XLOOKUP(dHdcp[[#This Row],[Nombre]],dJugador[Nombre],dJugador[Mote],"",0)</f>
        <v>0:Javi</v>
      </c>
      <c r="J916" t="str">
        <f>+IF(dHdcp[[#This Row],[Maximo]]=0,"",_xlfn.RANK.EQ(dHdcp[[#This Row],[Handicap]],dHdcp[Handicap],1))</f>
        <v/>
      </c>
      <c r="K916" t="str">
        <f>IFERROR(+_xlfn.RANK.EQ(dHdcp[[#This Row],[Ranking]],dHdcp[Ranking],1),"")</f>
        <v/>
      </c>
      <c r="M916" t="str">
        <f>+dHdcp[[#This Row],[Fecha]]&amp;":"&amp;dHdcp[[#This Row],[Nombre]]</f>
        <v>44486:Javier Gonzalez Salvador</v>
      </c>
      <c r="N916">
        <f>+COUNTIF(dHdcp[Columna1],dHdcp[[#This Row],[Columna1]])</f>
        <v>1</v>
      </c>
    </row>
    <row r="917" spans="1:14">
      <c r="A917" s="2">
        <v>44486</v>
      </c>
      <c r="B917" t="s">
        <v>41</v>
      </c>
      <c r="C917" s="51">
        <v>24.2</v>
      </c>
      <c r="D917">
        <f>+VLOOKUP(dHdcp[[#This Row],[Handicap]],'Categoría Hdcap'!$B$2:$E$7,4)</f>
        <v>4</v>
      </c>
      <c r="E917" t="s">
        <v>74</v>
      </c>
      <c r="F917" t="s">
        <v>1383</v>
      </c>
      <c r="G917">
        <f>+IF(dHdcp[[#This Row],[Fecha]]=MAX(dHdcp[Fecha]),1,0)</f>
        <v>0</v>
      </c>
      <c r="H917" t="str">
        <f>+dHdcp[[#This Row],[Maximo]]&amp;":"&amp;dHdcp[[#This Row],[Nombre]]</f>
        <v>0:Jesus Touceda</v>
      </c>
      <c r="I917" t="str">
        <f>+dHdcp[[#This Row],[Maximo]]&amp;":"&amp;_xlfn.XLOOKUP(dHdcp[[#This Row],[Nombre]],dJugador[Nombre],dJugador[Mote],"",0)</f>
        <v>0:Jesús</v>
      </c>
      <c r="J917" t="str">
        <f>+IF(dHdcp[[#This Row],[Maximo]]=0,"",_xlfn.RANK.EQ(dHdcp[[#This Row],[Handicap]],dHdcp[Handicap],1))</f>
        <v/>
      </c>
      <c r="K917" t="str">
        <f>IFERROR(+_xlfn.RANK.EQ(dHdcp[[#This Row],[Ranking]],dHdcp[Ranking],1),"")</f>
        <v/>
      </c>
      <c r="M917" t="str">
        <f>+dHdcp[[#This Row],[Fecha]]&amp;":"&amp;dHdcp[[#This Row],[Nombre]]</f>
        <v>44486:Jesus Touceda</v>
      </c>
      <c r="N917">
        <f>+COUNTIF(dHdcp[Columna1],dHdcp[[#This Row],[Columna1]])</f>
        <v>1</v>
      </c>
    </row>
    <row r="918" spans="1:14">
      <c r="A918" s="2">
        <v>44486</v>
      </c>
      <c r="B918" t="s">
        <v>18</v>
      </c>
      <c r="C918" s="51">
        <v>6.1</v>
      </c>
      <c r="D918">
        <f>+VLOOKUP(dHdcp[[#This Row],[Handicap]],'Categoría Hdcap'!$B$2:$E$7,4)</f>
        <v>2</v>
      </c>
      <c r="E918" t="s">
        <v>74</v>
      </c>
      <c r="F918" t="s">
        <v>1384</v>
      </c>
      <c r="G918">
        <f>+IF(dHdcp[[#This Row],[Fecha]]=MAX(dHdcp[Fecha]),1,0)</f>
        <v>0</v>
      </c>
      <c r="H918" t="str">
        <f>+dHdcp[[#This Row],[Maximo]]&amp;":"&amp;dHdcp[[#This Row],[Nombre]]</f>
        <v>0:José Pablo Guil</v>
      </c>
      <c r="I918" t="str">
        <f>+dHdcp[[#This Row],[Maximo]]&amp;":"&amp;_xlfn.XLOOKUP(dHdcp[[#This Row],[Nombre]],dJugador[Nombre],dJugador[Mote],"",0)</f>
        <v>0:JP</v>
      </c>
      <c r="J918" t="str">
        <f>+IF(dHdcp[[#This Row],[Maximo]]=0,"",_xlfn.RANK.EQ(dHdcp[[#This Row],[Handicap]],dHdcp[Handicap],1))</f>
        <v/>
      </c>
      <c r="K918" t="str">
        <f>IFERROR(+_xlfn.RANK.EQ(dHdcp[[#This Row],[Ranking]],dHdcp[Ranking],1),"")</f>
        <v/>
      </c>
      <c r="M918" t="str">
        <f>+dHdcp[[#This Row],[Fecha]]&amp;":"&amp;dHdcp[[#This Row],[Nombre]]</f>
        <v>44486:José Pablo Guil</v>
      </c>
      <c r="N918">
        <f>+COUNTIF(dHdcp[Columna1],dHdcp[[#This Row],[Columna1]])</f>
        <v>1</v>
      </c>
    </row>
    <row r="919" spans="1:14">
      <c r="A919" s="2">
        <v>44486</v>
      </c>
      <c r="B919" t="s">
        <v>43</v>
      </c>
      <c r="C919" s="51">
        <v>18.3</v>
      </c>
      <c r="D919">
        <f>+VLOOKUP(dHdcp[[#This Row],[Handicap]],'Categoría Hdcap'!$B$2:$E$7,4)</f>
        <v>3</v>
      </c>
      <c r="E919" t="s">
        <v>74</v>
      </c>
      <c r="F919" t="s">
        <v>1385</v>
      </c>
      <c r="G919">
        <f>+IF(dHdcp[[#This Row],[Fecha]]=MAX(dHdcp[Fecha]),1,0)</f>
        <v>0</v>
      </c>
      <c r="H919" t="str">
        <f>+dHdcp[[#This Row],[Maximo]]&amp;":"&amp;dHdcp[[#This Row],[Nombre]]</f>
        <v>0:Luis Escudero</v>
      </c>
      <c r="I919" t="str">
        <f>+dHdcp[[#This Row],[Maximo]]&amp;":"&amp;_xlfn.XLOOKUP(dHdcp[[#This Row],[Nombre]],dJugador[Nombre],dJugador[Mote],"",0)</f>
        <v>0:Lucho</v>
      </c>
      <c r="J919" t="str">
        <f>+IF(dHdcp[[#This Row],[Maximo]]=0,"",_xlfn.RANK.EQ(dHdcp[[#This Row],[Handicap]],dHdcp[Handicap],1))</f>
        <v/>
      </c>
      <c r="K919" t="str">
        <f>IFERROR(+_xlfn.RANK.EQ(dHdcp[[#This Row],[Ranking]],dHdcp[Ranking],1),"")</f>
        <v/>
      </c>
      <c r="M919" t="str">
        <f>+dHdcp[[#This Row],[Fecha]]&amp;":"&amp;dHdcp[[#This Row],[Nombre]]</f>
        <v>44486:Luis Escudero</v>
      </c>
      <c r="N919">
        <f>+COUNTIF(dHdcp[Columna1],dHdcp[[#This Row],[Columna1]])</f>
        <v>1</v>
      </c>
    </row>
    <row r="920" spans="1:14">
      <c r="A920" s="2">
        <v>44486</v>
      </c>
      <c r="B920" s="10" t="s">
        <v>135</v>
      </c>
      <c r="C920" s="53">
        <v>22.6</v>
      </c>
      <c r="D920" s="10">
        <f>+VLOOKUP(dHdcp[[#This Row],[Handicap]],'Categoría Hdcap'!$B$2:$E$7,4)</f>
        <v>4</v>
      </c>
      <c r="E920" s="10" t="s">
        <v>74</v>
      </c>
      <c r="F920" s="10" t="s">
        <v>1386</v>
      </c>
      <c r="G920">
        <f>+IF(dHdcp[[#This Row],[Fecha]]=MAX(dHdcp[Fecha]),1,0)</f>
        <v>0</v>
      </c>
      <c r="H920" t="str">
        <f>+dHdcp[[#This Row],[Maximo]]&amp;":"&amp;dHdcp[[#This Row],[Nombre]]</f>
        <v>0:Miche Lopez</v>
      </c>
      <c r="I920" t="str">
        <f>+dHdcp[[#This Row],[Maximo]]&amp;":"&amp;_xlfn.XLOOKUP(dHdcp[[#This Row],[Nombre]],dJugador[Nombre],dJugador[Mote],"",0)</f>
        <v>0:Miche</v>
      </c>
      <c r="J920" t="str">
        <f>+IF(dHdcp[[#This Row],[Maximo]]=0,"",_xlfn.RANK.EQ(dHdcp[[#This Row],[Handicap]],dHdcp[Handicap],1))</f>
        <v/>
      </c>
      <c r="K920" t="str">
        <f>IFERROR(+_xlfn.RANK.EQ(dHdcp[[#This Row],[Ranking]],dHdcp[Ranking],1),"")</f>
        <v/>
      </c>
      <c r="M920" t="str">
        <f>+dHdcp[[#This Row],[Fecha]]&amp;":"&amp;dHdcp[[#This Row],[Nombre]]</f>
        <v>44486:Miche Lopez</v>
      </c>
      <c r="N920">
        <f>+COUNTIF(dHdcp[Columna1],dHdcp[[#This Row],[Columna1]])</f>
        <v>1</v>
      </c>
    </row>
    <row r="921" spans="1:14">
      <c r="A921" s="2">
        <v>44486</v>
      </c>
      <c r="B921" t="s">
        <v>51</v>
      </c>
      <c r="C921" s="51">
        <v>-1.4</v>
      </c>
      <c r="D921">
        <f>+VLOOKUP(dHdcp[[#This Row],[Handicap]],'Categoría Hdcap'!$B$2:$E$7,4)</f>
        <v>1</v>
      </c>
      <c r="E921" t="s">
        <v>74</v>
      </c>
      <c r="F921" t="s">
        <v>1387</v>
      </c>
      <c r="G921">
        <f>+IF(dHdcp[[#This Row],[Fecha]]=MAX(dHdcp[Fecha]),1,0)</f>
        <v>0</v>
      </c>
      <c r="H921" t="str">
        <f>+dHdcp[[#This Row],[Maximo]]&amp;":"&amp;dHdcp[[#This Row],[Nombre]]</f>
        <v>0:Miguel Diaz Del Moral</v>
      </c>
      <c r="I921" t="str">
        <f>+dHdcp[[#This Row],[Maximo]]&amp;":"&amp;_xlfn.XLOOKUP(dHdcp[[#This Row],[Nombre]],dJugador[Nombre],dJugador[Mote],"",0)</f>
        <v>0:Cañita</v>
      </c>
      <c r="J921" t="str">
        <f>+IF(dHdcp[[#This Row],[Maximo]]=0,"",_xlfn.RANK.EQ(dHdcp[[#This Row],[Handicap]],dHdcp[Handicap],1))</f>
        <v/>
      </c>
      <c r="K921" t="str">
        <f>IFERROR(+_xlfn.RANK.EQ(dHdcp[[#This Row],[Ranking]],dHdcp[Ranking],1),"")</f>
        <v/>
      </c>
      <c r="M921" t="str">
        <f>+dHdcp[[#This Row],[Fecha]]&amp;":"&amp;dHdcp[[#This Row],[Nombre]]</f>
        <v>44486:Miguel Diaz Del Moral</v>
      </c>
      <c r="N921">
        <f>+COUNTIF(dHdcp[Columna1],dHdcp[[#This Row],[Columna1]])</f>
        <v>1</v>
      </c>
    </row>
    <row r="922" spans="1:14">
      <c r="A922" s="2">
        <v>44486</v>
      </c>
      <c r="B922" t="s">
        <v>3</v>
      </c>
      <c r="C922" s="51">
        <v>5.8</v>
      </c>
      <c r="D922">
        <f>+VLOOKUP(dHdcp[[#This Row],[Handicap]],'Categoría Hdcap'!$B$2:$E$7,4)</f>
        <v>2</v>
      </c>
      <c r="E922" t="s">
        <v>74</v>
      </c>
      <c r="F922" t="s">
        <v>1388</v>
      </c>
      <c r="G922">
        <f>+IF(dHdcp[[#This Row],[Fecha]]=MAX(dHdcp[Fecha]),1,0)</f>
        <v>0</v>
      </c>
      <c r="H922" t="str">
        <f>+dHdcp[[#This Row],[Maximo]]&amp;":"&amp;dHdcp[[#This Row],[Nombre]]</f>
        <v>0:Nacho Gonzalez</v>
      </c>
      <c r="I922" t="str">
        <f>+dHdcp[[#This Row],[Maximo]]&amp;":"&amp;_xlfn.XLOOKUP(dHdcp[[#This Row],[Nombre]],dJugador[Nombre],dJugador[Mote],"",0)</f>
        <v>0:Nacho</v>
      </c>
      <c r="J922" t="str">
        <f>+IF(dHdcp[[#This Row],[Maximo]]=0,"",_xlfn.RANK.EQ(dHdcp[[#This Row],[Handicap]],dHdcp[Handicap],1))</f>
        <v/>
      </c>
      <c r="K922" t="str">
        <f>IFERROR(+_xlfn.RANK.EQ(dHdcp[[#This Row],[Ranking]],dHdcp[Ranking],1),"")</f>
        <v/>
      </c>
      <c r="M922" t="str">
        <f>+dHdcp[[#This Row],[Fecha]]&amp;":"&amp;dHdcp[[#This Row],[Nombre]]</f>
        <v>44486:Nacho Gonzalez</v>
      </c>
      <c r="N922">
        <f>+COUNTIF(dHdcp[Columna1],dHdcp[[#This Row],[Columna1]])</f>
        <v>1</v>
      </c>
    </row>
    <row r="923" spans="1:14">
      <c r="A923" s="2">
        <v>44486</v>
      </c>
      <c r="B923" t="s">
        <v>28</v>
      </c>
      <c r="C923" s="51">
        <v>13.7</v>
      </c>
      <c r="D923">
        <f>+VLOOKUP(dHdcp[[#This Row],[Handicap]],'Categoría Hdcap'!$B$2:$E$7,4)</f>
        <v>3</v>
      </c>
      <c r="E923" t="s">
        <v>74</v>
      </c>
      <c r="F923" t="s">
        <v>1389</v>
      </c>
      <c r="G923">
        <f>+IF(dHdcp[[#This Row],[Fecha]]=MAX(dHdcp[Fecha]),1,0)</f>
        <v>0</v>
      </c>
      <c r="H923" t="str">
        <f>+dHdcp[[#This Row],[Maximo]]&amp;":"&amp;dHdcp[[#This Row],[Nombre]]</f>
        <v>0:Pablo Munitiz</v>
      </c>
      <c r="I923" t="str">
        <f>+dHdcp[[#This Row],[Maximo]]&amp;":"&amp;_xlfn.XLOOKUP(dHdcp[[#This Row],[Nombre]],dJugador[Nombre],dJugador[Mote],"",0)</f>
        <v>0:Muni</v>
      </c>
      <c r="J923" t="str">
        <f>+IF(dHdcp[[#This Row],[Maximo]]=0,"",_xlfn.RANK.EQ(dHdcp[[#This Row],[Handicap]],dHdcp[Handicap],1))</f>
        <v/>
      </c>
      <c r="K923" t="str">
        <f>IFERROR(+_xlfn.RANK.EQ(dHdcp[[#This Row],[Ranking]],dHdcp[Ranking],1),"")</f>
        <v/>
      </c>
      <c r="M923" t="str">
        <f>+dHdcp[[#This Row],[Fecha]]&amp;":"&amp;dHdcp[[#This Row],[Nombre]]</f>
        <v>44486:Pablo Munitiz</v>
      </c>
      <c r="N923">
        <f>+COUNTIF(dHdcp[Columna1],dHdcp[[#This Row],[Columna1]])</f>
        <v>1</v>
      </c>
    </row>
    <row r="924" spans="1:14">
      <c r="A924" s="2">
        <v>44513</v>
      </c>
      <c r="B924" t="s">
        <v>9</v>
      </c>
      <c r="C924" s="51">
        <v>10.4</v>
      </c>
      <c r="D924">
        <f>+VLOOKUP(dHdcp[[#This Row],[Handicap]],'Categoría Hdcap'!$B$2:$E$7,4)</f>
        <v>2</v>
      </c>
      <c r="E924" t="s">
        <v>74</v>
      </c>
      <c r="F924" t="s">
        <v>1390</v>
      </c>
      <c r="G924">
        <f>+IF(dHdcp[[#This Row],[Fecha]]=MAX(dHdcp[Fecha]),1,0)</f>
        <v>0</v>
      </c>
      <c r="H924" t="str">
        <f>+dHdcp[[#This Row],[Maximo]]&amp;":"&amp;dHdcp[[#This Row],[Nombre]]</f>
        <v>0:Alfonso Hidalgo</v>
      </c>
      <c r="I924" t="str">
        <f>+dHdcp[[#This Row],[Maximo]]&amp;":"&amp;_xlfn.XLOOKUP(dHdcp[[#This Row],[Nombre]],dJugador[Nombre],dJugador[Mote],"",0)</f>
        <v>0:Alfonso</v>
      </c>
      <c r="J924" t="str">
        <f>+IF(dHdcp[[#This Row],[Maximo]]=0,"",_xlfn.RANK.EQ(dHdcp[[#This Row],[Handicap]],dHdcp[Handicap],1))</f>
        <v/>
      </c>
      <c r="K924" t="str">
        <f>IFERROR(+_xlfn.RANK.EQ(dHdcp[[#This Row],[Ranking]],dHdcp[Ranking],1),"")</f>
        <v/>
      </c>
      <c r="M924" t="str">
        <f>+dHdcp[[#This Row],[Fecha]]&amp;":"&amp;dHdcp[[#This Row],[Nombre]]</f>
        <v>44513:Alfonso Hidalgo</v>
      </c>
      <c r="N924">
        <f>+COUNTIF(dHdcp[Columna1],dHdcp[[#This Row],[Columna1]])</f>
        <v>1</v>
      </c>
    </row>
    <row r="925" spans="1:14">
      <c r="A925" s="2">
        <v>44513</v>
      </c>
      <c r="B925" t="s">
        <v>15</v>
      </c>
      <c r="C925" s="51">
        <v>6.7</v>
      </c>
      <c r="D925">
        <f>+VLOOKUP(dHdcp[[#This Row],[Handicap]],'Categoría Hdcap'!$B$2:$E$7,4)</f>
        <v>2</v>
      </c>
      <c r="E925" t="s">
        <v>74</v>
      </c>
      <c r="F925" t="s">
        <v>1391</v>
      </c>
      <c r="G925">
        <f>+IF(dHdcp[[#This Row],[Fecha]]=MAX(dHdcp[Fecha]),1,0)</f>
        <v>0</v>
      </c>
      <c r="H925" t="str">
        <f>+dHdcp[[#This Row],[Maximo]]&amp;":"&amp;dHdcp[[#This Row],[Nombre]]</f>
        <v>0:Alvaro Aguirre</v>
      </c>
      <c r="I925" t="str">
        <f>+dHdcp[[#This Row],[Maximo]]&amp;":"&amp;_xlfn.XLOOKUP(dHdcp[[#This Row],[Nombre]],dJugador[Nombre],dJugador[Mote],"",0)</f>
        <v>0:Gifu</v>
      </c>
      <c r="J925" t="str">
        <f>+IF(dHdcp[[#This Row],[Maximo]]=0,"",_xlfn.RANK.EQ(dHdcp[[#This Row],[Handicap]],dHdcp[Handicap],1))</f>
        <v/>
      </c>
      <c r="K925" t="str">
        <f>IFERROR(+_xlfn.RANK.EQ(dHdcp[[#This Row],[Ranking]],dHdcp[Ranking],1),"")</f>
        <v/>
      </c>
      <c r="M925" t="str">
        <f>+dHdcp[[#This Row],[Fecha]]&amp;":"&amp;dHdcp[[#This Row],[Nombre]]</f>
        <v>44513:Alvaro Aguirre</v>
      </c>
      <c r="N925">
        <f>+COUNTIF(dHdcp[Columna1],dHdcp[[#This Row],[Columna1]])</f>
        <v>1</v>
      </c>
    </row>
    <row r="926" spans="1:14">
      <c r="A926" s="2">
        <v>44513</v>
      </c>
      <c r="B926" t="s">
        <v>25</v>
      </c>
      <c r="C926" s="51">
        <v>12.7</v>
      </c>
      <c r="D926">
        <f>+VLOOKUP(dHdcp[[#This Row],[Handicap]],'Categoría Hdcap'!$B$2:$E$7,4)</f>
        <v>3</v>
      </c>
      <c r="E926" t="s">
        <v>74</v>
      </c>
      <c r="F926" t="s">
        <v>1392</v>
      </c>
      <c r="G926">
        <f>+IF(dHdcp[[#This Row],[Fecha]]=MAX(dHdcp[Fecha]),1,0)</f>
        <v>0</v>
      </c>
      <c r="H926" t="str">
        <f>+dHdcp[[#This Row],[Maximo]]&amp;":"&amp;dHdcp[[#This Row],[Nombre]]</f>
        <v>0:Alvaro Nieto</v>
      </c>
      <c r="I926" t="str">
        <f>+dHdcp[[#This Row],[Maximo]]&amp;":"&amp;_xlfn.XLOOKUP(dHdcp[[#This Row],[Nombre]],dJugador[Nombre],dJugador[Mote],"",0)</f>
        <v>0:Alvaro</v>
      </c>
      <c r="J926" t="str">
        <f>+IF(dHdcp[[#This Row],[Maximo]]=0,"",_xlfn.RANK.EQ(dHdcp[[#This Row],[Handicap]],dHdcp[Handicap],1))</f>
        <v/>
      </c>
      <c r="K926" t="str">
        <f>IFERROR(+_xlfn.RANK.EQ(dHdcp[[#This Row],[Ranking]],dHdcp[Ranking],1),"")</f>
        <v/>
      </c>
      <c r="M926" t="str">
        <f>+dHdcp[[#This Row],[Fecha]]&amp;":"&amp;dHdcp[[#This Row],[Nombre]]</f>
        <v>44513:Alvaro Nieto</v>
      </c>
      <c r="N926">
        <f>+COUNTIF(dHdcp[Columna1],dHdcp[[#This Row],[Columna1]])</f>
        <v>1</v>
      </c>
    </row>
    <row r="927" spans="1:14">
      <c r="A927" s="2">
        <v>44513</v>
      </c>
      <c r="B927" t="s">
        <v>33</v>
      </c>
      <c r="C927" s="51">
        <v>7.6</v>
      </c>
      <c r="D927">
        <f>+VLOOKUP(dHdcp[[#This Row],[Handicap]],'Categoría Hdcap'!$B$2:$E$7,4)</f>
        <v>2</v>
      </c>
      <c r="E927" t="s">
        <v>74</v>
      </c>
      <c r="F927" t="s">
        <v>1393</v>
      </c>
      <c r="G927">
        <f>+IF(dHdcp[[#This Row],[Fecha]]=MAX(dHdcp[Fecha]),1,0)</f>
        <v>0</v>
      </c>
      <c r="H927" t="str">
        <f>+dHdcp[[#This Row],[Maximo]]&amp;":"&amp;dHdcp[[#This Row],[Nombre]]</f>
        <v>0:Angel Hernandez</v>
      </c>
      <c r="I927" t="str">
        <f>+dHdcp[[#This Row],[Maximo]]&amp;":"&amp;_xlfn.XLOOKUP(dHdcp[[#This Row],[Nombre]],dJugador[Nombre],dJugador[Mote],"",0)</f>
        <v>0:Angel</v>
      </c>
      <c r="J927" t="str">
        <f>+IF(dHdcp[[#This Row],[Maximo]]=0,"",_xlfn.RANK.EQ(dHdcp[[#This Row],[Handicap]],dHdcp[Handicap],1))</f>
        <v/>
      </c>
      <c r="K927" t="str">
        <f>IFERROR(+_xlfn.RANK.EQ(dHdcp[[#This Row],[Ranking]],dHdcp[Ranking],1),"")</f>
        <v/>
      </c>
      <c r="M927" t="str">
        <f>+dHdcp[[#This Row],[Fecha]]&amp;":"&amp;dHdcp[[#This Row],[Nombre]]</f>
        <v>44513:Angel Hernandez</v>
      </c>
      <c r="N927">
        <f>+COUNTIF(dHdcp[Columna1],dHdcp[[#This Row],[Columna1]])</f>
        <v>1</v>
      </c>
    </row>
    <row r="928" spans="1:14">
      <c r="A928" s="2">
        <v>44513</v>
      </c>
      <c r="B928" t="s">
        <v>30</v>
      </c>
      <c r="C928" s="51">
        <v>12.2</v>
      </c>
      <c r="D928">
        <f>+VLOOKUP(dHdcp[[#This Row],[Handicap]],'Categoría Hdcap'!$B$2:$E$7,4)</f>
        <v>3</v>
      </c>
      <c r="E928" t="s">
        <v>74</v>
      </c>
      <c r="F928" t="s">
        <v>1394</v>
      </c>
      <c r="G928">
        <f>+IF(dHdcp[[#This Row],[Fecha]]=MAX(dHdcp[Fecha]),1,0)</f>
        <v>0</v>
      </c>
      <c r="H928" t="str">
        <f>+dHdcp[[#This Row],[Maximo]]&amp;":"&amp;dHdcp[[#This Row],[Nombre]]</f>
        <v>0:David Sequera</v>
      </c>
      <c r="I928" t="str">
        <f>+dHdcp[[#This Row],[Maximo]]&amp;":"&amp;_xlfn.XLOOKUP(dHdcp[[#This Row],[Nombre]],dJugador[Nombre],dJugador[Mote],"",0)</f>
        <v>0:David</v>
      </c>
      <c r="J928" t="str">
        <f>+IF(dHdcp[[#This Row],[Maximo]]=0,"",_xlfn.RANK.EQ(dHdcp[[#This Row],[Handicap]],dHdcp[Handicap],1))</f>
        <v/>
      </c>
      <c r="K928" t="str">
        <f>IFERROR(+_xlfn.RANK.EQ(dHdcp[[#This Row],[Ranking]],dHdcp[Ranking],1),"")</f>
        <v/>
      </c>
      <c r="M928" t="str">
        <f>+dHdcp[[#This Row],[Fecha]]&amp;":"&amp;dHdcp[[#This Row],[Nombre]]</f>
        <v>44513:David Sequera</v>
      </c>
      <c r="N928">
        <f>+COUNTIF(dHdcp[Columna1],dHdcp[[#This Row],[Columna1]])</f>
        <v>1</v>
      </c>
    </row>
    <row r="929" spans="1:14">
      <c r="A929" s="2">
        <v>44513</v>
      </c>
      <c r="B929" t="s">
        <v>12</v>
      </c>
      <c r="C929" s="51">
        <v>14.8</v>
      </c>
      <c r="D929">
        <f>+VLOOKUP(dHdcp[[#This Row],[Handicap]],'Categoría Hdcap'!$B$2:$E$7,4)</f>
        <v>3</v>
      </c>
      <c r="E929" t="s">
        <v>74</v>
      </c>
      <c r="F929" t="s">
        <v>1395</v>
      </c>
      <c r="G929">
        <f>+IF(dHdcp[[#This Row],[Fecha]]=MAX(dHdcp[Fecha]),1,0)</f>
        <v>0</v>
      </c>
      <c r="H929" t="str">
        <f>+dHdcp[[#This Row],[Maximo]]&amp;":"&amp;dHdcp[[#This Row],[Nombre]]</f>
        <v>0:Francisco Alvarez</v>
      </c>
      <c r="I929" t="str">
        <f>+dHdcp[[#This Row],[Maximo]]&amp;":"&amp;_xlfn.XLOOKUP(dHdcp[[#This Row],[Nombre]],dJugador[Nombre],dJugador[Mote],"",0)</f>
        <v>0:Paco</v>
      </c>
      <c r="J929" t="str">
        <f>+IF(dHdcp[[#This Row],[Maximo]]=0,"",_xlfn.RANK.EQ(dHdcp[[#This Row],[Handicap]],dHdcp[Handicap],1))</f>
        <v/>
      </c>
      <c r="K929" t="str">
        <f>IFERROR(+_xlfn.RANK.EQ(dHdcp[[#This Row],[Ranking]],dHdcp[Ranking],1),"")</f>
        <v/>
      </c>
      <c r="M929" t="str">
        <f>+dHdcp[[#This Row],[Fecha]]&amp;":"&amp;dHdcp[[#This Row],[Nombre]]</f>
        <v>44513:Francisco Alvarez</v>
      </c>
      <c r="N929">
        <f>+COUNTIF(dHdcp[Columna1],dHdcp[[#This Row],[Columna1]])</f>
        <v>1</v>
      </c>
    </row>
    <row r="930" spans="1:14">
      <c r="A930" s="2">
        <v>44513</v>
      </c>
      <c r="B930" t="s">
        <v>49</v>
      </c>
      <c r="C930" s="51">
        <v>13.2</v>
      </c>
      <c r="D930">
        <f>+VLOOKUP(dHdcp[[#This Row],[Handicap]],'Categoría Hdcap'!$B$2:$E$7,4)</f>
        <v>3</v>
      </c>
      <c r="E930" t="s">
        <v>74</v>
      </c>
      <c r="F930" t="s">
        <v>1396</v>
      </c>
      <c r="G930">
        <f>+IF(dHdcp[[#This Row],[Fecha]]=MAX(dHdcp[Fecha]),1,0)</f>
        <v>0</v>
      </c>
      <c r="H930" t="str">
        <f>+dHdcp[[#This Row],[Maximo]]&amp;":"&amp;dHdcp[[#This Row],[Nombre]]</f>
        <v>0:Francisco Hidalgo</v>
      </c>
      <c r="I930" t="str">
        <f>+dHdcp[[#This Row],[Maximo]]&amp;":"&amp;_xlfn.XLOOKUP(dHdcp[[#This Row],[Nombre]],dJugador[Nombre],dJugador[Mote],"",0)</f>
        <v>0:Fran</v>
      </c>
      <c r="J930" t="str">
        <f>+IF(dHdcp[[#This Row],[Maximo]]=0,"",_xlfn.RANK.EQ(dHdcp[[#This Row],[Handicap]],dHdcp[Handicap],1))</f>
        <v/>
      </c>
      <c r="K930" t="str">
        <f>IFERROR(+_xlfn.RANK.EQ(dHdcp[[#This Row],[Ranking]],dHdcp[Ranking],1),"")</f>
        <v/>
      </c>
      <c r="M930" t="str">
        <f>+dHdcp[[#This Row],[Fecha]]&amp;":"&amp;dHdcp[[#This Row],[Nombre]]</f>
        <v>44513:Francisco Hidalgo</v>
      </c>
      <c r="N930">
        <f>+COUNTIF(dHdcp[Columna1],dHdcp[[#This Row],[Columna1]])</f>
        <v>1</v>
      </c>
    </row>
    <row r="931" spans="1:14">
      <c r="A931" s="2">
        <v>44513</v>
      </c>
      <c r="B931" t="s">
        <v>35</v>
      </c>
      <c r="C931" s="51">
        <v>18.100000000000001</v>
      </c>
      <c r="D931">
        <f>+VLOOKUP(dHdcp[[#This Row],[Handicap]],'Categoría Hdcap'!$B$2:$E$7,4)</f>
        <v>3</v>
      </c>
      <c r="E931" t="s">
        <v>74</v>
      </c>
      <c r="F931" t="s">
        <v>1397</v>
      </c>
      <c r="G931">
        <f>+IF(dHdcp[[#This Row],[Fecha]]=MAX(dHdcp[Fecha]),1,0)</f>
        <v>0</v>
      </c>
      <c r="H931" t="str">
        <f>+dHdcp[[#This Row],[Maximo]]&amp;":"&amp;dHdcp[[#This Row],[Nombre]]</f>
        <v>0:GLEZ JUAN JOSÉ</v>
      </c>
      <c r="I931" t="str">
        <f>+dHdcp[[#This Row],[Maximo]]&amp;":"&amp;_xlfn.XLOOKUP(dHdcp[[#This Row],[Nombre]],dJugador[Nombre],dJugador[Mote],"",0)</f>
        <v>0:Juanjo</v>
      </c>
      <c r="J931" t="str">
        <f>+IF(dHdcp[[#This Row],[Maximo]]=0,"",_xlfn.RANK.EQ(dHdcp[[#This Row],[Handicap]],dHdcp[Handicap],1))</f>
        <v/>
      </c>
      <c r="K931" t="str">
        <f>IFERROR(+_xlfn.RANK.EQ(dHdcp[[#This Row],[Ranking]],dHdcp[Ranking],1),"")</f>
        <v/>
      </c>
      <c r="M931" t="str">
        <f>+dHdcp[[#This Row],[Fecha]]&amp;":"&amp;dHdcp[[#This Row],[Nombre]]</f>
        <v>44513:GLEZ JUAN JOSÉ</v>
      </c>
      <c r="N931">
        <f>+COUNTIF(dHdcp[Columna1],dHdcp[[#This Row],[Columna1]])</f>
        <v>1</v>
      </c>
    </row>
    <row r="932" spans="1:14">
      <c r="A932" s="2">
        <v>44513</v>
      </c>
      <c r="B932" t="s">
        <v>6</v>
      </c>
      <c r="C932" s="51">
        <v>8</v>
      </c>
      <c r="D932">
        <f>+VLOOKUP(dHdcp[[#This Row],[Handicap]],'Categoría Hdcap'!$B$2:$E$7,4)</f>
        <v>2</v>
      </c>
      <c r="E932" t="s">
        <v>74</v>
      </c>
      <c r="F932" t="s">
        <v>1398</v>
      </c>
      <c r="G932">
        <f>+IF(dHdcp[[#This Row],[Fecha]]=MAX(dHdcp[Fecha]),1,0)</f>
        <v>0</v>
      </c>
      <c r="H932" t="str">
        <f>+dHdcp[[#This Row],[Maximo]]&amp;":"&amp;dHdcp[[#This Row],[Nombre]]</f>
        <v>0:Ignacio Cadarso</v>
      </c>
      <c r="I932" t="str">
        <f>+dHdcp[[#This Row],[Maximo]]&amp;":"&amp;_xlfn.XLOOKUP(dHdcp[[#This Row],[Nombre]],dJugador[Nombre],dJugador[Mote],"",0)</f>
        <v>0:Ignacio</v>
      </c>
      <c r="J932" t="str">
        <f>+IF(dHdcp[[#This Row],[Maximo]]=0,"",_xlfn.RANK.EQ(dHdcp[[#This Row],[Handicap]],dHdcp[Handicap],1))</f>
        <v/>
      </c>
      <c r="K932" t="str">
        <f>IFERROR(+_xlfn.RANK.EQ(dHdcp[[#This Row],[Ranking]],dHdcp[Ranking],1),"")</f>
        <v/>
      </c>
      <c r="M932" t="str">
        <f>+dHdcp[[#This Row],[Fecha]]&amp;":"&amp;dHdcp[[#This Row],[Nombre]]</f>
        <v>44513:Ignacio Cadarso</v>
      </c>
      <c r="N932">
        <f>+COUNTIF(dHdcp[Columna1],dHdcp[[#This Row],[Columna1]])</f>
        <v>1</v>
      </c>
    </row>
    <row r="933" spans="1:14">
      <c r="A933" s="2">
        <v>44513</v>
      </c>
      <c r="B933" t="s">
        <v>23</v>
      </c>
      <c r="C933" s="51">
        <v>18.5</v>
      </c>
      <c r="D933">
        <f>+VLOOKUP(dHdcp[[#This Row],[Handicap]],'Categoría Hdcap'!$B$2:$E$7,4)</f>
        <v>4</v>
      </c>
      <c r="E933" t="s">
        <v>74</v>
      </c>
      <c r="F933" t="s">
        <v>1399</v>
      </c>
      <c r="G933">
        <f>+IF(dHdcp[[#This Row],[Fecha]]=MAX(dHdcp[Fecha]),1,0)</f>
        <v>0</v>
      </c>
      <c r="H933" t="str">
        <f>+dHdcp[[#This Row],[Maximo]]&amp;":"&amp;dHdcp[[#This Row],[Nombre]]</f>
        <v>0:J. Enrique Gonzalez</v>
      </c>
      <c r="I933" t="str">
        <f>+dHdcp[[#This Row],[Maximo]]&amp;":"&amp;_xlfn.XLOOKUP(dHdcp[[#This Row],[Nombre]],dJugador[Nombre],dJugador[Mote],"",0)</f>
        <v>0:Kike</v>
      </c>
      <c r="J933" t="str">
        <f>+IF(dHdcp[[#This Row],[Maximo]]=0,"",_xlfn.RANK.EQ(dHdcp[[#This Row],[Handicap]],dHdcp[Handicap],1))</f>
        <v/>
      </c>
      <c r="K933" t="str">
        <f>IFERROR(+_xlfn.RANK.EQ(dHdcp[[#This Row],[Ranking]],dHdcp[Ranking],1),"")</f>
        <v/>
      </c>
      <c r="M933" t="str">
        <f>+dHdcp[[#This Row],[Fecha]]&amp;":"&amp;dHdcp[[#This Row],[Nombre]]</f>
        <v>44513:J. Enrique Gonzalez</v>
      </c>
      <c r="N933">
        <f>+COUNTIF(dHdcp[Columna1],dHdcp[[#This Row],[Columna1]])</f>
        <v>1</v>
      </c>
    </row>
    <row r="934" spans="1:14">
      <c r="A934" s="2">
        <v>44513</v>
      </c>
      <c r="B934" t="s">
        <v>46</v>
      </c>
      <c r="C934" s="51">
        <v>17</v>
      </c>
      <c r="D934">
        <f>+VLOOKUP(dHdcp[[#This Row],[Handicap]],'Categoría Hdcap'!$B$2:$E$7,4)</f>
        <v>3</v>
      </c>
      <c r="E934" t="s">
        <v>74</v>
      </c>
      <c r="F934" t="s">
        <v>1400</v>
      </c>
      <c r="G934">
        <f>+IF(dHdcp[[#This Row],[Fecha]]=MAX(dHdcp[Fecha]),1,0)</f>
        <v>0</v>
      </c>
      <c r="H934" t="str">
        <f>+dHdcp[[#This Row],[Maximo]]&amp;":"&amp;dHdcp[[#This Row],[Nombre]]</f>
        <v>0:Javier Cervera</v>
      </c>
      <c r="I934" t="str">
        <f>+dHdcp[[#This Row],[Maximo]]&amp;":"&amp;_xlfn.XLOOKUP(dHdcp[[#This Row],[Nombre]],dJugador[Nombre],dJugador[Mote],"",0)</f>
        <v>0:Virus</v>
      </c>
      <c r="J934" t="str">
        <f>+IF(dHdcp[[#This Row],[Maximo]]=0,"",_xlfn.RANK.EQ(dHdcp[[#This Row],[Handicap]],dHdcp[Handicap],1))</f>
        <v/>
      </c>
      <c r="K934" t="str">
        <f>IFERROR(+_xlfn.RANK.EQ(dHdcp[[#This Row],[Ranking]],dHdcp[Ranking],1),"")</f>
        <v/>
      </c>
      <c r="M934" t="str">
        <f>+dHdcp[[#This Row],[Fecha]]&amp;":"&amp;dHdcp[[#This Row],[Nombre]]</f>
        <v>44513:Javier Cervera</v>
      </c>
      <c r="N934">
        <f>+COUNTIF(dHdcp[Columna1],dHdcp[[#This Row],[Columna1]])</f>
        <v>1</v>
      </c>
    </row>
    <row r="935" spans="1:14">
      <c r="A935" s="2">
        <v>44513</v>
      </c>
      <c r="B935" t="s">
        <v>20</v>
      </c>
      <c r="C935" s="51">
        <v>15.7</v>
      </c>
      <c r="D935">
        <f>+VLOOKUP(dHdcp[[#This Row],[Handicap]],'Categoría Hdcap'!$B$2:$E$7,4)</f>
        <v>3</v>
      </c>
      <c r="E935" t="s">
        <v>74</v>
      </c>
      <c r="F935" t="s">
        <v>1401</v>
      </c>
      <c r="G935">
        <f>+IF(dHdcp[[#This Row],[Fecha]]=MAX(dHdcp[Fecha]),1,0)</f>
        <v>0</v>
      </c>
      <c r="H935" t="str">
        <f>+dHdcp[[#This Row],[Maximo]]&amp;":"&amp;dHdcp[[#This Row],[Nombre]]</f>
        <v>0:Javier Gonzalez Salvador</v>
      </c>
      <c r="I935" t="str">
        <f>+dHdcp[[#This Row],[Maximo]]&amp;":"&amp;_xlfn.XLOOKUP(dHdcp[[#This Row],[Nombre]],dJugador[Nombre],dJugador[Mote],"",0)</f>
        <v>0:Javi</v>
      </c>
      <c r="J935" t="str">
        <f>+IF(dHdcp[[#This Row],[Maximo]]=0,"",_xlfn.RANK.EQ(dHdcp[[#This Row],[Handicap]],dHdcp[Handicap],1))</f>
        <v/>
      </c>
      <c r="K935" t="str">
        <f>IFERROR(+_xlfn.RANK.EQ(dHdcp[[#This Row],[Ranking]],dHdcp[Ranking],1),"")</f>
        <v/>
      </c>
      <c r="M935" t="str">
        <f>+dHdcp[[#This Row],[Fecha]]&amp;":"&amp;dHdcp[[#This Row],[Nombre]]</f>
        <v>44513:Javier Gonzalez Salvador</v>
      </c>
      <c r="N935">
        <f>+COUNTIF(dHdcp[Columna1],dHdcp[[#This Row],[Columna1]])</f>
        <v>1</v>
      </c>
    </row>
    <row r="936" spans="1:14">
      <c r="A936" s="2">
        <v>44513</v>
      </c>
      <c r="B936" t="s">
        <v>41</v>
      </c>
      <c r="C936" s="51">
        <v>25.1</v>
      </c>
      <c r="D936">
        <f>+VLOOKUP(dHdcp[[#This Row],[Handicap]],'Categoría Hdcap'!$B$2:$E$7,4)</f>
        <v>4</v>
      </c>
      <c r="E936" t="s">
        <v>74</v>
      </c>
      <c r="F936" t="s">
        <v>1402</v>
      </c>
      <c r="G936">
        <f>+IF(dHdcp[[#This Row],[Fecha]]=MAX(dHdcp[Fecha]),1,0)</f>
        <v>0</v>
      </c>
      <c r="H936" t="str">
        <f>+dHdcp[[#This Row],[Maximo]]&amp;":"&amp;dHdcp[[#This Row],[Nombre]]</f>
        <v>0:Jesus Touceda</v>
      </c>
      <c r="I936" t="str">
        <f>+dHdcp[[#This Row],[Maximo]]&amp;":"&amp;_xlfn.XLOOKUP(dHdcp[[#This Row],[Nombre]],dJugador[Nombre],dJugador[Mote],"",0)</f>
        <v>0:Jesús</v>
      </c>
      <c r="J936" t="str">
        <f>+IF(dHdcp[[#This Row],[Maximo]]=0,"",_xlfn.RANK.EQ(dHdcp[[#This Row],[Handicap]],dHdcp[Handicap],1))</f>
        <v/>
      </c>
      <c r="K936" t="str">
        <f>IFERROR(+_xlfn.RANK.EQ(dHdcp[[#This Row],[Ranking]],dHdcp[Ranking],1),"")</f>
        <v/>
      </c>
      <c r="M936" t="str">
        <f>+dHdcp[[#This Row],[Fecha]]&amp;":"&amp;dHdcp[[#This Row],[Nombre]]</f>
        <v>44513:Jesus Touceda</v>
      </c>
      <c r="N936">
        <f>+COUNTIF(dHdcp[Columna1],dHdcp[[#This Row],[Columna1]])</f>
        <v>1</v>
      </c>
    </row>
    <row r="937" spans="1:14">
      <c r="A937" s="2">
        <v>44513</v>
      </c>
      <c r="B937" t="s">
        <v>18</v>
      </c>
      <c r="C937" s="51">
        <v>6.7</v>
      </c>
      <c r="D937">
        <f>+VLOOKUP(dHdcp[[#This Row],[Handicap]],'Categoría Hdcap'!$B$2:$E$7,4)</f>
        <v>2</v>
      </c>
      <c r="E937" t="s">
        <v>74</v>
      </c>
      <c r="F937" t="s">
        <v>1403</v>
      </c>
      <c r="G937">
        <f>+IF(dHdcp[[#This Row],[Fecha]]=MAX(dHdcp[Fecha]),1,0)</f>
        <v>0</v>
      </c>
      <c r="H937" t="str">
        <f>+dHdcp[[#This Row],[Maximo]]&amp;":"&amp;dHdcp[[#This Row],[Nombre]]</f>
        <v>0:José Pablo Guil</v>
      </c>
      <c r="I937" t="str">
        <f>+dHdcp[[#This Row],[Maximo]]&amp;":"&amp;_xlfn.XLOOKUP(dHdcp[[#This Row],[Nombre]],dJugador[Nombre],dJugador[Mote],"",0)</f>
        <v>0:JP</v>
      </c>
      <c r="J937" t="str">
        <f>+IF(dHdcp[[#This Row],[Maximo]]=0,"",_xlfn.RANK.EQ(dHdcp[[#This Row],[Handicap]],dHdcp[Handicap],1))</f>
        <v/>
      </c>
      <c r="K937" t="str">
        <f>IFERROR(+_xlfn.RANK.EQ(dHdcp[[#This Row],[Ranking]],dHdcp[Ranking],1),"")</f>
        <v/>
      </c>
      <c r="M937" t="str">
        <f>+dHdcp[[#This Row],[Fecha]]&amp;":"&amp;dHdcp[[#This Row],[Nombre]]</f>
        <v>44513:José Pablo Guil</v>
      </c>
      <c r="N937">
        <f>+COUNTIF(dHdcp[Columna1],dHdcp[[#This Row],[Columna1]])</f>
        <v>1</v>
      </c>
    </row>
    <row r="938" spans="1:14">
      <c r="A938" s="2">
        <v>44513</v>
      </c>
      <c r="B938" t="s">
        <v>43</v>
      </c>
      <c r="C938" s="51">
        <v>18.3</v>
      </c>
      <c r="D938">
        <f>+VLOOKUP(dHdcp[[#This Row],[Handicap]],'Categoría Hdcap'!$B$2:$E$7,4)</f>
        <v>3</v>
      </c>
      <c r="E938" t="s">
        <v>74</v>
      </c>
      <c r="F938" t="s">
        <v>1404</v>
      </c>
      <c r="G938">
        <f>+IF(dHdcp[[#This Row],[Fecha]]=MAX(dHdcp[Fecha]),1,0)</f>
        <v>0</v>
      </c>
      <c r="H938" t="str">
        <f>+dHdcp[[#This Row],[Maximo]]&amp;":"&amp;dHdcp[[#This Row],[Nombre]]</f>
        <v>0:Luis Escudero</v>
      </c>
      <c r="I938" t="str">
        <f>+dHdcp[[#This Row],[Maximo]]&amp;":"&amp;_xlfn.XLOOKUP(dHdcp[[#This Row],[Nombre]],dJugador[Nombre],dJugador[Mote],"",0)</f>
        <v>0:Lucho</v>
      </c>
      <c r="J938" t="str">
        <f>+IF(dHdcp[[#This Row],[Maximo]]=0,"",_xlfn.RANK.EQ(dHdcp[[#This Row],[Handicap]],dHdcp[Handicap],1))</f>
        <v/>
      </c>
      <c r="K938" t="str">
        <f>IFERROR(+_xlfn.RANK.EQ(dHdcp[[#This Row],[Ranking]],dHdcp[Ranking],1),"")</f>
        <v/>
      </c>
      <c r="M938" t="str">
        <f>+dHdcp[[#This Row],[Fecha]]&amp;":"&amp;dHdcp[[#This Row],[Nombre]]</f>
        <v>44513:Luis Escudero</v>
      </c>
      <c r="N938">
        <f>+COUNTIF(dHdcp[Columna1],dHdcp[[#This Row],[Columna1]])</f>
        <v>1</v>
      </c>
    </row>
    <row r="939" spans="1:14">
      <c r="A939" s="2">
        <v>44513</v>
      </c>
      <c r="B939" s="10" t="s">
        <v>135</v>
      </c>
      <c r="C939" s="53">
        <v>22.6</v>
      </c>
      <c r="D939" s="10">
        <f>+VLOOKUP(dHdcp[[#This Row],[Handicap]],'Categoría Hdcap'!$B$2:$E$7,4)</f>
        <v>4</v>
      </c>
      <c r="E939" s="10" t="s">
        <v>74</v>
      </c>
      <c r="F939" s="10" t="s">
        <v>1405</v>
      </c>
      <c r="G939">
        <f>+IF(dHdcp[[#This Row],[Fecha]]=MAX(dHdcp[Fecha]),1,0)</f>
        <v>0</v>
      </c>
      <c r="H939" t="str">
        <f>+dHdcp[[#This Row],[Maximo]]&amp;":"&amp;dHdcp[[#This Row],[Nombre]]</f>
        <v>0:Miche Lopez</v>
      </c>
      <c r="I939" t="str">
        <f>+dHdcp[[#This Row],[Maximo]]&amp;":"&amp;_xlfn.XLOOKUP(dHdcp[[#This Row],[Nombre]],dJugador[Nombre],dJugador[Mote],"",0)</f>
        <v>0:Miche</v>
      </c>
      <c r="J939" t="str">
        <f>+IF(dHdcp[[#This Row],[Maximo]]=0,"",_xlfn.RANK.EQ(dHdcp[[#This Row],[Handicap]],dHdcp[Handicap],1))</f>
        <v/>
      </c>
      <c r="K939" t="str">
        <f>IFERROR(+_xlfn.RANK.EQ(dHdcp[[#This Row],[Ranking]],dHdcp[Ranking],1),"")</f>
        <v/>
      </c>
      <c r="M939" t="str">
        <f>+dHdcp[[#This Row],[Fecha]]&amp;":"&amp;dHdcp[[#This Row],[Nombre]]</f>
        <v>44513:Miche Lopez</v>
      </c>
      <c r="N939">
        <f>+COUNTIF(dHdcp[Columna1],dHdcp[[#This Row],[Columna1]])</f>
        <v>1</v>
      </c>
    </row>
    <row r="940" spans="1:14">
      <c r="A940" s="2">
        <v>44513</v>
      </c>
      <c r="B940" t="s">
        <v>51</v>
      </c>
      <c r="C940" s="51">
        <v>-1.4</v>
      </c>
      <c r="D940">
        <f>+VLOOKUP(dHdcp[[#This Row],[Handicap]],'Categoría Hdcap'!$B$2:$E$7,4)</f>
        <v>1</v>
      </c>
      <c r="E940" t="s">
        <v>74</v>
      </c>
      <c r="F940" t="s">
        <v>1406</v>
      </c>
      <c r="G940">
        <f>+IF(dHdcp[[#This Row],[Fecha]]=MAX(dHdcp[Fecha]),1,0)</f>
        <v>0</v>
      </c>
      <c r="H940" t="str">
        <f>+dHdcp[[#This Row],[Maximo]]&amp;":"&amp;dHdcp[[#This Row],[Nombre]]</f>
        <v>0:Miguel Diaz Del Moral</v>
      </c>
      <c r="I940" t="str">
        <f>+dHdcp[[#This Row],[Maximo]]&amp;":"&amp;_xlfn.XLOOKUP(dHdcp[[#This Row],[Nombre]],dJugador[Nombre],dJugador[Mote],"",0)</f>
        <v>0:Cañita</v>
      </c>
      <c r="J940" t="str">
        <f>+IF(dHdcp[[#This Row],[Maximo]]=0,"",_xlfn.RANK.EQ(dHdcp[[#This Row],[Handicap]],dHdcp[Handicap],1))</f>
        <v/>
      </c>
      <c r="K940" t="str">
        <f>IFERROR(+_xlfn.RANK.EQ(dHdcp[[#This Row],[Ranking]],dHdcp[Ranking],1),"")</f>
        <v/>
      </c>
      <c r="M940" t="str">
        <f>+dHdcp[[#This Row],[Fecha]]&amp;":"&amp;dHdcp[[#This Row],[Nombre]]</f>
        <v>44513:Miguel Diaz Del Moral</v>
      </c>
      <c r="N940">
        <f>+COUNTIF(dHdcp[Columna1],dHdcp[[#This Row],[Columna1]])</f>
        <v>1</v>
      </c>
    </row>
    <row r="941" spans="1:14">
      <c r="A941" s="2">
        <v>44513</v>
      </c>
      <c r="B941" t="s">
        <v>3</v>
      </c>
      <c r="C941" s="51">
        <v>5.8</v>
      </c>
      <c r="D941">
        <f>+VLOOKUP(dHdcp[[#This Row],[Handicap]],'Categoría Hdcap'!$B$2:$E$7,4)</f>
        <v>2</v>
      </c>
      <c r="E941" t="s">
        <v>74</v>
      </c>
      <c r="F941" t="s">
        <v>1407</v>
      </c>
      <c r="G941">
        <f>+IF(dHdcp[[#This Row],[Fecha]]=MAX(dHdcp[Fecha]),1,0)</f>
        <v>0</v>
      </c>
      <c r="H941" t="str">
        <f>+dHdcp[[#This Row],[Maximo]]&amp;":"&amp;dHdcp[[#This Row],[Nombre]]</f>
        <v>0:Nacho Gonzalez</v>
      </c>
      <c r="I941" t="str">
        <f>+dHdcp[[#This Row],[Maximo]]&amp;":"&amp;_xlfn.XLOOKUP(dHdcp[[#This Row],[Nombre]],dJugador[Nombre],dJugador[Mote],"",0)</f>
        <v>0:Nacho</v>
      </c>
      <c r="J941" t="str">
        <f>+IF(dHdcp[[#This Row],[Maximo]]=0,"",_xlfn.RANK.EQ(dHdcp[[#This Row],[Handicap]],dHdcp[Handicap],1))</f>
        <v/>
      </c>
      <c r="K941" t="str">
        <f>IFERROR(+_xlfn.RANK.EQ(dHdcp[[#This Row],[Ranking]],dHdcp[Ranking],1),"")</f>
        <v/>
      </c>
      <c r="M941" t="str">
        <f>+dHdcp[[#This Row],[Fecha]]&amp;":"&amp;dHdcp[[#This Row],[Nombre]]</f>
        <v>44513:Nacho Gonzalez</v>
      </c>
      <c r="N941">
        <f>+COUNTIF(dHdcp[Columna1],dHdcp[[#This Row],[Columna1]])</f>
        <v>1</v>
      </c>
    </row>
    <row r="942" spans="1:14">
      <c r="A942" s="2">
        <v>44513</v>
      </c>
      <c r="B942" t="s">
        <v>28</v>
      </c>
      <c r="C942" s="51">
        <v>13.7</v>
      </c>
      <c r="D942">
        <f>+VLOOKUP(dHdcp[[#This Row],[Handicap]],'Categoría Hdcap'!$B$2:$E$7,4)</f>
        <v>3</v>
      </c>
      <c r="E942" t="s">
        <v>74</v>
      </c>
      <c r="F942" t="s">
        <v>1408</v>
      </c>
      <c r="G942">
        <f>+IF(dHdcp[[#This Row],[Fecha]]=MAX(dHdcp[Fecha]),1,0)</f>
        <v>0</v>
      </c>
      <c r="H942" t="str">
        <f>+dHdcp[[#This Row],[Maximo]]&amp;":"&amp;dHdcp[[#This Row],[Nombre]]</f>
        <v>0:Pablo Munitiz</v>
      </c>
      <c r="I942" t="str">
        <f>+dHdcp[[#This Row],[Maximo]]&amp;":"&amp;_xlfn.XLOOKUP(dHdcp[[#This Row],[Nombre]],dJugador[Nombre],dJugador[Mote],"",0)</f>
        <v>0:Muni</v>
      </c>
      <c r="J942" t="str">
        <f>+IF(dHdcp[[#This Row],[Maximo]]=0,"",_xlfn.RANK.EQ(dHdcp[[#This Row],[Handicap]],dHdcp[Handicap],1))</f>
        <v/>
      </c>
      <c r="K942" t="str">
        <f>IFERROR(+_xlfn.RANK.EQ(dHdcp[[#This Row],[Ranking]],dHdcp[Ranking],1),"")</f>
        <v/>
      </c>
      <c r="M942" t="str">
        <f>+dHdcp[[#This Row],[Fecha]]&amp;":"&amp;dHdcp[[#This Row],[Nombre]]</f>
        <v>44513:Pablo Munitiz</v>
      </c>
      <c r="N942">
        <f>+COUNTIF(dHdcp[Columna1],dHdcp[[#This Row],[Columna1]])</f>
        <v>1</v>
      </c>
    </row>
    <row r="943" spans="1:14">
      <c r="A943" s="2">
        <v>44541</v>
      </c>
      <c r="B943" t="s">
        <v>9</v>
      </c>
      <c r="C943" s="51">
        <v>11</v>
      </c>
      <c r="D943">
        <f>+VLOOKUP(dHdcp[[#This Row],[Handicap]],'Categoría Hdcap'!$B$2:$E$7,4)</f>
        <v>2</v>
      </c>
      <c r="E943" t="s">
        <v>74</v>
      </c>
      <c r="F943" t="s">
        <v>1409</v>
      </c>
      <c r="G943">
        <f>+IF(dHdcp[[#This Row],[Fecha]]=MAX(dHdcp[Fecha]),1,0)</f>
        <v>0</v>
      </c>
      <c r="H943" t="str">
        <f>+dHdcp[[#This Row],[Maximo]]&amp;":"&amp;dHdcp[[#This Row],[Nombre]]</f>
        <v>0:Alfonso Hidalgo</v>
      </c>
      <c r="I943" t="str">
        <f>+dHdcp[[#This Row],[Maximo]]&amp;":"&amp;_xlfn.XLOOKUP(dHdcp[[#This Row],[Nombre]],dJugador[Nombre],dJugador[Mote],"",0)</f>
        <v>0:Alfonso</v>
      </c>
      <c r="J943" t="str">
        <f>+IF(dHdcp[[#This Row],[Maximo]]=0,"",_xlfn.RANK.EQ(dHdcp[[#This Row],[Handicap]],dHdcp[Handicap],1))</f>
        <v/>
      </c>
      <c r="K943" t="str">
        <f>IFERROR(+_xlfn.RANK.EQ(dHdcp[[#This Row],[Ranking]],dHdcp[Ranking],1),"")</f>
        <v/>
      </c>
      <c r="M943" t="str">
        <f>+dHdcp[[#This Row],[Fecha]]&amp;":"&amp;dHdcp[[#This Row],[Nombre]]</f>
        <v>44541:Alfonso Hidalgo</v>
      </c>
      <c r="N943">
        <f>+COUNTIF(dHdcp[Columna1],dHdcp[[#This Row],[Columna1]])</f>
        <v>1</v>
      </c>
    </row>
    <row r="944" spans="1:14">
      <c r="A944" s="2">
        <v>44541</v>
      </c>
      <c r="B944" t="s">
        <v>15</v>
      </c>
      <c r="C944" s="51">
        <v>6.9</v>
      </c>
      <c r="D944">
        <f>+VLOOKUP(dHdcp[[#This Row],[Handicap]],'Categoría Hdcap'!$B$2:$E$7,4)</f>
        <v>2</v>
      </c>
      <c r="E944" t="s">
        <v>74</v>
      </c>
      <c r="F944" t="s">
        <v>1410</v>
      </c>
      <c r="G944">
        <f>+IF(dHdcp[[#This Row],[Fecha]]=MAX(dHdcp[Fecha]),1,0)</f>
        <v>0</v>
      </c>
      <c r="H944" t="str">
        <f>+dHdcp[[#This Row],[Maximo]]&amp;":"&amp;dHdcp[[#This Row],[Nombre]]</f>
        <v>0:Alvaro Aguirre</v>
      </c>
      <c r="I944" t="str">
        <f>+dHdcp[[#This Row],[Maximo]]&amp;":"&amp;_xlfn.XLOOKUP(dHdcp[[#This Row],[Nombre]],dJugador[Nombre],dJugador[Mote],"",0)</f>
        <v>0:Gifu</v>
      </c>
      <c r="J944" t="str">
        <f>+IF(dHdcp[[#This Row],[Maximo]]=0,"",_xlfn.RANK.EQ(dHdcp[[#This Row],[Handicap]],dHdcp[Handicap],1))</f>
        <v/>
      </c>
      <c r="K944" t="str">
        <f>IFERROR(+_xlfn.RANK.EQ(dHdcp[[#This Row],[Ranking]],dHdcp[Ranking],1),"")</f>
        <v/>
      </c>
      <c r="M944" t="str">
        <f>+dHdcp[[#This Row],[Fecha]]&amp;":"&amp;dHdcp[[#This Row],[Nombre]]</f>
        <v>44541:Alvaro Aguirre</v>
      </c>
      <c r="N944">
        <f>+COUNTIF(dHdcp[Columna1],dHdcp[[#This Row],[Columna1]])</f>
        <v>1</v>
      </c>
    </row>
    <row r="945" spans="1:14">
      <c r="A945" s="2">
        <v>44541</v>
      </c>
      <c r="B945" t="s">
        <v>25</v>
      </c>
      <c r="C945" s="51">
        <v>13.1</v>
      </c>
      <c r="D945">
        <f>+VLOOKUP(dHdcp[[#This Row],[Handicap]],'Categoría Hdcap'!$B$2:$E$7,4)</f>
        <v>3</v>
      </c>
      <c r="E945" t="s">
        <v>74</v>
      </c>
      <c r="F945" t="s">
        <v>1411</v>
      </c>
      <c r="G945">
        <f>+IF(dHdcp[[#This Row],[Fecha]]=MAX(dHdcp[Fecha]),1,0)</f>
        <v>0</v>
      </c>
      <c r="H945" t="str">
        <f>+dHdcp[[#This Row],[Maximo]]&amp;":"&amp;dHdcp[[#This Row],[Nombre]]</f>
        <v>0:Alvaro Nieto</v>
      </c>
      <c r="I945" t="str">
        <f>+dHdcp[[#This Row],[Maximo]]&amp;":"&amp;_xlfn.XLOOKUP(dHdcp[[#This Row],[Nombre]],dJugador[Nombre],dJugador[Mote],"",0)</f>
        <v>0:Alvaro</v>
      </c>
      <c r="J945" t="str">
        <f>+IF(dHdcp[[#This Row],[Maximo]]=0,"",_xlfn.RANK.EQ(dHdcp[[#This Row],[Handicap]],dHdcp[Handicap],1))</f>
        <v/>
      </c>
      <c r="K945" t="str">
        <f>IFERROR(+_xlfn.RANK.EQ(dHdcp[[#This Row],[Ranking]],dHdcp[Ranking],1),"")</f>
        <v/>
      </c>
      <c r="M945" t="str">
        <f>+dHdcp[[#This Row],[Fecha]]&amp;":"&amp;dHdcp[[#This Row],[Nombre]]</f>
        <v>44541:Alvaro Nieto</v>
      </c>
      <c r="N945">
        <f>+COUNTIF(dHdcp[Columna1],dHdcp[[#This Row],[Columna1]])</f>
        <v>1</v>
      </c>
    </row>
    <row r="946" spans="1:14">
      <c r="A946" s="2">
        <v>44541</v>
      </c>
      <c r="B946" t="s">
        <v>33</v>
      </c>
      <c r="C946" s="51">
        <v>7.6</v>
      </c>
      <c r="D946">
        <f>+VLOOKUP(dHdcp[[#This Row],[Handicap]],'Categoría Hdcap'!$B$2:$E$7,4)</f>
        <v>2</v>
      </c>
      <c r="E946" t="s">
        <v>74</v>
      </c>
      <c r="F946" t="s">
        <v>1412</v>
      </c>
      <c r="G946">
        <f>+IF(dHdcp[[#This Row],[Fecha]]=MAX(dHdcp[Fecha]),1,0)</f>
        <v>0</v>
      </c>
      <c r="H946" t="str">
        <f>+dHdcp[[#This Row],[Maximo]]&amp;":"&amp;dHdcp[[#This Row],[Nombre]]</f>
        <v>0:Angel Hernandez</v>
      </c>
      <c r="I946" t="str">
        <f>+dHdcp[[#This Row],[Maximo]]&amp;":"&amp;_xlfn.XLOOKUP(dHdcp[[#This Row],[Nombre]],dJugador[Nombre],dJugador[Mote],"",0)</f>
        <v>0:Angel</v>
      </c>
      <c r="J946" t="str">
        <f>+IF(dHdcp[[#This Row],[Maximo]]=0,"",_xlfn.RANK.EQ(dHdcp[[#This Row],[Handicap]],dHdcp[Handicap],1))</f>
        <v/>
      </c>
      <c r="K946" t="str">
        <f>IFERROR(+_xlfn.RANK.EQ(dHdcp[[#This Row],[Ranking]],dHdcp[Ranking],1),"")</f>
        <v/>
      </c>
      <c r="M946" t="str">
        <f>+dHdcp[[#This Row],[Fecha]]&amp;":"&amp;dHdcp[[#This Row],[Nombre]]</f>
        <v>44541:Angel Hernandez</v>
      </c>
      <c r="N946">
        <f>+COUNTIF(dHdcp[Columna1],dHdcp[[#This Row],[Columna1]])</f>
        <v>1</v>
      </c>
    </row>
    <row r="947" spans="1:14">
      <c r="A947" s="2">
        <v>44541</v>
      </c>
      <c r="B947" t="s">
        <v>30</v>
      </c>
      <c r="C947" s="51">
        <v>12.7</v>
      </c>
      <c r="D947">
        <f>+VLOOKUP(dHdcp[[#This Row],[Handicap]],'Categoría Hdcap'!$B$2:$E$7,4)</f>
        <v>3</v>
      </c>
      <c r="E947" t="s">
        <v>74</v>
      </c>
      <c r="F947" t="s">
        <v>1413</v>
      </c>
      <c r="G947">
        <f>+IF(dHdcp[[#This Row],[Fecha]]=MAX(dHdcp[Fecha]),1,0)</f>
        <v>0</v>
      </c>
      <c r="H947" t="str">
        <f>+dHdcp[[#This Row],[Maximo]]&amp;":"&amp;dHdcp[[#This Row],[Nombre]]</f>
        <v>0:David Sequera</v>
      </c>
      <c r="I947" t="str">
        <f>+dHdcp[[#This Row],[Maximo]]&amp;":"&amp;_xlfn.XLOOKUP(dHdcp[[#This Row],[Nombre]],dJugador[Nombre],dJugador[Mote],"",0)</f>
        <v>0:David</v>
      </c>
      <c r="J947" t="str">
        <f>+IF(dHdcp[[#This Row],[Maximo]]=0,"",_xlfn.RANK.EQ(dHdcp[[#This Row],[Handicap]],dHdcp[Handicap],1))</f>
        <v/>
      </c>
      <c r="K947" t="str">
        <f>IFERROR(+_xlfn.RANK.EQ(dHdcp[[#This Row],[Ranking]],dHdcp[Ranking],1),"")</f>
        <v/>
      </c>
      <c r="M947" t="str">
        <f>+dHdcp[[#This Row],[Fecha]]&amp;":"&amp;dHdcp[[#This Row],[Nombre]]</f>
        <v>44541:David Sequera</v>
      </c>
      <c r="N947">
        <f>+COUNTIF(dHdcp[Columna1],dHdcp[[#This Row],[Columna1]])</f>
        <v>1</v>
      </c>
    </row>
    <row r="948" spans="1:14">
      <c r="A948" s="2">
        <v>44541</v>
      </c>
      <c r="B948" t="s">
        <v>12</v>
      </c>
      <c r="C948" s="51">
        <v>14.2</v>
      </c>
      <c r="D948">
        <f>+VLOOKUP(dHdcp[[#This Row],[Handicap]],'Categoría Hdcap'!$B$2:$E$7,4)</f>
        <v>3</v>
      </c>
      <c r="E948" t="s">
        <v>74</v>
      </c>
      <c r="F948" t="s">
        <v>1414</v>
      </c>
      <c r="G948">
        <f>+IF(dHdcp[[#This Row],[Fecha]]=MAX(dHdcp[Fecha]),1,0)</f>
        <v>0</v>
      </c>
      <c r="H948" t="str">
        <f>+dHdcp[[#This Row],[Maximo]]&amp;":"&amp;dHdcp[[#This Row],[Nombre]]</f>
        <v>0:Francisco Alvarez</v>
      </c>
      <c r="I948" t="str">
        <f>+dHdcp[[#This Row],[Maximo]]&amp;":"&amp;_xlfn.XLOOKUP(dHdcp[[#This Row],[Nombre]],dJugador[Nombre],dJugador[Mote],"",0)</f>
        <v>0:Paco</v>
      </c>
      <c r="J948" t="str">
        <f>+IF(dHdcp[[#This Row],[Maximo]]=0,"",_xlfn.RANK.EQ(dHdcp[[#This Row],[Handicap]],dHdcp[Handicap],1))</f>
        <v/>
      </c>
      <c r="K948" t="str">
        <f>IFERROR(+_xlfn.RANK.EQ(dHdcp[[#This Row],[Ranking]],dHdcp[Ranking],1),"")</f>
        <v/>
      </c>
      <c r="M948" t="str">
        <f>+dHdcp[[#This Row],[Fecha]]&amp;":"&amp;dHdcp[[#This Row],[Nombre]]</f>
        <v>44541:Francisco Alvarez</v>
      </c>
      <c r="N948">
        <f>+COUNTIF(dHdcp[Columna1],dHdcp[[#This Row],[Columna1]])</f>
        <v>1</v>
      </c>
    </row>
    <row r="949" spans="1:14">
      <c r="A949" s="2">
        <v>44541</v>
      </c>
      <c r="B949" t="s">
        <v>49</v>
      </c>
      <c r="C949" s="51">
        <v>13.2</v>
      </c>
      <c r="D949">
        <f>+VLOOKUP(dHdcp[[#This Row],[Handicap]],'Categoría Hdcap'!$B$2:$E$7,4)</f>
        <v>3</v>
      </c>
      <c r="E949" t="s">
        <v>74</v>
      </c>
      <c r="F949" t="s">
        <v>1415</v>
      </c>
      <c r="G949">
        <f>+IF(dHdcp[[#This Row],[Fecha]]=MAX(dHdcp[Fecha]),1,0)</f>
        <v>0</v>
      </c>
      <c r="H949" t="str">
        <f>+dHdcp[[#This Row],[Maximo]]&amp;":"&amp;dHdcp[[#This Row],[Nombre]]</f>
        <v>0:Francisco Hidalgo</v>
      </c>
      <c r="I949" t="str">
        <f>+dHdcp[[#This Row],[Maximo]]&amp;":"&amp;_xlfn.XLOOKUP(dHdcp[[#This Row],[Nombre]],dJugador[Nombre],dJugador[Mote],"",0)</f>
        <v>0:Fran</v>
      </c>
      <c r="J949" t="str">
        <f>+IF(dHdcp[[#This Row],[Maximo]]=0,"",_xlfn.RANK.EQ(dHdcp[[#This Row],[Handicap]],dHdcp[Handicap],1))</f>
        <v/>
      </c>
      <c r="K949" t="str">
        <f>IFERROR(+_xlfn.RANK.EQ(dHdcp[[#This Row],[Ranking]],dHdcp[Ranking],1),"")</f>
        <v/>
      </c>
      <c r="M949" t="str">
        <f>+dHdcp[[#This Row],[Fecha]]&amp;":"&amp;dHdcp[[#This Row],[Nombre]]</f>
        <v>44541:Francisco Hidalgo</v>
      </c>
      <c r="N949">
        <f>+COUNTIF(dHdcp[Columna1],dHdcp[[#This Row],[Columna1]])</f>
        <v>1</v>
      </c>
    </row>
    <row r="950" spans="1:14">
      <c r="A950" s="2">
        <v>44541</v>
      </c>
      <c r="B950" t="s">
        <v>35</v>
      </c>
      <c r="C950" s="51">
        <v>18.100000000000001</v>
      </c>
      <c r="D950">
        <f>+VLOOKUP(dHdcp[[#This Row],[Handicap]],'Categoría Hdcap'!$B$2:$E$7,4)</f>
        <v>3</v>
      </c>
      <c r="E950" t="s">
        <v>74</v>
      </c>
      <c r="F950" t="s">
        <v>1416</v>
      </c>
      <c r="G950">
        <f>+IF(dHdcp[[#This Row],[Fecha]]=MAX(dHdcp[Fecha]),1,0)</f>
        <v>0</v>
      </c>
      <c r="H950" t="str">
        <f>+dHdcp[[#This Row],[Maximo]]&amp;":"&amp;dHdcp[[#This Row],[Nombre]]</f>
        <v>0:GLEZ JUAN JOSÉ</v>
      </c>
      <c r="I950" t="str">
        <f>+dHdcp[[#This Row],[Maximo]]&amp;":"&amp;_xlfn.XLOOKUP(dHdcp[[#This Row],[Nombre]],dJugador[Nombre],dJugador[Mote],"",0)</f>
        <v>0:Juanjo</v>
      </c>
      <c r="J950" t="str">
        <f>+IF(dHdcp[[#This Row],[Maximo]]=0,"",_xlfn.RANK.EQ(dHdcp[[#This Row],[Handicap]],dHdcp[Handicap],1))</f>
        <v/>
      </c>
      <c r="K950" t="str">
        <f>IFERROR(+_xlfn.RANK.EQ(dHdcp[[#This Row],[Ranking]],dHdcp[Ranking],1),"")</f>
        <v/>
      </c>
      <c r="M950" t="str">
        <f>+dHdcp[[#This Row],[Fecha]]&amp;":"&amp;dHdcp[[#This Row],[Nombre]]</f>
        <v>44541:GLEZ JUAN JOSÉ</v>
      </c>
      <c r="N950">
        <f>+COUNTIF(dHdcp[Columna1],dHdcp[[#This Row],[Columna1]])</f>
        <v>1</v>
      </c>
    </row>
    <row r="951" spans="1:14">
      <c r="A951" s="2">
        <v>44541</v>
      </c>
      <c r="B951" t="s">
        <v>6</v>
      </c>
      <c r="C951" s="51">
        <v>8.4</v>
      </c>
      <c r="D951">
        <f>+VLOOKUP(dHdcp[[#This Row],[Handicap]],'Categoría Hdcap'!$B$2:$E$7,4)</f>
        <v>2</v>
      </c>
      <c r="E951" t="s">
        <v>74</v>
      </c>
      <c r="F951" t="s">
        <v>1417</v>
      </c>
      <c r="G951">
        <f>+IF(dHdcp[[#This Row],[Fecha]]=MAX(dHdcp[Fecha]),1,0)</f>
        <v>0</v>
      </c>
      <c r="H951" t="str">
        <f>+dHdcp[[#This Row],[Maximo]]&amp;":"&amp;dHdcp[[#This Row],[Nombre]]</f>
        <v>0:Ignacio Cadarso</v>
      </c>
      <c r="I951" t="str">
        <f>+dHdcp[[#This Row],[Maximo]]&amp;":"&amp;_xlfn.XLOOKUP(dHdcp[[#This Row],[Nombre]],dJugador[Nombre],dJugador[Mote],"",0)</f>
        <v>0:Ignacio</v>
      </c>
      <c r="J951" t="str">
        <f>+IF(dHdcp[[#This Row],[Maximo]]=0,"",_xlfn.RANK.EQ(dHdcp[[#This Row],[Handicap]],dHdcp[Handicap],1))</f>
        <v/>
      </c>
      <c r="K951" t="str">
        <f>IFERROR(+_xlfn.RANK.EQ(dHdcp[[#This Row],[Ranking]],dHdcp[Ranking],1),"")</f>
        <v/>
      </c>
      <c r="M951" t="str">
        <f>+dHdcp[[#This Row],[Fecha]]&amp;":"&amp;dHdcp[[#This Row],[Nombre]]</f>
        <v>44541:Ignacio Cadarso</v>
      </c>
      <c r="N951">
        <f>+COUNTIF(dHdcp[Columna1],dHdcp[[#This Row],[Columna1]])</f>
        <v>1</v>
      </c>
    </row>
    <row r="952" spans="1:14">
      <c r="A952" s="2">
        <v>44541</v>
      </c>
      <c r="B952" t="s">
        <v>23</v>
      </c>
      <c r="C952" s="51">
        <v>18.8</v>
      </c>
      <c r="D952">
        <f>+VLOOKUP(dHdcp[[#This Row],[Handicap]],'Categoría Hdcap'!$B$2:$E$7,4)</f>
        <v>4</v>
      </c>
      <c r="E952" t="s">
        <v>74</v>
      </c>
      <c r="F952" t="s">
        <v>1418</v>
      </c>
      <c r="G952">
        <f>+IF(dHdcp[[#This Row],[Fecha]]=MAX(dHdcp[Fecha]),1,0)</f>
        <v>0</v>
      </c>
      <c r="H952" t="str">
        <f>+dHdcp[[#This Row],[Maximo]]&amp;":"&amp;dHdcp[[#This Row],[Nombre]]</f>
        <v>0:J. Enrique Gonzalez</v>
      </c>
      <c r="I952" t="str">
        <f>+dHdcp[[#This Row],[Maximo]]&amp;":"&amp;_xlfn.XLOOKUP(dHdcp[[#This Row],[Nombre]],dJugador[Nombre],dJugador[Mote],"",0)</f>
        <v>0:Kike</v>
      </c>
      <c r="J952" t="str">
        <f>+IF(dHdcp[[#This Row],[Maximo]]=0,"",_xlfn.RANK.EQ(dHdcp[[#This Row],[Handicap]],dHdcp[Handicap],1))</f>
        <v/>
      </c>
      <c r="K952" t="str">
        <f>IFERROR(+_xlfn.RANK.EQ(dHdcp[[#This Row],[Ranking]],dHdcp[Ranking],1),"")</f>
        <v/>
      </c>
      <c r="M952" t="str">
        <f>+dHdcp[[#This Row],[Fecha]]&amp;":"&amp;dHdcp[[#This Row],[Nombre]]</f>
        <v>44541:J. Enrique Gonzalez</v>
      </c>
      <c r="N952">
        <f>+COUNTIF(dHdcp[Columna1],dHdcp[[#This Row],[Columna1]])</f>
        <v>1</v>
      </c>
    </row>
    <row r="953" spans="1:14">
      <c r="A953" s="2">
        <v>44541</v>
      </c>
      <c r="B953" t="s">
        <v>46</v>
      </c>
      <c r="C953" s="51">
        <v>17.2</v>
      </c>
      <c r="D953">
        <f>+VLOOKUP(dHdcp[[#This Row],[Handicap]],'Categoría Hdcap'!$B$2:$E$7,4)</f>
        <v>3</v>
      </c>
      <c r="E953" t="s">
        <v>74</v>
      </c>
      <c r="F953" t="s">
        <v>1419</v>
      </c>
      <c r="G953">
        <f>+IF(dHdcp[[#This Row],[Fecha]]=MAX(dHdcp[Fecha]),1,0)</f>
        <v>0</v>
      </c>
      <c r="H953" t="str">
        <f>+dHdcp[[#This Row],[Maximo]]&amp;":"&amp;dHdcp[[#This Row],[Nombre]]</f>
        <v>0:Javier Cervera</v>
      </c>
      <c r="I953" t="str">
        <f>+dHdcp[[#This Row],[Maximo]]&amp;":"&amp;_xlfn.XLOOKUP(dHdcp[[#This Row],[Nombre]],dJugador[Nombre],dJugador[Mote],"",0)</f>
        <v>0:Virus</v>
      </c>
      <c r="J953" t="str">
        <f>+IF(dHdcp[[#This Row],[Maximo]]=0,"",_xlfn.RANK.EQ(dHdcp[[#This Row],[Handicap]],dHdcp[Handicap],1))</f>
        <v/>
      </c>
      <c r="K953" t="str">
        <f>IFERROR(+_xlfn.RANK.EQ(dHdcp[[#This Row],[Ranking]],dHdcp[Ranking],1),"")</f>
        <v/>
      </c>
      <c r="M953" t="str">
        <f>+dHdcp[[#This Row],[Fecha]]&amp;":"&amp;dHdcp[[#This Row],[Nombre]]</f>
        <v>44541:Javier Cervera</v>
      </c>
      <c r="N953">
        <f>+COUNTIF(dHdcp[Columna1],dHdcp[[#This Row],[Columna1]])</f>
        <v>1</v>
      </c>
    </row>
    <row r="954" spans="1:14">
      <c r="A954" s="2">
        <v>44541</v>
      </c>
      <c r="B954" t="s">
        <v>20</v>
      </c>
      <c r="C954" s="51">
        <v>16.399999999999999</v>
      </c>
      <c r="D954">
        <f>+VLOOKUP(dHdcp[[#This Row],[Handicap]],'Categoría Hdcap'!$B$2:$E$7,4)</f>
        <v>3</v>
      </c>
      <c r="E954" t="s">
        <v>74</v>
      </c>
      <c r="F954" t="s">
        <v>1420</v>
      </c>
      <c r="G954">
        <f>+IF(dHdcp[[#This Row],[Fecha]]=MAX(dHdcp[Fecha]),1,0)</f>
        <v>0</v>
      </c>
      <c r="H954" t="str">
        <f>+dHdcp[[#This Row],[Maximo]]&amp;":"&amp;dHdcp[[#This Row],[Nombre]]</f>
        <v>0:Javier Gonzalez Salvador</v>
      </c>
      <c r="I954" t="str">
        <f>+dHdcp[[#This Row],[Maximo]]&amp;":"&amp;_xlfn.XLOOKUP(dHdcp[[#This Row],[Nombre]],dJugador[Nombre],dJugador[Mote],"",0)</f>
        <v>0:Javi</v>
      </c>
      <c r="J954" t="str">
        <f>+IF(dHdcp[[#This Row],[Maximo]]=0,"",_xlfn.RANK.EQ(dHdcp[[#This Row],[Handicap]],dHdcp[Handicap],1))</f>
        <v/>
      </c>
      <c r="K954" t="str">
        <f>IFERROR(+_xlfn.RANK.EQ(dHdcp[[#This Row],[Ranking]],dHdcp[Ranking],1),"")</f>
        <v/>
      </c>
      <c r="M954" t="str">
        <f>+dHdcp[[#This Row],[Fecha]]&amp;":"&amp;dHdcp[[#This Row],[Nombre]]</f>
        <v>44541:Javier Gonzalez Salvador</v>
      </c>
      <c r="N954">
        <f>+COUNTIF(dHdcp[Columna1],dHdcp[[#This Row],[Columna1]])</f>
        <v>1</v>
      </c>
    </row>
    <row r="955" spans="1:14">
      <c r="A955" s="2">
        <v>44541</v>
      </c>
      <c r="B955" t="s">
        <v>41</v>
      </c>
      <c r="C955" s="51">
        <v>25.6</v>
      </c>
      <c r="D955">
        <f>+VLOOKUP(dHdcp[[#This Row],[Handicap]],'Categoría Hdcap'!$B$2:$E$7,4)</f>
        <v>4</v>
      </c>
      <c r="E955" t="s">
        <v>74</v>
      </c>
      <c r="F955" t="s">
        <v>1421</v>
      </c>
      <c r="G955">
        <f>+IF(dHdcp[[#This Row],[Fecha]]=MAX(dHdcp[Fecha]),1,0)</f>
        <v>0</v>
      </c>
      <c r="H955" t="str">
        <f>+dHdcp[[#This Row],[Maximo]]&amp;":"&amp;dHdcp[[#This Row],[Nombre]]</f>
        <v>0:Jesus Touceda</v>
      </c>
      <c r="I955" t="str">
        <f>+dHdcp[[#This Row],[Maximo]]&amp;":"&amp;_xlfn.XLOOKUP(dHdcp[[#This Row],[Nombre]],dJugador[Nombre],dJugador[Mote],"",0)</f>
        <v>0:Jesús</v>
      </c>
      <c r="J955" t="str">
        <f>+IF(dHdcp[[#This Row],[Maximo]]=0,"",_xlfn.RANK.EQ(dHdcp[[#This Row],[Handicap]],dHdcp[Handicap],1))</f>
        <v/>
      </c>
      <c r="K955" t="str">
        <f>IFERROR(+_xlfn.RANK.EQ(dHdcp[[#This Row],[Ranking]],dHdcp[Ranking],1),"")</f>
        <v/>
      </c>
      <c r="M955" t="str">
        <f>+dHdcp[[#This Row],[Fecha]]&amp;":"&amp;dHdcp[[#This Row],[Nombre]]</f>
        <v>44541:Jesus Touceda</v>
      </c>
      <c r="N955">
        <f>+COUNTIF(dHdcp[Columna1],dHdcp[[#This Row],[Columna1]])</f>
        <v>1</v>
      </c>
    </row>
    <row r="956" spans="1:14">
      <c r="A956" s="2">
        <v>44541</v>
      </c>
      <c r="B956" t="s">
        <v>18</v>
      </c>
      <c r="C956" s="51">
        <v>6.7</v>
      </c>
      <c r="D956">
        <f>+VLOOKUP(dHdcp[[#This Row],[Handicap]],'Categoría Hdcap'!$B$2:$E$7,4)</f>
        <v>2</v>
      </c>
      <c r="E956" t="s">
        <v>74</v>
      </c>
      <c r="F956" t="s">
        <v>1422</v>
      </c>
      <c r="G956">
        <f>+IF(dHdcp[[#This Row],[Fecha]]=MAX(dHdcp[Fecha]),1,0)</f>
        <v>0</v>
      </c>
      <c r="H956" t="str">
        <f>+dHdcp[[#This Row],[Maximo]]&amp;":"&amp;dHdcp[[#This Row],[Nombre]]</f>
        <v>0:José Pablo Guil</v>
      </c>
      <c r="I956" t="str">
        <f>+dHdcp[[#This Row],[Maximo]]&amp;":"&amp;_xlfn.XLOOKUP(dHdcp[[#This Row],[Nombre]],dJugador[Nombre],dJugador[Mote],"",0)</f>
        <v>0:JP</v>
      </c>
      <c r="J956" t="str">
        <f>+IF(dHdcp[[#This Row],[Maximo]]=0,"",_xlfn.RANK.EQ(dHdcp[[#This Row],[Handicap]],dHdcp[Handicap],1))</f>
        <v/>
      </c>
      <c r="K956" t="str">
        <f>IFERROR(+_xlfn.RANK.EQ(dHdcp[[#This Row],[Ranking]],dHdcp[Ranking],1),"")</f>
        <v/>
      </c>
      <c r="M956" t="str">
        <f>+dHdcp[[#This Row],[Fecha]]&amp;":"&amp;dHdcp[[#This Row],[Nombre]]</f>
        <v>44541:José Pablo Guil</v>
      </c>
      <c r="N956">
        <f>+COUNTIF(dHdcp[Columna1],dHdcp[[#This Row],[Columna1]])</f>
        <v>1</v>
      </c>
    </row>
    <row r="957" spans="1:14">
      <c r="A957" s="2">
        <v>44541</v>
      </c>
      <c r="B957" t="s">
        <v>43</v>
      </c>
      <c r="C957" s="51">
        <v>18.5</v>
      </c>
      <c r="D957">
        <f>+VLOOKUP(dHdcp[[#This Row],[Handicap]],'Categoría Hdcap'!$B$2:$E$7,4)</f>
        <v>4</v>
      </c>
      <c r="E957" t="s">
        <v>74</v>
      </c>
      <c r="F957" t="s">
        <v>1423</v>
      </c>
      <c r="G957">
        <f>+IF(dHdcp[[#This Row],[Fecha]]=MAX(dHdcp[Fecha]),1,0)</f>
        <v>0</v>
      </c>
      <c r="H957" t="str">
        <f>+dHdcp[[#This Row],[Maximo]]&amp;":"&amp;dHdcp[[#This Row],[Nombre]]</f>
        <v>0:Luis Escudero</v>
      </c>
      <c r="I957" t="str">
        <f>+dHdcp[[#This Row],[Maximo]]&amp;":"&amp;_xlfn.XLOOKUP(dHdcp[[#This Row],[Nombre]],dJugador[Nombre],dJugador[Mote],"",0)</f>
        <v>0:Lucho</v>
      </c>
      <c r="J957" t="str">
        <f>+IF(dHdcp[[#This Row],[Maximo]]=0,"",_xlfn.RANK.EQ(dHdcp[[#This Row],[Handicap]],dHdcp[Handicap],1))</f>
        <v/>
      </c>
      <c r="K957" t="str">
        <f>IFERROR(+_xlfn.RANK.EQ(dHdcp[[#This Row],[Ranking]],dHdcp[Ranking],1),"")</f>
        <v/>
      </c>
      <c r="M957" t="str">
        <f>+dHdcp[[#This Row],[Fecha]]&amp;":"&amp;dHdcp[[#This Row],[Nombre]]</f>
        <v>44541:Luis Escudero</v>
      </c>
      <c r="N957">
        <f>+COUNTIF(dHdcp[Columna1],dHdcp[[#This Row],[Columna1]])</f>
        <v>1</v>
      </c>
    </row>
    <row r="958" spans="1:14">
      <c r="A958" s="2">
        <v>44541</v>
      </c>
      <c r="B958" s="10" t="s">
        <v>135</v>
      </c>
      <c r="C958" s="53">
        <v>23.6</v>
      </c>
      <c r="D958" s="10">
        <f>+VLOOKUP(dHdcp[[#This Row],[Handicap]],'Categoría Hdcap'!$B$2:$E$7,4)</f>
        <v>4</v>
      </c>
      <c r="E958" s="10" t="s">
        <v>74</v>
      </c>
      <c r="F958" s="10" t="s">
        <v>1424</v>
      </c>
      <c r="G958">
        <f>+IF(dHdcp[[#This Row],[Fecha]]=MAX(dHdcp[Fecha]),1,0)</f>
        <v>0</v>
      </c>
      <c r="H958" t="str">
        <f>+dHdcp[[#This Row],[Maximo]]&amp;":"&amp;dHdcp[[#This Row],[Nombre]]</f>
        <v>0:Miche Lopez</v>
      </c>
      <c r="I958" t="str">
        <f>+dHdcp[[#This Row],[Maximo]]&amp;":"&amp;_xlfn.XLOOKUP(dHdcp[[#This Row],[Nombre]],dJugador[Nombre],dJugador[Mote],"",0)</f>
        <v>0:Miche</v>
      </c>
      <c r="J958" t="str">
        <f>+IF(dHdcp[[#This Row],[Maximo]]=0,"",_xlfn.RANK.EQ(dHdcp[[#This Row],[Handicap]],dHdcp[Handicap],1))</f>
        <v/>
      </c>
      <c r="K958" t="str">
        <f>IFERROR(+_xlfn.RANK.EQ(dHdcp[[#This Row],[Ranking]],dHdcp[Ranking],1),"")</f>
        <v/>
      </c>
      <c r="M958" t="str">
        <f>+dHdcp[[#This Row],[Fecha]]&amp;":"&amp;dHdcp[[#This Row],[Nombre]]</f>
        <v>44541:Miche Lopez</v>
      </c>
      <c r="N958">
        <f>+COUNTIF(dHdcp[Columna1],dHdcp[[#This Row],[Columna1]])</f>
        <v>1</v>
      </c>
    </row>
    <row r="959" spans="1:14">
      <c r="A959" s="2">
        <v>44541</v>
      </c>
      <c r="B959" t="s">
        <v>51</v>
      </c>
      <c r="C959" s="51">
        <v>-1.4</v>
      </c>
      <c r="D959">
        <f>+VLOOKUP(dHdcp[[#This Row],[Handicap]],'Categoría Hdcap'!$B$2:$E$7,4)</f>
        <v>1</v>
      </c>
      <c r="E959" t="s">
        <v>74</v>
      </c>
      <c r="F959" t="s">
        <v>1425</v>
      </c>
      <c r="G959">
        <f>+IF(dHdcp[[#This Row],[Fecha]]=MAX(dHdcp[Fecha]),1,0)</f>
        <v>0</v>
      </c>
      <c r="H959" t="str">
        <f>+dHdcp[[#This Row],[Maximo]]&amp;":"&amp;dHdcp[[#This Row],[Nombre]]</f>
        <v>0:Miguel Diaz Del Moral</v>
      </c>
      <c r="I959" t="str">
        <f>+dHdcp[[#This Row],[Maximo]]&amp;":"&amp;_xlfn.XLOOKUP(dHdcp[[#This Row],[Nombre]],dJugador[Nombre],dJugador[Mote],"",0)</f>
        <v>0:Cañita</v>
      </c>
      <c r="J959" t="str">
        <f>+IF(dHdcp[[#This Row],[Maximo]]=0,"",_xlfn.RANK.EQ(dHdcp[[#This Row],[Handicap]],dHdcp[Handicap],1))</f>
        <v/>
      </c>
      <c r="K959" t="str">
        <f>IFERROR(+_xlfn.RANK.EQ(dHdcp[[#This Row],[Ranking]],dHdcp[Ranking],1),"")</f>
        <v/>
      </c>
      <c r="M959" t="str">
        <f>+dHdcp[[#This Row],[Fecha]]&amp;":"&amp;dHdcp[[#This Row],[Nombre]]</f>
        <v>44541:Miguel Diaz Del Moral</v>
      </c>
      <c r="N959">
        <f>+COUNTIF(dHdcp[Columna1],dHdcp[[#This Row],[Columna1]])</f>
        <v>1</v>
      </c>
    </row>
    <row r="960" spans="1:14">
      <c r="A960" s="2">
        <v>44541</v>
      </c>
      <c r="B960" t="s">
        <v>3</v>
      </c>
      <c r="C960" s="51">
        <v>6.6</v>
      </c>
      <c r="D960">
        <f>+VLOOKUP(dHdcp[[#This Row],[Handicap]],'Categoría Hdcap'!$B$2:$E$7,4)</f>
        <v>2</v>
      </c>
      <c r="E960" t="s">
        <v>74</v>
      </c>
      <c r="F960" t="s">
        <v>1426</v>
      </c>
      <c r="G960">
        <f>+IF(dHdcp[[#This Row],[Fecha]]=MAX(dHdcp[Fecha]),1,0)</f>
        <v>0</v>
      </c>
      <c r="H960" t="str">
        <f>+dHdcp[[#This Row],[Maximo]]&amp;":"&amp;dHdcp[[#This Row],[Nombre]]</f>
        <v>0:Nacho Gonzalez</v>
      </c>
      <c r="I960" t="str">
        <f>+dHdcp[[#This Row],[Maximo]]&amp;":"&amp;_xlfn.XLOOKUP(dHdcp[[#This Row],[Nombre]],dJugador[Nombre],dJugador[Mote],"",0)</f>
        <v>0:Nacho</v>
      </c>
      <c r="J960" t="str">
        <f>+IF(dHdcp[[#This Row],[Maximo]]=0,"",_xlfn.RANK.EQ(dHdcp[[#This Row],[Handicap]],dHdcp[Handicap],1))</f>
        <v/>
      </c>
      <c r="K960" t="str">
        <f>IFERROR(+_xlfn.RANK.EQ(dHdcp[[#This Row],[Ranking]],dHdcp[Ranking],1),"")</f>
        <v/>
      </c>
      <c r="M960" t="str">
        <f>+dHdcp[[#This Row],[Fecha]]&amp;":"&amp;dHdcp[[#This Row],[Nombre]]</f>
        <v>44541:Nacho Gonzalez</v>
      </c>
      <c r="N960">
        <f>+COUNTIF(dHdcp[Columna1],dHdcp[[#This Row],[Columna1]])</f>
        <v>1</v>
      </c>
    </row>
    <row r="961" spans="1:14">
      <c r="A961" s="2">
        <v>44541</v>
      </c>
      <c r="B961" t="s">
        <v>28</v>
      </c>
      <c r="C961" s="51">
        <v>13.7</v>
      </c>
      <c r="D961">
        <f>+VLOOKUP(dHdcp[[#This Row],[Handicap]],'Categoría Hdcap'!$B$2:$E$7,4)</f>
        <v>3</v>
      </c>
      <c r="E961" t="s">
        <v>74</v>
      </c>
      <c r="F961" t="s">
        <v>1427</v>
      </c>
      <c r="G961">
        <f>+IF(dHdcp[[#This Row],[Fecha]]=MAX(dHdcp[Fecha]),1,0)</f>
        <v>0</v>
      </c>
      <c r="H961" t="str">
        <f>+dHdcp[[#This Row],[Maximo]]&amp;":"&amp;dHdcp[[#This Row],[Nombre]]</f>
        <v>0:Pablo Munitiz</v>
      </c>
      <c r="I961" t="str">
        <f>+dHdcp[[#This Row],[Maximo]]&amp;":"&amp;_xlfn.XLOOKUP(dHdcp[[#This Row],[Nombre]],dJugador[Nombre],dJugador[Mote],"",0)</f>
        <v>0:Muni</v>
      </c>
      <c r="J961" t="str">
        <f>+IF(dHdcp[[#This Row],[Maximo]]=0,"",_xlfn.RANK.EQ(dHdcp[[#This Row],[Handicap]],dHdcp[Handicap],1))</f>
        <v/>
      </c>
      <c r="K961" t="str">
        <f>IFERROR(+_xlfn.RANK.EQ(dHdcp[[#This Row],[Ranking]],dHdcp[Ranking],1),"")</f>
        <v/>
      </c>
      <c r="M961" t="str">
        <f>+dHdcp[[#This Row],[Fecha]]&amp;":"&amp;dHdcp[[#This Row],[Nombre]]</f>
        <v>44541:Pablo Munitiz</v>
      </c>
      <c r="N961">
        <f>+COUNTIF(dHdcp[Columna1],dHdcp[[#This Row],[Columna1]])</f>
        <v>1</v>
      </c>
    </row>
    <row r="962" spans="1:14">
      <c r="A962" s="2">
        <v>44546</v>
      </c>
      <c r="B962" t="s">
        <v>9</v>
      </c>
      <c r="C962" s="51">
        <v>10.6</v>
      </c>
      <c r="D962">
        <f>+VLOOKUP(dHdcp[[#This Row],[Handicap]],'Categoría Hdcap'!$B$2:$E$7,4)</f>
        <v>2</v>
      </c>
      <c r="E962" t="s">
        <v>74</v>
      </c>
      <c r="F962" t="s">
        <v>1428</v>
      </c>
      <c r="G962">
        <f>+IF(dHdcp[[#This Row],[Fecha]]=MAX(dHdcp[Fecha]),1,0)</f>
        <v>0</v>
      </c>
      <c r="H962" t="str">
        <f>+dHdcp[[#This Row],[Maximo]]&amp;":"&amp;dHdcp[[#This Row],[Nombre]]</f>
        <v>0:Alfonso Hidalgo</v>
      </c>
      <c r="I962" t="str">
        <f>+dHdcp[[#This Row],[Maximo]]&amp;":"&amp;_xlfn.XLOOKUP(dHdcp[[#This Row],[Nombre]],dJugador[Nombre],dJugador[Mote],"",0)</f>
        <v>0:Alfonso</v>
      </c>
      <c r="J962" t="str">
        <f>+IF(dHdcp[[#This Row],[Maximo]]=0,"",_xlfn.RANK.EQ(dHdcp[[#This Row],[Handicap]],dHdcp[Handicap],1))</f>
        <v/>
      </c>
      <c r="K962" t="str">
        <f>IFERROR(+_xlfn.RANK.EQ(dHdcp[[#This Row],[Ranking]],dHdcp[Ranking],1),"")</f>
        <v/>
      </c>
      <c r="M962" t="str">
        <f>+dHdcp[[#This Row],[Fecha]]&amp;":"&amp;dHdcp[[#This Row],[Nombre]]</f>
        <v>44546:Alfonso Hidalgo</v>
      </c>
      <c r="N962">
        <f>+COUNTIF(dHdcp[Columna1],dHdcp[[#This Row],[Columna1]])</f>
        <v>1</v>
      </c>
    </row>
    <row r="963" spans="1:14">
      <c r="A963" s="2">
        <v>44546</v>
      </c>
      <c r="B963" t="s">
        <v>15</v>
      </c>
      <c r="C963" s="51">
        <v>7</v>
      </c>
      <c r="D963">
        <f>+VLOOKUP(dHdcp[[#This Row],[Handicap]],'Categoría Hdcap'!$B$2:$E$7,4)</f>
        <v>2</v>
      </c>
      <c r="E963" t="s">
        <v>74</v>
      </c>
      <c r="F963" t="s">
        <v>1429</v>
      </c>
      <c r="G963">
        <f>+IF(dHdcp[[#This Row],[Fecha]]=MAX(dHdcp[Fecha]),1,0)</f>
        <v>0</v>
      </c>
      <c r="H963" t="str">
        <f>+dHdcp[[#This Row],[Maximo]]&amp;":"&amp;dHdcp[[#This Row],[Nombre]]</f>
        <v>0:Alvaro Aguirre</v>
      </c>
      <c r="I963" t="str">
        <f>+dHdcp[[#This Row],[Maximo]]&amp;":"&amp;_xlfn.XLOOKUP(dHdcp[[#This Row],[Nombre]],dJugador[Nombre],dJugador[Mote],"",0)</f>
        <v>0:Gifu</v>
      </c>
      <c r="J963" t="str">
        <f>+IF(dHdcp[[#This Row],[Maximo]]=0,"",_xlfn.RANK.EQ(dHdcp[[#This Row],[Handicap]],dHdcp[Handicap],1))</f>
        <v/>
      </c>
      <c r="K963" t="str">
        <f>IFERROR(+_xlfn.RANK.EQ(dHdcp[[#This Row],[Ranking]],dHdcp[Ranking],1),"")</f>
        <v/>
      </c>
      <c r="M963" t="str">
        <f>+dHdcp[[#This Row],[Fecha]]&amp;":"&amp;dHdcp[[#This Row],[Nombre]]</f>
        <v>44546:Alvaro Aguirre</v>
      </c>
      <c r="N963">
        <f>+COUNTIF(dHdcp[Columna1],dHdcp[[#This Row],[Columna1]])</f>
        <v>1</v>
      </c>
    </row>
    <row r="964" spans="1:14">
      <c r="A964" s="2">
        <v>44546</v>
      </c>
      <c r="B964" t="s">
        <v>25</v>
      </c>
      <c r="C964" s="51">
        <v>13.1</v>
      </c>
      <c r="D964">
        <f>+VLOOKUP(dHdcp[[#This Row],[Handicap]],'Categoría Hdcap'!$B$2:$E$7,4)</f>
        <v>3</v>
      </c>
      <c r="E964" t="s">
        <v>74</v>
      </c>
      <c r="F964" t="s">
        <v>1430</v>
      </c>
      <c r="G964">
        <f>+IF(dHdcp[[#This Row],[Fecha]]=MAX(dHdcp[Fecha]),1,0)</f>
        <v>0</v>
      </c>
      <c r="H964" t="str">
        <f>+dHdcp[[#This Row],[Maximo]]&amp;":"&amp;dHdcp[[#This Row],[Nombre]]</f>
        <v>0:Alvaro Nieto</v>
      </c>
      <c r="I964" t="str">
        <f>+dHdcp[[#This Row],[Maximo]]&amp;":"&amp;_xlfn.XLOOKUP(dHdcp[[#This Row],[Nombre]],dJugador[Nombre],dJugador[Mote],"",0)</f>
        <v>0:Alvaro</v>
      </c>
      <c r="J964" t="str">
        <f>+IF(dHdcp[[#This Row],[Maximo]]=0,"",_xlfn.RANK.EQ(dHdcp[[#This Row],[Handicap]],dHdcp[Handicap],1))</f>
        <v/>
      </c>
      <c r="K964" t="str">
        <f>IFERROR(+_xlfn.RANK.EQ(dHdcp[[#This Row],[Ranking]],dHdcp[Ranking],1),"")</f>
        <v/>
      </c>
      <c r="M964" t="str">
        <f>+dHdcp[[#This Row],[Fecha]]&amp;":"&amp;dHdcp[[#This Row],[Nombre]]</f>
        <v>44546:Alvaro Nieto</v>
      </c>
      <c r="N964">
        <f>+COUNTIF(dHdcp[Columna1],dHdcp[[#This Row],[Columna1]])</f>
        <v>1</v>
      </c>
    </row>
    <row r="965" spans="1:14">
      <c r="A965" s="2">
        <v>44546</v>
      </c>
      <c r="B965" t="s">
        <v>33</v>
      </c>
      <c r="C965" s="51">
        <v>7.6</v>
      </c>
      <c r="D965">
        <f>+VLOOKUP(dHdcp[[#This Row],[Handicap]],'Categoría Hdcap'!$B$2:$E$7,4)</f>
        <v>2</v>
      </c>
      <c r="E965" t="s">
        <v>74</v>
      </c>
      <c r="F965" t="s">
        <v>1431</v>
      </c>
      <c r="G965">
        <f>+IF(dHdcp[[#This Row],[Fecha]]=MAX(dHdcp[Fecha]),1,0)</f>
        <v>0</v>
      </c>
      <c r="H965" t="str">
        <f>+dHdcp[[#This Row],[Maximo]]&amp;":"&amp;dHdcp[[#This Row],[Nombre]]</f>
        <v>0:Angel Hernandez</v>
      </c>
      <c r="I965" t="str">
        <f>+dHdcp[[#This Row],[Maximo]]&amp;":"&amp;_xlfn.XLOOKUP(dHdcp[[#This Row],[Nombre]],dJugador[Nombre],dJugador[Mote],"",0)</f>
        <v>0:Angel</v>
      </c>
      <c r="J965" t="str">
        <f>+IF(dHdcp[[#This Row],[Maximo]]=0,"",_xlfn.RANK.EQ(dHdcp[[#This Row],[Handicap]],dHdcp[Handicap],1))</f>
        <v/>
      </c>
      <c r="K965" t="str">
        <f>IFERROR(+_xlfn.RANK.EQ(dHdcp[[#This Row],[Ranking]],dHdcp[Ranking],1),"")</f>
        <v/>
      </c>
      <c r="M965" t="str">
        <f>+dHdcp[[#This Row],[Fecha]]&amp;":"&amp;dHdcp[[#This Row],[Nombre]]</f>
        <v>44546:Angel Hernandez</v>
      </c>
      <c r="N965">
        <f>+COUNTIF(dHdcp[Columna1],dHdcp[[#This Row],[Columna1]])</f>
        <v>1</v>
      </c>
    </row>
    <row r="966" spans="1:14">
      <c r="A966" s="2">
        <v>44546</v>
      </c>
      <c r="B966" t="s">
        <v>30</v>
      </c>
      <c r="C966" s="51">
        <v>12.7</v>
      </c>
      <c r="D966">
        <f>+VLOOKUP(dHdcp[[#This Row],[Handicap]],'Categoría Hdcap'!$B$2:$E$7,4)</f>
        <v>3</v>
      </c>
      <c r="E966" t="s">
        <v>74</v>
      </c>
      <c r="F966" t="s">
        <v>1432</v>
      </c>
      <c r="G966">
        <f>+IF(dHdcp[[#This Row],[Fecha]]=MAX(dHdcp[Fecha]),1,0)</f>
        <v>0</v>
      </c>
      <c r="H966" t="str">
        <f>+dHdcp[[#This Row],[Maximo]]&amp;":"&amp;dHdcp[[#This Row],[Nombre]]</f>
        <v>0:David Sequera</v>
      </c>
      <c r="I966" t="str">
        <f>+dHdcp[[#This Row],[Maximo]]&amp;":"&amp;_xlfn.XLOOKUP(dHdcp[[#This Row],[Nombre]],dJugador[Nombre],dJugador[Mote],"",0)</f>
        <v>0:David</v>
      </c>
      <c r="J966" t="str">
        <f>+IF(dHdcp[[#This Row],[Maximo]]=0,"",_xlfn.RANK.EQ(dHdcp[[#This Row],[Handicap]],dHdcp[Handicap],1))</f>
        <v/>
      </c>
      <c r="K966" t="str">
        <f>IFERROR(+_xlfn.RANK.EQ(dHdcp[[#This Row],[Ranking]],dHdcp[Ranking],1),"")</f>
        <v/>
      </c>
      <c r="M966" t="str">
        <f>+dHdcp[[#This Row],[Fecha]]&amp;":"&amp;dHdcp[[#This Row],[Nombre]]</f>
        <v>44546:David Sequera</v>
      </c>
      <c r="N966">
        <f>+COUNTIF(dHdcp[Columna1],dHdcp[[#This Row],[Columna1]])</f>
        <v>1</v>
      </c>
    </row>
    <row r="967" spans="1:14">
      <c r="A967" s="2">
        <v>44546</v>
      </c>
      <c r="B967" t="s">
        <v>12</v>
      </c>
      <c r="C967" s="51">
        <v>14.2</v>
      </c>
      <c r="D967">
        <f>+VLOOKUP(dHdcp[[#This Row],[Handicap]],'Categoría Hdcap'!$B$2:$E$7,4)</f>
        <v>3</v>
      </c>
      <c r="E967" t="s">
        <v>74</v>
      </c>
      <c r="F967" t="s">
        <v>1433</v>
      </c>
      <c r="G967">
        <f>+IF(dHdcp[[#This Row],[Fecha]]=MAX(dHdcp[Fecha]),1,0)</f>
        <v>0</v>
      </c>
      <c r="H967" t="str">
        <f>+dHdcp[[#This Row],[Maximo]]&amp;":"&amp;dHdcp[[#This Row],[Nombre]]</f>
        <v>0:Francisco Alvarez</v>
      </c>
      <c r="I967" t="str">
        <f>+dHdcp[[#This Row],[Maximo]]&amp;":"&amp;_xlfn.XLOOKUP(dHdcp[[#This Row],[Nombre]],dJugador[Nombre],dJugador[Mote],"",0)</f>
        <v>0:Paco</v>
      </c>
      <c r="J967" t="str">
        <f>+IF(dHdcp[[#This Row],[Maximo]]=0,"",_xlfn.RANK.EQ(dHdcp[[#This Row],[Handicap]],dHdcp[Handicap],1))</f>
        <v/>
      </c>
      <c r="K967" t="str">
        <f>IFERROR(+_xlfn.RANK.EQ(dHdcp[[#This Row],[Ranking]],dHdcp[Ranking],1),"")</f>
        <v/>
      </c>
      <c r="M967" t="str">
        <f>+dHdcp[[#This Row],[Fecha]]&amp;":"&amp;dHdcp[[#This Row],[Nombre]]</f>
        <v>44546:Francisco Alvarez</v>
      </c>
      <c r="N967">
        <f>+COUNTIF(dHdcp[Columna1],dHdcp[[#This Row],[Columna1]])</f>
        <v>1</v>
      </c>
    </row>
    <row r="968" spans="1:14">
      <c r="A968" s="2">
        <v>44546</v>
      </c>
      <c r="B968" t="s">
        <v>49</v>
      </c>
      <c r="C968" s="51">
        <v>13.2</v>
      </c>
      <c r="D968">
        <f>+VLOOKUP(dHdcp[[#This Row],[Handicap]],'Categoría Hdcap'!$B$2:$E$7,4)</f>
        <v>3</v>
      </c>
      <c r="E968" t="s">
        <v>74</v>
      </c>
      <c r="F968" t="s">
        <v>1434</v>
      </c>
      <c r="G968">
        <f>+IF(dHdcp[[#This Row],[Fecha]]=MAX(dHdcp[Fecha]),1,0)</f>
        <v>0</v>
      </c>
      <c r="H968" t="str">
        <f>+dHdcp[[#This Row],[Maximo]]&amp;":"&amp;dHdcp[[#This Row],[Nombre]]</f>
        <v>0:Francisco Hidalgo</v>
      </c>
      <c r="I968" t="str">
        <f>+dHdcp[[#This Row],[Maximo]]&amp;":"&amp;_xlfn.XLOOKUP(dHdcp[[#This Row],[Nombre]],dJugador[Nombre],dJugador[Mote],"",0)</f>
        <v>0:Fran</v>
      </c>
      <c r="J968" t="str">
        <f>+IF(dHdcp[[#This Row],[Maximo]]=0,"",_xlfn.RANK.EQ(dHdcp[[#This Row],[Handicap]],dHdcp[Handicap],1))</f>
        <v/>
      </c>
      <c r="K968" t="str">
        <f>IFERROR(+_xlfn.RANK.EQ(dHdcp[[#This Row],[Ranking]],dHdcp[Ranking],1),"")</f>
        <v/>
      </c>
      <c r="M968" t="str">
        <f>+dHdcp[[#This Row],[Fecha]]&amp;":"&amp;dHdcp[[#This Row],[Nombre]]</f>
        <v>44546:Francisco Hidalgo</v>
      </c>
      <c r="N968">
        <f>+COUNTIF(dHdcp[Columna1],dHdcp[[#This Row],[Columna1]])</f>
        <v>1</v>
      </c>
    </row>
    <row r="969" spans="1:14">
      <c r="A969" s="2">
        <v>44546</v>
      </c>
      <c r="B969" t="s">
        <v>35</v>
      </c>
      <c r="C969" s="51">
        <v>18.600000000000001</v>
      </c>
      <c r="D969">
        <f>+VLOOKUP(dHdcp[[#This Row],[Handicap]],'Categoría Hdcap'!$B$2:$E$7,4)</f>
        <v>4</v>
      </c>
      <c r="E969" t="s">
        <v>74</v>
      </c>
      <c r="F969" t="s">
        <v>1435</v>
      </c>
      <c r="G969">
        <f>+IF(dHdcp[[#This Row],[Fecha]]=MAX(dHdcp[Fecha]),1,0)</f>
        <v>0</v>
      </c>
      <c r="H969" t="str">
        <f>+dHdcp[[#This Row],[Maximo]]&amp;":"&amp;dHdcp[[#This Row],[Nombre]]</f>
        <v>0:GLEZ JUAN JOSÉ</v>
      </c>
      <c r="I969" t="str">
        <f>+dHdcp[[#This Row],[Maximo]]&amp;":"&amp;_xlfn.XLOOKUP(dHdcp[[#This Row],[Nombre]],dJugador[Nombre],dJugador[Mote],"",0)</f>
        <v>0:Juanjo</v>
      </c>
      <c r="J969" t="str">
        <f>+IF(dHdcp[[#This Row],[Maximo]]=0,"",_xlfn.RANK.EQ(dHdcp[[#This Row],[Handicap]],dHdcp[Handicap],1))</f>
        <v/>
      </c>
      <c r="K969" t="str">
        <f>IFERROR(+_xlfn.RANK.EQ(dHdcp[[#This Row],[Ranking]],dHdcp[Ranking],1),"")</f>
        <v/>
      </c>
      <c r="M969" t="str">
        <f>+dHdcp[[#This Row],[Fecha]]&amp;":"&amp;dHdcp[[#This Row],[Nombre]]</f>
        <v>44546:GLEZ JUAN JOSÉ</v>
      </c>
      <c r="N969">
        <f>+COUNTIF(dHdcp[Columna1],dHdcp[[#This Row],[Columna1]])</f>
        <v>1</v>
      </c>
    </row>
    <row r="970" spans="1:14">
      <c r="A970" s="2">
        <v>44546</v>
      </c>
      <c r="B970" t="s">
        <v>6</v>
      </c>
      <c r="C970" s="51">
        <v>8.4</v>
      </c>
      <c r="D970">
        <f>+VLOOKUP(dHdcp[[#This Row],[Handicap]],'Categoría Hdcap'!$B$2:$E$7,4)</f>
        <v>2</v>
      </c>
      <c r="E970" t="s">
        <v>74</v>
      </c>
      <c r="F970" t="s">
        <v>1436</v>
      </c>
      <c r="G970">
        <f>+IF(dHdcp[[#This Row],[Fecha]]=MAX(dHdcp[Fecha]),1,0)</f>
        <v>0</v>
      </c>
      <c r="H970" t="str">
        <f>+dHdcp[[#This Row],[Maximo]]&amp;":"&amp;dHdcp[[#This Row],[Nombre]]</f>
        <v>0:Ignacio Cadarso</v>
      </c>
      <c r="I970" t="str">
        <f>+dHdcp[[#This Row],[Maximo]]&amp;":"&amp;_xlfn.XLOOKUP(dHdcp[[#This Row],[Nombre]],dJugador[Nombre],dJugador[Mote],"",0)</f>
        <v>0:Ignacio</v>
      </c>
      <c r="J970" t="str">
        <f>+IF(dHdcp[[#This Row],[Maximo]]=0,"",_xlfn.RANK.EQ(dHdcp[[#This Row],[Handicap]],dHdcp[Handicap],1))</f>
        <v/>
      </c>
      <c r="K970" t="str">
        <f>IFERROR(+_xlfn.RANK.EQ(dHdcp[[#This Row],[Ranking]],dHdcp[Ranking],1),"")</f>
        <v/>
      </c>
      <c r="M970" t="str">
        <f>+dHdcp[[#This Row],[Fecha]]&amp;":"&amp;dHdcp[[#This Row],[Nombre]]</f>
        <v>44546:Ignacio Cadarso</v>
      </c>
      <c r="N970">
        <f>+COUNTIF(dHdcp[Columna1],dHdcp[[#This Row],[Columna1]])</f>
        <v>1</v>
      </c>
    </row>
    <row r="971" spans="1:14">
      <c r="A971" s="2">
        <v>44546</v>
      </c>
      <c r="B971" t="s">
        <v>23</v>
      </c>
      <c r="C971" s="51">
        <v>18.600000000000001</v>
      </c>
      <c r="D971">
        <f>+VLOOKUP(dHdcp[[#This Row],[Handicap]],'Categoría Hdcap'!$B$2:$E$7,4)</f>
        <v>4</v>
      </c>
      <c r="E971" t="s">
        <v>74</v>
      </c>
      <c r="F971" t="s">
        <v>1437</v>
      </c>
      <c r="G971">
        <f>+IF(dHdcp[[#This Row],[Fecha]]=MAX(dHdcp[Fecha]),1,0)</f>
        <v>0</v>
      </c>
      <c r="H971" t="str">
        <f>+dHdcp[[#This Row],[Maximo]]&amp;":"&amp;dHdcp[[#This Row],[Nombre]]</f>
        <v>0:J. Enrique Gonzalez</v>
      </c>
      <c r="I971" t="str">
        <f>+dHdcp[[#This Row],[Maximo]]&amp;":"&amp;_xlfn.XLOOKUP(dHdcp[[#This Row],[Nombre]],dJugador[Nombre],dJugador[Mote],"",0)</f>
        <v>0:Kike</v>
      </c>
      <c r="J971" t="str">
        <f>+IF(dHdcp[[#This Row],[Maximo]]=0,"",_xlfn.RANK.EQ(dHdcp[[#This Row],[Handicap]],dHdcp[Handicap],1))</f>
        <v/>
      </c>
      <c r="K971" t="str">
        <f>IFERROR(+_xlfn.RANK.EQ(dHdcp[[#This Row],[Ranking]],dHdcp[Ranking],1),"")</f>
        <v/>
      </c>
      <c r="M971" t="str">
        <f>+dHdcp[[#This Row],[Fecha]]&amp;":"&amp;dHdcp[[#This Row],[Nombre]]</f>
        <v>44546:J. Enrique Gonzalez</v>
      </c>
      <c r="N971">
        <f>+COUNTIF(dHdcp[Columna1],dHdcp[[#This Row],[Columna1]])</f>
        <v>1</v>
      </c>
    </row>
    <row r="972" spans="1:14">
      <c r="A972" s="2">
        <v>44546</v>
      </c>
      <c r="B972" t="s">
        <v>46</v>
      </c>
      <c r="C972" s="51">
        <v>17.2</v>
      </c>
      <c r="D972">
        <f>+VLOOKUP(dHdcp[[#This Row],[Handicap]],'Categoría Hdcap'!$B$2:$E$7,4)</f>
        <v>3</v>
      </c>
      <c r="E972" t="s">
        <v>74</v>
      </c>
      <c r="F972" t="s">
        <v>1438</v>
      </c>
      <c r="G972">
        <f>+IF(dHdcp[[#This Row],[Fecha]]=MAX(dHdcp[Fecha]),1,0)</f>
        <v>0</v>
      </c>
      <c r="H972" t="str">
        <f>+dHdcp[[#This Row],[Maximo]]&amp;":"&amp;dHdcp[[#This Row],[Nombre]]</f>
        <v>0:Javier Cervera</v>
      </c>
      <c r="I972" t="str">
        <f>+dHdcp[[#This Row],[Maximo]]&amp;":"&amp;_xlfn.XLOOKUP(dHdcp[[#This Row],[Nombre]],dJugador[Nombre],dJugador[Mote],"",0)</f>
        <v>0:Virus</v>
      </c>
      <c r="J972" t="str">
        <f>+IF(dHdcp[[#This Row],[Maximo]]=0,"",_xlfn.RANK.EQ(dHdcp[[#This Row],[Handicap]],dHdcp[Handicap],1))</f>
        <v/>
      </c>
      <c r="K972" t="str">
        <f>IFERROR(+_xlfn.RANK.EQ(dHdcp[[#This Row],[Ranking]],dHdcp[Ranking],1),"")</f>
        <v/>
      </c>
      <c r="M972" t="str">
        <f>+dHdcp[[#This Row],[Fecha]]&amp;":"&amp;dHdcp[[#This Row],[Nombre]]</f>
        <v>44546:Javier Cervera</v>
      </c>
      <c r="N972">
        <f>+COUNTIF(dHdcp[Columna1],dHdcp[[#This Row],[Columna1]])</f>
        <v>1</v>
      </c>
    </row>
    <row r="973" spans="1:14">
      <c r="A973" s="2">
        <v>44546</v>
      </c>
      <c r="B973" t="s">
        <v>20</v>
      </c>
      <c r="C973" s="51">
        <v>16.399999999999999</v>
      </c>
      <c r="D973">
        <f>+VLOOKUP(dHdcp[[#This Row],[Handicap]],'Categoría Hdcap'!$B$2:$E$7,4)</f>
        <v>3</v>
      </c>
      <c r="E973" t="s">
        <v>74</v>
      </c>
      <c r="F973" t="s">
        <v>1439</v>
      </c>
      <c r="G973">
        <f>+IF(dHdcp[[#This Row],[Fecha]]=MAX(dHdcp[Fecha]),1,0)</f>
        <v>0</v>
      </c>
      <c r="H973" t="str">
        <f>+dHdcp[[#This Row],[Maximo]]&amp;":"&amp;dHdcp[[#This Row],[Nombre]]</f>
        <v>0:Javier Gonzalez Salvador</v>
      </c>
      <c r="I973" t="str">
        <f>+dHdcp[[#This Row],[Maximo]]&amp;":"&amp;_xlfn.XLOOKUP(dHdcp[[#This Row],[Nombre]],dJugador[Nombre],dJugador[Mote],"",0)</f>
        <v>0:Javi</v>
      </c>
      <c r="J973" t="str">
        <f>+IF(dHdcp[[#This Row],[Maximo]]=0,"",_xlfn.RANK.EQ(dHdcp[[#This Row],[Handicap]],dHdcp[Handicap],1))</f>
        <v/>
      </c>
      <c r="K973" t="str">
        <f>IFERROR(+_xlfn.RANK.EQ(dHdcp[[#This Row],[Ranking]],dHdcp[Ranking],1),"")</f>
        <v/>
      </c>
      <c r="M973" t="str">
        <f>+dHdcp[[#This Row],[Fecha]]&amp;":"&amp;dHdcp[[#This Row],[Nombre]]</f>
        <v>44546:Javier Gonzalez Salvador</v>
      </c>
      <c r="N973">
        <f>+COUNTIF(dHdcp[Columna1],dHdcp[[#This Row],[Columna1]])</f>
        <v>1</v>
      </c>
    </row>
    <row r="974" spans="1:14">
      <c r="A974" s="2">
        <v>44546</v>
      </c>
      <c r="B974" t="s">
        <v>41</v>
      </c>
      <c r="C974" s="51">
        <v>25.6</v>
      </c>
      <c r="D974">
        <f>+VLOOKUP(dHdcp[[#This Row],[Handicap]],'Categoría Hdcap'!$B$2:$E$7,4)</f>
        <v>4</v>
      </c>
      <c r="E974" t="s">
        <v>74</v>
      </c>
      <c r="F974" t="s">
        <v>1440</v>
      </c>
      <c r="G974">
        <f>+IF(dHdcp[[#This Row],[Fecha]]=MAX(dHdcp[Fecha]),1,0)</f>
        <v>0</v>
      </c>
      <c r="H974" t="str">
        <f>+dHdcp[[#This Row],[Maximo]]&amp;":"&amp;dHdcp[[#This Row],[Nombre]]</f>
        <v>0:Jesus Touceda</v>
      </c>
      <c r="I974" t="str">
        <f>+dHdcp[[#This Row],[Maximo]]&amp;":"&amp;_xlfn.XLOOKUP(dHdcp[[#This Row],[Nombre]],dJugador[Nombre],dJugador[Mote],"",0)</f>
        <v>0:Jesús</v>
      </c>
      <c r="J974" t="str">
        <f>+IF(dHdcp[[#This Row],[Maximo]]=0,"",_xlfn.RANK.EQ(dHdcp[[#This Row],[Handicap]],dHdcp[Handicap],1))</f>
        <v/>
      </c>
      <c r="K974" t="str">
        <f>IFERROR(+_xlfn.RANK.EQ(dHdcp[[#This Row],[Ranking]],dHdcp[Ranking],1),"")</f>
        <v/>
      </c>
      <c r="M974" t="str">
        <f>+dHdcp[[#This Row],[Fecha]]&amp;":"&amp;dHdcp[[#This Row],[Nombre]]</f>
        <v>44546:Jesus Touceda</v>
      </c>
      <c r="N974">
        <f>+COUNTIF(dHdcp[Columna1],dHdcp[[#This Row],[Columna1]])</f>
        <v>1</v>
      </c>
    </row>
    <row r="975" spans="1:14">
      <c r="A975" s="2">
        <v>44546</v>
      </c>
      <c r="B975" t="s">
        <v>18</v>
      </c>
      <c r="C975" s="51">
        <v>6.7</v>
      </c>
      <c r="D975">
        <f>+VLOOKUP(dHdcp[[#This Row],[Handicap]],'Categoría Hdcap'!$B$2:$E$7,4)</f>
        <v>2</v>
      </c>
      <c r="E975" t="s">
        <v>74</v>
      </c>
      <c r="F975" t="s">
        <v>1441</v>
      </c>
      <c r="G975">
        <f>+IF(dHdcp[[#This Row],[Fecha]]=MAX(dHdcp[Fecha]),1,0)</f>
        <v>0</v>
      </c>
      <c r="H975" t="str">
        <f>+dHdcp[[#This Row],[Maximo]]&amp;":"&amp;dHdcp[[#This Row],[Nombre]]</f>
        <v>0:José Pablo Guil</v>
      </c>
      <c r="I975" t="str">
        <f>+dHdcp[[#This Row],[Maximo]]&amp;":"&amp;_xlfn.XLOOKUP(dHdcp[[#This Row],[Nombre]],dJugador[Nombre],dJugador[Mote],"",0)</f>
        <v>0:JP</v>
      </c>
      <c r="J975" t="str">
        <f>+IF(dHdcp[[#This Row],[Maximo]]=0,"",_xlfn.RANK.EQ(dHdcp[[#This Row],[Handicap]],dHdcp[Handicap],1))</f>
        <v/>
      </c>
      <c r="K975" t="str">
        <f>IFERROR(+_xlfn.RANK.EQ(dHdcp[[#This Row],[Ranking]],dHdcp[Ranking],1),"")</f>
        <v/>
      </c>
      <c r="M975" t="str">
        <f>+dHdcp[[#This Row],[Fecha]]&amp;":"&amp;dHdcp[[#This Row],[Nombre]]</f>
        <v>44546:José Pablo Guil</v>
      </c>
      <c r="N975">
        <f>+COUNTIF(dHdcp[Columna1],dHdcp[[#This Row],[Columna1]])</f>
        <v>1</v>
      </c>
    </row>
    <row r="976" spans="1:14">
      <c r="A976" s="2">
        <v>44546</v>
      </c>
      <c r="B976" t="s">
        <v>43</v>
      </c>
      <c r="C976" s="51">
        <v>18.5</v>
      </c>
      <c r="D976">
        <f>+VLOOKUP(dHdcp[[#This Row],[Handicap]],'Categoría Hdcap'!$B$2:$E$7,4)</f>
        <v>4</v>
      </c>
      <c r="E976" t="s">
        <v>74</v>
      </c>
      <c r="F976" t="s">
        <v>1442</v>
      </c>
      <c r="G976">
        <f>+IF(dHdcp[[#This Row],[Fecha]]=MAX(dHdcp[Fecha]),1,0)</f>
        <v>0</v>
      </c>
      <c r="H976" t="str">
        <f>+dHdcp[[#This Row],[Maximo]]&amp;":"&amp;dHdcp[[#This Row],[Nombre]]</f>
        <v>0:Luis Escudero</v>
      </c>
      <c r="I976" t="str">
        <f>+dHdcp[[#This Row],[Maximo]]&amp;":"&amp;_xlfn.XLOOKUP(dHdcp[[#This Row],[Nombre]],dJugador[Nombre],dJugador[Mote],"",0)</f>
        <v>0:Lucho</v>
      </c>
      <c r="J976" t="str">
        <f>+IF(dHdcp[[#This Row],[Maximo]]=0,"",_xlfn.RANK.EQ(dHdcp[[#This Row],[Handicap]],dHdcp[Handicap],1))</f>
        <v/>
      </c>
      <c r="K976" t="str">
        <f>IFERROR(+_xlfn.RANK.EQ(dHdcp[[#This Row],[Ranking]],dHdcp[Ranking],1),"")</f>
        <v/>
      </c>
      <c r="M976" t="str">
        <f>+dHdcp[[#This Row],[Fecha]]&amp;":"&amp;dHdcp[[#This Row],[Nombre]]</f>
        <v>44546:Luis Escudero</v>
      </c>
      <c r="N976">
        <f>+COUNTIF(dHdcp[Columna1],dHdcp[[#This Row],[Columna1]])</f>
        <v>1</v>
      </c>
    </row>
    <row r="977" spans="1:24">
      <c r="A977" s="2">
        <v>44546</v>
      </c>
      <c r="B977" s="10" t="s">
        <v>135</v>
      </c>
      <c r="C977" s="53">
        <v>23.6</v>
      </c>
      <c r="D977" s="10">
        <f>+VLOOKUP(dHdcp[[#This Row],[Handicap]],'Categoría Hdcap'!$B$2:$E$7,4)</f>
        <v>4</v>
      </c>
      <c r="E977" s="10" t="s">
        <v>74</v>
      </c>
      <c r="F977" s="10" t="s">
        <v>1443</v>
      </c>
      <c r="G977">
        <f>+IF(dHdcp[[#This Row],[Fecha]]=MAX(dHdcp[Fecha]),1,0)</f>
        <v>0</v>
      </c>
      <c r="H977" t="str">
        <f>+dHdcp[[#This Row],[Maximo]]&amp;":"&amp;dHdcp[[#This Row],[Nombre]]</f>
        <v>0:Miche Lopez</v>
      </c>
      <c r="I977" t="str">
        <f>+dHdcp[[#This Row],[Maximo]]&amp;":"&amp;_xlfn.XLOOKUP(dHdcp[[#This Row],[Nombre]],dJugador[Nombre],dJugador[Mote],"",0)</f>
        <v>0:Miche</v>
      </c>
      <c r="J977" t="str">
        <f>+IF(dHdcp[[#This Row],[Maximo]]=0,"",_xlfn.RANK.EQ(dHdcp[[#This Row],[Handicap]],dHdcp[Handicap],1))</f>
        <v/>
      </c>
      <c r="K977" t="str">
        <f>IFERROR(+_xlfn.RANK.EQ(dHdcp[[#This Row],[Ranking]],dHdcp[Ranking],1),"")</f>
        <v/>
      </c>
      <c r="M977" t="str">
        <f>+dHdcp[[#This Row],[Fecha]]&amp;":"&amp;dHdcp[[#This Row],[Nombre]]</f>
        <v>44546:Miche Lopez</v>
      </c>
      <c r="N977">
        <f>+COUNTIF(dHdcp[Columna1],dHdcp[[#This Row],[Columna1]])</f>
        <v>1</v>
      </c>
    </row>
    <row r="978" spans="1:24">
      <c r="A978" s="2">
        <v>44546</v>
      </c>
      <c r="B978" t="s">
        <v>51</v>
      </c>
      <c r="C978" s="51">
        <v>-0.9</v>
      </c>
      <c r="D978">
        <f>+VLOOKUP(dHdcp[[#This Row],[Handicap]],'Categoría Hdcap'!$B$2:$E$7,4)</f>
        <v>1</v>
      </c>
      <c r="E978" t="s">
        <v>74</v>
      </c>
      <c r="F978" s="94" t="s">
        <v>1444</v>
      </c>
      <c r="G978">
        <f>+IF(dHdcp[[#This Row],[Fecha]]=MAX(dHdcp[Fecha]),1,0)</f>
        <v>0</v>
      </c>
      <c r="H978" t="str">
        <f>+dHdcp[[#This Row],[Maximo]]&amp;":"&amp;dHdcp[[#This Row],[Nombre]]</f>
        <v>0:Miguel Diaz Del Moral</v>
      </c>
      <c r="I978" t="str">
        <f>+dHdcp[[#This Row],[Maximo]]&amp;":"&amp;_xlfn.XLOOKUP(dHdcp[[#This Row],[Nombre]],dJugador[Nombre],dJugador[Mote],"",0)</f>
        <v>0:Cañita</v>
      </c>
      <c r="J978" t="str">
        <f>+IF(dHdcp[[#This Row],[Maximo]]=0,"",_xlfn.RANK.EQ(dHdcp[[#This Row],[Handicap]],dHdcp[Handicap],1))</f>
        <v/>
      </c>
      <c r="K978" t="str">
        <f>IFERROR(+_xlfn.RANK.EQ(dHdcp[[#This Row],[Ranking]],dHdcp[Ranking],1),"")</f>
        <v/>
      </c>
      <c r="M978" t="str">
        <f>+dHdcp[[#This Row],[Fecha]]&amp;":"&amp;dHdcp[[#This Row],[Nombre]]</f>
        <v>44546:Miguel Diaz Del Moral</v>
      </c>
      <c r="N978">
        <f>+COUNTIF(dHdcp[Columna1],dHdcp[[#This Row],[Columna1]])</f>
        <v>1</v>
      </c>
    </row>
    <row r="979" spans="1:24">
      <c r="A979" s="2">
        <v>44546</v>
      </c>
      <c r="B979" t="s">
        <v>3</v>
      </c>
      <c r="C979" s="51">
        <v>6.4</v>
      </c>
      <c r="D979">
        <f>+VLOOKUP(dHdcp[[#This Row],[Handicap]],'Categoría Hdcap'!$B$2:$E$7,4)</f>
        <v>2</v>
      </c>
      <c r="E979" t="s">
        <v>74</v>
      </c>
      <c r="F979" t="s">
        <v>1445</v>
      </c>
      <c r="G979">
        <f>+IF(dHdcp[[#This Row],[Fecha]]=MAX(dHdcp[Fecha]),1,0)</f>
        <v>0</v>
      </c>
      <c r="H979" t="str">
        <f>+dHdcp[[#This Row],[Maximo]]&amp;":"&amp;dHdcp[[#This Row],[Nombre]]</f>
        <v>0:Nacho Gonzalez</v>
      </c>
      <c r="I979" t="str">
        <f>+dHdcp[[#This Row],[Maximo]]&amp;":"&amp;_xlfn.XLOOKUP(dHdcp[[#This Row],[Nombre]],dJugador[Nombre],dJugador[Mote],"",0)</f>
        <v>0:Nacho</v>
      </c>
      <c r="J979" t="str">
        <f>+IF(dHdcp[[#This Row],[Maximo]]=0,"",_xlfn.RANK.EQ(dHdcp[[#This Row],[Handicap]],dHdcp[Handicap],1))</f>
        <v/>
      </c>
      <c r="K979" t="str">
        <f>IFERROR(+_xlfn.RANK.EQ(dHdcp[[#This Row],[Ranking]],dHdcp[Ranking],1),"")</f>
        <v/>
      </c>
      <c r="M979" t="str">
        <f>+dHdcp[[#This Row],[Fecha]]&amp;":"&amp;dHdcp[[#This Row],[Nombre]]</f>
        <v>44546:Nacho Gonzalez</v>
      </c>
      <c r="N979">
        <f>+COUNTIF(dHdcp[Columna1],dHdcp[[#This Row],[Columna1]])</f>
        <v>1</v>
      </c>
    </row>
    <row r="980" spans="1:24">
      <c r="A980" s="2">
        <v>44546</v>
      </c>
      <c r="B980" t="s">
        <v>28</v>
      </c>
      <c r="C980" s="51">
        <v>13.7</v>
      </c>
      <c r="D980">
        <f>+VLOOKUP(dHdcp[[#This Row],[Handicap]],'Categoría Hdcap'!$B$2:$E$7,4)</f>
        <v>3</v>
      </c>
      <c r="E980" t="s">
        <v>74</v>
      </c>
      <c r="F980" t="s">
        <v>1446</v>
      </c>
      <c r="G980">
        <f>+IF(dHdcp[[#This Row],[Fecha]]=MAX(dHdcp[Fecha]),1,0)</f>
        <v>0</v>
      </c>
      <c r="H980" t="str">
        <f>+dHdcp[[#This Row],[Maximo]]&amp;":"&amp;dHdcp[[#This Row],[Nombre]]</f>
        <v>0:Pablo Munitiz</v>
      </c>
      <c r="I980" t="str">
        <f>+dHdcp[[#This Row],[Maximo]]&amp;":"&amp;_xlfn.XLOOKUP(dHdcp[[#This Row],[Nombre]],dJugador[Nombre],dJugador[Mote],"",0)</f>
        <v>0:Muni</v>
      </c>
      <c r="J980" t="str">
        <f>+IF(dHdcp[[#This Row],[Maximo]]=0,"",_xlfn.RANK.EQ(dHdcp[[#This Row],[Handicap]],dHdcp[Handicap],1))</f>
        <v/>
      </c>
      <c r="K980" t="str">
        <f>IFERROR(+_xlfn.RANK.EQ(dHdcp[[#This Row],[Ranking]],dHdcp[Ranking],1),"")</f>
        <v/>
      </c>
      <c r="M980" t="str">
        <f>+dHdcp[[#This Row],[Fecha]]&amp;":"&amp;dHdcp[[#This Row],[Nombre]]</f>
        <v>44546:Pablo Munitiz</v>
      </c>
      <c r="N980">
        <f>+COUNTIF(dHdcp[Columna1],dHdcp[[#This Row],[Columna1]])</f>
        <v>1</v>
      </c>
    </row>
    <row r="981" spans="1:24">
      <c r="A981" s="2">
        <v>44584</v>
      </c>
      <c r="B981" t="s">
        <v>9</v>
      </c>
      <c r="C981" s="51">
        <v>10.9</v>
      </c>
      <c r="D981">
        <f>+VLOOKUP(dHdcp[[#This Row],[Handicap]],'Categoría Hdcap'!$B$2:$E$7,4)</f>
        <v>2</v>
      </c>
      <c r="E981" t="s">
        <v>74</v>
      </c>
      <c r="F981" t="s">
        <v>1447</v>
      </c>
      <c r="G981">
        <f>+IF(dHdcp[[#This Row],[Fecha]]=MAX(dHdcp[Fecha]),1,0)</f>
        <v>0</v>
      </c>
      <c r="H981" t="str">
        <f>+dHdcp[[#This Row],[Maximo]]&amp;":"&amp;dHdcp[[#This Row],[Nombre]]</f>
        <v>0:Alfonso Hidalgo</v>
      </c>
      <c r="I981" t="str">
        <f>+dHdcp[[#This Row],[Maximo]]&amp;":"&amp;_xlfn.XLOOKUP(dHdcp[[#This Row],[Nombre]],dJugador[Nombre],dJugador[Mote],"",0)</f>
        <v>0:Alfonso</v>
      </c>
      <c r="J981" t="str">
        <f>+IF(dHdcp[[#This Row],[Maximo]]=0,"",_xlfn.RANK.EQ(dHdcp[[#This Row],[Handicap]],dHdcp[Handicap],1))</f>
        <v/>
      </c>
      <c r="K981" t="str">
        <f>IFERROR(+_xlfn.RANK.EQ(dHdcp[[#This Row],[Ranking]],dHdcp[Ranking],1),"")</f>
        <v/>
      </c>
      <c r="M981" t="str">
        <f>+dHdcp[[#This Row],[Fecha]]&amp;":"&amp;dHdcp[[#This Row],[Nombre]]</f>
        <v>44584:Alfonso Hidalgo</v>
      </c>
      <c r="N981">
        <f>+COUNTIF(dHdcp[Columna1],dHdcp[[#This Row],[Columna1]])</f>
        <v>1</v>
      </c>
      <c r="T981">
        <v>1</v>
      </c>
      <c r="U981" s="27">
        <v>44584</v>
      </c>
      <c r="V981" s="13" t="s">
        <v>15</v>
      </c>
      <c r="W981" s="13">
        <v>7.3</v>
      </c>
      <c r="X981" t="str">
        <f>+VLOOKUP(V981,dJugador[[Nombre]:[Mote]],2,FALSE)</f>
        <v>CME6628917</v>
      </c>
    </row>
    <row r="982" spans="1:24">
      <c r="A982" s="2">
        <v>44584</v>
      </c>
      <c r="B982" t="s">
        <v>229</v>
      </c>
      <c r="C982" s="51">
        <v>13.3</v>
      </c>
      <c r="D982">
        <f>+VLOOKUP(dHdcp[[#This Row],[Handicap]],'Categoría Hdcap'!$B$2:$E$7,4)</f>
        <v>3</v>
      </c>
      <c r="E982" t="s">
        <v>74</v>
      </c>
      <c r="F982" t="s">
        <v>1448</v>
      </c>
      <c r="G982">
        <f>+IF(dHdcp[[#This Row],[Fecha]]=MAX(dHdcp[Fecha]),1,0)</f>
        <v>0</v>
      </c>
      <c r="H982" t="str">
        <f>+dHdcp[[#This Row],[Maximo]]&amp;":"&amp;dHdcp[[#This Row],[Nombre]]</f>
        <v>0:Alfonso Zorrilla</v>
      </c>
      <c r="I982" t="str">
        <f>+dHdcp[[#This Row],[Maximo]]&amp;":"&amp;_xlfn.XLOOKUP(dHdcp[[#This Row],[Nombre]],dJugador[Nombre],dJugador[Mote],"",0)</f>
        <v>0:A Zorrilla</v>
      </c>
      <c r="J982" t="str">
        <f>+IF(dHdcp[[#This Row],[Maximo]]=0,"",_xlfn.RANK.EQ(dHdcp[[#This Row],[Handicap]],dHdcp[Handicap],1))</f>
        <v/>
      </c>
      <c r="K982" t="str">
        <f>IFERROR(+_xlfn.RANK.EQ(dHdcp[[#This Row],[Ranking]],dHdcp[Ranking],1),"")</f>
        <v/>
      </c>
      <c r="M982" t="str">
        <f>+dHdcp[[#This Row],[Fecha]]&amp;":"&amp;dHdcp[[#This Row],[Nombre]]</f>
        <v>44584:Alfonso Zorrilla</v>
      </c>
      <c r="N982">
        <f>+COUNTIF(dHdcp[Columna1],dHdcp[[#This Row],[Columna1]])</f>
        <v>1</v>
      </c>
      <c r="T982">
        <v>2</v>
      </c>
      <c r="U982" s="26">
        <v>44584</v>
      </c>
      <c r="V982" s="18" t="s">
        <v>9</v>
      </c>
      <c r="W982" s="18">
        <v>10.9</v>
      </c>
      <c r="X982" t="str">
        <f>+VLOOKUP(V982,dJugador[[Nombre]:[Mote]],2,FALSE)</f>
        <v>CME6255829</v>
      </c>
    </row>
    <row r="983" spans="1:24">
      <c r="A983" s="27">
        <v>44584</v>
      </c>
      <c r="B983" s="13" t="s">
        <v>15</v>
      </c>
      <c r="C983" s="51">
        <v>7.3</v>
      </c>
      <c r="D983">
        <f>+VLOOKUP(dHdcp[[#This Row],[Handicap]],'Categoría Hdcap'!$B$2:$E$7,4)</f>
        <v>2</v>
      </c>
      <c r="E983" t="s">
        <v>74</v>
      </c>
      <c r="F983" t="s">
        <v>1449</v>
      </c>
      <c r="G983">
        <f>+IF(dHdcp[[#This Row],[Fecha]]=MAX(dHdcp[Fecha]),1,0)</f>
        <v>0</v>
      </c>
      <c r="H983" t="str">
        <f>+dHdcp[[#This Row],[Maximo]]&amp;":"&amp;dHdcp[[#This Row],[Nombre]]</f>
        <v>0:Alvaro Aguirre</v>
      </c>
      <c r="I983" t="str">
        <f>+dHdcp[[#This Row],[Maximo]]&amp;":"&amp;_xlfn.XLOOKUP(dHdcp[[#This Row],[Nombre]],dJugador[Nombre],dJugador[Mote],"",0)</f>
        <v>0:Gifu</v>
      </c>
      <c r="J983" t="str">
        <f>+IF(dHdcp[[#This Row],[Maximo]]=0,"",_xlfn.RANK.EQ(dHdcp[[#This Row],[Handicap]],dHdcp[Handicap],1))</f>
        <v/>
      </c>
      <c r="K983" t="str">
        <f>IFERROR(+_xlfn.RANK.EQ(dHdcp[[#This Row],[Ranking]],dHdcp[Ranking],1),"")</f>
        <v/>
      </c>
      <c r="M983" t="str">
        <f>+dHdcp[[#This Row],[Fecha]]&amp;":"&amp;dHdcp[[#This Row],[Nombre]]</f>
        <v>44584:Alvaro Aguirre</v>
      </c>
      <c r="N983">
        <f>+COUNTIF(dHdcp[Columna1],dHdcp[[#This Row],[Columna1]])</f>
        <v>1</v>
      </c>
      <c r="T983">
        <f>+T982+1</f>
        <v>3</v>
      </c>
      <c r="U983" s="26">
        <v>44584</v>
      </c>
      <c r="V983" s="18" t="s">
        <v>229</v>
      </c>
      <c r="W983" s="18">
        <v>13.3</v>
      </c>
      <c r="X983" t="str">
        <f>+VLOOKUP(V983,dJugador[[Nombre]:[Mote]],2,FALSE)</f>
        <v>CM00159560</v>
      </c>
    </row>
    <row r="984" spans="1:24">
      <c r="A984" s="2">
        <v>44584</v>
      </c>
      <c r="B984" t="s">
        <v>201</v>
      </c>
      <c r="C984" s="51">
        <v>7.6</v>
      </c>
      <c r="D984">
        <f>+VLOOKUP(dHdcp[[#This Row],[Handicap]],'Categoría Hdcap'!$B$2:$E$7,4)</f>
        <v>2</v>
      </c>
      <c r="E984" t="s">
        <v>74</v>
      </c>
      <c r="F984" t="s">
        <v>1450</v>
      </c>
      <c r="G984">
        <f>+IF(dHdcp[[#This Row],[Fecha]]=MAX(dHdcp[Fecha]),1,0)</f>
        <v>0</v>
      </c>
      <c r="H984" t="str">
        <f>+dHdcp[[#This Row],[Maximo]]&amp;":"&amp;dHdcp[[#This Row],[Nombre]]</f>
        <v>0:Alvaro Montoya</v>
      </c>
      <c r="I984" t="str">
        <f>+dHdcp[[#This Row],[Maximo]]&amp;":"&amp;_xlfn.XLOOKUP(dHdcp[[#This Row],[Nombre]],dJugador[Nombre],dJugador[Mote],"",0)</f>
        <v>0:Monti</v>
      </c>
      <c r="J984" t="str">
        <f>+IF(dHdcp[[#This Row],[Maximo]]=0,"",_xlfn.RANK.EQ(dHdcp[[#This Row],[Handicap]],dHdcp[Handicap],1))</f>
        <v/>
      </c>
      <c r="K984" t="str">
        <f>IFERROR(+_xlfn.RANK.EQ(dHdcp[[#This Row],[Ranking]],dHdcp[Ranking],1),"")</f>
        <v/>
      </c>
      <c r="M984" t="str">
        <f>+dHdcp[[#This Row],[Fecha]]&amp;":"&amp;dHdcp[[#This Row],[Nombre]]</f>
        <v>44584:Alvaro Montoya</v>
      </c>
      <c r="N984">
        <f>+COUNTIF(dHdcp[Columna1],dHdcp[[#This Row],[Columna1]])</f>
        <v>1</v>
      </c>
      <c r="T984">
        <f t="shared" ref="T984:T1006" si="4">+T983+1</f>
        <v>4</v>
      </c>
      <c r="U984" s="27">
        <v>44584</v>
      </c>
      <c r="V984" s="13" t="s">
        <v>201</v>
      </c>
      <c r="W984" s="13">
        <v>7.6</v>
      </c>
      <c r="X984" t="str">
        <f>+VLOOKUP(V984,dJugador[[Nombre]:[Mote]],2,FALSE)</f>
        <v>AM62044928</v>
      </c>
    </row>
    <row r="985" spans="1:24">
      <c r="A985" s="2">
        <v>44584</v>
      </c>
      <c r="B985" t="s">
        <v>25</v>
      </c>
      <c r="C985" s="51">
        <v>13.1</v>
      </c>
      <c r="D985">
        <f>+VLOOKUP(dHdcp[[#This Row],[Handicap]],'Categoría Hdcap'!$B$2:$E$7,4)</f>
        <v>3</v>
      </c>
      <c r="E985" t="s">
        <v>74</v>
      </c>
      <c r="F985" t="s">
        <v>1451</v>
      </c>
      <c r="G985">
        <f>+IF(dHdcp[[#This Row],[Fecha]]=MAX(dHdcp[Fecha]),1,0)</f>
        <v>0</v>
      </c>
      <c r="H985" t="str">
        <f>+dHdcp[[#This Row],[Maximo]]&amp;":"&amp;dHdcp[[#This Row],[Nombre]]</f>
        <v>0:Alvaro Nieto</v>
      </c>
      <c r="I985" t="str">
        <f>+dHdcp[[#This Row],[Maximo]]&amp;":"&amp;_xlfn.XLOOKUP(dHdcp[[#This Row],[Nombre]],dJugador[Nombre],dJugador[Mote],"",0)</f>
        <v>0:Alvaro</v>
      </c>
      <c r="J985" t="str">
        <f>+IF(dHdcp[[#This Row],[Maximo]]=0,"",_xlfn.RANK.EQ(dHdcp[[#This Row],[Handicap]],dHdcp[Handicap],1))</f>
        <v/>
      </c>
      <c r="K985" t="str">
        <f>IFERROR(+_xlfn.RANK.EQ(dHdcp[[#This Row],[Ranking]],dHdcp[Ranking],1),"")</f>
        <v/>
      </c>
      <c r="M985" t="str">
        <f>+dHdcp[[#This Row],[Fecha]]&amp;":"&amp;dHdcp[[#This Row],[Nombre]]</f>
        <v>44584:Alvaro Nieto</v>
      </c>
      <c r="N985">
        <f>+COUNTIF(dHdcp[Columna1],dHdcp[[#This Row],[Columna1]])</f>
        <v>1</v>
      </c>
      <c r="T985">
        <f t="shared" si="4"/>
        <v>5</v>
      </c>
      <c r="U985" s="26">
        <v>44584</v>
      </c>
      <c r="V985" s="18" t="s">
        <v>25</v>
      </c>
      <c r="W985" s="18">
        <v>13.1</v>
      </c>
      <c r="X985" t="str">
        <f>+VLOOKUP(V985,dJugador[[Nombre]:[Mote]],2,FALSE)</f>
        <v>CM02386035</v>
      </c>
    </row>
    <row r="986" spans="1:24">
      <c r="A986" s="2">
        <v>44584</v>
      </c>
      <c r="B986" t="s">
        <v>33</v>
      </c>
      <c r="C986" s="51">
        <v>7.6</v>
      </c>
      <c r="D986">
        <f>+VLOOKUP(dHdcp[[#This Row],[Handicap]],'Categoría Hdcap'!$B$2:$E$7,4)</f>
        <v>2</v>
      </c>
      <c r="E986" t="s">
        <v>74</v>
      </c>
      <c r="F986" t="s">
        <v>1452</v>
      </c>
      <c r="G986">
        <f>+IF(dHdcp[[#This Row],[Fecha]]=MAX(dHdcp[Fecha]),1,0)</f>
        <v>0</v>
      </c>
      <c r="H986" t="str">
        <f>+dHdcp[[#This Row],[Maximo]]&amp;":"&amp;dHdcp[[#This Row],[Nombre]]</f>
        <v>0:Angel Hernandez</v>
      </c>
      <c r="I986" t="str">
        <f>+dHdcp[[#This Row],[Maximo]]&amp;":"&amp;_xlfn.XLOOKUP(dHdcp[[#This Row],[Nombre]],dJugador[Nombre],dJugador[Mote],"",0)</f>
        <v>0:Angel</v>
      </c>
      <c r="J986" t="str">
        <f>+IF(dHdcp[[#This Row],[Maximo]]=0,"",_xlfn.RANK.EQ(dHdcp[[#This Row],[Handicap]],dHdcp[Handicap],1))</f>
        <v/>
      </c>
      <c r="K986" t="str">
        <f>IFERROR(+_xlfn.RANK.EQ(dHdcp[[#This Row],[Ranking]],dHdcp[Ranking],1),"")</f>
        <v/>
      </c>
      <c r="M986" t="str">
        <f>+dHdcp[[#This Row],[Fecha]]&amp;":"&amp;dHdcp[[#This Row],[Nombre]]</f>
        <v>44584:Angel Hernandez</v>
      </c>
      <c r="N986">
        <f>+COUNTIF(dHdcp[Columna1],dHdcp[[#This Row],[Columna1]])</f>
        <v>1</v>
      </c>
      <c r="T986">
        <f t="shared" si="4"/>
        <v>6</v>
      </c>
      <c r="U986" s="27">
        <v>44584</v>
      </c>
      <c r="V986" s="13" t="s">
        <v>33</v>
      </c>
      <c r="W986" s="13">
        <v>7.6</v>
      </c>
      <c r="X986" t="str">
        <f>+VLOOKUP(V986,dJugador[[Nombre]:[Mote]],2,FALSE)</f>
        <v>CME6169895</v>
      </c>
    </row>
    <row r="987" spans="1:24">
      <c r="A987" s="2">
        <v>44584</v>
      </c>
      <c r="B987" t="s">
        <v>30</v>
      </c>
      <c r="C987" s="51">
        <v>12.7</v>
      </c>
      <c r="D987">
        <f>+VLOOKUP(dHdcp[[#This Row],[Handicap]],'Categoría Hdcap'!$B$2:$E$7,4)</f>
        <v>3</v>
      </c>
      <c r="E987" t="s">
        <v>74</v>
      </c>
      <c r="F987" t="s">
        <v>1453</v>
      </c>
      <c r="G987">
        <f>+IF(dHdcp[[#This Row],[Fecha]]=MAX(dHdcp[Fecha]),1,0)</f>
        <v>0</v>
      </c>
      <c r="H987" t="str">
        <f>+dHdcp[[#This Row],[Maximo]]&amp;":"&amp;dHdcp[[#This Row],[Nombre]]</f>
        <v>0:David Sequera</v>
      </c>
      <c r="I987" t="str">
        <f>+dHdcp[[#This Row],[Maximo]]&amp;":"&amp;_xlfn.XLOOKUP(dHdcp[[#This Row],[Nombre]],dJugador[Nombre],dJugador[Mote],"",0)</f>
        <v>0:David</v>
      </c>
      <c r="J987" t="str">
        <f>+IF(dHdcp[[#This Row],[Maximo]]=0,"",_xlfn.RANK.EQ(dHdcp[[#This Row],[Handicap]],dHdcp[Handicap],1))</f>
        <v/>
      </c>
      <c r="K987" t="str">
        <f>IFERROR(+_xlfn.RANK.EQ(dHdcp[[#This Row],[Ranking]],dHdcp[Ranking],1),"")</f>
        <v/>
      </c>
      <c r="M987" t="str">
        <f>+dHdcp[[#This Row],[Fecha]]&amp;":"&amp;dHdcp[[#This Row],[Nombre]]</f>
        <v>44584:David Sequera</v>
      </c>
      <c r="N987">
        <f>+COUNTIF(dHdcp[Columna1],dHdcp[[#This Row],[Columna1]])</f>
        <v>1</v>
      </c>
      <c r="T987">
        <f t="shared" si="4"/>
        <v>7</v>
      </c>
      <c r="U987" s="26">
        <v>44584</v>
      </c>
      <c r="V987" s="18" t="s">
        <v>30</v>
      </c>
      <c r="W987" s="18">
        <v>12.7</v>
      </c>
      <c r="X987" t="str">
        <f>+VLOOKUP(V987,dJugador[[Nombre]:[Mote]],2,FALSE)</f>
        <v>CME6308858</v>
      </c>
    </row>
    <row r="988" spans="1:24">
      <c r="A988" s="2">
        <v>44584</v>
      </c>
      <c r="B988" t="s">
        <v>12</v>
      </c>
      <c r="C988" s="51">
        <v>14.2</v>
      </c>
      <c r="D988">
        <f>+VLOOKUP(dHdcp[[#This Row],[Handicap]],'Categoría Hdcap'!$B$2:$E$7,4)</f>
        <v>3</v>
      </c>
      <c r="E988" t="s">
        <v>74</v>
      </c>
      <c r="F988" t="s">
        <v>1454</v>
      </c>
      <c r="G988">
        <f>+IF(dHdcp[[#This Row],[Fecha]]=MAX(dHdcp[Fecha]),1,0)</f>
        <v>0</v>
      </c>
      <c r="H988" t="str">
        <f>+dHdcp[[#This Row],[Maximo]]&amp;":"&amp;dHdcp[[#This Row],[Nombre]]</f>
        <v>0:Francisco Alvarez</v>
      </c>
      <c r="I988" t="str">
        <f>+dHdcp[[#This Row],[Maximo]]&amp;":"&amp;_xlfn.XLOOKUP(dHdcp[[#This Row],[Nombre]],dJugador[Nombre],dJugador[Mote],"",0)</f>
        <v>0:Paco</v>
      </c>
      <c r="J988" t="str">
        <f>+IF(dHdcp[[#This Row],[Maximo]]=0,"",_xlfn.RANK.EQ(dHdcp[[#This Row],[Handicap]],dHdcp[Handicap],1))</f>
        <v/>
      </c>
      <c r="K988" t="str">
        <f>IFERROR(+_xlfn.RANK.EQ(dHdcp[[#This Row],[Ranking]],dHdcp[Ranking],1),"")</f>
        <v/>
      </c>
      <c r="M988" t="str">
        <f>+dHdcp[[#This Row],[Fecha]]&amp;":"&amp;dHdcp[[#This Row],[Nombre]]</f>
        <v>44584:Francisco Alvarez</v>
      </c>
      <c r="N988">
        <f>+COUNTIF(dHdcp[Columna1],dHdcp[[#This Row],[Columna1]])</f>
        <v>1</v>
      </c>
      <c r="T988">
        <f t="shared" si="4"/>
        <v>8</v>
      </c>
      <c r="U988" s="27">
        <v>44584</v>
      </c>
      <c r="V988" s="13" t="s">
        <v>12</v>
      </c>
      <c r="W988" s="13">
        <v>14.2</v>
      </c>
      <c r="X988" t="str">
        <f>+VLOOKUP(V988,dJugador[[Nombre]:[Mote]],2,FALSE)</f>
        <v>CME6389026</v>
      </c>
    </row>
    <row r="989" spans="1:24">
      <c r="A989" s="2">
        <v>44584</v>
      </c>
      <c r="B989" t="s">
        <v>49</v>
      </c>
      <c r="C989" s="51">
        <v>12.4</v>
      </c>
      <c r="D989">
        <f>+VLOOKUP(dHdcp[[#This Row],[Handicap]],'Categoría Hdcap'!$B$2:$E$7,4)</f>
        <v>3</v>
      </c>
      <c r="E989" t="s">
        <v>74</v>
      </c>
      <c r="F989" t="s">
        <v>1455</v>
      </c>
      <c r="G989">
        <f>+IF(dHdcp[[#This Row],[Fecha]]=MAX(dHdcp[Fecha]),1,0)</f>
        <v>0</v>
      </c>
      <c r="H989" t="str">
        <f>+dHdcp[[#This Row],[Maximo]]&amp;":"&amp;dHdcp[[#This Row],[Nombre]]</f>
        <v>0:Francisco Hidalgo</v>
      </c>
      <c r="I989" t="str">
        <f>+dHdcp[[#This Row],[Maximo]]&amp;":"&amp;_xlfn.XLOOKUP(dHdcp[[#This Row],[Nombre]],dJugador[Nombre],dJugador[Mote],"",0)</f>
        <v>0:Fran</v>
      </c>
      <c r="J989" t="str">
        <f>+IF(dHdcp[[#This Row],[Maximo]]=0,"",_xlfn.RANK.EQ(dHdcp[[#This Row],[Handicap]],dHdcp[Handicap],1))</f>
        <v/>
      </c>
      <c r="K989" t="str">
        <f>IFERROR(+_xlfn.RANK.EQ(dHdcp[[#This Row],[Ranking]],dHdcp[Ranking],1),"")</f>
        <v/>
      </c>
      <c r="M989" t="str">
        <f>+dHdcp[[#This Row],[Fecha]]&amp;":"&amp;dHdcp[[#This Row],[Nombre]]</f>
        <v>44584:Francisco Hidalgo</v>
      </c>
      <c r="N989">
        <f>+COUNTIF(dHdcp[Columna1],dHdcp[[#This Row],[Columna1]])</f>
        <v>1</v>
      </c>
      <c r="T989">
        <f t="shared" si="4"/>
        <v>9</v>
      </c>
      <c r="U989" s="26">
        <v>44584</v>
      </c>
      <c r="V989" s="18" t="s">
        <v>49</v>
      </c>
      <c r="W989" s="18">
        <v>12.4</v>
      </c>
      <c r="X989" t="str">
        <f>+VLOOKUP(V989,dJugador[[Nombre]:[Mote]],2,FALSE)</f>
        <v>CME6632866</v>
      </c>
    </row>
    <row r="990" spans="1:24">
      <c r="A990" s="2">
        <v>44584</v>
      </c>
      <c r="B990" t="s">
        <v>207</v>
      </c>
      <c r="C990" s="51">
        <v>14.4</v>
      </c>
      <c r="D990">
        <f>+VLOOKUP(dHdcp[[#This Row],[Handicap]],'Categoría Hdcap'!$B$2:$E$7,4)</f>
        <v>3</v>
      </c>
      <c r="E990" t="s">
        <v>74</v>
      </c>
      <c r="F990" t="s">
        <v>1456</v>
      </c>
      <c r="G990">
        <f>+IF(dHdcp[[#This Row],[Fecha]]=MAX(dHdcp[Fecha]),1,0)</f>
        <v>0</v>
      </c>
      <c r="H990" t="str">
        <f>+dHdcp[[#This Row],[Maximo]]&amp;":"&amp;dHdcp[[#This Row],[Nombre]]</f>
        <v>0:Franck Benouniche</v>
      </c>
      <c r="I990" t="str">
        <f>+dHdcp[[#This Row],[Maximo]]&amp;":"&amp;_xlfn.XLOOKUP(dHdcp[[#This Row],[Nombre]],dJugador[Nombre],dJugador[Mote],"",0)</f>
        <v>0:Franck</v>
      </c>
      <c r="J990" t="str">
        <f>+IF(dHdcp[[#This Row],[Maximo]]=0,"",_xlfn.RANK.EQ(dHdcp[[#This Row],[Handicap]],dHdcp[Handicap],1))</f>
        <v/>
      </c>
      <c r="K990" t="str">
        <f>IFERROR(+_xlfn.RANK.EQ(dHdcp[[#This Row],[Ranking]],dHdcp[Ranking],1),"")</f>
        <v/>
      </c>
      <c r="M990" t="str">
        <f>+dHdcp[[#This Row],[Fecha]]&amp;":"&amp;dHdcp[[#This Row],[Nombre]]</f>
        <v>44584:Franck Benouniche</v>
      </c>
      <c r="N990">
        <f>+COUNTIF(dHdcp[Columna1],dHdcp[[#This Row],[Columna1]])</f>
        <v>1</v>
      </c>
      <c r="T990">
        <f t="shared" si="4"/>
        <v>10</v>
      </c>
      <c r="U990" s="27">
        <v>44584</v>
      </c>
      <c r="V990" s="18" t="s">
        <v>217</v>
      </c>
      <c r="W990" s="13">
        <v>24.8</v>
      </c>
      <c r="X990" t="str">
        <f>+VLOOKUP(V990,dJugador[[Nombre]:[Mote]],2,FALSE)</f>
        <v>CME6765008</v>
      </c>
    </row>
    <row r="991" spans="1:24">
      <c r="A991" s="2">
        <v>44584</v>
      </c>
      <c r="B991" t="s">
        <v>35</v>
      </c>
      <c r="C991" s="51">
        <v>18.5</v>
      </c>
      <c r="D991">
        <f>+VLOOKUP(dHdcp[[#This Row],[Handicap]],'Categoría Hdcap'!$B$2:$E$7,4)</f>
        <v>4</v>
      </c>
      <c r="E991" t="s">
        <v>74</v>
      </c>
      <c r="F991" t="s">
        <v>1457</v>
      </c>
      <c r="G991">
        <f>+IF(dHdcp[[#This Row],[Fecha]]=MAX(dHdcp[Fecha]),1,0)</f>
        <v>0</v>
      </c>
      <c r="H991" t="str">
        <f>+dHdcp[[#This Row],[Maximo]]&amp;":"&amp;dHdcp[[#This Row],[Nombre]]</f>
        <v>0:GLEZ JUAN JOSÉ</v>
      </c>
      <c r="I991" t="str">
        <f>+dHdcp[[#This Row],[Maximo]]&amp;":"&amp;_xlfn.XLOOKUP(dHdcp[[#This Row],[Nombre]],dJugador[Nombre],dJugador[Mote],"",0)</f>
        <v>0:Juanjo</v>
      </c>
      <c r="J991" t="str">
        <f>+IF(dHdcp[[#This Row],[Maximo]]=0,"",_xlfn.RANK.EQ(dHdcp[[#This Row],[Handicap]],dHdcp[Handicap],1))</f>
        <v/>
      </c>
      <c r="K991" t="str">
        <f>IFERROR(+_xlfn.RANK.EQ(dHdcp[[#This Row],[Ranking]],dHdcp[Ranking],1),"")</f>
        <v/>
      </c>
      <c r="M991" t="str">
        <f>+dHdcp[[#This Row],[Fecha]]&amp;":"&amp;dHdcp[[#This Row],[Nombre]]</f>
        <v>44584:GLEZ JUAN JOSÉ</v>
      </c>
      <c r="N991">
        <f>+COUNTIF(dHdcp[Columna1],dHdcp[[#This Row],[Columna1]])</f>
        <v>1</v>
      </c>
      <c r="T991">
        <f t="shared" si="4"/>
        <v>11</v>
      </c>
      <c r="U991" s="26">
        <v>44584</v>
      </c>
      <c r="V991" s="18" t="s">
        <v>20</v>
      </c>
      <c r="W991" s="18">
        <v>16.399999999999999</v>
      </c>
      <c r="X991" t="str">
        <f>+VLOOKUP(V991,dJugador[[Nombre]:[Mote]],2,FALSE)</f>
        <v>CME6296170</v>
      </c>
    </row>
    <row r="992" spans="1:24">
      <c r="A992" s="2">
        <v>44584</v>
      </c>
      <c r="B992" t="s">
        <v>6</v>
      </c>
      <c r="C992" s="51">
        <v>8.3000000000000007</v>
      </c>
      <c r="D992">
        <f>+VLOOKUP(dHdcp[[#This Row],[Handicap]],'Categoría Hdcap'!$B$2:$E$7,4)</f>
        <v>2</v>
      </c>
      <c r="E992" t="s">
        <v>74</v>
      </c>
      <c r="F992" t="s">
        <v>1458</v>
      </c>
      <c r="G992">
        <f>+IF(dHdcp[[#This Row],[Fecha]]=MAX(dHdcp[Fecha]),1,0)</f>
        <v>0</v>
      </c>
      <c r="H992" t="str">
        <f>+dHdcp[[#This Row],[Maximo]]&amp;":"&amp;dHdcp[[#This Row],[Nombre]]</f>
        <v>0:Ignacio Cadarso</v>
      </c>
      <c r="I992" t="str">
        <f>+dHdcp[[#This Row],[Maximo]]&amp;":"&amp;_xlfn.XLOOKUP(dHdcp[[#This Row],[Nombre]],dJugador[Nombre],dJugador[Mote],"",0)</f>
        <v>0:Ignacio</v>
      </c>
      <c r="J992" t="str">
        <f>+IF(dHdcp[[#This Row],[Maximo]]=0,"",_xlfn.RANK.EQ(dHdcp[[#This Row],[Handicap]],dHdcp[Handicap],1))</f>
        <v/>
      </c>
      <c r="K992" t="str">
        <f>IFERROR(+_xlfn.RANK.EQ(dHdcp[[#This Row],[Ranking]],dHdcp[Ranking],1),"")</f>
        <v/>
      </c>
      <c r="M992" t="str">
        <f>+dHdcp[[#This Row],[Fecha]]&amp;":"&amp;dHdcp[[#This Row],[Nombre]]</f>
        <v>44584:Ignacio Cadarso</v>
      </c>
      <c r="N992">
        <f>+COUNTIF(dHdcp[Columna1],dHdcp[[#This Row],[Columna1]])</f>
        <v>1</v>
      </c>
      <c r="T992">
        <f t="shared" si="4"/>
        <v>12</v>
      </c>
      <c r="U992" s="27">
        <v>44584</v>
      </c>
      <c r="V992" s="13" t="s">
        <v>207</v>
      </c>
      <c r="W992" s="13">
        <v>14.4</v>
      </c>
      <c r="X992" t="str">
        <f>+VLOOKUP(V992,dJugador[[Nombre]:[Mote]],2,FALSE)</f>
        <v>CM15259757</v>
      </c>
    </row>
    <row r="993" spans="1:24">
      <c r="A993" s="2">
        <v>44584</v>
      </c>
      <c r="B993" t="s">
        <v>23</v>
      </c>
      <c r="C993" s="51">
        <v>18</v>
      </c>
      <c r="D993">
        <f>+VLOOKUP(dHdcp[[#This Row],[Handicap]],'Categoría Hdcap'!$B$2:$E$7,4)</f>
        <v>3</v>
      </c>
      <c r="E993" t="s">
        <v>74</v>
      </c>
      <c r="F993" t="s">
        <v>1459</v>
      </c>
      <c r="G993">
        <f>+IF(dHdcp[[#This Row],[Fecha]]=MAX(dHdcp[Fecha]),1,0)</f>
        <v>0</v>
      </c>
      <c r="H993" t="str">
        <f>+dHdcp[[#This Row],[Maximo]]&amp;":"&amp;dHdcp[[#This Row],[Nombre]]</f>
        <v>0:J. Enrique Gonzalez</v>
      </c>
      <c r="I993" t="str">
        <f>+dHdcp[[#This Row],[Maximo]]&amp;":"&amp;_xlfn.XLOOKUP(dHdcp[[#This Row],[Nombre]],dJugador[Nombre],dJugador[Mote],"",0)</f>
        <v>0:Kike</v>
      </c>
      <c r="J993" t="str">
        <f>+IF(dHdcp[[#This Row],[Maximo]]=0,"",_xlfn.RANK.EQ(dHdcp[[#This Row],[Handicap]],dHdcp[Handicap],1))</f>
        <v/>
      </c>
      <c r="K993" t="str">
        <f>IFERROR(+_xlfn.RANK.EQ(dHdcp[[#This Row],[Ranking]],dHdcp[Ranking],1),"")</f>
        <v/>
      </c>
      <c r="M993" t="str">
        <f>+dHdcp[[#This Row],[Fecha]]&amp;":"&amp;dHdcp[[#This Row],[Nombre]]</f>
        <v>44584:J. Enrique Gonzalez</v>
      </c>
      <c r="N993">
        <f>+COUNTIF(dHdcp[Columna1],dHdcp[[#This Row],[Columna1]])</f>
        <v>1</v>
      </c>
      <c r="T993">
        <f t="shared" si="4"/>
        <v>13</v>
      </c>
      <c r="U993" s="27">
        <v>44584</v>
      </c>
      <c r="V993" s="13" t="s">
        <v>6</v>
      </c>
      <c r="W993" s="13">
        <v>8.3000000000000007</v>
      </c>
      <c r="X993" t="str">
        <f>+VLOOKUP(V993,dJugador[[Nombre]:[Mote]],2,FALSE)</f>
        <v>CME6501940</v>
      </c>
    </row>
    <row r="994" spans="1:24">
      <c r="A994" s="2">
        <v>44584</v>
      </c>
      <c r="B994" t="s">
        <v>46</v>
      </c>
      <c r="C994" s="51">
        <v>16.899999999999999</v>
      </c>
      <c r="D994">
        <f>+VLOOKUP(dHdcp[[#This Row],[Handicap]],'Categoría Hdcap'!$B$2:$E$7,4)</f>
        <v>3</v>
      </c>
      <c r="E994" t="s">
        <v>74</v>
      </c>
      <c r="F994" t="s">
        <v>1460</v>
      </c>
      <c r="G994">
        <f>+IF(dHdcp[[#This Row],[Fecha]]=MAX(dHdcp[Fecha]),1,0)</f>
        <v>0</v>
      </c>
      <c r="H994" t="str">
        <f>+dHdcp[[#This Row],[Maximo]]&amp;":"&amp;dHdcp[[#This Row],[Nombre]]</f>
        <v>0:Javier Cervera</v>
      </c>
      <c r="I994" t="str">
        <f>+dHdcp[[#This Row],[Maximo]]&amp;":"&amp;_xlfn.XLOOKUP(dHdcp[[#This Row],[Nombre]],dJugador[Nombre],dJugador[Mote],"",0)</f>
        <v>0:Virus</v>
      </c>
      <c r="J994" t="str">
        <f>+IF(dHdcp[[#This Row],[Maximo]]=0,"",_xlfn.RANK.EQ(dHdcp[[#This Row],[Handicap]],dHdcp[Handicap],1))</f>
        <v/>
      </c>
      <c r="K994" t="str">
        <f>IFERROR(+_xlfn.RANK.EQ(dHdcp[[#This Row],[Ranking]],dHdcp[Ranking],1),"")</f>
        <v/>
      </c>
      <c r="M994" t="str">
        <f>+dHdcp[[#This Row],[Fecha]]&amp;":"&amp;dHdcp[[#This Row],[Nombre]]</f>
        <v>44584:Javier Cervera</v>
      </c>
      <c r="N994">
        <f>+COUNTIF(dHdcp[Columna1],dHdcp[[#This Row],[Columna1]])</f>
        <v>1</v>
      </c>
      <c r="T994">
        <f t="shared" si="4"/>
        <v>14</v>
      </c>
      <c r="U994" s="26">
        <v>44584</v>
      </c>
      <c r="V994" s="18" t="s">
        <v>205</v>
      </c>
      <c r="W994" s="18">
        <v>8.1999999999999993</v>
      </c>
      <c r="X994" t="str">
        <f>+VLOOKUP(V994,dJugador[[Nombre]:[Mote]],2,FALSE)</f>
        <v>CM15620350</v>
      </c>
    </row>
    <row r="995" spans="1:24">
      <c r="A995" s="2">
        <v>44584</v>
      </c>
      <c r="B995" t="s">
        <v>225</v>
      </c>
      <c r="C995" s="51">
        <v>10.8</v>
      </c>
      <c r="D995">
        <f>+VLOOKUP(dHdcp[[#This Row],[Handicap]],'Categoría Hdcap'!$B$2:$E$7,4)</f>
        <v>2</v>
      </c>
      <c r="E995" t="s">
        <v>74</v>
      </c>
      <c r="F995" t="s">
        <v>1461</v>
      </c>
      <c r="G995">
        <f>+IF(dHdcp[[#This Row],[Fecha]]=MAX(dHdcp[Fecha]),1,0)</f>
        <v>0</v>
      </c>
      <c r="H995" t="str">
        <f>+dHdcp[[#This Row],[Maximo]]&amp;":"&amp;dHdcp[[#This Row],[Nombre]]</f>
        <v>0:Javier Chiralt</v>
      </c>
      <c r="I995" t="str">
        <f>+dHdcp[[#This Row],[Maximo]]&amp;":"&amp;_xlfn.XLOOKUP(dHdcp[[#This Row],[Nombre]],dJugador[Nombre],dJugador[Mote],"",0)</f>
        <v>0:Chiralt</v>
      </c>
      <c r="J995" t="str">
        <f>+IF(dHdcp[[#This Row],[Maximo]]=0,"",_xlfn.RANK.EQ(dHdcp[[#This Row],[Handicap]],dHdcp[Handicap],1))</f>
        <v/>
      </c>
      <c r="K995" t="str">
        <f>IFERROR(+_xlfn.RANK.EQ(dHdcp[[#This Row],[Ranking]],dHdcp[Ranking],1),"")</f>
        <v/>
      </c>
      <c r="M995" t="str">
        <f>+dHdcp[[#This Row],[Fecha]]&amp;":"&amp;dHdcp[[#This Row],[Nombre]]</f>
        <v>44584:Javier Chiralt</v>
      </c>
      <c r="N995">
        <f>+COUNTIF(dHdcp[Columna1],dHdcp[[#This Row],[Columna1]])</f>
        <v>1</v>
      </c>
      <c r="T995">
        <f t="shared" si="4"/>
        <v>15</v>
      </c>
      <c r="U995" s="27">
        <v>44584</v>
      </c>
      <c r="V995" s="13" t="s">
        <v>3</v>
      </c>
      <c r="W995" s="13">
        <v>6.6</v>
      </c>
      <c r="X995" t="str">
        <f>+VLOOKUP(V995,dJugador[[Nombre]:[Mote]],2,FALSE)</f>
        <v>CME6076737</v>
      </c>
    </row>
    <row r="996" spans="1:24">
      <c r="A996" s="2">
        <v>44584</v>
      </c>
      <c r="B996" t="s">
        <v>20</v>
      </c>
      <c r="C996" s="51">
        <v>16.399999999999999</v>
      </c>
      <c r="D996">
        <f>+VLOOKUP(dHdcp[[#This Row],[Handicap]],'Categoría Hdcap'!$B$2:$E$7,4)</f>
        <v>3</v>
      </c>
      <c r="E996" t="s">
        <v>74</v>
      </c>
      <c r="F996" t="s">
        <v>1462</v>
      </c>
      <c r="G996">
        <f>+IF(dHdcp[[#This Row],[Fecha]]=MAX(dHdcp[Fecha]),1,0)</f>
        <v>0</v>
      </c>
      <c r="H996" t="str">
        <f>+dHdcp[[#This Row],[Maximo]]&amp;":"&amp;dHdcp[[#This Row],[Nombre]]</f>
        <v>0:Javier Gonzalez Salvador</v>
      </c>
      <c r="I996" t="str">
        <f>+dHdcp[[#This Row],[Maximo]]&amp;":"&amp;_xlfn.XLOOKUP(dHdcp[[#This Row],[Nombre]],dJugador[Nombre],dJugador[Mote],"",0)</f>
        <v>0:Javi</v>
      </c>
      <c r="J996" t="str">
        <f>+IF(dHdcp[[#This Row],[Maximo]]=0,"",_xlfn.RANK.EQ(dHdcp[[#This Row],[Handicap]],dHdcp[Handicap],1))</f>
        <v/>
      </c>
      <c r="K996" t="str">
        <f>IFERROR(+_xlfn.RANK.EQ(dHdcp[[#This Row],[Ranking]],dHdcp[Ranking],1),"")</f>
        <v/>
      </c>
      <c r="M996" t="str">
        <f>+dHdcp[[#This Row],[Fecha]]&amp;":"&amp;dHdcp[[#This Row],[Nombre]]</f>
        <v>44584:Javier Gonzalez Salvador</v>
      </c>
      <c r="N996">
        <f>+COUNTIF(dHdcp[Columna1],dHdcp[[#This Row],[Columna1]])</f>
        <v>1</v>
      </c>
      <c r="T996">
        <f t="shared" si="4"/>
        <v>16</v>
      </c>
      <c r="U996" s="26">
        <v>44584</v>
      </c>
      <c r="V996" s="18" t="s">
        <v>225</v>
      </c>
      <c r="W996" s="18">
        <v>10.8</v>
      </c>
      <c r="X996" t="str">
        <f>+VLOOKUP(V996,dJugador[[Nombre]:[Mote]],2,FALSE)</f>
        <v>CM52419365</v>
      </c>
    </row>
    <row r="997" spans="1:24">
      <c r="A997" s="2">
        <v>44584</v>
      </c>
      <c r="B997" t="s">
        <v>217</v>
      </c>
      <c r="C997" s="51">
        <v>24.8</v>
      </c>
      <c r="D997">
        <f>+VLOOKUP(dHdcp[[#This Row],[Handicap]],'Categoría Hdcap'!$B$2:$E$7,4)</f>
        <v>4</v>
      </c>
      <c r="E997" t="s">
        <v>74</v>
      </c>
      <c r="F997" t="s">
        <v>1463</v>
      </c>
      <c r="G997">
        <f>+IF(dHdcp[[#This Row],[Fecha]]=MAX(dHdcp[Fecha]),1,0)</f>
        <v>0</v>
      </c>
      <c r="H997" t="str">
        <f>+dHdcp[[#This Row],[Maximo]]&amp;":"&amp;dHdcp[[#This Row],[Nombre]]</f>
        <v>0:Javier Lopez Gullón</v>
      </c>
      <c r="I997" t="str">
        <f>+dHdcp[[#This Row],[Maximo]]&amp;":"&amp;_xlfn.XLOOKUP(dHdcp[[#This Row],[Nombre]],dJugador[Nombre],dJugador[Mote],"",0)</f>
        <v>0:Cuñao</v>
      </c>
      <c r="J997" t="str">
        <f>+IF(dHdcp[[#This Row],[Maximo]]=0,"",_xlfn.RANK.EQ(dHdcp[[#This Row],[Handicap]],dHdcp[Handicap],1))</f>
        <v/>
      </c>
      <c r="K997" t="str">
        <f>IFERROR(+_xlfn.RANK.EQ(dHdcp[[#This Row],[Ranking]],dHdcp[Ranking],1),"")</f>
        <v/>
      </c>
      <c r="M997" t="str">
        <f>+dHdcp[[#This Row],[Fecha]]&amp;":"&amp;dHdcp[[#This Row],[Nombre]]</f>
        <v>44584:Javier Lopez Gullón</v>
      </c>
      <c r="N997">
        <f>+COUNTIF(dHdcp[Columna1],dHdcp[[#This Row],[Columna1]])</f>
        <v>1</v>
      </c>
      <c r="T997">
        <f t="shared" si="4"/>
        <v>17</v>
      </c>
      <c r="U997" s="27">
        <v>44584</v>
      </c>
      <c r="V997" s="13" t="s">
        <v>46</v>
      </c>
      <c r="W997" s="13">
        <v>16.899999999999999</v>
      </c>
      <c r="X997" t="str">
        <f>+VLOOKUP(V997,dJugador[[Nombre]:[Mote]],2,FALSE)</f>
        <v>CME6259082</v>
      </c>
    </row>
    <row r="998" spans="1:24">
      <c r="A998" s="2">
        <v>44584</v>
      </c>
      <c r="B998" t="s">
        <v>41</v>
      </c>
      <c r="C998" s="51">
        <v>25.8</v>
      </c>
      <c r="D998">
        <f>+VLOOKUP(dHdcp[[#This Row],[Handicap]],'Categoría Hdcap'!$B$2:$E$7,4)</f>
        <v>4</v>
      </c>
      <c r="E998" t="s">
        <v>74</v>
      </c>
      <c r="F998" t="s">
        <v>1464</v>
      </c>
      <c r="G998">
        <f>+IF(dHdcp[[#This Row],[Fecha]]=MAX(dHdcp[Fecha]),1,0)</f>
        <v>0</v>
      </c>
      <c r="H998" t="str">
        <f>+dHdcp[[#This Row],[Maximo]]&amp;":"&amp;dHdcp[[#This Row],[Nombre]]</f>
        <v>0:Jesus Touceda</v>
      </c>
      <c r="I998" t="str">
        <f>+dHdcp[[#This Row],[Maximo]]&amp;":"&amp;_xlfn.XLOOKUP(dHdcp[[#This Row],[Nombre]],dJugador[Nombre],dJugador[Mote],"",0)</f>
        <v>0:Jesús</v>
      </c>
      <c r="J998" t="str">
        <f>+IF(dHdcp[[#This Row],[Maximo]]=0,"",_xlfn.RANK.EQ(dHdcp[[#This Row],[Handicap]],dHdcp[Handicap],1))</f>
        <v/>
      </c>
      <c r="K998" t="str">
        <f>IFERROR(+_xlfn.RANK.EQ(dHdcp[[#This Row],[Ranking]],dHdcp[Ranking],1),"")</f>
        <v/>
      </c>
      <c r="M998" t="str">
        <f>+dHdcp[[#This Row],[Fecha]]&amp;":"&amp;dHdcp[[#This Row],[Nombre]]</f>
        <v>44584:Jesus Touceda</v>
      </c>
      <c r="N998">
        <f>+COUNTIF(dHdcp[Columna1],dHdcp[[#This Row],[Columna1]])</f>
        <v>1</v>
      </c>
      <c r="T998">
        <f t="shared" si="4"/>
        <v>18</v>
      </c>
      <c r="U998" s="26">
        <v>44584</v>
      </c>
      <c r="V998" s="18" t="s">
        <v>41</v>
      </c>
      <c r="W998" s="18">
        <v>25.8</v>
      </c>
      <c r="X998" t="str">
        <f>+VLOOKUP(V998,dJugador[[Nombre]:[Mote]],2,FALSE)</f>
        <v>CME6296994</v>
      </c>
    </row>
    <row r="999" spans="1:24">
      <c r="A999" s="2">
        <v>44584</v>
      </c>
      <c r="B999" t="s">
        <v>18</v>
      </c>
      <c r="C999" s="51">
        <v>7.2</v>
      </c>
      <c r="D999">
        <f>+VLOOKUP(dHdcp[[#This Row],[Handicap]],'Categoría Hdcap'!$B$2:$E$7,4)</f>
        <v>2</v>
      </c>
      <c r="E999" t="s">
        <v>74</v>
      </c>
      <c r="F999" t="s">
        <v>1465</v>
      </c>
      <c r="G999">
        <f>+IF(dHdcp[[#This Row],[Fecha]]=MAX(dHdcp[Fecha]),1,0)</f>
        <v>0</v>
      </c>
      <c r="H999" t="str">
        <f>+dHdcp[[#This Row],[Maximo]]&amp;":"&amp;dHdcp[[#This Row],[Nombre]]</f>
        <v>0:José Pablo Guil</v>
      </c>
      <c r="I999" t="str">
        <f>+dHdcp[[#This Row],[Maximo]]&amp;":"&amp;_xlfn.XLOOKUP(dHdcp[[#This Row],[Nombre]],dJugador[Nombre],dJugador[Mote],"",0)</f>
        <v>0:JP</v>
      </c>
      <c r="J999" t="str">
        <f>+IF(dHdcp[[#This Row],[Maximo]]=0,"",_xlfn.RANK.EQ(dHdcp[[#This Row],[Handicap]],dHdcp[Handicap],1))</f>
        <v/>
      </c>
      <c r="K999" t="str">
        <f>IFERROR(+_xlfn.RANK.EQ(dHdcp[[#This Row],[Ranking]],dHdcp[Ranking],1),"")</f>
        <v/>
      </c>
      <c r="M999" t="str">
        <f>+dHdcp[[#This Row],[Fecha]]&amp;":"&amp;dHdcp[[#This Row],[Nombre]]</f>
        <v>44584:José Pablo Guil</v>
      </c>
      <c r="N999">
        <f>+COUNTIF(dHdcp[Columna1],dHdcp[[#This Row],[Columna1]])</f>
        <v>1</v>
      </c>
      <c r="T999">
        <f t="shared" si="4"/>
        <v>19</v>
      </c>
      <c r="U999" s="27">
        <v>44584</v>
      </c>
      <c r="V999" s="13" t="s">
        <v>18</v>
      </c>
      <c r="W999" s="13">
        <v>7.2</v>
      </c>
      <c r="X999" t="str">
        <f>+VLOOKUP(V999,dJugador[[Nombre]:[Mote]],2,FALSE)</f>
        <v>CME6089043</v>
      </c>
    </row>
    <row r="1000" spans="1:24">
      <c r="A1000" s="2">
        <v>44584</v>
      </c>
      <c r="B1000" t="s">
        <v>43</v>
      </c>
      <c r="C1000" s="51">
        <v>18.5</v>
      </c>
      <c r="D1000">
        <f>+VLOOKUP(dHdcp[[#This Row],[Handicap]],'Categoría Hdcap'!$B$2:$E$7,4)</f>
        <v>4</v>
      </c>
      <c r="E1000" t="s">
        <v>74</v>
      </c>
      <c r="F1000" t="s">
        <v>1466</v>
      </c>
      <c r="G1000">
        <f>+IF(dHdcp[[#This Row],[Fecha]]=MAX(dHdcp[Fecha]),1,0)</f>
        <v>0</v>
      </c>
      <c r="H1000" t="str">
        <f>+dHdcp[[#This Row],[Maximo]]&amp;":"&amp;dHdcp[[#This Row],[Nombre]]</f>
        <v>0:Luis Escudero</v>
      </c>
      <c r="I1000" t="str">
        <f>+dHdcp[[#This Row],[Maximo]]&amp;":"&amp;_xlfn.XLOOKUP(dHdcp[[#This Row],[Nombre]],dJugador[Nombre],dJugador[Mote],"",0)</f>
        <v>0:Lucho</v>
      </c>
      <c r="J1000" t="str">
        <f>+IF(dHdcp[[#This Row],[Maximo]]=0,"",_xlfn.RANK.EQ(dHdcp[[#This Row],[Handicap]],dHdcp[Handicap],1))</f>
        <v/>
      </c>
      <c r="K1000" t="str">
        <f>IFERROR(+_xlfn.RANK.EQ(dHdcp[[#This Row],[Ranking]],dHdcp[Ranking],1),"")</f>
        <v/>
      </c>
      <c r="M1000" t="str">
        <f>+dHdcp[[#This Row],[Fecha]]&amp;":"&amp;dHdcp[[#This Row],[Nombre]]</f>
        <v>44584:Luis Escudero</v>
      </c>
      <c r="N1000">
        <f>+COUNTIF(dHdcp[Columna1],dHdcp[[#This Row],[Columna1]])</f>
        <v>1</v>
      </c>
      <c r="T1000">
        <f t="shared" si="4"/>
        <v>20</v>
      </c>
      <c r="U1000" s="26">
        <v>44584</v>
      </c>
      <c r="V1000" s="18" t="s">
        <v>35</v>
      </c>
      <c r="W1000" s="18">
        <v>18.5</v>
      </c>
      <c r="X1000" t="str">
        <f>+VLOOKUP(V1000,dJugador[[Nombre]:[Mote]],2,FALSE)</f>
        <v>CME6296171</v>
      </c>
    </row>
    <row r="1001" spans="1:24">
      <c r="A1001" s="2">
        <v>44584</v>
      </c>
      <c r="B1001" s="10" t="s">
        <v>135</v>
      </c>
      <c r="C1001" s="53">
        <v>23.6</v>
      </c>
      <c r="D1001" s="10">
        <f>+VLOOKUP(dHdcp[[#This Row],[Handicap]],'Categoría Hdcap'!$B$2:$E$7,4)</f>
        <v>4</v>
      </c>
      <c r="E1001" s="10" t="s">
        <v>74</v>
      </c>
      <c r="F1001" s="10" t="s">
        <v>1467</v>
      </c>
      <c r="G1001">
        <f>+IF(dHdcp[[#This Row],[Fecha]]=MAX(dHdcp[Fecha]),1,0)</f>
        <v>0</v>
      </c>
      <c r="H1001" t="str">
        <f>+dHdcp[[#This Row],[Maximo]]&amp;":"&amp;dHdcp[[#This Row],[Nombre]]</f>
        <v>0:Miche Lopez</v>
      </c>
      <c r="I1001" t="str">
        <f>+dHdcp[[#This Row],[Maximo]]&amp;":"&amp;_xlfn.XLOOKUP(dHdcp[[#This Row],[Nombre]],dJugador[Nombre],dJugador[Mote],"",0)</f>
        <v>0:Miche</v>
      </c>
      <c r="J1001" t="str">
        <f>+IF(dHdcp[[#This Row],[Maximo]]=0,"",_xlfn.RANK.EQ(dHdcp[[#This Row],[Handicap]],dHdcp[Handicap],1))</f>
        <v/>
      </c>
      <c r="K1001" t="str">
        <f>IFERROR(+_xlfn.RANK.EQ(dHdcp[[#This Row],[Ranking]],dHdcp[Ranking],1),"")</f>
        <v/>
      </c>
      <c r="M1001" t="str">
        <f>+dHdcp[[#This Row],[Fecha]]&amp;":"&amp;dHdcp[[#This Row],[Nombre]]</f>
        <v>44584:Miche Lopez</v>
      </c>
      <c r="N1001">
        <f>+COUNTIF(dHdcp[Columna1],dHdcp[[#This Row],[Columna1]])</f>
        <v>1</v>
      </c>
      <c r="T1001">
        <f t="shared" si="4"/>
        <v>21</v>
      </c>
      <c r="U1001" s="26">
        <v>44584</v>
      </c>
      <c r="V1001" s="18" t="s">
        <v>23</v>
      </c>
      <c r="W1001" s="18">
        <v>18</v>
      </c>
      <c r="X1001" t="str">
        <f>+VLOOKUP(V1001,dJugador[[Nombre]:[Mote]],2,FALSE)</f>
        <v>CME6392431</v>
      </c>
    </row>
    <row r="1002" spans="1:24">
      <c r="A1002" s="2">
        <v>44584</v>
      </c>
      <c r="B1002" t="s">
        <v>51</v>
      </c>
      <c r="C1002" s="51">
        <v>-0.9</v>
      </c>
      <c r="D1002">
        <f>+VLOOKUP(dHdcp[[#This Row],[Handicap]],'Categoría Hdcap'!$B$2:$E$7,4)</f>
        <v>1</v>
      </c>
      <c r="E1002" t="s">
        <v>74</v>
      </c>
      <c r="F1002" t="s">
        <v>1468</v>
      </c>
      <c r="G1002">
        <f>+IF(dHdcp[[#This Row],[Fecha]]=MAX(dHdcp[Fecha]),1,0)</f>
        <v>0</v>
      </c>
      <c r="H1002" t="str">
        <f>+dHdcp[[#This Row],[Maximo]]&amp;":"&amp;dHdcp[[#This Row],[Nombre]]</f>
        <v>0:Miguel Diaz Del Moral</v>
      </c>
      <c r="I1002" t="str">
        <f>+dHdcp[[#This Row],[Maximo]]&amp;":"&amp;_xlfn.XLOOKUP(dHdcp[[#This Row],[Nombre]],dJugador[Nombre],dJugador[Mote],"",0)</f>
        <v>0:Cañita</v>
      </c>
      <c r="J1002" t="str">
        <f>+IF(dHdcp[[#This Row],[Maximo]]=0,"",_xlfn.RANK.EQ(dHdcp[[#This Row],[Handicap]],dHdcp[Handicap],1))</f>
        <v/>
      </c>
      <c r="K1002" t="str">
        <f>IFERROR(+_xlfn.RANK.EQ(dHdcp[[#This Row],[Ranking]],dHdcp[Ranking],1),"")</f>
        <v/>
      </c>
      <c r="M1002" t="str">
        <f>+dHdcp[[#This Row],[Fecha]]&amp;":"&amp;dHdcp[[#This Row],[Nombre]]</f>
        <v>44584:Miguel Diaz Del Moral</v>
      </c>
      <c r="N1002">
        <f>+COUNTIF(dHdcp[Columna1],dHdcp[[#This Row],[Columna1]])</f>
        <v>1</v>
      </c>
      <c r="T1002">
        <f t="shared" si="4"/>
        <v>22</v>
      </c>
      <c r="U1002" s="26">
        <v>44584</v>
      </c>
      <c r="V1002" s="18" t="s">
        <v>43</v>
      </c>
      <c r="W1002" s="18">
        <v>18.5</v>
      </c>
      <c r="X1002" t="str">
        <f>+VLOOKUP(V1002,dJugador[[Nombre]:[Mote]],2,FALSE)</f>
        <v>CME6760523</v>
      </c>
    </row>
    <row r="1003" spans="1:24">
      <c r="A1003" s="2">
        <v>44584</v>
      </c>
      <c r="B1003" t="s">
        <v>205</v>
      </c>
      <c r="C1003" s="51">
        <v>8.1999999999999993</v>
      </c>
      <c r="D1003">
        <f>+VLOOKUP(dHdcp[[#This Row],[Handicap]],'Categoría Hdcap'!$B$2:$E$7,4)</f>
        <v>2</v>
      </c>
      <c r="E1003" t="s">
        <v>74</v>
      </c>
      <c r="F1003" t="s">
        <v>1469</v>
      </c>
      <c r="G1003">
        <f>+IF(dHdcp[[#This Row],[Fecha]]=MAX(dHdcp[Fecha]),1,0)</f>
        <v>0</v>
      </c>
      <c r="H1003" t="str">
        <f>+dHdcp[[#This Row],[Maximo]]&amp;":"&amp;dHdcp[[#This Row],[Nombre]]</f>
        <v>0:Nacho Casas</v>
      </c>
      <c r="I1003" t="str">
        <f>+dHdcp[[#This Row],[Maximo]]&amp;":"&amp;_xlfn.XLOOKUP(dHdcp[[#This Row],[Nombre]],dJugador[Nombre],dJugador[Mote],"",0)</f>
        <v>0:Nachete</v>
      </c>
      <c r="J1003" t="str">
        <f>+IF(dHdcp[[#This Row],[Maximo]]=0,"",_xlfn.RANK.EQ(dHdcp[[#This Row],[Handicap]],dHdcp[Handicap],1))</f>
        <v/>
      </c>
      <c r="K1003" t="str">
        <f>IFERROR(+_xlfn.RANK.EQ(dHdcp[[#This Row],[Ranking]],dHdcp[Ranking],1),"")</f>
        <v/>
      </c>
      <c r="M1003" t="str">
        <f>+dHdcp[[#This Row],[Fecha]]&amp;":"&amp;dHdcp[[#This Row],[Nombre]]</f>
        <v>44584:Nacho Casas</v>
      </c>
      <c r="N1003">
        <f>+COUNTIF(dHdcp[Columna1],dHdcp[[#This Row],[Columna1]])</f>
        <v>1</v>
      </c>
      <c r="T1003">
        <f t="shared" si="4"/>
        <v>23</v>
      </c>
      <c r="U1003" s="27">
        <v>44584</v>
      </c>
      <c r="V1003" s="13" t="s">
        <v>51</v>
      </c>
      <c r="W1003" s="13">
        <v>-0.9</v>
      </c>
      <c r="X1003" t="str">
        <f>+VLOOKUP(V1003,dJugador[[Nombre]:[Mote]],2,FALSE)</f>
        <v>AM07096812</v>
      </c>
    </row>
    <row r="1004" spans="1:24">
      <c r="A1004" s="2">
        <v>44584</v>
      </c>
      <c r="B1004" t="s">
        <v>3</v>
      </c>
      <c r="C1004" s="51">
        <v>6.6</v>
      </c>
      <c r="D1004">
        <f>+VLOOKUP(dHdcp[[#This Row],[Handicap]],'Categoría Hdcap'!$B$2:$E$7,4)</f>
        <v>2</v>
      </c>
      <c r="E1004" t="s">
        <v>74</v>
      </c>
      <c r="F1004" t="s">
        <v>1470</v>
      </c>
      <c r="G1004">
        <f>+IF(dHdcp[[#This Row],[Fecha]]=MAX(dHdcp[Fecha]),1,0)</f>
        <v>0</v>
      </c>
      <c r="H1004" t="str">
        <f>+dHdcp[[#This Row],[Maximo]]&amp;":"&amp;dHdcp[[#This Row],[Nombre]]</f>
        <v>0:Nacho Gonzalez</v>
      </c>
      <c r="I1004" t="str">
        <f>+dHdcp[[#This Row],[Maximo]]&amp;":"&amp;_xlfn.XLOOKUP(dHdcp[[#This Row],[Nombre]],dJugador[Nombre],dJugador[Mote],"",0)</f>
        <v>0:Nacho</v>
      </c>
      <c r="J1004" t="str">
        <f>+IF(dHdcp[[#This Row],[Maximo]]=0,"",_xlfn.RANK.EQ(dHdcp[[#This Row],[Handicap]],dHdcp[Handicap],1))</f>
        <v/>
      </c>
      <c r="K1004" t="str">
        <f>IFERROR(+_xlfn.RANK.EQ(dHdcp[[#This Row],[Ranking]],dHdcp[Ranking],1),"")</f>
        <v/>
      </c>
      <c r="M1004" t="str">
        <f>+dHdcp[[#This Row],[Fecha]]&amp;":"&amp;dHdcp[[#This Row],[Nombre]]</f>
        <v>44584:Nacho Gonzalez</v>
      </c>
      <c r="N1004">
        <f>+COUNTIF(dHdcp[Columna1],dHdcp[[#This Row],[Columna1]])</f>
        <v>1</v>
      </c>
      <c r="T1004">
        <f t="shared" si="4"/>
        <v>24</v>
      </c>
      <c r="U1004" s="26">
        <v>44584</v>
      </c>
      <c r="V1004" s="18" t="s">
        <v>28</v>
      </c>
      <c r="W1004" s="18">
        <v>13.7</v>
      </c>
      <c r="X1004" t="str">
        <f>+VLOOKUP(V1004,dJugador[[Nombre]:[Mote]],2,FALSE)</f>
        <v>CME6756891</v>
      </c>
    </row>
    <row r="1005" spans="1:24">
      <c r="A1005" s="2">
        <v>44584</v>
      </c>
      <c r="B1005" t="s">
        <v>28</v>
      </c>
      <c r="C1005" s="51">
        <v>13.7</v>
      </c>
      <c r="D1005">
        <f>+VLOOKUP(dHdcp[[#This Row],[Handicap]],'Categoría Hdcap'!$B$2:$E$7,4)</f>
        <v>3</v>
      </c>
      <c r="E1005" t="s">
        <v>74</v>
      </c>
      <c r="F1005" t="s">
        <v>1471</v>
      </c>
      <c r="G1005">
        <f>+IF(dHdcp[[#This Row],[Fecha]]=MAX(dHdcp[Fecha]),1,0)</f>
        <v>0</v>
      </c>
      <c r="H1005" t="str">
        <f>+dHdcp[[#This Row],[Maximo]]&amp;":"&amp;dHdcp[[#This Row],[Nombre]]</f>
        <v>0:Pablo Munitiz</v>
      </c>
      <c r="I1005" t="str">
        <f>+dHdcp[[#This Row],[Maximo]]&amp;":"&amp;_xlfn.XLOOKUP(dHdcp[[#This Row],[Nombre]],dJugador[Nombre],dJugador[Mote],"",0)</f>
        <v>0:Muni</v>
      </c>
      <c r="J1005" t="str">
        <f>+IF(dHdcp[[#This Row],[Maximo]]=0,"",_xlfn.RANK.EQ(dHdcp[[#This Row],[Handicap]],dHdcp[Handicap],1))</f>
        <v/>
      </c>
      <c r="K1005" t="str">
        <f>IFERROR(+_xlfn.RANK.EQ(dHdcp[[#This Row],[Ranking]],dHdcp[Ranking],1),"")</f>
        <v/>
      </c>
      <c r="M1005" t="str">
        <f>+dHdcp[[#This Row],[Fecha]]&amp;":"&amp;dHdcp[[#This Row],[Nombre]]</f>
        <v>44584:Pablo Munitiz</v>
      </c>
      <c r="N1005">
        <f>+COUNTIF(dHdcp[Columna1],dHdcp[[#This Row],[Columna1]])</f>
        <v>1</v>
      </c>
      <c r="T1005">
        <f t="shared" si="4"/>
        <v>25</v>
      </c>
      <c r="U1005" s="27">
        <v>44584</v>
      </c>
      <c r="V1005" s="13" t="s">
        <v>203</v>
      </c>
      <c r="W1005" s="13">
        <v>17.899999999999999</v>
      </c>
      <c r="X1005" t="str">
        <f>+VLOOKUP(V1005,dJugador[[Nombre]:[Mote]],2,FALSE)</f>
        <v>CM15639290</v>
      </c>
    </row>
    <row r="1006" spans="1:24">
      <c r="A1006" s="2">
        <v>44584</v>
      </c>
      <c r="B1006" t="s">
        <v>203</v>
      </c>
      <c r="C1006" s="51">
        <v>17.899999999999999</v>
      </c>
      <c r="D1006">
        <f>+VLOOKUP(dHdcp[[#This Row],[Handicap]],'Categoría Hdcap'!$B$2:$E$7,4)</f>
        <v>3</v>
      </c>
      <c r="E1006" t="s">
        <v>74</v>
      </c>
      <c r="F1006" t="s">
        <v>1472</v>
      </c>
      <c r="G1006">
        <f>+IF(dHdcp[[#This Row],[Fecha]]=MAX(dHdcp[Fecha]),1,0)</f>
        <v>0</v>
      </c>
      <c r="H1006" t="str">
        <f>+dHdcp[[#This Row],[Maximo]]&amp;":"&amp;dHdcp[[#This Row],[Nombre]]</f>
        <v>0:Ruslan Kochman</v>
      </c>
      <c r="I1006" t="str">
        <f>+dHdcp[[#This Row],[Maximo]]&amp;":"&amp;_xlfn.XLOOKUP(dHdcp[[#This Row],[Nombre]],dJugador[Nombre],dJugador[Mote],"",0)</f>
        <v>0:Rus</v>
      </c>
      <c r="J1006" t="str">
        <f>+IF(dHdcp[[#This Row],[Maximo]]=0,"",_xlfn.RANK.EQ(dHdcp[[#This Row],[Handicap]],dHdcp[Handicap],1))</f>
        <v/>
      </c>
      <c r="K1006" t="str">
        <f>IFERROR(+_xlfn.RANK.EQ(dHdcp[[#This Row],[Ranking]],dHdcp[Ranking],1),"")</f>
        <v/>
      </c>
      <c r="M1006" t="str">
        <f>+dHdcp[[#This Row],[Fecha]]&amp;":"&amp;dHdcp[[#This Row],[Nombre]]</f>
        <v>44584:Ruslan Kochman</v>
      </c>
      <c r="N1006">
        <f>+COUNTIF(dHdcp[Columna1],dHdcp[[#This Row],[Columna1]])</f>
        <v>1</v>
      </c>
      <c r="T1006">
        <f t="shared" si="4"/>
        <v>26</v>
      </c>
      <c r="U1006" s="26">
        <v>44584</v>
      </c>
      <c r="V1006" s="28" t="s">
        <v>135</v>
      </c>
      <c r="W1006" s="28">
        <v>23.6</v>
      </c>
      <c r="X1006" t="str">
        <f>+VLOOKUP(V1006,dJugador[[Nombre]:[Mote]],2,FALSE)</f>
        <v>CMA8937096</v>
      </c>
    </row>
    <row r="1007" spans="1:24">
      <c r="A1007" s="2">
        <v>44598</v>
      </c>
      <c r="B1007" t="s">
        <v>9</v>
      </c>
      <c r="C1007" s="51">
        <v>10.9</v>
      </c>
      <c r="D1007">
        <f>+VLOOKUP(dHdcp[[#This Row],[Handicap]],'Categoría Hdcap'!$B$2:$E$7,4)</f>
        <v>2</v>
      </c>
      <c r="E1007" t="s">
        <v>74</v>
      </c>
      <c r="F1007" t="s">
        <v>1473</v>
      </c>
      <c r="G1007">
        <f>+IF(dHdcp[[#This Row],[Fecha]]=MAX(dHdcp[Fecha]),1,0)</f>
        <v>0</v>
      </c>
      <c r="H1007" t="str">
        <f>+dHdcp[[#This Row],[Maximo]]&amp;":"&amp;dHdcp[[#This Row],[Nombre]]</f>
        <v>0:Alfonso Hidalgo</v>
      </c>
      <c r="I1007" t="str">
        <f>+dHdcp[[#This Row],[Maximo]]&amp;":"&amp;_xlfn.XLOOKUP(dHdcp[[#This Row],[Nombre]],dJugador[Nombre],dJugador[Mote],"",0)</f>
        <v>0:Alfonso</v>
      </c>
      <c r="J1007" t="str">
        <f>+IF(dHdcp[[#This Row],[Maximo]]=0,"",_xlfn.RANK.EQ(dHdcp[[#This Row],[Handicap]],dHdcp[Handicap],1))</f>
        <v/>
      </c>
      <c r="K1007" t="str">
        <f>IFERROR(+_xlfn.RANK.EQ(dHdcp[[#This Row],[Ranking]],dHdcp[Ranking],1),"")</f>
        <v/>
      </c>
      <c r="M1007" t="str">
        <f>+dHdcp[[#This Row],[Fecha]]&amp;":"&amp;dHdcp[[#This Row],[Nombre]]</f>
        <v>44598:Alfonso Hidalgo</v>
      </c>
      <c r="N1007">
        <f>+COUNTIF(dHdcp[Columna1],dHdcp[[#This Row],[Columna1]])</f>
        <v>1</v>
      </c>
    </row>
    <row r="1008" spans="1:24">
      <c r="A1008" s="2">
        <v>44598</v>
      </c>
      <c r="B1008" t="s">
        <v>229</v>
      </c>
      <c r="C1008" s="51">
        <v>13.3</v>
      </c>
      <c r="D1008">
        <f>+VLOOKUP(dHdcp[[#This Row],[Handicap]],'Categoría Hdcap'!$B$2:$E$7,4)</f>
        <v>3</v>
      </c>
      <c r="E1008" t="s">
        <v>74</v>
      </c>
      <c r="F1008" t="s">
        <v>1474</v>
      </c>
      <c r="G1008">
        <f>+IF(dHdcp[[#This Row],[Fecha]]=MAX(dHdcp[Fecha]),1,0)</f>
        <v>0</v>
      </c>
      <c r="H1008" t="str">
        <f>+dHdcp[[#This Row],[Maximo]]&amp;":"&amp;dHdcp[[#This Row],[Nombre]]</f>
        <v>0:Alfonso Zorrilla</v>
      </c>
      <c r="I1008" t="str">
        <f>+dHdcp[[#This Row],[Maximo]]&amp;":"&amp;_xlfn.XLOOKUP(dHdcp[[#This Row],[Nombre]],dJugador[Nombre],dJugador[Mote],"",0)</f>
        <v>0:A Zorrilla</v>
      </c>
      <c r="J1008" t="str">
        <f>+IF(dHdcp[[#This Row],[Maximo]]=0,"",_xlfn.RANK.EQ(dHdcp[[#This Row],[Handicap]],dHdcp[Handicap],1))</f>
        <v/>
      </c>
      <c r="K1008" t="str">
        <f>IFERROR(+_xlfn.RANK.EQ(dHdcp[[#This Row],[Ranking]],dHdcp[Ranking],1),"")</f>
        <v/>
      </c>
      <c r="M1008" t="str">
        <f>+dHdcp[[#This Row],[Fecha]]&amp;":"&amp;dHdcp[[#This Row],[Nombre]]</f>
        <v>44598:Alfonso Zorrilla</v>
      </c>
      <c r="N1008">
        <f>+COUNTIF(dHdcp[Columna1],dHdcp[[#This Row],[Columna1]])</f>
        <v>1</v>
      </c>
    </row>
    <row r="1009" spans="1:14">
      <c r="A1009" s="2">
        <v>44598</v>
      </c>
      <c r="B1009" s="13" t="s">
        <v>15</v>
      </c>
      <c r="C1009" s="51">
        <v>7.3</v>
      </c>
      <c r="D1009">
        <f>+VLOOKUP(dHdcp[[#This Row],[Handicap]],'Categoría Hdcap'!$B$2:$E$7,4)</f>
        <v>2</v>
      </c>
      <c r="E1009" t="s">
        <v>74</v>
      </c>
      <c r="F1009" t="s">
        <v>1475</v>
      </c>
      <c r="G1009">
        <f>+IF(dHdcp[[#This Row],[Fecha]]=MAX(dHdcp[Fecha]),1,0)</f>
        <v>0</v>
      </c>
      <c r="H1009" t="str">
        <f>+dHdcp[[#This Row],[Maximo]]&amp;":"&amp;dHdcp[[#This Row],[Nombre]]</f>
        <v>0:Alvaro Aguirre</v>
      </c>
      <c r="I1009" t="str">
        <f>+dHdcp[[#This Row],[Maximo]]&amp;":"&amp;_xlfn.XLOOKUP(dHdcp[[#This Row],[Nombre]],dJugador[Nombre],dJugador[Mote],"",0)</f>
        <v>0:Gifu</v>
      </c>
      <c r="J1009" t="str">
        <f>+IF(dHdcp[[#This Row],[Maximo]]=0,"",_xlfn.RANK.EQ(dHdcp[[#This Row],[Handicap]],dHdcp[Handicap],1))</f>
        <v/>
      </c>
      <c r="K1009" t="str">
        <f>IFERROR(+_xlfn.RANK.EQ(dHdcp[[#This Row],[Ranking]],dHdcp[Ranking],1),"")</f>
        <v/>
      </c>
      <c r="M1009" t="str">
        <f>+dHdcp[[#This Row],[Fecha]]&amp;":"&amp;dHdcp[[#This Row],[Nombre]]</f>
        <v>44598:Alvaro Aguirre</v>
      </c>
      <c r="N1009">
        <f>+COUNTIF(dHdcp[Columna1],dHdcp[[#This Row],[Columna1]])</f>
        <v>1</v>
      </c>
    </row>
    <row r="1010" spans="1:14">
      <c r="A1010" s="2">
        <v>44598</v>
      </c>
      <c r="B1010" t="s">
        <v>201</v>
      </c>
      <c r="C1010" s="51">
        <v>7.6</v>
      </c>
      <c r="D1010">
        <f>+VLOOKUP(dHdcp[[#This Row],[Handicap]],'Categoría Hdcap'!$B$2:$E$7,4)</f>
        <v>2</v>
      </c>
      <c r="E1010" t="s">
        <v>74</v>
      </c>
      <c r="F1010" t="s">
        <v>1476</v>
      </c>
      <c r="G1010">
        <f>+IF(dHdcp[[#This Row],[Fecha]]=MAX(dHdcp[Fecha]),1,0)</f>
        <v>0</v>
      </c>
      <c r="H1010" t="str">
        <f>+dHdcp[[#This Row],[Maximo]]&amp;":"&amp;dHdcp[[#This Row],[Nombre]]</f>
        <v>0:Alvaro Montoya</v>
      </c>
      <c r="I1010" t="str">
        <f>+dHdcp[[#This Row],[Maximo]]&amp;":"&amp;_xlfn.XLOOKUP(dHdcp[[#This Row],[Nombre]],dJugador[Nombre],dJugador[Mote],"",0)</f>
        <v>0:Monti</v>
      </c>
      <c r="J1010" t="str">
        <f>+IF(dHdcp[[#This Row],[Maximo]]=0,"",_xlfn.RANK.EQ(dHdcp[[#This Row],[Handicap]],dHdcp[Handicap],1))</f>
        <v/>
      </c>
      <c r="K1010" t="str">
        <f>IFERROR(+_xlfn.RANK.EQ(dHdcp[[#This Row],[Ranking]],dHdcp[Ranking],1),"")</f>
        <v/>
      </c>
      <c r="M1010" t="str">
        <f>+dHdcp[[#This Row],[Fecha]]&amp;":"&amp;dHdcp[[#This Row],[Nombre]]</f>
        <v>44598:Alvaro Montoya</v>
      </c>
      <c r="N1010">
        <f>+COUNTIF(dHdcp[Columna1],dHdcp[[#This Row],[Columna1]])</f>
        <v>1</v>
      </c>
    </row>
    <row r="1011" spans="1:14">
      <c r="A1011" s="2">
        <v>44598</v>
      </c>
      <c r="B1011" t="s">
        <v>25</v>
      </c>
      <c r="C1011" s="51">
        <v>13.1</v>
      </c>
      <c r="D1011">
        <f>+VLOOKUP(dHdcp[[#This Row],[Handicap]],'Categoría Hdcap'!$B$2:$E$7,4)</f>
        <v>3</v>
      </c>
      <c r="E1011" t="s">
        <v>74</v>
      </c>
      <c r="F1011" t="s">
        <v>1477</v>
      </c>
      <c r="G1011">
        <f>+IF(dHdcp[[#This Row],[Fecha]]=MAX(dHdcp[Fecha]),1,0)</f>
        <v>0</v>
      </c>
      <c r="H1011" t="str">
        <f>+dHdcp[[#This Row],[Maximo]]&amp;":"&amp;dHdcp[[#This Row],[Nombre]]</f>
        <v>0:Alvaro Nieto</v>
      </c>
      <c r="I1011" t="str">
        <f>+dHdcp[[#This Row],[Maximo]]&amp;":"&amp;_xlfn.XLOOKUP(dHdcp[[#This Row],[Nombre]],dJugador[Nombre],dJugador[Mote],"",0)</f>
        <v>0:Alvaro</v>
      </c>
      <c r="J1011" t="str">
        <f>+IF(dHdcp[[#This Row],[Maximo]]=0,"",_xlfn.RANK.EQ(dHdcp[[#This Row],[Handicap]],dHdcp[Handicap],1))</f>
        <v/>
      </c>
      <c r="K1011" t="str">
        <f>IFERROR(+_xlfn.RANK.EQ(dHdcp[[#This Row],[Ranking]],dHdcp[Ranking],1),"")</f>
        <v/>
      </c>
      <c r="M1011" t="str">
        <f>+dHdcp[[#This Row],[Fecha]]&amp;":"&amp;dHdcp[[#This Row],[Nombre]]</f>
        <v>44598:Alvaro Nieto</v>
      </c>
      <c r="N1011">
        <f>+COUNTIF(dHdcp[Columna1],dHdcp[[#This Row],[Columna1]])</f>
        <v>1</v>
      </c>
    </row>
    <row r="1012" spans="1:14">
      <c r="A1012" s="2">
        <v>44598</v>
      </c>
      <c r="B1012" t="s">
        <v>33</v>
      </c>
      <c r="C1012" s="51">
        <v>7.6</v>
      </c>
      <c r="D1012">
        <f>+VLOOKUP(dHdcp[[#This Row],[Handicap]],'Categoría Hdcap'!$B$2:$E$7,4)</f>
        <v>2</v>
      </c>
      <c r="E1012" t="s">
        <v>74</v>
      </c>
      <c r="F1012" t="s">
        <v>1478</v>
      </c>
      <c r="G1012">
        <f>+IF(dHdcp[[#This Row],[Fecha]]=MAX(dHdcp[Fecha]),1,0)</f>
        <v>0</v>
      </c>
      <c r="H1012" t="str">
        <f>+dHdcp[[#This Row],[Maximo]]&amp;":"&amp;dHdcp[[#This Row],[Nombre]]</f>
        <v>0:Angel Hernandez</v>
      </c>
      <c r="I1012" t="str">
        <f>+dHdcp[[#This Row],[Maximo]]&amp;":"&amp;_xlfn.XLOOKUP(dHdcp[[#This Row],[Nombre]],dJugador[Nombre],dJugador[Mote],"",0)</f>
        <v>0:Angel</v>
      </c>
      <c r="J1012" t="str">
        <f>+IF(dHdcp[[#This Row],[Maximo]]=0,"",_xlfn.RANK.EQ(dHdcp[[#This Row],[Handicap]],dHdcp[Handicap],1))</f>
        <v/>
      </c>
      <c r="K1012" t="str">
        <f>IFERROR(+_xlfn.RANK.EQ(dHdcp[[#This Row],[Ranking]],dHdcp[Ranking],1),"")</f>
        <v/>
      </c>
      <c r="M1012" t="str">
        <f>+dHdcp[[#This Row],[Fecha]]&amp;":"&amp;dHdcp[[#This Row],[Nombre]]</f>
        <v>44598:Angel Hernandez</v>
      </c>
      <c r="N1012">
        <f>+COUNTIF(dHdcp[Columna1],dHdcp[[#This Row],[Columna1]])</f>
        <v>1</v>
      </c>
    </row>
    <row r="1013" spans="1:14">
      <c r="A1013" s="2">
        <v>44598</v>
      </c>
      <c r="B1013" t="s">
        <v>30</v>
      </c>
      <c r="C1013" s="51">
        <v>12.2</v>
      </c>
      <c r="D1013">
        <f>+VLOOKUP(dHdcp[[#This Row],[Handicap]],'Categoría Hdcap'!$B$2:$E$7,4)</f>
        <v>3</v>
      </c>
      <c r="E1013" t="s">
        <v>74</v>
      </c>
      <c r="F1013" t="s">
        <v>1479</v>
      </c>
      <c r="G1013">
        <f>+IF(dHdcp[[#This Row],[Fecha]]=MAX(dHdcp[Fecha]),1,0)</f>
        <v>0</v>
      </c>
      <c r="H1013" t="str">
        <f>+dHdcp[[#This Row],[Maximo]]&amp;":"&amp;dHdcp[[#This Row],[Nombre]]</f>
        <v>0:David Sequera</v>
      </c>
      <c r="I1013" t="str">
        <f>+dHdcp[[#This Row],[Maximo]]&amp;":"&amp;_xlfn.XLOOKUP(dHdcp[[#This Row],[Nombre]],dJugador[Nombre],dJugador[Mote],"",0)</f>
        <v>0:David</v>
      </c>
      <c r="J1013" t="str">
        <f>+IF(dHdcp[[#This Row],[Maximo]]=0,"",_xlfn.RANK.EQ(dHdcp[[#This Row],[Handicap]],dHdcp[Handicap],1))</f>
        <v/>
      </c>
      <c r="K1013" t="str">
        <f>IFERROR(+_xlfn.RANK.EQ(dHdcp[[#This Row],[Ranking]],dHdcp[Ranking],1),"")</f>
        <v/>
      </c>
      <c r="M1013" t="str">
        <f>+dHdcp[[#This Row],[Fecha]]&amp;":"&amp;dHdcp[[#This Row],[Nombre]]</f>
        <v>44598:David Sequera</v>
      </c>
      <c r="N1013">
        <f>+COUNTIF(dHdcp[Columna1],dHdcp[[#This Row],[Columna1]])</f>
        <v>1</v>
      </c>
    </row>
    <row r="1014" spans="1:14">
      <c r="A1014" s="2">
        <v>44598</v>
      </c>
      <c r="B1014" t="s">
        <v>248</v>
      </c>
      <c r="C1014" s="51">
        <v>19.3</v>
      </c>
      <c r="D1014">
        <f>+VLOOKUP(dHdcp[[#This Row],[Handicap]],'Categoría Hdcap'!$B$2:$E$7,4)</f>
        <v>4</v>
      </c>
      <c r="E1014" t="s">
        <v>74</v>
      </c>
      <c r="F1014" t="s">
        <v>1480</v>
      </c>
      <c r="G1014">
        <f>+IF(dHdcp[[#This Row],[Fecha]]=MAX(dHdcp[Fecha]),1,0)</f>
        <v>0</v>
      </c>
      <c r="H1014" t="str">
        <f>+dHdcp[[#This Row],[Maximo]]&amp;":"&amp;dHdcp[[#This Row],[Nombre]]</f>
        <v>0:Enrique Gonzalez R</v>
      </c>
      <c r="I1014" t="str">
        <f>+dHdcp[[#This Row],[Maximo]]&amp;":"&amp;_xlfn.XLOOKUP(dHdcp[[#This Row],[Nombre]],dJugador[Nombre],dJugador[Mote],"",0)</f>
        <v>0:Enrique</v>
      </c>
      <c r="J1014" t="str">
        <f>+IF(dHdcp[[#This Row],[Maximo]]=0,"",_xlfn.RANK.EQ(dHdcp[[#This Row],[Handicap]],dHdcp[Handicap],1))</f>
        <v/>
      </c>
      <c r="K1014" t="str">
        <f>IFERROR(+_xlfn.RANK.EQ(dHdcp[[#This Row],[Ranking]],dHdcp[Ranking],1),"")</f>
        <v/>
      </c>
      <c r="M1014" t="str">
        <f>+dHdcp[[#This Row],[Fecha]]&amp;":"&amp;dHdcp[[#This Row],[Nombre]]</f>
        <v>44598:Enrique Gonzalez R</v>
      </c>
      <c r="N1014">
        <f>+COUNTIF(dHdcp[Columna1],dHdcp[[#This Row],[Columna1]])</f>
        <v>1</v>
      </c>
    </row>
    <row r="1015" spans="1:14">
      <c r="A1015" s="2">
        <v>44598</v>
      </c>
      <c r="B1015" t="s">
        <v>12</v>
      </c>
      <c r="C1015" s="51">
        <v>14.2</v>
      </c>
      <c r="D1015">
        <f>+VLOOKUP(dHdcp[[#This Row],[Handicap]],'Categoría Hdcap'!$B$2:$E$7,4)</f>
        <v>3</v>
      </c>
      <c r="E1015" t="s">
        <v>74</v>
      </c>
      <c r="F1015" t="s">
        <v>1481</v>
      </c>
      <c r="G1015">
        <f>+IF(dHdcp[[#This Row],[Fecha]]=MAX(dHdcp[Fecha]),1,0)</f>
        <v>0</v>
      </c>
      <c r="H1015" t="str">
        <f>+dHdcp[[#This Row],[Maximo]]&amp;":"&amp;dHdcp[[#This Row],[Nombre]]</f>
        <v>0:Francisco Alvarez</v>
      </c>
      <c r="I1015" t="str">
        <f>+dHdcp[[#This Row],[Maximo]]&amp;":"&amp;_xlfn.XLOOKUP(dHdcp[[#This Row],[Nombre]],dJugador[Nombre],dJugador[Mote],"",0)</f>
        <v>0:Paco</v>
      </c>
      <c r="J1015" t="str">
        <f>+IF(dHdcp[[#This Row],[Maximo]]=0,"",_xlfn.RANK.EQ(dHdcp[[#This Row],[Handicap]],dHdcp[Handicap],1))</f>
        <v/>
      </c>
      <c r="K1015" t="str">
        <f>IFERROR(+_xlfn.RANK.EQ(dHdcp[[#This Row],[Ranking]],dHdcp[Ranking],1),"")</f>
        <v/>
      </c>
      <c r="M1015" t="str">
        <f>+dHdcp[[#This Row],[Fecha]]&amp;":"&amp;dHdcp[[#This Row],[Nombre]]</f>
        <v>44598:Francisco Alvarez</v>
      </c>
      <c r="N1015">
        <f>+COUNTIF(dHdcp[Columna1],dHdcp[[#This Row],[Columna1]])</f>
        <v>1</v>
      </c>
    </row>
    <row r="1016" spans="1:14">
      <c r="A1016" s="2">
        <v>44598</v>
      </c>
      <c r="B1016" t="s">
        <v>49</v>
      </c>
      <c r="C1016" s="51">
        <v>12.4</v>
      </c>
      <c r="D1016">
        <f>+VLOOKUP(dHdcp[[#This Row],[Handicap]],'Categoría Hdcap'!$B$2:$E$7,4)</f>
        <v>3</v>
      </c>
      <c r="E1016" t="s">
        <v>74</v>
      </c>
      <c r="F1016" t="s">
        <v>1482</v>
      </c>
      <c r="G1016">
        <f>+IF(dHdcp[[#This Row],[Fecha]]=MAX(dHdcp[Fecha]),1,0)</f>
        <v>0</v>
      </c>
      <c r="H1016" t="str">
        <f>+dHdcp[[#This Row],[Maximo]]&amp;":"&amp;dHdcp[[#This Row],[Nombre]]</f>
        <v>0:Francisco Hidalgo</v>
      </c>
      <c r="I1016" t="str">
        <f>+dHdcp[[#This Row],[Maximo]]&amp;":"&amp;_xlfn.XLOOKUP(dHdcp[[#This Row],[Nombre]],dJugador[Nombre],dJugador[Mote],"",0)</f>
        <v>0:Fran</v>
      </c>
      <c r="J1016" t="str">
        <f>+IF(dHdcp[[#This Row],[Maximo]]=0,"",_xlfn.RANK.EQ(dHdcp[[#This Row],[Handicap]],dHdcp[Handicap],1))</f>
        <v/>
      </c>
      <c r="K1016" t="str">
        <f>IFERROR(+_xlfn.RANK.EQ(dHdcp[[#This Row],[Ranking]],dHdcp[Ranking],1),"")</f>
        <v/>
      </c>
      <c r="M1016" t="str">
        <f>+dHdcp[[#This Row],[Fecha]]&amp;":"&amp;dHdcp[[#This Row],[Nombre]]</f>
        <v>44598:Francisco Hidalgo</v>
      </c>
      <c r="N1016">
        <f>+COUNTIF(dHdcp[Columna1],dHdcp[[#This Row],[Columna1]])</f>
        <v>1</v>
      </c>
    </row>
    <row r="1017" spans="1:14">
      <c r="A1017" s="2">
        <v>44598</v>
      </c>
      <c r="B1017" t="s">
        <v>207</v>
      </c>
      <c r="C1017" s="51">
        <v>14.4</v>
      </c>
      <c r="D1017">
        <f>+VLOOKUP(dHdcp[[#This Row],[Handicap]],'Categoría Hdcap'!$B$2:$E$7,4)</f>
        <v>3</v>
      </c>
      <c r="E1017" t="s">
        <v>74</v>
      </c>
      <c r="F1017" t="s">
        <v>1483</v>
      </c>
      <c r="G1017">
        <f>+IF(dHdcp[[#This Row],[Fecha]]=MAX(dHdcp[Fecha]),1,0)</f>
        <v>0</v>
      </c>
      <c r="H1017" t="str">
        <f>+dHdcp[[#This Row],[Maximo]]&amp;":"&amp;dHdcp[[#This Row],[Nombre]]</f>
        <v>0:Franck Benouniche</v>
      </c>
      <c r="I1017" t="str">
        <f>+dHdcp[[#This Row],[Maximo]]&amp;":"&amp;_xlfn.XLOOKUP(dHdcp[[#This Row],[Nombre]],dJugador[Nombre],dJugador[Mote],"",0)</f>
        <v>0:Franck</v>
      </c>
      <c r="J1017" t="str">
        <f>+IF(dHdcp[[#This Row],[Maximo]]=0,"",_xlfn.RANK.EQ(dHdcp[[#This Row],[Handicap]],dHdcp[Handicap],1))</f>
        <v/>
      </c>
      <c r="K1017" t="str">
        <f>IFERROR(+_xlfn.RANK.EQ(dHdcp[[#This Row],[Ranking]],dHdcp[Ranking],1),"")</f>
        <v/>
      </c>
      <c r="M1017" t="str">
        <f>+dHdcp[[#This Row],[Fecha]]&amp;":"&amp;dHdcp[[#This Row],[Nombre]]</f>
        <v>44598:Franck Benouniche</v>
      </c>
      <c r="N1017">
        <f>+COUNTIF(dHdcp[Columna1],dHdcp[[#This Row],[Columna1]])</f>
        <v>1</v>
      </c>
    </row>
    <row r="1018" spans="1:14">
      <c r="A1018" s="2">
        <v>44598</v>
      </c>
      <c r="B1018" t="s">
        <v>35</v>
      </c>
      <c r="C1018" s="51">
        <v>18.5</v>
      </c>
      <c r="D1018">
        <f>+VLOOKUP(dHdcp[[#This Row],[Handicap]],'Categoría Hdcap'!$B$2:$E$7,4)</f>
        <v>4</v>
      </c>
      <c r="E1018" t="s">
        <v>74</v>
      </c>
      <c r="F1018" t="s">
        <v>1484</v>
      </c>
      <c r="G1018">
        <f>+IF(dHdcp[[#This Row],[Fecha]]=MAX(dHdcp[Fecha]),1,0)</f>
        <v>0</v>
      </c>
      <c r="H1018" t="str">
        <f>+dHdcp[[#This Row],[Maximo]]&amp;":"&amp;dHdcp[[#This Row],[Nombre]]</f>
        <v>0:GLEZ JUAN JOSÉ</v>
      </c>
      <c r="I1018" t="str">
        <f>+dHdcp[[#This Row],[Maximo]]&amp;":"&amp;_xlfn.XLOOKUP(dHdcp[[#This Row],[Nombre]],dJugador[Nombre],dJugador[Mote],"",0)</f>
        <v>0:Juanjo</v>
      </c>
      <c r="J1018" t="str">
        <f>+IF(dHdcp[[#This Row],[Maximo]]=0,"",_xlfn.RANK.EQ(dHdcp[[#This Row],[Handicap]],dHdcp[Handicap],1))</f>
        <v/>
      </c>
      <c r="K1018" t="str">
        <f>IFERROR(+_xlfn.RANK.EQ(dHdcp[[#This Row],[Ranking]],dHdcp[Ranking],1),"")</f>
        <v/>
      </c>
      <c r="M1018" t="str">
        <f>+dHdcp[[#This Row],[Fecha]]&amp;":"&amp;dHdcp[[#This Row],[Nombre]]</f>
        <v>44598:GLEZ JUAN JOSÉ</v>
      </c>
      <c r="N1018">
        <f>+COUNTIF(dHdcp[Columna1],dHdcp[[#This Row],[Columna1]])</f>
        <v>1</v>
      </c>
    </row>
    <row r="1019" spans="1:14">
      <c r="A1019" s="2">
        <v>44598</v>
      </c>
      <c r="B1019" t="s">
        <v>6</v>
      </c>
      <c r="C1019" s="51">
        <v>8.3000000000000007</v>
      </c>
      <c r="D1019">
        <f>+VLOOKUP(dHdcp[[#This Row],[Handicap]],'Categoría Hdcap'!$B$2:$E$7,4)</f>
        <v>2</v>
      </c>
      <c r="E1019" t="s">
        <v>74</v>
      </c>
      <c r="F1019" t="s">
        <v>1485</v>
      </c>
      <c r="G1019">
        <f>+IF(dHdcp[[#This Row],[Fecha]]=MAX(dHdcp[Fecha]),1,0)</f>
        <v>0</v>
      </c>
      <c r="H1019" t="str">
        <f>+dHdcp[[#This Row],[Maximo]]&amp;":"&amp;dHdcp[[#This Row],[Nombre]]</f>
        <v>0:Ignacio Cadarso</v>
      </c>
      <c r="I1019" t="str">
        <f>+dHdcp[[#This Row],[Maximo]]&amp;":"&amp;_xlfn.XLOOKUP(dHdcp[[#This Row],[Nombre]],dJugador[Nombre],dJugador[Mote],"",0)</f>
        <v>0:Ignacio</v>
      </c>
      <c r="J1019" t="str">
        <f>+IF(dHdcp[[#This Row],[Maximo]]=0,"",_xlfn.RANK.EQ(dHdcp[[#This Row],[Handicap]],dHdcp[Handicap],1))</f>
        <v/>
      </c>
      <c r="K1019" t="str">
        <f>IFERROR(+_xlfn.RANK.EQ(dHdcp[[#This Row],[Ranking]],dHdcp[Ranking],1),"")</f>
        <v/>
      </c>
      <c r="M1019" t="str">
        <f>+dHdcp[[#This Row],[Fecha]]&amp;":"&amp;dHdcp[[#This Row],[Nombre]]</f>
        <v>44598:Ignacio Cadarso</v>
      </c>
      <c r="N1019">
        <f>+COUNTIF(dHdcp[Columna1],dHdcp[[#This Row],[Columna1]])</f>
        <v>1</v>
      </c>
    </row>
    <row r="1020" spans="1:14">
      <c r="A1020" s="2">
        <v>44598</v>
      </c>
      <c r="B1020" t="s">
        <v>23</v>
      </c>
      <c r="C1020" s="51">
        <v>18</v>
      </c>
      <c r="D1020">
        <f>+VLOOKUP(dHdcp[[#This Row],[Handicap]],'Categoría Hdcap'!$B$2:$E$7,4)</f>
        <v>3</v>
      </c>
      <c r="E1020" t="s">
        <v>74</v>
      </c>
      <c r="F1020" t="s">
        <v>1486</v>
      </c>
      <c r="G1020">
        <f>+IF(dHdcp[[#This Row],[Fecha]]=MAX(dHdcp[Fecha]),1,0)</f>
        <v>0</v>
      </c>
      <c r="H1020" t="str">
        <f>+dHdcp[[#This Row],[Maximo]]&amp;":"&amp;dHdcp[[#This Row],[Nombre]]</f>
        <v>0:J. Enrique Gonzalez</v>
      </c>
      <c r="I1020" t="str">
        <f>+dHdcp[[#This Row],[Maximo]]&amp;":"&amp;_xlfn.XLOOKUP(dHdcp[[#This Row],[Nombre]],dJugador[Nombre],dJugador[Mote],"",0)</f>
        <v>0:Kike</v>
      </c>
      <c r="J1020" t="str">
        <f>+IF(dHdcp[[#This Row],[Maximo]]=0,"",_xlfn.RANK.EQ(dHdcp[[#This Row],[Handicap]],dHdcp[Handicap],1))</f>
        <v/>
      </c>
      <c r="K1020" t="str">
        <f>IFERROR(+_xlfn.RANK.EQ(dHdcp[[#This Row],[Ranking]],dHdcp[Ranking],1),"")</f>
        <v/>
      </c>
      <c r="M1020" t="str">
        <f>+dHdcp[[#This Row],[Fecha]]&amp;":"&amp;dHdcp[[#This Row],[Nombre]]</f>
        <v>44598:J. Enrique Gonzalez</v>
      </c>
      <c r="N1020">
        <f>+COUNTIF(dHdcp[Columna1],dHdcp[[#This Row],[Columna1]])</f>
        <v>1</v>
      </c>
    </row>
    <row r="1021" spans="1:14">
      <c r="A1021" s="2">
        <v>44598</v>
      </c>
      <c r="B1021" t="s">
        <v>46</v>
      </c>
      <c r="C1021" s="51">
        <v>17</v>
      </c>
      <c r="D1021">
        <f>+VLOOKUP(dHdcp[[#This Row],[Handicap]],'Categoría Hdcap'!$B$2:$E$7,4)</f>
        <v>3</v>
      </c>
      <c r="E1021" t="s">
        <v>74</v>
      </c>
      <c r="F1021" t="s">
        <v>1487</v>
      </c>
      <c r="G1021">
        <f>+IF(dHdcp[[#This Row],[Fecha]]=MAX(dHdcp[Fecha]),1,0)</f>
        <v>0</v>
      </c>
      <c r="H1021" t="str">
        <f>+dHdcp[[#This Row],[Maximo]]&amp;":"&amp;dHdcp[[#This Row],[Nombre]]</f>
        <v>0:Javier Cervera</v>
      </c>
      <c r="I1021" t="str">
        <f>+dHdcp[[#This Row],[Maximo]]&amp;":"&amp;_xlfn.XLOOKUP(dHdcp[[#This Row],[Nombre]],dJugador[Nombre],dJugador[Mote],"",0)</f>
        <v>0:Virus</v>
      </c>
      <c r="J1021" t="str">
        <f>+IF(dHdcp[[#This Row],[Maximo]]=0,"",_xlfn.RANK.EQ(dHdcp[[#This Row],[Handicap]],dHdcp[Handicap],1))</f>
        <v/>
      </c>
      <c r="K1021" t="str">
        <f>IFERROR(+_xlfn.RANK.EQ(dHdcp[[#This Row],[Ranking]],dHdcp[Ranking],1),"")</f>
        <v/>
      </c>
      <c r="M1021" t="str">
        <f>+dHdcp[[#This Row],[Fecha]]&amp;":"&amp;dHdcp[[#This Row],[Nombre]]</f>
        <v>44598:Javier Cervera</v>
      </c>
      <c r="N1021">
        <f>+COUNTIF(dHdcp[Columna1],dHdcp[[#This Row],[Columna1]])</f>
        <v>1</v>
      </c>
    </row>
    <row r="1022" spans="1:14">
      <c r="A1022" s="2">
        <v>44598</v>
      </c>
      <c r="B1022" t="s">
        <v>225</v>
      </c>
      <c r="C1022" s="51">
        <v>10.8</v>
      </c>
      <c r="D1022">
        <f>+VLOOKUP(dHdcp[[#This Row],[Handicap]],'Categoría Hdcap'!$B$2:$E$7,4)</f>
        <v>2</v>
      </c>
      <c r="E1022" t="s">
        <v>74</v>
      </c>
      <c r="F1022" t="s">
        <v>1488</v>
      </c>
      <c r="G1022">
        <f>+IF(dHdcp[[#This Row],[Fecha]]=MAX(dHdcp[Fecha]),1,0)</f>
        <v>0</v>
      </c>
      <c r="H1022" t="str">
        <f>+dHdcp[[#This Row],[Maximo]]&amp;":"&amp;dHdcp[[#This Row],[Nombre]]</f>
        <v>0:Javier Chiralt</v>
      </c>
      <c r="I1022" t="str">
        <f>+dHdcp[[#This Row],[Maximo]]&amp;":"&amp;_xlfn.XLOOKUP(dHdcp[[#This Row],[Nombre]],dJugador[Nombre],dJugador[Mote],"",0)</f>
        <v>0:Chiralt</v>
      </c>
      <c r="J1022" t="str">
        <f>+IF(dHdcp[[#This Row],[Maximo]]=0,"",_xlfn.RANK.EQ(dHdcp[[#This Row],[Handicap]],dHdcp[Handicap],1))</f>
        <v/>
      </c>
      <c r="K1022" t="str">
        <f>IFERROR(+_xlfn.RANK.EQ(dHdcp[[#This Row],[Ranking]],dHdcp[Ranking],1),"")</f>
        <v/>
      </c>
      <c r="M1022" t="str">
        <f>+dHdcp[[#This Row],[Fecha]]&amp;":"&amp;dHdcp[[#This Row],[Nombre]]</f>
        <v>44598:Javier Chiralt</v>
      </c>
      <c r="N1022">
        <f>+COUNTIF(dHdcp[Columna1],dHdcp[[#This Row],[Columna1]])</f>
        <v>1</v>
      </c>
    </row>
    <row r="1023" spans="1:14">
      <c r="A1023" s="2">
        <v>44598</v>
      </c>
      <c r="B1023" t="s">
        <v>20</v>
      </c>
      <c r="C1023" s="51">
        <v>16.399999999999999</v>
      </c>
      <c r="D1023">
        <f>+VLOOKUP(dHdcp[[#This Row],[Handicap]],'Categoría Hdcap'!$B$2:$E$7,4)</f>
        <v>3</v>
      </c>
      <c r="E1023" t="s">
        <v>74</v>
      </c>
      <c r="F1023" t="s">
        <v>1489</v>
      </c>
      <c r="G1023">
        <f>+IF(dHdcp[[#This Row],[Fecha]]=MAX(dHdcp[Fecha]),1,0)</f>
        <v>0</v>
      </c>
      <c r="H1023" t="str">
        <f>+dHdcp[[#This Row],[Maximo]]&amp;":"&amp;dHdcp[[#This Row],[Nombre]]</f>
        <v>0:Javier Gonzalez Salvador</v>
      </c>
      <c r="I1023" t="str">
        <f>+dHdcp[[#This Row],[Maximo]]&amp;":"&amp;_xlfn.XLOOKUP(dHdcp[[#This Row],[Nombre]],dJugador[Nombre],dJugador[Mote],"",0)</f>
        <v>0:Javi</v>
      </c>
      <c r="J1023" t="str">
        <f>+IF(dHdcp[[#This Row],[Maximo]]=0,"",_xlfn.RANK.EQ(dHdcp[[#This Row],[Handicap]],dHdcp[Handicap],1))</f>
        <v/>
      </c>
      <c r="K1023" t="str">
        <f>IFERROR(+_xlfn.RANK.EQ(dHdcp[[#This Row],[Ranking]],dHdcp[Ranking],1),"")</f>
        <v/>
      </c>
      <c r="M1023" t="str">
        <f>+dHdcp[[#This Row],[Fecha]]&amp;":"&amp;dHdcp[[#This Row],[Nombre]]</f>
        <v>44598:Javier Gonzalez Salvador</v>
      </c>
      <c r="N1023">
        <f>+COUNTIF(dHdcp[Columna1],dHdcp[[#This Row],[Columna1]])</f>
        <v>1</v>
      </c>
    </row>
    <row r="1024" spans="1:14">
      <c r="A1024" s="2">
        <v>44598</v>
      </c>
      <c r="B1024" t="s">
        <v>217</v>
      </c>
      <c r="C1024" s="51">
        <v>24.8</v>
      </c>
      <c r="D1024">
        <f>+VLOOKUP(dHdcp[[#This Row],[Handicap]],'Categoría Hdcap'!$B$2:$E$7,4)</f>
        <v>4</v>
      </c>
      <c r="E1024" t="s">
        <v>74</v>
      </c>
      <c r="F1024" t="s">
        <v>1490</v>
      </c>
      <c r="G1024">
        <f>+IF(dHdcp[[#This Row],[Fecha]]=MAX(dHdcp[Fecha]),1,0)</f>
        <v>0</v>
      </c>
      <c r="H1024" t="str">
        <f>+dHdcp[[#This Row],[Maximo]]&amp;":"&amp;dHdcp[[#This Row],[Nombre]]</f>
        <v>0:Javier Lopez Gullón</v>
      </c>
      <c r="I1024" t="str">
        <f>+dHdcp[[#This Row],[Maximo]]&amp;":"&amp;_xlfn.XLOOKUP(dHdcp[[#This Row],[Nombre]],dJugador[Nombre],dJugador[Mote],"",0)</f>
        <v>0:Cuñao</v>
      </c>
      <c r="J1024" t="str">
        <f>+IF(dHdcp[[#This Row],[Maximo]]=0,"",_xlfn.RANK.EQ(dHdcp[[#This Row],[Handicap]],dHdcp[Handicap],1))</f>
        <v/>
      </c>
      <c r="K1024" t="str">
        <f>IFERROR(+_xlfn.RANK.EQ(dHdcp[[#This Row],[Ranking]],dHdcp[Ranking],1),"")</f>
        <v/>
      </c>
      <c r="M1024" t="str">
        <f>+dHdcp[[#This Row],[Fecha]]&amp;":"&amp;dHdcp[[#This Row],[Nombre]]</f>
        <v>44598:Javier Lopez Gullón</v>
      </c>
      <c r="N1024">
        <f>+COUNTIF(dHdcp[Columna1],dHdcp[[#This Row],[Columna1]])</f>
        <v>1</v>
      </c>
    </row>
    <row r="1025" spans="1:14">
      <c r="A1025" s="2">
        <v>44598</v>
      </c>
      <c r="B1025" t="s">
        <v>41</v>
      </c>
      <c r="C1025" s="51">
        <v>25.8</v>
      </c>
      <c r="D1025">
        <f>+VLOOKUP(dHdcp[[#This Row],[Handicap]],'Categoría Hdcap'!$B$2:$E$7,4)</f>
        <v>4</v>
      </c>
      <c r="E1025" t="s">
        <v>74</v>
      </c>
      <c r="F1025" t="s">
        <v>1491</v>
      </c>
      <c r="G1025">
        <f>+IF(dHdcp[[#This Row],[Fecha]]=MAX(dHdcp[Fecha]),1,0)</f>
        <v>0</v>
      </c>
      <c r="H1025" t="str">
        <f>+dHdcp[[#This Row],[Maximo]]&amp;":"&amp;dHdcp[[#This Row],[Nombre]]</f>
        <v>0:Jesus Touceda</v>
      </c>
      <c r="I1025" t="str">
        <f>+dHdcp[[#This Row],[Maximo]]&amp;":"&amp;_xlfn.XLOOKUP(dHdcp[[#This Row],[Nombre]],dJugador[Nombre],dJugador[Mote],"",0)</f>
        <v>0:Jesús</v>
      </c>
      <c r="J1025" t="str">
        <f>+IF(dHdcp[[#This Row],[Maximo]]=0,"",_xlfn.RANK.EQ(dHdcp[[#This Row],[Handicap]],dHdcp[Handicap],1))</f>
        <v/>
      </c>
      <c r="K1025" t="str">
        <f>IFERROR(+_xlfn.RANK.EQ(dHdcp[[#This Row],[Ranking]],dHdcp[Ranking],1),"")</f>
        <v/>
      </c>
      <c r="M1025" t="str">
        <f>+dHdcp[[#This Row],[Fecha]]&amp;":"&amp;dHdcp[[#This Row],[Nombre]]</f>
        <v>44598:Jesus Touceda</v>
      </c>
      <c r="N1025">
        <f>+COUNTIF(dHdcp[Columna1],dHdcp[[#This Row],[Columna1]])</f>
        <v>1</v>
      </c>
    </row>
    <row r="1026" spans="1:14">
      <c r="A1026" s="2">
        <v>44598</v>
      </c>
      <c r="B1026" t="s">
        <v>18</v>
      </c>
      <c r="C1026" s="51">
        <v>7.2</v>
      </c>
      <c r="D1026">
        <f>+VLOOKUP(dHdcp[[#This Row],[Handicap]],'Categoría Hdcap'!$B$2:$E$7,4)</f>
        <v>2</v>
      </c>
      <c r="E1026" t="s">
        <v>74</v>
      </c>
      <c r="F1026" t="s">
        <v>1492</v>
      </c>
      <c r="G1026">
        <f>+IF(dHdcp[[#This Row],[Fecha]]=MAX(dHdcp[Fecha]),1,0)</f>
        <v>0</v>
      </c>
      <c r="H1026" t="str">
        <f>+dHdcp[[#This Row],[Maximo]]&amp;":"&amp;dHdcp[[#This Row],[Nombre]]</f>
        <v>0:José Pablo Guil</v>
      </c>
      <c r="I1026" t="str">
        <f>+dHdcp[[#This Row],[Maximo]]&amp;":"&amp;_xlfn.XLOOKUP(dHdcp[[#This Row],[Nombre]],dJugador[Nombre],dJugador[Mote],"",0)</f>
        <v>0:JP</v>
      </c>
      <c r="J1026" t="str">
        <f>+IF(dHdcp[[#This Row],[Maximo]]=0,"",_xlfn.RANK.EQ(dHdcp[[#This Row],[Handicap]],dHdcp[Handicap],1))</f>
        <v/>
      </c>
      <c r="K1026" t="str">
        <f>IFERROR(+_xlfn.RANK.EQ(dHdcp[[#This Row],[Ranking]],dHdcp[Ranking],1),"")</f>
        <v/>
      </c>
      <c r="M1026" t="str">
        <f>+dHdcp[[#This Row],[Fecha]]&amp;":"&amp;dHdcp[[#This Row],[Nombre]]</f>
        <v>44598:José Pablo Guil</v>
      </c>
      <c r="N1026">
        <f>+COUNTIF(dHdcp[Columna1],dHdcp[[#This Row],[Columna1]])</f>
        <v>1</v>
      </c>
    </row>
    <row r="1027" spans="1:14">
      <c r="A1027" s="2">
        <v>44598</v>
      </c>
      <c r="B1027" t="s">
        <v>43</v>
      </c>
      <c r="C1027" s="51">
        <v>18.5</v>
      </c>
      <c r="D1027">
        <f>+VLOOKUP(dHdcp[[#This Row],[Handicap]],'Categoría Hdcap'!$B$2:$E$7,4)</f>
        <v>4</v>
      </c>
      <c r="E1027" t="s">
        <v>74</v>
      </c>
      <c r="F1027" t="s">
        <v>1493</v>
      </c>
      <c r="G1027">
        <f>+IF(dHdcp[[#This Row],[Fecha]]=MAX(dHdcp[Fecha]),1,0)</f>
        <v>0</v>
      </c>
      <c r="H1027" t="str">
        <f>+dHdcp[[#This Row],[Maximo]]&amp;":"&amp;dHdcp[[#This Row],[Nombre]]</f>
        <v>0:Luis Escudero</v>
      </c>
      <c r="I1027" t="str">
        <f>+dHdcp[[#This Row],[Maximo]]&amp;":"&amp;_xlfn.XLOOKUP(dHdcp[[#This Row],[Nombre]],dJugador[Nombre],dJugador[Mote],"",0)</f>
        <v>0:Lucho</v>
      </c>
      <c r="J1027" t="str">
        <f>+IF(dHdcp[[#This Row],[Maximo]]=0,"",_xlfn.RANK.EQ(dHdcp[[#This Row],[Handicap]],dHdcp[Handicap],1))</f>
        <v/>
      </c>
      <c r="K1027" t="str">
        <f>IFERROR(+_xlfn.RANK.EQ(dHdcp[[#This Row],[Ranking]],dHdcp[Ranking],1),"")</f>
        <v/>
      </c>
      <c r="M1027" t="str">
        <f>+dHdcp[[#This Row],[Fecha]]&amp;":"&amp;dHdcp[[#This Row],[Nombre]]</f>
        <v>44598:Luis Escudero</v>
      </c>
      <c r="N1027">
        <f>+COUNTIF(dHdcp[Columna1],dHdcp[[#This Row],[Columna1]])</f>
        <v>1</v>
      </c>
    </row>
    <row r="1028" spans="1:14">
      <c r="A1028" s="2">
        <v>44598</v>
      </c>
      <c r="B1028" s="10" t="s">
        <v>135</v>
      </c>
      <c r="C1028" s="53">
        <v>23.6</v>
      </c>
      <c r="D1028" s="10">
        <f>+VLOOKUP(dHdcp[[#This Row],[Handicap]],'Categoría Hdcap'!$B$2:$E$7,4)</f>
        <v>4</v>
      </c>
      <c r="E1028" s="10" t="s">
        <v>74</v>
      </c>
      <c r="F1028" s="10" t="s">
        <v>1494</v>
      </c>
      <c r="G1028">
        <f>+IF(dHdcp[[#This Row],[Fecha]]=MAX(dHdcp[Fecha]),1,0)</f>
        <v>0</v>
      </c>
      <c r="H1028" t="str">
        <f>+dHdcp[[#This Row],[Maximo]]&amp;":"&amp;dHdcp[[#This Row],[Nombre]]</f>
        <v>0:Miche Lopez</v>
      </c>
      <c r="I1028" t="str">
        <f>+dHdcp[[#This Row],[Maximo]]&amp;":"&amp;_xlfn.XLOOKUP(dHdcp[[#This Row],[Nombre]],dJugador[Nombre],dJugador[Mote],"",0)</f>
        <v>0:Miche</v>
      </c>
      <c r="J1028" t="str">
        <f>+IF(dHdcp[[#This Row],[Maximo]]=0,"",_xlfn.RANK.EQ(dHdcp[[#This Row],[Handicap]],dHdcp[Handicap],1))</f>
        <v/>
      </c>
      <c r="K1028" t="str">
        <f>IFERROR(+_xlfn.RANK.EQ(dHdcp[[#This Row],[Ranking]],dHdcp[Ranking],1),"")</f>
        <v/>
      </c>
      <c r="M1028" t="str">
        <f>+dHdcp[[#This Row],[Fecha]]&amp;":"&amp;dHdcp[[#This Row],[Nombre]]</f>
        <v>44598:Miche Lopez</v>
      </c>
      <c r="N1028">
        <f>+COUNTIF(dHdcp[Columna1],dHdcp[[#This Row],[Columna1]])</f>
        <v>1</v>
      </c>
    </row>
    <row r="1029" spans="1:14">
      <c r="A1029" s="2">
        <v>44598</v>
      </c>
      <c r="B1029" t="s">
        <v>51</v>
      </c>
      <c r="C1029" s="51">
        <v>-0.9</v>
      </c>
      <c r="D1029">
        <f>+VLOOKUP(dHdcp[[#This Row],[Handicap]],'Categoría Hdcap'!$B$2:$E$7,4)</f>
        <v>1</v>
      </c>
      <c r="E1029" t="s">
        <v>74</v>
      </c>
      <c r="F1029" t="s">
        <v>1495</v>
      </c>
      <c r="G1029">
        <f>+IF(dHdcp[[#This Row],[Fecha]]=MAX(dHdcp[Fecha]),1,0)</f>
        <v>0</v>
      </c>
      <c r="H1029" t="str">
        <f>+dHdcp[[#This Row],[Maximo]]&amp;":"&amp;dHdcp[[#This Row],[Nombre]]</f>
        <v>0:Miguel Diaz Del Moral</v>
      </c>
      <c r="I1029" t="str">
        <f>+dHdcp[[#This Row],[Maximo]]&amp;":"&amp;_xlfn.XLOOKUP(dHdcp[[#This Row],[Nombre]],dJugador[Nombre],dJugador[Mote],"",0)</f>
        <v>0:Cañita</v>
      </c>
      <c r="J1029" t="str">
        <f>+IF(dHdcp[[#This Row],[Maximo]]=0,"",_xlfn.RANK.EQ(dHdcp[[#This Row],[Handicap]],dHdcp[Handicap],1))</f>
        <v/>
      </c>
      <c r="K1029" t="str">
        <f>IFERROR(+_xlfn.RANK.EQ(dHdcp[[#This Row],[Ranking]],dHdcp[Ranking],1),"")</f>
        <v/>
      </c>
      <c r="M1029" t="str">
        <f>+dHdcp[[#This Row],[Fecha]]&amp;":"&amp;dHdcp[[#This Row],[Nombre]]</f>
        <v>44598:Miguel Diaz Del Moral</v>
      </c>
      <c r="N1029">
        <f>+COUNTIF(dHdcp[Columna1],dHdcp[[#This Row],[Columna1]])</f>
        <v>1</v>
      </c>
    </row>
    <row r="1030" spans="1:14">
      <c r="A1030" s="2">
        <v>44598</v>
      </c>
      <c r="B1030" t="s">
        <v>205</v>
      </c>
      <c r="C1030" s="51">
        <v>8.1</v>
      </c>
      <c r="D1030">
        <f>+VLOOKUP(dHdcp[[#This Row],[Handicap]],'Categoría Hdcap'!$B$2:$E$7,4)</f>
        <v>2</v>
      </c>
      <c r="E1030" t="s">
        <v>74</v>
      </c>
      <c r="F1030" t="s">
        <v>1496</v>
      </c>
      <c r="G1030">
        <f>+IF(dHdcp[[#This Row],[Fecha]]=MAX(dHdcp[Fecha]),1,0)</f>
        <v>0</v>
      </c>
      <c r="H1030" t="str">
        <f>+dHdcp[[#This Row],[Maximo]]&amp;":"&amp;dHdcp[[#This Row],[Nombre]]</f>
        <v>0:Nacho Casas</v>
      </c>
      <c r="I1030" t="str">
        <f>+dHdcp[[#This Row],[Maximo]]&amp;":"&amp;_xlfn.XLOOKUP(dHdcp[[#This Row],[Nombre]],dJugador[Nombre],dJugador[Mote],"",0)</f>
        <v>0:Nachete</v>
      </c>
      <c r="J1030" t="str">
        <f>+IF(dHdcp[[#This Row],[Maximo]]=0,"",_xlfn.RANK.EQ(dHdcp[[#This Row],[Handicap]],dHdcp[Handicap],1))</f>
        <v/>
      </c>
      <c r="K1030" t="str">
        <f>IFERROR(+_xlfn.RANK.EQ(dHdcp[[#This Row],[Ranking]],dHdcp[Ranking],1),"")</f>
        <v/>
      </c>
      <c r="M1030" t="str">
        <f>+dHdcp[[#This Row],[Fecha]]&amp;":"&amp;dHdcp[[#This Row],[Nombre]]</f>
        <v>44598:Nacho Casas</v>
      </c>
      <c r="N1030">
        <f>+COUNTIF(dHdcp[Columna1],dHdcp[[#This Row],[Columna1]])</f>
        <v>1</v>
      </c>
    </row>
    <row r="1031" spans="1:14">
      <c r="A1031" s="2">
        <v>44598</v>
      </c>
      <c r="B1031" t="s">
        <v>3</v>
      </c>
      <c r="C1031" s="51">
        <v>6.6</v>
      </c>
      <c r="D1031">
        <f>+VLOOKUP(dHdcp[[#This Row],[Handicap]],'Categoría Hdcap'!$B$2:$E$7,4)</f>
        <v>2</v>
      </c>
      <c r="E1031" t="s">
        <v>74</v>
      </c>
      <c r="F1031" t="s">
        <v>1497</v>
      </c>
      <c r="G1031">
        <f>+IF(dHdcp[[#This Row],[Fecha]]=MAX(dHdcp[Fecha]),1,0)</f>
        <v>0</v>
      </c>
      <c r="H1031" t="str">
        <f>+dHdcp[[#This Row],[Maximo]]&amp;":"&amp;dHdcp[[#This Row],[Nombre]]</f>
        <v>0:Nacho Gonzalez</v>
      </c>
      <c r="I1031" t="str">
        <f>+dHdcp[[#This Row],[Maximo]]&amp;":"&amp;_xlfn.XLOOKUP(dHdcp[[#This Row],[Nombre]],dJugador[Nombre],dJugador[Mote],"",0)</f>
        <v>0:Nacho</v>
      </c>
      <c r="J1031" t="str">
        <f>+IF(dHdcp[[#This Row],[Maximo]]=0,"",_xlfn.RANK.EQ(dHdcp[[#This Row],[Handicap]],dHdcp[Handicap],1))</f>
        <v/>
      </c>
      <c r="K1031" t="str">
        <f>IFERROR(+_xlfn.RANK.EQ(dHdcp[[#This Row],[Ranking]],dHdcp[Ranking],1),"")</f>
        <v/>
      </c>
      <c r="M1031" t="str">
        <f>+dHdcp[[#This Row],[Fecha]]&amp;":"&amp;dHdcp[[#This Row],[Nombre]]</f>
        <v>44598:Nacho Gonzalez</v>
      </c>
      <c r="N1031">
        <f>+COUNTIF(dHdcp[Columna1],dHdcp[[#This Row],[Columna1]])</f>
        <v>1</v>
      </c>
    </row>
    <row r="1032" spans="1:14">
      <c r="A1032" s="2">
        <v>44598</v>
      </c>
      <c r="B1032" t="s">
        <v>28</v>
      </c>
      <c r="C1032" s="51">
        <v>13.7</v>
      </c>
      <c r="D1032">
        <f>+VLOOKUP(dHdcp[[#This Row],[Handicap]],'Categoría Hdcap'!$B$2:$E$7,4)</f>
        <v>3</v>
      </c>
      <c r="E1032" t="s">
        <v>74</v>
      </c>
      <c r="F1032" t="s">
        <v>1498</v>
      </c>
      <c r="G1032">
        <f>+IF(dHdcp[[#This Row],[Fecha]]=MAX(dHdcp[Fecha]),1,0)</f>
        <v>0</v>
      </c>
      <c r="H1032" t="str">
        <f>+dHdcp[[#This Row],[Maximo]]&amp;":"&amp;dHdcp[[#This Row],[Nombre]]</f>
        <v>0:Pablo Munitiz</v>
      </c>
      <c r="I1032" t="str">
        <f>+dHdcp[[#This Row],[Maximo]]&amp;":"&amp;_xlfn.XLOOKUP(dHdcp[[#This Row],[Nombre]],dJugador[Nombre],dJugador[Mote],"",0)</f>
        <v>0:Muni</v>
      </c>
      <c r="J1032" t="str">
        <f>+IF(dHdcp[[#This Row],[Maximo]]=0,"",_xlfn.RANK.EQ(dHdcp[[#This Row],[Handicap]],dHdcp[Handicap],1))</f>
        <v/>
      </c>
      <c r="K1032" t="str">
        <f>IFERROR(+_xlfn.RANK.EQ(dHdcp[[#This Row],[Ranking]],dHdcp[Ranking],1),"")</f>
        <v/>
      </c>
      <c r="M1032" t="str">
        <f>+dHdcp[[#This Row],[Fecha]]&amp;":"&amp;dHdcp[[#This Row],[Nombre]]</f>
        <v>44598:Pablo Munitiz</v>
      </c>
      <c r="N1032">
        <f>+COUNTIF(dHdcp[Columna1],dHdcp[[#This Row],[Columna1]])</f>
        <v>1</v>
      </c>
    </row>
    <row r="1033" spans="1:14">
      <c r="A1033" s="2">
        <v>44598</v>
      </c>
      <c r="B1033" t="s">
        <v>203</v>
      </c>
      <c r="C1033" s="51">
        <v>17.3</v>
      </c>
      <c r="D1033">
        <f>+VLOOKUP(dHdcp[[#This Row],[Handicap]],'Categoría Hdcap'!$B$2:$E$7,4)</f>
        <v>3</v>
      </c>
      <c r="E1033" t="s">
        <v>74</v>
      </c>
      <c r="F1033" t="s">
        <v>1499</v>
      </c>
      <c r="G1033">
        <f>+IF(dHdcp[[#This Row],[Fecha]]=MAX(dHdcp[Fecha]),1,0)</f>
        <v>0</v>
      </c>
      <c r="H1033" t="str">
        <f>+dHdcp[[#This Row],[Maximo]]&amp;":"&amp;dHdcp[[#This Row],[Nombre]]</f>
        <v>0:Ruslan Kochman</v>
      </c>
      <c r="I1033" t="str">
        <f>+dHdcp[[#This Row],[Maximo]]&amp;":"&amp;_xlfn.XLOOKUP(dHdcp[[#This Row],[Nombre]],dJugador[Nombre],dJugador[Mote],"",0)</f>
        <v>0:Rus</v>
      </c>
      <c r="J1033" t="str">
        <f>+IF(dHdcp[[#This Row],[Maximo]]=0,"",_xlfn.RANK.EQ(dHdcp[[#This Row],[Handicap]],dHdcp[Handicap],1))</f>
        <v/>
      </c>
      <c r="K1033" t="str">
        <f>IFERROR(+_xlfn.RANK.EQ(dHdcp[[#This Row],[Ranking]],dHdcp[Ranking],1),"")</f>
        <v/>
      </c>
      <c r="M1033" t="str">
        <f>+dHdcp[[#This Row],[Fecha]]&amp;":"&amp;dHdcp[[#This Row],[Nombre]]</f>
        <v>44598:Ruslan Kochman</v>
      </c>
      <c r="N1033">
        <f>+COUNTIF(dHdcp[Columna1],dHdcp[[#This Row],[Columna1]])</f>
        <v>1</v>
      </c>
    </row>
    <row r="1034" spans="1:14">
      <c r="A1034" s="2">
        <v>44599</v>
      </c>
      <c r="B1034" t="s">
        <v>9</v>
      </c>
      <c r="C1034" s="51">
        <v>10.4</v>
      </c>
      <c r="D1034">
        <f>+VLOOKUP(dHdcp[[#This Row],[Handicap]],'Categoría Hdcap'!$B$2:$E$7,4)</f>
        <v>2</v>
      </c>
      <c r="E1034" t="s">
        <v>74</v>
      </c>
      <c r="F1034" t="s">
        <v>1500</v>
      </c>
      <c r="G1034">
        <f>+IF(dHdcp[[#This Row],[Fecha]]=MAX(dHdcp[Fecha]),1,0)</f>
        <v>0</v>
      </c>
      <c r="H1034" t="str">
        <f>+dHdcp[[#This Row],[Maximo]]&amp;":"&amp;dHdcp[[#This Row],[Nombre]]</f>
        <v>0:Alfonso Hidalgo</v>
      </c>
      <c r="I1034" t="str">
        <f>+dHdcp[[#This Row],[Maximo]]&amp;":"&amp;_xlfn.XLOOKUP(dHdcp[[#This Row],[Nombre]],dJugador[Nombre],dJugador[Mote],"",0)</f>
        <v>0:Alfonso</v>
      </c>
      <c r="J1034" t="str">
        <f>+IF(dHdcp[[#This Row],[Maximo]]=0,"",_xlfn.RANK.EQ(dHdcp[[#This Row],[Handicap]],dHdcp[Handicap],1))</f>
        <v/>
      </c>
      <c r="K1034" t="str">
        <f>IFERROR(+_xlfn.RANK.EQ(dHdcp[[#This Row],[Ranking]],dHdcp[Ranking],1),"")</f>
        <v/>
      </c>
      <c r="M1034" t="str">
        <f>+dHdcp[[#This Row],[Fecha]]&amp;":"&amp;dHdcp[[#This Row],[Nombre]]</f>
        <v>44599:Alfonso Hidalgo</v>
      </c>
      <c r="N1034">
        <f>+COUNTIF(dHdcp[Columna1],dHdcp[[#This Row],[Columna1]])</f>
        <v>1</v>
      </c>
    </row>
    <row r="1035" spans="1:14">
      <c r="A1035" s="2">
        <v>44599</v>
      </c>
      <c r="B1035" t="s">
        <v>229</v>
      </c>
      <c r="C1035" s="51">
        <v>13.3</v>
      </c>
      <c r="D1035">
        <f>+VLOOKUP(dHdcp[[#This Row],[Handicap]],'Categoría Hdcap'!$B$2:$E$7,4)</f>
        <v>3</v>
      </c>
      <c r="E1035" t="s">
        <v>74</v>
      </c>
      <c r="F1035" t="s">
        <v>1501</v>
      </c>
      <c r="G1035">
        <f>+IF(dHdcp[[#This Row],[Fecha]]=MAX(dHdcp[Fecha]),1,0)</f>
        <v>0</v>
      </c>
      <c r="H1035" t="str">
        <f>+dHdcp[[#This Row],[Maximo]]&amp;":"&amp;dHdcp[[#This Row],[Nombre]]</f>
        <v>0:Alfonso Zorrilla</v>
      </c>
      <c r="I1035" t="str">
        <f>+dHdcp[[#This Row],[Maximo]]&amp;":"&amp;_xlfn.XLOOKUP(dHdcp[[#This Row],[Nombre]],dJugador[Nombre],dJugador[Mote],"",0)</f>
        <v>0:A Zorrilla</v>
      </c>
      <c r="J1035" t="str">
        <f>+IF(dHdcp[[#This Row],[Maximo]]=0,"",_xlfn.RANK.EQ(dHdcp[[#This Row],[Handicap]],dHdcp[Handicap],1))</f>
        <v/>
      </c>
      <c r="K1035" t="str">
        <f>IFERROR(+_xlfn.RANK.EQ(dHdcp[[#This Row],[Ranking]],dHdcp[Ranking],1),"")</f>
        <v/>
      </c>
      <c r="M1035" t="str">
        <f>+dHdcp[[#This Row],[Fecha]]&amp;":"&amp;dHdcp[[#This Row],[Nombre]]</f>
        <v>44599:Alfonso Zorrilla</v>
      </c>
      <c r="N1035">
        <f>+COUNTIF(dHdcp[Columna1],dHdcp[[#This Row],[Columna1]])</f>
        <v>1</v>
      </c>
    </row>
    <row r="1036" spans="1:14">
      <c r="A1036" s="2">
        <v>44599</v>
      </c>
      <c r="B1036" s="13" t="s">
        <v>15</v>
      </c>
      <c r="C1036" s="51">
        <v>7.3</v>
      </c>
      <c r="D1036">
        <f>+VLOOKUP(dHdcp[[#This Row],[Handicap]],'Categoría Hdcap'!$B$2:$E$7,4)</f>
        <v>2</v>
      </c>
      <c r="E1036" t="s">
        <v>74</v>
      </c>
      <c r="F1036" t="s">
        <v>1502</v>
      </c>
      <c r="G1036">
        <f>+IF(dHdcp[[#This Row],[Fecha]]=MAX(dHdcp[Fecha]),1,0)</f>
        <v>0</v>
      </c>
      <c r="H1036" t="str">
        <f>+dHdcp[[#This Row],[Maximo]]&amp;":"&amp;dHdcp[[#This Row],[Nombre]]</f>
        <v>0:Alvaro Aguirre</v>
      </c>
      <c r="I1036" t="str">
        <f>+dHdcp[[#This Row],[Maximo]]&amp;":"&amp;_xlfn.XLOOKUP(dHdcp[[#This Row],[Nombre]],dJugador[Nombre],dJugador[Mote],"",0)</f>
        <v>0:Gifu</v>
      </c>
      <c r="J1036" t="str">
        <f>+IF(dHdcp[[#This Row],[Maximo]]=0,"",_xlfn.RANK.EQ(dHdcp[[#This Row],[Handicap]],dHdcp[Handicap],1))</f>
        <v/>
      </c>
      <c r="K1036" t="str">
        <f>IFERROR(+_xlfn.RANK.EQ(dHdcp[[#This Row],[Ranking]],dHdcp[Ranking],1),"")</f>
        <v/>
      </c>
      <c r="M1036" t="str">
        <f>+dHdcp[[#This Row],[Fecha]]&amp;":"&amp;dHdcp[[#This Row],[Nombre]]</f>
        <v>44599:Alvaro Aguirre</v>
      </c>
      <c r="N1036">
        <f>+COUNTIF(dHdcp[Columna1],dHdcp[[#This Row],[Columna1]])</f>
        <v>1</v>
      </c>
    </row>
    <row r="1037" spans="1:14">
      <c r="A1037" s="2">
        <v>44599</v>
      </c>
      <c r="B1037" t="s">
        <v>201</v>
      </c>
      <c r="C1037" s="51">
        <v>7.6</v>
      </c>
      <c r="D1037">
        <f>+VLOOKUP(dHdcp[[#This Row],[Handicap]],'Categoría Hdcap'!$B$2:$E$7,4)</f>
        <v>2</v>
      </c>
      <c r="E1037" t="s">
        <v>74</v>
      </c>
      <c r="F1037" t="s">
        <v>1503</v>
      </c>
      <c r="G1037">
        <f>+IF(dHdcp[[#This Row],[Fecha]]=MAX(dHdcp[Fecha]),1,0)</f>
        <v>0</v>
      </c>
      <c r="H1037" t="str">
        <f>+dHdcp[[#This Row],[Maximo]]&amp;":"&amp;dHdcp[[#This Row],[Nombre]]</f>
        <v>0:Alvaro Montoya</v>
      </c>
      <c r="I1037" t="str">
        <f>+dHdcp[[#This Row],[Maximo]]&amp;":"&amp;_xlfn.XLOOKUP(dHdcp[[#This Row],[Nombre]],dJugador[Nombre],dJugador[Mote],"",0)</f>
        <v>0:Monti</v>
      </c>
      <c r="J1037" t="str">
        <f>+IF(dHdcp[[#This Row],[Maximo]]=0,"",_xlfn.RANK.EQ(dHdcp[[#This Row],[Handicap]],dHdcp[Handicap],1))</f>
        <v/>
      </c>
      <c r="K1037" t="str">
        <f>IFERROR(+_xlfn.RANK.EQ(dHdcp[[#This Row],[Ranking]],dHdcp[Ranking],1),"")</f>
        <v/>
      </c>
      <c r="M1037" t="str">
        <f>+dHdcp[[#This Row],[Fecha]]&amp;":"&amp;dHdcp[[#This Row],[Nombre]]</f>
        <v>44599:Alvaro Montoya</v>
      </c>
      <c r="N1037">
        <f>+COUNTIF(dHdcp[Columna1],dHdcp[[#This Row],[Columna1]])</f>
        <v>1</v>
      </c>
    </row>
    <row r="1038" spans="1:14">
      <c r="A1038" s="2">
        <v>44599</v>
      </c>
      <c r="B1038" t="s">
        <v>25</v>
      </c>
      <c r="C1038" s="51">
        <v>13.1</v>
      </c>
      <c r="D1038">
        <f>+VLOOKUP(dHdcp[[#This Row],[Handicap]],'Categoría Hdcap'!$B$2:$E$7,4)</f>
        <v>3</v>
      </c>
      <c r="E1038" t="s">
        <v>74</v>
      </c>
      <c r="F1038" t="s">
        <v>1504</v>
      </c>
      <c r="G1038">
        <f>+IF(dHdcp[[#This Row],[Fecha]]=MAX(dHdcp[Fecha]),1,0)</f>
        <v>0</v>
      </c>
      <c r="H1038" t="str">
        <f>+dHdcp[[#This Row],[Maximo]]&amp;":"&amp;dHdcp[[#This Row],[Nombre]]</f>
        <v>0:Alvaro Nieto</v>
      </c>
      <c r="I1038" t="str">
        <f>+dHdcp[[#This Row],[Maximo]]&amp;":"&amp;_xlfn.XLOOKUP(dHdcp[[#This Row],[Nombre]],dJugador[Nombre],dJugador[Mote],"",0)</f>
        <v>0:Alvaro</v>
      </c>
      <c r="J1038" t="str">
        <f>+IF(dHdcp[[#This Row],[Maximo]]=0,"",_xlfn.RANK.EQ(dHdcp[[#This Row],[Handicap]],dHdcp[Handicap],1))</f>
        <v/>
      </c>
      <c r="K1038" t="str">
        <f>IFERROR(+_xlfn.RANK.EQ(dHdcp[[#This Row],[Ranking]],dHdcp[Ranking],1),"")</f>
        <v/>
      </c>
      <c r="M1038" t="str">
        <f>+dHdcp[[#This Row],[Fecha]]&amp;":"&amp;dHdcp[[#This Row],[Nombre]]</f>
        <v>44599:Alvaro Nieto</v>
      </c>
      <c r="N1038">
        <f>+COUNTIF(dHdcp[Columna1],dHdcp[[#This Row],[Columna1]])</f>
        <v>1</v>
      </c>
    </row>
    <row r="1039" spans="1:14">
      <c r="A1039" s="2">
        <v>44599</v>
      </c>
      <c r="B1039" t="s">
        <v>33</v>
      </c>
      <c r="C1039" s="51">
        <v>7.7</v>
      </c>
      <c r="D1039">
        <f>+VLOOKUP(dHdcp[[#This Row],[Handicap]],'Categoría Hdcap'!$B$2:$E$7,4)</f>
        <v>2</v>
      </c>
      <c r="E1039" t="s">
        <v>74</v>
      </c>
      <c r="F1039" t="s">
        <v>1505</v>
      </c>
      <c r="G1039">
        <f>+IF(dHdcp[[#This Row],[Fecha]]=MAX(dHdcp[Fecha]),1,0)</f>
        <v>0</v>
      </c>
      <c r="H1039" t="str">
        <f>+dHdcp[[#This Row],[Maximo]]&amp;":"&amp;dHdcp[[#This Row],[Nombre]]</f>
        <v>0:Angel Hernandez</v>
      </c>
      <c r="I1039" t="str">
        <f>+dHdcp[[#This Row],[Maximo]]&amp;":"&amp;_xlfn.XLOOKUP(dHdcp[[#This Row],[Nombre]],dJugador[Nombre],dJugador[Mote],"",0)</f>
        <v>0:Angel</v>
      </c>
      <c r="J1039" t="str">
        <f>+IF(dHdcp[[#This Row],[Maximo]]=0,"",_xlfn.RANK.EQ(dHdcp[[#This Row],[Handicap]],dHdcp[Handicap],1))</f>
        <v/>
      </c>
      <c r="K1039" t="str">
        <f>IFERROR(+_xlfn.RANK.EQ(dHdcp[[#This Row],[Ranking]],dHdcp[Ranking],1),"")</f>
        <v/>
      </c>
      <c r="M1039" t="str">
        <f>+dHdcp[[#This Row],[Fecha]]&amp;":"&amp;dHdcp[[#This Row],[Nombre]]</f>
        <v>44599:Angel Hernandez</v>
      </c>
      <c r="N1039">
        <f>+COUNTIF(dHdcp[Columna1],dHdcp[[#This Row],[Columna1]])</f>
        <v>1</v>
      </c>
    </row>
    <row r="1040" spans="1:14">
      <c r="A1040" s="2">
        <v>44599</v>
      </c>
      <c r="B1040" t="s">
        <v>30</v>
      </c>
      <c r="C1040" s="51">
        <v>12.2</v>
      </c>
      <c r="D1040">
        <f>+VLOOKUP(dHdcp[[#This Row],[Handicap]],'Categoría Hdcap'!$B$2:$E$7,4)</f>
        <v>3</v>
      </c>
      <c r="E1040" t="s">
        <v>74</v>
      </c>
      <c r="F1040" t="s">
        <v>1506</v>
      </c>
      <c r="G1040">
        <f>+IF(dHdcp[[#This Row],[Fecha]]=MAX(dHdcp[Fecha]),1,0)</f>
        <v>0</v>
      </c>
      <c r="H1040" t="str">
        <f>+dHdcp[[#This Row],[Maximo]]&amp;":"&amp;dHdcp[[#This Row],[Nombre]]</f>
        <v>0:David Sequera</v>
      </c>
      <c r="I1040" t="str">
        <f>+dHdcp[[#This Row],[Maximo]]&amp;":"&amp;_xlfn.XLOOKUP(dHdcp[[#This Row],[Nombre]],dJugador[Nombre],dJugador[Mote],"",0)</f>
        <v>0:David</v>
      </c>
      <c r="J1040" t="str">
        <f>+IF(dHdcp[[#This Row],[Maximo]]=0,"",_xlfn.RANK.EQ(dHdcp[[#This Row],[Handicap]],dHdcp[Handicap],1))</f>
        <v/>
      </c>
      <c r="K1040" t="str">
        <f>IFERROR(+_xlfn.RANK.EQ(dHdcp[[#This Row],[Ranking]],dHdcp[Ranking],1),"")</f>
        <v/>
      </c>
      <c r="M1040" t="str">
        <f>+dHdcp[[#This Row],[Fecha]]&amp;":"&amp;dHdcp[[#This Row],[Nombre]]</f>
        <v>44599:David Sequera</v>
      </c>
      <c r="N1040">
        <f>+COUNTIF(dHdcp[Columna1],dHdcp[[#This Row],[Columna1]])</f>
        <v>1</v>
      </c>
    </row>
    <row r="1041" spans="1:14">
      <c r="A1041" s="2">
        <v>44599</v>
      </c>
      <c r="B1041" t="s">
        <v>248</v>
      </c>
      <c r="C1041" s="51">
        <v>19.3</v>
      </c>
      <c r="D1041">
        <f>+VLOOKUP(dHdcp[[#This Row],[Handicap]],'Categoría Hdcap'!$B$2:$E$7,4)</f>
        <v>4</v>
      </c>
      <c r="E1041" t="s">
        <v>74</v>
      </c>
      <c r="F1041" t="s">
        <v>1507</v>
      </c>
      <c r="G1041">
        <f>+IF(dHdcp[[#This Row],[Fecha]]=MAX(dHdcp[Fecha]),1,0)</f>
        <v>0</v>
      </c>
      <c r="H1041" t="str">
        <f>+dHdcp[[#This Row],[Maximo]]&amp;":"&amp;dHdcp[[#This Row],[Nombre]]</f>
        <v>0:Enrique Gonzalez R</v>
      </c>
      <c r="I1041" t="str">
        <f>+dHdcp[[#This Row],[Maximo]]&amp;":"&amp;_xlfn.XLOOKUP(dHdcp[[#This Row],[Nombre]],dJugador[Nombre],dJugador[Mote],"",0)</f>
        <v>0:Enrique</v>
      </c>
      <c r="J1041" t="str">
        <f>+IF(dHdcp[[#This Row],[Maximo]]=0,"",_xlfn.RANK.EQ(dHdcp[[#This Row],[Handicap]],dHdcp[Handicap],1))</f>
        <v/>
      </c>
      <c r="K1041" t="str">
        <f>IFERROR(+_xlfn.RANK.EQ(dHdcp[[#This Row],[Ranking]],dHdcp[Ranking],1),"")</f>
        <v/>
      </c>
      <c r="M1041" t="str">
        <f>+dHdcp[[#This Row],[Fecha]]&amp;":"&amp;dHdcp[[#This Row],[Nombre]]</f>
        <v>44599:Enrique Gonzalez R</v>
      </c>
      <c r="N1041">
        <f>+COUNTIF(dHdcp[Columna1],dHdcp[[#This Row],[Columna1]])</f>
        <v>1</v>
      </c>
    </row>
    <row r="1042" spans="1:14">
      <c r="A1042" s="2">
        <v>44599</v>
      </c>
      <c r="B1042" t="s">
        <v>12</v>
      </c>
      <c r="C1042" s="51">
        <v>14.2</v>
      </c>
      <c r="D1042">
        <f>+VLOOKUP(dHdcp[[#This Row],[Handicap]],'Categoría Hdcap'!$B$2:$E$7,4)</f>
        <v>3</v>
      </c>
      <c r="E1042" t="s">
        <v>74</v>
      </c>
      <c r="F1042" t="s">
        <v>1508</v>
      </c>
      <c r="G1042">
        <f>+IF(dHdcp[[#This Row],[Fecha]]=MAX(dHdcp[Fecha]),1,0)</f>
        <v>0</v>
      </c>
      <c r="H1042" t="str">
        <f>+dHdcp[[#This Row],[Maximo]]&amp;":"&amp;dHdcp[[#This Row],[Nombre]]</f>
        <v>0:Francisco Alvarez</v>
      </c>
      <c r="I1042" t="str">
        <f>+dHdcp[[#This Row],[Maximo]]&amp;":"&amp;_xlfn.XLOOKUP(dHdcp[[#This Row],[Nombre]],dJugador[Nombre],dJugador[Mote],"",0)</f>
        <v>0:Paco</v>
      </c>
      <c r="J1042" t="str">
        <f>+IF(dHdcp[[#This Row],[Maximo]]=0,"",_xlfn.RANK.EQ(dHdcp[[#This Row],[Handicap]],dHdcp[Handicap],1))</f>
        <v/>
      </c>
      <c r="K1042" t="str">
        <f>IFERROR(+_xlfn.RANK.EQ(dHdcp[[#This Row],[Ranking]],dHdcp[Ranking],1),"")</f>
        <v/>
      </c>
      <c r="M1042" t="str">
        <f>+dHdcp[[#This Row],[Fecha]]&amp;":"&amp;dHdcp[[#This Row],[Nombre]]</f>
        <v>44599:Francisco Alvarez</v>
      </c>
      <c r="N1042">
        <f>+COUNTIF(dHdcp[Columna1],dHdcp[[#This Row],[Columna1]])</f>
        <v>1</v>
      </c>
    </row>
    <row r="1043" spans="1:14">
      <c r="A1043" s="2">
        <v>44599</v>
      </c>
      <c r="B1043" t="s">
        <v>49</v>
      </c>
      <c r="C1043" s="51">
        <v>12.3</v>
      </c>
      <c r="D1043">
        <f>+VLOOKUP(dHdcp[[#This Row],[Handicap]],'Categoría Hdcap'!$B$2:$E$7,4)</f>
        <v>3</v>
      </c>
      <c r="E1043" t="s">
        <v>74</v>
      </c>
      <c r="F1043" t="s">
        <v>1509</v>
      </c>
      <c r="G1043">
        <f>+IF(dHdcp[[#This Row],[Fecha]]=MAX(dHdcp[Fecha]),1,0)</f>
        <v>0</v>
      </c>
      <c r="H1043" t="str">
        <f>+dHdcp[[#This Row],[Maximo]]&amp;":"&amp;dHdcp[[#This Row],[Nombre]]</f>
        <v>0:Francisco Hidalgo</v>
      </c>
      <c r="I1043" t="str">
        <f>+dHdcp[[#This Row],[Maximo]]&amp;":"&amp;_xlfn.XLOOKUP(dHdcp[[#This Row],[Nombre]],dJugador[Nombre],dJugador[Mote],"",0)</f>
        <v>0:Fran</v>
      </c>
      <c r="J1043" t="str">
        <f>+IF(dHdcp[[#This Row],[Maximo]]=0,"",_xlfn.RANK.EQ(dHdcp[[#This Row],[Handicap]],dHdcp[Handicap],1))</f>
        <v/>
      </c>
      <c r="K1043" t="str">
        <f>IFERROR(+_xlfn.RANK.EQ(dHdcp[[#This Row],[Ranking]],dHdcp[Ranking],1),"")</f>
        <v/>
      </c>
      <c r="M1043" t="str">
        <f>+dHdcp[[#This Row],[Fecha]]&amp;":"&amp;dHdcp[[#This Row],[Nombre]]</f>
        <v>44599:Francisco Hidalgo</v>
      </c>
      <c r="N1043">
        <f>+COUNTIF(dHdcp[Columna1],dHdcp[[#This Row],[Columna1]])</f>
        <v>1</v>
      </c>
    </row>
    <row r="1044" spans="1:14">
      <c r="A1044" s="2">
        <v>44599</v>
      </c>
      <c r="B1044" t="s">
        <v>207</v>
      </c>
      <c r="C1044" s="51">
        <v>14.4</v>
      </c>
      <c r="D1044">
        <f>+VLOOKUP(dHdcp[[#This Row],[Handicap]],'Categoría Hdcap'!$B$2:$E$7,4)</f>
        <v>3</v>
      </c>
      <c r="E1044" t="s">
        <v>74</v>
      </c>
      <c r="F1044" t="s">
        <v>1510</v>
      </c>
      <c r="G1044">
        <f>+IF(dHdcp[[#This Row],[Fecha]]=MAX(dHdcp[Fecha]),1,0)</f>
        <v>0</v>
      </c>
      <c r="H1044" t="str">
        <f>+dHdcp[[#This Row],[Maximo]]&amp;":"&amp;dHdcp[[#This Row],[Nombre]]</f>
        <v>0:Franck Benouniche</v>
      </c>
      <c r="I1044" t="str">
        <f>+dHdcp[[#This Row],[Maximo]]&amp;":"&amp;_xlfn.XLOOKUP(dHdcp[[#This Row],[Nombre]],dJugador[Nombre],dJugador[Mote],"",0)</f>
        <v>0:Franck</v>
      </c>
      <c r="J1044" t="str">
        <f>+IF(dHdcp[[#This Row],[Maximo]]=0,"",_xlfn.RANK.EQ(dHdcp[[#This Row],[Handicap]],dHdcp[Handicap],1))</f>
        <v/>
      </c>
      <c r="K1044" t="str">
        <f>IFERROR(+_xlfn.RANK.EQ(dHdcp[[#This Row],[Ranking]],dHdcp[Ranking],1),"")</f>
        <v/>
      </c>
      <c r="M1044" t="str">
        <f>+dHdcp[[#This Row],[Fecha]]&amp;":"&amp;dHdcp[[#This Row],[Nombre]]</f>
        <v>44599:Franck Benouniche</v>
      </c>
      <c r="N1044">
        <f>+COUNTIF(dHdcp[Columna1],dHdcp[[#This Row],[Columna1]])</f>
        <v>1</v>
      </c>
    </row>
    <row r="1045" spans="1:14">
      <c r="A1045" s="2">
        <v>44599</v>
      </c>
      <c r="B1045" t="s">
        <v>35</v>
      </c>
      <c r="C1045" s="51">
        <v>18.5</v>
      </c>
      <c r="D1045">
        <f>+VLOOKUP(dHdcp[[#This Row],[Handicap]],'Categoría Hdcap'!$B$2:$E$7,4)</f>
        <v>4</v>
      </c>
      <c r="E1045" t="s">
        <v>74</v>
      </c>
      <c r="F1045" t="s">
        <v>1511</v>
      </c>
      <c r="G1045">
        <f>+IF(dHdcp[[#This Row],[Fecha]]=MAX(dHdcp[Fecha]),1,0)</f>
        <v>0</v>
      </c>
      <c r="H1045" t="str">
        <f>+dHdcp[[#This Row],[Maximo]]&amp;":"&amp;dHdcp[[#This Row],[Nombre]]</f>
        <v>0:GLEZ JUAN JOSÉ</v>
      </c>
      <c r="I1045" t="str">
        <f>+dHdcp[[#This Row],[Maximo]]&amp;":"&amp;_xlfn.XLOOKUP(dHdcp[[#This Row],[Nombre]],dJugador[Nombre],dJugador[Mote],"",0)</f>
        <v>0:Juanjo</v>
      </c>
      <c r="J1045" t="str">
        <f>+IF(dHdcp[[#This Row],[Maximo]]=0,"",_xlfn.RANK.EQ(dHdcp[[#This Row],[Handicap]],dHdcp[Handicap],1))</f>
        <v/>
      </c>
      <c r="K1045" t="str">
        <f>IFERROR(+_xlfn.RANK.EQ(dHdcp[[#This Row],[Ranking]],dHdcp[Ranking],1),"")</f>
        <v/>
      </c>
      <c r="M1045" t="str">
        <f>+dHdcp[[#This Row],[Fecha]]&amp;":"&amp;dHdcp[[#This Row],[Nombre]]</f>
        <v>44599:GLEZ JUAN JOSÉ</v>
      </c>
      <c r="N1045">
        <f>+COUNTIF(dHdcp[Columna1],dHdcp[[#This Row],[Columna1]])</f>
        <v>1</v>
      </c>
    </row>
    <row r="1046" spans="1:14">
      <c r="A1046" s="2">
        <v>44599</v>
      </c>
      <c r="B1046" t="s">
        <v>6</v>
      </c>
      <c r="C1046" s="51">
        <v>8.3000000000000007</v>
      </c>
      <c r="D1046">
        <f>+VLOOKUP(dHdcp[[#This Row],[Handicap]],'Categoría Hdcap'!$B$2:$E$7,4)</f>
        <v>2</v>
      </c>
      <c r="E1046" t="s">
        <v>74</v>
      </c>
      <c r="F1046" t="s">
        <v>1512</v>
      </c>
      <c r="G1046">
        <f>+IF(dHdcp[[#This Row],[Fecha]]=MAX(dHdcp[Fecha]),1,0)</f>
        <v>0</v>
      </c>
      <c r="H1046" t="str">
        <f>+dHdcp[[#This Row],[Maximo]]&amp;":"&amp;dHdcp[[#This Row],[Nombre]]</f>
        <v>0:Ignacio Cadarso</v>
      </c>
      <c r="I1046" t="str">
        <f>+dHdcp[[#This Row],[Maximo]]&amp;":"&amp;_xlfn.XLOOKUP(dHdcp[[#This Row],[Nombre]],dJugador[Nombre],dJugador[Mote],"",0)</f>
        <v>0:Ignacio</v>
      </c>
      <c r="J1046" t="str">
        <f>+IF(dHdcp[[#This Row],[Maximo]]=0,"",_xlfn.RANK.EQ(dHdcp[[#This Row],[Handicap]],dHdcp[Handicap],1))</f>
        <v/>
      </c>
      <c r="K1046" t="str">
        <f>IFERROR(+_xlfn.RANK.EQ(dHdcp[[#This Row],[Ranking]],dHdcp[Ranking],1),"")</f>
        <v/>
      </c>
      <c r="M1046" t="str">
        <f>+dHdcp[[#This Row],[Fecha]]&amp;":"&amp;dHdcp[[#This Row],[Nombre]]</f>
        <v>44599:Ignacio Cadarso</v>
      </c>
      <c r="N1046">
        <f>+COUNTIF(dHdcp[Columna1],dHdcp[[#This Row],[Columna1]])</f>
        <v>1</v>
      </c>
    </row>
    <row r="1047" spans="1:14">
      <c r="A1047" s="2">
        <v>44599</v>
      </c>
      <c r="B1047" t="s">
        <v>23</v>
      </c>
      <c r="C1047" s="51">
        <v>17.899999999999999</v>
      </c>
      <c r="D1047">
        <f>+VLOOKUP(dHdcp[[#This Row],[Handicap]],'Categoría Hdcap'!$B$2:$E$7,4)</f>
        <v>3</v>
      </c>
      <c r="E1047" t="s">
        <v>74</v>
      </c>
      <c r="F1047" t="s">
        <v>1513</v>
      </c>
      <c r="G1047">
        <f>+IF(dHdcp[[#This Row],[Fecha]]=MAX(dHdcp[Fecha]),1,0)</f>
        <v>0</v>
      </c>
      <c r="H1047" t="str">
        <f>+dHdcp[[#This Row],[Maximo]]&amp;":"&amp;dHdcp[[#This Row],[Nombre]]</f>
        <v>0:J. Enrique Gonzalez</v>
      </c>
      <c r="I1047" t="str">
        <f>+dHdcp[[#This Row],[Maximo]]&amp;":"&amp;_xlfn.XLOOKUP(dHdcp[[#This Row],[Nombre]],dJugador[Nombre],dJugador[Mote],"",0)</f>
        <v>0:Kike</v>
      </c>
      <c r="J1047" t="str">
        <f>+IF(dHdcp[[#This Row],[Maximo]]=0,"",_xlfn.RANK.EQ(dHdcp[[#This Row],[Handicap]],dHdcp[Handicap],1))</f>
        <v/>
      </c>
      <c r="K1047" t="str">
        <f>IFERROR(+_xlfn.RANK.EQ(dHdcp[[#This Row],[Ranking]],dHdcp[Ranking],1),"")</f>
        <v/>
      </c>
      <c r="M1047" t="str">
        <f>+dHdcp[[#This Row],[Fecha]]&amp;":"&amp;dHdcp[[#This Row],[Nombre]]</f>
        <v>44599:J. Enrique Gonzalez</v>
      </c>
      <c r="N1047">
        <f>+COUNTIF(dHdcp[Columna1],dHdcp[[#This Row],[Columna1]])</f>
        <v>1</v>
      </c>
    </row>
    <row r="1048" spans="1:14">
      <c r="A1048" s="2">
        <v>44599</v>
      </c>
      <c r="B1048" t="s">
        <v>46</v>
      </c>
      <c r="C1048" s="51">
        <v>16.8</v>
      </c>
      <c r="D1048">
        <f>+VLOOKUP(dHdcp[[#This Row],[Handicap]],'Categoría Hdcap'!$B$2:$E$7,4)</f>
        <v>3</v>
      </c>
      <c r="E1048" t="s">
        <v>74</v>
      </c>
      <c r="F1048" t="s">
        <v>1514</v>
      </c>
      <c r="G1048">
        <f>+IF(dHdcp[[#This Row],[Fecha]]=MAX(dHdcp[Fecha]),1,0)</f>
        <v>0</v>
      </c>
      <c r="H1048" t="str">
        <f>+dHdcp[[#This Row],[Maximo]]&amp;":"&amp;dHdcp[[#This Row],[Nombre]]</f>
        <v>0:Javier Cervera</v>
      </c>
      <c r="I1048" t="str">
        <f>+dHdcp[[#This Row],[Maximo]]&amp;":"&amp;_xlfn.XLOOKUP(dHdcp[[#This Row],[Nombre]],dJugador[Nombre],dJugador[Mote],"",0)</f>
        <v>0:Virus</v>
      </c>
      <c r="J1048" t="str">
        <f>+IF(dHdcp[[#This Row],[Maximo]]=0,"",_xlfn.RANK.EQ(dHdcp[[#This Row],[Handicap]],dHdcp[Handicap],1))</f>
        <v/>
      </c>
      <c r="K1048" t="str">
        <f>IFERROR(+_xlfn.RANK.EQ(dHdcp[[#This Row],[Ranking]],dHdcp[Ranking],1),"")</f>
        <v/>
      </c>
      <c r="M1048" t="str">
        <f>+dHdcp[[#This Row],[Fecha]]&amp;":"&amp;dHdcp[[#This Row],[Nombre]]</f>
        <v>44599:Javier Cervera</v>
      </c>
      <c r="N1048">
        <f>+COUNTIF(dHdcp[Columna1],dHdcp[[#This Row],[Columna1]])</f>
        <v>1</v>
      </c>
    </row>
    <row r="1049" spans="1:14">
      <c r="A1049" s="2">
        <v>44599</v>
      </c>
      <c r="B1049" t="s">
        <v>225</v>
      </c>
      <c r="C1049" s="51">
        <v>10.8</v>
      </c>
      <c r="D1049">
        <f>+VLOOKUP(dHdcp[[#This Row],[Handicap]],'Categoría Hdcap'!$B$2:$E$7,4)</f>
        <v>2</v>
      </c>
      <c r="E1049" t="s">
        <v>74</v>
      </c>
      <c r="F1049" t="s">
        <v>1515</v>
      </c>
      <c r="G1049">
        <f>+IF(dHdcp[[#This Row],[Fecha]]=MAX(dHdcp[Fecha]),1,0)</f>
        <v>0</v>
      </c>
      <c r="H1049" t="str">
        <f>+dHdcp[[#This Row],[Maximo]]&amp;":"&amp;dHdcp[[#This Row],[Nombre]]</f>
        <v>0:Javier Chiralt</v>
      </c>
      <c r="I1049" t="str">
        <f>+dHdcp[[#This Row],[Maximo]]&amp;":"&amp;_xlfn.XLOOKUP(dHdcp[[#This Row],[Nombre]],dJugador[Nombre],dJugador[Mote],"",0)</f>
        <v>0:Chiralt</v>
      </c>
      <c r="J1049" t="str">
        <f>+IF(dHdcp[[#This Row],[Maximo]]=0,"",_xlfn.RANK.EQ(dHdcp[[#This Row],[Handicap]],dHdcp[Handicap],1))</f>
        <v/>
      </c>
      <c r="K1049" t="str">
        <f>IFERROR(+_xlfn.RANK.EQ(dHdcp[[#This Row],[Ranking]],dHdcp[Ranking],1),"")</f>
        <v/>
      </c>
      <c r="M1049" t="str">
        <f>+dHdcp[[#This Row],[Fecha]]&amp;":"&amp;dHdcp[[#This Row],[Nombre]]</f>
        <v>44599:Javier Chiralt</v>
      </c>
      <c r="N1049">
        <f>+COUNTIF(dHdcp[Columna1],dHdcp[[#This Row],[Columna1]])</f>
        <v>1</v>
      </c>
    </row>
    <row r="1050" spans="1:14">
      <c r="A1050" s="2">
        <v>44599</v>
      </c>
      <c r="B1050" t="s">
        <v>20</v>
      </c>
      <c r="C1050" s="51">
        <v>16.399999999999999</v>
      </c>
      <c r="D1050">
        <f>+VLOOKUP(dHdcp[[#This Row],[Handicap]],'Categoría Hdcap'!$B$2:$E$7,4)</f>
        <v>3</v>
      </c>
      <c r="E1050" t="s">
        <v>74</v>
      </c>
      <c r="F1050" t="s">
        <v>1516</v>
      </c>
      <c r="G1050">
        <f>+IF(dHdcp[[#This Row],[Fecha]]=MAX(dHdcp[Fecha]),1,0)</f>
        <v>0</v>
      </c>
      <c r="H1050" t="str">
        <f>+dHdcp[[#This Row],[Maximo]]&amp;":"&amp;dHdcp[[#This Row],[Nombre]]</f>
        <v>0:Javier Gonzalez Salvador</v>
      </c>
      <c r="I1050" t="str">
        <f>+dHdcp[[#This Row],[Maximo]]&amp;":"&amp;_xlfn.XLOOKUP(dHdcp[[#This Row],[Nombre]],dJugador[Nombre],dJugador[Mote],"",0)</f>
        <v>0:Javi</v>
      </c>
      <c r="J1050" t="str">
        <f>+IF(dHdcp[[#This Row],[Maximo]]=0,"",_xlfn.RANK.EQ(dHdcp[[#This Row],[Handicap]],dHdcp[Handicap],1))</f>
        <v/>
      </c>
      <c r="K1050" t="str">
        <f>IFERROR(+_xlfn.RANK.EQ(dHdcp[[#This Row],[Ranking]],dHdcp[Ranking],1),"")</f>
        <v/>
      </c>
      <c r="M1050" t="str">
        <f>+dHdcp[[#This Row],[Fecha]]&amp;":"&amp;dHdcp[[#This Row],[Nombre]]</f>
        <v>44599:Javier Gonzalez Salvador</v>
      </c>
      <c r="N1050">
        <f>+COUNTIF(dHdcp[Columna1],dHdcp[[#This Row],[Columna1]])</f>
        <v>1</v>
      </c>
    </row>
    <row r="1051" spans="1:14">
      <c r="A1051" s="2">
        <v>44599</v>
      </c>
      <c r="B1051" t="s">
        <v>217</v>
      </c>
      <c r="C1051" s="51">
        <v>24.5</v>
      </c>
      <c r="D1051">
        <f>+VLOOKUP(dHdcp[[#This Row],[Handicap]],'Categoría Hdcap'!$B$2:$E$7,4)</f>
        <v>4</v>
      </c>
      <c r="E1051" t="s">
        <v>74</v>
      </c>
      <c r="F1051" t="s">
        <v>1517</v>
      </c>
      <c r="G1051">
        <f>+IF(dHdcp[[#This Row],[Fecha]]=MAX(dHdcp[Fecha]),1,0)</f>
        <v>0</v>
      </c>
      <c r="H1051" t="str">
        <f>+dHdcp[[#This Row],[Maximo]]&amp;":"&amp;dHdcp[[#This Row],[Nombre]]</f>
        <v>0:Javier Lopez Gullón</v>
      </c>
      <c r="I1051" t="str">
        <f>+dHdcp[[#This Row],[Maximo]]&amp;":"&amp;_xlfn.XLOOKUP(dHdcp[[#This Row],[Nombre]],dJugador[Nombre],dJugador[Mote],"",0)</f>
        <v>0:Cuñao</v>
      </c>
      <c r="J1051" t="str">
        <f>+IF(dHdcp[[#This Row],[Maximo]]=0,"",_xlfn.RANK.EQ(dHdcp[[#This Row],[Handicap]],dHdcp[Handicap],1))</f>
        <v/>
      </c>
      <c r="K1051" t="str">
        <f>IFERROR(+_xlfn.RANK.EQ(dHdcp[[#This Row],[Ranking]],dHdcp[Ranking],1),"")</f>
        <v/>
      </c>
      <c r="M1051" t="str">
        <f>+dHdcp[[#This Row],[Fecha]]&amp;":"&amp;dHdcp[[#This Row],[Nombre]]</f>
        <v>44599:Javier Lopez Gullón</v>
      </c>
      <c r="N1051">
        <f>+COUNTIF(dHdcp[Columna1],dHdcp[[#This Row],[Columna1]])</f>
        <v>1</v>
      </c>
    </row>
    <row r="1052" spans="1:14">
      <c r="A1052" s="2">
        <v>44599</v>
      </c>
      <c r="B1052" t="s">
        <v>41</v>
      </c>
      <c r="C1052" s="51">
        <v>25.6</v>
      </c>
      <c r="D1052">
        <f>+VLOOKUP(dHdcp[[#This Row],[Handicap]],'Categoría Hdcap'!$B$2:$E$7,4)</f>
        <v>4</v>
      </c>
      <c r="E1052" t="s">
        <v>74</v>
      </c>
      <c r="F1052" t="s">
        <v>1518</v>
      </c>
      <c r="G1052">
        <f>+IF(dHdcp[[#This Row],[Fecha]]=MAX(dHdcp[Fecha]),1,0)</f>
        <v>0</v>
      </c>
      <c r="H1052" t="str">
        <f>+dHdcp[[#This Row],[Maximo]]&amp;":"&amp;dHdcp[[#This Row],[Nombre]]</f>
        <v>0:Jesus Touceda</v>
      </c>
      <c r="I1052" t="str">
        <f>+dHdcp[[#This Row],[Maximo]]&amp;":"&amp;_xlfn.XLOOKUP(dHdcp[[#This Row],[Nombre]],dJugador[Nombre],dJugador[Mote],"",0)</f>
        <v>0:Jesús</v>
      </c>
      <c r="J1052" t="str">
        <f>+IF(dHdcp[[#This Row],[Maximo]]=0,"",_xlfn.RANK.EQ(dHdcp[[#This Row],[Handicap]],dHdcp[Handicap],1))</f>
        <v/>
      </c>
      <c r="K1052" t="str">
        <f>IFERROR(+_xlfn.RANK.EQ(dHdcp[[#This Row],[Ranking]],dHdcp[Ranking],1),"")</f>
        <v/>
      </c>
      <c r="M1052" t="str">
        <f>+dHdcp[[#This Row],[Fecha]]&amp;":"&amp;dHdcp[[#This Row],[Nombre]]</f>
        <v>44599:Jesus Touceda</v>
      </c>
      <c r="N1052">
        <f>+COUNTIF(dHdcp[Columna1],dHdcp[[#This Row],[Columna1]])</f>
        <v>1</v>
      </c>
    </row>
    <row r="1053" spans="1:14">
      <c r="A1053" s="2">
        <v>44599</v>
      </c>
      <c r="B1053" t="s">
        <v>18</v>
      </c>
      <c r="C1053" s="51">
        <v>7.2</v>
      </c>
      <c r="D1053">
        <f>+VLOOKUP(dHdcp[[#This Row],[Handicap]],'Categoría Hdcap'!$B$2:$E$7,4)</f>
        <v>2</v>
      </c>
      <c r="E1053" t="s">
        <v>74</v>
      </c>
      <c r="F1053" t="s">
        <v>1519</v>
      </c>
      <c r="G1053">
        <f>+IF(dHdcp[[#This Row],[Fecha]]=MAX(dHdcp[Fecha]),1,0)</f>
        <v>0</v>
      </c>
      <c r="H1053" t="str">
        <f>+dHdcp[[#This Row],[Maximo]]&amp;":"&amp;dHdcp[[#This Row],[Nombre]]</f>
        <v>0:José Pablo Guil</v>
      </c>
      <c r="I1053" t="str">
        <f>+dHdcp[[#This Row],[Maximo]]&amp;":"&amp;_xlfn.XLOOKUP(dHdcp[[#This Row],[Nombre]],dJugador[Nombre],dJugador[Mote],"",0)</f>
        <v>0:JP</v>
      </c>
      <c r="J1053" t="str">
        <f>+IF(dHdcp[[#This Row],[Maximo]]=0,"",_xlfn.RANK.EQ(dHdcp[[#This Row],[Handicap]],dHdcp[Handicap],1))</f>
        <v/>
      </c>
      <c r="K1053" t="str">
        <f>IFERROR(+_xlfn.RANK.EQ(dHdcp[[#This Row],[Ranking]],dHdcp[Ranking],1),"")</f>
        <v/>
      </c>
      <c r="M1053" t="str">
        <f>+dHdcp[[#This Row],[Fecha]]&amp;":"&amp;dHdcp[[#This Row],[Nombre]]</f>
        <v>44599:José Pablo Guil</v>
      </c>
      <c r="N1053">
        <f>+COUNTIF(dHdcp[Columna1],dHdcp[[#This Row],[Columna1]])</f>
        <v>1</v>
      </c>
    </row>
    <row r="1054" spans="1:14">
      <c r="A1054" s="2">
        <v>44599</v>
      </c>
      <c r="B1054" t="s">
        <v>43</v>
      </c>
      <c r="C1054" s="51">
        <v>18.5</v>
      </c>
      <c r="D1054">
        <f>+VLOOKUP(dHdcp[[#This Row],[Handicap]],'Categoría Hdcap'!$B$2:$E$7,4)</f>
        <v>4</v>
      </c>
      <c r="E1054" t="s">
        <v>74</v>
      </c>
      <c r="F1054" t="s">
        <v>1520</v>
      </c>
      <c r="G1054">
        <f>+IF(dHdcp[[#This Row],[Fecha]]=MAX(dHdcp[Fecha]),1,0)</f>
        <v>0</v>
      </c>
      <c r="H1054" t="str">
        <f>+dHdcp[[#This Row],[Maximo]]&amp;":"&amp;dHdcp[[#This Row],[Nombre]]</f>
        <v>0:Luis Escudero</v>
      </c>
      <c r="I1054" t="str">
        <f>+dHdcp[[#This Row],[Maximo]]&amp;":"&amp;_xlfn.XLOOKUP(dHdcp[[#This Row],[Nombre]],dJugador[Nombre],dJugador[Mote],"",0)</f>
        <v>0:Lucho</v>
      </c>
      <c r="J1054" t="str">
        <f>+IF(dHdcp[[#This Row],[Maximo]]=0,"",_xlfn.RANK.EQ(dHdcp[[#This Row],[Handicap]],dHdcp[Handicap],1))</f>
        <v/>
      </c>
      <c r="K1054" t="str">
        <f>IFERROR(+_xlfn.RANK.EQ(dHdcp[[#This Row],[Ranking]],dHdcp[Ranking],1),"")</f>
        <v/>
      </c>
      <c r="M1054" t="str">
        <f>+dHdcp[[#This Row],[Fecha]]&amp;":"&amp;dHdcp[[#This Row],[Nombre]]</f>
        <v>44599:Luis Escudero</v>
      </c>
      <c r="N1054">
        <f>+COUNTIF(dHdcp[Columna1],dHdcp[[#This Row],[Columna1]])</f>
        <v>1</v>
      </c>
    </row>
    <row r="1055" spans="1:14">
      <c r="A1055" s="2">
        <v>44599</v>
      </c>
      <c r="B1055" s="10" t="s">
        <v>135</v>
      </c>
      <c r="C1055" s="53">
        <v>23.8</v>
      </c>
      <c r="D1055" s="10">
        <f>+VLOOKUP(dHdcp[[#This Row],[Handicap]],'Categoría Hdcap'!$B$2:$E$7,4)</f>
        <v>4</v>
      </c>
      <c r="E1055" s="10" t="s">
        <v>74</v>
      </c>
      <c r="F1055" s="10" t="s">
        <v>1521</v>
      </c>
      <c r="G1055">
        <f>+IF(dHdcp[[#This Row],[Fecha]]=MAX(dHdcp[Fecha]),1,0)</f>
        <v>0</v>
      </c>
      <c r="H1055" t="str">
        <f>+dHdcp[[#This Row],[Maximo]]&amp;":"&amp;dHdcp[[#This Row],[Nombre]]</f>
        <v>0:Miche Lopez</v>
      </c>
      <c r="I1055" t="str">
        <f>+dHdcp[[#This Row],[Maximo]]&amp;":"&amp;_xlfn.XLOOKUP(dHdcp[[#This Row],[Nombre]],dJugador[Nombre],dJugador[Mote],"",0)</f>
        <v>0:Miche</v>
      </c>
      <c r="J1055" t="str">
        <f>+IF(dHdcp[[#This Row],[Maximo]]=0,"",_xlfn.RANK.EQ(dHdcp[[#This Row],[Handicap]],dHdcp[Handicap],1))</f>
        <v/>
      </c>
      <c r="K1055" t="str">
        <f>IFERROR(+_xlfn.RANK.EQ(dHdcp[[#This Row],[Ranking]],dHdcp[Ranking],1),"")</f>
        <v/>
      </c>
      <c r="M1055" t="str">
        <f>+dHdcp[[#This Row],[Fecha]]&amp;":"&amp;dHdcp[[#This Row],[Nombre]]</f>
        <v>44599:Miche Lopez</v>
      </c>
      <c r="N1055">
        <f>+COUNTIF(dHdcp[Columna1],dHdcp[[#This Row],[Columna1]])</f>
        <v>1</v>
      </c>
    </row>
    <row r="1056" spans="1:14">
      <c r="A1056" s="2">
        <v>44599</v>
      </c>
      <c r="B1056" t="s">
        <v>51</v>
      </c>
      <c r="C1056" s="51">
        <v>-0.9</v>
      </c>
      <c r="D1056">
        <f>+VLOOKUP(dHdcp[[#This Row],[Handicap]],'Categoría Hdcap'!$B$2:$E$7,4)</f>
        <v>1</v>
      </c>
      <c r="E1056" t="s">
        <v>74</v>
      </c>
      <c r="F1056" t="s">
        <v>1522</v>
      </c>
      <c r="G1056">
        <f>+IF(dHdcp[[#This Row],[Fecha]]=MAX(dHdcp[Fecha]),1,0)</f>
        <v>0</v>
      </c>
      <c r="H1056" t="str">
        <f>+dHdcp[[#This Row],[Maximo]]&amp;":"&amp;dHdcp[[#This Row],[Nombre]]</f>
        <v>0:Miguel Diaz Del Moral</v>
      </c>
      <c r="I1056" t="str">
        <f>+dHdcp[[#This Row],[Maximo]]&amp;":"&amp;_xlfn.XLOOKUP(dHdcp[[#This Row],[Nombre]],dJugador[Nombre],dJugador[Mote],"",0)</f>
        <v>0:Cañita</v>
      </c>
      <c r="J1056" t="str">
        <f>+IF(dHdcp[[#This Row],[Maximo]]=0,"",_xlfn.RANK.EQ(dHdcp[[#This Row],[Handicap]],dHdcp[Handicap],1))</f>
        <v/>
      </c>
      <c r="K1056" t="str">
        <f>IFERROR(+_xlfn.RANK.EQ(dHdcp[[#This Row],[Ranking]],dHdcp[Ranking],1),"")</f>
        <v/>
      </c>
      <c r="M1056" t="str">
        <f>+dHdcp[[#This Row],[Fecha]]&amp;":"&amp;dHdcp[[#This Row],[Nombre]]</f>
        <v>44599:Miguel Diaz Del Moral</v>
      </c>
      <c r="N1056">
        <f>+COUNTIF(dHdcp[Columna1],dHdcp[[#This Row],[Columna1]])</f>
        <v>1</v>
      </c>
    </row>
    <row r="1057" spans="1:14">
      <c r="A1057" s="2">
        <v>44599</v>
      </c>
      <c r="B1057" t="s">
        <v>205</v>
      </c>
      <c r="C1057" s="51">
        <v>8.1</v>
      </c>
      <c r="D1057">
        <f>+VLOOKUP(dHdcp[[#This Row],[Handicap]],'Categoría Hdcap'!$B$2:$E$7,4)</f>
        <v>2</v>
      </c>
      <c r="E1057" t="s">
        <v>74</v>
      </c>
      <c r="F1057" t="s">
        <v>1523</v>
      </c>
      <c r="G1057">
        <f>+IF(dHdcp[[#This Row],[Fecha]]=MAX(dHdcp[Fecha]),1,0)</f>
        <v>0</v>
      </c>
      <c r="H1057" t="str">
        <f>+dHdcp[[#This Row],[Maximo]]&amp;":"&amp;dHdcp[[#This Row],[Nombre]]</f>
        <v>0:Nacho Casas</v>
      </c>
      <c r="I1057" t="str">
        <f>+dHdcp[[#This Row],[Maximo]]&amp;":"&amp;_xlfn.XLOOKUP(dHdcp[[#This Row],[Nombre]],dJugador[Nombre],dJugador[Mote],"",0)</f>
        <v>0:Nachete</v>
      </c>
      <c r="J1057" t="str">
        <f>+IF(dHdcp[[#This Row],[Maximo]]=0,"",_xlfn.RANK.EQ(dHdcp[[#This Row],[Handicap]],dHdcp[Handicap],1))</f>
        <v/>
      </c>
      <c r="K1057" t="str">
        <f>IFERROR(+_xlfn.RANK.EQ(dHdcp[[#This Row],[Ranking]],dHdcp[Ranking],1),"")</f>
        <v/>
      </c>
      <c r="M1057" t="str">
        <f>+dHdcp[[#This Row],[Fecha]]&amp;":"&amp;dHdcp[[#This Row],[Nombre]]</f>
        <v>44599:Nacho Casas</v>
      </c>
      <c r="N1057">
        <f>+COUNTIF(dHdcp[Columna1],dHdcp[[#This Row],[Columna1]])</f>
        <v>1</v>
      </c>
    </row>
    <row r="1058" spans="1:14">
      <c r="A1058" s="2">
        <v>44599</v>
      </c>
      <c r="B1058" t="s">
        <v>3</v>
      </c>
      <c r="C1058" s="51">
        <v>6.9</v>
      </c>
      <c r="D1058">
        <f>+VLOOKUP(dHdcp[[#This Row],[Handicap]],'Categoría Hdcap'!$B$2:$E$7,4)</f>
        <v>2</v>
      </c>
      <c r="E1058" t="s">
        <v>74</v>
      </c>
      <c r="F1058" t="s">
        <v>1524</v>
      </c>
      <c r="G1058">
        <f>+IF(dHdcp[[#This Row],[Fecha]]=MAX(dHdcp[Fecha]),1,0)</f>
        <v>0</v>
      </c>
      <c r="H1058" t="str">
        <f>+dHdcp[[#This Row],[Maximo]]&amp;":"&amp;dHdcp[[#This Row],[Nombre]]</f>
        <v>0:Nacho Gonzalez</v>
      </c>
      <c r="I1058" t="str">
        <f>+dHdcp[[#This Row],[Maximo]]&amp;":"&amp;_xlfn.XLOOKUP(dHdcp[[#This Row],[Nombre]],dJugador[Nombre],dJugador[Mote],"",0)</f>
        <v>0:Nacho</v>
      </c>
      <c r="J1058" t="str">
        <f>+IF(dHdcp[[#This Row],[Maximo]]=0,"",_xlfn.RANK.EQ(dHdcp[[#This Row],[Handicap]],dHdcp[Handicap],1))</f>
        <v/>
      </c>
      <c r="K1058" t="str">
        <f>IFERROR(+_xlfn.RANK.EQ(dHdcp[[#This Row],[Ranking]],dHdcp[Ranking],1),"")</f>
        <v/>
      </c>
      <c r="M1058" t="str">
        <f>+dHdcp[[#This Row],[Fecha]]&amp;":"&amp;dHdcp[[#This Row],[Nombre]]</f>
        <v>44599:Nacho Gonzalez</v>
      </c>
      <c r="N1058">
        <f>+COUNTIF(dHdcp[Columna1],dHdcp[[#This Row],[Columna1]])</f>
        <v>1</v>
      </c>
    </row>
    <row r="1059" spans="1:14">
      <c r="A1059" s="2">
        <v>44599</v>
      </c>
      <c r="B1059" t="s">
        <v>28</v>
      </c>
      <c r="C1059" s="51">
        <v>13.7</v>
      </c>
      <c r="D1059">
        <f>+VLOOKUP(dHdcp[[#This Row],[Handicap]],'Categoría Hdcap'!$B$2:$E$7,4)</f>
        <v>3</v>
      </c>
      <c r="E1059" t="s">
        <v>74</v>
      </c>
      <c r="F1059" t="s">
        <v>1525</v>
      </c>
      <c r="G1059">
        <f>+IF(dHdcp[[#This Row],[Fecha]]=MAX(dHdcp[Fecha]),1,0)</f>
        <v>0</v>
      </c>
      <c r="H1059" t="str">
        <f>+dHdcp[[#This Row],[Maximo]]&amp;":"&amp;dHdcp[[#This Row],[Nombre]]</f>
        <v>0:Pablo Munitiz</v>
      </c>
      <c r="I1059" t="str">
        <f>+dHdcp[[#This Row],[Maximo]]&amp;":"&amp;_xlfn.XLOOKUP(dHdcp[[#This Row],[Nombre]],dJugador[Nombre],dJugador[Mote],"",0)</f>
        <v>0:Muni</v>
      </c>
      <c r="J1059" t="str">
        <f>+IF(dHdcp[[#This Row],[Maximo]]=0,"",_xlfn.RANK.EQ(dHdcp[[#This Row],[Handicap]],dHdcp[Handicap],1))</f>
        <v/>
      </c>
      <c r="K1059" t="str">
        <f>IFERROR(+_xlfn.RANK.EQ(dHdcp[[#This Row],[Ranking]],dHdcp[Ranking],1),"")</f>
        <v/>
      </c>
      <c r="M1059" t="str">
        <f>+dHdcp[[#This Row],[Fecha]]&amp;":"&amp;dHdcp[[#This Row],[Nombre]]</f>
        <v>44599:Pablo Munitiz</v>
      </c>
      <c r="N1059">
        <f>+COUNTIF(dHdcp[Columna1],dHdcp[[#This Row],[Columna1]])</f>
        <v>1</v>
      </c>
    </row>
    <row r="1060" spans="1:14">
      <c r="A1060" s="2">
        <v>44599</v>
      </c>
      <c r="B1060" t="s">
        <v>203</v>
      </c>
      <c r="C1060" s="51">
        <v>17.8</v>
      </c>
      <c r="D1060">
        <f>+VLOOKUP(dHdcp[[#This Row],[Handicap]],'Categoría Hdcap'!$B$2:$E$7,4)</f>
        <v>3</v>
      </c>
      <c r="E1060" t="s">
        <v>74</v>
      </c>
      <c r="F1060" t="s">
        <v>1526</v>
      </c>
      <c r="G1060">
        <f>+IF(dHdcp[[#This Row],[Fecha]]=MAX(dHdcp[Fecha]),1,0)</f>
        <v>0</v>
      </c>
      <c r="H1060" t="str">
        <f>+dHdcp[[#This Row],[Maximo]]&amp;":"&amp;dHdcp[[#This Row],[Nombre]]</f>
        <v>0:Ruslan Kochman</v>
      </c>
      <c r="I1060" t="str">
        <f>+dHdcp[[#This Row],[Maximo]]&amp;":"&amp;_xlfn.XLOOKUP(dHdcp[[#This Row],[Nombre]],dJugador[Nombre],dJugador[Mote],"",0)</f>
        <v>0:Rus</v>
      </c>
      <c r="J1060" t="str">
        <f>+IF(dHdcp[[#This Row],[Maximo]]=0,"",_xlfn.RANK.EQ(dHdcp[[#This Row],[Handicap]],dHdcp[Handicap],1))</f>
        <v/>
      </c>
      <c r="K1060" t="str">
        <f>IFERROR(+_xlfn.RANK.EQ(dHdcp[[#This Row],[Ranking]],dHdcp[Ranking],1),"")</f>
        <v/>
      </c>
      <c r="M1060" t="str">
        <f>+dHdcp[[#This Row],[Fecha]]&amp;":"&amp;dHdcp[[#This Row],[Nombre]]</f>
        <v>44599:Ruslan Kochman</v>
      </c>
      <c r="N1060">
        <f>+COUNTIF(dHdcp[Columna1],dHdcp[[#This Row],[Columna1]])</f>
        <v>1</v>
      </c>
    </row>
    <row r="1061" spans="1:14">
      <c r="A1061" s="2">
        <v>44632</v>
      </c>
      <c r="B1061" t="s">
        <v>9</v>
      </c>
      <c r="C1061" s="51">
        <v>11</v>
      </c>
      <c r="D1061">
        <f>+VLOOKUP(dHdcp[[#This Row],[Handicap]],'Categoría Hdcap'!$B$2:$E$7,4)</f>
        <v>2</v>
      </c>
      <c r="E1061" t="s">
        <v>74</v>
      </c>
      <c r="F1061" t="s">
        <v>1527</v>
      </c>
      <c r="G1061">
        <f>+IF(dHdcp[[#This Row],[Fecha]]=MAX(dHdcp[Fecha]),1,0)</f>
        <v>0</v>
      </c>
      <c r="H1061" t="str">
        <f>+dHdcp[[#This Row],[Maximo]]&amp;":"&amp;dHdcp[[#This Row],[Nombre]]</f>
        <v>0:Alfonso Hidalgo</v>
      </c>
      <c r="I1061" t="str">
        <f>+dHdcp[[#This Row],[Maximo]]&amp;":"&amp;_xlfn.XLOOKUP(dHdcp[[#This Row],[Nombre]],dJugador[Nombre],dJugador[Mote],"",0)</f>
        <v>0:Alfonso</v>
      </c>
      <c r="J1061" t="str">
        <f>+IF(dHdcp[[#This Row],[Maximo]]=0,"",_xlfn.RANK.EQ(dHdcp[[#This Row],[Handicap]],dHdcp[Handicap],1))</f>
        <v/>
      </c>
      <c r="K1061" t="str">
        <f>IFERROR(+_xlfn.RANK.EQ(dHdcp[[#This Row],[Ranking]],dHdcp[Ranking],1),"")</f>
        <v/>
      </c>
      <c r="M1061" t="str">
        <f>+dHdcp[[#This Row],[Fecha]]&amp;":"&amp;dHdcp[[#This Row],[Nombre]]</f>
        <v>44632:Alfonso Hidalgo</v>
      </c>
      <c r="N1061">
        <f>+COUNTIF(dHdcp[Columna1],dHdcp[[#This Row],[Columna1]])</f>
        <v>1</v>
      </c>
    </row>
    <row r="1062" spans="1:14">
      <c r="A1062" s="2">
        <v>44632</v>
      </c>
      <c r="B1062" t="s">
        <v>229</v>
      </c>
      <c r="C1062" s="51">
        <v>13.3</v>
      </c>
      <c r="D1062">
        <f>+VLOOKUP(dHdcp[[#This Row],[Handicap]],'Categoría Hdcap'!$B$2:$E$7,4)</f>
        <v>3</v>
      </c>
      <c r="E1062" t="s">
        <v>74</v>
      </c>
      <c r="F1062" t="s">
        <v>1528</v>
      </c>
      <c r="G1062">
        <f>+IF(dHdcp[[#This Row],[Fecha]]=MAX(dHdcp[Fecha]),1,0)</f>
        <v>0</v>
      </c>
      <c r="H1062" t="str">
        <f>+dHdcp[[#This Row],[Maximo]]&amp;":"&amp;dHdcp[[#This Row],[Nombre]]</f>
        <v>0:Alfonso Zorrilla</v>
      </c>
      <c r="I1062" t="str">
        <f>+dHdcp[[#This Row],[Maximo]]&amp;":"&amp;_xlfn.XLOOKUP(dHdcp[[#This Row],[Nombre]],dJugador[Nombre],dJugador[Mote],"",0)</f>
        <v>0:A Zorrilla</v>
      </c>
      <c r="J1062" t="str">
        <f>+IF(dHdcp[[#This Row],[Maximo]]=0,"",_xlfn.RANK.EQ(dHdcp[[#This Row],[Handicap]],dHdcp[Handicap],1))</f>
        <v/>
      </c>
      <c r="K1062" t="str">
        <f>IFERROR(+_xlfn.RANK.EQ(dHdcp[[#This Row],[Ranking]],dHdcp[Ranking],1),"")</f>
        <v/>
      </c>
      <c r="M1062" t="str">
        <f>+dHdcp[[#This Row],[Fecha]]&amp;":"&amp;dHdcp[[#This Row],[Nombre]]</f>
        <v>44632:Alfonso Zorrilla</v>
      </c>
      <c r="N1062">
        <f>+COUNTIF(dHdcp[Columna1],dHdcp[[#This Row],[Columna1]])</f>
        <v>1</v>
      </c>
    </row>
    <row r="1063" spans="1:14">
      <c r="A1063" s="2">
        <v>44632</v>
      </c>
      <c r="B1063" s="13" t="s">
        <v>15</v>
      </c>
      <c r="C1063" s="51">
        <v>7</v>
      </c>
      <c r="D1063">
        <f>+VLOOKUP(dHdcp[[#This Row],[Handicap]],'Categoría Hdcap'!$B$2:$E$7,4)</f>
        <v>2</v>
      </c>
      <c r="E1063" t="s">
        <v>74</v>
      </c>
      <c r="F1063" t="s">
        <v>1529</v>
      </c>
      <c r="G1063">
        <f>+IF(dHdcp[[#This Row],[Fecha]]=MAX(dHdcp[Fecha]),1,0)</f>
        <v>0</v>
      </c>
      <c r="H1063" t="str">
        <f>+dHdcp[[#This Row],[Maximo]]&amp;":"&amp;dHdcp[[#This Row],[Nombre]]</f>
        <v>0:Alvaro Aguirre</v>
      </c>
      <c r="I1063" t="str">
        <f>+dHdcp[[#This Row],[Maximo]]&amp;":"&amp;_xlfn.XLOOKUP(dHdcp[[#This Row],[Nombre]],dJugador[Nombre],dJugador[Mote],"",0)</f>
        <v>0:Gifu</v>
      </c>
      <c r="J1063" t="str">
        <f>+IF(dHdcp[[#This Row],[Maximo]]=0,"",_xlfn.RANK.EQ(dHdcp[[#This Row],[Handicap]],dHdcp[Handicap],1))</f>
        <v/>
      </c>
      <c r="K1063" t="str">
        <f>IFERROR(+_xlfn.RANK.EQ(dHdcp[[#This Row],[Ranking]],dHdcp[Ranking],1),"")</f>
        <v/>
      </c>
      <c r="M1063" t="str">
        <f>+dHdcp[[#This Row],[Fecha]]&amp;":"&amp;dHdcp[[#This Row],[Nombre]]</f>
        <v>44632:Alvaro Aguirre</v>
      </c>
      <c r="N1063">
        <f>+COUNTIF(dHdcp[Columna1],dHdcp[[#This Row],[Columna1]])</f>
        <v>1</v>
      </c>
    </row>
    <row r="1064" spans="1:14">
      <c r="A1064" s="2">
        <v>44632</v>
      </c>
      <c r="B1064" t="s">
        <v>201</v>
      </c>
      <c r="C1064" s="51">
        <v>7.6</v>
      </c>
      <c r="D1064">
        <f>+VLOOKUP(dHdcp[[#This Row],[Handicap]],'Categoría Hdcap'!$B$2:$E$7,4)</f>
        <v>2</v>
      </c>
      <c r="E1064" t="s">
        <v>74</v>
      </c>
      <c r="F1064" t="s">
        <v>1530</v>
      </c>
      <c r="G1064">
        <f>+IF(dHdcp[[#This Row],[Fecha]]=MAX(dHdcp[Fecha]),1,0)</f>
        <v>0</v>
      </c>
      <c r="H1064" t="str">
        <f>+dHdcp[[#This Row],[Maximo]]&amp;":"&amp;dHdcp[[#This Row],[Nombre]]</f>
        <v>0:Alvaro Montoya</v>
      </c>
      <c r="I1064" t="str">
        <f>+dHdcp[[#This Row],[Maximo]]&amp;":"&amp;_xlfn.XLOOKUP(dHdcp[[#This Row],[Nombre]],dJugador[Nombre],dJugador[Mote],"",0)</f>
        <v>0:Monti</v>
      </c>
      <c r="J1064" t="str">
        <f>+IF(dHdcp[[#This Row],[Maximo]]=0,"",_xlfn.RANK.EQ(dHdcp[[#This Row],[Handicap]],dHdcp[Handicap],1))</f>
        <v/>
      </c>
      <c r="K1064" t="str">
        <f>IFERROR(+_xlfn.RANK.EQ(dHdcp[[#This Row],[Ranking]],dHdcp[Ranking],1),"")</f>
        <v/>
      </c>
      <c r="M1064" t="str">
        <f>+dHdcp[[#This Row],[Fecha]]&amp;":"&amp;dHdcp[[#This Row],[Nombre]]</f>
        <v>44632:Alvaro Montoya</v>
      </c>
      <c r="N1064">
        <f>+COUNTIF(dHdcp[Columna1],dHdcp[[#This Row],[Columna1]])</f>
        <v>1</v>
      </c>
    </row>
    <row r="1065" spans="1:14">
      <c r="A1065" s="2">
        <v>44632</v>
      </c>
      <c r="B1065" t="s">
        <v>25</v>
      </c>
      <c r="C1065" s="51">
        <v>12.6</v>
      </c>
      <c r="D1065">
        <f>+VLOOKUP(dHdcp[[#This Row],[Handicap]],'Categoría Hdcap'!$B$2:$E$7,4)</f>
        <v>3</v>
      </c>
      <c r="E1065" t="s">
        <v>74</v>
      </c>
      <c r="F1065" t="s">
        <v>1531</v>
      </c>
      <c r="G1065">
        <f>+IF(dHdcp[[#This Row],[Fecha]]=MAX(dHdcp[Fecha]),1,0)</f>
        <v>0</v>
      </c>
      <c r="H1065" t="str">
        <f>+dHdcp[[#This Row],[Maximo]]&amp;":"&amp;dHdcp[[#This Row],[Nombre]]</f>
        <v>0:Alvaro Nieto</v>
      </c>
      <c r="I1065" t="str">
        <f>+dHdcp[[#This Row],[Maximo]]&amp;":"&amp;_xlfn.XLOOKUP(dHdcp[[#This Row],[Nombre]],dJugador[Nombre],dJugador[Mote],"",0)</f>
        <v>0:Alvaro</v>
      </c>
      <c r="J1065" t="str">
        <f>+IF(dHdcp[[#This Row],[Maximo]]=0,"",_xlfn.RANK.EQ(dHdcp[[#This Row],[Handicap]],dHdcp[Handicap],1))</f>
        <v/>
      </c>
      <c r="K1065" t="str">
        <f>IFERROR(+_xlfn.RANK.EQ(dHdcp[[#This Row],[Ranking]],dHdcp[Ranking],1),"")</f>
        <v/>
      </c>
      <c r="M1065" t="str">
        <f>+dHdcp[[#This Row],[Fecha]]&amp;":"&amp;dHdcp[[#This Row],[Nombre]]</f>
        <v>44632:Alvaro Nieto</v>
      </c>
      <c r="N1065">
        <f>+COUNTIF(dHdcp[Columna1],dHdcp[[#This Row],[Columna1]])</f>
        <v>1</v>
      </c>
    </row>
    <row r="1066" spans="1:14">
      <c r="A1066" s="2">
        <v>44632</v>
      </c>
      <c r="B1066" t="s">
        <v>33</v>
      </c>
      <c r="C1066" s="51">
        <v>8</v>
      </c>
      <c r="D1066">
        <f>+VLOOKUP(dHdcp[[#This Row],[Handicap]],'Categoría Hdcap'!$B$2:$E$7,4)</f>
        <v>2</v>
      </c>
      <c r="E1066" t="s">
        <v>74</v>
      </c>
      <c r="F1066" t="s">
        <v>1532</v>
      </c>
      <c r="G1066">
        <f>+IF(dHdcp[[#This Row],[Fecha]]=MAX(dHdcp[Fecha]),1,0)</f>
        <v>0</v>
      </c>
      <c r="H1066" t="str">
        <f>+dHdcp[[#This Row],[Maximo]]&amp;":"&amp;dHdcp[[#This Row],[Nombre]]</f>
        <v>0:Angel Hernandez</v>
      </c>
      <c r="I1066" t="str">
        <f>+dHdcp[[#This Row],[Maximo]]&amp;":"&amp;_xlfn.XLOOKUP(dHdcp[[#This Row],[Nombre]],dJugador[Nombre],dJugador[Mote],"",0)</f>
        <v>0:Angel</v>
      </c>
      <c r="J1066" t="str">
        <f>+IF(dHdcp[[#This Row],[Maximo]]=0,"",_xlfn.RANK.EQ(dHdcp[[#This Row],[Handicap]],dHdcp[Handicap],1))</f>
        <v/>
      </c>
      <c r="K1066" t="str">
        <f>IFERROR(+_xlfn.RANK.EQ(dHdcp[[#This Row],[Ranking]],dHdcp[Ranking],1),"")</f>
        <v/>
      </c>
      <c r="M1066" t="str">
        <f>+dHdcp[[#This Row],[Fecha]]&amp;":"&amp;dHdcp[[#This Row],[Nombre]]</f>
        <v>44632:Angel Hernandez</v>
      </c>
      <c r="N1066">
        <f>+COUNTIF(dHdcp[Columna1],dHdcp[[#This Row],[Columna1]])</f>
        <v>1</v>
      </c>
    </row>
    <row r="1067" spans="1:14">
      <c r="A1067" s="2">
        <v>44632</v>
      </c>
      <c r="B1067" t="s">
        <v>30</v>
      </c>
      <c r="C1067" s="51">
        <v>11.4</v>
      </c>
      <c r="D1067">
        <f>+VLOOKUP(dHdcp[[#This Row],[Handicap]],'Categoría Hdcap'!$B$2:$E$7,4)</f>
        <v>2</v>
      </c>
      <c r="E1067" t="s">
        <v>74</v>
      </c>
      <c r="F1067" t="s">
        <v>1533</v>
      </c>
      <c r="G1067">
        <f>+IF(dHdcp[[#This Row],[Fecha]]=MAX(dHdcp[Fecha]),1,0)</f>
        <v>0</v>
      </c>
      <c r="H1067" t="str">
        <f>+dHdcp[[#This Row],[Maximo]]&amp;":"&amp;dHdcp[[#This Row],[Nombre]]</f>
        <v>0:David Sequera</v>
      </c>
      <c r="I1067" t="str">
        <f>+dHdcp[[#This Row],[Maximo]]&amp;":"&amp;_xlfn.XLOOKUP(dHdcp[[#This Row],[Nombre]],dJugador[Nombre],dJugador[Mote],"",0)</f>
        <v>0:David</v>
      </c>
      <c r="J1067" t="str">
        <f>+IF(dHdcp[[#This Row],[Maximo]]=0,"",_xlfn.RANK.EQ(dHdcp[[#This Row],[Handicap]],dHdcp[Handicap],1))</f>
        <v/>
      </c>
      <c r="K1067" t="str">
        <f>IFERROR(+_xlfn.RANK.EQ(dHdcp[[#This Row],[Ranking]],dHdcp[Ranking],1),"")</f>
        <v/>
      </c>
      <c r="M1067" t="str">
        <f>+dHdcp[[#This Row],[Fecha]]&amp;":"&amp;dHdcp[[#This Row],[Nombre]]</f>
        <v>44632:David Sequera</v>
      </c>
      <c r="N1067">
        <f>+COUNTIF(dHdcp[Columna1],dHdcp[[#This Row],[Columna1]])</f>
        <v>1</v>
      </c>
    </row>
    <row r="1068" spans="1:14">
      <c r="A1068" s="2">
        <v>44632</v>
      </c>
      <c r="B1068" t="s">
        <v>248</v>
      </c>
      <c r="C1068" s="51">
        <v>19.3</v>
      </c>
      <c r="D1068">
        <f>+VLOOKUP(dHdcp[[#This Row],[Handicap]],'Categoría Hdcap'!$B$2:$E$7,4)</f>
        <v>4</v>
      </c>
      <c r="E1068" t="s">
        <v>74</v>
      </c>
      <c r="F1068" t="s">
        <v>1534</v>
      </c>
      <c r="G1068">
        <f>+IF(dHdcp[[#This Row],[Fecha]]=MAX(dHdcp[Fecha]),1,0)</f>
        <v>0</v>
      </c>
      <c r="H1068" t="str">
        <f>+dHdcp[[#This Row],[Maximo]]&amp;":"&amp;dHdcp[[#This Row],[Nombre]]</f>
        <v>0:Enrique Gonzalez R</v>
      </c>
      <c r="I1068" t="str">
        <f>+dHdcp[[#This Row],[Maximo]]&amp;":"&amp;_xlfn.XLOOKUP(dHdcp[[#This Row],[Nombre]],dJugador[Nombre],dJugador[Mote],"",0)</f>
        <v>0:Enrique</v>
      </c>
      <c r="J1068" t="str">
        <f>+IF(dHdcp[[#This Row],[Maximo]]=0,"",_xlfn.RANK.EQ(dHdcp[[#This Row],[Handicap]],dHdcp[Handicap],1))</f>
        <v/>
      </c>
      <c r="K1068" t="str">
        <f>IFERROR(+_xlfn.RANK.EQ(dHdcp[[#This Row],[Ranking]],dHdcp[Ranking],1),"")</f>
        <v/>
      </c>
      <c r="M1068" t="str">
        <f>+dHdcp[[#This Row],[Fecha]]&amp;":"&amp;dHdcp[[#This Row],[Nombre]]</f>
        <v>44632:Enrique Gonzalez R</v>
      </c>
      <c r="N1068">
        <f>+COUNTIF(dHdcp[Columna1],dHdcp[[#This Row],[Columna1]])</f>
        <v>1</v>
      </c>
    </row>
    <row r="1069" spans="1:14">
      <c r="A1069" s="2">
        <v>44632</v>
      </c>
      <c r="B1069" t="s">
        <v>12</v>
      </c>
      <c r="C1069" s="51">
        <v>14.2</v>
      </c>
      <c r="D1069">
        <f>+VLOOKUP(dHdcp[[#This Row],[Handicap]],'Categoría Hdcap'!$B$2:$E$7,4)</f>
        <v>3</v>
      </c>
      <c r="E1069" t="s">
        <v>74</v>
      </c>
      <c r="F1069" t="s">
        <v>1535</v>
      </c>
      <c r="G1069">
        <f>+IF(dHdcp[[#This Row],[Fecha]]=MAX(dHdcp[Fecha]),1,0)</f>
        <v>0</v>
      </c>
      <c r="H1069" t="str">
        <f>+dHdcp[[#This Row],[Maximo]]&amp;":"&amp;dHdcp[[#This Row],[Nombre]]</f>
        <v>0:Francisco Alvarez</v>
      </c>
      <c r="I1069" t="str">
        <f>+dHdcp[[#This Row],[Maximo]]&amp;":"&amp;_xlfn.XLOOKUP(dHdcp[[#This Row],[Nombre]],dJugador[Nombre],dJugador[Mote],"",0)</f>
        <v>0:Paco</v>
      </c>
      <c r="J1069" t="str">
        <f>+IF(dHdcp[[#This Row],[Maximo]]=0,"",_xlfn.RANK.EQ(dHdcp[[#This Row],[Handicap]],dHdcp[Handicap],1))</f>
        <v/>
      </c>
      <c r="K1069" t="str">
        <f>IFERROR(+_xlfn.RANK.EQ(dHdcp[[#This Row],[Ranking]],dHdcp[Ranking],1),"")</f>
        <v/>
      </c>
      <c r="M1069" t="str">
        <f>+dHdcp[[#This Row],[Fecha]]&amp;":"&amp;dHdcp[[#This Row],[Nombre]]</f>
        <v>44632:Francisco Alvarez</v>
      </c>
      <c r="N1069">
        <f>+COUNTIF(dHdcp[Columna1],dHdcp[[#This Row],[Columna1]])</f>
        <v>1</v>
      </c>
    </row>
    <row r="1070" spans="1:14">
      <c r="A1070" s="2">
        <v>44632</v>
      </c>
      <c r="B1070" t="s">
        <v>49</v>
      </c>
      <c r="C1070" s="51">
        <v>12.1</v>
      </c>
      <c r="D1070">
        <f>+VLOOKUP(dHdcp[[#This Row],[Handicap]],'Categoría Hdcap'!$B$2:$E$7,4)</f>
        <v>3</v>
      </c>
      <c r="E1070" t="s">
        <v>74</v>
      </c>
      <c r="F1070" t="s">
        <v>1536</v>
      </c>
      <c r="G1070">
        <f>+IF(dHdcp[[#This Row],[Fecha]]=MAX(dHdcp[Fecha]),1,0)</f>
        <v>0</v>
      </c>
      <c r="H1070" t="str">
        <f>+dHdcp[[#This Row],[Maximo]]&amp;":"&amp;dHdcp[[#This Row],[Nombre]]</f>
        <v>0:Francisco Hidalgo</v>
      </c>
      <c r="I1070" t="str">
        <f>+dHdcp[[#This Row],[Maximo]]&amp;":"&amp;_xlfn.XLOOKUP(dHdcp[[#This Row],[Nombre]],dJugador[Nombre],dJugador[Mote],"",0)</f>
        <v>0:Fran</v>
      </c>
      <c r="J1070" t="str">
        <f>+IF(dHdcp[[#This Row],[Maximo]]=0,"",_xlfn.RANK.EQ(dHdcp[[#This Row],[Handicap]],dHdcp[Handicap],1))</f>
        <v/>
      </c>
      <c r="K1070" t="str">
        <f>IFERROR(+_xlfn.RANK.EQ(dHdcp[[#This Row],[Ranking]],dHdcp[Ranking],1),"")</f>
        <v/>
      </c>
      <c r="M1070" t="str">
        <f>+dHdcp[[#This Row],[Fecha]]&amp;":"&amp;dHdcp[[#This Row],[Nombre]]</f>
        <v>44632:Francisco Hidalgo</v>
      </c>
      <c r="N1070">
        <f>+COUNTIF(dHdcp[Columna1],dHdcp[[#This Row],[Columna1]])</f>
        <v>1</v>
      </c>
    </row>
    <row r="1071" spans="1:14">
      <c r="A1071" s="2">
        <v>44632</v>
      </c>
      <c r="B1071" t="s">
        <v>207</v>
      </c>
      <c r="C1071" s="51">
        <v>14.4</v>
      </c>
      <c r="D1071">
        <f>+VLOOKUP(dHdcp[[#This Row],[Handicap]],'Categoría Hdcap'!$B$2:$E$7,4)</f>
        <v>3</v>
      </c>
      <c r="E1071" t="s">
        <v>74</v>
      </c>
      <c r="F1071" t="s">
        <v>1537</v>
      </c>
      <c r="G1071">
        <f>+IF(dHdcp[[#This Row],[Fecha]]=MAX(dHdcp[Fecha]),1,0)</f>
        <v>0</v>
      </c>
      <c r="H1071" t="str">
        <f>+dHdcp[[#This Row],[Maximo]]&amp;":"&amp;dHdcp[[#This Row],[Nombre]]</f>
        <v>0:Franck Benouniche</v>
      </c>
      <c r="I1071" t="str">
        <f>+dHdcp[[#This Row],[Maximo]]&amp;":"&amp;_xlfn.XLOOKUP(dHdcp[[#This Row],[Nombre]],dJugador[Nombre],dJugador[Mote],"",0)</f>
        <v>0:Franck</v>
      </c>
      <c r="J1071" t="str">
        <f>+IF(dHdcp[[#This Row],[Maximo]]=0,"",_xlfn.RANK.EQ(dHdcp[[#This Row],[Handicap]],dHdcp[Handicap],1))</f>
        <v/>
      </c>
      <c r="K1071" t="str">
        <f>IFERROR(+_xlfn.RANK.EQ(dHdcp[[#This Row],[Ranking]],dHdcp[Ranking],1),"")</f>
        <v/>
      </c>
      <c r="M1071" t="str">
        <f>+dHdcp[[#This Row],[Fecha]]&amp;":"&amp;dHdcp[[#This Row],[Nombre]]</f>
        <v>44632:Franck Benouniche</v>
      </c>
      <c r="N1071">
        <f>+COUNTIF(dHdcp[Columna1],dHdcp[[#This Row],[Columna1]])</f>
        <v>1</v>
      </c>
    </row>
    <row r="1072" spans="1:14">
      <c r="A1072" s="2">
        <v>44632</v>
      </c>
      <c r="B1072" t="s">
        <v>35</v>
      </c>
      <c r="C1072" s="51">
        <v>18.5</v>
      </c>
      <c r="D1072">
        <f>+VLOOKUP(dHdcp[[#This Row],[Handicap]],'Categoría Hdcap'!$B$2:$E$7,4)</f>
        <v>4</v>
      </c>
      <c r="E1072" t="s">
        <v>74</v>
      </c>
      <c r="F1072" t="s">
        <v>1538</v>
      </c>
      <c r="G1072">
        <f>+IF(dHdcp[[#This Row],[Fecha]]=MAX(dHdcp[Fecha]),1,0)</f>
        <v>0</v>
      </c>
      <c r="H1072" t="str">
        <f>+dHdcp[[#This Row],[Maximo]]&amp;":"&amp;dHdcp[[#This Row],[Nombre]]</f>
        <v>0:GLEZ JUAN JOSÉ</v>
      </c>
      <c r="I1072" t="str">
        <f>+dHdcp[[#This Row],[Maximo]]&amp;":"&amp;_xlfn.XLOOKUP(dHdcp[[#This Row],[Nombre]],dJugador[Nombre],dJugador[Mote],"",0)</f>
        <v>0:Juanjo</v>
      </c>
      <c r="J1072" t="str">
        <f>+IF(dHdcp[[#This Row],[Maximo]]=0,"",_xlfn.RANK.EQ(dHdcp[[#This Row],[Handicap]],dHdcp[Handicap],1))</f>
        <v/>
      </c>
      <c r="K1072" t="str">
        <f>IFERROR(+_xlfn.RANK.EQ(dHdcp[[#This Row],[Ranking]],dHdcp[Ranking],1),"")</f>
        <v/>
      </c>
      <c r="M1072" t="str">
        <f>+dHdcp[[#This Row],[Fecha]]&amp;":"&amp;dHdcp[[#This Row],[Nombre]]</f>
        <v>44632:GLEZ JUAN JOSÉ</v>
      </c>
      <c r="N1072">
        <f>+COUNTIF(dHdcp[Columna1],dHdcp[[#This Row],[Columna1]])</f>
        <v>1</v>
      </c>
    </row>
    <row r="1073" spans="1:14">
      <c r="A1073" s="2">
        <v>44632</v>
      </c>
      <c r="B1073" t="s">
        <v>6</v>
      </c>
      <c r="C1073" s="51">
        <v>8.3000000000000007</v>
      </c>
      <c r="D1073">
        <f>+VLOOKUP(dHdcp[[#This Row],[Handicap]],'Categoría Hdcap'!$B$2:$E$7,4)</f>
        <v>2</v>
      </c>
      <c r="E1073" t="s">
        <v>74</v>
      </c>
      <c r="F1073" t="s">
        <v>1539</v>
      </c>
      <c r="G1073">
        <f>+IF(dHdcp[[#This Row],[Fecha]]=MAX(dHdcp[Fecha]),1,0)</f>
        <v>0</v>
      </c>
      <c r="H1073" t="str">
        <f>+dHdcp[[#This Row],[Maximo]]&amp;":"&amp;dHdcp[[#This Row],[Nombre]]</f>
        <v>0:Ignacio Cadarso</v>
      </c>
      <c r="I1073" t="str">
        <f>+dHdcp[[#This Row],[Maximo]]&amp;":"&amp;_xlfn.XLOOKUP(dHdcp[[#This Row],[Nombre]],dJugador[Nombre],dJugador[Mote],"",0)</f>
        <v>0:Ignacio</v>
      </c>
      <c r="J1073" t="str">
        <f>+IF(dHdcp[[#This Row],[Maximo]]=0,"",_xlfn.RANK.EQ(dHdcp[[#This Row],[Handicap]],dHdcp[Handicap],1))</f>
        <v/>
      </c>
      <c r="K1073" t="str">
        <f>IFERROR(+_xlfn.RANK.EQ(dHdcp[[#This Row],[Ranking]],dHdcp[Ranking],1),"")</f>
        <v/>
      </c>
      <c r="M1073" t="str">
        <f>+dHdcp[[#This Row],[Fecha]]&amp;":"&amp;dHdcp[[#This Row],[Nombre]]</f>
        <v>44632:Ignacio Cadarso</v>
      </c>
      <c r="N1073">
        <f>+COUNTIF(dHdcp[Columna1],dHdcp[[#This Row],[Columna1]])</f>
        <v>1</v>
      </c>
    </row>
    <row r="1074" spans="1:14">
      <c r="A1074" s="2">
        <v>44632</v>
      </c>
      <c r="B1074" t="s">
        <v>23</v>
      </c>
      <c r="C1074" s="51">
        <v>17.5</v>
      </c>
      <c r="D1074">
        <f>+VLOOKUP(dHdcp[[#This Row],[Handicap]],'Categoría Hdcap'!$B$2:$E$7,4)</f>
        <v>3</v>
      </c>
      <c r="E1074" t="s">
        <v>74</v>
      </c>
      <c r="F1074" t="s">
        <v>1540</v>
      </c>
      <c r="G1074">
        <f>+IF(dHdcp[[#This Row],[Fecha]]=MAX(dHdcp[Fecha]),1,0)</f>
        <v>0</v>
      </c>
      <c r="H1074" t="str">
        <f>+dHdcp[[#This Row],[Maximo]]&amp;":"&amp;dHdcp[[#This Row],[Nombre]]</f>
        <v>0:J. Enrique Gonzalez</v>
      </c>
      <c r="I1074" t="str">
        <f>+dHdcp[[#This Row],[Maximo]]&amp;":"&amp;_xlfn.XLOOKUP(dHdcp[[#This Row],[Nombre]],dJugador[Nombre],dJugador[Mote],"",0)</f>
        <v>0:Kike</v>
      </c>
      <c r="J1074" t="str">
        <f>+IF(dHdcp[[#This Row],[Maximo]]=0,"",_xlfn.RANK.EQ(dHdcp[[#This Row],[Handicap]],dHdcp[Handicap],1))</f>
        <v/>
      </c>
      <c r="K1074" t="str">
        <f>IFERROR(+_xlfn.RANK.EQ(dHdcp[[#This Row],[Ranking]],dHdcp[Ranking],1),"")</f>
        <v/>
      </c>
      <c r="M1074" t="str">
        <f>+dHdcp[[#This Row],[Fecha]]&amp;":"&amp;dHdcp[[#This Row],[Nombre]]</f>
        <v>44632:J. Enrique Gonzalez</v>
      </c>
      <c r="N1074">
        <f>+COUNTIF(dHdcp[Columna1],dHdcp[[#This Row],[Columna1]])</f>
        <v>1</v>
      </c>
    </row>
    <row r="1075" spans="1:14">
      <c r="A1075" s="2">
        <v>44632</v>
      </c>
      <c r="B1075" t="s">
        <v>46</v>
      </c>
      <c r="C1075" s="51">
        <v>16.8</v>
      </c>
      <c r="D1075">
        <f>+VLOOKUP(dHdcp[[#This Row],[Handicap]],'Categoría Hdcap'!$B$2:$E$7,4)</f>
        <v>3</v>
      </c>
      <c r="E1075" t="s">
        <v>74</v>
      </c>
      <c r="F1075" t="s">
        <v>1541</v>
      </c>
      <c r="G1075">
        <f>+IF(dHdcp[[#This Row],[Fecha]]=MAX(dHdcp[Fecha]),1,0)</f>
        <v>0</v>
      </c>
      <c r="H1075" t="str">
        <f>+dHdcp[[#This Row],[Maximo]]&amp;":"&amp;dHdcp[[#This Row],[Nombre]]</f>
        <v>0:Javier Cervera</v>
      </c>
      <c r="I1075" t="str">
        <f>+dHdcp[[#This Row],[Maximo]]&amp;":"&amp;_xlfn.XLOOKUP(dHdcp[[#This Row],[Nombre]],dJugador[Nombre],dJugador[Mote],"",0)</f>
        <v>0:Virus</v>
      </c>
      <c r="J1075" t="str">
        <f>+IF(dHdcp[[#This Row],[Maximo]]=0,"",_xlfn.RANK.EQ(dHdcp[[#This Row],[Handicap]],dHdcp[Handicap],1))</f>
        <v/>
      </c>
      <c r="K1075" t="str">
        <f>IFERROR(+_xlfn.RANK.EQ(dHdcp[[#This Row],[Ranking]],dHdcp[Ranking],1),"")</f>
        <v/>
      </c>
      <c r="M1075" t="str">
        <f>+dHdcp[[#This Row],[Fecha]]&amp;":"&amp;dHdcp[[#This Row],[Nombre]]</f>
        <v>44632:Javier Cervera</v>
      </c>
      <c r="N1075">
        <f>+COUNTIF(dHdcp[Columna1],dHdcp[[#This Row],[Columna1]])</f>
        <v>1</v>
      </c>
    </row>
    <row r="1076" spans="1:14">
      <c r="A1076" s="2">
        <v>44632</v>
      </c>
      <c r="B1076" t="s">
        <v>225</v>
      </c>
      <c r="C1076" s="51">
        <v>10.8</v>
      </c>
      <c r="D1076">
        <f>+VLOOKUP(dHdcp[[#This Row],[Handicap]],'Categoría Hdcap'!$B$2:$E$7,4)</f>
        <v>2</v>
      </c>
      <c r="E1076" t="s">
        <v>74</v>
      </c>
      <c r="F1076" t="s">
        <v>1542</v>
      </c>
      <c r="G1076">
        <f>+IF(dHdcp[[#This Row],[Fecha]]=MAX(dHdcp[Fecha]),1,0)</f>
        <v>0</v>
      </c>
      <c r="H1076" t="str">
        <f>+dHdcp[[#This Row],[Maximo]]&amp;":"&amp;dHdcp[[#This Row],[Nombre]]</f>
        <v>0:Javier Chiralt</v>
      </c>
      <c r="I1076" t="str">
        <f>+dHdcp[[#This Row],[Maximo]]&amp;":"&amp;_xlfn.XLOOKUP(dHdcp[[#This Row],[Nombre]],dJugador[Nombre],dJugador[Mote],"",0)</f>
        <v>0:Chiralt</v>
      </c>
      <c r="J1076" t="str">
        <f>+IF(dHdcp[[#This Row],[Maximo]]=0,"",_xlfn.RANK.EQ(dHdcp[[#This Row],[Handicap]],dHdcp[Handicap],1))</f>
        <v/>
      </c>
      <c r="K1076" t="str">
        <f>IFERROR(+_xlfn.RANK.EQ(dHdcp[[#This Row],[Ranking]],dHdcp[Ranking],1),"")</f>
        <v/>
      </c>
      <c r="M1076" t="str">
        <f>+dHdcp[[#This Row],[Fecha]]&amp;":"&amp;dHdcp[[#This Row],[Nombre]]</f>
        <v>44632:Javier Chiralt</v>
      </c>
      <c r="N1076">
        <f>+COUNTIF(dHdcp[Columna1],dHdcp[[#This Row],[Columna1]])</f>
        <v>1</v>
      </c>
    </row>
    <row r="1077" spans="1:14">
      <c r="A1077" s="2">
        <v>44632</v>
      </c>
      <c r="B1077" t="s">
        <v>20</v>
      </c>
      <c r="C1077" s="51">
        <v>16.399999999999999</v>
      </c>
      <c r="D1077">
        <f>+VLOOKUP(dHdcp[[#This Row],[Handicap]],'Categoría Hdcap'!$B$2:$E$7,4)</f>
        <v>3</v>
      </c>
      <c r="E1077" t="s">
        <v>74</v>
      </c>
      <c r="F1077" t="s">
        <v>1543</v>
      </c>
      <c r="G1077">
        <f>+IF(dHdcp[[#This Row],[Fecha]]=MAX(dHdcp[Fecha]),1,0)</f>
        <v>0</v>
      </c>
      <c r="H1077" t="str">
        <f>+dHdcp[[#This Row],[Maximo]]&amp;":"&amp;dHdcp[[#This Row],[Nombre]]</f>
        <v>0:Javier Gonzalez Salvador</v>
      </c>
      <c r="I1077" t="str">
        <f>+dHdcp[[#This Row],[Maximo]]&amp;":"&amp;_xlfn.XLOOKUP(dHdcp[[#This Row],[Nombre]],dJugador[Nombre],dJugador[Mote],"",0)</f>
        <v>0:Javi</v>
      </c>
      <c r="J1077" t="str">
        <f>+IF(dHdcp[[#This Row],[Maximo]]=0,"",_xlfn.RANK.EQ(dHdcp[[#This Row],[Handicap]],dHdcp[Handicap],1))</f>
        <v/>
      </c>
      <c r="K1077" t="str">
        <f>IFERROR(+_xlfn.RANK.EQ(dHdcp[[#This Row],[Ranking]],dHdcp[Ranking],1),"")</f>
        <v/>
      </c>
      <c r="M1077" t="str">
        <f>+dHdcp[[#This Row],[Fecha]]&amp;":"&amp;dHdcp[[#This Row],[Nombre]]</f>
        <v>44632:Javier Gonzalez Salvador</v>
      </c>
      <c r="N1077">
        <f>+COUNTIF(dHdcp[Columna1],dHdcp[[#This Row],[Columna1]])</f>
        <v>1</v>
      </c>
    </row>
    <row r="1078" spans="1:14">
      <c r="A1078" s="2">
        <v>44632</v>
      </c>
      <c r="B1078" t="s">
        <v>217</v>
      </c>
      <c r="C1078" s="51">
        <v>24.5</v>
      </c>
      <c r="D1078">
        <f>+VLOOKUP(dHdcp[[#This Row],[Handicap]],'Categoría Hdcap'!$B$2:$E$7,4)</f>
        <v>4</v>
      </c>
      <c r="E1078" t="s">
        <v>74</v>
      </c>
      <c r="F1078" t="s">
        <v>1544</v>
      </c>
      <c r="G1078">
        <f>+IF(dHdcp[[#This Row],[Fecha]]=MAX(dHdcp[Fecha]),1,0)</f>
        <v>0</v>
      </c>
      <c r="H1078" t="str">
        <f>+dHdcp[[#This Row],[Maximo]]&amp;":"&amp;dHdcp[[#This Row],[Nombre]]</f>
        <v>0:Javier Lopez Gullón</v>
      </c>
      <c r="I1078" t="str">
        <f>+dHdcp[[#This Row],[Maximo]]&amp;":"&amp;_xlfn.XLOOKUP(dHdcp[[#This Row],[Nombre]],dJugador[Nombre],dJugador[Mote],"",0)</f>
        <v>0:Cuñao</v>
      </c>
      <c r="J1078" t="str">
        <f>+IF(dHdcp[[#This Row],[Maximo]]=0,"",_xlfn.RANK.EQ(dHdcp[[#This Row],[Handicap]],dHdcp[Handicap],1))</f>
        <v/>
      </c>
      <c r="K1078" t="str">
        <f>IFERROR(+_xlfn.RANK.EQ(dHdcp[[#This Row],[Ranking]],dHdcp[Ranking],1),"")</f>
        <v/>
      </c>
      <c r="M1078" t="str">
        <f>+dHdcp[[#This Row],[Fecha]]&amp;":"&amp;dHdcp[[#This Row],[Nombre]]</f>
        <v>44632:Javier Lopez Gullón</v>
      </c>
      <c r="N1078">
        <f>+COUNTIF(dHdcp[Columna1],dHdcp[[#This Row],[Columna1]])</f>
        <v>1</v>
      </c>
    </row>
    <row r="1079" spans="1:14">
      <c r="A1079" s="2">
        <v>44632</v>
      </c>
      <c r="B1079" t="s">
        <v>41</v>
      </c>
      <c r="C1079" s="51">
        <v>25.8</v>
      </c>
      <c r="D1079">
        <f>+VLOOKUP(dHdcp[[#This Row],[Handicap]],'Categoría Hdcap'!$B$2:$E$7,4)</f>
        <v>4</v>
      </c>
      <c r="E1079" t="s">
        <v>74</v>
      </c>
      <c r="F1079" t="s">
        <v>1545</v>
      </c>
      <c r="G1079">
        <f>+IF(dHdcp[[#This Row],[Fecha]]=MAX(dHdcp[Fecha]),1,0)</f>
        <v>0</v>
      </c>
      <c r="H1079" t="str">
        <f>+dHdcp[[#This Row],[Maximo]]&amp;":"&amp;dHdcp[[#This Row],[Nombre]]</f>
        <v>0:Jesus Touceda</v>
      </c>
      <c r="I1079" t="str">
        <f>+dHdcp[[#This Row],[Maximo]]&amp;":"&amp;_xlfn.XLOOKUP(dHdcp[[#This Row],[Nombre]],dJugador[Nombre],dJugador[Mote],"",0)</f>
        <v>0:Jesús</v>
      </c>
      <c r="J1079" t="str">
        <f>+IF(dHdcp[[#This Row],[Maximo]]=0,"",_xlfn.RANK.EQ(dHdcp[[#This Row],[Handicap]],dHdcp[Handicap],1))</f>
        <v/>
      </c>
      <c r="K1079" t="str">
        <f>IFERROR(+_xlfn.RANK.EQ(dHdcp[[#This Row],[Ranking]],dHdcp[Ranking],1),"")</f>
        <v/>
      </c>
      <c r="M1079" t="str">
        <f>+dHdcp[[#This Row],[Fecha]]&amp;":"&amp;dHdcp[[#This Row],[Nombre]]</f>
        <v>44632:Jesus Touceda</v>
      </c>
      <c r="N1079">
        <f>+COUNTIF(dHdcp[Columna1],dHdcp[[#This Row],[Columna1]])</f>
        <v>1</v>
      </c>
    </row>
    <row r="1080" spans="1:14">
      <c r="A1080" s="2">
        <v>44632</v>
      </c>
      <c r="B1080" t="s">
        <v>18</v>
      </c>
      <c r="C1080" s="51">
        <v>7.2</v>
      </c>
      <c r="D1080">
        <f>+VLOOKUP(dHdcp[[#This Row],[Handicap]],'Categoría Hdcap'!$B$2:$E$7,4)</f>
        <v>2</v>
      </c>
      <c r="E1080" t="s">
        <v>74</v>
      </c>
      <c r="F1080" t="s">
        <v>1546</v>
      </c>
      <c r="G1080">
        <f>+IF(dHdcp[[#This Row],[Fecha]]=MAX(dHdcp[Fecha]),1,0)</f>
        <v>0</v>
      </c>
      <c r="H1080" t="str">
        <f>+dHdcp[[#This Row],[Maximo]]&amp;":"&amp;dHdcp[[#This Row],[Nombre]]</f>
        <v>0:José Pablo Guil</v>
      </c>
      <c r="I1080" t="str">
        <f>+dHdcp[[#This Row],[Maximo]]&amp;":"&amp;_xlfn.XLOOKUP(dHdcp[[#This Row],[Nombre]],dJugador[Nombre],dJugador[Mote],"",0)</f>
        <v>0:JP</v>
      </c>
      <c r="J1080" t="str">
        <f>+IF(dHdcp[[#This Row],[Maximo]]=0,"",_xlfn.RANK.EQ(dHdcp[[#This Row],[Handicap]],dHdcp[Handicap],1))</f>
        <v/>
      </c>
      <c r="K1080" t="str">
        <f>IFERROR(+_xlfn.RANK.EQ(dHdcp[[#This Row],[Ranking]],dHdcp[Ranking],1),"")</f>
        <v/>
      </c>
      <c r="M1080" t="str">
        <f>+dHdcp[[#This Row],[Fecha]]&amp;":"&amp;dHdcp[[#This Row],[Nombre]]</f>
        <v>44632:José Pablo Guil</v>
      </c>
      <c r="N1080">
        <f>+COUNTIF(dHdcp[Columna1],dHdcp[[#This Row],[Columna1]])</f>
        <v>1</v>
      </c>
    </row>
    <row r="1081" spans="1:14">
      <c r="A1081" s="2">
        <v>44632</v>
      </c>
      <c r="B1081" t="s">
        <v>43</v>
      </c>
      <c r="C1081" s="51">
        <v>18.5</v>
      </c>
      <c r="D1081">
        <f>+VLOOKUP(dHdcp[[#This Row],[Handicap]],'Categoría Hdcap'!$B$2:$E$7,4)</f>
        <v>4</v>
      </c>
      <c r="E1081" t="s">
        <v>74</v>
      </c>
      <c r="F1081" t="s">
        <v>1547</v>
      </c>
      <c r="G1081">
        <f>+IF(dHdcp[[#This Row],[Fecha]]=MAX(dHdcp[Fecha]),1,0)</f>
        <v>0</v>
      </c>
      <c r="H1081" t="str">
        <f>+dHdcp[[#This Row],[Maximo]]&amp;":"&amp;dHdcp[[#This Row],[Nombre]]</f>
        <v>0:Luis Escudero</v>
      </c>
      <c r="I1081" t="str">
        <f>+dHdcp[[#This Row],[Maximo]]&amp;":"&amp;_xlfn.XLOOKUP(dHdcp[[#This Row],[Nombre]],dJugador[Nombre],dJugador[Mote],"",0)</f>
        <v>0:Lucho</v>
      </c>
      <c r="J1081" t="str">
        <f>+IF(dHdcp[[#This Row],[Maximo]]=0,"",_xlfn.RANK.EQ(dHdcp[[#This Row],[Handicap]],dHdcp[Handicap],1))</f>
        <v/>
      </c>
      <c r="K1081" t="str">
        <f>IFERROR(+_xlfn.RANK.EQ(dHdcp[[#This Row],[Ranking]],dHdcp[Ranking],1),"")</f>
        <v/>
      </c>
      <c r="M1081" t="str">
        <f>+dHdcp[[#This Row],[Fecha]]&amp;":"&amp;dHdcp[[#This Row],[Nombre]]</f>
        <v>44632:Luis Escudero</v>
      </c>
      <c r="N1081">
        <f>+COUNTIF(dHdcp[Columna1],dHdcp[[#This Row],[Columna1]])</f>
        <v>1</v>
      </c>
    </row>
    <row r="1082" spans="1:14">
      <c r="A1082" s="2">
        <v>44632</v>
      </c>
      <c r="B1082" s="10" t="s">
        <v>135</v>
      </c>
      <c r="C1082" s="53">
        <v>24</v>
      </c>
      <c r="D1082" s="10">
        <f>+VLOOKUP(dHdcp[[#This Row],[Handicap]],'Categoría Hdcap'!$B$2:$E$7,4)</f>
        <v>4</v>
      </c>
      <c r="E1082" s="10" t="s">
        <v>74</v>
      </c>
      <c r="F1082" s="95" t="s">
        <v>1548</v>
      </c>
      <c r="G1082">
        <f>+IF(dHdcp[[#This Row],[Fecha]]=MAX(dHdcp[Fecha]),1,0)</f>
        <v>0</v>
      </c>
      <c r="H1082" t="str">
        <f>+dHdcp[[#This Row],[Maximo]]&amp;":"&amp;dHdcp[[#This Row],[Nombre]]</f>
        <v>0:Miche Lopez</v>
      </c>
      <c r="I1082" t="str">
        <f>+dHdcp[[#This Row],[Maximo]]&amp;":"&amp;_xlfn.XLOOKUP(dHdcp[[#This Row],[Nombre]],dJugador[Nombre],dJugador[Mote],"",0)</f>
        <v>0:Miche</v>
      </c>
      <c r="J1082" t="str">
        <f>+IF(dHdcp[[#This Row],[Maximo]]=0,"",_xlfn.RANK.EQ(dHdcp[[#This Row],[Handicap]],dHdcp[Handicap],1))</f>
        <v/>
      </c>
      <c r="K1082" t="str">
        <f>IFERROR(+_xlfn.RANK.EQ(dHdcp[[#This Row],[Ranking]],dHdcp[Ranking],1),"")</f>
        <v/>
      </c>
      <c r="M1082" t="str">
        <f>+dHdcp[[#This Row],[Fecha]]&amp;":"&amp;dHdcp[[#This Row],[Nombre]]</f>
        <v>44632:Miche Lopez</v>
      </c>
      <c r="N1082">
        <f>+COUNTIF(dHdcp[Columna1],dHdcp[[#This Row],[Columna1]])</f>
        <v>1</v>
      </c>
    </row>
    <row r="1083" spans="1:14">
      <c r="A1083" s="2">
        <v>44632</v>
      </c>
      <c r="B1083" t="s">
        <v>51</v>
      </c>
      <c r="C1083" s="51">
        <v>-0.8</v>
      </c>
      <c r="D1083">
        <f>+VLOOKUP(dHdcp[[#This Row],[Handicap]],'Categoría Hdcap'!$B$2:$E$7,4)</f>
        <v>1</v>
      </c>
      <c r="E1083" t="s">
        <v>74</v>
      </c>
      <c r="F1083" t="s">
        <v>1549</v>
      </c>
      <c r="G1083">
        <f>+IF(dHdcp[[#This Row],[Fecha]]=MAX(dHdcp[Fecha]),1,0)</f>
        <v>0</v>
      </c>
      <c r="H1083" t="str">
        <f>+dHdcp[[#This Row],[Maximo]]&amp;":"&amp;dHdcp[[#This Row],[Nombre]]</f>
        <v>0:Miguel Diaz Del Moral</v>
      </c>
      <c r="I1083" t="str">
        <f>+dHdcp[[#This Row],[Maximo]]&amp;":"&amp;_xlfn.XLOOKUP(dHdcp[[#This Row],[Nombre]],dJugador[Nombre],dJugador[Mote],"",0)</f>
        <v>0:Cañita</v>
      </c>
      <c r="J1083" t="str">
        <f>+IF(dHdcp[[#This Row],[Maximo]]=0,"",_xlfn.RANK.EQ(dHdcp[[#This Row],[Handicap]],dHdcp[Handicap],1))</f>
        <v/>
      </c>
      <c r="K1083" t="str">
        <f>IFERROR(+_xlfn.RANK.EQ(dHdcp[[#This Row],[Ranking]],dHdcp[Ranking],1),"")</f>
        <v/>
      </c>
      <c r="M1083" t="str">
        <f>+dHdcp[[#This Row],[Fecha]]&amp;":"&amp;dHdcp[[#This Row],[Nombre]]</f>
        <v>44632:Miguel Diaz Del Moral</v>
      </c>
      <c r="N1083">
        <f>+COUNTIF(dHdcp[Columna1],dHdcp[[#This Row],[Columna1]])</f>
        <v>1</v>
      </c>
    </row>
    <row r="1084" spans="1:14">
      <c r="A1084" s="2">
        <v>44632</v>
      </c>
      <c r="B1084" t="s">
        <v>205</v>
      </c>
      <c r="C1084" s="51">
        <v>8.1</v>
      </c>
      <c r="D1084">
        <f>+VLOOKUP(dHdcp[[#This Row],[Handicap]],'Categoría Hdcap'!$B$2:$E$7,4)</f>
        <v>2</v>
      </c>
      <c r="E1084" t="s">
        <v>74</v>
      </c>
      <c r="F1084" t="s">
        <v>1550</v>
      </c>
      <c r="G1084">
        <f>+IF(dHdcp[[#This Row],[Fecha]]=MAX(dHdcp[Fecha]),1,0)</f>
        <v>0</v>
      </c>
      <c r="H1084" t="str">
        <f>+dHdcp[[#This Row],[Maximo]]&amp;":"&amp;dHdcp[[#This Row],[Nombre]]</f>
        <v>0:Nacho Casas</v>
      </c>
      <c r="I1084" t="str">
        <f>+dHdcp[[#This Row],[Maximo]]&amp;":"&amp;_xlfn.XLOOKUP(dHdcp[[#This Row],[Nombre]],dJugador[Nombre],dJugador[Mote],"",0)</f>
        <v>0:Nachete</v>
      </c>
      <c r="J1084" t="str">
        <f>+IF(dHdcp[[#This Row],[Maximo]]=0,"",_xlfn.RANK.EQ(dHdcp[[#This Row],[Handicap]],dHdcp[Handicap],1))</f>
        <v/>
      </c>
      <c r="K1084" t="str">
        <f>IFERROR(+_xlfn.RANK.EQ(dHdcp[[#This Row],[Ranking]],dHdcp[Ranking],1),"")</f>
        <v/>
      </c>
      <c r="M1084" t="str">
        <f>+dHdcp[[#This Row],[Fecha]]&amp;":"&amp;dHdcp[[#This Row],[Nombre]]</f>
        <v>44632:Nacho Casas</v>
      </c>
      <c r="N1084">
        <f>+COUNTIF(dHdcp[Columna1],dHdcp[[#This Row],[Columna1]])</f>
        <v>1</v>
      </c>
    </row>
    <row r="1085" spans="1:14">
      <c r="A1085" s="2">
        <v>44632</v>
      </c>
      <c r="B1085" t="s">
        <v>3</v>
      </c>
      <c r="C1085" s="51">
        <v>6.9</v>
      </c>
      <c r="D1085">
        <f>+VLOOKUP(dHdcp[[#This Row],[Handicap]],'Categoría Hdcap'!$B$2:$E$7,4)</f>
        <v>2</v>
      </c>
      <c r="E1085" t="s">
        <v>74</v>
      </c>
      <c r="F1085" t="s">
        <v>1551</v>
      </c>
      <c r="G1085">
        <f>+IF(dHdcp[[#This Row],[Fecha]]=MAX(dHdcp[Fecha]),1,0)</f>
        <v>0</v>
      </c>
      <c r="H1085" t="str">
        <f>+dHdcp[[#This Row],[Maximo]]&amp;":"&amp;dHdcp[[#This Row],[Nombre]]</f>
        <v>0:Nacho Gonzalez</v>
      </c>
      <c r="I1085" t="str">
        <f>+dHdcp[[#This Row],[Maximo]]&amp;":"&amp;_xlfn.XLOOKUP(dHdcp[[#This Row],[Nombre]],dJugador[Nombre],dJugador[Mote],"",0)</f>
        <v>0:Nacho</v>
      </c>
      <c r="J1085" t="str">
        <f>+IF(dHdcp[[#This Row],[Maximo]]=0,"",_xlfn.RANK.EQ(dHdcp[[#This Row],[Handicap]],dHdcp[Handicap],1))</f>
        <v/>
      </c>
      <c r="K1085" t="str">
        <f>IFERROR(+_xlfn.RANK.EQ(dHdcp[[#This Row],[Ranking]],dHdcp[Ranking],1),"")</f>
        <v/>
      </c>
      <c r="M1085" t="str">
        <f>+dHdcp[[#This Row],[Fecha]]&amp;":"&amp;dHdcp[[#This Row],[Nombre]]</f>
        <v>44632:Nacho Gonzalez</v>
      </c>
      <c r="N1085">
        <f>+COUNTIF(dHdcp[Columna1],dHdcp[[#This Row],[Columna1]])</f>
        <v>1</v>
      </c>
    </row>
    <row r="1086" spans="1:14">
      <c r="A1086" s="2">
        <v>44632</v>
      </c>
      <c r="B1086" t="s">
        <v>28</v>
      </c>
      <c r="C1086" s="51">
        <v>13.7</v>
      </c>
      <c r="D1086">
        <f>+VLOOKUP(dHdcp[[#This Row],[Handicap]],'Categoría Hdcap'!$B$2:$E$7,4)</f>
        <v>3</v>
      </c>
      <c r="E1086" t="s">
        <v>74</v>
      </c>
      <c r="F1086" t="s">
        <v>1552</v>
      </c>
      <c r="G1086">
        <f>+IF(dHdcp[[#This Row],[Fecha]]=MAX(dHdcp[Fecha]),1,0)</f>
        <v>0</v>
      </c>
      <c r="H1086" t="str">
        <f>+dHdcp[[#This Row],[Maximo]]&amp;":"&amp;dHdcp[[#This Row],[Nombre]]</f>
        <v>0:Pablo Munitiz</v>
      </c>
      <c r="I1086" t="str">
        <f>+dHdcp[[#This Row],[Maximo]]&amp;":"&amp;_xlfn.XLOOKUP(dHdcp[[#This Row],[Nombre]],dJugador[Nombre],dJugador[Mote],"",0)</f>
        <v>0:Muni</v>
      </c>
      <c r="J1086" t="str">
        <f>+IF(dHdcp[[#This Row],[Maximo]]=0,"",_xlfn.RANK.EQ(dHdcp[[#This Row],[Handicap]],dHdcp[Handicap],1))</f>
        <v/>
      </c>
      <c r="K1086" t="str">
        <f>IFERROR(+_xlfn.RANK.EQ(dHdcp[[#This Row],[Ranking]],dHdcp[Ranking],1),"")</f>
        <v/>
      </c>
      <c r="M1086" t="str">
        <f>+dHdcp[[#This Row],[Fecha]]&amp;":"&amp;dHdcp[[#This Row],[Nombre]]</f>
        <v>44632:Pablo Munitiz</v>
      </c>
      <c r="N1086">
        <f>+COUNTIF(dHdcp[Columna1],dHdcp[[#This Row],[Columna1]])</f>
        <v>1</v>
      </c>
    </row>
    <row r="1087" spans="1:14">
      <c r="A1087" s="2">
        <v>44632</v>
      </c>
      <c r="B1087" t="s">
        <v>203</v>
      </c>
      <c r="C1087" s="51">
        <v>18.2</v>
      </c>
      <c r="D1087">
        <f>+VLOOKUP(dHdcp[[#This Row],[Handicap]],'Categoría Hdcap'!$B$2:$E$7,4)</f>
        <v>3</v>
      </c>
      <c r="E1087" t="s">
        <v>74</v>
      </c>
      <c r="F1087" t="s">
        <v>1553</v>
      </c>
      <c r="G1087">
        <f>+IF(dHdcp[[#This Row],[Fecha]]=MAX(dHdcp[Fecha]),1,0)</f>
        <v>0</v>
      </c>
      <c r="H1087" t="str">
        <f>+dHdcp[[#This Row],[Maximo]]&amp;":"&amp;dHdcp[[#This Row],[Nombre]]</f>
        <v>0:Ruslan Kochman</v>
      </c>
      <c r="I1087" t="str">
        <f>+dHdcp[[#This Row],[Maximo]]&amp;":"&amp;_xlfn.XLOOKUP(dHdcp[[#This Row],[Nombre]],dJugador[Nombre],dJugador[Mote],"",0)</f>
        <v>0:Rus</v>
      </c>
      <c r="J1087" t="str">
        <f>+IF(dHdcp[[#This Row],[Maximo]]=0,"",_xlfn.RANK.EQ(dHdcp[[#This Row],[Handicap]],dHdcp[Handicap],1))</f>
        <v/>
      </c>
      <c r="K1087" t="str">
        <f>IFERROR(+_xlfn.RANK.EQ(dHdcp[[#This Row],[Ranking]],dHdcp[Ranking],1),"")</f>
        <v/>
      </c>
      <c r="M1087" t="str">
        <f>+dHdcp[[#This Row],[Fecha]]&amp;":"&amp;dHdcp[[#This Row],[Nombre]]</f>
        <v>44632:Ruslan Kochman</v>
      </c>
      <c r="N1087">
        <f>+COUNTIF(dHdcp[Columna1],dHdcp[[#This Row],[Columna1]])</f>
        <v>1</v>
      </c>
    </row>
    <row r="1088" spans="1:14">
      <c r="A1088" s="2">
        <v>44661</v>
      </c>
      <c r="B1088" t="s">
        <v>9</v>
      </c>
      <c r="C1088" s="51">
        <v>11</v>
      </c>
      <c r="D1088">
        <f>+VLOOKUP(dHdcp[[#This Row],[Handicap]],'Categoría Hdcap'!$B$2:$E$7,4)</f>
        <v>2</v>
      </c>
      <c r="E1088" t="s">
        <v>74</v>
      </c>
      <c r="F1088" t="s">
        <v>1554</v>
      </c>
      <c r="G1088">
        <f>+IF(dHdcp[[#This Row],[Fecha]]=MAX(dHdcp[Fecha]),1,0)</f>
        <v>0</v>
      </c>
      <c r="H1088" t="str">
        <f>+dHdcp[[#This Row],[Maximo]]&amp;":"&amp;dHdcp[[#This Row],[Nombre]]</f>
        <v>0:Alfonso Hidalgo</v>
      </c>
      <c r="I1088" t="str">
        <f>+dHdcp[[#This Row],[Maximo]]&amp;":"&amp;_xlfn.XLOOKUP(dHdcp[[#This Row],[Nombre]],dJugador[Nombre],dJugador[Mote],"",0)</f>
        <v>0:Alfonso</v>
      </c>
      <c r="J1088" t="str">
        <f>+IF(dHdcp[[#This Row],[Maximo]]=0,"",_xlfn.RANK.EQ(dHdcp[[#This Row],[Handicap]],dHdcp[Handicap],1))</f>
        <v/>
      </c>
      <c r="K1088" t="str">
        <f>IFERROR(+_xlfn.RANK.EQ(dHdcp[[#This Row],[Ranking]],dHdcp[Ranking],1),"")</f>
        <v/>
      </c>
      <c r="M1088" t="str">
        <f>+dHdcp[[#This Row],[Fecha]]&amp;":"&amp;dHdcp[[#This Row],[Nombre]]</f>
        <v>44661:Alfonso Hidalgo</v>
      </c>
      <c r="N1088">
        <f>+COUNTIF(dHdcp[Columna1],dHdcp[[#This Row],[Columna1]])</f>
        <v>1</v>
      </c>
    </row>
    <row r="1089" spans="1:14">
      <c r="A1089" s="2">
        <v>44661</v>
      </c>
      <c r="B1089" t="s">
        <v>229</v>
      </c>
      <c r="C1089" s="51">
        <v>13.3</v>
      </c>
      <c r="D1089">
        <f>+VLOOKUP(dHdcp[[#This Row],[Handicap]],'Categoría Hdcap'!$B$2:$E$7,4)</f>
        <v>3</v>
      </c>
      <c r="E1089" t="s">
        <v>74</v>
      </c>
      <c r="F1089" t="s">
        <v>1555</v>
      </c>
      <c r="G1089">
        <f>+IF(dHdcp[[#This Row],[Fecha]]=MAX(dHdcp[Fecha]),1,0)</f>
        <v>0</v>
      </c>
      <c r="H1089" t="str">
        <f>+dHdcp[[#This Row],[Maximo]]&amp;":"&amp;dHdcp[[#This Row],[Nombre]]</f>
        <v>0:Alfonso Zorrilla</v>
      </c>
      <c r="I1089" t="str">
        <f>+dHdcp[[#This Row],[Maximo]]&amp;":"&amp;_xlfn.XLOOKUP(dHdcp[[#This Row],[Nombre]],dJugador[Nombre],dJugador[Mote],"",0)</f>
        <v>0:A Zorrilla</v>
      </c>
      <c r="J1089" t="str">
        <f>+IF(dHdcp[[#This Row],[Maximo]]=0,"",_xlfn.RANK.EQ(dHdcp[[#This Row],[Handicap]],dHdcp[Handicap],1))</f>
        <v/>
      </c>
      <c r="K1089" t="str">
        <f>IFERROR(+_xlfn.RANK.EQ(dHdcp[[#This Row],[Ranking]],dHdcp[Ranking],1),"")</f>
        <v/>
      </c>
      <c r="M1089" t="str">
        <f>+dHdcp[[#This Row],[Fecha]]&amp;":"&amp;dHdcp[[#This Row],[Nombre]]</f>
        <v>44661:Alfonso Zorrilla</v>
      </c>
      <c r="N1089">
        <f>+COUNTIF(dHdcp[Columna1],dHdcp[[#This Row],[Columna1]])</f>
        <v>1</v>
      </c>
    </row>
    <row r="1090" spans="1:14">
      <c r="A1090" s="2">
        <v>44661</v>
      </c>
      <c r="B1090" s="13" t="s">
        <v>15</v>
      </c>
      <c r="C1090" s="51">
        <v>6.9</v>
      </c>
      <c r="D1090">
        <f>+VLOOKUP(dHdcp[[#This Row],[Handicap]],'Categoría Hdcap'!$B$2:$E$7,4)</f>
        <v>2</v>
      </c>
      <c r="E1090" t="s">
        <v>74</v>
      </c>
      <c r="F1090" t="s">
        <v>1556</v>
      </c>
      <c r="G1090">
        <f>+IF(dHdcp[[#This Row],[Fecha]]=MAX(dHdcp[Fecha]),1,0)</f>
        <v>0</v>
      </c>
      <c r="H1090" t="str">
        <f>+dHdcp[[#This Row],[Maximo]]&amp;":"&amp;dHdcp[[#This Row],[Nombre]]</f>
        <v>0:Alvaro Aguirre</v>
      </c>
      <c r="I1090" t="str">
        <f>+dHdcp[[#This Row],[Maximo]]&amp;":"&amp;_xlfn.XLOOKUP(dHdcp[[#This Row],[Nombre]],dJugador[Nombre],dJugador[Mote],"",0)</f>
        <v>0:Gifu</v>
      </c>
      <c r="J1090" t="str">
        <f>+IF(dHdcp[[#This Row],[Maximo]]=0,"",_xlfn.RANK.EQ(dHdcp[[#This Row],[Handicap]],dHdcp[Handicap],1))</f>
        <v/>
      </c>
      <c r="K1090" t="str">
        <f>IFERROR(+_xlfn.RANK.EQ(dHdcp[[#This Row],[Ranking]],dHdcp[Ranking],1),"")</f>
        <v/>
      </c>
      <c r="M1090" t="str">
        <f>+dHdcp[[#This Row],[Fecha]]&amp;":"&amp;dHdcp[[#This Row],[Nombre]]</f>
        <v>44661:Alvaro Aguirre</v>
      </c>
      <c r="N1090">
        <f>+COUNTIF(dHdcp[Columna1],dHdcp[[#This Row],[Columna1]])</f>
        <v>1</v>
      </c>
    </row>
    <row r="1091" spans="1:14">
      <c r="A1091" s="2">
        <v>44661</v>
      </c>
      <c r="B1091" t="s">
        <v>201</v>
      </c>
      <c r="C1091" s="51">
        <v>7.4</v>
      </c>
      <c r="D1091">
        <f>+VLOOKUP(dHdcp[[#This Row],[Handicap]],'Categoría Hdcap'!$B$2:$E$7,4)</f>
        <v>2</v>
      </c>
      <c r="E1091" t="s">
        <v>74</v>
      </c>
      <c r="F1091" t="s">
        <v>1557</v>
      </c>
      <c r="G1091">
        <f>+IF(dHdcp[[#This Row],[Fecha]]=MAX(dHdcp[Fecha]),1,0)</f>
        <v>0</v>
      </c>
      <c r="H1091" t="str">
        <f>+dHdcp[[#This Row],[Maximo]]&amp;":"&amp;dHdcp[[#This Row],[Nombre]]</f>
        <v>0:Alvaro Montoya</v>
      </c>
      <c r="I1091" t="str">
        <f>+dHdcp[[#This Row],[Maximo]]&amp;":"&amp;_xlfn.XLOOKUP(dHdcp[[#This Row],[Nombre]],dJugador[Nombre],dJugador[Mote],"",0)</f>
        <v>0:Monti</v>
      </c>
      <c r="J1091" t="str">
        <f>+IF(dHdcp[[#This Row],[Maximo]]=0,"",_xlfn.RANK.EQ(dHdcp[[#This Row],[Handicap]],dHdcp[Handicap],1))</f>
        <v/>
      </c>
      <c r="K1091" t="str">
        <f>IFERROR(+_xlfn.RANK.EQ(dHdcp[[#This Row],[Ranking]],dHdcp[Ranking],1),"")</f>
        <v/>
      </c>
      <c r="M1091" t="str">
        <f>+dHdcp[[#This Row],[Fecha]]&amp;":"&amp;dHdcp[[#This Row],[Nombre]]</f>
        <v>44661:Alvaro Montoya</v>
      </c>
      <c r="N1091">
        <f>+COUNTIF(dHdcp[Columna1],dHdcp[[#This Row],[Columna1]])</f>
        <v>1</v>
      </c>
    </row>
    <row r="1092" spans="1:14">
      <c r="A1092" s="2">
        <v>44661</v>
      </c>
      <c r="B1092" t="s">
        <v>25</v>
      </c>
      <c r="C1092" s="51">
        <v>12.6</v>
      </c>
      <c r="D1092">
        <f>+VLOOKUP(dHdcp[[#This Row],[Handicap]],'Categoría Hdcap'!$B$2:$E$7,4)</f>
        <v>3</v>
      </c>
      <c r="E1092" t="s">
        <v>74</v>
      </c>
      <c r="F1092" t="s">
        <v>1558</v>
      </c>
      <c r="G1092">
        <f>+IF(dHdcp[[#This Row],[Fecha]]=MAX(dHdcp[Fecha]),1,0)</f>
        <v>0</v>
      </c>
      <c r="H1092" t="str">
        <f>+dHdcp[[#This Row],[Maximo]]&amp;":"&amp;dHdcp[[#This Row],[Nombre]]</f>
        <v>0:Alvaro Nieto</v>
      </c>
      <c r="I1092" t="str">
        <f>+dHdcp[[#This Row],[Maximo]]&amp;":"&amp;_xlfn.XLOOKUP(dHdcp[[#This Row],[Nombre]],dJugador[Nombre],dJugador[Mote],"",0)</f>
        <v>0:Alvaro</v>
      </c>
      <c r="J1092" t="str">
        <f>+IF(dHdcp[[#This Row],[Maximo]]=0,"",_xlfn.RANK.EQ(dHdcp[[#This Row],[Handicap]],dHdcp[Handicap],1))</f>
        <v/>
      </c>
      <c r="K1092" t="str">
        <f>IFERROR(+_xlfn.RANK.EQ(dHdcp[[#This Row],[Ranking]],dHdcp[Ranking],1),"")</f>
        <v/>
      </c>
      <c r="M1092" t="str">
        <f>+dHdcp[[#This Row],[Fecha]]&amp;":"&amp;dHdcp[[#This Row],[Nombre]]</f>
        <v>44661:Alvaro Nieto</v>
      </c>
      <c r="N1092">
        <f>+COUNTIF(dHdcp[Columna1],dHdcp[[#This Row],[Columna1]])</f>
        <v>1</v>
      </c>
    </row>
    <row r="1093" spans="1:14">
      <c r="A1093" s="2">
        <v>44661</v>
      </c>
      <c r="B1093" t="s">
        <v>33</v>
      </c>
      <c r="C1093" s="51">
        <v>8</v>
      </c>
      <c r="D1093">
        <f>+VLOOKUP(dHdcp[[#This Row],[Handicap]],'Categoría Hdcap'!$B$2:$E$7,4)</f>
        <v>2</v>
      </c>
      <c r="E1093" t="s">
        <v>74</v>
      </c>
      <c r="F1093" t="s">
        <v>1559</v>
      </c>
      <c r="G1093">
        <f>+IF(dHdcp[[#This Row],[Fecha]]=MAX(dHdcp[Fecha]),1,0)</f>
        <v>0</v>
      </c>
      <c r="H1093" t="str">
        <f>+dHdcp[[#This Row],[Maximo]]&amp;":"&amp;dHdcp[[#This Row],[Nombre]]</f>
        <v>0:Angel Hernandez</v>
      </c>
      <c r="I1093" t="str">
        <f>+dHdcp[[#This Row],[Maximo]]&amp;":"&amp;_xlfn.XLOOKUP(dHdcp[[#This Row],[Nombre]],dJugador[Nombre],dJugador[Mote],"",0)</f>
        <v>0:Angel</v>
      </c>
      <c r="J1093" t="str">
        <f>+IF(dHdcp[[#This Row],[Maximo]]=0,"",_xlfn.RANK.EQ(dHdcp[[#This Row],[Handicap]],dHdcp[Handicap],1))</f>
        <v/>
      </c>
      <c r="K1093" t="str">
        <f>IFERROR(+_xlfn.RANK.EQ(dHdcp[[#This Row],[Ranking]],dHdcp[Ranking],1),"")</f>
        <v/>
      </c>
      <c r="M1093" t="str">
        <f>+dHdcp[[#This Row],[Fecha]]&amp;":"&amp;dHdcp[[#This Row],[Nombre]]</f>
        <v>44661:Angel Hernandez</v>
      </c>
      <c r="N1093">
        <f>+COUNTIF(dHdcp[Columna1],dHdcp[[#This Row],[Columna1]])</f>
        <v>1</v>
      </c>
    </row>
    <row r="1094" spans="1:14">
      <c r="A1094" s="2">
        <v>44661</v>
      </c>
      <c r="B1094" t="s">
        <v>30</v>
      </c>
      <c r="C1094" s="51">
        <v>11.4</v>
      </c>
      <c r="D1094">
        <f>+VLOOKUP(dHdcp[[#This Row],[Handicap]],'Categoría Hdcap'!$B$2:$E$7,4)</f>
        <v>2</v>
      </c>
      <c r="E1094" t="s">
        <v>74</v>
      </c>
      <c r="F1094" t="s">
        <v>1560</v>
      </c>
      <c r="G1094">
        <f>+IF(dHdcp[[#This Row],[Fecha]]=MAX(dHdcp[Fecha]),1,0)</f>
        <v>0</v>
      </c>
      <c r="H1094" t="str">
        <f>+dHdcp[[#This Row],[Maximo]]&amp;":"&amp;dHdcp[[#This Row],[Nombre]]</f>
        <v>0:David Sequera</v>
      </c>
      <c r="I1094" t="str">
        <f>+dHdcp[[#This Row],[Maximo]]&amp;":"&amp;_xlfn.XLOOKUP(dHdcp[[#This Row],[Nombre]],dJugador[Nombre],dJugador[Mote],"",0)</f>
        <v>0:David</v>
      </c>
      <c r="J1094" t="str">
        <f>+IF(dHdcp[[#This Row],[Maximo]]=0,"",_xlfn.RANK.EQ(dHdcp[[#This Row],[Handicap]],dHdcp[Handicap],1))</f>
        <v/>
      </c>
      <c r="K1094" t="str">
        <f>IFERROR(+_xlfn.RANK.EQ(dHdcp[[#This Row],[Ranking]],dHdcp[Ranking],1),"")</f>
        <v/>
      </c>
      <c r="M1094" t="str">
        <f>+dHdcp[[#This Row],[Fecha]]&amp;":"&amp;dHdcp[[#This Row],[Nombre]]</f>
        <v>44661:David Sequera</v>
      </c>
      <c r="N1094">
        <f>+COUNTIF(dHdcp[Columna1],dHdcp[[#This Row],[Columna1]])</f>
        <v>1</v>
      </c>
    </row>
    <row r="1095" spans="1:14">
      <c r="A1095" s="2">
        <v>44661</v>
      </c>
      <c r="B1095" t="s">
        <v>248</v>
      </c>
      <c r="C1095" s="51">
        <v>15.5</v>
      </c>
      <c r="D1095">
        <f>+VLOOKUP(dHdcp[[#This Row],[Handicap]],'Categoría Hdcap'!$B$2:$E$7,4)</f>
        <v>3</v>
      </c>
      <c r="E1095" t="s">
        <v>74</v>
      </c>
      <c r="F1095" t="s">
        <v>1561</v>
      </c>
      <c r="G1095">
        <f>+IF(dHdcp[[#This Row],[Fecha]]=MAX(dHdcp[Fecha]),1,0)</f>
        <v>0</v>
      </c>
      <c r="H1095" t="str">
        <f>+dHdcp[[#This Row],[Maximo]]&amp;":"&amp;dHdcp[[#This Row],[Nombre]]</f>
        <v>0:Enrique Gonzalez R</v>
      </c>
      <c r="I1095" t="str">
        <f>+dHdcp[[#This Row],[Maximo]]&amp;":"&amp;_xlfn.XLOOKUP(dHdcp[[#This Row],[Nombre]],dJugador[Nombre],dJugador[Mote],"",0)</f>
        <v>0:Enrique</v>
      </c>
      <c r="J1095" t="str">
        <f>+IF(dHdcp[[#This Row],[Maximo]]=0,"",_xlfn.RANK.EQ(dHdcp[[#This Row],[Handicap]],dHdcp[Handicap],1))</f>
        <v/>
      </c>
      <c r="K1095" t="str">
        <f>IFERROR(+_xlfn.RANK.EQ(dHdcp[[#This Row],[Ranking]],dHdcp[Ranking],1),"")</f>
        <v/>
      </c>
      <c r="M1095" t="str">
        <f>+dHdcp[[#This Row],[Fecha]]&amp;":"&amp;dHdcp[[#This Row],[Nombre]]</f>
        <v>44661:Enrique Gonzalez R</v>
      </c>
      <c r="N1095">
        <f>+COUNTIF(dHdcp[Columna1],dHdcp[[#This Row],[Columna1]])</f>
        <v>1</v>
      </c>
    </row>
    <row r="1096" spans="1:14">
      <c r="A1096" s="2">
        <v>44661</v>
      </c>
      <c r="B1096" t="s">
        <v>12</v>
      </c>
      <c r="C1096" s="51">
        <v>14.2</v>
      </c>
      <c r="D1096">
        <f>+VLOOKUP(dHdcp[[#This Row],[Handicap]],'Categoría Hdcap'!$B$2:$E$7,4)</f>
        <v>3</v>
      </c>
      <c r="E1096" t="s">
        <v>74</v>
      </c>
      <c r="F1096" t="s">
        <v>1562</v>
      </c>
      <c r="G1096">
        <f>+IF(dHdcp[[#This Row],[Fecha]]=MAX(dHdcp[Fecha]),1,0)</f>
        <v>0</v>
      </c>
      <c r="H1096" t="str">
        <f>+dHdcp[[#This Row],[Maximo]]&amp;":"&amp;dHdcp[[#This Row],[Nombre]]</f>
        <v>0:Francisco Alvarez</v>
      </c>
      <c r="I1096" t="str">
        <f>+dHdcp[[#This Row],[Maximo]]&amp;":"&amp;_xlfn.XLOOKUP(dHdcp[[#This Row],[Nombre]],dJugador[Nombre],dJugador[Mote],"",0)</f>
        <v>0:Paco</v>
      </c>
      <c r="J1096" t="str">
        <f>+IF(dHdcp[[#This Row],[Maximo]]=0,"",_xlfn.RANK.EQ(dHdcp[[#This Row],[Handicap]],dHdcp[Handicap],1))</f>
        <v/>
      </c>
      <c r="K1096" t="str">
        <f>IFERROR(+_xlfn.RANK.EQ(dHdcp[[#This Row],[Ranking]],dHdcp[Ranking],1),"")</f>
        <v/>
      </c>
      <c r="M1096" t="str">
        <f>+dHdcp[[#This Row],[Fecha]]&amp;":"&amp;dHdcp[[#This Row],[Nombre]]</f>
        <v>44661:Francisco Alvarez</v>
      </c>
      <c r="N1096">
        <f>+COUNTIF(dHdcp[Columna1],dHdcp[[#This Row],[Columna1]])</f>
        <v>1</v>
      </c>
    </row>
    <row r="1097" spans="1:14">
      <c r="A1097" s="2">
        <v>44661</v>
      </c>
      <c r="B1097" t="s">
        <v>49</v>
      </c>
      <c r="C1097" s="51">
        <v>12.1</v>
      </c>
      <c r="D1097">
        <f>+VLOOKUP(dHdcp[[#This Row],[Handicap]],'Categoría Hdcap'!$B$2:$E$7,4)</f>
        <v>3</v>
      </c>
      <c r="E1097" t="s">
        <v>74</v>
      </c>
      <c r="F1097" s="94" t="s">
        <v>1563</v>
      </c>
      <c r="G1097">
        <f>+IF(dHdcp[[#This Row],[Fecha]]=MAX(dHdcp[Fecha]),1,0)</f>
        <v>0</v>
      </c>
      <c r="H1097" t="str">
        <f>+dHdcp[[#This Row],[Maximo]]&amp;":"&amp;dHdcp[[#This Row],[Nombre]]</f>
        <v>0:Francisco Hidalgo</v>
      </c>
      <c r="I1097" t="str">
        <f>+dHdcp[[#This Row],[Maximo]]&amp;":"&amp;_xlfn.XLOOKUP(dHdcp[[#This Row],[Nombre]],dJugador[Nombre],dJugador[Mote],"",0)</f>
        <v>0:Fran</v>
      </c>
      <c r="J1097" t="str">
        <f>+IF(dHdcp[[#This Row],[Maximo]]=0,"",_xlfn.RANK.EQ(dHdcp[[#This Row],[Handicap]],dHdcp[Handicap],1))</f>
        <v/>
      </c>
      <c r="K1097" t="str">
        <f>IFERROR(+_xlfn.RANK.EQ(dHdcp[[#This Row],[Ranking]],dHdcp[Ranking],1),"")</f>
        <v/>
      </c>
      <c r="M1097" t="str">
        <f>+dHdcp[[#This Row],[Fecha]]&amp;":"&amp;dHdcp[[#This Row],[Nombre]]</f>
        <v>44661:Francisco Hidalgo</v>
      </c>
      <c r="N1097">
        <f>+COUNTIF(dHdcp[Columna1],dHdcp[[#This Row],[Columna1]])</f>
        <v>1</v>
      </c>
    </row>
    <row r="1098" spans="1:14">
      <c r="A1098" s="2">
        <v>44661</v>
      </c>
      <c r="B1098" t="s">
        <v>207</v>
      </c>
      <c r="C1098" s="51">
        <v>14.4</v>
      </c>
      <c r="D1098">
        <f>+VLOOKUP(dHdcp[[#This Row],[Handicap]],'Categoría Hdcap'!$B$2:$E$7,4)</f>
        <v>3</v>
      </c>
      <c r="E1098" t="s">
        <v>74</v>
      </c>
      <c r="F1098" t="s">
        <v>1564</v>
      </c>
      <c r="G1098">
        <f>+IF(dHdcp[[#This Row],[Fecha]]=MAX(dHdcp[Fecha]),1,0)</f>
        <v>0</v>
      </c>
      <c r="H1098" t="str">
        <f>+dHdcp[[#This Row],[Maximo]]&amp;":"&amp;dHdcp[[#This Row],[Nombre]]</f>
        <v>0:Franck Benouniche</v>
      </c>
      <c r="I1098" t="str">
        <f>+dHdcp[[#This Row],[Maximo]]&amp;":"&amp;_xlfn.XLOOKUP(dHdcp[[#This Row],[Nombre]],dJugador[Nombre],dJugador[Mote],"",0)</f>
        <v>0:Franck</v>
      </c>
      <c r="J1098" t="str">
        <f>+IF(dHdcp[[#This Row],[Maximo]]=0,"",_xlfn.RANK.EQ(dHdcp[[#This Row],[Handicap]],dHdcp[Handicap],1))</f>
        <v/>
      </c>
      <c r="K1098" t="str">
        <f>IFERROR(+_xlfn.RANK.EQ(dHdcp[[#This Row],[Ranking]],dHdcp[Ranking],1),"")</f>
        <v/>
      </c>
      <c r="M1098" t="str">
        <f>+dHdcp[[#This Row],[Fecha]]&amp;":"&amp;dHdcp[[#This Row],[Nombre]]</f>
        <v>44661:Franck Benouniche</v>
      </c>
      <c r="N1098">
        <f>+COUNTIF(dHdcp[Columna1],dHdcp[[#This Row],[Columna1]])</f>
        <v>1</v>
      </c>
    </row>
    <row r="1099" spans="1:14">
      <c r="A1099" s="2">
        <v>44661</v>
      </c>
      <c r="B1099" t="s">
        <v>35</v>
      </c>
      <c r="C1099" s="51">
        <v>18.5</v>
      </c>
      <c r="D1099">
        <f>+VLOOKUP(dHdcp[[#This Row],[Handicap]],'Categoría Hdcap'!$B$2:$E$7,4)</f>
        <v>4</v>
      </c>
      <c r="E1099" t="s">
        <v>74</v>
      </c>
      <c r="F1099" t="s">
        <v>1565</v>
      </c>
      <c r="G1099">
        <f>+IF(dHdcp[[#This Row],[Fecha]]=MAX(dHdcp[Fecha]),1,0)</f>
        <v>0</v>
      </c>
      <c r="H1099" t="str">
        <f>+dHdcp[[#This Row],[Maximo]]&amp;":"&amp;dHdcp[[#This Row],[Nombre]]</f>
        <v>0:GLEZ JUAN JOSÉ</v>
      </c>
      <c r="I1099" t="str">
        <f>+dHdcp[[#This Row],[Maximo]]&amp;":"&amp;_xlfn.XLOOKUP(dHdcp[[#This Row],[Nombre]],dJugador[Nombre],dJugador[Mote],"",0)</f>
        <v>0:Juanjo</v>
      </c>
      <c r="J1099" t="str">
        <f>+IF(dHdcp[[#This Row],[Maximo]]=0,"",_xlfn.RANK.EQ(dHdcp[[#This Row],[Handicap]],dHdcp[Handicap],1))</f>
        <v/>
      </c>
      <c r="K1099" t="str">
        <f>IFERROR(+_xlfn.RANK.EQ(dHdcp[[#This Row],[Ranking]],dHdcp[Ranking],1),"")</f>
        <v/>
      </c>
      <c r="M1099" t="str">
        <f>+dHdcp[[#This Row],[Fecha]]&amp;":"&amp;dHdcp[[#This Row],[Nombre]]</f>
        <v>44661:GLEZ JUAN JOSÉ</v>
      </c>
      <c r="N1099">
        <f>+COUNTIF(dHdcp[Columna1],dHdcp[[#This Row],[Columna1]])</f>
        <v>1</v>
      </c>
    </row>
    <row r="1100" spans="1:14">
      <c r="A1100" s="2">
        <v>44661</v>
      </c>
      <c r="B1100" t="s">
        <v>6</v>
      </c>
      <c r="C1100" s="51">
        <v>8.3000000000000007</v>
      </c>
      <c r="D1100">
        <f>+VLOOKUP(dHdcp[[#This Row],[Handicap]],'Categoría Hdcap'!$B$2:$E$7,4)</f>
        <v>2</v>
      </c>
      <c r="E1100" t="s">
        <v>74</v>
      </c>
      <c r="F1100" t="s">
        <v>1566</v>
      </c>
      <c r="G1100">
        <f>+IF(dHdcp[[#This Row],[Fecha]]=MAX(dHdcp[Fecha]),1,0)</f>
        <v>0</v>
      </c>
      <c r="H1100" t="str">
        <f>+dHdcp[[#This Row],[Maximo]]&amp;":"&amp;dHdcp[[#This Row],[Nombre]]</f>
        <v>0:Ignacio Cadarso</v>
      </c>
      <c r="I1100" t="str">
        <f>+dHdcp[[#This Row],[Maximo]]&amp;":"&amp;_xlfn.XLOOKUP(dHdcp[[#This Row],[Nombre]],dJugador[Nombre],dJugador[Mote],"",0)</f>
        <v>0:Ignacio</v>
      </c>
      <c r="J1100" t="str">
        <f>+IF(dHdcp[[#This Row],[Maximo]]=0,"",_xlfn.RANK.EQ(dHdcp[[#This Row],[Handicap]],dHdcp[Handicap],1))</f>
        <v/>
      </c>
      <c r="K1100" t="str">
        <f>IFERROR(+_xlfn.RANK.EQ(dHdcp[[#This Row],[Ranking]],dHdcp[Ranking],1),"")</f>
        <v/>
      </c>
      <c r="M1100" t="str">
        <f>+dHdcp[[#This Row],[Fecha]]&amp;":"&amp;dHdcp[[#This Row],[Nombre]]</f>
        <v>44661:Ignacio Cadarso</v>
      </c>
      <c r="N1100">
        <f>+COUNTIF(dHdcp[Columna1],dHdcp[[#This Row],[Columna1]])</f>
        <v>1</v>
      </c>
    </row>
    <row r="1101" spans="1:14">
      <c r="A1101" s="2">
        <v>44661</v>
      </c>
      <c r="B1101" t="s">
        <v>23</v>
      </c>
      <c r="C1101" s="51">
        <v>17.5</v>
      </c>
      <c r="D1101">
        <f>+VLOOKUP(dHdcp[[#This Row],[Handicap]],'Categoría Hdcap'!$B$2:$E$7,4)</f>
        <v>3</v>
      </c>
      <c r="E1101" t="s">
        <v>74</v>
      </c>
      <c r="F1101" t="s">
        <v>1567</v>
      </c>
      <c r="G1101">
        <f>+IF(dHdcp[[#This Row],[Fecha]]=MAX(dHdcp[Fecha]),1,0)</f>
        <v>0</v>
      </c>
      <c r="H1101" t="str">
        <f>+dHdcp[[#This Row],[Maximo]]&amp;":"&amp;dHdcp[[#This Row],[Nombre]]</f>
        <v>0:J. Enrique Gonzalez</v>
      </c>
      <c r="I1101" t="str">
        <f>+dHdcp[[#This Row],[Maximo]]&amp;":"&amp;_xlfn.XLOOKUP(dHdcp[[#This Row],[Nombre]],dJugador[Nombre],dJugador[Mote],"",0)</f>
        <v>0:Kike</v>
      </c>
      <c r="J1101" t="str">
        <f>+IF(dHdcp[[#This Row],[Maximo]]=0,"",_xlfn.RANK.EQ(dHdcp[[#This Row],[Handicap]],dHdcp[Handicap],1))</f>
        <v/>
      </c>
      <c r="K1101" t="str">
        <f>IFERROR(+_xlfn.RANK.EQ(dHdcp[[#This Row],[Ranking]],dHdcp[Ranking],1),"")</f>
        <v/>
      </c>
      <c r="M1101" t="str">
        <f>+dHdcp[[#This Row],[Fecha]]&amp;":"&amp;dHdcp[[#This Row],[Nombre]]</f>
        <v>44661:J. Enrique Gonzalez</v>
      </c>
      <c r="N1101">
        <f>+COUNTIF(dHdcp[Columna1],dHdcp[[#This Row],[Columna1]])</f>
        <v>1</v>
      </c>
    </row>
    <row r="1102" spans="1:14">
      <c r="A1102" s="2">
        <v>44661</v>
      </c>
      <c r="B1102" t="s">
        <v>46</v>
      </c>
      <c r="C1102" s="51">
        <v>17.2</v>
      </c>
      <c r="D1102">
        <f>+VLOOKUP(dHdcp[[#This Row],[Handicap]],'Categoría Hdcap'!$B$2:$E$7,4)</f>
        <v>3</v>
      </c>
      <c r="E1102" t="s">
        <v>74</v>
      </c>
      <c r="F1102" t="s">
        <v>1568</v>
      </c>
      <c r="G1102">
        <f>+IF(dHdcp[[#This Row],[Fecha]]=MAX(dHdcp[Fecha]),1,0)</f>
        <v>0</v>
      </c>
      <c r="H1102" t="str">
        <f>+dHdcp[[#This Row],[Maximo]]&amp;":"&amp;dHdcp[[#This Row],[Nombre]]</f>
        <v>0:Javier Cervera</v>
      </c>
      <c r="I1102" t="str">
        <f>+dHdcp[[#This Row],[Maximo]]&amp;":"&amp;_xlfn.XLOOKUP(dHdcp[[#This Row],[Nombre]],dJugador[Nombre],dJugador[Mote],"",0)</f>
        <v>0:Virus</v>
      </c>
      <c r="J1102" t="str">
        <f>+IF(dHdcp[[#This Row],[Maximo]]=0,"",_xlfn.RANK.EQ(dHdcp[[#This Row],[Handicap]],dHdcp[Handicap],1))</f>
        <v/>
      </c>
      <c r="K1102" t="str">
        <f>IFERROR(+_xlfn.RANK.EQ(dHdcp[[#This Row],[Ranking]],dHdcp[Ranking],1),"")</f>
        <v/>
      </c>
      <c r="M1102" t="str">
        <f>+dHdcp[[#This Row],[Fecha]]&amp;":"&amp;dHdcp[[#This Row],[Nombre]]</f>
        <v>44661:Javier Cervera</v>
      </c>
      <c r="N1102">
        <f>+COUNTIF(dHdcp[Columna1],dHdcp[[#This Row],[Columna1]])</f>
        <v>1</v>
      </c>
    </row>
    <row r="1103" spans="1:14">
      <c r="A1103" s="2">
        <v>44661</v>
      </c>
      <c r="B1103" t="s">
        <v>225</v>
      </c>
      <c r="C1103" s="51">
        <v>10.8</v>
      </c>
      <c r="D1103">
        <f>+VLOOKUP(dHdcp[[#This Row],[Handicap]],'Categoría Hdcap'!$B$2:$E$7,4)</f>
        <v>2</v>
      </c>
      <c r="E1103" t="s">
        <v>74</v>
      </c>
      <c r="F1103" t="s">
        <v>1569</v>
      </c>
      <c r="G1103">
        <f>+IF(dHdcp[[#This Row],[Fecha]]=MAX(dHdcp[Fecha]),1,0)</f>
        <v>0</v>
      </c>
      <c r="H1103" t="str">
        <f>+dHdcp[[#This Row],[Maximo]]&amp;":"&amp;dHdcp[[#This Row],[Nombre]]</f>
        <v>0:Javier Chiralt</v>
      </c>
      <c r="I1103" t="str">
        <f>+dHdcp[[#This Row],[Maximo]]&amp;":"&amp;_xlfn.XLOOKUP(dHdcp[[#This Row],[Nombre]],dJugador[Nombre],dJugador[Mote],"",0)</f>
        <v>0:Chiralt</v>
      </c>
      <c r="J1103" t="str">
        <f>+IF(dHdcp[[#This Row],[Maximo]]=0,"",_xlfn.RANK.EQ(dHdcp[[#This Row],[Handicap]],dHdcp[Handicap],1))</f>
        <v/>
      </c>
      <c r="K1103" t="str">
        <f>IFERROR(+_xlfn.RANK.EQ(dHdcp[[#This Row],[Ranking]],dHdcp[Ranking],1),"")</f>
        <v/>
      </c>
      <c r="M1103" t="str">
        <f>+dHdcp[[#This Row],[Fecha]]&amp;":"&amp;dHdcp[[#This Row],[Nombre]]</f>
        <v>44661:Javier Chiralt</v>
      </c>
      <c r="N1103">
        <f>+COUNTIF(dHdcp[Columna1],dHdcp[[#This Row],[Columna1]])</f>
        <v>1</v>
      </c>
    </row>
    <row r="1104" spans="1:14">
      <c r="A1104" s="2">
        <v>44661</v>
      </c>
      <c r="B1104" t="s">
        <v>20</v>
      </c>
      <c r="C1104" s="51">
        <v>16.3</v>
      </c>
      <c r="D1104">
        <f>+VLOOKUP(dHdcp[[#This Row],[Handicap]],'Categoría Hdcap'!$B$2:$E$7,4)</f>
        <v>3</v>
      </c>
      <c r="E1104" t="s">
        <v>74</v>
      </c>
      <c r="F1104" t="s">
        <v>1570</v>
      </c>
      <c r="G1104">
        <f>+IF(dHdcp[[#This Row],[Fecha]]=MAX(dHdcp[Fecha]),1,0)</f>
        <v>0</v>
      </c>
      <c r="H1104" t="str">
        <f>+dHdcp[[#This Row],[Maximo]]&amp;":"&amp;dHdcp[[#This Row],[Nombre]]</f>
        <v>0:Javier Gonzalez Salvador</v>
      </c>
      <c r="I1104" t="str">
        <f>+dHdcp[[#This Row],[Maximo]]&amp;":"&amp;_xlfn.XLOOKUP(dHdcp[[#This Row],[Nombre]],dJugador[Nombre],dJugador[Mote],"",0)</f>
        <v>0:Javi</v>
      </c>
      <c r="J1104" t="str">
        <f>+IF(dHdcp[[#This Row],[Maximo]]=0,"",_xlfn.RANK.EQ(dHdcp[[#This Row],[Handicap]],dHdcp[Handicap],1))</f>
        <v/>
      </c>
      <c r="K1104" t="str">
        <f>IFERROR(+_xlfn.RANK.EQ(dHdcp[[#This Row],[Ranking]],dHdcp[Ranking],1),"")</f>
        <v/>
      </c>
      <c r="M1104" t="str">
        <f>+dHdcp[[#This Row],[Fecha]]&amp;":"&amp;dHdcp[[#This Row],[Nombre]]</f>
        <v>44661:Javier Gonzalez Salvador</v>
      </c>
      <c r="N1104">
        <f>+COUNTIF(dHdcp[Columna1],dHdcp[[#This Row],[Columna1]])</f>
        <v>1</v>
      </c>
    </row>
    <row r="1105" spans="1:14">
      <c r="A1105" s="2">
        <v>44661</v>
      </c>
      <c r="B1105" t="s">
        <v>217</v>
      </c>
      <c r="C1105" s="51">
        <v>22.8</v>
      </c>
      <c r="D1105">
        <f>+VLOOKUP(dHdcp[[#This Row],[Handicap]],'Categoría Hdcap'!$B$2:$E$7,4)</f>
        <v>4</v>
      </c>
      <c r="E1105" t="s">
        <v>74</v>
      </c>
      <c r="F1105" t="s">
        <v>1571</v>
      </c>
      <c r="G1105">
        <f>+IF(dHdcp[[#This Row],[Fecha]]=MAX(dHdcp[Fecha]),1,0)</f>
        <v>0</v>
      </c>
      <c r="H1105" t="str">
        <f>+dHdcp[[#This Row],[Maximo]]&amp;":"&amp;dHdcp[[#This Row],[Nombre]]</f>
        <v>0:Javier Lopez Gullón</v>
      </c>
      <c r="I1105" t="str">
        <f>+dHdcp[[#This Row],[Maximo]]&amp;":"&amp;_xlfn.XLOOKUP(dHdcp[[#This Row],[Nombre]],dJugador[Nombre],dJugador[Mote],"",0)</f>
        <v>0:Cuñao</v>
      </c>
      <c r="J1105" t="str">
        <f>+IF(dHdcp[[#This Row],[Maximo]]=0,"",_xlfn.RANK.EQ(dHdcp[[#This Row],[Handicap]],dHdcp[Handicap],1))</f>
        <v/>
      </c>
      <c r="K1105" t="str">
        <f>IFERROR(+_xlfn.RANK.EQ(dHdcp[[#This Row],[Ranking]],dHdcp[Ranking],1),"")</f>
        <v/>
      </c>
      <c r="M1105" t="str">
        <f>+dHdcp[[#This Row],[Fecha]]&amp;":"&amp;dHdcp[[#This Row],[Nombre]]</f>
        <v>44661:Javier Lopez Gullón</v>
      </c>
      <c r="N1105">
        <f>+COUNTIF(dHdcp[Columna1],dHdcp[[#This Row],[Columna1]])</f>
        <v>1</v>
      </c>
    </row>
    <row r="1106" spans="1:14">
      <c r="A1106" s="2">
        <v>44661</v>
      </c>
      <c r="B1106" t="s">
        <v>41</v>
      </c>
      <c r="C1106" s="51">
        <v>25.6</v>
      </c>
      <c r="D1106">
        <f>+VLOOKUP(dHdcp[[#This Row],[Handicap]],'Categoría Hdcap'!$B$2:$E$7,4)</f>
        <v>4</v>
      </c>
      <c r="E1106" t="s">
        <v>74</v>
      </c>
      <c r="F1106" t="s">
        <v>1572</v>
      </c>
      <c r="G1106">
        <f>+IF(dHdcp[[#This Row],[Fecha]]=MAX(dHdcp[Fecha]),1,0)</f>
        <v>0</v>
      </c>
      <c r="H1106" t="str">
        <f>+dHdcp[[#This Row],[Maximo]]&amp;":"&amp;dHdcp[[#This Row],[Nombre]]</f>
        <v>0:Jesus Touceda</v>
      </c>
      <c r="I1106" t="str">
        <f>+dHdcp[[#This Row],[Maximo]]&amp;":"&amp;_xlfn.XLOOKUP(dHdcp[[#This Row],[Nombre]],dJugador[Nombre],dJugador[Mote],"",0)</f>
        <v>0:Jesús</v>
      </c>
      <c r="J1106" t="str">
        <f>+IF(dHdcp[[#This Row],[Maximo]]=0,"",_xlfn.RANK.EQ(dHdcp[[#This Row],[Handicap]],dHdcp[Handicap],1))</f>
        <v/>
      </c>
      <c r="K1106" t="str">
        <f>IFERROR(+_xlfn.RANK.EQ(dHdcp[[#This Row],[Ranking]],dHdcp[Ranking],1),"")</f>
        <v/>
      </c>
      <c r="M1106" t="str">
        <f>+dHdcp[[#This Row],[Fecha]]&amp;":"&amp;dHdcp[[#This Row],[Nombre]]</f>
        <v>44661:Jesus Touceda</v>
      </c>
      <c r="N1106">
        <f>+COUNTIF(dHdcp[Columna1],dHdcp[[#This Row],[Columna1]])</f>
        <v>1</v>
      </c>
    </row>
    <row r="1107" spans="1:14">
      <c r="A1107" s="2">
        <v>44661</v>
      </c>
      <c r="B1107" t="s">
        <v>18</v>
      </c>
      <c r="C1107" s="51">
        <v>7.3</v>
      </c>
      <c r="D1107">
        <f>+VLOOKUP(dHdcp[[#This Row],[Handicap]],'Categoría Hdcap'!$B$2:$E$7,4)</f>
        <v>2</v>
      </c>
      <c r="E1107" t="s">
        <v>74</v>
      </c>
      <c r="F1107" t="s">
        <v>1573</v>
      </c>
      <c r="G1107">
        <f>+IF(dHdcp[[#This Row],[Fecha]]=MAX(dHdcp[Fecha]),1,0)</f>
        <v>0</v>
      </c>
      <c r="H1107" t="str">
        <f>+dHdcp[[#This Row],[Maximo]]&amp;":"&amp;dHdcp[[#This Row],[Nombre]]</f>
        <v>0:José Pablo Guil</v>
      </c>
      <c r="I1107" t="str">
        <f>+dHdcp[[#This Row],[Maximo]]&amp;":"&amp;_xlfn.XLOOKUP(dHdcp[[#This Row],[Nombre]],dJugador[Nombre],dJugador[Mote],"",0)</f>
        <v>0:JP</v>
      </c>
      <c r="J1107" t="str">
        <f>+IF(dHdcp[[#This Row],[Maximo]]=0,"",_xlfn.RANK.EQ(dHdcp[[#This Row],[Handicap]],dHdcp[Handicap],1))</f>
        <v/>
      </c>
      <c r="K1107" t="str">
        <f>IFERROR(+_xlfn.RANK.EQ(dHdcp[[#This Row],[Ranking]],dHdcp[Ranking],1),"")</f>
        <v/>
      </c>
      <c r="M1107" t="str">
        <f>+dHdcp[[#This Row],[Fecha]]&amp;":"&amp;dHdcp[[#This Row],[Nombre]]</f>
        <v>44661:José Pablo Guil</v>
      </c>
      <c r="N1107">
        <f>+COUNTIF(dHdcp[Columna1],dHdcp[[#This Row],[Columna1]])</f>
        <v>1</v>
      </c>
    </row>
    <row r="1108" spans="1:14">
      <c r="A1108" s="2">
        <v>44661</v>
      </c>
      <c r="B1108" t="s">
        <v>43</v>
      </c>
      <c r="C1108" s="51">
        <v>18.5</v>
      </c>
      <c r="D1108">
        <f>+VLOOKUP(dHdcp[[#This Row],[Handicap]],'Categoría Hdcap'!$B$2:$E$7,4)</f>
        <v>4</v>
      </c>
      <c r="E1108" t="s">
        <v>74</v>
      </c>
      <c r="F1108" t="s">
        <v>1574</v>
      </c>
      <c r="G1108">
        <f>+IF(dHdcp[[#This Row],[Fecha]]=MAX(dHdcp[Fecha]),1,0)</f>
        <v>0</v>
      </c>
      <c r="H1108" t="str">
        <f>+dHdcp[[#This Row],[Maximo]]&amp;":"&amp;dHdcp[[#This Row],[Nombre]]</f>
        <v>0:Luis Escudero</v>
      </c>
      <c r="I1108" t="str">
        <f>+dHdcp[[#This Row],[Maximo]]&amp;":"&amp;_xlfn.XLOOKUP(dHdcp[[#This Row],[Nombre]],dJugador[Nombre],dJugador[Mote],"",0)</f>
        <v>0:Lucho</v>
      </c>
      <c r="J1108" t="str">
        <f>+IF(dHdcp[[#This Row],[Maximo]]=0,"",_xlfn.RANK.EQ(dHdcp[[#This Row],[Handicap]],dHdcp[Handicap],1))</f>
        <v/>
      </c>
      <c r="K1108" t="str">
        <f>IFERROR(+_xlfn.RANK.EQ(dHdcp[[#This Row],[Ranking]],dHdcp[Ranking],1),"")</f>
        <v/>
      </c>
      <c r="M1108" t="str">
        <f>+dHdcp[[#This Row],[Fecha]]&amp;":"&amp;dHdcp[[#This Row],[Nombre]]</f>
        <v>44661:Luis Escudero</v>
      </c>
      <c r="N1108">
        <f>+COUNTIF(dHdcp[Columna1],dHdcp[[#This Row],[Columna1]])</f>
        <v>1</v>
      </c>
    </row>
    <row r="1109" spans="1:14">
      <c r="A1109" s="2">
        <v>44661</v>
      </c>
      <c r="B1109" s="10" t="s">
        <v>135</v>
      </c>
      <c r="C1109" s="53">
        <v>22.8</v>
      </c>
      <c r="D1109" s="10">
        <f>+VLOOKUP(dHdcp[[#This Row],[Handicap]],'Categoría Hdcap'!$B$2:$E$7,4)</f>
        <v>4</v>
      </c>
      <c r="E1109" s="10" t="s">
        <v>74</v>
      </c>
      <c r="F1109" s="10" t="s">
        <v>1575</v>
      </c>
      <c r="G1109">
        <f>+IF(dHdcp[[#This Row],[Fecha]]=MAX(dHdcp[Fecha]),1,0)</f>
        <v>0</v>
      </c>
      <c r="H1109" t="str">
        <f>+dHdcp[[#This Row],[Maximo]]&amp;":"&amp;dHdcp[[#This Row],[Nombre]]</f>
        <v>0:Miche Lopez</v>
      </c>
      <c r="I1109" t="str">
        <f>+dHdcp[[#This Row],[Maximo]]&amp;":"&amp;_xlfn.XLOOKUP(dHdcp[[#This Row],[Nombre]],dJugador[Nombre],dJugador[Mote],"",0)</f>
        <v>0:Miche</v>
      </c>
      <c r="J1109" t="str">
        <f>+IF(dHdcp[[#This Row],[Maximo]]=0,"",_xlfn.RANK.EQ(dHdcp[[#This Row],[Handicap]],dHdcp[Handicap],1))</f>
        <v/>
      </c>
      <c r="K1109" t="str">
        <f>IFERROR(+_xlfn.RANK.EQ(dHdcp[[#This Row],[Ranking]],dHdcp[Ranking],1),"")</f>
        <v/>
      </c>
      <c r="M1109" t="str">
        <f>+dHdcp[[#This Row],[Fecha]]&amp;":"&amp;dHdcp[[#This Row],[Nombre]]</f>
        <v>44661:Miche Lopez</v>
      </c>
      <c r="N1109">
        <f>+COUNTIF(dHdcp[Columna1],dHdcp[[#This Row],[Columna1]])</f>
        <v>1</v>
      </c>
    </row>
    <row r="1110" spans="1:14">
      <c r="A1110" s="2">
        <v>44661</v>
      </c>
      <c r="B1110" t="s">
        <v>51</v>
      </c>
      <c r="C1110" s="51">
        <v>0</v>
      </c>
      <c r="D1110">
        <f>+VLOOKUP(dHdcp[[#This Row],[Handicap]],'Categoría Hdcap'!$B$2:$E$7,4)</f>
        <v>1</v>
      </c>
      <c r="E1110" t="s">
        <v>74</v>
      </c>
      <c r="F1110" t="s">
        <v>1576</v>
      </c>
      <c r="G1110">
        <f>+IF(dHdcp[[#This Row],[Fecha]]=MAX(dHdcp[Fecha]),1,0)</f>
        <v>0</v>
      </c>
      <c r="H1110" t="str">
        <f>+dHdcp[[#This Row],[Maximo]]&amp;":"&amp;dHdcp[[#This Row],[Nombre]]</f>
        <v>0:Miguel Diaz Del Moral</v>
      </c>
      <c r="I1110" t="str">
        <f>+dHdcp[[#This Row],[Maximo]]&amp;":"&amp;_xlfn.XLOOKUP(dHdcp[[#This Row],[Nombre]],dJugador[Nombre],dJugador[Mote],"",0)</f>
        <v>0:Cañita</v>
      </c>
      <c r="J1110" t="str">
        <f>+IF(dHdcp[[#This Row],[Maximo]]=0,"",_xlfn.RANK.EQ(dHdcp[[#This Row],[Handicap]],dHdcp[Handicap],1))</f>
        <v/>
      </c>
      <c r="K1110" t="str">
        <f>IFERROR(+_xlfn.RANK.EQ(dHdcp[[#This Row],[Ranking]],dHdcp[Ranking],1),"")</f>
        <v/>
      </c>
      <c r="M1110" t="str">
        <f>+dHdcp[[#This Row],[Fecha]]&amp;":"&amp;dHdcp[[#This Row],[Nombre]]</f>
        <v>44661:Miguel Diaz Del Moral</v>
      </c>
      <c r="N1110">
        <f>+COUNTIF(dHdcp[Columna1],dHdcp[[#This Row],[Columna1]])</f>
        <v>1</v>
      </c>
    </row>
    <row r="1111" spans="1:14">
      <c r="A1111" s="2">
        <v>44661</v>
      </c>
      <c r="B1111" t="s">
        <v>205</v>
      </c>
      <c r="C1111" s="51">
        <v>8.3000000000000007</v>
      </c>
      <c r="D1111">
        <f>+VLOOKUP(dHdcp[[#This Row],[Handicap]],'Categoría Hdcap'!$B$2:$E$7,4)</f>
        <v>2</v>
      </c>
      <c r="E1111" t="s">
        <v>74</v>
      </c>
      <c r="F1111" t="s">
        <v>1577</v>
      </c>
      <c r="G1111">
        <f>+IF(dHdcp[[#This Row],[Fecha]]=MAX(dHdcp[Fecha]),1,0)</f>
        <v>0</v>
      </c>
      <c r="H1111" t="str">
        <f>+dHdcp[[#This Row],[Maximo]]&amp;":"&amp;dHdcp[[#This Row],[Nombre]]</f>
        <v>0:Nacho Casas</v>
      </c>
      <c r="I1111" t="str">
        <f>+dHdcp[[#This Row],[Maximo]]&amp;":"&amp;_xlfn.XLOOKUP(dHdcp[[#This Row],[Nombre]],dJugador[Nombre],dJugador[Mote],"",0)</f>
        <v>0:Nachete</v>
      </c>
      <c r="J1111" t="str">
        <f>+IF(dHdcp[[#This Row],[Maximo]]=0,"",_xlfn.RANK.EQ(dHdcp[[#This Row],[Handicap]],dHdcp[Handicap],1))</f>
        <v/>
      </c>
      <c r="K1111" t="str">
        <f>IFERROR(+_xlfn.RANK.EQ(dHdcp[[#This Row],[Ranking]],dHdcp[Ranking],1),"")</f>
        <v/>
      </c>
      <c r="M1111" t="str">
        <f>+dHdcp[[#This Row],[Fecha]]&amp;":"&amp;dHdcp[[#This Row],[Nombre]]</f>
        <v>44661:Nacho Casas</v>
      </c>
      <c r="N1111">
        <f>+COUNTIF(dHdcp[Columna1],dHdcp[[#This Row],[Columna1]])</f>
        <v>1</v>
      </c>
    </row>
    <row r="1112" spans="1:14">
      <c r="A1112" s="2">
        <v>44661</v>
      </c>
      <c r="B1112" t="s">
        <v>3</v>
      </c>
      <c r="C1112" s="51">
        <v>6.8</v>
      </c>
      <c r="D1112">
        <f>+VLOOKUP(dHdcp[[#This Row],[Handicap]],'Categoría Hdcap'!$B$2:$E$7,4)</f>
        <v>2</v>
      </c>
      <c r="E1112" t="s">
        <v>74</v>
      </c>
      <c r="F1112" t="s">
        <v>1578</v>
      </c>
      <c r="G1112">
        <f>+IF(dHdcp[[#This Row],[Fecha]]=MAX(dHdcp[Fecha]),1,0)</f>
        <v>0</v>
      </c>
      <c r="H1112" t="str">
        <f>+dHdcp[[#This Row],[Maximo]]&amp;":"&amp;dHdcp[[#This Row],[Nombre]]</f>
        <v>0:Nacho Gonzalez</v>
      </c>
      <c r="I1112" t="str">
        <f>+dHdcp[[#This Row],[Maximo]]&amp;":"&amp;_xlfn.XLOOKUP(dHdcp[[#This Row],[Nombre]],dJugador[Nombre],dJugador[Mote],"",0)</f>
        <v>0:Nacho</v>
      </c>
      <c r="J1112" t="str">
        <f>+IF(dHdcp[[#This Row],[Maximo]]=0,"",_xlfn.RANK.EQ(dHdcp[[#This Row],[Handicap]],dHdcp[Handicap],1))</f>
        <v/>
      </c>
      <c r="K1112" t="str">
        <f>IFERROR(+_xlfn.RANK.EQ(dHdcp[[#This Row],[Ranking]],dHdcp[Ranking],1),"")</f>
        <v/>
      </c>
      <c r="M1112" t="str">
        <f>+dHdcp[[#This Row],[Fecha]]&amp;":"&amp;dHdcp[[#This Row],[Nombre]]</f>
        <v>44661:Nacho Gonzalez</v>
      </c>
      <c r="N1112">
        <f>+COUNTIF(dHdcp[Columna1],dHdcp[[#This Row],[Columna1]])</f>
        <v>1</v>
      </c>
    </row>
    <row r="1113" spans="1:14">
      <c r="A1113" s="2">
        <v>44661</v>
      </c>
      <c r="B1113" t="s">
        <v>28</v>
      </c>
      <c r="C1113" s="51">
        <v>13.7</v>
      </c>
      <c r="D1113">
        <f>+VLOOKUP(dHdcp[[#This Row],[Handicap]],'Categoría Hdcap'!$B$2:$E$7,4)</f>
        <v>3</v>
      </c>
      <c r="E1113" t="s">
        <v>74</v>
      </c>
      <c r="F1113" t="s">
        <v>1579</v>
      </c>
      <c r="G1113">
        <f>+IF(dHdcp[[#This Row],[Fecha]]=MAX(dHdcp[Fecha]),1,0)</f>
        <v>0</v>
      </c>
      <c r="H1113" t="str">
        <f>+dHdcp[[#This Row],[Maximo]]&amp;":"&amp;dHdcp[[#This Row],[Nombre]]</f>
        <v>0:Pablo Munitiz</v>
      </c>
      <c r="I1113" t="str">
        <f>+dHdcp[[#This Row],[Maximo]]&amp;":"&amp;_xlfn.XLOOKUP(dHdcp[[#This Row],[Nombre]],dJugador[Nombre],dJugador[Mote],"",0)</f>
        <v>0:Muni</v>
      </c>
      <c r="J1113" t="str">
        <f>+IF(dHdcp[[#This Row],[Maximo]]=0,"",_xlfn.RANK.EQ(dHdcp[[#This Row],[Handicap]],dHdcp[Handicap],1))</f>
        <v/>
      </c>
      <c r="K1113" t="str">
        <f>IFERROR(+_xlfn.RANK.EQ(dHdcp[[#This Row],[Ranking]],dHdcp[Ranking],1),"")</f>
        <v/>
      </c>
      <c r="M1113" t="str">
        <f>+dHdcp[[#This Row],[Fecha]]&amp;":"&amp;dHdcp[[#This Row],[Nombre]]</f>
        <v>44661:Pablo Munitiz</v>
      </c>
      <c r="N1113">
        <f>+COUNTIF(dHdcp[Columna1],dHdcp[[#This Row],[Columna1]])</f>
        <v>1</v>
      </c>
    </row>
    <row r="1114" spans="1:14">
      <c r="A1114" s="2">
        <v>44661</v>
      </c>
      <c r="B1114" t="s">
        <v>203</v>
      </c>
      <c r="C1114" s="51">
        <v>17.7</v>
      </c>
      <c r="D1114">
        <f>+VLOOKUP(dHdcp[[#This Row],[Handicap]],'Categoría Hdcap'!$B$2:$E$7,4)</f>
        <v>3</v>
      </c>
      <c r="E1114" t="s">
        <v>74</v>
      </c>
      <c r="F1114" s="94" t="s">
        <v>1580</v>
      </c>
      <c r="G1114">
        <f>+IF(dHdcp[[#This Row],[Fecha]]=MAX(dHdcp[Fecha]),1,0)</f>
        <v>0</v>
      </c>
      <c r="H1114" t="str">
        <f>+dHdcp[[#This Row],[Maximo]]&amp;":"&amp;dHdcp[[#This Row],[Nombre]]</f>
        <v>0:Ruslan Kochman</v>
      </c>
      <c r="I1114" t="str">
        <f>+dHdcp[[#This Row],[Maximo]]&amp;":"&amp;_xlfn.XLOOKUP(dHdcp[[#This Row],[Nombre]],dJugador[Nombre],dJugador[Mote],"",0)</f>
        <v>0:Rus</v>
      </c>
      <c r="J1114" t="str">
        <f>+IF(dHdcp[[#This Row],[Maximo]]=0,"",_xlfn.RANK.EQ(dHdcp[[#This Row],[Handicap]],dHdcp[Handicap],1))</f>
        <v/>
      </c>
      <c r="K1114" t="str">
        <f>IFERROR(+_xlfn.RANK.EQ(dHdcp[[#This Row],[Ranking]],dHdcp[Ranking],1),"")</f>
        <v/>
      </c>
      <c r="M1114" t="str">
        <f>+dHdcp[[#This Row],[Fecha]]&amp;":"&amp;dHdcp[[#This Row],[Nombre]]</f>
        <v>44661:Ruslan Kochman</v>
      </c>
      <c r="N1114">
        <f>+COUNTIF(dHdcp[Columna1],dHdcp[[#This Row],[Columna1]])</f>
        <v>1</v>
      </c>
    </row>
    <row r="1115" spans="1:14">
      <c r="A1115" s="2">
        <v>44688</v>
      </c>
      <c r="B1115" t="s">
        <v>259</v>
      </c>
      <c r="C1115" s="51">
        <v>4.2</v>
      </c>
      <c r="D1115">
        <f>+VLOOKUP(dHdcp[[#This Row],[Handicap]],'Categoría Hdcap'!$B$2:$E$7,4)</f>
        <v>1</v>
      </c>
      <c r="E1115" t="s">
        <v>74</v>
      </c>
      <c r="F1115" t="s">
        <v>1581</v>
      </c>
      <c r="G1115">
        <f>+IF(dHdcp[[#This Row],[Fecha]]=MAX(dHdcp[Fecha]),1,0)</f>
        <v>0</v>
      </c>
      <c r="H1115" t="str">
        <f>+dHdcp[[#This Row],[Maximo]]&amp;":"&amp;dHdcp[[#This Row],[Nombre]]</f>
        <v>0:Alejandro Arcos</v>
      </c>
      <c r="I1115" t="str">
        <f>+dHdcp[[#This Row],[Maximo]]&amp;":"&amp;_xlfn.XLOOKUP(dHdcp[[#This Row],[Nombre]],dJugador[Nombre],dJugador[Mote],"",0)</f>
        <v>0:Alex</v>
      </c>
      <c r="J1115" t="str">
        <f>+IF(dHdcp[[#This Row],[Maximo]]=0,"",_xlfn.RANK.EQ(dHdcp[[#This Row],[Handicap]],dHdcp[Handicap],1))</f>
        <v/>
      </c>
      <c r="K1115" t="str">
        <f>IFERROR(+_xlfn.RANK.EQ(dHdcp[[#This Row],[Ranking]],dHdcp[Ranking],1),"")</f>
        <v/>
      </c>
      <c r="M1115" t="str">
        <f>+dHdcp[[#This Row],[Fecha]]&amp;":"&amp;dHdcp[[#This Row],[Nombre]]</f>
        <v>44688:Alejandro Arcos</v>
      </c>
      <c r="N1115">
        <f>+COUNTIF(dHdcp[Columna1],dHdcp[[#This Row],[Columna1]])</f>
        <v>1</v>
      </c>
    </row>
    <row r="1116" spans="1:14">
      <c r="A1116" s="2">
        <v>44688</v>
      </c>
      <c r="B1116" t="s">
        <v>9</v>
      </c>
      <c r="C1116" s="51">
        <v>11.1</v>
      </c>
      <c r="D1116">
        <f>+VLOOKUP(dHdcp[[#This Row],[Handicap]],'Categoría Hdcap'!$B$2:$E$7,4)</f>
        <v>2</v>
      </c>
      <c r="E1116" t="s">
        <v>74</v>
      </c>
      <c r="F1116" t="s">
        <v>1582</v>
      </c>
      <c r="G1116">
        <f>+IF(dHdcp[[#This Row],[Fecha]]=MAX(dHdcp[Fecha]),1,0)</f>
        <v>0</v>
      </c>
      <c r="H1116" t="str">
        <f>+dHdcp[[#This Row],[Maximo]]&amp;":"&amp;dHdcp[[#This Row],[Nombre]]</f>
        <v>0:Alfonso Hidalgo</v>
      </c>
      <c r="I1116" t="str">
        <f>+dHdcp[[#This Row],[Maximo]]&amp;":"&amp;_xlfn.XLOOKUP(dHdcp[[#This Row],[Nombre]],dJugador[Nombre],dJugador[Mote],"",0)</f>
        <v>0:Alfonso</v>
      </c>
      <c r="J1116" t="str">
        <f>+IF(dHdcp[[#This Row],[Maximo]]=0,"",_xlfn.RANK.EQ(dHdcp[[#This Row],[Handicap]],dHdcp[Handicap],1))</f>
        <v/>
      </c>
      <c r="K1116" t="str">
        <f>IFERROR(+_xlfn.RANK.EQ(dHdcp[[#This Row],[Ranking]],dHdcp[Ranking],1),"")</f>
        <v/>
      </c>
      <c r="M1116" t="str">
        <f>+dHdcp[[#This Row],[Fecha]]&amp;":"&amp;dHdcp[[#This Row],[Nombre]]</f>
        <v>44688:Alfonso Hidalgo</v>
      </c>
      <c r="N1116">
        <f>+COUNTIF(dHdcp[Columna1],dHdcp[[#This Row],[Columna1]])</f>
        <v>1</v>
      </c>
    </row>
    <row r="1117" spans="1:14">
      <c r="A1117" s="2">
        <v>44688</v>
      </c>
      <c r="B1117" t="s">
        <v>229</v>
      </c>
      <c r="C1117" s="51">
        <v>13.6</v>
      </c>
      <c r="D1117">
        <f>+VLOOKUP(dHdcp[[#This Row],[Handicap]],'Categoría Hdcap'!$B$2:$E$7,4)</f>
        <v>3</v>
      </c>
      <c r="E1117" t="s">
        <v>74</v>
      </c>
      <c r="F1117" t="s">
        <v>1583</v>
      </c>
      <c r="G1117">
        <f>+IF(dHdcp[[#This Row],[Fecha]]=MAX(dHdcp[Fecha]),1,0)</f>
        <v>0</v>
      </c>
      <c r="H1117" t="str">
        <f>+dHdcp[[#This Row],[Maximo]]&amp;":"&amp;dHdcp[[#This Row],[Nombre]]</f>
        <v>0:Alfonso Zorrilla</v>
      </c>
      <c r="I1117" t="str">
        <f>+dHdcp[[#This Row],[Maximo]]&amp;":"&amp;_xlfn.XLOOKUP(dHdcp[[#This Row],[Nombre]],dJugador[Nombre],dJugador[Mote],"",0)</f>
        <v>0:A Zorrilla</v>
      </c>
      <c r="J1117" t="str">
        <f>+IF(dHdcp[[#This Row],[Maximo]]=0,"",_xlfn.RANK.EQ(dHdcp[[#This Row],[Handicap]],dHdcp[Handicap],1))</f>
        <v/>
      </c>
      <c r="K1117" t="str">
        <f>IFERROR(+_xlfn.RANK.EQ(dHdcp[[#This Row],[Ranking]],dHdcp[Ranking],1),"")</f>
        <v/>
      </c>
      <c r="M1117" t="str">
        <f>+dHdcp[[#This Row],[Fecha]]&amp;":"&amp;dHdcp[[#This Row],[Nombre]]</f>
        <v>44688:Alfonso Zorrilla</v>
      </c>
      <c r="N1117">
        <f>+COUNTIF(dHdcp[Columna1],dHdcp[[#This Row],[Columna1]])</f>
        <v>1</v>
      </c>
    </row>
    <row r="1118" spans="1:14">
      <c r="A1118" s="2">
        <v>44688</v>
      </c>
      <c r="B1118" s="13" t="s">
        <v>15</v>
      </c>
      <c r="C1118" s="51">
        <v>6.8</v>
      </c>
      <c r="D1118">
        <f>+VLOOKUP(dHdcp[[#This Row],[Handicap]],'Categoría Hdcap'!$B$2:$E$7,4)</f>
        <v>2</v>
      </c>
      <c r="E1118" t="s">
        <v>74</v>
      </c>
      <c r="F1118" t="s">
        <v>1584</v>
      </c>
      <c r="G1118">
        <f>+IF(dHdcp[[#This Row],[Fecha]]=MAX(dHdcp[Fecha]),1,0)</f>
        <v>0</v>
      </c>
      <c r="H1118" t="str">
        <f>+dHdcp[[#This Row],[Maximo]]&amp;":"&amp;dHdcp[[#This Row],[Nombre]]</f>
        <v>0:Alvaro Aguirre</v>
      </c>
      <c r="I1118" t="str">
        <f>+dHdcp[[#This Row],[Maximo]]&amp;":"&amp;_xlfn.XLOOKUP(dHdcp[[#This Row],[Nombre]],dJugador[Nombre],dJugador[Mote],"",0)</f>
        <v>0:Gifu</v>
      </c>
      <c r="J1118" t="str">
        <f>+IF(dHdcp[[#This Row],[Maximo]]=0,"",_xlfn.RANK.EQ(dHdcp[[#This Row],[Handicap]],dHdcp[Handicap],1))</f>
        <v/>
      </c>
      <c r="K1118" t="str">
        <f>IFERROR(+_xlfn.RANK.EQ(dHdcp[[#This Row],[Ranking]],dHdcp[Ranking],1),"")</f>
        <v/>
      </c>
      <c r="M1118" t="str">
        <f>+dHdcp[[#This Row],[Fecha]]&amp;":"&amp;dHdcp[[#This Row],[Nombre]]</f>
        <v>44688:Alvaro Aguirre</v>
      </c>
      <c r="N1118">
        <f>+COUNTIF(dHdcp[Columna1],dHdcp[[#This Row],[Columna1]])</f>
        <v>1</v>
      </c>
    </row>
    <row r="1119" spans="1:14">
      <c r="A1119" s="2">
        <v>44688</v>
      </c>
      <c r="B1119" t="s">
        <v>201</v>
      </c>
      <c r="C1119" s="51">
        <v>7.5</v>
      </c>
      <c r="D1119">
        <f>+VLOOKUP(dHdcp[[#This Row],[Handicap]],'Categoría Hdcap'!$B$2:$E$7,4)</f>
        <v>2</v>
      </c>
      <c r="E1119" t="s">
        <v>74</v>
      </c>
      <c r="F1119" t="s">
        <v>1585</v>
      </c>
      <c r="G1119">
        <f>+IF(dHdcp[[#This Row],[Fecha]]=MAX(dHdcp[Fecha]),1,0)</f>
        <v>0</v>
      </c>
      <c r="H1119" t="str">
        <f>+dHdcp[[#This Row],[Maximo]]&amp;":"&amp;dHdcp[[#This Row],[Nombre]]</f>
        <v>0:Alvaro Montoya</v>
      </c>
      <c r="I1119" t="str">
        <f>+dHdcp[[#This Row],[Maximo]]&amp;":"&amp;_xlfn.XLOOKUP(dHdcp[[#This Row],[Nombre]],dJugador[Nombre],dJugador[Mote],"",0)</f>
        <v>0:Monti</v>
      </c>
      <c r="J1119" t="str">
        <f>+IF(dHdcp[[#This Row],[Maximo]]=0,"",_xlfn.RANK.EQ(dHdcp[[#This Row],[Handicap]],dHdcp[Handicap],1))</f>
        <v/>
      </c>
      <c r="K1119" t="str">
        <f>IFERROR(+_xlfn.RANK.EQ(dHdcp[[#This Row],[Ranking]],dHdcp[Ranking],1),"")</f>
        <v/>
      </c>
      <c r="M1119" t="str">
        <f>+dHdcp[[#This Row],[Fecha]]&amp;":"&amp;dHdcp[[#This Row],[Nombre]]</f>
        <v>44688:Alvaro Montoya</v>
      </c>
      <c r="N1119">
        <f>+COUNTIF(dHdcp[Columna1],dHdcp[[#This Row],[Columna1]])</f>
        <v>1</v>
      </c>
    </row>
    <row r="1120" spans="1:14">
      <c r="A1120" s="2">
        <v>44688</v>
      </c>
      <c r="B1120" t="s">
        <v>25</v>
      </c>
      <c r="C1120" s="51">
        <v>12.6</v>
      </c>
      <c r="D1120">
        <f>+VLOOKUP(dHdcp[[#This Row],[Handicap]],'Categoría Hdcap'!$B$2:$E$7,4)</f>
        <v>3</v>
      </c>
      <c r="E1120" t="s">
        <v>74</v>
      </c>
      <c r="F1120" t="s">
        <v>1586</v>
      </c>
      <c r="G1120">
        <f>+IF(dHdcp[[#This Row],[Fecha]]=MAX(dHdcp[Fecha]),1,0)</f>
        <v>0</v>
      </c>
      <c r="H1120" t="str">
        <f>+dHdcp[[#This Row],[Maximo]]&amp;":"&amp;dHdcp[[#This Row],[Nombre]]</f>
        <v>0:Alvaro Nieto</v>
      </c>
      <c r="I1120" t="str">
        <f>+dHdcp[[#This Row],[Maximo]]&amp;":"&amp;_xlfn.XLOOKUP(dHdcp[[#This Row],[Nombre]],dJugador[Nombre],dJugador[Mote],"",0)</f>
        <v>0:Alvaro</v>
      </c>
      <c r="J1120" t="str">
        <f>+IF(dHdcp[[#This Row],[Maximo]]=0,"",_xlfn.RANK.EQ(dHdcp[[#This Row],[Handicap]],dHdcp[Handicap],1))</f>
        <v/>
      </c>
      <c r="K1120" t="str">
        <f>IFERROR(+_xlfn.RANK.EQ(dHdcp[[#This Row],[Ranking]],dHdcp[Ranking],1),"")</f>
        <v/>
      </c>
      <c r="M1120" t="str">
        <f>+dHdcp[[#This Row],[Fecha]]&amp;":"&amp;dHdcp[[#This Row],[Nombre]]</f>
        <v>44688:Alvaro Nieto</v>
      </c>
      <c r="N1120">
        <f>+COUNTIF(dHdcp[Columna1],dHdcp[[#This Row],[Columna1]])</f>
        <v>1</v>
      </c>
    </row>
    <row r="1121" spans="1:14">
      <c r="A1121" s="2">
        <v>44688</v>
      </c>
      <c r="B1121" t="s">
        <v>33</v>
      </c>
      <c r="C1121" s="51">
        <v>8</v>
      </c>
      <c r="D1121">
        <f>+VLOOKUP(dHdcp[[#This Row],[Handicap]],'Categoría Hdcap'!$B$2:$E$7,4)</f>
        <v>2</v>
      </c>
      <c r="E1121" t="s">
        <v>74</v>
      </c>
      <c r="F1121" t="s">
        <v>1587</v>
      </c>
      <c r="G1121">
        <f>+IF(dHdcp[[#This Row],[Fecha]]=MAX(dHdcp[Fecha]),1,0)</f>
        <v>0</v>
      </c>
      <c r="H1121" t="str">
        <f>+dHdcp[[#This Row],[Maximo]]&amp;":"&amp;dHdcp[[#This Row],[Nombre]]</f>
        <v>0:Angel Hernandez</v>
      </c>
      <c r="I1121" t="str">
        <f>+dHdcp[[#This Row],[Maximo]]&amp;":"&amp;_xlfn.XLOOKUP(dHdcp[[#This Row],[Nombre]],dJugador[Nombre],dJugador[Mote],"",0)</f>
        <v>0:Angel</v>
      </c>
      <c r="J1121" t="str">
        <f>+IF(dHdcp[[#This Row],[Maximo]]=0,"",_xlfn.RANK.EQ(dHdcp[[#This Row],[Handicap]],dHdcp[Handicap],1))</f>
        <v/>
      </c>
      <c r="K1121" t="str">
        <f>IFERROR(+_xlfn.RANK.EQ(dHdcp[[#This Row],[Ranking]],dHdcp[Ranking],1),"")</f>
        <v/>
      </c>
      <c r="M1121" t="str">
        <f>+dHdcp[[#This Row],[Fecha]]&amp;":"&amp;dHdcp[[#This Row],[Nombre]]</f>
        <v>44688:Angel Hernandez</v>
      </c>
      <c r="N1121">
        <f>+COUNTIF(dHdcp[Columna1],dHdcp[[#This Row],[Columna1]])</f>
        <v>1</v>
      </c>
    </row>
    <row r="1122" spans="1:14">
      <c r="A1122" s="2">
        <v>44688</v>
      </c>
      <c r="B1122" t="s">
        <v>264</v>
      </c>
      <c r="C1122" s="51">
        <v>18.899999999999999</v>
      </c>
      <c r="D1122">
        <f>+VLOOKUP(dHdcp[[#This Row],[Handicap]],'Categoría Hdcap'!$B$2:$E$7,4)</f>
        <v>4</v>
      </c>
      <c r="E1122" t="s">
        <v>74</v>
      </c>
      <c r="F1122" t="s">
        <v>1588</v>
      </c>
      <c r="G1122">
        <f>+IF(dHdcp[[#This Row],[Fecha]]=MAX(dHdcp[Fecha]),1,0)</f>
        <v>0</v>
      </c>
      <c r="H1122" t="str">
        <f>+dHdcp[[#This Row],[Maximo]]&amp;":"&amp;dHdcp[[#This Row],[Nombre]]</f>
        <v>0:Antonio Carmona</v>
      </c>
      <c r="I1122" t="str">
        <f>+dHdcp[[#This Row],[Maximo]]&amp;":"&amp;_xlfn.XLOOKUP(dHdcp[[#This Row],[Nombre]],dJugador[Nombre],dJugador[Mote],"",0)</f>
        <v>0:Antonio</v>
      </c>
      <c r="J1122" t="str">
        <f>+IF(dHdcp[[#This Row],[Maximo]]=0,"",_xlfn.RANK.EQ(dHdcp[[#This Row],[Handicap]],dHdcp[Handicap],1))</f>
        <v/>
      </c>
      <c r="K1122" t="str">
        <f>IFERROR(+_xlfn.RANK.EQ(dHdcp[[#This Row],[Ranking]],dHdcp[Ranking],1),"")</f>
        <v/>
      </c>
      <c r="M1122" t="str">
        <f>+dHdcp[[#This Row],[Fecha]]&amp;":"&amp;dHdcp[[#This Row],[Nombre]]</f>
        <v>44688:Antonio Carmona</v>
      </c>
      <c r="N1122">
        <f>+COUNTIF(dHdcp[Columna1],dHdcp[[#This Row],[Columna1]])</f>
        <v>1</v>
      </c>
    </row>
    <row r="1123" spans="1:14">
      <c r="A1123" s="2">
        <v>44688</v>
      </c>
      <c r="B1123" t="s">
        <v>30</v>
      </c>
      <c r="C1123" s="51">
        <v>10.9</v>
      </c>
      <c r="D1123">
        <f>+VLOOKUP(dHdcp[[#This Row],[Handicap]],'Categoría Hdcap'!$B$2:$E$7,4)</f>
        <v>2</v>
      </c>
      <c r="E1123" t="s">
        <v>74</v>
      </c>
      <c r="F1123" t="s">
        <v>1589</v>
      </c>
      <c r="G1123">
        <f>+IF(dHdcp[[#This Row],[Fecha]]=MAX(dHdcp[Fecha]),1,0)</f>
        <v>0</v>
      </c>
      <c r="H1123" t="str">
        <f>+dHdcp[[#This Row],[Maximo]]&amp;":"&amp;dHdcp[[#This Row],[Nombre]]</f>
        <v>0:David Sequera</v>
      </c>
      <c r="I1123" t="str">
        <f>+dHdcp[[#This Row],[Maximo]]&amp;":"&amp;_xlfn.XLOOKUP(dHdcp[[#This Row],[Nombre]],dJugador[Nombre],dJugador[Mote],"",0)</f>
        <v>0:David</v>
      </c>
      <c r="J1123" t="str">
        <f>+IF(dHdcp[[#This Row],[Maximo]]=0,"",_xlfn.RANK.EQ(dHdcp[[#This Row],[Handicap]],dHdcp[Handicap],1))</f>
        <v/>
      </c>
      <c r="K1123" t="str">
        <f>IFERROR(+_xlfn.RANK.EQ(dHdcp[[#This Row],[Ranking]],dHdcp[Ranking],1),"")</f>
        <v/>
      </c>
      <c r="M1123" t="str">
        <f>+dHdcp[[#This Row],[Fecha]]&amp;":"&amp;dHdcp[[#This Row],[Nombre]]</f>
        <v>44688:David Sequera</v>
      </c>
      <c r="N1123">
        <f>+COUNTIF(dHdcp[Columna1],dHdcp[[#This Row],[Columna1]])</f>
        <v>1</v>
      </c>
    </row>
    <row r="1124" spans="1:14">
      <c r="A1124" s="2">
        <v>44688</v>
      </c>
      <c r="B1124" t="s">
        <v>248</v>
      </c>
      <c r="C1124" s="51">
        <v>15.5</v>
      </c>
      <c r="D1124">
        <f>+VLOOKUP(dHdcp[[#This Row],[Handicap]],'Categoría Hdcap'!$B$2:$E$7,4)</f>
        <v>3</v>
      </c>
      <c r="E1124" t="s">
        <v>74</v>
      </c>
      <c r="F1124" t="s">
        <v>1590</v>
      </c>
      <c r="G1124">
        <f>+IF(dHdcp[[#This Row],[Fecha]]=MAX(dHdcp[Fecha]),1,0)</f>
        <v>0</v>
      </c>
      <c r="H1124" t="str">
        <f>+dHdcp[[#This Row],[Maximo]]&amp;":"&amp;dHdcp[[#This Row],[Nombre]]</f>
        <v>0:Enrique Gonzalez R</v>
      </c>
      <c r="I1124" t="str">
        <f>+dHdcp[[#This Row],[Maximo]]&amp;":"&amp;_xlfn.XLOOKUP(dHdcp[[#This Row],[Nombre]],dJugador[Nombre],dJugador[Mote],"",0)</f>
        <v>0:Enrique</v>
      </c>
      <c r="J1124" t="str">
        <f>+IF(dHdcp[[#This Row],[Maximo]]=0,"",_xlfn.RANK.EQ(dHdcp[[#This Row],[Handicap]],dHdcp[Handicap],1))</f>
        <v/>
      </c>
      <c r="K1124" t="str">
        <f>IFERROR(+_xlfn.RANK.EQ(dHdcp[[#This Row],[Ranking]],dHdcp[Ranking],1),"")</f>
        <v/>
      </c>
      <c r="M1124" t="str">
        <f>+dHdcp[[#This Row],[Fecha]]&amp;":"&amp;dHdcp[[#This Row],[Nombre]]</f>
        <v>44688:Enrique Gonzalez R</v>
      </c>
      <c r="N1124">
        <f>+COUNTIF(dHdcp[Columna1],dHdcp[[#This Row],[Columna1]])</f>
        <v>1</v>
      </c>
    </row>
    <row r="1125" spans="1:14">
      <c r="A1125" s="2">
        <v>44688</v>
      </c>
      <c r="B1125" t="s">
        <v>12</v>
      </c>
      <c r="C1125" s="51">
        <v>14.2</v>
      </c>
      <c r="D1125">
        <f>+VLOOKUP(dHdcp[[#This Row],[Handicap]],'Categoría Hdcap'!$B$2:$E$7,4)</f>
        <v>3</v>
      </c>
      <c r="E1125" t="s">
        <v>74</v>
      </c>
      <c r="F1125" t="s">
        <v>1591</v>
      </c>
      <c r="G1125">
        <f>+IF(dHdcp[[#This Row],[Fecha]]=MAX(dHdcp[Fecha]),1,0)</f>
        <v>0</v>
      </c>
      <c r="H1125" t="str">
        <f>+dHdcp[[#This Row],[Maximo]]&amp;":"&amp;dHdcp[[#This Row],[Nombre]]</f>
        <v>0:Francisco Alvarez</v>
      </c>
      <c r="I1125" t="str">
        <f>+dHdcp[[#This Row],[Maximo]]&amp;":"&amp;_xlfn.XLOOKUP(dHdcp[[#This Row],[Nombre]],dJugador[Nombre],dJugador[Mote],"",0)</f>
        <v>0:Paco</v>
      </c>
      <c r="J1125" t="str">
        <f>+IF(dHdcp[[#This Row],[Maximo]]=0,"",_xlfn.RANK.EQ(dHdcp[[#This Row],[Handicap]],dHdcp[Handicap],1))</f>
        <v/>
      </c>
      <c r="K1125" t="str">
        <f>IFERROR(+_xlfn.RANK.EQ(dHdcp[[#This Row],[Ranking]],dHdcp[Ranking],1),"")</f>
        <v/>
      </c>
      <c r="M1125" t="str">
        <f>+dHdcp[[#This Row],[Fecha]]&amp;":"&amp;dHdcp[[#This Row],[Nombre]]</f>
        <v>44688:Francisco Alvarez</v>
      </c>
      <c r="N1125">
        <f>+COUNTIF(dHdcp[Columna1],dHdcp[[#This Row],[Columna1]])</f>
        <v>1</v>
      </c>
    </row>
    <row r="1126" spans="1:14">
      <c r="A1126" s="2">
        <v>44688</v>
      </c>
      <c r="B1126" t="s">
        <v>49</v>
      </c>
      <c r="C1126" s="51">
        <v>12.2</v>
      </c>
      <c r="D1126">
        <f>+VLOOKUP(dHdcp[[#This Row],[Handicap]],'Categoría Hdcap'!$B$2:$E$7,4)</f>
        <v>3</v>
      </c>
      <c r="E1126" t="s">
        <v>74</v>
      </c>
      <c r="F1126" t="s">
        <v>1592</v>
      </c>
      <c r="G1126">
        <f>+IF(dHdcp[[#This Row],[Fecha]]=MAX(dHdcp[Fecha]),1,0)</f>
        <v>0</v>
      </c>
      <c r="H1126" t="str">
        <f>+dHdcp[[#This Row],[Maximo]]&amp;":"&amp;dHdcp[[#This Row],[Nombre]]</f>
        <v>0:Francisco Hidalgo</v>
      </c>
      <c r="I1126" t="str">
        <f>+dHdcp[[#This Row],[Maximo]]&amp;":"&amp;_xlfn.XLOOKUP(dHdcp[[#This Row],[Nombre]],dJugador[Nombre],dJugador[Mote],"",0)</f>
        <v>0:Fran</v>
      </c>
      <c r="J1126" t="str">
        <f>+IF(dHdcp[[#This Row],[Maximo]]=0,"",_xlfn.RANK.EQ(dHdcp[[#This Row],[Handicap]],dHdcp[Handicap],1))</f>
        <v/>
      </c>
      <c r="K1126" t="str">
        <f>IFERROR(+_xlfn.RANK.EQ(dHdcp[[#This Row],[Ranking]],dHdcp[Ranking],1),"")</f>
        <v/>
      </c>
      <c r="M1126" t="str">
        <f>+dHdcp[[#This Row],[Fecha]]&amp;":"&amp;dHdcp[[#This Row],[Nombre]]</f>
        <v>44688:Francisco Hidalgo</v>
      </c>
      <c r="N1126">
        <f>+COUNTIF(dHdcp[Columna1],dHdcp[[#This Row],[Columna1]])</f>
        <v>1</v>
      </c>
    </row>
    <row r="1127" spans="1:14">
      <c r="A1127" s="2">
        <v>44688</v>
      </c>
      <c r="B1127" t="s">
        <v>207</v>
      </c>
      <c r="C1127" s="51">
        <v>14.4</v>
      </c>
      <c r="D1127">
        <f>+VLOOKUP(dHdcp[[#This Row],[Handicap]],'Categoría Hdcap'!$B$2:$E$7,4)</f>
        <v>3</v>
      </c>
      <c r="E1127" t="s">
        <v>74</v>
      </c>
      <c r="F1127" t="s">
        <v>1593</v>
      </c>
      <c r="G1127">
        <f>+IF(dHdcp[[#This Row],[Fecha]]=MAX(dHdcp[Fecha]),1,0)</f>
        <v>0</v>
      </c>
      <c r="H1127" t="str">
        <f>+dHdcp[[#This Row],[Maximo]]&amp;":"&amp;dHdcp[[#This Row],[Nombre]]</f>
        <v>0:Franck Benouniche</v>
      </c>
      <c r="I1127" t="str">
        <f>+dHdcp[[#This Row],[Maximo]]&amp;":"&amp;_xlfn.XLOOKUP(dHdcp[[#This Row],[Nombre]],dJugador[Nombre],dJugador[Mote],"",0)</f>
        <v>0:Franck</v>
      </c>
      <c r="J1127" t="str">
        <f>+IF(dHdcp[[#This Row],[Maximo]]=0,"",_xlfn.RANK.EQ(dHdcp[[#This Row],[Handicap]],dHdcp[Handicap],1))</f>
        <v/>
      </c>
      <c r="K1127" t="str">
        <f>IFERROR(+_xlfn.RANK.EQ(dHdcp[[#This Row],[Ranking]],dHdcp[Ranking],1),"")</f>
        <v/>
      </c>
      <c r="M1127" t="str">
        <f>+dHdcp[[#This Row],[Fecha]]&amp;":"&amp;dHdcp[[#This Row],[Nombre]]</f>
        <v>44688:Franck Benouniche</v>
      </c>
      <c r="N1127">
        <f>+COUNTIF(dHdcp[Columna1],dHdcp[[#This Row],[Columna1]])</f>
        <v>1</v>
      </c>
    </row>
    <row r="1128" spans="1:14">
      <c r="A1128" s="2">
        <v>44688</v>
      </c>
      <c r="B1128" t="s">
        <v>35</v>
      </c>
      <c r="C1128" s="51">
        <v>18.2</v>
      </c>
      <c r="D1128">
        <f>+VLOOKUP(dHdcp[[#This Row],[Handicap]],'Categoría Hdcap'!$B$2:$E$7,4)</f>
        <v>3</v>
      </c>
      <c r="E1128" t="s">
        <v>74</v>
      </c>
      <c r="F1128" t="s">
        <v>1594</v>
      </c>
      <c r="G1128">
        <f>+IF(dHdcp[[#This Row],[Fecha]]=MAX(dHdcp[Fecha]),1,0)</f>
        <v>0</v>
      </c>
      <c r="H1128" t="str">
        <f>+dHdcp[[#This Row],[Maximo]]&amp;":"&amp;dHdcp[[#This Row],[Nombre]]</f>
        <v>0:GLEZ JUAN JOSÉ</v>
      </c>
      <c r="I1128" t="str">
        <f>+dHdcp[[#This Row],[Maximo]]&amp;":"&amp;_xlfn.XLOOKUP(dHdcp[[#This Row],[Nombre]],dJugador[Nombre],dJugador[Mote],"",0)</f>
        <v>0:Juanjo</v>
      </c>
      <c r="J1128" t="str">
        <f>+IF(dHdcp[[#This Row],[Maximo]]=0,"",_xlfn.RANK.EQ(dHdcp[[#This Row],[Handicap]],dHdcp[Handicap],1))</f>
        <v/>
      </c>
      <c r="K1128" t="str">
        <f>IFERROR(+_xlfn.RANK.EQ(dHdcp[[#This Row],[Ranking]],dHdcp[Ranking],1),"")</f>
        <v/>
      </c>
      <c r="M1128" t="str">
        <f>+dHdcp[[#This Row],[Fecha]]&amp;":"&amp;dHdcp[[#This Row],[Nombre]]</f>
        <v>44688:GLEZ JUAN JOSÉ</v>
      </c>
      <c r="N1128">
        <f>+COUNTIF(dHdcp[Columna1],dHdcp[[#This Row],[Columna1]])</f>
        <v>1</v>
      </c>
    </row>
    <row r="1129" spans="1:14">
      <c r="A1129" s="2">
        <v>44688</v>
      </c>
      <c r="B1129" t="s">
        <v>6</v>
      </c>
      <c r="C1129" s="51">
        <v>8.3000000000000007</v>
      </c>
      <c r="D1129">
        <f>+VLOOKUP(dHdcp[[#This Row],[Handicap]],'Categoría Hdcap'!$B$2:$E$7,4)</f>
        <v>2</v>
      </c>
      <c r="E1129" t="s">
        <v>74</v>
      </c>
      <c r="F1129" t="s">
        <v>1595</v>
      </c>
      <c r="G1129">
        <f>+IF(dHdcp[[#This Row],[Fecha]]=MAX(dHdcp[Fecha]),1,0)</f>
        <v>0</v>
      </c>
      <c r="H1129" t="str">
        <f>+dHdcp[[#This Row],[Maximo]]&amp;":"&amp;dHdcp[[#This Row],[Nombre]]</f>
        <v>0:Ignacio Cadarso</v>
      </c>
      <c r="I1129" t="str">
        <f>+dHdcp[[#This Row],[Maximo]]&amp;":"&amp;_xlfn.XLOOKUP(dHdcp[[#This Row],[Nombre]],dJugador[Nombre],dJugador[Mote],"",0)</f>
        <v>0:Ignacio</v>
      </c>
      <c r="J1129" t="str">
        <f>+IF(dHdcp[[#This Row],[Maximo]]=0,"",_xlfn.RANK.EQ(dHdcp[[#This Row],[Handicap]],dHdcp[Handicap],1))</f>
        <v/>
      </c>
      <c r="K1129" t="str">
        <f>IFERROR(+_xlfn.RANK.EQ(dHdcp[[#This Row],[Ranking]],dHdcp[Ranking],1),"")</f>
        <v/>
      </c>
      <c r="M1129" t="str">
        <f>+dHdcp[[#This Row],[Fecha]]&amp;":"&amp;dHdcp[[#This Row],[Nombre]]</f>
        <v>44688:Ignacio Cadarso</v>
      </c>
      <c r="N1129">
        <f>+COUNTIF(dHdcp[Columna1],dHdcp[[#This Row],[Columna1]])</f>
        <v>1</v>
      </c>
    </row>
    <row r="1130" spans="1:14">
      <c r="A1130" s="2">
        <v>44688</v>
      </c>
      <c r="B1130" t="s">
        <v>23</v>
      </c>
      <c r="C1130" s="51">
        <v>17.100000000000001</v>
      </c>
      <c r="D1130">
        <f>+VLOOKUP(dHdcp[[#This Row],[Handicap]],'Categoría Hdcap'!$B$2:$E$7,4)</f>
        <v>3</v>
      </c>
      <c r="E1130" t="s">
        <v>74</v>
      </c>
      <c r="F1130" t="s">
        <v>1596</v>
      </c>
      <c r="G1130">
        <f>+IF(dHdcp[[#This Row],[Fecha]]=MAX(dHdcp[Fecha]),1,0)</f>
        <v>0</v>
      </c>
      <c r="H1130" t="str">
        <f>+dHdcp[[#This Row],[Maximo]]&amp;":"&amp;dHdcp[[#This Row],[Nombre]]</f>
        <v>0:J. Enrique Gonzalez</v>
      </c>
      <c r="I1130" t="str">
        <f>+dHdcp[[#This Row],[Maximo]]&amp;":"&amp;_xlfn.XLOOKUP(dHdcp[[#This Row],[Nombre]],dJugador[Nombre],dJugador[Mote],"",0)</f>
        <v>0:Kike</v>
      </c>
      <c r="J1130" t="str">
        <f>+IF(dHdcp[[#This Row],[Maximo]]=0,"",_xlfn.RANK.EQ(dHdcp[[#This Row],[Handicap]],dHdcp[Handicap],1))</f>
        <v/>
      </c>
      <c r="K1130" t="str">
        <f>IFERROR(+_xlfn.RANK.EQ(dHdcp[[#This Row],[Ranking]],dHdcp[Ranking],1),"")</f>
        <v/>
      </c>
      <c r="M1130" t="str">
        <f>+dHdcp[[#This Row],[Fecha]]&amp;":"&amp;dHdcp[[#This Row],[Nombre]]</f>
        <v>44688:J. Enrique Gonzalez</v>
      </c>
      <c r="N1130">
        <f>+COUNTIF(dHdcp[Columna1],dHdcp[[#This Row],[Columna1]])</f>
        <v>1</v>
      </c>
    </row>
    <row r="1131" spans="1:14">
      <c r="A1131" s="2">
        <v>44688</v>
      </c>
      <c r="B1131" t="s">
        <v>46</v>
      </c>
      <c r="C1131" s="51">
        <v>17.2</v>
      </c>
      <c r="D1131">
        <f>+VLOOKUP(dHdcp[[#This Row],[Handicap]],'Categoría Hdcap'!$B$2:$E$7,4)</f>
        <v>3</v>
      </c>
      <c r="E1131" t="s">
        <v>74</v>
      </c>
      <c r="F1131" t="s">
        <v>1597</v>
      </c>
      <c r="G1131">
        <f>+IF(dHdcp[[#This Row],[Fecha]]=MAX(dHdcp[Fecha]),1,0)</f>
        <v>0</v>
      </c>
      <c r="H1131" t="str">
        <f>+dHdcp[[#This Row],[Maximo]]&amp;":"&amp;dHdcp[[#This Row],[Nombre]]</f>
        <v>0:Javier Cervera</v>
      </c>
      <c r="I1131" t="str">
        <f>+dHdcp[[#This Row],[Maximo]]&amp;":"&amp;_xlfn.XLOOKUP(dHdcp[[#This Row],[Nombre]],dJugador[Nombre],dJugador[Mote],"",0)</f>
        <v>0:Virus</v>
      </c>
      <c r="J1131" t="str">
        <f>+IF(dHdcp[[#This Row],[Maximo]]=0,"",_xlfn.RANK.EQ(dHdcp[[#This Row],[Handicap]],dHdcp[Handicap],1))</f>
        <v/>
      </c>
      <c r="K1131" t="str">
        <f>IFERROR(+_xlfn.RANK.EQ(dHdcp[[#This Row],[Ranking]],dHdcp[Ranking],1),"")</f>
        <v/>
      </c>
      <c r="M1131" t="str">
        <f>+dHdcp[[#This Row],[Fecha]]&amp;":"&amp;dHdcp[[#This Row],[Nombre]]</f>
        <v>44688:Javier Cervera</v>
      </c>
      <c r="N1131">
        <f>+COUNTIF(dHdcp[Columna1],dHdcp[[#This Row],[Columna1]])</f>
        <v>1</v>
      </c>
    </row>
    <row r="1132" spans="1:14">
      <c r="A1132" s="2">
        <v>44688</v>
      </c>
      <c r="B1132" t="s">
        <v>225</v>
      </c>
      <c r="C1132" s="51">
        <v>10.5</v>
      </c>
      <c r="D1132">
        <f>+VLOOKUP(dHdcp[[#This Row],[Handicap]],'Categoría Hdcap'!$B$2:$E$7,4)</f>
        <v>2</v>
      </c>
      <c r="E1132" t="s">
        <v>74</v>
      </c>
      <c r="F1132" t="s">
        <v>1598</v>
      </c>
      <c r="G1132">
        <f>+IF(dHdcp[[#This Row],[Fecha]]=MAX(dHdcp[Fecha]),1,0)</f>
        <v>0</v>
      </c>
      <c r="H1132" t="str">
        <f>+dHdcp[[#This Row],[Maximo]]&amp;":"&amp;dHdcp[[#This Row],[Nombre]]</f>
        <v>0:Javier Chiralt</v>
      </c>
      <c r="I1132" t="str">
        <f>+dHdcp[[#This Row],[Maximo]]&amp;":"&amp;_xlfn.XLOOKUP(dHdcp[[#This Row],[Nombre]],dJugador[Nombre],dJugador[Mote],"",0)</f>
        <v>0:Chiralt</v>
      </c>
      <c r="J1132" t="str">
        <f>+IF(dHdcp[[#This Row],[Maximo]]=0,"",_xlfn.RANK.EQ(dHdcp[[#This Row],[Handicap]],dHdcp[Handicap],1))</f>
        <v/>
      </c>
      <c r="K1132" t="str">
        <f>IFERROR(+_xlfn.RANK.EQ(dHdcp[[#This Row],[Ranking]],dHdcp[Ranking],1),"")</f>
        <v/>
      </c>
      <c r="M1132" t="str">
        <f>+dHdcp[[#This Row],[Fecha]]&amp;":"&amp;dHdcp[[#This Row],[Nombre]]</f>
        <v>44688:Javier Chiralt</v>
      </c>
      <c r="N1132">
        <f>+COUNTIF(dHdcp[Columna1],dHdcp[[#This Row],[Columna1]])</f>
        <v>1</v>
      </c>
    </row>
    <row r="1133" spans="1:14">
      <c r="A1133" s="2">
        <v>44688</v>
      </c>
      <c r="B1133" t="s">
        <v>20</v>
      </c>
      <c r="C1133" s="51">
        <v>16.399999999999999</v>
      </c>
      <c r="D1133">
        <f>+VLOOKUP(dHdcp[[#This Row],[Handicap]],'Categoría Hdcap'!$B$2:$E$7,4)</f>
        <v>3</v>
      </c>
      <c r="E1133" t="s">
        <v>74</v>
      </c>
      <c r="F1133" t="s">
        <v>1599</v>
      </c>
      <c r="G1133">
        <f>+IF(dHdcp[[#This Row],[Fecha]]=MAX(dHdcp[Fecha]),1,0)</f>
        <v>0</v>
      </c>
      <c r="H1133" t="str">
        <f>+dHdcp[[#This Row],[Maximo]]&amp;":"&amp;dHdcp[[#This Row],[Nombre]]</f>
        <v>0:Javier Gonzalez Salvador</v>
      </c>
      <c r="I1133" t="str">
        <f>+dHdcp[[#This Row],[Maximo]]&amp;":"&amp;_xlfn.XLOOKUP(dHdcp[[#This Row],[Nombre]],dJugador[Nombre],dJugador[Mote],"",0)</f>
        <v>0:Javi</v>
      </c>
      <c r="J1133" t="str">
        <f>+IF(dHdcp[[#This Row],[Maximo]]=0,"",_xlfn.RANK.EQ(dHdcp[[#This Row],[Handicap]],dHdcp[Handicap],1))</f>
        <v/>
      </c>
      <c r="K1133" t="str">
        <f>IFERROR(+_xlfn.RANK.EQ(dHdcp[[#This Row],[Ranking]],dHdcp[Ranking],1),"")</f>
        <v/>
      </c>
      <c r="M1133" t="str">
        <f>+dHdcp[[#This Row],[Fecha]]&amp;":"&amp;dHdcp[[#This Row],[Nombre]]</f>
        <v>44688:Javier Gonzalez Salvador</v>
      </c>
      <c r="N1133">
        <f>+COUNTIF(dHdcp[Columna1],dHdcp[[#This Row],[Columna1]])</f>
        <v>1</v>
      </c>
    </row>
    <row r="1134" spans="1:14">
      <c r="A1134" s="2">
        <v>44688</v>
      </c>
      <c r="B1134" t="s">
        <v>217</v>
      </c>
      <c r="C1134" s="51">
        <v>22.3</v>
      </c>
      <c r="D1134">
        <f>+VLOOKUP(dHdcp[[#This Row],[Handicap]],'Categoría Hdcap'!$B$2:$E$7,4)</f>
        <v>4</v>
      </c>
      <c r="E1134" t="s">
        <v>74</v>
      </c>
      <c r="F1134" s="94" t="s">
        <v>1600</v>
      </c>
      <c r="G1134">
        <f>+IF(dHdcp[[#This Row],[Fecha]]=MAX(dHdcp[Fecha]),1,0)</f>
        <v>0</v>
      </c>
      <c r="H1134" t="str">
        <f>+dHdcp[[#This Row],[Maximo]]&amp;":"&amp;dHdcp[[#This Row],[Nombre]]</f>
        <v>0:Javier Lopez Gullón</v>
      </c>
      <c r="I1134" t="str">
        <f>+dHdcp[[#This Row],[Maximo]]&amp;":"&amp;_xlfn.XLOOKUP(dHdcp[[#This Row],[Nombre]],dJugador[Nombre],dJugador[Mote],"",0)</f>
        <v>0:Cuñao</v>
      </c>
      <c r="J1134" t="str">
        <f>+IF(dHdcp[[#This Row],[Maximo]]=0,"",_xlfn.RANK.EQ(dHdcp[[#This Row],[Handicap]],dHdcp[Handicap],1))</f>
        <v/>
      </c>
      <c r="K1134" t="str">
        <f>IFERROR(+_xlfn.RANK.EQ(dHdcp[[#This Row],[Ranking]],dHdcp[Ranking],1),"")</f>
        <v/>
      </c>
      <c r="M1134" t="str">
        <f>+dHdcp[[#This Row],[Fecha]]&amp;":"&amp;dHdcp[[#This Row],[Nombre]]</f>
        <v>44688:Javier Lopez Gullón</v>
      </c>
      <c r="N1134">
        <f>+COUNTIF(dHdcp[Columna1],dHdcp[[#This Row],[Columna1]])</f>
        <v>1</v>
      </c>
    </row>
    <row r="1135" spans="1:14">
      <c r="A1135" s="2">
        <v>44688</v>
      </c>
      <c r="B1135" t="s">
        <v>41</v>
      </c>
      <c r="C1135" s="51">
        <v>25.6</v>
      </c>
      <c r="D1135">
        <f>+VLOOKUP(dHdcp[[#This Row],[Handicap]],'Categoría Hdcap'!$B$2:$E$7,4)</f>
        <v>4</v>
      </c>
      <c r="E1135" t="s">
        <v>74</v>
      </c>
      <c r="F1135" t="s">
        <v>1601</v>
      </c>
      <c r="G1135">
        <f>+IF(dHdcp[[#This Row],[Fecha]]=MAX(dHdcp[Fecha]),1,0)</f>
        <v>0</v>
      </c>
      <c r="H1135" t="str">
        <f>+dHdcp[[#This Row],[Maximo]]&amp;":"&amp;dHdcp[[#This Row],[Nombre]]</f>
        <v>0:Jesus Touceda</v>
      </c>
      <c r="I1135" t="str">
        <f>+dHdcp[[#This Row],[Maximo]]&amp;":"&amp;_xlfn.XLOOKUP(dHdcp[[#This Row],[Nombre]],dJugador[Nombre],dJugador[Mote],"",0)</f>
        <v>0:Jesús</v>
      </c>
      <c r="J1135" t="str">
        <f>+IF(dHdcp[[#This Row],[Maximo]]=0,"",_xlfn.RANK.EQ(dHdcp[[#This Row],[Handicap]],dHdcp[Handicap],1))</f>
        <v/>
      </c>
      <c r="K1135" t="str">
        <f>IFERROR(+_xlfn.RANK.EQ(dHdcp[[#This Row],[Ranking]],dHdcp[Ranking],1),"")</f>
        <v/>
      </c>
      <c r="M1135" t="str">
        <f>+dHdcp[[#This Row],[Fecha]]&amp;":"&amp;dHdcp[[#This Row],[Nombre]]</f>
        <v>44688:Jesus Touceda</v>
      </c>
      <c r="N1135">
        <f>+COUNTIF(dHdcp[Columna1],dHdcp[[#This Row],[Columna1]])</f>
        <v>1</v>
      </c>
    </row>
    <row r="1136" spans="1:14">
      <c r="A1136" s="2">
        <v>44688</v>
      </c>
      <c r="B1136" t="s">
        <v>18</v>
      </c>
      <c r="C1136" s="51">
        <v>7.3</v>
      </c>
      <c r="D1136">
        <f>+VLOOKUP(dHdcp[[#This Row],[Handicap]],'Categoría Hdcap'!$B$2:$E$7,4)</f>
        <v>2</v>
      </c>
      <c r="E1136" t="s">
        <v>74</v>
      </c>
      <c r="F1136" t="s">
        <v>1602</v>
      </c>
      <c r="G1136">
        <f>+IF(dHdcp[[#This Row],[Fecha]]=MAX(dHdcp[Fecha]),1,0)</f>
        <v>0</v>
      </c>
      <c r="H1136" t="str">
        <f>+dHdcp[[#This Row],[Maximo]]&amp;":"&amp;dHdcp[[#This Row],[Nombre]]</f>
        <v>0:José Pablo Guil</v>
      </c>
      <c r="I1136" t="str">
        <f>+dHdcp[[#This Row],[Maximo]]&amp;":"&amp;_xlfn.XLOOKUP(dHdcp[[#This Row],[Nombre]],dJugador[Nombre],dJugador[Mote],"",0)</f>
        <v>0:JP</v>
      </c>
      <c r="J1136" t="str">
        <f>+IF(dHdcp[[#This Row],[Maximo]]=0,"",_xlfn.RANK.EQ(dHdcp[[#This Row],[Handicap]],dHdcp[Handicap],1))</f>
        <v/>
      </c>
      <c r="K1136" t="str">
        <f>IFERROR(+_xlfn.RANK.EQ(dHdcp[[#This Row],[Ranking]],dHdcp[Ranking],1),"")</f>
        <v/>
      </c>
      <c r="M1136" t="str">
        <f>+dHdcp[[#This Row],[Fecha]]&amp;":"&amp;dHdcp[[#This Row],[Nombre]]</f>
        <v>44688:José Pablo Guil</v>
      </c>
      <c r="N1136">
        <f>+COUNTIF(dHdcp[Columna1],dHdcp[[#This Row],[Columna1]])</f>
        <v>1</v>
      </c>
    </row>
    <row r="1137" spans="1:14">
      <c r="A1137" s="2">
        <v>44688</v>
      </c>
      <c r="B1137" t="s">
        <v>43</v>
      </c>
      <c r="C1137" s="51">
        <v>18.5</v>
      </c>
      <c r="D1137">
        <f>+VLOOKUP(dHdcp[[#This Row],[Handicap]],'Categoría Hdcap'!$B$2:$E$7,4)</f>
        <v>4</v>
      </c>
      <c r="E1137" t="s">
        <v>74</v>
      </c>
      <c r="F1137" t="s">
        <v>1603</v>
      </c>
      <c r="G1137">
        <f>+IF(dHdcp[[#This Row],[Fecha]]=MAX(dHdcp[Fecha]),1,0)</f>
        <v>0</v>
      </c>
      <c r="H1137" t="str">
        <f>+dHdcp[[#This Row],[Maximo]]&amp;":"&amp;dHdcp[[#This Row],[Nombre]]</f>
        <v>0:Luis Escudero</v>
      </c>
      <c r="I1137" t="str">
        <f>+dHdcp[[#This Row],[Maximo]]&amp;":"&amp;_xlfn.XLOOKUP(dHdcp[[#This Row],[Nombre]],dJugador[Nombre],dJugador[Mote],"",0)</f>
        <v>0:Lucho</v>
      </c>
      <c r="J1137" t="str">
        <f>+IF(dHdcp[[#This Row],[Maximo]]=0,"",_xlfn.RANK.EQ(dHdcp[[#This Row],[Handicap]],dHdcp[Handicap],1))</f>
        <v/>
      </c>
      <c r="K1137" t="str">
        <f>IFERROR(+_xlfn.RANK.EQ(dHdcp[[#This Row],[Ranking]],dHdcp[Ranking],1),"")</f>
        <v/>
      </c>
      <c r="M1137" t="str">
        <f>+dHdcp[[#This Row],[Fecha]]&amp;":"&amp;dHdcp[[#This Row],[Nombre]]</f>
        <v>44688:Luis Escudero</v>
      </c>
      <c r="N1137">
        <f>+COUNTIF(dHdcp[Columna1],dHdcp[[#This Row],[Columna1]])</f>
        <v>1</v>
      </c>
    </row>
    <row r="1138" spans="1:14">
      <c r="A1138" s="2">
        <v>44688</v>
      </c>
      <c r="B1138" s="10" t="s">
        <v>135</v>
      </c>
      <c r="C1138" s="53">
        <v>22.8</v>
      </c>
      <c r="D1138" s="10">
        <f>+VLOOKUP(dHdcp[[#This Row],[Handicap]],'Categoría Hdcap'!$B$2:$E$7,4)</f>
        <v>4</v>
      </c>
      <c r="E1138" s="10" t="s">
        <v>74</v>
      </c>
      <c r="F1138" s="10" t="s">
        <v>1604</v>
      </c>
      <c r="G1138">
        <f>+IF(dHdcp[[#This Row],[Fecha]]=MAX(dHdcp[Fecha]),1,0)</f>
        <v>0</v>
      </c>
      <c r="H1138" t="str">
        <f>+dHdcp[[#This Row],[Maximo]]&amp;":"&amp;dHdcp[[#This Row],[Nombre]]</f>
        <v>0:Miche Lopez</v>
      </c>
      <c r="I1138" t="str">
        <f>+dHdcp[[#This Row],[Maximo]]&amp;":"&amp;_xlfn.XLOOKUP(dHdcp[[#This Row],[Nombre]],dJugador[Nombre],dJugador[Mote],"",0)</f>
        <v>0:Miche</v>
      </c>
      <c r="J1138" t="str">
        <f>+IF(dHdcp[[#This Row],[Maximo]]=0,"",_xlfn.RANK.EQ(dHdcp[[#This Row],[Handicap]],dHdcp[Handicap],1))</f>
        <v/>
      </c>
      <c r="K1138" t="str">
        <f>IFERROR(+_xlfn.RANK.EQ(dHdcp[[#This Row],[Ranking]],dHdcp[Ranking],1),"")</f>
        <v/>
      </c>
      <c r="M1138" t="str">
        <f>+dHdcp[[#This Row],[Fecha]]&amp;":"&amp;dHdcp[[#This Row],[Nombre]]</f>
        <v>44688:Miche Lopez</v>
      </c>
      <c r="N1138">
        <f>+COUNTIF(dHdcp[Columna1],dHdcp[[#This Row],[Columna1]])</f>
        <v>1</v>
      </c>
    </row>
    <row r="1139" spans="1:14">
      <c r="A1139" s="2">
        <v>44688</v>
      </c>
      <c r="B1139" t="s">
        <v>51</v>
      </c>
      <c r="C1139" s="51">
        <v>-0.2</v>
      </c>
      <c r="D1139">
        <f>+VLOOKUP(dHdcp[[#This Row],[Handicap]],'Categoría Hdcap'!$B$2:$E$7,4)</f>
        <v>1</v>
      </c>
      <c r="E1139" t="s">
        <v>74</v>
      </c>
      <c r="F1139" t="s">
        <v>1605</v>
      </c>
      <c r="G1139">
        <f>+IF(dHdcp[[#This Row],[Fecha]]=MAX(dHdcp[Fecha]),1,0)</f>
        <v>0</v>
      </c>
      <c r="H1139" t="str">
        <f>+dHdcp[[#This Row],[Maximo]]&amp;":"&amp;dHdcp[[#This Row],[Nombre]]</f>
        <v>0:Miguel Diaz Del Moral</v>
      </c>
      <c r="I1139" t="str">
        <f>+dHdcp[[#This Row],[Maximo]]&amp;":"&amp;_xlfn.XLOOKUP(dHdcp[[#This Row],[Nombre]],dJugador[Nombre],dJugador[Mote],"",0)</f>
        <v>0:Cañita</v>
      </c>
      <c r="J1139" t="str">
        <f>+IF(dHdcp[[#This Row],[Maximo]]=0,"",_xlfn.RANK.EQ(dHdcp[[#This Row],[Handicap]],dHdcp[Handicap],1))</f>
        <v/>
      </c>
      <c r="K1139" t="str">
        <f>IFERROR(+_xlfn.RANK.EQ(dHdcp[[#This Row],[Ranking]],dHdcp[Ranking],1),"")</f>
        <v/>
      </c>
      <c r="M1139" t="str">
        <f>+dHdcp[[#This Row],[Fecha]]&amp;":"&amp;dHdcp[[#This Row],[Nombre]]</f>
        <v>44688:Miguel Diaz Del Moral</v>
      </c>
      <c r="N1139">
        <f>+COUNTIF(dHdcp[Columna1],dHdcp[[#This Row],[Columna1]])</f>
        <v>1</v>
      </c>
    </row>
    <row r="1140" spans="1:14">
      <c r="A1140" s="2">
        <v>44688</v>
      </c>
      <c r="B1140" t="s">
        <v>205</v>
      </c>
      <c r="C1140" s="51">
        <v>8.3000000000000007</v>
      </c>
      <c r="D1140">
        <f>+VLOOKUP(dHdcp[[#This Row],[Handicap]],'Categoría Hdcap'!$B$2:$E$7,4)</f>
        <v>2</v>
      </c>
      <c r="E1140" t="s">
        <v>74</v>
      </c>
      <c r="F1140" t="s">
        <v>1606</v>
      </c>
      <c r="G1140">
        <f>+IF(dHdcp[[#This Row],[Fecha]]=MAX(dHdcp[Fecha]),1,0)</f>
        <v>0</v>
      </c>
      <c r="H1140" t="str">
        <f>+dHdcp[[#This Row],[Maximo]]&amp;":"&amp;dHdcp[[#This Row],[Nombre]]</f>
        <v>0:Nacho Casas</v>
      </c>
      <c r="I1140" t="str">
        <f>+dHdcp[[#This Row],[Maximo]]&amp;":"&amp;_xlfn.XLOOKUP(dHdcp[[#This Row],[Nombre]],dJugador[Nombre],dJugador[Mote],"",0)</f>
        <v>0:Nachete</v>
      </c>
      <c r="J1140" t="str">
        <f>+IF(dHdcp[[#This Row],[Maximo]]=0,"",_xlfn.RANK.EQ(dHdcp[[#This Row],[Handicap]],dHdcp[Handicap],1))</f>
        <v/>
      </c>
      <c r="K1140" t="str">
        <f>IFERROR(+_xlfn.RANK.EQ(dHdcp[[#This Row],[Ranking]],dHdcp[Ranking],1),"")</f>
        <v/>
      </c>
      <c r="M1140" t="str">
        <f>+dHdcp[[#This Row],[Fecha]]&amp;":"&amp;dHdcp[[#This Row],[Nombre]]</f>
        <v>44688:Nacho Casas</v>
      </c>
      <c r="N1140">
        <f>+COUNTIF(dHdcp[Columna1],dHdcp[[#This Row],[Columna1]])</f>
        <v>1</v>
      </c>
    </row>
    <row r="1141" spans="1:14">
      <c r="A1141" s="2">
        <v>44688</v>
      </c>
      <c r="B1141" t="s">
        <v>3</v>
      </c>
      <c r="C1141" s="51">
        <v>6.8</v>
      </c>
      <c r="D1141">
        <f>+VLOOKUP(dHdcp[[#This Row],[Handicap]],'Categoría Hdcap'!$B$2:$E$7,4)</f>
        <v>2</v>
      </c>
      <c r="E1141" t="s">
        <v>74</v>
      </c>
      <c r="F1141" t="s">
        <v>1607</v>
      </c>
      <c r="G1141">
        <f>+IF(dHdcp[[#This Row],[Fecha]]=MAX(dHdcp[Fecha]),1,0)</f>
        <v>0</v>
      </c>
      <c r="H1141" t="str">
        <f>+dHdcp[[#This Row],[Maximo]]&amp;":"&amp;dHdcp[[#This Row],[Nombre]]</f>
        <v>0:Nacho Gonzalez</v>
      </c>
      <c r="I1141" t="str">
        <f>+dHdcp[[#This Row],[Maximo]]&amp;":"&amp;_xlfn.XLOOKUP(dHdcp[[#This Row],[Nombre]],dJugador[Nombre],dJugador[Mote],"",0)</f>
        <v>0:Nacho</v>
      </c>
      <c r="J1141" t="str">
        <f>+IF(dHdcp[[#This Row],[Maximo]]=0,"",_xlfn.RANK.EQ(dHdcp[[#This Row],[Handicap]],dHdcp[Handicap],1))</f>
        <v/>
      </c>
      <c r="K1141" t="str">
        <f>IFERROR(+_xlfn.RANK.EQ(dHdcp[[#This Row],[Ranking]],dHdcp[Ranking],1),"")</f>
        <v/>
      </c>
      <c r="M1141" t="str">
        <f>+dHdcp[[#This Row],[Fecha]]&amp;":"&amp;dHdcp[[#This Row],[Nombre]]</f>
        <v>44688:Nacho Gonzalez</v>
      </c>
      <c r="N1141">
        <f>+COUNTIF(dHdcp[Columna1],dHdcp[[#This Row],[Columna1]])</f>
        <v>1</v>
      </c>
    </row>
    <row r="1142" spans="1:14">
      <c r="A1142" s="2">
        <v>44688</v>
      </c>
      <c r="B1142" t="s">
        <v>28</v>
      </c>
      <c r="C1142" s="51">
        <v>13.7</v>
      </c>
      <c r="D1142">
        <f>+VLOOKUP(dHdcp[[#This Row],[Handicap]],'Categoría Hdcap'!$B$2:$E$7,4)</f>
        <v>3</v>
      </c>
      <c r="E1142" t="s">
        <v>74</v>
      </c>
      <c r="F1142" t="s">
        <v>1608</v>
      </c>
      <c r="G1142">
        <f>+IF(dHdcp[[#This Row],[Fecha]]=MAX(dHdcp[Fecha]),1,0)</f>
        <v>0</v>
      </c>
      <c r="H1142" t="str">
        <f>+dHdcp[[#This Row],[Maximo]]&amp;":"&amp;dHdcp[[#This Row],[Nombre]]</f>
        <v>0:Pablo Munitiz</v>
      </c>
      <c r="I1142" t="str">
        <f>+dHdcp[[#This Row],[Maximo]]&amp;":"&amp;_xlfn.XLOOKUP(dHdcp[[#This Row],[Nombre]],dJugador[Nombre],dJugador[Mote],"",0)</f>
        <v>0:Muni</v>
      </c>
      <c r="J1142" t="str">
        <f>+IF(dHdcp[[#This Row],[Maximo]]=0,"",_xlfn.RANK.EQ(dHdcp[[#This Row],[Handicap]],dHdcp[Handicap],1))</f>
        <v/>
      </c>
      <c r="K1142" t="str">
        <f>IFERROR(+_xlfn.RANK.EQ(dHdcp[[#This Row],[Ranking]],dHdcp[Ranking],1),"")</f>
        <v/>
      </c>
      <c r="M1142" t="str">
        <f>+dHdcp[[#This Row],[Fecha]]&amp;":"&amp;dHdcp[[#This Row],[Nombre]]</f>
        <v>44688:Pablo Munitiz</v>
      </c>
      <c r="N1142">
        <f>+COUNTIF(dHdcp[Columna1],dHdcp[[#This Row],[Columna1]])</f>
        <v>1</v>
      </c>
    </row>
    <row r="1143" spans="1:14">
      <c r="A1143" s="2">
        <v>44688</v>
      </c>
      <c r="B1143" t="s">
        <v>203</v>
      </c>
      <c r="C1143" s="51">
        <v>17.3</v>
      </c>
      <c r="D1143">
        <f>+VLOOKUP(dHdcp[[#This Row],[Handicap]],'Categoría Hdcap'!$B$2:$E$7,4)</f>
        <v>3</v>
      </c>
      <c r="E1143" t="s">
        <v>74</v>
      </c>
      <c r="F1143" t="s">
        <v>1609</v>
      </c>
      <c r="G1143">
        <f>+IF(dHdcp[[#This Row],[Fecha]]=MAX(dHdcp[Fecha]),1,0)</f>
        <v>0</v>
      </c>
      <c r="H1143" t="str">
        <f>+dHdcp[[#This Row],[Maximo]]&amp;":"&amp;dHdcp[[#This Row],[Nombre]]</f>
        <v>0:Ruslan Kochman</v>
      </c>
      <c r="I1143" t="str">
        <f>+dHdcp[[#This Row],[Maximo]]&amp;":"&amp;_xlfn.XLOOKUP(dHdcp[[#This Row],[Nombre]],dJugador[Nombre],dJugador[Mote],"",0)</f>
        <v>0:Rus</v>
      </c>
      <c r="J1143" t="str">
        <f>+IF(dHdcp[[#This Row],[Maximo]]=0,"",_xlfn.RANK.EQ(dHdcp[[#This Row],[Handicap]],dHdcp[Handicap],1))</f>
        <v/>
      </c>
      <c r="K1143" t="str">
        <f>IFERROR(+_xlfn.RANK.EQ(dHdcp[[#This Row],[Ranking]],dHdcp[Ranking],1),"")</f>
        <v/>
      </c>
      <c r="M1143" t="str">
        <f>+dHdcp[[#This Row],[Fecha]]&amp;":"&amp;dHdcp[[#This Row],[Nombre]]</f>
        <v>44688:Ruslan Kochman</v>
      </c>
      <c r="N1143">
        <f>+COUNTIF(dHdcp[Columna1],dHdcp[[#This Row],[Columna1]])</f>
        <v>1</v>
      </c>
    </row>
    <row r="1144" spans="1:14">
      <c r="A1144" s="2">
        <v>44730</v>
      </c>
      <c r="B1144" t="s">
        <v>259</v>
      </c>
      <c r="C1144" s="51">
        <v>3.9</v>
      </c>
      <c r="D1144">
        <f>+VLOOKUP(dHdcp[[#This Row],[Handicap]],'Categoría Hdcap'!$B$2:$E$7,4)</f>
        <v>1</v>
      </c>
      <c r="E1144" t="s">
        <v>74</v>
      </c>
      <c r="F1144" t="s">
        <v>1610</v>
      </c>
      <c r="G1144">
        <f>+IF(dHdcp[[#This Row],[Fecha]]=MAX(dHdcp[Fecha]),1,0)</f>
        <v>0</v>
      </c>
      <c r="H1144" t="str">
        <f>+dHdcp[[#This Row],[Maximo]]&amp;":"&amp;dHdcp[[#This Row],[Nombre]]</f>
        <v>0:Alejandro Arcos</v>
      </c>
      <c r="I1144" t="str">
        <f>+dHdcp[[#This Row],[Maximo]]&amp;":"&amp;_xlfn.XLOOKUP(dHdcp[[#This Row],[Nombre]],dJugador[Nombre],dJugador[Mote],"",0)</f>
        <v>0:Alex</v>
      </c>
      <c r="J1144" t="str">
        <f>+IF(dHdcp[[#This Row],[Maximo]]=0,"",_xlfn.RANK.EQ(dHdcp[[#This Row],[Handicap]],dHdcp[Handicap],1))</f>
        <v/>
      </c>
      <c r="K1144" t="str">
        <f>IFERROR(+_xlfn.RANK.EQ(dHdcp[[#This Row],[Ranking]],dHdcp[Ranking],1),"")</f>
        <v/>
      </c>
      <c r="M1144" t="str">
        <f>+dHdcp[[#This Row],[Fecha]]&amp;":"&amp;dHdcp[[#This Row],[Nombre]]</f>
        <v>44730:Alejandro Arcos</v>
      </c>
      <c r="N1144">
        <f>+COUNTIF(dHdcp[Columna1],dHdcp[[#This Row],[Columna1]])</f>
        <v>1</v>
      </c>
    </row>
    <row r="1145" spans="1:14">
      <c r="A1145" s="2">
        <v>44730</v>
      </c>
      <c r="B1145" t="s">
        <v>9</v>
      </c>
      <c r="C1145" s="51">
        <v>11</v>
      </c>
      <c r="D1145">
        <f>+VLOOKUP(dHdcp[[#This Row],[Handicap]],'Categoría Hdcap'!$B$2:$E$7,4)</f>
        <v>2</v>
      </c>
      <c r="E1145" t="s">
        <v>74</v>
      </c>
      <c r="F1145" t="s">
        <v>1611</v>
      </c>
      <c r="G1145">
        <f>+IF(dHdcp[[#This Row],[Fecha]]=MAX(dHdcp[Fecha]),1,0)</f>
        <v>0</v>
      </c>
      <c r="H1145" t="str">
        <f>+dHdcp[[#This Row],[Maximo]]&amp;":"&amp;dHdcp[[#This Row],[Nombre]]</f>
        <v>0:Alfonso Hidalgo</v>
      </c>
      <c r="I1145" t="str">
        <f>+dHdcp[[#This Row],[Maximo]]&amp;":"&amp;_xlfn.XLOOKUP(dHdcp[[#This Row],[Nombre]],dJugador[Nombre],dJugador[Mote],"",0)</f>
        <v>0:Alfonso</v>
      </c>
      <c r="J1145" t="str">
        <f>+IF(dHdcp[[#This Row],[Maximo]]=0,"",_xlfn.RANK.EQ(dHdcp[[#This Row],[Handicap]],dHdcp[Handicap],1))</f>
        <v/>
      </c>
      <c r="K1145" t="str">
        <f>IFERROR(+_xlfn.RANK.EQ(dHdcp[[#This Row],[Ranking]],dHdcp[Ranking],1),"")</f>
        <v/>
      </c>
      <c r="M1145" t="str">
        <f>+dHdcp[[#This Row],[Fecha]]&amp;":"&amp;dHdcp[[#This Row],[Nombre]]</f>
        <v>44730:Alfonso Hidalgo</v>
      </c>
      <c r="N1145">
        <f>+COUNTIF(dHdcp[Columna1],dHdcp[[#This Row],[Columna1]])</f>
        <v>1</v>
      </c>
    </row>
    <row r="1146" spans="1:14">
      <c r="A1146" s="2">
        <v>44730</v>
      </c>
      <c r="B1146" t="s">
        <v>229</v>
      </c>
      <c r="C1146" s="51">
        <v>13.6</v>
      </c>
      <c r="D1146">
        <f>+VLOOKUP(dHdcp[[#This Row],[Handicap]],'Categoría Hdcap'!$B$2:$E$7,4)</f>
        <v>3</v>
      </c>
      <c r="E1146" t="s">
        <v>74</v>
      </c>
      <c r="F1146" t="s">
        <v>1612</v>
      </c>
      <c r="G1146">
        <f>+IF(dHdcp[[#This Row],[Fecha]]=MAX(dHdcp[Fecha]),1,0)</f>
        <v>0</v>
      </c>
      <c r="H1146" t="str">
        <f>+dHdcp[[#This Row],[Maximo]]&amp;":"&amp;dHdcp[[#This Row],[Nombre]]</f>
        <v>0:Alfonso Zorrilla</v>
      </c>
      <c r="I1146" t="str">
        <f>+dHdcp[[#This Row],[Maximo]]&amp;":"&amp;_xlfn.XLOOKUP(dHdcp[[#This Row],[Nombre]],dJugador[Nombre],dJugador[Mote],"",0)</f>
        <v>0:A Zorrilla</v>
      </c>
      <c r="J1146" t="str">
        <f>+IF(dHdcp[[#This Row],[Maximo]]=0,"",_xlfn.RANK.EQ(dHdcp[[#This Row],[Handicap]],dHdcp[Handicap],1))</f>
        <v/>
      </c>
      <c r="K1146" t="str">
        <f>IFERROR(+_xlfn.RANK.EQ(dHdcp[[#This Row],[Ranking]],dHdcp[Ranking],1),"")</f>
        <v/>
      </c>
      <c r="M1146" t="str">
        <f>+dHdcp[[#This Row],[Fecha]]&amp;":"&amp;dHdcp[[#This Row],[Nombre]]</f>
        <v>44730:Alfonso Zorrilla</v>
      </c>
      <c r="N1146">
        <f>+COUNTIF(dHdcp[Columna1],dHdcp[[#This Row],[Columna1]])</f>
        <v>1</v>
      </c>
    </row>
    <row r="1147" spans="1:14">
      <c r="A1147" s="2">
        <v>44730</v>
      </c>
      <c r="B1147" s="13" t="s">
        <v>15</v>
      </c>
      <c r="C1147" s="51">
        <v>7.2</v>
      </c>
      <c r="D1147">
        <f>+VLOOKUP(dHdcp[[#This Row],[Handicap]],'Categoría Hdcap'!$B$2:$E$7,4)</f>
        <v>2</v>
      </c>
      <c r="E1147" t="s">
        <v>74</v>
      </c>
      <c r="F1147" t="s">
        <v>1613</v>
      </c>
      <c r="G1147">
        <f>+IF(dHdcp[[#This Row],[Fecha]]=MAX(dHdcp[Fecha]),1,0)</f>
        <v>0</v>
      </c>
      <c r="H1147" t="str">
        <f>+dHdcp[[#This Row],[Maximo]]&amp;":"&amp;dHdcp[[#This Row],[Nombre]]</f>
        <v>0:Alvaro Aguirre</v>
      </c>
      <c r="I1147" t="str">
        <f>+dHdcp[[#This Row],[Maximo]]&amp;":"&amp;_xlfn.XLOOKUP(dHdcp[[#This Row],[Nombre]],dJugador[Nombre],dJugador[Mote],"",0)</f>
        <v>0:Gifu</v>
      </c>
      <c r="J1147" t="str">
        <f>+IF(dHdcp[[#This Row],[Maximo]]=0,"",_xlfn.RANK.EQ(dHdcp[[#This Row],[Handicap]],dHdcp[Handicap],1))</f>
        <v/>
      </c>
      <c r="K1147" t="str">
        <f>IFERROR(+_xlfn.RANK.EQ(dHdcp[[#This Row],[Ranking]],dHdcp[Ranking],1),"")</f>
        <v/>
      </c>
      <c r="M1147" t="str">
        <f>+dHdcp[[#This Row],[Fecha]]&amp;":"&amp;dHdcp[[#This Row],[Nombre]]</f>
        <v>44730:Alvaro Aguirre</v>
      </c>
      <c r="N1147">
        <f>+COUNTIF(dHdcp[Columna1],dHdcp[[#This Row],[Columna1]])</f>
        <v>1</v>
      </c>
    </row>
    <row r="1148" spans="1:14">
      <c r="A1148" s="2">
        <v>44730</v>
      </c>
      <c r="B1148" t="s">
        <v>201</v>
      </c>
      <c r="C1148" s="51">
        <v>7.7</v>
      </c>
      <c r="D1148">
        <f>+VLOOKUP(dHdcp[[#This Row],[Handicap]],'Categoría Hdcap'!$B$2:$E$7,4)</f>
        <v>2</v>
      </c>
      <c r="E1148" t="s">
        <v>74</v>
      </c>
      <c r="F1148" t="s">
        <v>1614</v>
      </c>
      <c r="G1148">
        <f>+IF(dHdcp[[#This Row],[Fecha]]=MAX(dHdcp[Fecha]),1,0)</f>
        <v>0</v>
      </c>
      <c r="H1148" t="str">
        <f>+dHdcp[[#This Row],[Maximo]]&amp;":"&amp;dHdcp[[#This Row],[Nombre]]</f>
        <v>0:Alvaro Montoya</v>
      </c>
      <c r="I1148" t="str">
        <f>+dHdcp[[#This Row],[Maximo]]&amp;":"&amp;_xlfn.XLOOKUP(dHdcp[[#This Row],[Nombre]],dJugador[Nombre],dJugador[Mote],"",0)</f>
        <v>0:Monti</v>
      </c>
      <c r="J1148" t="str">
        <f>+IF(dHdcp[[#This Row],[Maximo]]=0,"",_xlfn.RANK.EQ(dHdcp[[#This Row],[Handicap]],dHdcp[Handicap],1))</f>
        <v/>
      </c>
      <c r="K1148" t="str">
        <f>IFERROR(+_xlfn.RANK.EQ(dHdcp[[#This Row],[Ranking]],dHdcp[Ranking],1),"")</f>
        <v/>
      </c>
      <c r="M1148" t="str">
        <f>+dHdcp[[#This Row],[Fecha]]&amp;":"&amp;dHdcp[[#This Row],[Nombre]]</f>
        <v>44730:Alvaro Montoya</v>
      </c>
      <c r="N1148">
        <f>+COUNTIF(dHdcp[Columna1],dHdcp[[#This Row],[Columna1]])</f>
        <v>1</v>
      </c>
    </row>
    <row r="1149" spans="1:14">
      <c r="A1149" s="2">
        <v>44730</v>
      </c>
      <c r="B1149" t="s">
        <v>25</v>
      </c>
      <c r="C1149" s="51">
        <v>12.6</v>
      </c>
      <c r="D1149">
        <f>+VLOOKUP(dHdcp[[#This Row],[Handicap]],'Categoría Hdcap'!$B$2:$E$7,4)</f>
        <v>3</v>
      </c>
      <c r="E1149" t="s">
        <v>74</v>
      </c>
      <c r="F1149" t="s">
        <v>1615</v>
      </c>
      <c r="G1149">
        <f>+IF(dHdcp[[#This Row],[Fecha]]=MAX(dHdcp[Fecha]),1,0)</f>
        <v>0</v>
      </c>
      <c r="H1149" t="str">
        <f>+dHdcp[[#This Row],[Maximo]]&amp;":"&amp;dHdcp[[#This Row],[Nombre]]</f>
        <v>0:Alvaro Nieto</v>
      </c>
      <c r="I1149" t="str">
        <f>+dHdcp[[#This Row],[Maximo]]&amp;":"&amp;_xlfn.XLOOKUP(dHdcp[[#This Row],[Nombre]],dJugador[Nombre],dJugador[Mote],"",0)</f>
        <v>0:Alvaro</v>
      </c>
      <c r="J1149" t="str">
        <f>+IF(dHdcp[[#This Row],[Maximo]]=0,"",_xlfn.RANK.EQ(dHdcp[[#This Row],[Handicap]],dHdcp[Handicap],1))</f>
        <v/>
      </c>
      <c r="K1149" t="str">
        <f>IFERROR(+_xlfn.RANK.EQ(dHdcp[[#This Row],[Ranking]],dHdcp[Ranking],1),"")</f>
        <v/>
      </c>
      <c r="M1149" t="str">
        <f>+dHdcp[[#This Row],[Fecha]]&amp;":"&amp;dHdcp[[#This Row],[Nombre]]</f>
        <v>44730:Alvaro Nieto</v>
      </c>
      <c r="N1149">
        <f>+COUNTIF(dHdcp[Columna1],dHdcp[[#This Row],[Columna1]])</f>
        <v>1</v>
      </c>
    </row>
    <row r="1150" spans="1:14">
      <c r="A1150" s="2">
        <v>44730</v>
      </c>
      <c r="B1150" t="s">
        <v>33</v>
      </c>
      <c r="C1150" s="51">
        <v>7.6</v>
      </c>
      <c r="D1150">
        <f>+VLOOKUP(dHdcp[[#This Row],[Handicap]],'Categoría Hdcap'!$B$2:$E$7,4)</f>
        <v>2</v>
      </c>
      <c r="E1150" t="s">
        <v>74</v>
      </c>
      <c r="F1150" t="s">
        <v>1616</v>
      </c>
      <c r="G1150">
        <f>+IF(dHdcp[[#This Row],[Fecha]]=MAX(dHdcp[Fecha]),1,0)</f>
        <v>0</v>
      </c>
      <c r="H1150" t="str">
        <f>+dHdcp[[#This Row],[Maximo]]&amp;":"&amp;dHdcp[[#This Row],[Nombre]]</f>
        <v>0:Angel Hernandez</v>
      </c>
      <c r="I1150" t="str">
        <f>+dHdcp[[#This Row],[Maximo]]&amp;":"&amp;_xlfn.XLOOKUP(dHdcp[[#This Row],[Nombre]],dJugador[Nombre],dJugador[Mote],"",0)</f>
        <v>0:Angel</v>
      </c>
      <c r="J1150" t="str">
        <f>+IF(dHdcp[[#This Row],[Maximo]]=0,"",_xlfn.RANK.EQ(dHdcp[[#This Row],[Handicap]],dHdcp[Handicap],1))</f>
        <v/>
      </c>
      <c r="K1150" t="str">
        <f>IFERROR(+_xlfn.RANK.EQ(dHdcp[[#This Row],[Ranking]],dHdcp[Ranking],1),"")</f>
        <v/>
      </c>
      <c r="M1150" t="str">
        <f>+dHdcp[[#This Row],[Fecha]]&amp;":"&amp;dHdcp[[#This Row],[Nombre]]</f>
        <v>44730:Angel Hernandez</v>
      </c>
      <c r="N1150">
        <f>+COUNTIF(dHdcp[Columna1],dHdcp[[#This Row],[Columna1]])</f>
        <v>1</v>
      </c>
    </row>
    <row r="1151" spans="1:14">
      <c r="A1151" s="2">
        <v>44730</v>
      </c>
      <c r="B1151" t="s">
        <v>264</v>
      </c>
      <c r="C1151" s="51">
        <v>18.899999999999999</v>
      </c>
      <c r="D1151">
        <f>+VLOOKUP(dHdcp[[#This Row],[Handicap]],'Categoría Hdcap'!$B$2:$E$7,4)</f>
        <v>4</v>
      </c>
      <c r="E1151" t="s">
        <v>74</v>
      </c>
      <c r="F1151" t="s">
        <v>1617</v>
      </c>
      <c r="G1151">
        <f>+IF(dHdcp[[#This Row],[Fecha]]=MAX(dHdcp[Fecha]),1,0)</f>
        <v>0</v>
      </c>
      <c r="H1151" t="str">
        <f>+dHdcp[[#This Row],[Maximo]]&amp;":"&amp;dHdcp[[#This Row],[Nombre]]</f>
        <v>0:Antonio Carmona</v>
      </c>
      <c r="I1151" t="str">
        <f>+dHdcp[[#This Row],[Maximo]]&amp;":"&amp;_xlfn.XLOOKUP(dHdcp[[#This Row],[Nombre]],dJugador[Nombre],dJugador[Mote],"",0)</f>
        <v>0:Antonio</v>
      </c>
      <c r="J1151" t="str">
        <f>+IF(dHdcp[[#This Row],[Maximo]]=0,"",_xlfn.RANK.EQ(dHdcp[[#This Row],[Handicap]],dHdcp[Handicap],1))</f>
        <v/>
      </c>
      <c r="K1151" t="str">
        <f>IFERROR(+_xlfn.RANK.EQ(dHdcp[[#This Row],[Ranking]],dHdcp[Ranking],1),"")</f>
        <v/>
      </c>
      <c r="M1151" t="str">
        <f>+dHdcp[[#This Row],[Fecha]]&amp;":"&amp;dHdcp[[#This Row],[Nombre]]</f>
        <v>44730:Antonio Carmona</v>
      </c>
      <c r="N1151">
        <f>+COUNTIF(dHdcp[Columna1],dHdcp[[#This Row],[Columna1]])</f>
        <v>1</v>
      </c>
    </row>
    <row r="1152" spans="1:14">
      <c r="A1152" s="2">
        <v>44730</v>
      </c>
      <c r="B1152" t="s">
        <v>30</v>
      </c>
      <c r="C1152" s="51">
        <v>11.1</v>
      </c>
      <c r="D1152">
        <f>+VLOOKUP(dHdcp[[#This Row],[Handicap]],'Categoría Hdcap'!$B$2:$E$7,4)</f>
        <v>2</v>
      </c>
      <c r="E1152" t="s">
        <v>74</v>
      </c>
      <c r="F1152" t="s">
        <v>1618</v>
      </c>
      <c r="G1152">
        <f>+IF(dHdcp[[#This Row],[Fecha]]=MAX(dHdcp[Fecha]),1,0)</f>
        <v>0</v>
      </c>
      <c r="H1152" t="str">
        <f>+dHdcp[[#This Row],[Maximo]]&amp;":"&amp;dHdcp[[#This Row],[Nombre]]</f>
        <v>0:David Sequera</v>
      </c>
      <c r="I1152" t="str">
        <f>+dHdcp[[#This Row],[Maximo]]&amp;":"&amp;_xlfn.XLOOKUP(dHdcp[[#This Row],[Nombre]],dJugador[Nombre],dJugador[Mote],"",0)</f>
        <v>0:David</v>
      </c>
      <c r="J1152" t="str">
        <f>+IF(dHdcp[[#This Row],[Maximo]]=0,"",_xlfn.RANK.EQ(dHdcp[[#This Row],[Handicap]],dHdcp[Handicap],1))</f>
        <v/>
      </c>
      <c r="K1152" t="str">
        <f>IFERROR(+_xlfn.RANK.EQ(dHdcp[[#This Row],[Ranking]],dHdcp[Ranking],1),"")</f>
        <v/>
      </c>
      <c r="M1152" t="str">
        <f>+dHdcp[[#This Row],[Fecha]]&amp;":"&amp;dHdcp[[#This Row],[Nombre]]</f>
        <v>44730:David Sequera</v>
      </c>
      <c r="N1152">
        <f>+COUNTIF(dHdcp[Columna1],dHdcp[[#This Row],[Columna1]])</f>
        <v>1</v>
      </c>
    </row>
    <row r="1153" spans="1:14">
      <c r="A1153" s="2">
        <v>44730</v>
      </c>
      <c r="B1153" t="s">
        <v>248</v>
      </c>
      <c r="C1153" s="51">
        <v>15.6</v>
      </c>
      <c r="D1153">
        <f>+VLOOKUP(dHdcp[[#This Row],[Handicap]],'Categoría Hdcap'!$B$2:$E$7,4)</f>
        <v>3</v>
      </c>
      <c r="E1153" t="s">
        <v>74</v>
      </c>
      <c r="F1153" t="s">
        <v>1619</v>
      </c>
      <c r="G1153">
        <f>+IF(dHdcp[[#This Row],[Fecha]]=MAX(dHdcp[Fecha]),1,0)</f>
        <v>0</v>
      </c>
      <c r="H1153" t="str">
        <f>+dHdcp[[#This Row],[Maximo]]&amp;":"&amp;dHdcp[[#This Row],[Nombre]]</f>
        <v>0:Enrique Gonzalez R</v>
      </c>
      <c r="I1153" t="str">
        <f>+dHdcp[[#This Row],[Maximo]]&amp;":"&amp;_xlfn.XLOOKUP(dHdcp[[#This Row],[Nombre]],dJugador[Nombre],dJugador[Mote],"",0)</f>
        <v>0:Enrique</v>
      </c>
      <c r="J1153" t="str">
        <f>+IF(dHdcp[[#This Row],[Maximo]]=0,"",_xlfn.RANK.EQ(dHdcp[[#This Row],[Handicap]],dHdcp[Handicap],1))</f>
        <v/>
      </c>
      <c r="K1153" t="str">
        <f>IFERROR(+_xlfn.RANK.EQ(dHdcp[[#This Row],[Ranking]],dHdcp[Ranking],1),"")</f>
        <v/>
      </c>
      <c r="M1153" t="str">
        <f>+dHdcp[[#This Row],[Fecha]]&amp;":"&amp;dHdcp[[#This Row],[Nombre]]</f>
        <v>44730:Enrique Gonzalez R</v>
      </c>
      <c r="N1153">
        <f>+COUNTIF(dHdcp[Columna1],dHdcp[[#This Row],[Columna1]])</f>
        <v>1</v>
      </c>
    </row>
    <row r="1154" spans="1:14">
      <c r="A1154" s="2">
        <v>44730</v>
      </c>
      <c r="B1154" t="s">
        <v>12</v>
      </c>
      <c r="C1154" s="51">
        <v>15.4</v>
      </c>
      <c r="D1154">
        <f>+VLOOKUP(dHdcp[[#This Row],[Handicap]],'Categoría Hdcap'!$B$2:$E$7,4)</f>
        <v>3</v>
      </c>
      <c r="E1154" t="s">
        <v>74</v>
      </c>
      <c r="F1154" t="s">
        <v>1620</v>
      </c>
      <c r="G1154">
        <f>+IF(dHdcp[[#This Row],[Fecha]]=MAX(dHdcp[Fecha]),1,0)</f>
        <v>0</v>
      </c>
      <c r="H1154" t="str">
        <f>+dHdcp[[#This Row],[Maximo]]&amp;":"&amp;dHdcp[[#This Row],[Nombre]]</f>
        <v>0:Francisco Alvarez</v>
      </c>
      <c r="I1154" t="str">
        <f>+dHdcp[[#This Row],[Maximo]]&amp;":"&amp;_xlfn.XLOOKUP(dHdcp[[#This Row],[Nombre]],dJugador[Nombre],dJugador[Mote],"",0)</f>
        <v>0:Paco</v>
      </c>
      <c r="J1154" t="str">
        <f>+IF(dHdcp[[#This Row],[Maximo]]=0,"",_xlfn.RANK.EQ(dHdcp[[#This Row],[Handicap]],dHdcp[Handicap],1))</f>
        <v/>
      </c>
      <c r="K1154" t="str">
        <f>IFERROR(+_xlfn.RANK.EQ(dHdcp[[#This Row],[Ranking]],dHdcp[Ranking],1),"")</f>
        <v/>
      </c>
      <c r="M1154" t="str">
        <f>+dHdcp[[#This Row],[Fecha]]&amp;":"&amp;dHdcp[[#This Row],[Nombre]]</f>
        <v>44730:Francisco Alvarez</v>
      </c>
      <c r="N1154">
        <f>+COUNTIF(dHdcp[Columna1],dHdcp[[#This Row],[Columna1]])</f>
        <v>1</v>
      </c>
    </row>
    <row r="1155" spans="1:14">
      <c r="A1155" s="2">
        <v>44730</v>
      </c>
      <c r="B1155" t="s">
        <v>49</v>
      </c>
      <c r="C1155" s="51">
        <v>12.2</v>
      </c>
      <c r="D1155">
        <f>+VLOOKUP(dHdcp[[#This Row],[Handicap]],'Categoría Hdcap'!$B$2:$E$7,4)</f>
        <v>3</v>
      </c>
      <c r="E1155" t="s">
        <v>74</v>
      </c>
      <c r="F1155" t="s">
        <v>1621</v>
      </c>
      <c r="G1155">
        <f>+IF(dHdcp[[#This Row],[Fecha]]=MAX(dHdcp[Fecha]),1,0)</f>
        <v>0</v>
      </c>
      <c r="H1155" t="str">
        <f>+dHdcp[[#This Row],[Maximo]]&amp;":"&amp;dHdcp[[#This Row],[Nombre]]</f>
        <v>0:Francisco Hidalgo</v>
      </c>
      <c r="I1155" t="str">
        <f>+dHdcp[[#This Row],[Maximo]]&amp;":"&amp;_xlfn.XLOOKUP(dHdcp[[#This Row],[Nombre]],dJugador[Nombre],dJugador[Mote],"",0)</f>
        <v>0:Fran</v>
      </c>
      <c r="J1155" t="str">
        <f>+IF(dHdcp[[#This Row],[Maximo]]=0,"",_xlfn.RANK.EQ(dHdcp[[#This Row],[Handicap]],dHdcp[Handicap],1))</f>
        <v/>
      </c>
      <c r="K1155" t="str">
        <f>IFERROR(+_xlfn.RANK.EQ(dHdcp[[#This Row],[Ranking]],dHdcp[Ranking],1),"")</f>
        <v/>
      </c>
      <c r="M1155" t="str">
        <f>+dHdcp[[#This Row],[Fecha]]&amp;":"&amp;dHdcp[[#This Row],[Nombre]]</f>
        <v>44730:Francisco Hidalgo</v>
      </c>
      <c r="N1155">
        <f>+COUNTIF(dHdcp[Columna1],dHdcp[[#This Row],[Columna1]])</f>
        <v>1</v>
      </c>
    </row>
    <row r="1156" spans="1:14">
      <c r="A1156" s="2">
        <v>44730</v>
      </c>
      <c r="B1156" t="s">
        <v>207</v>
      </c>
      <c r="C1156" s="51">
        <v>14.4</v>
      </c>
      <c r="D1156">
        <f>+VLOOKUP(dHdcp[[#This Row],[Handicap]],'Categoría Hdcap'!$B$2:$E$7,4)</f>
        <v>3</v>
      </c>
      <c r="E1156" t="s">
        <v>74</v>
      </c>
      <c r="F1156" t="s">
        <v>1622</v>
      </c>
      <c r="G1156">
        <f>+IF(dHdcp[[#This Row],[Fecha]]=MAX(dHdcp[Fecha]),1,0)</f>
        <v>0</v>
      </c>
      <c r="H1156" t="str">
        <f>+dHdcp[[#This Row],[Maximo]]&amp;":"&amp;dHdcp[[#This Row],[Nombre]]</f>
        <v>0:Franck Benouniche</v>
      </c>
      <c r="I1156" t="str">
        <f>+dHdcp[[#This Row],[Maximo]]&amp;":"&amp;_xlfn.XLOOKUP(dHdcp[[#This Row],[Nombre]],dJugador[Nombre],dJugador[Mote],"",0)</f>
        <v>0:Franck</v>
      </c>
      <c r="J1156" t="str">
        <f>+IF(dHdcp[[#This Row],[Maximo]]=0,"",_xlfn.RANK.EQ(dHdcp[[#This Row],[Handicap]],dHdcp[Handicap],1))</f>
        <v/>
      </c>
      <c r="K1156" t="str">
        <f>IFERROR(+_xlfn.RANK.EQ(dHdcp[[#This Row],[Ranking]],dHdcp[Ranking],1),"")</f>
        <v/>
      </c>
      <c r="M1156" t="str">
        <f>+dHdcp[[#This Row],[Fecha]]&amp;":"&amp;dHdcp[[#This Row],[Nombre]]</f>
        <v>44730:Franck Benouniche</v>
      </c>
      <c r="N1156">
        <f>+COUNTIF(dHdcp[Columna1],dHdcp[[#This Row],[Columna1]])</f>
        <v>1</v>
      </c>
    </row>
    <row r="1157" spans="1:14">
      <c r="A1157" s="2">
        <v>44730</v>
      </c>
      <c r="B1157" t="s">
        <v>35</v>
      </c>
      <c r="C1157" s="51">
        <v>18.2</v>
      </c>
      <c r="D1157">
        <f>+VLOOKUP(dHdcp[[#This Row],[Handicap]],'Categoría Hdcap'!$B$2:$E$7,4)</f>
        <v>3</v>
      </c>
      <c r="E1157" t="s">
        <v>74</v>
      </c>
      <c r="F1157" t="s">
        <v>1623</v>
      </c>
      <c r="G1157">
        <f>+IF(dHdcp[[#This Row],[Fecha]]=MAX(dHdcp[Fecha]),1,0)</f>
        <v>0</v>
      </c>
      <c r="H1157" t="str">
        <f>+dHdcp[[#This Row],[Maximo]]&amp;":"&amp;dHdcp[[#This Row],[Nombre]]</f>
        <v>0:GLEZ JUAN JOSÉ</v>
      </c>
      <c r="I1157" t="str">
        <f>+dHdcp[[#This Row],[Maximo]]&amp;":"&amp;_xlfn.XLOOKUP(dHdcp[[#This Row],[Nombre]],dJugador[Nombre],dJugador[Mote],"",0)</f>
        <v>0:Juanjo</v>
      </c>
      <c r="J1157" t="str">
        <f>+IF(dHdcp[[#This Row],[Maximo]]=0,"",_xlfn.RANK.EQ(dHdcp[[#This Row],[Handicap]],dHdcp[Handicap],1))</f>
        <v/>
      </c>
      <c r="K1157" t="str">
        <f>IFERROR(+_xlfn.RANK.EQ(dHdcp[[#This Row],[Ranking]],dHdcp[Ranking],1),"")</f>
        <v/>
      </c>
      <c r="M1157" t="str">
        <f>+dHdcp[[#This Row],[Fecha]]&amp;":"&amp;dHdcp[[#This Row],[Nombre]]</f>
        <v>44730:GLEZ JUAN JOSÉ</v>
      </c>
      <c r="N1157">
        <f>+COUNTIF(dHdcp[Columna1],dHdcp[[#This Row],[Columna1]])</f>
        <v>1</v>
      </c>
    </row>
    <row r="1158" spans="1:14">
      <c r="A1158" s="2">
        <v>44730</v>
      </c>
      <c r="B1158" t="s">
        <v>6</v>
      </c>
      <c r="C1158" s="51">
        <v>8.3000000000000007</v>
      </c>
      <c r="D1158">
        <f>+VLOOKUP(dHdcp[[#This Row],[Handicap]],'Categoría Hdcap'!$B$2:$E$7,4)</f>
        <v>2</v>
      </c>
      <c r="E1158" t="s">
        <v>74</v>
      </c>
      <c r="F1158" t="s">
        <v>1624</v>
      </c>
      <c r="G1158">
        <f>+IF(dHdcp[[#This Row],[Fecha]]=MAX(dHdcp[Fecha]),1,0)</f>
        <v>0</v>
      </c>
      <c r="H1158" t="str">
        <f>+dHdcp[[#This Row],[Maximo]]&amp;":"&amp;dHdcp[[#This Row],[Nombre]]</f>
        <v>0:Ignacio Cadarso</v>
      </c>
      <c r="I1158" t="str">
        <f>+dHdcp[[#This Row],[Maximo]]&amp;":"&amp;_xlfn.XLOOKUP(dHdcp[[#This Row],[Nombre]],dJugador[Nombre],dJugador[Mote],"",0)</f>
        <v>0:Ignacio</v>
      </c>
      <c r="J1158" t="str">
        <f>+IF(dHdcp[[#This Row],[Maximo]]=0,"",_xlfn.RANK.EQ(dHdcp[[#This Row],[Handicap]],dHdcp[Handicap],1))</f>
        <v/>
      </c>
      <c r="K1158" t="str">
        <f>IFERROR(+_xlfn.RANK.EQ(dHdcp[[#This Row],[Ranking]],dHdcp[Ranking],1),"")</f>
        <v/>
      </c>
      <c r="M1158" t="str">
        <f>+dHdcp[[#This Row],[Fecha]]&amp;":"&amp;dHdcp[[#This Row],[Nombre]]</f>
        <v>44730:Ignacio Cadarso</v>
      </c>
      <c r="N1158">
        <f>+COUNTIF(dHdcp[Columna1],dHdcp[[#This Row],[Columna1]])</f>
        <v>1</v>
      </c>
    </row>
    <row r="1159" spans="1:14">
      <c r="A1159" s="2">
        <v>44730</v>
      </c>
      <c r="B1159" t="s">
        <v>23</v>
      </c>
      <c r="C1159" s="51">
        <v>17.3</v>
      </c>
      <c r="D1159">
        <f>+VLOOKUP(dHdcp[[#This Row],[Handicap]],'Categoría Hdcap'!$B$2:$E$7,4)</f>
        <v>3</v>
      </c>
      <c r="E1159" t="s">
        <v>74</v>
      </c>
      <c r="F1159" t="s">
        <v>1625</v>
      </c>
      <c r="G1159">
        <f>+IF(dHdcp[[#This Row],[Fecha]]=MAX(dHdcp[Fecha]),1,0)</f>
        <v>0</v>
      </c>
      <c r="H1159" t="str">
        <f>+dHdcp[[#This Row],[Maximo]]&amp;":"&amp;dHdcp[[#This Row],[Nombre]]</f>
        <v>0:J. Enrique Gonzalez</v>
      </c>
      <c r="I1159" t="str">
        <f>+dHdcp[[#This Row],[Maximo]]&amp;":"&amp;_xlfn.XLOOKUP(dHdcp[[#This Row],[Nombre]],dJugador[Nombre],dJugador[Mote],"",0)</f>
        <v>0:Kike</v>
      </c>
      <c r="J1159" t="str">
        <f>+IF(dHdcp[[#This Row],[Maximo]]=0,"",_xlfn.RANK.EQ(dHdcp[[#This Row],[Handicap]],dHdcp[Handicap],1))</f>
        <v/>
      </c>
      <c r="K1159" t="str">
        <f>IFERROR(+_xlfn.RANK.EQ(dHdcp[[#This Row],[Ranking]],dHdcp[Ranking],1),"")</f>
        <v/>
      </c>
      <c r="M1159" t="str">
        <f>+dHdcp[[#This Row],[Fecha]]&amp;":"&amp;dHdcp[[#This Row],[Nombre]]</f>
        <v>44730:J. Enrique Gonzalez</v>
      </c>
      <c r="N1159">
        <f>+COUNTIF(dHdcp[Columna1],dHdcp[[#This Row],[Columna1]])</f>
        <v>1</v>
      </c>
    </row>
    <row r="1160" spans="1:14">
      <c r="A1160" s="2">
        <v>44730</v>
      </c>
      <c r="B1160" t="s">
        <v>46</v>
      </c>
      <c r="C1160" s="51">
        <v>17.2</v>
      </c>
      <c r="D1160">
        <f>+VLOOKUP(dHdcp[[#This Row],[Handicap]],'Categoría Hdcap'!$B$2:$E$7,4)</f>
        <v>3</v>
      </c>
      <c r="E1160" t="s">
        <v>74</v>
      </c>
      <c r="F1160" s="94" t="s">
        <v>1626</v>
      </c>
      <c r="G1160">
        <f>+IF(dHdcp[[#This Row],[Fecha]]=MAX(dHdcp[Fecha]),1,0)</f>
        <v>0</v>
      </c>
      <c r="H1160" t="str">
        <f>+dHdcp[[#This Row],[Maximo]]&amp;":"&amp;dHdcp[[#This Row],[Nombre]]</f>
        <v>0:Javier Cervera</v>
      </c>
      <c r="I1160" t="str">
        <f>+dHdcp[[#This Row],[Maximo]]&amp;":"&amp;_xlfn.XLOOKUP(dHdcp[[#This Row],[Nombre]],dJugador[Nombre],dJugador[Mote],"",0)</f>
        <v>0:Virus</v>
      </c>
      <c r="J1160" t="str">
        <f>+IF(dHdcp[[#This Row],[Maximo]]=0,"",_xlfn.RANK.EQ(dHdcp[[#This Row],[Handicap]],dHdcp[Handicap],1))</f>
        <v/>
      </c>
      <c r="K1160" t="str">
        <f>IFERROR(+_xlfn.RANK.EQ(dHdcp[[#This Row],[Ranking]],dHdcp[Ranking],1),"")</f>
        <v/>
      </c>
      <c r="M1160" t="str">
        <f>+dHdcp[[#This Row],[Fecha]]&amp;":"&amp;dHdcp[[#This Row],[Nombre]]</f>
        <v>44730:Javier Cervera</v>
      </c>
      <c r="N1160">
        <f>+COUNTIF(dHdcp[Columna1],dHdcp[[#This Row],[Columna1]])</f>
        <v>1</v>
      </c>
    </row>
    <row r="1161" spans="1:14">
      <c r="A1161" s="2">
        <v>44730</v>
      </c>
      <c r="B1161" t="s">
        <v>225</v>
      </c>
      <c r="C1161" s="51">
        <v>9.6999999999999993</v>
      </c>
      <c r="D1161">
        <f>+VLOOKUP(dHdcp[[#This Row],[Handicap]],'Categoría Hdcap'!$B$2:$E$7,4)</f>
        <v>2</v>
      </c>
      <c r="E1161" t="s">
        <v>74</v>
      </c>
      <c r="F1161" t="s">
        <v>1627</v>
      </c>
      <c r="G1161">
        <f>+IF(dHdcp[[#This Row],[Fecha]]=MAX(dHdcp[Fecha]),1,0)</f>
        <v>0</v>
      </c>
      <c r="H1161" t="str">
        <f>+dHdcp[[#This Row],[Maximo]]&amp;":"&amp;dHdcp[[#This Row],[Nombre]]</f>
        <v>0:Javier Chiralt</v>
      </c>
      <c r="I1161" t="str">
        <f>+dHdcp[[#This Row],[Maximo]]&amp;":"&amp;_xlfn.XLOOKUP(dHdcp[[#This Row],[Nombre]],dJugador[Nombre],dJugador[Mote],"",0)</f>
        <v>0:Chiralt</v>
      </c>
      <c r="J1161" t="str">
        <f>+IF(dHdcp[[#This Row],[Maximo]]=0,"",_xlfn.RANK.EQ(dHdcp[[#This Row],[Handicap]],dHdcp[Handicap],1))</f>
        <v/>
      </c>
      <c r="K1161" t="str">
        <f>IFERROR(+_xlfn.RANK.EQ(dHdcp[[#This Row],[Ranking]],dHdcp[Ranking],1),"")</f>
        <v/>
      </c>
      <c r="M1161" t="str">
        <f>+dHdcp[[#This Row],[Fecha]]&amp;":"&amp;dHdcp[[#This Row],[Nombre]]</f>
        <v>44730:Javier Chiralt</v>
      </c>
      <c r="N1161">
        <f>+COUNTIF(dHdcp[Columna1],dHdcp[[#This Row],[Columna1]])</f>
        <v>1</v>
      </c>
    </row>
    <row r="1162" spans="1:14">
      <c r="A1162" s="2">
        <v>44730</v>
      </c>
      <c r="B1162" t="s">
        <v>20</v>
      </c>
      <c r="C1162" s="51">
        <v>16.399999999999999</v>
      </c>
      <c r="D1162">
        <f>+VLOOKUP(dHdcp[[#This Row],[Handicap]],'Categoría Hdcap'!$B$2:$E$7,4)</f>
        <v>3</v>
      </c>
      <c r="E1162" t="s">
        <v>74</v>
      </c>
      <c r="F1162" t="s">
        <v>1628</v>
      </c>
      <c r="G1162">
        <f>+IF(dHdcp[[#This Row],[Fecha]]=MAX(dHdcp[Fecha]),1,0)</f>
        <v>0</v>
      </c>
      <c r="H1162" t="str">
        <f>+dHdcp[[#This Row],[Maximo]]&amp;":"&amp;dHdcp[[#This Row],[Nombre]]</f>
        <v>0:Javier Gonzalez Salvador</v>
      </c>
      <c r="I1162" t="str">
        <f>+dHdcp[[#This Row],[Maximo]]&amp;":"&amp;_xlfn.XLOOKUP(dHdcp[[#This Row],[Nombre]],dJugador[Nombre],dJugador[Mote],"",0)</f>
        <v>0:Javi</v>
      </c>
      <c r="J1162" t="str">
        <f>+IF(dHdcp[[#This Row],[Maximo]]=0,"",_xlfn.RANK.EQ(dHdcp[[#This Row],[Handicap]],dHdcp[Handicap],1))</f>
        <v/>
      </c>
      <c r="K1162" t="str">
        <f>IFERROR(+_xlfn.RANK.EQ(dHdcp[[#This Row],[Ranking]],dHdcp[Ranking],1),"")</f>
        <v/>
      </c>
      <c r="M1162" t="str">
        <f>+dHdcp[[#This Row],[Fecha]]&amp;":"&amp;dHdcp[[#This Row],[Nombre]]</f>
        <v>44730:Javier Gonzalez Salvador</v>
      </c>
      <c r="N1162">
        <f>+COUNTIF(dHdcp[Columna1],dHdcp[[#This Row],[Columna1]])</f>
        <v>1</v>
      </c>
    </row>
    <row r="1163" spans="1:14">
      <c r="A1163" s="2">
        <v>44730</v>
      </c>
      <c r="B1163" t="s">
        <v>217</v>
      </c>
      <c r="C1163" s="51">
        <v>22.3</v>
      </c>
      <c r="D1163">
        <f>+VLOOKUP(dHdcp[[#This Row],[Handicap]],'Categoría Hdcap'!$B$2:$E$7,4)</f>
        <v>4</v>
      </c>
      <c r="E1163" t="s">
        <v>74</v>
      </c>
      <c r="F1163" t="s">
        <v>1629</v>
      </c>
      <c r="G1163">
        <f>+IF(dHdcp[[#This Row],[Fecha]]=MAX(dHdcp[Fecha]),1,0)</f>
        <v>0</v>
      </c>
      <c r="H1163" t="str">
        <f>+dHdcp[[#This Row],[Maximo]]&amp;":"&amp;dHdcp[[#This Row],[Nombre]]</f>
        <v>0:Javier Lopez Gullón</v>
      </c>
      <c r="I1163" t="str">
        <f>+dHdcp[[#This Row],[Maximo]]&amp;":"&amp;_xlfn.XLOOKUP(dHdcp[[#This Row],[Nombre]],dJugador[Nombre],dJugador[Mote],"",0)</f>
        <v>0:Cuñao</v>
      </c>
      <c r="J1163" t="str">
        <f>+IF(dHdcp[[#This Row],[Maximo]]=0,"",_xlfn.RANK.EQ(dHdcp[[#This Row],[Handicap]],dHdcp[Handicap],1))</f>
        <v/>
      </c>
      <c r="K1163" t="str">
        <f>IFERROR(+_xlfn.RANK.EQ(dHdcp[[#This Row],[Ranking]],dHdcp[Ranking],1),"")</f>
        <v/>
      </c>
      <c r="M1163" t="str">
        <f>+dHdcp[[#This Row],[Fecha]]&amp;":"&amp;dHdcp[[#This Row],[Nombre]]</f>
        <v>44730:Javier Lopez Gullón</v>
      </c>
      <c r="N1163">
        <f>+COUNTIF(dHdcp[Columna1],dHdcp[[#This Row],[Columna1]])</f>
        <v>1</v>
      </c>
    </row>
    <row r="1164" spans="1:14">
      <c r="A1164" s="2">
        <v>44730</v>
      </c>
      <c r="B1164" t="s">
        <v>41</v>
      </c>
      <c r="C1164" s="51">
        <v>25.3</v>
      </c>
      <c r="D1164">
        <f>+VLOOKUP(dHdcp[[#This Row],[Handicap]],'Categoría Hdcap'!$B$2:$E$7,4)</f>
        <v>4</v>
      </c>
      <c r="E1164" t="s">
        <v>74</v>
      </c>
      <c r="F1164" t="s">
        <v>1630</v>
      </c>
      <c r="G1164">
        <f>+IF(dHdcp[[#This Row],[Fecha]]=MAX(dHdcp[Fecha]),1,0)</f>
        <v>0</v>
      </c>
      <c r="H1164" t="str">
        <f>+dHdcp[[#This Row],[Maximo]]&amp;":"&amp;dHdcp[[#This Row],[Nombre]]</f>
        <v>0:Jesus Touceda</v>
      </c>
      <c r="I1164" t="str">
        <f>+dHdcp[[#This Row],[Maximo]]&amp;":"&amp;_xlfn.XLOOKUP(dHdcp[[#This Row],[Nombre]],dJugador[Nombre],dJugador[Mote],"",0)</f>
        <v>0:Jesús</v>
      </c>
      <c r="J1164" t="str">
        <f>+IF(dHdcp[[#This Row],[Maximo]]=0,"",_xlfn.RANK.EQ(dHdcp[[#This Row],[Handicap]],dHdcp[Handicap],1))</f>
        <v/>
      </c>
      <c r="K1164" t="str">
        <f>IFERROR(+_xlfn.RANK.EQ(dHdcp[[#This Row],[Ranking]],dHdcp[Ranking],1),"")</f>
        <v/>
      </c>
      <c r="M1164" t="str">
        <f>+dHdcp[[#This Row],[Fecha]]&amp;":"&amp;dHdcp[[#This Row],[Nombre]]</f>
        <v>44730:Jesus Touceda</v>
      </c>
      <c r="N1164">
        <f>+COUNTIF(dHdcp[Columna1],dHdcp[[#This Row],[Columna1]])</f>
        <v>1</v>
      </c>
    </row>
    <row r="1165" spans="1:14">
      <c r="A1165" s="2">
        <v>44730</v>
      </c>
      <c r="B1165" t="s">
        <v>18</v>
      </c>
      <c r="C1165" s="51">
        <v>7.3</v>
      </c>
      <c r="D1165">
        <f>+VLOOKUP(dHdcp[[#This Row],[Handicap]],'Categoría Hdcap'!$B$2:$E$7,4)</f>
        <v>2</v>
      </c>
      <c r="E1165" t="s">
        <v>74</v>
      </c>
      <c r="F1165" t="s">
        <v>1631</v>
      </c>
      <c r="G1165">
        <f>+IF(dHdcp[[#This Row],[Fecha]]=MAX(dHdcp[Fecha]),1,0)</f>
        <v>0</v>
      </c>
      <c r="H1165" t="str">
        <f>+dHdcp[[#This Row],[Maximo]]&amp;":"&amp;dHdcp[[#This Row],[Nombre]]</f>
        <v>0:José Pablo Guil</v>
      </c>
      <c r="I1165" t="str">
        <f>+dHdcp[[#This Row],[Maximo]]&amp;":"&amp;_xlfn.XLOOKUP(dHdcp[[#This Row],[Nombre]],dJugador[Nombre],dJugador[Mote],"",0)</f>
        <v>0:JP</v>
      </c>
      <c r="J1165" t="str">
        <f>+IF(dHdcp[[#This Row],[Maximo]]=0,"",_xlfn.RANK.EQ(dHdcp[[#This Row],[Handicap]],dHdcp[Handicap],1))</f>
        <v/>
      </c>
      <c r="K1165" t="str">
        <f>IFERROR(+_xlfn.RANK.EQ(dHdcp[[#This Row],[Ranking]],dHdcp[Ranking],1),"")</f>
        <v/>
      </c>
      <c r="M1165" t="str">
        <f>+dHdcp[[#This Row],[Fecha]]&amp;":"&amp;dHdcp[[#This Row],[Nombre]]</f>
        <v>44730:José Pablo Guil</v>
      </c>
      <c r="N1165">
        <f>+COUNTIF(dHdcp[Columna1],dHdcp[[#This Row],[Columna1]])</f>
        <v>1</v>
      </c>
    </row>
    <row r="1166" spans="1:14">
      <c r="A1166" s="2">
        <v>44730</v>
      </c>
      <c r="B1166" t="s">
        <v>43</v>
      </c>
      <c r="C1166" s="51">
        <v>18.5</v>
      </c>
      <c r="D1166">
        <f>+VLOOKUP(dHdcp[[#This Row],[Handicap]],'Categoría Hdcap'!$B$2:$E$7,4)</f>
        <v>4</v>
      </c>
      <c r="E1166" t="s">
        <v>74</v>
      </c>
      <c r="F1166" t="s">
        <v>1632</v>
      </c>
      <c r="G1166">
        <f>+IF(dHdcp[[#This Row],[Fecha]]=MAX(dHdcp[Fecha]),1,0)</f>
        <v>0</v>
      </c>
      <c r="H1166" t="str">
        <f>+dHdcp[[#This Row],[Maximo]]&amp;":"&amp;dHdcp[[#This Row],[Nombre]]</f>
        <v>0:Luis Escudero</v>
      </c>
      <c r="I1166" t="str">
        <f>+dHdcp[[#This Row],[Maximo]]&amp;":"&amp;_xlfn.XLOOKUP(dHdcp[[#This Row],[Nombre]],dJugador[Nombre],dJugador[Mote],"",0)</f>
        <v>0:Lucho</v>
      </c>
      <c r="J1166" t="str">
        <f>+IF(dHdcp[[#This Row],[Maximo]]=0,"",_xlfn.RANK.EQ(dHdcp[[#This Row],[Handicap]],dHdcp[Handicap],1))</f>
        <v/>
      </c>
      <c r="K1166" t="str">
        <f>IFERROR(+_xlfn.RANK.EQ(dHdcp[[#This Row],[Ranking]],dHdcp[Ranking],1),"")</f>
        <v/>
      </c>
      <c r="M1166" t="str">
        <f>+dHdcp[[#This Row],[Fecha]]&amp;":"&amp;dHdcp[[#This Row],[Nombre]]</f>
        <v>44730:Luis Escudero</v>
      </c>
      <c r="N1166">
        <f>+COUNTIF(dHdcp[Columna1],dHdcp[[#This Row],[Columna1]])</f>
        <v>1</v>
      </c>
    </row>
    <row r="1167" spans="1:14">
      <c r="A1167" s="2">
        <v>44730</v>
      </c>
      <c r="B1167" s="10" t="s">
        <v>135</v>
      </c>
      <c r="C1167" s="53">
        <v>23.5</v>
      </c>
      <c r="D1167" s="10">
        <f>+VLOOKUP(dHdcp[[#This Row],[Handicap]],'Categoría Hdcap'!$B$2:$E$7,4)</f>
        <v>4</v>
      </c>
      <c r="E1167" s="10" t="s">
        <v>74</v>
      </c>
      <c r="F1167" s="10" t="s">
        <v>1633</v>
      </c>
      <c r="G1167">
        <f>+IF(dHdcp[[#This Row],[Fecha]]=MAX(dHdcp[Fecha]),1,0)</f>
        <v>0</v>
      </c>
      <c r="H1167" t="str">
        <f>+dHdcp[[#This Row],[Maximo]]&amp;":"&amp;dHdcp[[#This Row],[Nombre]]</f>
        <v>0:Miche Lopez</v>
      </c>
      <c r="I1167" t="str">
        <f>+dHdcp[[#This Row],[Maximo]]&amp;":"&amp;_xlfn.XLOOKUP(dHdcp[[#This Row],[Nombre]],dJugador[Nombre],dJugador[Mote],"",0)</f>
        <v>0:Miche</v>
      </c>
      <c r="J1167" t="str">
        <f>+IF(dHdcp[[#This Row],[Maximo]]=0,"",_xlfn.RANK.EQ(dHdcp[[#This Row],[Handicap]],dHdcp[Handicap],1))</f>
        <v/>
      </c>
      <c r="K1167" t="str">
        <f>IFERROR(+_xlfn.RANK.EQ(dHdcp[[#This Row],[Ranking]],dHdcp[Ranking],1),"")</f>
        <v/>
      </c>
      <c r="M1167" t="str">
        <f>+dHdcp[[#This Row],[Fecha]]&amp;":"&amp;dHdcp[[#This Row],[Nombre]]</f>
        <v>44730:Miche Lopez</v>
      </c>
      <c r="N1167">
        <f>+COUNTIF(dHdcp[Columna1],dHdcp[[#This Row],[Columna1]])</f>
        <v>1</v>
      </c>
    </row>
    <row r="1168" spans="1:14">
      <c r="A1168" s="2">
        <v>44730</v>
      </c>
      <c r="B1168" t="s">
        <v>51</v>
      </c>
      <c r="C1168" s="51">
        <v>1</v>
      </c>
      <c r="D1168">
        <f>+VLOOKUP(dHdcp[[#This Row],[Handicap]],'Categoría Hdcap'!$B$2:$E$7,4)</f>
        <v>1</v>
      </c>
      <c r="E1168" t="s">
        <v>74</v>
      </c>
      <c r="F1168" t="s">
        <v>1634</v>
      </c>
      <c r="G1168">
        <f>+IF(dHdcp[[#This Row],[Fecha]]=MAX(dHdcp[Fecha]),1,0)</f>
        <v>0</v>
      </c>
      <c r="H1168" t="str">
        <f>+dHdcp[[#This Row],[Maximo]]&amp;":"&amp;dHdcp[[#This Row],[Nombre]]</f>
        <v>0:Miguel Diaz Del Moral</v>
      </c>
      <c r="I1168" t="str">
        <f>+dHdcp[[#This Row],[Maximo]]&amp;":"&amp;_xlfn.XLOOKUP(dHdcp[[#This Row],[Nombre]],dJugador[Nombre],dJugador[Mote],"",0)</f>
        <v>0:Cañita</v>
      </c>
      <c r="J1168" t="str">
        <f>+IF(dHdcp[[#This Row],[Maximo]]=0,"",_xlfn.RANK.EQ(dHdcp[[#This Row],[Handicap]],dHdcp[Handicap],1))</f>
        <v/>
      </c>
      <c r="K1168" t="str">
        <f>IFERROR(+_xlfn.RANK.EQ(dHdcp[[#This Row],[Ranking]],dHdcp[Ranking],1),"")</f>
        <v/>
      </c>
      <c r="M1168" t="str">
        <f>+dHdcp[[#This Row],[Fecha]]&amp;":"&amp;dHdcp[[#This Row],[Nombre]]</f>
        <v>44730:Miguel Diaz Del Moral</v>
      </c>
      <c r="N1168">
        <f>+COUNTIF(dHdcp[Columna1],dHdcp[[#This Row],[Columna1]])</f>
        <v>1</v>
      </c>
    </row>
    <row r="1169" spans="1:14">
      <c r="A1169" s="2">
        <v>44730</v>
      </c>
      <c r="B1169" t="s">
        <v>205</v>
      </c>
      <c r="C1169" s="51">
        <v>7.3</v>
      </c>
      <c r="D1169">
        <f>+VLOOKUP(dHdcp[[#This Row],[Handicap]],'Categoría Hdcap'!$B$2:$E$7,4)</f>
        <v>2</v>
      </c>
      <c r="E1169" t="s">
        <v>74</v>
      </c>
      <c r="F1169" t="s">
        <v>1635</v>
      </c>
      <c r="G1169">
        <f>+IF(dHdcp[[#This Row],[Fecha]]=MAX(dHdcp[Fecha]),1,0)</f>
        <v>0</v>
      </c>
      <c r="H1169" t="str">
        <f>+dHdcp[[#This Row],[Maximo]]&amp;":"&amp;dHdcp[[#This Row],[Nombre]]</f>
        <v>0:Nacho Casas</v>
      </c>
      <c r="I1169" t="str">
        <f>+dHdcp[[#This Row],[Maximo]]&amp;":"&amp;_xlfn.XLOOKUP(dHdcp[[#This Row],[Nombre]],dJugador[Nombre],dJugador[Mote],"",0)</f>
        <v>0:Nachete</v>
      </c>
      <c r="J1169" t="str">
        <f>+IF(dHdcp[[#This Row],[Maximo]]=0,"",_xlfn.RANK.EQ(dHdcp[[#This Row],[Handicap]],dHdcp[Handicap],1))</f>
        <v/>
      </c>
      <c r="K1169" t="str">
        <f>IFERROR(+_xlfn.RANK.EQ(dHdcp[[#This Row],[Ranking]],dHdcp[Ranking],1),"")</f>
        <v/>
      </c>
      <c r="M1169" t="str">
        <f>+dHdcp[[#This Row],[Fecha]]&amp;":"&amp;dHdcp[[#This Row],[Nombre]]</f>
        <v>44730:Nacho Casas</v>
      </c>
      <c r="N1169">
        <f>+COUNTIF(dHdcp[Columna1],dHdcp[[#This Row],[Columna1]])</f>
        <v>1</v>
      </c>
    </row>
    <row r="1170" spans="1:14">
      <c r="A1170" s="2">
        <v>44730</v>
      </c>
      <c r="B1170" t="s">
        <v>3</v>
      </c>
      <c r="C1170" s="51">
        <v>6.7</v>
      </c>
      <c r="D1170">
        <f>+VLOOKUP(dHdcp[[#This Row],[Handicap]],'Categoría Hdcap'!$B$2:$E$7,4)</f>
        <v>2</v>
      </c>
      <c r="E1170" t="s">
        <v>74</v>
      </c>
      <c r="F1170" t="s">
        <v>1636</v>
      </c>
      <c r="G1170">
        <f>+IF(dHdcp[[#This Row],[Fecha]]=MAX(dHdcp[Fecha]),1,0)</f>
        <v>0</v>
      </c>
      <c r="H1170" t="str">
        <f>+dHdcp[[#This Row],[Maximo]]&amp;":"&amp;dHdcp[[#This Row],[Nombre]]</f>
        <v>0:Nacho Gonzalez</v>
      </c>
      <c r="I1170" t="str">
        <f>+dHdcp[[#This Row],[Maximo]]&amp;":"&amp;_xlfn.XLOOKUP(dHdcp[[#This Row],[Nombre]],dJugador[Nombre],dJugador[Mote],"",0)</f>
        <v>0:Nacho</v>
      </c>
      <c r="J1170" t="str">
        <f>+IF(dHdcp[[#This Row],[Maximo]]=0,"",_xlfn.RANK.EQ(dHdcp[[#This Row],[Handicap]],dHdcp[Handicap],1))</f>
        <v/>
      </c>
      <c r="K1170" t="str">
        <f>IFERROR(+_xlfn.RANK.EQ(dHdcp[[#This Row],[Ranking]],dHdcp[Ranking],1),"")</f>
        <v/>
      </c>
      <c r="M1170" t="str">
        <f>+dHdcp[[#This Row],[Fecha]]&amp;":"&amp;dHdcp[[#This Row],[Nombre]]</f>
        <v>44730:Nacho Gonzalez</v>
      </c>
      <c r="N1170">
        <f>+COUNTIF(dHdcp[Columna1],dHdcp[[#This Row],[Columna1]])</f>
        <v>1</v>
      </c>
    </row>
    <row r="1171" spans="1:14">
      <c r="A1171" s="2">
        <v>44730</v>
      </c>
      <c r="B1171" t="s">
        <v>28</v>
      </c>
      <c r="C1171" s="51">
        <v>13.7</v>
      </c>
      <c r="D1171">
        <f>+VLOOKUP(dHdcp[[#This Row],[Handicap]],'Categoría Hdcap'!$B$2:$E$7,4)</f>
        <v>3</v>
      </c>
      <c r="E1171" t="s">
        <v>74</v>
      </c>
      <c r="F1171" t="s">
        <v>1637</v>
      </c>
      <c r="G1171">
        <f>+IF(dHdcp[[#This Row],[Fecha]]=MAX(dHdcp[Fecha]),1,0)</f>
        <v>0</v>
      </c>
      <c r="H1171" t="str">
        <f>+dHdcp[[#This Row],[Maximo]]&amp;":"&amp;dHdcp[[#This Row],[Nombre]]</f>
        <v>0:Pablo Munitiz</v>
      </c>
      <c r="I1171" t="str">
        <f>+dHdcp[[#This Row],[Maximo]]&amp;":"&amp;_xlfn.XLOOKUP(dHdcp[[#This Row],[Nombre]],dJugador[Nombre],dJugador[Mote],"",0)</f>
        <v>0:Muni</v>
      </c>
      <c r="J1171" t="str">
        <f>+IF(dHdcp[[#This Row],[Maximo]]=0,"",_xlfn.RANK.EQ(dHdcp[[#This Row],[Handicap]],dHdcp[Handicap],1))</f>
        <v/>
      </c>
      <c r="K1171" t="str">
        <f>IFERROR(+_xlfn.RANK.EQ(dHdcp[[#This Row],[Ranking]],dHdcp[Ranking],1),"")</f>
        <v/>
      </c>
      <c r="M1171" t="str">
        <f>+dHdcp[[#This Row],[Fecha]]&amp;":"&amp;dHdcp[[#This Row],[Nombre]]</f>
        <v>44730:Pablo Munitiz</v>
      </c>
      <c r="N1171">
        <f>+COUNTIF(dHdcp[Columna1],dHdcp[[#This Row],[Columna1]])</f>
        <v>1</v>
      </c>
    </row>
    <row r="1172" spans="1:14">
      <c r="A1172" s="2">
        <v>44730</v>
      </c>
      <c r="B1172" t="s">
        <v>203</v>
      </c>
      <c r="C1172" s="51">
        <v>17.600000000000001</v>
      </c>
      <c r="D1172">
        <f>+VLOOKUP(dHdcp[[#This Row],[Handicap]],'Categoría Hdcap'!$B$2:$E$7,4)</f>
        <v>3</v>
      </c>
      <c r="E1172" t="s">
        <v>74</v>
      </c>
      <c r="F1172" t="s">
        <v>1638</v>
      </c>
      <c r="G1172">
        <f>+IF(dHdcp[[#This Row],[Fecha]]=MAX(dHdcp[Fecha]),1,0)</f>
        <v>0</v>
      </c>
      <c r="H1172" t="str">
        <f>+dHdcp[[#This Row],[Maximo]]&amp;":"&amp;dHdcp[[#This Row],[Nombre]]</f>
        <v>0:Ruslan Kochman</v>
      </c>
      <c r="I1172" t="str">
        <f>+dHdcp[[#This Row],[Maximo]]&amp;":"&amp;_xlfn.XLOOKUP(dHdcp[[#This Row],[Nombre]],dJugador[Nombre],dJugador[Mote],"",0)</f>
        <v>0:Rus</v>
      </c>
      <c r="J1172" t="str">
        <f>+IF(dHdcp[[#This Row],[Maximo]]=0,"",_xlfn.RANK.EQ(dHdcp[[#This Row],[Handicap]],dHdcp[Handicap],1))</f>
        <v/>
      </c>
      <c r="K1172" t="str">
        <f>IFERROR(+_xlfn.RANK.EQ(dHdcp[[#This Row],[Ranking]],dHdcp[Ranking],1),"")</f>
        <v/>
      </c>
      <c r="M1172" t="str">
        <f>+dHdcp[[#This Row],[Fecha]]&amp;":"&amp;dHdcp[[#This Row],[Nombre]]</f>
        <v>44730:Ruslan Kochman</v>
      </c>
      <c r="N1172">
        <f>+COUNTIF(dHdcp[Columna1],dHdcp[[#This Row],[Columna1]])</f>
        <v>1</v>
      </c>
    </row>
    <row r="1173" spans="1:14">
      <c r="A1173" s="2">
        <v>44731</v>
      </c>
      <c r="B1173" t="s">
        <v>259</v>
      </c>
      <c r="C1173" s="51">
        <v>3.9</v>
      </c>
      <c r="D1173">
        <f>+VLOOKUP(dHdcp[[#This Row],[Handicap]],'Categoría Hdcap'!$B$2:$E$7,4)</f>
        <v>1</v>
      </c>
      <c r="E1173" t="s">
        <v>74</v>
      </c>
      <c r="F1173" t="s">
        <v>1639</v>
      </c>
      <c r="G1173">
        <f>+IF(dHdcp[[#This Row],[Fecha]]=MAX(dHdcp[Fecha]),1,0)</f>
        <v>0</v>
      </c>
      <c r="H1173" t="str">
        <f>+dHdcp[[#This Row],[Maximo]]&amp;":"&amp;dHdcp[[#This Row],[Nombre]]</f>
        <v>0:Alejandro Arcos</v>
      </c>
      <c r="I1173" t="str">
        <f>+dHdcp[[#This Row],[Maximo]]&amp;":"&amp;_xlfn.XLOOKUP(dHdcp[[#This Row],[Nombre]],dJugador[Nombre],dJugador[Mote],"",0)</f>
        <v>0:Alex</v>
      </c>
      <c r="J1173" t="str">
        <f>+IF(dHdcp[[#This Row],[Maximo]]=0,"",_xlfn.RANK.EQ(dHdcp[[#This Row],[Handicap]],dHdcp[Handicap],1))</f>
        <v/>
      </c>
      <c r="K1173" t="str">
        <f>IFERROR(+_xlfn.RANK.EQ(dHdcp[[#This Row],[Ranking]],dHdcp[Ranking],1),"")</f>
        <v/>
      </c>
      <c r="M1173" t="str">
        <f>+dHdcp[[#This Row],[Fecha]]&amp;":"&amp;dHdcp[[#This Row],[Nombre]]</f>
        <v>44731:Alejandro Arcos</v>
      </c>
      <c r="N1173">
        <f>+COUNTIF(dHdcp[Columna1],dHdcp[[#This Row],[Columna1]])</f>
        <v>1</v>
      </c>
    </row>
    <row r="1174" spans="1:14">
      <c r="A1174" s="2">
        <v>44731</v>
      </c>
      <c r="B1174" t="s">
        <v>9</v>
      </c>
      <c r="C1174" s="51">
        <v>11.3</v>
      </c>
      <c r="D1174">
        <f>+VLOOKUP(dHdcp[[#This Row],[Handicap]],'Categoría Hdcap'!$B$2:$E$7,4)</f>
        <v>2</v>
      </c>
      <c r="E1174" t="s">
        <v>74</v>
      </c>
      <c r="F1174" t="s">
        <v>1640</v>
      </c>
      <c r="G1174">
        <f>+IF(dHdcp[[#This Row],[Fecha]]=MAX(dHdcp[Fecha]),1,0)</f>
        <v>0</v>
      </c>
      <c r="H1174" t="str">
        <f>+dHdcp[[#This Row],[Maximo]]&amp;":"&amp;dHdcp[[#This Row],[Nombre]]</f>
        <v>0:Alfonso Hidalgo</v>
      </c>
      <c r="I1174" t="str">
        <f>+dHdcp[[#This Row],[Maximo]]&amp;":"&amp;_xlfn.XLOOKUP(dHdcp[[#This Row],[Nombre]],dJugador[Nombre],dJugador[Mote],"",0)</f>
        <v>0:Alfonso</v>
      </c>
      <c r="J1174" t="str">
        <f>+IF(dHdcp[[#This Row],[Maximo]]=0,"",_xlfn.RANK.EQ(dHdcp[[#This Row],[Handicap]],dHdcp[Handicap],1))</f>
        <v/>
      </c>
      <c r="K1174" t="str">
        <f>IFERROR(+_xlfn.RANK.EQ(dHdcp[[#This Row],[Ranking]],dHdcp[Ranking],1),"")</f>
        <v/>
      </c>
      <c r="M1174" t="str">
        <f>+dHdcp[[#This Row],[Fecha]]&amp;":"&amp;dHdcp[[#This Row],[Nombre]]</f>
        <v>44731:Alfonso Hidalgo</v>
      </c>
      <c r="N1174">
        <f>+COUNTIF(dHdcp[Columna1],dHdcp[[#This Row],[Columna1]])</f>
        <v>1</v>
      </c>
    </row>
    <row r="1175" spans="1:14">
      <c r="A1175" s="2">
        <v>44731</v>
      </c>
      <c r="B1175" t="s">
        <v>229</v>
      </c>
      <c r="C1175" s="51">
        <v>13.6</v>
      </c>
      <c r="D1175">
        <f>+VLOOKUP(dHdcp[[#This Row],[Handicap]],'Categoría Hdcap'!$B$2:$E$7,4)</f>
        <v>3</v>
      </c>
      <c r="E1175" t="s">
        <v>74</v>
      </c>
      <c r="F1175" t="s">
        <v>1641</v>
      </c>
      <c r="G1175">
        <f>+IF(dHdcp[[#This Row],[Fecha]]=MAX(dHdcp[Fecha]),1,0)</f>
        <v>0</v>
      </c>
      <c r="H1175" t="str">
        <f>+dHdcp[[#This Row],[Maximo]]&amp;":"&amp;dHdcp[[#This Row],[Nombre]]</f>
        <v>0:Alfonso Zorrilla</v>
      </c>
      <c r="I1175" t="str">
        <f>+dHdcp[[#This Row],[Maximo]]&amp;":"&amp;_xlfn.XLOOKUP(dHdcp[[#This Row],[Nombre]],dJugador[Nombre],dJugador[Mote],"",0)</f>
        <v>0:A Zorrilla</v>
      </c>
      <c r="J1175" t="str">
        <f>+IF(dHdcp[[#This Row],[Maximo]]=0,"",_xlfn.RANK.EQ(dHdcp[[#This Row],[Handicap]],dHdcp[Handicap],1))</f>
        <v/>
      </c>
      <c r="K1175" t="str">
        <f>IFERROR(+_xlfn.RANK.EQ(dHdcp[[#This Row],[Ranking]],dHdcp[Ranking],1),"")</f>
        <v/>
      </c>
      <c r="M1175" t="str">
        <f>+dHdcp[[#This Row],[Fecha]]&amp;":"&amp;dHdcp[[#This Row],[Nombre]]</f>
        <v>44731:Alfonso Zorrilla</v>
      </c>
      <c r="N1175">
        <f>+COUNTIF(dHdcp[Columna1],dHdcp[[#This Row],[Columna1]])</f>
        <v>1</v>
      </c>
    </row>
    <row r="1176" spans="1:14">
      <c r="A1176" s="2">
        <v>44731</v>
      </c>
      <c r="B1176" s="13" t="s">
        <v>15</v>
      </c>
      <c r="C1176" s="51">
        <v>7.2</v>
      </c>
      <c r="D1176">
        <f>+VLOOKUP(dHdcp[[#This Row],[Handicap]],'Categoría Hdcap'!$B$2:$E$7,4)</f>
        <v>2</v>
      </c>
      <c r="E1176" t="s">
        <v>74</v>
      </c>
      <c r="F1176" t="s">
        <v>1642</v>
      </c>
      <c r="G1176">
        <f>+IF(dHdcp[[#This Row],[Fecha]]=MAX(dHdcp[Fecha]),1,0)</f>
        <v>0</v>
      </c>
      <c r="H1176" t="str">
        <f>+dHdcp[[#This Row],[Maximo]]&amp;":"&amp;dHdcp[[#This Row],[Nombre]]</f>
        <v>0:Alvaro Aguirre</v>
      </c>
      <c r="I1176" t="str">
        <f>+dHdcp[[#This Row],[Maximo]]&amp;":"&amp;_xlfn.XLOOKUP(dHdcp[[#This Row],[Nombre]],dJugador[Nombre],dJugador[Mote],"",0)</f>
        <v>0:Gifu</v>
      </c>
      <c r="J1176" t="str">
        <f>+IF(dHdcp[[#This Row],[Maximo]]=0,"",_xlfn.RANK.EQ(dHdcp[[#This Row],[Handicap]],dHdcp[Handicap],1))</f>
        <v/>
      </c>
      <c r="K1176" t="str">
        <f>IFERROR(+_xlfn.RANK.EQ(dHdcp[[#This Row],[Ranking]],dHdcp[Ranking],1),"")</f>
        <v/>
      </c>
      <c r="M1176" t="str">
        <f>+dHdcp[[#This Row],[Fecha]]&amp;":"&amp;dHdcp[[#This Row],[Nombre]]</f>
        <v>44731:Alvaro Aguirre</v>
      </c>
      <c r="N1176">
        <f>+COUNTIF(dHdcp[Columna1],dHdcp[[#This Row],[Columna1]])</f>
        <v>1</v>
      </c>
    </row>
    <row r="1177" spans="1:14">
      <c r="A1177" s="2">
        <v>44731</v>
      </c>
      <c r="B1177" t="s">
        <v>201</v>
      </c>
      <c r="C1177" s="51">
        <v>7.7</v>
      </c>
      <c r="D1177">
        <f>+VLOOKUP(dHdcp[[#This Row],[Handicap]],'Categoría Hdcap'!$B$2:$E$7,4)</f>
        <v>2</v>
      </c>
      <c r="E1177" t="s">
        <v>74</v>
      </c>
      <c r="F1177" t="s">
        <v>1643</v>
      </c>
      <c r="G1177">
        <f>+IF(dHdcp[[#This Row],[Fecha]]=MAX(dHdcp[Fecha]),1,0)</f>
        <v>0</v>
      </c>
      <c r="H1177" t="str">
        <f>+dHdcp[[#This Row],[Maximo]]&amp;":"&amp;dHdcp[[#This Row],[Nombre]]</f>
        <v>0:Alvaro Montoya</v>
      </c>
      <c r="I1177" t="str">
        <f>+dHdcp[[#This Row],[Maximo]]&amp;":"&amp;_xlfn.XLOOKUP(dHdcp[[#This Row],[Nombre]],dJugador[Nombre],dJugador[Mote],"",0)</f>
        <v>0:Monti</v>
      </c>
      <c r="J1177" t="str">
        <f>+IF(dHdcp[[#This Row],[Maximo]]=0,"",_xlfn.RANK.EQ(dHdcp[[#This Row],[Handicap]],dHdcp[Handicap],1))</f>
        <v/>
      </c>
      <c r="K1177" t="str">
        <f>IFERROR(+_xlfn.RANK.EQ(dHdcp[[#This Row],[Ranking]],dHdcp[Ranking],1),"")</f>
        <v/>
      </c>
      <c r="M1177" t="str">
        <f>+dHdcp[[#This Row],[Fecha]]&amp;":"&amp;dHdcp[[#This Row],[Nombre]]</f>
        <v>44731:Alvaro Montoya</v>
      </c>
      <c r="N1177">
        <f>+COUNTIF(dHdcp[Columna1],dHdcp[[#This Row],[Columna1]])</f>
        <v>1</v>
      </c>
    </row>
    <row r="1178" spans="1:14">
      <c r="A1178" s="2">
        <v>44731</v>
      </c>
      <c r="B1178" t="s">
        <v>25</v>
      </c>
      <c r="C1178" s="51">
        <v>12.6</v>
      </c>
      <c r="D1178">
        <f>+VLOOKUP(dHdcp[[#This Row],[Handicap]],'Categoría Hdcap'!$B$2:$E$7,4)</f>
        <v>3</v>
      </c>
      <c r="E1178" t="s">
        <v>74</v>
      </c>
      <c r="F1178" t="s">
        <v>1644</v>
      </c>
      <c r="G1178">
        <f>+IF(dHdcp[[#This Row],[Fecha]]=MAX(dHdcp[Fecha]),1,0)</f>
        <v>0</v>
      </c>
      <c r="H1178" t="str">
        <f>+dHdcp[[#This Row],[Maximo]]&amp;":"&amp;dHdcp[[#This Row],[Nombre]]</f>
        <v>0:Alvaro Nieto</v>
      </c>
      <c r="I1178" t="str">
        <f>+dHdcp[[#This Row],[Maximo]]&amp;":"&amp;_xlfn.XLOOKUP(dHdcp[[#This Row],[Nombre]],dJugador[Nombre],dJugador[Mote],"",0)</f>
        <v>0:Alvaro</v>
      </c>
      <c r="J1178" t="str">
        <f>+IF(dHdcp[[#This Row],[Maximo]]=0,"",_xlfn.RANK.EQ(dHdcp[[#This Row],[Handicap]],dHdcp[Handicap],1))</f>
        <v/>
      </c>
      <c r="K1178" t="str">
        <f>IFERROR(+_xlfn.RANK.EQ(dHdcp[[#This Row],[Ranking]],dHdcp[Ranking],1),"")</f>
        <v/>
      </c>
      <c r="M1178" t="str">
        <f>+dHdcp[[#This Row],[Fecha]]&amp;":"&amp;dHdcp[[#This Row],[Nombre]]</f>
        <v>44731:Alvaro Nieto</v>
      </c>
      <c r="N1178">
        <f>+COUNTIF(dHdcp[Columna1],dHdcp[[#This Row],[Columna1]])</f>
        <v>1</v>
      </c>
    </row>
    <row r="1179" spans="1:14">
      <c r="A1179" s="2">
        <v>44731</v>
      </c>
      <c r="B1179" t="s">
        <v>33</v>
      </c>
      <c r="C1179" s="51">
        <v>7.2</v>
      </c>
      <c r="D1179">
        <f>+VLOOKUP(dHdcp[[#This Row],[Handicap]],'Categoría Hdcap'!$B$2:$E$7,4)</f>
        <v>2</v>
      </c>
      <c r="E1179" t="s">
        <v>74</v>
      </c>
      <c r="F1179" t="s">
        <v>1645</v>
      </c>
      <c r="G1179">
        <f>+IF(dHdcp[[#This Row],[Fecha]]=MAX(dHdcp[Fecha]),1,0)</f>
        <v>0</v>
      </c>
      <c r="H1179" t="str">
        <f>+dHdcp[[#This Row],[Maximo]]&amp;":"&amp;dHdcp[[#This Row],[Nombre]]</f>
        <v>0:Angel Hernandez</v>
      </c>
      <c r="I1179" t="str">
        <f>+dHdcp[[#This Row],[Maximo]]&amp;":"&amp;_xlfn.XLOOKUP(dHdcp[[#This Row],[Nombre]],dJugador[Nombre],dJugador[Mote],"",0)</f>
        <v>0:Angel</v>
      </c>
      <c r="J1179" t="str">
        <f>+IF(dHdcp[[#This Row],[Maximo]]=0,"",_xlfn.RANK.EQ(dHdcp[[#This Row],[Handicap]],dHdcp[Handicap],1))</f>
        <v/>
      </c>
      <c r="K1179" t="str">
        <f>IFERROR(+_xlfn.RANK.EQ(dHdcp[[#This Row],[Ranking]],dHdcp[Ranking],1),"")</f>
        <v/>
      </c>
      <c r="M1179" t="str">
        <f>+dHdcp[[#This Row],[Fecha]]&amp;":"&amp;dHdcp[[#This Row],[Nombre]]</f>
        <v>44731:Angel Hernandez</v>
      </c>
      <c r="N1179">
        <f>+COUNTIF(dHdcp[Columna1],dHdcp[[#This Row],[Columna1]])</f>
        <v>1</v>
      </c>
    </row>
    <row r="1180" spans="1:14">
      <c r="A1180" s="2">
        <v>44731</v>
      </c>
      <c r="B1180" t="s">
        <v>264</v>
      </c>
      <c r="C1180" s="51">
        <v>18.899999999999999</v>
      </c>
      <c r="D1180">
        <f>+VLOOKUP(dHdcp[[#This Row],[Handicap]],'Categoría Hdcap'!$B$2:$E$7,4)</f>
        <v>4</v>
      </c>
      <c r="E1180" t="s">
        <v>74</v>
      </c>
      <c r="F1180" t="s">
        <v>1646</v>
      </c>
      <c r="G1180">
        <f>+IF(dHdcp[[#This Row],[Fecha]]=MAX(dHdcp[Fecha]),1,0)</f>
        <v>0</v>
      </c>
      <c r="H1180" t="str">
        <f>+dHdcp[[#This Row],[Maximo]]&amp;":"&amp;dHdcp[[#This Row],[Nombre]]</f>
        <v>0:Antonio Carmona</v>
      </c>
      <c r="I1180" t="str">
        <f>+dHdcp[[#This Row],[Maximo]]&amp;":"&amp;_xlfn.XLOOKUP(dHdcp[[#This Row],[Nombre]],dJugador[Nombre],dJugador[Mote],"",0)</f>
        <v>0:Antonio</v>
      </c>
      <c r="J1180" t="str">
        <f>+IF(dHdcp[[#This Row],[Maximo]]=0,"",_xlfn.RANK.EQ(dHdcp[[#This Row],[Handicap]],dHdcp[Handicap],1))</f>
        <v/>
      </c>
      <c r="K1180" t="str">
        <f>IFERROR(+_xlfn.RANK.EQ(dHdcp[[#This Row],[Ranking]],dHdcp[Ranking],1),"")</f>
        <v/>
      </c>
      <c r="M1180" t="str">
        <f>+dHdcp[[#This Row],[Fecha]]&amp;":"&amp;dHdcp[[#This Row],[Nombre]]</f>
        <v>44731:Antonio Carmona</v>
      </c>
      <c r="N1180">
        <f>+COUNTIF(dHdcp[Columna1],dHdcp[[#This Row],[Columna1]])</f>
        <v>1</v>
      </c>
    </row>
    <row r="1181" spans="1:14">
      <c r="A1181" s="2">
        <v>44731</v>
      </c>
      <c r="B1181" t="s">
        <v>30</v>
      </c>
      <c r="C1181" s="51">
        <v>12.2</v>
      </c>
      <c r="D1181">
        <f>+VLOOKUP(dHdcp[[#This Row],[Handicap]],'Categoría Hdcap'!$B$2:$E$7,4)</f>
        <v>3</v>
      </c>
      <c r="E1181" t="s">
        <v>74</v>
      </c>
      <c r="F1181" t="s">
        <v>1647</v>
      </c>
      <c r="G1181">
        <f>+IF(dHdcp[[#This Row],[Fecha]]=MAX(dHdcp[Fecha]),1,0)</f>
        <v>0</v>
      </c>
      <c r="H1181" t="str">
        <f>+dHdcp[[#This Row],[Maximo]]&amp;":"&amp;dHdcp[[#This Row],[Nombre]]</f>
        <v>0:David Sequera</v>
      </c>
      <c r="I1181" t="str">
        <f>+dHdcp[[#This Row],[Maximo]]&amp;":"&amp;_xlfn.XLOOKUP(dHdcp[[#This Row],[Nombre]],dJugador[Nombre],dJugador[Mote],"",0)</f>
        <v>0:David</v>
      </c>
      <c r="J1181" t="str">
        <f>+IF(dHdcp[[#This Row],[Maximo]]=0,"",_xlfn.RANK.EQ(dHdcp[[#This Row],[Handicap]],dHdcp[Handicap],1))</f>
        <v/>
      </c>
      <c r="K1181" t="str">
        <f>IFERROR(+_xlfn.RANK.EQ(dHdcp[[#This Row],[Ranking]],dHdcp[Ranking],1),"")</f>
        <v/>
      </c>
      <c r="M1181" t="str">
        <f>+dHdcp[[#This Row],[Fecha]]&amp;":"&amp;dHdcp[[#This Row],[Nombre]]</f>
        <v>44731:David Sequera</v>
      </c>
      <c r="N1181">
        <f>+COUNTIF(dHdcp[Columna1],dHdcp[[#This Row],[Columna1]])</f>
        <v>1</v>
      </c>
    </row>
    <row r="1182" spans="1:14">
      <c r="A1182" s="2">
        <v>44731</v>
      </c>
      <c r="B1182" t="s">
        <v>248</v>
      </c>
      <c r="C1182" s="51">
        <v>14.7</v>
      </c>
      <c r="D1182">
        <f>+VLOOKUP(dHdcp[[#This Row],[Handicap]],'Categoría Hdcap'!$B$2:$E$7,4)</f>
        <v>3</v>
      </c>
      <c r="E1182" t="s">
        <v>74</v>
      </c>
      <c r="F1182" t="s">
        <v>1648</v>
      </c>
      <c r="G1182">
        <f>+IF(dHdcp[[#This Row],[Fecha]]=MAX(dHdcp[Fecha]),1,0)</f>
        <v>0</v>
      </c>
      <c r="H1182" t="str">
        <f>+dHdcp[[#This Row],[Maximo]]&amp;":"&amp;dHdcp[[#This Row],[Nombre]]</f>
        <v>0:Enrique Gonzalez R</v>
      </c>
      <c r="I1182" t="str">
        <f>+dHdcp[[#This Row],[Maximo]]&amp;":"&amp;_xlfn.XLOOKUP(dHdcp[[#This Row],[Nombre]],dJugador[Nombre],dJugador[Mote],"",0)</f>
        <v>0:Enrique</v>
      </c>
      <c r="J1182" t="str">
        <f>+IF(dHdcp[[#This Row],[Maximo]]=0,"",_xlfn.RANK.EQ(dHdcp[[#This Row],[Handicap]],dHdcp[Handicap],1))</f>
        <v/>
      </c>
      <c r="K1182" t="str">
        <f>IFERROR(+_xlfn.RANK.EQ(dHdcp[[#This Row],[Ranking]],dHdcp[Ranking],1),"")</f>
        <v/>
      </c>
      <c r="M1182" t="str">
        <f>+dHdcp[[#This Row],[Fecha]]&amp;":"&amp;dHdcp[[#This Row],[Nombre]]</f>
        <v>44731:Enrique Gonzalez R</v>
      </c>
      <c r="N1182">
        <f>+COUNTIF(dHdcp[Columna1],dHdcp[[#This Row],[Columna1]])</f>
        <v>1</v>
      </c>
    </row>
    <row r="1183" spans="1:14">
      <c r="A1183" s="2">
        <v>44731</v>
      </c>
      <c r="B1183" t="s">
        <v>12</v>
      </c>
      <c r="C1183" s="51">
        <v>15.1</v>
      </c>
      <c r="D1183">
        <f>+VLOOKUP(dHdcp[[#This Row],[Handicap]],'Categoría Hdcap'!$B$2:$E$7,4)</f>
        <v>3</v>
      </c>
      <c r="E1183" t="s">
        <v>74</v>
      </c>
      <c r="F1183" t="s">
        <v>1649</v>
      </c>
      <c r="G1183">
        <f>+IF(dHdcp[[#This Row],[Fecha]]=MAX(dHdcp[Fecha]),1,0)</f>
        <v>0</v>
      </c>
      <c r="H1183" t="str">
        <f>+dHdcp[[#This Row],[Maximo]]&amp;":"&amp;dHdcp[[#This Row],[Nombre]]</f>
        <v>0:Francisco Alvarez</v>
      </c>
      <c r="I1183" t="str">
        <f>+dHdcp[[#This Row],[Maximo]]&amp;":"&amp;_xlfn.XLOOKUP(dHdcp[[#This Row],[Nombre]],dJugador[Nombre],dJugador[Mote],"",0)</f>
        <v>0:Paco</v>
      </c>
      <c r="J1183" t="str">
        <f>+IF(dHdcp[[#This Row],[Maximo]]=0,"",_xlfn.RANK.EQ(dHdcp[[#This Row],[Handicap]],dHdcp[Handicap],1))</f>
        <v/>
      </c>
      <c r="K1183" t="str">
        <f>IFERROR(+_xlfn.RANK.EQ(dHdcp[[#This Row],[Ranking]],dHdcp[Ranking],1),"")</f>
        <v/>
      </c>
      <c r="M1183" t="str">
        <f>+dHdcp[[#This Row],[Fecha]]&amp;":"&amp;dHdcp[[#This Row],[Nombre]]</f>
        <v>44731:Francisco Alvarez</v>
      </c>
      <c r="N1183">
        <f>+COUNTIF(dHdcp[Columna1],dHdcp[[#This Row],[Columna1]])</f>
        <v>1</v>
      </c>
    </row>
    <row r="1184" spans="1:14">
      <c r="A1184" s="2">
        <v>44731</v>
      </c>
      <c r="B1184" t="s">
        <v>49</v>
      </c>
      <c r="C1184" s="51">
        <v>12.2</v>
      </c>
      <c r="D1184">
        <f>+VLOOKUP(dHdcp[[#This Row],[Handicap]],'Categoría Hdcap'!$B$2:$E$7,4)</f>
        <v>3</v>
      </c>
      <c r="E1184" t="s">
        <v>74</v>
      </c>
      <c r="F1184" s="94" t="s">
        <v>1650</v>
      </c>
      <c r="G1184">
        <f>+IF(dHdcp[[#This Row],[Fecha]]=MAX(dHdcp[Fecha]),1,0)</f>
        <v>0</v>
      </c>
      <c r="H1184" t="str">
        <f>+dHdcp[[#This Row],[Maximo]]&amp;":"&amp;dHdcp[[#This Row],[Nombre]]</f>
        <v>0:Francisco Hidalgo</v>
      </c>
      <c r="I1184" t="str">
        <f>+dHdcp[[#This Row],[Maximo]]&amp;":"&amp;_xlfn.XLOOKUP(dHdcp[[#This Row],[Nombre]],dJugador[Nombre],dJugador[Mote],"",0)</f>
        <v>0:Fran</v>
      </c>
      <c r="J1184" t="str">
        <f>+IF(dHdcp[[#This Row],[Maximo]]=0,"",_xlfn.RANK.EQ(dHdcp[[#This Row],[Handicap]],dHdcp[Handicap],1))</f>
        <v/>
      </c>
      <c r="K1184" t="str">
        <f>IFERROR(+_xlfn.RANK.EQ(dHdcp[[#This Row],[Ranking]],dHdcp[Ranking],1),"")</f>
        <v/>
      </c>
      <c r="M1184" t="str">
        <f>+dHdcp[[#This Row],[Fecha]]&amp;":"&amp;dHdcp[[#This Row],[Nombre]]</f>
        <v>44731:Francisco Hidalgo</v>
      </c>
      <c r="N1184">
        <f>+COUNTIF(dHdcp[Columna1],dHdcp[[#This Row],[Columna1]])</f>
        <v>1</v>
      </c>
    </row>
    <row r="1185" spans="1:14">
      <c r="A1185" s="2">
        <v>44731</v>
      </c>
      <c r="B1185" t="s">
        <v>207</v>
      </c>
      <c r="C1185" s="51">
        <v>14.4</v>
      </c>
      <c r="D1185">
        <f>+VLOOKUP(dHdcp[[#This Row],[Handicap]],'Categoría Hdcap'!$B$2:$E$7,4)</f>
        <v>3</v>
      </c>
      <c r="E1185" t="s">
        <v>74</v>
      </c>
      <c r="F1185" t="s">
        <v>1651</v>
      </c>
      <c r="G1185">
        <f>+IF(dHdcp[[#This Row],[Fecha]]=MAX(dHdcp[Fecha]),1,0)</f>
        <v>0</v>
      </c>
      <c r="H1185" t="str">
        <f>+dHdcp[[#This Row],[Maximo]]&amp;":"&amp;dHdcp[[#This Row],[Nombre]]</f>
        <v>0:Franck Benouniche</v>
      </c>
      <c r="I1185" t="str">
        <f>+dHdcp[[#This Row],[Maximo]]&amp;":"&amp;_xlfn.XLOOKUP(dHdcp[[#This Row],[Nombre]],dJugador[Nombre],dJugador[Mote],"",0)</f>
        <v>0:Franck</v>
      </c>
      <c r="J1185" t="str">
        <f>+IF(dHdcp[[#This Row],[Maximo]]=0,"",_xlfn.RANK.EQ(dHdcp[[#This Row],[Handicap]],dHdcp[Handicap],1))</f>
        <v/>
      </c>
      <c r="K1185" t="str">
        <f>IFERROR(+_xlfn.RANK.EQ(dHdcp[[#This Row],[Ranking]],dHdcp[Ranking],1),"")</f>
        <v/>
      </c>
      <c r="M1185" t="str">
        <f>+dHdcp[[#This Row],[Fecha]]&amp;":"&amp;dHdcp[[#This Row],[Nombre]]</f>
        <v>44731:Franck Benouniche</v>
      </c>
      <c r="N1185">
        <f>+COUNTIF(dHdcp[Columna1],dHdcp[[#This Row],[Columna1]])</f>
        <v>1</v>
      </c>
    </row>
    <row r="1186" spans="1:14">
      <c r="A1186" s="2">
        <v>44731</v>
      </c>
      <c r="B1186" t="s">
        <v>35</v>
      </c>
      <c r="C1186" s="51">
        <v>18.2</v>
      </c>
      <c r="D1186">
        <f>+VLOOKUP(dHdcp[[#This Row],[Handicap]],'Categoría Hdcap'!$B$2:$E$7,4)</f>
        <v>3</v>
      </c>
      <c r="E1186" t="s">
        <v>74</v>
      </c>
      <c r="F1186" t="s">
        <v>1652</v>
      </c>
      <c r="G1186">
        <f>+IF(dHdcp[[#This Row],[Fecha]]=MAX(dHdcp[Fecha]),1,0)</f>
        <v>0</v>
      </c>
      <c r="H1186" t="str">
        <f>+dHdcp[[#This Row],[Maximo]]&amp;":"&amp;dHdcp[[#This Row],[Nombre]]</f>
        <v>0:GLEZ JUAN JOSÉ</v>
      </c>
      <c r="I1186" t="str">
        <f>+dHdcp[[#This Row],[Maximo]]&amp;":"&amp;_xlfn.XLOOKUP(dHdcp[[#This Row],[Nombre]],dJugador[Nombre],dJugador[Mote],"",0)</f>
        <v>0:Juanjo</v>
      </c>
      <c r="J1186" t="str">
        <f>+IF(dHdcp[[#This Row],[Maximo]]=0,"",_xlfn.RANK.EQ(dHdcp[[#This Row],[Handicap]],dHdcp[Handicap],1))</f>
        <v/>
      </c>
      <c r="K1186" t="str">
        <f>IFERROR(+_xlfn.RANK.EQ(dHdcp[[#This Row],[Ranking]],dHdcp[Ranking],1),"")</f>
        <v/>
      </c>
      <c r="M1186" t="str">
        <f>+dHdcp[[#This Row],[Fecha]]&amp;":"&amp;dHdcp[[#This Row],[Nombre]]</f>
        <v>44731:GLEZ JUAN JOSÉ</v>
      </c>
      <c r="N1186">
        <f>+COUNTIF(dHdcp[Columna1],dHdcp[[#This Row],[Columna1]])</f>
        <v>1</v>
      </c>
    </row>
    <row r="1187" spans="1:14">
      <c r="A1187" s="2">
        <v>44731</v>
      </c>
      <c r="B1187" t="s">
        <v>6</v>
      </c>
      <c r="C1187" s="51">
        <v>7.9</v>
      </c>
      <c r="D1187">
        <f>+VLOOKUP(dHdcp[[#This Row],[Handicap]],'Categoría Hdcap'!$B$2:$E$7,4)</f>
        <v>2</v>
      </c>
      <c r="E1187" t="s">
        <v>74</v>
      </c>
      <c r="F1187" t="s">
        <v>1653</v>
      </c>
      <c r="G1187">
        <f>+IF(dHdcp[[#This Row],[Fecha]]=MAX(dHdcp[Fecha]),1,0)</f>
        <v>0</v>
      </c>
      <c r="H1187" t="str">
        <f>+dHdcp[[#This Row],[Maximo]]&amp;":"&amp;dHdcp[[#This Row],[Nombre]]</f>
        <v>0:Ignacio Cadarso</v>
      </c>
      <c r="I1187" t="str">
        <f>+dHdcp[[#This Row],[Maximo]]&amp;":"&amp;_xlfn.XLOOKUP(dHdcp[[#This Row],[Nombre]],dJugador[Nombre],dJugador[Mote],"",0)</f>
        <v>0:Ignacio</v>
      </c>
      <c r="J1187" t="str">
        <f>+IF(dHdcp[[#This Row],[Maximo]]=0,"",_xlfn.RANK.EQ(dHdcp[[#This Row],[Handicap]],dHdcp[Handicap],1))</f>
        <v/>
      </c>
      <c r="K1187" t="str">
        <f>IFERROR(+_xlfn.RANK.EQ(dHdcp[[#This Row],[Ranking]],dHdcp[Ranking],1),"")</f>
        <v/>
      </c>
      <c r="M1187" t="str">
        <f>+dHdcp[[#This Row],[Fecha]]&amp;":"&amp;dHdcp[[#This Row],[Nombre]]</f>
        <v>44731:Ignacio Cadarso</v>
      </c>
      <c r="N1187">
        <f>+COUNTIF(dHdcp[Columna1],dHdcp[[#This Row],[Columna1]])</f>
        <v>1</v>
      </c>
    </row>
    <row r="1188" spans="1:14">
      <c r="A1188" s="2">
        <v>44731</v>
      </c>
      <c r="B1188" t="s">
        <v>23</v>
      </c>
      <c r="C1188" s="51">
        <v>17.3</v>
      </c>
      <c r="D1188">
        <f>+VLOOKUP(dHdcp[[#This Row],[Handicap]],'Categoría Hdcap'!$B$2:$E$7,4)</f>
        <v>3</v>
      </c>
      <c r="E1188" t="s">
        <v>74</v>
      </c>
      <c r="F1188" t="s">
        <v>1654</v>
      </c>
      <c r="G1188">
        <f>+IF(dHdcp[[#This Row],[Fecha]]=MAX(dHdcp[Fecha]),1,0)</f>
        <v>0</v>
      </c>
      <c r="H1188" t="str">
        <f>+dHdcp[[#This Row],[Maximo]]&amp;":"&amp;dHdcp[[#This Row],[Nombre]]</f>
        <v>0:J. Enrique Gonzalez</v>
      </c>
      <c r="I1188" t="str">
        <f>+dHdcp[[#This Row],[Maximo]]&amp;":"&amp;_xlfn.XLOOKUP(dHdcp[[#This Row],[Nombre]],dJugador[Nombre],dJugador[Mote],"",0)</f>
        <v>0:Kike</v>
      </c>
      <c r="J1188" t="str">
        <f>+IF(dHdcp[[#This Row],[Maximo]]=0,"",_xlfn.RANK.EQ(dHdcp[[#This Row],[Handicap]],dHdcp[Handicap],1))</f>
        <v/>
      </c>
      <c r="K1188" t="str">
        <f>IFERROR(+_xlfn.RANK.EQ(dHdcp[[#This Row],[Ranking]],dHdcp[Ranking],1),"")</f>
        <v/>
      </c>
      <c r="M1188" t="str">
        <f>+dHdcp[[#This Row],[Fecha]]&amp;":"&amp;dHdcp[[#This Row],[Nombre]]</f>
        <v>44731:J. Enrique Gonzalez</v>
      </c>
      <c r="N1188">
        <f>+COUNTIF(dHdcp[Columna1],dHdcp[[#This Row],[Columna1]])</f>
        <v>1</v>
      </c>
    </row>
    <row r="1189" spans="1:14">
      <c r="A1189" s="2">
        <v>44731</v>
      </c>
      <c r="B1189" t="s">
        <v>46</v>
      </c>
      <c r="C1189" s="51">
        <v>17.5</v>
      </c>
      <c r="D1189">
        <f>+VLOOKUP(dHdcp[[#This Row],[Handicap]],'Categoría Hdcap'!$B$2:$E$7,4)</f>
        <v>3</v>
      </c>
      <c r="E1189" t="s">
        <v>74</v>
      </c>
      <c r="F1189" t="s">
        <v>1655</v>
      </c>
      <c r="G1189">
        <f>+IF(dHdcp[[#This Row],[Fecha]]=MAX(dHdcp[Fecha]),1,0)</f>
        <v>0</v>
      </c>
      <c r="H1189" t="str">
        <f>+dHdcp[[#This Row],[Maximo]]&amp;":"&amp;dHdcp[[#This Row],[Nombre]]</f>
        <v>0:Javier Cervera</v>
      </c>
      <c r="I1189" t="str">
        <f>+dHdcp[[#This Row],[Maximo]]&amp;":"&amp;_xlfn.XLOOKUP(dHdcp[[#This Row],[Nombre]],dJugador[Nombre],dJugador[Mote],"",0)</f>
        <v>0:Virus</v>
      </c>
      <c r="J1189" t="str">
        <f>+IF(dHdcp[[#This Row],[Maximo]]=0,"",_xlfn.RANK.EQ(dHdcp[[#This Row],[Handicap]],dHdcp[Handicap],1))</f>
        <v/>
      </c>
      <c r="K1189" t="str">
        <f>IFERROR(+_xlfn.RANK.EQ(dHdcp[[#This Row],[Ranking]],dHdcp[Ranking],1),"")</f>
        <v/>
      </c>
      <c r="M1189" t="str">
        <f>+dHdcp[[#This Row],[Fecha]]&amp;":"&amp;dHdcp[[#This Row],[Nombre]]</f>
        <v>44731:Javier Cervera</v>
      </c>
      <c r="N1189">
        <f>+COUNTIF(dHdcp[Columna1],dHdcp[[#This Row],[Columna1]])</f>
        <v>1</v>
      </c>
    </row>
    <row r="1190" spans="1:14">
      <c r="A1190" s="2">
        <v>44731</v>
      </c>
      <c r="B1190" t="s">
        <v>225</v>
      </c>
      <c r="C1190" s="51">
        <v>9.5</v>
      </c>
      <c r="D1190">
        <f>+VLOOKUP(dHdcp[[#This Row],[Handicap]],'Categoría Hdcap'!$B$2:$E$7,4)</f>
        <v>2</v>
      </c>
      <c r="E1190" t="s">
        <v>74</v>
      </c>
      <c r="F1190" t="s">
        <v>1656</v>
      </c>
      <c r="G1190">
        <f>+IF(dHdcp[[#This Row],[Fecha]]=MAX(dHdcp[Fecha]),1,0)</f>
        <v>0</v>
      </c>
      <c r="H1190" t="str">
        <f>+dHdcp[[#This Row],[Maximo]]&amp;":"&amp;dHdcp[[#This Row],[Nombre]]</f>
        <v>0:Javier Chiralt</v>
      </c>
      <c r="I1190" t="str">
        <f>+dHdcp[[#This Row],[Maximo]]&amp;":"&amp;_xlfn.XLOOKUP(dHdcp[[#This Row],[Nombre]],dJugador[Nombre],dJugador[Mote],"",0)</f>
        <v>0:Chiralt</v>
      </c>
      <c r="J1190" t="str">
        <f>+IF(dHdcp[[#This Row],[Maximo]]=0,"",_xlfn.RANK.EQ(dHdcp[[#This Row],[Handicap]],dHdcp[Handicap],1))</f>
        <v/>
      </c>
      <c r="K1190" t="str">
        <f>IFERROR(+_xlfn.RANK.EQ(dHdcp[[#This Row],[Ranking]],dHdcp[Ranking],1),"")</f>
        <v/>
      </c>
      <c r="M1190" t="str">
        <f>+dHdcp[[#This Row],[Fecha]]&amp;":"&amp;dHdcp[[#This Row],[Nombre]]</f>
        <v>44731:Javier Chiralt</v>
      </c>
      <c r="N1190">
        <f>+COUNTIF(dHdcp[Columna1],dHdcp[[#This Row],[Columna1]])</f>
        <v>1</v>
      </c>
    </row>
    <row r="1191" spans="1:14">
      <c r="A1191" s="2">
        <v>44731</v>
      </c>
      <c r="B1191" t="s">
        <v>20</v>
      </c>
      <c r="C1191" s="51">
        <v>16.5</v>
      </c>
      <c r="D1191">
        <f>+VLOOKUP(dHdcp[[#This Row],[Handicap]],'Categoría Hdcap'!$B$2:$E$7,4)</f>
        <v>3</v>
      </c>
      <c r="E1191" t="s">
        <v>74</v>
      </c>
      <c r="F1191" t="s">
        <v>1657</v>
      </c>
      <c r="G1191">
        <f>+IF(dHdcp[[#This Row],[Fecha]]=MAX(dHdcp[Fecha]),1,0)</f>
        <v>0</v>
      </c>
      <c r="H1191" t="str">
        <f>+dHdcp[[#This Row],[Maximo]]&amp;":"&amp;dHdcp[[#This Row],[Nombre]]</f>
        <v>0:Javier Gonzalez Salvador</v>
      </c>
      <c r="I1191" t="str">
        <f>+dHdcp[[#This Row],[Maximo]]&amp;":"&amp;_xlfn.XLOOKUP(dHdcp[[#This Row],[Nombre]],dJugador[Nombre],dJugador[Mote],"",0)</f>
        <v>0:Javi</v>
      </c>
      <c r="J1191" t="str">
        <f>+IF(dHdcp[[#This Row],[Maximo]]=0,"",_xlfn.RANK.EQ(dHdcp[[#This Row],[Handicap]],dHdcp[Handicap],1))</f>
        <v/>
      </c>
      <c r="K1191" t="str">
        <f>IFERROR(+_xlfn.RANK.EQ(dHdcp[[#This Row],[Ranking]],dHdcp[Ranking],1),"")</f>
        <v/>
      </c>
      <c r="M1191" t="str">
        <f>+dHdcp[[#This Row],[Fecha]]&amp;":"&amp;dHdcp[[#This Row],[Nombre]]</f>
        <v>44731:Javier Gonzalez Salvador</v>
      </c>
      <c r="N1191">
        <f>+COUNTIF(dHdcp[Columna1],dHdcp[[#This Row],[Columna1]])</f>
        <v>1</v>
      </c>
    </row>
    <row r="1192" spans="1:14">
      <c r="A1192" s="2">
        <v>44731</v>
      </c>
      <c r="B1192" t="s">
        <v>217</v>
      </c>
      <c r="C1192" s="51">
        <v>22.3</v>
      </c>
      <c r="D1192">
        <f>+VLOOKUP(dHdcp[[#This Row],[Handicap]],'Categoría Hdcap'!$B$2:$E$7,4)</f>
        <v>4</v>
      </c>
      <c r="E1192" t="s">
        <v>74</v>
      </c>
      <c r="F1192" t="s">
        <v>1658</v>
      </c>
      <c r="G1192">
        <f>+IF(dHdcp[[#This Row],[Fecha]]=MAX(dHdcp[Fecha]),1,0)</f>
        <v>0</v>
      </c>
      <c r="H1192" t="str">
        <f>+dHdcp[[#This Row],[Maximo]]&amp;":"&amp;dHdcp[[#This Row],[Nombre]]</f>
        <v>0:Javier Lopez Gullón</v>
      </c>
      <c r="I1192" t="str">
        <f>+dHdcp[[#This Row],[Maximo]]&amp;":"&amp;_xlfn.XLOOKUP(dHdcp[[#This Row],[Nombre]],dJugador[Nombre],dJugador[Mote],"",0)</f>
        <v>0:Cuñao</v>
      </c>
      <c r="J1192" t="str">
        <f>+IF(dHdcp[[#This Row],[Maximo]]=0,"",_xlfn.RANK.EQ(dHdcp[[#This Row],[Handicap]],dHdcp[Handicap],1))</f>
        <v/>
      </c>
      <c r="K1192" t="str">
        <f>IFERROR(+_xlfn.RANK.EQ(dHdcp[[#This Row],[Ranking]],dHdcp[Ranking],1),"")</f>
        <v/>
      </c>
      <c r="M1192" t="str">
        <f>+dHdcp[[#This Row],[Fecha]]&amp;":"&amp;dHdcp[[#This Row],[Nombre]]</f>
        <v>44731:Javier Lopez Gullón</v>
      </c>
      <c r="N1192">
        <f>+COUNTIF(dHdcp[Columna1],dHdcp[[#This Row],[Columna1]])</f>
        <v>1</v>
      </c>
    </row>
    <row r="1193" spans="1:14">
      <c r="A1193" s="2">
        <v>44731</v>
      </c>
      <c r="B1193" t="s">
        <v>41</v>
      </c>
      <c r="C1193" s="51">
        <v>25.3</v>
      </c>
      <c r="D1193">
        <f>+VLOOKUP(dHdcp[[#This Row],[Handicap]],'Categoría Hdcap'!$B$2:$E$7,4)</f>
        <v>4</v>
      </c>
      <c r="E1193" t="s">
        <v>74</v>
      </c>
      <c r="F1193" t="s">
        <v>1659</v>
      </c>
      <c r="G1193">
        <f>+IF(dHdcp[[#This Row],[Fecha]]=MAX(dHdcp[Fecha]),1,0)</f>
        <v>0</v>
      </c>
      <c r="H1193" t="str">
        <f>+dHdcp[[#This Row],[Maximo]]&amp;":"&amp;dHdcp[[#This Row],[Nombre]]</f>
        <v>0:Jesus Touceda</v>
      </c>
      <c r="I1193" t="str">
        <f>+dHdcp[[#This Row],[Maximo]]&amp;":"&amp;_xlfn.XLOOKUP(dHdcp[[#This Row],[Nombre]],dJugador[Nombre],dJugador[Mote],"",0)</f>
        <v>0:Jesús</v>
      </c>
      <c r="J1193" t="str">
        <f>+IF(dHdcp[[#This Row],[Maximo]]=0,"",_xlfn.RANK.EQ(dHdcp[[#This Row],[Handicap]],dHdcp[Handicap],1))</f>
        <v/>
      </c>
      <c r="K1193" t="str">
        <f>IFERROR(+_xlfn.RANK.EQ(dHdcp[[#This Row],[Ranking]],dHdcp[Ranking],1),"")</f>
        <v/>
      </c>
      <c r="M1193" t="str">
        <f>+dHdcp[[#This Row],[Fecha]]&amp;":"&amp;dHdcp[[#This Row],[Nombre]]</f>
        <v>44731:Jesus Touceda</v>
      </c>
      <c r="N1193">
        <f>+COUNTIF(dHdcp[Columna1],dHdcp[[#This Row],[Columna1]])</f>
        <v>1</v>
      </c>
    </row>
    <row r="1194" spans="1:14">
      <c r="A1194" s="2">
        <v>44731</v>
      </c>
      <c r="B1194" t="s">
        <v>18</v>
      </c>
      <c r="C1194" s="51">
        <v>7.3</v>
      </c>
      <c r="D1194">
        <f>+VLOOKUP(dHdcp[[#This Row],[Handicap]],'Categoría Hdcap'!$B$2:$E$7,4)</f>
        <v>2</v>
      </c>
      <c r="E1194" t="s">
        <v>74</v>
      </c>
      <c r="F1194" t="s">
        <v>1660</v>
      </c>
      <c r="G1194">
        <f>+IF(dHdcp[[#This Row],[Fecha]]=MAX(dHdcp[Fecha]),1,0)</f>
        <v>0</v>
      </c>
      <c r="H1194" t="str">
        <f>+dHdcp[[#This Row],[Maximo]]&amp;":"&amp;dHdcp[[#This Row],[Nombre]]</f>
        <v>0:José Pablo Guil</v>
      </c>
      <c r="I1194" t="str">
        <f>+dHdcp[[#This Row],[Maximo]]&amp;":"&amp;_xlfn.XLOOKUP(dHdcp[[#This Row],[Nombre]],dJugador[Nombre],dJugador[Mote],"",0)</f>
        <v>0:JP</v>
      </c>
      <c r="J1194" t="str">
        <f>+IF(dHdcp[[#This Row],[Maximo]]=0,"",_xlfn.RANK.EQ(dHdcp[[#This Row],[Handicap]],dHdcp[Handicap],1))</f>
        <v/>
      </c>
      <c r="K1194" t="str">
        <f>IFERROR(+_xlfn.RANK.EQ(dHdcp[[#This Row],[Ranking]],dHdcp[Ranking],1),"")</f>
        <v/>
      </c>
      <c r="M1194" t="str">
        <f>+dHdcp[[#This Row],[Fecha]]&amp;":"&amp;dHdcp[[#This Row],[Nombre]]</f>
        <v>44731:José Pablo Guil</v>
      </c>
      <c r="N1194">
        <f>+COUNTIF(dHdcp[Columna1],dHdcp[[#This Row],[Columna1]])</f>
        <v>1</v>
      </c>
    </row>
    <row r="1195" spans="1:14">
      <c r="A1195" s="2">
        <v>44731</v>
      </c>
      <c r="B1195" t="s">
        <v>43</v>
      </c>
      <c r="C1195" s="51">
        <v>18.5</v>
      </c>
      <c r="D1195">
        <f>+VLOOKUP(dHdcp[[#This Row],[Handicap]],'Categoría Hdcap'!$B$2:$E$7,4)</f>
        <v>4</v>
      </c>
      <c r="E1195" t="s">
        <v>74</v>
      </c>
      <c r="F1195" t="s">
        <v>1661</v>
      </c>
      <c r="G1195">
        <f>+IF(dHdcp[[#This Row],[Fecha]]=MAX(dHdcp[Fecha]),1,0)</f>
        <v>0</v>
      </c>
      <c r="H1195" t="str">
        <f>+dHdcp[[#This Row],[Maximo]]&amp;":"&amp;dHdcp[[#This Row],[Nombre]]</f>
        <v>0:Luis Escudero</v>
      </c>
      <c r="I1195" t="str">
        <f>+dHdcp[[#This Row],[Maximo]]&amp;":"&amp;_xlfn.XLOOKUP(dHdcp[[#This Row],[Nombre]],dJugador[Nombre],dJugador[Mote],"",0)</f>
        <v>0:Lucho</v>
      </c>
      <c r="J1195" t="str">
        <f>+IF(dHdcp[[#This Row],[Maximo]]=0,"",_xlfn.RANK.EQ(dHdcp[[#This Row],[Handicap]],dHdcp[Handicap],1))</f>
        <v/>
      </c>
      <c r="K1195" t="str">
        <f>IFERROR(+_xlfn.RANK.EQ(dHdcp[[#This Row],[Ranking]],dHdcp[Ranking],1),"")</f>
        <v/>
      </c>
      <c r="M1195" t="str">
        <f>+dHdcp[[#This Row],[Fecha]]&amp;":"&amp;dHdcp[[#This Row],[Nombre]]</f>
        <v>44731:Luis Escudero</v>
      </c>
      <c r="N1195">
        <f>+COUNTIF(dHdcp[Columna1],dHdcp[[#This Row],[Columna1]])</f>
        <v>1</v>
      </c>
    </row>
    <row r="1196" spans="1:14">
      <c r="A1196" s="2">
        <v>44731</v>
      </c>
      <c r="B1196" s="10" t="s">
        <v>135</v>
      </c>
      <c r="C1196" s="53">
        <v>23.5</v>
      </c>
      <c r="D1196" s="10">
        <f>+VLOOKUP(dHdcp[[#This Row],[Handicap]],'Categoría Hdcap'!$B$2:$E$7,4)</f>
        <v>4</v>
      </c>
      <c r="E1196" s="10" t="s">
        <v>74</v>
      </c>
      <c r="F1196" s="10" t="s">
        <v>1662</v>
      </c>
      <c r="G1196">
        <f>+IF(dHdcp[[#This Row],[Fecha]]=MAX(dHdcp[Fecha]),1,0)</f>
        <v>0</v>
      </c>
      <c r="H1196" t="str">
        <f>+dHdcp[[#This Row],[Maximo]]&amp;":"&amp;dHdcp[[#This Row],[Nombre]]</f>
        <v>0:Miche Lopez</v>
      </c>
      <c r="I1196" t="str">
        <f>+dHdcp[[#This Row],[Maximo]]&amp;":"&amp;_xlfn.XLOOKUP(dHdcp[[#This Row],[Nombre]],dJugador[Nombre],dJugador[Mote],"",0)</f>
        <v>0:Miche</v>
      </c>
      <c r="J1196" t="str">
        <f>+IF(dHdcp[[#This Row],[Maximo]]=0,"",_xlfn.RANK.EQ(dHdcp[[#This Row],[Handicap]],dHdcp[Handicap],1))</f>
        <v/>
      </c>
      <c r="K1196" t="str">
        <f>IFERROR(+_xlfn.RANK.EQ(dHdcp[[#This Row],[Ranking]],dHdcp[Ranking],1),"")</f>
        <v/>
      </c>
      <c r="M1196" t="str">
        <f>+dHdcp[[#This Row],[Fecha]]&amp;":"&amp;dHdcp[[#This Row],[Nombre]]</f>
        <v>44731:Miche Lopez</v>
      </c>
      <c r="N1196">
        <f>+COUNTIF(dHdcp[Columna1],dHdcp[[#This Row],[Columna1]])</f>
        <v>1</v>
      </c>
    </row>
    <row r="1197" spans="1:14">
      <c r="A1197" s="2">
        <v>44731</v>
      </c>
      <c r="B1197" t="s">
        <v>51</v>
      </c>
      <c r="C1197" s="51">
        <v>1.7</v>
      </c>
      <c r="D1197">
        <f>+VLOOKUP(dHdcp[[#This Row],[Handicap]],'Categoría Hdcap'!$B$2:$E$7,4)</f>
        <v>1</v>
      </c>
      <c r="E1197" t="s">
        <v>74</v>
      </c>
      <c r="F1197" t="s">
        <v>1663</v>
      </c>
      <c r="G1197">
        <f>+IF(dHdcp[[#This Row],[Fecha]]=MAX(dHdcp[Fecha]),1,0)</f>
        <v>0</v>
      </c>
      <c r="H1197" t="str">
        <f>+dHdcp[[#This Row],[Maximo]]&amp;":"&amp;dHdcp[[#This Row],[Nombre]]</f>
        <v>0:Miguel Diaz Del Moral</v>
      </c>
      <c r="I1197" t="str">
        <f>+dHdcp[[#This Row],[Maximo]]&amp;":"&amp;_xlfn.XLOOKUP(dHdcp[[#This Row],[Nombre]],dJugador[Nombre],dJugador[Mote],"",0)</f>
        <v>0:Cañita</v>
      </c>
      <c r="J1197" t="str">
        <f>+IF(dHdcp[[#This Row],[Maximo]]=0,"",_xlfn.RANK.EQ(dHdcp[[#This Row],[Handicap]],dHdcp[Handicap],1))</f>
        <v/>
      </c>
      <c r="K1197" t="str">
        <f>IFERROR(+_xlfn.RANK.EQ(dHdcp[[#This Row],[Ranking]],dHdcp[Ranking],1),"")</f>
        <v/>
      </c>
      <c r="M1197" t="str">
        <f>+dHdcp[[#This Row],[Fecha]]&amp;":"&amp;dHdcp[[#This Row],[Nombre]]</f>
        <v>44731:Miguel Diaz Del Moral</v>
      </c>
      <c r="N1197">
        <f>+COUNTIF(dHdcp[Columna1],dHdcp[[#This Row],[Columna1]])</f>
        <v>1</v>
      </c>
    </row>
    <row r="1198" spans="1:14">
      <c r="A1198" s="2">
        <v>44731</v>
      </c>
      <c r="B1198" t="s">
        <v>205</v>
      </c>
      <c r="C1198" s="51">
        <v>7.3</v>
      </c>
      <c r="D1198">
        <f>+VLOOKUP(dHdcp[[#This Row],[Handicap]],'Categoría Hdcap'!$B$2:$E$7,4)</f>
        <v>2</v>
      </c>
      <c r="E1198" t="s">
        <v>74</v>
      </c>
      <c r="F1198" t="s">
        <v>1664</v>
      </c>
      <c r="G1198">
        <f>+IF(dHdcp[[#This Row],[Fecha]]=MAX(dHdcp[Fecha]),1,0)</f>
        <v>0</v>
      </c>
      <c r="H1198" t="str">
        <f>+dHdcp[[#This Row],[Maximo]]&amp;":"&amp;dHdcp[[#This Row],[Nombre]]</f>
        <v>0:Nacho Casas</v>
      </c>
      <c r="I1198" t="str">
        <f>+dHdcp[[#This Row],[Maximo]]&amp;":"&amp;_xlfn.XLOOKUP(dHdcp[[#This Row],[Nombre]],dJugador[Nombre],dJugador[Mote],"",0)</f>
        <v>0:Nachete</v>
      </c>
      <c r="J1198" t="str">
        <f>+IF(dHdcp[[#This Row],[Maximo]]=0,"",_xlfn.RANK.EQ(dHdcp[[#This Row],[Handicap]],dHdcp[Handicap],1))</f>
        <v/>
      </c>
      <c r="K1198" t="str">
        <f>IFERROR(+_xlfn.RANK.EQ(dHdcp[[#This Row],[Ranking]],dHdcp[Ranking],1),"")</f>
        <v/>
      </c>
      <c r="M1198" t="str">
        <f>+dHdcp[[#This Row],[Fecha]]&amp;":"&amp;dHdcp[[#This Row],[Nombre]]</f>
        <v>44731:Nacho Casas</v>
      </c>
      <c r="N1198">
        <f>+COUNTIF(dHdcp[Columna1],dHdcp[[#This Row],[Columna1]])</f>
        <v>1</v>
      </c>
    </row>
    <row r="1199" spans="1:14">
      <c r="A1199" s="2">
        <v>44731</v>
      </c>
      <c r="B1199" t="s">
        <v>3</v>
      </c>
      <c r="C1199" s="51">
        <v>7</v>
      </c>
      <c r="D1199">
        <f>+VLOOKUP(dHdcp[[#This Row],[Handicap]],'Categoría Hdcap'!$B$2:$E$7,4)</f>
        <v>2</v>
      </c>
      <c r="E1199" t="s">
        <v>74</v>
      </c>
      <c r="F1199" t="s">
        <v>1665</v>
      </c>
      <c r="G1199">
        <f>+IF(dHdcp[[#This Row],[Fecha]]=MAX(dHdcp[Fecha]),1,0)</f>
        <v>0</v>
      </c>
      <c r="H1199" t="str">
        <f>+dHdcp[[#This Row],[Maximo]]&amp;":"&amp;dHdcp[[#This Row],[Nombre]]</f>
        <v>0:Nacho Gonzalez</v>
      </c>
      <c r="I1199" t="str">
        <f>+dHdcp[[#This Row],[Maximo]]&amp;":"&amp;_xlfn.XLOOKUP(dHdcp[[#This Row],[Nombre]],dJugador[Nombre],dJugador[Mote],"",0)</f>
        <v>0:Nacho</v>
      </c>
      <c r="J1199" t="str">
        <f>+IF(dHdcp[[#This Row],[Maximo]]=0,"",_xlfn.RANK.EQ(dHdcp[[#This Row],[Handicap]],dHdcp[Handicap],1))</f>
        <v/>
      </c>
      <c r="K1199" t="str">
        <f>IFERROR(+_xlfn.RANK.EQ(dHdcp[[#This Row],[Ranking]],dHdcp[Ranking],1),"")</f>
        <v/>
      </c>
      <c r="M1199" t="str">
        <f>+dHdcp[[#This Row],[Fecha]]&amp;":"&amp;dHdcp[[#This Row],[Nombre]]</f>
        <v>44731:Nacho Gonzalez</v>
      </c>
      <c r="N1199">
        <f>+COUNTIF(dHdcp[Columna1],dHdcp[[#This Row],[Columna1]])</f>
        <v>1</v>
      </c>
    </row>
    <row r="1200" spans="1:14">
      <c r="A1200" s="2">
        <v>44731</v>
      </c>
      <c r="B1200" t="s">
        <v>28</v>
      </c>
      <c r="C1200" s="51">
        <v>13.7</v>
      </c>
      <c r="D1200">
        <f>+VLOOKUP(dHdcp[[#This Row],[Handicap]],'Categoría Hdcap'!$B$2:$E$7,4)</f>
        <v>3</v>
      </c>
      <c r="E1200" t="s">
        <v>74</v>
      </c>
      <c r="F1200" t="s">
        <v>1666</v>
      </c>
      <c r="G1200">
        <f>+IF(dHdcp[[#This Row],[Fecha]]=MAX(dHdcp[Fecha]),1,0)</f>
        <v>0</v>
      </c>
      <c r="H1200" t="str">
        <f>+dHdcp[[#This Row],[Maximo]]&amp;":"&amp;dHdcp[[#This Row],[Nombre]]</f>
        <v>0:Pablo Munitiz</v>
      </c>
      <c r="I1200" t="str">
        <f>+dHdcp[[#This Row],[Maximo]]&amp;":"&amp;_xlfn.XLOOKUP(dHdcp[[#This Row],[Nombre]],dJugador[Nombre],dJugador[Mote],"",0)</f>
        <v>0:Muni</v>
      </c>
      <c r="J1200" t="str">
        <f>+IF(dHdcp[[#This Row],[Maximo]]=0,"",_xlfn.RANK.EQ(dHdcp[[#This Row],[Handicap]],dHdcp[Handicap],1))</f>
        <v/>
      </c>
      <c r="K1200" t="str">
        <f>IFERROR(+_xlfn.RANK.EQ(dHdcp[[#This Row],[Ranking]],dHdcp[Ranking],1),"")</f>
        <v/>
      </c>
      <c r="M1200" t="str">
        <f>+dHdcp[[#This Row],[Fecha]]&amp;":"&amp;dHdcp[[#This Row],[Nombre]]</f>
        <v>44731:Pablo Munitiz</v>
      </c>
      <c r="N1200">
        <f>+COUNTIF(dHdcp[Columna1],dHdcp[[#This Row],[Columna1]])</f>
        <v>1</v>
      </c>
    </row>
    <row r="1201" spans="1:14">
      <c r="A1201" s="2">
        <v>44731</v>
      </c>
      <c r="B1201" t="s">
        <v>203</v>
      </c>
      <c r="C1201" s="51">
        <v>17.600000000000001</v>
      </c>
      <c r="D1201">
        <f>+VLOOKUP(dHdcp[[#This Row],[Handicap]],'Categoría Hdcap'!$B$2:$E$7,4)</f>
        <v>3</v>
      </c>
      <c r="E1201" t="s">
        <v>74</v>
      </c>
      <c r="F1201" t="s">
        <v>1667</v>
      </c>
      <c r="G1201">
        <f>+IF(dHdcp[[#This Row],[Fecha]]=MAX(dHdcp[Fecha]),1,0)</f>
        <v>0</v>
      </c>
      <c r="H1201" t="str">
        <f>+dHdcp[[#This Row],[Maximo]]&amp;":"&amp;dHdcp[[#This Row],[Nombre]]</f>
        <v>0:Ruslan Kochman</v>
      </c>
      <c r="I1201" t="str">
        <f>+dHdcp[[#This Row],[Maximo]]&amp;":"&amp;_xlfn.XLOOKUP(dHdcp[[#This Row],[Nombre]],dJugador[Nombre],dJugador[Mote],"",0)</f>
        <v>0:Rus</v>
      </c>
      <c r="J1201" t="str">
        <f>+IF(dHdcp[[#This Row],[Maximo]]=0,"",_xlfn.RANK.EQ(dHdcp[[#This Row],[Handicap]],dHdcp[Handicap],1))</f>
        <v/>
      </c>
      <c r="K1201" t="str">
        <f>IFERROR(+_xlfn.RANK.EQ(dHdcp[[#This Row],[Ranking]],dHdcp[Ranking],1),"")</f>
        <v/>
      </c>
      <c r="M1201" t="str">
        <f>+dHdcp[[#This Row],[Fecha]]&amp;":"&amp;dHdcp[[#This Row],[Nombre]]</f>
        <v>44731:Ruslan Kochman</v>
      </c>
      <c r="N1201">
        <f>+COUNTIF(dHdcp[Columna1],dHdcp[[#This Row],[Columna1]])</f>
        <v>1</v>
      </c>
    </row>
    <row r="1202" spans="1:14">
      <c r="A1202" s="2">
        <v>44732</v>
      </c>
      <c r="B1202" t="s">
        <v>259</v>
      </c>
      <c r="C1202" s="51">
        <v>3.8</v>
      </c>
      <c r="D1202">
        <f>+VLOOKUP(dHdcp[[#This Row],[Handicap]],'Categoría Hdcap'!$B$2:$E$7,4)</f>
        <v>1</v>
      </c>
      <c r="E1202" t="s">
        <v>74</v>
      </c>
      <c r="F1202" t="s">
        <v>1668</v>
      </c>
      <c r="G1202">
        <f>+IF(dHdcp[[#This Row],[Fecha]]=MAX(dHdcp[Fecha]),1,0)</f>
        <v>0</v>
      </c>
      <c r="H1202" t="str">
        <f>+dHdcp[[#This Row],[Maximo]]&amp;":"&amp;dHdcp[[#This Row],[Nombre]]</f>
        <v>0:Alejandro Arcos</v>
      </c>
      <c r="I1202" t="str">
        <f>+dHdcp[[#This Row],[Maximo]]&amp;":"&amp;_xlfn.XLOOKUP(dHdcp[[#This Row],[Nombre]],dJugador[Nombre],dJugador[Mote],"",0)</f>
        <v>0:Alex</v>
      </c>
      <c r="J1202" t="str">
        <f>+IF(dHdcp[[#This Row],[Maximo]]=0,"",_xlfn.RANK.EQ(dHdcp[[#This Row],[Handicap]],dHdcp[Handicap],1))</f>
        <v/>
      </c>
      <c r="K1202" t="str">
        <f>IFERROR(+_xlfn.RANK.EQ(dHdcp[[#This Row],[Ranking]],dHdcp[Ranking],1),"")</f>
        <v/>
      </c>
      <c r="M1202" t="str">
        <f>+dHdcp[[#This Row],[Fecha]]&amp;":"&amp;dHdcp[[#This Row],[Nombre]]</f>
        <v>44732:Alejandro Arcos</v>
      </c>
      <c r="N1202">
        <f>+COUNTIF(dHdcp[Columna1],dHdcp[[#This Row],[Columna1]])</f>
        <v>1</v>
      </c>
    </row>
    <row r="1203" spans="1:14">
      <c r="A1203" s="2">
        <v>44732</v>
      </c>
      <c r="B1203" t="s">
        <v>9</v>
      </c>
      <c r="C1203" s="51">
        <v>11</v>
      </c>
      <c r="D1203">
        <f>+VLOOKUP(dHdcp[[#This Row],[Handicap]],'Categoría Hdcap'!$B$2:$E$7,4)</f>
        <v>2</v>
      </c>
      <c r="E1203" t="s">
        <v>74</v>
      </c>
      <c r="F1203" t="s">
        <v>1669</v>
      </c>
      <c r="G1203">
        <f>+IF(dHdcp[[#This Row],[Fecha]]=MAX(dHdcp[Fecha]),1,0)</f>
        <v>0</v>
      </c>
      <c r="H1203" t="str">
        <f>+dHdcp[[#This Row],[Maximo]]&amp;":"&amp;dHdcp[[#This Row],[Nombre]]</f>
        <v>0:Alfonso Hidalgo</v>
      </c>
      <c r="I1203" t="str">
        <f>+dHdcp[[#This Row],[Maximo]]&amp;":"&amp;_xlfn.XLOOKUP(dHdcp[[#This Row],[Nombre]],dJugador[Nombre],dJugador[Mote],"",0)</f>
        <v>0:Alfonso</v>
      </c>
      <c r="J1203" t="str">
        <f>+IF(dHdcp[[#This Row],[Maximo]]=0,"",_xlfn.RANK.EQ(dHdcp[[#This Row],[Handicap]],dHdcp[Handicap],1))</f>
        <v/>
      </c>
      <c r="K1203" t="str">
        <f>IFERROR(+_xlfn.RANK.EQ(dHdcp[[#This Row],[Ranking]],dHdcp[Ranking],1),"")</f>
        <v/>
      </c>
      <c r="M1203" t="str">
        <f>+dHdcp[[#This Row],[Fecha]]&amp;":"&amp;dHdcp[[#This Row],[Nombre]]</f>
        <v>44732:Alfonso Hidalgo</v>
      </c>
      <c r="N1203">
        <f>+COUNTIF(dHdcp[Columna1],dHdcp[[#This Row],[Columna1]])</f>
        <v>1</v>
      </c>
    </row>
    <row r="1204" spans="1:14">
      <c r="A1204" s="2">
        <v>44732</v>
      </c>
      <c r="B1204" t="s">
        <v>229</v>
      </c>
      <c r="C1204" s="51">
        <v>13.6</v>
      </c>
      <c r="D1204">
        <f>+VLOOKUP(dHdcp[[#This Row],[Handicap]],'Categoría Hdcap'!$B$2:$E$7,4)</f>
        <v>3</v>
      </c>
      <c r="E1204" t="s">
        <v>74</v>
      </c>
      <c r="F1204" t="s">
        <v>1670</v>
      </c>
      <c r="G1204">
        <f>+IF(dHdcp[[#This Row],[Fecha]]=MAX(dHdcp[Fecha]),1,0)</f>
        <v>0</v>
      </c>
      <c r="H1204" t="str">
        <f>+dHdcp[[#This Row],[Maximo]]&amp;":"&amp;dHdcp[[#This Row],[Nombre]]</f>
        <v>0:Alfonso Zorrilla</v>
      </c>
      <c r="I1204" t="str">
        <f>+dHdcp[[#This Row],[Maximo]]&amp;":"&amp;_xlfn.XLOOKUP(dHdcp[[#This Row],[Nombre]],dJugador[Nombre],dJugador[Mote],"",0)</f>
        <v>0:A Zorrilla</v>
      </c>
      <c r="J1204" t="str">
        <f>+IF(dHdcp[[#This Row],[Maximo]]=0,"",_xlfn.RANK.EQ(dHdcp[[#This Row],[Handicap]],dHdcp[Handicap],1))</f>
        <v/>
      </c>
      <c r="K1204" t="str">
        <f>IFERROR(+_xlfn.RANK.EQ(dHdcp[[#This Row],[Ranking]],dHdcp[Ranking],1),"")</f>
        <v/>
      </c>
      <c r="M1204" t="str">
        <f>+dHdcp[[#This Row],[Fecha]]&amp;":"&amp;dHdcp[[#This Row],[Nombre]]</f>
        <v>44732:Alfonso Zorrilla</v>
      </c>
      <c r="N1204">
        <f>+COUNTIF(dHdcp[Columna1],dHdcp[[#This Row],[Columna1]])</f>
        <v>1</v>
      </c>
    </row>
    <row r="1205" spans="1:14">
      <c r="A1205" s="2">
        <v>44732</v>
      </c>
      <c r="B1205" s="13" t="s">
        <v>15</v>
      </c>
      <c r="C1205" s="51">
        <v>7.2</v>
      </c>
      <c r="D1205">
        <f>+VLOOKUP(dHdcp[[#This Row],[Handicap]],'Categoría Hdcap'!$B$2:$E$7,4)</f>
        <v>2</v>
      </c>
      <c r="E1205" t="s">
        <v>74</v>
      </c>
      <c r="F1205" t="s">
        <v>1671</v>
      </c>
      <c r="G1205">
        <f>+IF(dHdcp[[#This Row],[Fecha]]=MAX(dHdcp[Fecha]),1,0)</f>
        <v>0</v>
      </c>
      <c r="H1205" t="str">
        <f>+dHdcp[[#This Row],[Maximo]]&amp;":"&amp;dHdcp[[#This Row],[Nombre]]</f>
        <v>0:Alvaro Aguirre</v>
      </c>
      <c r="I1205" t="str">
        <f>+dHdcp[[#This Row],[Maximo]]&amp;":"&amp;_xlfn.XLOOKUP(dHdcp[[#This Row],[Nombre]],dJugador[Nombre],dJugador[Mote],"",0)</f>
        <v>0:Gifu</v>
      </c>
      <c r="J1205" t="str">
        <f>+IF(dHdcp[[#This Row],[Maximo]]=0,"",_xlfn.RANK.EQ(dHdcp[[#This Row],[Handicap]],dHdcp[Handicap],1))</f>
        <v/>
      </c>
      <c r="K1205" t="str">
        <f>IFERROR(+_xlfn.RANK.EQ(dHdcp[[#This Row],[Ranking]],dHdcp[Ranking],1),"")</f>
        <v/>
      </c>
      <c r="M1205" t="str">
        <f>+dHdcp[[#This Row],[Fecha]]&amp;":"&amp;dHdcp[[#This Row],[Nombre]]</f>
        <v>44732:Alvaro Aguirre</v>
      </c>
      <c r="N1205">
        <f>+COUNTIF(dHdcp[Columna1],dHdcp[[#This Row],[Columna1]])</f>
        <v>1</v>
      </c>
    </row>
    <row r="1206" spans="1:14">
      <c r="A1206" s="2">
        <v>44732</v>
      </c>
      <c r="B1206" t="s">
        <v>201</v>
      </c>
      <c r="C1206" s="51">
        <v>7.7</v>
      </c>
      <c r="D1206">
        <f>+VLOOKUP(dHdcp[[#This Row],[Handicap]],'Categoría Hdcap'!$B$2:$E$7,4)</f>
        <v>2</v>
      </c>
      <c r="E1206" t="s">
        <v>74</v>
      </c>
      <c r="F1206" t="s">
        <v>1672</v>
      </c>
      <c r="G1206">
        <f>+IF(dHdcp[[#This Row],[Fecha]]=MAX(dHdcp[Fecha]),1,0)</f>
        <v>0</v>
      </c>
      <c r="H1206" t="str">
        <f>+dHdcp[[#This Row],[Maximo]]&amp;":"&amp;dHdcp[[#This Row],[Nombre]]</f>
        <v>0:Alvaro Montoya</v>
      </c>
      <c r="I1206" t="str">
        <f>+dHdcp[[#This Row],[Maximo]]&amp;":"&amp;_xlfn.XLOOKUP(dHdcp[[#This Row],[Nombre]],dJugador[Nombre],dJugador[Mote],"",0)</f>
        <v>0:Monti</v>
      </c>
      <c r="J1206" t="str">
        <f>+IF(dHdcp[[#This Row],[Maximo]]=0,"",_xlfn.RANK.EQ(dHdcp[[#This Row],[Handicap]],dHdcp[Handicap],1))</f>
        <v/>
      </c>
      <c r="K1206" t="str">
        <f>IFERROR(+_xlfn.RANK.EQ(dHdcp[[#This Row],[Ranking]],dHdcp[Ranking],1),"")</f>
        <v/>
      </c>
      <c r="M1206" t="str">
        <f>+dHdcp[[#This Row],[Fecha]]&amp;":"&amp;dHdcp[[#This Row],[Nombre]]</f>
        <v>44732:Alvaro Montoya</v>
      </c>
      <c r="N1206">
        <f>+COUNTIF(dHdcp[Columna1],dHdcp[[#This Row],[Columna1]])</f>
        <v>1</v>
      </c>
    </row>
    <row r="1207" spans="1:14">
      <c r="A1207" s="2">
        <v>44732</v>
      </c>
      <c r="B1207" t="s">
        <v>25</v>
      </c>
      <c r="C1207" s="51">
        <v>12.6</v>
      </c>
      <c r="D1207">
        <f>+VLOOKUP(dHdcp[[#This Row],[Handicap]],'Categoría Hdcap'!$B$2:$E$7,4)</f>
        <v>3</v>
      </c>
      <c r="E1207" t="s">
        <v>74</v>
      </c>
      <c r="F1207" t="s">
        <v>1673</v>
      </c>
      <c r="G1207">
        <f>+IF(dHdcp[[#This Row],[Fecha]]=MAX(dHdcp[Fecha]),1,0)</f>
        <v>0</v>
      </c>
      <c r="H1207" t="str">
        <f>+dHdcp[[#This Row],[Maximo]]&amp;":"&amp;dHdcp[[#This Row],[Nombre]]</f>
        <v>0:Alvaro Nieto</v>
      </c>
      <c r="I1207" t="str">
        <f>+dHdcp[[#This Row],[Maximo]]&amp;":"&amp;_xlfn.XLOOKUP(dHdcp[[#This Row],[Nombre]],dJugador[Nombre],dJugador[Mote],"",0)</f>
        <v>0:Alvaro</v>
      </c>
      <c r="J1207" t="str">
        <f>+IF(dHdcp[[#This Row],[Maximo]]=0,"",_xlfn.RANK.EQ(dHdcp[[#This Row],[Handicap]],dHdcp[Handicap],1))</f>
        <v/>
      </c>
      <c r="K1207" t="str">
        <f>IFERROR(+_xlfn.RANK.EQ(dHdcp[[#This Row],[Ranking]],dHdcp[Ranking],1),"")</f>
        <v/>
      </c>
      <c r="M1207" t="str">
        <f>+dHdcp[[#This Row],[Fecha]]&amp;":"&amp;dHdcp[[#This Row],[Nombre]]</f>
        <v>44732:Alvaro Nieto</v>
      </c>
      <c r="N1207">
        <f>+COUNTIF(dHdcp[Columna1],dHdcp[[#This Row],[Columna1]])</f>
        <v>1</v>
      </c>
    </row>
    <row r="1208" spans="1:14">
      <c r="A1208" s="2">
        <v>44732</v>
      </c>
      <c r="B1208" t="s">
        <v>33</v>
      </c>
      <c r="C1208" s="51">
        <v>7.2</v>
      </c>
      <c r="D1208">
        <f>+VLOOKUP(dHdcp[[#This Row],[Handicap]],'Categoría Hdcap'!$B$2:$E$7,4)</f>
        <v>2</v>
      </c>
      <c r="E1208" t="s">
        <v>74</v>
      </c>
      <c r="F1208" t="s">
        <v>1674</v>
      </c>
      <c r="G1208">
        <f>+IF(dHdcp[[#This Row],[Fecha]]=MAX(dHdcp[Fecha]),1,0)</f>
        <v>0</v>
      </c>
      <c r="H1208" t="str">
        <f>+dHdcp[[#This Row],[Maximo]]&amp;":"&amp;dHdcp[[#This Row],[Nombre]]</f>
        <v>0:Angel Hernandez</v>
      </c>
      <c r="I1208" t="str">
        <f>+dHdcp[[#This Row],[Maximo]]&amp;":"&amp;_xlfn.XLOOKUP(dHdcp[[#This Row],[Nombre]],dJugador[Nombre],dJugador[Mote],"",0)</f>
        <v>0:Angel</v>
      </c>
      <c r="J1208" t="str">
        <f>+IF(dHdcp[[#This Row],[Maximo]]=0,"",_xlfn.RANK.EQ(dHdcp[[#This Row],[Handicap]],dHdcp[Handicap],1))</f>
        <v/>
      </c>
      <c r="K1208" t="str">
        <f>IFERROR(+_xlfn.RANK.EQ(dHdcp[[#This Row],[Ranking]],dHdcp[Ranking],1),"")</f>
        <v/>
      </c>
      <c r="M1208" t="str">
        <f>+dHdcp[[#This Row],[Fecha]]&amp;":"&amp;dHdcp[[#This Row],[Nombre]]</f>
        <v>44732:Angel Hernandez</v>
      </c>
      <c r="N1208">
        <f>+COUNTIF(dHdcp[Columna1],dHdcp[[#This Row],[Columna1]])</f>
        <v>1</v>
      </c>
    </row>
    <row r="1209" spans="1:14">
      <c r="A1209" s="2">
        <v>44732</v>
      </c>
      <c r="B1209" t="s">
        <v>264</v>
      </c>
      <c r="C1209" s="51">
        <v>18.899999999999999</v>
      </c>
      <c r="D1209">
        <f>+VLOOKUP(dHdcp[[#This Row],[Handicap]],'Categoría Hdcap'!$B$2:$E$7,4)</f>
        <v>4</v>
      </c>
      <c r="E1209" t="s">
        <v>74</v>
      </c>
      <c r="F1209" t="s">
        <v>1675</v>
      </c>
      <c r="G1209">
        <f>+IF(dHdcp[[#This Row],[Fecha]]=MAX(dHdcp[Fecha]),1,0)</f>
        <v>0</v>
      </c>
      <c r="H1209" t="str">
        <f>+dHdcp[[#This Row],[Maximo]]&amp;":"&amp;dHdcp[[#This Row],[Nombre]]</f>
        <v>0:Antonio Carmona</v>
      </c>
      <c r="I1209" t="str">
        <f>+dHdcp[[#This Row],[Maximo]]&amp;":"&amp;_xlfn.XLOOKUP(dHdcp[[#This Row],[Nombre]],dJugador[Nombre],dJugador[Mote],"",0)</f>
        <v>0:Antonio</v>
      </c>
      <c r="J1209" t="str">
        <f>+IF(dHdcp[[#This Row],[Maximo]]=0,"",_xlfn.RANK.EQ(dHdcp[[#This Row],[Handicap]],dHdcp[Handicap],1))</f>
        <v/>
      </c>
      <c r="K1209" t="str">
        <f>IFERROR(+_xlfn.RANK.EQ(dHdcp[[#This Row],[Ranking]],dHdcp[Ranking],1),"")</f>
        <v/>
      </c>
      <c r="M1209" t="str">
        <f>+dHdcp[[#This Row],[Fecha]]&amp;":"&amp;dHdcp[[#This Row],[Nombre]]</f>
        <v>44732:Antonio Carmona</v>
      </c>
      <c r="N1209">
        <f>+COUNTIF(dHdcp[Columna1],dHdcp[[#This Row],[Columna1]])</f>
        <v>1</v>
      </c>
    </row>
    <row r="1210" spans="1:14">
      <c r="A1210" s="2">
        <v>44732</v>
      </c>
      <c r="B1210" t="s">
        <v>30</v>
      </c>
      <c r="C1210" s="51">
        <v>11.6</v>
      </c>
      <c r="D1210">
        <f>+VLOOKUP(dHdcp[[#This Row],[Handicap]],'Categoría Hdcap'!$B$2:$E$7,4)</f>
        <v>3</v>
      </c>
      <c r="E1210" t="s">
        <v>74</v>
      </c>
      <c r="F1210" t="s">
        <v>1676</v>
      </c>
      <c r="G1210">
        <f>+IF(dHdcp[[#This Row],[Fecha]]=MAX(dHdcp[Fecha]),1,0)</f>
        <v>0</v>
      </c>
      <c r="H1210" t="str">
        <f>+dHdcp[[#This Row],[Maximo]]&amp;":"&amp;dHdcp[[#This Row],[Nombre]]</f>
        <v>0:David Sequera</v>
      </c>
      <c r="I1210" t="str">
        <f>+dHdcp[[#This Row],[Maximo]]&amp;":"&amp;_xlfn.XLOOKUP(dHdcp[[#This Row],[Nombre]],dJugador[Nombre],dJugador[Mote],"",0)</f>
        <v>0:David</v>
      </c>
      <c r="J1210" t="str">
        <f>+IF(dHdcp[[#This Row],[Maximo]]=0,"",_xlfn.RANK.EQ(dHdcp[[#This Row],[Handicap]],dHdcp[Handicap],1))</f>
        <v/>
      </c>
      <c r="K1210" t="str">
        <f>IFERROR(+_xlfn.RANK.EQ(dHdcp[[#This Row],[Ranking]],dHdcp[Ranking],1),"")</f>
        <v/>
      </c>
      <c r="M1210" t="str">
        <f>+dHdcp[[#This Row],[Fecha]]&amp;":"&amp;dHdcp[[#This Row],[Nombre]]</f>
        <v>44732:David Sequera</v>
      </c>
      <c r="N1210">
        <f>+COUNTIF(dHdcp[Columna1],dHdcp[[#This Row],[Columna1]])</f>
        <v>1</v>
      </c>
    </row>
    <row r="1211" spans="1:14">
      <c r="A1211" s="2">
        <v>44732</v>
      </c>
      <c r="B1211" t="s">
        <v>248</v>
      </c>
      <c r="C1211" s="51">
        <v>14.7</v>
      </c>
      <c r="D1211">
        <f>+VLOOKUP(dHdcp[[#This Row],[Handicap]],'Categoría Hdcap'!$B$2:$E$7,4)</f>
        <v>3</v>
      </c>
      <c r="E1211" t="s">
        <v>74</v>
      </c>
      <c r="F1211" t="s">
        <v>1677</v>
      </c>
      <c r="G1211">
        <f>+IF(dHdcp[[#This Row],[Fecha]]=MAX(dHdcp[Fecha]),1,0)</f>
        <v>0</v>
      </c>
      <c r="H1211" t="str">
        <f>+dHdcp[[#This Row],[Maximo]]&amp;":"&amp;dHdcp[[#This Row],[Nombre]]</f>
        <v>0:Enrique Gonzalez R</v>
      </c>
      <c r="I1211" t="str">
        <f>+dHdcp[[#This Row],[Maximo]]&amp;":"&amp;_xlfn.XLOOKUP(dHdcp[[#This Row],[Nombre]],dJugador[Nombre],dJugador[Mote],"",0)</f>
        <v>0:Enrique</v>
      </c>
      <c r="J1211" t="str">
        <f>+IF(dHdcp[[#This Row],[Maximo]]=0,"",_xlfn.RANK.EQ(dHdcp[[#This Row],[Handicap]],dHdcp[Handicap],1))</f>
        <v/>
      </c>
      <c r="K1211" t="str">
        <f>IFERROR(+_xlfn.RANK.EQ(dHdcp[[#This Row],[Ranking]],dHdcp[Ranking],1),"")</f>
        <v/>
      </c>
      <c r="M1211" t="str">
        <f>+dHdcp[[#This Row],[Fecha]]&amp;":"&amp;dHdcp[[#This Row],[Nombre]]</f>
        <v>44732:Enrique Gonzalez R</v>
      </c>
      <c r="N1211">
        <f>+COUNTIF(dHdcp[Columna1],dHdcp[[#This Row],[Columna1]])</f>
        <v>1</v>
      </c>
    </row>
    <row r="1212" spans="1:14">
      <c r="A1212" s="2">
        <v>44732</v>
      </c>
      <c r="B1212" t="s">
        <v>12</v>
      </c>
      <c r="C1212" s="51">
        <v>15.1</v>
      </c>
      <c r="D1212">
        <f>+VLOOKUP(dHdcp[[#This Row],[Handicap]],'Categoría Hdcap'!$B$2:$E$7,4)</f>
        <v>3</v>
      </c>
      <c r="E1212" t="s">
        <v>74</v>
      </c>
      <c r="F1212" t="s">
        <v>1678</v>
      </c>
      <c r="G1212">
        <f>+IF(dHdcp[[#This Row],[Fecha]]=MAX(dHdcp[Fecha]),1,0)</f>
        <v>0</v>
      </c>
      <c r="H1212" t="str">
        <f>+dHdcp[[#This Row],[Maximo]]&amp;":"&amp;dHdcp[[#This Row],[Nombre]]</f>
        <v>0:Francisco Alvarez</v>
      </c>
      <c r="I1212" t="str">
        <f>+dHdcp[[#This Row],[Maximo]]&amp;":"&amp;_xlfn.XLOOKUP(dHdcp[[#This Row],[Nombre]],dJugador[Nombre],dJugador[Mote],"",0)</f>
        <v>0:Paco</v>
      </c>
      <c r="J1212" t="str">
        <f>+IF(dHdcp[[#This Row],[Maximo]]=0,"",_xlfn.RANK.EQ(dHdcp[[#This Row],[Handicap]],dHdcp[Handicap],1))</f>
        <v/>
      </c>
      <c r="K1212" t="str">
        <f>IFERROR(+_xlfn.RANK.EQ(dHdcp[[#This Row],[Ranking]],dHdcp[Ranking],1),"")</f>
        <v/>
      </c>
      <c r="M1212" t="str">
        <f>+dHdcp[[#This Row],[Fecha]]&amp;":"&amp;dHdcp[[#This Row],[Nombre]]</f>
        <v>44732:Francisco Alvarez</v>
      </c>
      <c r="N1212">
        <f>+COUNTIF(dHdcp[Columna1],dHdcp[[#This Row],[Columna1]])</f>
        <v>1</v>
      </c>
    </row>
    <row r="1213" spans="1:14">
      <c r="A1213" s="2">
        <v>44732</v>
      </c>
      <c r="B1213" t="s">
        <v>49</v>
      </c>
      <c r="C1213" s="51">
        <v>12.3</v>
      </c>
      <c r="D1213">
        <f>+VLOOKUP(dHdcp[[#This Row],[Handicap]],'Categoría Hdcap'!$B$2:$E$7,4)</f>
        <v>3</v>
      </c>
      <c r="E1213" t="s">
        <v>74</v>
      </c>
      <c r="F1213" t="s">
        <v>1679</v>
      </c>
      <c r="G1213">
        <f>+IF(dHdcp[[#This Row],[Fecha]]=MAX(dHdcp[Fecha]),1,0)</f>
        <v>0</v>
      </c>
      <c r="H1213" t="str">
        <f>+dHdcp[[#This Row],[Maximo]]&amp;":"&amp;dHdcp[[#This Row],[Nombre]]</f>
        <v>0:Francisco Hidalgo</v>
      </c>
      <c r="I1213" t="str">
        <f>+dHdcp[[#This Row],[Maximo]]&amp;":"&amp;_xlfn.XLOOKUP(dHdcp[[#This Row],[Nombre]],dJugador[Nombre],dJugador[Mote],"",0)</f>
        <v>0:Fran</v>
      </c>
      <c r="J1213" t="str">
        <f>+IF(dHdcp[[#This Row],[Maximo]]=0,"",_xlfn.RANK.EQ(dHdcp[[#This Row],[Handicap]],dHdcp[Handicap],1))</f>
        <v/>
      </c>
      <c r="K1213" t="str">
        <f>IFERROR(+_xlfn.RANK.EQ(dHdcp[[#This Row],[Ranking]],dHdcp[Ranking],1),"")</f>
        <v/>
      </c>
      <c r="M1213" t="str">
        <f>+dHdcp[[#This Row],[Fecha]]&amp;":"&amp;dHdcp[[#This Row],[Nombre]]</f>
        <v>44732:Francisco Hidalgo</v>
      </c>
      <c r="N1213">
        <f>+COUNTIF(dHdcp[Columna1],dHdcp[[#This Row],[Columna1]])</f>
        <v>1</v>
      </c>
    </row>
    <row r="1214" spans="1:14">
      <c r="A1214" s="2">
        <v>44732</v>
      </c>
      <c r="B1214" t="s">
        <v>207</v>
      </c>
      <c r="C1214" s="51">
        <v>14.4</v>
      </c>
      <c r="D1214">
        <f>+VLOOKUP(dHdcp[[#This Row],[Handicap]],'Categoría Hdcap'!$B$2:$E$7,4)</f>
        <v>3</v>
      </c>
      <c r="E1214" t="s">
        <v>74</v>
      </c>
      <c r="F1214" t="s">
        <v>1680</v>
      </c>
      <c r="G1214">
        <f>+IF(dHdcp[[#This Row],[Fecha]]=MAX(dHdcp[Fecha]),1,0)</f>
        <v>0</v>
      </c>
      <c r="H1214" t="str">
        <f>+dHdcp[[#This Row],[Maximo]]&amp;":"&amp;dHdcp[[#This Row],[Nombre]]</f>
        <v>0:Franck Benouniche</v>
      </c>
      <c r="I1214" t="str">
        <f>+dHdcp[[#This Row],[Maximo]]&amp;":"&amp;_xlfn.XLOOKUP(dHdcp[[#This Row],[Nombre]],dJugador[Nombre],dJugador[Mote],"",0)</f>
        <v>0:Franck</v>
      </c>
      <c r="J1214" t="str">
        <f>+IF(dHdcp[[#This Row],[Maximo]]=0,"",_xlfn.RANK.EQ(dHdcp[[#This Row],[Handicap]],dHdcp[Handicap],1))</f>
        <v/>
      </c>
      <c r="K1214" t="str">
        <f>IFERROR(+_xlfn.RANK.EQ(dHdcp[[#This Row],[Ranking]],dHdcp[Ranking],1),"")</f>
        <v/>
      </c>
      <c r="M1214" t="str">
        <f>+dHdcp[[#This Row],[Fecha]]&amp;":"&amp;dHdcp[[#This Row],[Nombre]]</f>
        <v>44732:Franck Benouniche</v>
      </c>
      <c r="N1214">
        <f>+COUNTIF(dHdcp[Columna1],dHdcp[[#This Row],[Columna1]])</f>
        <v>1</v>
      </c>
    </row>
    <row r="1215" spans="1:14">
      <c r="A1215" s="2">
        <v>44732</v>
      </c>
      <c r="B1215" t="s">
        <v>35</v>
      </c>
      <c r="C1215" s="51">
        <v>17.8</v>
      </c>
      <c r="D1215">
        <f>+VLOOKUP(dHdcp[[#This Row],[Handicap]],'Categoría Hdcap'!$B$2:$E$7,4)</f>
        <v>3</v>
      </c>
      <c r="E1215" t="s">
        <v>74</v>
      </c>
      <c r="F1215" t="s">
        <v>1681</v>
      </c>
      <c r="G1215">
        <f>+IF(dHdcp[[#This Row],[Fecha]]=MAX(dHdcp[Fecha]),1,0)</f>
        <v>0</v>
      </c>
      <c r="H1215" t="str">
        <f>+dHdcp[[#This Row],[Maximo]]&amp;":"&amp;dHdcp[[#This Row],[Nombre]]</f>
        <v>0:GLEZ JUAN JOSÉ</v>
      </c>
      <c r="I1215" t="str">
        <f>+dHdcp[[#This Row],[Maximo]]&amp;":"&amp;_xlfn.XLOOKUP(dHdcp[[#This Row],[Nombre]],dJugador[Nombre],dJugador[Mote],"",0)</f>
        <v>0:Juanjo</v>
      </c>
      <c r="J1215" t="str">
        <f>+IF(dHdcp[[#This Row],[Maximo]]=0,"",_xlfn.RANK.EQ(dHdcp[[#This Row],[Handicap]],dHdcp[Handicap],1))</f>
        <v/>
      </c>
      <c r="K1215" t="str">
        <f>IFERROR(+_xlfn.RANK.EQ(dHdcp[[#This Row],[Ranking]],dHdcp[Ranking],1),"")</f>
        <v/>
      </c>
      <c r="M1215" t="str">
        <f>+dHdcp[[#This Row],[Fecha]]&amp;":"&amp;dHdcp[[#This Row],[Nombre]]</f>
        <v>44732:GLEZ JUAN JOSÉ</v>
      </c>
      <c r="N1215">
        <f>+COUNTIF(dHdcp[Columna1],dHdcp[[#This Row],[Columna1]])</f>
        <v>1</v>
      </c>
    </row>
    <row r="1216" spans="1:14">
      <c r="A1216" s="2">
        <v>44732</v>
      </c>
      <c r="B1216" t="s">
        <v>6</v>
      </c>
      <c r="C1216" s="51">
        <v>8</v>
      </c>
      <c r="D1216">
        <f>+VLOOKUP(dHdcp[[#This Row],[Handicap]],'Categoría Hdcap'!$B$2:$E$7,4)</f>
        <v>2</v>
      </c>
      <c r="E1216" t="s">
        <v>74</v>
      </c>
      <c r="F1216" t="s">
        <v>1682</v>
      </c>
      <c r="G1216">
        <f>+IF(dHdcp[[#This Row],[Fecha]]=MAX(dHdcp[Fecha]),1,0)</f>
        <v>0</v>
      </c>
      <c r="H1216" t="str">
        <f>+dHdcp[[#This Row],[Maximo]]&amp;":"&amp;dHdcp[[#This Row],[Nombre]]</f>
        <v>0:Ignacio Cadarso</v>
      </c>
      <c r="I1216" t="str">
        <f>+dHdcp[[#This Row],[Maximo]]&amp;":"&amp;_xlfn.XLOOKUP(dHdcp[[#This Row],[Nombre]],dJugador[Nombre],dJugador[Mote],"",0)</f>
        <v>0:Ignacio</v>
      </c>
      <c r="J1216" t="str">
        <f>+IF(dHdcp[[#This Row],[Maximo]]=0,"",_xlfn.RANK.EQ(dHdcp[[#This Row],[Handicap]],dHdcp[Handicap],1))</f>
        <v/>
      </c>
      <c r="K1216" t="str">
        <f>IFERROR(+_xlfn.RANK.EQ(dHdcp[[#This Row],[Ranking]],dHdcp[Ranking],1),"")</f>
        <v/>
      </c>
      <c r="M1216" t="str">
        <f>+dHdcp[[#This Row],[Fecha]]&amp;":"&amp;dHdcp[[#This Row],[Nombre]]</f>
        <v>44732:Ignacio Cadarso</v>
      </c>
      <c r="N1216">
        <f>+COUNTIF(dHdcp[Columna1],dHdcp[[#This Row],[Columna1]])</f>
        <v>1</v>
      </c>
    </row>
    <row r="1217" spans="1:14">
      <c r="A1217" s="2">
        <v>44732</v>
      </c>
      <c r="B1217" t="s">
        <v>23</v>
      </c>
      <c r="C1217" s="51">
        <v>17.3</v>
      </c>
      <c r="D1217">
        <f>+VLOOKUP(dHdcp[[#This Row],[Handicap]],'Categoría Hdcap'!$B$2:$E$7,4)</f>
        <v>3</v>
      </c>
      <c r="E1217" t="s">
        <v>74</v>
      </c>
      <c r="F1217" t="s">
        <v>1683</v>
      </c>
      <c r="G1217">
        <f>+IF(dHdcp[[#This Row],[Fecha]]=MAX(dHdcp[Fecha]),1,0)</f>
        <v>0</v>
      </c>
      <c r="H1217" t="str">
        <f>+dHdcp[[#This Row],[Maximo]]&amp;":"&amp;dHdcp[[#This Row],[Nombre]]</f>
        <v>0:J. Enrique Gonzalez</v>
      </c>
      <c r="I1217" t="str">
        <f>+dHdcp[[#This Row],[Maximo]]&amp;":"&amp;_xlfn.XLOOKUP(dHdcp[[#This Row],[Nombre]],dJugador[Nombre],dJugador[Mote],"",0)</f>
        <v>0:Kike</v>
      </c>
      <c r="J1217" t="str">
        <f>+IF(dHdcp[[#This Row],[Maximo]]=0,"",_xlfn.RANK.EQ(dHdcp[[#This Row],[Handicap]],dHdcp[Handicap],1))</f>
        <v/>
      </c>
      <c r="K1217" t="str">
        <f>IFERROR(+_xlfn.RANK.EQ(dHdcp[[#This Row],[Ranking]],dHdcp[Ranking],1),"")</f>
        <v/>
      </c>
      <c r="M1217" t="str">
        <f>+dHdcp[[#This Row],[Fecha]]&amp;":"&amp;dHdcp[[#This Row],[Nombre]]</f>
        <v>44732:J. Enrique Gonzalez</v>
      </c>
      <c r="N1217">
        <f>+COUNTIF(dHdcp[Columna1],dHdcp[[#This Row],[Columna1]])</f>
        <v>1</v>
      </c>
    </row>
    <row r="1218" spans="1:14">
      <c r="A1218" s="2">
        <v>44732</v>
      </c>
      <c r="B1218" t="s">
        <v>46</v>
      </c>
      <c r="C1218" s="51">
        <v>17.2</v>
      </c>
      <c r="D1218">
        <f>+VLOOKUP(dHdcp[[#This Row],[Handicap]],'Categoría Hdcap'!$B$2:$E$7,4)</f>
        <v>3</v>
      </c>
      <c r="E1218" t="s">
        <v>74</v>
      </c>
      <c r="F1218" t="s">
        <v>1684</v>
      </c>
      <c r="G1218">
        <f>+IF(dHdcp[[#This Row],[Fecha]]=MAX(dHdcp[Fecha]),1,0)</f>
        <v>0</v>
      </c>
      <c r="H1218" t="str">
        <f>+dHdcp[[#This Row],[Maximo]]&amp;":"&amp;dHdcp[[#This Row],[Nombre]]</f>
        <v>0:Javier Cervera</v>
      </c>
      <c r="I1218" t="str">
        <f>+dHdcp[[#This Row],[Maximo]]&amp;":"&amp;_xlfn.XLOOKUP(dHdcp[[#This Row],[Nombre]],dJugador[Nombre],dJugador[Mote],"",0)</f>
        <v>0:Virus</v>
      </c>
      <c r="J1218" t="str">
        <f>+IF(dHdcp[[#This Row],[Maximo]]=0,"",_xlfn.RANK.EQ(dHdcp[[#This Row],[Handicap]],dHdcp[Handicap],1))</f>
        <v/>
      </c>
      <c r="K1218" t="str">
        <f>IFERROR(+_xlfn.RANK.EQ(dHdcp[[#This Row],[Ranking]],dHdcp[Ranking],1),"")</f>
        <v/>
      </c>
      <c r="M1218" t="str">
        <f>+dHdcp[[#This Row],[Fecha]]&amp;":"&amp;dHdcp[[#This Row],[Nombre]]</f>
        <v>44732:Javier Cervera</v>
      </c>
      <c r="N1218">
        <f>+COUNTIF(dHdcp[Columna1],dHdcp[[#This Row],[Columna1]])</f>
        <v>1</v>
      </c>
    </row>
    <row r="1219" spans="1:14">
      <c r="A1219" s="2">
        <v>44732</v>
      </c>
      <c r="B1219" t="s">
        <v>225</v>
      </c>
      <c r="C1219" s="51">
        <v>10.1</v>
      </c>
      <c r="D1219">
        <f>+VLOOKUP(dHdcp[[#This Row],[Handicap]],'Categoría Hdcap'!$B$2:$E$7,4)</f>
        <v>2</v>
      </c>
      <c r="E1219" t="s">
        <v>74</v>
      </c>
      <c r="F1219" t="s">
        <v>1685</v>
      </c>
      <c r="G1219">
        <f>+IF(dHdcp[[#This Row],[Fecha]]=MAX(dHdcp[Fecha]),1,0)</f>
        <v>0</v>
      </c>
      <c r="H1219" t="str">
        <f>+dHdcp[[#This Row],[Maximo]]&amp;":"&amp;dHdcp[[#This Row],[Nombre]]</f>
        <v>0:Javier Chiralt</v>
      </c>
      <c r="I1219" t="str">
        <f>+dHdcp[[#This Row],[Maximo]]&amp;":"&amp;_xlfn.XLOOKUP(dHdcp[[#This Row],[Nombre]],dJugador[Nombre],dJugador[Mote],"",0)</f>
        <v>0:Chiralt</v>
      </c>
      <c r="J1219" t="str">
        <f>+IF(dHdcp[[#This Row],[Maximo]]=0,"",_xlfn.RANK.EQ(dHdcp[[#This Row],[Handicap]],dHdcp[Handicap],1))</f>
        <v/>
      </c>
      <c r="K1219" t="str">
        <f>IFERROR(+_xlfn.RANK.EQ(dHdcp[[#This Row],[Ranking]],dHdcp[Ranking],1),"")</f>
        <v/>
      </c>
      <c r="M1219" t="str">
        <f>+dHdcp[[#This Row],[Fecha]]&amp;":"&amp;dHdcp[[#This Row],[Nombre]]</f>
        <v>44732:Javier Chiralt</v>
      </c>
      <c r="N1219">
        <f>+COUNTIF(dHdcp[Columna1],dHdcp[[#This Row],[Columna1]])</f>
        <v>1</v>
      </c>
    </row>
    <row r="1220" spans="1:14">
      <c r="A1220" s="2">
        <v>44732</v>
      </c>
      <c r="B1220" t="s">
        <v>20</v>
      </c>
      <c r="C1220" s="51">
        <v>16.899999999999999</v>
      </c>
      <c r="D1220">
        <f>+VLOOKUP(dHdcp[[#This Row],[Handicap]],'Categoría Hdcap'!$B$2:$E$7,4)</f>
        <v>3</v>
      </c>
      <c r="E1220" t="s">
        <v>74</v>
      </c>
      <c r="F1220" t="s">
        <v>1686</v>
      </c>
      <c r="G1220">
        <f>+IF(dHdcp[[#This Row],[Fecha]]=MAX(dHdcp[Fecha]),1,0)</f>
        <v>0</v>
      </c>
      <c r="H1220" t="str">
        <f>+dHdcp[[#This Row],[Maximo]]&amp;":"&amp;dHdcp[[#This Row],[Nombre]]</f>
        <v>0:Javier Gonzalez Salvador</v>
      </c>
      <c r="I1220" t="str">
        <f>+dHdcp[[#This Row],[Maximo]]&amp;":"&amp;_xlfn.XLOOKUP(dHdcp[[#This Row],[Nombre]],dJugador[Nombre],dJugador[Mote],"",0)</f>
        <v>0:Javi</v>
      </c>
      <c r="J1220" t="str">
        <f>+IF(dHdcp[[#This Row],[Maximo]]=0,"",_xlfn.RANK.EQ(dHdcp[[#This Row],[Handicap]],dHdcp[Handicap],1))</f>
        <v/>
      </c>
      <c r="K1220" t="str">
        <f>IFERROR(+_xlfn.RANK.EQ(dHdcp[[#This Row],[Ranking]],dHdcp[Ranking],1),"")</f>
        <v/>
      </c>
      <c r="M1220" t="str">
        <f>+dHdcp[[#This Row],[Fecha]]&amp;":"&amp;dHdcp[[#This Row],[Nombre]]</f>
        <v>44732:Javier Gonzalez Salvador</v>
      </c>
      <c r="N1220">
        <f>+COUNTIF(dHdcp[Columna1],dHdcp[[#This Row],[Columna1]])</f>
        <v>1</v>
      </c>
    </row>
    <row r="1221" spans="1:14">
      <c r="A1221" s="2">
        <v>44732</v>
      </c>
      <c r="B1221" t="s">
        <v>217</v>
      </c>
      <c r="C1221" s="51">
        <v>22.3</v>
      </c>
      <c r="D1221">
        <f>+VLOOKUP(dHdcp[[#This Row],[Handicap]],'Categoría Hdcap'!$B$2:$E$7,4)</f>
        <v>4</v>
      </c>
      <c r="E1221" t="s">
        <v>74</v>
      </c>
      <c r="F1221" t="s">
        <v>1687</v>
      </c>
      <c r="G1221">
        <f>+IF(dHdcp[[#This Row],[Fecha]]=MAX(dHdcp[Fecha]),1,0)</f>
        <v>0</v>
      </c>
      <c r="H1221" t="str">
        <f>+dHdcp[[#This Row],[Maximo]]&amp;":"&amp;dHdcp[[#This Row],[Nombre]]</f>
        <v>0:Javier Lopez Gullón</v>
      </c>
      <c r="I1221" t="str">
        <f>+dHdcp[[#This Row],[Maximo]]&amp;":"&amp;_xlfn.XLOOKUP(dHdcp[[#This Row],[Nombre]],dJugador[Nombre],dJugador[Mote],"",0)</f>
        <v>0:Cuñao</v>
      </c>
      <c r="J1221" t="str">
        <f>+IF(dHdcp[[#This Row],[Maximo]]=0,"",_xlfn.RANK.EQ(dHdcp[[#This Row],[Handicap]],dHdcp[Handicap],1))</f>
        <v/>
      </c>
      <c r="K1221" t="str">
        <f>IFERROR(+_xlfn.RANK.EQ(dHdcp[[#This Row],[Ranking]],dHdcp[Ranking],1),"")</f>
        <v/>
      </c>
      <c r="M1221" t="str">
        <f>+dHdcp[[#This Row],[Fecha]]&amp;":"&amp;dHdcp[[#This Row],[Nombre]]</f>
        <v>44732:Javier Lopez Gullón</v>
      </c>
      <c r="N1221">
        <f>+COUNTIF(dHdcp[Columna1],dHdcp[[#This Row],[Columna1]])</f>
        <v>1</v>
      </c>
    </row>
    <row r="1222" spans="1:14">
      <c r="A1222" s="2">
        <v>44732</v>
      </c>
      <c r="B1222" t="s">
        <v>41</v>
      </c>
      <c r="C1222" s="51">
        <v>25.3</v>
      </c>
      <c r="D1222">
        <f>+VLOOKUP(dHdcp[[#This Row],[Handicap]],'Categoría Hdcap'!$B$2:$E$7,4)</f>
        <v>4</v>
      </c>
      <c r="E1222" t="s">
        <v>74</v>
      </c>
      <c r="F1222" t="s">
        <v>1688</v>
      </c>
      <c r="G1222">
        <f>+IF(dHdcp[[#This Row],[Fecha]]=MAX(dHdcp[Fecha]),1,0)</f>
        <v>0</v>
      </c>
      <c r="H1222" t="str">
        <f>+dHdcp[[#This Row],[Maximo]]&amp;":"&amp;dHdcp[[#This Row],[Nombre]]</f>
        <v>0:Jesus Touceda</v>
      </c>
      <c r="I1222" t="str">
        <f>+dHdcp[[#This Row],[Maximo]]&amp;":"&amp;_xlfn.XLOOKUP(dHdcp[[#This Row],[Nombre]],dJugador[Nombre],dJugador[Mote],"",0)</f>
        <v>0:Jesús</v>
      </c>
      <c r="J1222" t="str">
        <f>+IF(dHdcp[[#This Row],[Maximo]]=0,"",_xlfn.RANK.EQ(dHdcp[[#This Row],[Handicap]],dHdcp[Handicap],1))</f>
        <v/>
      </c>
      <c r="K1222" t="str">
        <f>IFERROR(+_xlfn.RANK.EQ(dHdcp[[#This Row],[Ranking]],dHdcp[Ranking],1),"")</f>
        <v/>
      </c>
      <c r="M1222" t="str">
        <f>+dHdcp[[#This Row],[Fecha]]&amp;":"&amp;dHdcp[[#This Row],[Nombre]]</f>
        <v>44732:Jesus Touceda</v>
      </c>
      <c r="N1222">
        <f>+COUNTIF(dHdcp[Columna1],dHdcp[[#This Row],[Columna1]])</f>
        <v>1</v>
      </c>
    </row>
    <row r="1223" spans="1:14">
      <c r="A1223" s="2">
        <v>44732</v>
      </c>
      <c r="B1223" t="s">
        <v>18</v>
      </c>
      <c r="C1223" s="51">
        <v>7.3</v>
      </c>
      <c r="D1223">
        <f>+VLOOKUP(dHdcp[[#This Row],[Handicap]],'Categoría Hdcap'!$B$2:$E$7,4)</f>
        <v>2</v>
      </c>
      <c r="E1223" t="s">
        <v>74</v>
      </c>
      <c r="F1223" t="s">
        <v>1689</v>
      </c>
      <c r="G1223">
        <f>+IF(dHdcp[[#This Row],[Fecha]]=MAX(dHdcp[Fecha]),1,0)</f>
        <v>0</v>
      </c>
      <c r="H1223" t="str">
        <f>+dHdcp[[#This Row],[Maximo]]&amp;":"&amp;dHdcp[[#This Row],[Nombre]]</f>
        <v>0:José Pablo Guil</v>
      </c>
      <c r="I1223" t="str">
        <f>+dHdcp[[#This Row],[Maximo]]&amp;":"&amp;_xlfn.XLOOKUP(dHdcp[[#This Row],[Nombre]],dJugador[Nombre],dJugador[Mote],"",0)</f>
        <v>0:JP</v>
      </c>
      <c r="J1223" t="str">
        <f>+IF(dHdcp[[#This Row],[Maximo]]=0,"",_xlfn.RANK.EQ(dHdcp[[#This Row],[Handicap]],dHdcp[Handicap],1))</f>
        <v/>
      </c>
      <c r="K1223" t="str">
        <f>IFERROR(+_xlfn.RANK.EQ(dHdcp[[#This Row],[Ranking]],dHdcp[Ranking],1),"")</f>
        <v/>
      </c>
      <c r="M1223" t="str">
        <f>+dHdcp[[#This Row],[Fecha]]&amp;":"&amp;dHdcp[[#This Row],[Nombre]]</f>
        <v>44732:José Pablo Guil</v>
      </c>
      <c r="N1223">
        <f>+COUNTIF(dHdcp[Columna1],dHdcp[[#This Row],[Columna1]])</f>
        <v>1</v>
      </c>
    </row>
    <row r="1224" spans="1:14">
      <c r="A1224" s="2">
        <v>44732</v>
      </c>
      <c r="B1224" t="s">
        <v>43</v>
      </c>
      <c r="C1224" s="51">
        <v>18.5</v>
      </c>
      <c r="D1224">
        <f>+VLOOKUP(dHdcp[[#This Row],[Handicap]],'Categoría Hdcap'!$B$2:$E$7,4)</f>
        <v>4</v>
      </c>
      <c r="E1224" t="s">
        <v>74</v>
      </c>
      <c r="F1224" t="s">
        <v>1690</v>
      </c>
      <c r="G1224">
        <f>+IF(dHdcp[[#This Row],[Fecha]]=MAX(dHdcp[Fecha]),1,0)</f>
        <v>0</v>
      </c>
      <c r="H1224" t="str">
        <f>+dHdcp[[#This Row],[Maximo]]&amp;":"&amp;dHdcp[[#This Row],[Nombre]]</f>
        <v>0:Luis Escudero</v>
      </c>
      <c r="I1224" t="str">
        <f>+dHdcp[[#This Row],[Maximo]]&amp;":"&amp;_xlfn.XLOOKUP(dHdcp[[#This Row],[Nombre]],dJugador[Nombre],dJugador[Mote],"",0)</f>
        <v>0:Lucho</v>
      </c>
      <c r="J1224" t="str">
        <f>+IF(dHdcp[[#This Row],[Maximo]]=0,"",_xlfn.RANK.EQ(dHdcp[[#This Row],[Handicap]],dHdcp[Handicap],1))</f>
        <v/>
      </c>
      <c r="K1224" t="str">
        <f>IFERROR(+_xlfn.RANK.EQ(dHdcp[[#This Row],[Ranking]],dHdcp[Ranking],1),"")</f>
        <v/>
      </c>
      <c r="M1224" t="str">
        <f>+dHdcp[[#This Row],[Fecha]]&amp;":"&amp;dHdcp[[#This Row],[Nombre]]</f>
        <v>44732:Luis Escudero</v>
      </c>
      <c r="N1224">
        <f>+COUNTIF(dHdcp[Columna1],dHdcp[[#This Row],[Columna1]])</f>
        <v>1</v>
      </c>
    </row>
    <row r="1225" spans="1:14">
      <c r="A1225" s="2">
        <v>44732</v>
      </c>
      <c r="B1225" s="10" t="s">
        <v>135</v>
      </c>
      <c r="C1225" s="53">
        <v>23.5</v>
      </c>
      <c r="D1225" s="10">
        <f>+VLOOKUP(dHdcp[[#This Row],[Handicap]],'Categoría Hdcap'!$B$2:$E$7,4)</f>
        <v>4</v>
      </c>
      <c r="E1225" s="10" t="s">
        <v>74</v>
      </c>
      <c r="F1225" s="10" t="s">
        <v>1691</v>
      </c>
      <c r="G1225">
        <f>+IF(dHdcp[[#This Row],[Fecha]]=MAX(dHdcp[Fecha]),1,0)</f>
        <v>0</v>
      </c>
      <c r="H1225" t="str">
        <f>+dHdcp[[#This Row],[Maximo]]&amp;":"&amp;dHdcp[[#This Row],[Nombre]]</f>
        <v>0:Miche Lopez</v>
      </c>
      <c r="I1225" t="str">
        <f>+dHdcp[[#This Row],[Maximo]]&amp;":"&amp;_xlfn.XLOOKUP(dHdcp[[#This Row],[Nombre]],dJugador[Nombre],dJugador[Mote],"",0)</f>
        <v>0:Miche</v>
      </c>
      <c r="J1225" t="str">
        <f>+IF(dHdcp[[#This Row],[Maximo]]=0,"",_xlfn.RANK.EQ(dHdcp[[#This Row],[Handicap]],dHdcp[Handicap],1))</f>
        <v/>
      </c>
      <c r="K1225" t="str">
        <f>IFERROR(+_xlfn.RANK.EQ(dHdcp[[#This Row],[Ranking]],dHdcp[Ranking],1),"")</f>
        <v/>
      </c>
      <c r="M1225" t="str">
        <f>+dHdcp[[#This Row],[Fecha]]&amp;":"&amp;dHdcp[[#This Row],[Nombre]]</f>
        <v>44732:Miche Lopez</v>
      </c>
      <c r="N1225">
        <f>+COUNTIF(dHdcp[Columna1],dHdcp[[#This Row],[Columna1]])</f>
        <v>1</v>
      </c>
    </row>
    <row r="1226" spans="1:14">
      <c r="A1226" s="2">
        <v>44732</v>
      </c>
      <c r="B1226" t="s">
        <v>51</v>
      </c>
      <c r="C1226" s="51">
        <v>1.7</v>
      </c>
      <c r="D1226">
        <f>+VLOOKUP(dHdcp[[#This Row],[Handicap]],'Categoría Hdcap'!$B$2:$E$7,4)</f>
        <v>1</v>
      </c>
      <c r="E1226" t="s">
        <v>74</v>
      </c>
      <c r="F1226" t="s">
        <v>1692</v>
      </c>
      <c r="G1226">
        <f>+IF(dHdcp[[#This Row],[Fecha]]=MAX(dHdcp[Fecha]),1,0)</f>
        <v>0</v>
      </c>
      <c r="H1226" t="str">
        <f>+dHdcp[[#This Row],[Maximo]]&amp;":"&amp;dHdcp[[#This Row],[Nombre]]</f>
        <v>0:Miguel Diaz Del Moral</v>
      </c>
      <c r="I1226" t="str">
        <f>+dHdcp[[#This Row],[Maximo]]&amp;":"&amp;_xlfn.XLOOKUP(dHdcp[[#This Row],[Nombre]],dJugador[Nombre],dJugador[Mote],"",0)</f>
        <v>0:Cañita</v>
      </c>
      <c r="J1226" t="str">
        <f>+IF(dHdcp[[#This Row],[Maximo]]=0,"",_xlfn.RANK.EQ(dHdcp[[#This Row],[Handicap]],dHdcp[Handicap],1))</f>
        <v/>
      </c>
      <c r="K1226" t="str">
        <f>IFERROR(+_xlfn.RANK.EQ(dHdcp[[#This Row],[Ranking]],dHdcp[Ranking],1),"")</f>
        <v/>
      </c>
      <c r="M1226" t="str">
        <f>+dHdcp[[#This Row],[Fecha]]&amp;":"&amp;dHdcp[[#This Row],[Nombre]]</f>
        <v>44732:Miguel Diaz Del Moral</v>
      </c>
      <c r="N1226">
        <f>+COUNTIF(dHdcp[Columna1],dHdcp[[#This Row],[Columna1]])</f>
        <v>1</v>
      </c>
    </row>
    <row r="1227" spans="1:14">
      <c r="A1227" s="2">
        <v>44732</v>
      </c>
      <c r="B1227" t="s">
        <v>205</v>
      </c>
      <c r="C1227" s="51">
        <v>7.3</v>
      </c>
      <c r="D1227">
        <f>+VLOOKUP(dHdcp[[#This Row],[Handicap]],'Categoría Hdcap'!$B$2:$E$7,4)</f>
        <v>2</v>
      </c>
      <c r="E1227" t="s">
        <v>74</v>
      </c>
      <c r="F1227" t="s">
        <v>1693</v>
      </c>
      <c r="G1227">
        <f>+IF(dHdcp[[#This Row],[Fecha]]=MAX(dHdcp[Fecha]),1,0)</f>
        <v>0</v>
      </c>
      <c r="H1227" t="str">
        <f>+dHdcp[[#This Row],[Maximo]]&amp;":"&amp;dHdcp[[#This Row],[Nombre]]</f>
        <v>0:Nacho Casas</v>
      </c>
      <c r="I1227" t="str">
        <f>+dHdcp[[#This Row],[Maximo]]&amp;":"&amp;_xlfn.XLOOKUP(dHdcp[[#This Row],[Nombre]],dJugador[Nombre],dJugador[Mote],"",0)</f>
        <v>0:Nachete</v>
      </c>
      <c r="J1227" t="str">
        <f>+IF(dHdcp[[#This Row],[Maximo]]=0,"",_xlfn.RANK.EQ(dHdcp[[#This Row],[Handicap]],dHdcp[Handicap],1))</f>
        <v/>
      </c>
      <c r="K1227" t="str">
        <f>IFERROR(+_xlfn.RANK.EQ(dHdcp[[#This Row],[Ranking]],dHdcp[Ranking],1),"")</f>
        <v/>
      </c>
      <c r="M1227" t="str">
        <f>+dHdcp[[#This Row],[Fecha]]&amp;":"&amp;dHdcp[[#This Row],[Nombre]]</f>
        <v>44732:Nacho Casas</v>
      </c>
      <c r="N1227">
        <f>+COUNTIF(dHdcp[Columna1],dHdcp[[#This Row],[Columna1]])</f>
        <v>1</v>
      </c>
    </row>
    <row r="1228" spans="1:14">
      <c r="A1228" s="2">
        <v>44732</v>
      </c>
      <c r="B1228" t="s">
        <v>3</v>
      </c>
      <c r="C1228" s="51">
        <v>6.6</v>
      </c>
      <c r="D1228">
        <f>+VLOOKUP(dHdcp[[#This Row],[Handicap]],'Categoría Hdcap'!$B$2:$E$7,4)</f>
        <v>2</v>
      </c>
      <c r="E1228" t="s">
        <v>74</v>
      </c>
      <c r="F1228" t="s">
        <v>1694</v>
      </c>
      <c r="G1228">
        <f>+IF(dHdcp[[#This Row],[Fecha]]=MAX(dHdcp[Fecha]),1,0)</f>
        <v>0</v>
      </c>
      <c r="H1228" t="str">
        <f>+dHdcp[[#This Row],[Maximo]]&amp;":"&amp;dHdcp[[#This Row],[Nombre]]</f>
        <v>0:Nacho Gonzalez</v>
      </c>
      <c r="I1228" t="str">
        <f>+dHdcp[[#This Row],[Maximo]]&amp;":"&amp;_xlfn.XLOOKUP(dHdcp[[#This Row],[Nombre]],dJugador[Nombre],dJugador[Mote],"",0)</f>
        <v>0:Nacho</v>
      </c>
      <c r="J1228" t="str">
        <f>+IF(dHdcp[[#This Row],[Maximo]]=0,"",_xlfn.RANK.EQ(dHdcp[[#This Row],[Handicap]],dHdcp[Handicap],1))</f>
        <v/>
      </c>
      <c r="K1228" t="str">
        <f>IFERROR(+_xlfn.RANK.EQ(dHdcp[[#This Row],[Ranking]],dHdcp[Ranking],1),"")</f>
        <v/>
      </c>
      <c r="M1228" t="str">
        <f>+dHdcp[[#This Row],[Fecha]]&amp;":"&amp;dHdcp[[#This Row],[Nombre]]</f>
        <v>44732:Nacho Gonzalez</v>
      </c>
      <c r="N1228">
        <f>+COUNTIF(dHdcp[Columna1],dHdcp[[#This Row],[Columna1]])</f>
        <v>1</v>
      </c>
    </row>
    <row r="1229" spans="1:14">
      <c r="A1229" s="2">
        <v>44732</v>
      </c>
      <c r="B1229" t="s">
        <v>28</v>
      </c>
      <c r="C1229" s="51">
        <v>13.7</v>
      </c>
      <c r="D1229">
        <f>+VLOOKUP(dHdcp[[#This Row],[Handicap]],'Categoría Hdcap'!$B$2:$E$7,4)</f>
        <v>3</v>
      </c>
      <c r="E1229" t="s">
        <v>74</v>
      </c>
      <c r="F1229" t="s">
        <v>1695</v>
      </c>
      <c r="G1229">
        <f>+IF(dHdcp[[#This Row],[Fecha]]=MAX(dHdcp[Fecha]),1,0)</f>
        <v>0</v>
      </c>
      <c r="H1229" t="str">
        <f>+dHdcp[[#This Row],[Maximo]]&amp;":"&amp;dHdcp[[#This Row],[Nombre]]</f>
        <v>0:Pablo Munitiz</v>
      </c>
      <c r="I1229" t="str">
        <f>+dHdcp[[#This Row],[Maximo]]&amp;":"&amp;_xlfn.XLOOKUP(dHdcp[[#This Row],[Nombre]],dJugador[Nombre],dJugador[Mote],"",0)</f>
        <v>0:Muni</v>
      </c>
      <c r="J1229" t="str">
        <f>+IF(dHdcp[[#This Row],[Maximo]]=0,"",_xlfn.RANK.EQ(dHdcp[[#This Row],[Handicap]],dHdcp[Handicap],1))</f>
        <v/>
      </c>
      <c r="K1229" t="str">
        <f>IFERROR(+_xlfn.RANK.EQ(dHdcp[[#This Row],[Ranking]],dHdcp[Ranking],1),"")</f>
        <v/>
      </c>
      <c r="M1229" t="str">
        <f>+dHdcp[[#This Row],[Fecha]]&amp;":"&amp;dHdcp[[#This Row],[Nombre]]</f>
        <v>44732:Pablo Munitiz</v>
      </c>
      <c r="N1229">
        <f>+COUNTIF(dHdcp[Columna1],dHdcp[[#This Row],[Columna1]])</f>
        <v>1</v>
      </c>
    </row>
    <row r="1230" spans="1:14">
      <c r="A1230" s="2">
        <v>44732</v>
      </c>
      <c r="B1230" t="s">
        <v>203</v>
      </c>
      <c r="C1230" s="51">
        <v>17.600000000000001</v>
      </c>
      <c r="D1230">
        <f>+VLOOKUP(dHdcp[[#This Row],[Handicap]],'Categoría Hdcap'!$B$2:$E$7,4)</f>
        <v>3</v>
      </c>
      <c r="E1230" t="s">
        <v>74</v>
      </c>
      <c r="F1230" t="s">
        <v>1696</v>
      </c>
      <c r="G1230">
        <f>+IF(dHdcp[[#This Row],[Fecha]]=MAX(dHdcp[Fecha]),1,0)</f>
        <v>0</v>
      </c>
      <c r="H1230" t="str">
        <f>+dHdcp[[#This Row],[Maximo]]&amp;":"&amp;dHdcp[[#This Row],[Nombre]]</f>
        <v>0:Ruslan Kochman</v>
      </c>
      <c r="I1230" t="str">
        <f>+dHdcp[[#This Row],[Maximo]]&amp;":"&amp;_xlfn.XLOOKUP(dHdcp[[#This Row],[Nombre]],dJugador[Nombre],dJugador[Mote],"",0)</f>
        <v>0:Rus</v>
      </c>
      <c r="J1230" t="str">
        <f>+IF(dHdcp[[#This Row],[Maximo]]=0,"",_xlfn.RANK.EQ(dHdcp[[#This Row],[Handicap]],dHdcp[Handicap],1))</f>
        <v/>
      </c>
      <c r="K1230" t="str">
        <f>IFERROR(+_xlfn.RANK.EQ(dHdcp[[#This Row],[Ranking]],dHdcp[Ranking],1),"")</f>
        <v/>
      </c>
      <c r="M1230" t="str">
        <f>+dHdcp[[#This Row],[Fecha]]&amp;":"&amp;dHdcp[[#This Row],[Nombre]]</f>
        <v>44732:Ruslan Kochman</v>
      </c>
      <c r="N1230">
        <f>+COUNTIF(dHdcp[Columna1],dHdcp[[#This Row],[Columna1]])</f>
        <v>1</v>
      </c>
    </row>
    <row r="1231" spans="1:14">
      <c r="A1231" s="2">
        <v>44751</v>
      </c>
      <c r="B1231" t="s">
        <v>259</v>
      </c>
      <c r="C1231" s="51">
        <v>3.5</v>
      </c>
      <c r="D1231">
        <f>+VLOOKUP(dHdcp[[#This Row],[Handicap]],'Categoría Hdcap'!$B$2:$E$7,4)</f>
        <v>1</v>
      </c>
      <c r="E1231" t="s">
        <v>74</v>
      </c>
      <c r="F1231" t="s">
        <v>1697</v>
      </c>
      <c r="G1231">
        <f>+IF(dHdcp[[#This Row],[Fecha]]=MAX(dHdcp[Fecha]),1,0)</f>
        <v>0</v>
      </c>
      <c r="H1231" t="str">
        <f>+dHdcp[[#This Row],[Maximo]]&amp;":"&amp;dHdcp[[#This Row],[Nombre]]</f>
        <v>0:Alejandro Arcos</v>
      </c>
      <c r="I1231" t="str">
        <f>+dHdcp[[#This Row],[Maximo]]&amp;":"&amp;_xlfn.XLOOKUP(dHdcp[[#This Row],[Nombre]],dJugador[Nombre],dJugador[Mote],"",0)</f>
        <v>0:Alex</v>
      </c>
      <c r="J1231" t="str">
        <f>+IF(dHdcp[[#This Row],[Maximo]]=0,"",_xlfn.RANK.EQ(dHdcp[[#This Row],[Handicap]],dHdcp[Handicap],1))</f>
        <v/>
      </c>
      <c r="K1231" t="str">
        <f>IFERROR(+_xlfn.RANK.EQ(dHdcp[[#This Row],[Ranking]],dHdcp[Ranking],1),"")</f>
        <v/>
      </c>
      <c r="M1231" t="str">
        <f>+dHdcp[[#This Row],[Fecha]]&amp;":"&amp;dHdcp[[#This Row],[Nombre]]</f>
        <v>44751:Alejandro Arcos</v>
      </c>
      <c r="N1231">
        <f>+COUNTIF(dHdcp[Columna1],dHdcp[[#This Row],[Columna1]])</f>
        <v>1</v>
      </c>
    </row>
    <row r="1232" spans="1:14">
      <c r="A1232" s="2">
        <v>44751</v>
      </c>
      <c r="B1232" t="s">
        <v>9</v>
      </c>
      <c r="C1232" s="51">
        <v>10.4</v>
      </c>
      <c r="D1232">
        <f>+VLOOKUP(dHdcp[[#This Row],[Handicap]],'Categoría Hdcap'!$B$2:$E$7,4)</f>
        <v>2</v>
      </c>
      <c r="E1232" t="s">
        <v>74</v>
      </c>
      <c r="F1232" t="s">
        <v>1698</v>
      </c>
      <c r="G1232">
        <f>+IF(dHdcp[[#This Row],[Fecha]]=MAX(dHdcp[Fecha]),1,0)</f>
        <v>0</v>
      </c>
      <c r="H1232" t="str">
        <f>+dHdcp[[#This Row],[Maximo]]&amp;":"&amp;dHdcp[[#This Row],[Nombre]]</f>
        <v>0:Alfonso Hidalgo</v>
      </c>
      <c r="I1232" t="str">
        <f>+dHdcp[[#This Row],[Maximo]]&amp;":"&amp;_xlfn.XLOOKUP(dHdcp[[#This Row],[Nombre]],dJugador[Nombre],dJugador[Mote],"",0)</f>
        <v>0:Alfonso</v>
      </c>
      <c r="J1232" t="str">
        <f>+IF(dHdcp[[#This Row],[Maximo]]=0,"",_xlfn.RANK.EQ(dHdcp[[#This Row],[Handicap]],dHdcp[Handicap],1))</f>
        <v/>
      </c>
      <c r="K1232" t="str">
        <f>IFERROR(+_xlfn.RANK.EQ(dHdcp[[#This Row],[Ranking]],dHdcp[Ranking],1),"")</f>
        <v/>
      </c>
      <c r="M1232" t="str">
        <f>+dHdcp[[#This Row],[Fecha]]&amp;":"&amp;dHdcp[[#This Row],[Nombre]]</f>
        <v>44751:Alfonso Hidalgo</v>
      </c>
      <c r="N1232">
        <f>+COUNTIF(dHdcp[Columna1],dHdcp[[#This Row],[Columna1]])</f>
        <v>1</v>
      </c>
    </row>
    <row r="1233" spans="1:14">
      <c r="A1233" s="2">
        <v>44751</v>
      </c>
      <c r="B1233" t="s">
        <v>229</v>
      </c>
      <c r="C1233" s="51">
        <v>13.6</v>
      </c>
      <c r="D1233">
        <f>+VLOOKUP(dHdcp[[#This Row],[Handicap]],'Categoría Hdcap'!$B$2:$E$7,4)</f>
        <v>3</v>
      </c>
      <c r="E1233" t="s">
        <v>74</v>
      </c>
      <c r="F1233" t="s">
        <v>1699</v>
      </c>
      <c r="G1233">
        <f>+IF(dHdcp[[#This Row],[Fecha]]=MAX(dHdcp[Fecha]),1,0)</f>
        <v>0</v>
      </c>
      <c r="H1233" t="str">
        <f>+dHdcp[[#This Row],[Maximo]]&amp;":"&amp;dHdcp[[#This Row],[Nombre]]</f>
        <v>0:Alfonso Zorrilla</v>
      </c>
      <c r="I1233" t="str">
        <f>+dHdcp[[#This Row],[Maximo]]&amp;":"&amp;_xlfn.XLOOKUP(dHdcp[[#This Row],[Nombre]],dJugador[Nombre],dJugador[Mote],"",0)</f>
        <v>0:A Zorrilla</v>
      </c>
      <c r="J1233" t="str">
        <f>+IF(dHdcp[[#This Row],[Maximo]]=0,"",_xlfn.RANK.EQ(dHdcp[[#This Row],[Handicap]],dHdcp[Handicap],1))</f>
        <v/>
      </c>
      <c r="K1233" t="str">
        <f>IFERROR(+_xlfn.RANK.EQ(dHdcp[[#This Row],[Ranking]],dHdcp[Ranking],1),"")</f>
        <v/>
      </c>
      <c r="M1233" t="str">
        <f>+dHdcp[[#This Row],[Fecha]]&amp;":"&amp;dHdcp[[#This Row],[Nombre]]</f>
        <v>44751:Alfonso Zorrilla</v>
      </c>
      <c r="N1233">
        <f>+COUNTIF(dHdcp[Columna1],dHdcp[[#This Row],[Columna1]])</f>
        <v>1</v>
      </c>
    </row>
    <row r="1234" spans="1:14">
      <c r="A1234" s="2">
        <v>44751</v>
      </c>
      <c r="B1234" s="13" t="s">
        <v>15</v>
      </c>
      <c r="C1234" s="51">
        <v>7.2</v>
      </c>
      <c r="D1234">
        <f>+VLOOKUP(dHdcp[[#This Row],[Handicap]],'Categoría Hdcap'!$B$2:$E$7,4)</f>
        <v>2</v>
      </c>
      <c r="E1234" t="s">
        <v>74</v>
      </c>
      <c r="F1234" t="s">
        <v>1700</v>
      </c>
      <c r="G1234">
        <f>+IF(dHdcp[[#This Row],[Fecha]]=MAX(dHdcp[Fecha]),1,0)</f>
        <v>0</v>
      </c>
      <c r="H1234" t="str">
        <f>+dHdcp[[#This Row],[Maximo]]&amp;":"&amp;dHdcp[[#This Row],[Nombre]]</f>
        <v>0:Alvaro Aguirre</v>
      </c>
      <c r="I1234" t="str">
        <f>+dHdcp[[#This Row],[Maximo]]&amp;":"&amp;_xlfn.XLOOKUP(dHdcp[[#This Row],[Nombre]],dJugador[Nombre],dJugador[Mote],"",0)</f>
        <v>0:Gifu</v>
      </c>
      <c r="J1234" t="str">
        <f>+IF(dHdcp[[#This Row],[Maximo]]=0,"",_xlfn.RANK.EQ(dHdcp[[#This Row],[Handicap]],dHdcp[Handicap],1))</f>
        <v/>
      </c>
      <c r="K1234" t="str">
        <f>IFERROR(+_xlfn.RANK.EQ(dHdcp[[#This Row],[Ranking]],dHdcp[Ranking],1),"")</f>
        <v/>
      </c>
      <c r="M1234" t="str">
        <f>+dHdcp[[#This Row],[Fecha]]&amp;":"&amp;dHdcp[[#This Row],[Nombre]]</f>
        <v>44751:Alvaro Aguirre</v>
      </c>
      <c r="N1234">
        <f>+COUNTIF(dHdcp[Columna1],dHdcp[[#This Row],[Columna1]])</f>
        <v>1</v>
      </c>
    </row>
    <row r="1235" spans="1:14">
      <c r="A1235" s="2">
        <v>44751</v>
      </c>
      <c r="B1235" t="s">
        <v>201</v>
      </c>
      <c r="C1235" s="51">
        <v>7.7</v>
      </c>
      <c r="D1235">
        <f>+VLOOKUP(dHdcp[[#This Row],[Handicap]],'Categoría Hdcap'!$B$2:$E$7,4)</f>
        <v>2</v>
      </c>
      <c r="E1235" t="s">
        <v>74</v>
      </c>
      <c r="F1235" t="s">
        <v>1701</v>
      </c>
      <c r="G1235">
        <f>+IF(dHdcp[[#This Row],[Fecha]]=MAX(dHdcp[Fecha]),1,0)</f>
        <v>0</v>
      </c>
      <c r="H1235" t="str">
        <f>+dHdcp[[#This Row],[Maximo]]&amp;":"&amp;dHdcp[[#This Row],[Nombre]]</f>
        <v>0:Alvaro Montoya</v>
      </c>
      <c r="I1235" t="str">
        <f>+dHdcp[[#This Row],[Maximo]]&amp;":"&amp;_xlfn.XLOOKUP(dHdcp[[#This Row],[Nombre]],dJugador[Nombre],dJugador[Mote],"",0)</f>
        <v>0:Monti</v>
      </c>
      <c r="J1235" t="str">
        <f>+IF(dHdcp[[#This Row],[Maximo]]=0,"",_xlfn.RANK.EQ(dHdcp[[#This Row],[Handicap]],dHdcp[Handicap],1))</f>
        <v/>
      </c>
      <c r="K1235" t="str">
        <f>IFERROR(+_xlfn.RANK.EQ(dHdcp[[#This Row],[Ranking]],dHdcp[Ranking],1),"")</f>
        <v/>
      </c>
      <c r="M1235" t="str">
        <f>+dHdcp[[#This Row],[Fecha]]&amp;":"&amp;dHdcp[[#This Row],[Nombre]]</f>
        <v>44751:Alvaro Montoya</v>
      </c>
      <c r="N1235">
        <f>+COUNTIF(dHdcp[Columna1],dHdcp[[#This Row],[Columna1]])</f>
        <v>1</v>
      </c>
    </row>
    <row r="1236" spans="1:14">
      <c r="A1236" s="2">
        <v>44751</v>
      </c>
      <c r="B1236" t="s">
        <v>25</v>
      </c>
      <c r="C1236" s="51">
        <v>12.6</v>
      </c>
      <c r="D1236">
        <f>+VLOOKUP(dHdcp[[#This Row],[Handicap]],'Categoría Hdcap'!$B$2:$E$7,4)</f>
        <v>3</v>
      </c>
      <c r="E1236" t="s">
        <v>74</v>
      </c>
      <c r="F1236" t="s">
        <v>1702</v>
      </c>
      <c r="G1236">
        <f>+IF(dHdcp[[#This Row],[Fecha]]=MAX(dHdcp[Fecha]),1,0)</f>
        <v>0</v>
      </c>
      <c r="H1236" t="str">
        <f>+dHdcp[[#This Row],[Maximo]]&amp;":"&amp;dHdcp[[#This Row],[Nombre]]</f>
        <v>0:Alvaro Nieto</v>
      </c>
      <c r="I1236" t="str">
        <f>+dHdcp[[#This Row],[Maximo]]&amp;":"&amp;_xlfn.XLOOKUP(dHdcp[[#This Row],[Nombre]],dJugador[Nombre],dJugador[Mote],"",0)</f>
        <v>0:Alvaro</v>
      </c>
      <c r="J1236" t="str">
        <f>+IF(dHdcp[[#This Row],[Maximo]]=0,"",_xlfn.RANK.EQ(dHdcp[[#This Row],[Handicap]],dHdcp[Handicap],1))</f>
        <v/>
      </c>
      <c r="K1236" t="str">
        <f>IFERROR(+_xlfn.RANK.EQ(dHdcp[[#This Row],[Ranking]],dHdcp[Ranking],1),"")</f>
        <v/>
      </c>
      <c r="M1236" t="str">
        <f>+dHdcp[[#This Row],[Fecha]]&amp;":"&amp;dHdcp[[#This Row],[Nombre]]</f>
        <v>44751:Alvaro Nieto</v>
      </c>
      <c r="N1236">
        <f>+COUNTIF(dHdcp[Columna1],dHdcp[[#This Row],[Columna1]])</f>
        <v>1</v>
      </c>
    </row>
    <row r="1237" spans="1:14">
      <c r="A1237" s="2">
        <v>44751</v>
      </c>
      <c r="B1237" t="s">
        <v>33</v>
      </c>
      <c r="C1237" s="51">
        <v>7.2</v>
      </c>
      <c r="D1237">
        <f>+VLOOKUP(dHdcp[[#This Row],[Handicap]],'Categoría Hdcap'!$B$2:$E$7,4)</f>
        <v>2</v>
      </c>
      <c r="E1237" t="s">
        <v>74</v>
      </c>
      <c r="F1237" t="s">
        <v>1703</v>
      </c>
      <c r="G1237">
        <f>+IF(dHdcp[[#This Row],[Fecha]]=MAX(dHdcp[Fecha]),1,0)</f>
        <v>0</v>
      </c>
      <c r="H1237" t="str">
        <f>+dHdcp[[#This Row],[Maximo]]&amp;":"&amp;dHdcp[[#This Row],[Nombre]]</f>
        <v>0:Angel Hernandez</v>
      </c>
      <c r="I1237" t="str">
        <f>+dHdcp[[#This Row],[Maximo]]&amp;":"&amp;_xlfn.XLOOKUP(dHdcp[[#This Row],[Nombre]],dJugador[Nombre],dJugador[Mote],"",0)</f>
        <v>0:Angel</v>
      </c>
      <c r="J1237" t="str">
        <f>+IF(dHdcp[[#This Row],[Maximo]]=0,"",_xlfn.RANK.EQ(dHdcp[[#This Row],[Handicap]],dHdcp[Handicap],1))</f>
        <v/>
      </c>
      <c r="K1237" t="str">
        <f>IFERROR(+_xlfn.RANK.EQ(dHdcp[[#This Row],[Ranking]],dHdcp[Ranking],1),"")</f>
        <v/>
      </c>
      <c r="M1237" t="str">
        <f>+dHdcp[[#This Row],[Fecha]]&amp;":"&amp;dHdcp[[#This Row],[Nombre]]</f>
        <v>44751:Angel Hernandez</v>
      </c>
      <c r="N1237">
        <f>+COUNTIF(dHdcp[Columna1],dHdcp[[#This Row],[Columna1]])</f>
        <v>1</v>
      </c>
    </row>
    <row r="1238" spans="1:14">
      <c r="A1238" s="2">
        <v>44751</v>
      </c>
      <c r="B1238" t="s">
        <v>264</v>
      </c>
      <c r="C1238" s="51">
        <v>18.899999999999999</v>
      </c>
      <c r="D1238">
        <f>+VLOOKUP(dHdcp[[#This Row],[Handicap]],'Categoría Hdcap'!$B$2:$E$7,4)</f>
        <v>4</v>
      </c>
      <c r="E1238" t="s">
        <v>74</v>
      </c>
      <c r="F1238" t="s">
        <v>1704</v>
      </c>
      <c r="G1238">
        <f>+IF(dHdcp[[#This Row],[Fecha]]=MAX(dHdcp[Fecha]),1,0)</f>
        <v>0</v>
      </c>
      <c r="H1238" t="str">
        <f>+dHdcp[[#This Row],[Maximo]]&amp;":"&amp;dHdcp[[#This Row],[Nombre]]</f>
        <v>0:Antonio Carmona</v>
      </c>
      <c r="I1238" t="str">
        <f>+dHdcp[[#This Row],[Maximo]]&amp;":"&amp;_xlfn.XLOOKUP(dHdcp[[#This Row],[Nombre]],dJugador[Nombre],dJugador[Mote],"",0)</f>
        <v>0:Antonio</v>
      </c>
      <c r="J1238" t="str">
        <f>+IF(dHdcp[[#This Row],[Maximo]]=0,"",_xlfn.RANK.EQ(dHdcp[[#This Row],[Handicap]],dHdcp[Handicap],1))</f>
        <v/>
      </c>
      <c r="K1238" t="str">
        <f>IFERROR(+_xlfn.RANK.EQ(dHdcp[[#This Row],[Ranking]],dHdcp[Ranking],1),"")</f>
        <v/>
      </c>
      <c r="M1238" t="str">
        <f>+dHdcp[[#This Row],[Fecha]]&amp;":"&amp;dHdcp[[#This Row],[Nombre]]</f>
        <v>44751:Antonio Carmona</v>
      </c>
      <c r="N1238">
        <f>+COUNTIF(dHdcp[Columna1],dHdcp[[#This Row],[Columna1]])</f>
        <v>1</v>
      </c>
    </row>
    <row r="1239" spans="1:14">
      <c r="A1239" s="2">
        <v>44751</v>
      </c>
      <c r="B1239" t="s">
        <v>30</v>
      </c>
      <c r="C1239" s="51">
        <v>11.1</v>
      </c>
      <c r="D1239">
        <f>+VLOOKUP(dHdcp[[#This Row],[Handicap]],'Categoría Hdcap'!$B$2:$E$7,4)</f>
        <v>2</v>
      </c>
      <c r="E1239" t="s">
        <v>74</v>
      </c>
      <c r="F1239" t="s">
        <v>1705</v>
      </c>
      <c r="G1239">
        <f>+IF(dHdcp[[#This Row],[Fecha]]=MAX(dHdcp[Fecha]),1,0)</f>
        <v>0</v>
      </c>
      <c r="H1239" t="str">
        <f>+dHdcp[[#This Row],[Maximo]]&amp;":"&amp;dHdcp[[#This Row],[Nombre]]</f>
        <v>0:David Sequera</v>
      </c>
      <c r="I1239" t="str">
        <f>+dHdcp[[#This Row],[Maximo]]&amp;":"&amp;_xlfn.XLOOKUP(dHdcp[[#This Row],[Nombre]],dJugador[Nombre],dJugador[Mote],"",0)</f>
        <v>0:David</v>
      </c>
      <c r="J1239" t="str">
        <f>+IF(dHdcp[[#This Row],[Maximo]]=0,"",_xlfn.RANK.EQ(dHdcp[[#This Row],[Handicap]],dHdcp[Handicap],1))</f>
        <v/>
      </c>
      <c r="K1239" t="str">
        <f>IFERROR(+_xlfn.RANK.EQ(dHdcp[[#This Row],[Ranking]],dHdcp[Ranking],1),"")</f>
        <v/>
      </c>
      <c r="M1239" t="str">
        <f>+dHdcp[[#This Row],[Fecha]]&amp;":"&amp;dHdcp[[#This Row],[Nombre]]</f>
        <v>44751:David Sequera</v>
      </c>
      <c r="N1239">
        <f>+COUNTIF(dHdcp[Columna1],dHdcp[[#This Row],[Columna1]])</f>
        <v>1</v>
      </c>
    </row>
    <row r="1240" spans="1:14">
      <c r="A1240" s="2">
        <v>44751</v>
      </c>
      <c r="B1240" t="s">
        <v>248</v>
      </c>
      <c r="C1240" s="51">
        <v>14.7</v>
      </c>
      <c r="D1240">
        <f>+VLOOKUP(dHdcp[[#This Row],[Handicap]],'Categoría Hdcap'!$B$2:$E$7,4)</f>
        <v>3</v>
      </c>
      <c r="E1240" t="s">
        <v>74</v>
      </c>
      <c r="F1240" t="s">
        <v>1706</v>
      </c>
      <c r="G1240">
        <f>+IF(dHdcp[[#This Row],[Fecha]]=MAX(dHdcp[Fecha]),1,0)</f>
        <v>0</v>
      </c>
      <c r="H1240" t="str">
        <f>+dHdcp[[#This Row],[Maximo]]&amp;":"&amp;dHdcp[[#This Row],[Nombre]]</f>
        <v>0:Enrique Gonzalez R</v>
      </c>
      <c r="I1240" t="str">
        <f>+dHdcp[[#This Row],[Maximo]]&amp;":"&amp;_xlfn.XLOOKUP(dHdcp[[#This Row],[Nombre]],dJugador[Nombre],dJugador[Mote],"",0)</f>
        <v>0:Enrique</v>
      </c>
      <c r="J1240" t="str">
        <f>+IF(dHdcp[[#This Row],[Maximo]]=0,"",_xlfn.RANK.EQ(dHdcp[[#This Row],[Handicap]],dHdcp[Handicap],1))</f>
        <v/>
      </c>
      <c r="K1240" t="str">
        <f>IFERROR(+_xlfn.RANK.EQ(dHdcp[[#This Row],[Ranking]],dHdcp[Ranking],1),"")</f>
        <v/>
      </c>
      <c r="M1240" t="str">
        <f>+dHdcp[[#This Row],[Fecha]]&amp;":"&amp;dHdcp[[#This Row],[Nombre]]</f>
        <v>44751:Enrique Gonzalez R</v>
      </c>
      <c r="N1240">
        <f>+COUNTIF(dHdcp[Columna1],dHdcp[[#This Row],[Columna1]])</f>
        <v>1</v>
      </c>
    </row>
    <row r="1241" spans="1:14">
      <c r="A1241" s="2">
        <v>44751</v>
      </c>
      <c r="B1241" t="s">
        <v>12</v>
      </c>
      <c r="C1241" s="51">
        <v>15</v>
      </c>
      <c r="D1241">
        <f>+VLOOKUP(dHdcp[[#This Row],[Handicap]],'Categoría Hdcap'!$B$2:$E$7,4)</f>
        <v>3</v>
      </c>
      <c r="E1241" t="s">
        <v>74</v>
      </c>
      <c r="F1241" t="s">
        <v>1707</v>
      </c>
      <c r="G1241">
        <f>+IF(dHdcp[[#This Row],[Fecha]]=MAX(dHdcp[Fecha]),1,0)</f>
        <v>0</v>
      </c>
      <c r="H1241" t="str">
        <f>+dHdcp[[#This Row],[Maximo]]&amp;":"&amp;dHdcp[[#This Row],[Nombre]]</f>
        <v>0:Francisco Alvarez</v>
      </c>
      <c r="I1241" t="str">
        <f>+dHdcp[[#This Row],[Maximo]]&amp;":"&amp;_xlfn.XLOOKUP(dHdcp[[#This Row],[Nombre]],dJugador[Nombre],dJugador[Mote],"",0)</f>
        <v>0:Paco</v>
      </c>
      <c r="J1241" t="str">
        <f>+IF(dHdcp[[#This Row],[Maximo]]=0,"",_xlfn.RANK.EQ(dHdcp[[#This Row],[Handicap]],dHdcp[Handicap],1))</f>
        <v/>
      </c>
      <c r="K1241" t="str">
        <f>IFERROR(+_xlfn.RANK.EQ(dHdcp[[#This Row],[Ranking]],dHdcp[Ranking],1),"")</f>
        <v/>
      </c>
      <c r="M1241" t="str">
        <f>+dHdcp[[#This Row],[Fecha]]&amp;":"&amp;dHdcp[[#This Row],[Nombre]]</f>
        <v>44751:Francisco Alvarez</v>
      </c>
      <c r="N1241">
        <f>+COUNTIF(dHdcp[Columna1],dHdcp[[#This Row],[Columna1]])</f>
        <v>1</v>
      </c>
    </row>
    <row r="1242" spans="1:14">
      <c r="A1242" s="2">
        <v>44751</v>
      </c>
      <c r="B1242" t="s">
        <v>49</v>
      </c>
      <c r="C1242" s="51">
        <v>12.3</v>
      </c>
      <c r="D1242">
        <f>+VLOOKUP(dHdcp[[#This Row],[Handicap]],'Categoría Hdcap'!$B$2:$E$7,4)</f>
        <v>3</v>
      </c>
      <c r="E1242" t="s">
        <v>74</v>
      </c>
      <c r="F1242" t="s">
        <v>1708</v>
      </c>
      <c r="G1242">
        <f>+IF(dHdcp[[#This Row],[Fecha]]=MAX(dHdcp[Fecha]),1,0)</f>
        <v>0</v>
      </c>
      <c r="H1242" t="str">
        <f>+dHdcp[[#This Row],[Maximo]]&amp;":"&amp;dHdcp[[#This Row],[Nombre]]</f>
        <v>0:Francisco Hidalgo</v>
      </c>
      <c r="I1242" t="str">
        <f>+dHdcp[[#This Row],[Maximo]]&amp;":"&amp;_xlfn.XLOOKUP(dHdcp[[#This Row],[Nombre]],dJugador[Nombre],dJugador[Mote],"",0)</f>
        <v>0:Fran</v>
      </c>
      <c r="J1242" t="str">
        <f>+IF(dHdcp[[#This Row],[Maximo]]=0,"",_xlfn.RANK.EQ(dHdcp[[#This Row],[Handicap]],dHdcp[Handicap],1))</f>
        <v/>
      </c>
      <c r="K1242" t="str">
        <f>IFERROR(+_xlfn.RANK.EQ(dHdcp[[#This Row],[Ranking]],dHdcp[Ranking],1),"")</f>
        <v/>
      </c>
      <c r="M1242" t="str">
        <f>+dHdcp[[#This Row],[Fecha]]&amp;":"&amp;dHdcp[[#This Row],[Nombre]]</f>
        <v>44751:Francisco Hidalgo</v>
      </c>
      <c r="N1242">
        <f>+COUNTIF(dHdcp[Columna1],dHdcp[[#This Row],[Columna1]])</f>
        <v>1</v>
      </c>
    </row>
    <row r="1243" spans="1:14">
      <c r="A1243" s="2">
        <v>44751</v>
      </c>
      <c r="B1243" t="s">
        <v>207</v>
      </c>
      <c r="C1243" s="51">
        <v>14.4</v>
      </c>
      <c r="D1243">
        <f>+VLOOKUP(dHdcp[[#This Row],[Handicap]],'Categoría Hdcap'!$B$2:$E$7,4)</f>
        <v>3</v>
      </c>
      <c r="E1243" t="s">
        <v>74</v>
      </c>
      <c r="F1243" t="s">
        <v>1709</v>
      </c>
      <c r="G1243">
        <f>+IF(dHdcp[[#This Row],[Fecha]]=MAX(dHdcp[Fecha]),1,0)</f>
        <v>0</v>
      </c>
      <c r="H1243" t="str">
        <f>+dHdcp[[#This Row],[Maximo]]&amp;":"&amp;dHdcp[[#This Row],[Nombre]]</f>
        <v>0:Franck Benouniche</v>
      </c>
      <c r="I1243" t="str">
        <f>+dHdcp[[#This Row],[Maximo]]&amp;":"&amp;_xlfn.XLOOKUP(dHdcp[[#This Row],[Nombre]],dJugador[Nombre],dJugador[Mote],"",0)</f>
        <v>0:Franck</v>
      </c>
      <c r="J1243" t="str">
        <f>+IF(dHdcp[[#This Row],[Maximo]]=0,"",_xlfn.RANK.EQ(dHdcp[[#This Row],[Handicap]],dHdcp[Handicap],1))</f>
        <v/>
      </c>
      <c r="K1243" t="str">
        <f>IFERROR(+_xlfn.RANK.EQ(dHdcp[[#This Row],[Ranking]],dHdcp[Ranking],1),"")</f>
        <v/>
      </c>
      <c r="M1243" t="str">
        <f>+dHdcp[[#This Row],[Fecha]]&amp;":"&amp;dHdcp[[#This Row],[Nombre]]</f>
        <v>44751:Franck Benouniche</v>
      </c>
      <c r="N1243">
        <f>+COUNTIF(dHdcp[Columna1],dHdcp[[#This Row],[Columna1]])</f>
        <v>1</v>
      </c>
    </row>
    <row r="1244" spans="1:14">
      <c r="A1244" s="2">
        <v>44751</v>
      </c>
      <c r="B1244" t="s">
        <v>35</v>
      </c>
      <c r="C1244" s="51">
        <v>17.8</v>
      </c>
      <c r="D1244">
        <f>+VLOOKUP(dHdcp[[#This Row],[Handicap]],'Categoría Hdcap'!$B$2:$E$7,4)</f>
        <v>3</v>
      </c>
      <c r="E1244" t="s">
        <v>74</v>
      </c>
      <c r="F1244" t="s">
        <v>1710</v>
      </c>
      <c r="G1244">
        <f>+IF(dHdcp[[#This Row],[Fecha]]=MAX(dHdcp[Fecha]),1,0)</f>
        <v>0</v>
      </c>
      <c r="H1244" t="str">
        <f>+dHdcp[[#This Row],[Maximo]]&amp;":"&amp;dHdcp[[#This Row],[Nombre]]</f>
        <v>0:GLEZ JUAN JOSÉ</v>
      </c>
      <c r="I1244" t="str">
        <f>+dHdcp[[#This Row],[Maximo]]&amp;":"&amp;_xlfn.XLOOKUP(dHdcp[[#This Row],[Nombre]],dJugador[Nombre],dJugador[Mote],"",0)</f>
        <v>0:Juanjo</v>
      </c>
      <c r="J1244" t="str">
        <f>+IF(dHdcp[[#This Row],[Maximo]]=0,"",_xlfn.RANK.EQ(dHdcp[[#This Row],[Handicap]],dHdcp[Handicap],1))</f>
        <v/>
      </c>
      <c r="K1244" t="str">
        <f>IFERROR(+_xlfn.RANK.EQ(dHdcp[[#This Row],[Ranking]],dHdcp[Ranking],1),"")</f>
        <v/>
      </c>
      <c r="M1244" t="str">
        <f>+dHdcp[[#This Row],[Fecha]]&amp;":"&amp;dHdcp[[#This Row],[Nombre]]</f>
        <v>44751:GLEZ JUAN JOSÉ</v>
      </c>
      <c r="N1244">
        <f>+COUNTIF(dHdcp[Columna1],dHdcp[[#This Row],[Columna1]])</f>
        <v>1</v>
      </c>
    </row>
    <row r="1245" spans="1:14">
      <c r="A1245" s="2">
        <v>44751</v>
      </c>
      <c r="B1245" t="s">
        <v>6</v>
      </c>
      <c r="C1245" s="51">
        <v>8</v>
      </c>
      <c r="D1245">
        <f>+VLOOKUP(dHdcp[[#This Row],[Handicap]],'Categoría Hdcap'!$B$2:$E$7,4)</f>
        <v>2</v>
      </c>
      <c r="E1245" t="s">
        <v>74</v>
      </c>
      <c r="F1245" t="s">
        <v>1711</v>
      </c>
      <c r="G1245">
        <f>+IF(dHdcp[[#This Row],[Fecha]]=MAX(dHdcp[Fecha]),1,0)</f>
        <v>0</v>
      </c>
      <c r="H1245" t="str">
        <f>+dHdcp[[#This Row],[Maximo]]&amp;":"&amp;dHdcp[[#This Row],[Nombre]]</f>
        <v>0:Ignacio Cadarso</v>
      </c>
      <c r="I1245" t="str">
        <f>+dHdcp[[#This Row],[Maximo]]&amp;":"&amp;_xlfn.XLOOKUP(dHdcp[[#This Row],[Nombre]],dJugador[Nombre],dJugador[Mote],"",0)</f>
        <v>0:Ignacio</v>
      </c>
      <c r="J1245" t="str">
        <f>+IF(dHdcp[[#This Row],[Maximo]]=0,"",_xlfn.RANK.EQ(dHdcp[[#This Row],[Handicap]],dHdcp[Handicap],1))</f>
        <v/>
      </c>
      <c r="K1245" t="str">
        <f>IFERROR(+_xlfn.RANK.EQ(dHdcp[[#This Row],[Ranking]],dHdcp[Ranking],1),"")</f>
        <v/>
      </c>
      <c r="M1245" t="str">
        <f>+dHdcp[[#This Row],[Fecha]]&amp;":"&amp;dHdcp[[#This Row],[Nombre]]</f>
        <v>44751:Ignacio Cadarso</v>
      </c>
      <c r="N1245">
        <f>+COUNTIF(dHdcp[Columna1],dHdcp[[#This Row],[Columna1]])</f>
        <v>1</v>
      </c>
    </row>
    <row r="1246" spans="1:14">
      <c r="A1246" s="2">
        <v>44751</v>
      </c>
      <c r="B1246" t="s">
        <v>23</v>
      </c>
      <c r="C1246" s="51">
        <v>17.3</v>
      </c>
      <c r="D1246">
        <f>+VLOOKUP(dHdcp[[#This Row],[Handicap]],'Categoría Hdcap'!$B$2:$E$7,4)</f>
        <v>3</v>
      </c>
      <c r="E1246" t="s">
        <v>74</v>
      </c>
      <c r="F1246" t="s">
        <v>1712</v>
      </c>
      <c r="G1246">
        <f>+IF(dHdcp[[#This Row],[Fecha]]=MAX(dHdcp[Fecha]),1,0)</f>
        <v>0</v>
      </c>
      <c r="H1246" t="str">
        <f>+dHdcp[[#This Row],[Maximo]]&amp;":"&amp;dHdcp[[#This Row],[Nombre]]</f>
        <v>0:J. Enrique Gonzalez</v>
      </c>
      <c r="I1246" t="str">
        <f>+dHdcp[[#This Row],[Maximo]]&amp;":"&amp;_xlfn.XLOOKUP(dHdcp[[#This Row],[Nombre]],dJugador[Nombre],dJugador[Mote],"",0)</f>
        <v>0:Kike</v>
      </c>
      <c r="J1246" t="str">
        <f>+IF(dHdcp[[#This Row],[Maximo]]=0,"",_xlfn.RANK.EQ(dHdcp[[#This Row],[Handicap]],dHdcp[Handicap],1))</f>
        <v/>
      </c>
      <c r="K1246" t="str">
        <f>IFERROR(+_xlfn.RANK.EQ(dHdcp[[#This Row],[Ranking]],dHdcp[Ranking],1),"")</f>
        <v/>
      </c>
      <c r="M1246" t="str">
        <f>+dHdcp[[#This Row],[Fecha]]&amp;":"&amp;dHdcp[[#This Row],[Nombre]]</f>
        <v>44751:J. Enrique Gonzalez</v>
      </c>
      <c r="N1246">
        <f>+COUNTIF(dHdcp[Columna1],dHdcp[[#This Row],[Columna1]])</f>
        <v>1</v>
      </c>
    </row>
    <row r="1247" spans="1:14">
      <c r="A1247" s="2">
        <v>44751</v>
      </c>
      <c r="B1247" t="s">
        <v>46</v>
      </c>
      <c r="C1247" s="51">
        <v>17.2</v>
      </c>
      <c r="D1247">
        <f>+VLOOKUP(dHdcp[[#This Row],[Handicap]],'Categoría Hdcap'!$B$2:$E$7,4)</f>
        <v>3</v>
      </c>
      <c r="E1247" t="s">
        <v>74</v>
      </c>
      <c r="F1247" t="s">
        <v>1713</v>
      </c>
      <c r="G1247">
        <f>+IF(dHdcp[[#This Row],[Fecha]]=MAX(dHdcp[Fecha]),1,0)</f>
        <v>0</v>
      </c>
      <c r="H1247" t="str">
        <f>+dHdcp[[#This Row],[Maximo]]&amp;":"&amp;dHdcp[[#This Row],[Nombre]]</f>
        <v>0:Javier Cervera</v>
      </c>
      <c r="I1247" t="str">
        <f>+dHdcp[[#This Row],[Maximo]]&amp;":"&amp;_xlfn.XLOOKUP(dHdcp[[#This Row],[Nombre]],dJugador[Nombre],dJugador[Mote],"",0)</f>
        <v>0:Virus</v>
      </c>
      <c r="J1247" t="str">
        <f>+IF(dHdcp[[#This Row],[Maximo]]=0,"",_xlfn.RANK.EQ(dHdcp[[#This Row],[Handicap]],dHdcp[Handicap],1))</f>
        <v/>
      </c>
      <c r="K1247" t="str">
        <f>IFERROR(+_xlfn.RANK.EQ(dHdcp[[#This Row],[Ranking]],dHdcp[Ranking],1),"")</f>
        <v/>
      </c>
      <c r="M1247" t="str">
        <f>+dHdcp[[#This Row],[Fecha]]&amp;":"&amp;dHdcp[[#This Row],[Nombre]]</f>
        <v>44751:Javier Cervera</v>
      </c>
      <c r="N1247">
        <f>+COUNTIF(dHdcp[Columna1],dHdcp[[#This Row],[Columna1]])</f>
        <v>1</v>
      </c>
    </row>
    <row r="1248" spans="1:14">
      <c r="A1248" s="2">
        <v>44751</v>
      </c>
      <c r="B1248" t="s">
        <v>225</v>
      </c>
      <c r="C1248" s="51">
        <v>10.1</v>
      </c>
      <c r="D1248">
        <f>+VLOOKUP(dHdcp[[#This Row],[Handicap]],'Categoría Hdcap'!$B$2:$E$7,4)</f>
        <v>2</v>
      </c>
      <c r="E1248" t="s">
        <v>74</v>
      </c>
      <c r="F1248" t="s">
        <v>1714</v>
      </c>
      <c r="G1248">
        <f>+IF(dHdcp[[#This Row],[Fecha]]=MAX(dHdcp[Fecha]),1,0)</f>
        <v>0</v>
      </c>
      <c r="H1248" t="str">
        <f>+dHdcp[[#This Row],[Maximo]]&amp;":"&amp;dHdcp[[#This Row],[Nombre]]</f>
        <v>0:Javier Chiralt</v>
      </c>
      <c r="I1248" t="str">
        <f>+dHdcp[[#This Row],[Maximo]]&amp;":"&amp;_xlfn.XLOOKUP(dHdcp[[#This Row],[Nombre]],dJugador[Nombre],dJugador[Mote],"",0)</f>
        <v>0:Chiralt</v>
      </c>
      <c r="J1248" t="str">
        <f>+IF(dHdcp[[#This Row],[Maximo]]=0,"",_xlfn.RANK.EQ(dHdcp[[#This Row],[Handicap]],dHdcp[Handicap],1))</f>
        <v/>
      </c>
      <c r="K1248" t="str">
        <f>IFERROR(+_xlfn.RANK.EQ(dHdcp[[#This Row],[Ranking]],dHdcp[Ranking],1),"")</f>
        <v/>
      </c>
      <c r="M1248" t="str">
        <f>+dHdcp[[#This Row],[Fecha]]&amp;":"&amp;dHdcp[[#This Row],[Nombre]]</f>
        <v>44751:Javier Chiralt</v>
      </c>
      <c r="N1248">
        <f>+COUNTIF(dHdcp[Columna1],dHdcp[[#This Row],[Columna1]])</f>
        <v>1</v>
      </c>
    </row>
    <row r="1249" spans="1:14">
      <c r="A1249" s="2">
        <v>44751</v>
      </c>
      <c r="B1249" t="s">
        <v>20</v>
      </c>
      <c r="C1249" s="51">
        <v>16.600000000000001</v>
      </c>
      <c r="D1249">
        <f>+VLOOKUP(dHdcp[[#This Row],[Handicap]],'Categoría Hdcap'!$B$2:$E$7,4)</f>
        <v>3</v>
      </c>
      <c r="E1249" t="s">
        <v>74</v>
      </c>
      <c r="F1249" t="s">
        <v>1715</v>
      </c>
      <c r="G1249">
        <f>+IF(dHdcp[[#This Row],[Fecha]]=MAX(dHdcp[Fecha]),1,0)</f>
        <v>0</v>
      </c>
      <c r="H1249" t="str">
        <f>+dHdcp[[#This Row],[Maximo]]&amp;":"&amp;dHdcp[[#This Row],[Nombre]]</f>
        <v>0:Javier Gonzalez Salvador</v>
      </c>
      <c r="I1249" t="str">
        <f>+dHdcp[[#This Row],[Maximo]]&amp;":"&amp;_xlfn.XLOOKUP(dHdcp[[#This Row],[Nombre]],dJugador[Nombre],dJugador[Mote],"",0)</f>
        <v>0:Javi</v>
      </c>
      <c r="J1249" t="str">
        <f>+IF(dHdcp[[#This Row],[Maximo]]=0,"",_xlfn.RANK.EQ(dHdcp[[#This Row],[Handicap]],dHdcp[Handicap],1))</f>
        <v/>
      </c>
      <c r="K1249" t="str">
        <f>IFERROR(+_xlfn.RANK.EQ(dHdcp[[#This Row],[Ranking]],dHdcp[Ranking],1),"")</f>
        <v/>
      </c>
      <c r="M1249" t="str">
        <f>+dHdcp[[#This Row],[Fecha]]&amp;":"&amp;dHdcp[[#This Row],[Nombre]]</f>
        <v>44751:Javier Gonzalez Salvador</v>
      </c>
      <c r="N1249">
        <f>+COUNTIF(dHdcp[Columna1],dHdcp[[#This Row],[Columna1]])</f>
        <v>1</v>
      </c>
    </row>
    <row r="1250" spans="1:14">
      <c r="A1250" s="2">
        <v>44751</v>
      </c>
      <c r="B1250" t="s">
        <v>217</v>
      </c>
      <c r="C1250" s="51">
        <v>22.3</v>
      </c>
      <c r="D1250">
        <f>+VLOOKUP(dHdcp[[#This Row],[Handicap]],'Categoría Hdcap'!$B$2:$E$7,4)</f>
        <v>4</v>
      </c>
      <c r="E1250" t="s">
        <v>74</v>
      </c>
      <c r="F1250" t="s">
        <v>1716</v>
      </c>
      <c r="G1250">
        <f>+IF(dHdcp[[#This Row],[Fecha]]=MAX(dHdcp[Fecha]),1,0)</f>
        <v>0</v>
      </c>
      <c r="H1250" t="str">
        <f>+dHdcp[[#This Row],[Maximo]]&amp;":"&amp;dHdcp[[#This Row],[Nombre]]</f>
        <v>0:Javier Lopez Gullón</v>
      </c>
      <c r="I1250" t="str">
        <f>+dHdcp[[#This Row],[Maximo]]&amp;":"&amp;_xlfn.XLOOKUP(dHdcp[[#This Row],[Nombre]],dJugador[Nombre],dJugador[Mote],"",0)</f>
        <v>0:Cuñao</v>
      </c>
      <c r="J1250" t="str">
        <f>+IF(dHdcp[[#This Row],[Maximo]]=0,"",_xlfn.RANK.EQ(dHdcp[[#This Row],[Handicap]],dHdcp[Handicap],1))</f>
        <v/>
      </c>
      <c r="K1250" t="str">
        <f>IFERROR(+_xlfn.RANK.EQ(dHdcp[[#This Row],[Ranking]],dHdcp[Ranking],1),"")</f>
        <v/>
      </c>
      <c r="M1250" t="str">
        <f>+dHdcp[[#This Row],[Fecha]]&amp;":"&amp;dHdcp[[#This Row],[Nombre]]</f>
        <v>44751:Javier Lopez Gullón</v>
      </c>
      <c r="N1250">
        <f>+COUNTIF(dHdcp[Columna1],dHdcp[[#This Row],[Columna1]])</f>
        <v>1</v>
      </c>
    </row>
    <row r="1251" spans="1:14">
      <c r="A1251" s="2">
        <v>44751</v>
      </c>
      <c r="B1251" t="s">
        <v>41</v>
      </c>
      <c r="C1251" s="51">
        <v>25.3</v>
      </c>
      <c r="D1251">
        <f>+VLOOKUP(dHdcp[[#This Row],[Handicap]],'Categoría Hdcap'!$B$2:$E$7,4)</f>
        <v>4</v>
      </c>
      <c r="E1251" t="s">
        <v>74</v>
      </c>
      <c r="F1251" t="s">
        <v>1717</v>
      </c>
      <c r="G1251">
        <f>+IF(dHdcp[[#This Row],[Fecha]]=MAX(dHdcp[Fecha]),1,0)</f>
        <v>0</v>
      </c>
      <c r="H1251" t="str">
        <f>+dHdcp[[#This Row],[Maximo]]&amp;":"&amp;dHdcp[[#This Row],[Nombre]]</f>
        <v>0:Jesus Touceda</v>
      </c>
      <c r="I1251" t="str">
        <f>+dHdcp[[#This Row],[Maximo]]&amp;":"&amp;_xlfn.XLOOKUP(dHdcp[[#This Row],[Nombre]],dJugador[Nombre],dJugador[Mote],"",0)</f>
        <v>0:Jesús</v>
      </c>
      <c r="J1251" t="str">
        <f>+IF(dHdcp[[#This Row],[Maximo]]=0,"",_xlfn.RANK.EQ(dHdcp[[#This Row],[Handicap]],dHdcp[Handicap],1))</f>
        <v/>
      </c>
      <c r="K1251" t="str">
        <f>IFERROR(+_xlfn.RANK.EQ(dHdcp[[#This Row],[Ranking]],dHdcp[Ranking],1),"")</f>
        <v/>
      </c>
      <c r="M1251" t="str">
        <f>+dHdcp[[#This Row],[Fecha]]&amp;":"&amp;dHdcp[[#This Row],[Nombre]]</f>
        <v>44751:Jesus Touceda</v>
      </c>
      <c r="N1251">
        <f>+COUNTIF(dHdcp[Columna1],dHdcp[[#This Row],[Columna1]])</f>
        <v>1</v>
      </c>
    </row>
    <row r="1252" spans="1:14">
      <c r="A1252" s="2">
        <v>44751</v>
      </c>
      <c r="B1252" t="s">
        <v>18</v>
      </c>
      <c r="C1252" s="51">
        <v>7.3</v>
      </c>
      <c r="D1252">
        <f>+VLOOKUP(dHdcp[[#This Row],[Handicap]],'Categoría Hdcap'!$B$2:$E$7,4)</f>
        <v>2</v>
      </c>
      <c r="E1252" t="s">
        <v>74</v>
      </c>
      <c r="F1252" t="s">
        <v>1718</v>
      </c>
      <c r="G1252">
        <f>+IF(dHdcp[[#This Row],[Fecha]]=MAX(dHdcp[Fecha]),1,0)</f>
        <v>0</v>
      </c>
      <c r="H1252" t="str">
        <f>+dHdcp[[#This Row],[Maximo]]&amp;":"&amp;dHdcp[[#This Row],[Nombre]]</f>
        <v>0:José Pablo Guil</v>
      </c>
      <c r="I1252" t="str">
        <f>+dHdcp[[#This Row],[Maximo]]&amp;":"&amp;_xlfn.XLOOKUP(dHdcp[[#This Row],[Nombre]],dJugador[Nombre],dJugador[Mote],"",0)</f>
        <v>0:JP</v>
      </c>
      <c r="J1252" t="str">
        <f>+IF(dHdcp[[#This Row],[Maximo]]=0,"",_xlfn.RANK.EQ(dHdcp[[#This Row],[Handicap]],dHdcp[Handicap],1))</f>
        <v/>
      </c>
      <c r="K1252" t="str">
        <f>IFERROR(+_xlfn.RANK.EQ(dHdcp[[#This Row],[Ranking]],dHdcp[Ranking],1),"")</f>
        <v/>
      </c>
      <c r="M1252" t="str">
        <f>+dHdcp[[#This Row],[Fecha]]&amp;":"&amp;dHdcp[[#This Row],[Nombre]]</f>
        <v>44751:José Pablo Guil</v>
      </c>
      <c r="N1252">
        <f>+COUNTIF(dHdcp[Columna1],dHdcp[[#This Row],[Columna1]])</f>
        <v>1</v>
      </c>
    </row>
    <row r="1253" spans="1:14">
      <c r="A1253" s="2">
        <v>44751</v>
      </c>
      <c r="B1253" t="s">
        <v>43</v>
      </c>
      <c r="C1253" s="51">
        <v>18.5</v>
      </c>
      <c r="D1253">
        <f>+VLOOKUP(dHdcp[[#This Row],[Handicap]],'Categoría Hdcap'!$B$2:$E$7,4)</f>
        <v>4</v>
      </c>
      <c r="E1253" t="s">
        <v>74</v>
      </c>
      <c r="F1253" t="s">
        <v>1719</v>
      </c>
      <c r="G1253">
        <f>+IF(dHdcp[[#This Row],[Fecha]]=MAX(dHdcp[Fecha]),1,0)</f>
        <v>0</v>
      </c>
      <c r="H1253" t="str">
        <f>+dHdcp[[#This Row],[Maximo]]&amp;":"&amp;dHdcp[[#This Row],[Nombre]]</f>
        <v>0:Luis Escudero</v>
      </c>
      <c r="I1253" t="str">
        <f>+dHdcp[[#This Row],[Maximo]]&amp;":"&amp;_xlfn.XLOOKUP(dHdcp[[#This Row],[Nombre]],dJugador[Nombre],dJugador[Mote],"",0)</f>
        <v>0:Lucho</v>
      </c>
      <c r="J1253" t="str">
        <f>+IF(dHdcp[[#This Row],[Maximo]]=0,"",_xlfn.RANK.EQ(dHdcp[[#This Row],[Handicap]],dHdcp[Handicap],1))</f>
        <v/>
      </c>
      <c r="K1253" t="str">
        <f>IFERROR(+_xlfn.RANK.EQ(dHdcp[[#This Row],[Ranking]],dHdcp[Ranking],1),"")</f>
        <v/>
      </c>
      <c r="M1253" t="str">
        <f>+dHdcp[[#This Row],[Fecha]]&amp;":"&amp;dHdcp[[#This Row],[Nombre]]</f>
        <v>44751:Luis Escudero</v>
      </c>
      <c r="N1253">
        <f>+COUNTIF(dHdcp[Columna1],dHdcp[[#This Row],[Columna1]])</f>
        <v>1</v>
      </c>
    </row>
    <row r="1254" spans="1:14">
      <c r="A1254" s="2">
        <v>44751</v>
      </c>
      <c r="B1254" s="10" t="s">
        <v>135</v>
      </c>
      <c r="C1254" s="53">
        <v>23.5</v>
      </c>
      <c r="D1254" s="10">
        <f>+VLOOKUP(dHdcp[[#This Row],[Handicap]],'Categoría Hdcap'!$B$2:$E$7,4)</f>
        <v>4</v>
      </c>
      <c r="E1254" s="10" t="s">
        <v>74</v>
      </c>
      <c r="F1254" s="10" t="s">
        <v>1720</v>
      </c>
      <c r="G1254">
        <f>+IF(dHdcp[[#This Row],[Fecha]]=MAX(dHdcp[Fecha]),1,0)</f>
        <v>0</v>
      </c>
      <c r="H1254" t="str">
        <f>+dHdcp[[#This Row],[Maximo]]&amp;":"&amp;dHdcp[[#This Row],[Nombre]]</f>
        <v>0:Miche Lopez</v>
      </c>
      <c r="I1254" t="str">
        <f>+dHdcp[[#This Row],[Maximo]]&amp;":"&amp;_xlfn.XLOOKUP(dHdcp[[#This Row],[Nombre]],dJugador[Nombre],dJugador[Mote],"",0)</f>
        <v>0:Miche</v>
      </c>
      <c r="J1254" t="str">
        <f>+IF(dHdcp[[#This Row],[Maximo]]=0,"",_xlfn.RANK.EQ(dHdcp[[#This Row],[Handicap]],dHdcp[Handicap],1))</f>
        <v/>
      </c>
      <c r="K1254" t="str">
        <f>IFERROR(+_xlfn.RANK.EQ(dHdcp[[#This Row],[Ranking]],dHdcp[Ranking],1),"")</f>
        <v/>
      </c>
      <c r="M1254" t="str">
        <f>+dHdcp[[#This Row],[Fecha]]&amp;":"&amp;dHdcp[[#This Row],[Nombre]]</f>
        <v>44751:Miche Lopez</v>
      </c>
      <c r="N1254">
        <f>+COUNTIF(dHdcp[Columna1],dHdcp[[#This Row],[Columna1]])</f>
        <v>1</v>
      </c>
    </row>
    <row r="1255" spans="1:14">
      <c r="A1255" s="2">
        <v>44751</v>
      </c>
      <c r="B1255" t="s">
        <v>51</v>
      </c>
      <c r="C1255" s="51">
        <v>1.3</v>
      </c>
      <c r="D1255">
        <f>+VLOOKUP(dHdcp[[#This Row],[Handicap]],'Categoría Hdcap'!$B$2:$E$7,4)</f>
        <v>1</v>
      </c>
      <c r="E1255" t="s">
        <v>74</v>
      </c>
      <c r="F1255" t="s">
        <v>1721</v>
      </c>
      <c r="G1255">
        <f>+IF(dHdcp[[#This Row],[Fecha]]=MAX(dHdcp[Fecha]),1,0)</f>
        <v>0</v>
      </c>
      <c r="H1255" t="str">
        <f>+dHdcp[[#This Row],[Maximo]]&amp;":"&amp;dHdcp[[#This Row],[Nombre]]</f>
        <v>0:Miguel Diaz Del Moral</v>
      </c>
      <c r="I1255" t="str">
        <f>+dHdcp[[#This Row],[Maximo]]&amp;":"&amp;_xlfn.XLOOKUP(dHdcp[[#This Row],[Nombre]],dJugador[Nombre],dJugador[Mote],"",0)</f>
        <v>0:Cañita</v>
      </c>
      <c r="J1255" t="str">
        <f>+IF(dHdcp[[#This Row],[Maximo]]=0,"",_xlfn.RANK.EQ(dHdcp[[#This Row],[Handicap]],dHdcp[Handicap],1))</f>
        <v/>
      </c>
      <c r="K1255" t="str">
        <f>IFERROR(+_xlfn.RANK.EQ(dHdcp[[#This Row],[Ranking]],dHdcp[Ranking],1),"")</f>
        <v/>
      </c>
      <c r="M1255" t="str">
        <f>+dHdcp[[#This Row],[Fecha]]&amp;":"&amp;dHdcp[[#This Row],[Nombre]]</f>
        <v>44751:Miguel Diaz Del Moral</v>
      </c>
      <c r="N1255">
        <f>+COUNTIF(dHdcp[Columna1],dHdcp[[#This Row],[Columna1]])</f>
        <v>1</v>
      </c>
    </row>
    <row r="1256" spans="1:14">
      <c r="A1256" s="2">
        <v>44751</v>
      </c>
      <c r="B1256" t="s">
        <v>205</v>
      </c>
      <c r="C1256" s="51">
        <v>7.3</v>
      </c>
      <c r="D1256">
        <f>+VLOOKUP(dHdcp[[#This Row],[Handicap]],'Categoría Hdcap'!$B$2:$E$7,4)</f>
        <v>2</v>
      </c>
      <c r="E1256" t="s">
        <v>74</v>
      </c>
      <c r="F1256" t="s">
        <v>1722</v>
      </c>
      <c r="G1256">
        <f>+IF(dHdcp[[#This Row],[Fecha]]=MAX(dHdcp[Fecha]),1,0)</f>
        <v>0</v>
      </c>
      <c r="H1256" t="str">
        <f>+dHdcp[[#This Row],[Maximo]]&amp;":"&amp;dHdcp[[#This Row],[Nombre]]</f>
        <v>0:Nacho Casas</v>
      </c>
      <c r="I1256" t="str">
        <f>+dHdcp[[#This Row],[Maximo]]&amp;":"&amp;_xlfn.XLOOKUP(dHdcp[[#This Row],[Nombre]],dJugador[Nombre],dJugador[Mote],"",0)</f>
        <v>0:Nachete</v>
      </c>
      <c r="J1256" t="str">
        <f>+IF(dHdcp[[#This Row],[Maximo]]=0,"",_xlfn.RANK.EQ(dHdcp[[#This Row],[Handicap]],dHdcp[Handicap],1))</f>
        <v/>
      </c>
      <c r="K1256" t="str">
        <f>IFERROR(+_xlfn.RANK.EQ(dHdcp[[#This Row],[Ranking]],dHdcp[Ranking],1),"")</f>
        <v/>
      </c>
      <c r="M1256" t="str">
        <f>+dHdcp[[#This Row],[Fecha]]&amp;":"&amp;dHdcp[[#This Row],[Nombre]]</f>
        <v>44751:Nacho Casas</v>
      </c>
      <c r="N1256">
        <f>+COUNTIF(dHdcp[Columna1],dHdcp[[#This Row],[Columna1]])</f>
        <v>1</v>
      </c>
    </row>
    <row r="1257" spans="1:14">
      <c r="A1257" s="2">
        <v>44751</v>
      </c>
      <c r="B1257" t="s">
        <v>3</v>
      </c>
      <c r="C1257" s="51">
        <v>6.4</v>
      </c>
      <c r="D1257">
        <f>+VLOOKUP(dHdcp[[#This Row],[Handicap]],'Categoría Hdcap'!$B$2:$E$7,4)</f>
        <v>2</v>
      </c>
      <c r="E1257" t="s">
        <v>74</v>
      </c>
      <c r="F1257" t="s">
        <v>1723</v>
      </c>
      <c r="G1257">
        <f>+IF(dHdcp[[#This Row],[Fecha]]=MAX(dHdcp[Fecha]),1,0)</f>
        <v>0</v>
      </c>
      <c r="H1257" t="str">
        <f>+dHdcp[[#This Row],[Maximo]]&amp;":"&amp;dHdcp[[#This Row],[Nombre]]</f>
        <v>0:Nacho Gonzalez</v>
      </c>
      <c r="I1257" t="str">
        <f>+dHdcp[[#This Row],[Maximo]]&amp;":"&amp;_xlfn.XLOOKUP(dHdcp[[#This Row],[Nombre]],dJugador[Nombre],dJugador[Mote],"",0)</f>
        <v>0:Nacho</v>
      </c>
      <c r="J1257" t="str">
        <f>+IF(dHdcp[[#This Row],[Maximo]]=0,"",_xlfn.RANK.EQ(dHdcp[[#This Row],[Handicap]],dHdcp[Handicap],1))</f>
        <v/>
      </c>
      <c r="K1257" t="str">
        <f>IFERROR(+_xlfn.RANK.EQ(dHdcp[[#This Row],[Ranking]],dHdcp[Ranking],1),"")</f>
        <v/>
      </c>
      <c r="M1257" t="str">
        <f>+dHdcp[[#This Row],[Fecha]]&amp;":"&amp;dHdcp[[#This Row],[Nombre]]</f>
        <v>44751:Nacho Gonzalez</v>
      </c>
      <c r="N1257">
        <f>+COUNTIF(dHdcp[Columna1],dHdcp[[#This Row],[Columna1]])</f>
        <v>1</v>
      </c>
    </row>
    <row r="1258" spans="1:14">
      <c r="A1258" s="2">
        <v>44751</v>
      </c>
      <c r="B1258" t="s">
        <v>28</v>
      </c>
      <c r="C1258" s="51">
        <v>13.7</v>
      </c>
      <c r="D1258">
        <f>+VLOOKUP(dHdcp[[#This Row],[Handicap]],'Categoría Hdcap'!$B$2:$E$7,4)</f>
        <v>3</v>
      </c>
      <c r="E1258" t="s">
        <v>74</v>
      </c>
      <c r="F1258" t="s">
        <v>1724</v>
      </c>
      <c r="G1258">
        <f>+IF(dHdcp[[#This Row],[Fecha]]=MAX(dHdcp[Fecha]),1,0)</f>
        <v>0</v>
      </c>
      <c r="H1258" t="str">
        <f>+dHdcp[[#This Row],[Maximo]]&amp;":"&amp;dHdcp[[#This Row],[Nombre]]</f>
        <v>0:Pablo Munitiz</v>
      </c>
      <c r="I1258" t="str">
        <f>+dHdcp[[#This Row],[Maximo]]&amp;":"&amp;_xlfn.XLOOKUP(dHdcp[[#This Row],[Nombre]],dJugador[Nombre],dJugador[Mote],"",0)</f>
        <v>0:Muni</v>
      </c>
      <c r="J1258" t="str">
        <f>+IF(dHdcp[[#This Row],[Maximo]]=0,"",_xlfn.RANK.EQ(dHdcp[[#This Row],[Handicap]],dHdcp[Handicap],1))</f>
        <v/>
      </c>
      <c r="K1258" t="str">
        <f>IFERROR(+_xlfn.RANK.EQ(dHdcp[[#This Row],[Ranking]],dHdcp[Ranking],1),"")</f>
        <v/>
      </c>
      <c r="M1258" t="str">
        <f>+dHdcp[[#This Row],[Fecha]]&amp;":"&amp;dHdcp[[#This Row],[Nombre]]</f>
        <v>44751:Pablo Munitiz</v>
      </c>
      <c r="N1258">
        <f>+COUNTIF(dHdcp[Columna1],dHdcp[[#This Row],[Columna1]])</f>
        <v>1</v>
      </c>
    </row>
    <row r="1259" spans="1:14">
      <c r="A1259" s="2">
        <v>44751</v>
      </c>
      <c r="B1259" t="s">
        <v>203</v>
      </c>
      <c r="C1259" s="51">
        <v>17.600000000000001</v>
      </c>
      <c r="D1259">
        <f>+VLOOKUP(dHdcp[[#This Row],[Handicap]],'Categoría Hdcap'!$B$2:$E$7,4)</f>
        <v>3</v>
      </c>
      <c r="E1259" t="s">
        <v>74</v>
      </c>
      <c r="F1259" t="s">
        <v>1725</v>
      </c>
      <c r="G1259">
        <f>+IF(dHdcp[[#This Row],[Fecha]]=MAX(dHdcp[Fecha]),1,0)</f>
        <v>0</v>
      </c>
      <c r="H1259" t="str">
        <f>+dHdcp[[#This Row],[Maximo]]&amp;":"&amp;dHdcp[[#This Row],[Nombre]]</f>
        <v>0:Ruslan Kochman</v>
      </c>
      <c r="I1259" t="str">
        <f>+dHdcp[[#This Row],[Maximo]]&amp;":"&amp;_xlfn.XLOOKUP(dHdcp[[#This Row],[Nombre]],dJugador[Nombre],dJugador[Mote],"",0)</f>
        <v>0:Rus</v>
      </c>
      <c r="J1259" t="str">
        <f>+IF(dHdcp[[#This Row],[Maximo]]=0,"",_xlfn.RANK.EQ(dHdcp[[#This Row],[Handicap]],dHdcp[Handicap],1))</f>
        <v/>
      </c>
      <c r="K1259" t="str">
        <f>IFERROR(+_xlfn.RANK.EQ(dHdcp[[#This Row],[Ranking]],dHdcp[Ranking],1),"")</f>
        <v/>
      </c>
      <c r="M1259" t="str">
        <f>+dHdcp[[#This Row],[Fecha]]&amp;":"&amp;dHdcp[[#This Row],[Nombre]]</f>
        <v>44751:Ruslan Kochman</v>
      </c>
      <c r="N1259">
        <f>+COUNTIF(dHdcp[Columna1],dHdcp[[#This Row],[Columna1]])</f>
        <v>1</v>
      </c>
    </row>
    <row r="1260" spans="1:14">
      <c r="A1260" s="2">
        <v>44751</v>
      </c>
      <c r="B1260" t="s">
        <v>271</v>
      </c>
      <c r="C1260" s="51">
        <v>15.9</v>
      </c>
      <c r="D1260">
        <f>+VLOOKUP(dHdcp[[#This Row],[Handicap]],'Categoría Hdcap'!$B$2:$E$7,4)</f>
        <v>3</v>
      </c>
      <c r="E1260" t="s">
        <v>74</v>
      </c>
      <c r="F1260" t="s">
        <v>1726</v>
      </c>
      <c r="G1260">
        <f>+IF(dHdcp[[#This Row],[Fecha]]=MAX(dHdcp[Fecha]),1,0)</f>
        <v>0</v>
      </c>
      <c r="H1260" t="str">
        <f>+dHdcp[[#This Row],[Maximo]]&amp;":"&amp;dHdcp[[#This Row],[Nombre]]</f>
        <v>0:Santi Diaz</v>
      </c>
      <c r="I1260" t="str">
        <f>+dHdcp[[#This Row],[Maximo]]&amp;":"&amp;_xlfn.XLOOKUP(dHdcp[[#This Row],[Nombre]],dJugador[Nombre],dJugador[Mote],"",0)</f>
        <v>0:Santi</v>
      </c>
      <c r="J1260" t="str">
        <f>+IF(dHdcp[[#This Row],[Maximo]]=0,"",_xlfn.RANK.EQ(dHdcp[[#This Row],[Handicap]],dHdcp[Handicap],1))</f>
        <v/>
      </c>
      <c r="K1260" t="str">
        <f>IFERROR(+_xlfn.RANK.EQ(dHdcp[[#This Row],[Ranking]],dHdcp[Ranking],1),"")</f>
        <v/>
      </c>
      <c r="M1260" t="str">
        <f>+dHdcp[[#This Row],[Fecha]]&amp;":"&amp;dHdcp[[#This Row],[Nombre]]</f>
        <v>44751:Santi Diaz</v>
      </c>
      <c r="N1260">
        <f>+COUNTIF(dHdcp[Columna1],dHdcp[[#This Row],[Columna1]])</f>
        <v>1</v>
      </c>
    </row>
    <row r="1261" spans="1:14">
      <c r="A1261" s="2">
        <v>44763</v>
      </c>
      <c r="B1261" t="s">
        <v>259</v>
      </c>
      <c r="C1261" s="51">
        <v>3.5</v>
      </c>
      <c r="D1261">
        <f>+VLOOKUP(dHdcp[[#This Row],[Handicap]],'Categoría Hdcap'!$B$2:$E$7,4)</f>
        <v>1</v>
      </c>
      <c r="E1261" t="s">
        <v>74</v>
      </c>
      <c r="F1261" t="s">
        <v>1727</v>
      </c>
      <c r="G1261">
        <f>+IF(dHdcp[[#This Row],[Fecha]]=MAX(dHdcp[Fecha]),1,0)</f>
        <v>0</v>
      </c>
      <c r="H1261" t="str">
        <f>+dHdcp[[#This Row],[Maximo]]&amp;":"&amp;dHdcp[[#This Row],[Nombre]]</f>
        <v>0:Alejandro Arcos</v>
      </c>
      <c r="I1261" t="str">
        <f>+dHdcp[[#This Row],[Maximo]]&amp;":"&amp;_xlfn.XLOOKUP(dHdcp[[#This Row],[Nombre]],dJugador[Nombre],dJugador[Mote],"",0)</f>
        <v>0:Alex</v>
      </c>
      <c r="J1261" t="str">
        <f>+IF(dHdcp[[#This Row],[Maximo]]=0,"",_xlfn.RANK.EQ(dHdcp[[#This Row],[Handicap]],dHdcp[Handicap],1))</f>
        <v/>
      </c>
      <c r="K1261" t="str">
        <f>IFERROR(+_xlfn.RANK.EQ(dHdcp[[#This Row],[Ranking]],dHdcp[Ranking],1),"")</f>
        <v/>
      </c>
      <c r="M1261" t="str">
        <f>+dHdcp[[#This Row],[Fecha]]&amp;":"&amp;dHdcp[[#This Row],[Nombre]]</f>
        <v>44763:Alejandro Arcos</v>
      </c>
      <c r="N1261">
        <f>+COUNTIF(dHdcp[Columna1],dHdcp[[#This Row],[Columna1]])</f>
        <v>1</v>
      </c>
    </row>
    <row r="1262" spans="1:14">
      <c r="A1262" s="2">
        <v>44763</v>
      </c>
      <c r="B1262" t="s">
        <v>9</v>
      </c>
      <c r="C1262" s="51">
        <v>10.4</v>
      </c>
      <c r="D1262">
        <f>+VLOOKUP(dHdcp[[#This Row],[Handicap]],'Categoría Hdcap'!$B$2:$E$7,4)</f>
        <v>2</v>
      </c>
      <c r="E1262" t="s">
        <v>74</v>
      </c>
      <c r="F1262" t="s">
        <v>1728</v>
      </c>
      <c r="G1262">
        <f>+IF(dHdcp[[#This Row],[Fecha]]=MAX(dHdcp[Fecha]),1,0)</f>
        <v>0</v>
      </c>
      <c r="H1262" t="str">
        <f>+dHdcp[[#This Row],[Maximo]]&amp;":"&amp;dHdcp[[#This Row],[Nombre]]</f>
        <v>0:Alfonso Hidalgo</v>
      </c>
      <c r="I1262" t="str">
        <f>+dHdcp[[#This Row],[Maximo]]&amp;":"&amp;_xlfn.XLOOKUP(dHdcp[[#This Row],[Nombre]],dJugador[Nombre],dJugador[Mote],"",0)</f>
        <v>0:Alfonso</v>
      </c>
      <c r="J1262" t="str">
        <f>+IF(dHdcp[[#This Row],[Maximo]]=0,"",_xlfn.RANK.EQ(dHdcp[[#This Row],[Handicap]],dHdcp[Handicap],1))</f>
        <v/>
      </c>
      <c r="K1262" t="str">
        <f>IFERROR(+_xlfn.RANK.EQ(dHdcp[[#This Row],[Ranking]],dHdcp[Ranking],1),"")</f>
        <v/>
      </c>
      <c r="M1262" t="str">
        <f>+dHdcp[[#This Row],[Fecha]]&amp;":"&amp;dHdcp[[#This Row],[Nombre]]</f>
        <v>44763:Alfonso Hidalgo</v>
      </c>
      <c r="N1262">
        <f>+COUNTIF(dHdcp[Columna1],dHdcp[[#This Row],[Columna1]])</f>
        <v>1</v>
      </c>
    </row>
    <row r="1263" spans="1:14">
      <c r="A1263" s="2">
        <v>44763</v>
      </c>
      <c r="B1263" t="s">
        <v>229</v>
      </c>
      <c r="C1263" s="51">
        <v>13.6</v>
      </c>
      <c r="D1263">
        <f>+VLOOKUP(dHdcp[[#This Row],[Handicap]],'Categoría Hdcap'!$B$2:$E$7,4)</f>
        <v>3</v>
      </c>
      <c r="E1263" t="s">
        <v>74</v>
      </c>
      <c r="F1263" t="s">
        <v>1729</v>
      </c>
      <c r="G1263">
        <f>+IF(dHdcp[[#This Row],[Fecha]]=MAX(dHdcp[Fecha]),1,0)</f>
        <v>0</v>
      </c>
      <c r="H1263" t="str">
        <f>+dHdcp[[#This Row],[Maximo]]&amp;":"&amp;dHdcp[[#This Row],[Nombre]]</f>
        <v>0:Alfonso Zorrilla</v>
      </c>
      <c r="I1263" t="str">
        <f>+dHdcp[[#This Row],[Maximo]]&amp;":"&amp;_xlfn.XLOOKUP(dHdcp[[#This Row],[Nombre]],dJugador[Nombre],dJugador[Mote],"",0)</f>
        <v>0:A Zorrilla</v>
      </c>
      <c r="J1263" t="str">
        <f>+IF(dHdcp[[#This Row],[Maximo]]=0,"",_xlfn.RANK.EQ(dHdcp[[#This Row],[Handicap]],dHdcp[Handicap],1))</f>
        <v/>
      </c>
      <c r="K1263" t="str">
        <f>IFERROR(+_xlfn.RANK.EQ(dHdcp[[#This Row],[Ranking]],dHdcp[Ranking],1),"")</f>
        <v/>
      </c>
      <c r="M1263" t="str">
        <f>+dHdcp[[#This Row],[Fecha]]&amp;":"&amp;dHdcp[[#This Row],[Nombre]]</f>
        <v>44763:Alfonso Zorrilla</v>
      </c>
      <c r="N1263">
        <f>+COUNTIF(dHdcp[Columna1],dHdcp[[#This Row],[Columna1]])</f>
        <v>1</v>
      </c>
    </row>
    <row r="1264" spans="1:14">
      <c r="A1264" s="2">
        <v>44763</v>
      </c>
      <c r="B1264" s="13" t="s">
        <v>15</v>
      </c>
      <c r="C1264" s="51">
        <v>7.1</v>
      </c>
      <c r="D1264">
        <f>+VLOOKUP(dHdcp[[#This Row],[Handicap]],'Categoría Hdcap'!$B$2:$E$7,4)</f>
        <v>2</v>
      </c>
      <c r="E1264" t="s">
        <v>74</v>
      </c>
      <c r="F1264" t="s">
        <v>1730</v>
      </c>
      <c r="G1264">
        <f>+IF(dHdcp[[#This Row],[Fecha]]=MAX(dHdcp[Fecha]),1,0)</f>
        <v>0</v>
      </c>
      <c r="H1264" t="str">
        <f>+dHdcp[[#This Row],[Maximo]]&amp;":"&amp;dHdcp[[#This Row],[Nombre]]</f>
        <v>0:Alvaro Aguirre</v>
      </c>
      <c r="I1264" t="str">
        <f>+dHdcp[[#This Row],[Maximo]]&amp;":"&amp;_xlfn.XLOOKUP(dHdcp[[#This Row],[Nombre]],dJugador[Nombre],dJugador[Mote],"",0)</f>
        <v>0:Gifu</v>
      </c>
      <c r="J1264" t="str">
        <f>+IF(dHdcp[[#This Row],[Maximo]]=0,"",_xlfn.RANK.EQ(dHdcp[[#This Row],[Handicap]],dHdcp[Handicap],1))</f>
        <v/>
      </c>
      <c r="K1264" t="str">
        <f>IFERROR(+_xlfn.RANK.EQ(dHdcp[[#This Row],[Ranking]],dHdcp[Ranking],1),"")</f>
        <v/>
      </c>
      <c r="M1264" t="str">
        <f>+dHdcp[[#This Row],[Fecha]]&amp;":"&amp;dHdcp[[#This Row],[Nombre]]</f>
        <v>44763:Alvaro Aguirre</v>
      </c>
      <c r="N1264">
        <f>+COUNTIF(dHdcp[Columna1],dHdcp[[#This Row],[Columna1]])</f>
        <v>1</v>
      </c>
    </row>
    <row r="1265" spans="1:14">
      <c r="A1265" s="2">
        <v>44763</v>
      </c>
      <c r="B1265" t="s">
        <v>201</v>
      </c>
      <c r="C1265" s="51">
        <v>7.7</v>
      </c>
      <c r="D1265">
        <f>+VLOOKUP(dHdcp[[#This Row],[Handicap]],'Categoría Hdcap'!$B$2:$E$7,4)</f>
        <v>2</v>
      </c>
      <c r="E1265" t="s">
        <v>74</v>
      </c>
      <c r="F1265" t="s">
        <v>1731</v>
      </c>
      <c r="G1265">
        <f>+IF(dHdcp[[#This Row],[Fecha]]=MAX(dHdcp[Fecha]),1,0)</f>
        <v>0</v>
      </c>
      <c r="H1265" t="str">
        <f>+dHdcp[[#This Row],[Maximo]]&amp;":"&amp;dHdcp[[#This Row],[Nombre]]</f>
        <v>0:Alvaro Montoya</v>
      </c>
      <c r="I1265" t="str">
        <f>+dHdcp[[#This Row],[Maximo]]&amp;":"&amp;_xlfn.XLOOKUP(dHdcp[[#This Row],[Nombre]],dJugador[Nombre],dJugador[Mote],"",0)</f>
        <v>0:Monti</v>
      </c>
      <c r="J1265" t="str">
        <f>+IF(dHdcp[[#This Row],[Maximo]]=0,"",_xlfn.RANK.EQ(dHdcp[[#This Row],[Handicap]],dHdcp[Handicap],1))</f>
        <v/>
      </c>
      <c r="K1265" t="str">
        <f>IFERROR(+_xlfn.RANK.EQ(dHdcp[[#This Row],[Ranking]],dHdcp[Ranking],1),"")</f>
        <v/>
      </c>
      <c r="M1265" t="str">
        <f>+dHdcp[[#This Row],[Fecha]]&amp;":"&amp;dHdcp[[#This Row],[Nombre]]</f>
        <v>44763:Alvaro Montoya</v>
      </c>
      <c r="N1265">
        <f>+COUNTIF(dHdcp[Columna1],dHdcp[[#This Row],[Columna1]])</f>
        <v>1</v>
      </c>
    </row>
    <row r="1266" spans="1:14">
      <c r="A1266" s="2">
        <v>44763</v>
      </c>
      <c r="B1266" t="s">
        <v>25</v>
      </c>
      <c r="C1266" s="51">
        <v>12.4</v>
      </c>
      <c r="D1266">
        <f>+VLOOKUP(dHdcp[[#This Row],[Handicap]],'Categoría Hdcap'!$B$2:$E$7,4)</f>
        <v>3</v>
      </c>
      <c r="E1266" t="s">
        <v>74</v>
      </c>
      <c r="F1266" t="s">
        <v>1732</v>
      </c>
      <c r="G1266">
        <f>+IF(dHdcp[[#This Row],[Fecha]]=MAX(dHdcp[Fecha]),1,0)</f>
        <v>0</v>
      </c>
      <c r="H1266" t="str">
        <f>+dHdcp[[#This Row],[Maximo]]&amp;":"&amp;dHdcp[[#This Row],[Nombre]]</f>
        <v>0:Alvaro Nieto</v>
      </c>
      <c r="I1266" t="str">
        <f>+dHdcp[[#This Row],[Maximo]]&amp;":"&amp;_xlfn.XLOOKUP(dHdcp[[#This Row],[Nombre]],dJugador[Nombre],dJugador[Mote],"",0)</f>
        <v>0:Alvaro</v>
      </c>
      <c r="J1266" t="str">
        <f>+IF(dHdcp[[#This Row],[Maximo]]=0,"",_xlfn.RANK.EQ(dHdcp[[#This Row],[Handicap]],dHdcp[Handicap],1))</f>
        <v/>
      </c>
      <c r="K1266" t="str">
        <f>IFERROR(+_xlfn.RANK.EQ(dHdcp[[#This Row],[Ranking]],dHdcp[Ranking],1),"")</f>
        <v/>
      </c>
      <c r="M1266" t="str">
        <f>+dHdcp[[#This Row],[Fecha]]&amp;":"&amp;dHdcp[[#This Row],[Nombre]]</f>
        <v>44763:Alvaro Nieto</v>
      </c>
      <c r="N1266">
        <f>+COUNTIF(dHdcp[Columna1],dHdcp[[#This Row],[Columna1]])</f>
        <v>1</v>
      </c>
    </row>
    <row r="1267" spans="1:14">
      <c r="A1267" s="2">
        <v>44763</v>
      </c>
      <c r="B1267" t="s">
        <v>33</v>
      </c>
      <c r="C1267" s="51">
        <v>7.2</v>
      </c>
      <c r="D1267">
        <f>+VLOOKUP(dHdcp[[#This Row],[Handicap]],'Categoría Hdcap'!$B$2:$E$7,4)</f>
        <v>2</v>
      </c>
      <c r="E1267" t="s">
        <v>74</v>
      </c>
      <c r="F1267" t="s">
        <v>1733</v>
      </c>
      <c r="G1267">
        <f>+IF(dHdcp[[#This Row],[Fecha]]=MAX(dHdcp[Fecha]),1,0)</f>
        <v>0</v>
      </c>
      <c r="H1267" t="str">
        <f>+dHdcp[[#This Row],[Maximo]]&amp;":"&amp;dHdcp[[#This Row],[Nombre]]</f>
        <v>0:Angel Hernandez</v>
      </c>
      <c r="I1267" t="str">
        <f>+dHdcp[[#This Row],[Maximo]]&amp;":"&amp;_xlfn.XLOOKUP(dHdcp[[#This Row],[Nombre]],dJugador[Nombre],dJugador[Mote],"",0)</f>
        <v>0:Angel</v>
      </c>
      <c r="J1267" t="str">
        <f>+IF(dHdcp[[#This Row],[Maximo]]=0,"",_xlfn.RANK.EQ(dHdcp[[#This Row],[Handicap]],dHdcp[Handicap],1))</f>
        <v/>
      </c>
      <c r="K1267" t="str">
        <f>IFERROR(+_xlfn.RANK.EQ(dHdcp[[#This Row],[Ranking]],dHdcp[Ranking],1),"")</f>
        <v/>
      </c>
      <c r="M1267" t="str">
        <f>+dHdcp[[#This Row],[Fecha]]&amp;":"&amp;dHdcp[[#This Row],[Nombre]]</f>
        <v>44763:Angel Hernandez</v>
      </c>
      <c r="N1267">
        <f>+COUNTIF(dHdcp[Columna1],dHdcp[[#This Row],[Columna1]])</f>
        <v>1</v>
      </c>
    </row>
    <row r="1268" spans="1:14">
      <c r="A1268" s="2">
        <v>44763</v>
      </c>
      <c r="B1268" t="s">
        <v>264</v>
      </c>
      <c r="C1268" s="51">
        <v>19.100000000000001</v>
      </c>
      <c r="D1268">
        <f>+VLOOKUP(dHdcp[[#This Row],[Handicap]],'Categoría Hdcap'!$B$2:$E$7,4)</f>
        <v>4</v>
      </c>
      <c r="E1268" t="s">
        <v>74</v>
      </c>
      <c r="F1268" s="94" t="s">
        <v>1734</v>
      </c>
      <c r="G1268">
        <f>+IF(dHdcp[[#This Row],[Fecha]]=MAX(dHdcp[Fecha]),1,0)</f>
        <v>0</v>
      </c>
      <c r="H1268" t="str">
        <f>+dHdcp[[#This Row],[Maximo]]&amp;":"&amp;dHdcp[[#This Row],[Nombre]]</f>
        <v>0:Antonio Carmona</v>
      </c>
      <c r="I1268" t="str">
        <f>+dHdcp[[#This Row],[Maximo]]&amp;":"&amp;_xlfn.XLOOKUP(dHdcp[[#This Row],[Nombre]],dJugador[Nombre],dJugador[Mote],"",0)</f>
        <v>0:Antonio</v>
      </c>
      <c r="J1268" t="str">
        <f>+IF(dHdcp[[#This Row],[Maximo]]=0,"",_xlfn.RANK.EQ(dHdcp[[#This Row],[Handicap]],dHdcp[Handicap],1))</f>
        <v/>
      </c>
      <c r="K1268" t="str">
        <f>IFERROR(+_xlfn.RANK.EQ(dHdcp[[#This Row],[Ranking]],dHdcp[Ranking],1),"")</f>
        <v/>
      </c>
      <c r="M1268" t="str">
        <f>+dHdcp[[#This Row],[Fecha]]&amp;":"&amp;dHdcp[[#This Row],[Nombre]]</f>
        <v>44763:Antonio Carmona</v>
      </c>
      <c r="N1268">
        <f>+COUNTIF(dHdcp[Columna1],dHdcp[[#This Row],[Columna1]])</f>
        <v>1</v>
      </c>
    </row>
    <row r="1269" spans="1:14">
      <c r="A1269" s="2">
        <v>44763</v>
      </c>
      <c r="B1269" t="s">
        <v>30</v>
      </c>
      <c r="C1269" s="51">
        <v>10.6</v>
      </c>
      <c r="D1269">
        <f>+VLOOKUP(dHdcp[[#This Row],[Handicap]],'Categoría Hdcap'!$B$2:$E$7,4)</f>
        <v>2</v>
      </c>
      <c r="E1269" t="s">
        <v>74</v>
      </c>
      <c r="F1269" t="s">
        <v>1735</v>
      </c>
      <c r="G1269">
        <f>+IF(dHdcp[[#This Row],[Fecha]]=MAX(dHdcp[Fecha]),1,0)</f>
        <v>0</v>
      </c>
      <c r="H1269" t="str">
        <f>+dHdcp[[#This Row],[Maximo]]&amp;":"&amp;dHdcp[[#This Row],[Nombre]]</f>
        <v>0:David Sequera</v>
      </c>
      <c r="I1269" t="str">
        <f>+dHdcp[[#This Row],[Maximo]]&amp;":"&amp;_xlfn.XLOOKUP(dHdcp[[#This Row],[Nombre]],dJugador[Nombre],dJugador[Mote],"",0)</f>
        <v>0:David</v>
      </c>
      <c r="J1269" t="str">
        <f>+IF(dHdcp[[#This Row],[Maximo]]=0,"",_xlfn.RANK.EQ(dHdcp[[#This Row],[Handicap]],dHdcp[Handicap],1))</f>
        <v/>
      </c>
      <c r="K1269" t="str">
        <f>IFERROR(+_xlfn.RANK.EQ(dHdcp[[#This Row],[Ranking]],dHdcp[Ranking],1),"")</f>
        <v/>
      </c>
      <c r="M1269" t="str">
        <f>+dHdcp[[#This Row],[Fecha]]&amp;":"&amp;dHdcp[[#This Row],[Nombre]]</f>
        <v>44763:David Sequera</v>
      </c>
      <c r="N1269">
        <f>+COUNTIF(dHdcp[Columna1],dHdcp[[#This Row],[Columna1]])</f>
        <v>1</v>
      </c>
    </row>
    <row r="1270" spans="1:14">
      <c r="A1270" s="2">
        <v>44763</v>
      </c>
      <c r="B1270" t="s">
        <v>248</v>
      </c>
      <c r="C1270" s="51">
        <v>14</v>
      </c>
      <c r="D1270">
        <f>+VLOOKUP(dHdcp[[#This Row],[Handicap]],'Categoría Hdcap'!$B$2:$E$7,4)</f>
        <v>3</v>
      </c>
      <c r="E1270" t="s">
        <v>74</v>
      </c>
      <c r="F1270" t="s">
        <v>1736</v>
      </c>
      <c r="G1270">
        <f>+IF(dHdcp[[#This Row],[Fecha]]=MAX(dHdcp[Fecha]),1,0)</f>
        <v>0</v>
      </c>
      <c r="H1270" t="str">
        <f>+dHdcp[[#This Row],[Maximo]]&amp;":"&amp;dHdcp[[#This Row],[Nombre]]</f>
        <v>0:Enrique Gonzalez R</v>
      </c>
      <c r="I1270" t="str">
        <f>+dHdcp[[#This Row],[Maximo]]&amp;":"&amp;_xlfn.XLOOKUP(dHdcp[[#This Row],[Nombre]],dJugador[Nombre],dJugador[Mote],"",0)</f>
        <v>0:Enrique</v>
      </c>
      <c r="J1270" t="str">
        <f>+IF(dHdcp[[#This Row],[Maximo]]=0,"",_xlfn.RANK.EQ(dHdcp[[#This Row],[Handicap]],dHdcp[Handicap],1))</f>
        <v/>
      </c>
      <c r="K1270" t="str">
        <f>IFERROR(+_xlfn.RANK.EQ(dHdcp[[#This Row],[Ranking]],dHdcp[Ranking],1),"")</f>
        <v/>
      </c>
      <c r="M1270" t="str">
        <f>+dHdcp[[#This Row],[Fecha]]&amp;":"&amp;dHdcp[[#This Row],[Nombre]]</f>
        <v>44763:Enrique Gonzalez R</v>
      </c>
      <c r="N1270">
        <f>+COUNTIF(dHdcp[Columna1],dHdcp[[#This Row],[Columna1]])</f>
        <v>1</v>
      </c>
    </row>
    <row r="1271" spans="1:14">
      <c r="A1271" s="2">
        <v>44763</v>
      </c>
      <c r="B1271" t="s">
        <v>12</v>
      </c>
      <c r="C1271" s="51">
        <v>15</v>
      </c>
      <c r="D1271">
        <f>+VLOOKUP(dHdcp[[#This Row],[Handicap]],'Categoría Hdcap'!$B$2:$E$7,4)</f>
        <v>3</v>
      </c>
      <c r="E1271" t="s">
        <v>74</v>
      </c>
      <c r="F1271" s="94" t="s">
        <v>1737</v>
      </c>
      <c r="G1271">
        <f>+IF(dHdcp[[#This Row],[Fecha]]=MAX(dHdcp[Fecha]),1,0)</f>
        <v>0</v>
      </c>
      <c r="H1271" t="str">
        <f>+dHdcp[[#This Row],[Maximo]]&amp;":"&amp;dHdcp[[#This Row],[Nombre]]</f>
        <v>0:Francisco Alvarez</v>
      </c>
      <c r="I1271" t="str">
        <f>+dHdcp[[#This Row],[Maximo]]&amp;":"&amp;_xlfn.XLOOKUP(dHdcp[[#This Row],[Nombre]],dJugador[Nombre],dJugador[Mote],"",0)</f>
        <v>0:Paco</v>
      </c>
      <c r="J1271" t="str">
        <f>+IF(dHdcp[[#This Row],[Maximo]]=0,"",_xlfn.RANK.EQ(dHdcp[[#This Row],[Handicap]],dHdcp[Handicap],1))</f>
        <v/>
      </c>
      <c r="K1271" t="str">
        <f>IFERROR(+_xlfn.RANK.EQ(dHdcp[[#This Row],[Ranking]],dHdcp[Ranking],1),"")</f>
        <v/>
      </c>
      <c r="M1271" t="str">
        <f>+dHdcp[[#This Row],[Fecha]]&amp;":"&amp;dHdcp[[#This Row],[Nombre]]</f>
        <v>44763:Francisco Alvarez</v>
      </c>
      <c r="N1271">
        <f>+COUNTIF(dHdcp[Columna1],dHdcp[[#This Row],[Columna1]])</f>
        <v>1</v>
      </c>
    </row>
    <row r="1272" spans="1:14">
      <c r="A1272" s="2">
        <v>44763</v>
      </c>
      <c r="B1272" t="s">
        <v>49</v>
      </c>
      <c r="C1272" s="51">
        <v>12.1</v>
      </c>
      <c r="D1272">
        <f>+VLOOKUP(dHdcp[[#This Row],[Handicap]],'Categoría Hdcap'!$B$2:$E$7,4)</f>
        <v>3</v>
      </c>
      <c r="E1272" t="s">
        <v>74</v>
      </c>
      <c r="F1272" t="s">
        <v>1738</v>
      </c>
      <c r="G1272">
        <f>+IF(dHdcp[[#This Row],[Fecha]]=MAX(dHdcp[Fecha]),1,0)</f>
        <v>0</v>
      </c>
      <c r="H1272" t="str">
        <f>+dHdcp[[#This Row],[Maximo]]&amp;":"&amp;dHdcp[[#This Row],[Nombre]]</f>
        <v>0:Francisco Hidalgo</v>
      </c>
      <c r="I1272" t="str">
        <f>+dHdcp[[#This Row],[Maximo]]&amp;":"&amp;_xlfn.XLOOKUP(dHdcp[[#This Row],[Nombre]],dJugador[Nombre],dJugador[Mote],"",0)</f>
        <v>0:Fran</v>
      </c>
      <c r="J1272" t="str">
        <f>+IF(dHdcp[[#This Row],[Maximo]]=0,"",_xlfn.RANK.EQ(dHdcp[[#This Row],[Handicap]],dHdcp[Handicap],1))</f>
        <v/>
      </c>
      <c r="K1272" t="str">
        <f>IFERROR(+_xlfn.RANK.EQ(dHdcp[[#This Row],[Ranking]],dHdcp[Ranking],1),"")</f>
        <v/>
      </c>
      <c r="M1272" t="str">
        <f>+dHdcp[[#This Row],[Fecha]]&amp;":"&amp;dHdcp[[#This Row],[Nombre]]</f>
        <v>44763:Francisco Hidalgo</v>
      </c>
      <c r="N1272">
        <f>+COUNTIF(dHdcp[Columna1],dHdcp[[#This Row],[Columna1]])</f>
        <v>1</v>
      </c>
    </row>
    <row r="1273" spans="1:14">
      <c r="A1273" s="2">
        <v>44763</v>
      </c>
      <c r="B1273" t="s">
        <v>207</v>
      </c>
      <c r="C1273" s="51">
        <v>14.4</v>
      </c>
      <c r="D1273">
        <f>+VLOOKUP(dHdcp[[#This Row],[Handicap]],'Categoría Hdcap'!$B$2:$E$7,4)</f>
        <v>3</v>
      </c>
      <c r="E1273" t="s">
        <v>74</v>
      </c>
      <c r="F1273" t="s">
        <v>1739</v>
      </c>
      <c r="G1273">
        <f>+IF(dHdcp[[#This Row],[Fecha]]=MAX(dHdcp[Fecha]),1,0)</f>
        <v>0</v>
      </c>
      <c r="H1273" t="str">
        <f>+dHdcp[[#This Row],[Maximo]]&amp;":"&amp;dHdcp[[#This Row],[Nombre]]</f>
        <v>0:Franck Benouniche</v>
      </c>
      <c r="I1273" t="str">
        <f>+dHdcp[[#This Row],[Maximo]]&amp;":"&amp;_xlfn.XLOOKUP(dHdcp[[#This Row],[Nombre]],dJugador[Nombre],dJugador[Mote],"",0)</f>
        <v>0:Franck</v>
      </c>
      <c r="J1273" t="str">
        <f>+IF(dHdcp[[#This Row],[Maximo]]=0,"",_xlfn.RANK.EQ(dHdcp[[#This Row],[Handicap]],dHdcp[Handicap],1))</f>
        <v/>
      </c>
      <c r="K1273" t="str">
        <f>IFERROR(+_xlfn.RANK.EQ(dHdcp[[#This Row],[Ranking]],dHdcp[Ranking],1),"")</f>
        <v/>
      </c>
      <c r="M1273" t="str">
        <f>+dHdcp[[#This Row],[Fecha]]&amp;":"&amp;dHdcp[[#This Row],[Nombre]]</f>
        <v>44763:Franck Benouniche</v>
      </c>
      <c r="N1273">
        <f>+COUNTIF(dHdcp[Columna1],dHdcp[[#This Row],[Columna1]])</f>
        <v>1</v>
      </c>
    </row>
    <row r="1274" spans="1:14">
      <c r="A1274" s="2">
        <v>44763</v>
      </c>
      <c r="B1274" t="s">
        <v>35</v>
      </c>
      <c r="C1274" s="51">
        <v>17.8</v>
      </c>
      <c r="D1274">
        <f>+VLOOKUP(dHdcp[[#This Row],[Handicap]],'Categoría Hdcap'!$B$2:$E$7,4)</f>
        <v>3</v>
      </c>
      <c r="E1274" t="s">
        <v>74</v>
      </c>
      <c r="F1274" t="s">
        <v>1740</v>
      </c>
      <c r="G1274">
        <f>+IF(dHdcp[[#This Row],[Fecha]]=MAX(dHdcp[Fecha]),1,0)</f>
        <v>0</v>
      </c>
      <c r="H1274" t="str">
        <f>+dHdcp[[#This Row],[Maximo]]&amp;":"&amp;dHdcp[[#This Row],[Nombre]]</f>
        <v>0:GLEZ JUAN JOSÉ</v>
      </c>
      <c r="I1274" t="str">
        <f>+dHdcp[[#This Row],[Maximo]]&amp;":"&amp;_xlfn.XLOOKUP(dHdcp[[#This Row],[Nombre]],dJugador[Nombre],dJugador[Mote],"",0)</f>
        <v>0:Juanjo</v>
      </c>
      <c r="J1274" t="str">
        <f>+IF(dHdcp[[#This Row],[Maximo]]=0,"",_xlfn.RANK.EQ(dHdcp[[#This Row],[Handicap]],dHdcp[Handicap],1))</f>
        <v/>
      </c>
      <c r="K1274" t="str">
        <f>IFERROR(+_xlfn.RANK.EQ(dHdcp[[#This Row],[Ranking]],dHdcp[Ranking],1),"")</f>
        <v/>
      </c>
      <c r="M1274" t="str">
        <f>+dHdcp[[#This Row],[Fecha]]&amp;":"&amp;dHdcp[[#This Row],[Nombre]]</f>
        <v>44763:GLEZ JUAN JOSÉ</v>
      </c>
      <c r="N1274">
        <f>+COUNTIF(dHdcp[Columna1],dHdcp[[#This Row],[Columna1]])</f>
        <v>1</v>
      </c>
    </row>
    <row r="1275" spans="1:14">
      <c r="A1275" s="2">
        <v>44763</v>
      </c>
      <c r="B1275" t="s">
        <v>6</v>
      </c>
      <c r="C1275" s="51">
        <v>8</v>
      </c>
      <c r="D1275">
        <f>+VLOOKUP(dHdcp[[#This Row],[Handicap]],'Categoría Hdcap'!$B$2:$E$7,4)</f>
        <v>2</v>
      </c>
      <c r="E1275" t="s">
        <v>74</v>
      </c>
      <c r="F1275" t="s">
        <v>1741</v>
      </c>
      <c r="G1275">
        <f>+IF(dHdcp[[#This Row],[Fecha]]=MAX(dHdcp[Fecha]),1,0)</f>
        <v>0</v>
      </c>
      <c r="H1275" t="str">
        <f>+dHdcp[[#This Row],[Maximo]]&amp;":"&amp;dHdcp[[#This Row],[Nombre]]</f>
        <v>0:Ignacio Cadarso</v>
      </c>
      <c r="I1275" t="str">
        <f>+dHdcp[[#This Row],[Maximo]]&amp;":"&amp;_xlfn.XLOOKUP(dHdcp[[#This Row],[Nombre]],dJugador[Nombre],dJugador[Mote],"",0)</f>
        <v>0:Ignacio</v>
      </c>
      <c r="J1275" t="str">
        <f>+IF(dHdcp[[#This Row],[Maximo]]=0,"",_xlfn.RANK.EQ(dHdcp[[#This Row],[Handicap]],dHdcp[Handicap],1))</f>
        <v/>
      </c>
      <c r="K1275" t="str">
        <f>IFERROR(+_xlfn.RANK.EQ(dHdcp[[#This Row],[Ranking]],dHdcp[Ranking],1),"")</f>
        <v/>
      </c>
      <c r="M1275" t="str">
        <f>+dHdcp[[#This Row],[Fecha]]&amp;":"&amp;dHdcp[[#This Row],[Nombre]]</f>
        <v>44763:Ignacio Cadarso</v>
      </c>
      <c r="N1275">
        <f>+COUNTIF(dHdcp[Columna1],dHdcp[[#This Row],[Columna1]])</f>
        <v>1</v>
      </c>
    </row>
    <row r="1276" spans="1:14">
      <c r="A1276" s="2">
        <v>44763</v>
      </c>
      <c r="B1276" t="s">
        <v>23</v>
      </c>
      <c r="C1276" s="51">
        <v>17.3</v>
      </c>
      <c r="D1276">
        <f>+VLOOKUP(dHdcp[[#This Row],[Handicap]],'Categoría Hdcap'!$B$2:$E$7,4)</f>
        <v>3</v>
      </c>
      <c r="E1276" t="s">
        <v>74</v>
      </c>
      <c r="F1276" t="s">
        <v>1742</v>
      </c>
      <c r="G1276">
        <f>+IF(dHdcp[[#This Row],[Fecha]]=MAX(dHdcp[Fecha]),1,0)</f>
        <v>0</v>
      </c>
      <c r="H1276" t="str">
        <f>+dHdcp[[#This Row],[Maximo]]&amp;":"&amp;dHdcp[[#This Row],[Nombre]]</f>
        <v>0:J. Enrique Gonzalez</v>
      </c>
      <c r="I1276" t="str">
        <f>+dHdcp[[#This Row],[Maximo]]&amp;":"&amp;_xlfn.XLOOKUP(dHdcp[[#This Row],[Nombre]],dJugador[Nombre],dJugador[Mote],"",0)</f>
        <v>0:Kike</v>
      </c>
      <c r="J1276" t="str">
        <f>+IF(dHdcp[[#This Row],[Maximo]]=0,"",_xlfn.RANK.EQ(dHdcp[[#This Row],[Handicap]],dHdcp[Handicap],1))</f>
        <v/>
      </c>
      <c r="K1276" t="str">
        <f>IFERROR(+_xlfn.RANK.EQ(dHdcp[[#This Row],[Ranking]],dHdcp[Ranking],1),"")</f>
        <v/>
      </c>
      <c r="M1276" t="str">
        <f>+dHdcp[[#This Row],[Fecha]]&amp;":"&amp;dHdcp[[#This Row],[Nombre]]</f>
        <v>44763:J. Enrique Gonzalez</v>
      </c>
      <c r="N1276">
        <f>+COUNTIF(dHdcp[Columna1],dHdcp[[#This Row],[Columna1]])</f>
        <v>1</v>
      </c>
    </row>
    <row r="1277" spans="1:14">
      <c r="A1277" s="2">
        <v>44763</v>
      </c>
      <c r="B1277" t="s">
        <v>46</v>
      </c>
      <c r="C1277" s="51">
        <v>17.3</v>
      </c>
      <c r="D1277">
        <f>+VLOOKUP(dHdcp[[#This Row],[Handicap]],'Categoría Hdcap'!$B$2:$E$7,4)</f>
        <v>3</v>
      </c>
      <c r="E1277" t="s">
        <v>74</v>
      </c>
      <c r="F1277" t="s">
        <v>1743</v>
      </c>
      <c r="G1277">
        <f>+IF(dHdcp[[#This Row],[Fecha]]=MAX(dHdcp[Fecha]),1,0)</f>
        <v>0</v>
      </c>
      <c r="H1277" t="str">
        <f>+dHdcp[[#This Row],[Maximo]]&amp;":"&amp;dHdcp[[#This Row],[Nombre]]</f>
        <v>0:Javier Cervera</v>
      </c>
      <c r="I1277" t="str">
        <f>+dHdcp[[#This Row],[Maximo]]&amp;":"&amp;_xlfn.XLOOKUP(dHdcp[[#This Row],[Nombre]],dJugador[Nombre],dJugador[Mote],"",0)</f>
        <v>0:Virus</v>
      </c>
      <c r="J1277" t="str">
        <f>+IF(dHdcp[[#This Row],[Maximo]]=0,"",_xlfn.RANK.EQ(dHdcp[[#This Row],[Handicap]],dHdcp[Handicap],1))</f>
        <v/>
      </c>
      <c r="K1277" t="str">
        <f>IFERROR(+_xlfn.RANK.EQ(dHdcp[[#This Row],[Ranking]],dHdcp[Ranking],1),"")</f>
        <v/>
      </c>
      <c r="M1277" t="str">
        <f>+dHdcp[[#This Row],[Fecha]]&amp;":"&amp;dHdcp[[#This Row],[Nombre]]</f>
        <v>44763:Javier Cervera</v>
      </c>
      <c r="N1277">
        <f>+COUNTIF(dHdcp[Columna1],dHdcp[[#This Row],[Columna1]])</f>
        <v>1</v>
      </c>
    </row>
    <row r="1278" spans="1:14">
      <c r="A1278" s="2">
        <v>44763</v>
      </c>
      <c r="B1278" t="s">
        <v>225</v>
      </c>
      <c r="C1278" s="51">
        <v>10.1</v>
      </c>
      <c r="D1278">
        <f>+VLOOKUP(dHdcp[[#This Row],[Handicap]],'Categoría Hdcap'!$B$2:$E$7,4)</f>
        <v>2</v>
      </c>
      <c r="E1278" t="s">
        <v>74</v>
      </c>
      <c r="F1278" t="s">
        <v>1744</v>
      </c>
      <c r="G1278">
        <f>+IF(dHdcp[[#This Row],[Fecha]]=MAX(dHdcp[Fecha]),1,0)</f>
        <v>0</v>
      </c>
      <c r="H1278" t="str">
        <f>+dHdcp[[#This Row],[Maximo]]&amp;":"&amp;dHdcp[[#This Row],[Nombre]]</f>
        <v>0:Javier Chiralt</v>
      </c>
      <c r="I1278" t="str">
        <f>+dHdcp[[#This Row],[Maximo]]&amp;":"&amp;_xlfn.XLOOKUP(dHdcp[[#This Row],[Nombre]],dJugador[Nombre],dJugador[Mote],"",0)</f>
        <v>0:Chiralt</v>
      </c>
      <c r="J1278" t="str">
        <f>+IF(dHdcp[[#This Row],[Maximo]]=0,"",_xlfn.RANK.EQ(dHdcp[[#This Row],[Handicap]],dHdcp[Handicap],1))</f>
        <v/>
      </c>
      <c r="K1278" t="str">
        <f>IFERROR(+_xlfn.RANK.EQ(dHdcp[[#This Row],[Ranking]],dHdcp[Ranking],1),"")</f>
        <v/>
      </c>
      <c r="M1278" t="str">
        <f>+dHdcp[[#This Row],[Fecha]]&amp;":"&amp;dHdcp[[#This Row],[Nombre]]</f>
        <v>44763:Javier Chiralt</v>
      </c>
      <c r="N1278">
        <f>+COUNTIF(dHdcp[Columna1],dHdcp[[#This Row],[Columna1]])</f>
        <v>1</v>
      </c>
    </row>
    <row r="1279" spans="1:14">
      <c r="A1279" s="2">
        <v>44763</v>
      </c>
      <c r="B1279" t="s">
        <v>20</v>
      </c>
      <c r="C1279" s="51">
        <v>16.3</v>
      </c>
      <c r="D1279">
        <f>+VLOOKUP(dHdcp[[#This Row],[Handicap]],'Categoría Hdcap'!$B$2:$E$7,4)</f>
        <v>3</v>
      </c>
      <c r="E1279" t="s">
        <v>74</v>
      </c>
      <c r="F1279" t="s">
        <v>1745</v>
      </c>
      <c r="G1279">
        <f>+IF(dHdcp[[#This Row],[Fecha]]=MAX(dHdcp[Fecha]),1,0)</f>
        <v>0</v>
      </c>
      <c r="H1279" t="str">
        <f>+dHdcp[[#This Row],[Maximo]]&amp;":"&amp;dHdcp[[#This Row],[Nombre]]</f>
        <v>0:Javier Gonzalez Salvador</v>
      </c>
      <c r="I1279" t="str">
        <f>+dHdcp[[#This Row],[Maximo]]&amp;":"&amp;_xlfn.XLOOKUP(dHdcp[[#This Row],[Nombre]],dJugador[Nombre],dJugador[Mote],"",0)</f>
        <v>0:Javi</v>
      </c>
      <c r="J1279" t="str">
        <f>+IF(dHdcp[[#This Row],[Maximo]]=0,"",_xlfn.RANK.EQ(dHdcp[[#This Row],[Handicap]],dHdcp[Handicap],1))</f>
        <v/>
      </c>
      <c r="K1279" t="str">
        <f>IFERROR(+_xlfn.RANK.EQ(dHdcp[[#This Row],[Ranking]],dHdcp[Ranking],1),"")</f>
        <v/>
      </c>
      <c r="M1279" t="str">
        <f>+dHdcp[[#This Row],[Fecha]]&amp;":"&amp;dHdcp[[#This Row],[Nombre]]</f>
        <v>44763:Javier Gonzalez Salvador</v>
      </c>
      <c r="N1279">
        <f>+COUNTIF(dHdcp[Columna1],dHdcp[[#This Row],[Columna1]])</f>
        <v>1</v>
      </c>
    </row>
    <row r="1280" spans="1:14">
      <c r="A1280" s="2">
        <v>44763</v>
      </c>
      <c r="B1280" t="s">
        <v>217</v>
      </c>
      <c r="C1280" s="51">
        <v>22.3</v>
      </c>
      <c r="D1280">
        <f>+VLOOKUP(dHdcp[[#This Row],[Handicap]],'Categoría Hdcap'!$B$2:$E$7,4)</f>
        <v>4</v>
      </c>
      <c r="E1280" t="s">
        <v>74</v>
      </c>
      <c r="F1280" t="s">
        <v>1746</v>
      </c>
      <c r="G1280">
        <f>+IF(dHdcp[[#This Row],[Fecha]]=MAX(dHdcp[Fecha]),1,0)</f>
        <v>0</v>
      </c>
      <c r="H1280" t="str">
        <f>+dHdcp[[#This Row],[Maximo]]&amp;":"&amp;dHdcp[[#This Row],[Nombre]]</f>
        <v>0:Javier Lopez Gullón</v>
      </c>
      <c r="I1280" t="str">
        <f>+dHdcp[[#This Row],[Maximo]]&amp;":"&amp;_xlfn.XLOOKUP(dHdcp[[#This Row],[Nombre]],dJugador[Nombre],dJugador[Mote],"",0)</f>
        <v>0:Cuñao</v>
      </c>
      <c r="J1280" t="str">
        <f>+IF(dHdcp[[#This Row],[Maximo]]=0,"",_xlfn.RANK.EQ(dHdcp[[#This Row],[Handicap]],dHdcp[Handicap],1))</f>
        <v/>
      </c>
      <c r="K1280" t="str">
        <f>IFERROR(+_xlfn.RANK.EQ(dHdcp[[#This Row],[Ranking]],dHdcp[Ranking],1),"")</f>
        <v/>
      </c>
      <c r="M1280" t="str">
        <f>+dHdcp[[#This Row],[Fecha]]&amp;":"&amp;dHdcp[[#This Row],[Nombre]]</f>
        <v>44763:Javier Lopez Gullón</v>
      </c>
      <c r="N1280">
        <f>+COUNTIF(dHdcp[Columna1],dHdcp[[#This Row],[Columna1]])</f>
        <v>1</v>
      </c>
    </row>
    <row r="1281" spans="1:23">
      <c r="A1281" s="2">
        <v>44763</v>
      </c>
      <c r="B1281" t="s">
        <v>41</v>
      </c>
      <c r="C1281" s="51">
        <v>25.3</v>
      </c>
      <c r="D1281">
        <f>+VLOOKUP(dHdcp[[#This Row],[Handicap]],'Categoría Hdcap'!$B$2:$E$7,4)</f>
        <v>4</v>
      </c>
      <c r="E1281" t="s">
        <v>74</v>
      </c>
      <c r="F1281" t="s">
        <v>1747</v>
      </c>
      <c r="G1281">
        <f>+IF(dHdcp[[#This Row],[Fecha]]=MAX(dHdcp[Fecha]),1,0)</f>
        <v>0</v>
      </c>
      <c r="H1281" t="str">
        <f>+dHdcp[[#This Row],[Maximo]]&amp;":"&amp;dHdcp[[#This Row],[Nombre]]</f>
        <v>0:Jesus Touceda</v>
      </c>
      <c r="I1281" t="str">
        <f>+dHdcp[[#This Row],[Maximo]]&amp;":"&amp;_xlfn.XLOOKUP(dHdcp[[#This Row],[Nombre]],dJugador[Nombre],dJugador[Mote],"",0)</f>
        <v>0:Jesús</v>
      </c>
      <c r="J1281" t="str">
        <f>+IF(dHdcp[[#This Row],[Maximo]]=0,"",_xlfn.RANK.EQ(dHdcp[[#This Row],[Handicap]],dHdcp[Handicap],1))</f>
        <v/>
      </c>
      <c r="K1281" t="str">
        <f>IFERROR(+_xlfn.RANK.EQ(dHdcp[[#This Row],[Ranking]],dHdcp[Ranking],1),"")</f>
        <v/>
      </c>
      <c r="M1281" t="str">
        <f>+dHdcp[[#This Row],[Fecha]]&amp;":"&amp;dHdcp[[#This Row],[Nombre]]</f>
        <v>44763:Jesus Touceda</v>
      </c>
      <c r="N1281">
        <f>+COUNTIF(dHdcp[Columna1],dHdcp[[#This Row],[Columna1]])</f>
        <v>1</v>
      </c>
    </row>
    <row r="1282" spans="1:23">
      <c r="A1282" s="2">
        <v>44763</v>
      </c>
      <c r="B1282" t="s">
        <v>18</v>
      </c>
      <c r="C1282" s="51">
        <v>7.3</v>
      </c>
      <c r="D1282">
        <f>+VLOOKUP(dHdcp[[#This Row],[Handicap]],'Categoría Hdcap'!$B$2:$E$7,4)</f>
        <v>2</v>
      </c>
      <c r="E1282" t="s">
        <v>74</v>
      </c>
      <c r="F1282" t="s">
        <v>1748</v>
      </c>
      <c r="G1282">
        <f>+IF(dHdcp[[#This Row],[Fecha]]=MAX(dHdcp[Fecha]),1,0)</f>
        <v>0</v>
      </c>
      <c r="H1282" t="str">
        <f>+dHdcp[[#This Row],[Maximo]]&amp;":"&amp;dHdcp[[#This Row],[Nombre]]</f>
        <v>0:José Pablo Guil</v>
      </c>
      <c r="I1282" t="str">
        <f>+dHdcp[[#This Row],[Maximo]]&amp;":"&amp;_xlfn.XLOOKUP(dHdcp[[#This Row],[Nombre]],dJugador[Nombre],dJugador[Mote],"",0)</f>
        <v>0:JP</v>
      </c>
      <c r="J1282" t="str">
        <f>+IF(dHdcp[[#This Row],[Maximo]]=0,"",_xlfn.RANK.EQ(dHdcp[[#This Row],[Handicap]],dHdcp[Handicap],1))</f>
        <v/>
      </c>
      <c r="K1282" t="str">
        <f>IFERROR(+_xlfn.RANK.EQ(dHdcp[[#This Row],[Ranking]],dHdcp[Ranking],1),"")</f>
        <v/>
      </c>
      <c r="M1282" t="str">
        <f>+dHdcp[[#This Row],[Fecha]]&amp;":"&amp;dHdcp[[#This Row],[Nombre]]</f>
        <v>44763:José Pablo Guil</v>
      </c>
      <c r="N1282">
        <f>+COUNTIF(dHdcp[Columna1],dHdcp[[#This Row],[Columna1]])</f>
        <v>1</v>
      </c>
    </row>
    <row r="1283" spans="1:23">
      <c r="A1283" s="2">
        <v>44763</v>
      </c>
      <c r="B1283" t="s">
        <v>43</v>
      </c>
      <c r="C1283" s="51">
        <v>18.5</v>
      </c>
      <c r="D1283">
        <f>+VLOOKUP(dHdcp[[#This Row],[Handicap]],'Categoría Hdcap'!$B$2:$E$7,4)</f>
        <v>4</v>
      </c>
      <c r="E1283" t="s">
        <v>74</v>
      </c>
      <c r="F1283" t="s">
        <v>1749</v>
      </c>
      <c r="G1283">
        <f>+IF(dHdcp[[#This Row],[Fecha]]=MAX(dHdcp[Fecha]),1,0)</f>
        <v>0</v>
      </c>
      <c r="H1283" t="str">
        <f>+dHdcp[[#This Row],[Maximo]]&amp;":"&amp;dHdcp[[#This Row],[Nombre]]</f>
        <v>0:Luis Escudero</v>
      </c>
      <c r="I1283" t="str">
        <f>+dHdcp[[#This Row],[Maximo]]&amp;":"&amp;_xlfn.XLOOKUP(dHdcp[[#This Row],[Nombre]],dJugador[Nombre],dJugador[Mote],"",0)</f>
        <v>0:Lucho</v>
      </c>
      <c r="J1283" t="str">
        <f>+IF(dHdcp[[#This Row],[Maximo]]=0,"",_xlfn.RANK.EQ(dHdcp[[#This Row],[Handicap]],dHdcp[Handicap],1))</f>
        <v/>
      </c>
      <c r="K1283" t="str">
        <f>IFERROR(+_xlfn.RANK.EQ(dHdcp[[#This Row],[Ranking]],dHdcp[Ranking],1),"")</f>
        <v/>
      </c>
      <c r="M1283" t="str">
        <f>+dHdcp[[#This Row],[Fecha]]&amp;":"&amp;dHdcp[[#This Row],[Nombre]]</f>
        <v>44763:Luis Escudero</v>
      </c>
      <c r="N1283">
        <f>+COUNTIF(dHdcp[Columna1],dHdcp[[#This Row],[Columna1]])</f>
        <v>1</v>
      </c>
    </row>
    <row r="1284" spans="1:23">
      <c r="A1284" s="2">
        <v>44763</v>
      </c>
      <c r="B1284" s="10" t="s">
        <v>135</v>
      </c>
      <c r="C1284" s="53">
        <v>23.6</v>
      </c>
      <c r="D1284" s="10">
        <f>+VLOOKUP(dHdcp[[#This Row],[Handicap]],'Categoría Hdcap'!$B$2:$E$7,4)</f>
        <v>4</v>
      </c>
      <c r="E1284" s="10" t="s">
        <v>74</v>
      </c>
      <c r="F1284" s="10" t="s">
        <v>1750</v>
      </c>
      <c r="G1284">
        <f>+IF(dHdcp[[#This Row],[Fecha]]=MAX(dHdcp[Fecha]),1,0)</f>
        <v>0</v>
      </c>
      <c r="H1284" t="str">
        <f>+dHdcp[[#This Row],[Maximo]]&amp;":"&amp;dHdcp[[#This Row],[Nombre]]</f>
        <v>0:Miche Lopez</v>
      </c>
      <c r="I1284" t="str">
        <f>+dHdcp[[#This Row],[Maximo]]&amp;":"&amp;_xlfn.XLOOKUP(dHdcp[[#This Row],[Nombre]],dJugador[Nombre],dJugador[Mote],"",0)</f>
        <v>0:Miche</v>
      </c>
      <c r="J1284" t="str">
        <f>+IF(dHdcp[[#This Row],[Maximo]]=0,"",_xlfn.RANK.EQ(dHdcp[[#This Row],[Handicap]],dHdcp[Handicap],1))</f>
        <v/>
      </c>
      <c r="K1284" t="str">
        <f>IFERROR(+_xlfn.RANK.EQ(dHdcp[[#This Row],[Ranking]],dHdcp[Ranking],1),"")</f>
        <v/>
      </c>
      <c r="M1284" t="str">
        <f>+dHdcp[[#This Row],[Fecha]]&amp;":"&amp;dHdcp[[#This Row],[Nombre]]</f>
        <v>44763:Miche Lopez</v>
      </c>
      <c r="N1284">
        <f>+COUNTIF(dHdcp[Columna1],dHdcp[[#This Row],[Columna1]])</f>
        <v>1</v>
      </c>
    </row>
    <row r="1285" spans="1:23">
      <c r="A1285" s="2">
        <v>44763</v>
      </c>
      <c r="B1285" t="s">
        <v>51</v>
      </c>
      <c r="C1285" s="51">
        <v>1.3</v>
      </c>
      <c r="D1285">
        <f>+VLOOKUP(dHdcp[[#This Row],[Handicap]],'Categoría Hdcap'!$B$2:$E$7,4)</f>
        <v>1</v>
      </c>
      <c r="E1285" t="s">
        <v>74</v>
      </c>
      <c r="F1285" t="s">
        <v>1751</v>
      </c>
      <c r="G1285">
        <f>+IF(dHdcp[[#This Row],[Fecha]]=MAX(dHdcp[Fecha]),1,0)</f>
        <v>0</v>
      </c>
      <c r="H1285" t="str">
        <f>+dHdcp[[#This Row],[Maximo]]&amp;":"&amp;dHdcp[[#This Row],[Nombre]]</f>
        <v>0:Miguel Diaz Del Moral</v>
      </c>
      <c r="I1285" t="str">
        <f>+dHdcp[[#This Row],[Maximo]]&amp;":"&amp;_xlfn.XLOOKUP(dHdcp[[#This Row],[Nombre]],dJugador[Nombre],dJugador[Mote],"",0)</f>
        <v>0:Cañita</v>
      </c>
      <c r="J1285" t="str">
        <f>+IF(dHdcp[[#This Row],[Maximo]]=0,"",_xlfn.RANK.EQ(dHdcp[[#This Row],[Handicap]],dHdcp[Handicap],1))</f>
        <v/>
      </c>
      <c r="K1285" t="str">
        <f>IFERROR(+_xlfn.RANK.EQ(dHdcp[[#This Row],[Ranking]],dHdcp[Ranking],1),"")</f>
        <v/>
      </c>
      <c r="M1285" t="str">
        <f>+dHdcp[[#This Row],[Fecha]]&amp;":"&amp;dHdcp[[#This Row],[Nombre]]</f>
        <v>44763:Miguel Diaz Del Moral</v>
      </c>
      <c r="N1285">
        <f>+COUNTIF(dHdcp[Columna1],dHdcp[[#This Row],[Columna1]])</f>
        <v>1</v>
      </c>
    </row>
    <row r="1286" spans="1:23">
      <c r="A1286" s="2">
        <v>44763</v>
      </c>
      <c r="B1286" t="s">
        <v>205</v>
      </c>
      <c r="C1286" s="51">
        <v>7</v>
      </c>
      <c r="D1286">
        <f>+VLOOKUP(dHdcp[[#This Row],[Handicap]],'Categoría Hdcap'!$B$2:$E$7,4)</f>
        <v>2</v>
      </c>
      <c r="E1286" t="s">
        <v>74</v>
      </c>
      <c r="F1286" t="s">
        <v>1752</v>
      </c>
      <c r="G1286">
        <f>+IF(dHdcp[[#This Row],[Fecha]]=MAX(dHdcp[Fecha]),1,0)</f>
        <v>0</v>
      </c>
      <c r="H1286" t="str">
        <f>+dHdcp[[#This Row],[Maximo]]&amp;":"&amp;dHdcp[[#This Row],[Nombre]]</f>
        <v>0:Nacho Casas</v>
      </c>
      <c r="I1286" t="str">
        <f>+dHdcp[[#This Row],[Maximo]]&amp;":"&amp;_xlfn.XLOOKUP(dHdcp[[#This Row],[Nombre]],dJugador[Nombre],dJugador[Mote],"",0)</f>
        <v>0:Nachete</v>
      </c>
      <c r="J1286" t="str">
        <f>+IF(dHdcp[[#This Row],[Maximo]]=0,"",_xlfn.RANK.EQ(dHdcp[[#This Row],[Handicap]],dHdcp[Handicap],1))</f>
        <v/>
      </c>
      <c r="K1286" t="str">
        <f>IFERROR(+_xlfn.RANK.EQ(dHdcp[[#This Row],[Ranking]],dHdcp[Ranking],1),"")</f>
        <v/>
      </c>
      <c r="M1286" t="str">
        <f>+dHdcp[[#This Row],[Fecha]]&amp;":"&amp;dHdcp[[#This Row],[Nombre]]</f>
        <v>44763:Nacho Casas</v>
      </c>
      <c r="N1286">
        <f>+COUNTIF(dHdcp[Columna1],dHdcp[[#This Row],[Columna1]])</f>
        <v>1</v>
      </c>
    </row>
    <row r="1287" spans="1:23">
      <c r="A1287" s="2">
        <v>44763</v>
      </c>
      <c r="B1287" t="s">
        <v>3</v>
      </c>
      <c r="C1287" s="51">
        <v>6.4</v>
      </c>
      <c r="D1287">
        <f>+VLOOKUP(dHdcp[[#This Row],[Handicap]],'Categoría Hdcap'!$B$2:$E$7,4)</f>
        <v>2</v>
      </c>
      <c r="E1287" t="s">
        <v>74</v>
      </c>
      <c r="F1287" t="s">
        <v>1753</v>
      </c>
      <c r="G1287">
        <f>+IF(dHdcp[[#This Row],[Fecha]]=MAX(dHdcp[Fecha]),1,0)</f>
        <v>0</v>
      </c>
      <c r="H1287" t="str">
        <f>+dHdcp[[#This Row],[Maximo]]&amp;":"&amp;dHdcp[[#This Row],[Nombre]]</f>
        <v>0:Nacho Gonzalez</v>
      </c>
      <c r="I1287" t="str">
        <f>+dHdcp[[#This Row],[Maximo]]&amp;":"&amp;_xlfn.XLOOKUP(dHdcp[[#This Row],[Nombre]],dJugador[Nombre],dJugador[Mote],"",0)</f>
        <v>0:Nacho</v>
      </c>
      <c r="J1287" t="str">
        <f>+IF(dHdcp[[#This Row],[Maximo]]=0,"",_xlfn.RANK.EQ(dHdcp[[#This Row],[Handicap]],dHdcp[Handicap],1))</f>
        <v/>
      </c>
      <c r="K1287" t="str">
        <f>IFERROR(+_xlfn.RANK.EQ(dHdcp[[#This Row],[Ranking]],dHdcp[Ranking],1),"")</f>
        <v/>
      </c>
      <c r="M1287" t="str">
        <f>+dHdcp[[#This Row],[Fecha]]&amp;":"&amp;dHdcp[[#This Row],[Nombre]]</f>
        <v>44763:Nacho Gonzalez</v>
      </c>
      <c r="N1287">
        <f>+COUNTIF(dHdcp[Columna1],dHdcp[[#This Row],[Columna1]])</f>
        <v>1</v>
      </c>
    </row>
    <row r="1288" spans="1:23">
      <c r="A1288" s="2">
        <v>44763</v>
      </c>
      <c r="B1288" t="s">
        <v>28</v>
      </c>
      <c r="C1288" s="51">
        <v>13.7</v>
      </c>
      <c r="D1288">
        <f>+VLOOKUP(dHdcp[[#This Row],[Handicap]],'Categoría Hdcap'!$B$2:$E$7,4)</f>
        <v>3</v>
      </c>
      <c r="E1288" t="s">
        <v>74</v>
      </c>
      <c r="F1288" t="s">
        <v>1754</v>
      </c>
      <c r="G1288">
        <f>+IF(dHdcp[[#This Row],[Fecha]]=MAX(dHdcp[Fecha]),1,0)</f>
        <v>0</v>
      </c>
      <c r="H1288" t="str">
        <f>+dHdcp[[#This Row],[Maximo]]&amp;":"&amp;dHdcp[[#This Row],[Nombre]]</f>
        <v>0:Pablo Munitiz</v>
      </c>
      <c r="I1288" t="str">
        <f>+dHdcp[[#This Row],[Maximo]]&amp;":"&amp;_xlfn.XLOOKUP(dHdcp[[#This Row],[Nombre]],dJugador[Nombre],dJugador[Mote],"",0)</f>
        <v>0:Muni</v>
      </c>
      <c r="J1288" t="str">
        <f>+IF(dHdcp[[#This Row],[Maximo]]=0,"",_xlfn.RANK.EQ(dHdcp[[#This Row],[Handicap]],dHdcp[Handicap],1))</f>
        <v/>
      </c>
      <c r="K1288" t="str">
        <f>IFERROR(+_xlfn.RANK.EQ(dHdcp[[#This Row],[Ranking]],dHdcp[Ranking],1),"")</f>
        <v/>
      </c>
      <c r="M1288" t="str">
        <f>+dHdcp[[#This Row],[Fecha]]&amp;":"&amp;dHdcp[[#This Row],[Nombre]]</f>
        <v>44763:Pablo Munitiz</v>
      </c>
      <c r="N1288">
        <f>+COUNTIF(dHdcp[Columna1],dHdcp[[#This Row],[Columna1]])</f>
        <v>1</v>
      </c>
    </row>
    <row r="1289" spans="1:23">
      <c r="A1289" s="2">
        <v>44763</v>
      </c>
      <c r="B1289" t="s">
        <v>203</v>
      </c>
      <c r="C1289" s="51">
        <v>17.600000000000001</v>
      </c>
      <c r="D1289">
        <f>+VLOOKUP(dHdcp[[#This Row],[Handicap]],'Categoría Hdcap'!$B$2:$E$7,4)</f>
        <v>3</v>
      </c>
      <c r="E1289" t="s">
        <v>74</v>
      </c>
      <c r="F1289" t="s">
        <v>1755</v>
      </c>
      <c r="G1289">
        <f>+IF(dHdcp[[#This Row],[Fecha]]=MAX(dHdcp[Fecha]),1,0)</f>
        <v>0</v>
      </c>
      <c r="H1289" t="str">
        <f>+dHdcp[[#This Row],[Maximo]]&amp;":"&amp;dHdcp[[#This Row],[Nombre]]</f>
        <v>0:Ruslan Kochman</v>
      </c>
      <c r="I1289" t="str">
        <f>+dHdcp[[#This Row],[Maximo]]&amp;":"&amp;_xlfn.XLOOKUP(dHdcp[[#This Row],[Nombre]],dJugador[Nombre],dJugador[Mote],"",0)</f>
        <v>0:Rus</v>
      </c>
      <c r="J1289" t="str">
        <f>+IF(dHdcp[[#This Row],[Maximo]]=0,"",_xlfn.RANK.EQ(dHdcp[[#This Row],[Handicap]],dHdcp[Handicap],1))</f>
        <v/>
      </c>
      <c r="K1289" t="str">
        <f>IFERROR(+_xlfn.RANK.EQ(dHdcp[[#This Row],[Ranking]],dHdcp[Ranking],1),"")</f>
        <v/>
      </c>
      <c r="M1289" t="str">
        <f>+dHdcp[[#This Row],[Fecha]]&amp;":"&amp;dHdcp[[#This Row],[Nombre]]</f>
        <v>44763:Ruslan Kochman</v>
      </c>
      <c r="N1289">
        <f>+COUNTIF(dHdcp[Columna1],dHdcp[[#This Row],[Columna1]])</f>
        <v>1</v>
      </c>
    </row>
    <row r="1290" spans="1:23">
      <c r="A1290" s="2">
        <v>44763</v>
      </c>
      <c r="B1290" t="s">
        <v>271</v>
      </c>
      <c r="C1290" s="51">
        <v>16.399999999999999</v>
      </c>
      <c r="D1290">
        <f>+VLOOKUP(dHdcp[[#This Row],[Handicap]],'Categoría Hdcap'!$B$2:$E$7,4)</f>
        <v>3</v>
      </c>
      <c r="E1290" t="s">
        <v>74</v>
      </c>
      <c r="F1290" t="s">
        <v>1756</v>
      </c>
      <c r="G1290">
        <f>+IF(dHdcp[[#This Row],[Fecha]]=MAX(dHdcp[Fecha]),1,0)</f>
        <v>0</v>
      </c>
      <c r="H1290" t="str">
        <f>+dHdcp[[#This Row],[Maximo]]&amp;":"&amp;dHdcp[[#This Row],[Nombre]]</f>
        <v>0:Santi Diaz</v>
      </c>
      <c r="I1290" t="str">
        <f>+dHdcp[[#This Row],[Maximo]]&amp;":"&amp;_xlfn.XLOOKUP(dHdcp[[#This Row],[Nombre]],dJugador[Nombre],dJugador[Mote],"",0)</f>
        <v>0:Santi</v>
      </c>
      <c r="J1290" t="str">
        <f>+IF(dHdcp[[#This Row],[Maximo]]=0,"",_xlfn.RANK.EQ(dHdcp[[#This Row],[Handicap]],dHdcp[Handicap],1))</f>
        <v/>
      </c>
      <c r="K1290" t="str">
        <f>IFERROR(+_xlfn.RANK.EQ(dHdcp[[#This Row],[Ranking]],dHdcp[Ranking],1),"")</f>
        <v/>
      </c>
      <c r="M1290" t="str">
        <f>+dHdcp[[#This Row],[Fecha]]&amp;":"&amp;dHdcp[[#This Row],[Nombre]]</f>
        <v>44763:Santi Diaz</v>
      </c>
      <c r="N1290">
        <f>+COUNTIF(dHdcp[Columna1],dHdcp[[#This Row],[Columna1]])</f>
        <v>1</v>
      </c>
    </row>
    <row r="1291" spans="1:23">
      <c r="A1291" s="2">
        <v>44829</v>
      </c>
      <c r="B1291" t="s">
        <v>259</v>
      </c>
      <c r="C1291" s="51">
        <v>3</v>
      </c>
      <c r="D1291">
        <f>+VLOOKUP(dHdcp[[#This Row],[Handicap]],'Categoría Hdcap'!$B$2:$E$7,4)</f>
        <v>1</v>
      </c>
      <c r="E1291" t="s">
        <v>74</v>
      </c>
      <c r="F1291" t="s">
        <v>1757</v>
      </c>
      <c r="G1291">
        <f>+IF(dHdcp[[#This Row],[Fecha]]=MAX(dHdcp[Fecha]),1,0)</f>
        <v>0</v>
      </c>
      <c r="H1291" t="str">
        <f>+dHdcp[[#This Row],[Maximo]]&amp;":"&amp;dHdcp[[#This Row],[Nombre]]</f>
        <v>0:Alejandro Arcos</v>
      </c>
      <c r="I1291" t="str">
        <f>+dHdcp[[#This Row],[Maximo]]&amp;":"&amp;_xlfn.XLOOKUP(dHdcp[[#This Row],[Nombre]],dJugador[Nombre],dJugador[Mote],"",0)</f>
        <v>0:Alex</v>
      </c>
      <c r="J1291" t="str">
        <f>+IF(dHdcp[[#This Row],[Maximo]]=0,"",_xlfn.RANK.EQ(dHdcp[[#This Row],[Handicap]],dHdcp[Handicap],1))</f>
        <v/>
      </c>
      <c r="K1291" t="str">
        <f>IFERROR(+_xlfn.RANK.EQ(dHdcp[[#This Row],[Ranking]],dHdcp[Ranking],1),"")</f>
        <v/>
      </c>
      <c r="M1291" t="str">
        <f>+dHdcp[[#This Row],[Fecha]]&amp;":"&amp;dHdcp[[#This Row],[Nombre]]</f>
        <v>44829:Alejandro Arcos</v>
      </c>
      <c r="N1291">
        <f>+COUNTIF(dHdcp[Columna1],dHdcp[[#This Row],[Columna1]])</f>
        <v>1</v>
      </c>
      <c r="S1291" s="2">
        <v>44824</v>
      </c>
      <c r="V1291" s="13" t="s">
        <v>15</v>
      </c>
      <c r="W1291" s="13">
        <v>7.1</v>
      </c>
    </row>
    <row r="1292" spans="1:23">
      <c r="A1292" s="2">
        <v>44829</v>
      </c>
      <c r="B1292" t="s">
        <v>9</v>
      </c>
      <c r="C1292" s="51">
        <v>10.4</v>
      </c>
      <c r="D1292">
        <f>+VLOOKUP(dHdcp[[#This Row],[Handicap]],'Categoría Hdcap'!$B$2:$E$7,4)</f>
        <v>2</v>
      </c>
      <c r="E1292" t="s">
        <v>74</v>
      </c>
      <c r="F1292" t="s">
        <v>1758</v>
      </c>
      <c r="G1292">
        <f>+IF(dHdcp[[#This Row],[Fecha]]=MAX(dHdcp[Fecha]),1,0)</f>
        <v>0</v>
      </c>
      <c r="H1292" t="str">
        <f>+dHdcp[[#This Row],[Maximo]]&amp;":"&amp;dHdcp[[#This Row],[Nombre]]</f>
        <v>0:Alfonso Hidalgo</v>
      </c>
      <c r="I1292" t="str">
        <f>+dHdcp[[#This Row],[Maximo]]&amp;":"&amp;_xlfn.XLOOKUP(dHdcp[[#This Row],[Nombre]],dJugador[Nombre],dJugador[Mote],"",0)</f>
        <v>0:Alfonso</v>
      </c>
      <c r="J1292" t="str">
        <f>+IF(dHdcp[[#This Row],[Maximo]]=0,"",_xlfn.RANK.EQ(dHdcp[[#This Row],[Handicap]],dHdcp[Handicap],1))</f>
        <v/>
      </c>
      <c r="K1292" t="str">
        <f>IFERROR(+_xlfn.RANK.EQ(dHdcp[[#This Row],[Ranking]],dHdcp[Ranking],1),"")</f>
        <v/>
      </c>
      <c r="M1292" t="str">
        <f>+dHdcp[[#This Row],[Fecha]]&amp;":"&amp;dHdcp[[#This Row],[Nombre]]</f>
        <v>44829:Alfonso Hidalgo</v>
      </c>
      <c r="N1292">
        <f>+COUNTIF(dHdcp[Columna1],dHdcp[[#This Row],[Columna1]])</f>
        <v>1</v>
      </c>
      <c r="V1292" s="18" t="s">
        <v>259</v>
      </c>
      <c r="W1292" s="18">
        <v>3.5</v>
      </c>
    </row>
    <row r="1293" spans="1:23">
      <c r="A1293" s="2">
        <v>44829</v>
      </c>
      <c r="B1293" t="s">
        <v>229</v>
      </c>
      <c r="C1293" s="51">
        <v>13.6</v>
      </c>
      <c r="D1293">
        <f>+VLOOKUP(dHdcp[[#This Row],[Handicap]],'Categoría Hdcap'!$B$2:$E$7,4)</f>
        <v>3</v>
      </c>
      <c r="E1293" t="s">
        <v>74</v>
      </c>
      <c r="F1293" s="94" t="s">
        <v>1759</v>
      </c>
      <c r="G1293">
        <f>+IF(dHdcp[[#This Row],[Fecha]]=MAX(dHdcp[Fecha]),1,0)</f>
        <v>0</v>
      </c>
      <c r="H1293" t="str">
        <f>+dHdcp[[#This Row],[Maximo]]&amp;":"&amp;dHdcp[[#This Row],[Nombre]]</f>
        <v>0:Alfonso Zorrilla</v>
      </c>
      <c r="I1293" t="str">
        <f>+dHdcp[[#This Row],[Maximo]]&amp;":"&amp;_xlfn.XLOOKUP(dHdcp[[#This Row],[Nombre]],dJugador[Nombre],dJugador[Mote],"",0)</f>
        <v>0:A Zorrilla</v>
      </c>
      <c r="J1293" t="str">
        <f>+IF(dHdcp[[#This Row],[Maximo]]=0,"",_xlfn.RANK.EQ(dHdcp[[#This Row],[Handicap]],dHdcp[Handicap],1))</f>
        <v/>
      </c>
      <c r="K1293" t="str">
        <f>IFERROR(+_xlfn.RANK.EQ(dHdcp[[#This Row],[Ranking]],dHdcp[Ranking],1),"")</f>
        <v/>
      </c>
      <c r="M1293" t="str">
        <f>+dHdcp[[#This Row],[Fecha]]&amp;":"&amp;dHdcp[[#This Row],[Nombre]]</f>
        <v>44829:Alfonso Zorrilla</v>
      </c>
      <c r="N1293">
        <f>+COUNTIF(dHdcp[Columna1],dHdcp[[#This Row],[Columna1]])</f>
        <v>1</v>
      </c>
      <c r="V1293" s="13" t="s">
        <v>9</v>
      </c>
      <c r="W1293" s="13">
        <v>10.4</v>
      </c>
    </row>
    <row r="1294" spans="1:23">
      <c r="A1294" s="2">
        <v>44829</v>
      </c>
      <c r="B1294" s="13" t="s">
        <v>15</v>
      </c>
      <c r="C1294" s="51">
        <v>7.1</v>
      </c>
      <c r="D1294">
        <f>+VLOOKUP(dHdcp[[#This Row],[Handicap]],'Categoría Hdcap'!$B$2:$E$7,4)</f>
        <v>2</v>
      </c>
      <c r="E1294" t="s">
        <v>74</v>
      </c>
      <c r="F1294" t="s">
        <v>1760</v>
      </c>
      <c r="G1294">
        <f>+IF(dHdcp[[#This Row],[Fecha]]=MAX(dHdcp[Fecha]),1,0)</f>
        <v>0</v>
      </c>
      <c r="H1294" t="str">
        <f>+dHdcp[[#This Row],[Maximo]]&amp;":"&amp;dHdcp[[#This Row],[Nombre]]</f>
        <v>0:Alvaro Aguirre</v>
      </c>
      <c r="I1294" t="str">
        <f>+dHdcp[[#This Row],[Maximo]]&amp;":"&amp;_xlfn.XLOOKUP(dHdcp[[#This Row],[Nombre]],dJugador[Nombre],dJugador[Mote],"",0)</f>
        <v>0:Gifu</v>
      </c>
      <c r="J1294" t="str">
        <f>+IF(dHdcp[[#This Row],[Maximo]]=0,"",_xlfn.RANK.EQ(dHdcp[[#This Row],[Handicap]],dHdcp[Handicap],1))</f>
        <v/>
      </c>
      <c r="K1294" t="str">
        <f>IFERROR(+_xlfn.RANK.EQ(dHdcp[[#This Row],[Ranking]],dHdcp[Ranking],1),"")</f>
        <v/>
      </c>
      <c r="M1294" t="str">
        <f>+dHdcp[[#This Row],[Fecha]]&amp;":"&amp;dHdcp[[#This Row],[Nombre]]</f>
        <v>44829:Alvaro Aguirre</v>
      </c>
      <c r="N1294">
        <f>+COUNTIF(dHdcp[Columna1],dHdcp[[#This Row],[Columna1]])</f>
        <v>1</v>
      </c>
      <c r="V1294" s="18" t="s">
        <v>229</v>
      </c>
      <c r="W1294" s="18">
        <v>13.6</v>
      </c>
    </row>
    <row r="1295" spans="1:23">
      <c r="A1295" s="2">
        <v>44829</v>
      </c>
      <c r="B1295" t="s">
        <v>201</v>
      </c>
      <c r="C1295" s="51">
        <v>7.7</v>
      </c>
      <c r="D1295">
        <f>+VLOOKUP(dHdcp[[#This Row],[Handicap]],'Categoría Hdcap'!$B$2:$E$7,4)</f>
        <v>2</v>
      </c>
      <c r="E1295" t="s">
        <v>74</v>
      </c>
      <c r="F1295" t="s">
        <v>1761</v>
      </c>
      <c r="G1295">
        <f>+IF(dHdcp[[#This Row],[Fecha]]=MAX(dHdcp[Fecha]),1,0)</f>
        <v>0</v>
      </c>
      <c r="H1295" t="str">
        <f>+dHdcp[[#This Row],[Maximo]]&amp;":"&amp;dHdcp[[#This Row],[Nombre]]</f>
        <v>0:Alvaro Montoya</v>
      </c>
      <c r="I1295" t="str">
        <f>+dHdcp[[#This Row],[Maximo]]&amp;":"&amp;_xlfn.XLOOKUP(dHdcp[[#This Row],[Nombre]],dJugador[Nombre],dJugador[Mote],"",0)</f>
        <v>0:Monti</v>
      </c>
      <c r="J1295" t="str">
        <f>+IF(dHdcp[[#This Row],[Maximo]]=0,"",_xlfn.RANK.EQ(dHdcp[[#This Row],[Handicap]],dHdcp[Handicap],1))</f>
        <v/>
      </c>
      <c r="K1295" t="str">
        <f>IFERROR(+_xlfn.RANK.EQ(dHdcp[[#This Row],[Ranking]],dHdcp[Ranking],1),"")</f>
        <v/>
      </c>
      <c r="M1295" t="str">
        <f>+dHdcp[[#This Row],[Fecha]]&amp;":"&amp;dHdcp[[#This Row],[Nombre]]</f>
        <v>44829:Alvaro Montoya</v>
      </c>
      <c r="N1295">
        <f>+COUNTIF(dHdcp[Columna1],dHdcp[[#This Row],[Columna1]])</f>
        <v>1</v>
      </c>
      <c r="V1295" s="13" t="s">
        <v>201</v>
      </c>
      <c r="W1295" s="13">
        <v>7.7</v>
      </c>
    </row>
    <row r="1296" spans="1:23">
      <c r="A1296" s="2">
        <v>44829</v>
      </c>
      <c r="B1296" t="s">
        <v>25</v>
      </c>
      <c r="C1296" s="51">
        <v>12.4</v>
      </c>
      <c r="D1296">
        <f>+VLOOKUP(dHdcp[[#This Row],[Handicap]],'Categoría Hdcap'!$B$2:$E$7,4)</f>
        <v>3</v>
      </c>
      <c r="E1296" t="s">
        <v>74</v>
      </c>
      <c r="F1296" t="s">
        <v>1762</v>
      </c>
      <c r="G1296">
        <f>+IF(dHdcp[[#This Row],[Fecha]]=MAX(dHdcp[Fecha]),1,0)</f>
        <v>0</v>
      </c>
      <c r="H1296" t="str">
        <f>+dHdcp[[#This Row],[Maximo]]&amp;":"&amp;dHdcp[[#This Row],[Nombre]]</f>
        <v>0:Alvaro Nieto</v>
      </c>
      <c r="I1296" t="str">
        <f>+dHdcp[[#This Row],[Maximo]]&amp;":"&amp;_xlfn.XLOOKUP(dHdcp[[#This Row],[Nombre]],dJugador[Nombre],dJugador[Mote],"",0)</f>
        <v>0:Alvaro</v>
      </c>
      <c r="J1296" t="str">
        <f>+IF(dHdcp[[#This Row],[Maximo]]=0,"",_xlfn.RANK.EQ(dHdcp[[#This Row],[Handicap]],dHdcp[Handicap],1))</f>
        <v/>
      </c>
      <c r="K1296" t="str">
        <f>IFERROR(+_xlfn.RANK.EQ(dHdcp[[#This Row],[Ranking]],dHdcp[Ranking],1),"")</f>
        <v/>
      </c>
      <c r="M1296" t="str">
        <f>+dHdcp[[#This Row],[Fecha]]&amp;":"&amp;dHdcp[[#This Row],[Nombre]]</f>
        <v>44829:Alvaro Nieto</v>
      </c>
      <c r="N1296">
        <f>+COUNTIF(dHdcp[Columna1],dHdcp[[#This Row],[Columna1]])</f>
        <v>1</v>
      </c>
      <c r="V1296" s="18" t="s">
        <v>25</v>
      </c>
      <c r="W1296" s="18">
        <v>12.4</v>
      </c>
    </row>
    <row r="1297" spans="1:23">
      <c r="A1297" s="2">
        <v>44829</v>
      </c>
      <c r="B1297" t="s">
        <v>33</v>
      </c>
      <c r="C1297" s="51">
        <v>6.9</v>
      </c>
      <c r="D1297">
        <f>+VLOOKUP(dHdcp[[#This Row],[Handicap]],'Categoría Hdcap'!$B$2:$E$7,4)</f>
        <v>2</v>
      </c>
      <c r="E1297" t="s">
        <v>74</v>
      </c>
      <c r="F1297" t="s">
        <v>1763</v>
      </c>
      <c r="G1297">
        <f>+IF(dHdcp[[#This Row],[Fecha]]=MAX(dHdcp[Fecha]),1,0)</f>
        <v>0</v>
      </c>
      <c r="H1297" t="str">
        <f>+dHdcp[[#This Row],[Maximo]]&amp;":"&amp;dHdcp[[#This Row],[Nombre]]</f>
        <v>0:Angel Hernandez</v>
      </c>
      <c r="I1297" t="str">
        <f>+dHdcp[[#This Row],[Maximo]]&amp;":"&amp;_xlfn.XLOOKUP(dHdcp[[#This Row],[Nombre]],dJugador[Nombre],dJugador[Mote],"",0)</f>
        <v>0:Angel</v>
      </c>
      <c r="J1297" t="str">
        <f>+IF(dHdcp[[#This Row],[Maximo]]=0,"",_xlfn.RANK.EQ(dHdcp[[#This Row],[Handicap]],dHdcp[Handicap],1))</f>
        <v/>
      </c>
      <c r="K1297" t="str">
        <f>IFERROR(+_xlfn.RANK.EQ(dHdcp[[#This Row],[Ranking]],dHdcp[Ranking],1),"")</f>
        <v/>
      </c>
      <c r="M1297" t="str">
        <f>+dHdcp[[#This Row],[Fecha]]&amp;":"&amp;dHdcp[[#This Row],[Nombre]]</f>
        <v>44829:Angel Hernandez</v>
      </c>
      <c r="N1297">
        <f>+COUNTIF(dHdcp[Columna1],dHdcp[[#This Row],[Columna1]])</f>
        <v>1</v>
      </c>
      <c r="V1297" s="13" t="s">
        <v>33</v>
      </c>
      <c r="W1297" s="13">
        <v>7.2</v>
      </c>
    </row>
    <row r="1298" spans="1:23">
      <c r="A1298" s="2">
        <v>44829</v>
      </c>
      <c r="B1298" t="s">
        <v>264</v>
      </c>
      <c r="C1298" s="51">
        <v>19.100000000000001</v>
      </c>
      <c r="D1298">
        <f>+VLOOKUP(dHdcp[[#This Row],[Handicap]],'Categoría Hdcap'!$B$2:$E$7,4)</f>
        <v>4</v>
      </c>
      <c r="E1298" t="s">
        <v>74</v>
      </c>
      <c r="F1298" t="s">
        <v>1764</v>
      </c>
      <c r="G1298">
        <f>+IF(dHdcp[[#This Row],[Fecha]]=MAX(dHdcp[Fecha]),1,0)</f>
        <v>0</v>
      </c>
      <c r="H1298" t="str">
        <f>+dHdcp[[#This Row],[Maximo]]&amp;":"&amp;dHdcp[[#This Row],[Nombre]]</f>
        <v>0:Antonio Carmona</v>
      </c>
      <c r="I1298" t="str">
        <f>+dHdcp[[#This Row],[Maximo]]&amp;":"&amp;_xlfn.XLOOKUP(dHdcp[[#This Row],[Nombre]],dJugador[Nombre],dJugador[Mote],"",0)</f>
        <v>0:Antonio</v>
      </c>
      <c r="J1298" t="str">
        <f>+IF(dHdcp[[#This Row],[Maximo]]=0,"",_xlfn.RANK.EQ(dHdcp[[#This Row],[Handicap]],dHdcp[Handicap],1))</f>
        <v/>
      </c>
      <c r="K1298" t="str">
        <f>IFERROR(+_xlfn.RANK.EQ(dHdcp[[#This Row],[Ranking]],dHdcp[Ranking],1),"")</f>
        <v/>
      </c>
      <c r="M1298" t="str">
        <f>+dHdcp[[#This Row],[Fecha]]&amp;":"&amp;dHdcp[[#This Row],[Nombre]]</f>
        <v>44829:Antonio Carmona</v>
      </c>
      <c r="N1298">
        <f>+COUNTIF(dHdcp[Columna1],dHdcp[[#This Row],[Columna1]])</f>
        <v>1</v>
      </c>
      <c r="V1298" s="18" t="s">
        <v>264</v>
      </c>
      <c r="W1298" s="18">
        <v>19.100000000000001</v>
      </c>
    </row>
    <row r="1299" spans="1:23">
      <c r="A1299" s="2">
        <v>44829</v>
      </c>
      <c r="B1299" s="13" t="s">
        <v>290</v>
      </c>
      <c r="C1299" s="42">
        <v>26.5</v>
      </c>
      <c r="D1299">
        <f>+VLOOKUP(dHdcp[[#This Row],[Handicap]],'Categoría Hdcap'!$B$2:$E$7,4)</f>
        <v>5</v>
      </c>
      <c r="E1299" t="s">
        <v>74</v>
      </c>
      <c r="F1299" t="s">
        <v>1765</v>
      </c>
      <c r="G1299">
        <f>+IF(dHdcp[[#This Row],[Fecha]]=MAX(dHdcp[Fecha]),1,0)</f>
        <v>0</v>
      </c>
      <c r="H1299" t="str">
        <f>+dHdcp[[#This Row],[Maximo]]&amp;":"&amp;dHdcp[[#This Row],[Nombre]]</f>
        <v>0:Carlos Hijas</v>
      </c>
      <c r="I1299" t="str">
        <f>+dHdcp[[#This Row],[Maximo]]&amp;":"&amp;_xlfn.XLOOKUP(dHdcp[[#This Row],[Nombre]],dJugador[Nombre],dJugador[Mote],"",0)</f>
        <v>0:Hijas</v>
      </c>
      <c r="J1299" t="str">
        <f>+IF(dHdcp[[#This Row],[Maximo]]=0,"",_xlfn.RANK.EQ(dHdcp[[#This Row],[Handicap]],dHdcp[Handicap],1))</f>
        <v/>
      </c>
      <c r="K1299" t="str">
        <f>IFERROR(+_xlfn.RANK.EQ(dHdcp[[#This Row],[Ranking]],dHdcp[Ranking],1),"")</f>
        <v/>
      </c>
      <c r="M1299" t="str">
        <f>+dHdcp[[#This Row],[Fecha]]&amp;":"&amp;dHdcp[[#This Row],[Nombre]]</f>
        <v>44829:Carlos Hijas</v>
      </c>
      <c r="N1299">
        <f>+COUNTIF(dHdcp[Columna1],dHdcp[[#This Row],[Columna1]])</f>
        <v>1</v>
      </c>
      <c r="V1299" s="13" t="s">
        <v>290</v>
      </c>
      <c r="W1299" s="13"/>
    </row>
    <row r="1300" spans="1:23">
      <c r="A1300" s="2">
        <v>44829</v>
      </c>
      <c r="B1300" s="13" t="s">
        <v>291</v>
      </c>
      <c r="C1300" s="42">
        <v>1.7</v>
      </c>
      <c r="D1300">
        <f>+VLOOKUP(dHdcp[[#This Row],[Handicap]],'Categoría Hdcap'!$B$2:$E$7,4)</f>
        <v>1</v>
      </c>
      <c r="E1300" t="s">
        <v>74</v>
      </c>
      <c r="F1300" t="s">
        <v>1766</v>
      </c>
      <c r="G1300">
        <f>+IF(dHdcp[[#This Row],[Fecha]]=MAX(dHdcp[Fecha]),1,0)</f>
        <v>0</v>
      </c>
      <c r="H1300" t="str">
        <f>+dHdcp[[#This Row],[Maximo]]&amp;":"&amp;dHdcp[[#This Row],[Nombre]]</f>
        <v>0:Carlos Maestro</v>
      </c>
      <c r="I1300" t="str">
        <f>+dHdcp[[#This Row],[Maximo]]&amp;":"&amp;_xlfn.XLOOKUP(dHdcp[[#This Row],[Nombre]],dJugador[Nombre],dJugador[Mote],"",0)</f>
        <v>0:Carlitos</v>
      </c>
      <c r="J1300" t="str">
        <f>+IF(dHdcp[[#This Row],[Maximo]]=0,"",_xlfn.RANK.EQ(dHdcp[[#This Row],[Handicap]],dHdcp[Handicap],1))</f>
        <v/>
      </c>
      <c r="K1300" t="str">
        <f>IFERROR(+_xlfn.RANK.EQ(dHdcp[[#This Row],[Ranking]],dHdcp[Ranking],1),"")</f>
        <v/>
      </c>
      <c r="M1300" t="str">
        <f>+dHdcp[[#This Row],[Fecha]]&amp;":"&amp;dHdcp[[#This Row],[Nombre]]</f>
        <v>44829:Carlos Maestro</v>
      </c>
      <c r="N1300">
        <f>+COUNTIF(dHdcp[Columna1],dHdcp[[#This Row],[Columna1]])</f>
        <v>1</v>
      </c>
      <c r="V1300" s="18" t="s">
        <v>291</v>
      </c>
      <c r="W1300" s="18"/>
    </row>
    <row r="1301" spans="1:23">
      <c r="A1301" s="2">
        <v>44829</v>
      </c>
      <c r="B1301" t="s">
        <v>30</v>
      </c>
      <c r="C1301" s="51">
        <v>10.6</v>
      </c>
      <c r="D1301">
        <f>+VLOOKUP(dHdcp[[#This Row],[Handicap]],'Categoría Hdcap'!$B$2:$E$7,4)</f>
        <v>2</v>
      </c>
      <c r="E1301" t="s">
        <v>74</v>
      </c>
      <c r="F1301" t="s">
        <v>1767</v>
      </c>
      <c r="G1301">
        <f>+IF(dHdcp[[#This Row],[Fecha]]=MAX(dHdcp[Fecha]),1,0)</f>
        <v>0</v>
      </c>
      <c r="H1301" t="str">
        <f>+dHdcp[[#This Row],[Maximo]]&amp;":"&amp;dHdcp[[#This Row],[Nombre]]</f>
        <v>0:David Sequera</v>
      </c>
      <c r="I1301" t="str">
        <f>+dHdcp[[#This Row],[Maximo]]&amp;":"&amp;_xlfn.XLOOKUP(dHdcp[[#This Row],[Nombre]],dJugador[Nombre],dJugador[Mote],"",0)</f>
        <v>0:David</v>
      </c>
      <c r="J1301" t="str">
        <f>+IF(dHdcp[[#This Row],[Maximo]]=0,"",_xlfn.RANK.EQ(dHdcp[[#This Row],[Handicap]],dHdcp[Handicap],1))</f>
        <v/>
      </c>
      <c r="K1301" t="str">
        <f>IFERROR(+_xlfn.RANK.EQ(dHdcp[[#This Row],[Ranking]],dHdcp[Ranking],1),"")</f>
        <v/>
      </c>
      <c r="M1301" t="str">
        <f>+dHdcp[[#This Row],[Fecha]]&amp;":"&amp;dHdcp[[#This Row],[Nombre]]</f>
        <v>44829:David Sequera</v>
      </c>
      <c r="N1301">
        <f>+COUNTIF(dHdcp[Columna1],dHdcp[[#This Row],[Columna1]])</f>
        <v>1</v>
      </c>
      <c r="V1301" s="13" t="s">
        <v>30</v>
      </c>
      <c r="W1301" s="13">
        <v>10.6</v>
      </c>
    </row>
    <row r="1302" spans="1:23">
      <c r="A1302" s="2">
        <v>44829</v>
      </c>
      <c r="B1302" s="83" t="s">
        <v>248</v>
      </c>
      <c r="C1302" s="84">
        <v>14</v>
      </c>
      <c r="D1302">
        <f>+VLOOKUP(dHdcp[[#This Row],[Handicap]],'Categoría Hdcap'!$B$2:$E$7,4)</f>
        <v>3</v>
      </c>
      <c r="E1302" t="s">
        <v>74</v>
      </c>
      <c r="F1302" t="s">
        <v>1768</v>
      </c>
      <c r="G1302">
        <f>+IF(dHdcp[[#This Row],[Fecha]]=MAX(dHdcp[Fecha]),1,0)</f>
        <v>0</v>
      </c>
      <c r="H1302" t="str">
        <f>+dHdcp[[#This Row],[Maximo]]&amp;":"&amp;dHdcp[[#This Row],[Nombre]]</f>
        <v>0:Enrique Gonzalez R</v>
      </c>
      <c r="I1302" t="str">
        <f>+dHdcp[[#This Row],[Maximo]]&amp;":"&amp;_xlfn.XLOOKUP(dHdcp[[#This Row],[Nombre]],dJugador[Nombre],dJugador[Mote],"",0)</f>
        <v>0:Enrique</v>
      </c>
      <c r="J1302" t="str">
        <f>+IF(dHdcp[[#This Row],[Maximo]]=0,"",_xlfn.RANK.EQ(dHdcp[[#This Row],[Handicap]],dHdcp[Handicap],1))</f>
        <v/>
      </c>
      <c r="K1302" t="str">
        <f>IFERROR(+_xlfn.RANK.EQ(dHdcp[[#This Row],[Ranking]],dHdcp[Ranking],1),"")</f>
        <v/>
      </c>
      <c r="M1302" t="str">
        <f>+dHdcp[[#This Row],[Fecha]]&amp;":"&amp;dHdcp[[#This Row],[Nombre]]</f>
        <v>44829:Enrique Gonzalez R</v>
      </c>
      <c r="N1302">
        <f>+COUNTIF(dHdcp[Columna1],dHdcp[[#This Row],[Columna1]])</f>
        <v>1</v>
      </c>
      <c r="V1302" s="18" t="s">
        <v>248</v>
      </c>
      <c r="W1302" s="18">
        <v>14</v>
      </c>
    </row>
    <row r="1303" spans="1:23">
      <c r="A1303" s="2">
        <v>44829</v>
      </c>
      <c r="B1303" t="s">
        <v>12</v>
      </c>
      <c r="C1303" s="51">
        <v>15</v>
      </c>
      <c r="D1303">
        <f>+VLOOKUP(dHdcp[[#This Row],[Handicap]],'Categoría Hdcap'!$B$2:$E$7,4)</f>
        <v>3</v>
      </c>
      <c r="E1303" t="s">
        <v>74</v>
      </c>
      <c r="F1303" t="s">
        <v>1769</v>
      </c>
      <c r="G1303">
        <f>+IF(dHdcp[[#This Row],[Fecha]]=MAX(dHdcp[Fecha]),1,0)</f>
        <v>0</v>
      </c>
      <c r="H1303" t="str">
        <f>+dHdcp[[#This Row],[Maximo]]&amp;":"&amp;dHdcp[[#This Row],[Nombre]]</f>
        <v>0:Francisco Alvarez</v>
      </c>
      <c r="I1303" t="str">
        <f>+dHdcp[[#This Row],[Maximo]]&amp;":"&amp;_xlfn.XLOOKUP(dHdcp[[#This Row],[Nombre]],dJugador[Nombre],dJugador[Mote],"",0)</f>
        <v>0:Paco</v>
      </c>
      <c r="J1303" t="str">
        <f>+IF(dHdcp[[#This Row],[Maximo]]=0,"",_xlfn.RANK.EQ(dHdcp[[#This Row],[Handicap]],dHdcp[Handicap],1))</f>
        <v/>
      </c>
      <c r="K1303" t="str">
        <f>IFERROR(+_xlfn.RANK.EQ(dHdcp[[#This Row],[Ranking]],dHdcp[Ranking],1),"")</f>
        <v/>
      </c>
      <c r="M1303" t="str">
        <f>+dHdcp[[#This Row],[Fecha]]&amp;":"&amp;dHdcp[[#This Row],[Nombre]]</f>
        <v>44829:Francisco Alvarez</v>
      </c>
      <c r="N1303">
        <f>+COUNTIF(dHdcp[Columna1],dHdcp[[#This Row],[Columna1]])</f>
        <v>1</v>
      </c>
      <c r="V1303" s="18" t="s">
        <v>12</v>
      </c>
      <c r="W1303" s="18">
        <v>15</v>
      </c>
    </row>
    <row r="1304" spans="1:23">
      <c r="A1304" s="2">
        <v>44829</v>
      </c>
      <c r="B1304" t="s">
        <v>49</v>
      </c>
      <c r="C1304" s="51">
        <v>12.1</v>
      </c>
      <c r="D1304">
        <f>+VLOOKUP(dHdcp[[#This Row],[Handicap]],'Categoría Hdcap'!$B$2:$E$7,4)</f>
        <v>3</v>
      </c>
      <c r="E1304" t="s">
        <v>74</v>
      </c>
      <c r="F1304" t="s">
        <v>1770</v>
      </c>
      <c r="G1304">
        <f>+IF(dHdcp[[#This Row],[Fecha]]=MAX(dHdcp[Fecha]),1,0)</f>
        <v>0</v>
      </c>
      <c r="H1304" t="str">
        <f>+dHdcp[[#This Row],[Maximo]]&amp;":"&amp;dHdcp[[#This Row],[Nombre]]</f>
        <v>0:Francisco Hidalgo</v>
      </c>
      <c r="I1304" t="str">
        <f>+dHdcp[[#This Row],[Maximo]]&amp;":"&amp;_xlfn.XLOOKUP(dHdcp[[#This Row],[Nombre]],dJugador[Nombre],dJugador[Mote],"",0)</f>
        <v>0:Fran</v>
      </c>
      <c r="J1304" t="str">
        <f>+IF(dHdcp[[#This Row],[Maximo]]=0,"",_xlfn.RANK.EQ(dHdcp[[#This Row],[Handicap]],dHdcp[Handicap],1))</f>
        <v/>
      </c>
      <c r="K1304" t="str">
        <f>IFERROR(+_xlfn.RANK.EQ(dHdcp[[#This Row],[Ranking]],dHdcp[Ranking],1),"")</f>
        <v/>
      </c>
      <c r="M1304" t="str">
        <f>+dHdcp[[#This Row],[Fecha]]&amp;":"&amp;dHdcp[[#This Row],[Nombre]]</f>
        <v>44829:Francisco Hidalgo</v>
      </c>
      <c r="N1304">
        <f>+COUNTIF(dHdcp[Columna1],dHdcp[[#This Row],[Columna1]])</f>
        <v>1</v>
      </c>
      <c r="V1304" s="13" t="s">
        <v>49</v>
      </c>
      <c r="W1304" s="13">
        <v>12.1</v>
      </c>
    </row>
    <row r="1305" spans="1:23">
      <c r="A1305" s="2">
        <v>44829</v>
      </c>
      <c r="B1305" t="s">
        <v>207</v>
      </c>
      <c r="C1305" s="51">
        <v>14.4</v>
      </c>
      <c r="D1305">
        <f>+VLOOKUP(dHdcp[[#This Row],[Handicap]],'Categoría Hdcap'!$B$2:$E$7,4)</f>
        <v>3</v>
      </c>
      <c r="E1305" t="s">
        <v>74</v>
      </c>
      <c r="F1305" t="s">
        <v>1771</v>
      </c>
      <c r="G1305">
        <f>+IF(dHdcp[[#This Row],[Fecha]]=MAX(dHdcp[Fecha]),1,0)</f>
        <v>0</v>
      </c>
      <c r="H1305" t="str">
        <f>+dHdcp[[#This Row],[Maximo]]&amp;":"&amp;dHdcp[[#This Row],[Nombre]]</f>
        <v>0:Franck Benouniche</v>
      </c>
      <c r="I1305" t="str">
        <f>+dHdcp[[#This Row],[Maximo]]&amp;":"&amp;_xlfn.XLOOKUP(dHdcp[[#This Row],[Nombre]],dJugador[Nombre],dJugador[Mote],"",0)</f>
        <v>0:Franck</v>
      </c>
      <c r="J1305" t="str">
        <f>+IF(dHdcp[[#This Row],[Maximo]]=0,"",_xlfn.RANK.EQ(dHdcp[[#This Row],[Handicap]],dHdcp[Handicap],1))</f>
        <v/>
      </c>
      <c r="K1305" t="str">
        <f>IFERROR(+_xlfn.RANK.EQ(dHdcp[[#This Row],[Ranking]],dHdcp[Ranking],1),"")</f>
        <v/>
      </c>
      <c r="M1305" t="str">
        <f>+dHdcp[[#This Row],[Fecha]]&amp;":"&amp;dHdcp[[#This Row],[Nombre]]</f>
        <v>44829:Franck Benouniche</v>
      </c>
      <c r="N1305">
        <f>+COUNTIF(dHdcp[Columna1],dHdcp[[#This Row],[Columna1]])</f>
        <v>1</v>
      </c>
      <c r="V1305" s="18" t="s">
        <v>207</v>
      </c>
      <c r="W1305" s="18">
        <v>14.4</v>
      </c>
    </row>
    <row r="1306" spans="1:23">
      <c r="A1306" s="2">
        <v>44829</v>
      </c>
      <c r="B1306" t="s">
        <v>35</v>
      </c>
      <c r="C1306" s="51">
        <v>17.8</v>
      </c>
      <c r="D1306">
        <f>+VLOOKUP(dHdcp[[#This Row],[Handicap]],'Categoría Hdcap'!$B$2:$E$7,4)</f>
        <v>3</v>
      </c>
      <c r="E1306" t="s">
        <v>74</v>
      </c>
      <c r="F1306" s="94" t="s">
        <v>1772</v>
      </c>
      <c r="G1306">
        <f>+IF(dHdcp[[#This Row],[Fecha]]=MAX(dHdcp[Fecha]),1,0)</f>
        <v>0</v>
      </c>
      <c r="H1306" t="str">
        <f>+dHdcp[[#This Row],[Maximo]]&amp;":"&amp;dHdcp[[#This Row],[Nombre]]</f>
        <v>0:GLEZ JUAN JOSÉ</v>
      </c>
      <c r="I1306" t="str">
        <f>+dHdcp[[#This Row],[Maximo]]&amp;":"&amp;_xlfn.XLOOKUP(dHdcp[[#This Row],[Nombre]],dJugador[Nombre],dJugador[Mote],"",0)</f>
        <v>0:Juanjo</v>
      </c>
      <c r="J1306" t="str">
        <f>+IF(dHdcp[[#This Row],[Maximo]]=0,"",_xlfn.RANK.EQ(dHdcp[[#This Row],[Handicap]],dHdcp[Handicap],1))</f>
        <v/>
      </c>
      <c r="K1306" t="str">
        <f>IFERROR(+_xlfn.RANK.EQ(dHdcp[[#This Row],[Ranking]],dHdcp[Ranking],1),"")</f>
        <v/>
      </c>
      <c r="M1306" t="str">
        <f>+dHdcp[[#This Row],[Fecha]]&amp;":"&amp;dHdcp[[#This Row],[Nombre]]</f>
        <v>44829:GLEZ JUAN JOSÉ</v>
      </c>
      <c r="N1306">
        <f>+COUNTIF(dHdcp[Columna1],dHdcp[[#This Row],[Columna1]])</f>
        <v>1</v>
      </c>
      <c r="V1306" s="18" t="s">
        <v>35</v>
      </c>
      <c r="W1306" s="18">
        <v>17.8</v>
      </c>
    </row>
    <row r="1307" spans="1:23">
      <c r="A1307" s="2">
        <v>44829</v>
      </c>
      <c r="B1307" t="s">
        <v>6</v>
      </c>
      <c r="C1307" s="51">
        <v>8</v>
      </c>
      <c r="D1307">
        <f>+VLOOKUP(dHdcp[[#This Row],[Handicap]],'Categoría Hdcap'!$B$2:$E$7,4)</f>
        <v>2</v>
      </c>
      <c r="E1307" t="s">
        <v>74</v>
      </c>
      <c r="F1307" t="s">
        <v>1773</v>
      </c>
      <c r="G1307">
        <f>+IF(dHdcp[[#This Row],[Fecha]]=MAX(dHdcp[Fecha]),1,0)</f>
        <v>0</v>
      </c>
      <c r="H1307" t="str">
        <f>+dHdcp[[#This Row],[Maximo]]&amp;":"&amp;dHdcp[[#This Row],[Nombre]]</f>
        <v>0:Ignacio Cadarso</v>
      </c>
      <c r="I1307" t="str">
        <f>+dHdcp[[#This Row],[Maximo]]&amp;":"&amp;_xlfn.XLOOKUP(dHdcp[[#This Row],[Nombre]],dJugador[Nombre],dJugador[Mote],"",0)</f>
        <v>0:Ignacio</v>
      </c>
      <c r="J1307" t="str">
        <f>+IF(dHdcp[[#This Row],[Maximo]]=0,"",_xlfn.RANK.EQ(dHdcp[[#This Row],[Handicap]],dHdcp[Handicap],1))</f>
        <v/>
      </c>
      <c r="K1307" t="str">
        <f>IFERROR(+_xlfn.RANK.EQ(dHdcp[[#This Row],[Ranking]],dHdcp[Ranking],1),"")</f>
        <v/>
      </c>
      <c r="M1307" t="str">
        <f>+dHdcp[[#This Row],[Fecha]]&amp;":"&amp;dHdcp[[#This Row],[Nombre]]</f>
        <v>44829:Ignacio Cadarso</v>
      </c>
      <c r="N1307">
        <f>+COUNTIF(dHdcp[Columna1],dHdcp[[#This Row],[Columna1]])</f>
        <v>1</v>
      </c>
      <c r="V1307" s="13" t="s">
        <v>6</v>
      </c>
      <c r="W1307" s="13">
        <v>8</v>
      </c>
    </row>
    <row r="1308" spans="1:23">
      <c r="A1308" s="2">
        <v>44829</v>
      </c>
      <c r="B1308" t="s">
        <v>23</v>
      </c>
      <c r="C1308" s="51">
        <v>17.3</v>
      </c>
      <c r="D1308">
        <f>+VLOOKUP(dHdcp[[#This Row],[Handicap]],'Categoría Hdcap'!$B$2:$E$7,4)</f>
        <v>3</v>
      </c>
      <c r="E1308" t="s">
        <v>74</v>
      </c>
      <c r="F1308" t="s">
        <v>1774</v>
      </c>
      <c r="G1308">
        <f>+IF(dHdcp[[#This Row],[Fecha]]=MAX(dHdcp[Fecha]),1,0)</f>
        <v>0</v>
      </c>
      <c r="H1308" t="str">
        <f>+dHdcp[[#This Row],[Maximo]]&amp;":"&amp;dHdcp[[#This Row],[Nombre]]</f>
        <v>0:J. Enrique Gonzalez</v>
      </c>
      <c r="I1308" t="str">
        <f>+dHdcp[[#This Row],[Maximo]]&amp;":"&amp;_xlfn.XLOOKUP(dHdcp[[#This Row],[Nombre]],dJugador[Nombre],dJugador[Mote],"",0)</f>
        <v>0:Kike</v>
      </c>
      <c r="J1308" t="str">
        <f>+IF(dHdcp[[#This Row],[Maximo]]=0,"",_xlfn.RANK.EQ(dHdcp[[#This Row],[Handicap]],dHdcp[Handicap],1))</f>
        <v/>
      </c>
      <c r="K1308" t="str">
        <f>IFERROR(+_xlfn.RANK.EQ(dHdcp[[#This Row],[Ranking]],dHdcp[Ranking],1),"")</f>
        <v/>
      </c>
      <c r="M1308" t="str">
        <f>+dHdcp[[#This Row],[Fecha]]&amp;":"&amp;dHdcp[[#This Row],[Nombre]]</f>
        <v>44829:J. Enrique Gonzalez</v>
      </c>
      <c r="N1308">
        <f>+COUNTIF(dHdcp[Columna1],dHdcp[[#This Row],[Columna1]])</f>
        <v>1</v>
      </c>
      <c r="V1308" s="13" t="s">
        <v>23</v>
      </c>
      <c r="W1308" s="13">
        <v>17.3</v>
      </c>
    </row>
    <row r="1309" spans="1:23">
      <c r="A1309" s="2">
        <v>44829</v>
      </c>
      <c r="B1309" t="s">
        <v>289</v>
      </c>
      <c r="C1309" s="51">
        <v>10.7</v>
      </c>
      <c r="D1309">
        <f>+VLOOKUP(dHdcp[[#This Row],[Handicap]],'Categoría Hdcap'!$B$2:$E$7,4)</f>
        <v>2</v>
      </c>
      <c r="E1309" t="s">
        <v>74</v>
      </c>
      <c r="F1309" t="s">
        <v>1775</v>
      </c>
      <c r="G1309">
        <f>+IF(dHdcp[[#This Row],[Fecha]]=MAX(dHdcp[Fecha]),1,0)</f>
        <v>0</v>
      </c>
      <c r="H1309" t="str">
        <f>+dHdcp[[#This Row],[Maximo]]&amp;":"&amp;dHdcp[[#This Row],[Nombre]]</f>
        <v>0:Jaime Villanueva</v>
      </c>
      <c r="I1309" t="str">
        <f>+dHdcp[[#This Row],[Maximo]]&amp;":"&amp;_xlfn.XLOOKUP(dHdcp[[#This Row],[Nombre]],dJugador[Nombre],dJugador[Mote],"",0)</f>
        <v>0:Villanueva</v>
      </c>
      <c r="J1309" t="str">
        <f>+IF(dHdcp[[#This Row],[Maximo]]=0,"",_xlfn.RANK.EQ(dHdcp[[#This Row],[Handicap]],dHdcp[Handicap],1))</f>
        <v/>
      </c>
      <c r="K1309" t="str">
        <f>IFERROR(+_xlfn.RANK.EQ(dHdcp[[#This Row],[Ranking]],dHdcp[Ranking],1),"")</f>
        <v/>
      </c>
      <c r="M1309" t="str">
        <f>+dHdcp[[#This Row],[Fecha]]&amp;":"&amp;dHdcp[[#This Row],[Nombre]]</f>
        <v>44829:Jaime Villanueva</v>
      </c>
      <c r="N1309">
        <f>+COUNTIF(dHdcp[Columna1],dHdcp[[#This Row],[Columna1]])</f>
        <v>1</v>
      </c>
      <c r="V1309" s="18" t="s">
        <v>289</v>
      </c>
      <c r="W1309" s="18"/>
    </row>
    <row r="1310" spans="1:23">
      <c r="A1310" s="2">
        <v>44829</v>
      </c>
      <c r="B1310" t="s">
        <v>46</v>
      </c>
      <c r="C1310" s="51">
        <v>17.2</v>
      </c>
      <c r="D1310">
        <f>+VLOOKUP(dHdcp[[#This Row],[Handicap]],'Categoría Hdcap'!$B$2:$E$7,4)</f>
        <v>3</v>
      </c>
      <c r="E1310" t="s">
        <v>74</v>
      </c>
      <c r="F1310" t="s">
        <v>1776</v>
      </c>
      <c r="G1310">
        <f>+IF(dHdcp[[#This Row],[Fecha]]=MAX(dHdcp[Fecha]),1,0)</f>
        <v>0</v>
      </c>
      <c r="H1310" t="str">
        <f>+dHdcp[[#This Row],[Maximo]]&amp;":"&amp;dHdcp[[#This Row],[Nombre]]</f>
        <v>0:Javier Cervera</v>
      </c>
      <c r="I1310" t="str">
        <f>+dHdcp[[#This Row],[Maximo]]&amp;":"&amp;_xlfn.XLOOKUP(dHdcp[[#This Row],[Nombre]],dJugador[Nombre],dJugador[Mote],"",0)</f>
        <v>0:Virus</v>
      </c>
      <c r="J1310" t="str">
        <f>+IF(dHdcp[[#This Row],[Maximo]]=0,"",_xlfn.RANK.EQ(dHdcp[[#This Row],[Handicap]],dHdcp[Handicap],1))</f>
        <v/>
      </c>
      <c r="K1310" t="str">
        <f>IFERROR(+_xlfn.RANK.EQ(dHdcp[[#This Row],[Ranking]],dHdcp[Ranking],1),"")</f>
        <v/>
      </c>
      <c r="M1310" t="str">
        <f>+dHdcp[[#This Row],[Fecha]]&amp;":"&amp;dHdcp[[#This Row],[Nombre]]</f>
        <v>44829:Javier Cervera</v>
      </c>
      <c r="N1310">
        <f>+COUNTIF(dHdcp[Columna1],dHdcp[[#This Row],[Columna1]])</f>
        <v>1</v>
      </c>
      <c r="V1310" s="13" t="s">
        <v>46</v>
      </c>
      <c r="W1310" s="13">
        <v>17.3</v>
      </c>
    </row>
    <row r="1311" spans="1:23">
      <c r="A1311" s="2">
        <v>44829</v>
      </c>
      <c r="B1311" t="s">
        <v>225</v>
      </c>
      <c r="C1311" s="51">
        <v>10.1</v>
      </c>
      <c r="D1311">
        <f>+VLOOKUP(dHdcp[[#This Row],[Handicap]],'Categoría Hdcap'!$B$2:$E$7,4)</f>
        <v>2</v>
      </c>
      <c r="E1311" t="s">
        <v>74</v>
      </c>
      <c r="F1311" t="s">
        <v>1777</v>
      </c>
      <c r="G1311">
        <f>+IF(dHdcp[[#This Row],[Fecha]]=MAX(dHdcp[Fecha]),1,0)</f>
        <v>0</v>
      </c>
      <c r="H1311" t="str">
        <f>+dHdcp[[#This Row],[Maximo]]&amp;":"&amp;dHdcp[[#This Row],[Nombre]]</f>
        <v>0:Javier Chiralt</v>
      </c>
      <c r="I1311" t="str">
        <f>+dHdcp[[#This Row],[Maximo]]&amp;":"&amp;_xlfn.XLOOKUP(dHdcp[[#This Row],[Nombre]],dJugador[Nombre],dJugador[Mote],"",0)</f>
        <v>0:Chiralt</v>
      </c>
      <c r="J1311" t="str">
        <f>+IF(dHdcp[[#This Row],[Maximo]]=0,"",_xlfn.RANK.EQ(dHdcp[[#This Row],[Handicap]],dHdcp[Handicap],1))</f>
        <v/>
      </c>
      <c r="K1311" t="str">
        <f>IFERROR(+_xlfn.RANK.EQ(dHdcp[[#This Row],[Ranking]],dHdcp[Ranking],1),"")</f>
        <v/>
      </c>
      <c r="M1311" t="str">
        <f>+dHdcp[[#This Row],[Fecha]]&amp;":"&amp;dHdcp[[#This Row],[Nombre]]</f>
        <v>44829:Javier Chiralt</v>
      </c>
      <c r="N1311">
        <f>+COUNTIF(dHdcp[Columna1],dHdcp[[#This Row],[Columna1]])</f>
        <v>1</v>
      </c>
      <c r="V1311" s="18" t="s">
        <v>225</v>
      </c>
      <c r="W1311" s="18">
        <v>10.1</v>
      </c>
    </row>
    <row r="1312" spans="1:23">
      <c r="A1312" s="2">
        <v>44829</v>
      </c>
      <c r="B1312" t="s">
        <v>20</v>
      </c>
      <c r="C1312" s="51">
        <v>16.3</v>
      </c>
      <c r="D1312">
        <f>+VLOOKUP(dHdcp[[#This Row],[Handicap]],'Categoría Hdcap'!$B$2:$E$7,4)</f>
        <v>3</v>
      </c>
      <c r="E1312" t="s">
        <v>74</v>
      </c>
      <c r="F1312" t="s">
        <v>1778</v>
      </c>
      <c r="G1312">
        <f>+IF(dHdcp[[#This Row],[Fecha]]=MAX(dHdcp[Fecha]),1,0)</f>
        <v>0</v>
      </c>
      <c r="H1312" t="str">
        <f>+dHdcp[[#This Row],[Maximo]]&amp;":"&amp;dHdcp[[#This Row],[Nombre]]</f>
        <v>0:Javier Gonzalez Salvador</v>
      </c>
      <c r="I1312" t="str">
        <f>+dHdcp[[#This Row],[Maximo]]&amp;":"&amp;_xlfn.XLOOKUP(dHdcp[[#This Row],[Nombre]],dJugador[Nombre],dJugador[Mote],"",0)</f>
        <v>0:Javi</v>
      </c>
      <c r="J1312" t="str">
        <f>+IF(dHdcp[[#This Row],[Maximo]]=0,"",_xlfn.RANK.EQ(dHdcp[[#This Row],[Handicap]],dHdcp[Handicap],1))</f>
        <v/>
      </c>
      <c r="K1312" t="str">
        <f>IFERROR(+_xlfn.RANK.EQ(dHdcp[[#This Row],[Ranking]],dHdcp[Ranking],1),"")</f>
        <v/>
      </c>
      <c r="M1312" t="str">
        <f>+dHdcp[[#This Row],[Fecha]]&amp;":"&amp;dHdcp[[#This Row],[Nombre]]</f>
        <v>44829:Javier Gonzalez Salvador</v>
      </c>
      <c r="N1312">
        <f>+COUNTIF(dHdcp[Columna1],dHdcp[[#This Row],[Columna1]])</f>
        <v>1</v>
      </c>
      <c r="V1312" s="13" t="s">
        <v>20</v>
      </c>
      <c r="W1312" s="13">
        <v>16.3</v>
      </c>
    </row>
    <row r="1313" spans="1:23">
      <c r="A1313" s="2">
        <v>44829</v>
      </c>
      <c r="B1313" t="s">
        <v>217</v>
      </c>
      <c r="C1313" s="51">
        <v>22.3</v>
      </c>
      <c r="D1313">
        <f>+VLOOKUP(dHdcp[[#This Row],[Handicap]],'Categoría Hdcap'!$B$2:$E$7,4)</f>
        <v>4</v>
      </c>
      <c r="E1313" t="s">
        <v>74</v>
      </c>
      <c r="F1313" t="s">
        <v>1779</v>
      </c>
      <c r="G1313">
        <f>+IF(dHdcp[[#This Row],[Fecha]]=MAX(dHdcp[Fecha]),1,0)</f>
        <v>0</v>
      </c>
      <c r="H1313" t="str">
        <f>+dHdcp[[#This Row],[Maximo]]&amp;":"&amp;dHdcp[[#This Row],[Nombre]]</f>
        <v>0:Javier Lopez Gullón</v>
      </c>
      <c r="I1313" t="str">
        <f>+dHdcp[[#This Row],[Maximo]]&amp;":"&amp;_xlfn.XLOOKUP(dHdcp[[#This Row],[Nombre]],dJugador[Nombre],dJugador[Mote],"",0)</f>
        <v>0:Cuñao</v>
      </c>
      <c r="J1313" t="str">
        <f>+IF(dHdcp[[#This Row],[Maximo]]=0,"",_xlfn.RANK.EQ(dHdcp[[#This Row],[Handicap]],dHdcp[Handicap],1))</f>
        <v/>
      </c>
      <c r="K1313" t="str">
        <f>IFERROR(+_xlfn.RANK.EQ(dHdcp[[#This Row],[Ranking]],dHdcp[Ranking],1),"")</f>
        <v/>
      </c>
      <c r="M1313" t="str">
        <f>+dHdcp[[#This Row],[Fecha]]&amp;":"&amp;dHdcp[[#This Row],[Nombre]]</f>
        <v>44829:Javier Lopez Gullón</v>
      </c>
      <c r="N1313">
        <f>+COUNTIF(dHdcp[Columna1],dHdcp[[#This Row],[Columna1]])</f>
        <v>1</v>
      </c>
      <c r="V1313" s="18" t="s">
        <v>217</v>
      </c>
      <c r="W1313" s="18">
        <v>22.3</v>
      </c>
    </row>
    <row r="1314" spans="1:23">
      <c r="A1314" s="2">
        <v>44829</v>
      </c>
      <c r="B1314" t="s">
        <v>41</v>
      </c>
      <c r="C1314" s="51">
        <v>25.3</v>
      </c>
      <c r="D1314">
        <f>+VLOOKUP(dHdcp[[#This Row],[Handicap]],'Categoría Hdcap'!$B$2:$E$7,4)</f>
        <v>4</v>
      </c>
      <c r="E1314" t="s">
        <v>74</v>
      </c>
      <c r="F1314" t="s">
        <v>1780</v>
      </c>
      <c r="G1314">
        <f>+IF(dHdcp[[#This Row],[Fecha]]=MAX(dHdcp[Fecha]),1,0)</f>
        <v>0</v>
      </c>
      <c r="H1314" t="str">
        <f>+dHdcp[[#This Row],[Maximo]]&amp;":"&amp;dHdcp[[#This Row],[Nombre]]</f>
        <v>0:Jesus Touceda</v>
      </c>
      <c r="I1314" t="str">
        <f>+dHdcp[[#This Row],[Maximo]]&amp;":"&amp;_xlfn.XLOOKUP(dHdcp[[#This Row],[Nombre]],dJugador[Nombre],dJugador[Mote],"",0)</f>
        <v>0:Jesús</v>
      </c>
      <c r="J1314" t="str">
        <f>+IF(dHdcp[[#This Row],[Maximo]]=0,"",_xlfn.RANK.EQ(dHdcp[[#This Row],[Handicap]],dHdcp[Handicap],1))</f>
        <v/>
      </c>
      <c r="K1314" t="str">
        <f>IFERROR(+_xlfn.RANK.EQ(dHdcp[[#This Row],[Ranking]],dHdcp[Ranking],1),"")</f>
        <v/>
      </c>
      <c r="M1314" t="str">
        <f>+dHdcp[[#This Row],[Fecha]]&amp;":"&amp;dHdcp[[#This Row],[Nombre]]</f>
        <v>44829:Jesus Touceda</v>
      </c>
      <c r="N1314">
        <f>+COUNTIF(dHdcp[Columna1],dHdcp[[#This Row],[Columna1]])</f>
        <v>1</v>
      </c>
      <c r="V1314" s="18" t="s">
        <v>41</v>
      </c>
      <c r="W1314" s="18">
        <v>25.3</v>
      </c>
    </row>
    <row r="1315" spans="1:23">
      <c r="A1315" s="2">
        <v>44829</v>
      </c>
      <c r="B1315" t="s">
        <v>18</v>
      </c>
      <c r="C1315" s="51">
        <v>7.5</v>
      </c>
      <c r="D1315">
        <f>+VLOOKUP(dHdcp[[#This Row],[Handicap]],'Categoría Hdcap'!$B$2:$E$7,4)</f>
        <v>2</v>
      </c>
      <c r="E1315" t="s">
        <v>74</v>
      </c>
      <c r="F1315" t="s">
        <v>1781</v>
      </c>
      <c r="G1315">
        <f>+IF(dHdcp[[#This Row],[Fecha]]=MAX(dHdcp[Fecha]),1,0)</f>
        <v>0</v>
      </c>
      <c r="H1315" t="str">
        <f>+dHdcp[[#This Row],[Maximo]]&amp;":"&amp;dHdcp[[#This Row],[Nombre]]</f>
        <v>0:José Pablo Guil</v>
      </c>
      <c r="I1315" t="str">
        <f>+dHdcp[[#This Row],[Maximo]]&amp;":"&amp;_xlfn.XLOOKUP(dHdcp[[#This Row],[Nombre]],dJugador[Nombre],dJugador[Mote],"",0)</f>
        <v>0:JP</v>
      </c>
      <c r="J1315" t="str">
        <f>+IF(dHdcp[[#This Row],[Maximo]]=0,"",_xlfn.RANK.EQ(dHdcp[[#This Row],[Handicap]],dHdcp[Handicap],1))</f>
        <v/>
      </c>
      <c r="K1315" t="str">
        <f>IFERROR(+_xlfn.RANK.EQ(dHdcp[[#This Row],[Ranking]],dHdcp[Ranking],1),"")</f>
        <v/>
      </c>
      <c r="M1315" t="str">
        <f>+dHdcp[[#This Row],[Fecha]]&amp;":"&amp;dHdcp[[#This Row],[Nombre]]</f>
        <v>44829:José Pablo Guil</v>
      </c>
      <c r="N1315">
        <f>+COUNTIF(dHdcp[Columna1],dHdcp[[#This Row],[Columna1]])</f>
        <v>1</v>
      </c>
      <c r="V1315" s="13" t="s">
        <v>18</v>
      </c>
      <c r="W1315" s="13">
        <v>7.3</v>
      </c>
    </row>
    <row r="1316" spans="1:23">
      <c r="A1316" s="2">
        <v>44829</v>
      </c>
      <c r="B1316" t="s">
        <v>293</v>
      </c>
      <c r="C1316" s="51">
        <v>21.4</v>
      </c>
      <c r="D1316">
        <f>+VLOOKUP(dHdcp[[#This Row],[Handicap]],'Categoría Hdcap'!$B$2:$E$7,4)</f>
        <v>4</v>
      </c>
      <c r="E1316" t="s">
        <v>74</v>
      </c>
      <c r="F1316" t="s">
        <v>1782</v>
      </c>
      <c r="G1316">
        <f>+IF(dHdcp[[#This Row],[Fecha]]=MAX(dHdcp[Fecha]),1,0)</f>
        <v>0</v>
      </c>
      <c r="H1316" t="str">
        <f>+dHdcp[[#This Row],[Maximo]]&amp;":"&amp;dHdcp[[#This Row],[Nombre]]</f>
        <v>0:Juan Jose Aguado</v>
      </c>
      <c r="I1316" t="str">
        <f>+dHdcp[[#This Row],[Maximo]]&amp;":"&amp;_xlfn.XLOOKUP(dHdcp[[#This Row],[Nombre]],dJugador[Nombre],dJugador[Mote],"",0)</f>
        <v>0:Juancho</v>
      </c>
      <c r="J1316" t="str">
        <f>+IF(dHdcp[[#This Row],[Maximo]]=0,"",_xlfn.RANK.EQ(dHdcp[[#This Row],[Handicap]],dHdcp[Handicap],1))</f>
        <v/>
      </c>
      <c r="K1316" t="str">
        <f>IFERROR(+_xlfn.RANK.EQ(dHdcp[[#This Row],[Ranking]],dHdcp[Ranking],1),"")</f>
        <v/>
      </c>
      <c r="M1316" t="str">
        <f>+dHdcp[[#This Row],[Fecha]]&amp;":"&amp;dHdcp[[#This Row],[Nombre]]</f>
        <v>44829:Juan Jose Aguado</v>
      </c>
      <c r="N1316">
        <f>+COUNTIF(dHdcp[Columna1],dHdcp[[#This Row],[Columna1]])</f>
        <v>1</v>
      </c>
      <c r="V1316" s="13" t="s">
        <v>293</v>
      </c>
      <c r="W1316" s="13"/>
    </row>
    <row r="1317" spans="1:23">
      <c r="A1317" s="2">
        <v>44829</v>
      </c>
      <c r="B1317" t="s">
        <v>43</v>
      </c>
      <c r="C1317" s="51">
        <v>18.5</v>
      </c>
      <c r="D1317">
        <f>+VLOOKUP(dHdcp[[#This Row],[Handicap]],'Categoría Hdcap'!$B$2:$E$7,4)</f>
        <v>4</v>
      </c>
      <c r="E1317" t="s">
        <v>74</v>
      </c>
      <c r="F1317" t="s">
        <v>1783</v>
      </c>
      <c r="G1317">
        <f>+IF(dHdcp[[#This Row],[Fecha]]=MAX(dHdcp[Fecha]),1,0)</f>
        <v>0</v>
      </c>
      <c r="H1317" t="str">
        <f>+dHdcp[[#This Row],[Maximo]]&amp;":"&amp;dHdcp[[#This Row],[Nombre]]</f>
        <v>0:Luis Escudero</v>
      </c>
      <c r="I1317" t="str">
        <f>+dHdcp[[#This Row],[Maximo]]&amp;":"&amp;_xlfn.XLOOKUP(dHdcp[[#This Row],[Nombre]],dJugador[Nombre],dJugador[Mote],"",0)</f>
        <v>0:Lucho</v>
      </c>
      <c r="J1317" t="str">
        <f>+IF(dHdcp[[#This Row],[Maximo]]=0,"",_xlfn.RANK.EQ(dHdcp[[#This Row],[Handicap]],dHdcp[Handicap],1))</f>
        <v/>
      </c>
      <c r="K1317" t="str">
        <f>IFERROR(+_xlfn.RANK.EQ(dHdcp[[#This Row],[Ranking]],dHdcp[Ranking],1),"")</f>
        <v/>
      </c>
      <c r="M1317" t="str">
        <f>+dHdcp[[#This Row],[Fecha]]&amp;":"&amp;dHdcp[[#This Row],[Nombre]]</f>
        <v>44829:Luis Escudero</v>
      </c>
      <c r="N1317">
        <f>+COUNTIF(dHdcp[Columna1],dHdcp[[#This Row],[Columna1]])</f>
        <v>1</v>
      </c>
      <c r="V1317" s="18" t="s">
        <v>43</v>
      </c>
      <c r="W1317" s="18">
        <v>18.5</v>
      </c>
    </row>
    <row r="1318" spans="1:23">
      <c r="A1318" s="2">
        <v>44829</v>
      </c>
      <c r="B1318" s="10" t="s">
        <v>135</v>
      </c>
      <c r="C1318" s="53">
        <v>23.6</v>
      </c>
      <c r="D1318">
        <f>+VLOOKUP(dHdcp[[#This Row],[Handicap]],'Categoría Hdcap'!$B$2:$E$7,4)</f>
        <v>4</v>
      </c>
      <c r="E1318" t="s">
        <v>74</v>
      </c>
      <c r="F1318" t="s">
        <v>1784</v>
      </c>
      <c r="G1318">
        <f>+IF(dHdcp[[#This Row],[Fecha]]=MAX(dHdcp[Fecha]),1,0)</f>
        <v>0</v>
      </c>
      <c r="H1318" t="str">
        <f>+dHdcp[[#This Row],[Maximo]]&amp;":"&amp;dHdcp[[#This Row],[Nombre]]</f>
        <v>0:Miche Lopez</v>
      </c>
      <c r="I1318" t="str">
        <f>+dHdcp[[#This Row],[Maximo]]&amp;":"&amp;_xlfn.XLOOKUP(dHdcp[[#This Row],[Nombre]],dJugador[Nombre],dJugador[Mote],"",0)</f>
        <v>0:Miche</v>
      </c>
      <c r="J1318" t="str">
        <f>+IF(dHdcp[[#This Row],[Maximo]]=0,"",_xlfn.RANK.EQ(dHdcp[[#This Row],[Handicap]],dHdcp[Handicap],1))</f>
        <v/>
      </c>
      <c r="K1318" t="str">
        <f>IFERROR(+_xlfn.RANK.EQ(dHdcp[[#This Row],[Ranking]],dHdcp[Ranking],1),"")</f>
        <v/>
      </c>
      <c r="M1318" t="str">
        <f>+dHdcp[[#This Row],[Fecha]]&amp;":"&amp;dHdcp[[#This Row],[Nombre]]</f>
        <v>44829:Miche Lopez</v>
      </c>
      <c r="N1318">
        <f>+COUNTIF(dHdcp[Columna1],dHdcp[[#This Row],[Columna1]])</f>
        <v>1</v>
      </c>
      <c r="V1318" s="13" t="s">
        <v>51</v>
      </c>
      <c r="W1318" s="13">
        <v>1.3</v>
      </c>
    </row>
    <row r="1319" spans="1:23">
      <c r="A1319" s="2">
        <v>44829</v>
      </c>
      <c r="B1319" t="s">
        <v>51</v>
      </c>
      <c r="C1319" s="51">
        <v>-0.1</v>
      </c>
      <c r="D1319">
        <f>+VLOOKUP(dHdcp[[#This Row],[Handicap]],'Categoría Hdcap'!$B$2:$E$7,4)</f>
        <v>1</v>
      </c>
      <c r="E1319" t="s">
        <v>74</v>
      </c>
      <c r="F1319" t="s">
        <v>1785</v>
      </c>
      <c r="G1319">
        <f>+IF(dHdcp[[#This Row],[Fecha]]=MAX(dHdcp[Fecha]),1,0)</f>
        <v>0</v>
      </c>
      <c r="H1319" t="str">
        <f>+dHdcp[[#This Row],[Maximo]]&amp;":"&amp;dHdcp[[#This Row],[Nombre]]</f>
        <v>0:Miguel Diaz Del Moral</v>
      </c>
      <c r="I1319" t="str">
        <f>+dHdcp[[#This Row],[Maximo]]&amp;":"&amp;_xlfn.XLOOKUP(dHdcp[[#This Row],[Nombre]],dJugador[Nombre],dJugador[Mote],"",0)</f>
        <v>0:Cañita</v>
      </c>
      <c r="J1319" t="str">
        <f>+IF(dHdcp[[#This Row],[Maximo]]=0,"",_xlfn.RANK.EQ(dHdcp[[#This Row],[Handicap]],dHdcp[Handicap],1))</f>
        <v/>
      </c>
      <c r="K1319" t="str">
        <f>IFERROR(+_xlfn.RANK.EQ(dHdcp[[#This Row],[Ranking]],dHdcp[Ranking],1),"")</f>
        <v/>
      </c>
      <c r="M1319" t="str">
        <f>+dHdcp[[#This Row],[Fecha]]&amp;":"&amp;dHdcp[[#This Row],[Nombre]]</f>
        <v>44829:Miguel Diaz Del Moral</v>
      </c>
      <c r="N1319">
        <f>+COUNTIF(dHdcp[Columna1],dHdcp[[#This Row],[Columna1]])</f>
        <v>1</v>
      </c>
      <c r="V1319" s="18" t="s">
        <v>205</v>
      </c>
      <c r="W1319" s="18">
        <v>7</v>
      </c>
    </row>
    <row r="1320" spans="1:23">
      <c r="A1320" s="2">
        <v>44829</v>
      </c>
      <c r="B1320" s="13" t="s">
        <v>205</v>
      </c>
      <c r="C1320" s="42">
        <v>7</v>
      </c>
      <c r="D1320">
        <f>+VLOOKUP(dHdcp[[#This Row],[Handicap]],'Categoría Hdcap'!$B$2:$E$7,4)</f>
        <v>2</v>
      </c>
      <c r="E1320" t="s">
        <v>74</v>
      </c>
      <c r="F1320" t="s">
        <v>1786</v>
      </c>
      <c r="G1320">
        <f>+IF(dHdcp[[#This Row],[Fecha]]=MAX(dHdcp[Fecha]),1,0)</f>
        <v>0</v>
      </c>
      <c r="H1320" t="str">
        <f>+dHdcp[[#This Row],[Maximo]]&amp;":"&amp;dHdcp[[#This Row],[Nombre]]</f>
        <v>0:Nacho Casas</v>
      </c>
      <c r="I1320" t="str">
        <f>+dHdcp[[#This Row],[Maximo]]&amp;":"&amp;_xlfn.XLOOKUP(dHdcp[[#This Row],[Nombre]],dJugador[Nombre],dJugador[Mote],"",0)</f>
        <v>0:Nachete</v>
      </c>
      <c r="J1320" t="str">
        <f>+IF(dHdcp[[#This Row],[Maximo]]=0,"",_xlfn.RANK.EQ(dHdcp[[#This Row],[Handicap]],dHdcp[Handicap],1))</f>
        <v/>
      </c>
      <c r="K1320" t="str">
        <f>IFERROR(+_xlfn.RANK.EQ(dHdcp[[#This Row],[Ranking]],dHdcp[Ranking],1),"")</f>
        <v/>
      </c>
      <c r="M1320" t="str">
        <f>+dHdcp[[#This Row],[Fecha]]&amp;":"&amp;dHdcp[[#This Row],[Nombre]]</f>
        <v>44829:Nacho Casas</v>
      </c>
      <c r="N1320">
        <f>+COUNTIF(dHdcp[Columna1],dHdcp[[#This Row],[Columna1]])</f>
        <v>1</v>
      </c>
      <c r="V1320" s="13" t="s">
        <v>3</v>
      </c>
      <c r="W1320" s="13">
        <v>6.4</v>
      </c>
    </row>
    <row r="1321" spans="1:23">
      <c r="A1321" s="2">
        <v>44829</v>
      </c>
      <c r="B1321" t="s">
        <v>3</v>
      </c>
      <c r="C1321" s="51">
        <v>6.4</v>
      </c>
      <c r="D1321">
        <f>+VLOOKUP(dHdcp[[#This Row],[Handicap]],'Categoría Hdcap'!$B$2:$E$7,4)</f>
        <v>2</v>
      </c>
      <c r="E1321" t="s">
        <v>74</v>
      </c>
      <c r="F1321" t="s">
        <v>1787</v>
      </c>
      <c r="G1321">
        <f>+IF(dHdcp[[#This Row],[Fecha]]=MAX(dHdcp[Fecha]),1,0)</f>
        <v>0</v>
      </c>
      <c r="H1321" t="str">
        <f>+dHdcp[[#This Row],[Maximo]]&amp;":"&amp;dHdcp[[#This Row],[Nombre]]</f>
        <v>0:Nacho Gonzalez</v>
      </c>
      <c r="I1321" t="str">
        <f>+dHdcp[[#This Row],[Maximo]]&amp;":"&amp;_xlfn.XLOOKUP(dHdcp[[#This Row],[Nombre]],dJugador[Nombre],dJugador[Mote],"",0)</f>
        <v>0:Nacho</v>
      </c>
      <c r="J1321" t="str">
        <f>+IF(dHdcp[[#This Row],[Maximo]]=0,"",_xlfn.RANK.EQ(dHdcp[[#This Row],[Handicap]],dHdcp[Handicap],1))</f>
        <v/>
      </c>
      <c r="K1321" t="str">
        <f>IFERROR(+_xlfn.RANK.EQ(dHdcp[[#This Row],[Ranking]],dHdcp[Ranking],1),"")</f>
        <v/>
      </c>
      <c r="M1321" t="str">
        <f>+dHdcp[[#This Row],[Fecha]]&amp;":"&amp;dHdcp[[#This Row],[Nombre]]</f>
        <v>44829:Nacho Gonzalez</v>
      </c>
      <c r="N1321">
        <f>+COUNTIF(dHdcp[Columna1],dHdcp[[#This Row],[Columna1]])</f>
        <v>1</v>
      </c>
      <c r="V1321" s="13" t="s">
        <v>28</v>
      </c>
      <c r="W1321" s="13">
        <v>13.7</v>
      </c>
    </row>
    <row r="1322" spans="1:23">
      <c r="A1322" s="2">
        <v>44829</v>
      </c>
      <c r="B1322" t="s">
        <v>28</v>
      </c>
      <c r="C1322" s="51">
        <v>13.7</v>
      </c>
      <c r="D1322">
        <f>+VLOOKUP(dHdcp[[#This Row],[Handicap]],'Categoría Hdcap'!$B$2:$E$7,4)</f>
        <v>3</v>
      </c>
      <c r="E1322" t="s">
        <v>74</v>
      </c>
      <c r="F1322" t="s">
        <v>1788</v>
      </c>
      <c r="G1322">
        <f>+IF(dHdcp[[#This Row],[Fecha]]=MAX(dHdcp[Fecha]),1,0)</f>
        <v>0</v>
      </c>
      <c r="H1322" t="str">
        <f>+dHdcp[[#This Row],[Maximo]]&amp;":"&amp;dHdcp[[#This Row],[Nombre]]</f>
        <v>0:Pablo Munitiz</v>
      </c>
      <c r="I1322" t="str">
        <f>+dHdcp[[#This Row],[Maximo]]&amp;":"&amp;_xlfn.XLOOKUP(dHdcp[[#This Row],[Nombre]],dJugador[Nombre],dJugador[Mote],"",0)</f>
        <v>0:Muni</v>
      </c>
      <c r="J1322" t="str">
        <f>+IF(dHdcp[[#This Row],[Maximo]]=0,"",_xlfn.RANK.EQ(dHdcp[[#This Row],[Handicap]],dHdcp[Handicap],1))</f>
        <v/>
      </c>
      <c r="K1322" t="str">
        <f>IFERROR(+_xlfn.RANK.EQ(dHdcp[[#This Row],[Ranking]],dHdcp[Ranking],1),"")</f>
        <v/>
      </c>
      <c r="M1322" t="str">
        <f>+dHdcp[[#This Row],[Fecha]]&amp;":"&amp;dHdcp[[#This Row],[Nombre]]</f>
        <v>44829:Pablo Munitiz</v>
      </c>
      <c r="N1322">
        <f>+COUNTIF(dHdcp[Columna1],dHdcp[[#This Row],[Columna1]])</f>
        <v>1</v>
      </c>
      <c r="V1322" s="18" t="s">
        <v>203</v>
      </c>
      <c r="W1322" s="18">
        <v>17.600000000000001</v>
      </c>
    </row>
    <row r="1323" spans="1:23">
      <c r="A1323" s="2">
        <v>44829</v>
      </c>
      <c r="B1323" t="s">
        <v>203</v>
      </c>
      <c r="C1323" s="51">
        <v>17.600000000000001</v>
      </c>
      <c r="D1323">
        <f>+VLOOKUP(dHdcp[[#This Row],[Handicap]],'Categoría Hdcap'!$B$2:$E$7,4)</f>
        <v>3</v>
      </c>
      <c r="E1323" t="s">
        <v>74</v>
      </c>
      <c r="F1323" t="s">
        <v>1789</v>
      </c>
      <c r="G1323">
        <f>+IF(dHdcp[[#This Row],[Fecha]]=MAX(dHdcp[Fecha]),1,0)</f>
        <v>0</v>
      </c>
      <c r="H1323" t="str">
        <f>+dHdcp[[#This Row],[Maximo]]&amp;":"&amp;dHdcp[[#This Row],[Nombre]]</f>
        <v>0:Ruslan Kochman</v>
      </c>
      <c r="I1323" t="str">
        <f>+dHdcp[[#This Row],[Maximo]]&amp;":"&amp;_xlfn.XLOOKUP(dHdcp[[#This Row],[Nombre]],dJugador[Nombre],dJugador[Mote],"",0)</f>
        <v>0:Rus</v>
      </c>
      <c r="J1323" t="str">
        <f>+IF(dHdcp[[#This Row],[Maximo]]=0,"",_xlfn.RANK.EQ(dHdcp[[#This Row],[Handicap]],dHdcp[Handicap],1))</f>
        <v/>
      </c>
      <c r="K1323" t="str">
        <f>IFERROR(+_xlfn.RANK.EQ(dHdcp[[#This Row],[Ranking]],dHdcp[Ranking],1),"")</f>
        <v/>
      </c>
      <c r="M1323" t="str">
        <f>+dHdcp[[#This Row],[Fecha]]&amp;":"&amp;dHdcp[[#This Row],[Nombre]]</f>
        <v>44829:Ruslan Kochman</v>
      </c>
      <c r="N1323">
        <f>+COUNTIF(dHdcp[Columna1],dHdcp[[#This Row],[Columna1]])</f>
        <v>1</v>
      </c>
      <c r="V1323" s="13" t="s">
        <v>271</v>
      </c>
      <c r="W1323" s="13">
        <v>16.399999999999999</v>
      </c>
    </row>
    <row r="1324" spans="1:23">
      <c r="A1324" s="2">
        <v>44829</v>
      </c>
      <c r="B1324" t="s">
        <v>271</v>
      </c>
      <c r="C1324" s="51">
        <v>16.399999999999999</v>
      </c>
      <c r="D1324">
        <f>+VLOOKUP(dHdcp[[#This Row],[Handicap]],'Categoría Hdcap'!$B$2:$E$7,4)</f>
        <v>3</v>
      </c>
      <c r="E1324" t="s">
        <v>74</v>
      </c>
      <c r="F1324" t="s">
        <v>1790</v>
      </c>
      <c r="G1324">
        <f>+IF(dHdcp[[#This Row],[Fecha]]=MAX(dHdcp[Fecha]),1,0)</f>
        <v>0</v>
      </c>
      <c r="H1324" t="str">
        <f>+dHdcp[[#This Row],[Maximo]]&amp;":"&amp;dHdcp[[#This Row],[Nombre]]</f>
        <v>0:Santi Diaz</v>
      </c>
      <c r="I1324" t="str">
        <f>+dHdcp[[#This Row],[Maximo]]&amp;":"&amp;_xlfn.XLOOKUP(dHdcp[[#This Row],[Nombre]],dJugador[Nombre],dJugador[Mote],"",0)</f>
        <v>0:Santi</v>
      </c>
      <c r="J1324" t="str">
        <f>+IF(dHdcp[[#This Row],[Maximo]]=0,"",_xlfn.RANK.EQ(dHdcp[[#This Row],[Handicap]],dHdcp[Handicap],1))</f>
        <v/>
      </c>
      <c r="K1324" t="str">
        <f>IFERROR(+_xlfn.RANK.EQ(dHdcp[[#This Row],[Ranking]],dHdcp[Ranking],1),"")</f>
        <v/>
      </c>
      <c r="M1324" t="str">
        <f>+dHdcp[[#This Row],[Fecha]]&amp;":"&amp;dHdcp[[#This Row],[Nombre]]</f>
        <v>44829:Santi Diaz</v>
      </c>
      <c r="N1324">
        <f>+COUNTIF(dHdcp[Columna1],dHdcp[[#This Row],[Columna1]])</f>
        <v>1</v>
      </c>
      <c r="V1324" s="28" t="s">
        <v>135</v>
      </c>
      <c r="W1324" s="28">
        <v>23.6</v>
      </c>
    </row>
    <row r="1325" spans="1:23">
      <c r="A1325" s="2">
        <v>44863</v>
      </c>
      <c r="B1325" t="s">
        <v>259</v>
      </c>
      <c r="C1325" s="51">
        <v>3.5</v>
      </c>
      <c r="D1325">
        <f>+VLOOKUP(dHdcp[[#This Row],[Handicap]],'Categoría Hdcap'!$B$2:$E$7,4)</f>
        <v>1</v>
      </c>
      <c r="E1325" t="s">
        <v>74</v>
      </c>
      <c r="F1325" t="s">
        <v>1791</v>
      </c>
      <c r="G1325">
        <f>+IF(dHdcp[[#This Row],[Fecha]]=MAX(dHdcp[Fecha]),1,0)</f>
        <v>0</v>
      </c>
      <c r="H1325" t="str">
        <f>+dHdcp[[#This Row],[Maximo]]&amp;":"&amp;dHdcp[[#This Row],[Nombre]]</f>
        <v>0:Alejandro Arcos</v>
      </c>
      <c r="I1325" t="str">
        <f>+dHdcp[[#This Row],[Maximo]]&amp;":"&amp;_xlfn.XLOOKUP(dHdcp[[#This Row],[Nombre]],dJugador[Nombre],dJugador[Mote],"",0)</f>
        <v>0:Alex</v>
      </c>
      <c r="J1325" t="str">
        <f>+IF(dHdcp[[#This Row],[Maximo]]=0,"",_xlfn.RANK.EQ(dHdcp[[#This Row],[Handicap]],dHdcp[Handicap],1))</f>
        <v/>
      </c>
      <c r="K1325" t="str">
        <f>IFERROR(+_xlfn.RANK.EQ(dHdcp[[#This Row],[Ranking]],dHdcp[Ranking],1),"")</f>
        <v/>
      </c>
      <c r="M1325" t="str">
        <f>+dHdcp[[#This Row],[Fecha]]&amp;":"&amp;dHdcp[[#This Row],[Nombre]]</f>
        <v>44863:Alejandro Arcos</v>
      </c>
      <c r="N1325">
        <f>+COUNTIF(dHdcp[Columna1],dHdcp[[#This Row],[Columna1]])</f>
        <v>1</v>
      </c>
    </row>
    <row r="1326" spans="1:23">
      <c r="A1326" s="2">
        <v>44863</v>
      </c>
      <c r="B1326" t="s">
        <v>9</v>
      </c>
      <c r="C1326" s="51">
        <v>10.4</v>
      </c>
      <c r="D1326">
        <f>+VLOOKUP(dHdcp[[#This Row],[Handicap]],'Categoría Hdcap'!$B$2:$E$7,4)</f>
        <v>2</v>
      </c>
      <c r="E1326" t="s">
        <v>74</v>
      </c>
      <c r="F1326" t="s">
        <v>1792</v>
      </c>
      <c r="G1326">
        <f>+IF(dHdcp[[#This Row],[Fecha]]=MAX(dHdcp[Fecha]),1,0)</f>
        <v>0</v>
      </c>
      <c r="H1326" t="str">
        <f>+dHdcp[[#This Row],[Maximo]]&amp;":"&amp;dHdcp[[#This Row],[Nombre]]</f>
        <v>0:Alfonso Hidalgo</v>
      </c>
      <c r="I1326" t="str">
        <f>+dHdcp[[#This Row],[Maximo]]&amp;":"&amp;_xlfn.XLOOKUP(dHdcp[[#This Row],[Nombre]],dJugador[Nombre],dJugador[Mote],"",0)</f>
        <v>0:Alfonso</v>
      </c>
      <c r="J1326" t="str">
        <f>+IF(dHdcp[[#This Row],[Maximo]]=0,"",_xlfn.RANK.EQ(dHdcp[[#This Row],[Handicap]],dHdcp[Handicap],1))</f>
        <v/>
      </c>
      <c r="K1326" t="str">
        <f>IFERROR(+_xlfn.RANK.EQ(dHdcp[[#This Row],[Ranking]],dHdcp[Ranking],1),"")</f>
        <v/>
      </c>
      <c r="M1326" t="str">
        <f>+dHdcp[[#This Row],[Fecha]]&amp;":"&amp;dHdcp[[#This Row],[Nombre]]</f>
        <v>44863:Alfonso Hidalgo</v>
      </c>
      <c r="N1326">
        <f>+COUNTIF(dHdcp[Columna1],dHdcp[[#This Row],[Columna1]])</f>
        <v>1</v>
      </c>
    </row>
    <row r="1327" spans="1:23">
      <c r="A1327" s="2">
        <v>44863</v>
      </c>
      <c r="B1327" t="s">
        <v>229</v>
      </c>
      <c r="C1327" s="51">
        <v>13.6</v>
      </c>
      <c r="D1327">
        <f>+VLOOKUP(dHdcp[[#This Row],[Handicap]],'Categoría Hdcap'!$B$2:$E$7,4)</f>
        <v>3</v>
      </c>
      <c r="E1327" t="s">
        <v>74</v>
      </c>
      <c r="F1327" t="s">
        <v>1793</v>
      </c>
      <c r="G1327">
        <f>+IF(dHdcp[[#This Row],[Fecha]]=MAX(dHdcp[Fecha]),1,0)</f>
        <v>0</v>
      </c>
      <c r="H1327" t="str">
        <f>+dHdcp[[#This Row],[Maximo]]&amp;":"&amp;dHdcp[[#This Row],[Nombre]]</f>
        <v>0:Alfonso Zorrilla</v>
      </c>
      <c r="I1327" t="str">
        <f>+dHdcp[[#This Row],[Maximo]]&amp;":"&amp;_xlfn.XLOOKUP(dHdcp[[#This Row],[Nombre]],dJugador[Nombre],dJugador[Mote],"",0)</f>
        <v>0:A Zorrilla</v>
      </c>
      <c r="J1327" t="str">
        <f>+IF(dHdcp[[#This Row],[Maximo]]=0,"",_xlfn.RANK.EQ(dHdcp[[#This Row],[Handicap]],dHdcp[Handicap],1))</f>
        <v/>
      </c>
      <c r="K1327" t="str">
        <f>IFERROR(+_xlfn.RANK.EQ(dHdcp[[#This Row],[Ranking]],dHdcp[Ranking],1),"")</f>
        <v/>
      </c>
      <c r="M1327" t="str">
        <f>+dHdcp[[#This Row],[Fecha]]&amp;":"&amp;dHdcp[[#This Row],[Nombre]]</f>
        <v>44863:Alfonso Zorrilla</v>
      </c>
      <c r="N1327">
        <f>+COUNTIF(dHdcp[Columna1],dHdcp[[#This Row],[Columna1]])</f>
        <v>1</v>
      </c>
    </row>
    <row r="1328" spans="1:23">
      <c r="A1328" s="2">
        <v>44863</v>
      </c>
      <c r="B1328" s="13" t="s">
        <v>15</v>
      </c>
      <c r="C1328" s="51">
        <v>7</v>
      </c>
      <c r="D1328">
        <f>+VLOOKUP(dHdcp[[#This Row],[Handicap]],'Categoría Hdcap'!$B$2:$E$7,4)</f>
        <v>2</v>
      </c>
      <c r="E1328" t="s">
        <v>74</v>
      </c>
      <c r="F1328" t="s">
        <v>1794</v>
      </c>
      <c r="G1328">
        <f>+IF(dHdcp[[#This Row],[Fecha]]=MAX(dHdcp[Fecha]),1,0)</f>
        <v>0</v>
      </c>
      <c r="H1328" t="str">
        <f>+dHdcp[[#This Row],[Maximo]]&amp;":"&amp;dHdcp[[#This Row],[Nombre]]</f>
        <v>0:Alvaro Aguirre</v>
      </c>
      <c r="I1328" t="str">
        <f>+dHdcp[[#This Row],[Maximo]]&amp;":"&amp;_xlfn.XLOOKUP(dHdcp[[#This Row],[Nombre]],dJugador[Nombre],dJugador[Mote],"",0)</f>
        <v>0:Gifu</v>
      </c>
      <c r="J1328" t="str">
        <f>+IF(dHdcp[[#This Row],[Maximo]]=0,"",_xlfn.RANK.EQ(dHdcp[[#This Row],[Handicap]],dHdcp[Handicap],1))</f>
        <v/>
      </c>
      <c r="K1328" t="str">
        <f>IFERROR(+_xlfn.RANK.EQ(dHdcp[[#This Row],[Ranking]],dHdcp[Ranking],1),"")</f>
        <v/>
      </c>
      <c r="M1328" t="str">
        <f>+dHdcp[[#This Row],[Fecha]]&amp;":"&amp;dHdcp[[#This Row],[Nombre]]</f>
        <v>44863:Alvaro Aguirre</v>
      </c>
      <c r="N1328">
        <f>+COUNTIF(dHdcp[Columna1],dHdcp[[#This Row],[Columna1]])</f>
        <v>1</v>
      </c>
    </row>
    <row r="1329" spans="1:14">
      <c r="A1329" s="2">
        <v>44863</v>
      </c>
      <c r="B1329" t="s">
        <v>201</v>
      </c>
      <c r="C1329" s="51">
        <v>8.6999999999999993</v>
      </c>
      <c r="D1329">
        <f>+VLOOKUP(dHdcp[[#This Row],[Handicap]],'Categoría Hdcap'!$B$2:$E$7,4)</f>
        <v>2</v>
      </c>
      <c r="E1329" t="s">
        <v>74</v>
      </c>
      <c r="F1329" t="s">
        <v>1795</v>
      </c>
      <c r="G1329">
        <f>+IF(dHdcp[[#This Row],[Fecha]]=MAX(dHdcp[Fecha]),1,0)</f>
        <v>0</v>
      </c>
      <c r="H1329" t="str">
        <f>+dHdcp[[#This Row],[Maximo]]&amp;":"&amp;dHdcp[[#This Row],[Nombre]]</f>
        <v>0:Alvaro Montoya</v>
      </c>
      <c r="I1329" t="str">
        <f>+dHdcp[[#This Row],[Maximo]]&amp;":"&amp;_xlfn.XLOOKUP(dHdcp[[#This Row],[Nombre]],dJugador[Nombre],dJugador[Mote],"",0)</f>
        <v>0:Monti</v>
      </c>
      <c r="J1329" t="str">
        <f>+IF(dHdcp[[#This Row],[Maximo]]=0,"",_xlfn.RANK.EQ(dHdcp[[#This Row],[Handicap]],dHdcp[Handicap],1))</f>
        <v/>
      </c>
      <c r="K1329" t="str">
        <f>IFERROR(+_xlfn.RANK.EQ(dHdcp[[#This Row],[Ranking]],dHdcp[Ranking],1),"")</f>
        <v/>
      </c>
      <c r="M1329" t="str">
        <f>+dHdcp[[#This Row],[Fecha]]&amp;":"&amp;dHdcp[[#This Row],[Nombre]]</f>
        <v>44863:Alvaro Montoya</v>
      </c>
      <c r="N1329">
        <f>+COUNTIF(dHdcp[Columna1],dHdcp[[#This Row],[Columna1]])</f>
        <v>1</v>
      </c>
    </row>
    <row r="1330" spans="1:14">
      <c r="A1330" s="2">
        <v>44863</v>
      </c>
      <c r="B1330" t="s">
        <v>25</v>
      </c>
      <c r="C1330" s="51">
        <v>12.3</v>
      </c>
      <c r="D1330">
        <f>+VLOOKUP(dHdcp[[#This Row],[Handicap]],'Categoría Hdcap'!$B$2:$E$7,4)</f>
        <v>3</v>
      </c>
      <c r="E1330" t="s">
        <v>74</v>
      </c>
      <c r="F1330" t="s">
        <v>1796</v>
      </c>
      <c r="G1330">
        <f>+IF(dHdcp[[#This Row],[Fecha]]=MAX(dHdcp[Fecha]),1,0)</f>
        <v>0</v>
      </c>
      <c r="H1330" t="str">
        <f>+dHdcp[[#This Row],[Maximo]]&amp;":"&amp;dHdcp[[#This Row],[Nombre]]</f>
        <v>0:Alvaro Nieto</v>
      </c>
      <c r="I1330" t="str">
        <f>+dHdcp[[#This Row],[Maximo]]&amp;":"&amp;_xlfn.XLOOKUP(dHdcp[[#This Row],[Nombre]],dJugador[Nombre],dJugador[Mote],"",0)</f>
        <v>0:Alvaro</v>
      </c>
      <c r="J1330" t="str">
        <f>+IF(dHdcp[[#This Row],[Maximo]]=0,"",_xlfn.RANK.EQ(dHdcp[[#This Row],[Handicap]],dHdcp[Handicap],1))</f>
        <v/>
      </c>
      <c r="K1330" t="str">
        <f>IFERROR(+_xlfn.RANK.EQ(dHdcp[[#This Row],[Ranking]],dHdcp[Ranking],1),"")</f>
        <v/>
      </c>
      <c r="M1330" t="str">
        <f>+dHdcp[[#This Row],[Fecha]]&amp;":"&amp;dHdcp[[#This Row],[Nombre]]</f>
        <v>44863:Alvaro Nieto</v>
      </c>
      <c r="N1330">
        <f>+COUNTIF(dHdcp[Columna1],dHdcp[[#This Row],[Columna1]])</f>
        <v>1</v>
      </c>
    </row>
    <row r="1331" spans="1:14">
      <c r="A1331" s="2">
        <v>44863</v>
      </c>
      <c r="B1331" t="s">
        <v>33</v>
      </c>
      <c r="C1331" s="51">
        <v>7.3</v>
      </c>
      <c r="D1331">
        <f>+VLOOKUP(dHdcp[[#This Row],[Handicap]],'Categoría Hdcap'!$B$2:$E$7,4)</f>
        <v>2</v>
      </c>
      <c r="E1331" t="s">
        <v>74</v>
      </c>
      <c r="F1331" t="s">
        <v>1797</v>
      </c>
      <c r="G1331">
        <f>+IF(dHdcp[[#This Row],[Fecha]]=MAX(dHdcp[Fecha]),1,0)</f>
        <v>0</v>
      </c>
      <c r="H1331" t="str">
        <f>+dHdcp[[#This Row],[Maximo]]&amp;":"&amp;dHdcp[[#This Row],[Nombre]]</f>
        <v>0:Angel Hernandez</v>
      </c>
      <c r="I1331" t="str">
        <f>+dHdcp[[#This Row],[Maximo]]&amp;":"&amp;_xlfn.XLOOKUP(dHdcp[[#This Row],[Nombre]],dJugador[Nombre],dJugador[Mote],"",0)</f>
        <v>0:Angel</v>
      </c>
      <c r="J1331" t="str">
        <f>+IF(dHdcp[[#This Row],[Maximo]]=0,"",_xlfn.RANK.EQ(dHdcp[[#This Row],[Handicap]],dHdcp[Handicap],1))</f>
        <v/>
      </c>
      <c r="K1331" t="str">
        <f>IFERROR(+_xlfn.RANK.EQ(dHdcp[[#This Row],[Ranking]],dHdcp[Ranking],1),"")</f>
        <v/>
      </c>
      <c r="M1331" t="str">
        <f>+dHdcp[[#This Row],[Fecha]]&amp;":"&amp;dHdcp[[#This Row],[Nombre]]</f>
        <v>44863:Angel Hernandez</v>
      </c>
      <c r="N1331">
        <f>+COUNTIF(dHdcp[Columna1],dHdcp[[#This Row],[Columna1]])</f>
        <v>1</v>
      </c>
    </row>
    <row r="1332" spans="1:14">
      <c r="A1332" s="2">
        <v>44863</v>
      </c>
      <c r="B1332" t="s">
        <v>264</v>
      </c>
      <c r="C1332" s="51">
        <v>19.100000000000001</v>
      </c>
      <c r="D1332">
        <f>+VLOOKUP(dHdcp[[#This Row],[Handicap]],'Categoría Hdcap'!$B$2:$E$7,4)</f>
        <v>4</v>
      </c>
      <c r="E1332" t="s">
        <v>74</v>
      </c>
      <c r="F1332" t="s">
        <v>1798</v>
      </c>
      <c r="G1332">
        <f>+IF(dHdcp[[#This Row],[Fecha]]=MAX(dHdcp[Fecha]),1,0)</f>
        <v>0</v>
      </c>
      <c r="H1332" t="str">
        <f>+dHdcp[[#This Row],[Maximo]]&amp;":"&amp;dHdcp[[#This Row],[Nombre]]</f>
        <v>0:Antonio Carmona</v>
      </c>
      <c r="I1332" t="str">
        <f>+dHdcp[[#This Row],[Maximo]]&amp;":"&amp;_xlfn.XLOOKUP(dHdcp[[#This Row],[Nombre]],dJugador[Nombre],dJugador[Mote],"",0)</f>
        <v>0:Antonio</v>
      </c>
      <c r="J1332" t="str">
        <f>+IF(dHdcp[[#This Row],[Maximo]]=0,"",_xlfn.RANK.EQ(dHdcp[[#This Row],[Handicap]],dHdcp[Handicap],1))</f>
        <v/>
      </c>
      <c r="K1332" t="str">
        <f>IFERROR(+_xlfn.RANK.EQ(dHdcp[[#This Row],[Ranking]],dHdcp[Ranking],1),"")</f>
        <v/>
      </c>
      <c r="M1332" t="str">
        <f>+dHdcp[[#This Row],[Fecha]]&amp;":"&amp;dHdcp[[#This Row],[Nombre]]</f>
        <v>44863:Antonio Carmona</v>
      </c>
      <c r="N1332">
        <f>+COUNTIF(dHdcp[Columna1],dHdcp[[#This Row],[Columna1]])</f>
        <v>1</v>
      </c>
    </row>
    <row r="1333" spans="1:14">
      <c r="A1333" s="2">
        <v>44863</v>
      </c>
      <c r="B1333" s="13" t="s">
        <v>290</v>
      </c>
      <c r="C1333" s="42">
        <v>26.5</v>
      </c>
      <c r="D1333">
        <f>+VLOOKUP(dHdcp[[#This Row],[Handicap]],'Categoría Hdcap'!$B$2:$E$7,4)</f>
        <v>5</v>
      </c>
      <c r="E1333" t="s">
        <v>74</v>
      </c>
      <c r="F1333" t="s">
        <v>1799</v>
      </c>
      <c r="G1333">
        <f>+IF(dHdcp[[#This Row],[Fecha]]=MAX(dHdcp[Fecha]),1,0)</f>
        <v>0</v>
      </c>
      <c r="H1333" t="str">
        <f>+dHdcp[[#This Row],[Maximo]]&amp;":"&amp;dHdcp[[#This Row],[Nombre]]</f>
        <v>0:Carlos Hijas</v>
      </c>
      <c r="I1333" t="str">
        <f>+dHdcp[[#This Row],[Maximo]]&amp;":"&amp;_xlfn.XLOOKUP(dHdcp[[#This Row],[Nombre]],dJugador[Nombre],dJugador[Mote],"",0)</f>
        <v>0:Hijas</v>
      </c>
      <c r="J1333" t="str">
        <f>+IF(dHdcp[[#This Row],[Maximo]]=0,"",_xlfn.RANK.EQ(dHdcp[[#This Row],[Handicap]],dHdcp[Handicap],1))</f>
        <v/>
      </c>
      <c r="K1333" t="str">
        <f>IFERROR(+_xlfn.RANK.EQ(dHdcp[[#This Row],[Ranking]],dHdcp[Ranking],1),"")</f>
        <v/>
      </c>
      <c r="M1333" t="str">
        <f>+dHdcp[[#This Row],[Fecha]]&amp;":"&amp;dHdcp[[#This Row],[Nombre]]</f>
        <v>44863:Carlos Hijas</v>
      </c>
      <c r="N1333">
        <f>+COUNTIF(dHdcp[Columna1],dHdcp[[#This Row],[Columna1]])</f>
        <v>1</v>
      </c>
    </row>
    <row r="1334" spans="1:14">
      <c r="A1334" s="2">
        <v>44863</v>
      </c>
      <c r="B1334" s="13" t="s">
        <v>291</v>
      </c>
      <c r="C1334" s="42">
        <v>1.7</v>
      </c>
      <c r="D1334">
        <f>+VLOOKUP(dHdcp[[#This Row],[Handicap]],'Categoría Hdcap'!$B$2:$E$7,4)</f>
        <v>1</v>
      </c>
      <c r="E1334" t="s">
        <v>74</v>
      </c>
      <c r="F1334" t="s">
        <v>1800</v>
      </c>
      <c r="G1334">
        <f>+IF(dHdcp[[#This Row],[Fecha]]=MAX(dHdcp[Fecha]),1,0)</f>
        <v>0</v>
      </c>
      <c r="H1334" t="str">
        <f>+dHdcp[[#This Row],[Maximo]]&amp;":"&amp;dHdcp[[#This Row],[Nombre]]</f>
        <v>0:Carlos Maestro</v>
      </c>
      <c r="I1334" t="str">
        <f>+dHdcp[[#This Row],[Maximo]]&amp;":"&amp;_xlfn.XLOOKUP(dHdcp[[#This Row],[Nombre]],dJugador[Nombre],dJugador[Mote],"",0)</f>
        <v>0:Carlitos</v>
      </c>
      <c r="J1334" t="str">
        <f>+IF(dHdcp[[#This Row],[Maximo]]=0,"",_xlfn.RANK.EQ(dHdcp[[#This Row],[Handicap]],dHdcp[Handicap],1))</f>
        <v/>
      </c>
      <c r="K1334" t="str">
        <f>IFERROR(+_xlfn.RANK.EQ(dHdcp[[#This Row],[Ranking]],dHdcp[Ranking],1),"")</f>
        <v/>
      </c>
      <c r="M1334" t="str">
        <f>+dHdcp[[#This Row],[Fecha]]&amp;":"&amp;dHdcp[[#This Row],[Nombre]]</f>
        <v>44863:Carlos Maestro</v>
      </c>
      <c r="N1334">
        <f>+COUNTIF(dHdcp[Columna1],dHdcp[[#This Row],[Columna1]])</f>
        <v>1</v>
      </c>
    </row>
    <row r="1335" spans="1:14">
      <c r="A1335" s="2">
        <v>44863</v>
      </c>
      <c r="B1335" t="s">
        <v>30</v>
      </c>
      <c r="C1335" s="51">
        <v>10.4</v>
      </c>
      <c r="D1335">
        <f>+VLOOKUP(dHdcp[[#This Row],[Handicap]],'Categoría Hdcap'!$B$2:$E$7,4)</f>
        <v>2</v>
      </c>
      <c r="E1335" t="s">
        <v>74</v>
      </c>
      <c r="F1335" t="s">
        <v>1801</v>
      </c>
      <c r="G1335">
        <f>+IF(dHdcp[[#This Row],[Fecha]]=MAX(dHdcp[Fecha]),1,0)</f>
        <v>0</v>
      </c>
      <c r="H1335" t="str">
        <f>+dHdcp[[#This Row],[Maximo]]&amp;":"&amp;dHdcp[[#This Row],[Nombre]]</f>
        <v>0:David Sequera</v>
      </c>
      <c r="I1335" t="str">
        <f>+dHdcp[[#This Row],[Maximo]]&amp;":"&amp;_xlfn.XLOOKUP(dHdcp[[#This Row],[Nombre]],dJugador[Nombre],dJugador[Mote],"",0)</f>
        <v>0:David</v>
      </c>
      <c r="J1335" t="str">
        <f>+IF(dHdcp[[#This Row],[Maximo]]=0,"",_xlfn.RANK.EQ(dHdcp[[#This Row],[Handicap]],dHdcp[Handicap],1))</f>
        <v/>
      </c>
      <c r="K1335" t="str">
        <f>IFERROR(+_xlfn.RANK.EQ(dHdcp[[#This Row],[Ranking]],dHdcp[Ranking],1),"")</f>
        <v/>
      </c>
      <c r="M1335" t="str">
        <f>+dHdcp[[#This Row],[Fecha]]&amp;":"&amp;dHdcp[[#This Row],[Nombre]]</f>
        <v>44863:David Sequera</v>
      </c>
      <c r="N1335">
        <f>+COUNTIF(dHdcp[Columna1],dHdcp[[#This Row],[Columna1]])</f>
        <v>1</v>
      </c>
    </row>
    <row r="1336" spans="1:14">
      <c r="A1336" s="2">
        <v>44863</v>
      </c>
      <c r="B1336" s="83" t="s">
        <v>248</v>
      </c>
      <c r="C1336" s="84">
        <v>14</v>
      </c>
      <c r="D1336">
        <f>+VLOOKUP(dHdcp[[#This Row],[Handicap]],'Categoría Hdcap'!$B$2:$E$7,4)</f>
        <v>3</v>
      </c>
      <c r="E1336" t="s">
        <v>74</v>
      </c>
      <c r="F1336" t="s">
        <v>1802</v>
      </c>
      <c r="G1336">
        <f>+IF(dHdcp[[#This Row],[Fecha]]=MAX(dHdcp[Fecha]),1,0)</f>
        <v>0</v>
      </c>
      <c r="H1336" t="str">
        <f>+dHdcp[[#This Row],[Maximo]]&amp;":"&amp;dHdcp[[#This Row],[Nombre]]</f>
        <v>0:Enrique Gonzalez R</v>
      </c>
      <c r="I1336" t="str">
        <f>+dHdcp[[#This Row],[Maximo]]&amp;":"&amp;_xlfn.XLOOKUP(dHdcp[[#This Row],[Nombre]],dJugador[Nombre],dJugador[Mote],"",0)</f>
        <v>0:Enrique</v>
      </c>
      <c r="J1336" t="str">
        <f>+IF(dHdcp[[#This Row],[Maximo]]=0,"",_xlfn.RANK.EQ(dHdcp[[#This Row],[Handicap]],dHdcp[Handicap],1))</f>
        <v/>
      </c>
      <c r="K1336" t="str">
        <f>IFERROR(+_xlfn.RANK.EQ(dHdcp[[#This Row],[Ranking]],dHdcp[Ranking],1),"")</f>
        <v/>
      </c>
      <c r="M1336" t="str">
        <f>+dHdcp[[#This Row],[Fecha]]&amp;":"&amp;dHdcp[[#This Row],[Nombre]]</f>
        <v>44863:Enrique Gonzalez R</v>
      </c>
      <c r="N1336">
        <f>+COUNTIF(dHdcp[Columna1],dHdcp[[#This Row],[Columna1]])</f>
        <v>1</v>
      </c>
    </row>
    <row r="1337" spans="1:14">
      <c r="A1337" s="2">
        <v>44863</v>
      </c>
      <c r="B1337" t="s">
        <v>12</v>
      </c>
      <c r="C1337" s="51">
        <v>15</v>
      </c>
      <c r="D1337">
        <f>+VLOOKUP(dHdcp[[#This Row],[Handicap]],'Categoría Hdcap'!$B$2:$E$7,4)</f>
        <v>3</v>
      </c>
      <c r="E1337" t="s">
        <v>74</v>
      </c>
      <c r="F1337" t="s">
        <v>1803</v>
      </c>
      <c r="G1337">
        <f>+IF(dHdcp[[#This Row],[Fecha]]=MAX(dHdcp[Fecha]),1,0)</f>
        <v>0</v>
      </c>
      <c r="H1337" t="str">
        <f>+dHdcp[[#This Row],[Maximo]]&amp;":"&amp;dHdcp[[#This Row],[Nombre]]</f>
        <v>0:Francisco Alvarez</v>
      </c>
      <c r="I1337" t="str">
        <f>+dHdcp[[#This Row],[Maximo]]&amp;":"&amp;_xlfn.XLOOKUP(dHdcp[[#This Row],[Nombre]],dJugador[Nombre],dJugador[Mote],"",0)</f>
        <v>0:Paco</v>
      </c>
      <c r="J1337" t="str">
        <f>+IF(dHdcp[[#This Row],[Maximo]]=0,"",_xlfn.RANK.EQ(dHdcp[[#This Row],[Handicap]],dHdcp[Handicap],1))</f>
        <v/>
      </c>
      <c r="K1337" t="str">
        <f>IFERROR(+_xlfn.RANK.EQ(dHdcp[[#This Row],[Ranking]],dHdcp[Ranking],1),"")</f>
        <v/>
      </c>
      <c r="M1337" t="str">
        <f>+dHdcp[[#This Row],[Fecha]]&amp;":"&amp;dHdcp[[#This Row],[Nombre]]</f>
        <v>44863:Francisco Alvarez</v>
      </c>
      <c r="N1337">
        <f>+COUNTIF(dHdcp[Columna1],dHdcp[[#This Row],[Columna1]])</f>
        <v>1</v>
      </c>
    </row>
    <row r="1338" spans="1:14">
      <c r="A1338" s="2">
        <v>44863</v>
      </c>
      <c r="B1338" t="s">
        <v>49</v>
      </c>
      <c r="C1338" s="51">
        <v>11.9</v>
      </c>
      <c r="D1338">
        <f>+VLOOKUP(dHdcp[[#This Row],[Handicap]],'Categoría Hdcap'!$B$2:$E$7,4)</f>
        <v>3</v>
      </c>
      <c r="E1338" t="s">
        <v>74</v>
      </c>
      <c r="F1338" t="s">
        <v>1804</v>
      </c>
      <c r="G1338">
        <f>+IF(dHdcp[[#This Row],[Fecha]]=MAX(dHdcp[Fecha]),1,0)</f>
        <v>0</v>
      </c>
      <c r="H1338" t="str">
        <f>+dHdcp[[#This Row],[Maximo]]&amp;":"&amp;dHdcp[[#This Row],[Nombre]]</f>
        <v>0:Francisco Hidalgo</v>
      </c>
      <c r="I1338" t="str">
        <f>+dHdcp[[#This Row],[Maximo]]&amp;":"&amp;_xlfn.XLOOKUP(dHdcp[[#This Row],[Nombre]],dJugador[Nombre],dJugador[Mote],"",0)</f>
        <v>0:Fran</v>
      </c>
      <c r="J1338" t="str">
        <f>+IF(dHdcp[[#This Row],[Maximo]]=0,"",_xlfn.RANK.EQ(dHdcp[[#This Row],[Handicap]],dHdcp[Handicap],1))</f>
        <v/>
      </c>
      <c r="K1338" t="str">
        <f>IFERROR(+_xlfn.RANK.EQ(dHdcp[[#This Row],[Ranking]],dHdcp[Ranking],1),"")</f>
        <v/>
      </c>
      <c r="M1338" t="str">
        <f>+dHdcp[[#This Row],[Fecha]]&amp;":"&amp;dHdcp[[#This Row],[Nombre]]</f>
        <v>44863:Francisco Hidalgo</v>
      </c>
      <c r="N1338">
        <f>+COUNTIF(dHdcp[Columna1],dHdcp[[#This Row],[Columna1]])</f>
        <v>1</v>
      </c>
    </row>
    <row r="1339" spans="1:14">
      <c r="A1339" s="2">
        <v>44863</v>
      </c>
      <c r="B1339" t="s">
        <v>207</v>
      </c>
      <c r="C1339" s="51">
        <v>14.4</v>
      </c>
      <c r="D1339">
        <f>+VLOOKUP(dHdcp[[#This Row],[Handicap]],'Categoría Hdcap'!$B$2:$E$7,4)</f>
        <v>3</v>
      </c>
      <c r="E1339" t="s">
        <v>74</v>
      </c>
      <c r="F1339" t="s">
        <v>1805</v>
      </c>
      <c r="G1339">
        <f>+IF(dHdcp[[#This Row],[Fecha]]=MAX(dHdcp[Fecha]),1,0)</f>
        <v>0</v>
      </c>
      <c r="H1339" t="str">
        <f>+dHdcp[[#This Row],[Maximo]]&amp;":"&amp;dHdcp[[#This Row],[Nombre]]</f>
        <v>0:Franck Benouniche</v>
      </c>
      <c r="I1339" t="str">
        <f>+dHdcp[[#This Row],[Maximo]]&amp;":"&amp;_xlfn.XLOOKUP(dHdcp[[#This Row],[Nombre]],dJugador[Nombre],dJugador[Mote],"",0)</f>
        <v>0:Franck</v>
      </c>
      <c r="J1339" t="str">
        <f>+IF(dHdcp[[#This Row],[Maximo]]=0,"",_xlfn.RANK.EQ(dHdcp[[#This Row],[Handicap]],dHdcp[Handicap],1))</f>
        <v/>
      </c>
      <c r="K1339" t="str">
        <f>IFERROR(+_xlfn.RANK.EQ(dHdcp[[#This Row],[Ranking]],dHdcp[Ranking],1),"")</f>
        <v/>
      </c>
      <c r="M1339" t="str">
        <f>+dHdcp[[#This Row],[Fecha]]&amp;":"&amp;dHdcp[[#This Row],[Nombre]]</f>
        <v>44863:Franck Benouniche</v>
      </c>
      <c r="N1339">
        <f>+COUNTIF(dHdcp[Columna1],dHdcp[[#This Row],[Columna1]])</f>
        <v>1</v>
      </c>
    </row>
    <row r="1340" spans="1:14">
      <c r="A1340" s="2">
        <v>44863</v>
      </c>
      <c r="B1340" t="s">
        <v>35</v>
      </c>
      <c r="C1340" s="51">
        <v>17.8</v>
      </c>
      <c r="D1340">
        <f>+VLOOKUP(dHdcp[[#This Row],[Handicap]],'Categoría Hdcap'!$B$2:$E$7,4)</f>
        <v>3</v>
      </c>
      <c r="E1340" t="s">
        <v>74</v>
      </c>
      <c r="F1340" t="s">
        <v>1806</v>
      </c>
      <c r="G1340">
        <f>+IF(dHdcp[[#This Row],[Fecha]]=MAX(dHdcp[Fecha]),1,0)</f>
        <v>0</v>
      </c>
      <c r="H1340" t="str">
        <f>+dHdcp[[#This Row],[Maximo]]&amp;":"&amp;dHdcp[[#This Row],[Nombre]]</f>
        <v>0:GLEZ JUAN JOSÉ</v>
      </c>
      <c r="I1340" t="str">
        <f>+dHdcp[[#This Row],[Maximo]]&amp;":"&amp;_xlfn.XLOOKUP(dHdcp[[#This Row],[Nombre]],dJugador[Nombre],dJugador[Mote],"",0)</f>
        <v>0:Juanjo</v>
      </c>
      <c r="J1340" t="str">
        <f>+IF(dHdcp[[#This Row],[Maximo]]=0,"",_xlfn.RANK.EQ(dHdcp[[#This Row],[Handicap]],dHdcp[Handicap],1))</f>
        <v/>
      </c>
      <c r="K1340" t="str">
        <f>IFERROR(+_xlfn.RANK.EQ(dHdcp[[#This Row],[Ranking]],dHdcp[Ranking],1),"")</f>
        <v/>
      </c>
      <c r="M1340" t="str">
        <f>+dHdcp[[#This Row],[Fecha]]&amp;":"&amp;dHdcp[[#This Row],[Nombre]]</f>
        <v>44863:GLEZ JUAN JOSÉ</v>
      </c>
      <c r="N1340">
        <f>+COUNTIF(dHdcp[Columna1],dHdcp[[#This Row],[Columna1]])</f>
        <v>1</v>
      </c>
    </row>
    <row r="1341" spans="1:14">
      <c r="A1341" s="2">
        <v>44863</v>
      </c>
      <c r="B1341" t="s">
        <v>6</v>
      </c>
      <c r="C1341" s="51">
        <v>8.6999999999999993</v>
      </c>
      <c r="D1341">
        <f>+VLOOKUP(dHdcp[[#This Row],[Handicap]],'Categoría Hdcap'!$B$2:$E$7,4)</f>
        <v>2</v>
      </c>
      <c r="E1341" t="s">
        <v>74</v>
      </c>
      <c r="F1341" t="s">
        <v>1807</v>
      </c>
      <c r="G1341">
        <f>+IF(dHdcp[[#This Row],[Fecha]]=MAX(dHdcp[Fecha]),1,0)</f>
        <v>0</v>
      </c>
      <c r="H1341" t="str">
        <f>+dHdcp[[#This Row],[Maximo]]&amp;":"&amp;dHdcp[[#This Row],[Nombre]]</f>
        <v>0:Ignacio Cadarso</v>
      </c>
      <c r="I1341" t="str">
        <f>+dHdcp[[#This Row],[Maximo]]&amp;":"&amp;_xlfn.XLOOKUP(dHdcp[[#This Row],[Nombre]],dJugador[Nombre],dJugador[Mote],"",0)</f>
        <v>0:Ignacio</v>
      </c>
      <c r="J1341" t="str">
        <f>+IF(dHdcp[[#This Row],[Maximo]]=0,"",_xlfn.RANK.EQ(dHdcp[[#This Row],[Handicap]],dHdcp[Handicap],1))</f>
        <v/>
      </c>
      <c r="K1341" t="str">
        <f>IFERROR(+_xlfn.RANK.EQ(dHdcp[[#This Row],[Ranking]],dHdcp[Ranking],1),"")</f>
        <v/>
      </c>
      <c r="M1341" t="str">
        <f>+dHdcp[[#This Row],[Fecha]]&amp;":"&amp;dHdcp[[#This Row],[Nombre]]</f>
        <v>44863:Ignacio Cadarso</v>
      </c>
      <c r="N1341">
        <f>+COUNTIF(dHdcp[Columna1],dHdcp[[#This Row],[Columna1]])</f>
        <v>1</v>
      </c>
    </row>
    <row r="1342" spans="1:14">
      <c r="A1342" s="2">
        <v>44863</v>
      </c>
      <c r="B1342" t="s">
        <v>23</v>
      </c>
      <c r="C1342" s="51">
        <v>17.3</v>
      </c>
      <c r="D1342">
        <f>+VLOOKUP(dHdcp[[#This Row],[Handicap]],'Categoría Hdcap'!$B$2:$E$7,4)</f>
        <v>3</v>
      </c>
      <c r="E1342" t="s">
        <v>74</v>
      </c>
      <c r="F1342" t="s">
        <v>1808</v>
      </c>
      <c r="G1342">
        <f>+IF(dHdcp[[#This Row],[Fecha]]=MAX(dHdcp[Fecha]),1,0)</f>
        <v>0</v>
      </c>
      <c r="H1342" t="str">
        <f>+dHdcp[[#This Row],[Maximo]]&amp;":"&amp;dHdcp[[#This Row],[Nombre]]</f>
        <v>0:J. Enrique Gonzalez</v>
      </c>
      <c r="I1342" t="str">
        <f>+dHdcp[[#This Row],[Maximo]]&amp;":"&amp;_xlfn.XLOOKUP(dHdcp[[#This Row],[Nombre]],dJugador[Nombre],dJugador[Mote],"",0)</f>
        <v>0:Kike</v>
      </c>
      <c r="J1342" t="str">
        <f>+IF(dHdcp[[#This Row],[Maximo]]=0,"",_xlfn.RANK.EQ(dHdcp[[#This Row],[Handicap]],dHdcp[Handicap],1))</f>
        <v/>
      </c>
      <c r="K1342" t="str">
        <f>IFERROR(+_xlfn.RANK.EQ(dHdcp[[#This Row],[Ranking]],dHdcp[Ranking],1),"")</f>
        <v/>
      </c>
      <c r="M1342" t="str">
        <f>+dHdcp[[#This Row],[Fecha]]&amp;":"&amp;dHdcp[[#This Row],[Nombre]]</f>
        <v>44863:J. Enrique Gonzalez</v>
      </c>
      <c r="N1342">
        <f>+COUNTIF(dHdcp[Columna1],dHdcp[[#This Row],[Columna1]])</f>
        <v>1</v>
      </c>
    </row>
    <row r="1343" spans="1:14">
      <c r="A1343" s="2">
        <v>44863</v>
      </c>
      <c r="B1343" t="s">
        <v>289</v>
      </c>
      <c r="C1343" s="51">
        <v>11.7</v>
      </c>
      <c r="D1343">
        <f>+VLOOKUP(dHdcp[[#This Row],[Handicap]],'Categoría Hdcap'!$B$2:$E$7,4)</f>
        <v>3</v>
      </c>
      <c r="E1343" t="s">
        <v>74</v>
      </c>
      <c r="F1343" t="s">
        <v>1809</v>
      </c>
      <c r="G1343">
        <f>+IF(dHdcp[[#This Row],[Fecha]]=MAX(dHdcp[Fecha]),1,0)</f>
        <v>0</v>
      </c>
      <c r="H1343" t="str">
        <f>+dHdcp[[#This Row],[Maximo]]&amp;":"&amp;dHdcp[[#This Row],[Nombre]]</f>
        <v>0:Jaime Villanueva</v>
      </c>
      <c r="I1343" t="str">
        <f>+dHdcp[[#This Row],[Maximo]]&amp;":"&amp;_xlfn.XLOOKUP(dHdcp[[#This Row],[Nombre]],dJugador[Nombre],dJugador[Mote],"",0)</f>
        <v>0:Villanueva</v>
      </c>
      <c r="J1343" t="str">
        <f>+IF(dHdcp[[#This Row],[Maximo]]=0,"",_xlfn.RANK.EQ(dHdcp[[#This Row],[Handicap]],dHdcp[Handicap],1))</f>
        <v/>
      </c>
      <c r="K1343" t="str">
        <f>IFERROR(+_xlfn.RANK.EQ(dHdcp[[#This Row],[Ranking]],dHdcp[Ranking],1),"")</f>
        <v/>
      </c>
      <c r="M1343" t="str">
        <f>+dHdcp[[#This Row],[Fecha]]&amp;":"&amp;dHdcp[[#This Row],[Nombre]]</f>
        <v>44863:Jaime Villanueva</v>
      </c>
      <c r="N1343">
        <f>+COUNTIF(dHdcp[Columna1],dHdcp[[#This Row],[Columna1]])</f>
        <v>1</v>
      </c>
    </row>
    <row r="1344" spans="1:14">
      <c r="A1344" s="2">
        <v>44863</v>
      </c>
      <c r="B1344" t="s">
        <v>46</v>
      </c>
      <c r="C1344" s="51">
        <v>17.100000000000001</v>
      </c>
      <c r="D1344">
        <f>+VLOOKUP(dHdcp[[#This Row],[Handicap]],'Categoría Hdcap'!$B$2:$E$7,4)</f>
        <v>3</v>
      </c>
      <c r="E1344" t="s">
        <v>74</v>
      </c>
      <c r="F1344" s="94" t="s">
        <v>1810</v>
      </c>
      <c r="G1344">
        <f>+IF(dHdcp[[#This Row],[Fecha]]=MAX(dHdcp[Fecha]),1,0)</f>
        <v>0</v>
      </c>
      <c r="H1344" t="str">
        <f>+dHdcp[[#This Row],[Maximo]]&amp;":"&amp;dHdcp[[#This Row],[Nombre]]</f>
        <v>0:Javier Cervera</v>
      </c>
      <c r="I1344" t="str">
        <f>+dHdcp[[#This Row],[Maximo]]&amp;":"&amp;_xlfn.XLOOKUP(dHdcp[[#This Row],[Nombre]],dJugador[Nombre],dJugador[Mote],"",0)</f>
        <v>0:Virus</v>
      </c>
      <c r="J1344" t="str">
        <f>+IF(dHdcp[[#This Row],[Maximo]]=0,"",_xlfn.RANK.EQ(dHdcp[[#This Row],[Handicap]],dHdcp[Handicap],1))</f>
        <v/>
      </c>
      <c r="K1344" t="str">
        <f>IFERROR(+_xlfn.RANK.EQ(dHdcp[[#This Row],[Ranking]],dHdcp[Ranking],1),"")</f>
        <v/>
      </c>
      <c r="M1344" t="str">
        <f>+dHdcp[[#This Row],[Fecha]]&amp;":"&amp;dHdcp[[#This Row],[Nombre]]</f>
        <v>44863:Javier Cervera</v>
      </c>
      <c r="N1344">
        <f>+COUNTIF(dHdcp[Columna1],dHdcp[[#This Row],[Columna1]])</f>
        <v>1</v>
      </c>
    </row>
    <row r="1345" spans="1:14">
      <c r="A1345" s="2">
        <v>44863</v>
      </c>
      <c r="B1345" t="s">
        <v>225</v>
      </c>
      <c r="C1345" s="51">
        <v>11</v>
      </c>
      <c r="D1345">
        <f>+VLOOKUP(dHdcp[[#This Row],[Handicap]],'Categoría Hdcap'!$B$2:$E$7,4)</f>
        <v>2</v>
      </c>
      <c r="E1345" t="s">
        <v>74</v>
      </c>
      <c r="F1345" t="s">
        <v>1811</v>
      </c>
      <c r="G1345">
        <f>+IF(dHdcp[[#This Row],[Fecha]]=MAX(dHdcp[Fecha]),1,0)</f>
        <v>0</v>
      </c>
      <c r="H1345" t="str">
        <f>+dHdcp[[#This Row],[Maximo]]&amp;":"&amp;dHdcp[[#This Row],[Nombre]]</f>
        <v>0:Javier Chiralt</v>
      </c>
      <c r="I1345" t="str">
        <f>+dHdcp[[#This Row],[Maximo]]&amp;":"&amp;_xlfn.XLOOKUP(dHdcp[[#This Row],[Nombre]],dJugador[Nombre],dJugador[Mote],"",0)</f>
        <v>0:Chiralt</v>
      </c>
      <c r="J1345" t="str">
        <f>+IF(dHdcp[[#This Row],[Maximo]]=0,"",_xlfn.RANK.EQ(dHdcp[[#This Row],[Handicap]],dHdcp[Handicap],1))</f>
        <v/>
      </c>
      <c r="K1345" t="str">
        <f>IFERROR(+_xlfn.RANK.EQ(dHdcp[[#This Row],[Ranking]],dHdcp[Ranking],1),"")</f>
        <v/>
      </c>
      <c r="M1345" t="str">
        <f>+dHdcp[[#This Row],[Fecha]]&amp;":"&amp;dHdcp[[#This Row],[Nombre]]</f>
        <v>44863:Javier Chiralt</v>
      </c>
      <c r="N1345">
        <f>+COUNTIF(dHdcp[Columna1],dHdcp[[#This Row],[Columna1]])</f>
        <v>1</v>
      </c>
    </row>
    <row r="1346" spans="1:14">
      <c r="A1346" s="2">
        <v>44863</v>
      </c>
      <c r="B1346" t="s">
        <v>20</v>
      </c>
      <c r="C1346" s="51">
        <v>16.3</v>
      </c>
      <c r="D1346">
        <f>+VLOOKUP(dHdcp[[#This Row],[Handicap]],'Categoría Hdcap'!$B$2:$E$7,4)</f>
        <v>3</v>
      </c>
      <c r="E1346" t="s">
        <v>74</v>
      </c>
      <c r="F1346" t="s">
        <v>1812</v>
      </c>
      <c r="G1346">
        <f>+IF(dHdcp[[#This Row],[Fecha]]=MAX(dHdcp[Fecha]),1,0)</f>
        <v>0</v>
      </c>
      <c r="H1346" t="str">
        <f>+dHdcp[[#This Row],[Maximo]]&amp;":"&amp;dHdcp[[#This Row],[Nombre]]</f>
        <v>0:Javier Gonzalez Salvador</v>
      </c>
      <c r="I1346" t="str">
        <f>+dHdcp[[#This Row],[Maximo]]&amp;":"&amp;_xlfn.XLOOKUP(dHdcp[[#This Row],[Nombre]],dJugador[Nombre],dJugador[Mote],"",0)</f>
        <v>0:Javi</v>
      </c>
      <c r="J1346" t="str">
        <f>+IF(dHdcp[[#This Row],[Maximo]]=0,"",_xlfn.RANK.EQ(dHdcp[[#This Row],[Handicap]],dHdcp[Handicap],1))</f>
        <v/>
      </c>
      <c r="K1346" t="str">
        <f>IFERROR(+_xlfn.RANK.EQ(dHdcp[[#This Row],[Ranking]],dHdcp[Ranking],1),"")</f>
        <v/>
      </c>
      <c r="M1346" t="str">
        <f>+dHdcp[[#This Row],[Fecha]]&amp;":"&amp;dHdcp[[#This Row],[Nombre]]</f>
        <v>44863:Javier Gonzalez Salvador</v>
      </c>
      <c r="N1346">
        <f>+COUNTIF(dHdcp[Columna1],dHdcp[[#This Row],[Columna1]])</f>
        <v>1</v>
      </c>
    </row>
    <row r="1347" spans="1:14">
      <c r="A1347" s="2">
        <v>44863</v>
      </c>
      <c r="B1347" t="s">
        <v>217</v>
      </c>
      <c r="C1347" s="51">
        <v>21.1</v>
      </c>
      <c r="D1347">
        <f>+VLOOKUP(dHdcp[[#This Row],[Handicap]],'Categoría Hdcap'!$B$2:$E$7,4)</f>
        <v>4</v>
      </c>
      <c r="E1347" t="s">
        <v>74</v>
      </c>
      <c r="F1347" t="s">
        <v>1813</v>
      </c>
      <c r="G1347">
        <f>+IF(dHdcp[[#This Row],[Fecha]]=MAX(dHdcp[Fecha]),1,0)</f>
        <v>0</v>
      </c>
      <c r="H1347" t="str">
        <f>+dHdcp[[#This Row],[Maximo]]&amp;":"&amp;dHdcp[[#This Row],[Nombre]]</f>
        <v>0:Javier Lopez Gullón</v>
      </c>
      <c r="I1347" t="str">
        <f>+dHdcp[[#This Row],[Maximo]]&amp;":"&amp;_xlfn.XLOOKUP(dHdcp[[#This Row],[Nombre]],dJugador[Nombre],dJugador[Mote],"",0)</f>
        <v>0:Cuñao</v>
      </c>
      <c r="J1347" t="str">
        <f>+IF(dHdcp[[#This Row],[Maximo]]=0,"",_xlfn.RANK.EQ(dHdcp[[#This Row],[Handicap]],dHdcp[Handicap],1))</f>
        <v/>
      </c>
      <c r="K1347" t="str">
        <f>IFERROR(+_xlfn.RANK.EQ(dHdcp[[#This Row],[Ranking]],dHdcp[Ranking],1),"")</f>
        <v/>
      </c>
      <c r="M1347" t="str">
        <f>+dHdcp[[#This Row],[Fecha]]&amp;":"&amp;dHdcp[[#This Row],[Nombre]]</f>
        <v>44863:Javier Lopez Gullón</v>
      </c>
      <c r="N1347">
        <f>+COUNTIF(dHdcp[Columna1],dHdcp[[#This Row],[Columna1]])</f>
        <v>1</v>
      </c>
    </row>
    <row r="1348" spans="1:14">
      <c r="A1348" s="2">
        <v>44863</v>
      </c>
      <c r="B1348" t="s">
        <v>41</v>
      </c>
      <c r="C1348" s="51">
        <v>24.8</v>
      </c>
      <c r="D1348">
        <f>+VLOOKUP(dHdcp[[#This Row],[Handicap]],'Categoría Hdcap'!$B$2:$E$7,4)</f>
        <v>4</v>
      </c>
      <c r="E1348" t="s">
        <v>74</v>
      </c>
      <c r="F1348" t="s">
        <v>1814</v>
      </c>
      <c r="G1348">
        <f>+IF(dHdcp[[#This Row],[Fecha]]=MAX(dHdcp[Fecha]),1,0)</f>
        <v>0</v>
      </c>
      <c r="H1348" t="str">
        <f>+dHdcp[[#This Row],[Maximo]]&amp;":"&amp;dHdcp[[#This Row],[Nombre]]</f>
        <v>0:Jesus Touceda</v>
      </c>
      <c r="I1348" t="str">
        <f>+dHdcp[[#This Row],[Maximo]]&amp;":"&amp;_xlfn.XLOOKUP(dHdcp[[#This Row],[Nombre]],dJugador[Nombre],dJugador[Mote],"",0)</f>
        <v>0:Jesús</v>
      </c>
      <c r="J1348" t="str">
        <f>+IF(dHdcp[[#This Row],[Maximo]]=0,"",_xlfn.RANK.EQ(dHdcp[[#This Row],[Handicap]],dHdcp[Handicap],1))</f>
        <v/>
      </c>
      <c r="K1348" t="str">
        <f>IFERROR(+_xlfn.RANK.EQ(dHdcp[[#This Row],[Ranking]],dHdcp[Ranking],1),"")</f>
        <v/>
      </c>
      <c r="M1348" t="str">
        <f>+dHdcp[[#This Row],[Fecha]]&amp;":"&amp;dHdcp[[#This Row],[Nombre]]</f>
        <v>44863:Jesus Touceda</v>
      </c>
      <c r="N1348">
        <f>+COUNTIF(dHdcp[Columna1],dHdcp[[#This Row],[Columna1]])</f>
        <v>1</v>
      </c>
    </row>
    <row r="1349" spans="1:14">
      <c r="A1349" s="2">
        <v>44863</v>
      </c>
      <c r="B1349" t="s">
        <v>18</v>
      </c>
      <c r="C1349" s="51">
        <v>7.5</v>
      </c>
      <c r="D1349">
        <f>+VLOOKUP(dHdcp[[#This Row],[Handicap]],'Categoría Hdcap'!$B$2:$E$7,4)</f>
        <v>2</v>
      </c>
      <c r="E1349" t="s">
        <v>74</v>
      </c>
      <c r="F1349" t="s">
        <v>1815</v>
      </c>
      <c r="G1349">
        <f>+IF(dHdcp[[#This Row],[Fecha]]=MAX(dHdcp[Fecha]),1,0)</f>
        <v>0</v>
      </c>
      <c r="H1349" t="str">
        <f>+dHdcp[[#This Row],[Maximo]]&amp;":"&amp;dHdcp[[#This Row],[Nombre]]</f>
        <v>0:José Pablo Guil</v>
      </c>
      <c r="I1349" t="str">
        <f>+dHdcp[[#This Row],[Maximo]]&amp;":"&amp;_xlfn.XLOOKUP(dHdcp[[#This Row],[Nombre]],dJugador[Nombre],dJugador[Mote],"",0)</f>
        <v>0:JP</v>
      </c>
      <c r="J1349" t="str">
        <f>+IF(dHdcp[[#This Row],[Maximo]]=0,"",_xlfn.RANK.EQ(dHdcp[[#This Row],[Handicap]],dHdcp[Handicap],1))</f>
        <v/>
      </c>
      <c r="K1349" t="str">
        <f>IFERROR(+_xlfn.RANK.EQ(dHdcp[[#This Row],[Ranking]],dHdcp[Ranking],1),"")</f>
        <v/>
      </c>
      <c r="M1349" t="str">
        <f>+dHdcp[[#This Row],[Fecha]]&amp;":"&amp;dHdcp[[#This Row],[Nombre]]</f>
        <v>44863:José Pablo Guil</v>
      </c>
      <c r="N1349">
        <f>+COUNTIF(dHdcp[Columna1],dHdcp[[#This Row],[Columna1]])</f>
        <v>1</v>
      </c>
    </row>
    <row r="1350" spans="1:14">
      <c r="A1350" s="2">
        <v>44863</v>
      </c>
      <c r="B1350" t="s">
        <v>293</v>
      </c>
      <c r="C1350" s="51">
        <v>21.1</v>
      </c>
      <c r="D1350">
        <f>+VLOOKUP(dHdcp[[#This Row],[Handicap]],'Categoría Hdcap'!$B$2:$E$7,4)</f>
        <v>4</v>
      </c>
      <c r="E1350" t="s">
        <v>74</v>
      </c>
      <c r="F1350" t="s">
        <v>1816</v>
      </c>
      <c r="G1350">
        <f>+IF(dHdcp[[#This Row],[Fecha]]=MAX(dHdcp[Fecha]),1,0)</f>
        <v>0</v>
      </c>
      <c r="H1350" t="str">
        <f>+dHdcp[[#This Row],[Maximo]]&amp;":"&amp;dHdcp[[#This Row],[Nombre]]</f>
        <v>0:Juan Jose Aguado</v>
      </c>
      <c r="I1350" t="str">
        <f>+dHdcp[[#This Row],[Maximo]]&amp;":"&amp;_xlfn.XLOOKUP(dHdcp[[#This Row],[Nombre]],dJugador[Nombre],dJugador[Mote],"",0)</f>
        <v>0:Juancho</v>
      </c>
      <c r="J1350" t="str">
        <f>+IF(dHdcp[[#This Row],[Maximo]]=0,"",_xlfn.RANK.EQ(dHdcp[[#This Row],[Handicap]],dHdcp[Handicap],1))</f>
        <v/>
      </c>
      <c r="K1350" t="str">
        <f>IFERROR(+_xlfn.RANK.EQ(dHdcp[[#This Row],[Ranking]],dHdcp[Ranking],1),"")</f>
        <v/>
      </c>
      <c r="M1350" t="str">
        <f>+dHdcp[[#This Row],[Fecha]]&amp;":"&amp;dHdcp[[#This Row],[Nombre]]</f>
        <v>44863:Juan Jose Aguado</v>
      </c>
      <c r="N1350">
        <f>+COUNTIF(dHdcp[Columna1],dHdcp[[#This Row],[Columna1]])</f>
        <v>1</v>
      </c>
    </row>
    <row r="1351" spans="1:14">
      <c r="A1351" s="2">
        <v>44863</v>
      </c>
      <c r="B1351" t="s">
        <v>43</v>
      </c>
      <c r="C1351" s="51">
        <v>18.5</v>
      </c>
      <c r="D1351">
        <f>+VLOOKUP(dHdcp[[#This Row],[Handicap]],'Categoría Hdcap'!$B$2:$E$7,4)</f>
        <v>4</v>
      </c>
      <c r="E1351" t="s">
        <v>74</v>
      </c>
      <c r="F1351" t="s">
        <v>1817</v>
      </c>
      <c r="G1351">
        <f>+IF(dHdcp[[#This Row],[Fecha]]=MAX(dHdcp[Fecha]),1,0)</f>
        <v>0</v>
      </c>
      <c r="H1351" t="str">
        <f>+dHdcp[[#This Row],[Maximo]]&amp;":"&amp;dHdcp[[#This Row],[Nombre]]</f>
        <v>0:Luis Escudero</v>
      </c>
      <c r="I1351" t="str">
        <f>+dHdcp[[#This Row],[Maximo]]&amp;":"&amp;_xlfn.XLOOKUP(dHdcp[[#This Row],[Nombre]],dJugador[Nombre],dJugador[Mote],"",0)</f>
        <v>0:Lucho</v>
      </c>
      <c r="J1351" t="str">
        <f>+IF(dHdcp[[#This Row],[Maximo]]=0,"",_xlfn.RANK.EQ(dHdcp[[#This Row],[Handicap]],dHdcp[Handicap],1))</f>
        <v/>
      </c>
      <c r="K1351" t="str">
        <f>IFERROR(+_xlfn.RANK.EQ(dHdcp[[#This Row],[Ranking]],dHdcp[Ranking],1),"")</f>
        <v/>
      </c>
      <c r="M1351" t="str">
        <f>+dHdcp[[#This Row],[Fecha]]&amp;":"&amp;dHdcp[[#This Row],[Nombre]]</f>
        <v>44863:Luis Escudero</v>
      </c>
      <c r="N1351">
        <f>+COUNTIF(dHdcp[Columna1],dHdcp[[#This Row],[Columna1]])</f>
        <v>1</v>
      </c>
    </row>
    <row r="1352" spans="1:14">
      <c r="A1352" s="2">
        <v>44863</v>
      </c>
      <c r="B1352" s="10" t="s">
        <v>135</v>
      </c>
      <c r="C1352" s="53">
        <v>24</v>
      </c>
      <c r="D1352">
        <f>+VLOOKUP(dHdcp[[#This Row],[Handicap]],'Categoría Hdcap'!$B$2:$E$7,4)</f>
        <v>4</v>
      </c>
      <c r="E1352" t="s">
        <v>74</v>
      </c>
      <c r="F1352" t="s">
        <v>1818</v>
      </c>
      <c r="G1352">
        <f>+IF(dHdcp[[#This Row],[Fecha]]=MAX(dHdcp[Fecha]),1,0)</f>
        <v>0</v>
      </c>
      <c r="H1352" t="str">
        <f>+dHdcp[[#This Row],[Maximo]]&amp;":"&amp;dHdcp[[#This Row],[Nombre]]</f>
        <v>0:Miche Lopez</v>
      </c>
      <c r="I1352" t="str">
        <f>+dHdcp[[#This Row],[Maximo]]&amp;":"&amp;_xlfn.XLOOKUP(dHdcp[[#This Row],[Nombre]],dJugador[Nombre],dJugador[Mote],"",0)</f>
        <v>0:Miche</v>
      </c>
      <c r="J1352" t="str">
        <f>+IF(dHdcp[[#This Row],[Maximo]]=0,"",_xlfn.RANK.EQ(dHdcp[[#This Row],[Handicap]],dHdcp[Handicap],1))</f>
        <v/>
      </c>
      <c r="K1352" t="str">
        <f>IFERROR(+_xlfn.RANK.EQ(dHdcp[[#This Row],[Ranking]],dHdcp[Ranking],1),"")</f>
        <v/>
      </c>
      <c r="M1352" t="str">
        <f>+dHdcp[[#This Row],[Fecha]]&amp;":"&amp;dHdcp[[#This Row],[Nombre]]</f>
        <v>44863:Miche Lopez</v>
      </c>
      <c r="N1352">
        <f>+COUNTIF(dHdcp[Columna1],dHdcp[[#This Row],[Columna1]])</f>
        <v>1</v>
      </c>
    </row>
    <row r="1353" spans="1:14">
      <c r="A1353" s="2">
        <v>44863</v>
      </c>
      <c r="B1353" t="s">
        <v>51</v>
      </c>
      <c r="C1353" s="51">
        <v>-0.4</v>
      </c>
      <c r="D1353">
        <f>+VLOOKUP(dHdcp[[#This Row],[Handicap]],'Categoría Hdcap'!$B$2:$E$7,4)</f>
        <v>1</v>
      </c>
      <c r="E1353" t="s">
        <v>74</v>
      </c>
      <c r="F1353" t="s">
        <v>1819</v>
      </c>
      <c r="G1353">
        <f>+IF(dHdcp[[#This Row],[Fecha]]=MAX(dHdcp[Fecha]),1,0)</f>
        <v>0</v>
      </c>
      <c r="H1353" t="str">
        <f>+dHdcp[[#This Row],[Maximo]]&amp;":"&amp;dHdcp[[#This Row],[Nombre]]</f>
        <v>0:Miguel Diaz Del Moral</v>
      </c>
      <c r="I1353" t="str">
        <f>+dHdcp[[#This Row],[Maximo]]&amp;":"&amp;_xlfn.XLOOKUP(dHdcp[[#This Row],[Nombre]],dJugador[Nombre],dJugador[Mote],"",0)</f>
        <v>0:Cañita</v>
      </c>
      <c r="J1353" t="str">
        <f>+IF(dHdcp[[#This Row],[Maximo]]=0,"",_xlfn.RANK.EQ(dHdcp[[#This Row],[Handicap]],dHdcp[Handicap],1))</f>
        <v/>
      </c>
      <c r="K1353" t="str">
        <f>IFERROR(+_xlfn.RANK.EQ(dHdcp[[#This Row],[Ranking]],dHdcp[Ranking],1),"")</f>
        <v/>
      </c>
      <c r="M1353" t="str">
        <f>+dHdcp[[#This Row],[Fecha]]&amp;":"&amp;dHdcp[[#This Row],[Nombre]]</f>
        <v>44863:Miguel Diaz Del Moral</v>
      </c>
      <c r="N1353">
        <f>+COUNTIF(dHdcp[Columna1],dHdcp[[#This Row],[Columna1]])</f>
        <v>1</v>
      </c>
    </row>
    <row r="1354" spans="1:14">
      <c r="A1354" s="2">
        <v>44863</v>
      </c>
      <c r="B1354" s="13" t="s">
        <v>205</v>
      </c>
      <c r="C1354" s="42">
        <v>7</v>
      </c>
      <c r="D1354">
        <f>+VLOOKUP(dHdcp[[#This Row],[Handicap]],'Categoría Hdcap'!$B$2:$E$7,4)</f>
        <v>2</v>
      </c>
      <c r="E1354" t="s">
        <v>74</v>
      </c>
      <c r="F1354" t="s">
        <v>1820</v>
      </c>
      <c r="G1354">
        <f>+IF(dHdcp[[#This Row],[Fecha]]=MAX(dHdcp[Fecha]),1,0)</f>
        <v>0</v>
      </c>
      <c r="H1354" t="str">
        <f>+dHdcp[[#This Row],[Maximo]]&amp;":"&amp;dHdcp[[#This Row],[Nombre]]</f>
        <v>0:Nacho Casas</v>
      </c>
      <c r="I1354" t="str">
        <f>+dHdcp[[#This Row],[Maximo]]&amp;":"&amp;_xlfn.XLOOKUP(dHdcp[[#This Row],[Nombre]],dJugador[Nombre],dJugador[Mote],"",0)</f>
        <v>0:Nachete</v>
      </c>
      <c r="J1354" t="str">
        <f>+IF(dHdcp[[#This Row],[Maximo]]=0,"",_xlfn.RANK.EQ(dHdcp[[#This Row],[Handicap]],dHdcp[Handicap],1))</f>
        <v/>
      </c>
      <c r="K1354" t="str">
        <f>IFERROR(+_xlfn.RANK.EQ(dHdcp[[#This Row],[Ranking]],dHdcp[Ranking],1),"")</f>
        <v/>
      </c>
      <c r="M1354" t="str">
        <f>+dHdcp[[#This Row],[Fecha]]&amp;":"&amp;dHdcp[[#This Row],[Nombre]]</f>
        <v>44863:Nacho Casas</v>
      </c>
      <c r="N1354">
        <f>+COUNTIF(dHdcp[Columna1],dHdcp[[#This Row],[Columna1]])</f>
        <v>1</v>
      </c>
    </row>
    <row r="1355" spans="1:14">
      <c r="A1355" s="2">
        <v>44863</v>
      </c>
      <c r="B1355" t="s">
        <v>3</v>
      </c>
      <c r="C1355" s="51">
        <v>6.4</v>
      </c>
      <c r="D1355">
        <f>+VLOOKUP(dHdcp[[#This Row],[Handicap]],'Categoría Hdcap'!$B$2:$E$7,4)</f>
        <v>2</v>
      </c>
      <c r="E1355" t="s">
        <v>74</v>
      </c>
      <c r="F1355" t="s">
        <v>1821</v>
      </c>
      <c r="G1355">
        <f>+IF(dHdcp[[#This Row],[Fecha]]=MAX(dHdcp[Fecha]),1,0)</f>
        <v>0</v>
      </c>
      <c r="H1355" t="str">
        <f>+dHdcp[[#This Row],[Maximo]]&amp;":"&amp;dHdcp[[#This Row],[Nombre]]</f>
        <v>0:Nacho Gonzalez</v>
      </c>
      <c r="I1355" t="str">
        <f>+dHdcp[[#This Row],[Maximo]]&amp;":"&amp;_xlfn.XLOOKUP(dHdcp[[#This Row],[Nombre]],dJugador[Nombre],dJugador[Mote],"",0)</f>
        <v>0:Nacho</v>
      </c>
      <c r="J1355" t="str">
        <f>+IF(dHdcp[[#This Row],[Maximo]]=0,"",_xlfn.RANK.EQ(dHdcp[[#This Row],[Handicap]],dHdcp[Handicap],1))</f>
        <v/>
      </c>
      <c r="K1355" t="str">
        <f>IFERROR(+_xlfn.RANK.EQ(dHdcp[[#This Row],[Ranking]],dHdcp[Ranking],1),"")</f>
        <v/>
      </c>
      <c r="M1355" t="str">
        <f>+dHdcp[[#This Row],[Fecha]]&amp;":"&amp;dHdcp[[#This Row],[Nombre]]</f>
        <v>44863:Nacho Gonzalez</v>
      </c>
      <c r="N1355">
        <f>+COUNTIF(dHdcp[Columna1],dHdcp[[#This Row],[Columna1]])</f>
        <v>1</v>
      </c>
    </row>
    <row r="1356" spans="1:14">
      <c r="A1356" s="2">
        <v>44863</v>
      </c>
      <c r="B1356" t="s">
        <v>28</v>
      </c>
      <c r="C1356" s="51">
        <v>13.7</v>
      </c>
      <c r="D1356">
        <f>+VLOOKUP(dHdcp[[#This Row],[Handicap]],'Categoría Hdcap'!$B$2:$E$7,4)</f>
        <v>3</v>
      </c>
      <c r="E1356" t="s">
        <v>74</v>
      </c>
      <c r="F1356" t="s">
        <v>1822</v>
      </c>
      <c r="G1356">
        <f>+IF(dHdcp[[#This Row],[Fecha]]=MAX(dHdcp[Fecha]),1,0)</f>
        <v>0</v>
      </c>
      <c r="H1356" t="str">
        <f>+dHdcp[[#This Row],[Maximo]]&amp;":"&amp;dHdcp[[#This Row],[Nombre]]</f>
        <v>0:Pablo Munitiz</v>
      </c>
      <c r="I1356" t="str">
        <f>+dHdcp[[#This Row],[Maximo]]&amp;":"&amp;_xlfn.XLOOKUP(dHdcp[[#This Row],[Nombre]],dJugador[Nombre],dJugador[Mote],"",0)</f>
        <v>0:Muni</v>
      </c>
      <c r="J1356" t="str">
        <f>+IF(dHdcp[[#This Row],[Maximo]]=0,"",_xlfn.RANK.EQ(dHdcp[[#This Row],[Handicap]],dHdcp[Handicap],1))</f>
        <v/>
      </c>
      <c r="K1356" t="str">
        <f>IFERROR(+_xlfn.RANK.EQ(dHdcp[[#This Row],[Ranking]],dHdcp[Ranking],1),"")</f>
        <v/>
      </c>
      <c r="M1356" t="str">
        <f>+dHdcp[[#This Row],[Fecha]]&amp;":"&amp;dHdcp[[#This Row],[Nombre]]</f>
        <v>44863:Pablo Munitiz</v>
      </c>
      <c r="N1356">
        <f>+COUNTIF(dHdcp[Columna1],dHdcp[[#This Row],[Columna1]])</f>
        <v>1</v>
      </c>
    </row>
    <row r="1357" spans="1:14">
      <c r="A1357" s="2">
        <v>44863</v>
      </c>
      <c r="B1357" t="s">
        <v>203</v>
      </c>
      <c r="C1357" s="51">
        <v>17.7</v>
      </c>
      <c r="D1357">
        <f>+VLOOKUP(dHdcp[[#This Row],[Handicap]],'Categoría Hdcap'!$B$2:$E$7,4)</f>
        <v>3</v>
      </c>
      <c r="E1357" t="s">
        <v>74</v>
      </c>
      <c r="F1357" t="s">
        <v>1823</v>
      </c>
      <c r="G1357">
        <f>+IF(dHdcp[[#This Row],[Fecha]]=MAX(dHdcp[Fecha]),1,0)</f>
        <v>0</v>
      </c>
      <c r="H1357" t="str">
        <f>+dHdcp[[#This Row],[Maximo]]&amp;":"&amp;dHdcp[[#This Row],[Nombre]]</f>
        <v>0:Ruslan Kochman</v>
      </c>
      <c r="I1357" t="str">
        <f>+dHdcp[[#This Row],[Maximo]]&amp;":"&amp;_xlfn.XLOOKUP(dHdcp[[#This Row],[Nombre]],dJugador[Nombre],dJugador[Mote],"",0)</f>
        <v>0:Rus</v>
      </c>
      <c r="J1357" t="str">
        <f>+IF(dHdcp[[#This Row],[Maximo]]=0,"",_xlfn.RANK.EQ(dHdcp[[#This Row],[Handicap]],dHdcp[Handicap],1))</f>
        <v/>
      </c>
      <c r="K1357" t="str">
        <f>IFERROR(+_xlfn.RANK.EQ(dHdcp[[#This Row],[Ranking]],dHdcp[Ranking],1),"")</f>
        <v/>
      </c>
      <c r="M1357" t="str">
        <f>+dHdcp[[#This Row],[Fecha]]&amp;":"&amp;dHdcp[[#This Row],[Nombre]]</f>
        <v>44863:Ruslan Kochman</v>
      </c>
      <c r="N1357">
        <f>+COUNTIF(dHdcp[Columna1],dHdcp[[#This Row],[Columna1]])</f>
        <v>1</v>
      </c>
    </row>
    <row r="1358" spans="1:14">
      <c r="A1358" s="2">
        <v>44863</v>
      </c>
      <c r="B1358" t="s">
        <v>271</v>
      </c>
      <c r="C1358" s="51">
        <v>16.399999999999999</v>
      </c>
      <c r="D1358">
        <f>+VLOOKUP(dHdcp[[#This Row],[Handicap]],'Categoría Hdcap'!$B$2:$E$7,4)</f>
        <v>3</v>
      </c>
      <c r="E1358" t="s">
        <v>74</v>
      </c>
      <c r="F1358" t="s">
        <v>1824</v>
      </c>
      <c r="G1358">
        <f>+IF(dHdcp[[#This Row],[Fecha]]=MAX(dHdcp[Fecha]),1,0)</f>
        <v>0</v>
      </c>
      <c r="H1358" t="str">
        <f>+dHdcp[[#This Row],[Maximo]]&amp;":"&amp;dHdcp[[#This Row],[Nombre]]</f>
        <v>0:Santi Diaz</v>
      </c>
      <c r="I1358" t="str">
        <f>+dHdcp[[#This Row],[Maximo]]&amp;":"&amp;_xlfn.XLOOKUP(dHdcp[[#This Row],[Nombre]],dJugador[Nombre],dJugador[Mote],"",0)</f>
        <v>0:Santi</v>
      </c>
      <c r="J1358" t="str">
        <f>+IF(dHdcp[[#This Row],[Maximo]]=0,"",_xlfn.RANK.EQ(dHdcp[[#This Row],[Handicap]],dHdcp[Handicap],1))</f>
        <v/>
      </c>
      <c r="K1358" t="str">
        <f>IFERROR(+_xlfn.RANK.EQ(dHdcp[[#This Row],[Ranking]],dHdcp[Ranking],1),"")</f>
        <v/>
      </c>
      <c r="M1358" t="str">
        <f>+dHdcp[[#This Row],[Fecha]]&amp;":"&amp;dHdcp[[#This Row],[Nombre]]</f>
        <v>44863:Santi Diaz</v>
      </c>
      <c r="N1358">
        <f>+COUNTIF(dHdcp[Columna1],dHdcp[[#This Row],[Columna1]])</f>
        <v>1</v>
      </c>
    </row>
    <row r="1359" spans="1:14">
      <c r="A1359" s="2">
        <v>44884</v>
      </c>
      <c r="B1359" t="s">
        <v>259</v>
      </c>
      <c r="C1359" s="51">
        <v>3.5</v>
      </c>
      <c r="D1359">
        <f>+VLOOKUP(dHdcp[[#This Row],[Handicap]],'Categoría Hdcap'!$B$2:$E$7,4)</f>
        <v>1</v>
      </c>
      <c r="E1359" t="s">
        <v>74</v>
      </c>
      <c r="F1359" t="s">
        <v>1825</v>
      </c>
      <c r="G1359">
        <f>+IF(dHdcp[[#This Row],[Fecha]]=MAX(dHdcp[Fecha]),1,0)</f>
        <v>0</v>
      </c>
      <c r="H1359" t="str">
        <f>+dHdcp[[#This Row],[Maximo]]&amp;":"&amp;dHdcp[[#This Row],[Nombre]]</f>
        <v>0:Alejandro Arcos</v>
      </c>
      <c r="I1359" t="str">
        <f>+dHdcp[[#This Row],[Maximo]]&amp;":"&amp;_xlfn.XLOOKUP(dHdcp[[#This Row],[Nombre]],dJugador[Nombre],dJugador[Mote],"",0)</f>
        <v>0:Alex</v>
      </c>
      <c r="J1359" t="str">
        <f>+IF(dHdcp[[#This Row],[Maximo]]=0,"",_xlfn.RANK.EQ(dHdcp[[#This Row],[Handicap]],dHdcp[Handicap],1))</f>
        <v/>
      </c>
      <c r="K1359" t="str">
        <f>IFERROR(+_xlfn.RANK.EQ(dHdcp[[#This Row],[Ranking]],dHdcp[Ranking],1),"")</f>
        <v/>
      </c>
      <c r="M1359" t="str">
        <f>+dHdcp[[#This Row],[Fecha]]&amp;":"&amp;dHdcp[[#This Row],[Nombre]]</f>
        <v>44884:Alejandro Arcos</v>
      </c>
      <c r="N1359">
        <f>+COUNTIF(dHdcp[Columna1],dHdcp[[#This Row],[Columna1]])</f>
        <v>1</v>
      </c>
    </row>
    <row r="1360" spans="1:14">
      <c r="A1360" s="2">
        <v>44884</v>
      </c>
      <c r="B1360" t="s">
        <v>9</v>
      </c>
      <c r="C1360" s="51">
        <v>10.4</v>
      </c>
      <c r="D1360">
        <f>+VLOOKUP(dHdcp[[#This Row],[Handicap]],'Categoría Hdcap'!$B$2:$E$7,4)</f>
        <v>2</v>
      </c>
      <c r="E1360" t="s">
        <v>74</v>
      </c>
      <c r="F1360" t="s">
        <v>1826</v>
      </c>
      <c r="G1360">
        <f>+IF(dHdcp[[#This Row],[Fecha]]=MAX(dHdcp[Fecha]),1,0)</f>
        <v>0</v>
      </c>
      <c r="H1360" t="str">
        <f>+dHdcp[[#This Row],[Maximo]]&amp;":"&amp;dHdcp[[#This Row],[Nombre]]</f>
        <v>0:Alfonso Hidalgo</v>
      </c>
      <c r="I1360" t="str">
        <f>+dHdcp[[#This Row],[Maximo]]&amp;":"&amp;_xlfn.XLOOKUP(dHdcp[[#This Row],[Nombre]],dJugador[Nombre],dJugador[Mote],"",0)</f>
        <v>0:Alfonso</v>
      </c>
      <c r="J1360" t="str">
        <f>+IF(dHdcp[[#This Row],[Maximo]]=0,"",_xlfn.RANK.EQ(dHdcp[[#This Row],[Handicap]],dHdcp[Handicap],1))</f>
        <v/>
      </c>
      <c r="K1360" t="str">
        <f>IFERROR(+_xlfn.RANK.EQ(dHdcp[[#This Row],[Ranking]],dHdcp[Ranking],1),"")</f>
        <v/>
      </c>
      <c r="M1360" t="str">
        <f>+dHdcp[[#This Row],[Fecha]]&amp;":"&amp;dHdcp[[#This Row],[Nombre]]</f>
        <v>44884:Alfonso Hidalgo</v>
      </c>
      <c r="N1360">
        <f>+COUNTIF(dHdcp[Columna1],dHdcp[[#This Row],[Columna1]])</f>
        <v>1</v>
      </c>
    </row>
    <row r="1361" spans="1:14">
      <c r="A1361" s="2">
        <v>44884</v>
      </c>
      <c r="B1361" t="s">
        <v>229</v>
      </c>
      <c r="C1361" s="51">
        <v>14.1</v>
      </c>
      <c r="D1361">
        <f>+VLOOKUP(dHdcp[[#This Row],[Handicap]],'Categoría Hdcap'!$B$2:$E$7,4)</f>
        <v>3</v>
      </c>
      <c r="E1361" t="s">
        <v>74</v>
      </c>
      <c r="F1361" t="s">
        <v>1827</v>
      </c>
      <c r="G1361">
        <f>+IF(dHdcp[[#This Row],[Fecha]]=MAX(dHdcp[Fecha]),1,0)</f>
        <v>0</v>
      </c>
      <c r="H1361" t="str">
        <f>+dHdcp[[#This Row],[Maximo]]&amp;":"&amp;dHdcp[[#This Row],[Nombre]]</f>
        <v>0:Alfonso Zorrilla</v>
      </c>
      <c r="I1361" t="str">
        <f>+dHdcp[[#This Row],[Maximo]]&amp;":"&amp;_xlfn.XLOOKUP(dHdcp[[#This Row],[Nombre]],dJugador[Nombre],dJugador[Mote],"",0)</f>
        <v>0:A Zorrilla</v>
      </c>
      <c r="J1361" t="str">
        <f>+IF(dHdcp[[#This Row],[Maximo]]=0,"",_xlfn.RANK.EQ(dHdcp[[#This Row],[Handicap]],dHdcp[Handicap],1))</f>
        <v/>
      </c>
      <c r="K1361" t="str">
        <f>IFERROR(+_xlfn.RANK.EQ(dHdcp[[#This Row],[Ranking]],dHdcp[Ranking],1),"")</f>
        <v/>
      </c>
      <c r="M1361" t="str">
        <f>+dHdcp[[#This Row],[Fecha]]&amp;":"&amp;dHdcp[[#This Row],[Nombre]]</f>
        <v>44884:Alfonso Zorrilla</v>
      </c>
      <c r="N1361">
        <f>+COUNTIF(dHdcp[Columna1],dHdcp[[#This Row],[Columna1]])</f>
        <v>1</v>
      </c>
    </row>
    <row r="1362" spans="1:14">
      <c r="A1362" s="2">
        <v>44884</v>
      </c>
      <c r="B1362" s="13" t="s">
        <v>15</v>
      </c>
      <c r="C1362" s="51">
        <v>6.1</v>
      </c>
      <c r="D1362">
        <f>+VLOOKUP(dHdcp[[#This Row],[Handicap]],'Categoría Hdcap'!$B$2:$E$7,4)</f>
        <v>2</v>
      </c>
      <c r="E1362" t="s">
        <v>74</v>
      </c>
      <c r="F1362" t="s">
        <v>1828</v>
      </c>
      <c r="G1362">
        <f>+IF(dHdcp[[#This Row],[Fecha]]=MAX(dHdcp[Fecha]),1,0)</f>
        <v>0</v>
      </c>
      <c r="H1362" t="str">
        <f>+dHdcp[[#This Row],[Maximo]]&amp;":"&amp;dHdcp[[#This Row],[Nombre]]</f>
        <v>0:Alvaro Aguirre</v>
      </c>
      <c r="I1362" t="str">
        <f>+dHdcp[[#This Row],[Maximo]]&amp;":"&amp;_xlfn.XLOOKUP(dHdcp[[#This Row],[Nombre]],dJugador[Nombre],dJugador[Mote],"",0)</f>
        <v>0:Gifu</v>
      </c>
      <c r="J1362" t="str">
        <f>+IF(dHdcp[[#This Row],[Maximo]]=0,"",_xlfn.RANK.EQ(dHdcp[[#This Row],[Handicap]],dHdcp[Handicap],1))</f>
        <v/>
      </c>
      <c r="K1362" t="str">
        <f>IFERROR(+_xlfn.RANK.EQ(dHdcp[[#This Row],[Ranking]],dHdcp[Ranking],1),"")</f>
        <v/>
      </c>
      <c r="M1362" t="str">
        <f>+dHdcp[[#This Row],[Fecha]]&amp;":"&amp;dHdcp[[#This Row],[Nombre]]</f>
        <v>44884:Alvaro Aguirre</v>
      </c>
      <c r="N1362">
        <f>+COUNTIF(dHdcp[Columna1],dHdcp[[#This Row],[Columna1]])</f>
        <v>1</v>
      </c>
    </row>
    <row r="1363" spans="1:14">
      <c r="A1363" s="2">
        <v>44884</v>
      </c>
      <c r="B1363" t="s">
        <v>201</v>
      </c>
      <c r="C1363" s="51">
        <v>9.1999999999999993</v>
      </c>
      <c r="D1363">
        <f>+VLOOKUP(dHdcp[[#This Row],[Handicap]],'Categoría Hdcap'!$B$2:$E$7,4)</f>
        <v>2</v>
      </c>
      <c r="E1363" t="s">
        <v>74</v>
      </c>
      <c r="F1363" t="s">
        <v>1829</v>
      </c>
      <c r="G1363">
        <f>+IF(dHdcp[[#This Row],[Fecha]]=MAX(dHdcp[Fecha]),1,0)</f>
        <v>0</v>
      </c>
      <c r="H1363" t="str">
        <f>+dHdcp[[#This Row],[Maximo]]&amp;":"&amp;dHdcp[[#This Row],[Nombre]]</f>
        <v>0:Alvaro Montoya</v>
      </c>
      <c r="I1363" t="str">
        <f>+dHdcp[[#This Row],[Maximo]]&amp;":"&amp;_xlfn.XLOOKUP(dHdcp[[#This Row],[Nombre]],dJugador[Nombre],dJugador[Mote],"",0)</f>
        <v>0:Monti</v>
      </c>
      <c r="J1363" t="str">
        <f>+IF(dHdcp[[#This Row],[Maximo]]=0,"",_xlfn.RANK.EQ(dHdcp[[#This Row],[Handicap]],dHdcp[Handicap],1))</f>
        <v/>
      </c>
      <c r="K1363" t="str">
        <f>IFERROR(+_xlfn.RANK.EQ(dHdcp[[#This Row],[Ranking]],dHdcp[Ranking],1),"")</f>
        <v/>
      </c>
      <c r="M1363" t="str">
        <f>+dHdcp[[#This Row],[Fecha]]&amp;":"&amp;dHdcp[[#This Row],[Nombre]]</f>
        <v>44884:Alvaro Montoya</v>
      </c>
      <c r="N1363">
        <f>+COUNTIF(dHdcp[Columna1],dHdcp[[#This Row],[Columna1]])</f>
        <v>1</v>
      </c>
    </row>
    <row r="1364" spans="1:14">
      <c r="A1364" s="2">
        <v>44884</v>
      </c>
      <c r="B1364" t="s">
        <v>25</v>
      </c>
      <c r="C1364" s="51">
        <v>12.3</v>
      </c>
      <c r="D1364">
        <f>+VLOOKUP(dHdcp[[#This Row],[Handicap]],'Categoría Hdcap'!$B$2:$E$7,4)</f>
        <v>3</v>
      </c>
      <c r="E1364" t="s">
        <v>74</v>
      </c>
      <c r="F1364" t="s">
        <v>1830</v>
      </c>
      <c r="G1364">
        <f>+IF(dHdcp[[#This Row],[Fecha]]=MAX(dHdcp[Fecha]),1,0)</f>
        <v>0</v>
      </c>
      <c r="H1364" t="str">
        <f>+dHdcp[[#This Row],[Maximo]]&amp;":"&amp;dHdcp[[#This Row],[Nombre]]</f>
        <v>0:Alvaro Nieto</v>
      </c>
      <c r="I1364" t="str">
        <f>+dHdcp[[#This Row],[Maximo]]&amp;":"&amp;_xlfn.XLOOKUP(dHdcp[[#This Row],[Nombre]],dJugador[Nombre],dJugador[Mote],"",0)</f>
        <v>0:Alvaro</v>
      </c>
      <c r="J1364" t="str">
        <f>+IF(dHdcp[[#This Row],[Maximo]]=0,"",_xlfn.RANK.EQ(dHdcp[[#This Row],[Handicap]],dHdcp[Handicap],1))</f>
        <v/>
      </c>
      <c r="K1364" t="str">
        <f>IFERROR(+_xlfn.RANK.EQ(dHdcp[[#This Row],[Ranking]],dHdcp[Ranking],1),"")</f>
        <v/>
      </c>
      <c r="M1364" t="str">
        <f>+dHdcp[[#This Row],[Fecha]]&amp;":"&amp;dHdcp[[#This Row],[Nombre]]</f>
        <v>44884:Alvaro Nieto</v>
      </c>
      <c r="N1364">
        <f>+COUNTIF(dHdcp[Columna1],dHdcp[[#This Row],[Columna1]])</f>
        <v>1</v>
      </c>
    </row>
    <row r="1365" spans="1:14">
      <c r="A1365" s="2">
        <v>44884</v>
      </c>
      <c r="B1365" t="s">
        <v>33</v>
      </c>
      <c r="C1365" s="51">
        <v>7.2</v>
      </c>
      <c r="D1365">
        <f>+VLOOKUP(dHdcp[[#This Row],[Handicap]],'Categoría Hdcap'!$B$2:$E$7,4)</f>
        <v>2</v>
      </c>
      <c r="E1365" t="s">
        <v>74</v>
      </c>
      <c r="F1365" t="s">
        <v>1831</v>
      </c>
      <c r="G1365">
        <f>+IF(dHdcp[[#This Row],[Fecha]]=MAX(dHdcp[Fecha]),1,0)</f>
        <v>0</v>
      </c>
      <c r="H1365" t="str">
        <f>+dHdcp[[#This Row],[Maximo]]&amp;":"&amp;dHdcp[[#This Row],[Nombre]]</f>
        <v>0:Angel Hernandez</v>
      </c>
      <c r="I1365" t="str">
        <f>+dHdcp[[#This Row],[Maximo]]&amp;":"&amp;_xlfn.XLOOKUP(dHdcp[[#This Row],[Nombre]],dJugador[Nombre],dJugador[Mote],"",0)</f>
        <v>0:Angel</v>
      </c>
      <c r="J1365" t="str">
        <f>+IF(dHdcp[[#This Row],[Maximo]]=0,"",_xlfn.RANK.EQ(dHdcp[[#This Row],[Handicap]],dHdcp[Handicap],1))</f>
        <v/>
      </c>
      <c r="K1365" t="str">
        <f>IFERROR(+_xlfn.RANK.EQ(dHdcp[[#This Row],[Ranking]],dHdcp[Ranking],1),"")</f>
        <v/>
      </c>
      <c r="M1365" t="str">
        <f>+dHdcp[[#This Row],[Fecha]]&amp;":"&amp;dHdcp[[#This Row],[Nombre]]</f>
        <v>44884:Angel Hernandez</v>
      </c>
      <c r="N1365">
        <f>+COUNTIF(dHdcp[Columna1],dHdcp[[#This Row],[Columna1]])</f>
        <v>1</v>
      </c>
    </row>
    <row r="1366" spans="1:14">
      <c r="A1366" s="2">
        <v>44884</v>
      </c>
      <c r="B1366" t="s">
        <v>264</v>
      </c>
      <c r="C1366" s="51">
        <v>19.100000000000001</v>
      </c>
      <c r="D1366">
        <f>+VLOOKUP(dHdcp[[#This Row],[Handicap]],'Categoría Hdcap'!$B$2:$E$7,4)</f>
        <v>4</v>
      </c>
      <c r="E1366" t="s">
        <v>74</v>
      </c>
      <c r="F1366" t="s">
        <v>1832</v>
      </c>
      <c r="G1366">
        <f>+IF(dHdcp[[#This Row],[Fecha]]=MAX(dHdcp[Fecha]),1,0)</f>
        <v>0</v>
      </c>
      <c r="H1366" t="str">
        <f>+dHdcp[[#This Row],[Maximo]]&amp;":"&amp;dHdcp[[#This Row],[Nombre]]</f>
        <v>0:Antonio Carmona</v>
      </c>
      <c r="I1366" t="str">
        <f>+dHdcp[[#This Row],[Maximo]]&amp;":"&amp;_xlfn.XLOOKUP(dHdcp[[#This Row],[Nombre]],dJugador[Nombre],dJugador[Mote],"",0)</f>
        <v>0:Antonio</v>
      </c>
      <c r="J1366" t="str">
        <f>+IF(dHdcp[[#This Row],[Maximo]]=0,"",_xlfn.RANK.EQ(dHdcp[[#This Row],[Handicap]],dHdcp[Handicap],1))</f>
        <v/>
      </c>
      <c r="K1366" t="str">
        <f>IFERROR(+_xlfn.RANK.EQ(dHdcp[[#This Row],[Ranking]],dHdcp[Ranking],1),"")</f>
        <v/>
      </c>
      <c r="M1366" t="str">
        <f>+dHdcp[[#This Row],[Fecha]]&amp;":"&amp;dHdcp[[#This Row],[Nombre]]</f>
        <v>44884:Antonio Carmona</v>
      </c>
      <c r="N1366">
        <f>+COUNTIF(dHdcp[Columna1],dHdcp[[#This Row],[Columna1]])</f>
        <v>1</v>
      </c>
    </row>
    <row r="1367" spans="1:14">
      <c r="A1367" s="2">
        <v>44884</v>
      </c>
      <c r="B1367" s="13" t="s">
        <v>290</v>
      </c>
      <c r="C1367" s="42">
        <v>26.5</v>
      </c>
      <c r="D1367">
        <f>+VLOOKUP(dHdcp[[#This Row],[Handicap]],'Categoría Hdcap'!$B$2:$E$7,4)</f>
        <v>5</v>
      </c>
      <c r="E1367" t="s">
        <v>74</v>
      </c>
      <c r="F1367" t="s">
        <v>1833</v>
      </c>
      <c r="G1367">
        <f>+IF(dHdcp[[#This Row],[Fecha]]=MAX(dHdcp[Fecha]),1,0)</f>
        <v>0</v>
      </c>
      <c r="H1367" t="str">
        <f>+dHdcp[[#This Row],[Maximo]]&amp;":"&amp;dHdcp[[#This Row],[Nombre]]</f>
        <v>0:Carlos Hijas</v>
      </c>
      <c r="I1367" t="str">
        <f>+dHdcp[[#This Row],[Maximo]]&amp;":"&amp;_xlfn.XLOOKUP(dHdcp[[#This Row],[Nombre]],dJugador[Nombre],dJugador[Mote],"",0)</f>
        <v>0:Hijas</v>
      </c>
      <c r="J1367" t="str">
        <f>+IF(dHdcp[[#This Row],[Maximo]]=0,"",_xlfn.RANK.EQ(dHdcp[[#This Row],[Handicap]],dHdcp[Handicap],1))</f>
        <v/>
      </c>
      <c r="K1367" t="str">
        <f>IFERROR(+_xlfn.RANK.EQ(dHdcp[[#This Row],[Ranking]],dHdcp[Ranking],1),"")</f>
        <v/>
      </c>
      <c r="M1367" t="str">
        <f>+dHdcp[[#This Row],[Fecha]]&amp;":"&amp;dHdcp[[#This Row],[Nombre]]</f>
        <v>44884:Carlos Hijas</v>
      </c>
      <c r="N1367">
        <f>+COUNTIF(dHdcp[Columna1],dHdcp[[#This Row],[Columna1]])</f>
        <v>1</v>
      </c>
    </row>
    <row r="1368" spans="1:14">
      <c r="A1368" s="2">
        <v>44884</v>
      </c>
      <c r="B1368" s="13" t="s">
        <v>291</v>
      </c>
      <c r="C1368" s="42">
        <v>1.7</v>
      </c>
      <c r="D1368">
        <f>+VLOOKUP(dHdcp[[#This Row],[Handicap]],'Categoría Hdcap'!$B$2:$E$7,4)</f>
        <v>1</v>
      </c>
      <c r="E1368" t="s">
        <v>74</v>
      </c>
      <c r="F1368" t="s">
        <v>1834</v>
      </c>
      <c r="G1368">
        <f>+IF(dHdcp[[#This Row],[Fecha]]=MAX(dHdcp[Fecha]),1,0)</f>
        <v>0</v>
      </c>
      <c r="H1368" t="str">
        <f>+dHdcp[[#This Row],[Maximo]]&amp;":"&amp;dHdcp[[#This Row],[Nombre]]</f>
        <v>0:Carlos Maestro</v>
      </c>
      <c r="I1368" t="str">
        <f>+dHdcp[[#This Row],[Maximo]]&amp;":"&amp;_xlfn.XLOOKUP(dHdcp[[#This Row],[Nombre]],dJugador[Nombre],dJugador[Mote],"",0)</f>
        <v>0:Carlitos</v>
      </c>
      <c r="J1368" t="str">
        <f>+IF(dHdcp[[#This Row],[Maximo]]=0,"",_xlfn.RANK.EQ(dHdcp[[#This Row],[Handicap]],dHdcp[Handicap],1))</f>
        <v/>
      </c>
      <c r="K1368" t="str">
        <f>IFERROR(+_xlfn.RANK.EQ(dHdcp[[#This Row],[Ranking]],dHdcp[Ranking],1),"")</f>
        <v/>
      </c>
      <c r="M1368" t="str">
        <f>+dHdcp[[#This Row],[Fecha]]&amp;":"&amp;dHdcp[[#This Row],[Nombre]]</f>
        <v>44884:Carlos Maestro</v>
      </c>
      <c r="N1368">
        <f>+COUNTIF(dHdcp[Columna1],dHdcp[[#This Row],[Columna1]])</f>
        <v>1</v>
      </c>
    </row>
    <row r="1369" spans="1:14">
      <c r="A1369" s="2">
        <v>44884</v>
      </c>
      <c r="B1369" t="s">
        <v>30</v>
      </c>
      <c r="C1369" s="51">
        <v>10.4</v>
      </c>
      <c r="D1369">
        <f>+VLOOKUP(dHdcp[[#This Row],[Handicap]],'Categoría Hdcap'!$B$2:$E$7,4)</f>
        <v>2</v>
      </c>
      <c r="E1369" t="s">
        <v>74</v>
      </c>
      <c r="F1369" t="s">
        <v>1835</v>
      </c>
      <c r="G1369">
        <f>+IF(dHdcp[[#This Row],[Fecha]]=MAX(dHdcp[Fecha]),1,0)</f>
        <v>0</v>
      </c>
      <c r="H1369" t="str">
        <f>+dHdcp[[#This Row],[Maximo]]&amp;":"&amp;dHdcp[[#This Row],[Nombre]]</f>
        <v>0:David Sequera</v>
      </c>
      <c r="I1369" t="str">
        <f>+dHdcp[[#This Row],[Maximo]]&amp;":"&amp;_xlfn.XLOOKUP(dHdcp[[#This Row],[Nombre]],dJugador[Nombre],dJugador[Mote],"",0)</f>
        <v>0:David</v>
      </c>
      <c r="J1369" t="str">
        <f>+IF(dHdcp[[#This Row],[Maximo]]=0,"",_xlfn.RANK.EQ(dHdcp[[#This Row],[Handicap]],dHdcp[Handicap],1))</f>
        <v/>
      </c>
      <c r="K1369" t="str">
        <f>IFERROR(+_xlfn.RANK.EQ(dHdcp[[#This Row],[Ranking]],dHdcp[Ranking],1),"")</f>
        <v/>
      </c>
      <c r="M1369" t="str">
        <f>+dHdcp[[#This Row],[Fecha]]&amp;":"&amp;dHdcp[[#This Row],[Nombre]]</f>
        <v>44884:David Sequera</v>
      </c>
      <c r="N1369">
        <f>+COUNTIF(dHdcp[Columna1],dHdcp[[#This Row],[Columna1]])</f>
        <v>1</v>
      </c>
    </row>
    <row r="1370" spans="1:14">
      <c r="A1370" s="2">
        <v>44884</v>
      </c>
      <c r="B1370" s="83" t="s">
        <v>248</v>
      </c>
      <c r="C1370" s="84">
        <v>13.8</v>
      </c>
      <c r="D1370">
        <f>+VLOOKUP(dHdcp[[#This Row],[Handicap]],'Categoría Hdcap'!$B$2:$E$7,4)</f>
        <v>3</v>
      </c>
      <c r="E1370" t="s">
        <v>74</v>
      </c>
      <c r="F1370" t="s">
        <v>1836</v>
      </c>
      <c r="G1370">
        <f>+IF(dHdcp[[#This Row],[Fecha]]=MAX(dHdcp[Fecha]),1,0)</f>
        <v>0</v>
      </c>
      <c r="H1370" t="str">
        <f>+dHdcp[[#This Row],[Maximo]]&amp;":"&amp;dHdcp[[#This Row],[Nombre]]</f>
        <v>0:Enrique Gonzalez R</v>
      </c>
      <c r="I1370" t="str">
        <f>+dHdcp[[#This Row],[Maximo]]&amp;":"&amp;_xlfn.XLOOKUP(dHdcp[[#This Row],[Nombre]],dJugador[Nombre],dJugador[Mote],"",0)</f>
        <v>0:Enrique</v>
      </c>
      <c r="J1370" t="str">
        <f>+IF(dHdcp[[#This Row],[Maximo]]=0,"",_xlfn.RANK.EQ(dHdcp[[#This Row],[Handicap]],dHdcp[Handicap],1))</f>
        <v/>
      </c>
      <c r="K1370" t="str">
        <f>IFERROR(+_xlfn.RANK.EQ(dHdcp[[#This Row],[Ranking]],dHdcp[Ranking],1),"")</f>
        <v/>
      </c>
      <c r="M1370" t="str">
        <f>+dHdcp[[#This Row],[Fecha]]&amp;":"&amp;dHdcp[[#This Row],[Nombre]]</f>
        <v>44884:Enrique Gonzalez R</v>
      </c>
      <c r="N1370">
        <f>+COUNTIF(dHdcp[Columna1],dHdcp[[#This Row],[Columna1]])</f>
        <v>1</v>
      </c>
    </row>
    <row r="1371" spans="1:14">
      <c r="A1371" s="2">
        <v>44884</v>
      </c>
      <c r="B1371" t="s">
        <v>12</v>
      </c>
      <c r="C1371" s="51">
        <v>14.7</v>
      </c>
      <c r="D1371">
        <f>+VLOOKUP(dHdcp[[#This Row],[Handicap]],'Categoría Hdcap'!$B$2:$E$7,4)</f>
        <v>3</v>
      </c>
      <c r="E1371" t="s">
        <v>74</v>
      </c>
      <c r="F1371" t="s">
        <v>1837</v>
      </c>
      <c r="G1371">
        <f>+IF(dHdcp[[#This Row],[Fecha]]=MAX(dHdcp[Fecha]),1,0)</f>
        <v>0</v>
      </c>
      <c r="H1371" t="str">
        <f>+dHdcp[[#This Row],[Maximo]]&amp;":"&amp;dHdcp[[#This Row],[Nombre]]</f>
        <v>0:Francisco Alvarez</v>
      </c>
      <c r="I1371" t="str">
        <f>+dHdcp[[#This Row],[Maximo]]&amp;":"&amp;_xlfn.XLOOKUP(dHdcp[[#This Row],[Nombre]],dJugador[Nombre],dJugador[Mote],"",0)</f>
        <v>0:Paco</v>
      </c>
      <c r="J1371" t="str">
        <f>+IF(dHdcp[[#This Row],[Maximo]]=0,"",_xlfn.RANK.EQ(dHdcp[[#This Row],[Handicap]],dHdcp[Handicap],1))</f>
        <v/>
      </c>
      <c r="K1371" t="str">
        <f>IFERROR(+_xlfn.RANK.EQ(dHdcp[[#This Row],[Ranking]],dHdcp[Ranking],1),"")</f>
        <v/>
      </c>
      <c r="M1371" t="str">
        <f>+dHdcp[[#This Row],[Fecha]]&amp;":"&amp;dHdcp[[#This Row],[Nombre]]</f>
        <v>44884:Francisco Alvarez</v>
      </c>
      <c r="N1371">
        <f>+COUNTIF(dHdcp[Columna1],dHdcp[[#This Row],[Columna1]])</f>
        <v>1</v>
      </c>
    </row>
    <row r="1372" spans="1:14">
      <c r="A1372" s="2">
        <v>44884</v>
      </c>
      <c r="B1372" t="s">
        <v>49</v>
      </c>
      <c r="C1372" s="51">
        <v>11.9</v>
      </c>
      <c r="D1372">
        <f>+VLOOKUP(dHdcp[[#This Row],[Handicap]],'Categoría Hdcap'!$B$2:$E$7,4)</f>
        <v>3</v>
      </c>
      <c r="E1372" t="s">
        <v>74</v>
      </c>
      <c r="F1372" t="s">
        <v>1838</v>
      </c>
      <c r="G1372">
        <f>+IF(dHdcp[[#This Row],[Fecha]]=MAX(dHdcp[Fecha]),1,0)</f>
        <v>0</v>
      </c>
      <c r="H1372" t="str">
        <f>+dHdcp[[#This Row],[Maximo]]&amp;":"&amp;dHdcp[[#This Row],[Nombre]]</f>
        <v>0:Francisco Hidalgo</v>
      </c>
      <c r="I1372" t="str">
        <f>+dHdcp[[#This Row],[Maximo]]&amp;":"&amp;_xlfn.XLOOKUP(dHdcp[[#This Row],[Nombre]],dJugador[Nombre],dJugador[Mote],"",0)</f>
        <v>0:Fran</v>
      </c>
      <c r="J1372" t="str">
        <f>+IF(dHdcp[[#This Row],[Maximo]]=0,"",_xlfn.RANK.EQ(dHdcp[[#This Row],[Handicap]],dHdcp[Handicap],1))</f>
        <v/>
      </c>
      <c r="K1372" t="str">
        <f>IFERROR(+_xlfn.RANK.EQ(dHdcp[[#This Row],[Ranking]],dHdcp[Ranking],1),"")</f>
        <v/>
      </c>
      <c r="M1372" t="str">
        <f>+dHdcp[[#This Row],[Fecha]]&amp;":"&amp;dHdcp[[#This Row],[Nombre]]</f>
        <v>44884:Francisco Hidalgo</v>
      </c>
      <c r="N1372">
        <f>+COUNTIF(dHdcp[Columna1],dHdcp[[#This Row],[Columna1]])</f>
        <v>1</v>
      </c>
    </row>
    <row r="1373" spans="1:14">
      <c r="A1373" s="2">
        <v>44884</v>
      </c>
      <c r="B1373" t="s">
        <v>207</v>
      </c>
      <c r="C1373" s="51">
        <v>14.4</v>
      </c>
      <c r="D1373">
        <f>+VLOOKUP(dHdcp[[#This Row],[Handicap]],'Categoría Hdcap'!$B$2:$E$7,4)</f>
        <v>3</v>
      </c>
      <c r="E1373" t="s">
        <v>74</v>
      </c>
      <c r="F1373" t="s">
        <v>1839</v>
      </c>
      <c r="G1373">
        <f>+IF(dHdcp[[#This Row],[Fecha]]=MAX(dHdcp[Fecha]),1,0)</f>
        <v>0</v>
      </c>
      <c r="H1373" t="str">
        <f>+dHdcp[[#This Row],[Maximo]]&amp;":"&amp;dHdcp[[#This Row],[Nombre]]</f>
        <v>0:Franck Benouniche</v>
      </c>
      <c r="I1373" t="str">
        <f>+dHdcp[[#This Row],[Maximo]]&amp;":"&amp;_xlfn.XLOOKUP(dHdcp[[#This Row],[Nombre]],dJugador[Nombre],dJugador[Mote],"",0)</f>
        <v>0:Franck</v>
      </c>
      <c r="J1373" t="str">
        <f>+IF(dHdcp[[#This Row],[Maximo]]=0,"",_xlfn.RANK.EQ(dHdcp[[#This Row],[Handicap]],dHdcp[Handicap],1))</f>
        <v/>
      </c>
      <c r="K1373" t="str">
        <f>IFERROR(+_xlfn.RANK.EQ(dHdcp[[#This Row],[Ranking]],dHdcp[Ranking],1),"")</f>
        <v/>
      </c>
      <c r="M1373" t="str">
        <f>+dHdcp[[#This Row],[Fecha]]&amp;":"&amp;dHdcp[[#This Row],[Nombre]]</f>
        <v>44884:Franck Benouniche</v>
      </c>
      <c r="N1373">
        <f>+COUNTIF(dHdcp[Columna1],dHdcp[[#This Row],[Columna1]])</f>
        <v>1</v>
      </c>
    </row>
    <row r="1374" spans="1:14">
      <c r="A1374" s="2">
        <v>44884</v>
      </c>
      <c r="B1374" t="s">
        <v>35</v>
      </c>
      <c r="C1374" s="51">
        <v>18</v>
      </c>
      <c r="D1374">
        <f>+VLOOKUP(dHdcp[[#This Row],[Handicap]],'Categoría Hdcap'!$B$2:$E$7,4)</f>
        <v>3</v>
      </c>
      <c r="E1374" t="s">
        <v>74</v>
      </c>
      <c r="F1374" t="s">
        <v>1840</v>
      </c>
      <c r="G1374">
        <f>+IF(dHdcp[[#This Row],[Fecha]]=MAX(dHdcp[Fecha]),1,0)</f>
        <v>0</v>
      </c>
      <c r="H1374" t="str">
        <f>+dHdcp[[#This Row],[Maximo]]&amp;":"&amp;dHdcp[[#This Row],[Nombre]]</f>
        <v>0:GLEZ JUAN JOSÉ</v>
      </c>
      <c r="I1374" t="str">
        <f>+dHdcp[[#This Row],[Maximo]]&amp;":"&amp;_xlfn.XLOOKUP(dHdcp[[#This Row],[Nombre]],dJugador[Nombre],dJugador[Mote],"",0)</f>
        <v>0:Juanjo</v>
      </c>
      <c r="J1374" t="str">
        <f>+IF(dHdcp[[#This Row],[Maximo]]=0,"",_xlfn.RANK.EQ(dHdcp[[#This Row],[Handicap]],dHdcp[Handicap],1))</f>
        <v/>
      </c>
      <c r="K1374" t="str">
        <f>IFERROR(+_xlfn.RANK.EQ(dHdcp[[#This Row],[Ranking]],dHdcp[Ranking],1),"")</f>
        <v/>
      </c>
      <c r="M1374" t="str">
        <f>+dHdcp[[#This Row],[Fecha]]&amp;":"&amp;dHdcp[[#This Row],[Nombre]]</f>
        <v>44884:GLEZ JUAN JOSÉ</v>
      </c>
      <c r="N1374">
        <f>+COUNTIF(dHdcp[Columna1],dHdcp[[#This Row],[Columna1]])</f>
        <v>1</v>
      </c>
    </row>
    <row r="1375" spans="1:14">
      <c r="A1375" s="2">
        <v>44884</v>
      </c>
      <c r="B1375" t="s">
        <v>6</v>
      </c>
      <c r="C1375" s="51">
        <v>8.6999999999999993</v>
      </c>
      <c r="D1375">
        <f>+VLOOKUP(dHdcp[[#This Row],[Handicap]],'Categoría Hdcap'!$B$2:$E$7,4)</f>
        <v>2</v>
      </c>
      <c r="E1375" t="s">
        <v>74</v>
      </c>
      <c r="F1375" t="s">
        <v>1841</v>
      </c>
      <c r="G1375">
        <f>+IF(dHdcp[[#This Row],[Fecha]]=MAX(dHdcp[Fecha]),1,0)</f>
        <v>0</v>
      </c>
      <c r="H1375" t="str">
        <f>+dHdcp[[#This Row],[Maximo]]&amp;":"&amp;dHdcp[[#This Row],[Nombre]]</f>
        <v>0:Ignacio Cadarso</v>
      </c>
      <c r="I1375" t="str">
        <f>+dHdcp[[#This Row],[Maximo]]&amp;":"&amp;_xlfn.XLOOKUP(dHdcp[[#This Row],[Nombre]],dJugador[Nombre],dJugador[Mote],"",0)</f>
        <v>0:Ignacio</v>
      </c>
      <c r="J1375" t="str">
        <f>+IF(dHdcp[[#This Row],[Maximo]]=0,"",_xlfn.RANK.EQ(dHdcp[[#This Row],[Handicap]],dHdcp[Handicap],1))</f>
        <v/>
      </c>
      <c r="K1375" t="str">
        <f>IFERROR(+_xlfn.RANK.EQ(dHdcp[[#This Row],[Ranking]],dHdcp[Ranking],1),"")</f>
        <v/>
      </c>
      <c r="M1375" t="str">
        <f>+dHdcp[[#This Row],[Fecha]]&amp;":"&amp;dHdcp[[#This Row],[Nombre]]</f>
        <v>44884:Ignacio Cadarso</v>
      </c>
      <c r="N1375">
        <f>+COUNTIF(dHdcp[Columna1],dHdcp[[#This Row],[Columna1]])</f>
        <v>1</v>
      </c>
    </row>
    <row r="1376" spans="1:14">
      <c r="A1376" s="2">
        <v>44884</v>
      </c>
      <c r="B1376" t="s">
        <v>298</v>
      </c>
      <c r="C1376" s="51">
        <v>23.7</v>
      </c>
      <c r="D1376">
        <f>+VLOOKUP(dHdcp[[#This Row],[Handicap]],'Categoría Hdcap'!$B$2:$E$7,4)</f>
        <v>4</v>
      </c>
      <c r="E1376" t="s">
        <v>74</v>
      </c>
      <c r="F1376" t="s">
        <v>1842</v>
      </c>
      <c r="G1376">
        <f>+IF(dHdcp[[#This Row],[Fecha]]=MAX(dHdcp[Fecha]),1,0)</f>
        <v>0</v>
      </c>
      <c r="H1376" t="str">
        <f>+dHdcp[[#This Row],[Maximo]]&amp;":"&amp;dHdcp[[#This Row],[Nombre]]</f>
        <v>0:Ignacio Gracia Charlez</v>
      </c>
      <c r="I1376" t="str">
        <f>+dHdcp[[#This Row],[Maximo]]&amp;":"&amp;_xlfn.XLOOKUP(dHdcp[[#This Row],[Nombre]],dJugador[Nombre],dJugador[Mote],"",0)</f>
        <v>0:I Gracia</v>
      </c>
      <c r="J1376" t="str">
        <f>+IF(dHdcp[[#This Row],[Maximo]]=0,"",_xlfn.RANK.EQ(dHdcp[[#This Row],[Handicap]],dHdcp[Handicap],1))</f>
        <v/>
      </c>
      <c r="K1376" t="str">
        <f>IFERROR(+_xlfn.RANK.EQ(dHdcp[[#This Row],[Ranking]],dHdcp[Ranking],1),"")</f>
        <v/>
      </c>
      <c r="M1376" t="str">
        <f>+dHdcp[[#This Row],[Fecha]]&amp;":"&amp;dHdcp[[#This Row],[Nombre]]</f>
        <v>44884:Ignacio Gracia Charlez</v>
      </c>
      <c r="N1376">
        <f>+COUNTIF(dHdcp[Columna1],dHdcp[[#This Row],[Columna1]])</f>
        <v>1</v>
      </c>
    </row>
    <row r="1377" spans="1:14">
      <c r="A1377" s="2">
        <v>44884</v>
      </c>
      <c r="B1377" t="s">
        <v>23</v>
      </c>
      <c r="C1377" s="51">
        <v>17.2</v>
      </c>
      <c r="D1377">
        <f>+VLOOKUP(dHdcp[[#This Row],[Handicap]],'Categoría Hdcap'!$B$2:$E$7,4)</f>
        <v>3</v>
      </c>
      <c r="E1377" t="s">
        <v>74</v>
      </c>
      <c r="F1377" t="s">
        <v>1843</v>
      </c>
      <c r="G1377">
        <f>+IF(dHdcp[[#This Row],[Fecha]]=MAX(dHdcp[Fecha]),1,0)</f>
        <v>0</v>
      </c>
      <c r="H1377" t="str">
        <f>+dHdcp[[#This Row],[Maximo]]&amp;":"&amp;dHdcp[[#This Row],[Nombre]]</f>
        <v>0:J. Enrique Gonzalez</v>
      </c>
      <c r="I1377" t="str">
        <f>+dHdcp[[#This Row],[Maximo]]&amp;":"&amp;_xlfn.XLOOKUP(dHdcp[[#This Row],[Nombre]],dJugador[Nombre],dJugador[Mote],"",0)</f>
        <v>0:Kike</v>
      </c>
      <c r="J1377" t="str">
        <f>+IF(dHdcp[[#This Row],[Maximo]]=0,"",_xlfn.RANK.EQ(dHdcp[[#This Row],[Handicap]],dHdcp[Handicap],1))</f>
        <v/>
      </c>
      <c r="K1377" t="str">
        <f>IFERROR(+_xlfn.RANK.EQ(dHdcp[[#This Row],[Ranking]],dHdcp[Ranking],1),"")</f>
        <v/>
      </c>
      <c r="M1377" t="str">
        <f>+dHdcp[[#This Row],[Fecha]]&amp;":"&amp;dHdcp[[#This Row],[Nombre]]</f>
        <v>44884:J. Enrique Gonzalez</v>
      </c>
      <c r="N1377">
        <f>+COUNTIF(dHdcp[Columna1],dHdcp[[#This Row],[Columna1]])</f>
        <v>1</v>
      </c>
    </row>
    <row r="1378" spans="1:14">
      <c r="A1378" s="2">
        <v>44884</v>
      </c>
      <c r="B1378" t="s">
        <v>289</v>
      </c>
      <c r="C1378" s="51">
        <v>11.7</v>
      </c>
      <c r="D1378">
        <f>+VLOOKUP(dHdcp[[#This Row],[Handicap]],'Categoría Hdcap'!$B$2:$E$7,4)</f>
        <v>3</v>
      </c>
      <c r="E1378" t="s">
        <v>74</v>
      </c>
      <c r="F1378" t="s">
        <v>1844</v>
      </c>
      <c r="G1378">
        <f>+IF(dHdcp[[#This Row],[Fecha]]=MAX(dHdcp[Fecha]),1,0)</f>
        <v>0</v>
      </c>
      <c r="H1378" t="str">
        <f>+dHdcp[[#This Row],[Maximo]]&amp;":"&amp;dHdcp[[#This Row],[Nombre]]</f>
        <v>0:Jaime Villanueva</v>
      </c>
      <c r="I1378" t="str">
        <f>+dHdcp[[#This Row],[Maximo]]&amp;":"&amp;_xlfn.XLOOKUP(dHdcp[[#This Row],[Nombre]],dJugador[Nombre],dJugador[Mote],"",0)</f>
        <v>0:Villanueva</v>
      </c>
      <c r="J1378" t="str">
        <f>+IF(dHdcp[[#This Row],[Maximo]]=0,"",_xlfn.RANK.EQ(dHdcp[[#This Row],[Handicap]],dHdcp[Handicap],1))</f>
        <v/>
      </c>
      <c r="K1378" t="str">
        <f>IFERROR(+_xlfn.RANK.EQ(dHdcp[[#This Row],[Ranking]],dHdcp[Ranking],1),"")</f>
        <v/>
      </c>
      <c r="M1378" t="str">
        <f>+dHdcp[[#This Row],[Fecha]]&amp;":"&amp;dHdcp[[#This Row],[Nombre]]</f>
        <v>44884:Jaime Villanueva</v>
      </c>
      <c r="N1378">
        <f>+COUNTIF(dHdcp[Columna1],dHdcp[[#This Row],[Columna1]])</f>
        <v>1</v>
      </c>
    </row>
    <row r="1379" spans="1:14">
      <c r="A1379" s="2">
        <v>44884</v>
      </c>
      <c r="B1379" t="s">
        <v>46</v>
      </c>
      <c r="C1379" s="51">
        <v>17.100000000000001</v>
      </c>
      <c r="D1379">
        <f>+VLOOKUP(dHdcp[[#This Row],[Handicap]],'Categoría Hdcap'!$B$2:$E$7,4)</f>
        <v>3</v>
      </c>
      <c r="E1379" t="s">
        <v>74</v>
      </c>
      <c r="F1379" t="s">
        <v>1845</v>
      </c>
      <c r="G1379">
        <f>+IF(dHdcp[[#This Row],[Fecha]]=MAX(dHdcp[Fecha]),1,0)</f>
        <v>0</v>
      </c>
      <c r="H1379" t="str">
        <f>+dHdcp[[#This Row],[Maximo]]&amp;":"&amp;dHdcp[[#This Row],[Nombre]]</f>
        <v>0:Javier Cervera</v>
      </c>
      <c r="I1379" t="str">
        <f>+dHdcp[[#This Row],[Maximo]]&amp;":"&amp;_xlfn.XLOOKUP(dHdcp[[#This Row],[Nombre]],dJugador[Nombre],dJugador[Mote],"",0)</f>
        <v>0:Virus</v>
      </c>
      <c r="J1379" t="str">
        <f>+IF(dHdcp[[#This Row],[Maximo]]=0,"",_xlfn.RANK.EQ(dHdcp[[#This Row],[Handicap]],dHdcp[Handicap],1))</f>
        <v/>
      </c>
      <c r="K1379" t="str">
        <f>IFERROR(+_xlfn.RANK.EQ(dHdcp[[#This Row],[Ranking]],dHdcp[Ranking],1),"")</f>
        <v/>
      </c>
      <c r="M1379" t="str">
        <f>+dHdcp[[#This Row],[Fecha]]&amp;":"&amp;dHdcp[[#This Row],[Nombre]]</f>
        <v>44884:Javier Cervera</v>
      </c>
      <c r="N1379">
        <f>+COUNTIF(dHdcp[Columna1],dHdcp[[#This Row],[Columna1]])</f>
        <v>1</v>
      </c>
    </row>
    <row r="1380" spans="1:14">
      <c r="A1380" s="2">
        <v>44884</v>
      </c>
      <c r="B1380" t="s">
        <v>225</v>
      </c>
      <c r="C1380" s="51">
        <v>11</v>
      </c>
      <c r="D1380">
        <f>+VLOOKUP(dHdcp[[#This Row],[Handicap]],'Categoría Hdcap'!$B$2:$E$7,4)</f>
        <v>2</v>
      </c>
      <c r="E1380" t="s">
        <v>74</v>
      </c>
      <c r="F1380" t="s">
        <v>1846</v>
      </c>
      <c r="G1380">
        <f>+IF(dHdcp[[#This Row],[Fecha]]=MAX(dHdcp[Fecha]),1,0)</f>
        <v>0</v>
      </c>
      <c r="H1380" t="str">
        <f>+dHdcp[[#This Row],[Maximo]]&amp;":"&amp;dHdcp[[#This Row],[Nombre]]</f>
        <v>0:Javier Chiralt</v>
      </c>
      <c r="I1380" t="str">
        <f>+dHdcp[[#This Row],[Maximo]]&amp;":"&amp;_xlfn.XLOOKUP(dHdcp[[#This Row],[Nombre]],dJugador[Nombre],dJugador[Mote],"",0)</f>
        <v>0:Chiralt</v>
      </c>
      <c r="J1380" t="str">
        <f>+IF(dHdcp[[#This Row],[Maximo]]=0,"",_xlfn.RANK.EQ(dHdcp[[#This Row],[Handicap]],dHdcp[Handicap],1))</f>
        <v/>
      </c>
      <c r="K1380" t="str">
        <f>IFERROR(+_xlfn.RANK.EQ(dHdcp[[#This Row],[Ranking]],dHdcp[Ranking],1),"")</f>
        <v/>
      </c>
      <c r="M1380" t="str">
        <f>+dHdcp[[#This Row],[Fecha]]&amp;":"&amp;dHdcp[[#This Row],[Nombre]]</f>
        <v>44884:Javier Chiralt</v>
      </c>
      <c r="N1380">
        <f>+COUNTIF(dHdcp[Columna1],dHdcp[[#This Row],[Columna1]])</f>
        <v>1</v>
      </c>
    </row>
    <row r="1381" spans="1:14">
      <c r="A1381" s="2">
        <v>44884</v>
      </c>
      <c r="B1381" t="s">
        <v>20</v>
      </c>
      <c r="C1381" s="51">
        <v>16.399999999999999</v>
      </c>
      <c r="D1381">
        <f>+VLOOKUP(dHdcp[[#This Row],[Handicap]],'Categoría Hdcap'!$B$2:$E$7,4)</f>
        <v>3</v>
      </c>
      <c r="E1381" t="s">
        <v>74</v>
      </c>
      <c r="F1381" t="s">
        <v>1847</v>
      </c>
      <c r="G1381">
        <f>+IF(dHdcp[[#This Row],[Fecha]]=MAX(dHdcp[Fecha]),1,0)</f>
        <v>0</v>
      </c>
      <c r="H1381" t="str">
        <f>+dHdcp[[#This Row],[Maximo]]&amp;":"&amp;dHdcp[[#This Row],[Nombre]]</f>
        <v>0:Javier Gonzalez Salvador</v>
      </c>
      <c r="I1381" t="str">
        <f>+dHdcp[[#This Row],[Maximo]]&amp;":"&amp;_xlfn.XLOOKUP(dHdcp[[#This Row],[Nombre]],dJugador[Nombre],dJugador[Mote],"",0)</f>
        <v>0:Javi</v>
      </c>
      <c r="J1381" t="str">
        <f>+IF(dHdcp[[#This Row],[Maximo]]=0,"",_xlfn.RANK.EQ(dHdcp[[#This Row],[Handicap]],dHdcp[Handicap],1))</f>
        <v/>
      </c>
      <c r="K1381" t="str">
        <f>IFERROR(+_xlfn.RANK.EQ(dHdcp[[#This Row],[Ranking]],dHdcp[Ranking],1),"")</f>
        <v/>
      </c>
      <c r="M1381" t="str">
        <f>+dHdcp[[#This Row],[Fecha]]&amp;":"&amp;dHdcp[[#This Row],[Nombre]]</f>
        <v>44884:Javier Gonzalez Salvador</v>
      </c>
      <c r="N1381">
        <f>+COUNTIF(dHdcp[Columna1],dHdcp[[#This Row],[Columna1]])</f>
        <v>1</v>
      </c>
    </row>
    <row r="1382" spans="1:14">
      <c r="A1382" s="2">
        <v>44884</v>
      </c>
      <c r="B1382" t="s">
        <v>217</v>
      </c>
      <c r="C1382" s="51">
        <v>21.1</v>
      </c>
      <c r="D1382">
        <f>+VLOOKUP(dHdcp[[#This Row],[Handicap]],'Categoría Hdcap'!$B$2:$E$7,4)</f>
        <v>4</v>
      </c>
      <c r="E1382" t="s">
        <v>74</v>
      </c>
      <c r="F1382" t="s">
        <v>1848</v>
      </c>
      <c r="G1382">
        <f>+IF(dHdcp[[#This Row],[Fecha]]=MAX(dHdcp[Fecha]),1,0)</f>
        <v>0</v>
      </c>
      <c r="H1382" t="str">
        <f>+dHdcp[[#This Row],[Maximo]]&amp;":"&amp;dHdcp[[#This Row],[Nombre]]</f>
        <v>0:Javier Lopez Gullón</v>
      </c>
      <c r="I1382" t="str">
        <f>+dHdcp[[#This Row],[Maximo]]&amp;":"&amp;_xlfn.XLOOKUP(dHdcp[[#This Row],[Nombre]],dJugador[Nombre],dJugador[Mote],"",0)</f>
        <v>0:Cuñao</v>
      </c>
      <c r="J1382" t="str">
        <f>+IF(dHdcp[[#This Row],[Maximo]]=0,"",_xlfn.RANK.EQ(dHdcp[[#This Row],[Handicap]],dHdcp[Handicap],1))</f>
        <v/>
      </c>
      <c r="K1382" t="str">
        <f>IFERROR(+_xlfn.RANK.EQ(dHdcp[[#This Row],[Ranking]],dHdcp[Ranking],1),"")</f>
        <v/>
      </c>
      <c r="M1382" t="str">
        <f>+dHdcp[[#This Row],[Fecha]]&amp;":"&amp;dHdcp[[#This Row],[Nombre]]</f>
        <v>44884:Javier Lopez Gullón</v>
      </c>
      <c r="N1382">
        <f>+COUNTIF(dHdcp[Columna1],dHdcp[[#This Row],[Columna1]])</f>
        <v>1</v>
      </c>
    </row>
    <row r="1383" spans="1:14">
      <c r="A1383" s="2">
        <v>44884</v>
      </c>
      <c r="B1383" t="s">
        <v>41</v>
      </c>
      <c r="C1383" s="51">
        <v>25.1</v>
      </c>
      <c r="D1383">
        <f>+VLOOKUP(dHdcp[[#This Row],[Handicap]],'Categoría Hdcap'!$B$2:$E$7,4)</f>
        <v>4</v>
      </c>
      <c r="E1383" t="s">
        <v>74</v>
      </c>
      <c r="F1383" t="s">
        <v>1849</v>
      </c>
      <c r="G1383">
        <f>+IF(dHdcp[[#This Row],[Fecha]]=MAX(dHdcp[Fecha]),1,0)</f>
        <v>0</v>
      </c>
      <c r="H1383" t="str">
        <f>+dHdcp[[#This Row],[Maximo]]&amp;":"&amp;dHdcp[[#This Row],[Nombre]]</f>
        <v>0:Jesus Touceda</v>
      </c>
      <c r="I1383" t="str">
        <f>+dHdcp[[#This Row],[Maximo]]&amp;":"&amp;_xlfn.XLOOKUP(dHdcp[[#This Row],[Nombre]],dJugador[Nombre],dJugador[Mote],"",0)</f>
        <v>0:Jesús</v>
      </c>
      <c r="J1383" t="str">
        <f>+IF(dHdcp[[#This Row],[Maximo]]=0,"",_xlfn.RANK.EQ(dHdcp[[#This Row],[Handicap]],dHdcp[Handicap],1))</f>
        <v/>
      </c>
      <c r="K1383" t="str">
        <f>IFERROR(+_xlfn.RANK.EQ(dHdcp[[#This Row],[Ranking]],dHdcp[Ranking],1),"")</f>
        <v/>
      </c>
      <c r="M1383" t="str">
        <f>+dHdcp[[#This Row],[Fecha]]&amp;":"&amp;dHdcp[[#This Row],[Nombre]]</f>
        <v>44884:Jesus Touceda</v>
      </c>
      <c r="N1383">
        <f>+COUNTIF(dHdcp[Columna1],dHdcp[[#This Row],[Columna1]])</f>
        <v>1</v>
      </c>
    </row>
    <row r="1384" spans="1:14">
      <c r="A1384" s="2">
        <v>44884</v>
      </c>
      <c r="B1384" t="s">
        <v>297</v>
      </c>
      <c r="C1384" s="51">
        <v>23.6</v>
      </c>
      <c r="D1384">
        <f>+VLOOKUP(dHdcp[[#This Row],[Handicap]],'Categoría Hdcap'!$B$2:$E$7,4)</f>
        <v>4</v>
      </c>
      <c r="E1384" t="s">
        <v>74</v>
      </c>
      <c r="F1384" t="s">
        <v>1850</v>
      </c>
      <c r="G1384">
        <f>+IF(dHdcp[[#This Row],[Fecha]]=MAX(dHdcp[Fecha]),1,0)</f>
        <v>0</v>
      </c>
      <c r="H1384" t="str">
        <f>+dHdcp[[#This Row],[Maximo]]&amp;":"&amp;dHdcp[[#This Row],[Nombre]]</f>
        <v>0:Jorge Alberto Martínez Sánchez</v>
      </c>
      <c r="I1384" t="str">
        <f>+dHdcp[[#This Row],[Maximo]]&amp;":"&amp;_xlfn.XLOOKUP(dHdcp[[#This Row],[Nombre]],dJugador[Nombre],dJugador[Mote],"",0)</f>
        <v>0:Jorge</v>
      </c>
      <c r="J1384" t="str">
        <f>+IF(dHdcp[[#This Row],[Maximo]]=0,"",_xlfn.RANK.EQ(dHdcp[[#This Row],[Handicap]],dHdcp[Handicap],1))</f>
        <v/>
      </c>
      <c r="K1384" t="str">
        <f>IFERROR(+_xlfn.RANK.EQ(dHdcp[[#This Row],[Ranking]],dHdcp[Ranking],1),"")</f>
        <v/>
      </c>
      <c r="M1384" t="str">
        <f>+dHdcp[[#This Row],[Fecha]]&amp;":"&amp;dHdcp[[#This Row],[Nombre]]</f>
        <v>44884:Jorge Alberto Martínez Sánchez</v>
      </c>
      <c r="N1384">
        <f>+COUNTIF(dHdcp[Columna1],dHdcp[[#This Row],[Columna1]])</f>
        <v>1</v>
      </c>
    </row>
    <row r="1385" spans="1:14">
      <c r="A1385" s="2">
        <v>44884</v>
      </c>
      <c r="B1385" t="s">
        <v>18</v>
      </c>
      <c r="C1385" s="51">
        <v>7.3</v>
      </c>
      <c r="D1385">
        <f>+VLOOKUP(dHdcp[[#This Row],[Handicap]],'Categoría Hdcap'!$B$2:$E$7,4)</f>
        <v>2</v>
      </c>
      <c r="E1385" t="s">
        <v>74</v>
      </c>
      <c r="F1385" t="s">
        <v>1851</v>
      </c>
      <c r="G1385">
        <f>+IF(dHdcp[[#This Row],[Fecha]]=MAX(dHdcp[Fecha]),1,0)</f>
        <v>0</v>
      </c>
      <c r="H1385" t="str">
        <f>+dHdcp[[#This Row],[Maximo]]&amp;":"&amp;dHdcp[[#This Row],[Nombre]]</f>
        <v>0:José Pablo Guil</v>
      </c>
      <c r="I1385" t="str">
        <f>+dHdcp[[#This Row],[Maximo]]&amp;":"&amp;_xlfn.XLOOKUP(dHdcp[[#This Row],[Nombre]],dJugador[Nombre],dJugador[Mote],"",0)</f>
        <v>0:JP</v>
      </c>
      <c r="J1385" t="str">
        <f>+IF(dHdcp[[#This Row],[Maximo]]=0,"",_xlfn.RANK.EQ(dHdcp[[#This Row],[Handicap]],dHdcp[Handicap],1))</f>
        <v/>
      </c>
      <c r="K1385" t="str">
        <f>IFERROR(+_xlfn.RANK.EQ(dHdcp[[#This Row],[Ranking]],dHdcp[Ranking],1),"")</f>
        <v/>
      </c>
      <c r="M1385" t="str">
        <f>+dHdcp[[#This Row],[Fecha]]&amp;":"&amp;dHdcp[[#This Row],[Nombre]]</f>
        <v>44884:José Pablo Guil</v>
      </c>
      <c r="N1385">
        <f>+COUNTIF(dHdcp[Columna1],dHdcp[[#This Row],[Columna1]])</f>
        <v>1</v>
      </c>
    </row>
    <row r="1386" spans="1:14">
      <c r="A1386" s="2">
        <v>44884</v>
      </c>
      <c r="B1386" t="s">
        <v>293</v>
      </c>
      <c r="C1386" s="51">
        <v>21.1</v>
      </c>
      <c r="D1386">
        <f>+VLOOKUP(dHdcp[[#This Row],[Handicap]],'Categoría Hdcap'!$B$2:$E$7,4)</f>
        <v>4</v>
      </c>
      <c r="E1386" t="s">
        <v>74</v>
      </c>
      <c r="F1386" t="s">
        <v>1852</v>
      </c>
      <c r="G1386">
        <f>+IF(dHdcp[[#This Row],[Fecha]]=MAX(dHdcp[Fecha]),1,0)</f>
        <v>0</v>
      </c>
      <c r="H1386" t="str">
        <f>+dHdcp[[#This Row],[Maximo]]&amp;":"&amp;dHdcp[[#This Row],[Nombre]]</f>
        <v>0:Juan Jose Aguado</v>
      </c>
      <c r="I1386" t="str">
        <f>+dHdcp[[#This Row],[Maximo]]&amp;":"&amp;_xlfn.XLOOKUP(dHdcp[[#This Row],[Nombre]],dJugador[Nombre],dJugador[Mote],"",0)</f>
        <v>0:Juancho</v>
      </c>
      <c r="J1386" t="str">
        <f>+IF(dHdcp[[#This Row],[Maximo]]=0,"",_xlfn.RANK.EQ(dHdcp[[#This Row],[Handicap]],dHdcp[Handicap],1))</f>
        <v/>
      </c>
      <c r="K1386" t="str">
        <f>IFERROR(+_xlfn.RANK.EQ(dHdcp[[#This Row],[Ranking]],dHdcp[Ranking],1),"")</f>
        <v/>
      </c>
      <c r="M1386" t="str">
        <f>+dHdcp[[#This Row],[Fecha]]&amp;":"&amp;dHdcp[[#This Row],[Nombre]]</f>
        <v>44884:Juan Jose Aguado</v>
      </c>
      <c r="N1386">
        <f>+COUNTIF(dHdcp[Columna1],dHdcp[[#This Row],[Columna1]])</f>
        <v>1</v>
      </c>
    </row>
    <row r="1387" spans="1:14">
      <c r="A1387" s="2">
        <v>44884</v>
      </c>
      <c r="B1387" t="s">
        <v>43</v>
      </c>
      <c r="C1387" s="51">
        <v>18.5</v>
      </c>
      <c r="D1387">
        <f>+VLOOKUP(dHdcp[[#This Row],[Handicap]],'Categoría Hdcap'!$B$2:$E$7,4)</f>
        <v>4</v>
      </c>
      <c r="E1387" t="s">
        <v>74</v>
      </c>
      <c r="F1387" s="94" t="s">
        <v>1853</v>
      </c>
      <c r="G1387">
        <f>+IF(dHdcp[[#This Row],[Fecha]]=MAX(dHdcp[Fecha]),1,0)</f>
        <v>0</v>
      </c>
      <c r="H1387" t="str">
        <f>+dHdcp[[#This Row],[Maximo]]&amp;":"&amp;dHdcp[[#This Row],[Nombre]]</f>
        <v>0:Luis Escudero</v>
      </c>
      <c r="I1387" t="str">
        <f>+dHdcp[[#This Row],[Maximo]]&amp;":"&amp;_xlfn.XLOOKUP(dHdcp[[#This Row],[Nombre]],dJugador[Nombre],dJugador[Mote],"",0)</f>
        <v>0:Lucho</v>
      </c>
      <c r="J1387" t="str">
        <f>+IF(dHdcp[[#This Row],[Maximo]]=0,"",_xlfn.RANK.EQ(dHdcp[[#This Row],[Handicap]],dHdcp[Handicap],1))</f>
        <v/>
      </c>
      <c r="K1387" t="str">
        <f>IFERROR(+_xlfn.RANK.EQ(dHdcp[[#This Row],[Ranking]],dHdcp[Ranking],1),"")</f>
        <v/>
      </c>
      <c r="M1387" t="str">
        <f>+dHdcp[[#This Row],[Fecha]]&amp;":"&amp;dHdcp[[#This Row],[Nombre]]</f>
        <v>44884:Luis Escudero</v>
      </c>
      <c r="N1387">
        <f>+COUNTIF(dHdcp[Columna1],dHdcp[[#This Row],[Columna1]])</f>
        <v>1</v>
      </c>
    </row>
    <row r="1388" spans="1:14">
      <c r="A1388" s="2">
        <v>44884</v>
      </c>
      <c r="B1388" s="10" t="s">
        <v>135</v>
      </c>
      <c r="C1388" s="53">
        <v>24</v>
      </c>
      <c r="D1388">
        <f>+VLOOKUP(dHdcp[[#This Row],[Handicap]],'Categoría Hdcap'!$B$2:$E$7,4)</f>
        <v>4</v>
      </c>
      <c r="E1388" t="s">
        <v>74</v>
      </c>
      <c r="F1388" t="s">
        <v>1854</v>
      </c>
      <c r="G1388">
        <f>+IF(dHdcp[[#This Row],[Fecha]]=MAX(dHdcp[Fecha]),1,0)</f>
        <v>0</v>
      </c>
      <c r="H1388" t="str">
        <f>+dHdcp[[#This Row],[Maximo]]&amp;":"&amp;dHdcp[[#This Row],[Nombre]]</f>
        <v>0:Miche Lopez</v>
      </c>
      <c r="I1388" t="str">
        <f>+dHdcp[[#This Row],[Maximo]]&amp;":"&amp;_xlfn.XLOOKUP(dHdcp[[#This Row],[Nombre]],dJugador[Nombre],dJugador[Mote],"",0)</f>
        <v>0:Miche</v>
      </c>
      <c r="J1388" t="str">
        <f>+IF(dHdcp[[#This Row],[Maximo]]=0,"",_xlfn.RANK.EQ(dHdcp[[#This Row],[Handicap]],dHdcp[Handicap],1))</f>
        <v/>
      </c>
      <c r="K1388" t="str">
        <f>IFERROR(+_xlfn.RANK.EQ(dHdcp[[#This Row],[Ranking]],dHdcp[Ranking],1),"")</f>
        <v/>
      </c>
      <c r="M1388" t="str">
        <f>+dHdcp[[#This Row],[Fecha]]&amp;":"&amp;dHdcp[[#This Row],[Nombre]]</f>
        <v>44884:Miche Lopez</v>
      </c>
      <c r="N1388">
        <f>+COUNTIF(dHdcp[Columna1],dHdcp[[#This Row],[Columna1]])</f>
        <v>1</v>
      </c>
    </row>
    <row r="1389" spans="1:14">
      <c r="A1389" s="2">
        <v>44884</v>
      </c>
      <c r="B1389" t="s">
        <v>51</v>
      </c>
      <c r="C1389" s="51">
        <v>-0.4</v>
      </c>
      <c r="D1389">
        <f>+VLOOKUP(dHdcp[[#This Row],[Handicap]],'Categoría Hdcap'!$B$2:$E$7,4)</f>
        <v>1</v>
      </c>
      <c r="E1389" t="s">
        <v>74</v>
      </c>
      <c r="F1389" t="s">
        <v>1855</v>
      </c>
      <c r="G1389">
        <f>+IF(dHdcp[[#This Row],[Fecha]]=MAX(dHdcp[Fecha]),1,0)</f>
        <v>0</v>
      </c>
      <c r="H1389" t="str">
        <f>+dHdcp[[#This Row],[Maximo]]&amp;":"&amp;dHdcp[[#This Row],[Nombre]]</f>
        <v>0:Miguel Diaz Del Moral</v>
      </c>
      <c r="I1389" t="str">
        <f>+dHdcp[[#This Row],[Maximo]]&amp;":"&amp;_xlfn.XLOOKUP(dHdcp[[#This Row],[Nombre]],dJugador[Nombre],dJugador[Mote],"",0)</f>
        <v>0:Cañita</v>
      </c>
      <c r="J1389" t="str">
        <f>+IF(dHdcp[[#This Row],[Maximo]]=0,"",_xlfn.RANK.EQ(dHdcp[[#This Row],[Handicap]],dHdcp[Handicap],1))</f>
        <v/>
      </c>
      <c r="K1389" t="str">
        <f>IFERROR(+_xlfn.RANK.EQ(dHdcp[[#This Row],[Ranking]],dHdcp[Ranking],1),"")</f>
        <v/>
      </c>
      <c r="M1389" t="str">
        <f>+dHdcp[[#This Row],[Fecha]]&amp;":"&amp;dHdcp[[#This Row],[Nombre]]</f>
        <v>44884:Miguel Diaz Del Moral</v>
      </c>
      <c r="N1389">
        <f>+COUNTIF(dHdcp[Columna1],dHdcp[[#This Row],[Columna1]])</f>
        <v>1</v>
      </c>
    </row>
    <row r="1390" spans="1:14">
      <c r="A1390" s="2">
        <v>44884</v>
      </c>
      <c r="B1390" s="13" t="s">
        <v>205</v>
      </c>
      <c r="C1390" s="42">
        <v>7</v>
      </c>
      <c r="D1390">
        <f>+VLOOKUP(dHdcp[[#This Row],[Handicap]],'Categoría Hdcap'!$B$2:$E$7,4)</f>
        <v>2</v>
      </c>
      <c r="E1390" t="s">
        <v>74</v>
      </c>
      <c r="F1390" t="s">
        <v>1856</v>
      </c>
      <c r="G1390">
        <f>+IF(dHdcp[[#This Row],[Fecha]]=MAX(dHdcp[Fecha]),1,0)</f>
        <v>0</v>
      </c>
      <c r="H1390" t="str">
        <f>+dHdcp[[#This Row],[Maximo]]&amp;":"&amp;dHdcp[[#This Row],[Nombre]]</f>
        <v>0:Nacho Casas</v>
      </c>
      <c r="I1390" t="str">
        <f>+dHdcp[[#This Row],[Maximo]]&amp;":"&amp;_xlfn.XLOOKUP(dHdcp[[#This Row],[Nombre]],dJugador[Nombre],dJugador[Mote],"",0)</f>
        <v>0:Nachete</v>
      </c>
      <c r="J1390" t="str">
        <f>+IF(dHdcp[[#This Row],[Maximo]]=0,"",_xlfn.RANK.EQ(dHdcp[[#This Row],[Handicap]],dHdcp[Handicap],1))</f>
        <v/>
      </c>
      <c r="K1390" t="str">
        <f>IFERROR(+_xlfn.RANK.EQ(dHdcp[[#This Row],[Ranking]],dHdcp[Ranking],1),"")</f>
        <v/>
      </c>
      <c r="M1390" t="str">
        <f>+dHdcp[[#This Row],[Fecha]]&amp;":"&amp;dHdcp[[#This Row],[Nombre]]</f>
        <v>44884:Nacho Casas</v>
      </c>
      <c r="N1390">
        <f>+COUNTIF(dHdcp[Columna1],dHdcp[[#This Row],[Columna1]])</f>
        <v>1</v>
      </c>
    </row>
    <row r="1391" spans="1:14">
      <c r="A1391" s="2">
        <v>44884</v>
      </c>
      <c r="B1391" t="s">
        <v>3</v>
      </c>
      <c r="C1391" s="51">
        <v>6.7</v>
      </c>
      <c r="D1391">
        <f>+VLOOKUP(dHdcp[[#This Row],[Handicap]],'Categoría Hdcap'!$B$2:$E$7,4)</f>
        <v>2</v>
      </c>
      <c r="E1391" t="s">
        <v>74</v>
      </c>
      <c r="F1391" t="s">
        <v>1857</v>
      </c>
      <c r="G1391">
        <f>+IF(dHdcp[[#This Row],[Fecha]]=MAX(dHdcp[Fecha]),1,0)</f>
        <v>0</v>
      </c>
      <c r="H1391" t="str">
        <f>+dHdcp[[#This Row],[Maximo]]&amp;":"&amp;dHdcp[[#This Row],[Nombre]]</f>
        <v>0:Nacho Gonzalez</v>
      </c>
      <c r="I1391" t="str">
        <f>+dHdcp[[#This Row],[Maximo]]&amp;":"&amp;_xlfn.XLOOKUP(dHdcp[[#This Row],[Nombre]],dJugador[Nombre],dJugador[Mote],"",0)</f>
        <v>0:Nacho</v>
      </c>
      <c r="J1391" t="str">
        <f>+IF(dHdcp[[#This Row],[Maximo]]=0,"",_xlfn.RANK.EQ(dHdcp[[#This Row],[Handicap]],dHdcp[Handicap],1))</f>
        <v/>
      </c>
      <c r="K1391" t="str">
        <f>IFERROR(+_xlfn.RANK.EQ(dHdcp[[#This Row],[Ranking]],dHdcp[Ranking],1),"")</f>
        <v/>
      </c>
      <c r="M1391" t="str">
        <f>+dHdcp[[#This Row],[Fecha]]&amp;":"&amp;dHdcp[[#This Row],[Nombre]]</f>
        <v>44884:Nacho Gonzalez</v>
      </c>
      <c r="N1391">
        <f>+COUNTIF(dHdcp[Columna1],dHdcp[[#This Row],[Columna1]])</f>
        <v>1</v>
      </c>
    </row>
    <row r="1392" spans="1:14">
      <c r="A1392" s="2">
        <v>44884</v>
      </c>
      <c r="B1392" t="s">
        <v>28</v>
      </c>
      <c r="C1392" s="51">
        <v>13.7</v>
      </c>
      <c r="D1392">
        <f>+VLOOKUP(dHdcp[[#This Row],[Handicap]],'Categoría Hdcap'!$B$2:$E$7,4)</f>
        <v>3</v>
      </c>
      <c r="E1392" t="s">
        <v>74</v>
      </c>
      <c r="F1392" t="s">
        <v>1858</v>
      </c>
      <c r="G1392">
        <f>+IF(dHdcp[[#This Row],[Fecha]]=MAX(dHdcp[Fecha]),1,0)</f>
        <v>0</v>
      </c>
      <c r="H1392" t="str">
        <f>+dHdcp[[#This Row],[Maximo]]&amp;":"&amp;dHdcp[[#This Row],[Nombre]]</f>
        <v>0:Pablo Munitiz</v>
      </c>
      <c r="I1392" t="str">
        <f>+dHdcp[[#This Row],[Maximo]]&amp;":"&amp;_xlfn.XLOOKUP(dHdcp[[#This Row],[Nombre]],dJugador[Nombre],dJugador[Mote],"",0)</f>
        <v>0:Muni</v>
      </c>
      <c r="J1392" t="str">
        <f>+IF(dHdcp[[#This Row],[Maximo]]=0,"",_xlfn.RANK.EQ(dHdcp[[#This Row],[Handicap]],dHdcp[Handicap],1))</f>
        <v/>
      </c>
      <c r="K1392" t="str">
        <f>IFERROR(+_xlfn.RANK.EQ(dHdcp[[#This Row],[Ranking]],dHdcp[Ranking],1),"")</f>
        <v/>
      </c>
      <c r="M1392" t="str">
        <f>+dHdcp[[#This Row],[Fecha]]&amp;":"&amp;dHdcp[[#This Row],[Nombre]]</f>
        <v>44884:Pablo Munitiz</v>
      </c>
      <c r="N1392">
        <f>+COUNTIF(dHdcp[Columna1],dHdcp[[#This Row],[Columna1]])</f>
        <v>1</v>
      </c>
    </row>
    <row r="1393" spans="1:14">
      <c r="A1393" s="2">
        <v>44884</v>
      </c>
      <c r="B1393" t="s">
        <v>203</v>
      </c>
      <c r="C1393" s="51">
        <v>17.7</v>
      </c>
      <c r="D1393">
        <f>+VLOOKUP(dHdcp[[#This Row],[Handicap]],'Categoría Hdcap'!$B$2:$E$7,4)</f>
        <v>3</v>
      </c>
      <c r="E1393" t="s">
        <v>74</v>
      </c>
      <c r="F1393" t="s">
        <v>1859</v>
      </c>
      <c r="G1393">
        <f>+IF(dHdcp[[#This Row],[Fecha]]=MAX(dHdcp[Fecha]),1,0)</f>
        <v>0</v>
      </c>
      <c r="H1393" t="str">
        <f>+dHdcp[[#This Row],[Maximo]]&amp;":"&amp;dHdcp[[#This Row],[Nombre]]</f>
        <v>0:Ruslan Kochman</v>
      </c>
      <c r="I1393" t="str">
        <f>+dHdcp[[#This Row],[Maximo]]&amp;":"&amp;_xlfn.XLOOKUP(dHdcp[[#This Row],[Nombre]],dJugador[Nombre],dJugador[Mote],"",0)</f>
        <v>0:Rus</v>
      </c>
      <c r="J1393" t="str">
        <f>+IF(dHdcp[[#This Row],[Maximo]]=0,"",_xlfn.RANK.EQ(dHdcp[[#This Row],[Handicap]],dHdcp[Handicap],1))</f>
        <v/>
      </c>
      <c r="K1393" t="str">
        <f>IFERROR(+_xlfn.RANK.EQ(dHdcp[[#This Row],[Ranking]],dHdcp[Ranking],1),"")</f>
        <v/>
      </c>
      <c r="M1393" t="str">
        <f>+dHdcp[[#This Row],[Fecha]]&amp;":"&amp;dHdcp[[#This Row],[Nombre]]</f>
        <v>44884:Ruslan Kochman</v>
      </c>
      <c r="N1393">
        <f>+COUNTIF(dHdcp[Columna1],dHdcp[[#This Row],[Columna1]])</f>
        <v>1</v>
      </c>
    </row>
    <row r="1394" spans="1:14">
      <c r="A1394" s="2">
        <v>44884</v>
      </c>
      <c r="B1394" t="s">
        <v>271</v>
      </c>
      <c r="C1394" s="51">
        <v>16.399999999999999</v>
      </c>
      <c r="D1394">
        <f>+VLOOKUP(dHdcp[[#This Row],[Handicap]],'Categoría Hdcap'!$B$2:$E$7,4)</f>
        <v>3</v>
      </c>
      <c r="E1394" t="s">
        <v>74</v>
      </c>
      <c r="F1394" t="s">
        <v>1860</v>
      </c>
      <c r="G1394">
        <f>+IF(dHdcp[[#This Row],[Fecha]]=MAX(dHdcp[Fecha]),1,0)</f>
        <v>0</v>
      </c>
      <c r="H1394" t="str">
        <f>+dHdcp[[#This Row],[Maximo]]&amp;":"&amp;dHdcp[[#This Row],[Nombre]]</f>
        <v>0:Santi Diaz</v>
      </c>
      <c r="I1394" t="str">
        <f>+dHdcp[[#This Row],[Maximo]]&amp;":"&amp;_xlfn.XLOOKUP(dHdcp[[#This Row],[Nombre]],dJugador[Nombre],dJugador[Mote],"",0)</f>
        <v>0:Santi</v>
      </c>
      <c r="J1394" t="str">
        <f>+IF(dHdcp[[#This Row],[Maximo]]=0,"",_xlfn.RANK.EQ(dHdcp[[#This Row],[Handicap]],dHdcp[Handicap],1))</f>
        <v/>
      </c>
      <c r="K1394" t="str">
        <f>IFERROR(+_xlfn.RANK.EQ(dHdcp[[#This Row],[Ranking]],dHdcp[Ranking],1),"")</f>
        <v/>
      </c>
      <c r="M1394" t="str">
        <f>+dHdcp[[#This Row],[Fecha]]&amp;":"&amp;dHdcp[[#This Row],[Nombre]]</f>
        <v>44884:Santi Diaz</v>
      </c>
      <c r="N1394">
        <f>+COUNTIF(dHdcp[Columna1],dHdcp[[#This Row],[Columna1]])</f>
        <v>1</v>
      </c>
    </row>
    <row r="1395" spans="1:14">
      <c r="A1395" s="2">
        <v>44912</v>
      </c>
      <c r="B1395" t="s">
        <v>259</v>
      </c>
      <c r="C1395" s="51">
        <v>3.5</v>
      </c>
      <c r="D1395">
        <f>+VLOOKUP(dHdcp[[#This Row],[Handicap]],'Categoría Hdcap'!$B$2:$E$7,4)</f>
        <v>1</v>
      </c>
      <c r="E1395" t="s">
        <v>74</v>
      </c>
      <c r="F1395" t="s">
        <v>1861</v>
      </c>
      <c r="G1395">
        <f>+IF(dHdcp[[#This Row],[Fecha]]=MAX(dHdcp[Fecha]),1,0)</f>
        <v>0</v>
      </c>
      <c r="H1395" t="str">
        <f>+dHdcp[[#This Row],[Maximo]]&amp;":"&amp;dHdcp[[#This Row],[Nombre]]</f>
        <v>0:Alejandro Arcos</v>
      </c>
      <c r="I1395" t="str">
        <f>+dHdcp[[#This Row],[Maximo]]&amp;":"&amp;_xlfn.XLOOKUP(dHdcp[[#This Row],[Nombre]],dJugador[Nombre],dJugador[Mote],"",0)</f>
        <v>0:Alex</v>
      </c>
      <c r="J1395" t="str">
        <f>+IF(dHdcp[[#This Row],[Maximo]]=0,"",_xlfn.RANK.EQ(dHdcp[[#This Row],[Handicap]],dHdcp[Handicap],1))</f>
        <v/>
      </c>
      <c r="K1395" t="str">
        <f>IFERROR(+_xlfn.RANK.EQ(dHdcp[[#This Row],[Ranking]],dHdcp[Ranking],1),"")</f>
        <v/>
      </c>
      <c r="M1395" t="str">
        <f>+dHdcp[[#This Row],[Fecha]]&amp;":"&amp;dHdcp[[#This Row],[Nombre]]</f>
        <v>44912:Alejandro Arcos</v>
      </c>
      <c r="N1395">
        <f>+COUNTIF(dHdcp[Columna1],dHdcp[[#This Row],[Columna1]])</f>
        <v>1</v>
      </c>
    </row>
    <row r="1396" spans="1:14">
      <c r="A1396" s="2">
        <v>44912</v>
      </c>
      <c r="B1396" t="s">
        <v>9</v>
      </c>
      <c r="C1396" s="51">
        <v>9.9</v>
      </c>
      <c r="D1396">
        <f>+VLOOKUP(dHdcp[[#This Row],[Handicap]],'Categoría Hdcap'!$B$2:$E$7,4)</f>
        <v>2</v>
      </c>
      <c r="E1396" t="s">
        <v>74</v>
      </c>
      <c r="F1396" t="s">
        <v>1862</v>
      </c>
      <c r="G1396">
        <f>+IF(dHdcp[[#This Row],[Fecha]]=MAX(dHdcp[Fecha]),1,0)</f>
        <v>0</v>
      </c>
      <c r="H1396" t="str">
        <f>+dHdcp[[#This Row],[Maximo]]&amp;":"&amp;dHdcp[[#This Row],[Nombre]]</f>
        <v>0:Alfonso Hidalgo</v>
      </c>
      <c r="I1396" t="str">
        <f>+dHdcp[[#This Row],[Maximo]]&amp;":"&amp;_xlfn.XLOOKUP(dHdcp[[#This Row],[Nombre]],dJugador[Nombre],dJugador[Mote],"",0)</f>
        <v>0:Alfonso</v>
      </c>
      <c r="J1396" t="str">
        <f>+IF(dHdcp[[#This Row],[Maximo]]=0,"",_xlfn.RANK.EQ(dHdcp[[#This Row],[Handicap]],dHdcp[Handicap],1))</f>
        <v/>
      </c>
      <c r="K1396" t="str">
        <f>IFERROR(+_xlfn.RANK.EQ(dHdcp[[#This Row],[Ranking]],dHdcp[Ranking],1),"")</f>
        <v/>
      </c>
      <c r="M1396" t="str">
        <f>+dHdcp[[#This Row],[Fecha]]&amp;":"&amp;dHdcp[[#This Row],[Nombre]]</f>
        <v>44912:Alfonso Hidalgo</v>
      </c>
      <c r="N1396">
        <f>+COUNTIF(dHdcp[Columna1],dHdcp[[#This Row],[Columna1]])</f>
        <v>1</v>
      </c>
    </row>
    <row r="1397" spans="1:14">
      <c r="A1397" s="2">
        <v>44912</v>
      </c>
      <c r="B1397" t="s">
        <v>229</v>
      </c>
      <c r="C1397" s="51">
        <v>14.1</v>
      </c>
      <c r="D1397">
        <f>+VLOOKUP(dHdcp[[#This Row],[Handicap]],'Categoría Hdcap'!$B$2:$E$7,4)</f>
        <v>3</v>
      </c>
      <c r="E1397" t="s">
        <v>74</v>
      </c>
      <c r="F1397" t="s">
        <v>1863</v>
      </c>
      <c r="G1397">
        <f>+IF(dHdcp[[#This Row],[Fecha]]=MAX(dHdcp[Fecha]),1,0)</f>
        <v>0</v>
      </c>
      <c r="H1397" t="str">
        <f>+dHdcp[[#This Row],[Maximo]]&amp;":"&amp;dHdcp[[#This Row],[Nombre]]</f>
        <v>0:Alfonso Zorrilla</v>
      </c>
      <c r="I1397" t="str">
        <f>+dHdcp[[#This Row],[Maximo]]&amp;":"&amp;_xlfn.XLOOKUP(dHdcp[[#This Row],[Nombre]],dJugador[Nombre],dJugador[Mote],"",0)</f>
        <v>0:A Zorrilla</v>
      </c>
      <c r="J1397" t="str">
        <f>+IF(dHdcp[[#This Row],[Maximo]]=0,"",_xlfn.RANK.EQ(dHdcp[[#This Row],[Handicap]],dHdcp[Handicap],1))</f>
        <v/>
      </c>
      <c r="K1397" t="str">
        <f>IFERROR(+_xlfn.RANK.EQ(dHdcp[[#This Row],[Ranking]],dHdcp[Ranking],1),"")</f>
        <v/>
      </c>
      <c r="M1397" t="str">
        <f>+dHdcp[[#This Row],[Fecha]]&amp;":"&amp;dHdcp[[#This Row],[Nombre]]</f>
        <v>44912:Alfonso Zorrilla</v>
      </c>
      <c r="N1397">
        <f>+COUNTIF(dHdcp[Columna1],dHdcp[[#This Row],[Columna1]])</f>
        <v>1</v>
      </c>
    </row>
    <row r="1398" spans="1:14">
      <c r="A1398" s="2">
        <v>44912</v>
      </c>
      <c r="B1398" s="13" t="s">
        <v>15</v>
      </c>
      <c r="C1398" s="51">
        <v>6.1</v>
      </c>
      <c r="D1398">
        <f>+VLOOKUP(dHdcp[[#This Row],[Handicap]],'Categoría Hdcap'!$B$2:$E$7,4)</f>
        <v>2</v>
      </c>
      <c r="E1398" t="s">
        <v>74</v>
      </c>
      <c r="F1398" t="s">
        <v>1864</v>
      </c>
      <c r="G1398">
        <f>+IF(dHdcp[[#This Row],[Fecha]]=MAX(dHdcp[Fecha]),1,0)</f>
        <v>0</v>
      </c>
      <c r="H1398" t="str">
        <f>+dHdcp[[#This Row],[Maximo]]&amp;":"&amp;dHdcp[[#This Row],[Nombre]]</f>
        <v>0:Alvaro Aguirre</v>
      </c>
      <c r="I1398" t="str">
        <f>+dHdcp[[#This Row],[Maximo]]&amp;":"&amp;_xlfn.XLOOKUP(dHdcp[[#This Row],[Nombre]],dJugador[Nombre],dJugador[Mote],"",0)</f>
        <v>0:Gifu</v>
      </c>
      <c r="J1398" t="str">
        <f>+IF(dHdcp[[#This Row],[Maximo]]=0,"",_xlfn.RANK.EQ(dHdcp[[#This Row],[Handicap]],dHdcp[Handicap],1))</f>
        <v/>
      </c>
      <c r="K1398" t="str">
        <f>IFERROR(+_xlfn.RANK.EQ(dHdcp[[#This Row],[Ranking]],dHdcp[Ranking],1),"")</f>
        <v/>
      </c>
      <c r="M1398" t="str">
        <f>+dHdcp[[#This Row],[Fecha]]&amp;":"&amp;dHdcp[[#This Row],[Nombre]]</f>
        <v>44912:Alvaro Aguirre</v>
      </c>
      <c r="N1398">
        <f>+COUNTIF(dHdcp[Columna1],dHdcp[[#This Row],[Columna1]])</f>
        <v>1</v>
      </c>
    </row>
    <row r="1399" spans="1:14">
      <c r="A1399" s="2">
        <v>44912</v>
      </c>
      <c r="B1399" t="s">
        <v>201</v>
      </c>
      <c r="C1399" s="51">
        <v>9.4</v>
      </c>
      <c r="D1399">
        <f>+VLOOKUP(dHdcp[[#This Row],[Handicap]],'Categoría Hdcap'!$B$2:$E$7,4)</f>
        <v>2</v>
      </c>
      <c r="E1399" t="s">
        <v>74</v>
      </c>
      <c r="F1399" t="s">
        <v>1865</v>
      </c>
      <c r="G1399">
        <f>+IF(dHdcp[[#This Row],[Fecha]]=MAX(dHdcp[Fecha]),1,0)</f>
        <v>0</v>
      </c>
      <c r="H1399" t="str">
        <f>+dHdcp[[#This Row],[Maximo]]&amp;":"&amp;dHdcp[[#This Row],[Nombre]]</f>
        <v>0:Alvaro Montoya</v>
      </c>
      <c r="I1399" t="str">
        <f>+dHdcp[[#This Row],[Maximo]]&amp;":"&amp;_xlfn.XLOOKUP(dHdcp[[#This Row],[Nombre]],dJugador[Nombre],dJugador[Mote],"",0)</f>
        <v>0:Monti</v>
      </c>
      <c r="J1399" t="str">
        <f>+IF(dHdcp[[#This Row],[Maximo]]=0,"",_xlfn.RANK.EQ(dHdcp[[#This Row],[Handicap]],dHdcp[Handicap],1))</f>
        <v/>
      </c>
      <c r="K1399" t="str">
        <f>IFERROR(+_xlfn.RANK.EQ(dHdcp[[#This Row],[Ranking]],dHdcp[Ranking],1),"")</f>
        <v/>
      </c>
      <c r="M1399" t="str">
        <f>+dHdcp[[#This Row],[Fecha]]&amp;":"&amp;dHdcp[[#This Row],[Nombre]]</f>
        <v>44912:Alvaro Montoya</v>
      </c>
      <c r="N1399">
        <f>+COUNTIF(dHdcp[Columna1],dHdcp[[#This Row],[Columna1]])</f>
        <v>1</v>
      </c>
    </row>
    <row r="1400" spans="1:14">
      <c r="A1400" s="2">
        <v>44912</v>
      </c>
      <c r="B1400" t="s">
        <v>25</v>
      </c>
      <c r="C1400" s="51">
        <v>12.3</v>
      </c>
      <c r="D1400">
        <f>+VLOOKUP(dHdcp[[#This Row],[Handicap]],'Categoría Hdcap'!$B$2:$E$7,4)</f>
        <v>3</v>
      </c>
      <c r="E1400" t="s">
        <v>74</v>
      </c>
      <c r="F1400" t="s">
        <v>1866</v>
      </c>
      <c r="G1400">
        <f>+IF(dHdcp[[#This Row],[Fecha]]=MAX(dHdcp[Fecha]),1,0)</f>
        <v>0</v>
      </c>
      <c r="H1400" t="str">
        <f>+dHdcp[[#This Row],[Maximo]]&amp;":"&amp;dHdcp[[#This Row],[Nombre]]</f>
        <v>0:Alvaro Nieto</v>
      </c>
      <c r="I1400" t="str">
        <f>+dHdcp[[#This Row],[Maximo]]&amp;":"&amp;_xlfn.XLOOKUP(dHdcp[[#This Row],[Nombre]],dJugador[Nombre],dJugador[Mote],"",0)</f>
        <v>0:Alvaro</v>
      </c>
      <c r="J1400" t="str">
        <f>+IF(dHdcp[[#This Row],[Maximo]]=0,"",_xlfn.RANK.EQ(dHdcp[[#This Row],[Handicap]],dHdcp[Handicap],1))</f>
        <v/>
      </c>
      <c r="K1400" t="str">
        <f>IFERROR(+_xlfn.RANK.EQ(dHdcp[[#This Row],[Ranking]],dHdcp[Ranking],1),"")</f>
        <v/>
      </c>
      <c r="M1400" t="str">
        <f>+dHdcp[[#This Row],[Fecha]]&amp;":"&amp;dHdcp[[#This Row],[Nombre]]</f>
        <v>44912:Alvaro Nieto</v>
      </c>
      <c r="N1400">
        <f>+COUNTIF(dHdcp[Columna1],dHdcp[[#This Row],[Columna1]])</f>
        <v>1</v>
      </c>
    </row>
    <row r="1401" spans="1:14">
      <c r="A1401" s="2">
        <v>44912</v>
      </c>
      <c r="B1401" t="s">
        <v>33</v>
      </c>
      <c r="C1401" s="51">
        <v>7.2</v>
      </c>
      <c r="D1401">
        <f>+VLOOKUP(dHdcp[[#This Row],[Handicap]],'Categoría Hdcap'!$B$2:$E$7,4)</f>
        <v>2</v>
      </c>
      <c r="E1401" t="s">
        <v>74</v>
      </c>
      <c r="F1401" t="s">
        <v>1867</v>
      </c>
      <c r="G1401">
        <f>+IF(dHdcp[[#This Row],[Fecha]]=MAX(dHdcp[Fecha]),1,0)</f>
        <v>0</v>
      </c>
      <c r="H1401" t="str">
        <f>+dHdcp[[#This Row],[Maximo]]&amp;":"&amp;dHdcp[[#This Row],[Nombre]]</f>
        <v>0:Angel Hernandez</v>
      </c>
      <c r="I1401" t="str">
        <f>+dHdcp[[#This Row],[Maximo]]&amp;":"&amp;_xlfn.XLOOKUP(dHdcp[[#This Row],[Nombre]],dJugador[Nombre],dJugador[Mote],"",0)</f>
        <v>0:Angel</v>
      </c>
      <c r="J1401" t="str">
        <f>+IF(dHdcp[[#This Row],[Maximo]]=0,"",_xlfn.RANK.EQ(dHdcp[[#This Row],[Handicap]],dHdcp[Handicap],1))</f>
        <v/>
      </c>
      <c r="K1401" t="str">
        <f>IFERROR(+_xlfn.RANK.EQ(dHdcp[[#This Row],[Ranking]],dHdcp[Ranking],1),"")</f>
        <v/>
      </c>
      <c r="M1401" t="str">
        <f>+dHdcp[[#This Row],[Fecha]]&amp;":"&amp;dHdcp[[#This Row],[Nombre]]</f>
        <v>44912:Angel Hernandez</v>
      </c>
      <c r="N1401">
        <f>+COUNTIF(dHdcp[Columna1],dHdcp[[#This Row],[Columna1]])</f>
        <v>1</v>
      </c>
    </row>
    <row r="1402" spans="1:14">
      <c r="A1402" s="2">
        <v>44912</v>
      </c>
      <c r="B1402" t="s">
        <v>264</v>
      </c>
      <c r="C1402" s="51">
        <v>18.899999999999999</v>
      </c>
      <c r="D1402">
        <f>+VLOOKUP(dHdcp[[#This Row],[Handicap]],'Categoría Hdcap'!$B$2:$E$7,4)</f>
        <v>4</v>
      </c>
      <c r="E1402" t="s">
        <v>74</v>
      </c>
      <c r="F1402" t="s">
        <v>1868</v>
      </c>
      <c r="G1402">
        <f>+IF(dHdcp[[#This Row],[Fecha]]=MAX(dHdcp[Fecha]),1,0)</f>
        <v>0</v>
      </c>
      <c r="H1402" t="str">
        <f>+dHdcp[[#This Row],[Maximo]]&amp;":"&amp;dHdcp[[#This Row],[Nombre]]</f>
        <v>0:Antonio Carmona</v>
      </c>
      <c r="I1402" t="str">
        <f>+dHdcp[[#This Row],[Maximo]]&amp;":"&amp;_xlfn.XLOOKUP(dHdcp[[#This Row],[Nombre]],dJugador[Nombre],dJugador[Mote],"",0)</f>
        <v>0:Antonio</v>
      </c>
      <c r="J1402" t="str">
        <f>+IF(dHdcp[[#This Row],[Maximo]]=0,"",_xlfn.RANK.EQ(dHdcp[[#This Row],[Handicap]],dHdcp[Handicap],1))</f>
        <v/>
      </c>
      <c r="K1402" t="str">
        <f>IFERROR(+_xlfn.RANK.EQ(dHdcp[[#This Row],[Ranking]],dHdcp[Ranking],1),"")</f>
        <v/>
      </c>
      <c r="M1402" t="str">
        <f>+dHdcp[[#This Row],[Fecha]]&amp;":"&amp;dHdcp[[#This Row],[Nombre]]</f>
        <v>44912:Antonio Carmona</v>
      </c>
      <c r="N1402">
        <f>+COUNTIF(dHdcp[Columna1],dHdcp[[#This Row],[Columna1]])</f>
        <v>1</v>
      </c>
    </row>
    <row r="1403" spans="1:14">
      <c r="A1403" s="2">
        <v>44912</v>
      </c>
      <c r="B1403" s="13" t="s">
        <v>290</v>
      </c>
      <c r="C1403" s="42">
        <v>26.6</v>
      </c>
      <c r="D1403">
        <f>+VLOOKUP(dHdcp[[#This Row],[Handicap]],'Categoría Hdcap'!$B$2:$E$7,4)</f>
        <v>5</v>
      </c>
      <c r="E1403" t="s">
        <v>74</v>
      </c>
      <c r="F1403" t="s">
        <v>1869</v>
      </c>
      <c r="G1403">
        <f>+IF(dHdcp[[#This Row],[Fecha]]=MAX(dHdcp[Fecha]),1,0)</f>
        <v>0</v>
      </c>
      <c r="H1403" t="str">
        <f>+dHdcp[[#This Row],[Maximo]]&amp;":"&amp;dHdcp[[#This Row],[Nombre]]</f>
        <v>0:Carlos Hijas</v>
      </c>
      <c r="I1403" t="str">
        <f>+dHdcp[[#This Row],[Maximo]]&amp;":"&amp;_xlfn.XLOOKUP(dHdcp[[#This Row],[Nombre]],dJugador[Nombre],dJugador[Mote],"",0)</f>
        <v>0:Hijas</v>
      </c>
      <c r="J1403" t="str">
        <f>+IF(dHdcp[[#This Row],[Maximo]]=0,"",_xlfn.RANK.EQ(dHdcp[[#This Row],[Handicap]],dHdcp[Handicap],1))</f>
        <v/>
      </c>
      <c r="K1403" t="str">
        <f>IFERROR(+_xlfn.RANK.EQ(dHdcp[[#This Row],[Ranking]],dHdcp[Ranking],1),"")</f>
        <v/>
      </c>
      <c r="M1403" t="str">
        <f>+dHdcp[[#This Row],[Fecha]]&amp;":"&amp;dHdcp[[#This Row],[Nombre]]</f>
        <v>44912:Carlos Hijas</v>
      </c>
      <c r="N1403">
        <f>+COUNTIF(dHdcp[Columna1],dHdcp[[#This Row],[Columna1]])</f>
        <v>1</v>
      </c>
    </row>
    <row r="1404" spans="1:14">
      <c r="A1404" s="2">
        <v>44912</v>
      </c>
      <c r="B1404" s="13" t="s">
        <v>291</v>
      </c>
      <c r="C1404" s="42">
        <v>1.5</v>
      </c>
      <c r="D1404">
        <f>+VLOOKUP(dHdcp[[#This Row],[Handicap]],'Categoría Hdcap'!$B$2:$E$7,4)</f>
        <v>1</v>
      </c>
      <c r="E1404" t="s">
        <v>74</v>
      </c>
      <c r="F1404" t="s">
        <v>1870</v>
      </c>
      <c r="G1404">
        <f>+IF(dHdcp[[#This Row],[Fecha]]=MAX(dHdcp[Fecha]),1,0)</f>
        <v>0</v>
      </c>
      <c r="H1404" t="str">
        <f>+dHdcp[[#This Row],[Maximo]]&amp;":"&amp;dHdcp[[#This Row],[Nombre]]</f>
        <v>0:Carlos Maestro</v>
      </c>
      <c r="I1404" t="str">
        <f>+dHdcp[[#This Row],[Maximo]]&amp;":"&amp;_xlfn.XLOOKUP(dHdcp[[#This Row],[Nombre]],dJugador[Nombre],dJugador[Mote],"",0)</f>
        <v>0:Carlitos</v>
      </c>
      <c r="J1404" t="str">
        <f>+IF(dHdcp[[#This Row],[Maximo]]=0,"",_xlfn.RANK.EQ(dHdcp[[#This Row],[Handicap]],dHdcp[Handicap],1))</f>
        <v/>
      </c>
      <c r="K1404" t="str">
        <f>IFERROR(+_xlfn.RANK.EQ(dHdcp[[#This Row],[Ranking]],dHdcp[Ranking],1),"")</f>
        <v/>
      </c>
      <c r="M1404" t="str">
        <f>+dHdcp[[#This Row],[Fecha]]&amp;":"&amp;dHdcp[[#This Row],[Nombre]]</f>
        <v>44912:Carlos Maestro</v>
      </c>
      <c r="N1404">
        <f>+COUNTIF(dHdcp[Columna1],dHdcp[[#This Row],[Columna1]])</f>
        <v>1</v>
      </c>
    </row>
    <row r="1405" spans="1:14">
      <c r="A1405" s="2">
        <v>44912</v>
      </c>
      <c r="B1405" t="s">
        <v>30</v>
      </c>
      <c r="C1405" s="51">
        <v>10.4</v>
      </c>
      <c r="D1405">
        <f>+VLOOKUP(dHdcp[[#This Row],[Handicap]],'Categoría Hdcap'!$B$2:$E$7,4)</f>
        <v>2</v>
      </c>
      <c r="E1405" t="s">
        <v>74</v>
      </c>
      <c r="F1405" t="s">
        <v>1871</v>
      </c>
      <c r="G1405">
        <f>+IF(dHdcp[[#This Row],[Fecha]]=MAX(dHdcp[Fecha]),1,0)</f>
        <v>0</v>
      </c>
      <c r="H1405" t="str">
        <f>+dHdcp[[#This Row],[Maximo]]&amp;":"&amp;dHdcp[[#This Row],[Nombre]]</f>
        <v>0:David Sequera</v>
      </c>
      <c r="I1405" t="str">
        <f>+dHdcp[[#This Row],[Maximo]]&amp;":"&amp;_xlfn.XLOOKUP(dHdcp[[#This Row],[Nombre]],dJugador[Nombre],dJugador[Mote],"",0)</f>
        <v>0:David</v>
      </c>
      <c r="J1405" t="str">
        <f>+IF(dHdcp[[#This Row],[Maximo]]=0,"",_xlfn.RANK.EQ(dHdcp[[#This Row],[Handicap]],dHdcp[Handicap],1))</f>
        <v/>
      </c>
      <c r="K1405" t="str">
        <f>IFERROR(+_xlfn.RANK.EQ(dHdcp[[#This Row],[Ranking]],dHdcp[Ranking],1),"")</f>
        <v/>
      </c>
      <c r="M1405" t="str">
        <f>+dHdcp[[#This Row],[Fecha]]&amp;":"&amp;dHdcp[[#This Row],[Nombre]]</f>
        <v>44912:David Sequera</v>
      </c>
      <c r="N1405">
        <f>+COUNTIF(dHdcp[Columna1],dHdcp[[#This Row],[Columna1]])</f>
        <v>1</v>
      </c>
    </row>
    <row r="1406" spans="1:14">
      <c r="A1406" s="2">
        <v>44912</v>
      </c>
      <c r="B1406" t="s">
        <v>326</v>
      </c>
      <c r="C1406" s="51">
        <v>36</v>
      </c>
      <c r="D1406">
        <f>+VLOOKUP(dHdcp[[#This Row],[Handicap]],'Categoría Hdcap'!$B$2:$E$7,4)</f>
        <v>5</v>
      </c>
      <c r="E1406" t="s">
        <v>74</v>
      </c>
      <c r="F1406" t="s">
        <v>1872</v>
      </c>
      <c r="G1406">
        <f>+IF(dHdcp[[#This Row],[Fecha]]=MAX(dHdcp[Fecha]),1,0)</f>
        <v>0</v>
      </c>
      <c r="H1406" t="str">
        <f>+dHdcp[[#This Row],[Maximo]]&amp;":"&amp;dHdcp[[#This Row],[Nombre]]</f>
        <v>0:Eduardo Buendía</v>
      </c>
      <c r="I1406" t="str">
        <f>+dHdcp[[#This Row],[Maximo]]&amp;":"&amp;_xlfn.XLOOKUP(dHdcp[[#This Row],[Nombre]],dJugador[Nombre],dJugador[Mote],"",0)</f>
        <v>0:Eduardo</v>
      </c>
      <c r="J1406" t="str">
        <f>+IF(dHdcp[[#This Row],[Maximo]]=0,"",_xlfn.RANK.EQ(dHdcp[[#This Row],[Handicap]],dHdcp[Handicap],1))</f>
        <v/>
      </c>
      <c r="K1406" t="str">
        <f>IFERROR(+_xlfn.RANK.EQ(dHdcp[[#This Row],[Ranking]],dHdcp[Ranking],1),"")</f>
        <v/>
      </c>
      <c r="M1406" t="str">
        <f>+dHdcp[[#This Row],[Fecha]]&amp;":"&amp;dHdcp[[#This Row],[Nombre]]</f>
        <v>44912:Eduardo Buendía</v>
      </c>
      <c r="N1406">
        <f>+COUNTIF(dHdcp[Columna1],dHdcp[[#This Row],[Columna1]])</f>
        <v>1</v>
      </c>
    </row>
    <row r="1407" spans="1:14">
      <c r="A1407" s="2">
        <v>44912</v>
      </c>
      <c r="B1407" t="s">
        <v>341</v>
      </c>
      <c r="C1407" s="51">
        <v>16.899999999999999</v>
      </c>
      <c r="D1407">
        <f>+VLOOKUP(dHdcp[[#This Row],[Handicap]],'Categoría Hdcap'!$B$2:$E$7,4)</f>
        <v>3</v>
      </c>
      <c r="E1407" t="s">
        <v>74</v>
      </c>
      <c r="F1407" t="s">
        <v>1873</v>
      </c>
      <c r="G1407">
        <f>+IF(dHdcp[[#This Row],[Fecha]]=MAX(dHdcp[Fecha]),1,0)</f>
        <v>0</v>
      </c>
      <c r="H1407" t="str">
        <f>+dHdcp[[#This Row],[Maximo]]&amp;":"&amp;dHdcp[[#This Row],[Nombre]]</f>
        <v>0:Emiliano Buendía</v>
      </c>
      <c r="I1407" t="str">
        <f>+dHdcp[[#This Row],[Maximo]]&amp;":"&amp;_xlfn.XLOOKUP(dHdcp[[#This Row],[Nombre]],dJugador[Nombre],dJugador[Mote],"",0)</f>
        <v>0:Emi</v>
      </c>
      <c r="J1407" t="str">
        <f>+IF(dHdcp[[#This Row],[Maximo]]=0,"",_xlfn.RANK.EQ(dHdcp[[#This Row],[Handicap]],dHdcp[Handicap],1))</f>
        <v/>
      </c>
      <c r="K1407" t="str">
        <f>IFERROR(+_xlfn.RANK.EQ(dHdcp[[#This Row],[Ranking]],dHdcp[Ranking],1),"")</f>
        <v/>
      </c>
      <c r="M1407" t="str">
        <f>+dHdcp[[#This Row],[Fecha]]&amp;":"&amp;dHdcp[[#This Row],[Nombre]]</f>
        <v>44912:Emiliano Buendía</v>
      </c>
      <c r="N1407">
        <f>+COUNTIF(dHdcp[Columna1],dHdcp[[#This Row],[Columna1]])</f>
        <v>1</v>
      </c>
    </row>
    <row r="1408" spans="1:14">
      <c r="A1408" s="2">
        <v>44912</v>
      </c>
      <c r="B1408" s="83" t="s">
        <v>248</v>
      </c>
      <c r="C1408" s="84">
        <v>12.7</v>
      </c>
      <c r="D1408">
        <f>+VLOOKUP(dHdcp[[#This Row],[Handicap]],'Categoría Hdcap'!$B$2:$E$7,4)</f>
        <v>3</v>
      </c>
      <c r="E1408" t="s">
        <v>74</v>
      </c>
      <c r="F1408" t="s">
        <v>1874</v>
      </c>
      <c r="G1408">
        <f>+IF(dHdcp[[#This Row],[Fecha]]=MAX(dHdcp[Fecha]),1,0)</f>
        <v>0</v>
      </c>
      <c r="H1408" t="str">
        <f>+dHdcp[[#This Row],[Maximo]]&amp;":"&amp;dHdcp[[#This Row],[Nombre]]</f>
        <v>0:Enrique Gonzalez R</v>
      </c>
      <c r="I1408" t="str">
        <f>+dHdcp[[#This Row],[Maximo]]&amp;":"&amp;_xlfn.XLOOKUP(dHdcp[[#This Row],[Nombre]],dJugador[Nombre],dJugador[Mote],"",0)</f>
        <v>0:Enrique</v>
      </c>
      <c r="J1408" t="str">
        <f>+IF(dHdcp[[#This Row],[Maximo]]=0,"",_xlfn.RANK.EQ(dHdcp[[#This Row],[Handicap]],dHdcp[Handicap],1))</f>
        <v/>
      </c>
      <c r="K1408" t="str">
        <f>IFERROR(+_xlfn.RANK.EQ(dHdcp[[#This Row],[Ranking]],dHdcp[Ranking],1),"")</f>
        <v/>
      </c>
      <c r="M1408" t="str">
        <f>+dHdcp[[#This Row],[Fecha]]&amp;":"&amp;dHdcp[[#This Row],[Nombre]]</f>
        <v>44912:Enrique Gonzalez R</v>
      </c>
      <c r="N1408">
        <f>+COUNTIF(dHdcp[Columna1],dHdcp[[#This Row],[Columna1]])</f>
        <v>1</v>
      </c>
    </row>
    <row r="1409" spans="1:14">
      <c r="A1409" s="2">
        <v>44912</v>
      </c>
      <c r="B1409" t="s">
        <v>12</v>
      </c>
      <c r="C1409" s="51">
        <v>14.7</v>
      </c>
      <c r="D1409">
        <f>+VLOOKUP(dHdcp[[#This Row],[Handicap]],'Categoría Hdcap'!$B$2:$E$7,4)</f>
        <v>3</v>
      </c>
      <c r="E1409" t="s">
        <v>74</v>
      </c>
      <c r="F1409" t="s">
        <v>1875</v>
      </c>
      <c r="G1409">
        <f>+IF(dHdcp[[#This Row],[Fecha]]=MAX(dHdcp[Fecha]),1,0)</f>
        <v>0</v>
      </c>
      <c r="H1409" t="str">
        <f>+dHdcp[[#This Row],[Maximo]]&amp;":"&amp;dHdcp[[#This Row],[Nombre]]</f>
        <v>0:Francisco Alvarez</v>
      </c>
      <c r="I1409" t="str">
        <f>+dHdcp[[#This Row],[Maximo]]&amp;":"&amp;_xlfn.XLOOKUP(dHdcp[[#This Row],[Nombre]],dJugador[Nombre],dJugador[Mote],"",0)</f>
        <v>0:Paco</v>
      </c>
      <c r="J1409" t="str">
        <f>+IF(dHdcp[[#This Row],[Maximo]]=0,"",_xlfn.RANK.EQ(dHdcp[[#This Row],[Handicap]],dHdcp[Handicap],1))</f>
        <v/>
      </c>
      <c r="K1409" t="str">
        <f>IFERROR(+_xlfn.RANK.EQ(dHdcp[[#This Row],[Ranking]],dHdcp[Ranking],1),"")</f>
        <v/>
      </c>
      <c r="M1409" t="str">
        <f>+dHdcp[[#This Row],[Fecha]]&amp;":"&amp;dHdcp[[#This Row],[Nombre]]</f>
        <v>44912:Francisco Alvarez</v>
      </c>
      <c r="N1409">
        <f>+COUNTIF(dHdcp[Columna1],dHdcp[[#This Row],[Columna1]])</f>
        <v>1</v>
      </c>
    </row>
    <row r="1410" spans="1:14">
      <c r="A1410" s="2">
        <v>44912</v>
      </c>
      <c r="B1410" t="s">
        <v>49</v>
      </c>
      <c r="C1410" s="51">
        <v>11.9</v>
      </c>
      <c r="D1410">
        <f>+VLOOKUP(dHdcp[[#This Row],[Handicap]],'Categoría Hdcap'!$B$2:$E$7,4)</f>
        <v>3</v>
      </c>
      <c r="E1410" t="s">
        <v>74</v>
      </c>
      <c r="F1410" t="s">
        <v>1876</v>
      </c>
      <c r="G1410">
        <f>+IF(dHdcp[[#This Row],[Fecha]]=MAX(dHdcp[Fecha]),1,0)</f>
        <v>0</v>
      </c>
      <c r="H1410" t="str">
        <f>+dHdcp[[#This Row],[Maximo]]&amp;":"&amp;dHdcp[[#This Row],[Nombre]]</f>
        <v>0:Francisco Hidalgo</v>
      </c>
      <c r="I1410" t="str">
        <f>+dHdcp[[#This Row],[Maximo]]&amp;":"&amp;_xlfn.XLOOKUP(dHdcp[[#This Row],[Nombre]],dJugador[Nombre],dJugador[Mote],"",0)</f>
        <v>0:Fran</v>
      </c>
      <c r="J1410" t="str">
        <f>+IF(dHdcp[[#This Row],[Maximo]]=0,"",_xlfn.RANK.EQ(dHdcp[[#This Row],[Handicap]],dHdcp[Handicap],1))</f>
        <v/>
      </c>
      <c r="K1410" t="str">
        <f>IFERROR(+_xlfn.RANK.EQ(dHdcp[[#This Row],[Ranking]],dHdcp[Ranking],1),"")</f>
        <v/>
      </c>
      <c r="M1410" t="str">
        <f>+dHdcp[[#This Row],[Fecha]]&amp;":"&amp;dHdcp[[#This Row],[Nombre]]</f>
        <v>44912:Francisco Hidalgo</v>
      </c>
      <c r="N1410">
        <f>+COUNTIF(dHdcp[Columna1],dHdcp[[#This Row],[Columna1]])</f>
        <v>1</v>
      </c>
    </row>
    <row r="1411" spans="1:14">
      <c r="A1411" s="2">
        <v>44912</v>
      </c>
      <c r="B1411" t="s">
        <v>207</v>
      </c>
      <c r="C1411" s="51">
        <v>14.5</v>
      </c>
      <c r="D1411">
        <f>+VLOOKUP(dHdcp[[#This Row],[Handicap]],'Categoría Hdcap'!$B$2:$E$7,4)</f>
        <v>3</v>
      </c>
      <c r="E1411" t="s">
        <v>74</v>
      </c>
      <c r="F1411" t="s">
        <v>1877</v>
      </c>
      <c r="G1411">
        <f>+IF(dHdcp[[#This Row],[Fecha]]=MAX(dHdcp[Fecha]),1,0)</f>
        <v>0</v>
      </c>
      <c r="H1411" t="str">
        <f>+dHdcp[[#This Row],[Maximo]]&amp;":"&amp;dHdcp[[#This Row],[Nombre]]</f>
        <v>0:Franck Benouniche</v>
      </c>
      <c r="I1411" t="str">
        <f>+dHdcp[[#This Row],[Maximo]]&amp;":"&amp;_xlfn.XLOOKUP(dHdcp[[#This Row],[Nombre]],dJugador[Nombre],dJugador[Mote],"",0)</f>
        <v>0:Franck</v>
      </c>
      <c r="J1411" t="str">
        <f>+IF(dHdcp[[#This Row],[Maximo]]=0,"",_xlfn.RANK.EQ(dHdcp[[#This Row],[Handicap]],dHdcp[Handicap],1))</f>
        <v/>
      </c>
      <c r="K1411" t="str">
        <f>IFERROR(+_xlfn.RANK.EQ(dHdcp[[#This Row],[Ranking]],dHdcp[Ranking],1),"")</f>
        <v/>
      </c>
      <c r="M1411" t="str">
        <f>+dHdcp[[#This Row],[Fecha]]&amp;":"&amp;dHdcp[[#This Row],[Nombre]]</f>
        <v>44912:Franck Benouniche</v>
      </c>
      <c r="N1411">
        <f>+COUNTIF(dHdcp[Columna1],dHdcp[[#This Row],[Columna1]])</f>
        <v>1</v>
      </c>
    </row>
    <row r="1412" spans="1:14">
      <c r="A1412" s="2">
        <v>44912</v>
      </c>
      <c r="B1412" t="s">
        <v>35</v>
      </c>
      <c r="C1412" s="51">
        <v>18</v>
      </c>
      <c r="D1412">
        <f>+VLOOKUP(dHdcp[[#This Row],[Handicap]],'Categoría Hdcap'!$B$2:$E$7,4)</f>
        <v>3</v>
      </c>
      <c r="E1412" t="s">
        <v>74</v>
      </c>
      <c r="F1412" t="s">
        <v>1878</v>
      </c>
      <c r="G1412">
        <f>+IF(dHdcp[[#This Row],[Fecha]]=MAX(dHdcp[Fecha]),1,0)</f>
        <v>0</v>
      </c>
      <c r="H1412" t="str">
        <f>+dHdcp[[#This Row],[Maximo]]&amp;":"&amp;dHdcp[[#This Row],[Nombre]]</f>
        <v>0:GLEZ JUAN JOSÉ</v>
      </c>
      <c r="I1412" t="str">
        <f>+dHdcp[[#This Row],[Maximo]]&amp;":"&amp;_xlfn.XLOOKUP(dHdcp[[#This Row],[Nombre]],dJugador[Nombre],dJugador[Mote],"",0)</f>
        <v>0:Juanjo</v>
      </c>
      <c r="J1412" t="str">
        <f>+IF(dHdcp[[#This Row],[Maximo]]=0,"",_xlfn.RANK.EQ(dHdcp[[#This Row],[Handicap]],dHdcp[Handicap],1))</f>
        <v/>
      </c>
      <c r="K1412" t="str">
        <f>IFERROR(+_xlfn.RANK.EQ(dHdcp[[#This Row],[Ranking]],dHdcp[Ranking],1),"")</f>
        <v/>
      </c>
      <c r="M1412" t="str">
        <f>+dHdcp[[#This Row],[Fecha]]&amp;":"&amp;dHdcp[[#This Row],[Nombre]]</f>
        <v>44912:GLEZ JUAN JOSÉ</v>
      </c>
      <c r="N1412">
        <f>+COUNTIF(dHdcp[Columna1],dHdcp[[#This Row],[Columna1]])</f>
        <v>1</v>
      </c>
    </row>
    <row r="1413" spans="1:14">
      <c r="A1413" s="2">
        <v>44912</v>
      </c>
      <c r="B1413" t="s">
        <v>6</v>
      </c>
      <c r="C1413" s="51">
        <v>8.6999999999999993</v>
      </c>
      <c r="D1413">
        <f>+VLOOKUP(dHdcp[[#This Row],[Handicap]],'Categoría Hdcap'!$B$2:$E$7,4)</f>
        <v>2</v>
      </c>
      <c r="E1413" t="s">
        <v>74</v>
      </c>
      <c r="F1413" t="s">
        <v>1879</v>
      </c>
      <c r="G1413">
        <f>+IF(dHdcp[[#This Row],[Fecha]]=MAX(dHdcp[Fecha]),1,0)</f>
        <v>0</v>
      </c>
      <c r="H1413" t="str">
        <f>+dHdcp[[#This Row],[Maximo]]&amp;":"&amp;dHdcp[[#This Row],[Nombre]]</f>
        <v>0:Ignacio Cadarso</v>
      </c>
      <c r="I1413" t="str">
        <f>+dHdcp[[#This Row],[Maximo]]&amp;":"&amp;_xlfn.XLOOKUP(dHdcp[[#This Row],[Nombre]],dJugador[Nombre],dJugador[Mote],"",0)</f>
        <v>0:Ignacio</v>
      </c>
      <c r="J1413" t="str">
        <f>+IF(dHdcp[[#This Row],[Maximo]]=0,"",_xlfn.RANK.EQ(dHdcp[[#This Row],[Handicap]],dHdcp[Handicap],1))</f>
        <v/>
      </c>
      <c r="K1413" t="str">
        <f>IFERROR(+_xlfn.RANK.EQ(dHdcp[[#This Row],[Ranking]],dHdcp[Ranking],1),"")</f>
        <v/>
      </c>
      <c r="M1413" t="str">
        <f>+dHdcp[[#This Row],[Fecha]]&amp;":"&amp;dHdcp[[#This Row],[Nombre]]</f>
        <v>44912:Ignacio Cadarso</v>
      </c>
      <c r="N1413">
        <f>+COUNTIF(dHdcp[Columna1],dHdcp[[#This Row],[Columna1]])</f>
        <v>1</v>
      </c>
    </row>
    <row r="1414" spans="1:14">
      <c r="A1414" s="2">
        <v>44912</v>
      </c>
      <c r="B1414" t="s">
        <v>298</v>
      </c>
      <c r="C1414" s="51">
        <v>23.7</v>
      </c>
      <c r="D1414">
        <f>+VLOOKUP(dHdcp[[#This Row],[Handicap]],'Categoría Hdcap'!$B$2:$E$7,4)</f>
        <v>4</v>
      </c>
      <c r="E1414" t="s">
        <v>74</v>
      </c>
      <c r="F1414" t="s">
        <v>1880</v>
      </c>
      <c r="G1414">
        <f>+IF(dHdcp[[#This Row],[Fecha]]=MAX(dHdcp[Fecha]),1,0)</f>
        <v>0</v>
      </c>
      <c r="H1414" t="str">
        <f>+dHdcp[[#This Row],[Maximo]]&amp;":"&amp;dHdcp[[#This Row],[Nombre]]</f>
        <v>0:Ignacio Gracia Charlez</v>
      </c>
      <c r="I1414" t="str">
        <f>+dHdcp[[#This Row],[Maximo]]&amp;":"&amp;_xlfn.XLOOKUP(dHdcp[[#This Row],[Nombre]],dJugador[Nombre],dJugador[Mote],"",0)</f>
        <v>0:I Gracia</v>
      </c>
      <c r="J1414" t="str">
        <f>+IF(dHdcp[[#This Row],[Maximo]]=0,"",_xlfn.RANK.EQ(dHdcp[[#This Row],[Handicap]],dHdcp[Handicap],1))</f>
        <v/>
      </c>
      <c r="K1414" t="str">
        <f>IFERROR(+_xlfn.RANK.EQ(dHdcp[[#This Row],[Ranking]],dHdcp[Ranking],1),"")</f>
        <v/>
      </c>
      <c r="M1414" t="str">
        <f>+dHdcp[[#This Row],[Fecha]]&amp;":"&amp;dHdcp[[#This Row],[Nombre]]</f>
        <v>44912:Ignacio Gracia Charlez</v>
      </c>
      <c r="N1414">
        <f>+COUNTIF(dHdcp[Columna1],dHdcp[[#This Row],[Columna1]])</f>
        <v>1</v>
      </c>
    </row>
    <row r="1415" spans="1:14">
      <c r="A1415" s="2">
        <v>44912</v>
      </c>
      <c r="B1415" t="s">
        <v>23</v>
      </c>
      <c r="C1415" s="51">
        <v>17.5</v>
      </c>
      <c r="D1415">
        <f>+VLOOKUP(dHdcp[[#This Row],[Handicap]],'Categoría Hdcap'!$B$2:$E$7,4)</f>
        <v>3</v>
      </c>
      <c r="E1415" t="s">
        <v>74</v>
      </c>
      <c r="F1415" t="s">
        <v>1881</v>
      </c>
      <c r="G1415">
        <f>+IF(dHdcp[[#This Row],[Fecha]]=MAX(dHdcp[Fecha]),1,0)</f>
        <v>0</v>
      </c>
      <c r="H1415" t="str">
        <f>+dHdcp[[#This Row],[Maximo]]&amp;":"&amp;dHdcp[[#This Row],[Nombre]]</f>
        <v>0:J. Enrique Gonzalez</v>
      </c>
      <c r="I1415" t="str">
        <f>+dHdcp[[#This Row],[Maximo]]&amp;":"&amp;_xlfn.XLOOKUP(dHdcp[[#This Row],[Nombre]],dJugador[Nombre],dJugador[Mote],"",0)</f>
        <v>0:Kike</v>
      </c>
      <c r="J1415" t="str">
        <f>+IF(dHdcp[[#This Row],[Maximo]]=0,"",_xlfn.RANK.EQ(dHdcp[[#This Row],[Handicap]],dHdcp[Handicap],1))</f>
        <v/>
      </c>
      <c r="K1415" t="str">
        <f>IFERROR(+_xlfn.RANK.EQ(dHdcp[[#This Row],[Ranking]],dHdcp[Ranking],1),"")</f>
        <v/>
      </c>
      <c r="M1415" t="str">
        <f>+dHdcp[[#This Row],[Fecha]]&amp;":"&amp;dHdcp[[#This Row],[Nombre]]</f>
        <v>44912:J. Enrique Gonzalez</v>
      </c>
      <c r="N1415">
        <f>+COUNTIF(dHdcp[Columna1],dHdcp[[#This Row],[Columna1]])</f>
        <v>1</v>
      </c>
    </row>
    <row r="1416" spans="1:14">
      <c r="A1416" s="2">
        <v>44912</v>
      </c>
      <c r="B1416" t="s">
        <v>289</v>
      </c>
      <c r="C1416" s="51">
        <v>11.7</v>
      </c>
      <c r="D1416">
        <f>+VLOOKUP(dHdcp[[#This Row],[Handicap]],'Categoría Hdcap'!$B$2:$E$7,4)</f>
        <v>3</v>
      </c>
      <c r="E1416" t="s">
        <v>74</v>
      </c>
      <c r="F1416" t="s">
        <v>1882</v>
      </c>
      <c r="G1416">
        <f>+IF(dHdcp[[#This Row],[Fecha]]=MAX(dHdcp[Fecha]),1,0)</f>
        <v>0</v>
      </c>
      <c r="H1416" t="str">
        <f>+dHdcp[[#This Row],[Maximo]]&amp;":"&amp;dHdcp[[#This Row],[Nombre]]</f>
        <v>0:Jaime Villanueva</v>
      </c>
      <c r="I1416" t="str">
        <f>+dHdcp[[#This Row],[Maximo]]&amp;":"&amp;_xlfn.XLOOKUP(dHdcp[[#This Row],[Nombre]],dJugador[Nombre],dJugador[Mote],"",0)</f>
        <v>0:Villanueva</v>
      </c>
      <c r="J1416" t="str">
        <f>+IF(dHdcp[[#This Row],[Maximo]]=0,"",_xlfn.RANK.EQ(dHdcp[[#This Row],[Handicap]],dHdcp[Handicap],1))</f>
        <v/>
      </c>
      <c r="K1416" t="str">
        <f>IFERROR(+_xlfn.RANK.EQ(dHdcp[[#This Row],[Ranking]],dHdcp[Ranking],1),"")</f>
        <v/>
      </c>
      <c r="M1416" t="str">
        <f>+dHdcp[[#This Row],[Fecha]]&amp;":"&amp;dHdcp[[#This Row],[Nombre]]</f>
        <v>44912:Jaime Villanueva</v>
      </c>
      <c r="N1416">
        <f>+COUNTIF(dHdcp[Columna1],dHdcp[[#This Row],[Columna1]])</f>
        <v>1</v>
      </c>
    </row>
    <row r="1417" spans="1:14">
      <c r="A1417" s="2">
        <v>44912</v>
      </c>
      <c r="B1417" t="s">
        <v>328</v>
      </c>
      <c r="C1417" s="51">
        <v>10.8</v>
      </c>
      <c r="D1417">
        <f>+VLOOKUP(dHdcp[[#This Row],[Handicap]],'Categoría Hdcap'!$B$2:$E$7,4)</f>
        <v>2</v>
      </c>
      <c r="E1417" t="s">
        <v>74</v>
      </c>
      <c r="F1417" t="s">
        <v>1883</v>
      </c>
      <c r="G1417">
        <f>+IF(dHdcp[[#This Row],[Fecha]]=MAX(dHdcp[Fecha]),1,0)</f>
        <v>0</v>
      </c>
      <c r="H1417" t="str">
        <f>+dHdcp[[#This Row],[Maximo]]&amp;":"&amp;dHdcp[[#This Row],[Nombre]]</f>
        <v>0:Javier Arcos</v>
      </c>
      <c r="I1417" t="str">
        <f>+dHdcp[[#This Row],[Maximo]]&amp;":"&amp;_xlfn.XLOOKUP(dHdcp[[#This Row],[Nombre]],dJugador[Nombre],dJugador[Mote],"",0)</f>
        <v>0:J.Arcos</v>
      </c>
      <c r="J1417" t="str">
        <f>+IF(dHdcp[[#This Row],[Maximo]]=0,"",_xlfn.RANK.EQ(dHdcp[[#This Row],[Handicap]],dHdcp[Handicap],1))</f>
        <v/>
      </c>
      <c r="K1417" t="str">
        <f>IFERROR(+_xlfn.RANK.EQ(dHdcp[[#This Row],[Ranking]],dHdcp[Ranking],1),"")</f>
        <v/>
      </c>
      <c r="M1417" t="str">
        <f>+dHdcp[[#This Row],[Fecha]]&amp;":"&amp;dHdcp[[#This Row],[Nombre]]</f>
        <v>44912:Javier Arcos</v>
      </c>
      <c r="N1417">
        <f>+COUNTIF(dHdcp[Columna1],dHdcp[[#This Row],[Columna1]])</f>
        <v>1</v>
      </c>
    </row>
    <row r="1418" spans="1:14">
      <c r="A1418" s="2">
        <v>44912</v>
      </c>
      <c r="B1418" t="s">
        <v>46</v>
      </c>
      <c r="C1418" s="51">
        <v>16.899999999999999</v>
      </c>
      <c r="D1418">
        <f>+VLOOKUP(dHdcp[[#This Row],[Handicap]],'Categoría Hdcap'!$B$2:$E$7,4)</f>
        <v>3</v>
      </c>
      <c r="E1418" t="s">
        <v>74</v>
      </c>
      <c r="F1418" t="s">
        <v>1884</v>
      </c>
      <c r="G1418">
        <f>+IF(dHdcp[[#This Row],[Fecha]]=MAX(dHdcp[Fecha]),1,0)</f>
        <v>0</v>
      </c>
      <c r="H1418" t="str">
        <f>+dHdcp[[#This Row],[Maximo]]&amp;":"&amp;dHdcp[[#This Row],[Nombre]]</f>
        <v>0:Javier Cervera</v>
      </c>
      <c r="I1418" t="str">
        <f>+dHdcp[[#This Row],[Maximo]]&amp;":"&amp;_xlfn.XLOOKUP(dHdcp[[#This Row],[Nombre]],dJugador[Nombre],dJugador[Mote],"",0)</f>
        <v>0:Virus</v>
      </c>
      <c r="J1418" t="str">
        <f>+IF(dHdcp[[#This Row],[Maximo]]=0,"",_xlfn.RANK.EQ(dHdcp[[#This Row],[Handicap]],dHdcp[Handicap],1))</f>
        <v/>
      </c>
      <c r="K1418" t="str">
        <f>IFERROR(+_xlfn.RANK.EQ(dHdcp[[#This Row],[Ranking]],dHdcp[Ranking],1),"")</f>
        <v/>
      </c>
      <c r="M1418" t="str">
        <f>+dHdcp[[#This Row],[Fecha]]&amp;":"&amp;dHdcp[[#This Row],[Nombre]]</f>
        <v>44912:Javier Cervera</v>
      </c>
      <c r="N1418">
        <f>+COUNTIF(dHdcp[Columna1],dHdcp[[#This Row],[Columna1]])</f>
        <v>1</v>
      </c>
    </row>
    <row r="1419" spans="1:14">
      <c r="A1419" s="2">
        <v>44912</v>
      </c>
      <c r="B1419" t="s">
        <v>225</v>
      </c>
      <c r="C1419" s="51">
        <v>11</v>
      </c>
      <c r="D1419">
        <f>+VLOOKUP(dHdcp[[#This Row],[Handicap]],'Categoría Hdcap'!$B$2:$E$7,4)</f>
        <v>2</v>
      </c>
      <c r="E1419" t="s">
        <v>74</v>
      </c>
      <c r="F1419" t="s">
        <v>1885</v>
      </c>
      <c r="G1419">
        <f>+IF(dHdcp[[#This Row],[Fecha]]=MAX(dHdcp[Fecha]),1,0)</f>
        <v>0</v>
      </c>
      <c r="H1419" t="str">
        <f>+dHdcp[[#This Row],[Maximo]]&amp;":"&amp;dHdcp[[#This Row],[Nombre]]</f>
        <v>0:Javier Chiralt</v>
      </c>
      <c r="I1419" t="str">
        <f>+dHdcp[[#This Row],[Maximo]]&amp;":"&amp;_xlfn.XLOOKUP(dHdcp[[#This Row],[Nombre]],dJugador[Nombre],dJugador[Mote],"",0)</f>
        <v>0:Chiralt</v>
      </c>
      <c r="J1419" t="str">
        <f>+IF(dHdcp[[#This Row],[Maximo]]=0,"",_xlfn.RANK.EQ(dHdcp[[#This Row],[Handicap]],dHdcp[Handicap],1))</f>
        <v/>
      </c>
      <c r="K1419" t="str">
        <f>IFERROR(+_xlfn.RANK.EQ(dHdcp[[#This Row],[Ranking]],dHdcp[Ranking],1),"")</f>
        <v/>
      </c>
      <c r="M1419" t="str">
        <f>+dHdcp[[#This Row],[Fecha]]&amp;":"&amp;dHdcp[[#This Row],[Nombre]]</f>
        <v>44912:Javier Chiralt</v>
      </c>
      <c r="N1419">
        <f>+COUNTIF(dHdcp[Columna1],dHdcp[[#This Row],[Columna1]])</f>
        <v>1</v>
      </c>
    </row>
    <row r="1420" spans="1:14">
      <c r="A1420" s="2">
        <v>44912</v>
      </c>
      <c r="B1420" t="s">
        <v>20</v>
      </c>
      <c r="C1420" s="51">
        <v>16.600000000000001</v>
      </c>
      <c r="D1420">
        <f>+VLOOKUP(dHdcp[[#This Row],[Handicap]],'Categoría Hdcap'!$B$2:$E$7,4)</f>
        <v>3</v>
      </c>
      <c r="E1420" t="s">
        <v>74</v>
      </c>
      <c r="F1420" t="s">
        <v>1886</v>
      </c>
      <c r="G1420">
        <f>+IF(dHdcp[[#This Row],[Fecha]]=MAX(dHdcp[Fecha]),1,0)</f>
        <v>0</v>
      </c>
      <c r="H1420" t="str">
        <f>+dHdcp[[#This Row],[Maximo]]&amp;":"&amp;dHdcp[[#This Row],[Nombre]]</f>
        <v>0:Javier Gonzalez Salvador</v>
      </c>
      <c r="I1420" t="str">
        <f>+dHdcp[[#This Row],[Maximo]]&amp;":"&amp;_xlfn.XLOOKUP(dHdcp[[#This Row],[Nombre]],dJugador[Nombre],dJugador[Mote],"",0)</f>
        <v>0:Javi</v>
      </c>
      <c r="J1420" t="str">
        <f>+IF(dHdcp[[#This Row],[Maximo]]=0,"",_xlfn.RANK.EQ(dHdcp[[#This Row],[Handicap]],dHdcp[Handicap],1))</f>
        <v/>
      </c>
      <c r="K1420" t="str">
        <f>IFERROR(+_xlfn.RANK.EQ(dHdcp[[#This Row],[Ranking]],dHdcp[Ranking],1),"")</f>
        <v/>
      </c>
      <c r="M1420" t="str">
        <f>+dHdcp[[#This Row],[Fecha]]&amp;":"&amp;dHdcp[[#This Row],[Nombre]]</f>
        <v>44912:Javier Gonzalez Salvador</v>
      </c>
      <c r="N1420">
        <f>+COUNTIF(dHdcp[Columna1],dHdcp[[#This Row],[Columna1]])</f>
        <v>1</v>
      </c>
    </row>
    <row r="1421" spans="1:14">
      <c r="A1421" s="2">
        <v>44912</v>
      </c>
      <c r="B1421" t="s">
        <v>217</v>
      </c>
      <c r="C1421" s="51">
        <v>21.1</v>
      </c>
      <c r="D1421">
        <f>+VLOOKUP(dHdcp[[#This Row],[Handicap]],'Categoría Hdcap'!$B$2:$E$7,4)</f>
        <v>4</v>
      </c>
      <c r="E1421" t="s">
        <v>74</v>
      </c>
      <c r="F1421" t="s">
        <v>1887</v>
      </c>
      <c r="G1421">
        <f>+IF(dHdcp[[#This Row],[Fecha]]=MAX(dHdcp[Fecha]),1,0)</f>
        <v>0</v>
      </c>
      <c r="H1421" t="str">
        <f>+dHdcp[[#This Row],[Maximo]]&amp;":"&amp;dHdcp[[#This Row],[Nombre]]</f>
        <v>0:Javier Lopez Gullón</v>
      </c>
      <c r="I1421" t="str">
        <f>+dHdcp[[#This Row],[Maximo]]&amp;":"&amp;_xlfn.XLOOKUP(dHdcp[[#This Row],[Nombre]],dJugador[Nombre],dJugador[Mote],"",0)</f>
        <v>0:Cuñao</v>
      </c>
      <c r="J1421" t="str">
        <f>+IF(dHdcp[[#This Row],[Maximo]]=0,"",_xlfn.RANK.EQ(dHdcp[[#This Row],[Handicap]],dHdcp[Handicap],1))</f>
        <v/>
      </c>
      <c r="K1421" t="str">
        <f>IFERROR(+_xlfn.RANK.EQ(dHdcp[[#This Row],[Ranking]],dHdcp[Ranking],1),"")</f>
        <v/>
      </c>
      <c r="M1421" t="str">
        <f>+dHdcp[[#This Row],[Fecha]]&amp;":"&amp;dHdcp[[#This Row],[Nombre]]</f>
        <v>44912:Javier Lopez Gullón</v>
      </c>
      <c r="N1421">
        <f>+COUNTIF(dHdcp[Columna1],dHdcp[[#This Row],[Columna1]])</f>
        <v>1</v>
      </c>
    </row>
    <row r="1422" spans="1:14">
      <c r="A1422" s="2">
        <v>44912</v>
      </c>
      <c r="B1422" t="s">
        <v>41</v>
      </c>
      <c r="C1422" s="51">
        <v>24.8</v>
      </c>
      <c r="D1422">
        <f>+VLOOKUP(dHdcp[[#This Row],[Handicap]],'Categoría Hdcap'!$B$2:$E$7,4)</f>
        <v>4</v>
      </c>
      <c r="E1422" t="s">
        <v>74</v>
      </c>
      <c r="F1422" t="s">
        <v>1888</v>
      </c>
      <c r="G1422">
        <f>+IF(dHdcp[[#This Row],[Fecha]]=MAX(dHdcp[Fecha]),1,0)</f>
        <v>0</v>
      </c>
      <c r="H1422" t="str">
        <f>+dHdcp[[#This Row],[Maximo]]&amp;":"&amp;dHdcp[[#This Row],[Nombre]]</f>
        <v>0:Jesus Touceda</v>
      </c>
      <c r="I1422" t="str">
        <f>+dHdcp[[#This Row],[Maximo]]&amp;":"&amp;_xlfn.XLOOKUP(dHdcp[[#This Row],[Nombre]],dJugador[Nombre],dJugador[Mote],"",0)</f>
        <v>0:Jesús</v>
      </c>
      <c r="J1422" t="str">
        <f>+IF(dHdcp[[#This Row],[Maximo]]=0,"",_xlfn.RANK.EQ(dHdcp[[#This Row],[Handicap]],dHdcp[Handicap],1))</f>
        <v/>
      </c>
      <c r="K1422" t="str">
        <f>IFERROR(+_xlfn.RANK.EQ(dHdcp[[#This Row],[Ranking]],dHdcp[Ranking],1),"")</f>
        <v/>
      </c>
      <c r="M1422" t="str">
        <f>+dHdcp[[#This Row],[Fecha]]&amp;":"&amp;dHdcp[[#This Row],[Nombre]]</f>
        <v>44912:Jesus Touceda</v>
      </c>
      <c r="N1422">
        <f>+COUNTIF(dHdcp[Columna1],dHdcp[[#This Row],[Columna1]])</f>
        <v>1</v>
      </c>
    </row>
    <row r="1423" spans="1:14">
      <c r="A1423" s="2">
        <v>44912</v>
      </c>
      <c r="B1423" t="s">
        <v>297</v>
      </c>
      <c r="C1423" s="51">
        <v>23.5</v>
      </c>
      <c r="D1423">
        <f>+VLOOKUP(dHdcp[[#This Row],[Handicap]],'Categoría Hdcap'!$B$2:$E$7,4)</f>
        <v>4</v>
      </c>
      <c r="E1423" t="s">
        <v>74</v>
      </c>
      <c r="F1423" t="s">
        <v>1889</v>
      </c>
      <c r="G1423">
        <f>+IF(dHdcp[[#This Row],[Fecha]]=MAX(dHdcp[Fecha]),1,0)</f>
        <v>0</v>
      </c>
      <c r="H1423" t="str">
        <f>+dHdcp[[#This Row],[Maximo]]&amp;":"&amp;dHdcp[[#This Row],[Nombre]]</f>
        <v>0:Jorge Alberto Martínez Sánchez</v>
      </c>
      <c r="I1423" t="str">
        <f>+dHdcp[[#This Row],[Maximo]]&amp;":"&amp;_xlfn.XLOOKUP(dHdcp[[#This Row],[Nombre]],dJugador[Nombre],dJugador[Mote],"",0)</f>
        <v>0:Jorge</v>
      </c>
      <c r="J1423" t="str">
        <f>+IF(dHdcp[[#This Row],[Maximo]]=0,"",_xlfn.RANK.EQ(dHdcp[[#This Row],[Handicap]],dHdcp[Handicap],1))</f>
        <v/>
      </c>
      <c r="K1423" t="str">
        <f>IFERROR(+_xlfn.RANK.EQ(dHdcp[[#This Row],[Ranking]],dHdcp[Ranking],1),"")</f>
        <v/>
      </c>
      <c r="M1423" t="str">
        <f>+dHdcp[[#This Row],[Fecha]]&amp;":"&amp;dHdcp[[#This Row],[Nombre]]</f>
        <v>44912:Jorge Alberto Martínez Sánchez</v>
      </c>
      <c r="N1423">
        <f>+COUNTIF(dHdcp[Columna1],dHdcp[[#This Row],[Columna1]])</f>
        <v>1</v>
      </c>
    </row>
    <row r="1424" spans="1:14">
      <c r="A1424" s="2">
        <v>44912</v>
      </c>
      <c r="B1424" t="s">
        <v>18</v>
      </c>
      <c r="C1424" s="51">
        <v>7.3</v>
      </c>
      <c r="D1424">
        <f>+VLOOKUP(dHdcp[[#This Row],[Handicap]],'Categoría Hdcap'!$B$2:$E$7,4)</f>
        <v>2</v>
      </c>
      <c r="E1424" t="s">
        <v>74</v>
      </c>
      <c r="F1424" t="s">
        <v>1890</v>
      </c>
      <c r="G1424">
        <f>+IF(dHdcp[[#This Row],[Fecha]]=MAX(dHdcp[Fecha]),1,0)</f>
        <v>0</v>
      </c>
      <c r="H1424" t="str">
        <f>+dHdcp[[#This Row],[Maximo]]&amp;":"&amp;dHdcp[[#This Row],[Nombre]]</f>
        <v>0:José Pablo Guil</v>
      </c>
      <c r="I1424" t="str">
        <f>+dHdcp[[#This Row],[Maximo]]&amp;":"&amp;_xlfn.XLOOKUP(dHdcp[[#This Row],[Nombre]],dJugador[Nombre],dJugador[Mote],"",0)</f>
        <v>0:JP</v>
      </c>
      <c r="J1424" t="str">
        <f>+IF(dHdcp[[#This Row],[Maximo]]=0,"",_xlfn.RANK.EQ(dHdcp[[#This Row],[Handicap]],dHdcp[Handicap],1))</f>
        <v/>
      </c>
      <c r="K1424" t="str">
        <f>IFERROR(+_xlfn.RANK.EQ(dHdcp[[#This Row],[Ranking]],dHdcp[Ranking],1),"")</f>
        <v/>
      </c>
      <c r="M1424" t="str">
        <f>+dHdcp[[#This Row],[Fecha]]&amp;":"&amp;dHdcp[[#This Row],[Nombre]]</f>
        <v>44912:José Pablo Guil</v>
      </c>
      <c r="N1424">
        <f>+COUNTIF(dHdcp[Columna1],dHdcp[[#This Row],[Columna1]])</f>
        <v>1</v>
      </c>
    </row>
    <row r="1425" spans="1:14">
      <c r="A1425" s="2">
        <v>44912</v>
      </c>
      <c r="B1425" t="s">
        <v>293</v>
      </c>
      <c r="C1425" s="51">
        <v>21.1</v>
      </c>
      <c r="D1425">
        <f>+VLOOKUP(dHdcp[[#This Row],[Handicap]],'Categoría Hdcap'!$B$2:$E$7,4)</f>
        <v>4</v>
      </c>
      <c r="E1425" t="s">
        <v>74</v>
      </c>
      <c r="F1425" t="s">
        <v>1891</v>
      </c>
      <c r="G1425">
        <f>+IF(dHdcp[[#This Row],[Fecha]]=MAX(dHdcp[Fecha]),1,0)</f>
        <v>0</v>
      </c>
      <c r="H1425" t="str">
        <f>+dHdcp[[#This Row],[Maximo]]&amp;":"&amp;dHdcp[[#This Row],[Nombre]]</f>
        <v>0:Juan Jose Aguado</v>
      </c>
      <c r="I1425" t="str">
        <f>+dHdcp[[#This Row],[Maximo]]&amp;":"&amp;_xlfn.XLOOKUP(dHdcp[[#This Row],[Nombre]],dJugador[Nombre],dJugador[Mote],"",0)</f>
        <v>0:Juancho</v>
      </c>
      <c r="J1425" t="str">
        <f>+IF(dHdcp[[#This Row],[Maximo]]=0,"",_xlfn.RANK.EQ(dHdcp[[#This Row],[Handicap]],dHdcp[Handicap],1))</f>
        <v/>
      </c>
      <c r="K1425" t="str">
        <f>IFERROR(+_xlfn.RANK.EQ(dHdcp[[#This Row],[Ranking]],dHdcp[Ranking],1),"")</f>
        <v/>
      </c>
      <c r="M1425" t="str">
        <f>+dHdcp[[#This Row],[Fecha]]&amp;":"&amp;dHdcp[[#This Row],[Nombre]]</f>
        <v>44912:Juan Jose Aguado</v>
      </c>
      <c r="N1425">
        <f>+COUNTIF(dHdcp[Columna1],dHdcp[[#This Row],[Columna1]])</f>
        <v>1</v>
      </c>
    </row>
    <row r="1426" spans="1:14">
      <c r="A1426" s="2">
        <v>44912</v>
      </c>
      <c r="B1426" t="s">
        <v>43</v>
      </c>
      <c r="C1426" s="51">
        <v>18.3</v>
      </c>
      <c r="D1426">
        <f>+VLOOKUP(dHdcp[[#This Row],[Handicap]],'Categoría Hdcap'!$B$2:$E$7,4)</f>
        <v>3</v>
      </c>
      <c r="E1426" t="s">
        <v>74</v>
      </c>
      <c r="F1426" t="s">
        <v>1892</v>
      </c>
      <c r="G1426">
        <f>+IF(dHdcp[[#This Row],[Fecha]]=MAX(dHdcp[Fecha]),1,0)</f>
        <v>0</v>
      </c>
      <c r="H1426" t="str">
        <f>+dHdcp[[#This Row],[Maximo]]&amp;":"&amp;dHdcp[[#This Row],[Nombre]]</f>
        <v>0:Luis Escudero</v>
      </c>
      <c r="I1426" t="str">
        <f>+dHdcp[[#This Row],[Maximo]]&amp;":"&amp;_xlfn.XLOOKUP(dHdcp[[#This Row],[Nombre]],dJugador[Nombre],dJugador[Mote],"",0)</f>
        <v>0:Lucho</v>
      </c>
      <c r="J1426" t="str">
        <f>+IF(dHdcp[[#This Row],[Maximo]]=0,"",_xlfn.RANK.EQ(dHdcp[[#This Row],[Handicap]],dHdcp[Handicap],1))</f>
        <v/>
      </c>
      <c r="K1426" t="str">
        <f>IFERROR(+_xlfn.RANK.EQ(dHdcp[[#This Row],[Ranking]],dHdcp[Ranking],1),"")</f>
        <v/>
      </c>
      <c r="M1426" t="str">
        <f>+dHdcp[[#This Row],[Fecha]]&amp;":"&amp;dHdcp[[#This Row],[Nombre]]</f>
        <v>44912:Luis Escudero</v>
      </c>
      <c r="N1426">
        <f>+COUNTIF(dHdcp[Columna1],dHdcp[[#This Row],[Columna1]])</f>
        <v>1</v>
      </c>
    </row>
    <row r="1427" spans="1:14">
      <c r="A1427" s="2">
        <v>44912</v>
      </c>
      <c r="B1427" s="10" t="s">
        <v>135</v>
      </c>
      <c r="C1427" s="53">
        <v>23.9</v>
      </c>
      <c r="D1427">
        <f>+VLOOKUP(dHdcp[[#This Row],[Handicap]],'Categoría Hdcap'!$B$2:$E$7,4)</f>
        <v>4</v>
      </c>
      <c r="E1427" t="s">
        <v>74</v>
      </c>
      <c r="F1427" s="94" t="s">
        <v>1893</v>
      </c>
      <c r="G1427">
        <f>+IF(dHdcp[[#This Row],[Fecha]]=MAX(dHdcp[Fecha]),1,0)</f>
        <v>0</v>
      </c>
      <c r="H1427" t="str">
        <f>+dHdcp[[#This Row],[Maximo]]&amp;":"&amp;dHdcp[[#This Row],[Nombre]]</f>
        <v>0:Miche Lopez</v>
      </c>
      <c r="I1427" t="str">
        <f>+dHdcp[[#This Row],[Maximo]]&amp;":"&amp;_xlfn.XLOOKUP(dHdcp[[#This Row],[Nombre]],dJugador[Nombre],dJugador[Mote],"",0)</f>
        <v>0:Miche</v>
      </c>
      <c r="J1427" t="str">
        <f>+IF(dHdcp[[#This Row],[Maximo]]=0,"",_xlfn.RANK.EQ(dHdcp[[#This Row],[Handicap]],dHdcp[Handicap],1))</f>
        <v/>
      </c>
      <c r="K1427" t="str">
        <f>IFERROR(+_xlfn.RANK.EQ(dHdcp[[#This Row],[Ranking]],dHdcp[Ranking],1),"")</f>
        <v/>
      </c>
      <c r="M1427" t="str">
        <f>+dHdcp[[#This Row],[Fecha]]&amp;":"&amp;dHdcp[[#This Row],[Nombre]]</f>
        <v>44912:Miche Lopez</v>
      </c>
      <c r="N1427">
        <f>+COUNTIF(dHdcp[Columna1],dHdcp[[#This Row],[Columna1]])</f>
        <v>1</v>
      </c>
    </row>
    <row r="1428" spans="1:14">
      <c r="A1428" s="2">
        <v>44912</v>
      </c>
      <c r="B1428" t="s">
        <v>51</v>
      </c>
      <c r="C1428" s="51">
        <v>-0.5</v>
      </c>
      <c r="D1428">
        <f>+VLOOKUP(dHdcp[[#This Row],[Handicap]],'Categoría Hdcap'!$B$2:$E$7,4)</f>
        <v>1</v>
      </c>
      <c r="E1428" t="s">
        <v>74</v>
      </c>
      <c r="F1428" t="s">
        <v>1894</v>
      </c>
      <c r="G1428">
        <f>+IF(dHdcp[[#This Row],[Fecha]]=MAX(dHdcp[Fecha]),1,0)</f>
        <v>0</v>
      </c>
      <c r="H1428" t="str">
        <f>+dHdcp[[#This Row],[Maximo]]&amp;":"&amp;dHdcp[[#This Row],[Nombre]]</f>
        <v>0:Miguel Diaz Del Moral</v>
      </c>
      <c r="I1428" t="str">
        <f>+dHdcp[[#This Row],[Maximo]]&amp;":"&amp;_xlfn.XLOOKUP(dHdcp[[#This Row],[Nombre]],dJugador[Nombre],dJugador[Mote],"",0)</f>
        <v>0:Cañita</v>
      </c>
      <c r="J1428" t="str">
        <f>+IF(dHdcp[[#This Row],[Maximo]]=0,"",_xlfn.RANK.EQ(dHdcp[[#This Row],[Handicap]],dHdcp[Handicap],1))</f>
        <v/>
      </c>
      <c r="K1428" t="str">
        <f>IFERROR(+_xlfn.RANK.EQ(dHdcp[[#This Row],[Ranking]],dHdcp[Ranking],1),"")</f>
        <v/>
      </c>
      <c r="M1428" t="str">
        <f>+dHdcp[[#This Row],[Fecha]]&amp;":"&amp;dHdcp[[#This Row],[Nombre]]</f>
        <v>44912:Miguel Diaz Del Moral</v>
      </c>
      <c r="N1428">
        <f>+COUNTIF(dHdcp[Columna1],dHdcp[[#This Row],[Columna1]])</f>
        <v>1</v>
      </c>
    </row>
    <row r="1429" spans="1:14">
      <c r="A1429" s="2">
        <v>44912</v>
      </c>
      <c r="B1429" s="13" t="s">
        <v>205</v>
      </c>
      <c r="C1429" s="42">
        <v>7.4</v>
      </c>
      <c r="D1429">
        <f>+VLOOKUP(dHdcp[[#This Row],[Handicap]],'Categoría Hdcap'!$B$2:$E$7,4)</f>
        <v>2</v>
      </c>
      <c r="E1429" t="s">
        <v>74</v>
      </c>
      <c r="F1429" t="s">
        <v>1895</v>
      </c>
      <c r="G1429">
        <f>+IF(dHdcp[[#This Row],[Fecha]]=MAX(dHdcp[Fecha]),1,0)</f>
        <v>0</v>
      </c>
      <c r="H1429" t="str">
        <f>+dHdcp[[#This Row],[Maximo]]&amp;":"&amp;dHdcp[[#This Row],[Nombre]]</f>
        <v>0:Nacho Casas</v>
      </c>
      <c r="I1429" t="str">
        <f>+dHdcp[[#This Row],[Maximo]]&amp;":"&amp;_xlfn.XLOOKUP(dHdcp[[#This Row],[Nombre]],dJugador[Nombre],dJugador[Mote],"",0)</f>
        <v>0:Nachete</v>
      </c>
      <c r="J1429" t="str">
        <f>+IF(dHdcp[[#This Row],[Maximo]]=0,"",_xlfn.RANK.EQ(dHdcp[[#This Row],[Handicap]],dHdcp[Handicap],1))</f>
        <v/>
      </c>
      <c r="K1429" t="str">
        <f>IFERROR(+_xlfn.RANK.EQ(dHdcp[[#This Row],[Ranking]],dHdcp[Ranking],1),"")</f>
        <v/>
      </c>
      <c r="M1429" t="str">
        <f>+dHdcp[[#This Row],[Fecha]]&amp;":"&amp;dHdcp[[#This Row],[Nombre]]</f>
        <v>44912:Nacho Casas</v>
      </c>
      <c r="N1429">
        <f>+COUNTIF(dHdcp[Columna1],dHdcp[[#This Row],[Columna1]])</f>
        <v>1</v>
      </c>
    </row>
    <row r="1430" spans="1:14">
      <c r="A1430" s="2">
        <v>44912</v>
      </c>
      <c r="B1430" t="s">
        <v>3</v>
      </c>
      <c r="C1430" s="51">
        <v>6.7</v>
      </c>
      <c r="D1430">
        <f>+VLOOKUP(dHdcp[[#This Row],[Handicap]],'Categoría Hdcap'!$B$2:$E$7,4)</f>
        <v>2</v>
      </c>
      <c r="E1430" t="s">
        <v>74</v>
      </c>
      <c r="F1430" t="s">
        <v>1896</v>
      </c>
      <c r="G1430">
        <f>+IF(dHdcp[[#This Row],[Fecha]]=MAX(dHdcp[Fecha]),1,0)</f>
        <v>0</v>
      </c>
      <c r="H1430" t="str">
        <f>+dHdcp[[#This Row],[Maximo]]&amp;":"&amp;dHdcp[[#This Row],[Nombre]]</f>
        <v>0:Nacho Gonzalez</v>
      </c>
      <c r="I1430" t="str">
        <f>+dHdcp[[#This Row],[Maximo]]&amp;":"&amp;_xlfn.XLOOKUP(dHdcp[[#This Row],[Nombre]],dJugador[Nombre],dJugador[Mote],"",0)</f>
        <v>0:Nacho</v>
      </c>
      <c r="J1430" t="str">
        <f>+IF(dHdcp[[#This Row],[Maximo]]=0,"",_xlfn.RANK.EQ(dHdcp[[#This Row],[Handicap]],dHdcp[Handicap],1))</f>
        <v/>
      </c>
      <c r="K1430" t="str">
        <f>IFERROR(+_xlfn.RANK.EQ(dHdcp[[#This Row],[Ranking]],dHdcp[Ranking],1),"")</f>
        <v/>
      </c>
      <c r="M1430" t="str">
        <f>+dHdcp[[#This Row],[Fecha]]&amp;":"&amp;dHdcp[[#This Row],[Nombre]]</f>
        <v>44912:Nacho Gonzalez</v>
      </c>
      <c r="N1430">
        <f>+COUNTIF(dHdcp[Columna1],dHdcp[[#This Row],[Columna1]])</f>
        <v>1</v>
      </c>
    </row>
    <row r="1431" spans="1:14">
      <c r="A1431" s="2">
        <v>44912</v>
      </c>
      <c r="B1431" t="s">
        <v>28</v>
      </c>
      <c r="C1431" s="51">
        <v>13.7</v>
      </c>
      <c r="D1431">
        <f>+VLOOKUP(dHdcp[[#This Row],[Handicap]],'Categoría Hdcap'!$B$2:$E$7,4)</f>
        <v>3</v>
      </c>
      <c r="E1431" t="s">
        <v>74</v>
      </c>
      <c r="F1431" t="s">
        <v>1897</v>
      </c>
      <c r="G1431">
        <f>+IF(dHdcp[[#This Row],[Fecha]]=MAX(dHdcp[Fecha]),1,0)</f>
        <v>0</v>
      </c>
      <c r="H1431" t="str">
        <f>+dHdcp[[#This Row],[Maximo]]&amp;":"&amp;dHdcp[[#This Row],[Nombre]]</f>
        <v>0:Pablo Munitiz</v>
      </c>
      <c r="I1431" t="str">
        <f>+dHdcp[[#This Row],[Maximo]]&amp;":"&amp;_xlfn.XLOOKUP(dHdcp[[#This Row],[Nombre]],dJugador[Nombre],dJugador[Mote],"",0)</f>
        <v>0:Muni</v>
      </c>
      <c r="J1431" t="str">
        <f>+IF(dHdcp[[#This Row],[Maximo]]=0,"",_xlfn.RANK.EQ(dHdcp[[#This Row],[Handicap]],dHdcp[Handicap],1))</f>
        <v/>
      </c>
      <c r="K1431" t="str">
        <f>IFERROR(+_xlfn.RANK.EQ(dHdcp[[#This Row],[Ranking]],dHdcp[Ranking],1),"")</f>
        <v/>
      </c>
      <c r="M1431" t="str">
        <f>+dHdcp[[#This Row],[Fecha]]&amp;":"&amp;dHdcp[[#This Row],[Nombre]]</f>
        <v>44912:Pablo Munitiz</v>
      </c>
      <c r="N1431">
        <f>+COUNTIF(dHdcp[Columna1],dHdcp[[#This Row],[Columna1]])</f>
        <v>1</v>
      </c>
    </row>
    <row r="1432" spans="1:14">
      <c r="A1432" s="2">
        <v>44912</v>
      </c>
      <c r="B1432" t="s">
        <v>203</v>
      </c>
      <c r="C1432" s="51">
        <v>18.3</v>
      </c>
      <c r="D1432">
        <f>+VLOOKUP(dHdcp[[#This Row],[Handicap]],'Categoría Hdcap'!$B$2:$E$7,4)</f>
        <v>3</v>
      </c>
      <c r="E1432" t="s">
        <v>74</v>
      </c>
      <c r="F1432" s="94" t="s">
        <v>1898</v>
      </c>
      <c r="G1432">
        <f>+IF(dHdcp[[#This Row],[Fecha]]=MAX(dHdcp[Fecha]),1,0)</f>
        <v>0</v>
      </c>
      <c r="H1432" t="str">
        <f>+dHdcp[[#This Row],[Maximo]]&amp;":"&amp;dHdcp[[#This Row],[Nombre]]</f>
        <v>0:Ruslan Kochman</v>
      </c>
      <c r="I1432" t="str">
        <f>+dHdcp[[#This Row],[Maximo]]&amp;":"&amp;_xlfn.XLOOKUP(dHdcp[[#This Row],[Nombre]],dJugador[Nombre],dJugador[Mote],"",0)</f>
        <v>0:Rus</v>
      </c>
      <c r="J1432" t="str">
        <f>+IF(dHdcp[[#This Row],[Maximo]]=0,"",_xlfn.RANK.EQ(dHdcp[[#This Row],[Handicap]],dHdcp[Handicap],1))</f>
        <v/>
      </c>
      <c r="K1432" t="str">
        <f>IFERROR(+_xlfn.RANK.EQ(dHdcp[[#This Row],[Ranking]],dHdcp[Ranking],1),"")</f>
        <v/>
      </c>
      <c r="M1432" t="str">
        <f>+dHdcp[[#This Row],[Fecha]]&amp;":"&amp;dHdcp[[#This Row],[Nombre]]</f>
        <v>44912:Ruslan Kochman</v>
      </c>
      <c r="N1432">
        <f>+COUNTIF(dHdcp[Columna1],dHdcp[[#This Row],[Columna1]])</f>
        <v>1</v>
      </c>
    </row>
    <row r="1433" spans="1:14">
      <c r="A1433" s="2">
        <v>44912</v>
      </c>
      <c r="B1433" t="s">
        <v>271</v>
      </c>
      <c r="C1433" s="51">
        <v>16.399999999999999</v>
      </c>
      <c r="D1433">
        <f>+VLOOKUP(dHdcp[[#This Row],[Handicap]],'Categoría Hdcap'!$B$2:$E$7,4)</f>
        <v>3</v>
      </c>
      <c r="E1433" t="s">
        <v>74</v>
      </c>
      <c r="F1433" t="s">
        <v>1899</v>
      </c>
      <c r="G1433">
        <f>+IF(dHdcp[[#This Row],[Fecha]]=MAX(dHdcp[Fecha]),1,0)</f>
        <v>0</v>
      </c>
      <c r="H1433" t="str">
        <f>+dHdcp[[#This Row],[Maximo]]&amp;":"&amp;dHdcp[[#This Row],[Nombre]]</f>
        <v>0:Santi Diaz</v>
      </c>
      <c r="I1433" t="str">
        <f>+dHdcp[[#This Row],[Maximo]]&amp;":"&amp;_xlfn.XLOOKUP(dHdcp[[#This Row],[Nombre]],dJugador[Nombre],dJugador[Mote],"",0)</f>
        <v>0:Santi</v>
      </c>
      <c r="J1433" t="str">
        <f>+IF(dHdcp[[#This Row],[Maximo]]=0,"",_xlfn.RANK.EQ(dHdcp[[#This Row],[Handicap]],dHdcp[Handicap],1))</f>
        <v/>
      </c>
      <c r="K1433" t="str">
        <f>IFERROR(+_xlfn.RANK.EQ(dHdcp[[#This Row],[Ranking]],dHdcp[Ranking],1),"")</f>
        <v/>
      </c>
      <c r="M1433" t="str">
        <f>+dHdcp[[#This Row],[Fecha]]&amp;":"&amp;dHdcp[[#This Row],[Nombre]]</f>
        <v>44912:Santi Diaz</v>
      </c>
      <c r="N1433">
        <f>+COUNTIF(dHdcp[Columna1],dHdcp[[#This Row],[Columna1]])</f>
        <v>1</v>
      </c>
    </row>
    <row r="1434" spans="1:14">
      <c r="A1434" s="2">
        <v>44942</v>
      </c>
      <c r="B1434" t="s">
        <v>259</v>
      </c>
      <c r="C1434" s="51">
        <v>3.5</v>
      </c>
      <c r="D1434">
        <f>+VLOOKUP(dHdcp[[#This Row],[Handicap]],'Categoría Hdcap'!$B$2:$E$7,4)</f>
        <v>1</v>
      </c>
      <c r="E1434" t="s">
        <v>74</v>
      </c>
      <c r="F1434" t="s">
        <v>1900</v>
      </c>
      <c r="G1434">
        <f>+IF(dHdcp[[#This Row],[Fecha]]=MAX(dHdcp[Fecha]),1,0)</f>
        <v>0</v>
      </c>
      <c r="H1434" t="str">
        <f>+dHdcp[[#This Row],[Maximo]]&amp;":"&amp;dHdcp[[#This Row],[Nombre]]</f>
        <v>0:Alejandro Arcos</v>
      </c>
      <c r="I1434" t="str">
        <f>+dHdcp[[#This Row],[Maximo]]&amp;":"&amp;_xlfn.XLOOKUP(dHdcp[[#This Row],[Nombre]],dJugador[Nombre],dJugador[Mote],"",0)</f>
        <v>0:Alex</v>
      </c>
      <c r="J1434" t="str">
        <f>+IF(dHdcp[[#This Row],[Maximo]]=0,"",_xlfn.RANK.EQ(dHdcp[[#This Row],[Handicap]],dHdcp[Handicap],1))</f>
        <v/>
      </c>
      <c r="K1434" t="str">
        <f>IFERROR(+_xlfn.RANK.EQ(dHdcp[[#This Row],[Ranking]],dHdcp[Ranking],1),"")</f>
        <v/>
      </c>
      <c r="M1434" t="str">
        <f>+dHdcp[[#This Row],[Fecha]]&amp;":"&amp;dHdcp[[#This Row],[Nombre]]</f>
        <v>44942:Alejandro Arcos</v>
      </c>
      <c r="N1434">
        <f>+COUNTIF(dHdcp[Columna1],dHdcp[[#This Row],[Columna1]])</f>
        <v>1</v>
      </c>
    </row>
    <row r="1435" spans="1:14">
      <c r="A1435" s="2">
        <v>44942</v>
      </c>
      <c r="B1435" t="s">
        <v>9</v>
      </c>
      <c r="C1435" s="51">
        <v>9.9</v>
      </c>
      <c r="D1435">
        <f>+VLOOKUP(dHdcp[[#This Row],[Handicap]],'Categoría Hdcap'!$B$2:$E$7,4)</f>
        <v>2</v>
      </c>
      <c r="E1435" t="s">
        <v>74</v>
      </c>
      <c r="F1435" t="s">
        <v>1901</v>
      </c>
      <c r="G1435">
        <f>+IF(dHdcp[[#This Row],[Fecha]]=MAX(dHdcp[Fecha]),1,0)</f>
        <v>0</v>
      </c>
      <c r="H1435" t="str">
        <f>+dHdcp[[#This Row],[Maximo]]&amp;":"&amp;dHdcp[[#This Row],[Nombre]]</f>
        <v>0:Alfonso Hidalgo</v>
      </c>
      <c r="I1435" t="str">
        <f>+dHdcp[[#This Row],[Maximo]]&amp;":"&amp;_xlfn.XLOOKUP(dHdcp[[#This Row],[Nombre]],dJugador[Nombre],dJugador[Mote],"",0)</f>
        <v>0:Alfonso</v>
      </c>
      <c r="J1435" t="str">
        <f>+IF(dHdcp[[#This Row],[Maximo]]=0,"",_xlfn.RANK.EQ(dHdcp[[#This Row],[Handicap]],dHdcp[Handicap],1))</f>
        <v/>
      </c>
      <c r="K1435" t="str">
        <f>IFERROR(+_xlfn.RANK.EQ(dHdcp[[#This Row],[Ranking]],dHdcp[Ranking],1),"")</f>
        <v/>
      </c>
      <c r="M1435" t="str">
        <f>+dHdcp[[#This Row],[Fecha]]&amp;":"&amp;dHdcp[[#This Row],[Nombre]]</f>
        <v>44942:Alfonso Hidalgo</v>
      </c>
      <c r="N1435">
        <f>+COUNTIF(dHdcp[Columna1],dHdcp[[#This Row],[Columna1]])</f>
        <v>1</v>
      </c>
    </row>
    <row r="1436" spans="1:14">
      <c r="A1436" s="2">
        <v>44942</v>
      </c>
      <c r="B1436" t="s">
        <v>229</v>
      </c>
      <c r="C1436" s="51">
        <v>14.1</v>
      </c>
      <c r="D1436">
        <f>+VLOOKUP(dHdcp[[#This Row],[Handicap]],'Categoría Hdcap'!$B$2:$E$7,4)</f>
        <v>3</v>
      </c>
      <c r="E1436" t="s">
        <v>74</v>
      </c>
      <c r="F1436" t="s">
        <v>1902</v>
      </c>
      <c r="G1436">
        <f>+IF(dHdcp[[#This Row],[Fecha]]=MAX(dHdcp[Fecha]),1,0)</f>
        <v>0</v>
      </c>
      <c r="H1436" t="str">
        <f>+dHdcp[[#This Row],[Maximo]]&amp;":"&amp;dHdcp[[#This Row],[Nombre]]</f>
        <v>0:Alfonso Zorrilla</v>
      </c>
      <c r="I1436" t="str">
        <f>+dHdcp[[#This Row],[Maximo]]&amp;":"&amp;_xlfn.XLOOKUP(dHdcp[[#This Row],[Nombre]],dJugador[Nombre],dJugador[Mote],"",0)</f>
        <v>0:A Zorrilla</v>
      </c>
      <c r="J1436" t="str">
        <f>+IF(dHdcp[[#This Row],[Maximo]]=0,"",_xlfn.RANK.EQ(dHdcp[[#This Row],[Handicap]],dHdcp[Handicap],1))</f>
        <v/>
      </c>
      <c r="K1436" t="str">
        <f>IFERROR(+_xlfn.RANK.EQ(dHdcp[[#This Row],[Ranking]],dHdcp[Ranking],1),"")</f>
        <v/>
      </c>
      <c r="M1436" t="str">
        <f>+dHdcp[[#This Row],[Fecha]]&amp;":"&amp;dHdcp[[#This Row],[Nombre]]</f>
        <v>44942:Alfonso Zorrilla</v>
      </c>
      <c r="N1436">
        <f>+COUNTIF(dHdcp[Columna1],dHdcp[[#This Row],[Columna1]])</f>
        <v>1</v>
      </c>
    </row>
    <row r="1437" spans="1:14">
      <c r="A1437" s="2">
        <v>44942</v>
      </c>
      <c r="B1437" s="13" t="s">
        <v>15</v>
      </c>
      <c r="C1437" s="51">
        <v>6.1</v>
      </c>
      <c r="D1437">
        <f>+VLOOKUP(dHdcp[[#This Row],[Handicap]],'Categoría Hdcap'!$B$2:$E$7,4)</f>
        <v>2</v>
      </c>
      <c r="E1437" t="s">
        <v>74</v>
      </c>
      <c r="F1437" t="s">
        <v>1903</v>
      </c>
      <c r="G1437">
        <f>+IF(dHdcp[[#This Row],[Fecha]]=MAX(dHdcp[Fecha]),1,0)</f>
        <v>0</v>
      </c>
      <c r="H1437" t="str">
        <f>+dHdcp[[#This Row],[Maximo]]&amp;":"&amp;dHdcp[[#This Row],[Nombre]]</f>
        <v>0:Alvaro Aguirre</v>
      </c>
      <c r="I1437" t="str">
        <f>+dHdcp[[#This Row],[Maximo]]&amp;":"&amp;_xlfn.XLOOKUP(dHdcp[[#This Row],[Nombre]],dJugador[Nombre],dJugador[Mote],"",0)</f>
        <v>0:Gifu</v>
      </c>
      <c r="J1437" t="str">
        <f>+IF(dHdcp[[#This Row],[Maximo]]=0,"",_xlfn.RANK.EQ(dHdcp[[#This Row],[Handicap]],dHdcp[Handicap],1))</f>
        <v/>
      </c>
      <c r="K1437" t="str">
        <f>IFERROR(+_xlfn.RANK.EQ(dHdcp[[#This Row],[Ranking]],dHdcp[Ranking],1),"")</f>
        <v/>
      </c>
      <c r="M1437" t="str">
        <f>+dHdcp[[#This Row],[Fecha]]&amp;":"&amp;dHdcp[[#This Row],[Nombre]]</f>
        <v>44942:Alvaro Aguirre</v>
      </c>
      <c r="N1437">
        <f>+COUNTIF(dHdcp[Columna1],dHdcp[[#This Row],[Columna1]])</f>
        <v>1</v>
      </c>
    </row>
    <row r="1438" spans="1:14">
      <c r="A1438" s="2">
        <v>44942</v>
      </c>
      <c r="B1438" t="s">
        <v>201</v>
      </c>
      <c r="C1438" s="51">
        <v>9.4</v>
      </c>
      <c r="D1438">
        <f>+VLOOKUP(dHdcp[[#This Row],[Handicap]],'Categoría Hdcap'!$B$2:$E$7,4)</f>
        <v>2</v>
      </c>
      <c r="E1438" t="s">
        <v>74</v>
      </c>
      <c r="F1438" t="s">
        <v>1904</v>
      </c>
      <c r="G1438">
        <f>+IF(dHdcp[[#This Row],[Fecha]]=MAX(dHdcp[Fecha]),1,0)</f>
        <v>0</v>
      </c>
      <c r="H1438" t="str">
        <f>+dHdcp[[#This Row],[Maximo]]&amp;":"&amp;dHdcp[[#This Row],[Nombre]]</f>
        <v>0:Alvaro Montoya</v>
      </c>
      <c r="I1438" t="str">
        <f>+dHdcp[[#This Row],[Maximo]]&amp;":"&amp;_xlfn.XLOOKUP(dHdcp[[#This Row],[Nombre]],dJugador[Nombre],dJugador[Mote],"",0)</f>
        <v>0:Monti</v>
      </c>
      <c r="J1438" t="str">
        <f>+IF(dHdcp[[#This Row],[Maximo]]=0,"",_xlfn.RANK.EQ(dHdcp[[#This Row],[Handicap]],dHdcp[Handicap],1))</f>
        <v/>
      </c>
      <c r="K1438" t="str">
        <f>IFERROR(+_xlfn.RANK.EQ(dHdcp[[#This Row],[Ranking]],dHdcp[Ranking],1),"")</f>
        <v/>
      </c>
      <c r="M1438" t="str">
        <f>+dHdcp[[#This Row],[Fecha]]&amp;":"&amp;dHdcp[[#This Row],[Nombre]]</f>
        <v>44942:Alvaro Montoya</v>
      </c>
      <c r="N1438">
        <f>+COUNTIF(dHdcp[Columna1],dHdcp[[#This Row],[Columna1]])</f>
        <v>1</v>
      </c>
    </row>
    <row r="1439" spans="1:14">
      <c r="A1439" s="2">
        <v>44942</v>
      </c>
      <c r="B1439" t="s">
        <v>25</v>
      </c>
      <c r="C1439" s="51">
        <v>12.3</v>
      </c>
      <c r="D1439">
        <f>+VLOOKUP(dHdcp[[#This Row],[Handicap]],'Categoría Hdcap'!$B$2:$E$7,4)</f>
        <v>3</v>
      </c>
      <c r="E1439" t="s">
        <v>74</v>
      </c>
      <c r="F1439" t="s">
        <v>1905</v>
      </c>
      <c r="G1439">
        <f>+IF(dHdcp[[#This Row],[Fecha]]=MAX(dHdcp[Fecha]),1,0)</f>
        <v>0</v>
      </c>
      <c r="H1439" t="str">
        <f>+dHdcp[[#This Row],[Maximo]]&amp;":"&amp;dHdcp[[#This Row],[Nombre]]</f>
        <v>0:Alvaro Nieto</v>
      </c>
      <c r="I1439" t="str">
        <f>+dHdcp[[#This Row],[Maximo]]&amp;":"&amp;_xlfn.XLOOKUP(dHdcp[[#This Row],[Nombre]],dJugador[Nombre],dJugador[Mote],"",0)</f>
        <v>0:Alvaro</v>
      </c>
      <c r="J1439" t="str">
        <f>+IF(dHdcp[[#This Row],[Maximo]]=0,"",_xlfn.RANK.EQ(dHdcp[[#This Row],[Handicap]],dHdcp[Handicap],1))</f>
        <v/>
      </c>
      <c r="K1439" t="str">
        <f>IFERROR(+_xlfn.RANK.EQ(dHdcp[[#This Row],[Ranking]],dHdcp[Ranking],1),"")</f>
        <v/>
      </c>
      <c r="M1439" t="str">
        <f>+dHdcp[[#This Row],[Fecha]]&amp;":"&amp;dHdcp[[#This Row],[Nombre]]</f>
        <v>44942:Alvaro Nieto</v>
      </c>
      <c r="N1439">
        <f>+COUNTIF(dHdcp[Columna1],dHdcp[[#This Row],[Columna1]])</f>
        <v>1</v>
      </c>
    </row>
    <row r="1440" spans="1:14">
      <c r="A1440" s="2">
        <v>44942</v>
      </c>
      <c r="B1440" t="s">
        <v>33</v>
      </c>
      <c r="C1440" s="51">
        <v>7.2</v>
      </c>
      <c r="D1440">
        <f>+VLOOKUP(dHdcp[[#This Row],[Handicap]],'Categoría Hdcap'!$B$2:$E$7,4)</f>
        <v>2</v>
      </c>
      <c r="E1440" t="s">
        <v>74</v>
      </c>
      <c r="F1440" t="s">
        <v>1906</v>
      </c>
      <c r="G1440">
        <f>+IF(dHdcp[[#This Row],[Fecha]]=MAX(dHdcp[Fecha]),1,0)</f>
        <v>0</v>
      </c>
      <c r="H1440" t="str">
        <f>+dHdcp[[#This Row],[Maximo]]&amp;":"&amp;dHdcp[[#This Row],[Nombre]]</f>
        <v>0:Angel Hernandez</v>
      </c>
      <c r="I1440" t="str">
        <f>+dHdcp[[#This Row],[Maximo]]&amp;":"&amp;_xlfn.XLOOKUP(dHdcp[[#This Row],[Nombre]],dJugador[Nombre],dJugador[Mote],"",0)</f>
        <v>0:Angel</v>
      </c>
      <c r="J1440" t="str">
        <f>+IF(dHdcp[[#This Row],[Maximo]]=0,"",_xlfn.RANK.EQ(dHdcp[[#This Row],[Handicap]],dHdcp[Handicap],1))</f>
        <v/>
      </c>
      <c r="K1440" t="str">
        <f>IFERROR(+_xlfn.RANK.EQ(dHdcp[[#This Row],[Ranking]],dHdcp[Ranking],1),"")</f>
        <v/>
      </c>
      <c r="M1440" t="str">
        <f>+dHdcp[[#This Row],[Fecha]]&amp;":"&amp;dHdcp[[#This Row],[Nombre]]</f>
        <v>44942:Angel Hernandez</v>
      </c>
      <c r="N1440">
        <f>+COUNTIF(dHdcp[Columna1],dHdcp[[#This Row],[Columna1]])</f>
        <v>1</v>
      </c>
    </row>
    <row r="1441" spans="1:14">
      <c r="A1441" s="2">
        <v>44942</v>
      </c>
      <c r="B1441" t="s">
        <v>264</v>
      </c>
      <c r="C1441" s="51">
        <v>18.899999999999999</v>
      </c>
      <c r="D1441">
        <f>+VLOOKUP(dHdcp[[#This Row],[Handicap]],'Categoría Hdcap'!$B$2:$E$7,4)</f>
        <v>4</v>
      </c>
      <c r="E1441" t="s">
        <v>74</v>
      </c>
      <c r="F1441" t="s">
        <v>1907</v>
      </c>
      <c r="G1441">
        <f>+IF(dHdcp[[#This Row],[Fecha]]=MAX(dHdcp[Fecha]),1,0)</f>
        <v>0</v>
      </c>
      <c r="H1441" t="str">
        <f>+dHdcp[[#This Row],[Maximo]]&amp;":"&amp;dHdcp[[#This Row],[Nombre]]</f>
        <v>0:Antonio Carmona</v>
      </c>
      <c r="I1441" t="str">
        <f>+dHdcp[[#This Row],[Maximo]]&amp;":"&amp;_xlfn.XLOOKUP(dHdcp[[#This Row],[Nombre]],dJugador[Nombre],dJugador[Mote],"",0)</f>
        <v>0:Antonio</v>
      </c>
      <c r="J1441" t="str">
        <f>+IF(dHdcp[[#This Row],[Maximo]]=0,"",_xlfn.RANK.EQ(dHdcp[[#This Row],[Handicap]],dHdcp[Handicap],1))</f>
        <v/>
      </c>
      <c r="K1441" t="str">
        <f>IFERROR(+_xlfn.RANK.EQ(dHdcp[[#This Row],[Ranking]],dHdcp[Ranking],1),"")</f>
        <v/>
      </c>
      <c r="M1441" t="str">
        <f>+dHdcp[[#This Row],[Fecha]]&amp;":"&amp;dHdcp[[#This Row],[Nombre]]</f>
        <v>44942:Antonio Carmona</v>
      </c>
      <c r="N1441">
        <f>+COUNTIF(dHdcp[Columna1],dHdcp[[#This Row],[Columna1]])</f>
        <v>1</v>
      </c>
    </row>
    <row r="1442" spans="1:14">
      <c r="A1442" s="2">
        <v>44942</v>
      </c>
      <c r="B1442" s="13" t="s">
        <v>290</v>
      </c>
      <c r="C1442" s="42">
        <v>26.6</v>
      </c>
      <c r="D1442">
        <f>+VLOOKUP(dHdcp[[#This Row],[Handicap]],'Categoría Hdcap'!$B$2:$E$7,4)</f>
        <v>5</v>
      </c>
      <c r="E1442" t="s">
        <v>74</v>
      </c>
      <c r="F1442" t="s">
        <v>1908</v>
      </c>
      <c r="G1442">
        <f>+IF(dHdcp[[#This Row],[Fecha]]=MAX(dHdcp[Fecha]),1,0)</f>
        <v>0</v>
      </c>
      <c r="H1442" t="str">
        <f>+dHdcp[[#This Row],[Maximo]]&amp;":"&amp;dHdcp[[#This Row],[Nombre]]</f>
        <v>0:Carlos Hijas</v>
      </c>
      <c r="I1442" t="str">
        <f>+dHdcp[[#This Row],[Maximo]]&amp;":"&amp;_xlfn.XLOOKUP(dHdcp[[#This Row],[Nombre]],dJugador[Nombre],dJugador[Mote],"",0)</f>
        <v>0:Hijas</v>
      </c>
      <c r="J1442" t="str">
        <f>+IF(dHdcp[[#This Row],[Maximo]]=0,"",_xlfn.RANK.EQ(dHdcp[[#This Row],[Handicap]],dHdcp[Handicap],1))</f>
        <v/>
      </c>
      <c r="K1442" t="str">
        <f>IFERROR(+_xlfn.RANK.EQ(dHdcp[[#This Row],[Ranking]],dHdcp[Ranking],1),"")</f>
        <v/>
      </c>
      <c r="M1442" t="str">
        <f>+dHdcp[[#This Row],[Fecha]]&amp;":"&amp;dHdcp[[#This Row],[Nombre]]</f>
        <v>44942:Carlos Hijas</v>
      </c>
      <c r="N1442">
        <f>+COUNTIF(dHdcp[Columna1],dHdcp[[#This Row],[Columna1]])</f>
        <v>1</v>
      </c>
    </row>
    <row r="1443" spans="1:14">
      <c r="A1443" s="2">
        <v>44942</v>
      </c>
      <c r="B1443" s="13" t="s">
        <v>291</v>
      </c>
      <c r="C1443" s="42">
        <v>1.5</v>
      </c>
      <c r="D1443">
        <f>+VLOOKUP(dHdcp[[#This Row],[Handicap]],'Categoría Hdcap'!$B$2:$E$7,4)</f>
        <v>1</v>
      </c>
      <c r="E1443" t="s">
        <v>74</v>
      </c>
      <c r="F1443" t="s">
        <v>1909</v>
      </c>
      <c r="G1443">
        <f>+IF(dHdcp[[#This Row],[Fecha]]=MAX(dHdcp[Fecha]),1,0)</f>
        <v>0</v>
      </c>
      <c r="H1443" t="str">
        <f>+dHdcp[[#This Row],[Maximo]]&amp;":"&amp;dHdcp[[#This Row],[Nombre]]</f>
        <v>0:Carlos Maestro</v>
      </c>
      <c r="I1443" t="str">
        <f>+dHdcp[[#This Row],[Maximo]]&amp;":"&amp;_xlfn.XLOOKUP(dHdcp[[#This Row],[Nombre]],dJugador[Nombre],dJugador[Mote],"",0)</f>
        <v>0:Carlitos</v>
      </c>
      <c r="J1443" t="str">
        <f>+IF(dHdcp[[#This Row],[Maximo]]=0,"",_xlfn.RANK.EQ(dHdcp[[#This Row],[Handicap]],dHdcp[Handicap],1))</f>
        <v/>
      </c>
      <c r="K1443" t="str">
        <f>IFERROR(+_xlfn.RANK.EQ(dHdcp[[#This Row],[Ranking]],dHdcp[Ranking],1),"")</f>
        <v/>
      </c>
      <c r="M1443" t="str">
        <f>+dHdcp[[#This Row],[Fecha]]&amp;":"&amp;dHdcp[[#This Row],[Nombre]]</f>
        <v>44942:Carlos Maestro</v>
      </c>
      <c r="N1443">
        <f>+COUNTIF(dHdcp[Columna1],dHdcp[[#This Row],[Columna1]])</f>
        <v>1</v>
      </c>
    </row>
    <row r="1444" spans="1:14">
      <c r="A1444" s="2">
        <v>44942</v>
      </c>
      <c r="B1444" t="s">
        <v>30</v>
      </c>
      <c r="C1444" s="51">
        <v>10.4</v>
      </c>
      <c r="D1444">
        <f>+VLOOKUP(dHdcp[[#This Row],[Handicap]],'Categoría Hdcap'!$B$2:$E$7,4)</f>
        <v>2</v>
      </c>
      <c r="E1444" t="s">
        <v>74</v>
      </c>
      <c r="F1444" t="s">
        <v>1910</v>
      </c>
      <c r="G1444">
        <f>+IF(dHdcp[[#This Row],[Fecha]]=MAX(dHdcp[Fecha]),1,0)</f>
        <v>0</v>
      </c>
      <c r="H1444" t="str">
        <f>+dHdcp[[#This Row],[Maximo]]&amp;":"&amp;dHdcp[[#This Row],[Nombre]]</f>
        <v>0:David Sequera</v>
      </c>
      <c r="I1444" t="str">
        <f>+dHdcp[[#This Row],[Maximo]]&amp;":"&amp;_xlfn.XLOOKUP(dHdcp[[#This Row],[Nombre]],dJugador[Nombre],dJugador[Mote],"",0)</f>
        <v>0:David</v>
      </c>
      <c r="J1444" t="str">
        <f>+IF(dHdcp[[#This Row],[Maximo]]=0,"",_xlfn.RANK.EQ(dHdcp[[#This Row],[Handicap]],dHdcp[Handicap],1))</f>
        <v/>
      </c>
      <c r="K1444" t="str">
        <f>IFERROR(+_xlfn.RANK.EQ(dHdcp[[#This Row],[Ranking]],dHdcp[Ranking],1),"")</f>
        <v/>
      </c>
      <c r="M1444" t="str">
        <f>+dHdcp[[#This Row],[Fecha]]&amp;":"&amp;dHdcp[[#This Row],[Nombre]]</f>
        <v>44942:David Sequera</v>
      </c>
      <c r="N1444">
        <f>+COUNTIF(dHdcp[Columna1],dHdcp[[#This Row],[Columna1]])</f>
        <v>1</v>
      </c>
    </row>
    <row r="1445" spans="1:14">
      <c r="A1445" s="2">
        <v>44942</v>
      </c>
      <c r="B1445" t="s">
        <v>326</v>
      </c>
      <c r="C1445" s="51">
        <v>36</v>
      </c>
      <c r="D1445">
        <f>+VLOOKUP(dHdcp[[#This Row],[Handicap]],'Categoría Hdcap'!$B$2:$E$7,4)</f>
        <v>5</v>
      </c>
      <c r="E1445" t="s">
        <v>74</v>
      </c>
      <c r="F1445" t="s">
        <v>1911</v>
      </c>
      <c r="G1445">
        <f>+IF(dHdcp[[#This Row],[Fecha]]=MAX(dHdcp[Fecha]),1,0)</f>
        <v>0</v>
      </c>
      <c r="H1445" t="str">
        <f>+dHdcp[[#This Row],[Maximo]]&amp;":"&amp;dHdcp[[#This Row],[Nombre]]</f>
        <v>0:Eduardo Buendía</v>
      </c>
      <c r="I1445" t="str">
        <f>+dHdcp[[#This Row],[Maximo]]&amp;":"&amp;_xlfn.XLOOKUP(dHdcp[[#This Row],[Nombre]],dJugador[Nombre],dJugador[Mote],"",0)</f>
        <v>0:Eduardo</v>
      </c>
      <c r="J1445" t="str">
        <f>+IF(dHdcp[[#This Row],[Maximo]]=0,"",_xlfn.RANK.EQ(dHdcp[[#This Row],[Handicap]],dHdcp[Handicap],1))</f>
        <v/>
      </c>
      <c r="K1445" t="str">
        <f>IFERROR(+_xlfn.RANK.EQ(dHdcp[[#This Row],[Ranking]],dHdcp[Ranking],1),"")</f>
        <v/>
      </c>
      <c r="M1445" t="str">
        <f>+dHdcp[[#This Row],[Fecha]]&amp;":"&amp;dHdcp[[#This Row],[Nombre]]</f>
        <v>44942:Eduardo Buendía</v>
      </c>
      <c r="N1445">
        <f>+COUNTIF(dHdcp[Columna1],dHdcp[[#This Row],[Columna1]])</f>
        <v>1</v>
      </c>
    </row>
    <row r="1446" spans="1:14">
      <c r="A1446" s="2">
        <v>44942</v>
      </c>
      <c r="B1446" t="s">
        <v>341</v>
      </c>
      <c r="C1446" s="51">
        <v>16.899999999999999</v>
      </c>
      <c r="D1446">
        <f>+VLOOKUP(dHdcp[[#This Row],[Handicap]],'Categoría Hdcap'!$B$2:$E$7,4)</f>
        <v>3</v>
      </c>
      <c r="E1446" t="s">
        <v>74</v>
      </c>
      <c r="F1446" t="s">
        <v>1912</v>
      </c>
      <c r="G1446">
        <f>+IF(dHdcp[[#This Row],[Fecha]]=MAX(dHdcp[Fecha]),1,0)</f>
        <v>0</v>
      </c>
      <c r="H1446" t="str">
        <f>+dHdcp[[#This Row],[Maximo]]&amp;":"&amp;dHdcp[[#This Row],[Nombre]]</f>
        <v>0:Emiliano Buendía</v>
      </c>
      <c r="I1446" t="str">
        <f>+dHdcp[[#This Row],[Maximo]]&amp;":"&amp;_xlfn.XLOOKUP(dHdcp[[#This Row],[Nombre]],dJugador[Nombre],dJugador[Mote],"",0)</f>
        <v>0:Emi</v>
      </c>
      <c r="J1446" t="str">
        <f>+IF(dHdcp[[#This Row],[Maximo]]=0,"",_xlfn.RANK.EQ(dHdcp[[#This Row],[Handicap]],dHdcp[Handicap],1))</f>
        <v/>
      </c>
      <c r="K1446" t="str">
        <f>IFERROR(+_xlfn.RANK.EQ(dHdcp[[#This Row],[Ranking]],dHdcp[Ranking],1),"")</f>
        <v/>
      </c>
      <c r="M1446" t="str">
        <f>+dHdcp[[#This Row],[Fecha]]&amp;":"&amp;dHdcp[[#This Row],[Nombre]]</f>
        <v>44942:Emiliano Buendía</v>
      </c>
      <c r="N1446">
        <f>+COUNTIF(dHdcp[Columna1],dHdcp[[#This Row],[Columna1]])</f>
        <v>1</v>
      </c>
    </row>
    <row r="1447" spans="1:14">
      <c r="A1447" s="2">
        <v>44942</v>
      </c>
      <c r="B1447" s="83" t="s">
        <v>248</v>
      </c>
      <c r="C1447" s="84">
        <v>12.7</v>
      </c>
      <c r="D1447">
        <f>+VLOOKUP(dHdcp[[#This Row],[Handicap]],'Categoría Hdcap'!$B$2:$E$7,4)</f>
        <v>3</v>
      </c>
      <c r="E1447" t="s">
        <v>74</v>
      </c>
      <c r="F1447" t="s">
        <v>1913</v>
      </c>
      <c r="G1447">
        <f>+IF(dHdcp[[#This Row],[Fecha]]=MAX(dHdcp[Fecha]),1,0)</f>
        <v>0</v>
      </c>
      <c r="H1447" t="str">
        <f>+dHdcp[[#This Row],[Maximo]]&amp;":"&amp;dHdcp[[#This Row],[Nombre]]</f>
        <v>0:Enrique Gonzalez R</v>
      </c>
      <c r="I1447" t="str">
        <f>+dHdcp[[#This Row],[Maximo]]&amp;":"&amp;_xlfn.XLOOKUP(dHdcp[[#This Row],[Nombre]],dJugador[Nombre],dJugador[Mote],"",0)</f>
        <v>0:Enrique</v>
      </c>
      <c r="J1447" t="str">
        <f>+IF(dHdcp[[#This Row],[Maximo]]=0,"",_xlfn.RANK.EQ(dHdcp[[#This Row],[Handicap]],dHdcp[Handicap],1))</f>
        <v/>
      </c>
      <c r="K1447" t="str">
        <f>IFERROR(+_xlfn.RANK.EQ(dHdcp[[#This Row],[Ranking]],dHdcp[Ranking],1),"")</f>
        <v/>
      </c>
      <c r="M1447" t="str">
        <f>+dHdcp[[#This Row],[Fecha]]&amp;":"&amp;dHdcp[[#This Row],[Nombre]]</f>
        <v>44942:Enrique Gonzalez R</v>
      </c>
      <c r="N1447">
        <f>+COUNTIF(dHdcp[Columna1],dHdcp[[#This Row],[Columna1]])</f>
        <v>1</v>
      </c>
    </row>
    <row r="1448" spans="1:14">
      <c r="A1448" s="2">
        <v>44942</v>
      </c>
      <c r="B1448" t="s">
        <v>12</v>
      </c>
      <c r="C1448" s="51">
        <v>14.7</v>
      </c>
      <c r="D1448">
        <f>+VLOOKUP(dHdcp[[#This Row],[Handicap]],'Categoría Hdcap'!$B$2:$E$7,4)</f>
        <v>3</v>
      </c>
      <c r="E1448" t="s">
        <v>74</v>
      </c>
      <c r="F1448" t="s">
        <v>1914</v>
      </c>
      <c r="G1448">
        <f>+IF(dHdcp[[#This Row],[Fecha]]=MAX(dHdcp[Fecha]),1,0)</f>
        <v>0</v>
      </c>
      <c r="H1448" t="str">
        <f>+dHdcp[[#This Row],[Maximo]]&amp;":"&amp;dHdcp[[#This Row],[Nombre]]</f>
        <v>0:Francisco Alvarez</v>
      </c>
      <c r="I1448" t="str">
        <f>+dHdcp[[#This Row],[Maximo]]&amp;":"&amp;_xlfn.XLOOKUP(dHdcp[[#This Row],[Nombre]],dJugador[Nombre],dJugador[Mote],"",0)</f>
        <v>0:Paco</v>
      </c>
      <c r="J1448" t="str">
        <f>+IF(dHdcp[[#This Row],[Maximo]]=0,"",_xlfn.RANK.EQ(dHdcp[[#This Row],[Handicap]],dHdcp[Handicap],1))</f>
        <v/>
      </c>
      <c r="K1448" t="str">
        <f>IFERROR(+_xlfn.RANK.EQ(dHdcp[[#This Row],[Ranking]],dHdcp[Ranking],1),"")</f>
        <v/>
      </c>
      <c r="M1448" t="str">
        <f>+dHdcp[[#This Row],[Fecha]]&amp;":"&amp;dHdcp[[#This Row],[Nombre]]</f>
        <v>44942:Francisco Alvarez</v>
      </c>
      <c r="N1448">
        <f>+COUNTIF(dHdcp[Columna1],dHdcp[[#This Row],[Columna1]])</f>
        <v>1</v>
      </c>
    </row>
    <row r="1449" spans="1:14">
      <c r="A1449" s="2">
        <v>44942</v>
      </c>
      <c r="B1449" t="s">
        <v>49</v>
      </c>
      <c r="C1449" s="51">
        <v>11.9</v>
      </c>
      <c r="D1449">
        <f>+VLOOKUP(dHdcp[[#This Row],[Handicap]],'Categoría Hdcap'!$B$2:$E$7,4)</f>
        <v>3</v>
      </c>
      <c r="E1449" t="s">
        <v>74</v>
      </c>
      <c r="F1449" t="s">
        <v>1915</v>
      </c>
      <c r="G1449">
        <f>+IF(dHdcp[[#This Row],[Fecha]]=MAX(dHdcp[Fecha]),1,0)</f>
        <v>0</v>
      </c>
      <c r="H1449" t="str">
        <f>+dHdcp[[#This Row],[Maximo]]&amp;":"&amp;dHdcp[[#This Row],[Nombre]]</f>
        <v>0:Francisco Hidalgo</v>
      </c>
      <c r="I1449" t="str">
        <f>+dHdcp[[#This Row],[Maximo]]&amp;":"&amp;_xlfn.XLOOKUP(dHdcp[[#This Row],[Nombre]],dJugador[Nombre],dJugador[Mote],"",0)</f>
        <v>0:Fran</v>
      </c>
      <c r="J1449" t="str">
        <f>+IF(dHdcp[[#This Row],[Maximo]]=0,"",_xlfn.RANK.EQ(dHdcp[[#This Row],[Handicap]],dHdcp[Handicap],1))</f>
        <v/>
      </c>
      <c r="K1449" t="str">
        <f>IFERROR(+_xlfn.RANK.EQ(dHdcp[[#This Row],[Ranking]],dHdcp[Ranking],1),"")</f>
        <v/>
      </c>
      <c r="M1449" t="str">
        <f>+dHdcp[[#This Row],[Fecha]]&amp;":"&amp;dHdcp[[#This Row],[Nombre]]</f>
        <v>44942:Francisco Hidalgo</v>
      </c>
      <c r="N1449">
        <f>+COUNTIF(dHdcp[Columna1],dHdcp[[#This Row],[Columna1]])</f>
        <v>1</v>
      </c>
    </row>
    <row r="1450" spans="1:14">
      <c r="A1450" s="2">
        <v>44942</v>
      </c>
      <c r="B1450" t="s">
        <v>207</v>
      </c>
      <c r="C1450" s="51">
        <v>14.5</v>
      </c>
      <c r="D1450">
        <f>+VLOOKUP(dHdcp[[#This Row],[Handicap]],'Categoría Hdcap'!$B$2:$E$7,4)</f>
        <v>3</v>
      </c>
      <c r="E1450" t="s">
        <v>74</v>
      </c>
      <c r="F1450" t="s">
        <v>1916</v>
      </c>
      <c r="G1450">
        <f>+IF(dHdcp[[#This Row],[Fecha]]=MAX(dHdcp[Fecha]),1,0)</f>
        <v>0</v>
      </c>
      <c r="H1450" t="str">
        <f>+dHdcp[[#This Row],[Maximo]]&amp;":"&amp;dHdcp[[#This Row],[Nombre]]</f>
        <v>0:Franck Benouniche</v>
      </c>
      <c r="I1450" t="str">
        <f>+dHdcp[[#This Row],[Maximo]]&amp;":"&amp;_xlfn.XLOOKUP(dHdcp[[#This Row],[Nombre]],dJugador[Nombre],dJugador[Mote],"",0)</f>
        <v>0:Franck</v>
      </c>
      <c r="J1450" t="str">
        <f>+IF(dHdcp[[#This Row],[Maximo]]=0,"",_xlfn.RANK.EQ(dHdcp[[#This Row],[Handicap]],dHdcp[Handicap],1))</f>
        <v/>
      </c>
      <c r="K1450" t="str">
        <f>IFERROR(+_xlfn.RANK.EQ(dHdcp[[#This Row],[Ranking]],dHdcp[Ranking],1),"")</f>
        <v/>
      </c>
      <c r="M1450" t="str">
        <f>+dHdcp[[#This Row],[Fecha]]&amp;":"&amp;dHdcp[[#This Row],[Nombre]]</f>
        <v>44942:Franck Benouniche</v>
      </c>
      <c r="N1450">
        <f>+COUNTIF(dHdcp[Columna1],dHdcp[[#This Row],[Columna1]])</f>
        <v>1</v>
      </c>
    </row>
    <row r="1451" spans="1:14">
      <c r="A1451" s="2">
        <v>44942</v>
      </c>
      <c r="B1451" t="s">
        <v>35</v>
      </c>
      <c r="C1451" s="51">
        <v>18</v>
      </c>
      <c r="D1451">
        <f>+VLOOKUP(dHdcp[[#This Row],[Handicap]],'Categoría Hdcap'!$B$2:$E$7,4)</f>
        <v>3</v>
      </c>
      <c r="E1451" t="s">
        <v>74</v>
      </c>
      <c r="F1451" t="s">
        <v>1917</v>
      </c>
      <c r="G1451">
        <f>+IF(dHdcp[[#This Row],[Fecha]]=MAX(dHdcp[Fecha]),1,0)</f>
        <v>0</v>
      </c>
      <c r="H1451" t="str">
        <f>+dHdcp[[#This Row],[Maximo]]&amp;":"&amp;dHdcp[[#This Row],[Nombre]]</f>
        <v>0:GLEZ JUAN JOSÉ</v>
      </c>
      <c r="I1451" t="str">
        <f>+dHdcp[[#This Row],[Maximo]]&amp;":"&amp;_xlfn.XLOOKUP(dHdcp[[#This Row],[Nombre]],dJugador[Nombre],dJugador[Mote],"",0)</f>
        <v>0:Juanjo</v>
      </c>
      <c r="J1451" t="str">
        <f>+IF(dHdcp[[#This Row],[Maximo]]=0,"",_xlfn.RANK.EQ(dHdcp[[#This Row],[Handicap]],dHdcp[Handicap],1))</f>
        <v/>
      </c>
      <c r="K1451" t="str">
        <f>IFERROR(+_xlfn.RANK.EQ(dHdcp[[#This Row],[Ranking]],dHdcp[Ranking],1),"")</f>
        <v/>
      </c>
      <c r="M1451" t="str">
        <f>+dHdcp[[#This Row],[Fecha]]&amp;":"&amp;dHdcp[[#This Row],[Nombre]]</f>
        <v>44942:GLEZ JUAN JOSÉ</v>
      </c>
      <c r="N1451">
        <f>+COUNTIF(dHdcp[Columna1],dHdcp[[#This Row],[Columna1]])</f>
        <v>1</v>
      </c>
    </row>
    <row r="1452" spans="1:14">
      <c r="A1452" s="2">
        <v>44942</v>
      </c>
      <c r="B1452" t="s">
        <v>6</v>
      </c>
      <c r="C1452" s="51">
        <v>8.6999999999999993</v>
      </c>
      <c r="D1452">
        <f>+VLOOKUP(dHdcp[[#This Row],[Handicap]],'Categoría Hdcap'!$B$2:$E$7,4)</f>
        <v>2</v>
      </c>
      <c r="E1452" t="s">
        <v>74</v>
      </c>
      <c r="F1452" t="s">
        <v>1918</v>
      </c>
      <c r="G1452">
        <f>+IF(dHdcp[[#This Row],[Fecha]]=MAX(dHdcp[Fecha]),1,0)</f>
        <v>0</v>
      </c>
      <c r="H1452" t="str">
        <f>+dHdcp[[#This Row],[Maximo]]&amp;":"&amp;dHdcp[[#This Row],[Nombre]]</f>
        <v>0:Ignacio Cadarso</v>
      </c>
      <c r="I1452" t="str">
        <f>+dHdcp[[#This Row],[Maximo]]&amp;":"&amp;_xlfn.XLOOKUP(dHdcp[[#This Row],[Nombre]],dJugador[Nombre],dJugador[Mote],"",0)</f>
        <v>0:Ignacio</v>
      </c>
      <c r="J1452" t="str">
        <f>+IF(dHdcp[[#This Row],[Maximo]]=0,"",_xlfn.RANK.EQ(dHdcp[[#This Row],[Handicap]],dHdcp[Handicap],1))</f>
        <v/>
      </c>
      <c r="K1452" t="str">
        <f>IFERROR(+_xlfn.RANK.EQ(dHdcp[[#This Row],[Ranking]],dHdcp[Ranking],1),"")</f>
        <v/>
      </c>
      <c r="M1452" t="str">
        <f>+dHdcp[[#This Row],[Fecha]]&amp;":"&amp;dHdcp[[#This Row],[Nombre]]</f>
        <v>44942:Ignacio Cadarso</v>
      </c>
      <c r="N1452">
        <f>+COUNTIF(dHdcp[Columna1],dHdcp[[#This Row],[Columna1]])</f>
        <v>1</v>
      </c>
    </row>
    <row r="1453" spans="1:14">
      <c r="A1453" s="2">
        <v>44942</v>
      </c>
      <c r="B1453" t="s">
        <v>298</v>
      </c>
      <c r="C1453" s="51">
        <v>23.7</v>
      </c>
      <c r="D1453">
        <f>+VLOOKUP(dHdcp[[#This Row],[Handicap]],'Categoría Hdcap'!$B$2:$E$7,4)</f>
        <v>4</v>
      </c>
      <c r="E1453" t="s">
        <v>74</v>
      </c>
      <c r="F1453" t="s">
        <v>1919</v>
      </c>
      <c r="G1453">
        <f>+IF(dHdcp[[#This Row],[Fecha]]=MAX(dHdcp[Fecha]),1,0)</f>
        <v>0</v>
      </c>
      <c r="H1453" t="str">
        <f>+dHdcp[[#This Row],[Maximo]]&amp;":"&amp;dHdcp[[#This Row],[Nombre]]</f>
        <v>0:Ignacio Gracia Charlez</v>
      </c>
      <c r="I1453" t="str">
        <f>+dHdcp[[#This Row],[Maximo]]&amp;":"&amp;_xlfn.XLOOKUP(dHdcp[[#This Row],[Nombre]],dJugador[Nombre],dJugador[Mote],"",0)</f>
        <v>0:I Gracia</v>
      </c>
      <c r="J1453" t="str">
        <f>+IF(dHdcp[[#This Row],[Maximo]]=0,"",_xlfn.RANK.EQ(dHdcp[[#This Row],[Handicap]],dHdcp[Handicap],1))</f>
        <v/>
      </c>
      <c r="K1453" t="str">
        <f>IFERROR(+_xlfn.RANK.EQ(dHdcp[[#This Row],[Ranking]],dHdcp[Ranking],1),"")</f>
        <v/>
      </c>
      <c r="M1453" t="str">
        <f>+dHdcp[[#This Row],[Fecha]]&amp;":"&amp;dHdcp[[#This Row],[Nombre]]</f>
        <v>44942:Ignacio Gracia Charlez</v>
      </c>
      <c r="N1453">
        <f>+COUNTIF(dHdcp[Columna1],dHdcp[[#This Row],[Columna1]])</f>
        <v>1</v>
      </c>
    </row>
    <row r="1454" spans="1:14">
      <c r="A1454" s="2">
        <v>44942</v>
      </c>
      <c r="B1454" t="s">
        <v>23</v>
      </c>
      <c r="C1454" s="51">
        <v>17.5</v>
      </c>
      <c r="D1454">
        <f>+VLOOKUP(dHdcp[[#This Row],[Handicap]],'Categoría Hdcap'!$B$2:$E$7,4)</f>
        <v>3</v>
      </c>
      <c r="E1454" t="s">
        <v>74</v>
      </c>
      <c r="F1454" t="s">
        <v>1920</v>
      </c>
      <c r="G1454">
        <f>+IF(dHdcp[[#This Row],[Fecha]]=MAX(dHdcp[Fecha]),1,0)</f>
        <v>0</v>
      </c>
      <c r="H1454" t="str">
        <f>+dHdcp[[#This Row],[Maximo]]&amp;":"&amp;dHdcp[[#This Row],[Nombre]]</f>
        <v>0:J. Enrique Gonzalez</v>
      </c>
      <c r="I1454" t="str">
        <f>+dHdcp[[#This Row],[Maximo]]&amp;":"&amp;_xlfn.XLOOKUP(dHdcp[[#This Row],[Nombre]],dJugador[Nombre],dJugador[Mote],"",0)</f>
        <v>0:Kike</v>
      </c>
      <c r="J1454" t="str">
        <f>+IF(dHdcp[[#This Row],[Maximo]]=0,"",_xlfn.RANK.EQ(dHdcp[[#This Row],[Handicap]],dHdcp[Handicap],1))</f>
        <v/>
      </c>
      <c r="K1454" t="str">
        <f>IFERROR(+_xlfn.RANK.EQ(dHdcp[[#This Row],[Ranking]],dHdcp[Ranking],1),"")</f>
        <v/>
      </c>
      <c r="M1454" t="str">
        <f>+dHdcp[[#This Row],[Fecha]]&amp;":"&amp;dHdcp[[#This Row],[Nombre]]</f>
        <v>44942:J. Enrique Gonzalez</v>
      </c>
      <c r="N1454">
        <f>+COUNTIF(dHdcp[Columna1],dHdcp[[#This Row],[Columna1]])</f>
        <v>1</v>
      </c>
    </row>
    <row r="1455" spans="1:14">
      <c r="A1455" s="2">
        <v>44942</v>
      </c>
      <c r="B1455" t="s">
        <v>289</v>
      </c>
      <c r="C1455" s="51">
        <v>11.7</v>
      </c>
      <c r="D1455">
        <f>+VLOOKUP(dHdcp[[#This Row],[Handicap]],'Categoría Hdcap'!$B$2:$E$7,4)</f>
        <v>3</v>
      </c>
      <c r="E1455" t="s">
        <v>74</v>
      </c>
      <c r="F1455" t="s">
        <v>1921</v>
      </c>
      <c r="G1455">
        <f>+IF(dHdcp[[#This Row],[Fecha]]=MAX(dHdcp[Fecha]),1,0)</f>
        <v>0</v>
      </c>
      <c r="H1455" t="str">
        <f>+dHdcp[[#This Row],[Maximo]]&amp;":"&amp;dHdcp[[#This Row],[Nombre]]</f>
        <v>0:Jaime Villanueva</v>
      </c>
      <c r="I1455" t="str">
        <f>+dHdcp[[#This Row],[Maximo]]&amp;":"&amp;_xlfn.XLOOKUP(dHdcp[[#This Row],[Nombre]],dJugador[Nombre],dJugador[Mote],"",0)</f>
        <v>0:Villanueva</v>
      </c>
      <c r="J1455" t="str">
        <f>+IF(dHdcp[[#This Row],[Maximo]]=0,"",_xlfn.RANK.EQ(dHdcp[[#This Row],[Handicap]],dHdcp[Handicap],1))</f>
        <v/>
      </c>
      <c r="K1455" t="str">
        <f>IFERROR(+_xlfn.RANK.EQ(dHdcp[[#This Row],[Ranking]],dHdcp[Ranking],1),"")</f>
        <v/>
      </c>
      <c r="M1455" t="str">
        <f>+dHdcp[[#This Row],[Fecha]]&amp;":"&amp;dHdcp[[#This Row],[Nombre]]</f>
        <v>44942:Jaime Villanueva</v>
      </c>
      <c r="N1455">
        <f>+COUNTIF(dHdcp[Columna1],dHdcp[[#This Row],[Columna1]])</f>
        <v>1</v>
      </c>
    </row>
    <row r="1456" spans="1:14">
      <c r="A1456" s="2">
        <v>44942</v>
      </c>
      <c r="B1456" t="s">
        <v>328</v>
      </c>
      <c r="C1456" s="51">
        <v>10.8</v>
      </c>
      <c r="D1456">
        <f>+VLOOKUP(dHdcp[[#This Row],[Handicap]],'Categoría Hdcap'!$B$2:$E$7,4)</f>
        <v>2</v>
      </c>
      <c r="E1456" t="s">
        <v>74</v>
      </c>
      <c r="F1456" t="s">
        <v>1922</v>
      </c>
      <c r="G1456">
        <f>+IF(dHdcp[[#This Row],[Fecha]]=MAX(dHdcp[Fecha]),1,0)</f>
        <v>0</v>
      </c>
      <c r="H1456" t="str">
        <f>+dHdcp[[#This Row],[Maximo]]&amp;":"&amp;dHdcp[[#This Row],[Nombre]]</f>
        <v>0:Javier Arcos</v>
      </c>
      <c r="I1456" t="str">
        <f>+dHdcp[[#This Row],[Maximo]]&amp;":"&amp;_xlfn.XLOOKUP(dHdcp[[#This Row],[Nombre]],dJugador[Nombre],dJugador[Mote],"",0)</f>
        <v>0:J.Arcos</v>
      </c>
      <c r="J1456" t="str">
        <f>+IF(dHdcp[[#This Row],[Maximo]]=0,"",_xlfn.RANK.EQ(dHdcp[[#This Row],[Handicap]],dHdcp[Handicap],1))</f>
        <v/>
      </c>
      <c r="K1456" t="str">
        <f>IFERROR(+_xlfn.RANK.EQ(dHdcp[[#This Row],[Ranking]],dHdcp[Ranking],1),"")</f>
        <v/>
      </c>
      <c r="M1456" t="str">
        <f>+dHdcp[[#This Row],[Fecha]]&amp;":"&amp;dHdcp[[#This Row],[Nombre]]</f>
        <v>44942:Javier Arcos</v>
      </c>
      <c r="N1456">
        <f>+COUNTIF(dHdcp[Columna1],dHdcp[[#This Row],[Columna1]])</f>
        <v>1</v>
      </c>
    </row>
    <row r="1457" spans="1:14">
      <c r="A1457" s="2">
        <v>44942</v>
      </c>
      <c r="B1457" t="s">
        <v>46</v>
      </c>
      <c r="C1457" s="51">
        <v>16.899999999999999</v>
      </c>
      <c r="D1457">
        <f>+VLOOKUP(dHdcp[[#This Row],[Handicap]],'Categoría Hdcap'!$B$2:$E$7,4)</f>
        <v>3</v>
      </c>
      <c r="E1457" t="s">
        <v>74</v>
      </c>
      <c r="F1457" t="s">
        <v>1923</v>
      </c>
      <c r="G1457">
        <f>+IF(dHdcp[[#This Row],[Fecha]]=MAX(dHdcp[Fecha]),1,0)</f>
        <v>0</v>
      </c>
      <c r="H1457" t="str">
        <f>+dHdcp[[#This Row],[Maximo]]&amp;":"&amp;dHdcp[[#This Row],[Nombre]]</f>
        <v>0:Javier Cervera</v>
      </c>
      <c r="I1457" t="str">
        <f>+dHdcp[[#This Row],[Maximo]]&amp;":"&amp;_xlfn.XLOOKUP(dHdcp[[#This Row],[Nombre]],dJugador[Nombre],dJugador[Mote],"",0)</f>
        <v>0:Virus</v>
      </c>
      <c r="J1457" t="str">
        <f>+IF(dHdcp[[#This Row],[Maximo]]=0,"",_xlfn.RANK.EQ(dHdcp[[#This Row],[Handicap]],dHdcp[Handicap],1))</f>
        <v/>
      </c>
      <c r="K1457" t="str">
        <f>IFERROR(+_xlfn.RANK.EQ(dHdcp[[#This Row],[Ranking]],dHdcp[Ranking],1),"")</f>
        <v/>
      </c>
      <c r="M1457" t="str">
        <f>+dHdcp[[#This Row],[Fecha]]&amp;":"&amp;dHdcp[[#This Row],[Nombre]]</f>
        <v>44942:Javier Cervera</v>
      </c>
      <c r="N1457">
        <f>+COUNTIF(dHdcp[Columna1],dHdcp[[#This Row],[Columna1]])</f>
        <v>1</v>
      </c>
    </row>
    <row r="1458" spans="1:14">
      <c r="A1458" s="2">
        <v>44942</v>
      </c>
      <c r="B1458" t="s">
        <v>225</v>
      </c>
      <c r="C1458" s="51">
        <v>11</v>
      </c>
      <c r="D1458">
        <f>+VLOOKUP(dHdcp[[#This Row],[Handicap]],'Categoría Hdcap'!$B$2:$E$7,4)</f>
        <v>2</v>
      </c>
      <c r="E1458" t="s">
        <v>74</v>
      </c>
      <c r="F1458" t="s">
        <v>1924</v>
      </c>
      <c r="G1458">
        <f>+IF(dHdcp[[#This Row],[Fecha]]=MAX(dHdcp[Fecha]),1,0)</f>
        <v>0</v>
      </c>
      <c r="H1458" t="str">
        <f>+dHdcp[[#This Row],[Maximo]]&amp;":"&amp;dHdcp[[#This Row],[Nombre]]</f>
        <v>0:Javier Chiralt</v>
      </c>
      <c r="I1458" t="str">
        <f>+dHdcp[[#This Row],[Maximo]]&amp;":"&amp;_xlfn.XLOOKUP(dHdcp[[#This Row],[Nombre]],dJugador[Nombre],dJugador[Mote],"",0)</f>
        <v>0:Chiralt</v>
      </c>
      <c r="J1458" t="str">
        <f>+IF(dHdcp[[#This Row],[Maximo]]=0,"",_xlfn.RANK.EQ(dHdcp[[#This Row],[Handicap]],dHdcp[Handicap],1))</f>
        <v/>
      </c>
      <c r="K1458" t="str">
        <f>IFERROR(+_xlfn.RANK.EQ(dHdcp[[#This Row],[Ranking]],dHdcp[Ranking],1),"")</f>
        <v/>
      </c>
      <c r="M1458" t="str">
        <f>+dHdcp[[#This Row],[Fecha]]&amp;":"&amp;dHdcp[[#This Row],[Nombre]]</f>
        <v>44942:Javier Chiralt</v>
      </c>
      <c r="N1458">
        <f>+COUNTIF(dHdcp[Columna1],dHdcp[[#This Row],[Columna1]])</f>
        <v>1</v>
      </c>
    </row>
    <row r="1459" spans="1:14">
      <c r="A1459" s="2">
        <v>44942</v>
      </c>
      <c r="B1459" t="s">
        <v>20</v>
      </c>
      <c r="C1459" s="51">
        <v>16.600000000000001</v>
      </c>
      <c r="D1459">
        <f>+VLOOKUP(dHdcp[[#This Row],[Handicap]],'Categoría Hdcap'!$B$2:$E$7,4)</f>
        <v>3</v>
      </c>
      <c r="E1459" t="s">
        <v>74</v>
      </c>
      <c r="F1459" t="s">
        <v>1925</v>
      </c>
      <c r="G1459">
        <f>+IF(dHdcp[[#This Row],[Fecha]]=MAX(dHdcp[Fecha]),1,0)</f>
        <v>0</v>
      </c>
      <c r="H1459" t="str">
        <f>+dHdcp[[#This Row],[Maximo]]&amp;":"&amp;dHdcp[[#This Row],[Nombre]]</f>
        <v>0:Javier Gonzalez Salvador</v>
      </c>
      <c r="I1459" t="str">
        <f>+dHdcp[[#This Row],[Maximo]]&amp;":"&amp;_xlfn.XLOOKUP(dHdcp[[#This Row],[Nombre]],dJugador[Nombre],dJugador[Mote],"",0)</f>
        <v>0:Javi</v>
      </c>
      <c r="J1459" t="str">
        <f>+IF(dHdcp[[#This Row],[Maximo]]=0,"",_xlfn.RANK.EQ(dHdcp[[#This Row],[Handicap]],dHdcp[Handicap],1))</f>
        <v/>
      </c>
      <c r="K1459" t="str">
        <f>IFERROR(+_xlfn.RANK.EQ(dHdcp[[#This Row],[Ranking]],dHdcp[Ranking],1),"")</f>
        <v/>
      </c>
      <c r="M1459" t="str">
        <f>+dHdcp[[#This Row],[Fecha]]&amp;":"&amp;dHdcp[[#This Row],[Nombre]]</f>
        <v>44942:Javier Gonzalez Salvador</v>
      </c>
      <c r="N1459">
        <f>+COUNTIF(dHdcp[Columna1],dHdcp[[#This Row],[Columna1]])</f>
        <v>1</v>
      </c>
    </row>
    <row r="1460" spans="1:14">
      <c r="A1460" s="2">
        <v>44942</v>
      </c>
      <c r="B1460" t="s">
        <v>217</v>
      </c>
      <c r="C1460" s="51">
        <v>21.1</v>
      </c>
      <c r="D1460">
        <f>+VLOOKUP(dHdcp[[#This Row],[Handicap]],'Categoría Hdcap'!$B$2:$E$7,4)</f>
        <v>4</v>
      </c>
      <c r="E1460" t="s">
        <v>74</v>
      </c>
      <c r="F1460" t="s">
        <v>1926</v>
      </c>
      <c r="G1460">
        <f>+IF(dHdcp[[#This Row],[Fecha]]=MAX(dHdcp[Fecha]),1,0)</f>
        <v>0</v>
      </c>
      <c r="H1460" t="str">
        <f>+dHdcp[[#This Row],[Maximo]]&amp;":"&amp;dHdcp[[#This Row],[Nombre]]</f>
        <v>0:Javier Lopez Gullón</v>
      </c>
      <c r="I1460" t="str">
        <f>+dHdcp[[#This Row],[Maximo]]&amp;":"&amp;_xlfn.XLOOKUP(dHdcp[[#This Row],[Nombre]],dJugador[Nombre],dJugador[Mote],"",0)</f>
        <v>0:Cuñao</v>
      </c>
      <c r="J1460" t="str">
        <f>+IF(dHdcp[[#This Row],[Maximo]]=0,"",_xlfn.RANK.EQ(dHdcp[[#This Row],[Handicap]],dHdcp[Handicap],1))</f>
        <v/>
      </c>
      <c r="K1460" t="str">
        <f>IFERROR(+_xlfn.RANK.EQ(dHdcp[[#This Row],[Ranking]],dHdcp[Ranking],1),"")</f>
        <v/>
      </c>
      <c r="M1460" t="str">
        <f>+dHdcp[[#This Row],[Fecha]]&amp;":"&amp;dHdcp[[#This Row],[Nombre]]</f>
        <v>44942:Javier Lopez Gullón</v>
      </c>
      <c r="N1460">
        <f>+COUNTIF(dHdcp[Columna1],dHdcp[[#This Row],[Columna1]])</f>
        <v>1</v>
      </c>
    </row>
    <row r="1461" spans="1:14">
      <c r="A1461" s="2">
        <v>44942</v>
      </c>
      <c r="B1461" t="s">
        <v>41</v>
      </c>
      <c r="C1461" s="51">
        <v>24.8</v>
      </c>
      <c r="D1461">
        <f>+VLOOKUP(dHdcp[[#This Row],[Handicap]],'Categoría Hdcap'!$B$2:$E$7,4)</f>
        <v>4</v>
      </c>
      <c r="E1461" t="s">
        <v>74</v>
      </c>
      <c r="F1461" t="s">
        <v>1927</v>
      </c>
      <c r="G1461">
        <f>+IF(dHdcp[[#This Row],[Fecha]]=MAX(dHdcp[Fecha]),1,0)</f>
        <v>0</v>
      </c>
      <c r="H1461" t="str">
        <f>+dHdcp[[#This Row],[Maximo]]&amp;":"&amp;dHdcp[[#This Row],[Nombre]]</f>
        <v>0:Jesus Touceda</v>
      </c>
      <c r="I1461" t="str">
        <f>+dHdcp[[#This Row],[Maximo]]&amp;":"&amp;_xlfn.XLOOKUP(dHdcp[[#This Row],[Nombre]],dJugador[Nombre],dJugador[Mote],"",0)</f>
        <v>0:Jesús</v>
      </c>
      <c r="J1461" t="str">
        <f>+IF(dHdcp[[#This Row],[Maximo]]=0,"",_xlfn.RANK.EQ(dHdcp[[#This Row],[Handicap]],dHdcp[Handicap],1))</f>
        <v/>
      </c>
      <c r="K1461" t="str">
        <f>IFERROR(+_xlfn.RANK.EQ(dHdcp[[#This Row],[Ranking]],dHdcp[Ranking],1),"")</f>
        <v/>
      </c>
      <c r="M1461" t="str">
        <f>+dHdcp[[#This Row],[Fecha]]&amp;":"&amp;dHdcp[[#This Row],[Nombre]]</f>
        <v>44942:Jesus Touceda</v>
      </c>
      <c r="N1461">
        <f>+COUNTIF(dHdcp[Columna1],dHdcp[[#This Row],[Columna1]])</f>
        <v>1</v>
      </c>
    </row>
    <row r="1462" spans="1:14">
      <c r="A1462" s="2">
        <v>44942</v>
      </c>
      <c r="B1462" t="s">
        <v>297</v>
      </c>
      <c r="C1462" s="51">
        <v>23.5</v>
      </c>
      <c r="D1462">
        <f>+VLOOKUP(dHdcp[[#This Row],[Handicap]],'Categoría Hdcap'!$B$2:$E$7,4)</f>
        <v>4</v>
      </c>
      <c r="E1462" t="s">
        <v>74</v>
      </c>
      <c r="F1462" t="s">
        <v>1928</v>
      </c>
      <c r="G1462">
        <f>+IF(dHdcp[[#This Row],[Fecha]]=MAX(dHdcp[Fecha]),1,0)</f>
        <v>0</v>
      </c>
      <c r="H1462" t="str">
        <f>+dHdcp[[#This Row],[Maximo]]&amp;":"&amp;dHdcp[[#This Row],[Nombre]]</f>
        <v>0:Jorge Alberto Martínez Sánchez</v>
      </c>
      <c r="I1462" t="str">
        <f>+dHdcp[[#This Row],[Maximo]]&amp;":"&amp;_xlfn.XLOOKUP(dHdcp[[#This Row],[Nombre]],dJugador[Nombre],dJugador[Mote],"",0)</f>
        <v>0:Jorge</v>
      </c>
      <c r="J1462" t="str">
        <f>+IF(dHdcp[[#This Row],[Maximo]]=0,"",_xlfn.RANK.EQ(dHdcp[[#This Row],[Handicap]],dHdcp[Handicap],1))</f>
        <v/>
      </c>
      <c r="K1462" t="str">
        <f>IFERROR(+_xlfn.RANK.EQ(dHdcp[[#This Row],[Ranking]],dHdcp[Ranking],1),"")</f>
        <v/>
      </c>
      <c r="M1462" t="str">
        <f>+dHdcp[[#This Row],[Fecha]]&amp;":"&amp;dHdcp[[#This Row],[Nombre]]</f>
        <v>44942:Jorge Alberto Martínez Sánchez</v>
      </c>
      <c r="N1462">
        <f>+COUNTIF(dHdcp[Columna1],dHdcp[[#This Row],[Columna1]])</f>
        <v>1</v>
      </c>
    </row>
    <row r="1463" spans="1:14">
      <c r="A1463" s="2">
        <v>44942</v>
      </c>
      <c r="B1463" t="s">
        <v>18</v>
      </c>
      <c r="C1463" s="51">
        <v>7.3</v>
      </c>
      <c r="D1463">
        <f>+VLOOKUP(dHdcp[[#This Row],[Handicap]],'Categoría Hdcap'!$B$2:$E$7,4)</f>
        <v>2</v>
      </c>
      <c r="E1463" t="s">
        <v>74</v>
      </c>
      <c r="F1463" t="s">
        <v>1929</v>
      </c>
      <c r="G1463">
        <f>+IF(dHdcp[[#This Row],[Fecha]]=MAX(dHdcp[Fecha]),1,0)</f>
        <v>0</v>
      </c>
      <c r="H1463" t="str">
        <f>+dHdcp[[#This Row],[Maximo]]&amp;":"&amp;dHdcp[[#This Row],[Nombre]]</f>
        <v>0:José Pablo Guil</v>
      </c>
      <c r="I1463" t="str">
        <f>+dHdcp[[#This Row],[Maximo]]&amp;":"&amp;_xlfn.XLOOKUP(dHdcp[[#This Row],[Nombre]],dJugador[Nombre],dJugador[Mote],"",0)</f>
        <v>0:JP</v>
      </c>
      <c r="J1463" t="str">
        <f>+IF(dHdcp[[#This Row],[Maximo]]=0,"",_xlfn.RANK.EQ(dHdcp[[#This Row],[Handicap]],dHdcp[Handicap],1))</f>
        <v/>
      </c>
      <c r="K1463" t="str">
        <f>IFERROR(+_xlfn.RANK.EQ(dHdcp[[#This Row],[Ranking]],dHdcp[Ranking],1),"")</f>
        <v/>
      </c>
      <c r="M1463" t="str">
        <f>+dHdcp[[#This Row],[Fecha]]&amp;":"&amp;dHdcp[[#This Row],[Nombre]]</f>
        <v>44942:José Pablo Guil</v>
      </c>
      <c r="N1463">
        <f>+COUNTIF(dHdcp[Columna1],dHdcp[[#This Row],[Columna1]])</f>
        <v>1</v>
      </c>
    </row>
    <row r="1464" spans="1:14">
      <c r="A1464" s="2">
        <v>44942</v>
      </c>
      <c r="B1464" t="s">
        <v>293</v>
      </c>
      <c r="C1464" s="51">
        <v>21.1</v>
      </c>
      <c r="D1464">
        <f>+VLOOKUP(dHdcp[[#This Row],[Handicap]],'Categoría Hdcap'!$B$2:$E$7,4)</f>
        <v>4</v>
      </c>
      <c r="E1464" t="s">
        <v>74</v>
      </c>
      <c r="F1464" t="s">
        <v>1930</v>
      </c>
      <c r="G1464">
        <f>+IF(dHdcp[[#This Row],[Fecha]]=MAX(dHdcp[Fecha]),1,0)</f>
        <v>0</v>
      </c>
      <c r="H1464" t="str">
        <f>+dHdcp[[#This Row],[Maximo]]&amp;":"&amp;dHdcp[[#This Row],[Nombre]]</f>
        <v>0:Juan Jose Aguado</v>
      </c>
      <c r="I1464" t="str">
        <f>+dHdcp[[#This Row],[Maximo]]&amp;":"&amp;_xlfn.XLOOKUP(dHdcp[[#This Row],[Nombre]],dJugador[Nombre],dJugador[Mote],"",0)</f>
        <v>0:Juancho</v>
      </c>
      <c r="J1464" t="str">
        <f>+IF(dHdcp[[#This Row],[Maximo]]=0,"",_xlfn.RANK.EQ(dHdcp[[#This Row],[Handicap]],dHdcp[Handicap],1))</f>
        <v/>
      </c>
      <c r="K1464" t="str">
        <f>IFERROR(+_xlfn.RANK.EQ(dHdcp[[#This Row],[Ranking]],dHdcp[Ranking],1),"")</f>
        <v/>
      </c>
      <c r="M1464" t="str">
        <f>+dHdcp[[#This Row],[Fecha]]&amp;":"&amp;dHdcp[[#This Row],[Nombre]]</f>
        <v>44942:Juan Jose Aguado</v>
      </c>
      <c r="N1464">
        <f>+COUNTIF(dHdcp[Columna1],dHdcp[[#This Row],[Columna1]])</f>
        <v>1</v>
      </c>
    </row>
    <row r="1465" spans="1:14">
      <c r="A1465" s="2">
        <v>44942</v>
      </c>
      <c r="B1465" t="s">
        <v>43</v>
      </c>
      <c r="C1465" s="51">
        <v>18.3</v>
      </c>
      <c r="D1465">
        <f>+VLOOKUP(dHdcp[[#This Row],[Handicap]],'Categoría Hdcap'!$B$2:$E$7,4)</f>
        <v>3</v>
      </c>
      <c r="E1465" t="s">
        <v>74</v>
      </c>
      <c r="F1465" t="s">
        <v>1931</v>
      </c>
      <c r="G1465">
        <f>+IF(dHdcp[[#This Row],[Fecha]]=MAX(dHdcp[Fecha]),1,0)</f>
        <v>0</v>
      </c>
      <c r="H1465" t="str">
        <f>+dHdcp[[#This Row],[Maximo]]&amp;":"&amp;dHdcp[[#This Row],[Nombre]]</f>
        <v>0:Luis Escudero</v>
      </c>
      <c r="I1465" t="str">
        <f>+dHdcp[[#This Row],[Maximo]]&amp;":"&amp;_xlfn.XLOOKUP(dHdcp[[#This Row],[Nombre]],dJugador[Nombre],dJugador[Mote],"",0)</f>
        <v>0:Lucho</v>
      </c>
      <c r="J1465" t="str">
        <f>+IF(dHdcp[[#This Row],[Maximo]]=0,"",_xlfn.RANK.EQ(dHdcp[[#This Row],[Handicap]],dHdcp[Handicap],1))</f>
        <v/>
      </c>
      <c r="K1465" t="str">
        <f>IFERROR(+_xlfn.RANK.EQ(dHdcp[[#This Row],[Ranking]],dHdcp[Ranking],1),"")</f>
        <v/>
      </c>
      <c r="M1465" t="str">
        <f>+dHdcp[[#This Row],[Fecha]]&amp;":"&amp;dHdcp[[#This Row],[Nombre]]</f>
        <v>44942:Luis Escudero</v>
      </c>
      <c r="N1465">
        <f>+COUNTIF(dHdcp[Columna1],dHdcp[[#This Row],[Columna1]])</f>
        <v>1</v>
      </c>
    </row>
    <row r="1466" spans="1:14">
      <c r="A1466" s="2">
        <v>44942</v>
      </c>
      <c r="B1466" s="10" t="s">
        <v>135</v>
      </c>
      <c r="C1466" s="53">
        <v>23.9</v>
      </c>
      <c r="D1466">
        <f>+VLOOKUP(dHdcp[[#This Row],[Handicap]],'Categoría Hdcap'!$B$2:$E$7,4)</f>
        <v>4</v>
      </c>
      <c r="E1466" t="s">
        <v>74</v>
      </c>
      <c r="F1466" t="s">
        <v>1932</v>
      </c>
      <c r="G1466">
        <f>+IF(dHdcp[[#This Row],[Fecha]]=MAX(dHdcp[Fecha]),1,0)</f>
        <v>0</v>
      </c>
      <c r="H1466" t="str">
        <f>+dHdcp[[#This Row],[Maximo]]&amp;":"&amp;dHdcp[[#This Row],[Nombre]]</f>
        <v>0:Miche Lopez</v>
      </c>
      <c r="I1466" t="str">
        <f>+dHdcp[[#This Row],[Maximo]]&amp;":"&amp;_xlfn.XLOOKUP(dHdcp[[#This Row],[Nombre]],dJugador[Nombre],dJugador[Mote],"",0)</f>
        <v>0:Miche</v>
      </c>
      <c r="J1466" t="str">
        <f>+IF(dHdcp[[#This Row],[Maximo]]=0,"",_xlfn.RANK.EQ(dHdcp[[#This Row],[Handicap]],dHdcp[Handicap],1))</f>
        <v/>
      </c>
      <c r="K1466" t="str">
        <f>IFERROR(+_xlfn.RANK.EQ(dHdcp[[#This Row],[Ranking]],dHdcp[Ranking],1),"")</f>
        <v/>
      </c>
      <c r="M1466" t="str">
        <f>+dHdcp[[#This Row],[Fecha]]&amp;":"&amp;dHdcp[[#This Row],[Nombre]]</f>
        <v>44942:Miche Lopez</v>
      </c>
      <c r="N1466">
        <f>+COUNTIF(dHdcp[Columna1],dHdcp[[#This Row],[Columna1]])</f>
        <v>1</v>
      </c>
    </row>
    <row r="1467" spans="1:14">
      <c r="A1467" s="2">
        <v>44942</v>
      </c>
      <c r="B1467" t="s">
        <v>51</v>
      </c>
      <c r="C1467" s="51">
        <v>-0.5</v>
      </c>
      <c r="D1467">
        <f>+VLOOKUP(dHdcp[[#This Row],[Handicap]],'Categoría Hdcap'!$B$2:$E$7,4)</f>
        <v>1</v>
      </c>
      <c r="E1467" t="s">
        <v>74</v>
      </c>
      <c r="F1467" t="s">
        <v>1933</v>
      </c>
      <c r="G1467">
        <f>+IF(dHdcp[[#This Row],[Fecha]]=MAX(dHdcp[Fecha]),1,0)</f>
        <v>0</v>
      </c>
      <c r="H1467" t="str">
        <f>+dHdcp[[#This Row],[Maximo]]&amp;":"&amp;dHdcp[[#This Row],[Nombre]]</f>
        <v>0:Miguel Diaz Del Moral</v>
      </c>
      <c r="I1467" t="str">
        <f>+dHdcp[[#This Row],[Maximo]]&amp;":"&amp;_xlfn.XLOOKUP(dHdcp[[#This Row],[Nombre]],dJugador[Nombre],dJugador[Mote],"",0)</f>
        <v>0:Cañita</v>
      </c>
      <c r="J1467" t="str">
        <f>+IF(dHdcp[[#This Row],[Maximo]]=0,"",_xlfn.RANK.EQ(dHdcp[[#This Row],[Handicap]],dHdcp[Handicap],1))</f>
        <v/>
      </c>
      <c r="K1467" t="str">
        <f>IFERROR(+_xlfn.RANK.EQ(dHdcp[[#This Row],[Ranking]],dHdcp[Ranking],1),"")</f>
        <v/>
      </c>
      <c r="M1467" t="str">
        <f>+dHdcp[[#This Row],[Fecha]]&amp;":"&amp;dHdcp[[#This Row],[Nombre]]</f>
        <v>44942:Miguel Diaz Del Moral</v>
      </c>
      <c r="N1467">
        <f>+COUNTIF(dHdcp[Columna1],dHdcp[[#This Row],[Columna1]])</f>
        <v>1</v>
      </c>
    </row>
    <row r="1468" spans="1:14">
      <c r="A1468" s="2">
        <v>44942</v>
      </c>
      <c r="B1468" s="13" t="s">
        <v>205</v>
      </c>
      <c r="C1468" s="42">
        <v>7.4</v>
      </c>
      <c r="D1468">
        <f>+VLOOKUP(dHdcp[[#This Row],[Handicap]],'Categoría Hdcap'!$B$2:$E$7,4)</f>
        <v>2</v>
      </c>
      <c r="E1468" t="s">
        <v>74</v>
      </c>
      <c r="F1468" t="s">
        <v>1934</v>
      </c>
      <c r="G1468">
        <f>+IF(dHdcp[[#This Row],[Fecha]]=MAX(dHdcp[Fecha]),1,0)</f>
        <v>0</v>
      </c>
      <c r="H1468" t="str">
        <f>+dHdcp[[#This Row],[Maximo]]&amp;":"&amp;dHdcp[[#This Row],[Nombre]]</f>
        <v>0:Nacho Casas</v>
      </c>
      <c r="I1468" t="str">
        <f>+dHdcp[[#This Row],[Maximo]]&amp;":"&amp;_xlfn.XLOOKUP(dHdcp[[#This Row],[Nombre]],dJugador[Nombre],dJugador[Mote],"",0)</f>
        <v>0:Nachete</v>
      </c>
      <c r="J1468" t="str">
        <f>+IF(dHdcp[[#This Row],[Maximo]]=0,"",_xlfn.RANK.EQ(dHdcp[[#This Row],[Handicap]],dHdcp[Handicap],1))</f>
        <v/>
      </c>
      <c r="K1468" t="str">
        <f>IFERROR(+_xlfn.RANK.EQ(dHdcp[[#This Row],[Ranking]],dHdcp[Ranking],1),"")</f>
        <v/>
      </c>
      <c r="M1468" t="str">
        <f>+dHdcp[[#This Row],[Fecha]]&amp;":"&amp;dHdcp[[#This Row],[Nombre]]</f>
        <v>44942:Nacho Casas</v>
      </c>
      <c r="N1468">
        <f>+COUNTIF(dHdcp[Columna1],dHdcp[[#This Row],[Columna1]])</f>
        <v>1</v>
      </c>
    </row>
    <row r="1469" spans="1:14">
      <c r="A1469" s="2">
        <v>44942</v>
      </c>
      <c r="B1469" t="s">
        <v>3</v>
      </c>
      <c r="C1469" s="51">
        <v>6.7</v>
      </c>
      <c r="D1469">
        <f>+VLOOKUP(dHdcp[[#This Row],[Handicap]],'Categoría Hdcap'!$B$2:$E$7,4)</f>
        <v>2</v>
      </c>
      <c r="E1469" t="s">
        <v>74</v>
      </c>
      <c r="F1469" t="s">
        <v>1935</v>
      </c>
      <c r="G1469">
        <f>+IF(dHdcp[[#This Row],[Fecha]]=MAX(dHdcp[Fecha]),1,0)</f>
        <v>0</v>
      </c>
      <c r="H1469" t="str">
        <f>+dHdcp[[#This Row],[Maximo]]&amp;":"&amp;dHdcp[[#This Row],[Nombre]]</f>
        <v>0:Nacho Gonzalez</v>
      </c>
      <c r="I1469" t="str">
        <f>+dHdcp[[#This Row],[Maximo]]&amp;":"&amp;_xlfn.XLOOKUP(dHdcp[[#This Row],[Nombre]],dJugador[Nombre],dJugador[Mote],"",0)</f>
        <v>0:Nacho</v>
      </c>
      <c r="J1469" t="str">
        <f>+IF(dHdcp[[#This Row],[Maximo]]=0,"",_xlfn.RANK.EQ(dHdcp[[#This Row],[Handicap]],dHdcp[Handicap],1))</f>
        <v/>
      </c>
      <c r="K1469" t="str">
        <f>IFERROR(+_xlfn.RANK.EQ(dHdcp[[#This Row],[Ranking]],dHdcp[Ranking],1),"")</f>
        <v/>
      </c>
      <c r="M1469" t="str">
        <f>+dHdcp[[#This Row],[Fecha]]&amp;":"&amp;dHdcp[[#This Row],[Nombre]]</f>
        <v>44942:Nacho Gonzalez</v>
      </c>
      <c r="N1469">
        <f>+COUNTIF(dHdcp[Columna1],dHdcp[[#This Row],[Columna1]])</f>
        <v>1</v>
      </c>
    </row>
    <row r="1470" spans="1:14">
      <c r="A1470" s="2">
        <v>44942</v>
      </c>
      <c r="B1470" t="s">
        <v>28</v>
      </c>
      <c r="C1470" s="51">
        <v>13.7</v>
      </c>
      <c r="D1470">
        <f>+VLOOKUP(dHdcp[[#This Row],[Handicap]],'Categoría Hdcap'!$B$2:$E$7,4)</f>
        <v>3</v>
      </c>
      <c r="E1470" t="s">
        <v>74</v>
      </c>
      <c r="F1470" t="s">
        <v>1936</v>
      </c>
      <c r="G1470">
        <f>+IF(dHdcp[[#This Row],[Fecha]]=MAX(dHdcp[Fecha]),1,0)</f>
        <v>0</v>
      </c>
      <c r="H1470" t="str">
        <f>+dHdcp[[#This Row],[Maximo]]&amp;":"&amp;dHdcp[[#This Row],[Nombre]]</f>
        <v>0:Pablo Munitiz</v>
      </c>
      <c r="I1470" t="str">
        <f>+dHdcp[[#This Row],[Maximo]]&amp;":"&amp;_xlfn.XLOOKUP(dHdcp[[#This Row],[Nombre]],dJugador[Nombre],dJugador[Mote],"",0)</f>
        <v>0:Muni</v>
      </c>
      <c r="J1470" t="str">
        <f>+IF(dHdcp[[#This Row],[Maximo]]=0,"",_xlfn.RANK.EQ(dHdcp[[#This Row],[Handicap]],dHdcp[Handicap],1))</f>
        <v/>
      </c>
      <c r="K1470" t="str">
        <f>IFERROR(+_xlfn.RANK.EQ(dHdcp[[#This Row],[Ranking]],dHdcp[Ranking],1),"")</f>
        <v/>
      </c>
      <c r="M1470" t="str">
        <f>+dHdcp[[#This Row],[Fecha]]&amp;":"&amp;dHdcp[[#This Row],[Nombre]]</f>
        <v>44942:Pablo Munitiz</v>
      </c>
      <c r="N1470">
        <f>+COUNTIF(dHdcp[Columna1],dHdcp[[#This Row],[Columna1]])</f>
        <v>1</v>
      </c>
    </row>
    <row r="1471" spans="1:14">
      <c r="A1471" s="2">
        <v>44942</v>
      </c>
      <c r="B1471" t="s">
        <v>203</v>
      </c>
      <c r="C1471" s="51">
        <v>18.3</v>
      </c>
      <c r="D1471">
        <f>+VLOOKUP(dHdcp[[#This Row],[Handicap]],'Categoría Hdcap'!$B$2:$E$7,4)</f>
        <v>3</v>
      </c>
      <c r="E1471" t="s">
        <v>74</v>
      </c>
      <c r="F1471" t="s">
        <v>1937</v>
      </c>
      <c r="G1471">
        <f>+IF(dHdcp[[#This Row],[Fecha]]=MAX(dHdcp[Fecha]),1,0)</f>
        <v>0</v>
      </c>
      <c r="H1471" t="str">
        <f>+dHdcp[[#This Row],[Maximo]]&amp;":"&amp;dHdcp[[#This Row],[Nombre]]</f>
        <v>0:Ruslan Kochman</v>
      </c>
      <c r="I1471" t="str">
        <f>+dHdcp[[#This Row],[Maximo]]&amp;":"&amp;_xlfn.XLOOKUP(dHdcp[[#This Row],[Nombre]],dJugador[Nombre],dJugador[Mote],"",0)</f>
        <v>0:Rus</v>
      </c>
      <c r="J1471" t="str">
        <f>+IF(dHdcp[[#This Row],[Maximo]]=0,"",_xlfn.RANK.EQ(dHdcp[[#This Row],[Handicap]],dHdcp[Handicap],1))</f>
        <v/>
      </c>
      <c r="K1471" t="str">
        <f>IFERROR(+_xlfn.RANK.EQ(dHdcp[[#This Row],[Ranking]],dHdcp[Ranking],1),"")</f>
        <v/>
      </c>
      <c r="M1471" t="str">
        <f>+dHdcp[[#This Row],[Fecha]]&amp;":"&amp;dHdcp[[#This Row],[Nombre]]</f>
        <v>44942:Ruslan Kochman</v>
      </c>
      <c r="N1471">
        <f>+COUNTIF(dHdcp[Columna1],dHdcp[[#This Row],[Columna1]])</f>
        <v>1</v>
      </c>
    </row>
    <row r="1472" spans="1:14">
      <c r="A1472" s="2">
        <v>44942</v>
      </c>
      <c r="B1472" t="s">
        <v>271</v>
      </c>
      <c r="C1472" s="51">
        <v>16.399999999999999</v>
      </c>
      <c r="D1472">
        <f>+VLOOKUP(dHdcp[[#This Row],[Handicap]],'Categoría Hdcap'!$B$2:$E$7,4)</f>
        <v>3</v>
      </c>
      <c r="E1472" t="s">
        <v>74</v>
      </c>
      <c r="F1472" t="s">
        <v>1938</v>
      </c>
      <c r="G1472">
        <f>+IF(dHdcp[[#This Row],[Fecha]]=MAX(dHdcp[Fecha]),1,0)</f>
        <v>0</v>
      </c>
      <c r="H1472" t="str">
        <f>+dHdcp[[#This Row],[Maximo]]&amp;":"&amp;dHdcp[[#This Row],[Nombre]]</f>
        <v>0:Santi Diaz</v>
      </c>
      <c r="I1472" t="str">
        <f>+dHdcp[[#This Row],[Maximo]]&amp;":"&amp;_xlfn.XLOOKUP(dHdcp[[#This Row],[Nombre]],dJugador[Nombre],dJugador[Mote],"",0)</f>
        <v>0:Santi</v>
      </c>
      <c r="J1472" t="str">
        <f>+IF(dHdcp[[#This Row],[Maximo]]=0,"",_xlfn.RANK.EQ(dHdcp[[#This Row],[Handicap]],dHdcp[Handicap],1))</f>
        <v/>
      </c>
      <c r="K1472" t="str">
        <f>IFERROR(+_xlfn.RANK.EQ(dHdcp[[#This Row],[Ranking]],dHdcp[Ranking],1),"")</f>
        <v/>
      </c>
      <c r="M1472" t="str">
        <f>+dHdcp[[#This Row],[Fecha]]&amp;":"&amp;dHdcp[[#This Row],[Nombre]]</f>
        <v>44942:Santi Diaz</v>
      </c>
      <c r="N1472">
        <f>+COUNTIF(dHdcp[Columna1],dHdcp[[#This Row],[Columna1]])</f>
        <v>1</v>
      </c>
    </row>
    <row r="1473" spans="1:14">
      <c r="A1473" s="2">
        <v>44976</v>
      </c>
      <c r="B1473" t="s">
        <v>259</v>
      </c>
      <c r="C1473" s="51">
        <v>3.5</v>
      </c>
      <c r="D1473">
        <f>+VLOOKUP(dHdcp[[#This Row],[Handicap]],'Categoría Hdcap'!$B$2:$E$7,4)</f>
        <v>1</v>
      </c>
      <c r="E1473" t="s">
        <v>74</v>
      </c>
      <c r="F1473" t="s">
        <v>1939</v>
      </c>
      <c r="G1473">
        <f>+IF(dHdcp[[#This Row],[Fecha]]=MAX(dHdcp[Fecha]),1,0)</f>
        <v>0</v>
      </c>
      <c r="H1473" t="str">
        <f>+dHdcp[[#This Row],[Maximo]]&amp;":"&amp;dHdcp[[#This Row],[Nombre]]</f>
        <v>0:Alejandro Arcos</v>
      </c>
      <c r="I1473" t="str">
        <f>+dHdcp[[#This Row],[Maximo]]&amp;":"&amp;_xlfn.XLOOKUP(dHdcp[[#This Row],[Nombre]],dJugador[Nombre],dJugador[Mote],"",0)</f>
        <v>0:Alex</v>
      </c>
      <c r="J1473" t="str">
        <f>+IF(dHdcp[[#This Row],[Maximo]]=0,"",_xlfn.RANK.EQ(dHdcp[[#This Row],[Handicap]],dHdcp[Handicap],1))</f>
        <v/>
      </c>
      <c r="K1473" t="str">
        <f>IFERROR(+_xlfn.RANK.EQ(dHdcp[[#This Row],[Ranking]],dHdcp[Ranking],1),"")</f>
        <v/>
      </c>
      <c r="M1473" t="str">
        <f>+dHdcp[[#This Row],[Fecha]]&amp;":"&amp;dHdcp[[#This Row],[Nombre]]</f>
        <v>44976:Alejandro Arcos</v>
      </c>
      <c r="N1473">
        <f>+COUNTIF(dHdcp[Columna1],dHdcp[[#This Row],[Columna1]])</f>
        <v>1</v>
      </c>
    </row>
    <row r="1474" spans="1:14">
      <c r="A1474" s="2">
        <v>44976</v>
      </c>
      <c r="B1474" t="s">
        <v>9</v>
      </c>
      <c r="C1474" s="51">
        <v>9.9</v>
      </c>
      <c r="D1474">
        <f>+VLOOKUP(dHdcp[[#This Row],[Handicap]],'Categoría Hdcap'!$B$2:$E$7,4)</f>
        <v>2</v>
      </c>
      <c r="E1474" t="s">
        <v>74</v>
      </c>
      <c r="F1474" t="s">
        <v>1940</v>
      </c>
      <c r="G1474">
        <f>+IF(dHdcp[[#This Row],[Fecha]]=MAX(dHdcp[Fecha]),1,0)</f>
        <v>0</v>
      </c>
      <c r="H1474" t="str">
        <f>+dHdcp[[#This Row],[Maximo]]&amp;":"&amp;dHdcp[[#This Row],[Nombre]]</f>
        <v>0:Alfonso Hidalgo</v>
      </c>
      <c r="I1474" t="str">
        <f>+dHdcp[[#This Row],[Maximo]]&amp;":"&amp;_xlfn.XLOOKUP(dHdcp[[#This Row],[Nombre]],dJugador[Nombre],dJugador[Mote],"",0)</f>
        <v>0:Alfonso</v>
      </c>
      <c r="J1474" t="str">
        <f>+IF(dHdcp[[#This Row],[Maximo]]=0,"",_xlfn.RANK.EQ(dHdcp[[#This Row],[Handicap]],dHdcp[Handicap],1))</f>
        <v/>
      </c>
      <c r="K1474" t="str">
        <f>IFERROR(+_xlfn.RANK.EQ(dHdcp[[#This Row],[Ranking]],dHdcp[Ranking],1),"")</f>
        <v/>
      </c>
      <c r="M1474" t="str">
        <f>+dHdcp[[#This Row],[Fecha]]&amp;":"&amp;dHdcp[[#This Row],[Nombre]]</f>
        <v>44976:Alfonso Hidalgo</v>
      </c>
      <c r="N1474">
        <f>+COUNTIF(dHdcp[Columna1],dHdcp[[#This Row],[Columna1]])</f>
        <v>1</v>
      </c>
    </row>
    <row r="1475" spans="1:14">
      <c r="A1475" s="2">
        <v>44976</v>
      </c>
      <c r="B1475" t="s">
        <v>229</v>
      </c>
      <c r="C1475" s="51">
        <v>14.1</v>
      </c>
      <c r="D1475">
        <f>+VLOOKUP(dHdcp[[#This Row],[Handicap]],'Categoría Hdcap'!$B$2:$E$7,4)</f>
        <v>3</v>
      </c>
      <c r="E1475" t="s">
        <v>74</v>
      </c>
      <c r="F1475" t="s">
        <v>1941</v>
      </c>
      <c r="G1475">
        <f>+IF(dHdcp[[#This Row],[Fecha]]=MAX(dHdcp[Fecha]),1,0)</f>
        <v>0</v>
      </c>
      <c r="H1475" t="str">
        <f>+dHdcp[[#This Row],[Maximo]]&amp;":"&amp;dHdcp[[#This Row],[Nombre]]</f>
        <v>0:Alfonso Zorrilla</v>
      </c>
      <c r="I1475" t="str">
        <f>+dHdcp[[#This Row],[Maximo]]&amp;":"&amp;_xlfn.XLOOKUP(dHdcp[[#This Row],[Nombre]],dJugador[Nombre],dJugador[Mote],"",0)</f>
        <v>0:A Zorrilla</v>
      </c>
      <c r="J1475" t="str">
        <f>+IF(dHdcp[[#This Row],[Maximo]]=0,"",_xlfn.RANK.EQ(dHdcp[[#This Row],[Handicap]],dHdcp[Handicap],1))</f>
        <v/>
      </c>
      <c r="K1475" t="str">
        <f>IFERROR(+_xlfn.RANK.EQ(dHdcp[[#This Row],[Ranking]],dHdcp[Ranking],1),"")</f>
        <v/>
      </c>
      <c r="M1475" t="str">
        <f>+dHdcp[[#This Row],[Fecha]]&amp;":"&amp;dHdcp[[#This Row],[Nombre]]</f>
        <v>44976:Alfonso Zorrilla</v>
      </c>
      <c r="N1475">
        <f>+COUNTIF(dHdcp[Columna1],dHdcp[[#This Row],[Columna1]])</f>
        <v>1</v>
      </c>
    </row>
    <row r="1476" spans="1:14">
      <c r="A1476" s="2">
        <v>44976</v>
      </c>
      <c r="B1476" s="13" t="s">
        <v>15</v>
      </c>
      <c r="C1476" s="51">
        <v>6.1</v>
      </c>
      <c r="D1476">
        <f>+VLOOKUP(dHdcp[[#This Row],[Handicap]],'Categoría Hdcap'!$B$2:$E$7,4)</f>
        <v>2</v>
      </c>
      <c r="E1476" t="s">
        <v>74</v>
      </c>
      <c r="F1476" t="s">
        <v>1942</v>
      </c>
      <c r="G1476">
        <f>+IF(dHdcp[[#This Row],[Fecha]]=MAX(dHdcp[Fecha]),1,0)</f>
        <v>0</v>
      </c>
      <c r="H1476" t="str">
        <f>+dHdcp[[#This Row],[Maximo]]&amp;":"&amp;dHdcp[[#This Row],[Nombre]]</f>
        <v>0:Alvaro Aguirre</v>
      </c>
      <c r="I1476" t="str">
        <f>+dHdcp[[#This Row],[Maximo]]&amp;":"&amp;_xlfn.XLOOKUP(dHdcp[[#This Row],[Nombre]],dJugador[Nombre],dJugador[Mote],"",0)</f>
        <v>0:Gifu</v>
      </c>
      <c r="J1476" t="str">
        <f>+IF(dHdcp[[#This Row],[Maximo]]=0,"",_xlfn.RANK.EQ(dHdcp[[#This Row],[Handicap]],dHdcp[Handicap],1))</f>
        <v/>
      </c>
      <c r="K1476" t="str">
        <f>IFERROR(+_xlfn.RANK.EQ(dHdcp[[#This Row],[Ranking]],dHdcp[Ranking],1),"")</f>
        <v/>
      </c>
      <c r="M1476" t="str">
        <f>+dHdcp[[#This Row],[Fecha]]&amp;":"&amp;dHdcp[[#This Row],[Nombre]]</f>
        <v>44976:Alvaro Aguirre</v>
      </c>
      <c r="N1476">
        <f>+COUNTIF(dHdcp[Columna1],dHdcp[[#This Row],[Columna1]])</f>
        <v>1</v>
      </c>
    </row>
    <row r="1477" spans="1:14">
      <c r="A1477" s="2">
        <v>44976</v>
      </c>
      <c r="B1477" t="s">
        <v>201</v>
      </c>
      <c r="C1477" s="51">
        <v>9.4</v>
      </c>
      <c r="D1477">
        <f>+VLOOKUP(dHdcp[[#This Row],[Handicap]],'Categoría Hdcap'!$B$2:$E$7,4)</f>
        <v>2</v>
      </c>
      <c r="E1477" t="s">
        <v>74</v>
      </c>
      <c r="F1477" t="s">
        <v>1943</v>
      </c>
      <c r="G1477">
        <f>+IF(dHdcp[[#This Row],[Fecha]]=MAX(dHdcp[Fecha]),1,0)</f>
        <v>0</v>
      </c>
      <c r="H1477" t="str">
        <f>+dHdcp[[#This Row],[Maximo]]&amp;":"&amp;dHdcp[[#This Row],[Nombre]]</f>
        <v>0:Alvaro Montoya</v>
      </c>
      <c r="I1477" t="str">
        <f>+dHdcp[[#This Row],[Maximo]]&amp;":"&amp;_xlfn.XLOOKUP(dHdcp[[#This Row],[Nombre]],dJugador[Nombre],dJugador[Mote],"",0)</f>
        <v>0:Monti</v>
      </c>
      <c r="J1477" t="str">
        <f>+IF(dHdcp[[#This Row],[Maximo]]=0,"",_xlfn.RANK.EQ(dHdcp[[#This Row],[Handicap]],dHdcp[Handicap],1))</f>
        <v/>
      </c>
      <c r="K1477" t="str">
        <f>IFERROR(+_xlfn.RANK.EQ(dHdcp[[#This Row],[Ranking]],dHdcp[Ranking],1),"")</f>
        <v/>
      </c>
      <c r="M1477" t="str">
        <f>+dHdcp[[#This Row],[Fecha]]&amp;":"&amp;dHdcp[[#This Row],[Nombre]]</f>
        <v>44976:Alvaro Montoya</v>
      </c>
      <c r="N1477">
        <f>+COUNTIF(dHdcp[Columna1],dHdcp[[#This Row],[Columna1]])</f>
        <v>1</v>
      </c>
    </row>
    <row r="1478" spans="1:14">
      <c r="A1478" s="2">
        <v>44976</v>
      </c>
      <c r="B1478" t="s">
        <v>25</v>
      </c>
      <c r="C1478" s="51">
        <v>12.3</v>
      </c>
      <c r="D1478">
        <f>+VLOOKUP(dHdcp[[#This Row],[Handicap]],'Categoría Hdcap'!$B$2:$E$7,4)</f>
        <v>3</v>
      </c>
      <c r="E1478" t="s">
        <v>74</v>
      </c>
      <c r="F1478" t="s">
        <v>1944</v>
      </c>
      <c r="G1478">
        <f>+IF(dHdcp[[#This Row],[Fecha]]=MAX(dHdcp[Fecha]),1,0)</f>
        <v>0</v>
      </c>
      <c r="H1478" t="str">
        <f>+dHdcp[[#This Row],[Maximo]]&amp;":"&amp;dHdcp[[#This Row],[Nombre]]</f>
        <v>0:Alvaro Nieto</v>
      </c>
      <c r="I1478" t="str">
        <f>+dHdcp[[#This Row],[Maximo]]&amp;":"&amp;_xlfn.XLOOKUP(dHdcp[[#This Row],[Nombre]],dJugador[Nombre],dJugador[Mote],"",0)</f>
        <v>0:Alvaro</v>
      </c>
      <c r="J1478" t="str">
        <f>+IF(dHdcp[[#This Row],[Maximo]]=0,"",_xlfn.RANK.EQ(dHdcp[[#This Row],[Handicap]],dHdcp[Handicap],1))</f>
        <v/>
      </c>
      <c r="K1478" t="str">
        <f>IFERROR(+_xlfn.RANK.EQ(dHdcp[[#This Row],[Ranking]],dHdcp[Ranking],1),"")</f>
        <v/>
      </c>
      <c r="M1478" t="str">
        <f>+dHdcp[[#This Row],[Fecha]]&amp;":"&amp;dHdcp[[#This Row],[Nombre]]</f>
        <v>44976:Alvaro Nieto</v>
      </c>
      <c r="N1478">
        <f>+COUNTIF(dHdcp[Columna1],dHdcp[[#This Row],[Columna1]])</f>
        <v>1</v>
      </c>
    </row>
    <row r="1479" spans="1:14">
      <c r="A1479" s="2">
        <v>44976</v>
      </c>
      <c r="B1479" t="s">
        <v>33</v>
      </c>
      <c r="C1479" s="51">
        <v>7.2</v>
      </c>
      <c r="D1479">
        <f>+VLOOKUP(dHdcp[[#This Row],[Handicap]],'Categoría Hdcap'!$B$2:$E$7,4)</f>
        <v>2</v>
      </c>
      <c r="E1479" t="s">
        <v>74</v>
      </c>
      <c r="F1479" t="s">
        <v>1945</v>
      </c>
      <c r="G1479">
        <f>+IF(dHdcp[[#This Row],[Fecha]]=MAX(dHdcp[Fecha]),1,0)</f>
        <v>0</v>
      </c>
      <c r="H1479" t="str">
        <f>+dHdcp[[#This Row],[Maximo]]&amp;":"&amp;dHdcp[[#This Row],[Nombre]]</f>
        <v>0:Angel Hernandez</v>
      </c>
      <c r="I1479" t="str">
        <f>+dHdcp[[#This Row],[Maximo]]&amp;":"&amp;_xlfn.XLOOKUP(dHdcp[[#This Row],[Nombre]],dJugador[Nombre],dJugador[Mote],"",0)</f>
        <v>0:Angel</v>
      </c>
      <c r="J1479" t="str">
        <f>+IF(dHdcp[[#This Row],[Maximo]]=0,"",_xlfn.RANK.EQ(dHdcp[[#This Row],[Handicap]],dHdcp[Handicap],1))</f>
        <v/>
      </c>
      <c r="K1479" t="str">
        <f>IFERROR(+_xlfn.RANK.EQ(dHdcp[[#This Row],[Ranking]],dHdcp[Ranking],1),"")</f>
        <v/>
      </c>
      <c r="M1479" t="str">
        <f>+dHdcp[[#This Row],[Fecha]]&amp;":"&amp;dHdcp[[#This Row],[Nombre]]</f>
        <v>44976:Angel Hernandez</v>
      </c>
      <c r="N1479">
        <f>+COUNTIF(dHdcp[Columna1],dHdcp[[#This Row],[Columna1]])</f>
        <v>1</v>
      </c>
    </row>
    <row r="1480" spans="1:14">
      <c r="A1480" s="2">
        <v>44976</v>
      </c>
      <c r="B1480" t="s">
        <v>264</v>
      </c>
      <c r="C1480" s="51">
        <v>18.899999999999999</v>
      </c>
      <c r="D1480">
        <f>+VLOOKUP(dHdcp[[#This Row],[Handicap]],'Categoría Hdcap'!$B$2:$E$7,4)</f>
        <v>4</v>
      </c>
      <c r="E1480" t="s">
        <v>74</v>
      </c>
      <c r="F1480" t="s">
        <v>1946</v>
      </c>
      <c r="G1480">
        <f>+IF(dHdcp[[#This Row],[Fecha]]=MAX(dHdcp[Fecha]),1,0)</f>
        <v>0</v>
      </c>
      <c r="H1480" t="str">
        <f>+dHdcp[[#This Row],[Maximo]]&amp;":"&amp;dHdcp[[#This Row],[Nombre]]</f>
        <v>0:Antonio Carmona</v>
      </c>
      <c r="I1480" t="str">
        <f>+dHdcp[[#This Row],[Maximo]]&amp;":"&amp;_xlfn.XLOOKUP(dHdcp[[#This Row],[Nombre]],dJugador[Nombre],dJugador[Mote],"",0)</f>
        <v>0:Antonio</v>
      </c>
      <c r="J1480" t="str">
        <f>+IF(dHdcp[[#This Row],[Maximo]]=0,"",_xlfn.RANK.EQ(dHdcp[[#This Row],[Handicap]],dHdcp[Handicap],1))</f>
        <v/>
      </c>
      <c r="K1480" t="str">
        <f>IFERROR(+_xlfn.RANK.EQ(dHdcp[[#This Row],[Ranking]],dHdcp[Ranking],1),"")</f>
        <v/>
      </c>
      <c r="M1480" t="str">
        <f>+dHdcp[[#This Row],[Fecha]]&amp;":"&amp;dHdcp[[#This Row],[Nombre]]</f>
        <v>44976:Antonio Carmona</v>
      </c>
      <c r="N1480">
        <f>+COUNTIF(dHdcp[Columna1],dHdcp[[#This Row],[Columna1]])</f>
        <v>1</v>
      </c>
    </row>
    <row r="1481" spans="1:14">
      <c r="A1481" s="2">
        <v>44976</v>
      </c>
      <c r="B1481" s="13" t="s">
        <v>290</v>
      </c>
      <c r="C1481" s="42">
        <v>26.6</v>
      </c>
      <c r="D1481">
        <f>+VLOOKUP(dHdcp[[#This Row],[Handicap]],'Categoría Hdcap'!$B$2:$E$7,4)</f>
        <v>5</v>
      </c>
      <c r="E1481" t="s">
        <v>74</v>
      </c>
      <c r="F1481" t="s">
        <v>1947</v>
      </c>
      <c r="G1481">
        <f>+IF(dHdcp[[#This Row],[Fecha]]=MAX(dHdcp[Fecha]),1,0)</f>
        <v>0</v>
      </c>
      <c r="H1481" t="str">
        <f>+dHdcp[[#This Row],[Maximo]]&amp;":"&amp;dHdcp[[#This Row],[Nombre]]</f>
        <v>0:Carlos Hijas</v>
      </c>
      <c r="I1481" t="str">
        <f>+dHdcp[[#This Row],[Maximo]]&amp;":"&amp;_xlfn.XLOOKUP(dHdcp[[#This Row],[Nombre]],dJugador[Nombre],dJugador[Mote],"",0)</f>
        <v>0:Hijas</v>
      </c>
      <c r="J1481" t="str">
        <f>+IF(dHdcp[[#This Row],[Maximo]]=0,"",_xlfn.RANK.EQ(dHdcp[[#This Row],[Handicap]],dHdcp[Handicap],1))</f>
        <v/>
      </c>
      <c r="K1481" t="str">
        <f>IFERROR(+_xlfn.RANK.EQ(dHdcp[[#This Row],[Ranking]],dHdcp[Ranking],1),"")</f>
        <v/>
      </c>
      <c r="M1481" t="str">
        <f>+dHdcp[[#This Row],[Fecha]]&amp;":"&amp;dHdcp[[#This Row],[Nombre]]</f>
        <v>44976:Carlos Hijas</v>
      </c>
      <c r="N1481">
        <f>+COUNTIF(dHdcp[Columna1],dHdcp[[#This Row],[Columna1]])</f>
        <v>1</v>
      </c>
    </row>
    <row r="1482" spans="1:14">
      <c r="A1482" s="2">
        <v>44976</v>
      </c>
      <c r="B1482" s="13" t="s">
        <v>291</v>
      </c>
      <c r="C1482" s="42">
        <v>1.5</v>
      </c>
      <c r="D1482">
        <f>+VLOOKUP(dHdcp[[#This Row],[Handicap]],'Categoría Hdcap'!$B$2:$E$7,4)</f>
        <v>1</v>
      </c>
      <c r="E1482" t="s">
        <v>74</v>
      </c>
      <c r="F1482" t="s">
        <v>1948</v>
      </c>
      <c r="G1482">
        <f>+IF(dHdcp[[#This Row],[Fecha]]=MAX(dHdcp[Fecha]),1,0)</f>
        <v>0</v>
      </c>
      <c r="H1482" t="str">
        <f>+dHdcp[[#This Row],[Maximo]]&amp;":"&amp;dHdcp[[#This Row],[Nombre]]</f>
        <v>0:Carlos Maestro</v>
      </c>
      <c r="I1482" t="str">
        <f>+dHdcp[[#This Row],[Maximo]]&amp;":"&amp;_xlfn.XLOOKUP(dHdcp[[#This Row],[Nombre]],dJugador[Nombre],dJugador[Mote],"",0)</f>
        <v>0:Carlitos</v>
      </c>
      <c r="J1482" t="str">
        <f>+IF(dHdcp[[#This Row],[Maximo]]=0,"",_xlfn.RANK.EQ(dHdcp[[#This Row],[Handicap]],dHdcp[Handicap],1))</f>
        <v/>
      </c>
      <c r="K1482" t="str">
        <f>IFERROR(+_xlfn.RANK.EQ(dHdcp[[#This Row],[Ranking]],dHdcp[Ranking],1),"")</f>
        <v/>
      </c>
      <c r="M1482" t="str">
        <f>+dHdcp[[#This Row],[Fecha]]&amp;":"&amp;dHdcp[[#This Row],[Nombre]]</f>
        <v>44976:Carlos Maestro</v>
      </c>
      <c r="N1482">
        <f>+COUNTIF(dHdcp[Columna1],dHdcp[[#This Row],[Columna1]])</f>
        <v>1</v>
      </c>
    </row>
    <row r="1483" spans="1:14">
      <c r="A1483" s="2">
        <v>44976</v>
      </c>
      <c r="B1483" t="s">
        <v>30</v>
      </c>
      <c r="C1483" s="51">
        <v>10.4</v>
      </c>
      <c r="D1483">
        <f>+VLOOKUP(dHdcp[[#This Row],[Handicap]],'Categoría Hdcap'!$B$2:$E$7,4)</f>
        <v>2</v>
      </c>
      <c r="E1483" t="s">
        <v>74</v>
      </c>
      <c r="F1483" t="s">
        <v>1949</v>
      </c>
      <c r="G1483">
        <f>+IF(dHdcp[[#This Row],[Fecha]]=MAX(dHdcp[Fecha]),1,0)</f>
        <v>0</v>
      </c>
      <c r="H1483" t="str">
        <f>+dHdcp[[#This Row],[Maximo]]&amp;":"&amp;dHdcp[[#This Row],[Nombre]]</f>
        <v>0:David Sequera</v>
      </c>
      <c r="I1483" t="str">
        <f>+dHdcp[[#This Row],[Maximo]]&amp;":"&amp;_xlfn.XLOOKUP(dHdcp[[#This Row],[Nombre]],dJugador[Nombre],dJugador[Mote],"",0)</f>
        <v>0:David</v>
      </c>
      <c r="J1483" t="str">
        <f>+IF(dHdcp[[#This Row],[Maximo]]=0,"",_xlfn.RANK.EQ(dHdcp[[#This Row],[Handicap]],dHdcp[Handicap],1))</f>
        <v/>
      </c>
      <c r="K1483" t="str">
        <f>IFERROR(+_xlfn.RANK.EQ(dHdcp[[#This Row],[Ranking]],dHdcp[Ranking],1),"")</f>
        <v/>
      </c>
      <c r="M1483" t="str">
        <f>+dHdcp[[#This Row],[Fecha]]&amp;":"&amp;dHdcp[[#This Row],[Nombre]]</f>
        <v>44976:David Sequera</v>
      </c>
      <c r="N1483">
        <f>+COUNTIF(dHdcp[Columna1],dHdcp[[#This Row],[Columna1]])</f>
        <v>1</v>
      </c>
    </row>
    <row r="1484" spans="1:14">
      <c r="A1484" s="2">
        <v>44976</v>
      </c>
      <c r="B1484" t="s">
        <v>326</v>
      </c>
      <c r="C1484" s="51">
        <v>36</v>
      </c>
      <c r="D1484">
        <f>+VLOOKUP(dHdcp[[#This Row],[Handicap]],'Categoría Hdcap'!$B$2:$E$7,4)</f>
        <v>5</v>
      </c>
      <c r="E1484" t="s">
        <v>74</v>
      </c>
      <c r="F1484" t="s">
        <v>1950</v>
      </c>
      <c r="G1484">
        <f>+IF(dHdcp[[#This Row],[Fecha]]=MAX(dHdcp[Fecha]),1,0)</f>
        <v>0</v>
      </c>
      <c r="H1484" t="str">
        <f>+dHdcp[[#This Row],[Maximo]]&amp;":"&amp;dHdcp[[#This Row],[Nombre]]</f>
        <v>0:Eduardo Buendía</v>
      </c>
      <c r="I1484" t="str">
        <f>+dHdcp[[#This Row],[Maximo]]&amp;":"&amp;_xlfn.XLOOKUP(dHdcp[[#This Row],[Nombre]],dJugador[Nombre],dJugador[Mote],"",0)</f>
        <v>0:Eduardo</v>
      </c>
      <c r="J1484" t="str">
        <f>+IF(dHdcp[[#This Row],[Maximo]]=0,"",_xlfn.RANK.EQ(dHdcp[[#This Row],[Handicap]],dHdcp[Handicap],1))</f>
        <v/>
      </c>
      <c r="K1484" t="str">
        <f>IFERROR(+_xlfn.RANK.EQ(dHdcp[[#This Row],[Ranking]],dHdcp[Ranking],1),"")</f>
        <v/>
      </c>
      <c r="M1484" t="str">
        <f>+dHdcp[[#This Row],[Fecha]]&amp;":"&amp;dHdcp[[#This Row],[Nombre]]</f>
        <v>44976:Eduardo Buendía</v>
      </c>
      <c r="N1484">
        <f>+COUNTIF(dHdcp[Columna1],dHdcp[[#This Row],[Columna1]])</f>
        <v>1</v>
      </c>
    </row>
    <row r="1485" spans="1:14">
      <c r="A1485" s="2">
        <v>44976</v>
      </c>
      <c r="B1485" t="s">
        <v>341</v>
      </c>
      <c r="C1485" s="51">
        <v>16.899999999999999</v>
      </c>
      <c r="D1485">
        <f>+VLOOKUP(dHdcp[[#This Row],[Handicap]],'Categoría Hdcap'!$B$2:$E$7,4)</f>
        <v>3</v>
      </c>
      <c r="E1485" t="s">
        <v>74</v>
      </c>
      <c r="F1485" t="s">
        <v>1951</v>
      </c>
      <c r="G1485">
        <f>+IF(dHdcp[[#This Row],[Fecha]]=MAX(dHdcp[Fecha]),1,0)</f>
        <v>0</v>
      </c>
      <c r="H1485" t="str">
        <f>+dHdcp[[#This Row],[Maximo]]&amp;":"&amp;dHdcp[[#This Row],[Nombre]]</f>
        <v>0:Emiliano Buendía</v>
      </c>
      <c r="I1485" t="str">
        <f>+dHdcp[[#This Row],[Maximo]]&amp;":"&amp;_xlfn.XLOOKUP(dHdcp[[#This Row],[Nombre]],dJugador[Nombre],dJugador[Mote],"",0)</f>
        <v>0:Emi</v>
      </c>
      <c r="J1485" t="str">
        <f>+IF(dHdcp[[#This Row],[Maximo]]=0,"",_xlfn.RANK.EQ(dHdcp[[#This Row],[Handicap]],dHdcp[Handicap],1))</f>
        <v/>
      </c>
      <c r="K1485" t="str">
        <f>IFERROR(+_xlfn.RANK.EQ(dHdcp[[#This Row],[Ranking]],dHdcp[Ranking],1),"")</f>
        <v/>
      </c>
      <c r="M1485" t="str">
        <f>+dHdcp[[#This Row],[Fecha]]&amp;":"&amp;dHdcp[[#This Row],[Nombre]]</f>
        <v>44976:Emiliano Buendía</v>
      </c>
      <c r="N1485">
        <f>+COUNTIF(dHdcp[Columna1],dHdcp[[#This Row],[Columna1]])</f>
        <v>1</v>
      </c>
    </row>
    <row r="1486" spans="1:14">
      <c r="A1486" s="2">
        <v>44976</v>
      </c>
      <c r="B1486" s="83" t="s">
        <v>248</v>
      </c>
      <c r="C1486" s="84">
        <v>12.7</v>
      </c>
      <c r="D1486">
        <f>+VLOOKUP(dHdcp[[#This Row],[Handicap]],'Categoría Hdcap'!$B$2:$E$7,4)</f>
        <v>3</v>
      </c>
      <c r="E1486" t="s">
        <v>74</v>
      </c>
      <c r="F1486" t="s">
        <v>1952</v>
      </c>
      <c r="G1486">
        <f>+IF(dHdcp[[#This Row],[Fecha]]=MAX(dHdcp[Fecha]),1,0)</f>
        <v>0</v>
      </c>
      <c r="H1486" t="str">
        <f>+dHdcp[[#This Row],[Maximo]]&amp;":"&amp;dHdcp[[#This Row],[Nombre]]</f>
        <v>0:Enrique Gonzalez R</v>
      </c>
      <c r="I1486" t="str">
        <f>+dHdcp[[#This Row],[Maximo]]&amp;":"&amp;_xlfn.XLOOKUP(dHdcp[[#This Row],[Nombre]],dJugador[Nombre],dJugador[Mote],"",0)</f>
        <v>0:Enrique</v>
      </c>
      <c r="J1486" t="str">
        <f>+IF(dHdcp[[#This Row],[Maximo]]=0,"",_xlfn.RANK.EQ(dHdcp[[#This Row],[Handicap]],dHdcp[Handicap],1))</f>
        <v/>
      </c>
      <c r="K1486" t="str">
        <f>IFERROR(+_xlfn.RANK.EQ(dHdcp[[#This Row],[Ranking]],dHdcp[Ranking],1),"")</f>
        <v/>
      </c>
      <c r="M1486" t="str">
        <f>+dHdcp[[#This Row],[Fecha]]&amp;":"&amp;dHdcp[[#This Row],[Nombre]]</f>
        <v>44976:Enrique Gonzalez R</v>
      </c>
      <c r="N1486">
        <f>+COUNTIF(dHdcp[Columna1],dHdcp[[#This Row],[Columna1]])</f>
        <v>1</v>
      </c>
    </row>
    <row r="1487" spans="1:14">
      <c r="A1487" s="2">
        <v>44976</v>
      </c>
      <c r="B1487" t="s">
        <v>12</v>
      </c>
      <c r="C1487" s="51">
        <v>14.7</v>
      </c>
      <c r="D1487">
        <f>+VLOOKUP(dHdcp[[#This Row],[Handicap]],'Categoría Hdcap'!$B$2:$E$7,4)</f>
        <v>3</v>
      </c>
      <c r="E1487" t="s">
        <v>74</v>
      </c>
      <c r="F1487" t="s">
        <v>1953</v>
      </c>
      <c r="G1487">
        <f>+IF(dHdcp[[#This Row],[Fecha]]=MAX(dHdcp[Fecha]),1,0)</f>
        <v>0</v>
      </c>
      <c r="H1487" t="str">
        <f>+dHdcp[[#This Row],[Maximo]]&amp;":"&amp;dHdcp[[#This Row],[Nombre]]</f>
        <v>0:Francisco Alvarez</v>
      </c>
      <c r="I1487" t="str">
        <f>+dHdcp[[#This Row],[Maximo]]&amp;":"&amp;_xlfn.XLOOKUP(dHdcp[[#This Row],[Nombre]],dJugador[Nombre],dJugador[Mote],"",0)</f>
        <v>0:Paco</v>
      </c>
      <c r="J1487" t="str">
        <f>+IF(dHdcp[[#This Row],[Maximo]]=0,"",_xlfn.RANK.EQ(dHdcp[[#This Row],[Handicap]],dHdcp[Handicap],1))</f>
        <v/>
      </c>
      <c r="K1487" t="str">
        <f>IFERROR(+_xlfn.RANK.EQ(dHdcp[[#This Row],[Ranking]],dHdcp[Ranking],1),"")</f>
        <v/>
      </c>
      <c r="M1487" t="str">
        <f>+dHdcp[[#This Row],[Fecha]]&amp;":"&amp;dHdcp[[#This Row],[Nombre]]</f>
        <v>44976:Francisco Alvarez</v>
      </c>
      <c r="N1487">
        <f>+COUNTIF(dHdcp[Columna1],dHdcp[[#This Row],[Columna1]])</f>
        <v>1</v>
      </c>
    </row>
    <row r="1488" spans="1:14">
      <c r="A1488" s="2">
        <v>44976</v>
      </c>
      <c r="B1488" t="s">
        <v>49</v>
      </c>
      <c r="C1488" s="51">
        <v>11.9</v>
      </c>
      <c r="D1488">
        <f>+VLOOKUP(dHdcp[[#This Row],[Handicap]],'Categoría Hdcap'!$B$2:$E$7,4)</f>
        <v>3</v>
      </c>
      <c r="E1488" t="s">
        <v>74</v>
      </c>
      <c r="F1488" t="s">
        <v>1954</v>
      </c>
      <c r="G1488">
        <f>+IF(dHdcp[[#This Row],[Fecha]]=MAX(dHdcp[Fecha]),1,0)</f>
        <v>0</v>
      </c>
      <c r="H1488" t="str">
        <f>+dHdcp[[#This Row],[Maximo]]&amp;":"&amp;dHdcp[[#This Row],[Nombre]]</f>
        <v>0:Francisco Hidalgo</v>
      </c>
      <c r="I1488" t="str">
        <f>+dHdcp[[#This Row],[Maximo]]&amp;":"&amp;_xlfn.XLOOKUP(dHdcp[[#This Row],[Nombre]],dJugador[Nombre],dJugador[Mote],"",0)</f>
        <v>0:Fran</v>
      </c>
      <c r="J1488" t="str">
        <f>+IF(dHdcp[[#This Row],[Maximo]]=0,"",_xlfn.RANK.EQ(dHdcp[[#This Row],[Handicap]],dHdcp[Handicap],1))</f>
        <v/>
      </c>
      <c r="K1488" t="str">
        <f>IFERROR(+_xlfn.RANK.EQ(dHdcp[[#This Row],[Ranking]],dHdcp[Ranking],1),"")</f>
        <v/>
      </c>
      <c r="M1488" t="str">
        <f>+dHdcp[[#This Row],[Fecha]]&amp;":"&amp;dHdcp[[#This Row],[Nombre]]</f>
        <v>44976:Francisco Hidalgo</v>
      </c>
      <c r="N1488">
        <f>+COUNTIF(dHdcp[Columna1],dHdcp[[#This Row],[Columna1]])</f>
        <v>1</v>
      </c>
    </row>
    <row r="1489" spans="1:14">
      <c r="A1489" s="2">
        <v>44976</v>
      </c>
      <c r="B1489" t="s">
        <v>207</v>
      </c>
      <c r="C1489" s="51">
        <v>14.5</v>
      </c>
      <c r="D1489">
        <f>+VLOOKUP(dHdcp[[#This Row],[Handicap]],'Categoría Hdcap'!$B$2:$E$7,4)</f>
        <v>3</v>
      </c>
      <c r="E1489" t="s">
        <v>74</v>
      </c>
      <c r="F1489" t="s">
        <v>1955</v>
      </c>
      <c r="G1489">
        <f>+IF(dHdcp[[#This Row],[Fecha]]=MAX(dHdcp[Fecha]),1,0)</f>
        <v>0</v>
      </c>
      <c r="H1489" t="str">
        <f>+dHdcp[[#This Row],[Maximo]]&amp;":"&amp;dHdcp[[#This Row],[Nombre]]</f>
        <v>0:Franck Benouniche</v>
      </c>
      <c r="I1489" t="str">
        <f>+dHdcp[[#This Row],[Maximo]]&amp;":"&amp;_xlfn.XLOOKUP(dHdcp[[#This Row],[Nombre]],dJugador[Nombre],dJugador[Mote],"",0)</f>
        <v>0:Franck</v>
      </c>
      <c r="J1489" t="str">
        <f>+IF(dHdcp[[#This Row],[Maximo]]=0,"",_xlfn.RANK.EQ(dHdcp[[#This Row],[Handicap]],dHdcp[Handicap],1))</f>
        <v/>
      </c>
      <c r="K1489" t="str">
        <f>IFERROR(+_xlfn.RANK.EQ(dHdcp[[#This Row],[Ranking]],dHdcp[Ranking],1),"")</f>
        <v/>
      </c>
      <c r="M1489" t="str">
        <f>+dHdcp[[#This Row],[Fecha]]&amp;":"&amp;dHdcp[[#This Row],[Nombre]]</f>
        <v>44976:Franck Benouniche</v>
      </c>
      <c r="N1489">
        <f>+COUNTIF(dHdcp[Columna1],dHdcp[[#This Row],[Columna1]])</f>
        <v>1</v>
      </c>
    </row>
    <row r="1490" spans="1:14">
      <c r="A1490" s="2">
        <v>44976</v>
      </c>
      <c r="B1490" t="s">
        <v>35</v>
      </c>
      <c r="C1490" s="51">
        <v>18</v>
      </c>
      <c r="D1490">
        <f>+VLOOKUP(dHdcp[[#This Row],[Handicap]],'Categoría Hdcap'!$B$2:$E$7,4)</f>
        <v>3</v>
      </c>
      <c r="E1490" t="s">
        <v>74</v>
      </c>
      <c r="F1490" t="s">
        <v>1956</v>
      </c>
      <c r="G1490">
        <f>+IF(dHdcp[[#This Row],[Fecha]]=MAX(dHdcp[Fecha]),1,0)</f>
        <v>0</v>
      </c>
      <c r="H1490" t="str">
        <f>+dHdcp[[#This Row],[Maximo]]&amp;":"&amp;dHdcp[[#This Row],[Nombre]]</f>
        <v>0:GLEZ JUAN JOSÉ</v>
      </c>
      <c r="I1490" t="str">
        <f>+dHdcp[[#This Row],[Maximo]]&amp;":"&amp;_xlfn.XLOOKUP(dHdcp[[#This Row],[Nombre]],dJugador[Nombre],dJugador[Mote],"",0)</f>
        <v>0:Juanjo</v>
      </c>
      <c r="J1490" t="str">
        <f>+IF(dHdcp[[#This Row],[Maximo]]=0,"",_xlfn.RANK.EQ(dHdcp[[#This Row],[Handicap]],dHdcp[Handicap],1))</f>
        <v/>
      </c>
      <c r="K1490" t="str">
        <f>IFERROR(+_xlfn.RANK.EQ(dHdcp[[#This Row],[Ranking]],dHdcp[Ranking],1),"")</f>
        <v/>
      </c>
      <c r="M1490" t="str">
        <f>+dHdcp[[#This Row],[Fecha]]&amp;":"&amp;dHdcp[[#This Row],[Nombre]]</f>
        <v>44976:GLEZ JUAN JOSÉ</v>
      </c>
      <c r="N1490">
        <f>+COUNTIF(dHdcp[Columna1],dHdcp[[#This Row],[Columna1]])</f>
        <v>1</v>
      </c>
    </row>
    <row r="1491" spans="1:14">
      <c r="A1491" s="2">
        <v>44976</v>
      </c>
      <c r="B1491" t="s">
        <v>6</v>
      </c>
      <c r="C1491" s="51">
        <v>8.6999999999999993</v>
      </c>
      <c r="D1491">
        <f>+VLOOKUP(dHdcp[[#This Row],[Handicap]],'Categoría Hdcap'!$B$2:$E$7,4)</f>
        <v>2</v>
      </c>
      <c r="E1491" t="s">
        <v>74</v>
      </c>
      <c r="F1491" t="s">
        <v>1957</v>
      </c>
      <c r="G1491">
        <f>+IF(dHdcp[[#This Row],[Fecha]]=MAX(dHdcp[Fecha]),1,0)</f>
        <v>0</v>
      </c>
      <c r="H1491" t="str">
        <f>+dHdcp[[#This Row],[Maximo]]&amp;":"&amp;dHdcp[[#This Row],[Nombre]]</f>
        <v>0:Ignacio Cadarso</v>
      </c>
      <c r="I1491" t="str">
        <f>+dHdcp[[#This Row],[Maximo]]&amp;":"&amp;_xlfn.XLOOKUP(dHdcp[[#This Row],[Nombre]],dJugador[Nombre],dJugador[Mote],"",0)</f>
        <v>0:Ignacio</v>
      </c>
      <c r="J1491" t="str">
        <f>+IF(dHdcp[[#This Row],[Maximo]]=0,"",_xlfn.RANK.EQ(dHdcp[[#This Row],[Handicap]],dHdcp[Handicap],1))</f>
        <v/>
      </c>
      <c r="K1491" t="str">
        <f>IFERROR(+_xlfn.RANK.EQ(dHdcp[[#This Row],[Ranking]],dHdcp[Ranking],1),"")</f>
        <v/>
      </c>
      <c r="M1491" t="str">
        <f>+dHdcp[[#This Row],[Fecha]]&amp;":"&amp;dHdcp[[#This Row],[Nombre]]</f>
        <v>44976:Ignacio Cadarso</v>
      </c>
      <c r="N1491">
        <f>+COUNTIF(dHdcp[Columna1],dHdcp[[#This Row],[Columna1]])</f>
        <v>1</v>
      </c>
    </row>
    <row r="1492" spans="1:14">
      <c r="A1492" s="2">
        <v>44976</v>
      </c>
      <c r="B1492" t="s">
        <v>298</v>
      </c>
      <c r="C1492" s="51">
        <v>23.7</v>
      </c>
      <c r="D1492">
        <f>+VLOOKUP(dHdcp[[#This Row],[Handicap]],'Categoría Hdcap'!$B$2:$E$7,4)</f>
        <v>4</v>
      </c>
      <c r="E1492" t="s">
        <v>74</v>
      </c>
      <c r="F1492" t="s">
        <v>1958</v>
      </c>
      <c r="G1492">
        <f>+IF(dHdcp[[#This Row],[Fecha]]=MAX(dHdcp[Fecha]),1,0)</f>
        <v>0</v>
      </c>
      <c r="H1492" t="str">
        <f>+dHdcp[[#This Row],[Maximo]]&amp;":"&amp;dHdcp[[#This Row],[Nombre]]</f>
        <v>0:Ignacio Gracia Charlez</v>
      </c>
      <c r="I1492" t="str">
        <f>+dHdcp[[#This Row],[Maximo]]&amp;":"&amp;_xlfn.XLOOKUP(dHdcp[[#This Row],[Nombre]],dJugador[Nombre],dJugador[Mote],"",0)</f>
        <v>0:I Gracia</v>
      </c>
      <c r="J1492" t="str">
        <f>+IF(dHdcp[[#This Row],[Maximo]]=0,"",_xlfn.RANK.EQ(dHdcp[[#This Row],[Handicap]],dHdcp[Handicap],1))</f>
        <v/>
      </c>
      <c r="K1492" t="str">
        <f>IFERROR(+_xlfn.RANK.EQ(dHdcp[[#This Row],[Ranking]],dHdcp[Ranking],1),"")</f>
        <v/>
      </c>
      <c r="M1492" t="str">
        <f>+dHdcp[[#This Row],[Fecha]]&amp;":"&amp;dHdcp[[#This Row],[Nombre]]</f>
        <v>44976:Ignacio Gracia Charlez</v>
      </c>
      <c r="N1492">
        <f>+COUNTIF(dHdcp[Columna1],dHdcp[[#This Row],[Columna1]])</f>
        <v>1</v>
      </c>
    </row>
    <row r="1493" spans="1:14">
      <c r="A1493" s="2">
        <v>44976</v>
      </c>
      <c r="B1493" t="s">
        <v>23</v>
      </c>
      <c r="C1493" s="51">
        <v>17.5</v>
      </c>
      <c r="D1493">
        <f>+VLOOKUP(dHdcp[[#This Row],[Handicap]],'Categoría Hdcap'!$B$2:$E$7,4)</f>
        <v>3</v>
      </c>
      <c r="E1493" t="s">
        <v>74</v>
      </c>
      <c r="F1493" t="s">
        <v>1959</v>
      </c>
      <c r="G1493">
        <f>+IF(dHdcp[[#This Row],[Fecha]]=MAX(dHdcp[Fecha]),1,0)</f>
        <v>0</v>
      </c>
      <c r="H1493" t="str">
        <f>+dHdcp[[#This Row],[Maximo]]&amp;":"&amp;dHdcp[[#This Row],[Nombre]]</f>
        <v>0:J. Enrique Gonzalez</v>
      </c>
      <c r="I1493" t="str">
        <f>+dHdcp[[#This Row],[Maximo]]&amp;":"&amp;_xlfn.XLOOKUP(dHdcp[[#This Row],[Nombre]],dJugador[Nombre],dJugador[Mote],"",0)</f>
        <v>0:Kike</v>
      </c>
      <c r="J1493" t="str">
        <f>+IF(dHdcp[[#This Row],[Maximo]]=0,"",_xlfn.RANK.EQ(dHdcp[[#This Row],[Handicap]],dHdcp[Handicap],1))</f>
        <v/>
      </c>
      <c r="K1493" t="str">
        <f>IFERROR(+_xlfn.RANK.EQ(dHdcp[[#This Row],[Ranking]],dHdcp[Ranking],1),"")</f>
        <v/>
      </c>
      <c r="M1493" t="str">
        <f>+dHdcp[[#This Row],[Fecha]]&amp;":"&amp;dHdcp[[#This Row],[Nombre]]</f>
        <v>44976:J. Enrique Gonzalez</v>
      </c>
      <c r="N1493">
        <f>+COUNTIF(dHdcp[Columna1],dHdcp[[#This Row],[Columna1]])</f>
        <v>1</v>
      </c>
    </row>
    <row r="1494" spans="1:14">
      <c r="A1494" s="2">
        <v>44976</v>
      </c>
      <c r="B1494" t="s">
        <v>289</v>
      </c>
      <c r="C1494" s="51">
        <v>9.5</v>
      </c>
      <c r="D1494">
        <f>+VLOOKUP(dHdcp[[#This Row],[Handicap]],'Categoría Hdcap'!$B$2:$E$7,4)</f>
        <v>2</v>
      </c>
      <c r="E1494" t="s">
        <v>74</v>
      </c>
      <c r="F1494" t="s">
        <v>1960</v>
      </c>
      <c r="G1494">
        <f>+IF(dHdcp[[#This Row],[Fecha]]=MAX(dHdcp[Fecha]),1,0)</f>
        <v>0</v>
      </c>
      <c r="H1494" t="str">
        <f>+dHdcp[[#This Row],[Maximo]]&amp;":"&amp;dHdcp[[#This Row],[Nombre]]</f>
        <v>0:Jaime Villanueva</v>
      </c>
      <c r="I1494" t="str">
        <f>+dHdcp[[#This Row],[Maximo]]&amp;":"&amp;_xlfn.XLOOKUP(dHdcp[[#This Row],[Nombre]],dJugador[Nombre],dJugador[Mote],"",0)</f>
        <v>0:Villanueva</v>
      </c>
      <c r="J1494" t="str">
        <f>+IF(dHdcp[[#This Row],[Maximo]]=0,"",_xlfn.RANK.EQ(dHdcp[[#This Row],[Handicap]],dHdcp[Handicap],1))</f>
        <v/>
      </c>
      <c r="K1494" t="str">
        <f>IFERROR(+_xlfn.RANK.EQ(dHdcp[[#This Row],[Ranking]],dHdcp[Ranking],1),"")</f>
        <v/>
      </c>
      <c r="M1494" t="str">
        <f>+dHdcp[[#This Row],[Fecha]]&amp;":"&amp;dHdcp[[#This Row],[Nombre]]</f>
        <v>44976:Jaime Villanueva</v>
      </c>
      <c r="N1494">
        <f>+COUNTIF(dHdcp[Columna1],dHdcp[[#This Row],[Columna1]])</f>
        <v>1</v>
      </c>
    </row>
    <row r="1495" spans="1:14">
      <c r="A1495" s="2">
        <v>44976</v>
      </c>
      <c r="B1495" t="s">
        <v>328</v>
      </c>
      <c r="C1495" s="51">
        <v>10.8</v>
      </c>
      <c r="D1495">
        <f>+VLOOKUP(dHdcp[[#This Row],[Handicap]],'Categoría Hdcap'!$B$2:$E$7,4)</f>
        <v>2</v>
      </c>
      <c r="E1495" t="s">
        <v>74</v>
      </c>
      <c r="F1495" t="s">
        <v>1961</v>
      </c>
      <c r="G1495">
        <f>+IF(dHdcp[[#This Row],[Fecha]]=MAX(dHdcp[Fecha]),1,0)</f>
        <v>0</v>
      </c>
      <c r="H1495" t="str">
        <f>+dHdcp[[#This Row],[Maximo]]&amp;":"&amp;dHdcp[[#This Row],[Nombre]]</f>
        <v>0:Javier Arcos</v>
      </c>
      <c r="I1495" t="str">
        <f>+dHdcp[[#This Row],[Maximo]]&amp;":"&amp;_xlfn.XLOOKUP(dHdcp[[#This Row],[Nombre]],dJugador[Nombre],dJugador[Mote],"",0)</f>
        <v>0:J.Arcos</v>
      </c>
      <c r="J1495" t="str">
        <f>+IF(dHdcp[[#This Row],[Maximo]]=0,"",_xlfn.RANK.EQ(dHdcp[[#This Row],[Handicap]],dHdcp[Handicap],1))</f>
        <v/>
      </c>
      <c r="K1495" t="str">
        <f>IFERROR(+_xlfn.RANK.EQ(dHdcp[[#This Row],[Ranking]],dHdcp[Ranking],1),"")</f>
        <v/>
      </c>
      <c r="M1495" t="str">
        <f>+dHdcp[[#This Row],[Fecha]]&amp;":"&amp;dHdcp[[#This Row],[Nombre]]</f>
        <v>44976:Javier Arcos</v>
      </c>
      <c r="N1495">
        <f>+COUNTIF(dHdcp[Columna1],dHdcp[[#This Row],[Columna1]])</f>
        <v>1</v>
      </c>
    </row>
    <row r="1496" spans="1:14">
      <c r="A1496" s="2">
        <v>44976</v>
      </c>
      <c r="B1496" t="s">
        <v>46</v>
      </c>
      <c r="C1496" s="51">
        <v>16.899999999999999</v>
      </c>
      <c r="D1496">
        <f>+VLOOKUP(dHdcp[[#This Row],[Handicap]],'Categoría Hdcap'!$B$2:$E$7,4)</f>
        <v>3</v>
      </c>
      <c r="E1496" t="s">
        <v>74</v>
      </c>
      <c r="F1496" t="s">
        <v>1962</v>
      </c>
      <c r="G1496">
        <f>+IF(dHdcp[[#This Row],[Fecha]]=MAX(dHdcp[Fecha]),1,0)</f>
        <v>0</v>
      </c>
      <c r="H1496" t="str">
        <f>+dHdcp[[#This Row],[Maximo]]&amp;":"&amp;dHdcp[[#This Row],[Nombre]]</f>
        <v>0:Javier Cervera</v>
      </c>
      <c r="I1496" t="str">
        <f>+dHdcp[[#This Row],[Maximo]]&amp;":"&amp;_xlfn.XLOOKUP(dHdcp[[#This Row],[Nombre]],dJugador[Nombre],dJugador[Mote],"",0)</f>
        <v>0:Virus</v>
      </c>
      <c r="J1496" t="str">
        <f>+IF(dHdcp[[#This Row],[Maximo]]=0,"",_xlfn.RANK.EQ(dHdcp[[#This Row],[Handicap]],dHdcp[Handicap],1))</f>
        <v/>
      </c>
      <c r="K1496" t="str">
        <f>IFERROR(+_xlfn.RANK.EQ(dHdcp[[#This Row],[Ranking]],dHdcp[Ranking],1),"")</f>
        <v/>
      </c>
      <c r="M1496" t="str">
        <f>+dHdcp[[#This Row],[Fecha]]&amp;":"&amp;dHdcp[[#This Row],[Nombre]]</f>
        <v>44976:Javier Cervera</v>
      </c>
      <c r="N1496">
        <f>+COUNTIF(dHdcp[Columna1],dHdcp[[#This Row],[Columna1]])</f>
        <v>1</v>
      </c>
    </row>
    <row r="1497" spans="1:14">
      <c r="A1497" s="2">
        <v>44976</v>
      </c>
      <c r="B1497" t="s">
        <v>225</v>
      </c>
      <c r="C1497" s="51">
        <v>11</v>
      </c>
      <c r="D1497">
        <f>+VLOOKUP(dHdcp[[#This Row],[Handicap]],'Categoría Hdcap'!$B$2:$E$7,4)</f>
        <v>2</v>
      </c>
      <c r="E1497" t="s">
        <v>74</v>
      </c>
      <c r="F1497" t="s">
        <v>1963</v>
      </c>
      <c r="G1497">
        <f>+IF(dHdcp[[#This Row],[Fecha]]=MAX(dHdcp[Fecha]),1,0)</f>
        <v>0</v>
      </c>
      <c r="H1497" t="str">
        <f>+dHdcp[[#This Row],[Maximo]]&amp;":"&amp;dHdcp[[#This Row],[Nombre]]</f>
        <v>0:Javier Chiralt</v>
      </c>
      <c r="I1497" t="str">
        <f>+dHdcp[[#This Row],[Maximo]]&amp;":"&amp;_xlfn.XLOOKUP(dHdcp[[#This Row],[Nombre]],dJugador[Nombre],dJugador[Mote],"",0)</f>
        <v>0:Chiralt</v>
      </c>
      <c r="J1497" t="str">
        <f>+IF(dHdcp[[#This Row],[Maximo]]=0,"",_xlfn.RANK.EQ(dHdcp[[#This Row],[Handicap]],dHdcp[Handicap],1))</f>
        <v/>
      </c>
      <c r="K1497" t="str">
        <f>IFERROR(+_xlfn.RANK.EQ(dHdcp[[#This Row],[Ranking]],dHdcp[Ranking],1),"")</f>
        <v/>
      </c>
      <c r="M1497" t="str">
        <f>+dHdcp[[#This Row],[Fecha]]&amp;":"&amp;dHdcp[[#This Row],[Nombre]]</f>
        <v>44976:Javier Chiralt</v>
      </c>
      <c r="N1497">
        <f>+COUNTIF(dHdcp[Columna1],dHdcp[[#This Row],[Columna1]])</f>
        <v>1</v>
      </c>
    </row>
    <row r="1498" spans="1:14">
      <c r="A1498" s="2">
        <v>44976</v>
      </c>
      <c r="B1498" t="s">
        <v>20</v>
      </c>
      <c r="C1498" s="51">
        <v>16.600000000000001</v>
      </c>
      <c r="D1498">
        <f>+VLOOKUP(dHdcp[[#This Row],[Handicap]],'Categoría Hdcap'!$B$2:$E$7,4)</f>
        <v>3</v>
      </c>
      <c r="E1498" t="s">
        <v>74</v>
      </c>
      <c r="F1498" t="s">
        <v>1964</v>
      </c>
      <c r="G1498">
        <f>+IF(dHdcp[[#This Row],[Fecha]]=MAX(dHdcp[Fecha]),1,0)</f>
        <v>0</v>
      </c>
      <c r="H1498" t="str">
        <f>+dHdcp[[#This Row],[Maximo]]&amp;":"&amp;dHdcp[[#This Row],[Nombre]]</f>
        <v>0:Javier Gonzalez Salvador</v>
      </c>
      <c r="I1498" t="str">
        <f>+dHdcp[[#This Row],[Maximo]]&amp;":"&amp;_xlfn.XLOOKUP(dHdcp[[#This Row],[Nombre]],dJugador[Nombre],dJugador[Mote],"",0)</f>
        <v>0:Javi</v>
      </c>
      <c r="J1498" t="str">
        <f>+IF(dHdcp[[#This Row],[Maximo]]=0,"",_xlfn.RANK.EQ(dHdcp[[#This Row],[Handicap]],dHdcp[Handicap],1))</f>
        <v/>
      </c>
      <c r="K1498" t="str">
        <f>IFERROR(+_xlfn.RANK.EQ(dHdcp[[#This Row],[Ranking]],dHdcp[Ranking],1),"")</f>
        <v/>
      </c>
      <c r="M1498" t="str">
        <f>+dHdcp[[#This Row],[Fecha]]&amp;":"&amp;dHdcp[[#This Row],[Nombre]]</f>
        <v>44976:Javier Gonzalez Salvador</v>
      </c>
      <c r="N1498">
        <f>+COUNTIF(dHdcp[Columna1],dHdcp[[#This Row],[Columna1]])</f>
        <v>1</v>
      </c>
    </row>
    <row r="1499" spans="1:14">
      <c r="A1499" s="2">
        <v>44976</v>
      </c>
      <c r="B1499" t="s">
        <v>217</v>
      </c>
      <c r="C1499" s="51">
        <v>21.1</v>
      </c>
      <c r="D1499">
        <f>+VLOOKUP(dHdcp[[#This Row],[Handicap]],'Categoría Hdcap'!$B$2:$E$7,4)</f>
        <v>4</v>
      </c>
      <c r="E1499" t="s">
        <v>74</v>
      </c>
      <c r="F1499" t="s">
        <v>1965</v>
      </c>
      <c r="G1499">
        <f>+IF(dHdcp[[#This Row],[Fecha]]=MAX(dHdcp[Fecha]),1,0)</f>
        <v>0</v>
      </c>
      <c r="H1499" t="str">
        <f>+dHdcp[[#This Row],[Maximo]]&amp;":"&amp;dHdcp[[#This Row],[Nombre]]</f>
        <v>0:Javier Lopez Gullón</v>
      </c>
      <c r="I1499" t="str">
        <f>+dHdcp[[#This Row],[Maximo]]&amp;":"&amp;_xlfn.XLOOKUP(dHdcp[[#This Row],[Nombre]],dJugador[Nombre],dJugador[Mote],"",0)</f>
        <v>0:Cuñao</v>
      </c>
      <c r="J1499" t="str">
        <f>+IF(dHdcp[[#This Row],[Maximo]]=0,"",_xlfn.RANK.EQ(dHdcp[[#This Row],[Handicap]],dHdcp[Handicap],1))</f>
        <v/>
      </c>
      <c r="K1499" t="str">
        <f>IFERROR(+_xlfn.RANK.EQ(dHdcp[[#This Row],[Ranking]],dHdcp[Ranking],1),"")</f>
        <v/>
      </c>
      <c r="M1499" t="str">
        <f>+dHdcp[[#This Row],[Fecha]]&amp;":"&amp;dHdcp[[#This Row],[Nombre]]</f>
        <v>44976:Javier Lopez Gullón</v>
      </c>
      <c r="N1499">
        <f>+COUNTIF(dHdcp[Columna1],dHdcp[[#This Row],[Columna1]])</f>
        <v>1</v>
      </c>
    </row>
    <row r="1500" spans="1:14">
      <c r="A1500" s="2">
        <v>44976</v>
      </c>
      <c r="B1500" t="s">
        <v>41</v>
      </c>
      <c r="C1500" s="51">
        <v>24.8</v>
      </c>
      <c r="D1500">
        <f>+VLOOKUP(dHdcp[[#This Row],[Handicap]],'Categoría Hdcap'!$B$2:$E$7,4)</f>
        <v>4</v>
      </c>
      <c r="E1500" t="s">
        <v>74</v>
      </c>
      <c r="F1500" t="s">
        <v>1966</v>
      </c>
      <c r="G1500">
        <f>+IF(dHdcp[[#This Row],[Fecha]]=MAX(dHdcp[Fecha]),1,0)</f>
        <v>0</v>
      </c>
      <c r="H1500" t="str">
        <f>+dHdcp[[#This Row],[Maximo]]&amp;":"&amp;dHdcp[[#This Row],[Nombre]]</f>
        <v>0:Jesus Touceda</v>
      </c>
      <c r="I1500" t="str">
        <f>+dHdcp[[#This Row],[Maximo]]&amp;":"&amp;_xlfn.XLOOKUP(dHdcp[[#This Row],[Nombre]],dJugador[Nombre],dJugador[Mote],"",0)</f>
        <v>0:Jesús</v>
      </c>
      <c r="J1500" t="str">
        <f>+IF(dHdcp[[#This Row],[Maximo]]=0,"",_xlfn.RANK.EQ(dHdcp[[#This Row],[Handicap]],dHdcp[Handicap],1))</f>
        <v/>
      </c>
      <c r="K1500" t="str">
        <f>IFERROR(+_xlfn.RANK.EQ(dHdcp[[#This Row],[Ranking]],dHdcp[Ranking],1),"")</f>
        <v/>
      </c>
      <c r="M1500" t="str">
        <f>+dHdcp[[#This Row],[Fecha]]&amp;":"&amp;dHdcp[[#This Row],[Nombre]]</f>
        <v>44976:Jesus Touceda</v>
      </c>
      <c r="N1500">
        <f>+COUNTIF(dHdcp[Columna1],dHdcp[[#This Row],[Columna1]])</f>
        <v>1</v>
      </c>
    </row>
    <row r="1501" spans="1:14">
      <c r="A1501" s="2">
        <v>44976</v>
      </c>
      <c r="B1501" t="s">
        <v>297</v>
      </c>
      <c r="C1501" s="51">
        <v>23.5</v>
      </c>
      <c r="D1501">
        <f>+VLOOKUP(dHdcp[[#This Row],[Handicap]],'Categoría Hdcap'!$B$2:$E$7,4)</f>
        <v>4</v>
      </c>
      <c r="E1501" t="s">
        <v>74</v>
      </c>
      <c r="F1501" t="s">
        <v>1967</v>
      </c>
      <c r="G1501">
        <f>+IF(dHdcp[[#This Row],[Fecha]]=MAX(dHdcp[Fecha]),1,0)</f>
        <v>0</v>
      </c>
      <c r="H1501" t="str">
        <f>+dHdcp[[#This Row],[Maximo]]&amp;":"&amp;dHdcp[[#This Row],[Nombre]]</f>
        <v>0:Jorge Alberto Martínez Sánchez</v>
      </c>
      <c r="I1501" t="str">
        <f>+dHdcp[[#This Row],[Maximo]]&amp;":"&amp;_xlfn.XLOOKUP(dHdcp[[#This Row],[Nombre]],dJugador[Nombre],dJugador[Mote],"",0)</f>
        <v>0:Jorge</v>
      </c>
      <c r="J1501" t="str">
        <f>+IF(dHdcp[[#This Row],[Maximo]]=0,"",_xlfn.RANK.EQ(dHdcp[[#This Row],[Handicap]],dHdcp[Handicap],1))</f>
        <v/>
      </c>
      <c r="K1501" t="str">
        <f>IFERROR(+_xlfn.RANK.EQ(dHdcp[[#This Row],[Ranking]],dHdcp[Ranking],1),"")</f>
        <v/>
      </c>
      <c r="M1501" t="str">
        <f>+dHdcp[[#This Row],[Fecha]]&amp;":"&amp;dHdcp[[#This Row],[Nombre]]</f>
        <v>44976:Jorge Alberto Martínez Sánchez</v>
      </c>
      <c r="N1501">
        <f>+COUNTIF(dHdcp[Columna1],dHdcp[[#This Row],[Columna1]])</f>
        <v>1</v>
      </c>
    </row>
    <row r="1502" spans="1:14">
      <c r="A1502" s="2">
        <v>44976</v>
      </c>
      <c r="B1502" t="s">
        <v>18</v>
      </c>
      <c r="C1502" s="51">
        <v>7.3</v>
      </c>
      <c r="D1502">
        <f>+VLOOKUP(dHdcp[[#This Row],[Handicap]],'Categoría Hdcap'!$B$2:$E$7,4)</f>
        <v>2</v>
      </c>
      <c r="E1502" t="s">
        <v>74</v>
      </c>
      <c r="F1502" t="s">
        <v>1968</v>
      </c>
      <c r="G1502">
        <f>+IF(dHdcp[[#This Row],[Fecha]]=MAX(dHdcp[Fecha]),1,0)</f>
        <v>0</v>
      </c>
      <c r="H1502" t="str">
        <f>+dHdcp[[#This Row],[Maximo]]&amp;":"&amp;dHdcp[[#This Row],[Nombre]]</f>
        <v>0:José Pablo Guil</v>
      </c>
      <c r="I1502" t="str">
        <f>+dHdcp[[#This Row],[Maximo]]&amp;":"&amp;_xlfn.XLOOKUP(dHdcp[[#This Row],[Nombre]],dJugador[Nombre],dJugador[Mote],"",0)</f>
        <v>0:JP</v>
      </c>
      <c r="J1502" t="str">
        <f>+IF(dHdcp[[#This Row],[Maximo]]=0,"",_xlfn.RANK.EQ(dHdcp[[#This Row],[Handicap]],dHdcp[Handicap],1))</f>
        <v/>
      </c>
      <c r="K1502" t="str">
        <f>IFERROR(+_xlfn.RANK.EQ(dHdcp[[#This Row],[Ranking]],dHdcp[Ranking],1),"")</f>
        <v/>
      </c>
      <c r="M1502" t="str">
        <f>+dHdcp[[#This Row],[Fecha]]&amp;":"&amp;dHdcp[[#This Row],[Nombre]]</f>
        <v>44976:José Pablo Guil</v>
      </c>
      <c r="N1502">
        <f>+COUNTIF(dHdcp[Columna1],dHdcp[[#This Row],[Columna1]])</f>
        <v>1</v>
      </c>
    </row>
    <row r="1503" spans="1:14">
      <c r="A1503" s="2">
        <v>44976</v>
      </c>
      <c r="B1503" t="s">
        <v>293</v>
      </c>
      <c r="C1503" s="51">
        <v>21.1</v>
      </c>
      <c r="D1503">
        <f>+VLOOKUP(dHdcp[[#This Row],[Handicap]],'Categoría Hdcap'!$B$2:$E$7,4)</f>
        <v>4</v>
      </c>
      <c r="E1503" t="s">
        <v>74</v>
      </c>
      <c r="F1503" t="s">
        <v>1969</v>
      </c>
      <c r="G1503">
        <f>+IF(dHdcp[[#This Row],[Fecha]]=MAX(dHdcp[Fecha]),1,0)</f>
        <v>0</v>
      </c>
      <c r="H1503" t="str">
        <f>+dHdcp[[#This Row],[Maximo]]&amp;":"&amp;dHdcp[[#This Row],[Nombre]]</f>
        <v>0:Juan Jose Aguado</v>
      </c>
      <c r="I1503" t="str">
        <f>+dHdcp[[#This Row],[Maximo]]&amp;":"&amp;_xlfn.XLOOKUP(dHdcp[[#This Row],[Nombre]],dJugador[Nombre],dJugador[Mote],"",0)</f>
        <v>0:Juancho</v>
      </c>
      <c r="J1503" t="str">
        <f>+IF(dHdcp[[#This Row],[Maximo]]=0,"",_xlfn.RANK.EQ(dHdcp[[#This Row],[Handicap]],dHdcp[Handicap],1))</f>
        <v/>
      </c>
      <c r="K1503" t="str">
        <f>IFERROR(+_xlfn.RANK.EQ(dHdcp[[#This Row],[Ranking]],dHdcp[Ranking],1),"")</f>
        <v/>
      </c>
      <c r="M1503" t="str">
        <f>+dHdcp[[#This Row],[Fecha]]&amp;":"&amp;dHdcp[[#This Row],[Nombre]]</f>
        <v>44976:Juan Jose Aguado</v>
      </c>
      <c r="N1503">
        <f>+COUNTIF(dHdcp[Columna1],dHdcp[[#This Row],[Columna1]])</f>
        <v>1</v>
      </c>
    </row>
    <row r="1504" spans="1:14">
      <c r="A1504" s="2">
        <v>44976</v>
      </c>
      <c r="B1504" t="s">
        <v>43</v>
      </c>
      <c r="C1504" s="51">
        <v>18.3</v>
      </c>
      <c r="D1504">
        <f>+VLOOKUP(dHdcp[[#This Row],[Handicap]],'Categoría Hdcap'!$B$2:$E$7,4)</f>
        <v>3</v>
      </c>
      <c r="E1504" t="s">
        <v>74</v>
      </c>
      <c r="F1504" t="s">
        <v>1970</v>
      </c>
      <c r="G1504">
        <f>+IF(dHdcp[[#This Row],[Fecha]]=MAX(dHdcp[Fecha]),1,0)</f>
        <v>0</v>
      </c>
      <c r="H1504" t="str">
        <f>+dHdcp[[#This Row],[Maximo]]&amp;":"&amp;dHdcp[[#This Row],[Nombre]]</f>
        <v>0:Luis Escudero</v>
      </c>
      <c r="I1504" t="str">
        <f>+dHdcp[[#This Row],[Maximo]]&amp;":"&amp;_xlfn.XLOOKUP(dHdcp[[#This Row],[Nombre]],dJugador[Nombre],dJugador[Mote],"",0)</f>
        <v>0:Lucho</v>
      </c>
      <c r="J1504" t="str">
        <f>+IF(dHdcp[[#This Row],[Maximo]]=0,"",_xlfn.RANK.EQ(dHdcp[[#This Row],[Handicap]],dHdcp[Handicap],1))</f>
        <v/>
      </c>
      <c r="K1504" t="str">
        <f>IFERROR(+_xlfn.RANK.EQ(dHdcp[[#This Row],[Ranking]],dHdcp[Ranking],1),"")</f>
        <v/>
      </c>
      <c r="M1504" t="str">
        <f>+dHdcp[[#This Row],[Fecha]]&amp;":"&amp;dHdcp[[#This Row],[Nombre]]</f>
        <v>44976:Luis Escudero</v>
      </c>
      <c r="N1504">
        <f>+COUNTIF(dHdcp[Columna1],dHdcp[[#This Row],[Columna1]])</f>
        <v>1</v>
      </c>
    </row>
    <row r="1505" spans="1:14">
      <c r="A1505" s="2">
        <v>44976</v>
      </c>
      <c r="B1505" s="10" t="s">
        <v>135</v>
      </c>
      <c r="C1505" s="53">
        <v>23.9</v>
      </c>
      <c r="D1505">
        <f>+VLOOKUP(dHdcp[[#This Row],[Handicap]],'Categoría Hdcap'!$B$2:$E$7,4)</f>
        <v>4</v>
      </c>
      <c r="E1505" t="s">
        <v>74</v>
      </c>
      <c r="F1505" t="s">
        <v>1971</v>
      </c>
      <c r="G1505">
        <f>+IF(dHdcp[[#This Row],[Fecha]]=MAX(dHdcp[Fecha]),1,0)</f>
        <v>0</v>
      </c>
      <c r="H1505" t="str">
        <f>+dHdcp[[#This Row],[Maximo]]&amp;":"&amp;dHdcp[[#This Row],[Nombre]]</f>
        <v>0:Miche Lopez</v>
      </c>
      <c r="I1505" t="str">
        <f>+dHdcp[[#This Row],[Maximo]]&amp;":"&amp;_xlfn.XLOOKUP(dHdcp[[#This Row],[Nombre]],dJugador[Nombre],dJugador[Mote],"",0)</f>
        <v>0:Miche</v>
      </c>
      <c r="J1505" t="str">
        <f>+IF(dHdcp[[#This Row],[Maximo]]=0,"",_xlfn.RANK.EQ(dHdcp[[#This Row],[Handicap]],dHdcp[Handicap],1))</f>
        <v/>
      </c>
      <c r="K1505" t="str">
        <f>IFERROR(+_xlfn.RANK.EQ(dHdcp[[#This Row],[Ranking]],dHdcp[Ranking],1),"")</f>
        <v/>
      </c>
      <c r="M1505" t="str">
        <f>+dHdcp[[#This Row],[Fecha]]&amp;":"&amp;dHdcp[[#This Row],[Nombre]]</f>
        <v>44976:Miche Lopez</v>
      </c>
      <c r="N1505">
        <f>+COUNTIF(dHdcp[Columna1],dHdcp[[#This Row],[Columna1]])</f>
        <v>1</v>
      </c>
    </row>
    <row r="1506" spans="1:14">
      <c r="A1506" s="2">
        <v>44976</v>
      </c>
      <c r="B1506" t="s">
        <v>51</v>
      </c>
      <c r="C1506" s="51">
        <v>-0.5</v>
      </c>
      <c r="D1506">
        <f>+VLOOKUP(dHdcp[[#This Row],[Handicap]],'Categoría Hdcap'!$B$2:$E$7,4)</f>
        <v>1</v>
      </c>
      <c r="E1506" t="s">
        <v>74</v>
      </c>
      <c r="F1506" t="s">
        <v>1972</v>
      </c>
      <c r="G1506">
        <f>+IF(dHdcp[[#This Row],[Fecha]]=MAX(dHdcp[Fecha]),1,0)</f>
        <v>0</v>
      </c>
      <c r="H1506" t="str">
        <f>+dHdcp[[#This Row],[Maximo]]&amp;":"&amp;dHdcp[[#This Row],[Nombre]]</f>
        <v>0:Miguel Diaz Del Moral</v>
      </c>
      <c r="I1506" t="str">
        <f>+dHdcp[[#This Row],[Maximo]]&amp;":"&amp;_xlfn.XLOOKUP(dHdcp[[#This Row],[Nombre]],dJugador[Nombre],dJugador[Mote],"",0)</f>
        <v>0:Cañita</v>
      </c>
      <c r="J1506" t="str">
        <f>+IF(dHdcp[[#This Row],[Maximo]]=0,"",_xlfn.RANK.EQ(dHdcp[[#This Row],[Handicap]],dHdcp[Handicap],1))</f>
        <v/>
      </c>
      <c r="K1506" t="str">
        <f>IFERROR(+_xlfn.RANK.EQ(dHdcp[[#This Row],[Ranking]],dHdcp[Ranking],1),"")</f>
        <v/>
      </c>
      <c r="M1506" t="str">
        <f>+dHdcp[[#This Row],[Fecha]]&amp;":"&amp;dHdcp[[#This Row],[Nombre]]</f>
        <v>44976:Miguel Diaz Del Moral</v>
      </c>
      <c r="N1506">
        <f>+COUNTIF(dHdcp[Columna1],dHdcp[[#This Row],[Columna1]])</f>
        <v>1</v>
      </c>
    </row>
    <row r="1507" spans="1:14">
      <c r="A1507" s="2">
        <v>44976</v>
      </c>
      <c r="B1507" s="13" t="s">
        <v>205</v>
      </c>
      <c r="C1507" s="42">
        <v>7.5</v>
      </c>
      <c r="D1507">
        <f>+VLOOKUP(dHdcp[[#This Row],[Handicap]],'Categoría Hdcap'!$B$2:$E$7,4)</f>
        <v>2</v>
      </c>
      <c r="E1507" t="s">
        <v>74</v>
      </c>
      <c r="F1507" t="s">
        <v>1973</v>
      </c>
      <c r="G1507">
        <f>+IF(dHdcp[[#This Row],[Fecha]]=MAX(dHdcp[Fecha]),1,0)</f>
        <v>0</v>
      </c>
      <c r="H1507" t="str">
        <f>+dHdcp[[#This Row],[Maximo]]&amp;":"&amp;dHdcp[[#This Row],[Nombre]]</f>
        <v>0:Nacho Casas</v>
      </c>
      <c r="I1507" t="str">
        <f>+dHdcp[[#This Row],[Maximo]]&amp;":"&amp;_xlfn.XLOOKUP(dHdcp[[#This Row],[Nombre]],dJugador[Nombre],dJugador[Mote],"",0)</f>
        <v>0:Nachete</v>
      </c>
      <c r="J1507" t="str">
        <f>+IF(dHdcp[[#This Row],[Maximo]]=0,"",_xlfn.RANK.EQ(dHdcp[[#This Row],[Handicap]],dHdcp[Handicap],1))</f>
        <v/>
      </c>
      <c r="K1507" t="str">
        <f>IFERROR(+_xlfn.RANK.EQ(dHdcp[[#This Row],[Ranking]],dHdcp[Ranking],1),"")</f>
        <v/>
      </c>
      <c r="M1507" t="str">
        <f>+dHdcp[[#This Row],[Fecha]]&amp;":"&amp;dHdcp[[#This Row],[Nombre]]</f>
        <v>44976:Nacho Casas</v>
      </c>
      <c r="N1507">
        <f>+COUNTIF(dHdcp[Columna1],dHdcp[[#This Row],[Columna1]])</f>
        <v>1</v>
      </c>
    </row>
    <row r="1508" spans="1:14">
      <c r="A1508" s="2">
        <v>44976</v>
      </c>
      <c r="B1508" t="s">
        <v>3</v>
      </c>
      <c r="C1508" s="51">
        <v>6.7</v>
      </c>
      <c r="D1508">
        <f>+VLOOKUP(dHdcp[[#This Row],[Handicap]],'Categoría Hdcap'!$B$2:$E$7,4)</f>
        <v>2</v>
      </c>
      <c r="E1508" t="s">
        <v>74</v>
      </c>
      <c r="F1508" t="s">
        <v>1974</v>
      </c>
      <c r="G1508">
        <f>+IF(dHdcp[[#This Row],[Fecha]]=MAX(dHdcp[Fecha]),1,0)</f>
        <v>0</v>
      </c>
      <c r="H1508" t="str">
        <f>+dHdcp[[#This Row],[Maximo]]&amp;":"&amp;dHdcp[[#This Row],[Nombre]]</f>
        <v>0:Nacho Gonzalez</v>
      </c>
      <c r="I1508" t="str">
        <f>+dHdcp[[#This Row],[Maximo]]&amp;":"&amp;_xlfn.XLOOKUP(dHdcp[[#This Row],[Nombre]],dJugador[Nombre],dJugador[Mote],"",0)</f>
        <v>0:Nacho</v>
      </c>
      <c r="J1508" t="str">
        <f>+IF(dHdcp[[#This Row],[Maximo]]=0,"",_xlfn.RANK.EQ(dHdcp[[#This Row],[Handicap]],dHdcp[Handicap],1))</f>
        <v/>
      </c>
      <c r="K1508" t="str">
        <f>IFERROR(+_xlfn.RANK.EQ(dHdcp[[#This Row],[Ranking]],dHdcp[Ranking],1),"")</f>
        <v/>
      </c>
      <c r="M1508" t="str">
        <f>+dHdcp[[#This Row],[Fecha]]&amp;":"&amp;dHdcp[[#This Row],[Nombre]]</f>
        <v>44976:Nacho Gonzalez</v>
      </c>
      <c r="N1508">
        <f>+COUNTIF(dHdcp[Columna1],dHdcp[[#This Row],[Columna1]])</f>
        <v>1</v>
      </c>
    </row>
    <row r="1509" spans="1:14">
      <c r="A1509" s="2">
        <v>44976</v>
      </c>
      <c r="B1509" t="s">
        <v>28</v>
      </c>
      <c r="C1509" s="51">
        <v>13.7</v>
      </c>
      <c r="D1509">
        <f>+VLOOKUP(dHdcp[[#This Row],[Handicap]],'Categoría Hdcap'!$B$2:$E$7,4)</f>
        <v>3</v>
      </c>
      <c r="E1509" t="s">
        <v>74</v>
      </c>
      <c r="F1509" t="s">
        <v>1975</v>
      </c>
      <c r="G1509">
        <f>+IF(dHdcp[[#This Row],[Fecha]]=MAX(dHdcp[Fecha]),1,0)</f>
        <v>0</v>
      </c>
      <c r="H1509" t="str">
        <f>+dHdcp[[#This Row],[Maximo]]&amp;":"&amp;dHdcp[[#This Row],[Nombre]]</f>
        <v>0:Pablo Munitiz</v>
      </c>
      <c r="I1509" t="str">
        <f>+dHdcp[[#This Row],[Maximo]]&amp;":"&amp;_xlfn.XLOOKUP(dHdcp[[#This Row],[Nombre]],dJugador[Nombre],dJugador[Mote],"",0)</f>
        <v>0:Muni</v>
      </c>
      <c r="J1509" t="str">
        <f>+IF(dHdcp[[#This Row],[Maximo]]=0,"",_xlfn.RANK.EQ(dHdcp[[#This Row],[Handicap]],dHdcp[Handicap],1))</f>
        <v/>
      </c>
      <c r="K1509" t="str">
        <f>IFERROR(+_xlfn.RANK.EQ(dHdcp[[#This Row],[Ranking]],dHdcp[Ranking],1),"")</f>
        <v/>
      </c>
      <c r="M1509" t="str">
        <f>+dHdcp[[#This Row],[Fecha]]&amp;":"&amp;dHdcp[[#This Row],[Nombre]]</f>
        <v>44976:Pablo Munitiz</v>
      </c>
      <c r="N1509">
        <f>+COUNTIF(dHdcp[Columna1],dHdcp[[#This Row],[Columna1]])</f>
        <v>1</v>
      </c>
    </row>
    <row r="1510" spans="1:14">
      <c r="A1510" s="2">
        <v>44976</v>
      </c>
      <c r="B1510" t="s">
        <v>203</v>
      </c>
      <c r="C1510" s="51">
        <v>18.3</v>
      </c>
      <c r="D1510">
        <f>+VLOOKUP(dHdcp[[#This Row],[Handicap]],'Categoría Hdcap'!$B$2:$E$7,4)</f>
        <v>3</v>
      </c>
      <c r="E1510" t="s">
        <v>74</v>
      </c>
      <c r="F1510" t="s">
        <v>1976</v>
      </c>
      <c r="G1510">
        <f>+IF(dHdcp[[#This Row],[Fecha]]=MAX(dHdcp[Fecha]),1,0)</f>
        <v>0</v>
      </c>
      <c r="H1510" t="str">
        <f>+dHdcp[[#This Row],[Maximo]]&amp;":"&amp;dHdcp[[#This Row],[Nombre]]</f>
        <v>0:Ruslan Kochman</v>
      </c>
      <c r="I1510" t="str">
        <f>+dHdcp[[#This Row],[Maximo]]&amp;":"&amp;_xlfn.XLOOKUP(dHdcp[[#This Row],[Nombre]],dJugador[Nombre],dJugador[Mote],"",0)</f>
        <v>0:Rus</v>
      </c>
      <c r="J1510" t="str">
        <f>+IF(dHdcp[[#This Row],[Maximo]]=0,"",_xlfn.RANK.EQ(dHdcp[[#This Row],[Handicap]],dHdcp[Handicap],1))</f>
        <v/>
      </c>
      <c r="K1510" t="str">
        <f>IFERROR(+_xlfn.RANK.EQ(dHdcp[[#This Row],[Ranking]],dHdcp[Ranking],1),"")</f>
        <v/>
      </c>
      <c r="M1510" t="str">
        <f>+dHdcp[[#This Row],[Fecha]]&amp;":"&amp;dHdcp[[#This Row],[Nombre]]</f>
        <v>44976:Ruslan Kochman</v>
      </c>
      <c r="N1510">
        <f>+COUNTIF(dHdcp[Columna1],dHdcp[[#This Row],[Columna1]])</f>
        <v>1</v>
      </c>
    </row>
    <row r="1511" spans="1:14">
      <c r="A1511" s="2">
        <v>44976</v>
      </c>
      <c r="B1511" t="s">
        <v>271</v>
      </c>
      <c r="C1511" s="51">
        <v>16.399999999999999</v>
      </c>
      <c r="D1511">
        <f>+VLOOKUP(dHdcp[[#This Row],[Handicap]],'Categoría Hdcap'!$B$2:$E$7,4)</f>
        <v>3</v>
      </c>
      <c r="E1511" t="s">
        <v>74</v>
      </c>
      <c r="F1511" t="s">
        <v>1977</v>
      </c>
      <c r="G1511">
        <f>+IF(dHdcp[[#This Row],[Fecha]]=MAX(dHdcp[Fecha]),1,0)</f>
        <v>0</v>
      </c>
      <c r="H1511" t="str">
        <f>+dHdcp[[#This Row],[Maximo]]&amp;":"&amp;dHdcp[[#This Row],[Nombre]]</f>
        <v>0:Santi Diaz</v>
      </c>
      <c r="I1511" t="str">
        <f>+dHdcp[[#This Row],[Maximo]]&amp;":"&amp;_xlfn.XLOOKUP(dHdcp[[#This Row],[Nombre]],dJugador[Nombre],dJugador[Mote],"",0)</f>
        <v>0:Santi</v>
      </c>
      <c r="J1511" t="str">
        <f>+IF(dHdcp[[#This Row],[Maximo]]=0,"",_xlfn.RANK.EQ(dHdcp[[#This Row],[Handicap]],dHdcp[Handicap],1))</f>
        <v/>
      </c>
      <c r="K1511" t="str">
        <f>IFERROR(+_xlfn.RANK.EQ(dHdcp[[#This Row],[Ranking]],dHdcp[Ranking],1),"")</f>
        <v/>
      </c>
      <c r="M1511" t="str">
        <f>+dHdcp[[#This Row],[Fecha]]&amp;":"&amp;dHdcp[[#This Row],[Nombre]]</f>
        <v>44976:Santi Diaz</v>
      </c>
      <c r="N1511">
        <f>+COUNTIF(dHdcp[Columna1],dHdcp[[#This Row],[Columna1]])</f>
        <v>1</v>
      </c>
    </row>
    <row r="1512" spans="1:14">
      <c r="A1512" s="2">
        <v>45010</v>
      </c>
      <c r="B1512" s="19" t="s">
        <v>259</v>
      </c>
      <c r="C1512" s="51">
        <v>3.5</v>
      </c>
      <c r="D1512">
        <f>+VLOOKUP(dHdcp[[#This Row],[Handicap]],'Categoría Hdcap'!$B$2:$E$7,4)</f>
        <v>1</v>
      </c>
      <c r="E1512" t="s">
        <v>74</v>
      </c>
      <c r="F1512" t="s">
        <v>1978</v>
      </c>
      <c r="G1512">
        <f>+IF(dHdcp[[#This Row],[Fecha]]=MAX(dHdcp[Fecha]),1,0)</f>
        <v>0</v>
      </c>
      <c r="H1512" t="str">
        <f>+dHdcp[[#This Row],[Maximo]]&amp;":"&amp;dHdcp[[#This Row],[Nombre]]</f>
        <v>0:Alejandro Arcos</v>
      </c>
      <c r="I1512" t="str">
        <f>+dHdcp[[#This Row],[Maximo]]&amp;":"&amp;_xlfn.XLOOKUP(dHdcp[[#This Row],[Nombre]],dJugador[Nombre],dJugador[Mote],"",0)</f>
        <v>0:Alex</v>
      </c>
      <c r="J1512" t="str">
        <f>+IF(dHdcp[[#This Row],[Maximo]]=0,"",_xlfn.RANK.EQ(dHdcp[[#This Row],[Handicap]],dHdcp[Handicap],1))</f>
        <v/>
      </c>
      <c r="K1512" t="str">
        <f>IFERROR(+_xlfn.RANK.EQ(dHdcp[[#This Row],[Ranking]],dHdcp[Ranking],1),"")</f>
        <v/>
      </c>
      <c r="M1512" t="str">
        <f>+dHdcp[[#This Row],[Fecha]]&amp;":"&amp;dHdcp[[#This Row],[Nombre]]</f>
        <v>45010:Alejandro Arcos</v>
      </c>
      <c r="N1512">
        <f>+COUNTIF(dHdcp[Columna1],dHdcp[[#This Row],[Columna1]])</f>
        <v>1</v>
      </c>
    </row>
    <row r="1513" spans="1:14">
      <c r="A1513" s="2">
        <v>45010</v>
      </c>
      <c r="B1513" s="19" t="s">
        <v>9</v>
      </c>
      <c r="C1513" s="51">
        <v>10.3</v>
      </c>
      <c r="D1513">
        <f>+VLOOKUP(dHdcp[[#This Row],[Handicap]],'Categoría Hdcap'!$B$2:$E$7,4)</f>
        <v>2</v>
      </c>
      <c r="E1513" t="s">
        <v>74</v>
      </c>
      <c r="F1513" t="s">
        <v>1979</v>
      </c>
      <c r="G1513">
        <f>+IF(dHdcp[[#This Row],[Fecha]]=MAX(dHdcp[Fecha]),1,0)</f>
        <v>0</v>
      </c>
      <c r="H1513" t="str">
        <f>+dHdcp[[#This Row],[Maximo]]&amp;":"&amp;dHdcp[[#This Row],[Nombre]]</f>
        <v>0:Alfonso Hidalgo</v>
      </c>
      <c r="I1513" t="str">
        <f>+dHdcp[[#This Row],[Maximo]]&amp;":"&amp;_xlfn.XLOOKUP(dHdcp[[#This Row],[Nombre]],dJugador[Nombre],dJugador[Mote],"",0)</f>
        <v>0:Alfonso</v>
      </c>
      <c r="J1513" t="str">
        <f>+IF(dHdcp[[#This Row],[Maximo]]=0,"",_xlfn.RANK.EQ(dHdcp[[#This Row],[Handicap]],dHdcp[Handicap],1))</f>
        <v/>
      </c>
      <c r="K1513" t="str">
        <f>IFERROR(+_xlfn.RANK.EQ(dHdcp[[#This Row],[Ranking]],dHdcp[Ranking],1),"")</f>
        <v/>
      </c>
      <c r="M1513" t="str">
        <f>+dHdcp[[#This Row],[Fecha]]&amp;":"&amp;dHdcp[[#This Row],[Nombre]]</f>
        <v>45010:Alfonso Hidalgo</v>
      </c>
      <c r="N1513">
        <f>+COUNTIF(dHdcp[Columna1],dHdcp[[#This Row],[Columna1]])</f>
        <v>1</v>
      </c>
    </row>
    <row r="1514" spans="1:14">
      <c r="A1514" s="2">
        <v>45010</v>
      </c>
      <c r="B1514" t="s">
        <v>229</v>
      </c>
      <c r="C1514" s="51">
        <v>14.1</v>
      </c>
      <c r="D1514">
        <f>+VLOOKUP(dHdcp[[#This Row],[Handicap]],'Categoría Hdcap'!$B$2:$E$7,4)</f>
        <v>3</v>
      </c>
      <c r="E1514" t="s">
        <v>74</v>
      </c>
      <c r="F1514" t="s">
        <v>1980</v>
      </c>
      <c r="G1514">
        <f>+IF(dHdcp[[#This Row],[Fecha]]=MAX(dHdcp[Fecha]),1,0)</f>
        <v>0</v>
      </c>
      <c r="H1514" t="str">
        <f>+dHdcp[[#This Row],[Maximo]]&amp;":"&amp;dHdcp[[#This Row],[Nombre]]</f>
        <v>0:Alfonso Zorrilla</v>
      </c>
      <c r="I1514" t="str">
        <f>+dHdcp[[#This Row],[Maximo]]&amp;":"&amp;_xlfn.XLOOKUP(dHdcp[[#This Row],[Nombre]],dJugador[Nombre],dJugador[Mote],"",0)</f>
        <v>0:A Zorrilla</v>
      </c>
      <c r="J1514" t="str">
        <f>+IF(dHdcp[[#This Row],[Maximo]]=0,"",_xlfn.RANK.EQ(dHdcp[[#This Row],[Handicap]],dHdcp[Handicap],1))</f>
        <v/>
      </c>
      <c r="K1514" t="str">
        <f>IFERROR(+_xlfn.RANK.EQ(dHdcp[[#This Row],[Ranking]],dHdcp[Ranking],1),"")</f>
        <v/>
      </c>
      <c r="M1514" t="str">
        <f>+dHdcp[[#This Row],[Fecha]]&amp;":"&amp;dHdcp[[#This Row],[Nombre]]</f>
        <v>45010:Alfonso Zorrilla</v>
      </c>
      <c r="N1514">
        <f>+COUNTIF(dHdcp[Columna1],dHdcp[[#This Row],[Columna1]])</f>
        <v>1</v>
      </c>
    </row>
    <row r="1515" spans="1:14">
      <c r="A1515" s="2">
        <v>45010</v>
      </c>
      <c r="B1515" t="s">
        <v>15</v>
      </c>
      <c r="C1515" s="51">
        <v>6.1</v>
      </c>
      <c r="D1515">
        <f>+VLOOKUP(dHdcp[[#This Row],[Handicap]],'Categoría Hdcap'!$B$2:$E$7,4)</f>
        <v>2</v>
      </c>
      <c r="E1515" t="s">
        <v>74</v>
      </c>
      <c r="F1515" t="s">
        <v>1981</v>
      </c>
      <c r="G1515">
        <f>+IF(dHdcp[[#This Row],[Fecha]]=MAX(dHdcp[Fecha]),1,0)</f>
        <v>0</v>
      </c>
      <c r="H1515" t="str">
        <f>+dHdcp[[#This Row],[Maximo]]&amp;":"&amp;dHdcp[[#This Row],[Nombre]]</f>
        <v>0:Alvaro Aguirre</v>
      </c>
      <c r="I1515" t="str">
        <f>+dHdcp[[#This Row],[Maximo]]&amp;":"&amp;_xlfn.XLOOKUP(dHdcp[[#This Row],[Nombre]],dJugador[Nombre],dJugador[Mote],"",0)</f>
        <v>0:Gifu</v>
      </c>
      <c r="J1515" t="str">
        <f>+IF(dHdcp[[#This Row],[Maximo]]=0,"",_xlfn.RANK.EQ(dHdcp[[#This Row],[Handicap]],dHdcp[Handicap],1))</f>
        <v/>
      </c>
      <c r="K1515" t="str">
        <f>IFERROR(+_xlfn.RANK.EQ(dHdcp[[#This Row],[Ranking]],dHdcp[Ranking],1),"")</f>
        <v/>
      </c>
      <c r="M1515" t="str">
        <f>+dHdcp[[#This Row],[Fecha]]&amp;":"&amp;dHdcp[[#This Row],[Nombre]]</f>
        <v>45010:Alvaro Aguirre</v>
      </c>
      <c r="N1515">
        <f>+COUNTIF(dHdcp[Columna1],dHdcp[[#This Row],[Columna1]])</f>
        <v>1</v>
      </c>
    </row>
    <row r="1516" spans="1:14">
      <c r="A1516" s="2">
        <v>45010</v>
      </c>
      <c r="B1516" t="s">
        <v>201</v>
      </c>
      <c r="C1516" s="51">
        <v>8.9</v>
      </c>
      <c r="D1516">
        <f>+VLOOKUP(dHdcp[[#This Row],[Handicap]],'Categoría Hdcap'!$B$2:$E$7,4)</f>
        <v>2</v>
      </c>
      <c r="E1516" t="s">
        <v>74</v>
      </c>
      <c r="F1516" t="s">
        <v>1982</v>
      </c>
      <c r="G1516">
        <f>+IF(dHdcp[[#This Row],[Fecha]]=MAX(dHdcp[Fecha]),1,0)</f>
        <v>0</v>
      </c>
      <c r="H1516" t="str">
        <f>+dHdcp[[#This Row],[Maximo]]&amp;":"&amp;dHdcp[[#This Row],[Nombre]]</f>
        <v>0:Alvaro Montoya</v>
      </c>
      <c r="I1516" t="str">
        <f>+dHdcp[[#This Row],[Maximo]]&amp;":"&amp;_xlfn.XLOOKUP(dHdcp[[#This Row],[Nombre]],dJugador[Nombre],dJugador[Mote],"",0)</f>
        <v>0:Monti</v>
      </c>
      <c r="J1516" t="str">
        <f>+IF(dHdcp[[#This Row],[Maximo]]=0,"",_xlfn.RANK.EQ(dHdcp[[#This Row],[Handicap]],dHdcp[Handicap],1))</f>
        <v/>
      </c>
      <c r="K1516" t="str">
        <f>IFERROR(+_xlfn.RANK.EQ(dHdcp[[#This Row],[Ranking]],dHdcp[Ranking],1),"")</f>
        <v/>
      </c>
      <c r="M1516" t="str">
        <f>+dHdcp[[#This Row],[Fecha]]&amp;":"&amp;dHdcp[[#This Row],[Nombre]]</f>
        <v>45010:Alvaro Montoya</v>
      </c>
      <c r="N1516">
        <f>+COUNTIF(dHdcp[Columna1],dHdcp[[#This Row],[Columna1]])</f>
        <v>1</v>
      </c>
    </row>
    <row r="1517" spans="1:14">
      <c r="A1517" s="2">
        <v>45010</v>
      </c>
      <c r="B1517" t="s">
        <v>25</v>
      </c>
      <c r="C1517" s="51">
        <v>12.3</v>
      </c>
      <c r="D1517">
        <f>+VLOOKUP(dHdcp[[#This Row],[Handicap]],'Categoría Hdcap'!$B$2:$E$7,4)</f>
        <v>3</v>
      </c>
      <c r="E1517" t="s">
        <v>74</v>
      </c>
      <c r="F1517" t="s">
        <v>1983</v>
      </c>
      <c r="G1517">
        <f>+IF(dHdcp[[#This Row],[Fecha]]=MAX(dHdcp[Fecha]),1,0)</f>
        <v>0</v>
      </c>
      <c r="H1517" t="str">
        <f>+dHdcp[[#This Row],[Maximo]]&amp;":"&amp;dHdcp[[#This Row],[Nombre]]</f>
        <v>0:Alvaro Nieto</v>
      </c>
      <c r="I1517" t="str">
        <f>+dHdcp[[#This Row],[Maximo]]&amp;":"&amp;_xlfn.XLOOKUP(dHdcp[[#This Row],[Nombre]],dJugador[Nombre],dJugador[Mote],"",0)</f>
        <v>0:Alvaro</v>
      </c>
      <c r="J1517" t="str">
        <f>+IF(dHdcp[[#This Row],[Maximo]]=0,"",_xlfn.RANK.EQ(dHdcp[[#This Row],[Handicap]],dHdcp[Handicap],1))</f>
        <v/>
      </c>
      <c r="K1517" t="str">
        <f>IFERROR(+_xlfn.RANK.EQ(dHdcp[[#This Row],[Ranking]],dHdcp[Ranking],1),"")</f>
        <v/>
      </c>
      <c r="M1517" t="str">
        <f>+dHdcp[[#This Row],[Fecha]]&amp;":"&amp;dHdcp[[#This Row],[Nombre]]</f>
        <v>45010:Alvaro Nieto</v>
      </c>
      <c r="N1517">
        <f>+COUNTIF(dHdcp[Columna1],dHdcp[[#This Row],[Columna1]])</f>
        <v>1</v>
      </c>
    </row>
    <row r="1518" spans="1:14">
      <c r="A1518" s="2">
        <v>45010</v>
      </c>
      <c r="B1518" t="s">
        <v>33</v>
      </c>
      <c r="C1518" s="51">
        <v>7.9</v>
      </c>
      <c r="D1518">
        <f>+VLOOKUP(dHdcp[[#This Row],[Handicap]],'Categoría Hdcap'!$B$2:$E$7,4)</f>
        <v>2</v>
      </c>
      <c r="E1518" t="s">
        <v>74</v>
      </c>
      <c r="F1518" t="s">
        <v>1984</v>
      </c>
      <c r="G1518">
        <f>+IF(dHdcp[[#This Row],[Fecha]]=MAX(dHdcp[Fecha]),1,0)</f>
        <v>0</v>
      </c>
      <c r="H1518" t="str">
        <f>+dHdcp[[#This Row],[Maximo]]&amp;":"&amp;dHdcp[[#This Row],[Nombre]]</f>
        <v>0:Angel Hernandez</v>
      </c>
      <c r="I1518" t="str">
        <f>+dHdcp[[#This Row],[Maximo]]&amp;":"&amp;_xlfn.XLOOKUP(dHdcp[[#This Row],[Nombre]],dJugador[Nombre],dJugador[Mote],"",0)</f>
        <v>0:Angel</v>
      </c>
      <c r="J1518" t="str">
        <f>+IF(dHdcp[[#This Row],[Maximo]]=0,"",_xlfn.RANK.EQ(dHdcp[[#This Row],[Handicap]],dHdcp[Handicap],1))</f>
        <v/>
      </c>
      <c r="K1518" t="str">
        <f>IFERROR(+_xlfn.RANK.EQ(dHdcp[[#This Row],[Ranking]],dHdcp[Ranking],1),"")</f>
        <v/>
      </c>
      <c r="M1518" t="str">
        <f>+dHdcp[[#This Row],[Fecha]]&amp;":"&amp;dHdcp[[#This Row],[Nombre]]</f>
        <v>45010:Angel Hernandez</v>
      </c>
      <c r="N1518">
        <f>+COUNTIF(dHdcp[Columna1],dHdcp[[#This Row],[Columna1]])</f>
        <v>1</v>
      </c>
    </row>
    <row r="1519" spans="1:14">
      <c r="A1519" s="2">
        <v>45010</v>
      </c>
      <c r="B1519" t="s">
        <v>264</v>
      </c>
      <c r="C1519" s="51">
        <v>18.899999999999999</v>
      </c>
      <c r="D1519">
        <f>+VLOOKUP(dHdcp[[#This Row],[Handicap]],'Categoría Hdcap'!$B$2:$E$7,4)</f>
        <v>4</v>
      </c>
      <c r="E1519" t="s">
        <v>74</v>
      </c>
      <c r="F1519" t="s">
        <v>1985</v>
      </c>
      <c r="G1519">
        <f>+IF(dHdcp[[#This Row],[Fecha]]=MAX(dHdcp[Fecha]),1,0)</f>
        <v>0</v>
      </c>
      <c r="H1519" t="str">
        <f>+dHdcp[[#This Row],[Maximo]]&amp;":"&amp;dHdcp[[#This Row],[Nombre]]</f>
        <v>0:Antonio Carmona</v>
      </c>
      <c r="I1519" t="str">
        <f>+dHdcp[[#This Row],[Maximo]]&amp;":"&amp;_xlfn.XLOOKUP(dHdcp[[#This Row],[Nombre]],dJugador[Nombre],dJugador[Mote],"",0)</f>
        <v>0:Antonio</v>
      </c>
      <c r="J1519" t="str">
        <f>+IF(dHdcp[[#This Row],[Maximo]]=0,"",_xlfn.RANK.EQ(dHdcp[[#This Row],[Handicap]],dHdcp[Handicap],1))</f>
        <v/>
      </c>
      <c r="K1519" t="str">
        <f>IFERROR(+_xlfn.RANK.EQ(dHdcp[[#This Row],[Ranking]],dHdcp[Ranking],1),"")</f>
        <v/>
      </c>
      <c r="M1519" t="str">
        <f>+dHdcp[[#This Row],[Fecha]]&amp;":"&amp;dHdcp[[#This Row],[Nombre]]</f>
        <v>45010:Antonio Carmona</v>
      </c>
      <c r="N1519">
        <f>+COUNTIF(dHdcp[Columna1],dHdcp[[#This Row],[Columna1]])</f>
        <v>1</v>
      </c>
    </row>
    <row r="1520" spans="1:14">
      <c r="A1520" s="2">
        <v>45010</v>
      </c>
      <c r="B1520" t="s">
        <v>291</v>
      </c>
      <c r="C1520" s="51">
        <v>1.7</v>
      </c>
      <c r="D1520">
        <f>+VLOOKUP(dHdcp[[#This Row],[Handicap]],'Categoría Hdcap'!$B$2:$E$7,4)</f>
        <v>1</v>
      </c>
      <c r="E1520" t="s">
        <v>74</v>
      </c>
      <c r="F1520" t="s">
        <v>1986</v>
      </c>
      <c r="G1520">
        <f>+IF(dHdcp[[#This Row],[Fecha]]=MAX(dHdcp[Fecha]),1,0)</f>
        <v>0</v>
      </c>
      <c r="H1520" t="str">
        <f>+dHdcp[[#This Row],[Maximo]]&amp;":"&amp;dHdcp[[#This Row],[Nombre]]</f>
        <v>0:Carlos Maestro</v>
      </c>
      <c r="I1520" t="str">
        <f>+dHdcp[[#This Row],[Maximo]]&amp;":"&amp;_xlfn.XLOOKUP(dHdcp[[#This Row],[Nombre]],dJugador[Nombre],dJugador[Mote],"",0)</f>
        <v>0:Carlitos</v>
      </c>
      <c r="J1520" t="str">
        <f>+IF(dHdcp[[#This Row],[Maximo]]=0,"",_xlfn.RANK.EQ(dHdcp[[#This Row],[Handicap]],dHdcp[Handicap],1))</f>
        <v/>
      </c>
      <c r="K1520" t="str">
        <f>IFERROR(+_xlfn.RANK.EQ(dHdcp[[#This Row],[Ranking]],dHdcp[Ranking],1),"")</f>
        <v/>
      </c>
      <c r="M1520" t="str">
        <f>+dHdcp[[#This Row],[Fecha]]&amp;":"&amp;dHdcp[[#This Row],[Nombre]]</f>
        <v>45010:Carlos Maestro</v>
      </c>
      <c r="N1520">
        <f>+COUNTIF(dHdcp[Columna1],dHdcp[[#This Row],[Columna1]])</f>
        <v>1</v>
      </c>
    </row>
    <row r="1521" spans="1:14">
      <c r="A1521" s="2">
        <v>45010</v>
      </c>
      <c r="B1521" t="s">
        <v>30</v>
      </c>
      <c r="C1521" s="51">
        <v>10.4</v>
      </c>
      <c r="D1521">
        <f>+VLOOKUP(dHdcp[[#This Row],[Handicap]],'Categoría Hdcap'!$B$2:$E$7,4)</f>
        <v>2</v>
      </c>
      <c r="E1521" t="s">
        <v>74</v>
      </c>
      <c r="F1521" t="s">
        <v>1987</v>
      </c>
      <c r="G1521">
        <f>+IF(dHdcp[[#This Row],[Fecha]]=MAX(dHdcp[Fecha]),1,0)</f>
        <v>0</v>
      </c>
      <c r="H1521" t="str">
        <f>+dHdcp[[#This Row],[Maximo]]&amp;":"&amp;dHdcp[[#This Row],[Nombre]]</f>
        <v>0:David Sequera</v>
      </c>
      <c r="I1521" t="str">
        <f>+dHdcp[[#This Row],[Maximo]]&amp;":"&amp;_xlfn.XLOOKUP(dHdcp[[#This Row],[Nombre]],dJugador[Nombre],dJugador[Mote],"",0)</f>
        <v>0:David</v>
      </c>
      <c r="J1521" t="str">
        <f>+IF(dHdcp[[#This Row],[Maximo]]=0,"",_xlfn.RANK.EQ(dHdcp[[#This Row],[Handicap]],dHdcp[Handicap],1))</f>
        <v/>
      </c>
      <c r="K1521" t="str">
        <f>IFERROR(+_xlfn.RANK.EQ(dHdcp[[#This Row],[Ranking]],dHdcp[Ranking],1),"")</f>
        <v/>
      </c>
      <c r="M1521" t="str">
        <f>+dHdcp[[#This Row],[Fecha]]&amp;":"&amp;dHdcp[[#This Row],[Nombre]]</f>
        <v>45010:David Sequera</v>
      </c>
      <c r="N1521">
        <f>+COUNTIF(dHdcp[Columna1],dHdcp[[#This Row],[Columna1]])</f>
        <v>1</v>
      </c>
    </row>
    <row r="1522" spans="1:14">
      <c r="A1522" s="2">
        <v>45010</v>
      </c>
      <c r="B1522" t="s">
        <v>326</v>
      </c>
      <c r="C1522" s="51">
        <v>23.8</v>
      </c>
      <c r="D1522">
        <f>+VLOOKUP(dHdcp[[#This Row],[Handicap]],'Categoría Hdcap'!$B$2:$E$7,4)</f>
        <v>4</v>
      </c>
      <c r="E1522" t="s">
        <v>74</v>
      </c>
      <c r="F1522" t="s">
        <v>1988</v>
      </c>
      <c r="G1522">
        <f>+IF(dHdcp[[#This Row],[Fecha]]=MAX(dHdcp[Fecha]),1,0)</f>
        <v>0</v>
      </c>
      <c r="H1522" t="str">
        <f>+dHdcp[[#This Row],[Maximo]]&amp;":"&amp;dHdcp[[#This Row],[Nombre]]</f>
        <v>0:Eduardo Buendía</v>
      </c>
      <c r="I1522" t="str">
        <f>+dHdcp[[#This Row],[Maximo]]&amp;":"&amp;_xlfn.XLOOKUP(dHdcp[[#This Row],[Nombre]],dJugador[Nombre],dJugador[Mote],"",0)</f>
        <v>0:Eduardo</v>
      </c>
      <c r="J1522" t="str">
        <f>+IF(dHdcp[[#This Row],[Maximo]]=0,"",_xlfn.RANK.EQ(dHdcp[[#This Row],[Handicap]],dHdcp[Handicap],1))</f>
        <v/>
      </c>
      <c r="K1522" t="str">
        <f>IFERROR(+_xlfn.RANK.EQ(dHdcp[[#This Row],[Ranking]],dHdcp[Ranking],1),"")</f>
        <v/>
      </c>
      <c r="M1522" t="str">
        <f>+dHdcp[[#This Row],[Fecha]]&amp;":"&amp;dHdcp[[#This Row],[Nombre]]</f>
        <v>45010:Eduardo Buendía</v>
      </c>
      <c r="N1522">
        <f>+COUNTIF(dHdcp[Columna1],dHdcp[[#This Row],[Columna1]])</f>
        <v>1</v>
      </c>
    </row>
    <row r="1523" spans="1:14">
      <c r="A1523" s="2">
        <v>45010</v>
      </c>
      <c r="B1523" t="s">
        <v>248</v>
      </c>
      <c r="C1523" s="51">
        <v>12.5</v>
      </c>
      <c r="D1523">
        <f>+VLOOKUP(dHdcp[[#This Row],[Handicap]],'Categoría Hdcap'!$B$2:$E$7,4)</f>
        <v>3</v>
      </c>
      <c r="E1523" t="s">
        <v>74</v>
      </c>
      <c r="F1523" t="s">
        <v>1989</v>
      </c>
      <c r="G1523">
        <f>+IF(dHdcp[[#This Row],[Fecha]]=MAX(dHdcp[Fecha]),1,0)</f>
        <v>0</v>
      </c>
      <c r="H1523" t="str">
        <f>+dHdcp[[#This Row],[Maximo]]&amp;":"&amp;dHdcp[[#This Row],[Nombre]]</f>
        <v>0:Enrique Gonzalez R</v>
      </c>
      <c r="I1523" t="str">
        <f>+dHdcp[[#This Row],[Maximo]]&amp;":"&amp;_xlfn.XLOOKUP(dHdcp[[#This Row],[Nombre]],dJugador[Nombre],dJugador[Mote],"",0)</f>
        <v>0:Enrique</v>
      </c>
      <c r="J1523" t="str">
        <f>+IF(dHdcp[[#This Row],[Maximo]]=0,"",_xlfn.RANK.EQ(dHdcp[[#This Row],[Handicap]],dHdcp[Handicap],1))</f>
        <v/>
      </c>
      <c r="K1523" t="str">
        <f>IFERROR(+_xlfn.RANK.EQ(dHdcp[[#This Row],[Ranking]],dHdcp[Ranking],1),"")</f>
        <v/>
      </c>
      <c r="M1523" t="str">
        <f>+dHdcp[[#This Row],[Fecha]]&amp;":"&amp;dHdcp[[#This Row],[Nombre]]</f>
        <v>45010:Enrique Gonzalez R</v>
      </c>
      <c r="N1523">
        <f>+COUNTIF(dHdcp[Columna1],dHdcp[[#This Row],[Columna1]])</f>
        <v>1</v>
      </c>
    </row>
    <row r="1524" spans="1:14">
      <c r="A1524" s="2">
        <v>45010</v>
      </c>
      <c r="B1524" t="s">
        <v>12</v>
      </c>
      <c r="C1524" s="51">
        <v>14.6</v>
      </c>
      <c r="D1524">
        <f>+VLOOKUP(dHdcp[[#This Row],[Handicap]],'Categoría Hdcap'!$B$2:$E$7,4)</f>
        <v>3</v>
      </c>
      <c r="E1524" t="s">
        <v>74</v>
      </c>
      <c r="F1524" t="s">
        <v>1990</v>
      </c>
      <c r="G1524">
        <f>+IF(dHdcp[[#This Row],[Fecha]]=MAX(dHdcp[Fecha]),1,0)</f>
        <v>0</v>
      </c>
      <c r="H1524" t="str">
        <f>+dHdcp[[#This Row],[Maximo]]&amp;":"&amp;dHdcp[[#This Row],[Nombre]]</f>
        <v>0:Francisco Alvarez</v>
      </c>
      <c r="I1524" t="str">
        <f>+dHdcp[[#This Row],[Maximo]]&amp;":"&amp;_xlfn.XLOOKUP(dHdcp[[#This Row],[Nombre]],dJugador[Nombre],dJugador[Mote],"",0)</f>
        <v>0:Paco</v>
      </c>
      <c r="J1524" t="str">
        <f>+IF(dHdcp[[#This Row],[Maximo]]=0,"",_xlfn.RANK.EQ(dHdcp[[#This Row],[Handicap]],dHdcp[Handicap],1))</f>
        <v/>
      </c>
      <c r="K1524" t="str">
        <f>IFERROR(+_xlfn.RANK.EQ(dHdcp[[#This Row],[Ranking]],dHdcp[Ranking],1),"")</f>
        <v/>
      </c>
      <c r="M1524" t="str">
        <f>+dHdcp[[#This Row],[Fecha]]&amp;":"&amp;dHdcp[[#This Row],[Nombre]]</f>
        <v>45010:Francisco Alvarez</v>
      </c>
      <c r="N1524">
        <f>+COUNTIF(dHdcp[Columna1],dHdcp[[#This Row],[Columna1]])</f>
        <v>1</v>
      </c>
    </row>
    <row r="1525" spans="1:14">
      <c r="A1525" s="2">
        <v>45010</v>
      </c>
      <c r="B1525" t="s">
        <v>49</v>
      </c>
      <c r="C1525" s="51">
        <v>11.8</v>
      </c>
      <c r="D1525">
        <f>+VLOOKUP(dHdcp[[#This Row],[Handicap]],'Categoría Hdcap'!$B$2:$E$7,4)</f>
        <v>3</v>
      </c>
      <c r="E1525" t="s">
        <v>74</v>
      </c>
      <c r="F1525" t="s">
        <v>1991</v>
      </c>
      <c r="G1525">
        <f>+IF(dHdcp[[#This Row],[Fecha]]=MAX(dHdcp[Fecha]),1,0)</f>
        <v>0</v>
      </c>
      <c r="H1525" t="str">
        <f>+dHdcp[[#This Row],[Maximo]]&amp;":"&amp;dHdcp[[#This Row],[Nombre]]</f>
        <v>0:Francisco Hidalgo</v>
      </c>
      <c r="I1525" t="str">
        <f>+dHdcp[[#This Row],[Maximo]]&amp;":"&amp;_xlfn.XLOOKUP(dHdcp[[#This Row],[Nombre]],dJugador[Nombre],dJugador[Mote],"",0)</f>
        <v>0:Fran</v>
      </c>
      <c r="J1525" t="str">
        <f>+IF(dHdcp[[#This Row],[Maximo]]=0,"",_xlfn.RANK.EQ(dHdcp[[#This Row],[Handicap]],dHdcp[Handicap],1))</f>
        <v/>
      </c>
      <c r="K1525" t="str">
        <f>IFERROR(+_xlfn.RANK.EQ(dHdcp[[#This Row],[Ranking]],dHdcp[Ranking],1),"")</f>
        <v/>
      </c>
      <c r="M1525" t="str">
        <f>+dHdcp[[#This Row],[Fecha]]&amp;":"&amp;dHdcp[[#This Row],[Nombre]]</f>
        <v>45010:Francisco Hidalgo</v>
      </c>
      <c r="N1525">
        <f>+COUNTIF(dHdcp[Columna1],dHdcp[[#This Row],[Columna1]])</f>
        <v>1</v>
      </c>
    </row>
    <row r="1526" spans="1:14">
      <c r="A1526" s="2">
        <v>45010</v>
      </c>
      <c r="B1526" t="s">
        <v>207</v>
      </c>
      <c r="C1526" s="51">
        <v>14.5</v>
      </c>
      <c r="D1526">
        <f>+VLOOKUP(dHdcp[[#This Row],[Handicap]],'Categoría Hdcap'!$B$2:$E$7,4)</f>
        <v>3</v>
      </c>
      <c r="E1526" t="s">
        <v>74</v>
      </c>
      <c r="F1526" t="s">
        <v>1992</v>
      </c>
      <c r="G1526">
        <f>+IF(dHdcp[[#This Row],[Fecha]]=MAX(dHdcp[Fecha]),1,0)</f>
        <v>0</v>
      </c>
      <c r="H1526" t="str">
        <f>+dHdcp[[#This Row],[Maximo]]&amp;":"&amp;dHdcp[[#This Row],[Nombre]]</f>
        <v>0:Franck Benouniche</v>
      </c>
      <c r="I1526" t="str">
        <f>+dHdcp[[#This Row],[Maximo]]&amp;":"&amp;_xlfn.XLOOKUP(dHdcp[[#This Row],[Nombre]],dJugador[Nombre],dJugador[Mote],"",0)</f>
        <v>0:Franck</v>
      </c>
      <c r="J1526" t="str">
        <f>+IF(dHdcp[[#This Row],[Maximo]]=0,"",_xlfn.RANK.EQ(dHdcp[[#This Row],[Handicap]],dHdcp[Handicap],1))</f>
        <v/>
      </c>
      <c r="K1526" t="str">
        <f>IFERROR(+_xlfn.RANK.EQ(dHdcp[[#This Row],[Ranking]],dHdcp[Ranking],1),"")</f>
        <v/>
      </c>
      <c r="M1526" t="str">
        <f>+dHdcp[[#This Row],[Fecha]]&amp;":"&amp;dHdcp[[#This Row],[Nombre]]</f>
        <v>45010:Franck Benouniche</v>
      </c>
      <c r="N1526">
        <f>+COUNTIF(dHdcp[Columna1],dHdcp[[#This Row],[Columna1]])</f>
        <v>1</v>
      </c>
    </row>
    <row r="1527" spans="1:14">
      <c r="A1527" s="2">
        <v>45010</v>
      </c>
      <c r="B1527" t="s">
        <v>35</v>
      </c>
      <c r="C1527" s="51">
        <v>19</v>
      </c>
      <c r="D1527">
        <f>+VLOOKUP(dHdcp[[#This Row],[Handicap]],'Categoría Hdcap'!$B$2:$E$7,4)</f>
        <v>4</v>
      </c>
      <c r="E1527" t="s">
        <v>74</v>
      </c>
      <c r="F1527" t="s">
        <v>1993</v>
      </c>
      <c r="G1527">
        <f>+IF(dHdcp[[#This Row],[Fecha]]=MAX(dHdcp[Fecha]),1,0)</f>
        <v>0</v>
      </c>
      <c r="H1527" t="str">
        <f>+dHdcp[[#This Row],[Maximo]]&amp;":"&amp;dHdcp[[#This Row],[Nombre]]</f>
        <v>0:GLEZ JUAN JOSÉ</v>
      </c>
      <c r="I1527" t="str">
        <f>+dHdcp[[#This Row],[Maximo]]&amp;":"&amp;_xlfn.XLOOKUP(dHdcp[[#This Row],[Nombre]],dJugador[Nombre],dJugador[Mote],"",0)</f>
        <v>0:Juanjo</v>
      </c>
      <c r="J1527" t="str">
        <f>+IF(dHdcp[[#This Row],[Maximo]]=0,"",_xlfn.RANK.EQ(dHdcp[[#This Row],[Handicap]],dHdcp[Handicap],1))</f>
        <v/>
      </c>
      <c r="K1527" t="str">
        <f>IFERROR(+_xlfn.RANK.EQ(dHdcp[[#This Row],[Ranking]],dHdcp[Ranking],1),"")</f>
        <v/>
      </c>
      <c r="M1527" t="str">
        <f>+dHdcp[[#This Row],[Fecha]]&amp;":"&amp;dHdcp[[#This Row],[Nombre]]</f>
        <v>45010:GLEZ JUAN JOSÉ</v>
      </c>
      <c r="N1527">
        <f>+COUNTIF(dHdcp[Columna1],dHdcp[[#This Row],[Columna1]])</f>
        <v>1</v>
      </c>
    </row>
    <row r="1528" spans="1:14">
      <c r="A1528" s="2">
        <v>45010</v>
      </c>
      <c r="B1528" t="s">
        <v>6</v>
      </c>
      <c r="C1528" s="51">
        <v>8.8000000000000007</v>
      </c>
      <c r="D1528">
        <f>+VLOOKUP(dHdcp[[#This Row],[Handicap]],'Categoría Hdcap'!$B$2:$E$7,4)</f>
        <v>2</v>
      </c>
      <c r="E1528" t="s">
        <v>74</v>
      </c>
      <c r="F1528" t="s">
        <v>1994</v>
      </c>
      <c r="G1528">
        <f>+IF(dHdcp[[#This Row],[Fecha]]=MAX(dHdcp[Fecha]),1,0)</f>
        <v>0</v>
      </c>
      <c r="H1528" t="str">
        <f>+dHdcp[[#This Row],[Maximo]]&amp;":"&amp;dHdcp[[#This Row],[Nombre]]</f>
        <v>0:Ignacio Cadarso</v>
      </c>
      <c r="I1528" t="str">
        <f>+dHdcp[[#This Row],[Maximo]]&amp;":"&amp;_xlfn.XLOOKUP(dHdcp[[#This Row],[Nombre]],dJugador[Nombre],dJugador[Mote],"",0)</f>
        <v>0:Ignacio</v>
      </c>
      <c r="J1528" t="str">
        <f>+IF(dHdcp[[#This Row],[Maximo]]=0,"",_xlfn.RANK.EQ(dHdcp[[#This Row],[Handicap]],dHdcp[Handicap],1))</f>
        <v/>
      </c>
      <c r="K1528" t="str">
        <f>IFERROR(+_xlfn.RANK.EQ(dHdcp[[#This Row],[Ranking]],dHdcp[Ranking],1),"")</f>
        <v/>
      </c>
      <c r="M1528" t="str">
        <f>+dHdcp[[#This Row],[Fecha]]&amp;":"&amp;dHdcp[[#This Row],[Nombre]]</f>
        <v>45010:Ignacio Cadarso</v>
      </c>
      <c r="N1528">
        <f>+COUNTIF(dHdcp[Columna1],dHdcp[[#This Row],[Columna1]])</f>
        <v>1</v>
      </c>
    </row>
    <row r="1529" spans="1:14">
      <c r="A1529" s="2">
        <v>45010</v>
      </c>
      <c r="B1529" t="s">
        <v>298</v>
      </c>
      <c r="C1529" s="51">
        <v>23.7</v>
      </c>
      <c r="D1529">
        <f>+VLOOKUP(dHdcp[[#This Row],[Handicap]],'Categoría Hdcap'!$B$2:$E$7,4)</f>
        <v>4</v>
      </c>
      <c r="E1529" t="s">
        <v>74</v>
      </c>
      <c r="F1529" t="s">
        <v>1995</v>
      </c>
      <c r="G1529">
        <f>+IF(dHdcp[[#This Row],[Fecha]]=MAX(dHdcp[Fecha]),1,0)</f>
        <v>0</v>
      </c>
      <c r="H1529" t="str">
        <f>+dHdcp[[#This Row],[Maximo]]&amp;":"&amp;dHdcp[[#This Row],[Nombre]]</f>
        <v>0:Ignacio Gracia Charlez</v>
      </c>
      <c r="I1529" t="str">
        <f>+dHdcp[[#This Row],[Maximo]]&amp;":"&amp;_xlfn.XLOOKUP(dHdcp[[#This Row],[Nombre]],dJugador[Nombre],dJugador[Mote],"",0)</f>
        <v>0:I Gracia</v>
      </c>
      <c r="J1529" t="str">
        <f>+IF(dHdcp[[#This Row],[Maximo]]=0,"",_xlfn.RANK.EQ(dHdcp[[#This Row],[Handicap]],dHdcp[Handicap],1))</f>
        <v/>
      </c>
      <c r="K1529" t="str">
        <f>IFERROR(+_xlfn.RANK.EQ(dHdcp[[#This Row],[Ranking]],dHdcp[Ranking],1),"")</f>
        <v/>
      </c>
      <c r="M1529" t="str">
        <f>+dHdcp[[#This Row],[Fecha]]&amp;":"&amp;dHdcp[[#This Row],[Nombre]]</f>
        <v>45010:Ignacio Gracia Charlez</v>
      </c>
      <c r="N1529">
        <f>+COUNTIF(dHdcp[Columna1],dHdcp[[#This Row],[Columna1]])</f>
        <v>1</v>
      </c>
    </row>
    <row r="1530" spans="1:14">
      <c r="A1530" s="2">
        <v>45010</v>
      </c>
      <c r="B1530" t="s">
        <v>23</v>
      </c>
      <c r="C1530" s="51">
        <v>17.899999999999999</v>
      </c>
      <c r="D1530">
        <f>+VLOOKUP(dHdcp[[#This Row],[Handicap]],'Categoría Hdcap'!$B$2:$E$7,4)</f>
        <v>3</v>
      </c>
      <c r="E1530" t="s">
        <v>74</v>
      </c>
      <c r="F1530" t="s">
        <v>1996</v>
      </c>
      <c r="G1530">
        <f>+IF(dHdcp[[#This Row],[Fecha]]=MAX(dHdcp[Fecha]),1,0)</f>
        <v>0</v>
      </c>
      <c r="H1530" t="str">
        <f>+dHdcp[[#This Row],[Maximo]]&amp;":"&amp;dHdcp[[#This Row],[Nombre]]</f>
        <v>0:J. Enrique Gonzalez</v>
      </c>
      <c r="I1530" t="str">
        <f>+dHdcp[[#This Row],[Maximo]]&amp;":"&amp;_xlfn.XLOOKUP(dHdcp[[#This Row],[Nombre]],dJugador[Nombre],dJugador[Mote],"",0)</f>
        <v>0:Kike</v>
      </c>
      <c r="J1530" t="str">
        <f>+IF(dHdcp[[#This Row],[Maximo]]=0,"",_xlfn.RANK.EQ(dHdcp[[#This Row],[Handicap]],dHdcp[Handicap],1))</f>
        <v/>
      </c>
      <c r="K1530" t="str">
        <f>IFERROR(+_xlfn.RANK.EQ(dHdcp[[#This Row],[Ranking]],dHdcp[Ranking],1),"")</f>
        <v/>
      </c>
      <c r="M1530" t="str">
        <f>+dHdcp[[#This Row],[Fecha]]&amp;":"&amp;dHdcp[[#This Row],[Nombre]]</f>
        <v>45010:J. Enrique Gonzalez</v>
      </c>
      <c r="N1530">
        <f>+COUNTIF(dHdcp[Columna1],dHdcp[[#This Row],[Columna1]])</f>
        <v>1</v>
      </c>
    </row>
    <row r="1531" spans="1:14">
      <c r="A1531" s="2">
        <v>45010</v>
      </c>
      <c r="B1531" t="s">
        <v>289</v>
      </c>
      <c r="C1531" s="51">
        <v>9.9</v>
      </c>
      <c r="D1531">
        <f>+VLOOKUP(dHdcp[[#This Row],[Handicap]],'Categoría Hdcap'!$B$2:$E$7,4)</f>
        <v>2</v>
      </c>
      <c r="E1531" t="s">
        <v>74</v>
      </c>
      <c r="F1531" t="s">
        <v>1997</v>
      </c>
      <c r="G1531">
        <f>+IF(dHdcp[[#This Row],[Fecha]]=MAX(dHdcp[Fecha]),1,0)</f>
        <v>0</v>
      </c>
      <c r="H1531" t="str">
        <f>+dHdcp[[#This Row],[Maximo]]&amp;":"&amp;dHdcp[[#This Row],[Nombre]]</f>
        <v>0:Jaime Villanueva</v>
      </c>
      <c r="I1531" t="str">
        <f>+dHdcp[[#This Row],[Maximo]]&amp;":"&amp;_xlfn.XLOOKUP(dHdcp[[#This Row],[Nombre]],dJugador[Nombre],dJugador[Mote],"",0)</f>
        <v>0:Villanueva</v>
      </c>
      <c r="J1531" t="str">
        <f>+IF(dHdcp[[#This Row],[Maximo]]=0,"",_xlfn.RANK.EQ(dHdcp[[#This Row],[Handicap]],dHdcp[Handicap],1))</f>
        <v/>
      </c>
      <c r="K1531" t="str">
        <f>IFERROR(+_xlfn.RANK.EQ(dHdcp[[#This Row],[Ranking]],dHdcp[Ranking],1),"")</f>
        <v/>
      </c>
      <c r="M1531" t="str">
        <f>+dHdcp[[#This Row],[Fecha]]&amp;":"&amp;dHdcp[[#This Row],[Nombre]]</f>
        <v>45010:Jaime Villanueva</v>
      </c>
      <c r="N1531">
        <f>+COUNTIF(dHdcp[Columna1],dHdcp[[#This Row],[Columna1]])</f>
        <v>1</v>
      </c>
    </row>
    <row r="1532" spans="1:14">
      <c r="A1532" s="2">
        <v>45010</v>
      </c>
      <c r="B1532" t="s">
        <v>328</v>
      </c>
      <c r="C1532" s="51">
        <v>11</v>
      </c>
      <c r="D1532">
        <f>+VLOOKUP(dHdcp[[#This Row],[Handicap]],'Categoría Hdcap'!$B$2:$E$7,4)</f>
        <v>2</v>
      </c>
      <c r="E1532" t="s">
        <v>74</v>
      </c>
      <c r="F1532" t="s">
        <v>1998</v>
      </c>
      <c r="G1532">
        <f>+IF(dHdcp[[#This Row],[Fecha]]=MAX(dHdcp[Fecha]),1,0)</f>
        <v>0</v>
      </c>
      <c r="H1532" t="str">
        <f>+dHdcp[[#This Row],[Maximo]]&amp;":"&amp;dHdcp[[#This Row],[Nombre]]</f>
        <v>0:Javier Arcos</v>
      </c>
      <c r="I1532" t="str">
        <f>+dHdcp[[#This Row],[Maximo]]&amp;":"&amp;_xlfn.XLOOKUP(dHdcp[[#This Row],[Nombre]],dJugador[Nombre],dJugador[Mote],"",0)</f>
        <v>0:J.Arcos</v>
      </c>
      <c r="J1532" t="str">
        <f>+IF(dHdcp[[#This Row],[Maximo]]=0,"",_xlfn.RANK.EQ(dHdcp[[#This Row],[Handicap]],dHdcp[Handicap],1))</f>
        <v/>
      </c>
      <c r="K1532" t="str">
        <f>IFERROR(+_xlfn.RANK.EQ(dHdcp[[#This Row],[Ranking]],dHdcp[Ranking],1),"")</f>
        <v/>
      </c>
      <c r="M1532" t="str">
        <f>+dHdcp[[#This Row],[Fecha]]&amp;":"&amp;dHdcp[[#This Row],[Nombre]]</f>
        <v>45010:Javier Arcos</v>
      </c>
      <c r="N1532">
        <f>+COUNTIF(dHdcp[Columna1],dHdcp[[#This Row],[Columna1]])</f>
        <v>1</v>
      </c>
    </row>
    <row r="1533" spans="1:14">
      <c r="A1533" s="2">
        <v>45010</v>
      </c>
      <c r="B1533" s="2" t="s">
        <v>378</v>
      </c>
      <c r="C1533" s="51">
        <v>12.1</v>
      </c>
      <c r="D1533">
        <f>+VLOOKUP(dHdcp[[#This Row],[Handicap]],'Categoría Hdcap'!$B$2:$E$7,4)</f>
        <v>3</v>
      </c>
      <c r="E1533" t="s">
        <v>74</v>
      </c>
      <c r="F1533" t="s">
        <v>1999</v>
      </c>
      <c r="G1533">
        <f>+IF(dHdcp[[#This Row],[Fecha]]=MAX(dHdcp[Fecha]),1,0)</f>
        <v>0</v>
      </c>
      <c r="H1533" t="str">
        <f>+dHdcp[[#This Row],[Maximo]]&amp;":"&amp;dHdcp[[#This Row],[Nombre]]</f>
        <v>0:Javier Campo</v>
      </c>
      <c r="I1533" t="str">
        <f>+dHdcp[[#This Row],[Maximo]]&amp;":"&amp;_xlfn.XLOOKUP(dHdcp[[#This Row],[Nombre]],dJugador[Nombre],dJugador[Mote],"",0)</f>
        <v>0:Campo</v>
      </c>
      <c r="J1533" t="str">
        <f>+IF(dHdcp[[#This Row],[Maximo]]=0,"",_xlfn.RANK.EQ(dHdcp[[#This Row],[Handicap]],dHdcp[Handicap],1))</f>
        <v/>
      </c>
      <c r="K1533" t="str">
        <f>IFERROR(+_xlfn.RANK.EQ(dHdcp[[#This Row],[Ranking]],dHdcp[Ranking],1),"")</f>
        <v/>
      </c>
      <c r="M1533" t="str">
        <f>+dHdcp[[#This Row],[Fecha]]&amp;":"&amp;dHdcp[[#This Row],[Nombre]]</f>
        <v>45010:Javier Campo</v>
      </c>
      <c r="N1533">
        <f>+COUNTIF(dHdcp[Columna1],dHdcp[[#This Row],[Columna1]])</f>
        <v>1</v>
      </c>
    </row>
    <row r="1534" spans="1:14">
      <c r="A1534" s="2">
        <v>45010</v>
      </c>
      <c r="B1534" t="s">
        <v>46</v>
      </c>
      <c r="C1534" s="51">
        <v>16.7</v>
      </c>
      <c r="D1534">
        <f>+VLOOKUP(dHdcp[[#This Row],[Handicap]],'Categoría Hdcap'!$B$2:$E$7,4)</f>
        <v>3</v>
      </c>
      <c r="E1534" t="s">
        <v>74</v>
      </c>
      <c r="F1534" t="s">
        <v>2000</v>
      </c>
      <c r="G1534">
        <f>+IF(dHdcp[[#This Row],[Fecha]]=MAX(dHdcp[Fecha]),1,0)</f>
        <v>0</v>
      </c>
      <c r="H1534" t="str">
        <f>+dHdcp[[#This Row],[Maximo]]&amp;":"&amp;dHdcp[[#This Row],[Nombre]]</f>
        <v>0:Javier Cervera</v>
      </c>
      <c r="I1534" t="str">
        <f>+dHdcp[[#This Row],[Maximo]]&amp;":"&amp;_xlfn.XLOOKUP(dHdcp[[#This Row],[Nombre]],dJugador[Nombre],dJugador[Mote],"",0)</f>
        <v>0:Virus</v>
      </c>
      <c r="J1534" t="str">
        <f>+IF(dHdcp[[#This Row],[Maximo]]=0,"",_xlfn.RANK.EQ(dHdcp[[#This Row],[Handicap]],dHdcp[Handicap],1))</f>
        <v/>
      </c>
      <c r="K1534" t="str">
        <f>IFERROR(+_xlfn.RANK.EQ(dHdcp[[#This Row],[Ranking]],dHdcp[Ranking],1),"")</f>
        <v/>
      </c>
      <c r="M1534" t="str">
        <f>+dHdcp[[#This Row],[Fecha]]&amp;":"&amp;dHdcp[[#This Row],[Nombre]]</f>
        <v>45010:Javier Cervera</v>
      </c>
      <c r="N1534">
        <f>+COUNTIF(dHdcp[Columna1],dHdcp[[#This Row],[Columna1]])</f>
        <v>1</v>
      </c>
    </row>
    <row r="1535" spans="1:14">
      <c r="A1535" s="2">
        <v>45010</v>
      </c>
      <c r="B1535" t="s">
        <v>225</v>
      </c>
      <c r="C1535" s="51">
        <v>10.5</v>
      </c>
      <c r="D1535">
        <f>+VLOOKUP(dHdcp[[#This Row],[Handicap]],'Categoría Hdcap'!$B$2:$E$7,4)</f>
        <v>2</v>
      </c>
      <c r="E1535" t="s">
        <v>74</v>
      </c>
      <c r="F1535" t="s">
        <v>2001</v>
      </c>
      <c r="G1535">
        <f>+IF(dHdcp[[#This Row],[Fecha]]=MAX(dHdcp[Fecha]),1,0)</f>
        <v>0</v>
      </c>
      <c r="H1535" t="str">
        <f>+dHdcp[[#This Row],[Maximo]]&amp;":"&amp;dHdcp[[#This Row],[Nombre]]</f>
        <v>0:Javier Chiralt</v>
      </c>
      <c r="I1535" t="str">
        <f>+dHdcp[[#This Row],[Maximo]]&amp;":"&amp;_xlfn.XLOOKUP(dHdcp[[#This Row],[Nombre]],dJugador[Nombre],dJugador[Mote],"",0)</f>
        <v>0:Chiralt</v>
      </c>
      <c r="J1535" t="str">
        <f>+IF(dHdcp[[#This Row],[Maximo]]=0,"",_xlfn.RANK.EQ(dHdcp[[#This Row],[Handicap]],dHdcp[Handicap],1))</f>
        <v/>
      </c>
      <c r="K1535" t="str">
        <f>IFERROR(+_xlfn.RANK.EQ(dHdcp[[#This Row],[Ranking]],dHdcp[Ranking],1),"")</f>
        <v/>
      </c>
      <c r="M1535" t="str">
        <f>+dHdcp[[#This Row],[Fecha]]&amp;":"&amp;dHdcp[[#This Row],[Nombre]]</f>
        <v>45010:Javier Chiralt</v>
      </c>
      <c r="N1535">
        <f>+COUNTIF(dHdcp[Columna1],dHdcp[[#This Row],[Columna1]])</f>
        <v>1</v>
      </c>
    </row>
    <row r="1536" spans="1:14">
      <c r="A1536" s="2">
        <v>45010</v>
      </c>
      <c r="B1536" t="s">
        <v>20</v>
      </c>
      <c r="C1536" s="51">
        <v>17.5</v>
      </c>
      <c r="D1536">
        <f>+VLOOKUP(dHdcp[[#This Row],[Handicap]],'Categoría Hdcap'!$B$2:$E$7,4)</f>
        <v>3</v>
      </c>
      <c r="E1536" t="s">
        <v>74</v>
      </c>
      <c r="F1536" t="s">
        <v>2002</v>
      </c>
      <c r="G1536">
        <f>+IF(dHdcp[[#This Row],[Fecha]]=MAX(dHdcp[Fecha]),1,0)</f>
        <v>0</v>
      </c>
      <c r="H1536" t="str">
        <f>+dHdcp[[#This Row],[Maximo]]&amp;":"&amp;dHdcp[[#This Row],[Nombre]]</f>
        <v>0:Javier Gonzalez Salvador</v>
      </c>
      <c r="I1536" t="str">
        <f>+dHdcp[[#This Row],[Maximo]]&amp;":"&amp;_xlfn.XLOOKUP(dHdcp[[#This Row],[Nombre]],dJugador[Nombre],dJugador[Mote],"",0)</f>
        <v>0:Javi</v>
      </c>
      <c r="J1536" t="str">
        <f>+IF(dHdcp[[#This Row],[Maximo]]=0,"",_xlfn.RANK.EQ(dHdcp[[#This Row],[Handicap]],dHdcp[Handicap],1))</f>
        <v/>
      </c>
      <c r="K1536" t="str">
        <f>IFERROR(+_xlfn.RANK.EQ(dHdcp[[#This Row],[Ranking]],dHdcp[Ranking],1),"")</f>
        <v/>
      </c>
      <c r="M1536" t="str">
        <f>+dHdcp[[#This Row],[Fecha]]&amp;":"&amp;dHdcp[[#This Row],[Nombre]]</f>
        <v>45010:Javier Gonzalez Salvador</v>
      </c>
      <c r="N1536">
        <f>+COUNTIF(dHdcp[Columna1],dHdcp[[#This Row],[Columna1]])</f>
        <v>1</v>
      </c>
    </row>
    <row r="1537" spans="1:14">
      <c r="A1537" s="2">
        <v>45010</v>
      </c>
      <c r="B1537" t="s">
        <v>217</v>
      </c>
      <c r="C1537" s="51">
        <v>21</v>
      </c>
      <c r="D1537">
        <f>+VLOOKUP(dHdcp[[#This Row],[Handicap]],'Categoría Hdcap'!$B$2:$E$7,4)</f>
        <v>4</v>
      </c>
      <c r="E1537" t="s">
        <v>74</v>
      </c>
      <c r="F1537" t="s">
        <v>2003</v>
      </c>
      <c r="G1537">
        <f>+IF(dHdcp[[#This Row],[Fecha]]=MAX(dHdcp[Fecha]),1,0)</f>
        <v>0</v>
      </c>
      <c r="H1537" t="str">
        <f>+dHdcp[[#This Row],[Maximo]]&amp;":"&amp;dHdcp[[#This Row],[Nombre]]</f>
        <v>0:Javier Lopez Gullón</v>
      </c>
      <c r="I1537" t="str">
        <f>+dHdcp[[#This Row],[Maximo]]&amp;":"&amp;_xlfn.XLOOKUP(dHdcp[[#This Row],[Nombre]],dJugador[Nombre],dJugador[Mote],"",0)</f>
        <v>0:Cuñao</v>
      </c>
      <c r="J1537" t="str">
        <f>+IF(dHdcp[[#This Row],[Maximo]]=0,"",_xlfn.RANK.EQ(dHdcp[[#This Row],[Handicap]],dHdcp[Handicap],1))</f>
        <v/>
      </c>
      <c r="K1537" t="str">
        <f>IFERROR(+_xlfn.RANK.EQ(dHdcp[[#This Row],[Ranking]],dHdcp[Ranking],1),"")</f>
        <v/>
      </c>
      <c r="M1537" t="str">
        <f>+dHdcp[[#This Row],[Fecha]]&amp;":"&amp;dHdcp[[#This Row],[Nombre]]</f>
        <v>45010:Javier Lopez Gullón</v>
      </c>
      <c r="N1537">
        <f>+COUNTIF(dHdcp[Columna1],dHdcp[[#This Row],[Columna1]])</f>
        <v>1</v>
      </c>
    </row>
    <row r="1538" spans="1:14">
      <c r="A1538" s="2">
        <v>45010</v>
      </c>
      <c r="B1538" t="s">
        <v>41</v>
      </c>
      <c r="C1538" s="51">
        <v>23.9</v>
      </c>
      <c r="D1538">
        <f>+VLOOKUP(dHdcp[[#This Row],[Handicap]],'Categoría Hdcap'!$B$2:$E$7,4)</f>
        <v>4</v>
      </c>
      <c r="E1538" t="s">
        <v>74</v>
      </c>
      <c r="F1538" t="s">
        <v>2004</v>
      </c>
      <c r="G1538">
        <f>+IF(dHdcp[[#This Row],[Fecha]]=MAX(dHdcp[Fecha]),1,0)</f>
        <v>0</v>
      </c>
      <c r="H1538" t="str">
        <f>+dHdcp[[#This Row],[Maximo]]&amp;":"&amp;dHdcp[[#This Row],[Nombre]]</f>
        <v>0:Jesus Touceda</v>
      </c>
      <c r="I1538" t="str">
        <f>+dHdcp[[#This Row],[Maximo]]&amp;":"&amp;_xlfn.XLOOKUP(dHdcp[[#This Row],[Nombre]],dJugador[Nombre],dJugador[Mote],"",0)</f>
        <v>0:Jesús</v>
      </c>
      <c r="J1538" t="str">
        <f>+IF(dHdcp[[#This Row],[Maximo]]=0,"",_xlfn.RANK.EQ(dHdcp[[#This Row],[Handicap]],dHdcp[Handicap],1))</f>
        <v/>
      </c>
      <c r="K1538" t="str">
        <f>IFERROR(+_xlfn.RANK.EQ(dHdcp[[#This Row],[Ranking]],dHdcp[Ranking],1),"")</f>
        <v/>
      </c>
      <c r="M1538" t="str">
        <f>+dHdcp[[#This Row],[Fecha]]&amp;":"&amp;dHdcp[[#This Row],[Nombre]]</f>
        <v>45010:Jesus Touceda</v>
      </c>
      <c r="N1538">
        <f>+COUNTIF(dHdcp[Columna1],dHdcp[[#This Row],[Columna1]])</f>
        <v>1</v>
      </c>
    </row>
    <row r="1539" spans="1:14">
      <c r="A1539" s="2">
        <v>45010</v>
      </c>
      <c r="B1539" t="s">
        <v>297</v>
      </c>
      <c r="C1539" s="51">
        <v>23.5</v>
      </c>
      <c r="D1539">
        <f>+VLOOKUP(dHdcp[[#This Row],[Handicap]],'Categoría Hdcap'!$B$2:$E$7,4)</f>
        <v>4</v>
      </c>
      <c r="E1539" t="s">
        <v>74</v>
      </c>
      <c r="F1539" t="s">
        <v>2005</v>
      </c>
      <c r="G1539">
        <f>+IF(dHdcp[[#This Row],[Fecha]]=MAX(dHdcp[Fecha]),1,0)</f>
        <v>0</v>
      </c>
      <c r="H1539" t="str">
        <f>+dHdcp[[#This Row],[Maximo]]&amp;":"&amp;dHdcp[[#This Row],[Nombre]]</f>
        <v>0:Jorge Alberto Martínez Sánchez</v>
      </c>
      <c r="I1539" t="str">
        <f>+dHdcp[[#This Row],[Maximo]]&amp;":"&amp;_xlfn.XLOOKUP(dHdcp[[#This Row],[Nombre]],dJugador[Nombre],dJugador[Mote],"",0)</f>
        <v>0:Jorge</v>
      </c>
      <c r="J1539" t="str">
        <f>+IF(dHdcp[[#This Row],[Maximo]]=0,"",_xlfn.RANK.EQ(dHdcp[[#This Row],[Handicap]],dHdcp[Handicap],1))</f>
        <v/>
      </c>
      <c r="K1539" t="str">
        <f>IFERROR(+_xlfn.RANK.EQ(dHdcp[[#This Row],[Ranking]],dHdcp[Ranking],1),"")</f>
        <v/>
      </c>
      <c r="M1539" t="str">
        <f>+dHdcp[[#This Row],[Fecha]]&amp;":"&amp;dHdcp[[#This Row],[Nombre]]</f>
        <v>45010:Jorge Alberto Martínez Sánchez</v>
      </c>
      <c r="N1539">
        <f>+COUNTIF(dHdcp[Columna1],dHdcp[[#This Row],[Columna1]])</f>
        <v>1</v>
      </c>
    </row>
    <row r="1540" spans="1:14">
      <c r="A1540" s="2">
        <v>45010</v>
      </c>
      <c r="B1540" t="s">
        <v>18</v>
      </c>
      <c r="C1540" s="51">
        <v>7.4</v>
      </c>
      <c r="D1540">
        <f>+VLOOKUP(dHdcp[[#This Row],[Handicap]],'Categoría Hdcap'!$B$2:$E$7,4)</f>
        <v>2</v>
      </c>
      <c r="E1540" t="s">
        <v>74</v>
      </c>
      <c r="F1540" t="s">
        <v>2006</v>
      </c>
      <c r="G1540">
        <f>+IF(dHdcp[[#This Row],[Fecha]]=MAX(dHdcp[Fecha]),1,0)</f>
        <v>0</v>
      </c>
      <c r="H1540" t="str">
        <f>+dHdcp[[#This Row],[Maximo]]&amp;":"&amp;dHdcp[[#This Row],[Nombre]]</f>
        <v>0:José Pablo Guil</v>
      </c>
      <c r="I1540" t="str">
        <f>+dHdcp[[#This Row],[Maximo]]&amp;":"&amp;_xlfn.XLOOKUP(dHdcp[[#This Row],[Nombre]],dJugador[Nombre],dJugador[Mote],"",0)</f>
        <v>0:JP</v>
      </c>
      <c r="J1540" t="str">
        <f>+IF(dHdcp[[#This Row],[Maximo]]=0,"",_xlfn.RANK.EQ(dHdcp[[#This Row],[Handicap]],dHdcp[Handicap],1))</f>
        <v/>
      </c>
      <c r="K1540" t="str">
        <f>IFERROR(+_xlfn.RANK.EQ(dHdcp[[#This Row],[Ranking]],dHdcp[Ranking],1),"")</f>
        <v/>
      </c>
      <c r="M1540" t="str">
        <f>+dHdcp[[#This Row],[Fecha]]&amp;":"&amp;dHdcp[[#This Row],[Nombre]]</f>
        <v>45010:José Pablo Guil</v>
      </c>
      <c r="N1540">
        <f>+COUNTIF(dHdcp[Columna1],dHdcp[[#This Row],[Columna1]])</f>
        <v>1</v>
      </c>
    </row>
    <row r="1541" spans="1:14">
      <c r="A1541" s="2">
        <v>45010</v>
      </c>
      <c r="B1541" t="s">
        <v>293</v>
      </c>
      <c r="C1541" s="51">
        <v>21.1</v>
      </c>
      <c r="D1541">
        <f>+VLOOKUP(dHdcp[[#This Row],[Handicap]],'Categoría Hdcap'!$B$2:$E$7,4)</f>
        <v>4</v>
      </c>
      <c r="E1541" t="s">
        <v>74</v>
      </c>
      <c r="F1541" t="s">
        <v>2007</v>
      </c>
      <c r="G1541">
        <f>+IF(dHdcp[[#This Row],[Fecha]]=MAX(dHdcp[Fecha]),1,0)</f>
        <v>0</v>
      </c>
      <c r="H1541" t="str">
        <f>+dHdcp[[#This Row],[Maximo]]&amp;":"&amp;dHdcp[[#This Row],[Nombre]]</f>
        <v>0:Juan Jose Aguado</v>
      </c>
      <c r="I1541" t="str">
        <f>+dHdcp[[#This Row],[Maximo]]&amp;":"&amp;_xlfn.XLOOKUP(dHdcp[[#This Row],[Nombre]],dJugador[Nombre],dJugador[Mote],"",0)</f>
        <v>0:Juancho</v>
      </c>
      <c r="J1541" t="str">
        <f>+IF(dHdcp[[#This Row],[Maximo]]=0,"",_xlfn.RANK.EQ(dHdcp[[#This Row],[Handicap]],dHdcp[Handicap],1))</f>
        <v/>
      </c>
      <c r="K1541" t="str">
        <f>IFERROR(+_xlfn.RANK.EQ(dHdcp[[#This Row],[Ranking]],dHdcp[Ranking],1),"")</f>
        <v/>
      </c>
      <c r="M1541" t="str">
        <f>+dHdcp[[#This Row],[Fecha]]&amp;":"&amp;dHdcp[[#This Row],[Nombre]]</f>
        <v>45010:Juan Jose Aguado</v>
      </c>
      <c r="N1541">
        <f>+COUNTIF(dHdcp[Columna1],dHdcp[[#This Row],[Columna1]])</f>
        <v>1</v>
      </c>
    </row>
    <row r="1542" spans="1:14">
      <c r="A1542" s="2">
        <v>45010</v>
      </c>
      <c r="B1542" t="s">
        <v>383</v>
      </c>
      <c r="C1542" s="51">
        <v>34.200000000000003</v>
      </c>
      <c r="D1542">
        <f>+VLOOKUP(dHdcp[[#This Row],[Handicap]],'Categoría Hdcap'!$B$2:$E$7,4)</f>
        <v>5</v>
      </c>
      <c r="E1542" t="s">
        <v>74</v>
      </c>
      <c r="F1542" t="s">
        <v>2008</v>
      </c>
      <c r="G1542">
        <f>+IF(dHdcp[[#This Row],[Fecha]]=MAX(dHdcp[Fecha]),1,0)</f>
        <v>0</v>
      </c>
      <c r="H1542" t="str">
        <f>+dHdcp[[#This Row],[Maximo]]&amp;":"&amp;dHdcp[[#This Row],[Nombre]]</f>
        <v>0:Juan Luis Nieto</v>
      </c>
      <c r="I1542" t="str">
        <f>+dHdcp[[#This Row],[Maximo]]&amp;":"&amp;_xlfn.XLOOKUP(dHdcp[[#This Row],[Nombre]],dJugador[Nombre],dJugador[Mote],"",0)</f>
        <v>0:Juan Luis</v>
      </c>
      <c r="J1542" t="str">
        <f>+IF(dHdcp[[#This Row],[Maximo]]=0,"",_xlfn.RANK.EQ(dHdcp[[#This Row],[Handicap]],dHdcp[Handicap],1))</f>
        <v/>
      </c>
      <c r="K1542" t="str">
        <f>IFERROR(+_xlfn.RANK.EQ(dHdcp[[#This Row],[Ranking]],dHdcp[Ranking],1),"")</f>
        <v/>
      </c>
      <c r="M1542" t="str">
        <f>+dHdcp[[#This Row],[Fecha]]&amp;":"&amp;dHdcp[[#This Row],[Nombre]]</f>
        <v>45010:Juan Luis Nieto</v>
      </c>
      <c r="N1542">
        <f>+COUNTIF(dHdcp[Columna1],dHdcp[[#This Row],[Columna1]])</f>
        <v>1</v>
      </c>
    </row>
    <row r="1543" spans="1:14">
      <c r="A1543" s="2">
        <v>45010</v>
      </c>
      <c r="B1543" s="2" t="s">
        <v>375</v>
      </c>
      <c r="C1543" s="51">
        <v>11.5</v>
      </c>
      <c r="D1543">
        <f>+VLOOKUP(dHdcp[[#This Row],[Handicap]],'Categoría Hdcap'!$B$2:$E$7,4)</f>
        <v>3</v>
      </c>
      <c r="E1543" t="s">
        <v>74</v>
      </c>
      <c r="F1543" t="s">
        <v>2009</v>
      </c>
      <c r="G1543">
        <f>+IF(dHdcp[[#This Row],[Fecha]]=MAX(dHdcp[Fecha]),1,0)</f>
        <v>0</v>
      </c>
      <c r="H1543" t="str">
        <f>+dHdcp[[#This Row],[Maximo]]&amp;":"&amp;dHdcp[[#This Row],[Nombre]]</f>
        <v>0:Luis Fernandez</v>
      </c>
      <c r="I1543" t="str">
        <f>+dHdcp[[#This Row],[Maximo]]&amp;":"&amp;_xlfn.XLOOKUP(dHdcp[[#This Row],[Nombre]],dJugador[Nombre],dJugador[Mote],"",0)</f>
        <v>0:Luis</v>
      </c>
      <c r="J1543" t="str">
        <f>+IF(dHdcp[[#This Row],[Maximo]]=0,"",_xlfn.RANK.EQ(dHdcp[[#This Row],[Handicap]],dHdcp[Handicap],1))</f>
        <v/>
      </c>
      <c r="K1543" t="str">
        <f>IFERROR(+_xlfn.RANK.EQ(dHdcp[[#This Row],[Ranking]],dHdcp[Ranking],1),"")</f>
        <v/>
      </c>
      <c r="M1543" t="str">
        <f>+dHdcp[[#This Row],[Fecha]]&amp;":"&amp;dHdcp[[#This Row],[Nombre]]</f>
        <v>45010:Luis Fernandez</v>
      </c>
      <c r="N1543">
        <f>+COUNTIF(dHdcp[Columna1],dHdcp[[#This Row],[Columna1]])</f>
        <v>1</v>
      </c>
    </row>
    <row r="1544" spans="1:14">
      <c r="A1544" s="2">
        <v>45010</v>
      </c>
      <c r="B1544" t="s">
        <v>135</v>
      </c>
      <c r="C1544" s="51">
        <v>22.3</v>
      </c>
      <c r="D1544">
        <f>+VLOOKUP(dHdcp[[#This Row],[Handicap]],'Categoría Hdcap'!$B$2:$E$7,4)</f>
        <v>4</v>
      </c>
      <c r="E1544" t="s">
        <v>74</v>
      </c>
      <c r="F1544" t="s">
        <v>2010</v>
      </c>
      <c r="G1544">
        <f>+IF(dHdcp[[#This Row],[Fecha]]=MAX(dHdcp[Fecha]),1,0)</f>
        <v>0</v>
      </c>
      <c r="H1544" t="str">
        <f>+dHdcp[[#This Row],[Maximo]]&amp;":"&amp;dHdcp[[#This Row],[Nombre]]</f>
        <v>0:Miche Lopez</v>
      </c>
      <c r="I1544" t="str">
        <f>+dHdcp[[#This Row],[Maximo]]&amp;":"&amp;_xlfn.XLOOKUP(dHdcp[[#This Row],[Nombre]],dJugador[Nombre],dJugador[Mote],"",0)</f>
        <v>0:Miche</v>
      </c>
      <c r="J1544" t="str">
        <f>+IF(dHdcp[[#This Row],[Maximo]]=0,"",_xlfn.RANK.EQ(dHdcp[[#This Row],[Handicap]],dHdcp[Handicap],1))</f>
        <v/>
      </c>
      <c r="K1544" t="str">
        <f>IFERROR(+_xlfn.RANK.EQ(dHdcp[[#This Row],[Ranking]],dHdcp[Ranking],1),"")</f>
        <v/>
      </c>
      <c r="M1544" t="str">
        <f>+dHdcp[[#This Row],[Fecha]]&amp;":"&amp;dHdcp[[#This Row],[Nombre]]</f>
        <v>45010:Miche Lopez</v>
      </c>
      <c r="N1544">
        <f>+COUNTIF(dHdcp[Columna1],dHdcp[[#This Row],[Columna1]])</f>
        <v>1</v>
      </c>
    </row>
    <row r="1545" spans="1:14">
      <c r="A1545" s="2">
        <v>45010</v>
      </c>
      <c r="B1545" t="s">
        <v>205</v>
      </c>
      <c r="C1545" s="51">
        <v>7.1</v>
      </c>
      <c r="D1545">
        <f>+VLOOKUP(dHdcp[[#This Row],[Handicap]],'Categoría Hdcap'!$B$2:$E$7,4)</f>
        <v>2</v>
      </c>
      <c r="E1545" t="s">
        <v>74</v>
      </c>
      <c r="F1545" t="s">
        <v>2011</v>
      </c>
      <c r="G1545">
        <f>+IF(dHdcp[[#This Row],[Fecha]]=MAX(dHdcp[Fecha]),1,0)</f>
        <v>0</v>
      </c>
      <c r="H1545" t="str">
        <f>+dHdcp[[#This Row],[Maximo]]&amp;":"&amp;dHdcp[[#This Row],[Nombre]]</f>
        <v>0:Nacho Casas</v>
      </c>
      <c r="I1545" t="str">
        <f>+dHdcp[[#This Row],[Maximo]]&amp;":"&amp;_xlfn.XLOOKUP(dHdcp[[#This Row],[Nombre]],dJugador[Nombre],dJugador[Mote],"",0)</f>
        <v>0:Nachete</v>
      </c>
      <c r="J1545" t="str">
        <f>+IF(dHdcp[[#This Row],[Maximo]]=0,"",_xlfn.RANK.EQ(dHdcp[[#This Row],[Handicap]],dHdcp[Handicap],1))</f>
        <v/>
      </c>
      <c r="K1545" t="str">
        <f>IFERROR(+_xlfn.RANK.EQ(dHdcp[[#This Row],[Ranking]],dHdcp[Ranking],1),"")</f>
        <v/>
      </c>
      <c r="M1545" t="str">
        <f>+dHdcp[[#This Row],[Fecha]]&amp;":"&amp;dHdcp[[#This Row],[Nombre]]</f>
        <v>45010:Nacho Casas</v>
      </c>
      <c r="N1545">
        <f>+COUNTIF(dHdcp[Columna1],dHdcp[[#This Row],[Columna1]])</f>
        <v>1</v>
      </c>
    </row>
    <row r="1546" spans="1:14">
      <c r="A1546" s="2">
        <v>45010</v>
      </c>
      <c r="B1546" t="s">
        <v>3</v>
      </c>
      <c r="C1546" s="51">
        <v>6.7</v>
      </c>
      <c r="D1546">
        <f>+VLOOKUP(dHdcp[[#This Row],[Handicap]],'Categoría Hdcap'!$B$2:$E$7,4)</f>
        <v>2</v>
      </c>
      <c r="E1546" t="s">
        <v>74</v>
      </c>
      <c r="F1546" t="s">
        <v>2012</v>
      </c>
      <c r="G1546">
        <f>+IF(dHdcp[[#This Row],[Fecha]]=MAX(dHdcp[Fecha]),1,0)</f>
        <v>0</v>
      </c>
      <c r="H1546" t="str">
        <f>+dHdcp[[#This Row],[Maximo]]&amp;":"&amp;dHdcp[[#This Row],[Nombre]]</f>
        <v>0:Nacho Gonzalez</v>
      </c>
      <c r="I1546" t="str">
        <f>+dHdcp[[#This Row],[Maximo]]&amp;":"&amp;_xlfn.XLOOKUP(dHdcp[[#This Row],[Nombre]],dJugador[Nombre],dJugador[Mote],"",0)</f>
        <v>0:Nacho</v>
      </c>
      <c r="J1546" t="str">
        <f>+IF(dHdcp[[#This Row],[Maximo]]=0,"",_xlfn.RANK.EQ(dHdcp[[#This Row],[Handicap]],dHdcp[Handicap],1))</f>
        <v/>
      </c>
      <c r="K1546" t="str">
        <f>IFERROR(+_xlfn.RANK.EQ(dHdcp[[#This Row],[Ranking]],dHdcp[Ranking],1),"")</f>
        <v/>
      </c>
      <c r="M1546" t="str">
        <f>+dHdcp[[#This Row],[Fecha]]&amp;":"&amp;dHdcp[[#This Row],[Nombre]]</f>
        <v>45010:Nacho Gonzalez</v>
      </c>
      <c r="N1546">
        <f>+COUNTIF(dHdcp[Columna1],dHdcp[[#This Row],[Columna1]])</f>
        <v>1</v>
      </c>
    </row>
    <row r="1547" spans="1:14">
      <c r="A1547" s="2">
        <v>45010</v>
      </c>
      <c r="B1547" t="s">
        <v>203</v>
      </c>
      <c r="C1547" s="51">
        <v>17.399999999999999</v>
      </c>
      <c r="D1547">
        <f>+VLOOKUP(dHdcp[[#This Row],[Handicap]],'Categoría Hdcap'!$B$2:$E$7,4)</f>
        <v>3</v>
      </c>
      <c r="E1547" t="s">
        <v>74</v>
      </c>
      <c r="F1547" t="s">
        <v>2013</v>
      </c>
      <c r="G1547">
        <f>+IF(dHdcp[[#This Row],[Fecha]]=MAX(dHdcp[Fecha]),1,0)</f>
        <v>0</v>
      </c>
      <c r="H1547" t="str">
        <f>+dHdcp[[#This Row],[Maximo]]&amp;":"&amp;dHdcp[[#This Row],[Nombre]]</f>
        <v>0:Ruslan Kochman</v>
      </c>
      <c r="I1547" t="str">
        <f>+dHdcp[[#This Row],[Maximo]]&amp;":"&amp;_xlfn.XLOOKUP(dHdcp[[#This Row],[Nombre]],dJugador[Nombre],dJugador[Mote],"",0)</f>
        <v>0:Rus</v>
      </c>
      <c r="J1547" t="str">
        <f>+IF(dHdcp[[#This Row],[Maximo]]=0,"",_xlfn.RANK.EQ(dHdcp[[#This Row],[Handicap]],dHdcp[Handicap],1))</f>
        <v/>
      </c>
      <c r="K1547" t="str">
        <f>IFERROR(+_xlfn.RANK.EQ(dHdcp[[#This Row],[Ranking]],dHdcp[Ranking],1),"")</f>
        <v/>
      </c>
      <c r="M1547" t="str">
        <f>+dHdcp[[#This Row],[Fecha]]&amp;":"&amp;dHdcp[[#This Row],[Nombre]]</f>
        <v>45010:Ruslan Kochman</v>
      </c>
      <c r="N1547">
        <f>+COUNTIF(dHdcp[Columna1],dHdcp[[#This Row],[Columna1]])</f>
        <v>1</v>
      </c>
    </row>
    <row r="1548" spans="1:14">
      <c r="A1548" s="2">
        <v>45010</v>
      </c>
      <c r="B1548" t="s">
        <v>271</v>
      </c>
      <c r="C1548" s="51">
        <v>16.399999999999999</v>
      </c>
      <c r="D1548">
        <f>+VLOOKUP(dHdcp[[#This Row],[Handicap]],'Categoría Hdcap'!$B$2:$E$7,4)</f>
        <v>3</v>
      </c>
      <c r="E1548" t="s">
        <v>74</v>
      </c>
      <c r="F1548" t="s">
        <v>2014</v>
      </c>
      <c r="G1548">
        <f>+IF(dHdcp[[#This Row],[Fecha]]=MAX(dHdcp[Fecha]),1,0)</f>
        <v>0</v>
      </c>
      <c r="H1548" t="str">
        <f>+dHdcp[[#This Row],[Maximo]]&amp;":"&amp;dHdcp[[#This Row],[Nombre]]</f>
        <v>0:Santi Diaz</v>
      </c>
      <c r="I1548" t="str">
        <f>+dHdcp[[#This Row],[Maximo]]&amp;":"&amp;_xlfn.XLOOKUP(dHdcp[[#This Row],[Nombre]],dJugador[Nombre],dJugador[Mote],"",0)</f>
        <v>0:Santi</v>
      </c>
      <c r="J1548" t="str">
        <f>+IF(dHdcp[[#This Row],[Maximo]]=0,"",_xlfn.RANK.EQ(dHdcp[[#This Row],[Handicap]],dHdcp[Handicap],1))</f>
        <v/>
      </c>
      <c r="K1548" t="str">
        <f>IFERROR(+_xlfn.RANK.EQ(dHdcp[[#This Row],[Ranking]],dHdcp[Ranking],1),"")</f>
        <v/>
      </c>
      <c r="M1548" t="str">
        <f>+dHdcp[[#This Row],[Fecha]]&amp;":"&amp;dHdcp[[#This Row],[Nombre]]</f>
        <v>45010:Santi Diaz</v>
      </c>
      <c r="N1548">
        <f>+COUNTIF(dHdcp[Columna1],dHdcp[[#This Row],[Columna1]])</f>
        <v>1</v>
      </c>
    </row>
    <row r="1549" spans="1:14">
      <c r="A1549" s="2">
        <v>45031</v>
      </c>
      <c r="B1549" t="s">
        <v>259</v>
      </c>
      <c r="C1549" s="51">
        <v>3.3</v>
      </c>
      <c r="D1549">
        <f>+VLOOKUP(dHdcp[[#This Row],[Handicap]],'Categoría Hdcap'!$B$2:$E$7,4)</f>
        <v>1</v>
      </c>
      <c r="E1549" t="s">
        <v>74</v>
      </c>
      <c r="F1549" t="s">
        <v>2015</v>
      </c>
      <c r="G1549">
        <f>+IF(dHdcp[[#This Row],[Fecha]]=MAX(dHdcp[Fecha]),1,0)</f>
        <v>0</v>
      </c>
      <c r="H1549" t="str">
        <f>+dHdcp[[#This Row],[Maximo]]&amp;":"&amp;dHdcp[[#This Row],[Nombre]]</f>
        <v>0:Alejandro Arcos</v>
      </c>
      <c r="I1549" t="str">
        <f>+dHdcp[[#This Row],[Maximo]]&amp;":"&amp;_xlfn.XLOOKUP(dHdcp[[#This Row],[Nombre]],dJugador[Nombre],dJugador[Mote],"",0)</f>
        <v>0:Alex</v>
      </c>
      <c r="J1549" t="str">
        <f>+IF(dHdcp[[#This Row],[Maximo]]=0,"",_xlfn.RANK.EQ(dHdcp[[#This Row],[Handicap]],dHdcp[Handicap],1))</f>
        <v/>
      </c>
      <c r="K1549" t="str">
        <f>IFERROR(+_xlfn.RANK.EQ(dHdcp[[#This Row],[Ranking]],dHdcp[Ranking],1),"")</f>
        <v/>
      </c>
      <c r="M1549" t="str">
        <f>+dHdcp[[#This Row],[Fecha]]&amp;":"&amp;dHdcp[[#This Row],[Nombre]]</f>
        <v>45031:Alejandro Arcos</v>
      </c>
      <c r="N1549">
        <f>+COUNTIF(dHdcp[Columna1],dHdcp[[#This Row],[Columna1]])</f>
        <v>1</v>
      </c>
    </row>
    <row r="1550" spans="1:14">
      <c r="A1550" s="2">
        <v>45031</v>
      </c>
      <c r="B1550" t="s">
        <v>9</v>
      </c>
      <c r="C1550" s="51">
        <v>10.1</v>
      </c>
      <c r="D1550">
        <f>+VLOOKUP(dHdcp[[#This Row],[Handicap]],'Categoría Hdcap'!$B$2:$E$7,4)</f>
        <v>2</v>
      </c>
      <c r="E1550" t="s">
        <v>74</v>
      </c>
      <c r="F1550" t="s">
        <v>2016</v>
      </c>
      <c r="G1550">
        <f>+IF(dHdcp[[#This Row],[Fecha]]=MAX(dHdcp[Fecha]),1,0)</f>
        <v>0</v>
      </c>
      <c r="H1550" t="str">
        <f>+dHdcp[[#This Row],[Maximo]]&amp;":"&amp;dHdcp[[#This Row],[Nombre]]</f>
        <v>0:Alfonso Hidalgo</v>
      </c>
      <c r="I1550" t="str">
        <f>+dHdcp[[#This Row],[Maximo]]&amp;":"&amp;_xlfn.XLOOKUP(dHdcp[[#This Row],[Nombre]],dJugador[Nombre],dJugador[Mote],"",0)</f>
        <v>0:Alfonso</v>
      </c>
      <c r="J1550" t="str">
        <f>+IF(dHdcp[[#This Row],[Maximo]]=0,"",_xlfn.RANK.EQ(dHdcp[[#This Row],[Handicap]],dHdcp[Handicap],1))</f>
        <v/>
      </c>
      <c r="K1550" t="str">
        <f>IFERROR(+_xlfn.RANK.EQ(dHdcp[[#This Row],[Ranking]],dHdcp[Ranking],1),"")</f>
        <v/>
      </c>
      <c r="M1550" t="str">
        <f>+dHdcp[[#This Row],[Fecha]]&amp;":"&amp;dHdcp[[#This Row],[Nombre]]</f>
        <v>45031:Alfonso Hidalgo</v>
      </c>
      <c r="N1550">
        <f>+COUNTIF(dHdcp[Columna1],dHdcp[[#This Row],[Columna1]])</f>
        <v>1</v>
      </c>
    </row>
    <row r="1551" spans="1:14">
      <c r="A1551" s="2">
        <v>45031</v>
      </c>
      <c r="B1551" t="s">
        <v>229</v>
      </c>
      <c r="C1551" s="51">
        <v>14.1</v>
      </c>
      <c r="D1551">
        <f>+VLOOKUP(dHdcp[[#This Row],[Handicap]],'Categoría Hdcap'!$B$2:$E$7,4)</f>
        <v>3</v>
      </c>
      <c r="E1551" t="s">
        <v>74</v>
      </c>
      <c r="F1551" t="s">
        <v>2017</v>
      </c>
      <c r="G1551">
        <f>+IF(dHdcp[[#This Row],[Fecha]]=MAX(dHdcp[Fecha]),1,0)</f>
        <v>0</v>
      </c>
      <c r="H1551" t="str">
        <f>+dHdcp[[#This Row],[Maximo]]&amp;":"&amp;dHdcp[[#This Row],[Nombre]]</f>
        <v>0:Alfonso Zorrilla</v>
      </c>
      <c r="I1551" t="str">
        <f>+dHdcp[[#This Row],[Maximo]]&amp;":"&amp;_xlfn.XLOOKUP(dHdcp[[#This Row],[Nombre]],dJugador[Nombre],dJugador[Mote],"",0)</f>
        <v>0:A Zorrilla</v>
      </c>
      <c r="J1551" t="str">
        <f>+IF(dHdcp[[#This Row],[Maximo]]=0,"",_xlfn.RANK.EQ(dHdcp[[#This Row],[Handicap]],dHdcp[Handicap],1))</f>
        <v/>
      </c>
      <c r="K1551" t="str">
        <f>IFERROR(+_xlfn.RANK.EQ(dHdcp[[#This Row],[Ranking]],dHdcp[Ranking],1),"")</f>
        <v/>
      </c>
      <c r="M1551" t="str">
        <f>+dHdcp[[#This Row],[Fecha]]&amp;":"&amp;dHdcp[[#This Row],[Nombre]]</f>
        <v>45031:Alfonso Zorrilla</v>
      </c>
      <c r="N1551">
        <f>+COUNTIF(dHdcp[Columna1],dHdcp[[#This Row],[Columna1]])</f>
        <v>1</v>
      </c>
    </row>
    <row r="1552" spans="1:14">
      <c r="A1552" s="2">
        <v>45031</v>
      </c>
      <c r="B1552" t="s">
        <v>15</v>
      </c>
      <c r="C1552" s="51">
        <v>6.1</v>
      </c>
      <c r="D1552">
        <f>+VLOOKUP(dHdcp[[#This Row],[Handicap]],'Categoría Hdcap'!$B$2:$E$7,4)</f>
        <v>2</v>
      </c>
      <c r="E1552" t="s">
        <v>74</v>
      </c>
      <c r="F1552" t="s">
        <v>2018</v>
      </c>
      <c r="G1552">
        <f>+IF(dHdcp[[#This Row],[Fecha]]=MAX(dHdcp[Fecha]),1,0)</f>
        <v>0</v>
      </c>
      <c r="H1552" t="str">
        <f>+dHdcp[[#This Row],[Maximo]]&amp;":"&amp;dHdcp[[#This Row],[Nombre]]</f>
        <v>0:Alvaro Aguirre</v>
      </c>
      <c r="I1552" t="str">
        <f>+dHdcp[[#This Row],[Maximo]]&amp;":"&amp;_xlfn.XLOOKUP(dHdcp[[#This Row],[Nombre]],dJugador[Nombre],dJugador[Mote],"",0)</f>
        <v>0:Gifu</v>
      </c>
      <c r="J1552" t="str">
        <f>+IF(dHdcp[[#This Row],[Maximo]]=0,"",_xlfn.RANK.EQ(dHdcp[[#This Row],[Handicap]],dHdcp[Handicap],1))</f>
        <v/>
      </c>
      <c r="K1552" t="str">
        <f>IFERROR(+_xlfn.RANK.EQ(dHdcp[[#This Row],[Ranking]],dHdcp[Ranking],1),"")</f>
        <v/>
      </c>
      <c r="M1552" t="str">
        <f>+dHdcp[[#This Row],[Fecha]]&amp;":"&amp;dHdcp[[#This Row],[Nombre]]</f>
        <v>45031:Alvaro Aguirre</v>
      </c>
      <c r="N1552">
        <f>+COUNTIF(dHdcp[Columna1],dHdcp[[#This Row],[Columna1]])</f>
        <v>1</v>
      </c>
    </row>
    <row r="1553" spans="1:14">
      <c r="A1553" s="2">
        <v>45031</v>
      </c>
      <c r="B1553" t="s">
        <v>201</v>
      </c>
      <c r="C1553" s="51">
        <v>9.1999999999999993</v>
      </c>
      <c r="D1553">
        <f>+VLOOKUP(dHdcp[[#This Row],[Handicap]],'Categoría Hdcap'!$B$2:$E$7,4)</f>
        <v>2</v>
      </c>
      <c r="E1553" t="s">
        <v>74</v>
      </c>
      <c r="F1553" t="s">
        <v>2019</v>
      </c>
      <c r="G1553">
        <f>+IF(dHdcp[[#This Row],[Fecha]]=MAX(dHdcp[Fecha]),1,0)</f>
        <v>0</v>
      </c>
      <c r="H1553" t="str">
        <f>+dHdcp[[#This Row],[Maximo]]&amp;":"&amp;dHdcp[[#This Row],[Nombre]]</f>
        <v>0:Alvaro Montoya</v>
      </c>
      <c r="I1553" t="str">
        <f>+dHdcp[[#This Row],[Maximo]]&amp;":"&amp;_xlfn.XLOOKUP(dHdcp[[#This Row],[Nombre]],dJugador[Nombre],dJugador[Mote],"",0)</f>
        <v>0:Monti</v>
      </c>
      <c r="J1553" t="str">
        <f>+IF(dHdcp[[#This Row],[Maximo]]=0,"",_xlfn.RANK.EQ(dHdcp[[#This Row],[Handicap]],dHdcp[Handicap],1))</f>
        <v/>
      </c>
      <c r="K1553" t="str">
        <f>IFERROR(+_xlfn.RANK.EQ(dHdcp[[#This Row],[Ranking]],dHdcp[Ranking],1),"")</f>
        <v/>
      </c>
      <c r="M1553" t="str">
        <f>+dHdcp[[#This Row],[Fecha]]&amp;":"&amp;dHdcp[[#This Row],[Nombre]]</f>
        <v>45031:Alvaro Montoya</v>
      </c>
      <c r="N1553">
        <f>+COUNTIF(dHdcp[Columna1],dHdcp[[#This Row],[Columna1]])</f>
        <v>1</v>
      </c>
    </row>
    <row r="1554" spans="1:14">
      <c r="A1554" s="2">
        <v>45031</v>
      </c>
      <c r="B1554" t="s">
        <v>25</v>
      </c>
      <c r="C1554" s="51">
        <v>12.3</v>
      </c>
      <c r="D1554">
        <f>+VLOOKUP(dHdcp[[#This Row],[Handicap]],'Categoría Hdcap'!$B$2:$E$7,4)</f>
        <v>3</v>
      </c>
      <c r="E1554" t="s">
        <v>74</v>
      </c>
      <c r="F1554" t="s">
        <v>2020</v>
      </c>
      <c r="G1554">
        <f>+IF(dHdcp[[#This Row],[Fecha]]=MAX(dHdcp[Fecha]),1,0)</f>
        <v>0</v>
      </c>
      <c r="H1554" t="str">
        <f>+dHdcp[[#This Row],[Maximo]]&amp;":"&amp;dHdcp[[#This Row],[Nombre]]</f>
        <v>0:Alvaro Nieto</v>
      </c>
      <c r="I1554" t="str">
        <f>+dHdcp[[#This Row],[Maximo]]&amp;":"&amp;_xlfn.XLOOKUP(dHdcp[[#This Row],[Nombre]],dJugador[Nombre],dJugador[Mote],"",0)</f>
        <v>0:Alvaro</v>
      </c>
      <c r="J1554" t="str">
        <f>+IF(dHdcp[[#This Row],[Maximo]]=0,"",_xlfn.RANK.EQ(dHdcp[[#This Row],[Handicap]],dHdcp[Handicap],1))</f>
        <v/>
      </c>
      <c r="K1554" t="str">
        <f>IFERROR(+_xlfn.RANK.EQ(dHdcp[[#This Row],[Ranking]],dHdcp[Ranking],1),"")</f>
        <v/>
      </c>
      <c r="M1554" t="str">
        <f>+dHdcp[[#This Row],[Fecha]]&amp;":"&amp;dHdcp[[#This Row],[Nombre]]</f>
        <v>45031:Alvaro Nieto</v>
      </c>
      <c r="N1554">
        <f>+COUNTIF(dHdcp[Columna1],dHdcp[[#This Row],[Columna1]])</f>
        <v>1</v>
      </c>
    </row>
    <row r="1555" spans="1:14">
      <c r="A1555" s="2">
        <v>45031</v>
      </c>
      <c r="B1555" t="s">
        <v>33</v>
      </c>
      <c r="C1555" s="51">
        <v>7.9</v>
      </c>
      <c r="D1555">
        <f>+VLOOKUP(dHdcp[[#This Row],[Handicap]],'Categoría Hdcap'!$B$2:$E$7,4)</f>
        <v>2</v>
      </c>
      <c r="E1555" t="s">
        <v>74</v>
      </c>
      <c r="F1555" t="s">
        <v>2021</v>
      </c>
      <c r="G1555">
        <f>+IF(dHdcp[[#This Row],[Fecha]]=MAX(dHdcp[Fecha]),1,0)</f>
        <v>0</v>
      </c>
      <c r="H1555" t="str">
        <f>+dHdcp[[#This Row],[Maximo]]&amp;":"&amp;dHdcp[[#This Row],[Nombre]]</f>
        <v>0:Angel Hernandez</v>
      </c>
      <c r="I1555" t="str">
        <f>+dHdcp[[#This Row],[Maximo]]&amp;":"&amp;_xlfn.XLOOKUP(dHdcp[[#This Row],[Nombre]],dJugador[Nombre],dJugador[Mote],"",0)</f>
        <v>0:Angel</v>
      </c>
      <c r="J1555" t="str">
        <f>+IF(dHdcp[[#This Row],[Maximo]]=0,"",_xlfn.RANK.EQ(dHdcp[[#This Row],[Handicap]],dHdcp[Handicap],1))</f>
        <v/>
      </c>
      <c r="K1555" t="str">
        <f>IFERROR(+_xlfn.RANK.EQ(dHdcp[[#This Row],[Ranking]],dHdcp[Ranking],1),"")</f>
        <v/>
      </c>
      <c r="M1555" t="str">
        <f>+dHdcp[[#This Row],[Fecha]]&amp;":"&amp;dHdcp[[#This Row],[Nombre]]</f>
        <v>45031:Angel Hernandez</v>
      </c>
      <c r="N1555">
        <f>+COUNTIF(dHdcp[Columna1],dHdcp[[#This Row],[Columna1]])</f>
        <v>1</v>
      </c>
    </row>
    <row r="1556" spans="1:14">
      <c r="A1556" s="2">
        <v>45031</v>
      </c>
      <c r="B1556" t="s">
        <v>264</v>
      </c>
      <c r="C1556" s="51">
        <v>18.899999999999999</v>
      </c>
      <c r="D1556">
        <f>+VLOOKUP(dHdcp[[#This Row],[Handicap]],'Categoría Hdcap'!$B$2:$E$7,4)</f>
        <v>4</v>
      </c>
      <c r="E1556" t="s">
        <v>74</v>
      </c>
      <c r="F1556" t="s">
        <v>2022</v>
      </c>
      <c r="G1556">
        <f>+IF(dHdcp[[#This Row],[Fecha]]=MAX(dHdcp[Fecha]),1,0)</f>
        <v>0</v>
      </c>
      <c r="H1556" t="str">
        <f>+dHdcp[[#This Row],[Maximo]]&amp;":"&amp;dHdcp[[#This Row],[Nombre]]</f>
        <v>0:Antonio Carmona</v>
      </c>
      <c r="I1556" t="str">
        <f>+dHdcp[[#This Row],[Maximo]]&amp;":"&amp;_xlfn.XLOOKUP(dHdcp[[#This Row],[Nombre]],dJugador[Nombre],dJugador[Mote],"",0)</f>
        <v>0:Antonio</v>
      </c>
      <c r="J1556" t="str">
        <f>+IF(dHdcp[[#This Row],[Maximo]]=0,"",_xlfn.RANK.EQ(dHdcp[[#This Row],[Handicap]],dHdcp[Handicap],1))</f>
        <v/>
      </c>
      <c r="K1556" t="str">
        <f>IFERROR(+_xlfn.RANK.EQ(dHdcp[[#This Row],[Ranking]],dHdcp[Ranking],1),"")</f>
        <v/>
      </c>
      <c r="M1556" t="str">
        <f>+dHdcp[[#This Row],[Fecha]]&amp;":"&amp;dHdcp[[#This Row],[Nombre]]</f>
        <v>45031:Antonio Carmona</v>
      </c>
      <c r="N1556">
        <f>+COUNTIF(dHdcp[Columna1],dHdcp[[#This Row],[Columna1]])</f>
        <v>1</v>
      </c>
    </row>
    <row r="1557" spans="1:14">
      <c r="A1557" s="2">
        <v>45031</v>
      </c>
      <c r="B1557" t="s">
        <v>291</v>
      </c>
      <c r="C1557" s="51">
        <v>1.7</v>
      </c>
      <c r="D1557">
        <f>+VLOOKUP(dHdcp[[#This Row],[Handicap]],'Categoría Hdcap'!$B$2:$E$7,4)</f>
        <v>1</v>
      </c>
      <c r="E1557" t="s">
        <v>74</v>
      </c>
      <c r="F1557" t="s">
        <v>2023</v>
      </c>
      <c r="G1557">
        <f>+IF(dHdcp[[#This Row],[Fecha]]=MAX(dHdcp[Fecha]),1,0)</f>
        <v>0</v>
      </c>
      <c r="H1557" t="str">
        <f>+dHdcp[[#This Row],[Maximo]]&amp;":"&amp;dHdcp[[#This Row],[Nombre]]</f>
        <v>0:Carlos Maestro</v>
      </c>
      <c r="I1557" t="str">
        <f>+dHdcp[[#This Row],[Maximo]]&amp;":"&amp;_xlfn.XLOOKUP(dHdcp[[#This Row],[Nombre]],dJugador[Nombre],dJugador[Mote],"",0)</f>
        <v>0:Carlitos</v>
      </c>
      <c r="J1557" t="str">
        <f>+IF(dHdcp[[#This Row],[Maximo]]=0,"",_xlfn.RANK.EQ(dHdcp[[#This Row],[Handicap]],dHdcp[Handicap],1))</f>
        <v/>
      </c>
      <c r="K1557" t="str">
        <f>IFERROR(+_xlfn.RANK.EQ(dHdcp[[#This Row],[Ranking]],dHdcp[Ranking],1),"")</f>
        <v/>
      </c>
      <c r="M1557" t="str">
        <f>+dHdcp[[#This Row],[Fecha]]&amp;":"&amp;dHdcp[[#This Row],[Nombre]]</f>
        <v>45031:Carlos Maestro</v>
      </c>
      <c r="N1557">
        <f>+COUNTIF(dHdcp[Columna1],dHdcp[[#This Row],[Columna1]])</f>
        <v>1</v>
      </c>
    </row>
    <row r="1558" spans="1:14">
      <c r="A1558" s="2">
        <v>45031</v>
      </c>
      <c r="B1558" t="s">
        <v>30</v>
      </c>
      <c r="C1558" s="51">
        <v>10.6</v>
      </c>
      <c r="D1558">
        <f>+VLOOKUP(dHdcp[[#This Row],[Handicap]],'Categoría Hdcap'!$B$2:$E$7,4)</f>
        <v>2</v>
      </c>
      <c r="E1558" t="s">
        <v>74</v>
      </c>
      <c r="F1558" t="s">
        <v>2024</v>
      </c>
      <c r="G1558">
        <f>+IF(dHdcp[[#This Row],[Fecha]]=MAX(dHdcp[Fecha]),1,0)</f>
        <v>0</v>
      </c>
      <c r="H1558" t="str">
        <f>+dHdcp[[#This Row],[Maximo]]&amp;":"&amp;dHdcp[[#This Row],[Nombre]]</f>
        <v>0:David Sequera</v>
      </c>
      <c r="I1558" t="str">
        <f>+dHdcp[[#This Row],[Maximo]]&amp;":"&amp;_xlfn.XLOOKUP(dHdcp[[#This Row],[Nombre]],dJugador[Nombre],dJugador[Mote],"",0)</f>
        <v>0:David</v>
      </c>
      <c r="J1558" t="str">
        <f>+IF(dHdcp[[#This Row],[Maximo]]=0,"",_xlfn.RANK.EQ(dHdcp[[#This Row],[Handicap]],dHdcp[Handicap],1))</f>
        <v/>
      </c>
      <c r="K1558" t="str">
        <f>IFERROR(+_xlfn.RANK.EQ(dHdcp[[#This Row],[Ranking]],dHdcp[Ranking],1),"")</f>
        <v/>
      </c>
      <c r="M1558" t="str">
        <f>+dHdcp[[#This Row],[Fecha]]&amp;":"&amp;dHdcp[[#This Row],[Nombre]]</f>
        <v>45031:David Sequera</v>
      </c>
      <c r="N1558">
        <f>+COUNTIF(dHdcp[Columna1],dHdcp[[#This Row],[Columna1]])</f>
        <v>1</v>
      </c>
    </row>
    <row r="1559" spans="1:14">
      <c r="A1559" s="2">
        <v>45031</v>
      </c>
      <c r="B1559" t="s">
        <v>326</v>
      </c>
      <c r="C1559" s="51">
        <v>17.2</v>
      </c>
      <c r="D1559">
        <f>+VLOOKUP(dHdcp[[#This Row],[Handicap]],'Categoría Hdcap'!$B$2:$E$7,4)</f>
        <v>3</v>
      </c>
      <c r="E1559" t="s">
        <v>74</v>
      </c>
      <c r="F1559" t="s">
        <v>2025</v>
      </c>
      <c r="G1559">
        <f>+IF(dHdcp[[#This Row],[Fecha]]=MAX(dHdcp[Fecha]),1,0)</f>
        <v>0</v>
      </c>
      <c r="H1559" t="str">
        <f>+dHdcp[[#This Row],[Maximo]]&amp;":"&amp;dHdcp[[#This Row],[Nombre]]</f>
        <v>0:Eduardo Buendía</v>
      </c>
      <c r="I1559" t="str">
        <f>+dHdcp[[#This Row],[Maximo]]&amp;":"&amp;_xlfn.XLOOKUP(dHdcp[[#This Row],[Nombre]],dJugador[Nombre],dJugador[Mote],"",0)</f>
        <v>0:Eduardo</v>
      </c>
      <c r="J1559" t="str">
        <f>+IF(dHdcp[[#This Row],[Maximo]]=0,"",_xlfn.RANK.EQ(dHdcp[[#This Row],[Handicap]],dHdcp[Handicap],1))</f>
        <v/>
      </c>
      <c r="K1559" t="str">
        <f>IFERROR(+_xlfn.RANK.EQ(dHdcp[[#This Row],[Ranking]],dHdcp[Ranking],1),"")</f>
        <v/>
      </c>
      <c r="M1559" t="str">
        <f>+dHdcp[[#This Row],[Fecha]]&amp;":"&amp;dHdcp[[#This Row],[Nombre]]</f>
        <v>45031:Eduardo Buendía</v>
      </c>
      <c r="N1559">
        <f>+COUNTIF(dHdcp[Columna1],dHdcp[[#This Row],[Columna1]])</f>
        <v>1</v>
      </c>
    </row>
    <row r="1560" spans="1:14">
      <c r="A1560" s="2">
        <v>45031</v>
      </c>
      <c r="B1560" t="s">
        <v>248</v>
      </c>
      <c r="C1560" s="51">
        <v>11.5</v>
      </c>
      <c r="D1560">
        <f>+VLOOKUP(dHdcp[[#This Row],[Handicap]],'Categoría Hdcap'!$B$2:$E$7,4)</f>
        <v>3</v>
      </c>
      <c r="E1560" t="s">
        <v>74</v>
      </c>
      <c r="F1560" t="s">
        <v>2026</v>
      </c>
      <c r="G1560">
        <f>+IF(dHdcp[[#This Row],[Fecha]]=MAX(dHdcp[Fecha]),1,0)</f>
        <v>0</v>
      </c>
      <c r="H1560" t="str">
        <f>+dHdcp[[#This Row],[Maximo]]&amp;":"&amp;dHdcp[[#This Row],[Nombre]]</f>
        <v>0:Enrique Gonzalez R</v>
      </c>
      <c r="I1560" t="str">
        <f>+dHdcp[[#This Row],[Maximo]]&amp;":"&amp;_xlfn.XLOOKUP(dHdcp[[#This Row],[Nombre]],dJugador[Nombre],dJugador[Mote],"",0)</f>
        <v>0:Enrique</v>
      </c>
      <c r="J1560" t="str">
        <f>+IF(dHdcp[[#This Row],[Maximo]]=0,"",_xlfn.RANK.EQ(dHdcp[[#This Row],[Handicap]],dHdcp[Handicap],1))</f>
        <v/>
      </c>
      <c r="K1560" t="str">
        <f>IFERROR(+_xlfn.RANK.EQ(dHdcp[[#This Row],[Ranking]],dHdcp[Ranking],1),"")</f>
        <v/>
      </c>
      <c r="M1560" t="str">
        <f>+dHdcp[[#This Row],[Fecha]]&amp;":"&amp;dHdcp[[#This Row],[Nombre]]</f>
        <v>45031:Enrique Gonzalez R</v>
      </c>
      <c r="N1560">
        <f>+COUNTIF(dHdcp[Columna1],dHdcp[[#This Row],[Columna1]])</f>
        <v>1</v>
      </c>
    </row>
    <row r="1561" spans="1:14">
      <c r="A1561" s="2">
        <v>45031</v>
      </c>
      <c r="B1561" t="s">
        <v>12</v>
      </c>
      <c r="C1561" s="51">
        <v>14.6</v>
      </c>
      <c r="D1561">
        <f>+VLOOKUP(dHdcp[[#This Row],[Handicap]],'Categoría Hdcap'!$B$2:$E$7,4)</f>
        <v>3</v>
      </c>
      <c r="E1561" t="s">
        <v>74</v>
      </c>
      <c r="F1561" t="s">
        <v>2027</v>
      </c>
      <c r="G1561">
        <f>+IF(dHdcp[[#This Row],[Fecha]]=MAX(dHdcp[Fecha]),1,0)</f>
        <v>0</v>
      </c>
      <c r="H1561" t="str">
        <f>+dHdcp[[#This Row],[Maximo]]&amp;":"&amp;dHdcp[[#This Row],[Nombre]]</f>
        <v>0:Francisco Alvarez</v>
      </c>
      <c r="I1561" t="str">
        <f>+dHdcp[[#This Row],[Maximo]]&amp;":"&amp;_xlfn.XLOOKUP(dHdcp[[#This Row],[Nombre]],dJugador[Nombre],dJugador[Mote],"",0)</f>
        <v>0:Paco</v>
      </c>
      <c r="J1561" t="str">
        <f>+IF(dHdcp[[#This Row],[Maximo]]=0,"",_xlfn.RANK.EQ(dHdcp[[#This Row],[Handicap]],dHdcp[Handicap],1))</f>
        <v/>
      </c>
      <c r="K1561" t="str">
        <f>IFERROR(+_xlfn.RANK.EQ(dHdcp[[#This Row],[Ranking]],dHdcp[Ranking],1),"")</f>
        <v/>
      </c>
      <c r="M1561" t="str">
        <f>+dHdcp[[#This Row],[Fecha]]&amp;":"&amp;dHdcp[[#This Row],[Nombre]]</f>
        <v>45031:Francisco Alvarez</v>
      </c>
      <c r="N1561">
        <f>+COUNTIF(dHdcp[Columna1],dHdcp[[#This Row],[Columna1]])</f>
        <v>1</v>
      </c>
    </row>
    <row r="1562" spans="1:14">
      <c r="A1562" s="2">
        <v>45031</v>
      </c>
      <c r="B1562" t="s">
        <v>49</v>
      </c>
      <c r="C1562" s="51">
        <v>11.8</v>
      </c>
      <c r="D1562">
        <f>+VLOOKUP(dHdcp[[#This Row],[Handicap]],'Categoría Hdcap'!$B$2:$E$7,4)</f>
        <v>3</v>
      </c>
      <c r="E1562" t="s">
        <v>74</v>
      </c>
      <c r="F1562" t="s">
        <v>2028</v>
      </c>
      <c r="G1562">
        <f>+IF(dHdcp[[#This Row],[Fecha]]=MAX(dHdcp[Fecha]),1,0)</f>
        <v>0</v>
      </c>
      <c r="H1562" t="str">
        <f>+dHdcp[[#This Row],[Maximo]]&amp;":"&amp;dHdcp[[#This Row],[Nombre]]</f>
        <v>0:Francisco Hidalgo</v>
      </c>
      <c r="I1562" t="str">
        <f>+dHdcp[[#This Row],[Maximo]]&amp;":"&amp;_xlfn.XLOOKUP(dHdcp[[#This Row],[Nombre]],dJugador[Nombre],dJugador[Mote],"",0)</f>
        <v>0:Fran</v>
      </c>
      <c r="J1562" t="str">
        <f>+IF(dHdcp[[#This Row],[Maximo]]=0,"",_xlfn.RANK.EQ(dHdcp[[#This Row],[Handicap]],dHdcp[Handicap],1))</f>
        <v/>
      </c>
      <c r="K1562" t="str">
        <f>IFERROR(+_xlfn.RANK.EQ(dHdcp[[#This Row],[Ranking]],dHdcp[Ranking],1),"")</f>
        <v/>
      </c>
      <c r="M1562" t="str">
        <f>+dHdcp[[#This Row],[Fecha]]&amp;":"&amp;dHdcp[[#This Row],[Nombre]]</f>
        <v>45031:Francisco Hidalgo</v>
      </c>
      <c r="N1562">
        <f>+COUNTIF(dHdcp[Columna1],dHdcp[[#This Row],[Columna1]])</f>
        <v>1</v>
      </c>
    </row>
    <row r="1563" spans="1:14">
      <c r="A1563" s="2">
        <v>45031</v>
      </c>
      <c r="B1563" t="s">
        <v>207</v>
      </c>
      <c r="C1563" s="51">
        <v>14.5</v>
      </c>
      <c r="D1563">
        <f>+VLOOKUP(dHdcp[[#This Row],[Handicap]],'Categoría Hdcap'!$B$2:$E$7,4)</f>
        <v>3</v>
      </c>
      <c r="E1563" t="s">
        <v>74</v>
      </c>
      <c r="F1563" t="s">
        <v>2029</v>
      </c>
      <c r="G1563">
        <f>+IF(dHdcp[[#This Row],[Fecha]]=MAX(dHdcp[Fecha]),1,0)</f>
        <v>0</v>
      </c>
      <c r="H1563" t="str">
        <f>+dHdcp[[#This Row],[Maximo]]&amp;":"&amp;dHdcp[[#This Row],[Nombre]]</f>
        <v>0:Franck Benouniche</v>
      </c>
      <c r="I1563" t="str">
        <f>+dHdcp[[#This Row],[Maximo]]&amp;":"&amp;_xlfn.XLOOKUP(dHdcp[[#This Row],[Nombre]],dJugador[Nombre],dJugador[Mote],"",0)</f>
        <v>0:Franck</v>
      </c>
      <c r="J1563" t="str">
        <f>+IF(dHdcp[[#This Row],[Maximo]]=0,"",_xlfn.RANK.EQ(dHdcp[[#This Row],[Handicap]],dHdcp[Handicap],1))</f>
        <v/>
      </c>
      <c r="K1563" t="str">
        <f>IFERROR(+_xlfn.RANK.EQ(dHdcp[[#This Row],[Ranking]],dHdcp[Ranking],1),"")</f>
        <v/>
      </c>
      <c r="M1563" t="str">
        <f>+dHdcp[[#This Row],[Fecha]]&amp;":"&amp;dHdcp[[#This Row],[Nombre]]</f>
        <v>45031:Franck Benouniche</v>
      </c>
      <c r="N1563">
        <f>+COUNTIF(dHdcp[Columna1],dHdcp[[#This Row],[Columna1]])</f>
        <v>1</v>
      </c>
    </row>
    <row r="1564" spans="1:14">
      <c r="A1564" s="2">
        <v>45031</v>
      </c>
      <c r="B1564" t="s">
        <v>35</v>
      </c>
      <c r="C1564" s="51">
        <v>19.100000000000001</v>
      </c>
      <c r="D1564">
        <f>+VLOOKUP(dHdcp[[#This Row],[Handicap]],'Categoría Hdcap'!$B$2:$E$7,4)</f>
        <v>4</v>
      </c>
      <c r="E1564" t="s">
        <v>74</v>
      </c>
      <c r="F1564" t="s">
        <v>2030</v>
      </c>
      <c r="G1564">
        <f>+IF(dHdcp[[#This Row],[Fecha]]=MAX(dHdcp[Fecha]),1,0)</f>
        <v>0</v>
      </c>
      <c r="H1564" t="str">
        <f>+dHdcp[[#This Row],[Maximo]]&amp;":"&amp;dHdcp[[#This Row],[Nombre]]</f>
        <v>0:GLEZ JUAN JOSÉ</v>
      </c>
      <c r="I1564" t="str">
        <f>+dHdcp[[#This Row],[Maximo]]&amp;":"&amp;_xlfn.XLOOKUP(dHdcp[[#This Row],[Nombre]],dJugador[Nombre],dJugador[Mote],"",0)</f>
        <v>0:Juanjo</v>
      </c>
      <c r="J1564" t="str">
        <f>+IF(dHdcp[[#This Row],[Maximo]]=0,"",_xlfn.RANK.EQ(dHdcp[[#This Row],[Handicap]],dHdcp[Handicap],1))</f>
        <v/>
      </c>
      <c r="K1564" t="str">
        <f>IFERROR(+_xlfn.RANK.EQ(dHdcp[[#This Row],[Ranking]],dHdcp[Ranking],1),"")</f>
        <v/>
      </c>
      <c r="M1564" t="str">
        <f>+dHdcp[[#This Row],[Fecha]]&amp;":"&amp;dHdcp[[#This Row],[Nombre]]</f>
        <v>45031:GLEZ JUAN JOSÉ</v>
      </c>
      <c r="N1564">
        <f>+COUNTIF(dHdcp[Columna1],dHdcp[[#This Row],[Columna1]])</f>
        <v>1</v>
      </c>
    </row>
    <row r="1565" spans="1:14">
      <c r="A1565" s="2">
        <v>45031</v>
      </c>
      <c r="B1565" t="s">
        <v>6</v>
      </c>
      <c r="C1565" s="51">
        <v>8.6</v>
      </c>
      <c r="D1565">
        <f>+VLOOKUP(dHdcp[[#This Row],[Handicap]],'Categoría Hdcap'!$B$2:$E$7,4)</f>
        <v>2</v>
      </c>
      <c r="E1565" t="s">
        <v>74</v>
      </c>
      <c r="F1565" t="s">
        <v>2031</v>
      </c>
      <c r="G1565">
        <f>+IF(dHdcp[[#This Row],[Fecha]]=MAX(dHdcp[Fecha]),1,0)</f>
        <v>0</v>
      </c>
      <c r="H1565" t="str">
        <f>+dHdcp[[#This Row],[Maximo]]&amp;":"&amp;dHdcp[[#This Row],[Nombre]]</f>
        <v>0:Ignacio Cadarso</v>
      </c>
      <c r="I1565" t="str">
        <f>+dHdcp[[#This Row],[Maximo]]&amp;":"&amp;_xlfn.XLOOKUP(dHdcp[[#This Row],[Nombre]],dJugador[Nombre],dJugador[Mote],"",0)</f>
        <v>0:Ignacio</v>
      </c>
      <c r="J1565" t="str">
        <f>+IF(dHdcp[[#This Row],[Maximo]]=0,"",_xlfn.RANK.EQ(dHdcp[[#This Row],[Handicap]],dHdcp[Handicap],1))</f>
        <v/>
      </c>
      <c r="K1565" t="str">
        <f>IFERROR(+_xlfn.RANK.EQ(dHdcp[[#This Row],[Ranking]],dHdcp[Ranking],1),"")</f>
        <v/>
      </c>
      <c r="M1565" t="str">
        <f>+dHdcp[[#This Row],[Fecha]]&amp;":"&amp;dHdcp[[#This Row],[Nombre]]</f>
        <v>45031:Ignacio Cadarso</v>
      </c>
      <c r="N1565">
        <f>+COUNTIF(dHdcp[Columna1],dHdcp[[#This Row],[Columna1]])</f>
        <v>1</v>
      </c>
    </row>
    <row r="1566" spans="1:14">
      <c r="A1566" s="2">
        <v>45031</v>
      </c>
      <c r="B1566" t="s">
        <v>298</v>
      </c>
      <c r="C1566" s="51">
        <v>23.7</v>
      </c>
      <c r="D1566">
        <f>+VLOOKUP(dHdcp[[#This Row],[Handicap]],'Categoría Hdcap'!$B$2:$E$7,4)</f>
        <v>4</v>
      </c>
      <c r="E1566" t="s">
        <v>74</v>
      </c>
      <c r="F1566" t="s">
        <v>2032</v>
      </c>
      <c r="G1566">
        <f>+IF(dHdcp[[#This Row],[Fecha]]=MAX(dHdcp[Fecha]),1,0)</f>
        <v>0</v>
      </c>
      <c r="H1566" t="str">
        <f>+dHdcp[[#This Row],[Maximo]]&amp;":"&amp;dHdcp[[#This Row],[Nombre]]</f>
        <v>0:Ignacio Gracia Charlez</v>
      </c>
      <c r="I1566" t="str">
        <f>+dHdcp[[#This Row],[Maximo]]&amp;":"&amp;_xlfn.XLOOKUP(dHdcp[[#This Row],[Nombre]],dJugador[Nombre],dJugador[Mote],"",0)</f>
        <v>0:I Gracia</v>
      </c>
      <c r="J1566" t="str">
        <f>+IF(dHdcp[[#This Row],[Maximo]]=0,"",_xlfn.RANK.EQ(dHdcp[[#This Row],[Handicap]],dHdcp[Handicap],1))</f>
        <v/>
      </c>
      <c r="K1566" t="str">
        <f>IFERROR(+_xlfn.RANK.EQ(dHdcp[[#This Row],[Ranking]],dHdcp[Ranking],1),"")</f>
        <v/>
      </c>
      <c r="M1566" t="str">
        <f>+dHdcp[[#This Row],[Fecha]]&amp;":"&amp;dHdcp[[#This Row],[Nombre]]</f>
        <v>45031:Ignacio Gracia Charlez</v>
      </c>
      <c r="N1566">
        <f>+COUNTIF(dHdcp[Columna1],dHdcp[[#This Row],[Columna1]])</f>
        <v>1</v>
      </c>
    </row>
    <row r="1567" spans="1:14">
      <c r="A1567" s="2">
        <v>45031</v>
      </c>
      <c r="B1567" t="s">
        <v>23</v>
      </c>
      <c r="C1567" s="51">
        <v>17.899999999999999</v>
      </c>
      <c r="D1567">
        <f>+VLOOKUP(dHdcp[[#This Row],[Handicap]],'Categoría Hdcap'!$B$2:$E$7,4)</f>
        <v>3</v>
      </c>
      <c r="E1567" t="s">
        <v>74</v>
      </c>
      <c r="F1567" t="s">
        <v>2033</v>
      </c>
      <c r="G1567">
        <f>+IF(dHdcp[[#This Row],[Fecha]]=MAX(dHdcp[Fecha]),1,0)</f>
        <v>0</v>
      </c>
      <c r="H1567" t="str">
        <f>+dHdcp[[#This Row],[Maximo]]&amp;":"&amp;dHdcp[[#This Row],[Nombre]]</f>
        <v>0:J. Enrique Gonzalez</v>
      </c>
      <c r="I1567" t="str">
        <f>+dHdcp[[#This Row],[Maximo]]&amp;":"&amp;_xlfn.XLOOKUP(dHdcp[[#This Row],[Nombre]],dJugador[Nombre],dJugador[Mote],"",0)</f>
        <v>0:Kike</v>
      </c>
      <c r="J1567" t="str">
        <f>+IF(dHdcp[[#This Row],[Maximo]]=0,"",_xlfn.RANK.EQ(dHdcp[[#This Row],[Handicap]],dHdcp[Handicap],1))</f>
        <v/>
      </c>
      <c r="K1567" t="str">
        <f>IFERROR(+_xlfn.RANK.EQ(dHdcp[[#This Row],[Ranking]],dHdcp[Ranking],1),"")</f>
        <v/>
      </c>
      <c r="M1567" t="str">
        <f>+dHdcp[[#This Row],[Fecha]]&amp;":"&amp;dHdcp[[#This Row],[Nombre]]</f>
        <v>45031:J. Enrique Gonzalez</v>
      </c>
      <c r="N1567">
        <f>+COUNTIF(dHdcp[Columna1],dHdcp[[#This Row],[Columna1]])</f>
        <v>1</v>
      </c>
    </row>
    <row r="1568" spans="1:14">
      <c r="A1568" s="2">
        <v>45031</v>
      </c>
      <c r="B1568" t="s">
        <v>289</v>
      </c>
      <c r="C1568" s="51">
        <v>9.9</v>
      </c>
      <c r="D1568">
        <f>+VLOOKUP(dHdcp[[#This Row],[Handicap]],'Categoría Hdcap'!$B$2:$E$7,4)</f>
        <v>2</v>
      </c>
      <c r="E1568" t="s">
        <v>74</v>
      </c>
      <c r="F1568" t="s">
        <v>2034</v>
      </c>
      <c r="G1568">
        <f>+IF(dHdcp[[#This Row],[Fecha]]=MAX(dHdcp[Fecha]),1,0)</f>
        <v>0</v>
      </c>
      <c r="H1568" t="str">
        <f>+dHdcp[[#This Row],[Maximo]]&amp;":"&amp;dHdcp[[#This Row],[Nombre]]</f>
        <v>0:Jaime Villanueva</v>
      </c>
      <c r="I1568" t="str">
        <f>+dHdcp[[#This Row],[Maximo]]&amp;":"&amp;_xlfn.XLOOKUP(dHdcp[[#This Row],[Nombre]],dJugador[Nombre],dJugador[Mote],"",0)</f>
        <v>0:Villanueva</v>
      </c>
      <c r="J1568" t="str">
        <f>+IF(dHdcp[[#This Row],[Maximo]]=0,"",_xlfn.RANK.EQ(dHdcp[[#This Row],[Handicap]],dHdcp[Handicap],1))</f>
        <v/>
      </c>
      <c r="K1568" t="str">
        <f>IFERROR(+_xlfn.RANK.EQ(dHdcp[[#This Row],[Ranking]],dHdcp[Ranking],1),"")</f>
        <v/>
      </c>
      <c r="M1568" t="str">
        <f>+dHdcp[[#This Row],[Fecha]]&amp;":"&amp;dHdcp[[#This Row],[Nombre]]</f>
        <v>45031:Jaime Villanueva</v>
      </c>
      <c r="N1568">
        <f>+COUNTIF(dHdcp[Columna1],dHdcp[[#This Row],[Columna1]])</f>
        <v>1</v>
      </c>
    </row>
    <row r="1569" spans="1:14">
      <c r="A1569" s="2">
        <v>45031</v>
      </c>
      <c r="B1569" t="s">
        <v>328</v>
      </c>
      <c r="C1569" s="51">
        <v>11</v>
      </c>
      <c r="D1569">
        <f>+VLOOKUP(dHdcp[[#This Row],[Handicap]],'Categoría Hdcap'!$B$2:$E$7,4)</f>
        <v>2</v>
      </c>
      <c r="E1569" t="s">
        <v>74</v>
      </c>
      <c r="F1569" t="s">
        <v>2035</v>
      </c>
      <c r="G1569">
        <f>+IF(dHdcp[[#This Row],[Fecha]]=MAX(dHdcp[Fecha]),1,0)</f>
        <v>0</v>
      </c>
      <c r="H1569" t="str">
        <f>+dHdcp[[#This Row],[Maximo]]&amp;":"&amp;dHdcp[[#This Row],[Nombre]]</f>
        <v>0:Javier Arcos</v>
      </c>
      <c r="I1569" t="str">
        <f>+dHdcp[[#This Row],[Maximo]]&amp;":"&amp;_xlfn.XLOOKUP(dHdcp[[#This Row],[Nombre]],dJugador[Nombre],dJugador[Mote],"",0)</f>
        <v>0:J.Arcos</v>
      </c>
      <c r="J1569" t="str">
        <f>+IF(dHdcp[[#This Row],[Maximo]]=0,"",_xlfn.RANK.EQ(dHdcp[[#This Row],[Handicap]],dHdcp[Handicap],1))</f>
        <v/>
      </c>
      <c r="K1569" t="str">
        <f>IFERROR(+_xlfn.RANK.EQ(dHdcp[[#This Row],[Ranking]],dHdcp[Ranking],1),"")</f>
        <v/>
      </c>
      <c r="M1569" t="str">
        <f>+dHdcp[[#This Row],[Fecha]]&amp;":"&amp;dHdcp[[#This Row],[Nombre]]</f>
        <v>45031:Javier Arcos</v>
      </c>
      <c r="N1569">
        <f>+COUNTIF(dHdcp[Columna1],dHdcp[[#This Row],[Columna1]])</f>
        <v>1</v>
      </c>
    </row>
    <row r="1570" spans="1:14">
      <c r="A1570" s="2">
        <v>45031</v>
      </c>
      <c r="B1570" t="s">
        <v>378</v>
      </c>
      <c r="C1570" s="51">
        <v>12.1</v>
      </c>
      <c r="D1570">
        <f>+VLOOKUP(dHdcp[[#This Row],[Handicap]],'Categoría Hdcap'!$B$2:$E$7,4)</f>
        <v>3</v>
      </c>
      <c r="E1570" t="s">
        <v>74</v>
      </c>
      <c r="F1570" t="s">
        <v>2036</v>
      </c>
      <c r="G1570">
        <f>+IF(dHdcp[[#This Row],[Fecha]]=MAX(dHdcp[Fecha]),1,0)</f>
        <v>0</v>
      </c>
      <c r="H1570" t="str">
        <f>+dHdcp[[#This Row],[Maximo]]&amp;":"&amp;dHdcp[[#This Row],[Nombre]]</f>
        <v>0:Javier Campo</v>
      </c>
      <c r="I1570" t="str">
        <f>+dHdcp[[#This Row],[Maximo]]&amp;":"&amp;_xlfn.XLOOKUP(dHdcp[[#This Row],[Nombre]],dJugador[Nombre],dJugador[Mote],"",0)</f>
        <v>0:Campo</v>
      </c>
      <c r="J1570" t="str">
        <f>+IF(dHdcp[[#This Row],[Maximo]]=0,"",_xlfn.RANK.EQ(dHdcp[[#This Row],[Handicap]],dHdcp[Handicap],1))</f>
        <v/>
      </c>
      <c r="K1570" t="str">
        <f>IFERROR(+_xlfn.RANK.EQ(dHdcp[[#This Row],[Ranking]],dHdcp[Ranking],1),"")</f>
        <v/>
      </c>
      <c r="M1570" t="str">
        <f>+dHdcp[[#This Row],[Fecha]]&amp;":"&amp;dHdcp[[#This Row],[Nombre]]</f>
        <v>45031:Javier Campo</v>
      </c>
      <c r="N1570">
        <f>+COUNTIF(dHdcp[Columna1],dHdcp[[#This Row],[Columna1]])</f>
        <v>1</v>
      </c>
    </row>
    <row r="1571" spans="1:14">
      <c r="A1571" s="2">
        <v>45031</v>
      </c>
      <c r="B1571" t="s">
        <v>46</v>
      </c>
      <c r="C1571" s="51">
        <v>16.7</v>
      </c>
      <c r="D1571">
        <f>+VLOOKUP(dHdcp[[#This Row],[Handicap]],'Categoría Hdcap'!$B$2:$E$7,4)</f>
        <v>3</v>
      </c>
      <c r="E1571" t="s">
        <v>74</v>
      </c>
      <c r="F1571" t="s">
        <v>2037</v>
      </c>
      <c r="G1571">
        <f>+IF(dHdcp[[#This Row],[Fecha]]=MAX(dHdcp[Fecha]),1,0)</f>
        <v>0</v>
      </c>
      <c r="H1571" t="str">
        <f>+dHdcp[[#This Row],[Maximo]]&amp;":"&amp;dHdcp[[#This Row],[Nombre]]</f>
        <v>0:Javier Cervera</v>
      </c>
      <c r="I1571" t="str">
        <f>+dHdcp[[#This Row],[Maximo]]&amp;":"&amp;_xlfn.XLOOKUP(dHdcp[[#This Row],[Nombre]],dJugador[Nombre],dJugador[Mote],"",0)</f>
        <v>0:Virus</v>
      </c>
      <c r="J1571" t="str">
        <f>+IF(dHdcp[[#This Row],[Maximo]]=0,"",_xlfn.RANK.EQ(dHdcp[[#This Row],[Handicap]],dHdcp[Handicap],1))</f>
        <v/>
      </c>
      <c r="K1571" t="str">
        <f>IFERROR(+_xlfn.RANK.EQ(dHdcp[[#This Row],[Ranking]],dHdcp[Ranking],1),"")</f>
        <v/>
      </c>
      <c r="M1571" t="str">
        <f>+dHdcp[[#This Row],[Fecha]]&amp;":"&amp;dHdcp[[#This Row],[Nombre]]</f>
        <v>45031:Javier Cervera</v>
      </c>
      <c r="N1571">
        <f>+COUNTIF(dHdcp[Columna1],dHdcp[[#This Row],[Columna1]])</f>
        <v>1</v>
      </c>
    </row>
    <row r="1572" spans="1:14">
      <c r="A1572" s="2">
        <v>45031</v>
      </c>
      <c r="B1572" t="s">
        <v>225</v>
      </c>
      <c r="C1572" s="51">
        <v>10.5</v>
      </c>
      <c r="D1572">
        <f>+VLOOKUP(dHdcp[[#This Row],[Handicap]],'Categoría Hdcap'!$B$2:$E$7,4)</f>
        <v>2</v>
      </c>
      <c r="E1572" t="s">
        <v>74</v>
      </c>
      <c r="F1572" t="s">
        <v>2038</v>
      </c>
      <c r="G1572">
        <f>+IF(dHdcp[[#This Row],[Fecha]]=MAX(dHdcp[Fecha]),1,0)</f>
        <v>0</v>
      </c>
      <c r="H1572" t="str">
        <f>+dHdcp[[#This Row],[Maximo]]&amp;":"&amp;dHdcp[[#This Row],[Nombre]]</f>
        <v>0:Javier Chiralt</v>
      </c>
      <c r="I1572" t="str">
        <f>+dHdcp[[#This Row],[Maximo]]&amp;":"&amp;_xlfn.XLOOKUP(dHdcp[[#This Row],[Nombre]],dJugador[Nombre],dJugador[Mote],"",0)</f>
        <v>0:Chiralt</v>
      </c>
      <c r="J1572" t="str">
        <f>+IF(dHdcp[[#This Row],[Maximo]]=0,"",_xlfn.RANK.EQ(dHdcp[[#This Row],[Handicap]],dHdcp[Handicap],1))</f>
        <v/>
      </c>
      <c r="K1572" t="str">
        <f>IFERROR(+_xlfn.RANK.EQ(dHdcp[[#This Row],[Ranking]],dHdcp[Ranking],1),"")</f>
        <v/>
      </c>
      <c r="M1572" t="str">
        <f>+dHdcp[[#This Row],[Fecha]]&amp;":"&amp;dHdcp[[#This Row],[Nombre]]</f>
        <v>45031:Javier Chiralt</v>
      </c>
      <c r="N1572">
        <f>+COUNTIF(dHdcp[Columna1],dHdcp[[#This Row],[Columna1]])</f>
        <v>1</v>
      </c>
    </row>
    <row r="1573" spans="1:14">
      <c r="A1573" s="2">
        <v>45031</v>
      </c>
      <c r="B1573" t="s">
        <v>20</v>
      </c>
      <c r="C1573" s="51">
        <v>17.2</v>
      </c>
      <c r="D1573">
        <f>+VLOOKUP(dHdcp[[#This Row],[Handicap]],'Categoría Hdcap'!$B$2:$E$7,4)</f>
        <v>3</v>
      </c>
      <c r="E1573" t="s">
        <v>74</v>
      </c>
      <c r="F1573" t="s">
        <v>2039</v>
      </c>
      <c r="G1573">
        <f>+IF(dHdcp[[#This Row],[Fecha]]=MAX(dHdcp[Fecha]),1,0)</f>
        <v>0</v>
      </c>
      <c r="H1573" t="str">
        <f>+dHdcp[[#This Row],[Maximo]]&amp;":"&amp;dHdcp[[#This Row],[Nombre]]</f>
        <v>0:Javier Gonzalez Salvador</v>
      </c>
      <c r="I1573" t="str">
        <f>+dHdcp[[#This Row],[Maximo]]&amp;":"&amp;_xlfn.XLOOKUP(dHdcp[[#This Row],[Nombre]],dJugador[Nombre],dJugador[Mote],"",0)</f>
        <v>0:Javi</v>
      </c>
      <c r="J1573" t="str">
        <f>+IF(dHdcp[[#This Row],[Maximo]]=0,"",_xlfn.RANK.EQ(dHdcp[[#This Row],[Handicap]],dHdcp[Handicap],1))</f>
        <v/>
      </c>
      <c r="K1573" t="str">
        <f>IFERROR(+_xlfn.RANK.EQ(dHdcp[[#This Row],[Ranking]],dHdcp[Ranking],1),"")</f>
        <v/>
      </c>
      <c r="M1573" t="str">
        <f>+dHdcp[[#This Row],[Fecha]]&amp;":"&amp;dHdcp[[#This Row],[Nombre]]</f>
        <v>45031:Javier Gonzalez Salvador</v>
      </c>
      <c r="N1573">
        <f>+COUNTIF(dHdcp[Columna1],dHdcp[[#This Row],[Columna1]])</f>
        <v>1</v>
      </c>
    </row>
    <row r="1574" spans="1:14">
      <c r="A1574" s="2">
        <v>45031</v>
      </c>
      <c r="B1574" t="s">
        <v>217</v>
      </c>
      <c r="C1574" s="51">
        <v>20.9</v>
      </c>
      <c r="D1574">
        <f>+VLOOKUP(dHdcp[[#This Row],[Handicap]],'Categoría Hdcap'!$B$2:$E$7,4)</f>
        <v>4</v>
      </c>
      <c r="E1574" t="s">
        <v>74</v>
      </c>
      <c r="F1574" t="s">
        <v>2040</v>
      </c>
      <c r="G1574">
        <f>+IF(dHdcp[[#This Row],[Fecha]]=MAX(dHdcp[Fecha]),1,0)</f>
        <v>0</v>
      </c>
      <c r="H1574" t="str">
        <f>+dHdcp[[#This Row],[Maximo]]&amp;":"&amp;dHdcp[[#This Row],[Nombre]]</f>
        <v>0:Javier Lopez Gullón</v>
      </c>
      <c r="I1574" t="str">
        <f>+dHdcp[[#This Row],[Maximo]]&amp;":"&amp;_xlfn.XLOOKUP(dHdcp[[#This Row],[Nombre]],dJugador[Nombre],dJugador[Mote],"",0)</f>
        <v>0:Cuñao</v>
      </c>
      <c r="J1574" t="str">
        <f>+IF(dHdcp[[#This Row],[Maximo]]=0,"",_xlfn.RANK.EQ(dHdcp[[#This Row],[Handicap]],dHdcp[Handicap],1))</f>
        <v/>
      </c>
      <c r="K1574" t="str">
        <f>IFERROR(+_xlfn.RANK.EQ(dHdcp[[#This Row],[Ranking]],dHdcp[Ranking],1),"")</f>
        <v/>
      </c>
      <c r="M1574" t="str">
        <f>+dHdcp[[#This Row],[Fecha]]&amp;":"&amp;dHdcp[[#This Row],[Nombre]]</f>
        <v>45031:Javier Lopez Gullón</v>
      </c>
      <c r="N1574">
        <f>+COUNTIF(dHdcp[Columna1],dHdcp[[#This Row],[Columna1]])</f>
        <v>1</v>
      </c>
    </row>
    <row r="1575" spans="1:14">
      <c r="A1575" s="2">
        <v>45031</v>
      </c>
      <c r="B1575" t="s">
        <v>41</v>
      </c>
      <c r="C1575" s="51">
        <v>23.5</v>
      </c>
      <c r="D1575">
        <f>+VLOOKUP(dHdcp[[#This Row],[Handicap]],'Categoría Hdcap'!$B$2:$E$7,4)</f>
        <v>4</v>
      </c>
      <c r="E1575" t="s">
        <v>74</v>
      </c>
      <c r="F1575" t="s">
        <v>2041</v>
      </c>
      <c r="G1575">
        <f>+IF(dHdcp[[#This Row],[Fecha]]=MAX(dHdcp[Fecha]),1,0)</f>
        <v>0</v>
      </c>
      <c r="H1575" t="str">
        <f>+dHdcp[[#This Row],[Maximo]]&amp;":"&amp;dHdcp[[#This Row],[Nombre]]</f>
        <v>0:Jesus Touceda</v>
      </c>
      <c r="I1575" t="str">
        <f>+dHdcp[[#This Row],[Maximo]]&amp;":"&amp;_xlfn.XLOOKUP(dHdcp[[#This Row],[Nombre]],dJugador[Nombre],dJugador[Mote],"",0)</f>
        <v>0:Jesús</v>
      </c>
      <c r="J1575" t="str">
        <f>+IF(dHdcp[[#This Row],[Maximo]]=0,"",_xlfn.RANK.EQ(dHdcp[[#This Row],[Handicap]],dHdcp[Handicap],1))</f>
        <v/>
      </c>
      <c r="K1575" t="str">
        <f>IFERROR(+_xlfn.RANK.EQ(dHdcp[[#This Row],[Ranking]],dHdcp[Ranking],1),"")</f>
        <v/>
      </c>
      <c r="M1575" t="str">
        <f>+dHdcp[[#This Row],[Fecha]]&amp;":"&amp;dHdcp[[#This Row],[Nombre]]</f>
        <v>45031:Jesus Touceda</v>
      </c>
      <c r="N1575">
        <f>+COUNTIF(dHdcp[Columna1],dHdcp[[#This Row],[Columna1]])</f>
        <v>1</v>
      </c>
    </row>
    <row r="1576" spans="1:14">
      <c r="A1576" s="2">
        <v>45031</v>
      </c>
      <c r="B1576" t="s">
        <v>297</v>
      </c>
      <c r="C1576" s="51">
        <v>23</v>
      </c>
      <c r="D1576">
        <f>+VLOOKUP(dHdcp[[#This Row],[Handicap]],'Categoría Hdcap'!$B$2:$E$7,4)</f>
        <v>4</v>
      </c>
      <c r="E1576" t="s">
        <v>74</v>
      </c>
      <c r="F1576" t="s">
        <v>2042</v>
      </c>
      <c r="G1576">
        <f>+IF(dHdcp[[#This Row],[Fecha]]=MAX(dHdcp[Fecha]),1,0)</f>
        <v>0</v>
      </c>
      <c r="H1576" t="str">
        <f>+dHdcp[[#This Row],[Maximo]]&amp;":"&amp;dHdcp[[#This Row],[Nombre]]</f>
        <v>0:Jorge Alberto Martínez Sánchez</v>
      </c>
      <c r="I1576" t="str">
        <f>+dHdcp[[#This Row],[Maximo]]&amp;":"&amp;_xlfn.XLOOKUP(dHdcp[[#This Row],[Nombre]],dJugador[Nombre],dJugador[Mote],"",0)</f>
        <v>0:Jorge</v>
      </c>
      <c r="J1576" t="str">
        <f>+IF(dHdcp[[#This Row],[Maximo]]=0,"",_xlfn.RANK.EQ(dHdcp[[#This Row],[Handicap]],dHdcp[Handicap],1))</f>
        <v/>
      </c>
      <c r="K1576" t="str">
        <f>IFERROR(+_xlfn.RANK.EQ(dHdcp[[#This Row],[Ranking]],dHdcp[Ranking],1),"")</f>
        <v/>
      </c>
      <c r="M1576" t="str">
        <f>+dHdcp[[#This Row],[Fecha]]&amp;":"&amp;dHdcp[[#This Row],[Nombre]]</f>
        <v>45031:Jorge Alberto Martínez Sánchez</v>
      </c>
      <c r="N1576">
        <f>+COUNTIF(dHdcp[Columna1],dHdcp[[#This Row],[Columna1]])</f>
        <v>1</v>
      </c>
    </row>
    <row r="1577" spans="1:14">
      <c r="A1577" s="2">
        <v>45031</v>
      </c>
      <c r="B1577" t="s">
        <v>18</v>
      </c>
      <c r="C1577" s="51">
        <v>7.4</v>
      </c>
      <c r="D1577">
        <f>+VLOOKUP(dHdcp[[#This Row],[Handicap]],'Categoría Hdcap'!$B$2:$E$7,4)</f>
        <v>2</v>
      </c>
      <c r="E1577" t="s">
        <v>74</v>
      </c>
      <c r="F1577" t="s">
        <v>2043</v>
      </c>
      <c r="G1577">
        <f>+IF(dHdcp[[#This Row],[Fecha]]=MAX(dHdcp[Fecha]),1,0)</f>
        <v>0</v>
      </c>
      <c r="H1577" t="str">
        <f>+dHdcp[[#This Row],[Maximo]]&amp;":"&amp;dHdcp[[#This Row],[Nombre]]</f>
        <v>0:José Pablo Guil</v>
      </c>
      <c r="I1577" t="str">
        <f>+dHdcp[[#This Row],[Maximo]]&amp;":"&amp;_xlfn.XLOOKUP(dHdcp[[#This Row],[Nombre]],dJugador[Nombre],dJugador[Mote],"",0)</f>
        <v>0:JP</v>
      </c>
      <c r="J1577" t="str">
        <f>+IF(dHdcp[[#This Row],[Maximo]]=0,"",_xlfn.RANK.EQ(dHdcp[[#This Row],[Handicap]],dHdcp[Handicap],1))</f>
        <v/>
      </c>
      <c r="K1577" t="str">
        <f>IFERROR(+_xlfn.RANK.EQ(dHdcp[[#This Row],[Ranking]],dHdcp[Ranking],1),"")</f>
        <v/>
      </c>
      <c r="M1577" t="str">
        <f>+dHdcp[[#This Row],[Fecha]]&amp;":"&amp;dHdcp[[#This Row],[Nombre]]</f>
        <v>45031:José Pablo Guil</v>
      </c>
      <c r="N1577">
        <f>+COUNTIF(dHdcp[Columna1],dHdcp[[#This Row],[Columna1]])</f>
        <v>1</v>
      </c>
    </row>
    <row r="1578" spans="1:14">
      <c r="A1578" s="2">
        <v>45031</v>
      </c>
      <c r="B1578" t="s">
        <v>293</v>
      </c>
      <c r="C1578" s="51">
        <v>21.9</v>
      </c>
      <c r="D1578">
        <f>+VLOOKUP(dHdcp[[#This Row],[Handicap]],'Categoría Hdcap'!$B$2:$E$7,4)</f>
        <v>4</v>
      </c>
      <c r="E1578" t="s">
        <v>74</v>
      </c>
      <c r="F1578" t="s">
        <v>2044</v>
      </c>
      <c r="G1578">
        <f>+IF(dHdcp[[#This Row],[Fecha]]=MAX(dHdcp[Fecha]),1,0)</f>
        <v>0</v>
      </c>
      <c r="H1578" t="str">
        <f>+dHdcp[[#This Row],[Maximo]]&amp;":"&amp;dHdcp[[#This Row],[Nombre]]</f>
        <v>0:Juan Jose Aguado</v>
      </c>
      <c r="I1578" t="str">
        <f>+dHdcp[[#This Row],[Maximo]]&amp;":"&amp;_xlfn.XLOOKUP(dHdcp[[#This Row],[Nombre]],dJugador[Nombre],dJugador[Mote],"",0)</f>
        <v>0:Juancho</v>
      </c>
      <c r="J1578" t="str">
        <f>+IF(dHdcp[[#This Row],[Maximo]]=0,"",_xlfn.RANK.EQ(dHdcp[[#This Row],[Handicap]],dHdcp[Handicap],1))</f>
        <v/>
      </c>
      <c r="K1578" t="str">
        <f>IFERROR(+_xlfn.RANK.EQ(dHdcp[[#This Row],[Ranking]],dHdcp[Ranking],1),"")</f>
        <v/>
      </c>
      <c r="M1578" t="str">
        <f>+dHdcp[[#This Row],[Fecha]]&amp;":"&amp;dHdcp[[#This Row],[Nombre]]</f>
        <v>45031:Juan Jose Aguado</v>
      </c>
      <c r="N1578">
        <f>+COUNTIF(dHdcp[Columna1],dHdcp[[#This Row],[Columna1]])</f>
        <v>1</v>
      </c>
    </row>
    <row r="1579" spans="1:14">
      <c r="A1579" s="2">
        <v>45031</v>
      </c>
      <c r="B1579" t="s">
        <v>383</v>
      </c>
      <c r="C1579" s="51">
        <v>34.200000000000003</v>
      </c>
      <c r="D1579">
        <f>+VLOOKUP(dHdcp[[#This Row],[Handicap]],'Categoría Hdcap'!$B$2:$E$7,4)</f>
        <v>5</v>
      </c>
      <c r="E1579" t="s">
        <v>74</v>
      </c>
      <c r="F1579" t="s">
        <v>2045</v>
      </c>
      <c r="G1579">
        <f>+IF(dHdcp[[#This Row],[Fecha]]=MAX(dHdcp[Fecha]),1,0)</f>
        <v>0</v>
      </c>
      <c r="H1579" t="str">
        <f>+dHdcp[[#This Row],[Maximo]]&amp;":"&amp;dHdcp[[#This Row],[Nombre]]</f>
        <v>0:Juan Luis Nieto</v>
      </c>
      <c r="I1579" t="str">
        <f>+dHdcp[[#This Row],[Maximo]]&amp;":"&amp;_xlfn.XLOOKUP(dHdcp[[#This Row],[Nombre]],dJugador[Nombre],dJugador[Mote],"",0)</f>
        <v>0:Juan Luis</v>
      </c>
      <c r="J1579" t="str">
        <f>+IF(dHdcp[[#This Row],[Maximo]]=0,"",_xlfn.RANK.EQ(dHdcp[[#This Row],[Handicap]],dHdcp[Handicap],1))</f>
        <v/>
      </c>
      <c r="K1579" t="str">
        <f>IFERROR(+_xlfn.RANK.EQ(dHdcp[[#This Row],[Ranking]],dHdcp[Ranking],1),"")</f>
        <v/>
      </c>
      <c r="M1579" t="str">
        <f>+dHdcp[[#This Row],[Fecha]]&amp;":"&amp;dHdcp[[#This Row],[Nombre]]</f>
        <v>45031:Juan Luis Nieto</v>
      </c>
      <c r="N1579">
        <f>+COUNTIF(dHdcp[Columna1],dHdcp[[#This Row],[Columna1]])</f>
        <v>1</v>
      </c>
    </row>
    <row r="1580" spans="1:14">
      <c r="A1580" s="2">
        <v>45031</v>
      </c>
      <c r="B1580" t="s">
        <v>375</v>
      </c>
      <c r="C1580" s="51">
        <v>11.9</v>
      </c>
      <c r="D1580">
        <f>+VLOOKUP(dHdcp[[#This Row],[Handicap]],'Categoría Hdcap'!$B$2:$E$7,4)</f>
        <v>3</v>
      </c>
      <c r="E1580" t="s">
        <v>74</v>
      </c>
      <c r="F1580" t="s">
        <v>2046</v>
      </c>
      <c r="G1580">
        <f>+IF(dHdcp[[#This Row],[Fecha]]=MAX(dHdcp[Fecha]),1,0)</f>
        <v>0</v>
      </c>
      <c r="H1580" t="str">
        <f>+dHdcp[[#This Row],[Maximo]]&amp;":"&amp;dHdcp[[#This Row],[Nombre]]</f>
        <v>0:Luis Fernandez</v>
      </c>
      <c r="I1580" t="str">
        <f>+dHdcp[[#This Row],[Maximo]]&amp;":"&amp;_xlfn.XLOOKUP(dHdcp[[#This Row],[Nombre]],dJugador[Nombre],dJugador[Mote],"",0)</f>
        <v>0:Luis</v>
      </c>
      <c r="J1580" t="str">
        <f>+IF(dHdcp[[#This Row],[Maximo]]=0,"",_xlfn.RANK.EQ(dHdcp[[#This Row],[Handicap]],dHdcp[Handicap],1))</f>
        <v/>
      </c>
      <c r="K1580" t="str">
        <f>IFERROR(+_xlfn.RANK.EQ(dHdcp[[#This Row],[Ranking]],dHdcp[Ranking],1),"")</f>
        <v/>
      </c>
      <c r="M1580" t="str">
        <f>+dHdcp[[#This Row],[Fecha]]&amp;":"&amp;dHdcp[[#This Row],[Nombre]]</f>
        <v>45031:Luis Fernandez</v>
      </c>
      <c r="N1580">
        <f>+COUNTIF(dHdcp[Columna1],dHdcp[[#This Row],[Columna1]])</f>
        <v>1</v>
      </c>
    </row>
    <row r="1581" spans="1:14">
      <c r="A1581" s="2">
        <v>45031</v>
      </c>
      <c r="B1581" t="s">
        <v>135</v>
      </c>
      <c r="C1581" s="51">
        <v>22.7</v>
      </c>
      <c r="D1581">
        <f>+VLOOKUP(dHdcp[[#This Row],[Handicap]],'Categoría Hdcap'!$B$2:$E$7,4)</f>
        <v>4</v>
      </c>
      <c r="E1581" t="s">
        <v>74</v>
      </c>
      <c r="F1581" t="s">
        <v>2047</v>
      </c>
      <c r="G1581">
        <f>+IF(dHdcp[[#This Row],[Fecha]]=MAX(dHdcp[Fecha]),1,0)</f>
        <v>0</v>
      </c>
      <c r="H1581" t="str">
        <f>+dHdcp[[#This Row],[Maximo]]&amp;":"&amp;dHdcp[[#This Row],[Nombre]]</f>
        <v>0:Miche Lopez</v>
      </c>
      <c r="I1581" t="str">
        <f>+dHdcp[[#This Row],[Maximo]]&amp;":"&amp;_xlfn.XLOOKUP(dHdcp[[#This Row],[Nombre]],dJugador[Nombre],dJugador[Mote],"",0)</f>
        <v>0:Miche</v>
      </c>
      <c r="J1581" t="str">
        <f>+IF(dHdcp[[#This Row],[Maximo]]=0,"",_xlfn.RANK.EQ(dHdcp[[#This Row],[Handicap]],dHdcp[Handicap],1))</f>
        <v/>
      </c>
      <c r="K1581" t="str">
        <f>IFERROR(+_xlfn.RANK.EQ(dHdcp[[#This Row],[Ranking]],dHdcp[Ranking],1),"")</f>
        <v/>
      </c>
      <c r="M1581" t="str">
        <f>+dHdcp[[#This Row],[Fecha]]&amp;":"&amp;dHdcp[[#This Row],[Nombre]]</f>
        <v>45031:Miche Lopez</v>
      </c>
      <c r="N1581">
        <f>+COUNTIF(dHdcp[Columna1],dHdcp[[#This Row],[Columna1]])</f>
        <v>1</v>
      </c>
    </row>
    <row r="1582" spans="1:14">
      <c r="A1582" s="2">
        <v>45031</v>
      </c>
      <c r="B1582" t="s">
        <v>205</v>
      </c>
      <c r="C1582" s="51">
        <v>7.1</v>
      </c>
      <c r="D1582">
        <f>+VLOOKUP(dHdcp[[#This Row],[Handicap]],'Categoría Hdcap'!$B$2:$E$7,4)</f>
        <v>2</v>
      </c>
      <c r="E1582" t="s">
        <v>74</v>
      </c>
      <c r="F1582" t="s">
        <v>2048</v>
      </c>
      <c r="G1582">
        <f>+IF(dHdcp[[#This Row],[Fecha]]=MAX(dHdcp[Fecha]),1,0)</f>
        <v>0</v>
      </c>
      <c r="H1582" t="str">
        <f>+dHdcp[[#This Row],[Maximo]]&amp;":"&amp;dHdcp[[#This Row],[Nombre]]</f>
        <v>0:Nacho Casas</v>
      </c>
      <c r="I1582" t="str">
        <f>+dHdcp[[#This Row],[Maximo]]&amp;":"&amp;_xlfn.XLOOKUP(dHdcp[[#This Row],[Nombre]],dJugador[Nombre],dJugador[Mote],"",0)</f>
        <v>0:Nachete</v>
      </c>
      <c r="J1582" t="str">
        <f>+IF(dHdcp[[#This Row],[Maximo]]=0,"",_xlfn.RANK.EQ(dHdcp[[#This Row],[Handicap]],dHdcp[Handicap],1))</f>
        <v/>
      </c>
      <c r="K1582" t="str">
        <f>IFERROR(+_xlfn.RANK.EQ(dHdcp[[#This Row],[Ranking]],dHdcp[Ranking],1),"")</f>
        <v/>
      </c>
      <c r="M1582" t="str">
        <f>+dHdcp[[#This Row],[Fecha]]&amp;":"&amp;dHdcp[[#This Row],[Nombre]]</f>
        <v>45031:Nacho Casas</v>
      </c>
      <c r="N1582">
        <f>+COUNTIF(dHdcp[Columna1],dHdcp[[#This Row],[Columna1]])</f>
        <v>1</v>
      </c>
    </row>
    <row r="1583" spans="1:14">
      <c r="A1583" s="2">
        <v>45031</v>
      </c>
      <c r="B1583" t="s">
        <v>3</v>
      </c>
      <c r="C1583" s="51">
        <v>6.6</v>
      </c>
      <c r="D1583">
        <f>+VLOOKUP(dHdcp[[#This Row],[Handicap]],'Categoría Hdcap'!$B$2:$E$7,4)</f>
        <v>2</v>
      </c>
      <c r="E1583" t="s">
        <v>74</v>
      </c>
      <c r="F1583" t="s">
        <v>2049</v>
      </c>
      <c r="G1583">
        <f>+IF(dHdcp[[#This Row],[Fecha]]=MAX(dHdcp[Fecha]),1,0)</f>
        <v>0</v>
      </c>
      <c r="H1583" t="str">
        <f>+dHdcp[[#This Row],[Maximo]]&amp;":"&amp;dHdcp[[#This Row],[Nombre]]</f>
        <v>0:Nacho Gonzalez</v>
      </c>
      <c r="I1583" t="str">
        <f>+dHdcp[[#This Row],[Maximo]]&amp;":"&amp;_xlfn.XLOOKUP(dHdcp[[#This Row],[Nombre]],dJugador[Nombre],dJugador[Mote],"",0)</f>
        <v>0:Nacho</v>
      </c>
      <c r="J1583" t="str">
        <f>+IF(dHdcp[[#This Row],[Maximo]]=0,"",_xlfn.RANK.EQ(dHdcp[[#This Row],[Handicap]],dHdcp[Handicap],1))</f>
        <v/>
      </c>
      <c r="K1583" t="str">
        <f>IFERROR(+_xlfn.RANK.EQ(dHdcp[[#This Row],[Ranking]],dHdcp[Ranking],1),"")</f>
        <v/>
      </c>
      <c r="M1583" t="str">
        <f>+dHdcp[[#This Row],[Fecha]]&amp;":"&amp;dHdcp[[#This Row],[Nombre]]</f>
        <v>45031:Nacho Gonzalez</v>
      </c>
      <c r="N1583">
        <f>+COUNTIF(dHdcp[Columna1],dHdcp[[#This Row],[Columna1]])</f>
        <v>1</v>
      </c>
    </row>
    <row r="1584" spans="1:14">
      <c r="A1584" s="2">
        <v>45031</v>
      </c>
      <c r="B1584" t="s">
        <v>203</v>
      </c>
      <c r="C1584" s="51">
        <v>16.7</v>
      </c>
      <c r="D1584">
        <f>+VLOOKUP(dHdcp[[#This Row],[Handicap]],'Categoría Hdcap'!$B$2:$E$7,4)</f>
        <v>3</v>
      </c>
      <c r="E1584" t="s">
        <v>74</v>
      </c>
      <c r="F1584" t="s">
        <v>2050</v>
      </c>
      <c r="G1584">
        <f>+IF(dHdcp[[#This Row],[Fecha]]=MAX(dHdcp[Fecha]),1,0)</f>
        <v>0</v>
      </c>
      <c r="H1584" t="str">
        <f>+dHdcp[[#This Row],[Maximo]]&amp;":"&amp;dHdcp[[#This Row],[Nombre]]</f>
        <v>0:Ruslan Kochman</v>
      </c>
      <c r="I1584" t="str">
        <f>+dHdcp[[#This Row],[Maximo]]&amp;":"&amp;_xlfn.XLOOKUP(dHdcp[[#This Row],[Nombre]],dJugador[Nombre],dJugador[Mote],"",0)</f>
        <v>0:Rus</v>
      </c>
      <c r="J1584" t="str">
        <f>+IF(dHdcp[[#This Row],[Maximo]]=0,"",_xlfn.RANK.EQ(dHdcp[[#This Row],[Handicap]],dHdcp[Handicap],1))</f>
        <v/>
      </c>
      <c r="K1584" t="str">
        <f>IFERROR(+_xlfn.RANK.EQ(dHdcp[[#This Row],[Ranking]],dHdcp[Ranking],1),"")</f>
        <v/>
      </c>
      <c r="M1584" t="str">
        <f>+dHdcp[[#This Row],[Fecha]]&amp;":"&amp;dHdcp[[#This Row],[Nombre]]</f>
        <v>45031:Ruslan Kochman</v>
      </c>
      <c r="N1584">
        <f>+COUNTIF(dHdcp[Columna1],dHdcp[[#This Row],[Columna1]])</f>
        <v>1</v>
      </c>
    </row>
    <row r="1585" spans="1:14">
      <c r="A1585" s="2">
        <v>45031</v>
      </c>
      <c r="B1585" t="s">
        <v>271</v>
      </c>
      <c r="C1585" s="51">
        <v>16.399999999999999</v>
      </c>
      <c r="D1585">
        <f>+VLOOKUP(dHdcp[[#This Row],[Handicap]],'Categoría Hdcap'!$B$2:$E$7,4)</f>
        <v>3</v>
      </c>
      <c r="E1585" t="s">
        <v>74</v>
      </c>
      <c r="F1585" t="s">
        <v>2051</v>
      </c>
      <c r="G1585">
        <f>+IF(dHdcp[[#This Row],[Fecha]]=MAX(dHdcp[Fecha]),1,0)</f>
        <v>0</v>
      </c>
      <c r="H1585" t="str">
        <f>+dHdcp[[#This Row],[Maximo]]&amp;":"&amp;dHdcp[[#This Row],[Nombre]]</f>
        <v>0:Santi Diaz</v>
      </c>
      <c r="I1585" t="str">
        <f>+dHdcp[[#This Row],[Maximo]]&amp;":"&amp;_xlfn.XLOOKUP(dHdcp[[#This Row],[Nombre]],dJugador[Nombre],dJugador[Mote],"",0)</f>
        <v>0:Santi</v>
      </c>
      <c r="J1585" t="str">
        <f>+IF(dHdcp[[#This Row],[Maximo]]=0,"",_xlfn.RANK.EQ(dHdcp[[#This Row],[Handicap]],dHdcp[Handicap],1))</f>
        <v/>
      </c>
      <c r="K1585" t="str">
        <f>IFERROR(+_xlfn.RANK.EQ(dHdcp[[#This Row],[Ranking]],dHdcp[Ranking],1),"")</f>
        <v/>
      </c>
      <c r="M1585" t="str">
        <f>+dHdcp[[#This Row],[Fecha]]&amp;":"&amp;dHdcp[[#This Row],[Nombre]]</f>
        <v>45031:Santi Diaz</v>
      </c>
      <c r="N1585">
        <f>+COUNTIF(dHdcp[Columna1],dHdcp[[#This Row],[Columna1]])</f>
        <v>1</v>
      </c>
    </row>
    <row r="1586" spans="1:14">
      <c r="A1586" s="2">
        <v>45073</v>
      </c>
      <c r="B1586" t="s">
        <v>259</v>
      </c>
      <c r="C1586" s="51">
        <v>2.8</v>
      </c>
      <c r="D1586">
        <f>+VLOOKUP(dHdcp[[#This Row],[Handicap]],'Categoría Hdcap'!$B$2:$E$7,4)</f>
        <v>1</v>
      </c>
      <c r="E1586" t="s">
        <v>74</v>
      </c>
      <c r="F1586" t="s">
        <v>2052</v>
      </c>
      <c r="G1586">
        <f>+IF(dHdcp[[#This Row],[Fecha]]=MAX(dHdcp[Fecha]),1,0)</f>
        <v>0</v>
      </c>
      <c r="H1586" t="str">
        <f>+dHdcp[[#This Row],[Maximo]]&amp;":"&amp;dHdcp[[#This Row],[Nombre]]</f>
        <v>0:Alejandro Arcos</v>
      </c>
      <c r="I1586" t="str">
        <f>+dHdcp[[#This Row],[Maximo]]&amp;":"&amp;_xlfn.XLOOKUP(dHdcp[[#This Row],[Nombre]],dJugador[Nombre],dJugador[Mote],"",0)</f>
        <v>0:Alex</v>
      </c>
      <c r="J1586" t="str">
        <f>+IF(dHdcp[[#This Row],[Maximo]]=0,"",_xlfn.RANK.EQ(dHdcp[[#This Row],[Handicap]],dHdcp[Handicap],1))</f>
        <v/>
      </c>
      <c r="K1586" t="str">
        <f>IFERROR(+_xlfn.RANK.EQ(dHdcp[[#This Row],[Ranking]],dHdcp[Ranking],1),"")</f>
        <v/>
      </c>
      <c r="M1586" t="str">
        <f>+dHdcp[[#This Row],[Fecha]]&amp;":"&amp;dHdcp[[#This Row],[Nombre]]</f>
        <v>45073:Alejandro Arcos</v>
      </c>
      <c r="N1586">
        <f>+COUNTIF(dHdcp[Columna1],dHdcp[[#This Row],[Columna1]])</f>
        <v>1</v>
      </c>
    </row>
    <row r="1587" spans="1:14">
      <c r="A1587" s="2">
        <v>45073</v>
      </c>
      <c r="B1587" t="s">
        <v>9</v>
      </c>
      <c r="C1587" s="51">
        <v>10.1</v>
      </c>
      <c r="D1587">
        <f>+VLOOKUP(dHdcp[[#This Row],[Handicap]],'Categoría Hdcap'!$B$2:$E$7,4)</f>
        <v>2</v>
      </c>
      <c r="E1587" t="s">
        <v>74</v>
      </c>
      <c r="F1587" t="s">
        <v>2053</v>
      </c>
      <c r="G1587">
        <f>+IF(dHdcp[[#This Row],[Fecha]]=MAX(dHdcp[Fecha]),1,0)</f>
        <v>0</v>
      </c>
      <c r="H1587" t="str">
        <f>+dHdcp[[#This Row],[Maximo]]&amp;":"&amp;dHdcp[[#This Row],[Nombre]]</f>
        <v>0:Alfonso Hidalgo</v>
      </c>
      <c r="I1587" t="str">
        <f>+dHdcp[[#This Row],[Maximo]]&amp;":"&amp;_xlfn.XLOOKUP(dHdcp[[#This Row],[Nombre]],dJugador[Nombre],dJugador[Mote],"",0)</f>
        <v>0:Alfonso</v>
      </c>
      <c r="J1587" t="str">
        <f>+IF(dHdcp[[#This Row],[Maximo]]=0,"",_xlfn.RANK.EQ(dHdcp[[#This Row],[Handicap]],dHdcp[Handicap],1))</f>
        <v/>
      </c>
      <c r="K1587" t="str">
        <f>IFERROR(+_xlfn.RANK.EQ(dHdcp[[#This Row],[Ranking]],dHdcp[Ranking],1),"")</f>
        <v/>
      </c>
      <c r="M1587" t="str">
        <f>+dHdcp[[#This Row],[Fecha]]&amp;":"&amp;dHdcp[[#This Row],[Nombre]]</f>
        <v>45073:Alfonso Hidalgo</v>
      </c>
      <c r="N1587">
        <f>+COUNTIF(dHdcp[Columna1],dHdcp[[#This Row],[Columna1]])</f>
        <v>1</v>
      </c>
    </row>
    <row r="1588" spans="1:14">
      <c r="A1588" s="2">
        <v>45073</v>
      </c>
      <c r="B1588" t="s">
        <v>229</v>
      </c>
      <c r="C1588" s="51">
        <v>14.1</v>
      </c>
      <c r="D1588">
        <f>+VLOOKUP(dHdcp[[#This Row],[Handicap]],'Categoría Hdcap'!$B$2:$E$7,4)</f>
        <v>3</v>
      </c>
      <c r="E1588" t="s">
        <v>74</v>
      </c>
      <c r="F1588" t="s">
        <v>2054</v>
      </c>
      <c r="G1588">
        <f>+IF(dHdcp[[#This Row],[Fecha]]=MAX(dHdcp[Fecha]),1,0)</f>
        <v>0</v>
      </c>
      <c r="H1588" t="str">
        <f>+dHdcp[[#This Row],[Maximo]]&amp;":"&amp;dHdcp[[#This Row],[Nombre]]</f>
        <v>0:Alfonso Zorrilla</v>
      </c>
      <c r="I1588" t="str">
        <f>+dHdcp[[#This Row],[Maximo]]&amp;":"&amp;_xlfn.XLOOKUP(dHdcp[[#This Row],[Nombre]],dJugador[Nombre],dJugador[Mote],"",0)</f>
        <v>0:A Zorrilla</v>
      </c>
      <c r="J1588" t="str">
        <f>+IF(dHdcp[[#This Row],[Maximo]]=0,"",_xlfn.RANK.EQ(dHdcp[[#This Row],[Handicap]],dHdcp[Handicap],1))</f>
        <v/>
      </c>
      <c r="K1588" t="str">
        <f>IFERROR(+_xlfn.RANK.EQ(dHdcp[[#This Row],[Ranking]],dHdcp[Ranking],1),"")</f>
        <v/>
      </c>
      <c r="M1588" t="str">
        <f>+dHdcp[[#This Row],[Fecha]]&amp;":"&amp;dHdcp[[#This Row],[Nombre]]</f>
        <v>45073:Alfonso Zorrilla</v>
      </c>
      <c r="N1588">
        <f>+COUNTIF(dHdcp[Columna1],dHdcp[[#This Row],[Columna1]])</f>
        <v>1</v>
      </c>
    </row>
    <row r="1589" spans="1:14">
      <c r="A1589" s="2">
        <v>45073</v>
      </c>
      <c r="B1589" t="s">
        <v>15</v>
      </c>
      <c r="C1589" s="51">
        <v>6</v>
      </c>
      <c r="D1589">
        <f>+VLOOKUP(dHdcp[[#This Row],[Handicap]],'Categoría Hdcap'!$B$2:$E$7,4)</f>
        <v>2</v>
      </c>
      <c r="E1589" t="s">
        <v>74</v>
      </c>
      <c r="F1589" t="s">
        <v>2055</v>
      </c>
      <c r="G1589">
        <f>+IF(dHdcp[[#This Row],[Fecha]]=MAX(dHdcp[Fecha]),1,0)</f>
        <v>0</v>
      </c>
      <c r="H1589" t="str">
        <f>+dHdcp[[#This Row],[Maximo]]&amp;":"&amp;dHdcp[[#This Row],[Nombre]]</f>
        <v>0:Alvaro Aguirre</v>
      </c>
      <c r="I1589" t="str">
        <f>+dHdcp[[#This Row],[Maximo]]&amp;":"&amp;_xlfn.XLOOKUP(dHdcp[[#This Row],[Nombre]],dJugador[Nombre],dJugador[Mote],"",0)</f>
        <v>0:Gifu</v>
      </c>
      <c r="J1589" t="str">
        <f>+IF(dHdcp[[#This Row],[Maximo]]=0,"",_xlfn.RANK.EQ(dHdcp[[#This Row],[Handicap]],dHdcp[Handicap],1))</f>
        <v/>
      </c>
      <c r="K1589" t="str">
        <f>IFERROR(+_xlfn.RANK.EQ(dHdcp[[#This Row],[Ranking]],dHdcp[Ranking],1),"")</f>
        <v/>
      </c>
      <c r="M1589" t="str">
        <f>+dHdcp[[#This Row],[Fecha]]&amp;":"&amp;dHdcp[[#This Row],[Nombre]]</f>
        <v>45073:Alvaro Aguirre</v>
      </c>
      <c r="N1589">
        <f>+COUNTIF(dHdcp[Columna1],dHdcp[[#This Row],[Columna1]])</f>
        <v>1</v>
      </c>
    </row>
    <row r="1590" spans="1:14">
      <c r="A1590" s="2">
        <v>45073</v>
      </c>
      <c r="B1590" t="s">
        <v>201</v>
      </c>
      <c r="C1590" s="51">
        <v>9.6</v>
      </c>
      <c r="D1590">
        <f>+VLOOKUP(dHdcp[[#This Row],[Handicap]],'Categoría Hdcap'!$B$2:$E$7,4)</f>
        <v>2</v>
      </c>
      <c r="E1590" t="s">
        <v>74</v>
      </c>
      <c r="F1590" t="s">
        <v>2056</v>
      </c>
      <c r="G1590">
        <f>+IF(dHdcp[[#This Row],[Fecha]]=MAX(dHdcp[Fecha]),1,0)</f>
        <v>0</v>
      </c>
      <c r="H1590" t="str">
        <f>+dHdcp[[#This Row],[Maximo]]&amp;":"&amp;dHdcp[[#This Row],[Nombre]]</f>
        <v>0:Alvaro Montoya</v>
      </c>
      <c r="I1590" t="str">
        <f>+dHdcp[[#This Row],[Maximo]]&amp;":"&amp;_xlfn.XLOOKUP(dHdcp[[#This Row],[Nombre]],dJugador[Nombre],dJugador[Mote],"",0)</f>
        <v>0:Monti</v>
      </c>
      <c r="J1590" t="str">
        <f>+IF(dHdcp[[#This Row],[Maximo]]=0,"",_xlfn.RANK.EQ(dHdcp[[#This Row],[Handicap]],dHdcp[Handicap],1))</f>
        <v/>
      </c>
      <c r="K1590" t="str">
        <f>IFERROR(+_xlfn.RANK.EQ(dHdcp[[#This Row],[Ranking]],dHdcp[Ranking],1),"")</f>
        <v/>
      </c>
      <c r="M1590" t="str">
        <f>+dHdcp[[#This Row],[Fecha]]&amp;":"&amp;dHdcp[[#This Row],[Nombre]]</f>
        <v>45073:Alvaro Montoya</v>
      </c>
      <c r="N1590">
        <f>+COUNTIF(dHdcp[Columna1],dHdcp[[#This Row],[Columna1]])</f>
        <v>1</v>
      </c>
    </row>
    <row r="1591" spans="1:14">
      <c r="A1591" s="2">
        <v>45073</v>
      </c>
      <c r="B1591" t="s">
        <v>25</v>
      </c>
      <c r="C1591" s="51">
        <v>12.3</v>
      </c>
      <c r="D1591">
        <f>+VLOOKUP(dHdcp[[#This Row],[Handicap]],'Categoría Hdcap'!$B$2:$E$7,4)</f>
        <v>3</v>
      </c>
      <c r="E1591" t="s">
        <v>74</v>
      </c>
      <c r="F1591" t="s">
        <v>2057</v>
      </c>
      <c r="G1591">
        <f>+IF(dHdcp[[#This Row],[Fecha]]=MAX(dHdcp[Fecha]),1,0)</f>
        <v>0</v>
      </c>
      <c r="H1591" t="str">
        <f>+dHdcp[[#This Row],[Maximo]]&amp;":"&amp;dHdcp[[#This Row],[Nombre]]</f>
        <v>0:Alvaro Nieto</v>
      </c>
      <c r="I1591" t="str">
        <f>+dHdcp[[#This Row],[Maximo]]&amp;":"&amp;_xlfn.XLOOKUP(dHdcp[[#This Row],[Nombre]],dJugador[Nombre],dJugador[Mote],"",0)</f>
        <v>0:Alvaro</v>
      </c>
      <c r="J1591" t="str">
        <f>+IF(dHdcp[[#This Row],[Maximo]]=0,"",_xlfn.RANK.EQ(dHdcp[[#This Row],[Handicap]],dHdcp[Handicap],1))</f>
        <v/>
      </c>
      <c r="K1591" t="str">
        <f>IFERROR(+_xlfn.RANK.EQ(dHdcp[[#This Row],[Ranking]],dHdcp[Ranking],1),"")</f>
        <v/>
      </c>
      <c r="M1591" t="str">
        <f>+dHdcp[[#This Row],[Fecha]]&amp;":"&amp;dHdcp[[#This Row],[Nombre]]</f>
        <v>45073:Alvaro Nieto</v>
      </c>
      <c r="N1591">
        <f>+COUNTIF(dHdcp[Columna1],dHdcp[[#This Row],[Columna1]])</f>
        <v>1</v>
      </c>
    </row>
    <row r="1592" spans="1:14">
      <c r="A1592" s="2">
        <v>45073</v>
      </c>
      <c r="B1592" t="s">
        <v>33</v>
      </c>
      <c r="C1592" s="51">
        <v>8</v>
      </c>
      <c r="D1592">
        <f>+VLOOKUP(dHdcp[[#This Row],[Handicap]],'Categoría Hdcap'!$B$2:$E$7,4)</f>
        <v>2</v>
      </c>
      <c r="E1592" t="s">
        <v>74</v>
      </c>
      <c r="F1592" t="s">
        <v>2058</v>
      </c>
      <c r="G1592">
        <f>+IF(dHdcp[[#This Row],[Fecha]]=MAX(dHdcp[Fecha]),1,0)</f>
        <v>0</v>
      </c>
      <c r="H1592" t="str">
        <f>+dHdcp[[#This Row],[Maximo]]&amp;":"&amp;dHdcp[[#This Row],[Nombre]]</f>
        <v>0:Angel Hernandez</v>
      </c>
      <c r="I1592" t="str">
        <f>+dHdcp[[#This Row],[Maximo]]&amp;":"&amp;_xlfn.XLOOKUP(dHdcp[[#This Row],[Nombre]],dJugador[Nombre],dJugador[Mote],"",0)</f>
        <v>0:Angel</v>
      </c>
      <c r="J1592" t="str">
        <f>+IF(dHdcp[[#This Row],[Maximo]]=0,"",_xlfn.RANK.EQ(dHdcp[[#This Row],[Handicap]],dHdcp[Handicap],1))</f>
        <v/>
      </c>
      <c r="K1592" t="str">
        <f>IFERROR(+_xlfn.RANK.EQ(dHdcp[[#This Row],[Ranking]],dHdcp[Ranking],1),"")</f>
        <v/>
      </c>
      <c r="M1592" t="str">
        <f>+dHdcp[[#This Row],[Fecha]]&amp;":"&amp;dHdcp[[#This Row],[Nombre]]</f>
        <v>45073:Angel Hernandez</v>
      </c>
      <c r="N1592">
        <f>+COUNTIF(dHdcp[Columna1],dHdcp[[#This Row],[Columna1]])</f>
        <v>1</v>
      </c>
    </row>
    <row r="1593" spans="1:14">
      <c r="A1593" s="2">
        <v>45073</v>
      </c>
      <c r="B1593" t="s">
        <v>264</v>
      </c>
      <c r="C1593" s="51">
        <v>18.899999999999999</v>
      </c>
      <c r="D1593">
        <f>+VLOOKUP(dHdcp[[#This Row],[Handicap]],'Categoría Hdcap'!$B$2:$E$7,4)</f>
        <v>4</v>
      </c>
      <c r="E1593" t="s">
        <v>74</v>
      </c>
      <c r="F1593" t="s">
        <v>2059</v>
      </c>
      <c r="G1593">
        <f>+IF(dHdcp[[#This Row],[Fecha]]=MAX(dHdcp[Fecha]),1,0)</f>
        <v>0</v>
      </c>
      <c r="H1593" t="str">
        <f>+dHdcp[[#This Row],[Maximo]]&amp;":"&amp;dHdcp[[#This Row],[Nombre]]</f>
        <v>0:Antonio Carmona</v>
      </c>
      <c r="I1593" t="str">
        <f>+dHdcp[[#This Row],[Maximo]]&amp;":"&amp;_xlfn.XLOOKUP(dHdcp[[#This Row],[Nombre]],dJugador[Nombre],dJugador[Mote],"",0)</f>
        <v>0:Antonio</v>
      </c>
      <c r="J1593" t="str">
        <f>+IF(dHdcp[[#This Row],[Maximo]]=0,"",_xlfn.RANK.EQ(dHdcp[[#This Row],[Handicap]],dHdcp[Handicap],1))</f>
        <v/>
      </c>
      <c r="K1593" t="str">
        <f>IFERROR(+_xlfn.RANK.EQ(dHdcp[[#This Row],[Ranking]],dHdcp[Ranking],1),"")</f>
        <v/>
      </c>
      <c r="M1593" t="str">
        <f>+dHdcp[[#This Row],[Fecha]]&amp;":"&amp;dHdcp[[#This Row],[Nombre]]</f>
        <v>45073:Antonio Carmona</v>
      </c>
      <c r="N1593">
        <f>+COUNTIF(dHdcp[Columna1],dHdcp[[#This Row],[Columna1]])</f>
        <v>1</v>
      </c>
    </row>
    <row r="1594" spans="1:14">
      <c r="A1594" s="2">
        <v>45073</v>
      </c>
      <c r="B1594" t="s">
        <v>291</v>
      </c>
      <c r="C1594" s="51">
        <v>1.7</v>
      </c>
      <c r="D1594">
        <f>+VLOOKUP(dHdcp[[#This Row],[Handicap]],'Categoría Hdcap'!$B$2:$E$7,4)</f>
        <v>1</v>
      </c>
      <c r="E1594" t="s">
        <v>74</v>
      </c>
      <c r="F1594" t="s">
        <v>2060</v>
      </c>
      <c r="G1594">
        <f>+IF(dHdcp[[#This Row],[Fecha]]=MAX(dHdcp[Fecha]),1,0)</f>
        <v>0</v>
      </c>
      <c r="H1594" t="str">
        <f>+dHdcp[[#This Row],[Maximo]]&amp;":"&amp;dHdcp[[#This Row],[Nombre]]</f>
        <v>0:Carlos Maestro</v>
      </c>
      <c r="I1594" t="str">
        <f>+dHdcp[[#This Row],[Maximo]]&amp;":"&amp;_xlfn.XLOOKUP(dHdcp[[#This Row],[Nombre]],dJugador[Nombre],dJugador[Mote],"",0)</f>
        <v>0:Carlitos</v>
      </c>
      <c r="J1594" t="str">
        <f>+IF(dHdcp[[#This Row],[Maximo]]=0,"",_xlfn.RANK.EQ(dHdcp[[#This Row],[Handicap]],dHdcp[Handicap],1))</f>
        <v/>
      </c>
      <c r="K1594" t="str">
        <f>IFERROR(+_xlfn.RANK.EQ(dHdcp[[#This Row],[Ranking]],dHdcp[Ranking],1),"")</f>
        <v/>
      </c>
      <c r="M1594" t="str">
        <f>+dHdcp[[#This Row],[Fecha]]&amp;":"&amp;dHdcp[[#This Row],[Nombre]]</f>
        <v>45073:Carlos Maestro</v>
      </c>
      <c r="N1594">
        <f>+COUNTIF(dHdcp[Columna1],dHdcp[[#This Row],[Columna1]])</f>
        <v>1</v>
      </c>
    </row>
    <row r="1595" spans="1:14">
      <c r="A1595" s="2">
        <v>45073</v>
      </c>
      <c r="B1595" t="s">
        <v>30</v>
      </c>
      <c r="C1595" s="51">
        <v>11.2</v>
      </c>
      <c r="D1595">
        <f>+VLOOKUP(dHdcp[[#This Row],[Handicap]],'Categoría Hdcap'!$B$2:$E$7,4)</f>
        <v>2</v>
      </c>
      <c r="E1595" t="s">
        <v>74</v>
      </c>
      <c r="F1595" t="s">
        <v>2061</v>
      </c>
      <c r="G1595">
        <f>+IF(dHdcp[[#This Row],[Fecha]]=MAX(dHdcp[Fecha]),1,0)</f>
        <v>0</v>
      </c>
      <c r="H1595" t="str">
        <f>+dHdcp[[#This Row],[Maximo]]&amp;":"&amp;dHdcp[[#This Row],[Nombre]]</f>
        <v>0:David Sequera</v>
      </c>
      <c r="I1595" t="str">
        <f>+dHdcp[[#This Row],[Maximo]]&amp;":"&amp;_xlfn.XLOOKUP(dHdcp[[#This Row],[Nombre]],dJugador[Nombre],dJugador[Mote],"",0)</f>
        <v>0:David</v>
      </c>
      <c r="J1595" t="str">
        <f>+IF(dHdcp[[#This Row],[Maximo]]=0,"",_xlfn.RANK.EQ(dHdcp[[#This Row],[Handicap]],dHdcp[Handicap],1))</f>
        <v/>
      </c>
      <c r="K1595" t="str">
        <f>IFERROR(+_xlfn.RANK.EQ(dHdcp[[#This Row],[Ranking]],dHdcp[Ranking],1),"")</f>
        <v/>
      </c>
      <c r="M1595" t="str">
        <f>+dHdcp[[#This Row],[Fecha]]&amp;":"&amp;dHdcp[[#This Row],[Nombre]]</f>
        <v>45073:David Sequera</v>
      </c>
      <c r="N1595">
        <f>+COUNTIF(dHdcp[Columna1],dHdcp[[#This Row],[Columna1]])</f>
        <v>1</v>
      </c>
    </row>
    <row r="1596" spans="1:14">
      <c r="A1596" s="2">
        <v>45073</v>
      </c>
      <c r="B1596" t="s">
        <v>326</v>
      </c>
      <c r="C1596" s="51">
        <v>18.2</v>
      </c>
      <c r="D1596">
        <f>+VLOOKUP(dHdcp[[#This Row],[Handicap]],'Categoría Hdcap'!$B$2:$E$7,4)</f>
        <v>3</v>
      </c>
      <c r="E1596" t="s">
        <v>74</v>
      </c>
      <c r="F1596" t="s">
        <v>2062</v>
      </c>
      <c r="G1596">
        <f>+IF(dHdcp[[#This Row],[Fecha]]=MAX(dHdcp[Fecha]),1,0)</f>
        <v>0</v>
      </c>
      <c r="H1596" t="str">
        <f>+dHdcp[[#This Row],[Maximo]]&amp;":"&amp;dHdcp[[#This Row],[Nombre]]</f>
        <v>0:Eduardo Buendía</v>
      </c>
      <c r="I1596" t="str">
        <f>+dHdcp[[#This Row],[Maximo]]&amp;":"&amp;_xlfn.XLOOKUP(dHdcp[[#This Row],[Nombre]],dJugador[Nombre],dJugador[Mote],"",0)</f>
        <v>0:Eduardo</v>
      </c>
      <c r="J1596" t="str">
        <f>+IF(dHdcp[[#This Row],[Maximo]]=0,"",_xlfn.RANK.EQ(dHdcp[[#This Row],[Handicap]],dHdcp[Handicap],1))</f>
        <v/>
      </c>
      <c r="K1596" t="str">
        <f>IFERROR(+_xlfn.RANK.EQ(dHdcp[[#This Row],[Ranking]],dHdcp[Ranking],1),"")</f>
        <v/>
      </c>
      <c r="M1596" t="str">
        <f>+dHdcp[[#This Row],[Fecha]]&amp;":"&amp;dHdcp[[#This Row],[Nombre]]</f>
        <v>45073:Eduardo Buendía</v>
      </c>
      <c r="N1596">
        <f>+COUNTIF(dHdcp[Columna1],dHdcp[[#This Row],[Columna1]])</f>
        <v>1</v>
      </c>
    </row>
    <row r="1597" spans="1:14">
      <c r="A1597" s="2">
        <v>45073</v>
      </c>
      <c r="B1597" t="s">
        <v>248</v>
      </c>
      <c r="C1597" s="51">
        <v>11.5</v>
      </c>
      <c r="D1597">
        <f>+VLOOKUP(dHdcp[[#This Row],[Handicap]],'Categoría Hdcap'!$B$2:$E$7,4)</f>
        <v>3</v>
      </c>
      <c r="E1597" t="s">
        <v>74</v>
      </c>
      <c r="F1597" t="s">
        <v>2063</v>
      </c>
      <c r="G1597">
        <f>+IF(dHdcp[[#This Row],[Fecha]]=MAX(dHdcp[Fecha]),1,0)</f>
        <v>0</v>
      </c>
      <c r="H1597" t="str">
        <f>+dHdcp[[#This Row],[Maximo]]&amp;":"&amp;dHdcp[[#This Row],[Nombre]]</f>
        <v>0:Enrique Gonzalez R</v>
      </c>
      <c r="I1597" t="str">
        <f>+dHdcp[[#This Row],[Maximo]]&amp;":"&amp;_xlfn.XLOOKUP(dHdcp[[#This Row],[Nombre]],dJugador[Nombre],dJugador[Mote],"",0)</f>
        <v>0:Enrique</v>
      </c>
      <c r="J1597" t="str">
        <f>+IF(dHdcp[[#This Row],[Maximo]]=0,"",_xlfn.RANK.EQ(dHdcp[[#This Row],[Handicap]],dHdcp[Handicap],1))</f>
        <v/>
      </c>
      <c r="K1597" t="str">
        <f>IFERROR(+_xlfn.RANK.EQ(dHdcp[[#This Row],[Ranking]],dHdcp[Ranking],1),"")</f>
        <v/>
      </c>
      <c r="M1597" t="str">
        <f>+dHdcp[[#This Row],[Fecha]]&amp;":"&amp;dHdcp[[#This Row],[Nombre]]</f>
        <v>45073:Enrique Gonzalez R</v>
      </c>
      <c r="N1597">
        <f>+COUNTIF(dHdcp[Columna1],dHdcp[[#This Row],[Columna1]])</f>
        <v>1</v>
      </c>
    </row>
    <row r="1598" spans="1:14">
      <c r="A1598" s="2">
        <v>45073</v>
      </c>
      <c r="B1598" t="s">
        <v>12</v>
      </c>
      <c r="C1598" s="51">
        <v>14.6</v>
      </c>
      <c r="D1598">
        <f>+VLOOKUP(dHdcp[[#This Row],[Handicap]],'Categoría Hdcap'!$B$2:$E$7,4)</f>
        <v>3</v>
      </c>
      <c r="E1598" t="s">
        <v>74</v>
      </c>
      <c r="F1598" t="s">
        <v>2064</v>
      </c>
      <c r="G1598">
        <f>+IF(dHdcp[[#This Row],[Fecha]]=MAX(dHdcp[Fecha]),1,0)</f>
        <v>0</v>
      </c>
      <c r="H1598" t="str">
        <f>+dHdcp[[#This Row],[Maximo]]&amp;":"&amp;dHdcp[[#This Row],[Nombre]]</f>
        <v>0:Francisco Alvarez</v>
      </c>
      <c r="I1598" t="str">
        <f>+dHdcp[[#This Row],[Maximo]]&amp;":"&amp;_xlfn.XLOOKUP(dHdcp[[#This Row],[Nombre]],dJugador[Nombre],dJugador[Mote],"",0)</f>
        <v>0:Paco</v>
      </c>
      <c r="J1598" t="str">
        <f>+IF(dHdcp[[#This Row],[Maximo]]=0,"",_xlfn.RANK.EQ(dHdcp[[#This Row],[Handicap]],dHdcp[Handicap],1))</f>
        <v/>
      </c>
      <c r="K1598" t="str">
        <f>IFERROR(+_xlfn.RANK.EQ(dHdcp[[#This Row],[Ranking]],dHdcp[Ranking],1),"")</f>
        <v/>
      </c>
      <c r="M1598" t="str">
        <f>+dHdcp[[#This Row],[Fecha]]&amp;":"&amp;dHdcp[[#This Row],[Nombre]]</f>
        <v>45073:Francisco Alvarez</v>
      </c>
      <c r="N1598">
        <f>+COUNTIF(dHdcp[Columna1],dHdcp[[#This Row],[Columna1]])</f>
        <v>1</v>
      </c>
    </row>
    <row r="1599" spans="1:14">
      <c r="A1599" s="2">
        <v>45073</v>
      </c>
      <c r="B1599" t="s">
        <v>49</v>
      </c>
      <c r="C1599" s="51">
        <v>11.8</v>
      </c>
      <c r="D1599">
        <f>+VLOOKUP(dHdcp[[#This Row],[Handicap]],'Categoría Hdcap'!$B$2:$E$7,4)</f>
        <v>3</v>
      </c>
      <c r="E1599" t="s">
        <v>74</v>
      </c>
      <c r="F1599" t="s">
        <v>2065</v>
      </c>
      <c r="G1599">
        <f>+IF(dHdcp[[#This Row],[Fecha]]=MAX(dHdcp[Fecha]),1,0)</f>
        <v>0</v>
      </c>
      <c r="H1599" t="str">
        <f>+dHdcp[[#This Row],[Maximo]]&amp;":"&amp;dHdcp[[#This Row],[Nombre]]</f>
        <v>0:Francisco Hidalgo</v>
      </c>
      <c r="I1599" t="str">
        <f>+dHdcp[[#This Row],[Maximo]]&amp;":"&amp;_xlfn.XLOOKUP(dHdcp[[#This Row],[Nombre]],dJugador[Nombre],dJugador[Mote],"",0)</f>
        <v>0:Fran</v>
      </c>
      <c r="J1599" t="str">
        <f>+IF(dHdcp[[#This Row],[Maximo]]=0,"",_xlfn.RANK.EQ(dHdcp[[#This Row],[Handicap]],dHdcp[Handicap],1))</f>
        <v/>
      </c>
      <c r="K1599" t="str">
        <f>IFERROR(+_xlfn.RANK.EQ(dHdcp[[#This Row],[Ranking]],dHdcp[Ranking],1),"")</f>
        <v/>
      </c>
      <c r="M1599" t="str">
        <f>+dHdcp[[#This Row],[Fecha]]&amp;":"&amp;dHdcp[[#This Row],[Nombre]]</f>
        <v>45073:Francisco Hidalgo</v>
      </c>
      <c r="N1599">
        <f>+COUNTIF(dHdcp[Columna1],dHdcp[[#This Row],[Columna1]])</f>
        <v>1</v>
      </c>
    </row>
    <row r="1600" spans="1:14">
      <c r="A1600" s="2">
        <v>45073</v>
      </c>
      <c r="B1600" t="s">
        <v>207</v>
      </c>
      <c r="C1600" s="51">
        <v>14.5</v>
      </c>
      <c r="D1600">
        <f>+VLOOKUP(dHdcp[[#This Row],[Handicap]],'Categoría Hdcap'!$B$2:$E$7,4)</f>
        <v>3</v>
      </c>
      <c r="E1600" t="s">
        <v>74</v>
      </c>
      <c r="F1600" t="s">
        <v>2066</v>
      </c>
      <c r="G1600">
        <f>+IF(dHdcp[[#This Row],[Fecha]]=MAX(dHdcp[Fecha]),1,0)</f>
        <v>0</v>
      </c>
      <c r="H1600" t="str">
        <f>+dHdcp[[#This Row],[Maximo]]&amp;":"&amp;dHdcp[[#This Row],[Nombre]]</f>
        <v>0:Franck Benouniche</v>
      </c>
      <c r="I1600" t="str">
        <f>+dHdcp[[#This Row],[Maximo]]&amp;":"&amp;_xlfn.XLOOKUP(dHdcp[[#This Row],[Nombre]],dJugador[Nombre],dJugador[Mote],"",0)</f>
        <v>0:Franck</v>
      </c>
      <c r="J1600" t="str">
        <f>+IF(dHdcp[[#This Row],[Maximo]]=0,"",_xlfn.RANK.EQ(dHdcp[[#This Row],[Handicap]],dHdcp[Handicap],1))</f>
        <v/>
      </c>
      <c r="K1600" t="str">
        <f>IFERROR(+_xlfn.RANK.EQ(dHdcp[[#This Row],[Ranking]],dHdcp[Ranking],1),"")</f>
        <v/>
      </c>
      <c r="M1600" t="str">
        <f>+dHdcp[[#This Row],[Fecha]]&amp;":"&amp;dHdcp[[#This Row],[Nombre]]</f>
        <v>45073:Franck Benouniche</v>
      </c>
      <c r="N1600">
        <f>+COUNTIF(dHdcp[Columna1],dHdcp[[#This Row],[Columna1]])</f>
        <v>1</v>
      </c>
    </row>
    <row r="1601" spans="1:14">
      <c r="A1601" s="2">
        <v>45073</v>
      </c>
      <c r="B1601" t="s">
        <v>35</v>
      </c>
      <c r="C1601" s="51">
        <v>19.600000000000001</v>
      </c>
      <c r="D1601">
        <f>+VLOOKUP(dHdcp[[#This Row],[Handicap]],'Categoría Hdcap'!$B$2:$E$7,4)</f>
        <v>4</v>
      </c>
      <c r="E1601" t="s">
        <v>74</v>
      </c>
      <c r="F1601" t="s">
        <v>2067</v>
      </c>
      <c r="G1601">
        <f>+IF(dHdcp[[#This Row],[Fecha]]=MAX(dHdcp[Fecha]),1,0)</f>
        <v>0</v>
      </c>
      <c r="H1601" t="str">
        <f>+dHdcp[[#This Row],[Maximo]]&amp;":"&amp;dHdcp[[#This Row],[Nombre]]</f>
        <v>0:GLEZ JUAN JOSÉ</v>
      </c>
      <c r="I1601" t="str">
        <f>+dHdcp[[#This Row],[Maximo]]&amp;":"&amp;_xlfn.XLOOKUP(dHdcp[[#This Row],[Nombre]],dJugador[Nombre],dJugador[Mote],"",0)</f>
        <v>0:Juanjo</v>
      </c>
      <c r="J1601" t="str">
        <f>+IF(dHdcp[[#This Row],[Maximo]]=0,"",_xlfn.RANK.EQ(dHdcp[[#This Row],[Handicap]],dHdcp[Handicap],1))</f>
        <v/>
      </c>
      <c r="K1601" t="str">
        <f>IFERROR(+_xlfn.RANK.EQ(dHdcp[[#This Row],[Ranking]],dHdcp[Ranking],1),"")</f>
        <v/>
      </c>
      <c r="M1601" t="str">
        <f>+dHdcp[[#This Row],[Fecha]]&amp;":"&amp;dHdcp[[#This Row],[Nombre]]</f>
        <v>45073:GLEZ JUAN JOSÉ</v>
      </c>
      <c r="N1601">
        <f>+COUNTIF(dHdcp[Columna1],dHdcp[[#This Row],[Columna1]])</f>
        <v>1</v>
      </c>
    </row>
    <row r="1602" spans="1:14">
      <c r="A1602" s="2">
        <v>45073</v>
      </c>
      <c r="B1602" t="s">
        <v>6</v>
      </c>
      <c r="C1602" s="51">
        <v>8.9</v>
      </c>
      <c r="D1602">
        <f>+VLOOKUP(dHdcp[[#This Row],[Handicap]],'Categoría Hdcap'!$B$2:$E$7,4)</f>
        <v>2</v>
      </c>
      <c r="E1602" t="s">
        <v>74</v>
      </c>
      <c r="F1602" t="s">
        <v>2068</v>
      </c>
      <c r="G1602">
        <f>+IF(dHdcp[[#This Row],[Fecha]]=MAX(dHdcp[Fecha]),1,0)</f>
        <v>0</v>
      </c>
      <c r="H1602" t="str">
        <f>+dHdcp[[#This Row],[Maximo]]&amp;":"&amp;dHdcp[[#This Row],[Nombre]]</f>
        <v>0:Ignacio Cadarso</v>
      </c>
      <c r="I1602" t="str">
        <f>+dHdcp[[#This Row],[Maximo]]&amp;":"&amp;_xlfn.XLOOKUP(dHdcp[[#This Row],[Nombre]],dJugador[Nombre],dJugador[Mote],"",0)</f>
        <v>0:Ignacio</v>
      </c>
      <c r="J1602" t="str">
        <f>+IF(dHdcp[[#This Row],[Maximo]]=0,"",_xlfn.RANK.EQ(dHdcp[[#This Row],[Handicap]],dHdcp[Handicap],1))</f>
        <v/>
      </c>
      <c r="K1602" t="str">
        <f>IFERROR(+_xlfn.RANK.EQ(dHdcp[[#This Row],[Ranking]],dHdcp[Ranking],1),"")</f>
        <v/>
      </c>
      <c r="M1602" t="str">
        <f>+dHdcp[[#This Row],[Fecha]]&amp;":"&amp;dHdcp[[#This Row],[Nombre]]</f>
        <v>45073:Ignacio Cadarso</v>
      </c>
      <c r="N1602">
        <f>+COUNTIF(dHdcp[Columna1],dHdcp[[#This Row],[Columna1]])</f>
        <v>1</v>
      </c>
    </row>
    <row r="1603" spans="1:14">
      <c r="A1603" s="2">
        <v>45073</v>
      </c>
      <c r="B1603" t="s">
        <v>298</v>
      </c>
      <c r="C1603" s="51">
        <v>23.7</v>
      </c>
      <c r="D1603">
        <f>+VLOOKUP(dHdcp[[#This Row],[Handicap]],'Categoría Hdcap'!$B$2:$E$7,4)</f>
        <v>4</v>
      </c>
      <c r="E1603" t="s">
        <v>74</v>
      </c>
      <c r="F1603" t="s">
        <v>2069</v>
      </c>
      <c r="G1603">
        <f>+IF(dHdcp[[#This Row],[Fecha]]=MAX(dHdcp[Fecha]),1,0)</f>
        <v>0</v>
      </c>
      <c r="H1603" t="str">
        <f>+dHdcp[[#This Row],[Maximo]]&amp;":"&amp;dHdcp[[#This Row],[Nombre]]</f>
        <v>0:Ignacio Gracia Charlez</v>
      </c>
      <c r="I1603" t="str">
        <f>+dHdcp[[#This Row],[Maximo]]&amp;":"&amp;_xlfn.XLOOKUP(dHdcp[[#This Row],[Nombre]],dJugador[Nombre],dJugador[Mote],"",0)</f>
        <v>0:I Gracia</v>
      </c>
      <c r="J1603" t="str">
        <f>+IF(dHdcp[[#This Row],[Maximo]]=0,"",_xlfn.RANK.EQ(dHdcp[[#This Row],[Handicap]],dHdcp[Handicap],1))</f>
        <v/>
      </c>
      <c r="K1603" t="str">
        <f>IFERROR(+_xlfn.RANK.EQ(dHdcp[[#This Row],[Ranking]],dHdcp[Ranking],1),"")</f>
        <v/>
      </c>
      <c r="M1603" t="str">
        <f>+dHdcp[[#This Row],[Fecha]]&amp;":"&amp;dHdcp[[#This Row],[Nombre]]</f>
        <v>45073:Ignacio Gracia Charlez</v>
      </c>
      <c r="N1603">
        <f>+COUNTIF(dHdcp[Columna1],dHdcp[[#This Row],[Columna1]])</f>
        <v>1</v>
      </c>
    </row>
    <row r="1604" spans="1:14">
      <c r="A1604" s="2">
        <v>45073</v>
      </c>
      <c r="B1604" t="s">
        <v>23</v>
      </c>
      <c r="C1604" s="51">
        <v>17.899999999999999</v>
      </c>
      <c r="D1604">
        <f>+VLOOKUP(dHdcp[[#This Row],[Handicap]],'Categoría Hdcap'!$B$2:$E$7,4)</f>
        <v>3</v>
      </c>
      <c r="E1604" t="s">
        <v>74</v>
      </c>
      <c r="F1604" t="s">
        <v>2070</v>
      </c>
      <c r="G1604">
        <f>+IF(dHdcp[[#This Row],[Fecha]]=MAX(dHdcp[Fecha]),1,0)</f>
        <v>0</v>
      </c>
      <c r="H1604" t="str">
        <f>+dHdcp[[#This Row],[Maximo]]&amp;":"&amp;dHdcp[[#This Row],[Nombre]]</f>
        <v>0:J. Enrique Gonzalez</v>
      </c>
      <c r="I1604" t="str">
        <f>+dHdcp[[#This Row],[Maximo]]&amp;":"&amp;_xlfn.XLOOKUP(dHdcp[[#This Row],[Nombre]],dJugador[Nombre],dJugador[Mote],"",0)</f>
        <v>0:Kike</v>
      </c>
      <c r="J1604" t="str">
        <f>+IF(dHdcp[[#This Row],[Maximo]]=0,"",_xlfn.RANK.EQ(dHdcp[[#This Row],[Handicap]],dHdcp[Handicap],1))</f>
        <v/>
      </c>
      <c r="K1604" t="str">
        <f>IFERROR(+_xlfn.RANK.EQ(dHdcp[[#This Row],[Ranking]],dHdcp[Ranking],1),"")</f>
        <v/>
      </c>
      <c r="M1604" t="str">
        <f>+dHdcp[[#This Row],[Fecha]]&amp;":"&amp;dHdcp[[#This Row],[Nombre]]</f>
        <v>45073:J. Enrique Gonzalez</v>
      </c>
      <c r="N1604">
        <f>+COUNTIF(dHdcp[Columna1],dHdcp[[#This Row],[Columna1]])</f>
        <v>1</v>
      </c>
    </row>
    <row r="1605" spans="1:14">
      <c r="A1605" s="2">
        <v>45073</v>
      </c>
      <c r="B1605" t="s">
        <v>289</v>
      </c>
      <c r="C1605" s="51">
        <v>9.4</v>
      </c>
      <c r="D1605">
        <f>+VLOOKUP(dHdcp[[#This Row],[Handicap]],'Categoría Hdcap'!$B$2:$E$7,4)</f>
        <v>2</v>
      </c>
      <c r="E1605" t="s">
        <v>74</v>
      </c>
      <c r="F1605" t="s">
        <v>2071</v>
      </c>
      <c r="G1605">
        <f>+IF(dHdcp[[#This Row],[Fecha]]=MAX(dHdcp[Fecha]),1,0)</f>
        <v>0</v>
      </c>
      <c r="H1605" t="str">
        <f>+dHdcp[[#This Row],[Maximo]]&amp;":"&amp;dHdcp[[#This Row],[Nombre]]</f>
        <v>0:Jaime Villanueva</v>
      </c>
      <c r="I1605" t="str">
        <f>+dHdcp[[#This Row],[Maximo]]&amp;":"&amp;_xlfn.XLOOKUP(dHdcp[[#This Row],[Nombre]],dJugador[Nombre],dJugador[Mote],"",0)</f>
        <v>0:Villanueva</v>
      </c>
      <c r="J1605" t="str">
        <f>+IF(dHdcp[[#This Row],[Maximo]]=0,"",_xlfn.RANK.EQ(dHdcp[[#This Row],[Handicap]],dHdcp[Handicap],1))</f>
        <v/>
      </c>
      <c r="K1605" t="str">
        <f>IFERROR(+_xlfn.RANK.EQ(dHdcp[[#This Row],[Ranking]],dHdcp[Ranking],1),"")</f>
        <v/>
      </c>
      <c r="M1605" t="str">
        <f>+dHdcp[[#This Row],[Fecha]]&amp;":"&amp;dHdcp[[#This Row],[Nombre]]</f>
        <v>45073:Jaime Villanueva</v>
      </c>
      <c r="N1605">
        <f>+COUNTIF(dHdcp[Columna1],dHdcp[[#This Row],[Columna1]])</f>
        <v>1</v>
      </c>
    </row>
    <row r="1606" spans="1:14">
      <c r="A1606" s="2">
        <v>45073</v>
      </c>
      <c r="B1606" t="s">
        <v>328</v>
      </c>
      <c r="C1606" s="51">
        <v>11.5</v>
      </c>
      <c r="D1606">
        <f>+VLOOKUP(dHdcp[[#This Row],[Handicap]],'Categoría Hdcap'!$B$2:$E$7,4)</f>
        <v>3</v>
      </c>
      <c r="E1606" t="s">
        <v>74</v>
      </c>
      <c r="F1606" t="s">
        <v>2072</v>
      </c>
      <c r="G1606">
        <f>+IF(dHdcp[[#This Row],[Fecha]]=MAX(dHdcp[Fecha]),1,0)</f>
        <v>0</v>
      </c>
      <c r="H1606" t="str">
        <f>+dHdcp[[#This Row],[Maximo]]&amp;":"&amp;dHdcp[[#This Row],[Nombre]]</f>
        <v>0:Javier Arcos</v>
      </c>
      <c r="I1606" t="str">
        <f>+dHdcp[[#This Row],[Maximo]]&amp;":"&amp;_xlfn.XLOOKUP(dHdcp[[#This Row],[Nombre]],dJugador[Nombre],dJugador[Mote],"",0)</f>
        <v>0:J.Arcos</v>
      </c>
      <c r="J1606" t="str">
        <f>+IF(dHdcp[[#This Row],[Maximo]]=0,"",_xlfn.RANK.EQ(dHdcp[[#This Row],[Handicap]],dHdcp[Handicap],1))</f>
        <v/>
      </c>
      <c r="K1606" t="str">
        <f>IFERROR(+_xlfn.RANK.EQ(dHdcp[[#This Row],[Ranking]],dHdcp[Ranking],1),"")</f>
        <v/>
      </c>
      <c r="M1606" t="str">
        <f>+dHdcp[[#This Row],[Fecha]]&amp;":"&amp;dHdcp[[#This Row],[Nombre]]</f>
        <v>45073:Javier Arcos</v>
      </c>
      <c r="N1606">
        <f>+COUNTIF(dHdcp[Columna1],dHdcp[[#This Row],[Columna1]])</f>
        <v>1</v>
      </c>
    </row>
    <row r="1607" spans="1:14">
      <c r="A1607" s="2">
        <v>45073</v>
      </c>
      <c r="B1607" t="s">
        <v>378</v>
      </c>
      <c r="C1607" s="51">
        <v>12.4</v>
      </c>
      <c r="D1607">
        <f>+VLOOKUP(dHdcp[[#This Row],[Handicap]],'Categoría Hdcap'!$B$2:$E$7,4)</f>
        <v>3</v>
      </c>
      <c r="E1607" t="s">
        <v>74</v>
      </c>
      <c r="F1607" t="s">
        <v>2073</v>
      </c>
      <c r="G1607">
        <f>+IF(dHdcp[[#This Row],[Fecha]]=MAX(dHdcp[Fecha]),1,0)</f>
        <v>0</v>
      </c>
      <c r="H1607" t="str">
        <f>+dHdcp[[#This Row],[Maximo]]&amp;":"&amp;dHdcp[[#This Row],[Nombre]]</f>
        <v>0:Javier Campo</v>
      </c>
      <c r="I1607" t="str">
        <f>+dHdcp[[#This Row],[Maximo]]&amp;":"&amp;_xlfn.XLOOKUP(dHdcp[[#This Row],[Nombre]],dJugador[Nombre],dJugador[Mote],"",0)</f>
        <v>0:Campo</v>
      </c>
      <c r="J1607" t="str">
        <f>+IF(dHdcp[[#This Row],[Maximo]]=0,"",_xlfn.RANK.EQ(dHdcp[[#This Row],[Handicap]],dHdcp[Handicap],1))</f>
        <v/>
      </c>
      <c r="K1607" t="str">
        <f>IFERROR(+_xlfn.RANK.EQ(dHdcp[[#This Row],[Ranking]],dHdcp[Ranking],1),"")</f>
        <v/>
      </c>
      <c r="M1607" t="str">
        <f>+dHdcp[[#This Row],[Fecha]]&amp;":"&amp;dHdcp[[#This Row],[Nombre]]</f>
        <v>45073:Javier Campo</v>
      </c>
      <c r="N1607">
        <f>+COUNTIF(dHdcp[Columna1],dHdcp[[#This Row],[Columna1]])</f>
        <v>1</v>
      </c>
    </row>
    <row r="1608" spans="1:14">
      <c r="A1608" s="2">
        <v>45073</v>
      </c>
      <c r="B1608" t="s">
        <v>46</v>
      </c>
      <c r="C1608" s="51">
        <v>16.7</v>
      </c>
      <c r="D1608">
        <f>+VLOOKUP(dHdcp[[#This Row],[Handicap]],'Categoría Hdcap'!$B$2:$E$7,4)</f>
        <v>3</v>
      </c>
      <c r="E1608" t="s">
        <v>74</v>
      </c>
      <c r="F1608" t="s">
        <v>2074</v>
      </c>
      <c r="G1608">
        <f>+IF(dHdcp[[#This Row],[Fecha]]=MAX(dHdcp[Fecha]),1,0)</f>
        <v>0</v>
      </c>
      <c r="H1608" t="str">
        <f>+dHdcp[[#This Row],[Maximo]]&amp;":"&amp;dHdcp[[#This Row],[Nombre]]</f>
        <v>0:Javier Cervera</v>
      </c>
      <c r="I1608" t="str">
        <f>+dHdcp[[#This Row],[Maximo]]&amp;":"&amp;_xlfn.XLOOKUP(dHdcp[[#This Row],[Nombre]],dJugador[Nombre],dJugador[Mote],"",0)</f>
        <v>0:Virus</v>
      </c>
      <c r="J1608" t="str">
        <f>+IF(dHdcp[[#This Row],[Maximo]]=0,"",_xlfn.RANK.EQ(dHdcp[[#This Row],[Handicap]],dHdcp[Handicap],1))</f>
        <v/>
      </c>
      <c r="K1608" t="str">
        <f>IFERROR(+_xlfn.RANK.EQ(dHdcp[[#This Row],[Ranking]],dHdcp[Ranking],1),"")</f>
        <v/>
      </c>
      <c r="M1608" t="str">
        <f>+dHdcp[[#This Row],[Fecha]]&amp;":"&amp;dHdcp[[#This Row],[Nombre]]</f>
        <v>45073:Javier Cervera</v>
      </c>
      <c r="N1608">
        <f>+COUNTIF(dHdcp[Columna1],dHdcp[[#This Row],[Columna1]])</f>
        <v>1</v>
      </c>
    </row>
    <row r="1609" spans="1:14">
      <c r="A1609" s="2">
        <v>45073</v>
      </c>
      <c r="B1609" t="s">
        <v>225</v>
      </c>
      <c r="C1609" s="51">
        <v>10.1</v>
      </c>
      <c r="D1609">
        <f>+VLOOKUP(dHdcp[[#This Row],[Handicap]],'Categoría Hdcap'!$B$2:$E$7,4)</f>
        <v>2</v>
      </c>
      <c r="E1609" t="s">
        <v>74</v>
      </c>
      <c r="F1609" t="s">
        <v>2075</v>
      </c>
      <c r="G1609">
        <f>+IF(dHdcp[[#This Row],[Fecha]]=MAX(dHdcp[Fecha]),1,0)</f>
        <v>0</v>
      </c>
      <c r="H1609" t="str">
        <f>+dHdcp[[#This Row],[Maximo]]&amp;":"&amp;dHdcp[[#This Row],[Nombre]]</f>
        <v>0:Javier Chiralt</v>
      </c>
      <c r="I1609" t="str">
        <f>+dHdcp[[#This Row],[Maximo]]&amp;":"&amp;_xlfn.XLOOKUP(dHdcp[[#This Row],[Nombre]],dJugador[Nombre],dJugador[Mote],"",0)</f>
        <v>0:Chiralt</v>
      </c>
      <c r="J1609" t="str">
        <f>+IF(dHdcp[[#This Row],[Maximo]]=0,"",_xlfn.RANK.EQ(dHdcp[[#This Row],[Handicap]],dHdcp[Handicap],1))</f>
        <v/>
      </c>
      <c r="K1609" t="str">
        <f>IFERROR(+_xlfn.RANK.EQ(dHdcp[[#This Row],[Ranking]],dHdcp[Ranking],1),"")</f>
        <v/>
      </c>
      <c r="M1609" t="str">
        <f>+dHdcp[[#This Row],[Fecha]]&amp;":"&amp;dHdcp[[#This Row],[Nombre]]</f>
        <v>45073:Javier Chiralt</v>
      </c>
      <c r="N1609">
        <f>+COUNTIF(dHdcp[Columna1],dHdcp[[#This Row],[Columna1]])</f>
        <v>1</v>
      </c>
    </row>
    <row r="1610" spans="1:14">
      <c r="A1610" s="2">
        <v>45073</v>
      </c>
      <c r="B1610" t="s">
        <v>20</v>
      </c>
      <c r="C1610" s="51">
        <v>17.2</v>
      </c>
      <c r="D1610">
        <f>+VLOOKUP(dHdcp[[#This Row],[Handicap]],'Categoría Hdcap'!$B$2:$E$7,4)</f>
        <v>3</v>
      </c>
      <c r="E1610" t="s">
        <v>74</v>
      </c>
      <c r="F1610" t="s">
        <v>2076</v>
      </c>
      <c r="G1610">
        <f>+IF(dHdcp[[#This Row],[Fecha]]=MAX(dHdcp[Fecha]),1,0)</f>
        <v>0</v>
      </c>
      <c r="H1610" t="str">
        <f>+dHdcp[[#This Row],[Maximo]]&amp;":"&amp;dHdcp[[#This Row],[Nombre]]</f>
        <v>0:Javier Gonzalez Salvador</v>
      </c>
      <c r="I1610" t="str">
        <f>+dHdcp[[#This Row],[Maximo]]&amp;":"&amp;_xlfn.XLOOKUP(dHdcp[[#This Row],[Nombre]],dJugador[Nombre],dJugador[Mote],"",0)</f>
        <v>0:Javi</v>
      </c>
      <c r="J1610" t="str">
        <f>+IF(dHdcp[[#This Row],[Maximo]]=0,"",_xlfn.RANK.EQ(dHdcp[[#This Row],[Handicap]],dHdcp[Handicap],1))</f>
        <v/>
      </c>
      <c r="K1610" t="str">
        <f>IFERROR(+_xlfn.RANK.EQ(dHdcp[[#This Row],[Ranking]],dHdcp[Ranking],1),"")</f>
        <v/>
      </c>
      <c r="M1610" t="str">
        <f>+dHdcp[[#This Row],[Fecha]]&amp;":"&amp;dHdcp[[#This Row],[Nombre]]</f>
        <v>45073:Javier Gonzalez Salvador</v>
      </c>
      <c r="N1610">
        <f>+COUNTIF(dHdcp[Columna1],dHdcp[[#This Row],[Columna1]])</f>
        <v>1</v>
      </c>
    </row>
    <row r="1611" spans="1:14">
      <c r="A1611" s="2">
        <v>45073</v>
      </c>
      <c r="B1611" t="s">
        <v>217</v>
      </c>
      <c r="C1611" s="51">
        <v>20.9</v>
      </c>
      <c r="D1611">
        <f>+VLOOKUP(dHdcp[[#This Row],[Handicap]],'Categoría Hdcap'!$B$2:$E$7,4)</f>
        <v>4</v>
      </c>
      <c r="E1611" t="s">
        <v>74</v>
      </c>
      <c r="F1611" t="s">
        <v>2077</v>
      </c>
      <c r="G1611">
        <f>+IF(dHdcp[[#This Row],[Fecha]]=MAX(dHdcp[Fecha]),1,0)</f>
        <v>0</v>
      </c>
      <c r="H1611" t="str">
        <f>+dHdcp[[#This Row],[Maximo]]&amp;":"&amp;dHdcp[[#This Row],[Nombre]]</f>
        <v>0:Javier Lopez Gullón</v>
      </c>
      <c r="I1611" t="str">
        <f>+dHdcp[[#This Row],[Maximo]]&amp;":"&amp;_xlfn.XLOOKUP(dHdcp[[#This Row],[Nombre]],dJugador[Nombre],dJugador[Mote],"",0)</f>
        <v>0:Cuñao</v>
      </c>
      <c r="J1611" t="str">
        <f>+IF(dHdcp[[#This Row],[Maximo]]=0,"",_xlfn.RANK.EQ(dHdcp[[#This Row],[Handicap]],dHdcp[Handicap],1))</f>
        <v/>
      </c>
      <c r="K1611" t="str">
        <f>IFERROR(+_xlfn.RANK.EQ(dHdcp[[#This Row],[Ranking]],dHdcp[Ranking],1),"")</f>
        <v/>
      </c>
      <c r="M1611" t="str">
        <f>+dHdcp[[#This Row],[Fecha]]&amp;":"&amp;dHdcp[[#This Row],[Nombre]]</f>
        <v>45073:Javier Lopez Gullón</v>
      </c>
      <c r="N1611">
        <f>+COUNTIF(dHdcp[Columna1],dHdcp[[#This Row],[Columna1]])</f>
        <v>1</v>
      </c>
    </row>
    <row r="1612" spans="1:14">
      <c r="A1612" s="2">
        <v>45073</v>
      </c>
      <c r="B1612" t="s">
        <v>41</v>
      </c>
      <c r="C1612" s="51">
        <v>23.2</v>
      </c>
      <c r="D1612">
        <f>+VLOOKUP(dHdcp[[#This Row],[Handicap]],'Categoría Hdcap'!$B$2:$E$7,4)</f>
        <v>4</v>
      </c>
      <c r="E1612" t="s">
        <v>74</v>
      </c>
      <c r="F1612" t="s">
        <v>2078</v>
      </c>
      <c r="G1612">
        <f>+IF(dHdcp[[#This Row],[Fecha]]=MAX(dHdcp[Fecha]),1,0)</f>
        <v>0</v>
      </c>
      <c r="H1612" t="str">
        <f>+dHdcp[[#This Row],[Maximo]]&amp;":"&amp;dHdcp[[#This Row],[Nombre]]</f>
        <v>0:Jesus Touceda</v>
      </c>
      <c r="I1612" t="str">
        <f>+dHdcp[[#This Row],[Maximo]]&amp;":"&amp;_xlfn.XLOOKUP(dHdcp[[#This Row],[Nombre]],dJugador[Nombre],dJugador[Mote],"",0)</f>
        <v>0:Jesús</v>
      </c>
      <c r="J1612" t="str">
        <f>+IF(dHdcp[[#This Row],[Maximo]]=0,"",_xlfn.RANK.EQ(dHdcp[[#This Row],[Handicap]],dHdcp[Handicap],1))</f>
        <v/>
      </c>
      <c r="K1612" t="str">
        <f>IFERROR(+_xlfn.RANK.EQ(dHdcp[[#This Row],[Ranking]],dHdcp[Ranking],1),"")</f>
        <v/>
      </c>
      <c r="M1612" t="str">
        <f>+dHdcp[[#This Row],[Fecha]]&amp;":"&amp;dHdcp[[#This Row],[Nombre]]</f>
        <v>45073:Jesus Touceda</v>
      </c>
      <c r="N1612">
        <f>+COUNTIF(dHdcp[Columna1],dHdcp[[#This Row],[Columna1]])</f>
        <v>1</v>
      </c>
    </row>
    <row r="1613" spans="1:14">
      <c r="A1613" s="2">
        <v>45073</v>
      </c>
      <c r="B1613" t="s">
        <v>297</v>
      </c>
      <c r="C1613" s="51">
        <v>22.9</v>
      </c>
      <c r="D1613">
        <f>+VLOOKUP(dHdcp[[#This Row],[Handicap]],'Categoría Hdcap'!$B$2:$E$7,4)</f>
        <v>4</v>
      </c>
      <c r="E1613" t="s">
        <v>74</v>
      </c>
      <c r="F1613" t="s">
        <v>2079</v>
      </c>
      <c r="G1613">
        <f>+IF(dHdcp[[#This Row],[Fecha]]=MAX(dHdcp[Fecha]),1,0)</f>
        <v>0</v>
      </c>
      <c r="H1613" t="str">
        <f>+dHdcp[[#This Row],[Maximo]]&amp;":"&amp;dHdcp[[#This Row],[Nombre]]</f>
        <v>0:Jorge Alberto Martínez Sánchez</v>
      </c>
      <c r="I1613" t="str">
        <f>+dHdcp[[#This Row],[Maximo]]&amp;":"&amp;_xlfn.XLOOKUP(dHdcp[[#This Row],[Nombre]],dJugador[Nombre],dJugador[Mote],"",0)</f>
        <v>0:Jorge</v>
      </c>
      <c r="J1613" t="str">
        <f>+IF(dHdcp[[#This Row],[Maximo]]=0,"",_xlfn.RANK.EQ(dHdcp[[#This Row],[Handicap]],dHdcp[Handicap],1))</f>
        <v/>
      </c>
      <c r="K1613" t="str">
        <f>IFERROR(+_xlfn.RANK.EQ(dHdcp[[#This Row],[Ranking]],dHdcp[Ranking],1),"")</f>
        <v/>
      </c>
      <c r="M1613" t="str">
        <f>+dHdcp[[#This Row],[Fecha]]&amp;":"&amp;dHdcp[[#This Row],[Nombre]]</f>
        <v>45073:Jorge Alberto Martínez Sánchez</v>
      </c>
      <c r="N1613">
        <f>+COUNTIF(dHdcp[Columna1],dHdcp[[#This Row],[Columna1]])</f>
        <v>1</v>
      </c>
    </row>
    <row r="1614" spans="1:14">
      <c r="A1614" s="2">
        <v>45073</v>
      </c>
      <c r="B1614" t="s">
        <v>388</v>
      </c>
      <c r="C1614" s="51">
        <v>24.8</v>
      </c>
      <c r="D1614">
        <f>+VLOOKUP(dHdcp[[#This Row],[Handicap]],'Categoría Hdcap'!$B$2:$E$7,4)</f>
        <v>4</v>
      </c>
      <c r="E1614" t="s">
        <v>74</v>
      </c>
      <c r="F1614" t="s">
        <v>2080</v>
      </c>
      <c r="G1614">
        <f>+IF(dHdcp[[#This Row],[Fecha]]=MAX(dHdcp[Fecha]),1,0)</f>
        <v>0</v>
      </c>
      <c r="H1614" t="str">
        <f>+dHdcp[[#This Row],[Maximo]]&amp;":"&amp;dHdcp[[#This Row],[Nombre]]</f>
        <v>0:Jose Antonio Santana</v>
      </c>
      <c r="I1614" t="str">
        <f>+dHdcp[[#This Row],[Maximo]]&amp;":"&amp;_xlfn.XLOOKUP(dHdcp[[#This Row],[Nombre]],dJugador[Nombre],dJugador[Mote],"",0)</f>
        <v>0:J Antonio</v>
      </c>
      <c r="J1614" t="str">
        <f>+IF(dHdcp[[#This Row],[Maximo]]=0,"",_xlfn.RANK.EQ(dHdcp[[#This Row],[Handicap]],dHdcp[Handicap],1))</f>
        <v/>
      </c>
      <c r="K1614" t="str">
        <f>IFERROR(+_xlfn.RANK.EQ(dHdcp[[#This Row],[Ranking]],dHdcp[Ranking],1),"")</f>
        <v/>
      </c>
      <c r="M1614" t="str">
        <f>+dHdcp[[#This Row],[Fecha]]&amp;":"&amp;dHdcp[[#This Row],[Nombre]]</f>
        <v>45073:Jose Antonio Santana</v>
      </c>
      <c r="N1614">
        <f>+COUNTIF(dHdcp[Columna1],dHdcp[[#This Row],[Columna1]])</f>
        <v>1</v>
      </c>
    </row>
    <row r="1615" spans="1:14">
      <c r="A1615" s="2">
        <v>45073</v>
      </c>
      <c r="B1615" t="s">
        <v>18</v>
      </c>
      <c r="C1615" s="51">
        <v>7.4</v>
      </c>
      <c r="D1615">
        <f>+VLOOKUP(dHdcp[[#This Row],[Handicap]],'Categoría Hdcap'!$B$2:$E$7,4)</f>
        <v>2</v>
      </c>
      <c r="E1615" t="s">
        <v>74</v>
      </c>
      <c r="F1615" t="s">
        <v>2081</v>
      </c>
      <c r="G1615">
        <f>+IF(dHdcp[[#This Row],[Fecha]]=MAX(dHdcp[Fecha]),1,0)</f>
        <v>0</v>
      </c>
      <c r="H1615" t="str">
        <f>+dHdcp[[#This Row],[Maximo]]&amp;":"&amp;dHdcp[[#This Row],[Nombre]]</f>
        <v>0:José Pablo Guil</v>
      </c>
      <c r="I1615" t="str">
        <f>+dHdcp[[#This Row],[Maximo]]&amp;":"&amp;_xlfn.XLOOKUP(dHdcp[[#This Row],[Nombre]],dJugador[Nombre],dJugador[Mote],"",0)</f>
        <v>0:JP</v>
      </c>
      <c r="J1615" t="str">
        <f>+IF(dHdcp[[#This Row],[Maximo]]=0,"",_xlfn.RANK.EQ(dHdcp[[#This Row],[Handicap]],dHdcp[Handicap],1))</f>
        <v/>
      </c>
      <c r="K1615" t="str">
        <f>IFERROR(+_xlfn.RANK.EQ(dHdcp[[#This Row],[Ranking]],dHdcp[Ranking],1),"")</f>
        <v/>
      </c>
      <c r="M1615" t="str">
        <f>+dHdcp[[#This Row],[Fecha]]&amp;":"&amp;dHdcp[[#This Row],[Nombre]]</f>
        <v>45073:José Pablo Guil</v>
      </c>
      <c r="N1615">
        <f>+COUNTIF(dHdcp[Columna1],dHdcp[[#This Row],[Columna1]])</f>
        <v>1</v>
      </c>
    </row>
    <row r="1616" spans="1:14">
      <c r="A1616" s="2">
        <v>45073</v>
      </c>
      <c r="B1616" t="s">
        <v>293</v>
      </c>
      <c r="C1616" s="51">
        <v>21.9</v>
      </c>
      <c r="D1616">
        <f>+VLOOKUP(dHdcp[[#This Row],[Handicap]],'Categoría Hdcap'!$B$2:$E$7,4)</f>
        <v>4</v>
      </c>
      <c r="E1616" t="s">
        <v>74</v>
      </c>
      <c r="F1616" t="s">
        <v>2082</v>
      </c>
      <c r="G1616">
        <f>+IF(dHdcp[[#This Row],[Fecha]]=MAX(dHdcp[Fecha]),1,0)</f>
        <v>0</v>
      </c>
      <c r="H1616" t="str">
        <f>+dHdcp[[#This Row],[Maximo]]&amp;":"&amp;dHdcp[[#This Row],[Nombre]]</f>
        <v>0:Juan Jose Aguado</v>
      </c>
      <c r="I1616" t="str">
        <f>+dHdcp[[#This Row],[Maximo]]&amp;":"&amp;_xlfn.XLOOKUP(dHdcp[[#This Row],[Nombre]],dJugador[Nombre],dJugador[Mote],"",0)</f>
        <v>0:Juancho</v>
      </c>
      <c r="J1616" t="str">
        <f>+IF(dHdcp[[#This Row],[Maximo]]=0,"",_xlfn.RANK.EQ(dHdcp[[#This Row],[Handicap]],dHdcp[Handicap],1))</f>
        <v/>
      </c>
      <c r="K1616" t="str">
        <f>IFERROR(+_xlfn.RANK.EQ(dHdcp[[#This Row],[Ranking]],dHdcp[Ranking],1),"")</f>
        <v/>
      </c>
      <c r="M1616" t="str">
        <f>+dHdcp[[#This Row],[Fecha]]&amp;":"&amp;dHdcp[[#This Row],[Nombre]]</f>
        <v>45073:Juan Jose Aguado</v>
      </c>
      <c r="N1616">
        <f>+COUNTIF(dHdcp[Columna1],dHdcp[[#This Row],[Columna1]])</f>
        <v>1</v>
      </c>
    </row>
    <row r="1617" spans="1:30">
      <c r="A1617" s="2">
        <v>45073</v>
      </c>
      <c r="B1617" t="s">
        <v>375</v>
      </c>
      <c r="C1617" s="51">
        <v>12.3</v>
      </c>
      <c r="D1617">
        <f>+VLOOKUP(dHdcp[[#This Row],[Handicap]],'Categoría Hdcap'!$B$2:$E$7,4)</f>
        <v>3</v>
      </c>
      <c r="E1617" t="s">
        <v>74</v>
      </c>
      <c r="F1617" t="s">
        <v>2083</v>
      </c>
      <c r="G1617">
        <f>+IF(dHdcp[[#This Row],[Fecha]]=MAX(dHdcp[Fecha]),1,0)</f>
        <v>0</v>
      </c>
      <c r="H1617" t="str">
        <f>+dHdcp[[#This Row],[Maximo]]&amp;":"&amp;dHdcp[[#This Row],[Nombre]]</f>
        <v>0:Luis Fernandez</v>
      </c>
      <c r="I1617" t="str">
        <f>+dHdcp[[#This Row],[Maximo]]&amp;":"&amp;_xlfn.XLOOKUP(dHdcp[[#This Row],[Nombre]],dJugador[Nombre],dJugador[Mote],"",0)</f>
        <v>0:Luis</v>
      </c>
      <c r="J1617" t="str">
        <f>+IF(dHdcp[[#This Row],[Maximo]]=0,"",_xlfn.RANK.EQ(dHdcp[[#This Row],[Handicap]],dHdcp[Handicap],1))</f>
        <v/>
      </c>
      <c r="K1617" t="str">
        <f>IFERROR(+_xlfn.RANK.EQ(dHdcp[[#This Row],[Ranking]],dHdcp[Ranking],1),"")</f>
        <v/>
      </c>
      <c r="M1617" t="str">
        <f>+dHdcp[[#This Row],[Fecha]]&amp;":"&amp;dHdcp[[#This Row],[Nombre]]</f>
        <v>45073:Luis Fernandez</v>
      </c>
      <c r="N1617">
        <f>+COUNTIF(dHdcp[Columna1],dHdcp[[#This Row],[Columna1]])</f>
        <v>1</v>
      </c>
    </row>
    <row r="1618" spans="1:30">
      <c r="A1618" s="2">
        <v>45073</v>
      </c>
      <c r="B1618" t="s">
        <v>135</v>
      </c>
      <c r="C1618" s="51">
        <v>21.8</v>
      </c>
      <c r="D1618">
        <f>+VLOOKUP(dHdcp[[#This Row],[Handicap]],'Categoría Hdcap'!$B$2:$E$7,4)</f>
        <v>4</v>
      </c>
      <c r="E1618" t="s">
        <v>74</v>
      </c>
      <c r="F1618" t="s">
        <v>2084</v>
      </c>
      <c r="G1618">
        <f>+IF(dHdcp[[#This Row],[Fecha]]=MAX(dHdcp[Fecha]),1,0)</f>
        <v>0</v>
      </c>
      <c r="H1618" t="str">
        <f>+dHdcp[[#This Row],[Maximo]]&amp;":"&amp;dHdcp[[#This Row],[Nombre]]</f>
        <v>0:Miche Lopez</v>
      </c>
      <c r="I1618" t="str">
        <f>+dHdcp[[#This Row],[Maximo]]&amp;":"&amp;_xlfn.XLOOKUP(dHdcp[[#This Row],[Nombre]],dJugador[Nombre],dJugador[Mote],"",0)</f>
        <v>0:Miche</v>
      </c>
      <c r="J1618" t="str">
        <f>+IF(dHdcp[[#This Row],[Maximo]]=0,"",_xlfn.RANK.EQ(dHdcp[[#This Row],[Handicap]],dHdcp[Handicap],1))</f>
        <v/>
      </c>
      <c r="K1618" t="str">
        <f>IFERROR(+_xlfn.RANK.EQ(dHdcp[[#This Row],[Ranking]],dHdcp[Ranking],1),"")</f>
        <v/>
      </c>
      <c r="M1618" t="str">
        <f>+dHdcp[[#This Row],[Fecha]]&amp;":"&amp;dHdcp[[#This Row],[Nombre]]</f>
        <v>45073:Miche Lopez</v>
      </c>
      <c r="N1618">
        <f>+COUNTIF(dHdcp[Columna1],dHdcp[[#This Row],[Columna1]])</f>
        <v>1</v>
      </c>
    </row>
    <row r="1619" spans="1:30">
      <c r="A1619" s="2">
        <v>45073</v>
      </c>
      <c r="B1619" t="s">
        <v>205</v>
      </c>
      <c r="C1619" s="51">
        <v>7.2</v>
      </c>
      <c r="D1619">
        <f>+VLOOKUP(dHdcp[[#This Row],[Handicap]],'Categoría Hdcap'!$B$2:$E$7,4)</f>
        <v>2</v>
      </c>
      <c r="E1619" t="s">
        <v>74</v>
      </c>
      <c r="F1619" t="s">
        <v>2085</v>
      </c>
      <c r="G1619">
        <f>+IF(dHdcp[[#This Row],[Fecha]]=MAX(dHdcp[Fecha]),1,0)</f>
        <v>0</v>
      </c>
      <c r="H1619" t="str">
        <f>+dHdcp[[#This Row],[Maximo]]&amp;":"&amp;dHdcp[[#This Row],[Nombre]]</f>
        <v>0:Nacho Casas</v>
      </c>
      <c r="I1619" t="str">
        <f>+dHdcp[[#This Row],[Maximo]]&amp;":"&amp;_xlfn.XLOOKUP(dHdcp[[#This Row],[Nombre]],dJugador[Nombre],dJugador[Mote],"",0)</f>
        <v>0:Nachete</v>
      </c>
      <c r="J1619" t="str">
        <f>+IF(dHdcp[[#This Row],[Maximo]]=0,"",_xlfn.RANK.EQ(dHdcp[[#This Row],[Handicap]],dHdcp[Handicap],1))</f>
        <v/>
      </c>
      <c r="K1619" t="str">
        <f>IFERROR(+_xlfn.RANK.EQ(dHdcp[[#This Row],[Ranking]],dHdcp[Ranking],1),"")</f>
        <v/>
      </c>
      <c r="M1619" t="str">
        <f>+dHdcp[[#This Row],[Fecha]]&amp;":"&amp;dHdcp[[#This Row],[Nombre]]</f>
        <v>45073:Nacho Casas</v>
      </c>
      <c r="N1619">
        <f>+COUNTIF(dHdcp[Columna1],dHdcp[[#This Row],[Columna1]])</f>
        <v>1</v>
      </c>
    </row>
    <row r="1620" spans="1:30">
      <c r="A1620" s="2">
        <v>45073</v>
      </c>
      <c r="B1620" t="s">
        <v>3</v>
      </c>
      <c r="C1620" s="51">
        <v>6.6</v>
      </c>
      <c r="D1620">
        <f>+VLOOKUP(dHdcp[[#This Row],[Handicap]],'Categoría Hdcap'!$B$2:$E$7,4)</f>
        <v>2</v>
      </c>
      <c r="E1620" t="s">
        <v>74</v>
      </c>
      <c r="F1620" t="s">
        <v>2086</v>
      </c>
      <c r="G1620">
        <f>+IF(dHdcp[[#This Row],[Fecha]]=MAX(dHdcp[Fecha]),1,0)</f>
        <v>0</v>
      </c>
      <c r="H1620" t="str">
        <f>+dHdcp[[#This Row],[Maximo]]&amp;":"&amp;dHdcp[[#This Row],[Nombre]]</f>
        <v>0:Nacho Gonzalez</v>
      </c>
      <c r="I1620" t="str">
        <f>+dHdcp[[#This Row],[Maximo]]&amp;":"&amp;_xlfn.XLOOKUP(dHdcp[[#This Row],[Nombre]],dJugador[Nombre],dJugador[Mote],"",0)</f>
        <v>0:Nacho</v>
      </c>
      <c r="J1620" t="str">
        <f>+IF(dHdcp[[#This Row],[Maximo]]=0,"",_xlfn.RANK.EQ(dHdcp[[#This Row],[Handicap]],dHdcp[Handicap],1))</f>
        <v/>
      </c>
      <c r="K1620" t="str">
        <f>IFERROR(+_xlfn.RANK.EQ(dHdcp[[#This Row],[Ranking]],dHdcp[Ranking],1),"")</f>
        <v/>
      </c>
      <c r="M1620" t="str">
        <f>+dHdcp[[#This Row],[Fecha]]&amp;":"&amp;dHdcp[[#This Row],[Nombre]]</f>
        <v>45073:Nacho Gonzalez</v>
      </c>
      <c r="N1620">
        <f>+COUNTIF(dHdcp[Columna1],dHdcp[[#This Row],[Columna1]])</f>
        <v>1</v>
      </c>
    </row>
    <row r="1621" spans="1:30">
      <c r="A1621" s="2">
        <v>45073</v>
      </c>
      <c r="B1621" t="s">
        <v>203</v>
      </c>
      <c r="C1621" s="51">
        <v>17.100000000000001</v>
      </c>
      <c r="D1621">
        <f>+VLOOKUP(dHdcp[[#This Row],[Handicap]],'Categoría Hdcap'!$B$2:$E$7,4)</f>
        <v>3</v>
      </c>
      <c r="E1621" t="s">
        <v>74</v>
      </c>
      <c r="F1621" t="s">
        <v>2087</v>
      </c>
      <c r="G1621">
        <f>+IF(dHdcp[[#This Row],[Fecha]]=MAX(dHdcp[Fecha]),1,0)</f>
        <v>0</v>
      </c>
      <c r="H1621" t="str">
        <f>+dHdcp[[#This Row],[Maximo]]&amp;":"&amp;dHdcp[[#This Row],[Nombre]]</f>
        <v>0:Ruslan Kochman</v>
      </c>
      <c r="I1621" t="str">
        <f>+dHdcp[[#This Row],[Maximo]]&amp;":"&amp;_xlfn.XLOOKUP(dHdcp[[#This Row],[Nombre]],dJugador[Nombre],dJugador[Mote],"",0)</f>
        <v>0:Rus</v>
      </c>
      <c r="J1621" t="str">
        <f>+IF(dHdcp[[#This Row],[Maximo]]=0,"",_xlfn.RANK.EQ(dHdcp[[#This Row],[Handicap]],dHdcp[Handicap],1))</f>
        <v/>
      </c>
      <c r="K1621" t="str">
        <f>IFERROR(+_xlfn.RANK.EQ(dHdcp[[#This Row],[Ranking]],dHdcp[Ranking],1),"")</f>
        <v/>
      </c>
      <c r="M1621" t="str">
        <f>+dHdcp[[#This Row],[Fecha]]&amp;":"&amp;dHdcp[[#This Row],[Nombre]]</f>
        <v>45073:Ruslan Kochman</v>
      </c>
      <c r="N1621">
        <f>+COUNTIF(dHdcp[Columna1],dHdcp[[#This Row],[Columna1]])</f>
        <v>1</v>
      </c>
    </row>
    <row r="1622" spans="1:30">
      <c r="A1622" s="2">
        <v>45073</v>
      </c>
      <c r="B1622" t="s">
        <v>271</v>
      </c>
      <c r="C1622" s="51">
        <v>16.399999999999999</v>
      </c>
      <c r="D1622">
        <f>+VLOOKUP(dHdcp[[#This Row],[Handicap]],'Categoría Hdcap'!$B$2:$E$7,4)</f>
        <v>3</v>
      </c>
      <c r="E1622" t="s">
        <v>74</v>
      </c>
      <c r="F1622" t="s">
        <v>2088</v>
      </c>
      <c r="G1622">
        <f>+IF(dHdcp[[#This Row],[Fecha]]=MAX(dHdcp[Fecha]),1,0)</f>
        <v>0</v>
      </c>
      <c r="H1622" t="str">
        <f>+dHdcp[[#This Row],[Maximo]]&amp;":"&amp;dHdcp[[#This Row],[Nombre]]</f>
        <v>0:Santi Diaz</v>
      </c>
      <c r="I1622" t="str">
        <f>+dHdcp[[#This Row],[Maximo]]&amp;":"&amp;_xlfn.XLOOKUP(dHdcp[[#This Row],[Nombre]],dJugador[Nombre],dJugador[Mote],"",0)</f>
        <v>0:Santi</v>
      </c>
      <c r="J1622" t="str">
        <f>+IF(dHdcp[[#This Row],[Maximo]]=0,"",_xlfn.RANK.EQ(dHdcp[[#This Row],[Handicap]],dHdcp[Handicap],1))</f>
        <v/>
      </c>
      <c r="K1622" t="str">
        <f>IFERROR(+_xlfn.RANK.EQ(dHdcp[[#This Row],[Ranking]],dHdcp[Ranking],1),"")</f>
        <v/>
      </c>
      <c r="M1622" t="str">
        <f>+dHdcp[[#This Row],[Fecha]]&amp;":"&amp;dHdcp[[#This Row],[Nombre]]</f>
        <v>45073:Santi Diaz</v>
      </c>
      <c r="N1622">
        <f>+COUNTIF(dHdcp[Columna1],dHdcp[[#This Row],[Columna1]])</f>
        <v>1</v>
      </c>
      <c r="V1622" t="s">
        <v>422</v>
      </c>
      <c r="Z1622" t="s">
        <v>419</v>
      </c>
      <c r="AA1622" t="s">
        <v>420</v>
      </c>
      <c r="AB1622" t="s">
        <v>421</v>
      </c>
      <c r="AC1622" t="s">
        <v>423</v>
      </c>
      <c r="AD1622" t="s">
        <v>424</v>
      </c>
    </row>
    <row r="1623" spans="1:30">
      <c r="A1623" s="2">
        <v>45074</v>
      </c>
      <c r="B1623" t="s">
        <v>259</v>
      </c>
      <c r="C1623" s="51">
        <v>2.0999999999999996</v>
      </c>
      <c r="D1623">
        <f>+VLOOKUP(dHdcp[[#This Row],[Handicap]],'Categoría Hdcap'!$B$2:$E$7,4)</f>
        <v>1</v>
      </c>
      <c r="E1623" t="s">
        <v>74</v>
      </c>
      <c r="F1623" t="s">
        <v>2089</v>
      </c>
      <c r="G1623">
        <f>+IF(dHdcp[[#This Row],[Fecha]]=MAX(dHdcp[Fecha]),1,0)</f>
        <v>0</v>
      </c>
      <c r="H1623" t="str">
        <f>+dHdcp[[#This Row],[Maximo]]&amp;":"&amp;dHdcp[[#This Row],[Nombre]]</f>
        <v>0:Alejandro Arcos</v>
      </c>
      <c r="I1623" t="str">
        <f>+dHdcp[[#This Row],[Maximo]]&amp;":"&amp;_xlfn.XLOOKUP(dHdcp[[#This Row],[Nombre]],dJugador[Nombre],dJugador[Mote],"",0)</f>
        <v>0:Alex</v>
      </c>
      <c r="J1623" t="str">
        <f>+IF(dHdcp[[#This Row],[Maximo]]=0,"",_xlfn.RANK.EQ(dHdcp[[#This Row],[Handicap]],dHdcp[Handicap],1))</f>
        <v/>
      </c>
      <c r="K1623" t="str">
        <f>IFERROR(+_xlfn.RANK.EQ(dHdcp[[#This Row],[Ranking]],dHdcp[Ranking],1),"")</f>
        <v/>
      </c>
      <c r="M1623" t="str">
        <f>+dHdcp[[#This Row],[Fecha]]&amp;":"&amp;dHdcp[[#This Row],[Nombre]]</f>
        <v>45074:Alejandro Arcos</v>
      </c>
      <c r="N1623">
        <f>+COUNTIF(dHdcp[Columna1],dHdcp[[#This Row],[Columna1]])</f>
        <v>1</v>
      </c>
      <c r="U1623" t="s">
        <v>326</v>
      </c>
      <c r="V1623">
        <v>-3.9</v>
      </c>
      <c r="X1623" s="27">
        <v>45074</v>
      </c>
      <c r="Y1623" s="13" t="s">
        <v>259</v>
      </c>
      <c r="Z1623" s="42">
        <v>2.8</v>
      </c>
      <c r="AA1623">
        <f>+IFERROR(VLOOKUP(Y1623,$U$1623:$V$1640,2,FALSE),0)</f>
        <v>-0.7</v>
      </c>
      <c r="AB1623" s="51">
        <f>+Z1623+AA1623</f>
        <v>2.0999999999999996</v>
      </c>
      <c r="AC1623">
        <f>+IFERROR(VLOOKUP(Y1623,$U$1642:$V$1659,2,FALSE),0)</f>
        <v>-0.2</v>
      </c>
      <c r="AD1623" s="51">
        <f>+SUM(AB1623:AC1623)</f>
        <v>1.8999999999999997</v>
      </c>
    </row>
    <row r="1624" spans="1:30">
      <c r="A1624" s="2">
        <v>45074</v>
      </c>
      <c r="B1624" t="s">
        <v>9</v>
      </c>
      <c r="C1624" s="51">
        <v>10.1</v>
      </c>
      <c r="D1624">
        <f>+VLOOKUP(dHdcp[[#This Row],[Handicap]],'Categoría Hdcap'!$B$2:$E$7,4)</f>
        <v>2</v>
      </c>
      <c r="E1624" t="s">
        <v>74</v>
      </c>
      <c r="F1624" t="s">
        <v>2090</v>
      </c>
      <c r="G1624">
        <f>+IF(dHdcp[[#This Row],[Fecha]]=MAX(dHdcp[Fecha]),1,0)</f>
        <v>0</v>
      </c>
      <c r="H1624" t="str">
        <f>+dHdcp[[#This Row],[Maximo]]&amp;":"&amp;dHdcp[[#This Row],[Nombre]]</f>
        <v>0:Alfonso Hidalgo</v>
      </c>
      <c r="I1624" t="str">
        <f>+dHdcp[[#This Row],[Maximo]]&amp;":"&amp;_xlfn.XLOOKUP(dHdcp[[#This Row],[Nombre]],dJugador[Nombre],dJugador[Mote],"",0)</f>
        <v>0:Alfonso</v>
      </c>
      <c r="J1624" t="str">
        <f>+IF(dHdcp[[#This Row],[Maximo]]=0,"",_xlfn.RANK.EQ(dHdcp[[#This Row],[Handicap]],dHdcp[Handicap],1))</f>
        <v/>
      </c>
      <c r="K1624" t="str">
        <f>IFERROR(+_xlfn.RANK.EQ(dHdcp[[#This Row],[Ranking]],dHdcp[Ranking],1),"")</f>
        <v/>
      </c>
      <c r="M1624" t="str">
        <f>+dHdcp[[#This Row],[Fecha]]&amp;":"&amp;dHdcp[[#This Row],[Nombre]]</f>
        <v>45074:Alfonso Hidalgo</v>
      </c>
      <c r="N1624">
        <f>+COUNTIF(dHdcp[Columna1],dHdcp[[#This Row],[Columna1]])</f>
        <v>1</v>
      </c>
      <c r="U1624" t="s">
        <v>135</v>
      </c>
      <c r="V1624">
        <v>-1</v>
      </c>
      <c r="X1624" s="26">
        <v>45074</v>
      </c>
      <c r="Y1624" s="18" t="s">
        <v>9</v>
      </c>
      <c r="Z1624" s="52">
        <v>10.1</v>
      </c>
      <c r="AA1624">
        <f t="shared" ref="AA1624:AA1659" si="5">+IFERROR(VLOOKUP(Y1624,$U$1623:$V$1640,2,FALSE),0)</f>
        <v>0</v>
      </c>
      <c r="AB1624" s="51">
        <f t="shared" ref="AB1624:AB1659" si="6">+Z1624+AA1624</f>
        <v>10.1</v>
      </c>
      <c r="AC1624">
        <f t="shared" ref="AC1624:AC1659" si="7">+IFERROR(VLOOKUP(Y1624,$U$1642:$V$1659,2,FALSE),0)</f>
        <v>1</v>
      </c>
      <c r="AD1624" s="51">
        <f t="shared" ref="AD1624:AD1659" si="8">+SUM(AB1624:AC1624)</f>
        <v>11.1</v>
      </c>
    </row>
    <row r="1625" spans="1:30">
      <c r="A1625" s="2">
        <v>45074</v>
      </c>
      <c r="B1625" t="s">
        <v>229</v>
      </c>
      <c r="C1625" s="51">
        <v>14.1</v>
      </c>
      <c r="D1625">
        <f>+VLOOKUP(dHdcp[[#This Row],[Handicap]],'Categoría Hdcap'!$B$2:$E$7,4)</f>
        <v>3</v>
      </c>
      <c r="E1625" t="s">
        <v>74</v>
      </c>
      <c r="F1625" t="s">
        <v>2091</v>
      </c>
      <c r="G1625">
        <f>+IF(dHdcp[[#This Row],[Fecha]]=MAX(dHdcp[Fecha]),1,0)</f>
        <v>0</v>
      </c>
      <c r="H1625" t="str">
        <f>+dHdcp[[#This Row],[Maximo]]&amp;":"&amp;dHdcp[[#This Row],[Nombre]]</f>
        <v>0:Alfonso Zorrilla</v>
      </c>
      <c r="I1625" t="str">
        <f>+dHdcp[[#This Row],[Maximo]]&amp;":"&amp;_xlfn.XLOOKUP(dHdcp[[#This Row],[Nombre]],dJugador[Nombre],dJugador[Mote],"",0)</f>
        <v>0:A Zorrilla</v>
      </c>
      <c r="J1625" t="str">
        <f>+IF(dHdcp[[#This Row],[Maximo]]=0,"",_xlfn.RANK.EQ(dHdcp[[#This Row],[Handicap]],dHdcp[Handicap],1))</f>
        <v/>
      </c>
      <c r="K1625" t="str">
        <f>IFERROR(+_xlfn.RANK.EQ(dHdcp[[#This Row],[Ranking]],dHdcp[Ranking],1),"")</f>
        <v/>
      </c>
      <c r="M1625" t="str">
        <f>+dHdcp[[#This Row],[Fecha]]&amp;":"&amp;dHdcp[[#This Row],[Nombre]]</f>
        <v>45074:Alfonso Zorrilla</v>
      </c>
      <c r="N1625">
        <f>+COUNTIF(dHdcp[Columna1],dHdcp[[#This Row],[Columna1]])</f>
        <v>1</v>
      </c>
      <c r="U1625" t="s">
        <v>259</v>
      </c>
      <c r="V1625">
        <v>-0.7</v>
      </c>
      <c r="X1625" s="27">
        <v>45074</v>
      </c>
      <c r="Y1625" s="13" t="s">
        <v>229</v>
      </c>
      <c r="Z1625" s="42">
        <v>14.1</v>
      </c>
      <c r="AA1625">
        <f t="shared" si="5"/>
        <v>0</v>
      </c>
      <c r="AB1625" s="51">
        <f t="shared" si="6"/>
        <v>14.1</v>
      </c>
      <c r="AC1625">
        <f t="shared" si="7"/>
        <v>0</v>
      </c>
      <c r="AD1625" s="51">
        <f t="shared" si="8"/>
        <v>14.1</v>
      </c>
    </row>
    <row r="1626" spans="1:30">
      <c r="A1626" s="2">
        <v>45074</v>
      </c>
      <c r="B1626" t="s">
        <v>15</v>
      </c>
      <c r="C1626" s="51">
        <v>6.2</v>
      </c>
      <c r="D1626">
        <f>+VLOOKUP(dHdcp[[#This Row],[Handicap]],'Categoría Hdcap'!$B$2:$E$7,4)</f>
        <v>2</v>
      </c>
      <c r="E1626" t="s">
        <v>74</v>
      </c>
      <c r="F1626" t="s">
        <v>2092</v>
      </c>
      <c r="G1626">
        <f>+IF(dHdcp[[#This Row],[Fecha]]=MAX(dHdcp[Fecha]),1,0)</f>
        <v>0</v>
      </c>
      <c r="H1626" t="str">
        <f>+dHdcp[[#This Row],[Maximo]]&amp;":"&amp;dHdcp[[#This Row],[Nombre]]</f>
        <v>0:Alvaro Aguirre</v>
      </c>
      <c r="I1626" t="str">
        <f>+dHdcp[[#This Row],[Maximo]]&amp;":"&amp;_xlfn.XLOOKUP(dHdcp[[#This Row],[Nombre]],dJugador[Nombre],dJugador[Mote],"",0)</f>
        <v>0:Gifu</v>
      </c>
      <c r="J1626" t="str">
        <f>+IF(dHdcp[[#This Row],[Maximo]]=0,"",_xlfn.RANK.EQ(dHdcp[[#This Row],[Handicap]],dHdcp[Handicap],1))</f>
        <v/>
      </c>
      <c r="K1626" t="str">
        <f>IFERROR(+_xlfn.RANK.EQ(dHdcp[[#This Row],[Ranking]],dHdcp[Ranking],1),"")</f>
        <v/>
      </c>
      <c r="M1626" t="str">
        <f>+dHdcp[[#This Row],[Fecha]]&amp;":"&amp;dHdcp[[#This Row],[Nombre]]</f>
        <v>45074:Alvaro Aguirre</v>
      </c>
      <c r="N1626">
        <f>+COUNTIF(dHdcp[Columna1],dHdcp[[#This Row],[Columna1]])</f>
        <v>1</v>
      </c>
      <c r="U1626" t="s">
        <v>297</v>
      </c>
      <c r="V1626">
        <v>-0.4</v>
      </c>
      <c r="X1626" s="26">
        <v>45074</v>
      </c>
      <c r="Y1626" s="18" t="s">
        <v>15</v>
      </c>
      <c r="Z1626" s="52">
        <v>6</v>
      </c>
      <c r="AA1626">
        <f t="shared" si="5"/>
        <v>0.2</v>
      </c>
      <c r="AB1626" s="51">
        <f t="shared" si="6"/>
        <v>6.2</v>
      </c>
      <c r="AC1626">
        <f t="shared" si="7"/>
        <v>0.2</v>
      </c>
      <c r="AD1626" s="51">
        <f t="shared" si="8"/>
        <v>6.4</v>
      </c>
    </row>
    <row r="1627" spans="1:30">
      <c r="A1627" s="2">
        <v>45074</v>
      </c>
      <c r="B1627" t="s">
        <v>201</v>
      </c>
      <c r="C1627" s="51">
        <v>9.6</v>
      </c>
      <c r="D1627">
        <f>+VLOOKUP(dHdcp[[#This Row],[Handicap]],'Categoría Hdcap'!$B$2:$E$7,4)</f>
        <v>2</v>
      </c>
      <c r="E1627" t="s">
        <v>74</v>
      </c>
      <c r="F1627" t="s">
        <v>2093</v>
      </c>
      <c r="G1627">
        <f>+IF(dHdcp[[#This Row],[Fecha]]=MAX(dHdcp[Fecha]),1,0)</f>
        <v>0</v>
      </c>
      <c r="H1627" t="str">
        <f>+dHdcp[[#This Row],[Maximo]]&amp;":"&amp;dHdcp[[#This Row],[Nombre]]</f>
        <v>0:Alvaro Montoya</v>
      </c>
      <c r="I1627" t="str">
        <f>+dHdcp[[#This Row],[Maximo]]&amp;":"&amp;_xlfn.XLOOKUP(dHdcp[[#This Row],[Nombre]],dJugador[Nombre],dJugador[Mote],"",0)</f>
        <v>0:Monti</v>
      </c>
      <c r="J1627" t="str">
        <f>+IF(dHdcp[[#This Row],[Maximo]]=0,"",_xlfn.RANK.EQ(dHdcp[[#This Row],[Handicap]],dHdcp[Handicap],1))</f>
        <v/>
      </c>
      <c r="K1627" t="str">
        <f>IFERROR(+_xlfn.RANK.EQ(dHdcp[[#This Row],[Ranking]],dHdcp[Ranking],1),"")</f>
        <v/>
      </c>
      <c r="M1627" t="str">
        <f>+dHdcp[[#This Row],[Fecha]]&amp;":"&amp;dHdcp[[#This Row],[Nombre]]</f>
        <v>45074:Alvaro Montoya</v>
      </c>
      <c r="N1627">
        <f>+COUNTIF(dHdcp[Columna1],dHdcp[[#This Row],[Columna1]])</f>
        <v>1</v>
      </c>
      <c r="U1627" t="s">
        <v>46</v>
      </c>
      <c r="V1627">
        <v>-0.3</v>
      </c>
      <c r="X1627" s="27">
        <v>45074</v>
      </c>
      <c r="Y1627" s="13" t="s">
        <v>201</v>
      </c>
      <c r="Z1627" s="42">
        <v>9.6</v>
      </c>
      <c r="AA1627">
        <f t="shared" si="5"/>
        <v>0</v>
      </c>
      <c r="AB1627" s="51">
        <f t="shared" si="6"/>
        <v>9.6</v>
      </c>
      <c r="AC1627">
        <f t="shared" si="7"/>
        <v>0</v>
      </c>
      <c r="AD1627" s="51">
        <f t="shared" si="8"/>
        <v>9.6</v>
      </c>
    </row>
    <row r="1628" spans="1:30">
      <c r="A1628" s="2">
        <v>45074</v>
      </c>
      <c r="B1628" t="s">
        <v>25</v>
      </c>
      <c r="C1628" s="51">
        <v>12.3</v>
      </c>
      <c r="D1628">
        <f>+VLOOKUP(dHdcp[[#This Row],[Handicap]],'Categoría Hdcap'!$B$2:$E$7,4)</f>
        <v>3</v>
      </c>
      <c r="E1628" t="s">
        <v>74</v>
      </c>
      <c r="F1628" t="s">
        <v>2094</v>
      </c>
      <c r="G1628">
        <f>+IF(dHdcp[[#This Row],[Fecha]]=MAX(dHdcp[Fecha]),1,0)</f>
        <v>0</v>
      </c>
      <c r="H1628" t="str">
        <f>+dHdcp[[#This Row],[Maximo]]&amp;":"&amp;dHdcp[[#This Row],[Nombre]]</f>
        <v>0:Alvaro Nieto</v>
      </c>
      <c r="I1628" t="str">
        <f>+dHdcp[[#This Row],[Maximo]]&amp;":"&amp;_xlfn.XLOOKUP(dHdcp[[#This Row],[Nombre]],dJugador[Nombre],dJugador[Mote],"",0)</f>
        <v>0:Alvaro</v>
      </c>
      <c r="J1628" t="str">
        <f>+IF(dHdcp[[#This Row],[Maximo]]=0,"",_xlfn.RANK.EQ(dHdcp[[#This Row],[Handicap]],dHdcp[Handicap],1))</f>
        <v/>
      </c>
      <c r="K1628" t="str">
        <f>IFERROR(+_xlfn.RANK.EQ(dHdcp[[#This Row],[Ranking]],dHdcp[Ranking],1),"")</f>
        <v/>
      </c>
      <c r="M1628" t="str">
        <f>+dHdcp[[#This Row],[Fecha]]&amp;":"&amp;dHdcp[[#This Row],[Nombre]]</f>
        <v>45074:Alvaro Nieto</v>
      </c>
      <c r="N1628">
        <f>+COUNTIF(dHdcp[Columna1],dHdcp[[#This Row],[Columna1]])</f>
        <v>1</v>
      </c>
      <c r="U1628" t="s">
        <v>3</v>
      </c>
      <c r="V1628">
        <v>-0.3</v>
      </c>
      <c r="X1628" s="26">
        <v>45074</v>
      </c>
      <c r="Y1628" s="18" t="s">
        <v>25</v>
      </c>
      <c r="Z1628" s="52">
        <v>12.3</v>
      </c>
      <c r="AA1628">
        <f t="shared" si="5"/>
        <v>0</v>
      </c>
      <c r="AB1628" s="51">
        <f t="shared" si="6"/>
        <v>12.3</v>
      </c>
      <c r="AC1628">
        <f t="shared" si="7"/>
        <v>0.4</v>
      </c>
      <c r="AD1628" s="51">
        <f t="shared" si="8"/>
        <v>12.700000000000001</v>
      </c>
    </row>
    <row r="1629" spans="1:30">
      <c r="A1629" s="2">
        <v>45074</v>
      </c>
      <c r="B1629" t="s">
        <v>33</v>
      </c>
      <c r="C1629" s="51">
        <v>8</v>
      </c>
      <c r="D1629">
        <f>+VLOOKUP(dHdcp[[#This Row],[Handicap]],'Categoría Hdcap'!$B$2:$E$7,4)</f>
        <v>2</v>
      </c>
      <c r="E1629" t="s">
        <v>74</v>
      </c>
      <c r="F1629" t="s">
        <v>2095</v>
      </c>
      <c r="G1629">
        <f>+IF(dHdcp[[#This Row],[Fecha]]=MAX(dHdcp[Fecha]),1,0)</f>
        <v>0</v>
      </c>
      <c r="H1629" t="str">
        <f>+dHdcp[[#This Row],[Maximo]]&amp;":"&amp;dHdcp[[#This Row],[Nombre]]</f>
        <v>0:Angel Hernandez</v>
      </c>
      <c r="I1629" t="str">
        <f>+dHdcp[[#This Row],[Maximo]]&amp;":"&amp;_xlfn.XLOOKUP(dHdcp[[#This Row],[Nombre]],dJugador[Nombre],dJugador[Mote],"",0)</f>
        <v>0:Angel</v>
      </c>
      <c r="J1629" t="str">
        <f>+IF(dHdcp[[#This Row],[Maximo]]=0,"",_xlfn.RANK.EQ(dHdcp[[#This Row],[Handicap]],dHdcp[Handicap],1))</f>
        <v/>
      </c>
      <c r="K1629" t="str">
        <f>IFERROR(+_xlfn.RANK.EQ(dHdcp[[#This Row],[Ranking]],dHdcp[Ranking],1),"")</f>
        <v/>
      </c>
      <c r="M1629" t="str">
        <f>+dHdcp[[#This Row],[Fecha]]&amp;":"&amp;dHdcp[[#This Row],[Nombre]]</f>
        <v>45074:Angel Hernandez</v>
      </c>
      <c r="N1629">
        <f>+COUNTIF(dHdcp[Columna1],dHdcp[[#This Row],[Columna1]])</f>
        <v>1</v>
      </c>
      <c r="U1629" t="s">
        <v>205</v>
      </c>
      <c r="V1629">
        <v>-0.2</v>
      </c>
      <c r="X1629" s="27">
        <v>45074</v>
      </c>
      <c r="Y1629" s="13" t="s">
        <v>33</v>
      </c>
      <c r="Z1629" s="42">
        <v>8</v>
      </c>
      <c r="AA1629">
        <f t="shared" si="5"/>
        <v>0</v>
      </c>
      <c r="AB1629" s="51">
        <f t="shared" si="6"/>
        <v>8</v>
      </c>
      <c r="AC1629">
        <f t="shared" si="7"/>
        <v>0</v>
      </c>
      <c r="AD1629" s="51">
        <f t="shared" si="8"/>
        <v>8</v>
      </c>
    </row>
    <row r="1630" spans="1:30">
      <c r="A1630" s="2">
        <v>45074</v>
      </c>
      <c r="B1630" t="s">
        <v>264</v>
      </c>
      <c r="C1630" s="51">
        <v>19.099999999999998</v>
      </c>
      <c r="D1630">
        <f>+VLOOKUP(dHdcp[[#This Row],[Handicap]],'Categoría Hdcap'!$B$2:$E$7,4)</f>
        <v>4</v>
      </c>
      <c r="E1630" t="s">
        <v>74</v>
      </c>
      <c r="F1630" t="s">
        <v>2096</v>
      </c>
      <c r="G1630">
        <f>+IF(dHdcp[[#This Row],[Fecha]]=MAX(dHdcp[Fecha]),1,0)</f>
        <v>0</v>
      </c>
      <c r="H1630" t="str">
        <f>+dHdcp[[#This Row],[Maximo]]&amp;":"&amp;dHdcp[[#This Row],[Nombre]]</f>
        <v>0:Antonio Carmona</v>
      </c>
      <c r="I1630" t="str">
        <f>+dHdcp[[#This Row],[Maximo]]&amp;":"&amp;_xlfn.XLOOKUP(dHdcp[[#This Row],[Nombre]],dJugador[Nombre],dJugador[Mote],"",0)</f>
        <v>0:Antonio</v>
      </c>
      <c r="J1630" t="str">
        <f>+IF(dHdcp[[#This Row],[Maximo]]=0,"",_xlfn.RANK.EQ(dHdcp[[#This Row],[Handicap]],dHdcp[Handicap],1))</f>
        <v/>
      </c>
      <c r="K1630" t="str">
        <f>IFERROR(+_xlfn.RANK.EQ(dHdcp[[#This Row],[Ranking]],dHdcp[Ranking],1),"")</f>
        <v/>
      </c>
      <c r="M1630" t="str">
        <f>+dHdcp[[#This Row],[Fecha]]&amp;":"&amp;dHdcp[[#This Row],[Nombre]]</f>
        <v>45074:Antonio Carmona</v>
      </c>
      <c r="N1630">
        <f>+COUNTIF(dHdcp[Columna1],dHdcp[[#This Row],[Columna1]])</f>
        <v>1</v>
      </c>
      <c r="U1630" t="s">
        <v>225</v>
      </c>
      <c r="V1630">
        <v>-0.2</v>
      </c>
      <c r="X1630" s="26">
        <v>45074</v>
      </c>
      <c r="Y1630" s="18" t="s">
        <v>264</v>
      </c>
      <c r="Z1630" s="52">
        <v>18.899999999999999</v>
      </c>
      <c r="AA1630">
        <f t="shared" si="5"/>
        <v>0.2</v>
      </c>
      <c r="AB1630" s="51">
        <f t="shared" si="6"/>
        <v>19.099999999999998</v>
      </c>
      <c r="AC1630">
        <f t="shared" si="7"/>
        <v>0</v>
      </c>
      <c r="AD1630" s="51">
        <f t="shared" si="8"/>
        <v>19.099999999999998</v>
      </c>
    </row>
    <row r="1631" spans="1:30">
      <c r="A1631" s="2">
        <v>45074</v>
      </c>
      <c r="B1631" t="s">
        <v>291</v>
      </c>
      <c r="C1631" s="51">
        <v>1.7</v>
      </c>
      <c r="D1631">
        <f>+VLOOKUP(dHdcp[[#This Row],[Handicap]],'Categoría Hdcap'!$B$2:$E$7,4)</f>
        <v>1</v>
      </c>
      <c r="E1631" t="s">
        <v>74</v>
      </c>
      <c r="F1631" t="s">
        <v>2097</v>
      </c>
      <c r="G1631">
        <f>+IF(dHdcp[[#This Row],[Fecha]]=MAX(dHdcp[Fecha]),1,0)</f>
        <v>0</v>
      </c>
      <c r="H1631" t="str">
        <f>+dHdcp[[#This Row],[Maximo]]&amp;":"&amp;dHdcp[[#This Row],[Nombre]]</f>
        <v>0:Carlos Maestro</v>
      </c>
      <c r="I1631" t="str">
        <f>+dHdcp[[#This Row],[Maximo]]&amp;":"&amp;_xlfn.XLOOKUP(dHdcp[[#This Row],[Nombre]],dJugador[Nombre],dJugador[Mote],"",0)</f>
        <v>0:Carlitos</v>
      </c>
      <c r="J1631" t="str">
        <f>+IF(dHdcp[[#This Row],[Maximo]]=0,"",_xlfn.RANK.EQ(dHdcp[[#This Row],[Handicap]],dHdcp[Handicap],1))</f>
        <v/>
      </c>
      <c r="K1631" t="str">
        <f>IFERROR(+_xlfn.RANK.EQ(dHdcp[[#This Row],[Ranking]],dHdcp[Ranking],1),"")</f>
        <v/>
      </c>
      <c r="M1631" t="str">
        <f>+dHdcp[[#This Row],[Fecha]]&amp;":"&amp;dHdcp[[#This Row],[Nombre]]</f>
        <v>45074:Carlos Maestro</v>
      </c>
      <c r="N1631">
        <f>+COUNTIF(dHdcp[Columna1],dHdcp[[#This Row],[Columna1]])</f>
        <v>1</v>
      </c>
      <c r="U1631" t="s">
        <v>248</v>
      </c>
      <c r="V1631">
        <v>-0.1</v>
      </c>
      <c r="X1631" s="27">
        <v>45074</v>
      </c>
      <c r="Y1631" s="13" t="s">
        <v>291</v>
      </c>
      <c r="Z1631" s="42">
        <v>1.7</v>
      </c>
      <c r="AA1631">
        <f t="shared" si="5"/>
        <v>0</v>
      </c>
      <c r="AB1631" s="51">
        <f t="shared" si="6"/>
        <v>1.7</v>
      </c>
      <c r="AC1631">
        <f t="shared" si="7"/>
        <v>0</v>
      </c>
      <c r="AD1631" s="51">
        <f t="shared" si="8"/>
        <v>1.7</v>
      </c>
    </row>
    <row r="1632" spans="1:30">
      <c r="A1632" s="2">
        <v>45074</v>
      </c>
      <c r="B1632" t="s">
        <v>30</v>
      </c>
      <c r="C1632" s="51">
        <v>11.399999999999999</v>
      </c>
      <c r="D1632">
        <f>+VLOOKUP(dHdcp[[#This Row],[Handicap]],'Categoría Hdcap'!$B$2:$E$7,4)</f>
        <v>2</v>
      </c>
      <c r="E1632" t="s">
        <v>74</v>
      </c>
      <c r="F1632" t="s">
        <v>2098</v>
      </c>
      <c r="G1632">
        <f>+IF(dHdcp[[#This Row],[Fecha]]=MAX(dHdcp[Fecha]),1,0)</f>
        <v>0</v>
      </c>
      <c r="H1632" t="str">
        <f>+dHdcp[[#This Row],[Maximo]]&amp;":"&amp;dHdcp[[#This Row],[Nombre]]</f>
        <v>0:David Sequera</v>
      </c>
      <c r="I1632" t="str">
        <f>+dHdcp[[#This Row],[Maximo]]&amp;":"&amp;_xlfn.XLOOKUP(dHdcp[[#This Row],[Nombre]],dJugador[Nombre],dJugador[Mote],"",0)</f>
        <v>0:David</v>
      </c>
      <c r="J1632" t="str">
        <f>+IF(dHdcp[[#This Row],[Maximo]]=0,"",_xlfn.RANK.EQ(dHdcp[[#This Row],[Handicap]],dHdcp[Handicap],1))</f>
        <v/>
      </c>
      <c r="K1632" t="str">
        <f>IFERROR(+_xlfn.RANK.EQ(dHdcp[[#This Row],[Ranking]],dHdcp[Ranking],1),"")</f>
        <v/>
      </c>
      <c r="M1632" t="str">
        <f>+dHdcp[[#This Row],[Fecha]]&amp;":"&amp;dHdcp[[#This Row],[Nombre]]</f>
        <v>45074:David Sequera</v>
      </c>
      <c r="N1632">
        <f>+COUNTIF(dHdcp[Columna1],dHdcp[[#This Row],[Columna1]])</f>
        <v>1</v>
      </c>
      <c r="U1632" t="s">
        <v>9</v>
      </c>
      <c r="V1632">
        <v>0</v>
      </c>
      <c r="X1632" s="26">
        <v>45074</v>
      </c>
      <c r="Y1632" s="18" t="s">
        <v>30</v>
      </c>
      <c r="Z1632" s="52">
        <v>11.2</v>
      </c>
      <c r="AA1632">
        <f t="shared" si="5"/>
        <v>0.2</v>
      </c>
      <c r="AB1632" s="51">
        <f t="shared" si="6"/>
        <v>11.399999999999999</v>
      </c>
      <c r="AC1632">
        <f t="shared" si="7"/>
        <v>0</v>
      </c>
      <c r="AD1632" s="51">
        <f t="shared" si="8"/>
        <v>11.399999999999999</v>
      </c>
    </row>
    <row r="1633" spans="1:30">
      <c r="A1633" s="2">
        <v>45074</v>
      </c>
      <c r="B1633" t="s">
        <v>326</v>
      </c>
      <c r="C1633" s="51">
        <v>14.299999999999999</v>
      </c>
      <c r="D1633">
        <f>+VLOOKUP(dHdcp[[#This Row],[Handicap]],'Categoría Hdcap'!$B$2:$E$7,4)</f>
        <v>3</v>
      </c>
      <c r="E1633" t="s">
        <v>74</v>
      </c>
      <c r="F1633" t="s">
        <v>2099</v>
      </c>
      <c r="G1633">
        <f>+IF(dHdcp[[#This Row],[Fecha]]=MAX(dHdcp[Fecha]),1,0)</f>
        <v>0</v>
      </c>
      <c r="H1633" t="str">
        <f>+dHdcp[[#This Row],[Maximo]]&amp;":"&amp;dHdcp[[#This Row],[Nombre]]</f>
        <v>0:Eduardo Buendía</v>
      </c>
      <c r="I1633" t="str">
        <f>+dHdcp[[#This Row],[Maximo]]&amp;":"&amp;_xlfn.XLOOKUP(dHdcp[[#This Row],[Nombre]],dJugador[Nombre],dJugador[Mote],"",0)</f>
        <v>0:Eduardo</v>
      </c>
      <c r="J1633" t="str">
        <f>+IF(dHdcp[[#This Row],[Maximo]]=0,"",_xlfn.RANK.EQ(dHdcp[[#This Row],[Handicap]],dHdcp[Handicap],1))</f>
        <v/>
      </c>
      <c r="K1633" t="str">
        <f>IFERROR(+_xlfn.RANK.EQ(dHdcp[[#This Row],[Ranking]],dHdcp[Ranking],1),"")</f>
        <v/>
      </c>
      <c r="M1633" t="str">
        <f>+dHdcp[[#This Row],[Fecha]]&amp;":"&amp;dHdcp[[#This Row],[Nombre]]</f>
        <v>45074:Eduardo Buendía</v>
      </c>
      <c r="N1633">
        <f>+COUNTIF(dHdcp[Columna1],dHdcp[[#This Row],[Columna1]])</f>
        <v>1</v>
      </c>
      <c r="U1633" t="s">
        <v>20</v>
      </c>
      <c r="V1633">
        <v>0</v>
      </c>
      <c r="X1633" s="27">
        <v>45074</v>
      </c>
      <c r="Y1633" s="13" t="s">
        <v>326</v>
      </c>
      <c r="Z1633" s="42">
        <v>18.2</v>
      </c>
      <c r="AA1633">
        <f t="shared" si="5"/>
        <v>-3.9</v>
      </c>
      <c r="AB1633" s="51">
        <f t="shared" si="6"/>
        <v>14.299999999999999</v>
      </c>
      <c r="AC1633">
        <f t="shared" si="7"/>
        <v>1.5</v>
      </c>
      <c r="AD1633" s="51">
        <f t="shared" si="8"/>
        <v>15.799999999999999</v>
      </c>
    </row>
    <row r="1634" spans="1:30">
      <c r="A1634" s="2">
        <v>45074</v>
      </c>
      <c r="B1634" t="s">
        <v>248</v>
      </c>
      <c r="C1634" s="51">
        <v>11.4</v>
      </c>
      <c r="D1634">
        <f>+VLOOKUP(dHdcp[[#This Row],[Handicap]],'Categoría Hdcap'!$B$2:$E$7,4)</f>
        <v>2</v>
      </c>
      <c r="E1634" t="s">
        <v>74</v>
      </c>
      <c r="F1634" t="s">
        <v>2100</v>
      </c>
      <c r="G1634">
        <f>+IF(dHdcp[[#This Row],[Fecha]]=MAX(dHdcp[Fecha]),1,0)</f>
        <v>0</v>
      </c>
      <c r="H1634" t="str">
        <f>+dHdcp[[#This Row],[Maximo]]&amp;":"&amp;dHdcp[[#This Row],[Nombre]]</f>
        <v>0:Enrique Gonzalez R</v>
      </c>
      <c r="I1634" t="str">
        <f>+dHdcp[[#This Row],[Maximo]]&amp;":"&amp;_xlfn.XLOOKUP(dHdcp[[#This Row],[Nombre]],dJugador[Nombre],dJugador[Mote],"",0)</f>
        <v>0:Enrique</v>
      </c>
      <c r="J1634" t="str">
        <f>+IF(dHdcp[[#This Row],[Maximo]]=0,"",_xlfn.RANK.EQ(dHdcp[[#This Row],[Handicap]],dHdcp[Handicap],1))</f>
        <v/>
      </c>
      <c r="K1634" t="str">
        <f>IFERROR(+_xlfn.RANK.EQ(dHdcp[[#This Row],[Ranking]],dHdcp[Ranking],1),"")</f>
        <v/>
      </c>
      <c r="M1634" t="str">
        <f>+dHdcp[[#This Row],[Fecha]]&amp;":"&amp;dHdcp[[#This Row],[Nombre]]</f>
        <v>45074:Enrique Gonzalez R</v>
      </c>
      <c r="N1634">
        <f>+COUNTIF(dHdcp[Columna1],dHdcp[[#This Row],[Columna1]])</f>
        <v>1</v>
      </c>
      <c r="U1634" t="s">
        <v>35</v>
      </c>
      <c r="V1634">
        <v>0</v>
      </c>
      <c r="X1634" s="26">
        <v>45074</v>
      </c>
      <c r="Y1634" s="18" t="s">
        <v>12</v>
      </c>
      <c r="Z1634" s="52">
        <v>14.6</v>
      </c>
      <c r="AA1634">
        <f t="shared" si="5"/>
        <v>0</v>
      </c>
      <c r="AB1634" s="51">
        <f t="shared" si="6"/>
        <v>14.6</v>
      </c>
      <c r="AC1634">
        <f t="shared" si="7"/>
        <v>0</v>
      </c>
      <c r="AD1634" s="51">
        <f t="shared" si="8"/>
        <v>14.6</v>
      </c>
    </row>
    <row r="1635" spans="1:30">
      <c r="A1635" s="2">
        <v>45074</v>
      </c>
      <c r="B1635" t="s">
        <v>12</v>
      </c>
      <c r="C1635" s="51">
        <v>14.6</v>
      </c>
      <c r="D1635">
        <f>+VLOOKUP(dHdcp[[#This Row],[Handicap]],'Categoría Hdcap'!$B$2:$E$7,4)</f>
        <v>3</v>
      </c>
      <c r="E1635" t="s">
        <v>74</v>
      </c>
      <c r="F1635" t="s">
        <v>2101</v>
      </c>
      <c r="G1635">
        <f>+IF(dHdcp[[#This Row],[Fecha]]=MAX(dHdcp[Fecha]),1,0)</f>
        <v>0</v>
      </c>
      <c r="H1635" t="str">
        <f>+dHdcp[[#This Row],[Maximo]]&amp;":"&amp;dHdcp[[#This Row],[Nombre]]</f>
        <v>0:Francisco Alvarez</v>
      </c>
      <c r="I1635" t="str">
        <f>+dHdcp[[#This Row],[Maximo]]&amp;":"&amp;_xlfn.XLOOKUP(dHdcp[[#This Row],[Nombre]],dJugador[Nombre],dJugador[Mote],"",0)</f>
        <v>0:Paco</v>
      </c>
      <c r="J1635" t="str">
        <f>+IF(dHdcp[[#This Row],[Maximo]]=0,"",_xlfn.RANK.EQ(dHdcp[[#This Row],[Handicap]],dHdcp[Handicap],1))</f>
        <v/>
      </c>
      <c r="K1635" t="str">
        <f>IFERROR(+_xlfn.RANK.EQ(dHdcp[[#This Row],[Ranking]],dHdcp[Ranking],1),"")</f>
        <v/>
      </c>
      <c r="M1635" t="str">
        <f>+dHdcp[[#This Row],[Fecha]]&amp;":"&amp;dHdcp[[#This Row],[Nombre]]</f>
        <v>45074:Francisco Alvarez</v>
      </c>
      <c r="N1635">
        <f>+COUNTIF(dHdcp[Columna1],dHdcp[[#This Row],[Columna1]])</f>
        <v>1</v>
      </c>
      <c r="U1635" t="s">
        <v>328</v>
      </c>
      <c r="V1635">
        <v>0.2</v>
      </c>
      <c r="X1635" s="27">
        <v>45074</v>
      </c>
      <c r="Y1635" s="13" t="s">
        <v>49</v>
      </c>
      <c r="Z1635" s="42">
        <v>11.8</v>
      </c>
      <c r="AA1635">
        <f t="shared" si="5"/>
        <v>0</v>
      </c>
      <c r="AB1635" s="51">
        <f t="shared" si="6"/>
        <v>11.8</v>
      </c>
      <c r="AC1635">
        <f t="shared" si="7"/>
        <v>0.4</v>
      </c>
      <c r="AD1635" s="51">
        <f t="shared" si="8"/>
        <v>12.200000000000001</v>
      </c>
    </row>
    <row r="1636" spans="1:30">
      <c r="A1636" s="2">
        <v>45074</v>
      </c>
      <c r="B1636" t="s">
        <v>49</v>
      </c>
      <c r="C1636" s="51">
        <v>11.8</v>
      </c>
      <c r="D1636">
        <f>+VLOOKUP(dHdcp[[#This Row],[Handicap]],'Categoría Hdcap'!$B$2:$E$7,4)</f>
        <v>3</v>
      </c>
      <c r="E1636" t="s">
        <v>74</v>
      </c>
      <c r="F1636" t="s">
        <v>2102</v>
      </c>
      <c r="G1636">
        <f>+IF(dHdcp[[#This Row],[Fecha]]=MAX(dHdcp[Fecha]),1,0)</f>
        <v>0</v>
      </c>
      <c r="H1636" t="str">
        <f>+dHdcp[[#This Row],[Maximo]]&amp;":"&amp;dHdcp[[#This Row],[Nombre]]</f>
        <v>0:Francisco Hidalgo</v>
      </c>
      <c r="I1636" t="str">
        <f>+dHdcp[[#This Row],[Maximo]]&amp;":"&amp;_xlfn.XLOOKUP(dHdcp[[#This Row],[Nombre]],dJugador[Nombre],dJugador[Mote],"",0)</f>
        <v>0:Fran</v>
      </c>
      <c r="J1636" t="str">
        <f>+IF(dHdcp[[#This Row],[Maximo]]=0,"",_xlfn.RANK.EQ(dHdcp[[#This Row],[Handicap]],dHdcp[Handicap],1))</f>
        <v/>
      </c>
      <c r="K1636" t="str">
        <f>IFERROR(+_xlfn.RANK.EQ(dHdcp[[#This Row],[Ranking]],dHdcp[Ranking],1),"")</f>
        <v/>
      </c>
      <c r="M1636" t="str">
        <f>+dHdcp[[#This Row],[Fecha]]&amp;":"&amp;dHdcp[[#This Row],[Nombre]]</f>
        <v>45074:Francisco Hidalgo</v>
      </c>
      <c r="N1636">
        <f>+COUNTIF(dHdcp[Columna1],dHdcp[[#This Row],[Columna1]])</f>
        <v>1</v>
      </c>
      <c r="U1636" t="s">
        <v>6</v>
      </c>
      <c r="V1636">
        <v>0.2</v>
      </c>
      <c r="X1636" s="26">
        <v>45074</v>
      </c>
      <c r="Y1636" s="18" t="s">
        <v>207</v>
      </c>
      <c r="Z1636" s="52">
        <v>14.5</v>
      </c>
      <c r="AA1636">
        <f t="shared" si="5"/>
        <v>0</v>
      </c>
      <c r="AB1636" s="51">
        <f t="shared" si="6"/>
        <v>14.5</v>
      </c>
      <c r="AC1636">
        <f t="shared" si="7"/>
        <v>0</v>
      </c>
      <c r="AD1636" s="51">
        <f t="shared" si="8"/>
        <v>14.5</v>
      </c>
    </row>
    <row r="1637" spans="1:30">
      <c r="A1637" s="2">
        <v>45074</v>
      </c>
      <c r="B1637" t="s">
        <v>207</v>
      </c>
      <c r="C1637" s="51">
        <v>14.5</v>
      </c>
      <c r="D1637">
        <f>+VLOOKUP(dHdcp[[#This Row],[Handicap]],'Categoría Hdcap'!$B$2:$E$7,4)</f>
        <v>3</v>
      </c>
      <c r="E1637" t="s">
        <v>74</v>
      </c>
      <c r="F1637" t="s">
        <v>2103</v>
      </c>
      <c r="G1637">
        <f>+IF(dHdcp[[#This Row],[Fecha]]=MAX(dHdcp[Fecha]),1,0)</f>
        <v>0</v>
      </c>
      <c r="H1637" t="str">
        <f>+dHdcp[[#This Row],[Maximo]]&amp;":"&amp;dHdcp[[#This Row],[Nombre]]</f>
        <v>0:Franck Benouniche</v>
      </c>
      <c r="I1637" t="str">
        <f>+dHdcp[[#This Row],[Maximo]]&amp;":"&amp;_xlfn.XLOOKUP(dHdcp[[#This Row],[Nombre]],dJugador[Nombre],dJugador[Mote],"",0)</f>
        <v>0:Franck</v>
      </c>
      <c r="J1637" t="str">
        <f>+IF(dHdcp[[#This Row],[Maximo]]=0,"",_xlfn.RANK.EQ(dHdcp[[#This Row],[Handicap]],dHdcp[Handicap],1))</f>
        <v/>
      </c>
      <c r="K1637" t="str">
        <f>IFERROR(+_xlfn.RANK.EQ(dHdcp[[#This Row],[Ranking]],dHdcp[Ranking],1),"")</f>
        <v/>
      </c>
      <c r="M1637" t="str">
        <f>+dHdcp[[#This Row],[Fecha]]&amp;":"&amp;dHdcp[[#This Row],[Nombre]]</f>
        <v>45074:Franck Benouniche</v>
      </c>
      <c r="N1637">
        <f>+COUNTIF(dHdcp[Columna1],dHdcp[[#This Row],[Columna1]])</f>
        <v>1</v>
      </c>
      <c r="U1637" t="s">
        <v>15</v>
      </c>
      <c r="V1637">
        <v>0.2</v>
      </c>
      <c r="X1637" s="27">
        <v>45074</v>
      </c>
      <c r="Y1637" s="13" t="s">
        <v>6</v>
      </c>
      <c r="Z1637" s="42">
        <v>8.9</v>
      </c>
      <c r="AA1637">
        <f t="shared" si="5"/>
        <v>0.2</v>
      </c>
      <c r="AB1637" s="51">
        <f t="shared" si="6"/>
        <v>9.1</v>
      </c>
      <c r="AC1637">
        <f t="shared" si="7"/>
        <v>0</v>
      </c>
      <c r="AD1637" s="51">
        <f t="shared" si="8"/>
        <v>9.1</v>
      </c>
    </row>
    <row r="1638" spans="1:30">
      <c r="A1638" s="2">
        <v>45074</v>
      </c>
      <c r="B1638" t="s">
        <v>35</v>
      </c>
      <c r="C1638" s="51">
        <v>19.600000000000001</v>
      </c>
      <c r="D1638">
        <f>+VLOOKUP(dHdcp[[#This Row],[Handicap]],'Categoría Hdcap'!$B$2:$E$7,4)</f>
        <v>4</v>
      </c>
      <c r="E1638" t="s">
        <v>74</v>
      </c>
      <c r="F1638" t="s">
        <v>2104</v>
      </c>
      <c r="G1638">
        <f>+IF(dHdcp[[#This Row],[Fecha]]=MAX(dHdcp[Fecha]),1,0)</f>
        <v>0</v>
      </c>
      <c r="H1638" t="str">
        <f>+dHdcp[[#This Row],[Maximo]]&amp;":"&amp;dHdcp[[#This Row],[Nombre]]</f>
        <v>0:GLEZ JUAN JOSÉ</v>
      </c>
      <c r="I1638" t="str">
        <f>+dHdcp[[#This Row],[Maximo]]&amp;":"&amp;_xlfn.XLOOKUP(dHdcp[[#This Row],[Nombre]],dJugador[Nombre],dJugador[Mote],"",0)</f>
        <v>0:Juanjo</v>
      </c>
      <c r="J1638" t="str">
        <f>+IF(dHdcp[[#This Row],[Maximo]]=0,"",_xlfn.RANK.EQ(dHdcp[[#This Row],[Handicap]],dHdcp[Handicap],1))</f>
        <v/>
      </c>
      <c r="K1638" t="str">
        <f>IFERROR(+_xlfn.RANK.EQ(dHdcp[[#This Row],[Ranking]],dHdcp[Ranking],1),"")</f>
        <v/>
      </c>
      <c r="M1638" t="str">
        <f>+dHdcp[[#This Row],[Fecha]]&amp;":"&amp;dHdcp[[#This Row],[Nombre]]</f>
        <v>45074:GLEZ JUAN JOSÉ</v>
      </c>
      <c r="N1638">
        <f>+COUNTIF(dHdcp[Columna1],dHdcp[[#This Row],[Columna1]])</f>
        <v>1</v>
      </c>
      <c r="U1638" t="s">
        <v>30</v>
      </c>
      <c r="V1638">
        <v>0.2</v>
      </c>
      <c r="X1638" s="26">
        <v>45074</v>
      </c>
      <c r="Y1638" s="18" t="s">
        <v>205</v>
      </c>
      <c r="Z1638" s="52">
        <v>7.2</v>
      </c>
      <c r="AA1638">
        <f t="shared" si="5"/>
        <v>-0.2</v>
      </c>
      <c r="AB1638" s="51">
        <f t="shared" si="6"/>
        <v>7</v>
      </c>
      <c r="AC1638">
        <f t="shared" si="7"/>
        <v>0.1</v>
      </c>
      <c r="AD1638" s="51">
        <f t="shared" si="8"/>
        <v>7.1</v>
      </c>
    </row>
    <row r="1639" spans="1:30">
      <c r="A1639" s="2">
        <v>45074</v>
      </c>
      <c r="B1639" t="s">
        <v>6</v>
      </c>
      <c r="C1639" s="51">
        <v>9.1</v>
      </c>
      <c r="D1639">
        <f>+VLOOKUP(dHdcp[[#This Row],[Handicap]],'Categoría Hdcap'!$B$2:$E$7,4)</f>
        <v>2</v>
      </c>
      <c r="E1639" t="s">
        <v>74</v>
      </c>
      <c r="F1639" t="s">
        <v>2105</v>
      </c>
      <c r="G1639">
        <f>+IF(dHdcp[[#This Row],[Fecha]]=MAX(dHdcp[Fecha]),1,0)</f>
        <v>0</v>
      </c>
      <c r="H1639" t="str">
        <f>+dHdcp[[#This Row],[Maximo]]&amp;":"&amp;dHdcp[[#This Row],[Nombre]]</f>
        <v>0:Ignacio Cadarso</v>
      </c>
      <c r="I1639" t="str">
        <f>+dHdcp[[#This Row],[Maximo]]&amp;":"&amp;_xlfn.XLOOKUP(dHdcp[[#This Row],[Nombre]],dJugador[Nombre],dJugador[Mote],"",0)</f>
        <v>0:Ignacio</v>
      </c>
      <c r="J1639" t="str">
        <f>+IF(dHdcp[[#This Row],[Maximo]]=0,"",_xlfn.RANK.EQ(dHdcp[[#This Row],[Handicap]],dHdcp[Handicap],1))</f>
        <v/>
      </c>
      <c r="K1639" t="str">
        <f>IFERROR(+_xlfn.RANK.EQ(dHdcp[[#This Row],[Ranking]],dHdcp[Ranking],1),"")</f>
        <v/>
      </c>
      <c r="M1639" t="str">
        <f>+dHdcp[[#This Row],[Fecha]]&amp;":"&amp;dHdcp[[#This Row],[Nombre]]</f>
        <v>45074:Ignacio Cadarso</v>
      </c>
      <c r="N1639">
        <f>+COUNTIF(dHdcp[Columna1],dHdcp[[#This Row],[Columna1]])</f>
        <v>1</v>
      </c>
      <c r="U1639" t="s">
        <v>264</v>
      </c>
      <c r="V1639">
        <v>0.2</v>
      </c>
      <c r="X1639" s="27">
        <v>45074</v>
      </c>
      <c r="Y1639" s="13" t="s">
        <v>3</v>
      </c>
      <c r="Z1639" s="42">
        <v>6.6</v>
      </c>
      <c r="AA1639">
        <f t="shared" si="5"/>
        <v>-0.3</v>
      </c>
      <c r="AB1639" s="51">
        <f t="shared" si="6"/>
        <v>6.3</v>
      </c>
      <c r="AC1639">
        <f t="shared" si="7"/>
        <v>0</v>
      </c>
      <c r="AD1639" s="51">
        <f t="shared" si="8"/>
        <v>6.3</v>
      </c>
    </row>
    <row r="1640" spans="1:30">
      <c r="A1640" s="2">
        <v>45074</v>
      </c>
      <c r="B1640" t="s">
        <v>298</v>
      </c>
      <c r="C1640" s="51">
        <v>23.7</v>
      </c>
      <c r="D1640">
        <f>+VLOOKUP(dHdcp[[#This Row],[Handicap]],'Categoría Hdcap'!$B$2:$E$7,4)</f>
        <v>4</v>
      </c>
      <c r="E1640" t="s">
        <v>74</v>
      </c>
      <c r="F1640" t="s">
        <v>2106</v>
      </c>
      <c r="G1640">
        <f>+IF(dHdcp[[#This Row],[Fecha]]=MAX(dHdcp[Fecha]),1,0)</f>
        <v>0</v>
      </c>
      <c r="H1640" t="str">
        <f>+dHdcp[[#This Row],[Maximo]]&amp;":"&amp;dHdcp[[#This Row],[Nombre]]</f>
        <v>0:Ignacio Gracia Charlez</v>
      </c>
      <c r="I1640" t="str">
        <f>+dHdcp[[#This Row],[Maximo]]&amp;":"&amp;_xlfn.XLOOKUP(dHdcp[[#This Row],[Nombre]],dJugador[Nombre],dJugador[Mote],"",0)</f>
        <v>0:I Gracia</v>
      </c>
      <c r="J1640" t="str">
        <f>+IF(dHdcp[[#This Row],[Maximo]]=0,"",_xlfn.RANK.EQ(dHdcp[[#This Row],[Handicap]],dHdcp[Handicap],1))</f>
        <v/>
      </c>
      <c r="K1640" t="str">
        <f>IFERROR(+_xlfn.RANK.EQ(dHdcp[[#This Row],[Ranking]],dHdcp[Ranking],1),"")</f>
        <v/>
      </c>
      <c r="M1640" t="str">
        <f>+dHdcp[[#This Row],[Fecha]]&amp;":"&amp;dHdcp[[#This Row],[Nombre]]</f>
        <v>45074:Ignacio Gracia Charlez</v>
      </c>
      <c r="N1640">
        <f>+COUNTIF(dHdcp[Columna1],dHdcp[[#This Row],[Columna1]])</f>
        <v>1</v>
      </c>
      <c r="U1640" t="s">
        <v>388</v>
      </c>
      <c r="V1640">
        <v>0.4</v>
      </c>
      <c r="X1640" s="26">
        <v>45074</v>
      </c>
      <c r="Y1640" s="18" t="s">
        <v>298</v>
      </c>
      <c r="Z1640" s="52">
        <v>23.7</v>
      </c>
      <c r="AA1640">
        <f t="shared" si="5"/>
        <v>0</v>
      </c>
      <c r="AB1640" s="51">
        <f t="shared" si="6"/>
        <v>23.7</v>
      </c>
      <c r="AC1640">
        <f t="shared" si="7"/>
        <v>0</v>
      </c>
      <c r="AD1640" s="51">
        <f t="shared" si="8"/>
        <v>23.7</v>
      </c>
    </row>
    <row r="1641" spans="1:30">
      <c r="A1641" s="2">
        <v>45074</v>
      </c>
      <c r="B1641" t="s">
        <v>23</v>
      </c>
      <c r="C1641" s="51">
        <v>17.899999999999999</v>
      </c>
      <c r="D1641">
        <f>+VLOOKUP(dHdcp[[#This Row],[Handicap]],'Categoría Hdcap'!$B$2:$E$7,4)</f>
        <v>3</v>
      </c>
      <c r="E1641" t="s">
        <v>74</v>
      </c>
      <c r="F1641" t="s">
        <v>2107</v>
      </c>
      <c r="G1641">
        <f>+IF(dHdcp[[#This Row],[Fecha]]=MAX(dHdcp[Fecha]),1,0)</f>
        <v>0</v>
      </c>
      <c r="H1641" t="str">
        <f>+dHdcp[[#This Row],[Maximo]]&amp;":"&amp;dHdcp[[#This Row],[Nombre]]</f>
        <v>0:J. Enrique Gonzalez</v>
      </c>
      <c r="I1641" t="str">
        <f>+dHdcp[[#This Row],[Maximo]]&amp;":"&amp;_xlfn.XLOOKUP(dHdcp[[#This Row],[Nombre]],dJugador[Nombre],dJugador[Mote],"",0)</f>
        <v>0:Kike</v>
      </c>
      <c r="J1641" t="str">
        <f>+IF(dHdcp[[#This Row],[Maximo]]=0,"",_xlfn.RANK.EQ(dHdcp[[#This Row],[Handicap]],dHdcp[Handicap],1))</f>
        <v/>
      </c>
      <c r="K1641" t="str">
        <f>IFERROR(+_xlfn.RANK.EQ(dHdcp[[#This Row],[Ranking]],dHdcp[Ranking],1),"")</f>
        <v/>
      </c>
      <c r="M1641" t="str">
        <f>+dHdcp[[#This Row],[Fecha]]&amp;":"&amp;dHdcp[[#This Row],[Nombre]]</f>
        <v>45074:J. Enrique Gonzalez</v>
      </c>
      <c r="N1641">
        <f>+COUNTIF(dHdcp[Columna1],dHdcp[[#This Row],[Columna1]])</f>
        <v>1</v>
      </c>
      <c r="V1641" t="s">
        <v>245</v>
      </c>
      <c r="X1641" s="27">
        <v>45074</v>
      </c>
      <c r="Y1641" s="13" t="s">
        <v>289</v>
      </c>
      <c r="Z1641" s="42">
        <v>9.4</v>
      </c>
      <c r="AA1641">
        <f t="shared" si="5"/>
        <v>0</v>
      </c>
      <c r="AB1641" s="51">
        <f t="shared" si="6"/>
        <v>9.4</v>
      </c>
      <c r="AC1641">
        <f t="shared" si="7"/>
        <v>0</v>
      </c>
      <c r="AD1641" s="51">
        <f t="shared" si="8"/>
        <v>9.4</v>
      </c>
    </row>
    <row r="1642" spans="1:30">
      <c r="A1642" s="2">
        <v>45074</v>
      </c>
      <c r="B1642" t="s">
        <v>289</v>
      </c>
      <c r="C1642" s="51">
        <v>9.4</v>
      </c>
      <c r="D1642">
        <f>+VLOOKUP(dHdcp[[#This Row],[Handicap]],'Categoría Hdcap'!$B$2:$E$7,4)</f>
        <v>2</v>
      </c>
      <c r="E1642" t="s">
        <v>74</v>
      </c>
      <c r="F1642" t="s">
        <v>2108</v>
      </c>
      <c r="G1642">
        <f>+IF(dHdcp[[#This Row],[Fecha]]=MAX(dHdcp[Fecha]),1,0)</f>
        <v>0</v>
      </c>
      <c r="H1642" t="str">
        <f>+dHdcp[[#This Row],[Maximo]]&amp;":"&amp;dHdcp[[#This Row],[Nombre]]</f>
        <v>0:Jaime Villanueva</v>
      </c>
      <c r="I1642" t="str">
        <f>+dHdcp[[#This Row],[Maximo]]&amp;":"&amp;_xlfn.XLOOKUP(dHdcp[[#This Row],[Nombre]],dJugador[Nombre],dJugador[Mote],"",0)</f>
        <v>0:Villanueva</v>
      </c>
      <c r="J1642" t="str">
        <f>+IF(dHdcp[[#This Row],[Maximo]]=0,"",_xlfn.RANK.EQ(dHdcp[[#This Row],[Handicap]],dHdcp[Handicap],1))</f>
        <v/>
      </c>
      <c r="K1642" t="str">
        <f>IFERROR(+_xlfn.RANK.EQ(dHdcp[[#This Row],[Ranking]],dHdcp[Ranking],1),"")</f>
        <v/>
      </c>
      <c r="M1642" t="str">
        <f>+dHdcp[[#This Row],[Fecha]]&amp;":"&amp;dHdcp[[#This Row],[Nombre]]</f>
        <v>45074:Jaime Villanueva</v>
      </c>
      <c r="N1642">
        <f>+COUNTIF(dHdcp[Columna1],dHdcp[[#This Row],[Columna1]])</f>
        <v>1</v>
      </c>
      <c r="U1642" t="s">
        <v>259</v>
      </c>
      <c r="V1642">
        <v>-0.2</v>
      </c>
      <c r="X1642" s="26">
        <v>45074</v>
      </c>
      <c r="Y1642" s="18" t="s">
        <v>328</v>
      </c>
      <c r="Z1642" s="52">
        <v>11.5</v>
      </c>
      <c r="AA1642">
        <f t="shared" si="5"/>
        <v>0.2</v>
      </c>
      <c r="AB1642" s="51">
        <f t="shared" si="6"/>
        <v>11.7</v>
      </c>
      <c r="AC1642">
        <f t="shared" si="7"/>
        <v>0</v>
      </c>
      <c r="AD1642" s="51">
        <f t="shared" si="8"/>
        <v>11.7</v>
      </c>
    </row>
    <row r="1643" spans="1:30">
      <c r="A1643" s="2">
        <v>45074</v>
      </c>
      <c r="B1643" t="s">
        <v>328</v>
      </c>
      <c r="C1643" s="51">
        <v>11.7</v>
      </c>
      <c r="D1643">
        <f>+VLOOKUP(dHdcp[[#This Row],[Handicap]],'Categoría Hdcap'!$B$2:$E$7,4)</f>
        <v>3</v>
      </c>
      <c r="E1643" t="s">
        <v>74</v>
      </c>
      <c r="F1643" t="s">
        <v>2109</v>
      </c>
      <c r="G1643">
        <f>+IF(dHdcp[[#This Row],[Fecha]]=MAX(dHdcp[Fecha]),1,0)</f>
        <v>0</v>
      </c>
      <c r="H1643" t="str">
        <f>+dHdcp[[#This Row],[Maximo]]&amp;":"&amp;dHdcp[[#This Row],[Nombre]]</f>
        <v>0:Javier Arcos</v>
      </c>
      <c r="I1643" t="str">
        <f>+dHdcp[[#This Row],[Maximo]]&amp;":"&amp;_xlfn.XLOOKUP(dHdcp[[#This Row],[Nombre]],dJugador[Nombre],dJugador[Mote],"",0)</f>
        <v>0:J.Arcos</v>
      </c>
      <c r="J1643" t="str">
        <f>+IF(dHdcp[[#This Row],[Maximo]]=0,"",_xlfn.RANK.EQ(dHdcp[[#This Row],[Handicap]],dHdcp[Handicap],1))</f>
        <v/>
      </c>
      <c r="K1643" t="str">
        <f>IFERROR(+_xlfn.RANK.EQ(dHdcp[[#This Row],[Ranking]],dHdcp[Ranking],1),"")</f>
        <v/>
      </c>
      <c r="M1643" t="str">
        <f>+dHdcp[[#This Row],[Fecha]]&amp;":"&amp;dHdcp[[#This Row],[Nombre]]</f>
        <v>45074:Javier Arcos</v>
      </c>
      <c r="N1643">
        <f>+COUNTIF(dHdcp[Columna1],dHdcp[[#This Row],[Columna1]])</f>
        <v>1</v>
      </c>
      <c r="U1643" t="s">
        <v>135</v>
      </c>
      <c r="V1643">
        <v>-0.2</v>
      </c>
      <c r="X1643" s="27">
        <v>45074</v>
      </c>
      <c r="Y1643" s="13" t="s">
        <v>378</v>
      </c>
      <c r="Z1643" s="42">
        <v>12.4</v>
      </c>
      <c r="AA1643">
        <f t="shared" si="5"/>
        <v>0</v>
      </c>
      <c r="AB1643" s="51">
        <f t="shared" si="6"/>
        <v>12.4</v>
      </c>
      <c r="AC1643">
        <f t="shared" si="7"/>
        <v>0</v>
      </c>
      <c r="AD1643" s="51">
        <f t="shared" si="8"/>
        <v>12.4</v>
      </c>
    </row>
    <row r="1644" spans="1:30">
      <c r="A1644" s="2">
        <v>45074</v>
      </c>
      <c r="B1644" t="s">
        <v>378</v>
      </c>
      <c r="C1644" s="51">
        <v>12.4</v>
      </c>
      <c r="D1644">
        <f>+VLOOKUP(dHdcp[[#This Row],[Handicap]],'Categoría Hdcap'!$B$2:$E$7,4)</f>
        <v>3</v>
      </c>
      <c r="E1644" t="s">
        <v>74</v>
      </c>
      <c r="F1644" s="94" t="s">
        <v>2110</v>
      </c>
      <c r="G1644">
        <f>+IF(dHdcp[[#This Row],[Fecha]]=MAX(dHdcp[Fecha]),1,0)</f>
        <v>0</v>
      </c>
      <c r="H1644" t="str">
        <f>+dHdcp[[#This Row],[Maximo]]&amp;":"&amp;dHdcp[[#This Row],[Nombre]]</f>
        <v>0:Javier Campo</v>
      </c>
      <c r="I1644" t="str">
        <f>+dHdcp[[#This Row],[Maximo]]&amp;":"&amp;_xlfn.XLOOKUP(dHdcp[[#This Row],[Nombre]],dJugador[Nombre],dJugador[Mote],"",0)</f>
        <v>0:Campo</v>
      </c>
      <c r="J1644" t="str">
        <f>+IF(dHdcp[[#This Row],[Maximo]]=0,"",_xlfn.RANK.EQ(dHdcp[[#This Row],[Handicap]],dHdcp[Handicap],1))</f>
        <v/>
      </c>
      <c r="K1644" t="str">
        <f>IFERROR(+_xlfn.RANK.EQ(dHdcp[[#This Row],[Ranking]],dHdcp[Ranking],1),"")</f>
        <v/>
      </c>
      <c r="M1644" t="str">
        <f>+dHdcp[[#This Row],[Fecha]]&amp;":"&amp;dHdcp[[#This Row],[Nombre]]</f>
        <v>45074:Javier Campo</v>
      </c>
      <c r="N1644">
        <f>+COUNTIF(dHdcp[Columna1],dHdcp[[#This Row],[Columna1]])</f>
        <v>1</v>
      </c>
      <c r="U1644" t="s">
        <v>225</v>
      </c>
      <c r="V1644">
        <v>-0.1</v>
      </c>
      <c r="X1644" s="26">
        <v>45074</v>
      </c>
      <c r="Y1644" s="18" t="s">
        <v>46</v>
      </c>
      <c r="Z1644" s="52">
        <v>16.7</v>
      </c>
      <c r="AA1644">
        <f t="shared" si="5"/>
        <v>-0.3</v>
      </c>
      <c r="AB1644" s="51">
        <f t="shared" si="6"/>
        <v>16.399999999999999</v>
      </c>
      <c r="AC1644">
        <f t="shared" si="7"/>
        <v>0.4</v>
      </c>
      <c r="AD1644" s="51">
        <f t="shared" si="8"/>
        <v>16.799999999999997</v>
      </c>
    </row>
    <row r="1645" spans="1:30">
      <c r="A1645" s="2">
        <v>45074</v>
      </c>
      <c r="B1645" t="s">
        <v>46</v>
      </c>
      <c r="C1645" s="51">
        <v>16.399999999999999</v>
      </c>
      <c r="D1645">
        <f>+VLOOKUP(dHdcp[[#This Row],[Handicap]],'Categoría Hdcap'!$B$2:$E$7,4)</f>
        <v>3</v>
      </c>
      <c r="E1645" t="s">
        <v>74</v>
      </c>
      <c r="F1645" t="s">
        <v>2111</v>
      </c>
      <c r="G1645">
        <f>+IF(dHdcp[[#This Row],[Fecha]]=MAX(dHdcp[Fecha]),1,0)</f>
        <v>0</v>
      </c>
      <c r="H1645" t="str">
        <f>+dHdcp[[#This Row],[Maximo]]&amp;":"&amp;dHdcp[[#This Row],[Nombre]]</f>
        <v>0:Javier Cervera</v>
      </c>
      <c r="I1645" t="str">
        <f>+dHdcp[[#This Row],[Maximo]]&amp;":"&amp;_xlfn.XLOOKUP(dHdcp[[#This Row],[Nombre]],dJugador[Nombre],dJugador[Mote],"",0)</f>
        <v>0:Virus</v>
      </c>
      <c r="J1645" t="str">
        <f>+IF(dHdcp[[#This Row],[Maximo]]=0,"",_xlfn.RANK.EQ(dHdcp[[#This Row],[Handicap]],dHdcp[Handicap],1))</f>
        <v/>
      </c>
      <c r="K1645" t="str">
        <f>IFERROR(+_xlfn.RANK.EQ(dHdcp[[#This Row],[Ranking]],dHdcp[Ranking],1),"")</f>
        <v/>
      </c>
      <c r="M1645" t="str">
        <f>+dHdcp[[#This Row],[Fecha]]&amp;":"&amp;dHdcp[[#This Row],[Nombre]]</f>
        <v>45074:Javier Cervera</v>
      </c>
      <c r="N1645">
        <f>+COUNTIF(dHdcp[Columna1],dHdcp[[#This Row],[Columna1]])</f>
        <v>1</v>
      </c>
      <c r="U1645" t="s">
        <v>328</v>
      </c>
      <c r="V1645">
        <v>0</v>
      </c>
      <c r="X1645" s="27">
        <v>45074</v>
      </c>
      <c r="Y1645" s="13" t="s">
        <v>225</v>
      </c>
      <c r="Z1645" s="42">
        <v>10.1</v>
      </c>
      <c r="AA1645">
        <f t="shared" si="5"/>
        <v>-0.2</v>
      </c>
      <c r="AB1645" s="51">
        <f t="shared" si="6"/>
        <v>9.9</v>
      </c>
      <c r="AC1645">
        <f t="shared" si="7"/>
        <v>-0.1</v>
      </c>
      <c r="AD1645" s="51">
        <f t="shared" si="8"/>
        <v>9.8000000000000007</v>
      </c>
    </row>
    <row r="1646" spans="1:30">
      <c r="A1646" s="2">
        <v>45074</v>
      </c>
      <c r="B1646" t="s">
        <v>225</v>
      </c>
      <c r="C1646" s="51">
        <v>9.9</v>
      </c>
      <c r="D1646">
        <f>+VLOOKUP(dHdcp[[#This Row],[Handicap]],'Categoría Hdcap'!$B$2:$E$7,4)</f>
        <v>2</v>
      </c>
      <c r="E1646" t="s">
        <v>74</v>
      </c>
      <c r="F1646" t="s">
        <v>2112</v>
      </c>
      <c r="G1646">
        <f>+IF(dHdcp[[#This Row],[Fecha]]=MAX(dHdcp[Fecha]),1,0)</f>
        <v>0</v>
      </c>
      <c r="H1646" t="str">
        <f>+dHdcp[[#This Row],[Maximo]]&amp;":"&amp;dHdcp[[#This Row],[Nombre]]</f>
        <v>0:Javier Chiralt</v>
      </c>
      <c r="I1646" t="str">
        <f>+dHdcp[[#This Row],[Maximo]]&amp;":"&amp;_xlfn.XLOOKUP(dHdcp[[#This Row],[Nombre]],dJugador[Nombre],dJugador[Mote],"",0)</f>
        <v>0:Chiralt</v>
      </c>
      <c r="J1646" t="str">
        <f>+IF(dHdcp[[#This Row],[Maximo]]=0,"",_xlfn.RANK.EQ(dHdcp[[#This Row],[Handicap]],dHdcp[Handicap],1))</f>
        <v/>
      </c>
      <c r="K1646" t="str">
        <f>IFERROR(+_xlfn.RANK.EQ(dHdcp[[#This Row],[Ranking]],dHdcp[Ranking],1),"")</f>
        <v/>
      </c>
      <c r="M1646" t="str">
        <f>+dHdcp[[#This Row],[Fecha]]&amp;":"&amp;dHdcp[[#This Row],[Nombre]]</f>
        <v>45074:Javier Chiralt</v>
      </c>
      <c r="N1646">
        <f>+COUNTIF(dHdcp[Columna1],dHdcp[[#This Row],[Columna1]])</f>
        <v>1</v>
      </c>
      <c r="U1646" t="s">
        <v>248</v>
      </c>
      <c r="V1646">
        <v>0</v>
      </c>
      <c r="X1646" s="26">
        <v>45074</v>
      </c>
      <c r="Y1646" s="18" t="s">
        <v>20</v>
      </c>
      <c r="Z1646" s="52">
        <v>17.2</v>
      </c>
      <c r="AA1646">
        <f t="shared" si="5"/>
        <v>0</v>
      </c>
      <c r="AB1646" s="51">
        <f t="shared" si="6"/>
        <v>17.2</v>
      </c>
      <c r="AC1646">
        <f t="shared" si="7"/>
        <v>0</v>
      </c>
      <c r="AD1646" s="51">
        <f t="shared" si="8"/>
        <v>17.2</v>
      </c>
    </row>
    <row r="1647" spans="1:30">
      <c r="A1647" s="2">
        <v>45074</v>
      </c>
      <c r="B1647" t="s">
        <v>20</v>
      </c>
      <c r="C1647" s="51">
        <v>17.2</v>
      </c>
      <c r="D1647">
        <f>+VLOOKUP(dHdcp[[#This Row],[Handicap]],'Categoría Hdcap'!$B$2:$E$7,4)</f>
        <v>3</v>
      </c>
      <c r="E1647" t="s">
        <v>74</v>
      </c>
      <c r="F1647" t="s">
        <v>2113</v>
      </c>
      <c r="G1647">
        <f>+IF(dHdcp[[#This Row],[Fecha]]=MAX(dHdcp[Fecha]),1,0)</f>
        <v>0</v>
      </c>
      <c r="H1647" t="str">
        <f>+dHdcp[[#This Row],[Maximo]]&amp;":"&amp;dHdcp[[#This Row],[Nombre]]</f>
        <v>0:Javier Gonzalez Salvador</v>
      </c>
      <c r="I1647" t="str">
        <f>+dHdcp[[#This Row],[Maximo]]&amp;":"&amp;_xlfn.XLOOKUP(dHdcp[[#This Row],[Nombre]],dJugador[Nombre],dJugador[Mote],"",0)</f>
        <v>0:Javi</v>
      </c>
      <c r="J1647" t="str">
        <f>+IF(dHdcp[[#This Row],[Maximo]]=0,"",_xlfn.RANK.EQ(dHdcp[[#This Row],[Handicap]],dHdcp[Handicap],1))</f>
        <v/>
      </c>
      <c r="K1647" t="str">
        <f>IFERROR(+_xlfn.RANK.EQ(dHdcp[[#This Row],[Ranking]],dHdcp[Ranking],1),"")</f>
        <v/>
      </c>
      <c r="M1647" t="str">
        <f>+dHdcp[[#This Row],[Fecha]]&amp;":"&amp;dHdcp[[#This Row],[Nombre]]</f>
        <v>45074:Javier Gonzalez Salvador</v>
      </c>
      <c r="N1647">
        <f>+COUNTIF(dHdcp[Columna1],dHdcp[[#This Row],[Columna1]])</f>
        <v>1</v>
      </c>
      <c r="U1647" t="s">
        <v>3</v>
      </c>
      <c r="V1647">
        <v>0</v>
      </c>
      <c r="X1647" s="27">
        <v>45074</v>
      </c>
      <c r="Y1647" s="13" t="s">
        <v>217</v>
      </c>
      <c r="Z1647" s="42">
        <v>20.9</v>
      </c>
      <c r="AA1647">
        <f t="shared" si="5"/>
        <v>0</v>
      </c>
      <c r="AB1647" s="51">
        <f t="shared" si="6"/>
        <v>20.9</v>
      </c>
      <c r="AC1647">
        <f t="shared" si="7"/>
        <v>0</v>
      </c>
      <c r="AD1647" s="51">
        <f t="shared" si="8"/>
        <v>20.9</v>
      </c>
    </row>
    <row r="1648" spans="1:30">
      <c r="A1648" s="2">
        <v>45074</v>
      </c>
      <c r="B1648" t="s">
        <v>217</v>
      </c>
      <c r="C1648" s="51">
        <v>20.9</v>
      </c>
      <c r="D1648">
        <f>+VLOOKUP(dHdcp[[#This Row],[Handicap]],'Categoría Hdcap'!$B$2:$E$7,4)</f>
        <v>4</v>
      </c>
      <c r="E1648" t="s">
        <v>74</v>
      </c>
      <c r="F1648" t="s">
        <v>2114</v>
      </c>
      <c r="G1648">
        <f>+IF(dHdcp[[#This Row],[Fecha]]=MAX(dHdcp[Fecha]),1,0)</f>
        <v>0</v>
      </c>
      <c r="H1648" t="str">
        <f>+dHdcp[[#This Row],[Maximo]]&amp;":"&amp;dHdcp[[#This Row],[Nombre]]</f>
        <v>0:Javier Lopez Gullón</v>
      </c>
      <c r="I1648" t="str">
        <f>+dHdcp[[#This Row],[Maximo]]&amp;":"&amp;_xlfn.XLOOKUP(dHdcp[[#This Row],[Nombre]],dJugador[Nombre],dJugador[Mote],"",0)</f>
        <v>0:Cuñao</v>
      </c>
      <c r="J1648" t="str">
        <f>+IF(dHdcp[[#This Row],[Maximo]]=0,"",_xlfn.RANK.EQ(dHdcp[[#This Row],[Handicap]],dHdcp[Handicap],1))</f>
        <v/>
      </c>
      <c r="K1648" t="str">
        <f>IFERROR(+_xlfn.RANK.EQ(dHdcp[[#This Row],[Ranking]],dHdcp[Ranking],1),"")</f>
        <v/>
      </c>
      <c r="M1648" t="str">
        <f>+dHdcp[[#This Row],[Fecha]]&amp;":"&amp;dHdcp[[#This Row],[Nombre]]</f>
        <v>45074:Javier Lopez Gullón</v>
      </c>
      <c r="N1648">
        <f>+COUNTIF(dHdcp[Columna1],dHdcp[[#This Row],[Columna1]])</f>
        <v>1</v>
      </c>
      <c r="U1648" t="s">
        <v>20</v>
      </c>
      <c r="V1648">
        <v>0</v>
      </c>
      <c r="X1648" s="26">
        <v>45074</v>
      </c>
      <c r="Y1648" s="18" t="s">
        <v>41</v>
      </c>
      <c r="Z1648" s="52">
        <v>23.2</v>
      </c>
      <c r="AA1648">
        <f t="shared" si="5"/>
        <v>0</v>
      </c>
      <c r="AB1648" s="51">
        <f t="shared" si="6"/>
        <v>23.2</v>
      </c>
      <c r="AC1648">
        <f t="shared" si="7"/>
        <v>0</v>
      </c>
      <c r="AD1648" s="51">
        <f t="shared" si="8"/>
        <v>23.2</v>
      </c>
    </row>
    <row r="1649" spans="1:30">
      <c r="A1649" s="2">
        <v>45074</v>
      </c>
      <c r="B1649" t="s">
        <v>41</v>
      </c>
      <c r="C1649" s="51">
        <v>23.2</v>
      </c>
      <c r="D1649">
        <f>+VLOOKUP(dHdcp[[#This Row],[Handicap]],'Categoría Hdcap'!$B$2:$E$7,4)</f>
        <v>4</v>
      </c>
      <c r="E1649" t="s">
        <v>74</v>
      </c>
      <c r="F1649" t="s">
        <v>2115</v>
      </c>
      <c r="G1649">
        <f>+IF(dHdcp[[#This Row],[Fecha]]=MAX(dHdcp[Fecha]),1,0)</f>
        <v>0</v>
      </c>
      <c r="H1649" t="str">
        <f>+dHdcp[[#This Row],[Maximo]]&amp;":"&amp;dHdcp[[#This Row],[Nombre]]</f>
        <v>0:Jesus Touceda</v>
      </c>
      <c r="I1649" t="str">
        <f>+dHdcp[[#This Row],[Maximo]]&amp;":"&amp;_xlfn.XLOOKUP(dHdcp[[#This Row],[Nombre]],dJugador[Nombre],dJugador[Mote],"",0)</f>
        <v>0:Jesús</v>
      </c>
      <c r="J1649" t="str">
        <f>+IF(dHdcp[[#This Row],[Maximo]]=0,"",_xlfn.RANK.EQ(dHdcp[[#This Row],[Handicap]],dHdcp[Handicap],1))</f>
        <v/>
      </c>
      <c r="K1649" t="str">
        <f>IFERROR(+_xlfn.RANK.EQ(dHdcp[[#This Row],[Ranking]],dHdcp[Ranking],1),"")</f>
        <v/>
      </c>
      <c r="M1649" t="str">
        <f>+dHdcp[[#This Row],[Fecha]]&amp;":"&amp;dHdcp[[#This Row],[Nombre]]</f>
        <v>45074:Jesus Touceda</v>
      </c>
      <c r="N1649">
        <f>+COUNTIF(dHdcp[Columna1],dHdcp[[#This Row],[Columna1]])</f>
        <v>1</v>
      </c>
      <c r="U1649" t="s">
        <v>41</v>
      </c>
      <c r="V1649">
        <v>0</v>
      </c>
      <c r="X1649" s="27">
        <v>45074</v>
      </c>
      <c r="Y1649" s="13" t="s">
        <v>297</v>
      </c>
      <c r="Z1649" s="42">
        <v>22.9</v>
      </c>
      <c r="AA1649">
        <f t="shared" si="5"/>
        <v>-0.4</v>
      </c>
      <c r="AB1649" s="51">
        <f t="shared" si="6"/>
        <v>22.5</v>
      </c>
      <c r="AC1649">
        <f t="shared" si="7"/>
        <v>0</v>
      </c>
      <c r="AD1649" s="51">
        <f t="shared" si="8"/>
        <v>22.5</v>
      </c>
    </row>
    <row r="1650" spans="1:30">
      <c r="A1650" s="2">
        <v>45074</v>
      </c>
      <c r="B1650" t="s">
        <v>297</v>
      </c>
      <c r="C1650" s="51">
        <v>22.5</v>
      </c>
      <c r="D1650">
        <f>+VLOOKUP(dHdcp[[#This Row],[Handicap]],'Categoría Hdcap'!$B$2:$E$7,4)</f>
        <v>4</v>
      </c>
      <c r="E1650" t="s">
        <v>74</v>
      </c>
      <c r="F1650" t="s">
        <v>2116</v>
      </c>
      <c r="G1650">
        <f>+IF(dHdcp[[#This Row],[Fecha]]=MAX(dHdcp[Fecha]),1,0)</f>
        <v>0</v>
      </c>
      <c r="H1650" t="str">
        <f>+dHdcp[[#This Row],[Maximo]]&amp;":"&amp;dHdcp[[#This Row],[Nombre]]</f>
        <v>0:Jorge Alberto Martínez Sánchez</v>
      </c>
      <c r="I1650" t="str">
        <f>+dHdcp[[#This Row],[Maximo]]&amp;":"&amp;_xlfn.XLOOKUP(dHdcp[[#This Row],[Nombre]],dJugador[Nombre],dJugador[Mote],"",0)</f>
        <v>0:Jorge</v>
      </c>
      <c r="J1650" t="str">
        <f>+IF(dHdcp[[#This Row],[Maximo]]=0,"",_xlfn.RANK.EQ(dHdcp[[#This Row],[Handicap]],dHdcp[Handicap],1))</f>
        <v/>
      </c>
      <c r="K1650" t="str">
        <f>IFERROR(+_xlfn.RANK.EQ(dHdcp[[#This Row],[Ranking]],dHdcp[Ranking],1),"")</f>
        <v/>
      </c>
      <c r="M1650" t="str">
        <f>+dHdcp[[#This Row],[Fecha]]&amp;":"&amp;dHdcp[[#This Row],[Nombre]]</f>
        <v>45074:Jorge Alberto Martínez Sánchez</v>
      </c>
      <c r="N1650">
        <f>+COUNTIF(dHdcp[Columna1],dHdcp[[#This Row],[Columna1]])</f>
        <v>1</v>
      </c>
      <c r="U1650" t="s">
        <v>23</v>
      </c>
      <c r="V1650">
        <v>0</v>
      </c>
      <c r="X1650" s="26">
        <v>45074</v>
      </c>
      <c r="Y1650" s="18" t="s">
        <v>388</v>
      </c>
      <c r="Z1650" s="52">
        <v>24.8</v>
      </c>
      <c r="AA1650">
        <f t="shared" si="5"/>
        <v>0.4</v>
      </c>
      <c r="AB1650" s="51">
        <f t="shared" si="6"/>
        <v>25.2</v>
      </c>
      <c r="AC1650">
        <f t="shared" si="7"/>
        <v>0</v>
      </c>
      <c r="AD1650" s="51">
        <f t="shared" si="8"/>
        <v>25.2</v>
      </c>
    </row>
    <row r="1651" spans="1:30">
      <c r="A1651" s="2">
        <v>45074</v>
      </c>
      <c r="B1651" t="s">
        <v>388</v>
      </c>
      <c r="C1651" s="51">
        <v>25.2</v>
      </c>
      <c r="D1651">
        <f>+VLOOKUP(dHdcp[[#This Row],[Handicap]],'Categoría Hdcap'!$B$2:$E$7,4)</f>
        <v>4</v>
      </c>
      <c r="E1651" t="s">
        <v>74</v>
      </c>
      <c r="F1651" t="s">
        <v>2117</v>
      </c>
      <c r="G1651">
        <f>+IF(dHdcp[[#This Row],[Fecha]]=MAX(dHdcp[Fecha]),1,0)</f>
        <v>0</v>
      </c>
      <c r="H1651" t="str">
        <f>+dHdcp[[#This Row],[Maximo]]&amp;":"&amp;dHdcp[[#This Row],[Nombre]]</f>
        <v>0:Jose Antonio Santana</v>
      </c>
      <c r="I1651" t="str">
        <f>+dHdcp[[#This Row],[Maximo]]&amp;":"&amp;_xlfn.XLOOKUP(dHdcp[[#This Row],[Nombre]],dJugador[Nombre],dJugador[Mote],"",0)</f>
        <v>0:J Antonio</v>
      </c>
      <c r="J1651" t="str">
        <f>+IF(dHdcp[[#This Row],[Maximo]]=0,"",_xlfn.RANK.EQ(dHdcp[[#This Row],[Handicap]],dHdcp[Handicap],1))</f>
        <v/>
      </c>
      <c r="K1651" t="str">
        <f>IFERROR(+_xlfn.RANK.EQ(dHdcp[[#This Row],[Ranking]],dHdcp[Ranking],1),"")</f>
        <v/>
      </c>
      <c r="M1651" t="str">
        <f>+dHdcp[[#This Row],[Fecha]]&amp;":"&amp;dHdcp[[#This Row],[Nombre]]</f>
        <v>45074:Jose Antonio Santana</v>
      </c>
      <c r="N1651">
        <f>+COUNTIF(dHdcp[Columna1],dHdcp[[#This Row],[Columna1]])</f>
        <v>1</v>
      </c>
      <c r="U1651" t="s">
        <v>6</v>
      </c>
      <c r="V1651">
        <v>0</v>
      </c>
      <c r="X1651" s="27">
        <v>45074</v>
      </c>
      <c r="Y1651" s="13" t="s">
        <v>18</v>
      </c>
      <c r="Z1651" s="42">
        <v>7.4</v>
      </c>
      <c r="AA1651">
        <f t="shared" si="5"/>
        <v>0</v>
      </c>
      <c r="AB1651" s="51">
        <f t="shared" si="6"/>
        <v>7.4</v>
      </c>
      <c r="AC1651">
        <f t="shared" si="7"/>
        <v>0</v>
      </c>
      <c r="AD1651" s="51">
        <f t="shared" si="8"/>
        <v>7.4</v>
      </c>
    </row>
    <row r="1652" spans="1:30">
      <c r="A1652" s="2">
        <v>45074</v>
      </c>
      <c r="B1652" t="s">
        <v>18</v>
      </c>
      <c r="C1652" s="51">
        <v>7.4</v>
      </c>
      <c r="D1652">
        <f>+VLOOKUP(dHdcp[[#This Row],[Handicap]],'Categoría Hdcap'!$B$2:$E$7,4)</f>
        <v>2</v>
      </c>
      <c r="E1652" t="s">
        <v>74</v>
      </c>
      <c r="F1652" t="s">
        <v>2118</v>
      </c>
      <c r="G1652">
        <f>+IF(dHdcp[[#This Row],[Fecha]]=MAX(dHdcp[Fecha]),1,0)</f>
        <v>0</v>
      </c>
      <c r="H1652" t="str">
        <f>+dHdcp[[#This Row],[Maximo]]&amp;":"&amp;dHdcp[[#This Row],[Nombre]]</f>
        <v>0:José Pablo Guil</v>
      </c>
      <c r="I1652" t="str">
        <f>+dHdcp[[#This Row],[Maximo]]&amp;":"&amp;_xlfn.XLOOKUP(dHdcp[[#This Row],[Nombre]],dJugador[Nombre],dJugador[Mote],"",0)</f>
        <v>0:JP</v>
      </c>
      <c r="J1652" t="str">
        <f>+IF(dHdcp[[#This Row],[Maximo]]=0,"",_xlfn.RANK.EQ(dHdcp[[#This Row],[Handicap]],dHdcp[Handicap],1))</f>
        <v/>
      </c>
      <c r="K1652" t="str">
        <f>IFERROR(+_xlfn.RANK.EQ(dHdcp[[#This Row],[Ranking]],dHdcp[Ranking],1),"")</f>
        <v/>
      </c>
      <c r="M1652" t="str">
        <f>+dHdcp[[#This Row],[Fecha]]&amp;":"&amp;dHdcp[[#This Row],[Nombre]]</f>
        <v>45074:José Pablo Guil</v>
      </c>
      <c r="N1652">
        <f>+COUNTIF(dHdcp[Columna1],dHdcp[[#This Row],[Columna1]])</f>
        <v>1</v>
      </c>
      <c r="U1652" t="s">
        <v>205</v>
      </c>
      <c r="V1652">
        <v>0.1</v>
      </c>
      <c r="X1652" s="26">
        <v>45074</v>
      </c>
      <c r="Y1652" s="18" t="s">
        <v>293</v>
      </c>
      <c r="Z1652" s="52">
        <v>21.9</v>
      </c>
      <c r="AA1652">
        <f t="shared" si="5"/>
        <v>0</v>
      </c>
      <c r="AB1652" s="51">
        <f t="shared" si="6"/>
        <v>21.9</v>
      </c>
      <c r="AC1652">
        <f t="shared" si="7"/>
        <v>0</v>
      </c>
      <c r="AD1652" s="51">
        <f t="shared" si="8"/>
        <v>21.9</v>
      </c>
    </row>
    <row r="1653" spans="1:30">
      <c r="A1653" s="2">
        <v>45074</v>
      </c>
      <c r="B1653" t="s">
        <v>293</v>
      </c>
      <c r="C1653" s="51">
        <v>21.9</v>
      </c>
      <c r="D1653">
        <f>+VLOOKUP(dHdcp[[#This Row],[Handicap]],'Categoría Hdcap'!$B$2:$E$7,4)</f>
        <v>4</v>
      </c>
      <c r="E1653" t="s">
        <v>74</v>
      </c>
      <c r="F1653" t="s">
        <v>2119</v>
      </c>
      <c r="G1653">
        <f>+IF(dHdcp[[#This Row],[Fecha]]=MAX(dHdcp[Fecha]),1,0)</f>
        <v>0</v>
      </c>
      <c r="H1653" t="str">
        <f>+dHdcp[[#This Row],[Maximo]]&amp;":"&amp;dHdcp[[#This Row],[Nombre]]</f>
        <v>0:Juan Jose Aguado</v>
      </c>
      <c r="I1653" t="str">
        <f>+dHdcp[[#This Row],[Maximo]]&amp;":"&amp;_xlfn.XLOOKUP(dHdcp[[#This Row],[Nombre]],dJugador[Nombre],dJugador[Mote],"",0)</f>
        <v>0:Juancho</v>
      </c>
      <c r="J1653" t="str">
        <f>+IF(dHdcp[[#This Row],[Maximo]]=0,"",_xlfn.RANK.EQ(dHdcp[[#This Row],[Handicap]],dHdcp[Handicap],1))</f>
        <v/>
      </c>
      <c r="K1653" t="str">
        <f>IFERROR(+_xlfn.RANK.EQ(dHdcp[[#This Row],[Ranking]],dHdcp[Ranking],1),"")</f>
        <v/>
      </c>
      <c r="M1653" t="str">
        <f>+dHdcp[[#This Row],[Fecha]]&amp;":"&amp;dHdcp[[#This Row],[Nombre]]</f>
        <v>45074:Juan Jose Aguado</v>
      </c>
      <c r="N1653">
        <f>+COUNTIF(dHdcp[Columna1],dHdcp[[#This Row],[Columna1]])</f>
        <v>1</v>
      </c>
      <c r="U1653" t="s">
        <v>15</v>
      </c>
      <c r="V1653">
        <v>0.2</v>
      </c>
      <c r="X1653" s="27">
        <v>45074</v>
      </c>
      <c r="Y1653" s="13" t="s">
        <v>35</v>
      </c>
      <c r="Z1653" s="42">
        <v>19.600000000000001</v>
      </c>
      <c r="AA1653">
        <f t="shared" si="5"/>
        <v>0</v>
      </c>
      <c r="AB1653" s="51">
        <f t="shared" si="6"/>
        <v>19.600000000000001</v>
      </c>
      <c r="AC1653">
        <f t="shared" si="7"/>
        <v>0.4</v>
      </c>
      <c r="AD1653" s="51">
        <f t="shared" si="8"/>
        <v>20</v>
      </c>
    </row>
    <row r="1654" spans="1:30">
      <c r="A1654" s="2">
        <v>45074</v>
      </c>
      <c r="B1654" t="s">
        <v>375</v>
      </c>
      <c r="C1654" s="51">
        <v>12.3</v>
      </c>
      <c r="D1654">
        <f>+VLOOKUP(dHdcp[[#This Row],[Handicap]],'Categoría Hdcap'!$B$2:$E$7,4)</f>
        <v>3</v>
      </c>
      <c r="E1654" t="s">
        <v>74</v>
      </c>
      <c r="F1654" t="s">
        <v>2120</v>
      </c>
      <c r="G1654">
        <f>+IF(dHdcp[[#This Row],[Fecha]]=MAX(dHdcp[Fecha]),1,0)</f>
        <v>0</v>
      </c>
      <c r="H1654" t="str">
        <f>+dHdcp[[#This Row],[Maximo]]&amp;":"&amp;dHdcp[[#This Row],[Nombre]]</f>
        <v>0:Luis Fernandez</v>
      </c>
      <c r="I1654" t="str">
        <f>+dHdcp[[#This Row],[Maximo]]&amp;":"&amp;_xlfn.XLOOKUP(dHdcp[[#This Row],[Nombre]],dJugador[Nombre],dJugador[Mote],"",0)</f>
        <v>0:Luis</v>
      </c>
      <c r="J1654" t="str">
        <f>+IF(dHdcp[[#This Row],[Maximo]]=0,"",_xlfn.RANK.EQ(dHdcp[[#This Row],[Handicap]],dHdcp[Handicap],1))</f>
        <v/>
      </c>
      <c r="K1654" t="str">
        <f>IFERROR(+_xlfn.RANK.EQ(dHdcp[[#This Row],[Ranking]],dHdcp[Ranking],1),"")</f>
        <v/>
      </c>
      <c r="M1654" t="str">
        <f>+dHdcp[[#This Row],[Fecha]]&amp;":"&amp;dHdcp[[#This Row],[Nombre]]</f>
        <v>45074:Luis Fernandez</v>
      </c>
      <c r="N1654">
        <f>+COUNTIF(dHdcp[Columna1],dHdcp[[#This Row],[Columna1]])</f>
        <v>1</v>
      </c>
      <c r="U1654" t="s">
        <v>25</v>
      </c>
      <c r="V1654">
        <v>0.4</v>
      </c>
      <c r="X1654" s="26">
        <v>45074</v>
      </c>
      <c r="Y1654" s="18" t="s">
        <v>23</v>
      </c>
      <c r="Z1654" s="52">
        <v>17.899999999999999</v>
      </c>
      <c r="AA1654">
        <f t="shared" si="5"/>
        <v>0</v>
      </c>
      <c r="AB1654" s="51">
        <f t="shared" si="6"/>
        <v>17.899999999999999</v>
      </c>
      <c r="AC1654">
        <f t="shared" si="7"/>
        <v>0</v>
      </c>
      <c r="AD1654" s="51">
        <f t="shared" si="8"/>
        <v>17.899999999999999</v>
      </c>
    </row>
    <row r="1655" spans="1:30">
      <c r="A1655" s="2">
        <v>45074</v>
      </c>
      <c r="B1655" t="s">
        <v>135</v>
      </c>
      <c r="C1655" s="51">
        <v>20.8</v>
      </c>
      <c r="D1655">
        <f>+VLOOKUP(dHdcp[[#This Row],[Handicap]],'Categoría Hdcap'!$B$2:$E$7,4)</f>
        <v>4</v>
      </c>
      <c r="E1655" t="s">
        <v>74</v>
      </c>
      <c r="F1655" t="s">
        <v>2121</v>
      </c>
      <c r="G1655">
        <f>+IF(dHdcp[[#This Row],[Fecha]]=MAX(dHdcp[Fecha]),1,0)</f>
        <v>0</v>
      </c>
      <c r="H1655" t="str">
        <f>+dHdcp[[#This Row],[Maximo]]&amp;":"&amp;dHdcp[[#This Row],[Nombre]]</f>
        <v>0:Miche Lopez</v>
      </c>
      <c r="I1655" t="str">
        <f>+dHdcp[[#This Row],[Maximo]]&amp;":"&amp;_xlfn.XLOOKUP(dHdcp[[#This Row],[Nombre]],dJugador[Nombre],dJugador[Mote],"",0)</f>
        <v>0:Miche</v>
      </c>
      <c r="J1655" t="str">
        <f>+IF(dHdcp[[#This Row],[Maximo]]=0,"",_xlfn.RANK.EQ(dHdcp[[#This Row],[Handicap]],dHdcp[Handicap],1))</f>
        <v/>
      </c>
      <c r="K1655" t="str">
        <f>IFERROR(+_xlfn.RANK.EQ(dHdcp[[#This Row],[Ranking]],dHdcp[Ranking],1),"")</f>
        <v/>
      </c>
      <c r="M1655" t="str">
        <f>+dHdcp[[#This Row],[Fecha]]&amp;":"&amp;dHdcp[[#This Row],[Nombre]]</f>
        <v>45074:Miche Lopez</v>
      </c>
      <c r="N1655">
        <f>+COUNTIF(dHdcp[Columna1],dHdcp[[#This Row],[Columna1]])</f>
        <v>1</v>
      </c>
      <c r="U1655" t="s">
        <v>35</v>
      </c>
      <c r="V1655">
        <v>0.4</v>
      </c>
      <c r="X1655" s="27">
        <v>45074</v>
      </c>
      <c r="Y1655" s="13" t="s">
        <v>375</v>
      </c>
      <c r="Z1655" s="42">
        <v>12.3</v>
      </c>
      <c r="AA1655">
        <f t="shared" si="5"/>
        <v>0</v>
      </c>
      <c r="AB1655" s="51">
        <f t="shared" si="6"/>
        <v>12.3</v>
      </c>
      <c r="AC1655">
        <f t="shared" si="7"/>
        <v>0</v>
      </c>
      <c r="AD1655" s="51">
        <f t="shared" si="8"/>
        <v>12.3</v>
      </c>
    </row>
    <row r="1656" spans="1:30">
      <c r="A1656" s="2">
        <v>45074</v>
      </c>
      <c r="B1656" t="s">
        <v>205</v>
      </c>
      <c r="C1656" s="51">
        <v>7</v>
      </c>
      <c r="D1656">
        <f>+VLOOKUP(dHdcp[[#This Row],[Handicap]],'Categoría Hdcap'!$B$2:$E$7,4)</f>
        <v>2</v>
      </c>
      <c r="E1656" t="s">
        <v>74</v>
      </c>
      <c r="F1656" s="94" t="s">
        <v>2122</v>
      </c>
      <c r="G1656">
        <f>+IF(dHdcp[[#This Row],[Fecha]]=MAX(dHdcp[Fecha]),1,0)</f>
        <v>0</v>
      </c>
      <c r="H1656" t="str">
        <f>+dHdcp[[#This Row],[Maximo]]&amp;":"&amp;dHdcp[[#This Row],[Nombre]]</f>
        <v>0:Nacho Casas</v>
      </c>
      <c r="I1656" t="str">
        <f>+dHdcp[[#This Row],[Maximo]]&amp;":"&amp;_xlfn.XLOOKUP(dHdcp[[#This Row],[Nombre]],dJugador[Nombre],dJugador[Mote],"",0)</f>
        <v>0:Nachete</v>
      </c>
      <c r="J1656" t="str">
        <f>+IF(dHdcp[[#This Row],[Maximo]]=0,"",_xlfn.RANK.EQ(dHdcp[[#This Row],[Handicap]],dHdcp[Handicap],1))</f>
        <v/>
      </c>
      <c r="K1656" t="str">
        <f>IFERROR(+_xlfn.RANK.EQ(dHdcp[[#This Row],[Ranking]],dHdcp[Ranking],1),"")</f>
        <v/>
      </c>
      <c r="M1656" t="str">
        <f>+dHdcp[[#This Row],[Fecha]]&amp;":"&amp;dHdcp[[#This Row],[Nombre]]</f>
        <v>45074:Nacho Casas</v>
      </c>
      <c r="N1656">
        <f>+COUNTIF(dHdcp[Columna1],dHdcp[[#This Row],[Columna1]])</f>
        <v>1</v>
      </c>
      <c r="U1656" t="s">
        <v>49</v>
      </c>
      <c r="V1656">
        <v>0.4</v>
      </c>
      <c r="X1656" s="26">
        <v>45074</v>
      </c>
      <c r="Y1656" s="18" t="s">
        <v>248</v>
      </c>
      <c r="Z1656" s="52">
        <v>11.5</v>
      </c>
      <c r="AA1656">
        <f t="shared" si="5"/>
        <v>-0.1</v>
      </c>
      <c r="AB1656" s="51">
        <f t="shared" si="6"/>
        <v>11.4</v>
      </c>
      <c r="AC1656">
        <f t="shared" si="7"/>
        <v>0</v>
      </c>
      <c r="AD1656" s="51">
        <f t="shared" si="8"/>
        <v>11.4</v>
      </c>
    </row>
    <row r="1657" spans="1:30">
      <c r="A1657" s="2">
        <v>45074</v>
      </c>
      <c r="B1657" t="s">
        <v>3</v>
      </c>
      <c r="C1657" s="51">
        <v>6.3</v>
      </c>
      <c r="D1657">
        <f>+VLOOKUP(dHdcp[[#This Row],[Handicap]],'Categoría Hdcap'!$B$2:$E$7,4)</f>
        <v>2</v>
      </c>
      <c r="E1657" t="s">
        <v>74</v>
      </c>
      <c r="F1657" t="s">
        <v>2123</v>
      </c>
      <c r="G1657">
        <f>+IF(dHdcp[[#This Row],[Fecha]]=MAX(dHdcp[Fecha]),1,0)</f>
        <v>0</v>
      </c>
      <c r="H1657" t="str">
        <f>+dHdcp[[#This Row],[Maximo]]&amp;":"&amp;dHdcp[[#This Row],[Nombre]]</f>
        <v>0:Nacho Gonzalez</v>
      </c>
      <c r="I1657" t="str">
        <f>+dHdcp[[#This Row],[Maximo]]&amp;":"&amp;_xlfn.XLOOKUP(dHdcp[[#This Row],[Nombre]],dJugador[Nombre],dJugador[Mote],"",0)</f>
        <v>0:Nacho</v>
      </c>
      <c r="J1657" t="str">
        <f>+IF(dHdcp[[#This Row],[Maximo]]=0,"",_xlfn.RANK.EQ(dHdcp[[#This Row],[Handicap]],dHdcp[Handicap],1))</f>
        <v/>
      </c>
      <c r="K1657" t="str">
        <f>IFERROR(+_xlfn.RANK.EQ(dHdcp[[#This Row],[Ranking]],dHdcp[Ranking],1),"")</f>
        <v/>
      </c>
      <c r="M1657" t="str">
        <f>+dHdcp[[#This Row],[Fecha]]&amp;":"&amp;dHdcp[[#This Row],[Nombre]]</f>
        <v>45074:Nacho Gonzalez</v>
      </c>
      <c r="N1657">
        <f>+COUNTIF(dHdcp[Columna1],dHdcp[[#This Row],[Columna1]])</f>
        <v>1</v>
      </c>
      <c r="U1657" t="s">
        <v>46</v>
      </c>
      <c r="V1657">
        <v>0.4</v>
      </c>
      <c r="X1657" s="27">
        <v>45074</v>
      </c>
      <c r="Y1657" s="13" t="s">
        <v>203</v>
      </c>
      <c r="Z1657" s="42">
        <v>17.100000000000001</v>
      </c>
      <c r="AA1657">
        <f t="shared" si="5"/>
        <v>0</v>
      </c>
      <c r="AB1657" s="51">
        <f t="shared" si="6"/>
        <v>17.100000000000001</v>
      </c>
      <c r="AC1657">
        <f t="shared" si="7"/>
        <v>0</v>
      </c>
      <c r="AD1657" s="51">
        <f t="shared" si="8"/>
        <v>17.100000000000001</v>
      </c>
    </row>
    <row r="1658" spans="1:30">
      <c r="A1658" s="2">
        <v>45074</v>
      </c>
      <c r="B1658" t="s">
        <v>203</v>
      </c>
      <c r="C1658" s="51">
        <v>17.100000000000001</v>
      </c>
      <c r="D1658">
        <f>+VLOOKUP(dHdcp[[#This Row],[Handicap]],'Categoría Hdcap'!$B$2:$E$7,4)</f>
        <v>3</v>
      </c>
      <c r="E1658" t="s">
        <v>74</v>
      </c>
      <c r="F1658" t="s">
        <v>2124</v>
      </c>
      <c r="G1658">
        <f>+IF(dHdcp[[#This Row],[Fecha]]=MAX(dHdcp[Fecha]),1,0)</f>
        <v>0</v>
      </c>
      <c r="H1658" t="str">
        <f>+dHdcp[[#This Row],[Maximo]]&amp;":"&amp;dHdcp[[#This Row],[Nombre]]</f>
        <v>0:Ruslan Kochman</v>
      </c>
      <c r="I1658" t="str">
        <f>+dHdcp[[#This Row],[Maximo]]&amp;":"&amp;_xlfn.XLOOKUP(dHdcp[[#This Row],[Nombre]],dJugador[Nombre],dJugador[Mote],"",0)</f>
        <v>0:Rus</v>
      </c>
      <c r="J1658" t="str">
        <f>+IF(dHdcp[[#This Row],[Maximo]]=0,"",_xlfn.RANK.EQ(dHdcp[[#This Row],[Handicap]],dHdcp[Handicap],1))</f>
        <v/>
      </c>
      <c r="K1658" t="str">
        <f>IFERROR(+_xlfn.RANK.EQ(dHdcp[[#This Row],[Ranking]],dHdcp[Ranking],1),"")</f>
        <v/>
      </c>
      <c r="M1658" t="str">
        <f>+dHdcp[[#This Row],[Fecha]]&amp;":"&amp;dHdcp[[#This Row],[Nombre]]</f>
        <v>45074:Ruslan Kochman</v>
      </c>
      <c r="N1658">
        <f>+COUNTIF(dHdcp[Columna1],dHdcp[[#This Row],[Columna1]])</f>
        <v>1</v>
      </c>
      <c r="U1658" t="s">
        <v>9</v>
      </c>
      <c r="V1658">
        <v>1</v>
      </c>
      <c r="X1658" s="26">
        <v>45074</v>
      </c>
      <c r="Y1658" s="18" t="s">
        <v>271</v>
      </c>
      <c r="Z1658" s="52">
        <v>16.399999999999999</v>
      </c>
      <c r="AA1658">
        <f t="shared" si="5"/>
        <v>0</v>
      </c>
      <c r="AB1658" s="51">
        <f t="shared" si="6"/>
        <v>16.399999999999999</v>
      </c>
      <c r="AC1658">
        <f t="shared" si="7"/>
        <v>0</v>
      </c>
      <c r="AD1658" s="51">
        <f t="shared" si="8"/>
        <v>16.399999999999999</v>
      </c>
    </row>
    <row r="1659" spans="1:30">
      <c r="A1659" s="2">
        <v>45074</v>
      </c>
      <c r="B1659" t="s">
        <v>271</v>
      </c>
      <c r="C1659" s="51">
        <v>16.399999999999999</v>
      </c>
      <c r="D1659">
        <f>+VLOOKUP(dHdcp[[#This Row],[Handicap]],'Categoría Hdcap'!$B$2:$E$7,4)</f>
        <v>3</v>
      </c>
      <c r="E1659" t="s">
        <v>74</v>
      </c>
      <c r="F1659" t="s">
        <v>2125</v>
      </c>
      <c r="G1659">
        <f>+IF(dHdcp[[#This Row],[Fecha]]=MAX(dHdcp[Fecha]),1,0)</f>
        <v>0</v>
      </c>
      <c r="H1659" t="str">
        <f>+dHdcp[[#This Row],[Maximo]]&amp;":"&amp;dHdcp[[#This Row],[Nombre]]</f>
        <v>0:Santi Diaz</v>
      </c>
      <c r="I1659" t="str">
        <f>+dHdcp[[#This Row],[Maximo]]&amp;":"&amp;_xlfn.XLOOKUP(dHdcp[[#This Row],[Nombre]],dJugador[Nombre],dJugador[Mote],"",0)</f>
        <v>0:Santi</v>
      </c>
      <c r="J1659" t="str">
        <f>+IF(dHdcp[[#This Row],[Maximo]]=0,"",_xlfn.RANK.EQ(dHdcp[[#This Row],[Handicap]],dHdcp[Handicap],1))</f>
        <v/>
      </c>
      <c r="K1659" t="str">
        <f>IFERROR(+_xlfn.RANK.EQ(dHdcp[[#This Row],[Ranking]],dHdcp[Ranking],1),"")</f>
        <v/>
      </c>
      <c r="M1659" t="str">
        <f>+dHdcp[[#This Row],[Fecha]]&amp;":"&amp;dHdcp[[#This Row],[Nombre]]</f>
        <v>45074:Santi Diaz</v>
      </c>
      <c r="N1659">
        <f>+COUNTIF(dHdcp[Columna1],dHdcp[[#This Row],[Columna1]])</f>
        <v>1</v>
      </c>
      <c r="U1659" t="s">
        <v>326</v>
      </c>
      <c r="V1659">
        <v>1.5</v>
      </c>
      <c r="X1659" s="27">
        <v>45074</v>
      </c>
      <c r="Y1659" s="13" t="s">
        <v>135</v>
      </c>
      <c r="Z1659" s="42">
        <v>21.8</v>
      </c>
      <c r="AA1659">
        <f t="shared" si="5"/>
        <v>-1</v>
      </c>
      <c r="AB1659" s="51">
        <f t="shared" si="6"/>
        <v>20.8</v>
      </c>
      <c r="AC1659">
        <f t="shared" si="7"/>
        <v>-0.2</v>
      </c>
      <c r="AD1659" s="51">
        <f t="shared" si="8"/>
        <v>20.6</v>
      </c>
    </row>
    <row r="1660" spans="1:30">
      <c r="A1660" s="2">
        <v>45108</v>
      </c>
      <c r="B1660" t="s">
        <v>259</v>
      </c>
      <c r="C1660" s="51">
        <v>1.899999999999999</v>
      </c>
      <c r="D1660">
        <f>+VLOOKUP(dHdcp[[#This Row],[Handicap]],'Categoría Hdcap'!$B$2:$E$7,4)</f>
        <v>1</v>
      </c>
      <c r="E1660" t="s">
        <v>74</v>
      </c>
      <c r="F1660" t="s">
        <v>2126</v>
      </c>
      <c r="G1660">
        <f>+IF(dHdcp[[#This Row],[Fecha]]=MAX(dHdcp[Fecha]),1,0)</f>
        <v>0</v>
      </c>
      <c r="H1660" t="str">
        <f>+dHdcp[[#This Row],[Maximo]]&amp;":"&amp;dHdcp[[#This Row],[Nombre]]</f>
        <v>0:Alejandro Arcos</v>
      </c>
      <c r="I1660" t="str">
        <f>+dHdcp[[#This Row],[Maximo]]&amp;":"&amp;_xlfn.XLOOKUP(dHdcp[[#This Row],[Nombre]],dJugador[Nombre],dJugador[Mote],"",0)</f>
        <v>0:Alex</v>
      </c>
      <c r="J1660" t="str">
        <f>+IF(dHdcp[[#This Row],[Maximo]]=0,"",_xlfn.RANK.EQ(dHdcp[[#This Row],[Handicap]],dHdcp[Handicap],1))</f>
        <v/>
      </c>
      <c r="K1660" t="str">
        <f>IFERROR(+_xlfn.RANK.EQ(dHdcp[[#This Row],[Ranking]],dHdcp[Ranking],1),"")</f>
        <v/>
      </c>
      <c r="M1660" t="str">
        <f>+dHdcp[[#This Row],[Fecha]]&amp;":"&amp;dHdcp[[#This Row],[Nombre]]</f>
        <v>45108:Alejandro Arcos</v>
      </c>
      <c r="N1660">
        <f>+COUNTIF(dHdcp[Columna1],dHdcp[[#This Row],[Columna1]])</f>
        <v>1</v>
      </c>
    </row>
    <row r="1661" spans="1:30">
      <c r="A1661" s="2">
        <v>45108</v>
      </c>
      <c r="B1661" t="s">
        <v>9</v>
      </c>
      <c r="C1661" s="51">
        <v>10.7</v>
      </c>
      <c r="D1661">
        <f>+VLOOKUP(dHdcp[[#This Row],[Handicap]],'Categoría Hdcap'!$B$2:$E$7,4)</f>
        <v>2</v>
      </c>
      <c r="E1661" t="s">
        <v>74</v>
      </c>
      <c r="F1661" t="s">
        <v>2127</v>
      </c>
      <c r="G1661">
        <f>+IF(dHdcp[[#This Row],[Fecha]]=MAX(dHdcp[Fecha]),1,0)</f>
        <v>0</v>
      </c>
      <c r="H1661" t="str">
        <f>+dHdcp[[#This Row],[Maximo]]&amp;":"&amp;dHdcp[[#This Row],[Nombre]]</f>
        <v>0:Alfonso Hidalgo</v>
      </c>
      <c r="I1661" t="str">
        <f>+dHdcp[[#This Row],[Maximo]]&amp;":"&amp;_xlfn.XLOOKUP(dHdcp[[#This Row],[Nombre]],dJugador[Nombre],dJugador[Mote],"",0)</f>
        <v>0:Alfonso</v>
      </c>
      <c r="J1661" t="str">
        <f>+IF(dHdcp[[#This Row],[Maximo]]=0,"",_xlfn.RANK.EQ(dHdcp[[#This Row],[Handicap]],dHdcp[Handicap],1))</f>
        <v/>
      </c>
      <c r="K1661" t="str">
        <f>IFERROR(+_xlfn.RANK.EQ(dHdcp[[#This Row],[Ranking]],dHdcp[Ranking],1),"")</f>
        <v/>
      </c>
      <c r="M1661" t="str">
        <f>+dHdcp[[#This Row],[Fecha]]&amp;":"&amp;dHdcp[[#This Row],[Nombre]]</f>
        <v>45108:Alfonso Hidalgo</v>
      </c>
      <c r="N1661">
        <f>+COUNTIF(dHdcp[Columna1],dHdcp[[#This Row],[Columna1]])</f>
        <v>1</v>
      </c>
    </row>
    <row r="1662" spans="1:30">
      <c r="A1662" s="2">
        <v>45108</v>
      </c>
      <c r="B1662" t="s">
        <v>229</v>
      </c>
      <c r="C1662" s="51">
        <v>14.1</v>
      </c>
      <c r="D1662">
        <f>+VLOOKUP(dHdcp[[#This Row],[Handicap]],'Categoría Hdcap'!$B$2:$E$7,4)</f>
        <v>3</v>
      </c>
      <c r="E1662" t="s">
        <v>74</v>
      </c>
      <c r="F1662" t="s">
        <v>2128</v>
      </c>
      <c r="G1662">
        <f>+IF(dHdcp[[#This Row],[Fecha]]=MAX(dHdcp[Fecha]),1,0)</f>
        <v>0</v>
      </c>
      <c r="H1662" t="str">
        <f>+dHdcp[[#This Row],[Maximo]]&amp;":"&amp;dHdcp[[#This Row],[Nombre]]</f>
        <v>0:Alfonso Zorrilla</v>
      </c>
      <c r="I1662" t="str">
        <f>+dHdcp[[#This Row],[Maximo]]&amp;":"&amp;_xlfn.XLOOKUP(dHdcp[[#This Row],[Nombre]],dJugador[Nombre],dJugador[Mote],"",0)</f>
        <v>0:A Zorrilla</v>
      </c>
      <c r="J1662" t="str">
        <f>+IF(dHdcp[[#This Row],[Maximo]]=0,"",_xlfn.RANK.EQ(dHdcp[[#This Row],[Handicap]],dHdcp[Handicap],1))</f>
        <v/>
      </c>
      <c r="K1662" t="str">
        <f>IFERROR(+_xlfn.RANK.EQ(dHdcp[[#This Row],[Ranking]],dHdcp[Ranking],1),"")</f>
        <v/>
      </c>
      <c r="M1662" t="str">
        <f>+dHdcp[[#This Row],[Fecha]]&amp;":"&amp;dHdcp[[#This Row],[Nombre]]</f>
        <v>45108:Alfonso Zorrilla</v>
      </c>
      <c r="N1662">
        <f>+COUNTIF(dHdcp[Columna1],dHdcp[[#This Row],[Columna1]])</f>
        <v>1</v>
      </c>
    </row>
    <row r="1663" spans="1:30">
      <c r="A1663" s="2">
        <v>45108</v>
      </c>
      <c r="B1663" t="s">
        <v>15</v>
      </c>
      <c r="C1663" s="51">
        <v>6</v>
      </c>
      <c r="D1663">
        <f>+VLOOKUP(dHdcp[[#This Row],[Handicap]],'Categoría Hdcap'!$B$2:$E$7,4)</f>
        <v>2</v>
      </c>
      <c r="E1663" t="s">
        <v>74</v>
      </c>
      <c r="F1663" t="s">
        <v>2129</v>
      </c>
      <c r="G1663">
        <f>+IF(dHdcp[[#This Row],[Fecha]]=MAX(dHdcp[Fecha]),1,0)</f>
        <v>0</v>
      </c>
      <c r="H1663" t="str">
        <f>+dHdcp[[#This Row],[Maximo]]&amp;":"&amp;dHdcp[[#This Row],[Nombre]]</f>
        <v>0:Alvaro Aguirre</v>
      </c>
      <c r="I1663" t="str">
        <f>+dHdcp[[#This Row],[Maximo]]&amp;":"&amp;_xlfn.XLOOKUP(dHdcp[[#This Row],[Nombre]],dJugador[Nombre],dJugador[Mote],"",0)</f>
        <v>0:Gifu</v>
      </c>
      <c r="J1663" t="str">
        <f>+IF(dHdcp[[#This Row],[Maximo]]=0,"",_xlfn.RANK.EQ(dHdcp[[#This Row],[Handicap]],dHdcp[Handicap],1))</f>
        <v/>
      </c>
      <c r="K1663" t="str">
        <f>IFERROR(+_xlfn.RANK.EQ(dHdcp[[#This Row],[Ranking]],dHdcp[Ranking],1),"")</f>
        <v/>
      </c>
      <c r="M1663" t="str">
        <f>+dHdcp[[#This Row],[Fecha]]&amp;":"&amp;dHdcp[[#This Row],[Nombre]]</f>
        <v>45108:Alvaro Aguirre</v>
      </c>
      <c r="N1663">
        <f>+COUNTIF(dHdcp[Columna1],dHdcp[[#This Row],[Columna1]])</f>
        <v>1</v>
      </c>
    </row>
    <row r="1664" spans="1:30">
      <c r="A1664" s="2">
        <v>45108</v>
      </c>
      <c r="B1664" t="s">
        <v>201</v>
      </c>
      <c r="C1664" s="51">
        <v>9.2000000000000028</v>
      </c>
      <c r="D1664">
        <f>+VLOOKUP(dHdcp[[#This Row],[Handicap]],'Categoría Hdcap'!$B$2:$E$7,4)</f>
        <v>2</v>
      </c>
      <c r="E1664" t="s">
        <v>74</v>
      </c>
      <c r="F1664" t="s">
        <v>2130</v>
      </c>
      <c r="G1664">
        <f>+IF(dHdcp[[#This Row],[Fecha]]=MAX(dHdcp[Fecha]),1,0)</f>
        <v>0</v>
      </c>
      <c r="H1664" t="str">
        <f>+dHdcp[[#This Row],[Maximo]]&amp;":"&amp;dHdcp[[#This Row],[Nombre]]</f>
        <v>0:Alvaro Montoya</v>
      </c>
      <c r="I1664" t="str">
        <f>+dHdcp[[#This Row],[Maximo]]&amp;":"&amp;_xlfn.XLOOKUP(dHdcp[[#This Row],[Nombre]],dJugador[Nombre],dJugador[Mote],"",0)</f>
        <v>0:Monti</v>
      </c>
      <c r="J1664" t="str">
        <f>+IF(dHdcp[[#This Row],[Maximo]]=0,"",_xlfn.RANK.EQ(dHdcp[[#This Row],[Handicap]],dHdcp[Handicap],1))</f>
        <v/>
      </c>
      <c r="K1664" t="str">
        <f>IFERROR(+_xlfn.RANK.EQ(dHdcp[[#This Row],[Ranking]],dHdcp[Ranking],1),"")</f>
        <v/>
      </c>
      <c r="M1664" t="str">
        <f>+dHdcp[[#This Row],[Fecha]]&amp;":"&amp;dHdcp[[#This Row],[Nombre]]</f>
        <v>45108:Alvaro Montoya</v>
      </c>
      <c r="N1664">
        <f>+COUNTIF(dHdcp[Columna1],dHdcp[[#This Row],[Columna1]])</f>
        <v>1</v>
      </c>
    </row>
    <row r="1665" spans="1:14">
      <c r="A1665" s="2">
        <v>45108</v>
      </c>
      <c r="B1665" t="s">
        <v>25</v>
      </c>
      <c r="C1665" s="51">
        <v>12.7</v>
      </c>
      <c r="D1665">
        <f>+VLOOKUP(dHdcp[[#This Row],[Handicap]],'Categoría Hdcap'!$B$2:$E$7,4)</f>
        <v>3</v>
      </c>
      <c r="E1665" t="s">
        <v>74</v>
      </c>
      <c r="F1665" t="s">
        <v>2131</v>
      </c>
      <c r="G1665">
        <f>+IF(dHdcp[[#This Row],[Fecha]]=MAX(dHdcp[Fecha]),1,0)</f>
        <v>0</v>
      </c>
      <c r="H1665" t="str">
        <f>+dHdcp[[#This Row],[Maximo]]&amp;":"&amp;dHdcp[[#This Row],[Nombre]]</f>
        <v>0:Alvaro Nieto</v>
      </c>
      <c r="I1665" t="str">
        <f>+dHdcp[[#This Row],[Maximo]]&amp;":"&amp;_xlfn.XLOOKUP(dHdcp[[#This Row],[Nombre]],dJugador[Nombre],dJugador[Mote],"",0)</f>
        <v>0:Alvaro</v>
      </c>
      <c r="J1665" t="str">
        <f>+IF(dHdcp[[#This Row],[Maximo]]=0,"",_xlfn.RANK.EQ(dHdcp[[#This Row],[Handicap]],dHdcp[Handicap],1))</f>
        <v/>
      </c>
      <c r="K1665" t="str">
        <f>IFERROR(+_xlfn.RANK.EQ(dHdcp[[#This Row],[Ranking]],dHdcp[Ranking],1),"")</f>
        <v/>
      </c>
      <c r="M1665" t="str">
        <f>+dHdcp[[#This Row],[Fecha]]&amp;":"&amp;dHdcp[[#This Row],[Nombre]]</f>
        <v>45108:Alvaro Nieto</v>
      </c>
      <c r="N1665">
        <f>+COUNTIF(dHdcp[Columna1],dHdcp[[#This Row],[Columna1]])</f>
        <v>1</v>
      </c>
    </row>
    <row r="1666" spans="1:14">
      <c r="A1666" s="2">
        <v>45108</v>
      </c>
      <c r="B1666" t="s">
        <v>33</v>
      </c>
      <c r="C1666" s="51">
        <v>8</v>
      </c>
      <c r="D1666">
        <f>+VLOOKUP(dHdcp[[#This Row],[Handicap]],'Categoría Hdcap'!$B$2:$E$7,4)</f>
        <v>2</v>
      </c>
      <c r="E1666" t="s">
        <v>74</v>
      </c>
      <c r="F1666" s="94" t="s">
        <v>2132</v>
      </c>
      <c r="G1666">
        <f>+IF(dHdcp[[#This Row],[Fecha]]=MAX(dHdcp[Fecha]),1,0)</f>
        <v>0</v>
      </c>
      <c r="H1666" t="str">
        <f>+dHdcp[[#This Row],[Maximo]]&amp;":"&amp;dHdcp[[#This Row],[Nombre]]</f>
        <v>0:Angel Hernandez</v>
      </c>
      <c r="I1666" t="str">
        <f>+dHdcp[[#This Row],[Maximo]]&amp;":"&amp;_xlfn.XLOOKUP(dHdcp[[#This Row],[Nombre]],dJugador[Nombre],dJugador[Mote],"",0)</f>
        <v>0:Angel</v>
      </c>
      <c r="J1666" t="str">
        <f>+IF(dHdcp[[#This Row],[Maximo]]=0,"",_xlfn.RANK.EQ(dHdcp[[#This Row],[Handicap]],dHdcp[Handicap],1))</f>
        <v/>
      </c>
      <c r="K1666" t="str">
        <f>IFERROR(+_xlfn.RANK.EQ(dHdcp[[#This Row],[Ranking]],dHdcp[Ranking],1),"")</f>
        <v/>
      </c>
      <c r="M1666" t="str">
        <f>+dHdcp[[#This Row],[Fecha]]&amp;":"&amp;dHdcp[[#This Row],[Nombre]]</f>
        <v>45108:Angel Hernandez</v>
      </c>
      <c r="N1666">
        <f>+COUNTIF(dHdcp[Columna1],dHdcp[[#This Row],[Columna1]])</f>
        <v>1</v>
      </c>
    </row>
    <row r="1667" spans="1:14">
      <c r="A1667" s="2">
        <v>45108</v>
      </c>
      <c r="B1667" t="s">
        <v>264</v>
      </c>
      <c r="C1667" s="51">
        <v>19.100000000000001</v>
      </c>
      <c r="D1667">
        <f>+VLOOKUP(dHdcp[[#This Row],[Handicap]],'Categoría Hdcap'!$B$2:$E$7,4)</f>
        <v>4</v>
      </c>
      <c r="E1667" t="s">
        <v>74</v>
      </c>
      <c r="F1667" t="s">
        <v>2133</v>
      </c>
      <c r="G1667">
        <f>+IF(dHdcp[[#This Row],[Fecha]]=MAX(dHdcp[Fecha]),1,0)</f>
        <v>0</v>
      </c>
      <c r="H1667" t="str">
        <f>+dHdcp[[#This Row],[Maximo]]&amp;":"&amp;dHdcp[[#This Row],[Nombre]]</f>
        <v>0:Antonio Carmona</v>
      </c>
      <c r="I1667" t="str">
        <f>+dHdcp[[#This Row],[Maximo]]&amp;":"&amp;_xlfn.XLOOKUP(dHdcp[[#This Row],[Nombre]],dJugador[Nombre],dJugador[Mote],"",0)</f>
        <v>0:Antonio</v>
      </c>
      <c r="J1667" t="str">
        <f>+IF(dHdcp[[#This Row],[Maximo]]=0,"",_xlfn.RANK.EQ(dHdcp[[#This Row],[Handicap]],dHdcp[Handicap],1))</f>
        <v/>
      </c>
      <c r="K1667" t="str">
        <f>IFERROR(+_xlfn.RANK.EQ(dHdcp[[#This Row],[Ranking]],dHdcp[Ranking],1),"")</f>
        <v/>
      </c>
      <c r="M1667" t="str">
        <f>+dHdcp[[#This Row],[Fecha]]&amp;":"&amp;dHdcp[[#This Row],[Nombre]]</f>
        <v>45108:Antonio Carmona</v>
      </c>
      <c r="N1667">
        <f>+COUNTIF(dHdcp[Columna1],dHdcp[[#This Row],[Columna1]])</f>
        <v>1</v>
      </c>
    </row>
    <row r="1668" spans="1:14">
      <c r="A1668" s="2">
        <v>45108</v>
      </c>
      <c r="B1668" t="s">
        <v>291</v>
      </c>
      <c r="C1668" s="51">
        <v>1.6999999999999988</v>
      </c>
      <c r="D1668">
        <f>+VLOOKUP(dHdcp[[#This Row],[Handicap]],'Categoría Hdcap'!$B$2:$E$7,4)</f>
        <v>1</v>
      </c>
      <c r="E1668" t="s">
        <v>74</v>
      </c>
      <c r="F1668" t="s">
        <v>2134</v>
      </c>
      <c r="G1668">
        <f>+IF(dHdcp[[#This Row],[Fecha]]=MAX(dHdcp[Fecha]),1,0)</f>
        <v>0</v>
      </c>
      <c r="H1668" t="str">
        <f>+dHdcp[[#This Row],[Maximo]]&amp;":"&amp;dHdcp[[#This Row],[Nombre]]</f>
        <v>0:Carlos Maestro</v>
      </c>
      <c r="I1668" t="str">
        <f>+dHdcp[[#This Row],[Maximo]]&amp;":"&amp;_xlfn.XLOOKUP(dHdcp[[#This Row],[Nombre]],dJugador[Nombre],dJugador[Mote],"",0)</f>
        <v>0:Carlitos</v>
      </c>
      <c r="J1668" t="str">
        <f>+IF(dHdcp[[#This Row],[Maximo]]=0,"",_xlfn.RANK.EQ(dHdcp[[#This Row],[Handicap]],dHdcp[Handicap],1))</f>
        <v/>
      </c>
      <c r="K1668" t="str">
        <f>IFERROR(+_xlfn.RANK.EQ(dHdcp[[#This Row],[Ranking]],dHdcp[Ranking],1),"")</f>
        <v/>
      </c>
      <c r="M1668" t="str">
        <f>+dHdcp[[#This Row],[Fecha]]&amp;":"&amp;dHdcp[[#This Row],[Nombre]]</f>
        <v>45108:Carlos Maestro</v>
      </c>
      <c r="N1668">
        <f>+COUNTIF(dHdcp[Columna1],dHdcp[[#This Row],[Columna1]])</f>
        <v>1</v>
      </c>
    </row>
    <row r="1669" spans="1:14">
      <c r="A1669" s="2">
        <v>45108</v>
      </c>
      <c r="B1669" t="s">
        <v>30</v>
      </c>
      <c r="C1669" s="51">
        <v>11.400000000000011</v>
      </c>
      <c r="D1669">
        <f>+VLOOKUP(dHdcp[[#This Row],[Handicap]],'Categoría Hdcap'!$B$2:$E$7,4)</f>
        <v>2</v>
      </c>
      <c r="E1669" t="s">
        <v>74</v>
      </c>
      <c r="F1669" t="s">
        <v>2135</v>
      </c>
      <c r="G1669">
        <f>+IF(dHdcp[[#This Row],[Fecha]]=MAX(dHdcp[Fecha]),1,0)</f>
        <v>0</v>
      </c>
      <c r="H1669" t="str">
        <f>+dHdcp[[#This Row],[Maximo]]&amp;":"&amp;dHdcp[[#This Row],[Nombre]]</f>
        <v>0:David Sequera</v>
      </c>
      <c r="I1669" t="str">
        <f>+dHdcp[[#This Row],[Maximo]]&amp;":"&amp;_xlfn.XLOOKUP(dHdcp[[#This Row],[Nombre]],dJugador[Nombre],dJugador[Mote],"",0)</f>
        <v>0:David</v>
      </c>
      <c r="J1669" t="str">
        <f>+IF(dHdcp[[#This Row],[Maximo]]=0,"",_xlfn.RANK.EQ(dHdcp[[#This Row],[Handicap]],dHdcp[Handicap],1))</f>
        <v/>
      </c>
      <c r="K1669" t="str">
        <f>IFERROR(+_xlfn.RANK.EQ(dHdcp[[#This Row],[Ranking]],dHdcp[Ranking],1),"")</f>
        <v/>
      </c>
      <c r="M1669" t="str">
        <f>+dHdcp[[#This Row],[Fecha]]&amp;":"&amp;dHdcp[[#This Row],[Nombre]]</f>
        <v>45108:David Sequera</v>
      </c>
      <c r="N1669">
        <f>+COUNTIF(dHdcp[Columna1],dHdcp[[#This Row],[Columna1]])</f>
        <v>1</v>
      </c>
    </row>
    <row r="1670" spans="1:14">
      <c r="A1670" s="2">
        <v>45108</v>
      </c>
      <c r="B1670" t="s">
        <v>326</v>
      </c>
      <c r="C1670" s="51">
        <v>15.8</v>
      </c>
      <c r="D1670">
        <f>+VLOOKUP(dHdcp[[#This Row],[Handicap]],'Categoría Hdcap'!$B$2:$E$7,4)</f>
        <v>3</v>
      </c>
      <c r="E1670" t="s">
        <v>74</v>
      </c>
      <c r="F1670" t="s">
        <v>2136</v>
      </c>
      <c r="G1670">
        <f>+IF(dHdcp[[#This Row],[Fecha]]=MAX(dHdcp[Fecha]),1,0)</f>
        <v>0</v>
      </c>
      <c r="H1670" t="str">
        <f>+dHdcp[[#This Row],[Maximo]]&amp;":"&amp;dHdcp[[#This Row],[Nombre]]</f>
        <v>0:Eduardo Buendía</v>
      </c>
      <c r="I1670" t="str">
        <f>+dHdcp[[#This Row],[Maximo]]&amp;":"&amp;_xlfn.XLOOKUP(dHdcp[[#This Row],[Nombre]],dJugador[Nombre],dJugador[Mote],"",0)</f>
        <v>0:Eduardo</v>
      </c>
      <c r="J1670" t="str">
        <f>+IF(dHdcp[[#This Row],[Maximo]]=0,"",_xlfn.RANK.EQ(dHdcp[[#This Row],[Handicap]],dHdcp[Handicap],1))</f>
        <v/>
      </c>
      <c r="K1670" t="str">
        <f>IFERROR(+_xlfn.RANK.EQ(dHdcp[[#This Row],[Ranking]],dHdcp[Ranking],1),"")</f>
        <v/>
      </c>
      <c r="M1670" t="str">
        <f>+dHdcp[[#This Row],[Fecha]]&amp;":"&amp;dHdcp[[#This Row],[Nombre]]</f>
        <v>45108:Eduardo Buendía</v>
      </c>
      <c r="N1670">
        <f>+COUNTIF(dHdcp[Columna1],dHdcp[[#This Row],[Columna1]])</f>
        <v>1</v>
      </c>
    </row>
    <row r="1671" spans="1:14">
      <c r="A1671" s="2">
        <v>45108</v>
      </c>
      <c r="B1671" t="s">
        <v>248</v>
      </c>
      <c r="C1671" s="51">
        <v>11.4</v>
      </c>
      <c r="D1671">
        <f>+VLOOKUP(dHdcp[[#This Row],[Handicap]],'Categoría Hdcap'!$B$2:$E$7,4)</f>
        <v>2</v>
      </c>
      <c r="E1671" t="s">
        <v>74</v>
      </c>
      <c r="F1671" t="s">
        <v>2137</v>
      </c>
      <c r="G1671">
        <f>+IF(dHdcp[[#This Row],[Fecha]]=MAX(dHdcp[Fecha]),1,0)</f>
        <v>0</v>
      </c>
      <c r="H1671" t="str">
        <f>+dHdcp[[#This Row],[Maximo]]&amp;":"&amp;dHdcp[[#This Row],[Nombre]]</f>
        <v>0:Enrique Gonzalez R</v>
      </c>
      <c r="I1671" t="str">
        <f>+dHdcp[[#This Row],[Maximo]]&amp;":"&amp;_xlfn.XLOOKUP(dHdcp[[#This Row],[Nombre]],dJugador[Nombre],dJugador[Mote],"",0)</f>
        <v>0:Enrique</v>
      </c>
      <c r="J1671" t="str">
        <f>+IF(dHdcp[[#This Row],[Maximo]]=0,"",_xlfn.RANK.EQ(dHdcp[[#This Row],[Handicap]],dHdcp[Handicap],1))</f>
        <v/>
      </c>
      <c r="K1671" t="str">
        <f>IFERROR(+_xlfn.RANK.EQ(dHdcp[[#This Row],[Ranking]],dHdcp[Ranking],1),"")</f>
        <v/>
      </c>
      <c r="M1671" t="str">
        <f>+dHdcp[[#This Row],[Fecha]]&amp;":"&amp;dHdcp[[#This Row],[Nombre]]</f>
        <v>45108:Enrique Gonzalez R</v>
      </c>
      <c r="N1671">
        <f>+COUNTIF(dHdcp[Columna1],dHdcp[[#This Row],[Columna1]])</f>
        <v>1</v>
      </c>
    </row>
    <row r="1672" spans="1:14">
      <c r="A1672" s="2">
        <v>45108</v>
      </c>
      <c r="B1672" t="s">
        <v>12</v>
      </c>
      <c r="C1672" s="51">
        <v>15.000000000000002</v>
      </c>
      <c r="D1672">
        <f>+VLOOKUP(dHdcp[[#This Row],[Handicap]],'Categoría Hdcap'!$B$2:$E$7,4)</f>
        <v>3</v>
      </c>
      <c r="E1672" t="s">
        <v>74</v>
      </c>
      <c r="F1672" t="s">
        <v>2138</v>
      </c>
      <c r="G1672">
        <f>+IF(dHdcp[[#This Row],[Fecha]]=MAX(dHdcp[Fecha]),1,0)</f>
        <v>0</v>
      </c>
      <c r="H1672" t="str">
        <f>+dHdcp[[#This Row],[Maximo]]&amp;":"&amp;dHdcp[[#This Row],[Nombre]]</f>
        <v>0:Francisco Alvarez</v>
      </c>
      <c r="I1672" t="str">
        <f>+dHdcp[[#This Row],[Maximo]]&amp;":"&amp;_xlfn.XLOOKUP(dHdcp[[#This Row],[Nombre]],dJugador[Nombre],dJugador[Mote],"",0)</f>
        <v>0:Paco</v>
      </c>
      <c r="J1672" t="str">
        <f>+IF(dHdcp[[#This Row],[Maximo]]=0,"",_xlfn.RANK.EQ(dHdcp[[#This Row],[Handicap]],dHdcp[Handicap],1))</f>
        <v/>
      </c>
      <c r="K1672" t="str">
        <f>IFERROR(+_xlfn.RANK.EQ(dHdcp[[#This Row],[Ranking]],dHdcp[Ranking],1),"")</f>
        <v/>
      </c>
      <c r="M1672" t="str">
        <f>+dHdcp[[#This Row],[Fecha]]&amp;":"&amp;dHdcp[[#This Row],[Nombre]]</f>
        <v>45108:Francisco Alvarez</v>
      </c>
      <c r="N1672">
        <f>+COUNTIF(dHdcp[Columna1],dHdcp[[#This Row],[Columna1]])</f>
        <v>1</v>
      </c>
    </row>
    <row r="1673" spans="1:14">
      <c r="A1673" s="2">
        <v>45108</v>
      </c>
      <c r="B1673" t="s">
        <v>49</v>
      </c>
      <c r="C1673" s="51">
        <v>12.199999999999998</v>
      </c>
      <c r="D1673">
        <f>+VLOOKUP(dHdcp[[#This Row],[Handicap]],'Categoría Hdcap'!$B$2:$E$7,4)</f>
        <v>3</v>
      </c>
      <c r="E1673" t="s">
        <v>74</v>
      </c>
      <c r="F1673" t="s">
        <v>2139</v>
      </c>
      <c r="G1673">
        <f>+IF(dHdcp[[#This Row],[Fecha]]=MAX(dHdcp[Fecha]),1,0)</f>
        <v>0</v>
      </c>
      <c r="H1673" t="str">
        <f>+dHdcp[[#This Row],[Maximo]]&amp;":"&amp;dHdcp[[#This Row],[Nombre]]</f>
        <v>0:Francisco Hidalgo</v>
      </c>
      <c r="I1673" t="str">
        <f>+dHdcp[[#This Row],[Maximo]]&amp;":"&amp;_xlfn.XLOOKUP(dHdcp[[#This Row],[Nombre]],dJugador[Nombre],dJugador[Mote],"",0)</f>
        <v>0:Fran</v>
      </c>
      <c r="J1673" t="str">
        <f>+IF(dHdcp[[#This Row],[Maximo]]=0,"",_xlfn.RANK.EQ(dHdcp[[#This Row],[Handicap]],dHdcp[Handicap],1))</f>
        <v/>
      </c>
      <c r="K1673" t="str">
        <f>IFERROR(+_xlfn.RANK.EQ(dHdcp[[#This Row],[Ranking]],dHdcp[Ranking],1),"")</f>
        <v/>
      </c>
      <c r="M1673" t="str">
        <f>+dHdcp[[#This Row],[Fecha]]&amp;":"&amp;dHdcp[[#This Row],[Nombre]]</f>
        <v>45108:Francisco Hidalgo</v>
      </c>
      <c r="N1673">
        <f>+COUNTIF(dHdcp[Columna1],dHdcp[[#This Row],[Columna1]])</f>
        <v>1</v>
      </c>
    </row>
    <row r="1674" spans="1:14">
      <c r="A1674" s="2">
        <v>45108</v>
      </c>
      <c r="B1674" t="s">
        <v>207</v>
      </c>
      <c r="C1674" s="51">
        <v>14.499999999999998</v>
      </c>
      <c r="D1674">
        <f>+VLOOKUP(dHdcp[[#This Row],[Handicap]],'Categoría Hdcap'!$B$2:$E$7,4)</f>
        <v>3</v>
      </c>
      <c r="E1674" t="s">
        <v>74</v>
      </c>
      <c r="F1674" t="s">
        <v>2140</v>
      </c>
      <c r="G1674">
        <f>+IF(dHdcp[[#This Row],[Fecha]]=MAX(dHdcp[Fecha]),1,0)</f>
        <v>0</v>
      </c>
      <c r="H1674" t="str">
        <f>+dHdcp[[#This Row],[Maximo]]&amp;":"&amp;dHdcp[[#This Row],[Nombre]]</f>
        <v>0:Franck Benouniche</v>
      </c>
      <c r="I1674" t="str">
        <f>+dHdcp[[#This Row],[Maximo]]&amp;":"&amp;_xlfn.XLOOKUP(dHdcp[[#This Row],[Nombre]],dJugador[Nombre],dJugador[Mote],"",0)</f>
        <v>0:Franck</v>
      </c>
      <c r="J1674" t="str">
        <f>+IF(dHdcp[[#This Row],[Maximo]]=0,"",_xlfn.RANK.EQ(dHdcp[[#This Row],[Handicap]],dHdcp[Handicap],1))</f>
        <v/>
      </c>
      <c r="K1674" t="str">
        <f>IFERROR(+_xlfn.RANK.EQ(dHdcp[[#This Row],[Ranking]],dHdcp[Ranking],1),"")</f>
        <v/>
      </c>
      <c r="M1674" t="str">
        <f>+dHdcp[[#This Row],[Fecha]]&amp;":"&amp;dHdcp[[#This Row],[Nombre]]</f>
        <v>45108:Franck Benouniche</v>
      </c>
      <c r="N1674">
        <f>+COUNTIF(dHdcp[Columna1],dHdcp[[#This Row],[Columna1]])</f>
        <v>1</v>
      </c>
    </row>
    <row r="1675" spans="1:14">
      <c r="A1675" s="2">
        <v>45108</v>
      </c>
      <c r="B1675" t="s">
        <v>35</v>
      </c>
      <c r="C1675" s="51">
        <v>20</v>
      </c>
      <c r="D1675">
        <f>+VLOOKUP(dHdcp[[#This Row],[Handicap]],'Categoría Hdcap'!$B$2:$E$7,4)</f>
        <v>4</v>
      </c>
      <c r="E1675" t="s">
        <v>74</v>
      </c>
      <c r="F1675" t="s">
        <v>2141</v>
      </c>
      <c r="G1675">
        <f>+IF(dHdcp[[#This Row],[Fecha]]=MAX(dHdcp[Fecha]),1,0)</f>
        <v>0</v>
      </c>
      <c r="H1675" t="str">
        <f>+dHdcp[[#This Row],[Maximo]]&amp;":"&amp;dHdcp[[#This Row],[Nombre]]</f>
        <v>0:GLEZ JUAN JOSÉ</v>
      </c>
      <c r="I1675" t="str">
        <f>+dHdcp[[#This Row],[Maximo]]&amp;":"&amp;_xlfn.XLOOKUP(dHdcp[[#This Row],[Nombre]],dJugador[Nombre],dJugador[Mote],"",0)</f>
        <v>0:Juanjo</v>
      </c>
      <c r="J1675" t="str">
        <f>+IF(dHdcp[[#This Row],[Maximo]]=0,"",_xlfn.RANK.EQ(dHdcp[[#This Row],[Handicap]],dHdcp[Handicap],1))</f>
        <v/>
      </c>
      <c r="K1675" t="str">
        <f>IFERROR(+_xlfn.RANK.EQ(dHdcp[[#This Row],[Ranking]],dHdcp[Ranking],1),"")</f>
        <v/>
      </c>
      <c r="M1675" t="str">
        <f>+dHdcp[[#This Row],[Fecha]]&amp;":"&amp;dHdcp[[#This Row],[Nombre]]</f>
        <v>45108:GLEZ JUAN JOSÉ</v>
      </c>
      <c r="N1675">
        <f>+COUNTIF(dHdcp[Columna1],dHdcp[[#This Row],[Columna1]])</f>
        <v>1</v>
      </c>
    </row>
    <row r="1676" spans="1:14">
      <c r="A1676" s="2">
        <v>45108</v>
      </c>
      <c r="B1676" t="s">
        <v>6</v>
      </c>
      <c r="C1676" s="51">
        <v>9.1000000000000085</v>
      </c>
      <c r="D1676">
        <f>+VLOOKUP(dHdcp[[#This Row],[Handicap]],'Categoría Hdcap'!$B$2:$E$7,4)</f>
        <v>2</v>
      </c>
      <c r="E1676" t="s">
        <v>74</v>
      </c>
      <c r="F1676" t="s">
        <v>2142</v>
      </c>
      <c r="G1676">
        <f>+IF(dHdcp[[#This Row],[Fecha]]=MAX(dHdcp[Fecha]),1,0)</f>
        <v>0</v>
      </c>
      <c r="H1676" t="str">
        <f>+dHdcp[[#This Row],[Maximo]]&amp;":"&amp;dHdcp[[#This Row],[Nombre]]</f>
        <v>0:Ignacio Cadarso</v>
      </c>
      <c r="I1676" t="str">
        <f>+dHdcp[[#This Row],[Maximo]]&amp;":"&amp;_xlfn.XLOOKUP(dHdcp[[#This Row],[Nombre]],dJugador[Nombre],dJugador[Mote],"",0)</f>
        <v>0:Ignacio</v>
      </c>
      <c r="J1676" t="str">
        <f>+IF(dHdcp[[#This Row],[Maximo]]=0,"",_xlfn.RANK.EQ(dHdcp[[#This Row],[Handicap]],dHdcp[Handicap],1))</f>
        <v/>
      </c>
      <c r="K1676" t="str">
        <f>IFERROR(+_xlfn.RANK.EQ(dHdcp[[#This Row],[Ranking]],dHdcp[Ranking],1),"")</f>
        <v/>
      </c>
      <c r="M1676" t="str">
        <f>+dHdcp[[#This Row],[Fecha]]&amp;":"&amp;dHdcp[[#This Row],[Nombre]]</f>
        <v>45108:Ignacio Cadarso</v>
      </c>
      <c r="N1676">
        <f>+COUNTIF(dHdcp[Columna1],dHdcp[[#This Row],[Columna1]])</f>
        <v>1</v>
      </c>
    </row>
    <row r="1677" spans="1:14">
      <c r="A1677" s="2">
        <v>45108</v>
      </c>
      <c r="B1677" t="s">
        <v>298</v>
      </c>
      <c r="C1677" s="51">
        <v>23.7</v>
      </c>
      <c r="D1677">
        <f>+VLOOKUP(dHdcp[[#This Row],[Handicap]],'Categoría Hdcap'!$B$2:$E$7,4)</f>
        <v>4</v>
      </c>
      <c r="E1677" t="s">
        <v>74</v>
      </c>
      <c r="F1677" t="s">
        <v>2143</v>
      </c>
      <c r="G1677">
        <f>+IF(dHdcp[[#This Row],[Fecha]]=MAX(dHdcp[Fecha]),1,0)</f>
        <v>0</v>
      </c>
      <c r="H1677" t="str">
        <f>+dHdcp[[#This Row],[Maximo]]&amp;":"&amp;dHdcp[[#This Row],[Nombre]]</f>
        <v>0:Ignacio Gracia Charlez</v>
      </c>
      <c r="I1677" t="str">
        <f>+dHdcp[[#This Row],[Maximo]]&amp;":"&amp;_xlfn.XLOOKUP(dHdcp[[#This Row],[Nombre]],dJugador[Nombre],dJugador[Mote],"",0)</f>
        <v>0:I Gracia</v>
      </c>
      <c r="J1677" t="str">
        <f>+IF(dHdcp[[#This Row],[Maximo]]=0,"",_xlfn.RANK.EQ(dHdcp[[#This Row],[Handicap]],dHdcp[Handicap],1))</f>
        <v/>
      </c>
      <c r="K1677" t="str">
        <f>IFERROR(+_xlfn.RANK.EQ(dHdcp[[#This Row],[Ranking]],dHdcp[Ranking],1),"")</f>
        <v/>
      </c>
      <c r="M1677" t="str">
        <f>+dHdcp[[#This Row],[Fecha]]&amp;":"&amp;dHdcp[[#This Row],[Nombre]]</f>
        <v>45108:Ignacio Gracia Charlez</v>
      </c>
      <c r="N1677">
        <f>+COUNTIF(dHdcp[Columna1],dHdcp[[#This Row],[Columna1]])</f>
        <v>1</v>
      </c>
    </row>
    <row r="1678" spans="1:14">
      <c r="A1678" s="2">
        <v>45108</v>
      </c>
      <c r="B1678" t="s">
        <v>23</v>
      </c>
      <c r="C1678" s="51">
        <v>17.600000000000001</v>
      </c>
      <c r="D1678">
        <f>+VLOOKUP(dHdcp[[#This Row],[Handicap]],'Categoría Hdcap'!$B$2:$E$7,4)</f>
        <v>3</v>
      </c>
      <c r="E1678" t="s">
        <v>74</v>
      </c>
      <c r="F1678" t="s">
        <v>2144</v>
      </c>
      <c r="G1678">
        <f>+IF(dHdcp[[#This Row],[Fecha]]=MAX(dHdcp[Fecha]),1,0)</f>
        <v>0</v>
      </c>
      <c r="H1678" t="str">
        <f>+dHdcp[[#This Row],[Maximo]]&amp;":"&amp;dHdcp[[#This Row],[Nombre]]</f>
        <v>0:J. Enrique Gonzalez</v>
      </c>
      <c r="I1678" t="str">
        <f>+dHdcp[[#This Row],[Maximo]]&amp;":"&amp;_xlfn.XLOOKUP(dHdcp[[#This Row],[Nombre]],dJugador[Nombre],dJugador[Mote],"",0)</f>
        <v>0:Kike</v>
      </c>
      <c r="J1678" t="str">
        <f>+IF(dHdcp[[#This Row],[Maximo]]=0,"",_xlfn.RANK.EQ(dHdcp[[#This Row],[Handicap]],dHdcp[Handicap],1))</f>
        <v/>
      </c>
      <c r="K1678" t="str">
        <f>IFERROR(+_xlfn.RANK.EQ(dHdcp[[#This Row],[Ranking]],dHdcp[Ranking],1),"")</f>
        <v/>
      </c>
      <c r="M1678" t="str">
        <f>+dHdcp[[#This Row],[Fecha]]&amp;":"&amp;dHdcp[[#This Row],[Nombre]]</f>
        <v>45108:J. Enrique Gonzalez</v>
      </c>
      <c r="N1678">
        <f>+COUNTIF(dHdcp[Columna1],dHdcp[[#This Row],[Columna1]])</f>
        <v>1</v>
      </c>
    </row>
    <row r="1679" spans="1:14">
      <c r="A1679" s="2">
        <v>45108</v>
      </c>
      <c r="B1679" t="s">
        <v>289</v>
      </c>
      <c r="C1679" s="51">
        <v>9.3000000000000007</v>
      </c>
      <c r="D1679">
        <f>+VLOOKUP(dHdcp[[#This Row],[Handicap]],'Categoría Hdcap'!$B$2:$E$7,4)</f>
        <v>2</v>
      </c>
      <c r="E1679" t="s">
        <v>74</v>
      </c>
      <c r="F1679" t="s">
        <v>2145</v>
      </c>
      <c r="G1679">
        <f>+IF(dHdcp[[#This Row],[Fecha]]=MAX(dHdcp[Fecha]),1,0)</f>
        <v>0</v>
      </c>
      <c r="H1679" t="str">
        <f>+dHdcp[[#This Row],[Maximo]]&amp;":"&amp;dHdcp[[#This Row],[Nombre]]</f>
        <v>0:Jaime Villanueva</v>
      </c>
      <c r="I1679" t="str">
        <f>+dHdcp[[#This Row],[Maximo]]&amp;":"&amp;_xlfn.XLOOKUP(dHdcp[[#This Row],[Nombre]],dJugador[Nombre],dJugador[Mote],"",0)</f>
        <v>0:Villanueva</v>
      </c>
      <c r="J1679" t="str">
        <f>+IF(dHdcp[[#This Row],[Maximo]]=0,"",_xlfn.RANK.EQ(dHdcp[[#This Row],[Handicap]],dHdcp[Handicap],1))</f>
        <v/>
      </c>
      <c r="K1679" t="str">
        <f>IFERROR(+_xlfn.RANK.EQ(dHdcp[[#This Row],[Ranking]],dHdcp[Ranking],1),"")</f>
        <v/>
      </c>
      <c r="M1679" t="str">
        <f>+dHdcp[[#This Row],[Fecha]]&amp;":"&amp;dHdcp[[#This Row],[Nombre]]</f>
        <v>45108:Jaime Villanueva</v>
      </c>
      <c r="N1679">
        <f>+COUNTIF(dHdcp[Columna1],dHdcp[[#This Row],[Columna1]])</f>
        <v>1</v>
      </c>
    </row>
    <row r="1680" spans="1:14">
      <c r="A1680" s="2">
        <v>45108</v>
      </c>
      <c r="B1680" t="s">
        <v>328</v>
      </c>
      <c r="C1680" s="51">
        <v>11.699999999999998</v>
      </c>
      <c r="D1680">
        <f>+VLOOKUP(dHdcp[[#This Row],[Handicap]],'Categoría Hdcap'!$B$2:$E$7,4)</f>
        <v>3</v>
      </c>
      <c r="E1680" t="s">
        <v>74</v>
      </c>
      <c r="F1680" t="s">
        <v>2146</v>
      </c>
      <c r="G1680">
        <f>+IF(dHdcp[[#This Row],[Fecha]]=MAX(dHdcp[Fecha]),1,0)</f>
        <v>0</v>
      </c>
      <c r="H1680" t="str">
        <f>+dHdcp[[#This Row],[Maximo]]&amp;":"&amp;dHdcp[[#This Row],[Nombre]]</f>
        <v>0:Javier Arcos</v>
      </c>
      <c r="I1680" t="str">
        <f>+dHdcp[[#This Row],[Maximo]]&amp;":"&amp;_xlfn.XLOOKUP(dHdcp[[#This Row],[Nombre]],dJugador[Nombre],dJugador[Mote],"",0)</f>
        <v>0:J.Arcos</v>
      </c>
      <c r="J1680" t="str">
        <f>+IF(dHdcp[[#This Row],[Maximo]]=0,"",_xlfn.RANK.EQ(dHdcp[[#This Row],[Handicap]],dHdcp[Handicap],1))</f>
        <v/>
      </c>
      <c r="K1680" t="str">
        <f>IFERROR(+_xlfn.RANK.EQ(dHdcp[[#This Row],[Ranking]],dHdcp[Ranking],1),"")</f>
        <v/>
      </c>
      <c r="M1680" t="str">
        <f>+dHdcp[[#This Row],[Fecha]]&amp;":"&amp;dHdcp[[#This Row],[Nombre]]</f>
        <v>45108:Javier Arcos</v>
      </c>
      <c r="N1680">
        <f>+COUNTIF(dHdcp[Columna1],dHdcp[[#This Row],[Columna1]])</f>
        <v>1</v>
      </c>
    </row>
    <row r="1681" spans="1:14">
      <c r="A1681" s="2">
        <v>45108</v>
      </c>
      <c r="B1681" t="s">
        <v>378</v>
      </c>
      <c r="C1681" s="51">
        <v>12.399999999999995</v>
      </c>
      <c r="D1681">
        <f>+VLOOKUP(dHdcp[[#This Row],[Handicap]],'Categoría Hdcap'!$B$2:$E$7,4)</f>
        <v>3</v>
      </c>
      <c r="E1681" t="s">
        <v>74</v>
      </c>
      <c r="F1681" t="s">
        <v>2147</v>
      </c>
      <c r="G1681">
        <f>+IF(dHdcp[[#This Row],[Fecha]]=MAX(dHdcp[Fecha]),1,0)</f>
        <v>0</v>
      </c>
      <c r="H1681" t="str">
        <f>+dHdcp[[#This Row],[Maximo]]&amp;":"&amp;dHdcp[[#This Row],[Nombre]]</f>
        <v>0:Javier Campo</v>
      </c>
      <c r="I1681" t="str">
        <f>+dHdcp[[#This Row],[Maximo]]&amp;":"&amp;_xlfn.XLOOKUP(dHdcp[[#This Row],[Nombre]],dJugador[Nombre],dJugador[Mote],"",0)</f>
        <v>0:Campo</v>
      </c>
      <c r="J1681" t="str">
        <f>+IF(dHdcp[[#This Row],[Maximo]]=0,"",_xlfn.RANK.EQ(dHdcp[[#This Row],[Handicap]],dHdcp[Handicap],1))</f>
        <v/>
      </c>
      <c r="K1681" t="str">
        <f>IFERROR(+_xlfn.RANK.EQ(dHdcp[[#This Row],[Ranking]],dHdcp[Ranking],1),"")</f>
        <v/>
      </c>
      <c r="M1681" t="str">
        <f>+dHdcp[[#This Row],[Fecha]]&amp;":"&amp;dHdcp[[#This Row],[Nombre]]</f>
        <v>45108:Javier Campo</v>
      </c>
      <c r="N1681">
        <f>+COUNTIF(dHdcp[Columna1],dHdcp[[#This Row],[Columna1]])</f>
        <v>1</v>
      </c>
    </row>
    <row r="1682" spans="1:14">
      <c r="A1682" s="2">
        <v>45108</v>
      </c>
      <c r="B1682" t="s">
        <v>46</v>
      </c>
      <c r="C1682" s="51">
        <v>16.799999999999997</v>
      </c>
      <c r="D1682">
        <f>+VLOOKUP(dHdcp[[#This Row],[Handicap]],'Categoría Hdcap'!$B$2:$E$7,4)</f>
        <v>3</v>
      </c>
      <c r="E1682" t="s">
        <v>74</v>
      </c>
      <c r="F1682" t="s">
        <v>2148</v>
      </c>
      <c r="G1682">
        <f>+IF(dHdcp[[#This Row],[Fecha]]=MAX(dHdcp[Fecha]),1,0)</f>
        <v>0</v>
      </c>
      <c r="H1682" t="str">
        <f>+dHdcp[[#This Row],[Maximo]]&amp;":"&amp;dHdcp[[#This Row],[Nombre]]</f>
        <v>0:Javier Cervera</v>
      </c>
      <c r="I1682" t="str">
        <f>+dHdcp[[#This Row],[Maximo]]&amp;":"&amp;_xlfn.XLOOKUP(dHdcp[[#This Row],[Nombre]],dJugador[Nombre],dJugador[Mote],"",0)</f>
        <v>0:Virus</v>
      </c>
      <c r="J1682" t="str">
        <f>+IF(dHdcp[[#This Row],[Maximo]]=0,"",_xlfn.RANK.EQ(dHdcp[[#This Row],[Handicap]],dHdcp[Handicap],1))</f>
        <v/>
      </c>
      <c r="K1682" t="str">
        <f>IFERROR(+_xlfn.RANK.EQ(dHdcp[[#This Row],[Ranking]],dHdcp[Ranking],1),"")</f>
        <v/>
      </c>
      <c r="M1682" t="str">
        <f>+dHdcp[[#This Row],[Fecha]]&amp;":"&amp;dHdcp[[#This Row],[Nombre]]</f>
        <v>45108:Javier Cervera</v>
      </c>
      <c r="N1682">
        <f>+COUNTIF(dHdcp[Columna1],dHdcp[[#This Row],[Columna1]])</f>
        <v>1</v>
      </c>
    </row>
    <row r="1683" spans="1:14">
      <c r="A1683" s="2">
        <v>45108</v>
      </c>
      <c r="B1683" t="s">
        <v>225</v>
      </c>
      <c r="C1683" s="51">
        <v>9.7999999999999989</v>
      </c>
      <c r="D1683">
        <f>+VLOOKUP(dHdcp[[#This Row],[Handicap]],'Categoría Hdcap'!$B$2:$E$7,4)</f>
        <v>2</v>
      </c>
      <c r="E1683" t="s">
        <v>74</v>
      </c>
      <c r="F1683" t="s">
        <v>2149</v>
      </c>
      <c r="G1683">
        <f>+IF(dHdcp[[#This Row],[Fecha]]=MAX(dHdcp[Fecha]),1,0)</f>
        <v>0</v>
      </c>
      <c r="H1683" t="str">
        <f>+dHdcp[[#This Row],[Maximo]]&amp;":"&amp;dHdcp[[#This Row],[Nombre]]</f>
        <v>0:Javier Chiralt</v>
      </c>
      <c r="I1683" t="str">
        <f>+dHdcp[[#This Row],[Maximo]]&amp;":"&amp;_xlfn.XLOOKUP(dHdcp[[#This Row],[Nombre]],dJugador[Nombre],dJugador[Mote],"",0)</f>
        <v>0:Chiralt</v>
      </c>
      <c r="J1683" t="str">
        <f>+IF(dHdcp[[#This Row],[Maximo]]=0,"",_xlfn.RANK.EQ(dHdcp[[#This Row],[Handicap]],dHdcp[Handicap],1))</f>
        <v/>
      </c>
      <c r="K1683" t="str">
        <f>IFERROR(+_xlfn.RANK.EQ(dHdcp[[#This Row],[Ranking]],dHdcp[Ranking],1),"")</f>
        <v/>
      </c>
      <c r="M1683" t="str">
        <f>+dHdcp[[#This Row],[Fecha]]&amp;":"&amp;dHdcp[[#This Row],[Nombre]]</f>
        <v>45108:Javier Chiralt</v>
      </c>
      <c r="N1683">
        <f>+COUNTIF(dHdcp[Columna1],dHdcp[[#This Row],[Columna1]])</f>
        <v>1</v>
      </c>
    </row>
    <row r="1684" spans="1:14">
      <c r="A1684" s="2">
        <v>45108</v>
      </c>
      <c r="B1684" t="s">
        <v>20</v>
      </c>
      <c r="C1684" s="51">
        <v>17.200000000000003</v>
      </c>
      <c r="D1684">
        <f>+VLOOKUP(dHdcp[[#This Row],[Handicap]],'Categoría Hdcap'!$B$2:$E$7,4)</f>
        <v>3</v>
      </c>
      <c r="E1684" t="s">
        <v>74</v>
      </c>
      <c r="F1684" t="s">
        <v>2150</v>
      </c>
      <c r="G1684">
        <f>+IF(dHdcp[[#This Row],[Fecha]]=MAX(dHdcp[Fecha]),1,0)</f>
        <v>0</v>
      </c>
      <c r="H1684" t="str">
        <f>+dHdcp[[#This Row],[Maximo]]&amp;":"&amp;dHdcp[[#This Row],[Nombre]]</f>
        <v>0:Javier Gonzalez Salvador</v>
      </c>
      <c r="I1684" t="str">
        <f>+dHdcp[[#This Row],[Maximo]]&amp;":"&amp;_xlfn.XLOOKUP(dHdcp[[#This Row],[Nombre]],dJugador[Nombre],dJugador[Mote],"",0)</f>
        <v>0:Javi</v>
      </c>
      <c r="J1684" t="str">
        <f>+IF(dHdcp[[#This Row],[Maximo]]=0,"",_xlfn.RANK.EQ(dHdcp[[#This Row],[Handicap]],dHdcp[Handicap],1))</f>
        <v/>
      </c>
      <c r="K1684" t="str">
        <f>IFERROR(+_xlfn.RANK.EQ(dHdcp[[#This Row],[Ranking]],dHdcp[Ranking],1),"")</f>
        <v/>
      </c>
      <c r="M1684" t="str">
        <f>+dHdcp[[#This Row],[Fecha]]&amp;":"&amp;dHdcp[[#This Row],[Nombre]]</f>
        <v>45108:Javier Gonzalez Salvador</v>
      </c>
      <c r="N1684">
        <f>+COUNTIF(dHdcp[Columna1],dHdcp[[#This Row],[Columna1]])</f>
        <v>1</v>
      </c>
    </row>
    <row r="1685" spans="1:14">
      <c r="A1685" s="2">
        <v>45108</v>
      </c>
      <c r="B1685" t="s">
        <v>217</v>
      </c>
      <c r="C1685" s="51">
        <v>20.9</v>
      </c>
      <c r="D1685">
        <f>+VLOOKUP(dHdcp[[#This Row],[Handicap]],'Categoría Hdcap'!$B$2:$E$7,4)</f>
        <v>4</v>
      </c>
      <c r="E1685" t="s">
        <v>74</v>
      </c>
      <c r="F1685" t="s">
        <v>2151</v>
      </c>
      <c r="G1685">
        <f>+IF(dHdcp[[#This Row],[Fecha]]=MAX(dHdcp[Fecha]),1,0)</f>
        <v>0</v>
      </c>
      <c r="H1685" t="str">
        <f>+dHdcp[[#This Row],[Maximo]]&amp;":"&amp;dHdcp[[#This Row],[Nombre]]</f>
        <v>0:Javier Lopez Gullón</v>
      </c>
      <c r="I1685" t="str">
        <f>+dHdcp[[#This Row],[Maximo]]&amp;":"&amp;_xlfn.XLOOKUP(dHdcp[[#This Row],[Nombre]],dJugador[Nombre],dJugador[Mote],"",0)</f>
        <v>0:Cuñao</v>
      </c>
      <c r="J1685" t="str">
        <f>+IF(dHdcp[[#This Row],[Maximo]]=0,"",_xlfn.RANK.EQ(dHdcp[[#This Row],[Handicap]],dHdcp[Handicap],1))</f>
        <v/>
      </c>
      <c r="K1685" t="str">
        <f>IFERROR(+_xlfn.RANK.EQ(dHdcp[[#This Row],[Ranking]],dHdcp[Ranking],1),"")</f>
        <v/>
      </c>
      <c r="M1685" t="str">
        <f>+dHdcp[[#This Row],[Fecha]]&amp;":"&amp;dHdcp[[#This Row],[Nombre]]</f>
        <v>45108:Javier Lopez Gullón</v>
      </c>
      <c r="N1685">
        <f>+COUNTIF(dHdcp[Columna1],dHdcp[[#This Row],[Columna1]])</f>
        <v>1</v>
      </c>
    </row>
    <row r="1686" spans="1:14">
      <c r="A1686" s="2">
        <v>45108</v>
      </c>
      <c r="B1686" t="s">
        <v>41</v>
      </c>
      <c r="C1686" s="51">
        <v>23.2</v>
      </c>
      <c r="D1686">
        <f>+VLOOKUP(dHdcp[[#This Row],[Handicap]],'Categoría Hdcap'!$B$2:$E$7,4)</f>
        <v>4</v>
      </c>
      <c r="E1686" t="s">
        <v>74</v>
      </c>
      <c r="F1686" t="s">
        <v>2152</v>
      </c>
      <c r="G1686">
        <f>+IF(dHdcp[[#This Row],[Fecha]]=MAX(dHdcp[Fecha]),1,0)</f>
        <v>0</v>
      </c>
      <c r="H1686" t="str">
        <f>+dHdcp[[#This Row],[Maximo]]&amp;":"&amp;dHdcp[[#This Row],[Nombre]]</f>
        <v>0:Jesus Touceda</v>
      </c>
      <c r="I1686" t="str">
        <f>+dHdcp[[#This Row],[Maximo]]&amp;":"&amp;_xlfn.XLOOKUP(dHdcp[[#This Row],[Nombre]],dJugador[Nombre],dJugador[Mote],"",0)</f>
        <v>0:Jesús</v>
      </c>
      <c r="J1686" t="str">
        <f>+IF(dHdcp[[#This Row],[Maximo]]=0,"",_xlfn.RANK.EQ(dHdcp[[#This Row],[Handicap]],dHdcp[Handicap],1))</f>
        <v/>
      </c>
      <c r="K1686" t="str">
        <f>IFERROR(+_xlfn.RANK.EQ(dHdcp[[#This Row],[Ranking]],dHdcp[Ranking],1),"")</f>
        <v/>
      </c>
      <c r="M1686" t="str">
        <f>+dHdcp[[#This Row],[Fecha]]&amp;":"&amp;dHdcp[[#This Row],[Nombre]]</f>
        <v>45108:Jesus Touceda</v>
      </c>
      <c r="N1686">
        <f>+COUNTIF(dHdcp[Columna1],dHdcp[[#This Row],[Columna1]])</f>
        <v>1</v>
      </c>
    </row>
    <row r="1687" spans="1:14">
      <c r="A1687" s="2">
        <v>45108</v>
      </c>
      <c r="B1687" t="s">
        <v>297</v>
      </c>
      <c r="C1687" s="51">
        <v>22</v>
      </c>
      <c r="D1687">
        <f>+VLOOKUP(dHdcp[[#This Row],[Handicap]],'Categoría Hdcap'!$B$2:$E$7,4)</f>
        <v>4</v>
      </c>
      <c r="E1687" t="s">
        <v>74</v>
      </c>
      <c r="F1687" t="s">
        <v>2153</v>
      </c>
      <c r="G1687">
        <f>+IF(dHdcp[[#This Row],[Fecha]]=MAX(dHdcp[Fecha]),1,0)</f>
        <v>0</v>
      </c>
      <c r="H1687" t="str">
        <f>+dHdcp[[#This Row],[Maximo]]&amp;":"&amp;dHdcp[[#This Row],[Nombre]]</f>
        <v>0:Jorge Alberto Martínez Sánchez</v>
      </c>
      <c r="I1687" t="str">
        <f>+dHdcp[[#This Row],[Maximo]]&amp;":"&amp;_xlfn.XLOOKUP(dHdcp[[#This Row],[Nombre]],dJugador[Nombre],dJugador[Mote],"",0)</f>
        <v>0:Jorge</v>
      </c>
      <c r="J1687" t="str">
        <f>+IF(dHdcp[[#This Row],[Maximo]]=0,"",_xlfn.RANK.EQ(dHdcp[[#This Row],[Handicap]],dHdcp[Handicap],1))</f>
        <v/>
      </c>
      <c r="K1687" t="str">
        <f>IFERROR(+_xlfn.RANK.EQ(dHdcp[[#This Row],[Ranking]],dHdcp[Ranking],1),"")</f>
        <v/>
      </c>
      <c r="M1687" t="str">
        <f>+dHdcp[[#This Row],[Fecha]]&amp;":"&amp;dHdcp[[#This Row],[Nombre]]</f>
        <v>45108:Jorge Alberto Martínez Sánchez</v>
      </c>
      <c r="N1687">
        <f>+COUNTIF(dHdcp[Columna1],dHdcp[[#This Row],[Columna1]])</f>
        <v>1</v>
      </c>
    </row>
    <row r="1688" spans="1:14">
      <c r="A1688" s="2">
        <v>45108</v>
      </c>
      <c r="B1688" t="s">
        <v>388</v>
      </c>
      <c r="C1688" s="51">
        <v>26.499999999999986</v>
      </c>
      <c r="D1688">
        <f>+VLOOKUP(dHdcp[[#This Row],[Handicap]],'Categoría Hdcap'!$B$2:$E$7,4)</f>
        <v>4</v>
      </c>
      <c r="E1688" t="s">
        <v>74</v>
      </c>
      <c r="F1688" t="s">
        <v>2154</v>
      </c>
      <c r="G1688">
        <f>+IF(dHdcp[[#This Row],[Fecha]]=MAX(dHdcp[Fecha]),1,0)</f>
        <v>0</v>
      </c>
      <c r="H1688" t="str">
        <f>+dHdcp[[#This Row],[Maximo]]&amp;":"&amp;dHdcp[[#This Row],[Nombre]]</f>
        <v>0:Jose Antonio Santana</v>
      </c>
      <c r="I1688" t="str">
        <f>+dHdcp[[#This Row],[Maximo]]&amp;":"&amp;_xlfn.XLOOKUP(dHdcp[[#This Row],[Nombre]],dJugador[Nombre],dJugador[Mote],"",0)</f>
        <v>0:J Antonio</v>
      </c>
      <c r="J1688" t="str">
        <f>+IF(dHdcp[[#This Row],[Maximo]]=0,"",_xlfn.RANK.EQ(dHdcp[[#This Row],[Handicap]],dHdcp[Handicap],1))</f>
        <v/>
      </c>
      <c r="K1688" t="str">
        <f>IFERROR(+_xlfn.RANK.EQ(dHdcp[[#This Row],[Ranking]],dHdcp[Ranking],1),"")</f>
        <v/>
      </c>
      <c r="M1688" t="str">
        <f>+dHdcp[[#This Row],[Fecha]]&amp;":"&amp;dHdcp[[#This Row],[Nombre]]</f>
        <v>45108:Jose Antonio Santana</v>
      </c>
      <c r="N1688">
        <f>+COUNTIF(dHdcp[Columna1],dHdcp[[#This Row],[Columna1]])</f>
        <v>1</v>
      </c>
    </row>
    <row r="1689" spans="1:14">
      <c r="A1689" s="2">
        <v>45108</v>
      </c>
      <c r="B1689" t="s">
        <v>18</v>
      </c>
      <c r="C1689" s="51">
        <v>7.3999999999999977</v>
      </c>
      <c r="D1689">
        <f>+VLOOKUP(dHdcp[[#This Row],[Handicap]],'Categoría Hdcap'!$B$2:$E$7,4)</f>
        <v>2</v>
      </c>
      <c r="E1689" t="s">
        <v>74</v>
      </c>
      <c r="F1689" t="s">
        <v>2155</v>
      </c>
      <c r="G1689">
        <f>+IF(dHdcp[[#This Row],[Fecha]]=MAX(dHdcp[Fecha]),1,0)</f>
        <v>0</v>
      </c>
      <c r="H1689" t="str">
        <f>+dHdcp[[#This Row],[Maximo]]&amp;":"&amp;dHdcp[[#This Row],[Nombre]]</f>
        <v>0:José Pablo Guil</v>
      </c>
      <c r="I1689" t="str">
        <f>+dHdcp[[#This Row],[Maximo]]&amp;":"&amp;_xlfn.XLOOKUP(dHdcp[[#This Row],[Nombre]],dJugador[Nombre],dJugador[Mote],"",0)</f>
        <v>0:JP</v>
      </c>
      <c r="J1689" t="str">
        <f>+IF(dHdcp[[#This Row],[Maximo]]=0,"",_xlfn.RANK.EQ(dHdcp[[#This Row],[Handicap]],dHdcp[Handicap],1))</f>
        <v/>
      </c>
      <c r="K1689" t="str">
        <f>IFERROR(+_xlfn.RANK.EQ(dHdcp[[#This Row],[Ranking]],dHdcp[Ranking],1),"")</f>
        <v/>
      </c>
      <c r="M1689" t="str">
        <f>+dHdcp[[#This Row],[Fecha]]&amp;":"&amp;dHdcp[[#This Row],[Nombre]]</f>
        <v>45108:José Pablo Guil</v>
      </c>
      <c r="N1689">
        <f>+COUNTIF(dHdcp[Columna1],dHdcp[[#This Row],[Columna1]])</f>
        <v>1</v>
      </c>
    </row>
    <row r="1690" spans="1:14">
      <c r="A1690" s="2">
        <v>45108</v>
      </c>
      <c r="B1690" t="s">
        <v>293</v>
      </c>
      <c r="C1690" s="51">
        <v>20.300000000000004</v>
      </c>
      <c r="D1690">
        <f>+VLOOKUP(dHdcp[[#This Row],[Handicap]],'Categoría Hdcap'!$B$2:$E$7,4)</f>
        <v>4</v>
      </c>
      <c r="E1690" t="s">
        <v>74</v>
      </c>
      <c r="F1690" t="s">
        <v>2156</v>
      </c>
      <c r="G1690">
        <f>+IF(dHdcp[[#This Row],[Fecha]]=MAX(dHdcp[Fecha]),1,0)</f>
        <v>0</v>
      </c>
      <c r="H1690" t="str">
        <f>+dHdcp[[#This Row],[Maximo]]&amp;":"&amp;dHdcp[[#This Row],[Nombre]]</f>
        <v>0:Juan Jose Aguado</v>
      </c>
      <c r="I1690" t="str">
        <f>+dHdcp[[#This Row],[Maximo]]&amp;":"&amp;_xlfn.XLOOKUP(dHdcp[[#This Row],[Nombre]],dJugador[Nombre],dJugador[Mote],"",0)</f>
        <v>0:Juancho</v>
      </c>
      <c r="J1690" t="str">
        <f>+IF(dHdcp[[#This Row],[Maximo]]=0,"",_xlfn.RANK.EQ(dHdcp[[#This Row],[Handicap]],dHdcp[Handicap],1))</f>
        <v/>
      </c>
      <c r="K1690" t="str">
        <f>IFERROR(+_xlfn.RANK.EQ(dHdcp[[#This Row],[Ranking]],dHdcp[Ranking],1),"")</f>
        <v/>
      </c>
      <c r="M1690" t="str">
        <f>+dHdcp[[#This Row],[Fecha]]&amp;":"&amp;dHdcp[[#This Row],[Nombre]]</f>
        <v>45108:Juan Jose Aguado</v>
      </c>
      <c r="N1690">
        <f>+COUNTIF(dHdcp[Columna1],dHdcp[[#This Row],[Columna1]])</f>
        <v>1</v>
      </c>
    </row>
    <row r="1691" spans="1:14">
      <c r="A1691" s="2">
        <v>45108</v>
      </c>
      <c r="B1691" t="s">
        <v>375</v>
      </c>
      <c r="C1691" s="51">
        <v>12.29999999999999</v>
      </c>
      <c r="D1691">
        <f>+VLOOKUP(dHdcp[[#This Row],[Handicap]],'Categoría Hdcap'!$B$2:$E$7,4)</f>
        <v>3</v>
      </c>
      <c r="E1691" t="s">
        <v>74</v>
      </c>
      <c r="F1691" t="s">
        <v>2157</v>
      </c>
      <c r="G1691">
        <f>+IF(dHdcp[[#This Row],[Fecha]]=MAX(dHdcp[Fecha]),1,0)</f>
        <v>0</v>
      </c>
      <c r="H1691" t="str">
        <f>+dHdcp[[#This Row],[Maximo]]&amp;":"&amp;dHdcp[[#This Row],[Nombre]]</f>
        <v>0:Luis Fernandez</v>
      </c>
      <c r="I1691" t="str">
        <f>+dHdcp[[#This Row],[Maximo]]&amp;":"&amp;_xlfn.XLOOKUP(dHdcp[[#This Row],[Nombre]],dJugador[Nombre],dJugador[Mote],"",0)</f>
        <v>0:Luis</v>
      </c>
      <c r="J1691" t="str">
        <f>+IF(dHdcp[[#This Row],[Maximo]]=0,"",_xlfn.RANK.EQ(dHdcp[[#This Row],[Handicap]],dHdcp[Handicap],1))</f>
        <v/>
      </c>
      <c r="K1691" t="str">
        <f>IFERROR(+_xlfn.RANK.EQ(dHdcp[[#This Row],[Ranking]],dHdcp[Ranking],1),"")</f>
        <v/>
      </c>
      <c r="M1691" t="str">
        <f>+dHdcp[[#This Row],[Fecha]]&amp;":"&amp;dHdcp[[#This Row],[Nombre]]</f>
        <v>45108:Luis Fernandez</v>
      </c>
      <c r="N1691">
        <f>+COUNTIF(dHdcp[Columna1],dHdcp[[#This Row],[Columna1]])</f>
        <v>1</v>
      </c>
    </row>
    <row r="1692" spans="1:14">
      <c r="A1692" s="2">
        <v>45108</v>
      </c>
      <c r="B1692" t="s">
        <v>135</v>
      </c>
      <c r="C1692" s="51">
        <v>19.500000000000011</v>
      </c>
      <c r="D1692">
        <f>+VLOOKUP(dHdcp[[#This Row],[Handicap]],'Categoría Hdcap'!$B$2:$E$7,4)</f>
        <v>4</v>
      </c>
      <c r="E1692" t="s">
        <v>74</v>
      </c>
      <c r="F1692" t="s">
        <v>2158</v>
      </c>
      <c r="G1692">
        <f>+IF(dHdcp[[#This Row],[Fecha]]=MAX(dHdcp[Fecha]),1,0)</f>
        <v>0</v>
      </c>
      <c r="H1692" t="str">
        <f>+dHdcp[[#This Row],[Maximo]]&amp;":"&amp;dHdcp[[#This Row],[Nombre]]</f>
        <v>0:Miche Lopez</v>
      </c>
      <c r="I1692" t="str">
        <f>+dHdcp[[#This Row],[Maximo]]&amp;":"&amp;_xlfn.XLOOKUP(dHdcp[[#This Row],[Nombre]],dJugador[Nombre],dJugador[Mote],"",0)</f>
        <v>0:Miche</v>
      </c>
      <c r="J1692" t="str">
        <f>+IF(dHdcp[[#This Row],[Maximo]]=0,"",_xlfn.RANK.EQ(dHdcp[[#This Row],[Handicap]],dHdcp[Handicap],1))</f>
        <v/>
      </c>
      <c r="K1692" t="str">
        <f>IFERROR(+_xlfn.RANK.EQ(dHdcp[[#This Row],[Ranking]],dHdcp[Ranking],1),"")</f>
        <v/>
      </c>
      <c r="M1692" t="str">
        <f>+dHdcp[[#This Row],[Fecha]]&amp;":"&amp;dHdcp[[#This Row],[Nombre]]</f>
        <v>45108:Miche Lopez</v>
      </c>
      <c r="N1692">
        <f>+COUNTIF(dHdcp[Columna1],dHdcp[[#This Row],[Columna1]])</f>
        <v>1</v>
      </c>
    </row>
    <row r="1693" spans="1:14">
      <c r="A1693" s="2">
        <v>45108</v>
      </c>
      <c r="B1693" t="s">
        <v>205</v>
      </c>
      <c r="C1693" s="51">
        <v>7.2999999999999972</v>
      </c>
      <c r="D1693">
        <f>+VLOOKUP(dHdcp[[#This Row],[Handicap]],'Categoría Hdcap'!$B$2:$E$7,4)</f>
        <v>2</v>
      </c>
      <c r="E1693" t="s">
        <v>74</v>
      </c>
      <c r="F1693" t="s">
        <v>2159</v>
      </c>
      <c r="G1693">
        <f>+IF(dHdcp[[#This Row],[Fecha]]=MAX(dHdcp[Fecha]),1,0)</f>
        <v>0</v>
      </c>
      <c r="H1693" t="str">
        <f>+dHdcp[[#This Row],[Maximo]]&amp;":"&amp;dHdcp[[#This Row],[Nombre]]</f>
        <v>0:Nacho Casas</v>
      </c>
      <c r="I1693" t="str">
        <f>+dHdcp[[#This Row],[Maximo]]&amp;":"&amp;_xlfn.XLOOKUP(dHdcp[[#This Row],[Nombre]],dJugador[Nombre],dJugador[Mote],"",0)</f>
        <v>0:Nachete</v>
      </c>
      <c r="J1693" t="str">
        <f>+IF(dHdcp[[#This Row],[Maximo]]=0,"",_xlfn.RANK.EQ(dHdcp[[#This Row],[Handicap]],dHdcp[Handicap],1))</f>
        <v/>
      </c>
      <c r="K1693" t="str">
        <f>IFERROR(+_xlfn.RANK.EQ(dHdcp[[#This Row],[Ranking]],dHdcp[Ranking],1),"")</f>
        <v/>
      </c>
      <c r="M1693" t="str">
        <f>+dHdcp[[#This Row],[Fecha]]&amp;":"&amp;dHdcp[[#This Row],[Nombre]]</f>
        <v>45108:Nacho Casas</v>
      </c>
      <c r="N1693">
        <f>+COUNTIF(dHdcp[Columna1],dHdcp[[#This Row],[Columna1]])</f>
        <v>1</v>
      </c>
    </row>
    <row r="1694" spans="1:14">
      <c r="A1694" s="2">
        <v>45108</v>
      </c>
      <c r="B1694" t="s">
        <v>3</v>
      </c>
      <c r="C1694" s="51">
        <v>6.3999999999999995</v>
      </c>
      <c r="D1694">
        <f>+VLOOKUP(dHdcp[[#This Row],[Handicap]],'Categoría Hdcap'!$B$2:$E$7,4)</f>
        <v>2</v>
      </c>
      <c r="E1694" t="s">
        <v>74</v>
      </c>
      <c r="F1694" t="s">
        <v>2160</v>
      </c>
      <c r="G1694">
        <f>+IF(dHdcp[[#This Row],[Fecha]]=MAX(dHdcp[Fecha]),1,0)</f>
        <v>0</v>
      </c>
      <c r="H1694" t="str">
        <f>+dHdcp[[#This Row],[Maximo]]&amp;":"&amp;dHdcp[[#This Row],[Nombre]]</f>
        <v>0:Nacho Gonzalez</v>
      </c>
      <c r="I1694" t="str">
        <f>+dHdcp[[#This Row],[Maximo]]&amp;":"&amp;_xlfn.XLOOKUP(dHdcp[[#This Row],[Nombre]],dJugador[Nombre],dJugador[Mote],"",0)</f>
        <v>0:Nacho</v>
      </c>
      <c r="J1694" t="str">
        <f>+IF(dHdcp[[#This Row],[Maximo]]=0,"",_xlfn.RANK.EQ(dHdcp[[#This Row],[Handicap]],dHdcp[Handicap],1))</f>
        <v/>
      </c>
      <c r="K1694" t="str">
        <f>IFERROR(+_xlfn.RANK.EQ(dHdcp[[#This Row],[Ranking]],dHdcp[Ranking],1),"")</f>
        <v/>
      </c>
      <c r="M1694" t="str">
        <f>+dHdcp[[#This Row],[Fecha]]&amp;":"&amp;dHdcp[[#This Row],[Nombre]]</f>
        <v>45108:Nacho Gonzalez</v>
      </c>
      <c r="N1694">
        <f>+COUNTIF(dHdcp[Columna1],dHdcp[[#This Row],[Columna1]])</f>
        <v>1</v>
      </c>
    </row>
    <row r="1695" spans="1:14">
      <c r="A1695" s="2">
        <v>45108</v>
      </c>
      <c r="B1695" t="s">
        <v>203</v>
      </c>
      <c r="C1695" s="51">
        <v>16.400000000000002</v>
      </c>
      <c r="D1695">
        <f>+VLOOKUP(dHdcp[[#This Row],[Handicap]],'Categoría Hdcap'!$B$2:$E$7,4)</f>
        <v>3</v>
      </c>
      <c r="E1695" t="s">
        <v>74</v>
      </c>
      <c r="F1695" t="s">
        <v>2161</v>
      </c>
      <c r="G1695">
        <f>+IF(dHdcp[[#This Row],[Fecha]]=MAX(dHdcp[Fecha]),1,0)</f>
        <v>0</v>
      </c>
      <c r="H1695" t="str">
        <f>+dHdcp[[#This Row],[Maximo]]&amp;":"&amp;dHdcp[[#This Row],[Nombre]]</f>
        <v>0:Ruslan Kochman</v>
      </c>
      <c r="I1695" t="str">
        <f>+dHdcp[[#This Row],[Maximo]]&amp;":"&amp;_xlfn.XLOOKUP(dHdcp[[#This Row],[Nombre]],dJugador[Nombre],dJugador[Mote],"",0)</f>
        <v>0:Rus</v>
      </c>
      <c r="J1695" t="str">
        <f>+IF(dHdcp[[#This Row],[Maximo]]=0,"",_xlfn.RANK.EQ(dHdcp[[#This Row],[Handicap]],dHdcp[Handicap],1))</f>
        <v/>
      </c>
      <c r="K1695" t="str">
        <f>IFERROR(+_xlfn.RANK.EQ(dHdcp[[#This Row],[Ranking]],dHdcp[Ranking],1),"")</f>
        <v/>
      </c>
      <c r="M1695" t="str">
        <f>+dHdcp[[#This Row],[Fecha]]&amp;":"&amp;dHdcp[[#This Row],[Nombre]]</f>
        <v>45108:Ruslan Kochman</v>
      </c>
      <c r="N1695">
        <f>+COUNTIF(dHdcp[Columna1],dHdcp[[#This Row],[Columna1]])</f>
        <v>1</v>
      </c>
    </row>
    <row r="1696" spans="1:14">
      <c r="A1696" s="2">
        <v>45108</v>
      </c>
      <c r="B1696" t="s">
        <v>271</v>
      </c>
      <c r="C1696" s="51">
        <v>16.399999999999999</v>
      </c>
      <c r="D1696">
        <f>+VLOOKUP(dHdcp[[#This Row],[Handicap]],'Categoría Hdcap'!$B$2:$E$7,4)</f>
        <v>3</v>
      </c>
      <c r="E1696" t="s">
        <v>74</v>
      </c>
      <c r="F1696" t="s">
        <v>2162</v>
      </c>
      <c r="G1696">
        <f>+IF(dHdcp[[#This Row],[Fecha]]=MAX(dHdcp[Fecha]),1,0)</f>
        <v>0</v>
      </c>
      <c r="H1696" t="str">
        <f>+dHdcp[[#This Row],[Maximo]]&amp;":"&amp;dHdcp[[#This Row],[Nombre]]</f>
        <v>0:Santi Diaz</v>
      </c>
      <c r="I1696" t="str">
        <f>+dHdcp[[#This Row],[Maximo]]&amp;":"&amp;_xlfn.XLOOKUP(dHdcp[[#This Row],[Nombre]],dJugador[Nombre],dJugador[Mote],"",0)</f>
        <v>0:Santi</v>
      </c>
      <c r="J1696" t="str">
        <f>+IF(dHdcp[[#This Row],[Maximo]]=0,"",_xlfn.RANK.EQ(dHdcp[[#This Row],[Handicap]],dHdcp[Handicap],1))</f>
        <v/>
      </c>
      <c r="K1696" t="str">
        <f>IFERROR(+_xlfn.RANK.EQ(dHdcp[[#This Row],[Ranking]],dHdcp[Ranking],1),"")</f>
        <v/>
      </c>
      <c r="M1696" t="str">
        <f>+dHdcp[[#This Row],[Fecha]]&amp;":"&amp;dHdcp[[#This Row],[Nombre]]</f>
        <v>45108:Santi Diaz</v>
      </c>
      <c r="N1696">
        <f>+COUNTIF(dHdcp[Columna1],dHdcp[[#This Row],[Columna1]])</f>
        <v>1</v>
      </c>
    </row>
    <row r="1697" spans="1:14">
      <c r="A1697" s="2">
        <v>45129</v>
      </c>
      <c r="B1697" t="s">
        <v>259</v>
      </c>
      <c r="C1697" s="51">
        <v>1.2999999999999994</v>
      </c>
      <c r="D1697">
        <f>+VLOOKUP(dHdcp[[#This Row],[Handicap]],'Categoría Hdcap'!$B$2:$E$7,4)</f>
        <v>1</v>
      </c>
      <c r="E1697" t="s">
        <v>74</v>
      </c>
      <c r="F1697" t="s">
        <v>2163</v>
      </c>
      <c r="G1697">
        <f>+IF(dHdcp[[#This Row],[Fecha]]=MAX(dHdcp[Fecha]),1,0)</f>
        <v>0</v>
      </c>
      <c r="H1697" t="str">
        <f>+dHdcp[[#This Row],[Maximo]]&amp;":"&amp;dHdcp[[#This Row],[Nombre]]</f>
        <v>0:Alejandro Arcos</v>
      </c>
      <c r="I1697" t="str">
        <f>+dHdcp[[#This Row],[Maximo]]&amp;":"&amp;_xlfn.XLOOKUP(dHdcp[[#This Row],[Nombre]],dJugador[Nombre],dJugador[Mote],"",0)</f>
        <v>0:Alex</v>
      </c>
      <c r="J1697" t="str">
        <f>+IF(dHdcp[[#This Row],[Maximo]]=0,"",_xlfn.RANK.EQ(dHdcp[[#This Row],[Handicap]],dHdcp[Handicap],1))</f>
        <v/>
      </c>
      <c r="K1697" t="str">
        <f>IFERROR(+_xlfn.RANK.EQ(dHdcp[[#This Row],[Ranking]],dHdcp[Ranking],1),"")</f>
        <v/>
      </c>
      <c r="M1697" t="str">
        <f>+dHdcp[[#This Row],[Fecha]]&amp;":"&amp;dHdcp[[#This Row],[Nombre]]</f>
        <v>45129:Alejandro Arcos</v>
      </c>
      <c r="N1697">
        <f>+COUNTIF(dHdcp[Columna1],dHdcp[[#This Row],[Columna1]])</f>
        <v>1</v>
      </c>
    </row>
    <row r="1698" spans="1:14">
      <c r="A1698" s="2">
        <v>45129</v>
      </c>
      <c r="B1698" t="s">
        <v>9</v>
      </c>
      <c r="C1698" s="51">
        <v>11.3</v>
      </c>
      <c r="D1698">
        <f>+VLOOKUP(dHdcp[[#This Row],[Handicap]],'Categoría Hdcap'!$B$2:$E$7,4)</f>
        <v>2</v>
      </c>
      <c r="E1698" t="s">
        <v>74</v>
      </c>
      <c r="F1698" t="s">
        <v>2164</v>
      </c>
      <c r="G1698">
        <f>+IF(dHdcp[[#This Row],[Fecha]]=MAX(dHdcp[Fecha]),1,0)</f>
        <v>0</v>
      </c>
      <c r="H1698" t="str">
        <f>+dHdcp[[#This Row],[Maximo]]&amp;":"&amp;dHdcp[[#This Row],[Nombre]]</f>
        <v>0:Alfonso Hidalgo</v>
      </c>
      <c r="I1698" t="str">
        <f>+dHdcp[[#This Row],[Maximo]]&amp;":"&amp;_xlfn.XLOOKUP(dHdcp[[#This Row],[Nombre]],dJugador[Nombre],dJugador[Mote],"",0)</f>
        <v>0:Alfonso</v>
      </c>
      <c r="J1698" t="str">
        <f>+IF(dHdcp[[#This Row],[Maximo]]=0,"",_xlfn.RANK.EQ(dHdcp[[#This Row],[Handicap]],dHdcp[Handicap],1))</f>
        <v/>
      </c>
      <c r="K1698" t="str">
        <f>IFERROR(+_xlfn.RANK.EQ(dHdcp[[#This Row],[Ranking]],dHdcp[Ranking],1),"")</f>
        <v/>
      </c>
      <c r="M1698" t="str">
        <f>+dHdcp[[#This Row],[Fecha]]&amp;":"&amp;dHdcp[[#This Row],[Nombre]]</f>
        <v>45129:Alfonso Hidalgo</v>
      </c>
      <c r="N1698">
        <f>+COUNTIF(dHdcp[Columna1],dHdcp[[#This Row],[Columna1]])</f>
        <v>1</v>
      </c>
    </row>
    <row r="1699" spans="1:14">
      <c r="A1699" s="2">
        <v>45129</v>
      </c>
      <c r="B1699" t="s">
        <v>229</v>
      </c>
      <c r="C1699" s="51">
        <v>14.1</v>
      </c>
      <c r="D1699">
        <f>+VLOOKUP(dHdcp[[#This Row],[Handicap]],'Categoría Hdcap'!$B$2:$E$7,4)</f>
        <v>3</v>
      </c>
      <c r="E1699" t="s">
        <v>74</v>
      </c>
      <c r="F1699" t="s">
        <v>2165</v>
      </c>
      <c r="G1699">
        <f>+IF(dHdcp[[#This Row],[Fecha]]=MAX(dHdcp[Fecha]),1,0)</f>
        <v>0</v>
      </c>
      <c r="H1699" t="str">
        <f>+dHdcp[[#This Row],[Maximo]]&amp;":"&amp;dHdcp[[#This Row],[Nombre]]</f>
        <v>0:Alfonso Zorrilla</v>
      </c>
      <c r="I1699" t="str">
        <f>+dHdcp[[#This Row],[Maximo]]&amp;":"&amp;_xlfn.XLOOKUP(dHdcp[[#This Row],[Nombre]],dJugador[Nombre],dJugador[Mote],"",0)</f>
        <v>0:A Zorrilla</v>
      </c>
      <c r="J1699" t="str">
        <f>+IF(dHdcp[[#This Row],[Maximo]]=0,"",_xlfn.RANK.EQ(dHdcp[[#This Row],[Handicap]],dHdcp[Handicap],1))</f>
        <v/>
      </c>
      <c r="K1699" t="str">
        <f>IFERROR(+_xlfn.RANK.EQ(dHdcp[[#This Row],[Ranking]],dHdcp[Ranking],1),"")</f>
        <v/>
      </c>
      <c r="M1699" t="str">
        <f>+dHdcp[[#This Row],[Fecha]]&amp;":"&amp;dHdcp[[#This Row],[Nombre]]</f>
        <v>45129:Alfonso Zorrilla</v>
      </c>
      <c r="N1699">
        <f>+COUNTIF(dHdcp[Columna1],dHdcp[[#This Row],[Columna1]])</f>
        <v>1</v>
      </c>
    </row>
    <row r="1700" spans="1:14">
      <c r="A1700" s="2">
        <v>45129</v>
      </c>
      <c r="B1700" t="s">
        <v>15</v>
      </c>
      <c r="C1700" s="51">
        <v>6</v>
      </c>
      <c r="D1700">
        <f>+VLOOKUP(dHdcp[[#This Row],[Handicap]],'Categoría Hdcap'!$B$2:$E$7,4)</f>
        <v>2</v>
      </c>
      <c r="E1700" t="s">
        <v>74</v>
      </c>
      <c r="F1700" t="s">
        <v>2166</v>
      </c>
      <c r="G1700">
        <f>+IF(dHdcp[[#This Row],[Fecha]]=MAX(dHdcp[Fecha]),1,0)</f>
        <v>0</v>
      </c>
      <c r="H1700" t="str">
        <f>+dHdcp[[#This Row],[Maximo]]&amp;":"&amp;dHdcp[[#This Row],[Nombre]]</f>
        <v>0:Alvaro Aguirre</v>
      </c>
      <c r="I1700" t="str">
        <f>+dHdcp[[#This Row],[Maximo]]&amp;":"&amp;_xlfn.XLOOKUP(dHdcp[[#This Row],[Nombre]],dJugador[Nombre],dJugador[Mote],"",0)</f>
        <v>0:Gifu</v>
      </c>
      <c r="J1700" t="str">
        <f>+IF(dHdcp[[#This Row],[Maximo]]=0,"",_xlfn.RANK.EQ(dHdcp[[#This Row],[Handicap]],dHdcp[Handicap],1))</f>
        <v/>
      </c>
      <c r="K1700" t="str">
        <f>IFERROR(+_xlfn.RANK.EQ(dHdcp[[#This Row],[Ranking]],dHdcp[Ranking],1),"")</f>
        <v/>
      </c>
      <c r="M1700" t="str">
        <f>+dHdcp[[#This Row],[Fecha]]&amp;":"&amp;dHdcp[[#This Row],[Nombre]]</f>
        <v>45129:Alvaro Aguirre</v>
      </c>
      <c r="N1700">
        <f>+COUNTIF(dHdcp[Columna1],dHdcp[[#This Row],[Columna1]])</f>
        <v>1</v>
      </c>
    </row>
    <row r="1701" spans="1:14">
      <c r="A1701" s="2">
        <v>45129</v>
      </c>
      <c r="B1701" t="s">
        <v>201</v>
      </c>
      <c r="C1701" s="51">
        <v>9.6000000000000014</v>
      </c>
      <c r="D1701">
        <f>+VLOOKUP(dHdcp[[#This Row],[Handicap]],'Categoría Hdcap'!$B$2:$E$7,4)</f>
        <v>2</v>
      </c>
      <c r="E1701" t="s">
        <v>74</v>
      </c>
      <c r="F1701" t="s">
        <v>2167</v>
      </c>
      <c r="G1701">
        <f>+IF(dHdcp[[#This Row],[Fecha]]=MAX(dHdcp[Fecha]),1,0)</f>
        <v>0</v>
      </c>
      <c r="H1701" t="str">
        <f>+dHdcp[[#This Row],[Maximo]]&amp;":"&amp;dHdcp[[#This Row],[Nombre]]</f>
        <v>0:Alvaro Montoya</v>
      </c>
      <c r="I1701" t="str">
        <f>+dHdcp[[#This Row],[Maximo]]&amp;":"&amp;_xlfn.XLOOKUP(dHdcp[[#This Row],[Nombre]],dJugador[Nombre],dJugador[Mote],"",0)</f>
        <v>0:Monti</v>
      </c>
      <c r="J1701" t="str">
        <f>+IF(dHdcp[[#This Row],[Maximo]]=0,"",_xlfn.RANK.EQ(dHdcp[[#This Row],[Handicap]],dHdcp[Handicap],1))</f>
        <v/>
      </c>
      <c r="K1701" t="str">
        <f>IFERROR(+_xlfn.RANK.EQ(dHdcp[[#This Row],[Ranking]],dHdcp[Ranking],1),"")</f>
        <v/>
      </c>
      <c r="M1701" t="str">
        <f>+dHdcp[[#This Row],[Fecha]]&amp;":"&amp;dHdcp[[#This Row],[Nombre]]</f>
        <v>45129:Alvaro Montoya</v>
      </c>
      <c r="N1701">
        <f>+COUNTIF(dHdcp[Columna1],dHdcp[[#This Row],[Columna1]])</f>
        <v>1</v>
      </c>
    </row>
    <row r="1702" spans="1:14">
      <c r="A1702" s="2">
        <v>45129</v>
      </c>
      <c r="B1702" t="s">
        <v>25</v>
      </c>
      <c r="C1702" s="51">
        <v>12.7</v>
      </c>
      <c r="D1702">
        <f>+VLOOKUP(dHdcp[[#This Row],[Handicap]],'Categoría Hdcap'!$B$2:$E$7,4)</f>
        <v>3</v>
      </c>
      <c r="E1702" t="s">
        <v>74</v>
      </c>
      <c r="F1702" t="s">
        <v>2168</v>
      </c>
      <c r="G1702">
        <f>+IF(dHdcp[[#This Row],[Fecha]]=MAX(dHdcp[Fecha]),1,0)</f>
        <v>0</v>
      </c>
      <c r="H1702" t="str">
        <f>+dHdcp[[#This Row],[Maximo]]&amp;":"&amp;dHdcp[[#This Row],[Nombre]]</f>
        <v>0:Alvaro Nieto</v>
      </c>
      <c r="I1702" t="str">
        <f>+dHdcp[[#This Row],[Maximo]]&amp;":"&amp;_xlfn.XLOOKUP(dHdcp[[#This Row],[Nombre]],dJugador[Nombre],dJugador[Mote],"",0)</f>
        <v>0:Alvaro</v>
      </c>
      <c r="J1702" t="str">
        <f>+IF(dHdcp[[#This Row],[Maximo]]=0,"",_xlfn.RANK.EQ(dHdcp[[#This Row],[Handicap]],dHdcp[Handicap],1))</f>
        <v/>
      </c>
      <c r="K1702" t="str">
        <f>IFERROR(+_xlfn.RANK.EQ(dHdcp[[#This Row],[Ranking]],dHdcp[Ranking],1),"")</f>
        <v/>
      </c>
      <c r="M1702" t="str">
        <f>+dHdcp[[#This Row],[Fecha]]&amp;":"&amp;dHdcp[[#This Row],[Nombre]]</f>
        <v>45129:Alvaro Nieto</v>
      </c>
      <c r="N1702">
        <f>+COUNTIF(dHdcp[Columna1],dHdcp[[#This Row],[Columna1]])</f>
        <v>1</v>
      </c>
    </row>
    <row r="1703" spans="1:14">
      <c r="A1703" s="2">
        <v>45129</v>
      </c>
      <c r="B1703" t="s">
        <v>33</v>
      </c>
      <c r="C1703" s="51">
        <v>8</v>
      </c>
      <c r="D1703">
        <f>+VLOOKUP(dHdcp[[#This Row],[Handicap]],'Categoría Hdcap'!$B$2:$E$7,4)</f>
        <v>2</v>
      </c>
      <c r="E1703" t="s">
        <v>74</v>
      </c>
      <c r="F1703" t="s">
        <v>2169</v>
      </c>
      <c r="G1703">
        <f>+IF(dHdcp[[#This Row],[Fecha]]=MAX(dHdcp[Fecha]),1,0)</f>
        <v>0</v>
      </c>
      <c r="H1703" t="str">
        <f>+dHdcp[[#This Row],[Maximo]]&amp;":"&amp;dHdcp[[#This Row],[Nombre]]</f>
        <v>0:Angel Hernandez</v>
      </c>
      <c r="I1703" t="str">
        <f>+dHdcp[[#This Row],[Maximo]]&amp;":"&amp;_xlfn.XLOOKUP(dHdcp[[#This Row],[Nombre]],dJugador[Nombre],dJugador[Mote],"",0)</f>
        <v>0:Angel</v>
      </c>
      <c r="J1703" t="str">
        <f>+IF(dHdcp[[#This Row],[Maximo]]=0,"",_xlfn.RANK.EQ(dHdcp[[#This Row],[Handicap]],dHdcp[Handicap],1))</f>
        <v/>
      </c>
      <c r="K1703" t="str">
        <f>IFERROR(+_xlfn.RANK.EQ(dHdcp[[#This Row],[Ranking]],dHdcp[Ranking],1),"")</f>
        <v/>
      </c>
      <c r="M1703" t="str">
        <f>+dHdcp[[#This Row],[Fecha]]&amp;":"&amp;dHdcp[[#This Row],[Nombre]]</f>
        <v>45129:Angel Hernandez</v>
      </c>
      <c r="N1703">
        <f>+COUNTIF(dHdcp[Columna1],dHdcp[[#This Row],[Columna1]])</f>
        <v>1</v>
      </c>
    </row>
    <row r="1704" spans="1:14">
      <c r="A1704" s="2">
        <v>45129</v>
      </c>
      <c r="B1704" t="s">
        <v>264</v>
      </c>
      <c r="C1704" s="51">
        <v>19.8</v>
      </c>
      <c r="D1704">
        <f>+VLOOKUP(dHdcp[[#This Row],[Handicap]],'Categoría Hdcap'!$B$2:$E$7,4)</f>
        <v>4</v>
      </c>
      <c r="E1704" t="s">
        <v>74</v>
      </c>
      <c r="F1704" t="s">
        <v>2170</v>
      </c>
      <c r="G1704">
        <f>+IF(dHdcp[[#This Row],[Fecha]]=MAX(dHdcp[Fecha]),1,0)</f>
        <v>0</v>
      </c>
      <c r="H1704" t="str">
        <f>+dHdcp[[#This Row],[Maximo]]&amp;":"&amp;dHdcp[[#This Row],[Nombre]]</f>
        <v>0:Antonio Carmona</v>
      </c>
      <c r="I1704" t="str">
        <f>+dHdcp[[#This Row],[Maximo]]&amp;":"&amp;_xlfn.XLOOKUP(dHdcp[[#This Row],[Nombre]],dJugador[Nombre],dJugador[Mote],"",0)</f>
        <v>0:Antonio</v>
      </c>
      <c r="J1704" t="str">
        <f>+IF(dHdcp[[#This Row],[Maximo]]=0,"",_xlfn.RANK.EQ(dHdcp[[#This Row],[Handicap]],dHdcp[Handicap],1))</f>
        <v/>
      </c>
      <c r="K1704" t="str">
        <f>IFERROR(+_xlfn.RANK.EQ(dHdcp[[#This Row],[Ranking]],dHdcp[Ranking],1),"")</f>
        <v/>
      </c>
      <c r="M1704" t="str">
        <f>+dHdcp[[#This Row],[Fecha]]&amp;":"&amp;dHdcp[[#This Row],[Nombre]]</f>
        <v>45129:Antonio Carmona</v>
      </c>
      <c r="N1704">
        <f>+COUNTIF(dHdcp[Columna1],dHdcp[[#This Row],[Columna1]])</f>
        <v>1</v>
      </c>
    </row>
    <row r="1705" spans="1:14">
      <c r="A1705" s="2">
        <v>45129</v>
      </c>
      <c r="B1705" t="s">
        <v>291</v>
      </c>
      <c r="C1705" s="51">
        <v>1.6999999999999988</v>
      </c>
      <c r="D1705">
        <f>+VLOOKUP(dHdcp[[#This Row],[Handicap]],'Categoría Hdcap'!$B$2:$E$7,4)</f>
        <v>1</v>
      </c>
      <c r="E1705" t="s">
        <v>74</v>
      </c>
      <c r="F1705" s="94" t="s">
        <v>2171</v>
      </c>
      <c r="G1705">
        <f>+IF(dHdcp[[#This Row],[Fecha]]=MAX(dHdcp[Fecha]),1,0)</f>
        <v>0</v>
      </c>
      <c r="H1705" t="str">
        <f>+dHdcp[[#This Row],[Maximo]]&amp;":"&amp;dHdcp[[#This Row],[Nombre]]</f>
        <v>0:Carlos Maestro</v>
      </c>
      <c r="I1705" t="str">
        <f>+dHdcp[[#This Row],[Maximo]]&amp;":"&amp;_xlfn.XLOOKUP(dHdcp[[#This Row],[Nombre]],dJugador[Nombre],dJugador[Mote],"",0)</f>
        <v>0:Carlitos</v>
      </c>
      <c r="J1705" t="str">
        <f>+IF(dHdcp[[#This Row],[Maximo]]=0,"",_xlfn.RANK.EQ(dHdcp[[#This Row],[Handicap]],dHdcp[Handicap],1))</f>
        <v/>
      </c>
      <c r="K1705" t="str">
        <f>IFERROR(+_xlfn.RANK.EQ(dHdcp[[#This Row],[Ranking]],dHdcp[Ranking],1),"")</f>
        <v/>
      </c>
      <c r="M1705" t="str">
        <f>+dHdcp[[#This Row],[Fecha]]&amp;":"&amp;dHdcp[[#This Row],[Nombre]]</f>
        <v>45129:Carlos Maestro</v>
      </c>
      <c r="N1705">
        <f>+COUNTIF(dHdcp[Columna1],dHdcp[[#This Row],[Columna1]])</f>
        <v>1</v>
      </c>
    </row>
    <row r="1706" spans="1:14">
      <c r="A1706" s="2">
        <v>45129</v>
      </c>
      <c r="B1706" t="s">
        <v>30</v>
      </c>
      <c r="C1706" s="51">
        <v>11.400000000000011</v>
      </c>
      <c r="D1706">
        <f>+VLOOKUP(dHdcp[[#This Row],[Handicap]],'Categoría Hdcap'!$B$2:$E$7,4)</f>
        <v>2</v>
      </c>
      <c r="E1706" t="s">
        <v>74</v>
      </c>
      <c r="F1706" t="s">
        <v>2172</v>
      </c>
      <c r="G1706">
        <f>+IF(dHdcp[[#This Row],[Fecha]]=MAX(dHdcp[Fecha]),1,0)</f>
        <v>0</v>
      </c>
      <c r="H1706" t="str">
        <f>+dHdcp[[#This Row],[Maximo]]&amp;":"&amp;dHdcp[[#This Row],[Nombre]]</f>
        <v>0:David Sequera</v>
      </c>
      <c r="I1706" t="str">
        <f>+dHdcp[[#This Row],[Maximo]]&amp;":"&amp;_xlfn.XLOOKUP(dHdcp[[#This Row],[Nombre]],dJugador[Nombre],dJugador[Mote],"",0)</f>
        <v>0:David</v>
      </c>
      <c r="J1706" t="str">
        <f>+IF(dHdcp[[#This Row],[Maximo]]=0,"",_xlfn.RANK.EQ(dHdcp[[#This Row],[Handicap]],dHdcp[Handicap],1))</f>
        <v/>
      </c>
      <c r="K1706" t="str">
        <f>IFERROR(+_xlfn.RANK.EQ(dHdcp[[#This Row],[Ranking]],dHdcp[Ranking],1),"")</f>
        <v/>
      </c>
      <c r="M1706" t="str">
        <f>+dHdcp[[#This Row],[Fecha]]&amp;":"&amp;dHdcp[[#This Row],[Nombre]]</f>
        <v>45129:David Sequera</v>
      </c>
      <c r="N1706">
        <f>+COUNTIF(dHdcp[Columna1],dHdcp[[#This Row],[Columna1]])</f>
        <v>1</v>
      </c>
    </row>
    <row r="1707" spans="1:14">
      <c r="A1707" s="2">
        <v>45129</v>
      </c>
      <c r="B1707" t="s">
        <v>326</v>
      </c>
      <c r="C1707" s="51">
        <v>15.8</v>
      </c>
      <c r="D1707">
        <f>+VLOOKUP(dHdcp[[#This Row],[Handicap]],'Categoría Hdcap'!$B$2:$E$7,4)</f>
        <v>3</v>
      </c>
      <c r="E1707" t="s">
        <v>74</v>
      </c>
      <c r="F1707" t="s">
        <v>2173</v>
      </c>
      <c r="G1707">
        <f>+IF(dHdcp[[#This Row],[Fecha]]=MAX(dHdcp[Fecha]),1,0)</f>
        <v>0</v>
      </c>
      <c r="H1707" t="str">
        <f>+dHdcp[[#This Row],[Maximo]]&amp;":"&amp;dHdcp[[#This Row],[Nombre]]</f>
        <v>0:Eduardo Buendía</v>
      </c>
      <c r="I1707" t="str">
        <f>+dHdcp[[#This Row],[Maximo]]&amp;":"&amp;_xlfn.XLOOKUP(dHdcp[[#This Row],[Nombre]],dJugador[Nombre],dJugador[Mote],"",0)</f>
        <v>0:Eduardo</v>
      </c>
      <c r="J1707" t="str">
        <f>+IF(dHdcp[[#This Row],[Maximo]]=0,"",_xlfn.RANK.EQ(dHdcp[[#This Row],[Handicap]],dHdcp[Handicap],1))</f>
        <v/>
      </c>
      <c r="K1707" t="str">
        <f>IFERROR(+_xlfn.RANK.EQ(dHdcp[[#This Row],[Ranking]],dHdcp[Ranking],1),"")</f>
        <v/>
      </c>
      <c r="M1707" t="str">
        <f>+dHdcp[[#This Row],[Fecha]]&amp;":"&amp;dHdcp[[#This Row],[Nombre]]</f>
        <v>45129:Eduardo Buendía</v>
      </c>
      <c r="N1707">
        <f>+COUNTIF(dHdcp[Columna1],dHdcp[[#This Row],[Columna1]])</f>
        <v>1</v>
      </c>
    </row>
    <row r="1708" spans="1:14">
      <c r="A1708" s="2">
        <v>45129</v>
      </c>
      <c r="B1708" t="s">
        <v>248</v>
      </c>
      <c r="C1708" s="51">
        <v>11.4</v>
      </c>
      <c r="D1708">
        <f>+VLOOKUP(dHdcp[[#This Row],[Handicap]],'Categoría Hdcap'!$B$2:$E$7,4)</f>
        <v>2</v>
      </c>
      <c r="E1708" t="s">
        <v>74</v>
      </c>
      <c r="F1708" t="s">
        <v>2174</v>
      </c>
      <c r="G1708">
        <f>+IF(dHdcp[[#This Row],[Fecha]]=MAX(dHdcp[Fecha]),1,0)</f>
        <v>0</v>
      </c>
      <c r="H1708" t="str">
        <f>+dHdcp[[#This Row],[Maximo]]&amp;":"&amp;dHdcp[[#This Row],[Nombre]]</f>
        <v>0:Enrique Gonzalez R</v>
      </c>
      <c r="I1708" t="str">
        <f>+dHdcp[[#This Row],[Maximo]]&amp;":"&amp;_xlfn.XLOOKUP(dHdcp[[#This Row],[Nombre]],dJugador[Nombre],dJugador[Mote],"",0)</f>
        <v>0:Enrique</v>
      </c>
      <c r="J1708" t="str">
        <f>+IF(dHdcp[[#This Row],[Maximo]]=0,"",_xlfn.RANK.EQ(dHdcp[[#This Row],[Handicap]],dHdcp[Handicap],1))</f>
        <v/>
      </c>
      <c r="K1708" t="str">
        <f>IFERROR(+_xlfn.RANK.EQ(dHdcp[[#This Row],[Ranking]],dHdcp[Ranking],1),"")</f>
        <v/>
      </c>
      <c r="M1708" t="str">
        <f>+dHdcp[[#This Row],[Fecha]]&amp;":"&amp;dHdcp[[#This Row],[Nombre]]</f>
        <v>45129:Enrique Gonzalez R</v>
      </c>
      <c r="N1708">
        <f>+COUNTIF(dHdcp[Columna1],dHdcp[[#This Row],[Columna1]])</f>
        <v>1</v>
      </c>
    </row>
    <row r="1709" spans="1:14">
      <c r="A1709" s="2">
        <v>45129</v>
      </c>
      <c r="B1709" t="s">
        <v>12</v>
      </c>
      <c r="C1709" s="51">
        <v>15.000000000000002</v>
      </c>
      <c r="D1709">
        <f>+VLOOKUP(dHdcp[[#This Row],[Handicap]],'Categoría Hdcap'!$B$2:$E$7,4)</f>
        <v>3</v>
      </c>
      <c r="E1709" t="s">
        <v>74</v>
      </c>
      <c r="F1709" t="s">
        <v>2175</v>
      </c>
      <c r="G1709">
        <f>+IF(dHdcp[[#This Row],[Fecha]]=MAX(dHdcp[Fecha]),1,0)</f>
        <v>0</v>
      </c>
      <c r="H1709" t="str">
        <f>+dHdcp[[#This Row],[Maximo]]&amp;":"&amp;dHdcp[[#This Row],[Nombre]]</f>
        <v>0:Francisco Alvarez</v>
      </c>
      <c r="I1709" t="str">
        <f>+dHdcp[[#This Row],[Maximo]]&amp;":"&amp;_xlfn.XLOOKUP(dHdcp[[#This Row],[Nombre]],dJugador[Nombre],dJugador[Mote],"",0)</f>
        <v>0:Paco</v>
      </c>
      <c r="J1709" t="str">
        <f>+IF(dHdcp[[#This Row],[Maximo]]=0,"",_xlfn.RANK.EQ(dHdcp[[#This Row],[Handicap]],dHdcp[Handicap],1))</f>
        <v/>
      </c>
      <c r="K1709" t="str">
        <f>IFERROR(+_xlfn.RANK.EQ(dHdcp[[#This Row],[Ranking]],dHdcp[Ranking],1),"")</f>
        <v/>
      </c>
      <c r="M1709" t="str">
        <f>+dHdcp[[#This Row],[Fecha]]&amp;":"&amp;dHdcp[[#This Row],[Nombre]]</f>
        <v>45129:Francisco Alvarez</v>
      </c>
      <c r="N1709">
        <f>+COUNTIF(dHdcp[Columna1],dHdcp[[#This Row],[Columna1]])</f>
        <v>1</v>
      </c>
    </row>
    <row r="1710" spans="1:14">
      <c r="A1710" s="2">
        <v>45129</v>
      </c>
      <c r="B1710" t="s">
        <v>49</v>
      </c>
      <c r="C1710" s="51">
        <v>12.199999999999998</v>
      </c>
      <c r="D1710">
        <f>+VLOOKUP(dHdcp[[#This Row],[Handicap]],'Categoría Hdcap'!$B$2:$E$7,4)</f>
        <v>3</v>
      </c>
      <c r="E1710" t="s">
        <v>74</v>
      </c>
      <c r="F1710" t="s">
        <v>2176</v>
      </c>
      <c r="G1710">
        <f>+IF(dHdcp[[#This Row],[Fecha]]=MAX(dHdcp[Fecha]),1,0)</f>
        <v>0</v>
      </c>
      <c r="H1710" t="str">
        <f>+dHdcp[[#This Row],[Maximo]]&amp;":"&amp;dHdcp[[#This Row],[Nombre]]</f>
        <v>0:Francisco Hidalgo</v>
      </c>
      <c r="I1710" t="str">
        <f>+dHdcp[[#This Row],[Maximo]]&amp;":"&amp;_xlfn.XLOOKUP(dHdcp[[#This Row],[Nombre]],dJugador[Nombre],dJugador[Mote],"",0)</f>
        <v>0:Fran</v>
      </c>
      <c r="J1710" t="str">
        <f>+IF(dHdcp[[#This Row],[Maximo]]=0,"",_xlfn.RANK.EQ(dHdcp[[#This Row],[Handicap]],dHdcp[Handicap],1))</f>
        <v/>
      </c>
      <c r="K1710" t="str">
        <f>IFERROR(+_xlfn.RANK.EQ(dHdcp[[#This Row],[Ranking]],dHdcp[Ranking],1),"")</f>
        <v/>
      </c>
      <c r="M1710" t="str">
        <f>+dHdcp[[#This Row],[Fecha]]&amp;":"&amp;dHdcp[[#This Row],[Nombre]]</f>
        <v>45129:Francisco Hidalgo</v>
      </c>
      <c r="N1710">
        <f>+COUNTIF(dHdcp[Columna1],dHdcp[[#This Row],[Columna1]])</f>
        <v>1</v>
      </c>
    </row>
    <row r="1711" spans="1:14">
      <c r="A1711" s="2">
        <v>45129</v>
      </c>
      <c r="B1711" t="s">
        <v>207</v>
      </c>
      <c r="C1711" s="51">
        <v>14.499999999999998</v>
      </c>
      <c r="D1711">
        <f>+VLOOKUP(dHdcp[[#This Row],[Handicap]],'Categoría Hdcap'!$B$2:$E$7,4)</f>
        <v>3</v>
      </c>
      <c r="E1711" t="s">
        <v>74</v>
      </c>
      <c r="F1711" t="s">
        <v>2177</v>
      </c>
      <c r="G1711">
        <f>+IF(dHdcp[[#This Row],[Fecha]]=MAX(dHdcp[Fecha]),1,0)</f>
        <v>0</v>
      </c>
      <c r="H1711" t="str">
        <f>+dHdcp[[#This Row],[Maximo]]&amp;":"&amp;dHdcp[[#This Row],[Nombre]]</f>
        <v>0:Franck Benouniche</v>
      </c>
      <c r="I1711" t="str">
        <f>+dHdcp[[#This Row],[Maximo]]&amp;":"&amp;_xlfn.XLOOKUP(dHdcp[[#This Row],[Nombre]],dJugador[Nombre],dJugador[Mote],"",0)</f>
        <v>0:Franck</v>
      </c>
      <c r="J1711" t="str">
        <f>+IF(dHdcp[[#This Row],[Maximo]]=0,"",_xlfn.RANK.EQ(dHdcp[[#This Row],[Handicap]],dHdcp[Handicap],1))</f>
        <v/>
      </c>
      <c r="K1711" t="str">
        <f>IFERROR(+_xlfn.RANK.EQ(dHdcp[[#This Row],[Ranking]],dHdcp[Ranking],1),"")</f>
        <v/>
      </c>
      <c r="M1711" t="str">
        <f>+dHdcp[[#This Row],[Fecha]]&amp;":"&amp;dHdcp[[#This Row],[Nombre]]</f>
        <v>45129:Franck Benouniche</v>
      </c>
      <c r="N1711">
        <f>+COUNTIF(dHdcp[Columna1],dHdcp[[#This Row],[Columna1]])</f>
        <v>1</v>
      </c>
    </row>
    <row r="1712" spans="1:14">
      <c r="A1712" s="2">
        <v>45129</v>
      </c>
      <c r="B1712" t="s">
        <v>35</v>
      </c>
      <c r="C1712" s="51">
        <v>20</v>
      </c>
      <c r="D1712">
        <f>+VLOOKUP(dHdcp[[#This Row],[Handicap]],'Categoría Hdcap'!$B$2:$E$7,4)</f>
        <v>4</v>
      </c>
      <c r="E1712" t="s">
        <v>74</v>
      </c>
      <c r="F1712" t="s">
        <v>2178</v>
      </c>
      <c r="G1712">
        <f>+IF(dHdcp[[#This Row],[Fecha]]=MAX(dHdcp[Fecha]),1,0)</f>
        <v>0</v>
      </c>
      <c r="H1712" t="str">
        <f>+dHdcp[[#This Row],[Maximo]]&amp;":"&amp;dHdcp[[#This Row],[Nombre]]</f>
        <v>0:GLEZ JUAN JOSÉ</v>
      </c>
      <c r="I1712" t="str">
        <f>+dHdcp[[#This Row],[Maximo]]&amp;":"&amp;_xlfn.XLOOKUP(dHdcp[[#This Row],[Nombre]],dJugador[Nombre],dJugador[Mote],"",0)</f>
        <v>0:Juanjo</v>
      </c>
      <c r="J1712" t="str">
        <f>+IF(dHdcp[[#This Row],[Maximo]]=0,"",_xlfn.RANK.EQ(dHdcp[[#This Row],[Handicap]],dHdcp[Handicap],1))</f>
        <v/>
      </c>
      <c r="K1712" t="str">
        <f>IFERROR(+_xlfn.RANK.EQ(dHdcp[[#This Row],[Ranking]],dHdcp[Ranking],1),"")</f>
        <v/>
      </c>
      <c r="M1712" t="str">
        <f>+dHdcp[[#This Row],[Fecha]]&amp;":"&amp;dHdcp[[#This Row],[Nombre]]</f>
        <v>45129:GLEZ JUAN JOSÉ</v>
      </c>
      <c r="N1712">
        <f>+COUNTIF(dHdcp[Columna1],dHdcp[[#This Row],[Columna1]])</f>
        <v>1</v>
      </c>
    </row>
    <row r="1713" spans="1:14">
      <c r="A1713" s="2">
        <v>45129</v>
      </c>
      <c r="B1713" t="s">
        <v>6</v>
      </c>
      <c r="C1713" s="51">
        <v>9.1000000000000085</v>
      </c>
      <c r="D1713">
        <f>+VLOOKUP(dHdcp[[#This Row],[Handicap]],'Categoría Hdcap'!$B$2:$E$7,4)</f>
        <v>2</v>
      </c>
      <c r="E1713" t="s">
        <v>74</v>
      </c>
      <c r="F1713" t="s">
        <v>2179</v>
      </c>
      <c r="G1713">
        <f>+IF(dHdcp[[#This Row],[Fecha]]=MAX(dHdcp[Fecha]),1,0)</f>
        <v>0</v>
      </c>
      <c r="H1713" t="str">
        <f>+dHdcp[[#This Row],[Maximo]]&amp;":"&amp;dHdcp[[#This Row],[Nombre]]</f>
        <v>0:Ignacio Cadarso</v>
      </c>
      <c r="I1713" t="str">
        <f>+dHdcp[[#This Row],[Maximo]]&amp;":"&amp;_xlfn.XLOOKUP(dHdcp[[#This Row],[Nombre]],dJugador[Nombre],dJugador[Mote],"",0)</f>
        <v>0:Ignacio</v>
      </c>
      <c r="J1713" t="str">
        <f>+IF(dHdcp[[#This Row],[Maximo]]=0,"",_xlfn.RANK.EQ(dHdcp[[#This Row],[Handicap]],dHdcp[Handicap],1))</f>
        <v/>
      </c>
      <c r="K1713" t="str">
        <f>IFERROR(+_xlfn.RANK.EQ(dHdcp[[#This Row],[Ranking]],dHdcp[Ranking],1),"")</f>
        <v/>
      </c>
      <c r="M1713" t="str">
        <f>+dHdcp[[#This Row],[Fecha]]&amp;":"&amp;dHdcp[[#This Row],[Nombre]]</f>
        <v>45129:Ignacio Cadarso</v>
      </c>
      <c r="N1713">
        <f>+COUNTIF(dHdcp[Columna1],dHdcp[[#This Row],[Columna1]])</f>
        <v>1</v>
      </c>
    </row>
    <row r="1714" spans="1:14">
      <c r="A1714" s="2">
        <v>45129</v>
      </c>
      <c r="B1714" t="s">
        <v>298</v>
      </c>
      <c r="C1714" s="51">
        <v>23.7</v>
      </c>
      <c r="D1714">
        <f>+VLOOKUP(dHdcp[[#This Row],[Handicap]],'Categoría Hdcap'!$B$2:$E$7,4)</f>
        <v>4</v>
      </c>
      <c r="E1714" t="s">
        <v>74</v>
      </c>
      <c r="F1714" t="s">
        <v>2180</v>
      </c>
      <c r="G1714">
        <f>+IF(dHdcp[[#This Row],[Fecha]]=MAX(dHdcp[Fecha]),1,0)</f>
        <v>0</v>
      </c>
      <c r="H1714" t="str">
        <f>+dHdcp[[#This Row],[Maximo]]&amp;":"&amp;dHdcp[[#This Row],[Nombre]]</f>
        <v>0:Ignacio Gracia Charlez</v>
      </c>
      <c r="I1714" t="str">
        <f>+dHdcp[[#This Row],[Maximo]]&amp;":"&amp;_xlfn.XLOOKUP(dHdcp[[#This Row],[Nombre]],dJugador[Nombre],dJugador[Mote],"",0)</f>
        <v>0:I Gracia</v>
      </c>
      <c r="J1714" t="str">
        <f>+IF(dHdcp[[#This Row],[Maximo]]=0,"",_xlfn.RANK.EQ(dHdcp[[#This Row],[Handicap]],dHdcp[Handicap],1))</f>
        <v/>
      </c>
      <c r="K1714" t="str">
        <f>IFERROR(+_xlfn.RANK.EQ(dHdcp[[#This Row],[Ranking]],dHdcp[Ranking],1),"")</f>
        <v/>
      </c>
      <c r="M1714" t="str">
        <f>+dHdcp[[#This Row],[Fecha]]&amp;":"&amp;dHdcp[[#This Row],[Nombre]]</f>
        <v>45129:Ignacio Gracia Charlez</v>
      </c>
      <c r="N1714">
        <f>+COUNTIF(dHdcp[Columna1],dHdcp[[#This Row],[Columna1]])</f>
        <v>1</v>
      </c>
    </row>
    <row r="1715" spans="1:14">
      <c r="A1715" s="2">
        <v>45129</v>
      </c>
      <c r="B1715" t="s">
        <v>23</v>
      </c>
      <c r="C1715" s="51">
        <v>17.7</v>
      </c>
      <c r="D1715">
        <f>+VLOOKUP(dHdcp[[#This Row],[Handicap]],'Categoría Hdcap'!$B$2:$E$7,4)</f>
        <v>3</v>
      </c>
      <c r="E1715" t="s">
        <v>74</v>
      </c>
      <c r="F1715" t="s">
        <v>2181</v>
      </c>
      <c r="G1715">
        <f>+IF(dHdcp[[#This Row],[Fecha]]=MAX(dHdcp[Fecha]),1,0)</f>
        <v>0</v>
      </c>
      <c r="H1715" t="str">
        <f>+dHdcp[[#This Row],[Maximo]]&amp;":"&amp;dHdcp[[#This Row],[Nombre]]</f>
        <v>0:J. Enrique Gonzalez</v>
      </c>
      <c r="I1715" t="str">
        <f>+dHdcp[[#This Row],[Maximo]]&amp;":"&amp;_xlfn.XLOOKUP(dHdcp[[#This Row],[Nombre]],dJugador[Nombre],dJugador[Mote],"",0)</f>
        <v>0:Kike</v>
      </c>
      <c r="J1715" t="str">
        <f>+IF(dHdcp[[#This Row],[Maximo]]=0,"",_xlfn.RANK.EQ(dHdcp[[#This Row],[Handicap]],dHdcp[Handicap],1))</f>
        <v/>
      </c>
      <c r="K1715" t="str">
        <f>IFERROR(+_xlfn.RANK.EQ(dHdcp[[#This Row],[Ranking]],dHdcp[Ranking],1),"")</f>
        <v/>
      </c>
      <c r="M1715" t="str">
        <f>+dHdcp[[#This Row],[Fecha]]&amp;":"&amp;dHdcp[[#This Row],[Nombre]]</f>
        <v>45129:J. Enrique Gonzalez</v>
      </c>
      <c r="N1715">
        <f>+COUNTIF(dHdcp[Columna1],dHdcp[[#This Row],[Columna1]])</f>
        <v>1</v>
      </c>
    </row>
    <row r="1716" spans="1:14">
      <c r="A1716" s="2">
        <v>45129</v>
      </c>
      <c r="B1716" t="s">
        <v>289</v>
      </c>
      <c r="C1716" s="51">
        <v>8.9</v>
      </c>
      <c r="D1716">
        <f>+VLOOKUP(dHdcp[[#This Row],[Handicap]],'Categoría Hdcap'!$B$2:$E$7,4)</f>
        <v>2</v>
      </c>
      <c r="E1716" t="s">
        <v>74</v>
      </c>
      <c r="F1716" t="s">
        <v>2182</v>
      </c>
      <c r="G1716">
        <f>+IF(dHdcp[[#This Row],[Fecha]]=MAX(dHdcp[Fecha]),1,0)</f>
        <v>0</v>
      </c>
      <c r="H1716" t="str">
        <f>+dHdcp[[#This Row],[Maximo]]&amp;":"&amp;dHdcp[[#This Row],[Nombre]]</f>
        <v>0:Jaime Villanueva</v>
      </c>
      <c r="I1716" t="str">
        <f>+dHdcp[[#This Row],[Maximo]]&amp;":"&amp;_xlfn.XLOOKUP(dHdcp[[#This Row],[Nombre]],dJugador[Nombre],dJugador[Mote],"",0)</f>
        <v>0:Villanueva</v>
      </c>
      <c r="J1716" t="str">
        <f>+IF(dHdcp[[#This Row],[Maximo]]=0,"",_xlfn.RANK.EQ(dHdcp[[#This Row],[Handicap]],dHdcp[Handicap],1))</f>
        <v/>
      </c>
      <c r="K1716" t="str">
        <f>IFERROR(+_xlfn.RANK.EQ(dHdcp[[#This Row],[Ranking]],dHdcp[Ranking],1),"")</f>
        <v/>
      </c>
      <c r="M1716" t="str">
        <f>+dHdcp[[#This Row],[Fecha]]&amp;":"&amp;dHdcp[[#This Row],[Nombre]]</f>
        <v>45129:Jaime Villanueva</v>
      </c>
      <c r="N1716">
        <f>+COUNTIF(dHdcp[Columna1],dHdcp[[#This Row],[Columna1]])</f>
        <v>1</v>
      </c>
    </row>
    <row r="1717" spans="1:14">
      <c r="A1717" s="2">
        <v>45129</v>
      </c>
      <c r="B1717" t="s">
        <v>328</v>
      </c>
      <c r="C1717" s="51">
        <v>11.299999999999999</v>
      </c>
      <c r="D1717">
        <f>+VLOOKUP(dHdcp[[#This Row],[Handicap]],'Categoría Hdcap'!$B$2:$E$7,4)</f>
        <v>2</v>
      </c>
      <c r="E1717" t="s">
        <v>74</v>
      </c>
      <c r="F1717" t="s">
        <v>2183</v>
      </c>
      <c r="G1717">
        <f>+IF(dHdcp[[#This Row],[Fecha]]=MAX(dHdcp[Fecha]),1,0)</f>
        <v>0</v>
      </c>
      <c r="H1717" t="str">
        <f>+dHdcp[[#This Row],[Maximo]]&amp;":"&amp;dHdcp[[#This Row],[Nombre]]</f>
        <v>0:Javier Arcos</v>
      </c>
      <c r="I1717" t="str">
        <f>+dHdcp[[#This Row],[Maximo]]&amp;":"&amp;_xlfn.XLOOKUP(dHdcp[[#This Row],[Nombre]],dJugador[Nombre],dJugador[Mote],"",0)</f>
        <v>0:J.Arcos</v>
      </c>
      <c r="J1717" t="str">
        <f>+IF(dHdcp[[#This Row],[Maximo]]=0,"",_xlfn.RANK.EQ(dHdcp[[#This Row],[Handicap]],dHdcp[Handicap],1))</f>
        <v/>
      </c>
      <c r="K1717" t="str">
        <f>IFERROR(+_xlfn.RANK.EQ(dHdcp[[#This Row],[Ranking]],dHdcp[Ranking],1),"")</f>
        <v/>
      </c>
      <c r="M1717" t="str">
        <f>+dHdcp[[#This Row],[Fecha]]&amp;":"&amp;dHdcp[[#This Row],[Nombre]]</f>
        <v>45129:Javier Arcos</v>
      </c>
      <c r="N1717">
        <f>+COUNTIF(dHdcp[Columna1],dHdcp[[#This Row],[Columna1]])</f>
        <v>1</v>
      </c>
    </row>
    <row r="1718" spans="1:14">
      <c r="A1718" s="2">
        <v>45129</v>
      </c>
      <c r="B1718" t="s">
        <v>378</v>
      </c>
      <c r="C1718" s="51">
        <v>12.399999999999995</v>
      </c>
      <c r="D1718">
        <f>+VLOOKUP(dHdcp[[#This Row],[Handicap]],'Categoría Hdcap'!$B$2:$E$7,4)</f>
        <v>3</v>
      </c>
      <c r="E1718" t="s">
        <v>74</v>
      </c>
      <c r="F1718" t="s">
        <v>2184</v>
      </c>
      <c r="G1718">
        <f>+IF(dHdcp[[#This Row],[Fecha]]=MAX(dHdcp[Fecha]),1,0)</f>
        <v>0</v>
      </c>
      <c r="H1718" t="str">
        <f>+dHdcp[[#This Row],[Maximo]]&amp;":"&amp;dHdcp[[#This Row],[Nombre]]</f>
        <v>0:Javier Campo</v>
      </c>
      <c r="I1718" t="str">
        <f>+dHdcp[[#This Row],[Maximo]]&amp;":"&amp;_xlfn.XLOOKUP(dHdcp[[#This Row],[Nombre]],dJugador[Nombre],dJugador[Mote],"",0)</f>
        <v>0:Campo</v>
      </c>
      <c r="J1718" t="str">
        <f>+IF(dHdcp[[#This Row],[Maximo]]=0,"",_xlfn.RANK.EQ(dHdcp[[#This Row],[Handicap]],dHdcp[Handicap],1))</f>
        <v/>
      </c>
      <c r="K1718" t="str">
        <f>IFERROR(+_xlfn.RANK.EQ(dHdcp[[#This Row],[Ranking]],dHdcp[Ranking],1),"")</f>
        <v/>
      </c>
      <c r="M1718" t="str">
        <f>+dHdcp[[#This Row],[Fecha]]&amp;":"&amp;dHdcp[[#This Row],[Nombre]]</f>
        <v>45129:Javier Campo</v>
      </c>
      <c r="N1718">
        <f>+COUNTIF(dHdcp[Columna1],dHdcp[[#This Row],[Columna1]])</f>
        <v>1</v>
      </c>
    </row>
    <row r="1719" spans="1:14">
      <c r="A1719" s="2">
        <v>45129</v>
      </c>
      <c r="B1719" t="s">
        <v>46</v>
      </c>
      <c r="C1719" s="51">
        <v>16.599999999999994</v>
      </c>
      <c r="D1719">
        <f>+VLOOKUP(dHdcp[[#This Row],[Handicap]],'Categoría Hdcap'!$B$2:$E$7,4)</f>
        <v>3</v>
      </c>
      <c r="E1719" t="s">
        <v>74</v>
      </c>
      <c r="F1719" t="s">
        <v>2185</v>
      </c>
      <c r="G1719">
        <f>+IF(dHdcp[[#This Row],[Fecha]]=MAX(dHdcp[Fecha]),1,0)</f>
        <v>0</v>
      </c>
      <c r="H1719" t="str">
        <f>+dHdcp[[#This Row],[Maximo]]&amp;":"&amp;dHdcp[[#This Row],[Nombre]]</f>
        <v>0:Javier Cervera</v>
      </c>
      <c r="I1719" t="str">
        <f>+dHdcp[[#This Row],[Maximo]]&amp;":"&amp;_xlfn.XLOOKUP(dHdcp[[#This Row],[Nombre]],dJugador[Nombre],dJugador[Mote],"",0)</f>
        <v>0:Virus</v>
      </c>
      <c r="J1719" t="str">
        <f>+IF(dHdcp[[#This Row],[Maximo]]=0,"",_xlfn.RANK.EQ(dHdcp[[#This Row],[Handicap]],dHdcp[Handicap],1))</f>
        <v/>
      </c>
      <c r="K1719" t="str">
        <f>IFERROR(+_xlfn.RANK.EQ(dHdcp[[#This Row],[Ranking]],dHdcp[Ranking],1),"")</f>
        <v/>
      </c>
      <c r="M1719" t="str">
        <f>+dHdcp[[#This Row],[Fecha]]&amp;":"&amp;dHdcp[[#This Row],[Nombre]]</f>
        <v>45129:Javier Cervera</v>
      </c>
      <c r="N1719">
        <f>+COUNTIF(dHdcp[Columna1],dHdcp[[#This Row],[Columna1]])</f>
        <v>1</v>
      </c>
    </row>
    <row r="1720" spans="1:14">
      <c r="A1720" s="2">
        <v>45129</v>
      </c>
      <c r="B1720" t="s">
        <v>225</v>
      </c>
      <c r="C1720" s="51">
        <v>9.7999999999999989</v>
      </c>
      <c r="D1720">
        <f>+VLOOKUP(dHdcp[[#This Row],[Handicap]],'Categoría Hdcap'!$B$2:$E$7,4)</f>
        <v>2</v>
      </c>
      <c r="E1720" t="s">
        <v>74</v>
      </c>
      <c r="F1720" t="s">
        <v>2186</v>
      </c>
      <c r="G1720">
        <f>+IF(dHdcp[[#This Row],[Fecha]]=MAX(dHdcp[Fecha]),1,0)</f>
        <v>0</v>
      </c>
      <c r="H1720" t="str">
        <f>+dHdcp[[#This Row],[Maximo]]&amp;":"&amp;dHdcp[[#This Row],[Nombre]]</f>
        <v>0:Javier Chiralt</v>
      </c>
      <c r="I1720" t="str">
        <f>+dHdcp[[#This Row],[Maximo]]&amp;":"&amp;_xlfn.XLOOKUP(dHdcp[[#This Row],[Nombre]],dJugador[Nombre],dJugador[Mote],"",0)</f>
        <v>0:Chiralt</v>
      </c>
      <c r="J1720" t="str">
        <f>+IF(dHdcp[[#This Row],[Maximo]]=0,"",_xlfn.RANK.EQ(dHdcp[[#This Row],[Handicap]],dHdcp[Handicap],1))</f>
        <v/>
      </c>
      <c r="K1720" t="str">
        <f>IFERROR(+_xlfn.RANK.EQ(dHdcp[[#This Row],[Ranking]],dHdcp[Ranking],1),"")</f>
        <v/>
      </c>
      <c r="M1720" t="str">
        <f>+dHdcp[[#This Row],[Fecha]]&amp;":"&amp;dHdcp[[#This Row],[Nombre]]</f>
        <v>45129:Javier Chiralt</v>
      </c>
      <c r="N1720">
        <f>+COUNTIF(dHdcp[Columna1],dHdcp[[#This Row],[Columna1]])</f>
        <v>1</v>
      </c>
    </row>
    <row r="1721" spans="1:14">
      <c r="A1721" s="2">
        <v>45129</v>
      </c>
      <c r="B1721" t="s">
        <v>20</v>
      </c>
      <c r="C1721" s="51">
        <v>17.100000000000001</v>
      </c>
      <c r="D1721">
        <f>+VLOOKUP(dHdcp[[#This Row],[Handicap]],'Categoría Hdcap'!$B$2:$E$7,4)</f>
        <v>3</v>
      </c>
      <c r="E1721" t="s">
        <v>74</v>
      </c>
      <c r="F1721" t="s">
        <v>2187</v>
      </c>
      <c r="G1721">
        <f>+IF(dHdcp[[#This Row],[Fecha]]=MAX(dHdcp[Fecha]),1,0)</f>
        <v>0</v>
      </c>
      <c r="H1721" t="str">
        <f>+dHdcp[[#This Row],[Maximo]]&amp;":"&amp;dHdcp[[#This Row],[Nombre]]</f>
        <v>0:Javier Gonzalez Salvador</v>
      </c>
      <c r="I1721" t="str">
        <f>+dHdcp[[#This Row],[Maximo]]&amp;":"&amp;_xlfn.XLOOKUP(dHdcp[[#This Row],[Nombre]],dJugador[Nombre],dJugador[Mote],"",0)</f>
        <v>0:Javi</v>
      </c>
      <c r="J1721" t="str">
        <f>+IF(dHdcp[[#This Row],[Maximo]]=0,"",_xlfn.RANK.EQ(dHdcp[[#This Row],[Handicap]],dHdcp[Handicap],1))</f>
        <v/>
      </c>
      <c r="K1721" t="str">
        <f>IFERROR(+_xlfn.RANK.EQ(dHdcp[[#This Row],[Ranking]],dHdcp[Ranking],1),"")</f>
        <v/>
      </c>
      <c r="M1721" t="str">
        <f>+dHdcp[[#This Row],[Fecha]]&amp;":"&amp;dHdcp[[#This Row],[Nombre]]</f>
        <v>45129:Javier Gonzalez Salvador</v>
      </c>
      <c r="N1721">
        <f>+COUNTIF(dHdcp[Columna1],dHdcp[[#This Row],[Columna1]])</f>
        <v>1</v>
      </c>
    </row>
    <row r="1722" spans="1:14">
      <c r="A1722" s="2">
        <v>45129</v>
      </c>
      <c r="B1722" t="s">
        <v>217</v>
      </c>
      <c r="C1722" s="51">
        <v>20.9</v>
      </c>
      <c r="D1722">
        <f>+VLOOKUP(dHdcp[[#This Row],[Handicap]],'Categoría Hdcap'!$B$2:$E$7,4)</f>
        <v>4</v>
      </c>
      <c r="E1722" t="s">
        <v>74</v>
      </c>
      <c r="F1722" t="s">
        <v>2188</v>
      </c>
      <c r="G1722">
        <f>+IF(dHdcp[[#This Row],[Fecha]]=MAX(dHdcp[Fecha]),1,0)</f>
        <v>0</v>
      </c>
      <c r="H1722" t="str">
        <f>+dHdcp[[#This Row],[Maximo]]&amp;":"&amp;dHdcp[[#This Row],[Nombre]]</f>
        <v>0:Javier Lopez Gullón</v>
      </c>
      <c r="I1722" t="str">
        <f>+dHdcp[[#This Row],[Maximo]]&amp;":"&amp;_xlfn.XLOOKUP(dHdcp[[#This Row],[Nombre]],dJugador[Nombre],dJugador[Mote],"",0)</f>
        <v>0:Cuñao</v>
      </c>
      <c r="J1722" t="str">
        <f>+IF(dHdcp[[#This Row],[Maximo]]=0,"",_xlfn.RANK.EQ(dHdcp[[#This Row],[Handicap]],dHdcp[Handicap],1))</f>
        <v/>
      </c>
      <c r="K1722" t="str">
        <f>IFERROR(+_xlfn.RANK.EQ(dHdcp[[#This Row],[Ranking]],dHdcp[Ranking],1),"")</f>
        <v/>
      </c>
      <c r="M1722" t="str">
        <f>+dHdcp[[#This Row],[Fecha]]&amp;":"&amp;dHdcp[[#This Row],[Nombre]]</f>
        <v>45129:Javier Lopez Gullón</v>
      </c>
      <c r="N1722">
        <f>+COUNTIF(dHdcp[Columna1],dHdcp[[#This Row],[Columna1]])</f>
        <v>1</v>
      </c>
    </row>
    <row r="1723" spans="1:14">
      <c r="A1723" s="2">
        <v>45129</v>
      </c>
      <c r="B1723" t="s">
        <v>41</v>
      </c>
      <c r="C1723" s="51">
        <v>22.8</v>
      </c>
      <c r="D1723">
        <f>+VLOOKUP(dHdcp[[#This Row],[Handicap]],'Categoría Hdcap'!$B$2:$E$7,4)</f>
        <v>4</v>
      </c>
      <c r="E1723" t="s">
        <v>74</v>
      </c>
      <c r="F1723" t="s">
        <v>2189</v>
      </c>
      <c r="G1723">
        <f>+IF(dHdcp[[#This Row],[Fecha]]=MAX(dHdcp[Fecha]),1,0)</f>
        <v>0</v>
      </c>
      <c r="H1723" t="str">
        <f>+dHdcp[[#This Row],[Maximo]]&amp;":"&amp;dHdcp[[#This Row],[Nombre]]</f>
        <v>0:Jesus Touceda</v>
      </c>
      <c r="I1723" t="str">
        <f>+dHdcp[[#This Row],[Maximo]]&amp;":"&amp;_xlfn.XLOOKUP(dHdcp[[#This Row],[Nombre]],dJugador[Nombre],dJugador[Mote],"",0)</f>
        <v>0:Jesús</v>
      </c>
      <c r="J1723" t="str">
        <f>+IF(dHdcp[[#This Row],[Maximo]]=0,"",_xlfn.RANK.EQ(dHdcp[[#This Row],[Handicap]],dHdcp[Handicap],1))</f>
        <v/>
      </c>
      <c r="K1723" t="str">
        <f>IFERROR(+_xlfn.RANK.EQ(dHdcp[[#This Row],[Ranking]],dHdcp[Ranking],1),"")</f>
        <v/>
      </c>
      <c r="M1723" t="str">
        <f>+dHdcp[[#This Row],[Fecha]]&amp;":"&amp;dHdcp[[#This Row],[Nombre]]</f>
        <v>45129:Jesus Touceda</v>
      </c>
      <c r="N1723">
        <f>+COUNTIF(dHdcp[Columna1],dHdcp[[#This Row],[Columna1]])</f>
        <v>1</v>
      </c>
    </row>
    <row r="1724" spans="1:14">
      <c r="A1724" s="2">
        <v>45129</v>
      </c>
      <c r="B1724" t="s">
        <v>297</v>
      </c>
      <c r="C1724" s="51">
        <v>21.6</v>
      </c>
      <c r="D1724">
        <f>+VLOOKUP(dHdcp[[#This Row],[Handicap]],'Categoría Hdcap'!$B$2:$E$7,4)</f>
        <v>4</v>
      </c>
      <c r="E1724" t="s">
        <v>74</v>
      </c>
      <c r="F1724" t="s">
        <v>2190</v>
      </c>
      <c r="G1724">
        <f>+IF(dHdcp[[#This Row],[Fecha]]=MAX(dHdcp[Fecha]),1,0)</f>
        <v>0</v>
      </c>
      <c r="H1724" t="str">
        <f>+dHdcp[[#This Row],[Maximo]]&amp;":"&amp;dHdcp[[#This Row],[Nombre]]</f>
        <v>0:Jorge Alberto Martínez Sánchez</v>
      </c>
      <c r="I1724" t="str">
        <f>+dHdcp[[#This Row],[Maximo]]&amp;":"&amp;_xlfn.XLOOKUP(dHdcp[[#This Row],[Nombre]],dJugador[Nombre],dJugador[Mote],"",0)</f>
        <v>0:Jorge</v>
      </c>
      <c r="J1724" t="str">
        <f>+IF(dHdcp[[#This Row],[Maximo]]=0,"",_xlfn.RANK.EQ(dHdcp[[#This Row],[Handicap]],dHdcp[Handicap],1))</f>
        <v/>
      </c>
      <c r="K1724" t="str">
        <f>IFERROR(+_xlfn.RANK.EQ(dHdcp[[#This Row],[Ranking]],dHdcp[Ranking],1),"")</f>
        <v/>
      </c>
      <c r="M1724" t="str">
        <f>+dHdcp[[#This Row],[Fecha]]&amp;":"&amp;dHdcp[[#This Row],[Nombre]]</f>
        <v>45129:Jorge Alberto Martínez Sánchez</v>
      </c>
      <c r="N1724">
        <f>+COUNTIF(dHdcp[Columna1],dHdcp[[#This Row],[Columna1]])</f>
        <v>1</v>
      </c>
    </row>
    <row r="1725" spans="1:14">
      <c r="A1725" s="2">
        <v>45129</v>
      </c>
      <c r="B1725" t="s">
        <v>388</v>
      </c>
      <c r="C1725" s="51">
        <v>26.199999999999992</v>
      </c>
      <c r="D1725">
        <f>+VLOOKUP(dHdcp[[#This Row],[Handicap]],'Categoría Hdcap'!$B$2:$E$7,4)</f>
        <v>4</v>
      </c>
      <c r="E1725" t="s">
        <v>74</v>
      </c>
      <c r="F1725" t="s">
        <v>2191</v>
      </c>
      <c r="G1725">
        <f>+IF(dHdcp[[#This Row],[Fecha]]=MAX(dHdcp[Fecha]),1,0)</f>
        <v>0</v>
      </c>
      <c r="H1725" t="str">
        <f>+dHdcp[[#This Row],[Maximo]]&amp;":"&amp;dHdcp[[#This Row],[Nombre]]</f>
        <v>0:Jose Antonio Santana</v>
      </c>
      <c r="I1725" t="str">
        <f>+dHdcp[[#This Row],[Maximo]]&amp;":"&amp;_xlfn.XLOOKUP(dHdcp[[#This Row],[Nombre]],dJugador[Nombre],dJugador[Mote],"",0)</f>
        <v>0:J Antonio</v>
      </c>
      <c r="J1725" t="str">
        <f>+IF(dHdcp[[#This Row],[Maximo]]=0,"",_xlfn.RANK.EQ(dHdcp[[#This Row],[Handicap]],dHdcp[Handicap],1))</f>
        <v/>
      </c>
      <c r="K1725" t="str">
        <f>IFERROR(+_xlfn.RANK.EQ(dHdcp[[#This Row],[Ranking]],dHdcp[Ranking],1),"")</f>
        <v/>
      </c>
      <c r="M1725" t="str">
        <f>+dHdcp[[#This Row],[Fecha]]&amp;":"&amp;dHdcp[[#This Row],[Nombre]]</f>
        <v>45129:Jose Antonio Santana</v>
      </c>
      <c r="N1725">
        <f>+COUNTIF(dHdcp[Columna1],dHdcp[[#This Row],[Columna1]])</f>
        <v>1</v>
      </c>
    </row>
    <row r="1726" spans="1:14">
      <c r="A1726" s="2">
        <v>45129</v>
      </c>
      <c r="B1726" t="s">
        <v>18</v>
      </c>
      <c r="C1726" s="51">
        <v>7.3999999999999977</v>
      </c>
      <c r="D1726">
        <f>+VLOOKUP(dHdcp[[#This Row],[Handicap]],'Categoría Hdcap'!$B$2:$E$7,4)</f>
        <v>2</v>
      </c>
      <c r="E1726" t="s">
        <v>74</v>
      </c>
      <c r="F1726" t="s">
        <v>2192</v>
      </c>
      <c r="G1726">
        <f>+IF(dHdcp[[#This Row],[Fecha]]=MAX(dHdcp[Fecha]),1,0)</f>
        <v>0</v>
      </c>
      <c r="H1726" t="str">
        <f>+dHdcp[[#This Row],[Maximo]]&amp;":"&amp;dHdcp[[#This Row],[Nombre]]</f>
        <v>0:José Pablo Guil</v>
      </c>
      <c r="I1726" t="str">
        <f>+dHdcp[[#This Row],[Maximo]]&amp;":"&amp;_xlfn.XLOOKUP(dHdcp[[#This Row],[Nombre]],dJugador[Nombre],dJugador[Mote],"",0)</f>
        <v>0:JP</v>
      </c>
      <c r="J1726" t="str">
        <f>+IF(dHdcp[[#This Row],[Maximo]]=0,"",_xlfn.RANK.EQ(dHdcp[[#This Row],[Handicap]],dHdcp[Handicap],1))</f>
        <v/>
      </c>
      <c r="K1726" t="str">
        <f>IFERROR(+_xlfn.RANK.EQ(dHdcp[[#This Row],[Ranking]],dHdcp[Ranking],1),"")</f>
        <v/>
      </c>
      <c r="M1726" t="str">
        <f>+dHdcp[[#This Row],[Fecha]]&amp;":"&amp;dHdcp[[#This Row],[Nombre]]</f>
        <v>45129:José Pablo Guil</v>
      </c>
      <c r="N1726">
        <f>+COUNTIF(dHdcp[Columna1],dHdcp[[#This Row],[Columna1]])</f>
        <v>1</v>
      </c>
    </row>
    <row r="1727" spans="1:14">
      <c r="A1727" s="2">
        <v>45129</v>
      </c>
      <c r="B1727" t="s">
        <v>293</v>
      </c>
      <c r="C1727" s="51">
        <v>20.300000000000004</v>
      </c>
      <c r="D1727">
        <f>+VLOOKUP(dHdcp[[#This Row],[Handicap]],'Categoría Hdcap'!$B$2:$E$7,4)</f>
        <v>4</v>
      </c>
      <c r="E1727" t="s">
        <v>74</v>
      </c>
      <c r="F1727" t="s">
        <v>2193</v>
      </c>
      <c r="G1727">
        <f>+IF(dHdcp[[#This Row],[Fecha]]=MAX(dHdcp[Fecha]),1,0)</f>
        <v>0</v>
      </c>
      <c r="H1727" t="str">
        <f>+dHdcp[[#This Row],[Maximo]]&amp;":"&amp;dHdcp[[#This Row],[Nombre]]</f>
        <v>0:Juan Jose Aguado</v>
      </c>
      <c r="I1727" t="str">
        <f>+dHdcp[[#This Row],[Maximo]]&amp;":"&amp;_xlfn.XLOOKUP(dHdcp[[#This Row],[Nombre]],dJugador[Nombre],dJugador[Mote],"",0)</f>
        <v>0:Juancho</v>
      </c>
      <c r="J1727" t="str">
        <f>+IF(dHdcp[[#This Row],[Maximo]]=0,"",_xlfn.RANK.EQ(dHdcp[[#This Row],[Handicap]],dHdcp[Handicap],1))</f>
        <v/>
      </c>
      <c r="K1727" t="str">
        <f>IFERROR(+_xlfn.RANK.EQ(dHdcp[[#This Row],[Ranking]],dHdcp[Ranking],1),"")</f>
        <v/>
      </c>
      <c r="M1727" t="str">
        <f>+dHdcp[[#This Row],[Fecha]]&amp;":"&amp;dHdcp[[#This Row],[Nombre]]</f>
        <v>45129:Juan Jose Aguado</v>
      </c>
      <c r="N1727">
        <f>+COUNTIF(dHdcp[Columna1],dHdcp[[#This Row],[Columna1]])</f>
        <v>1</v>
      </c>
    </row>
    <row r="1728" spans="1:14">
      <c r="A1728" s="2">
        <v>45129</v>
      </c>
      <c r="B1728" t="s">
        <v>375</v>
      </c>
      <c r="C1728" s="51">
        <v>10.6</v>
      </c>
      <c r="D1728">
        <f>+VLOOKUP(dHdcp[[#This Row],[Handicap]],'Categoría Hdcap'!$B$2:$E$7,4)</f>
        <v>2</v>
      </c>
      <c r="E1728" t="s">
        <v>74</v>
      </c>
      <c r="F1728" t="s">
        <v>2194</v>
      </c>
      <c r="G1728">
        <f>+IF(dHdcp[[#This Row],[Fecha]]=MAX(dHdcp[Fecha]),1,0)</f>
        <v>0</v>
      </c>
      <c r="H1728" t="str">
        <f>+dHdcp[[#This Row],[Maximo]]&amp;":"&amp;dHdcp[[#This Row],[Nombre]]</f>
        <v>0:Luis Fernandez</v>
      </c>
      <c r="I1728" t="str">
        <f>+dHdcp[[#This Row],[Maximo]]&amp;":"&amp;_xlfn.XLOOKUP(dHdcp[[#This Row],[Nombre]],dJugador[Nombre],dJugador[Mote],"",0)</f>
        <v>0:Luis</v>
      </c>
      <c r="J1728" t="str">
        <f>+IF(dHdcp[[#This Row],[Maximo]]=0,"",_xlfn.RANK.EQ(dHdcp[[#This Row],[Handicap]],dHdcp[Handicap],1))</f>
        <v/>
      </c>
      <c r="K1728" t="str">
        <f>IFERROR(+_xlfn.RANK.EQ(dHdcp[[#This Row],[Ranking]],dHdcp[Ranking],1),"")</f>
        <v/>
      </c>
      <c r="M1728" t="str">
        <f>+dHdcp[[#This Row],[Fecha]]&amp;":"&amp;dHdcp[[#This Row],[Nombre]]</f>
        <v>45129:Luis Fernandez</v>
      </c>
      <c r="N1728">
        <f>+COUNTIF(dHdcp[Columna1],dHdcp[[#This Row],[Columna1]])</f>
        <v>1</v>
      </c>
    </row>
    <row r="1729" spans="1:14">
      <c r="A1729" s="2">
        <v>45129</v>
      </c>
      <c r="B1729" t="s">
        <v>135</v>
      </c>
      <c r="C1729" s="51">
        <v>19.500000000000011</v>
      </c>
      <c r="D1729">
        <f>+VLOOKUP(dHdcp[[#This Row],[Handicap]],'Categoría Hdcap'!$B$2:$E$7,4)</f>
        <v>4</v>
      </c>
      <c r="E1729" t="s">
        <v>74</v>
      </c>
      <c r="F1729" t="s">
        <v>2195</v>
      </c>
      <c r="G1729">
        <f>+IF(dHdcp[[#This Row],[Fecha]]=MAX(dHdcp[Fecha]),1,0)</f>
        <v>0</v>
      </c>
      <c r="H1729" t="str">
        <f>+dHdcp[[#This Row],[Maximo]]&amp;":"&amp;dHdcp[[#This Row],[Nombre]]</f>
        <v>0:Miche Lopez</v>
      </c>
      <c r="I1729" t="str">
        <f>+dHdcp[[#This Row],[Maximo]]&amp;":"&amp;_xlfn.XLOOKUP(dHdcp[[#This Row],[Nombre]],dJugador[Nombre],dJugador[Mote],"",0)</f>
        <v>0:Miche</v>
      </c>
      <c r="J1729" t="str">
        <f>+IF(dHdcp[[#This Row],[Maximo]]=0,"",_xlfn.RANK.EQ(dHdcp[[#This Row],[Handicap]],dHdcp[Handicap],1))</f>
        <v/>
      </c>
      <c r="K1729" t="str">
        <f>IFERROR(+_xlfn.RANK.EQ(dHdcp[[#This Row],[Ranking]],dHdcp[Ranking],1),"")</f>
        <v/>
      </c>
      <c r="M1729" t="str">
        <f>+dHdcp[[#This Row],[Fecha]]&amp;":"&amp;dHdcp[[#This Row],[Nombre]]</f>
        <v>45129:Miche Lopez</v>
      </c>
      <c r="N1729">
        <f>+COUNTIF(dHdcp[Columna1],dHdcp[[#This Row],[Columna1]])</f>
        <v>1</v>
      </c>
    </row>
    <row r="1730" spans="1:14">
      <c r="A1730" s="2">
        <v>45129</v>
      </c>
      <c r="B1730" t="s">
        <v>205</v>
      </c>
      <c r="C1730" s="51">
        <v>6.7999999999999972</v>
      </c>
      <c r="D1730">
        <f>+VLOOKUP(dHdcp[[#This Row],[Handicap]],'Categoría Hdcap'!$B$2:$E$7,4)</f>
        <v>2</v>
      </c>
      <c r="E1730" t="s">
        <v>74</v>
      </c>
      <c r="F1730" t="s">
        <v>2196</v>
      </c>
      <c r="G1730">
        <f>+IF(dHdcp[[#This Row],[Fecha]]=MAX(dHdcp[Fecha]),1,0)</f>
        <v>0</v>
      </c>
      <c r="H1730" t="str">
        <f>+dHdcp[[#This Row],[Maximo]]&amp;":"&amp;dHdcp[[#This Row],[Nombre]]</f>
        <v>0:Nacho Casas</v>
      </c>
      <c r="I1730" t="str">
        <f>+dHdcp[[#This Row],[Maximo]]&amp;":"&amp;_xlfn.XLOOKUP(dHdcp[[#This Row],[Nombre]],dJugador[Nombre],dJugador[Mote],"",0)</f>
        <v>0:Nachete</v>
      </c>
      <c r="J1730" t="str">
        <f>+IF(dHdcp[[#This Row],[Maximo]]=0,"",_xlfn.RANK.EQ(dHdcp[[#This Row],[Handicap]],dHdcp[Handicap],1))</f>
        <v/>
      </c>
      <c r="K1730" t="str">
        <f>IFERROR(+_xlfn.RANK.EQ(dHdcp[[#This Row],[Ranking]],dHdcp[Ranking],1),"")</f>
        <v/>
      </c>
      <c r="M1730" t="str">
        <f>+dHdcp[[#This Row],[Fecha]]&amp;":"&amp;dHdcp[[#This Row],[Nombre]]</f>
        <v>45129:Nacho Casas</v>
      </c>
      <c r="N1730">
        <f>+COUNTIF(dHdcp[Columna1],dHdcp[[#This Row],[Columna1]])</f>
        <v>1</v>
      </c>
    </row>
    <row r="1731" spans="1:14">
      <c r="A1731" s="2">
        <v>45129</v>
      </c>
      <c r="B1731" t="s">
        <v>3</v>
      </c>
      <c r="C1731" s="51">
        <v>6.3999999999999995</v>
      </c>
      <c r="D1731">
        <f>+VLOOKUP(dHdcp[[#This Row],[Handicap]],'Categoría Hdcap'!$B$2:$E$7,4)</f>
        <v>2</v>
      </c>
      <c r="E1731" t="s">
        <v>74</v>
      </c>
      <c r="F1731" t="s">
        <v>2197</v>
      </c>
      <c r="G1731">
        <f>+IF(dHdcp[[#This Row],[Fecha]]=MAX(dHdcp[Fecha]),1,0)</f>
        <v>0</v>
      </c>
      <c r="H1731" t="str">
        <f>+dHdcp[[#This Row],[Maximo]]&amp;":"&amp;dHdcp[[#This Row],[Nombre]]</f>
        <v>0:Nacho Gonzalez</v>
      </c>
      <c r="I1731" t="str">
        <f>+dHdcp[[#This Row],[Maximo]]&amp;":"&amp;_xlfn.XLOOKUP(dHdcp[[#This Row],[Nombre]],dJugador[Nombre],dJugador[Mote],"",0)</f>
        <v>0:Nacho</v>
      </c>
      <c r="J1731" t="str">
        <f>+IF(dHdcp[[#This Row],[Maximo]]=0,"",_xlfn.RANK.EQ(dHdcp[[#This Row],[Handicap]],dHdcp[Handicap],1))</f>
        <v/>
      </c>
      <c r="K1731" t="str">
        <f>IFERROR(+_xlfn.RANK.EQ(dHdcp[[#This Row],[Ranking]],dHdcp[Ranking],1),"")</f>
        <v/>
      </c>
      <c r="M1731" t="str">
        <f>+dHdcp[[#This Row],[Fecha]]&amp;":"&amp;dHdcp[[#This Row],[Nombre]]</f>
        <v>45129:Nacho Gonzalez</v>
      </c>
      <c r="N1731">
        <f>+COUNTIF(dHdcp[Columna1],dHdcp[[#This Row],[Columna1]])</f>
        <v>1</v>
      </c>
    </row>
    <row r="1732" spans="1:14">
      <c r="A1732" s="2">
        <v>45129</v>
      </c>
      <c r="B1732" t="s">
        <v>203</v>
      </c>
      <c r="C1732" s="51">
        <v>16.400000000000002</v>
      </c>
      <c r="D1732">
        <f>+VLOOKUP(dHdcp[[#This Row],[Handicap]],'Categoría Hdcap'!$B$2:$E$7,4)</f>
        <v>3</v>
      </c>
      <c r="E1732" t="s">
        <v>74</v>
      </c>
      <c r="F1732" t="s">
        <v>2198</v>
      </c>
      <c r="G1732">
        <f>+IF(dHdcp[[#This Row],[Fecha]]=MAX(dHdcp[Fecha]),1,0)</f>
        <v>0</v>
      </c>
      <c r="H1732" t="str">
        <f>+dHdcp[[#This Row],[Maximo]]&amp;":"&amp;dHdcp[[#This Row],[Nombre]]</f>
        <v>0:Ruslan Kochman</v>
      </c>
      <c r="I1732" t="str">
        <f>+dHdcp[[#This Row],[Maximo]]&amp;":"&amp;_xlfn.XLOOKUP(dHdcp[[#This Row],[Nombre]],dJugador[Nombre],dJugador[Mote],"",0)</f>
        <v>0:Rus</v>
      </c>
      <c r="J1732" t="str">
        <f>+IF(dHdcp[[#This Row],[Maximo]]=0,"",_xlfn.RANK.EQ(dHdcp[[#This Row],[Handicap]],dHdcp[Handicap],1))</f>
        <v/>
      </c>
      <c r="K1732" t="str">
        <f>IFERROR(+_xlfn.RANK.EQ(dHdcp[[#This Row],[Ranking]],dHdcp[Ranking],1),"")</f>
        <v/>
      </c>
      <c r="M1732" t="str">
        <f>+dHdcp[[#This Row],[Fecha]]&amp;":"&amp;dHdcp[[#This Row],[Nombre]]</f>
        <v>45129:Ruslan Kochman</v>
      </c>
      <c r="N1732">
        <f>+COUNTIF(dHdcp[Columna1],dHdcp[[#This Row],[Columna1]])</f>
        <v>1</v>
      </c>
    </row>
    <row r="1733" spans="1:14">
      <c r="A1733" s="2">
        <v>45129</v>
      </c>
      <c r="B1733" t="s">
        <v>271</v>
      </c>
      <c r="C1733" s="51">
        <v>16.399999999999999</v>
      </c>
      <c r="D1733">
        <f>+VLOOKUP(dHdcp[[#This Row],[Handicap]],'Categoría Hdcap'!$B$2:$E$7,4)</f>
        <v>3</v>
      </c>
      <c r="E1733" t="s">
        <v>74</v>
      </c>
      <c r="F1733" t="s">
        <v>2199</v>
      </c>
      <c r="G1733">
        <f>+IF(dHdcp[[#This Row],[Fecha]]=MAX(dHdcp[Fecha]),1,0)</f>
        <v>0</v>
      </c>
      <c r="H1733" t="str">
        <f>+dHdcp[[#This Row],[Maximo]]&amp;":"&amp;dHdcp[[#This Row],[Nombre]]</f>
        <v>0:Santi Diaz</v>
      </c>
      <c r="I1733" t="str">
        <f>+dHdcp[[#This Row],[Maximo]]&amp;":"&amp;_xlfn.XLOOKUP(dHdcp[[#This Row],[Nombre]],dJugador[Nombre],dJugador[Mote],"",0)</f>
        <v>0:Santi</v>
      </c>
      <c r="J1733" t="str">
        <f>+IF(dHdcp[[#This Row],[Maximo]]=0,"",_xlfn.RANK.EQ(dHdcp[[#This Row],[Handicap]],dHdcp[Handicap],1))</f>
        <v/>
      </c>
      <c r="K1733" t="str">
        <f>IFERROR(+_xlfn.RANK.EQ(dHdcp[[#This Row],[Ranking]],dHdcp[Ranking],1),"")</f>
        <v/>
      </c>
      <c r="M1733" t="str">
        <f>+dHdcp[[#This Row],[Fecha]]&amp;":"&amp;dHdcp[[#This Row],[Nombre]]</f>
        <v>45129:Santi Diaz</v>
      </c>
      <c r="N1733">
        <f>+COUNTIF(dHdcp[Columna1],dHdcp[[#This Row],[Columna1]])</f>
        <v>1</v>
      </c>
    </row>
    <row r="1734" spans="1:14">
      <c r="A1734" s="2">
        <v>45192</v>
      </c>
      <c r="B1734" t="s">
        <v>259</v>
      </c>
      <c r="C1734" s="51">
        <v>0.99999999999999845</v>
      </c>
      <c r="D1734">
        <f>+VLOOKUP(dHdcp[[#This Row],[Handicap]],'Categoría Hdcap'!$B$2:$E$7,4)</f>
        <v>1</v>
      </c>
      <c r="E1734" t="s">
        <v>74</v>
      </c>
      <c r="F1734" t="s">
        <v>2200</v>
      </c>
      <c r="G1734">
        <f>+IF(dHdcp[[#This Row],[Fecha]]=MAX(dHdcp[Fecha]),1,0)</f>
        <v>0</v>
      </c>
      <c r="H1734" t="str">
        <f>+dHdcp[[#This Row],[Maximo]]&amp;":"&amp;dHdcp[[#This Row],[Nombre]]</f>
        <v>0:Alejandro Arcos</v>
      </c>
      <c r="I1734" t="str">
        <f>+dHdcp[[#This Row],[Maximo]]&amp;":"&amp;_xlfn.XLOOKUP(dHdcp[[#This Row],[Nombre]],dJugador[Nombre],dJugador[Mote],"",0)</f>
        <v>0:Alex</v>
      </c>
      <c r="J1734" t="str">
        <f>+IF(dHdcp[[#This Row],[Maximo]]=0,"",_xlfn.RANK.EQ(dHdcp[[#This Row],[Handicap]],dHdcp[Handicap],1))</f>
        <v/>
      </c>
      <c r="K1734" t="str">
        <f>IFERROR(+_xlfn.RANK.EQ(dHdcp[[#This Row],[Ranking]],dHdcp[Ranking],1),"")</f>
        <v/>
      </c>
      <c r="M1734" t="str">
        <f>+dHdcp[[#This Row],[Fecha]]&amp;":"&amp;dHdcp[[#This Row],[Nombre]]</f>
        <v>45192:Alejandro Arcos</v>
      </c>
      <c r="N1734">
        <f>+COUNTIF(dHdcp[Columna1],dHdcp[[#This Row],[Columna1]])</f>
        <v>1</v>
      </c>
    </row>
    <row r="1735" spans="1:14">
      <c r="A1735" s="2">
        <v>45192</v>
      </c>
      <c r="B1735" t="s">
        <v>9</v>
      </c>
      <c r="C1735" s="51">
        <v>11.3</v>
      </c>
      <c r="D1735">
        <f>+VLOOKUP(dHdcp[[#This Row],[Handicap]],'Categoría Hdcap'!$B$2:$E$7,4)</f>
        <v>2</v>
      </c>
      <c r="E1735" t="s">
        <v>74</v>
      </c>
      <c r="F1735" t="s">
        <v>2201</v>
      </c>
      <c r="G1735">
        <f>+IF(dHdcp[[#This Row],[Fecha]]=MAX(dHdcp[Fecha]),1,0)</f>
        <v>0</v>
      </c>
      <c r="H1735" t="str">
        <f>+dHdcp[[#This Row],[Maximo]]&amp;":"&amp;dHdcp[[#This Row],[Nombre]]</f>
        <v>0:Alfonso Hidalgo</v>
      </c>
      <c r="I1735" t="str">
        <f>+dHdcp[[#This Row],[Maximo]]&amp;":"&amp;_xlfn.XLOOKUP(dHdcp[[#This Row],[Nombre]],dJugador[Nombre],dJugador[Mote],"",0)</f>
        <v>0:Alfonso</v>
      </c>
      <c r="J1735" t="str">
        <f>+IF(dHdcp[[#This Row],[Maximo]]=0,"",_xlfn.RANK.EQ(dHdcp[[#This Row],[Handicap]],dHdcp[Handicap],1))</f>
        <v/>
      </c>
      <c r="K1735" t="str">
        <f>IFERROR(+_xlfn.RANK.EQ(dHdcp[[#This Row],[Ranking]],dHdcp[Ranking],1),"")</f>
        <v/>
      </c>
      <c r="M1735" t="str">
        <f>+dHdcp[[#This Row],[Fecha]]&amp;":"&amp;dHdcp[[#This Row],[Nombre]]</f>
        <v>45192:Alfonso Hidalgo</v>
      </c>
      <c r="N1735">
        <f>+COUNTIF(dHdcp[Columna1],dHdcp[[#This Row],[Columna1]])</f>
        <v>1</v>
      </c>
    </row>
    <row r="1736" spans="1:14">
      <c r="A1736" s="2">
        <v>45192</v>
      </c>
      <c r="B1736" t="s">
        <v>229</v>
      </c>
      <c r="C1736" s="51">
        <v>14.1</v>
      </c>
      <c r="D1736">
        <f>+VLOOKUP(dHdcp[[#This Row],[Handicap]],'Categoría Hdcap'!$B$2:$E$7,4)</f>
        <v>3</v>
      </c>
      <c r="E1736" t="s">
        <v>74</v>
      </c>
      <c r="F1736" t="s">
        <v>2202</v>
      </c>
      <c r="G1736">
        <f>+IF(dHdcp[[#This Row],[Fecha]]=MAX(dHdcp[Fecha]),1,0)</f>
        <v>0</v>
      </c>
      <c r="H1736" t="str">
        <f>+dHdcp[[#This Row],[Maximo]]&amp;":"&amp;dHdcp[[#This Row],[Nombre]]</f>
        <v>0:Alfonso Zorrilla</v>
      </c>
      <c r="I1736" t="str">
        <f>+dHdcp[[#This Row],[Maximo]]&amp;":"&amp;_xlfn.XLOOKUP(dHdcp[[#This Row],[Nombre]],dJugador[Nombre],dJugador[Mote],"",0)</f>
        <v>0:A Zorrilla</v>
      </c>
      <c r="J1736" t="str">
        <f>+IF(dHdcp[[#This Row],[Maximo]]=0,"",_xlfn.RANK.EQ(dHdcp[[#This Row],[Handicap]],dHdcp[Handicap],1))</f>
        <v/>
      </c>
      <c r="K1736" t="str">
        <f>IFERROR(+_xlfn.RANK.EQ(dHdcp[[#This Row],[Ranking]],dHdcp[Ranking],1),"")</f>
        <v/>
      </c>
      <c r="M1736" t="str">
        <f>+dHdcp[[#This Row],[Fecha]]&amp;":"&amp;dHdcp[[#This Row],[Nombre]]</f>
        <v>45192:Alfonso Zorrilla</v>
      </c>
      <c r="N1736">
        <f>+COUNTIF(dHdcp[Columna1],dHdcp[[#This Row],[Columna1]])</f>
        <v>1</v>
      </c>
    </row>
    <row r="1737" spans="1:14">
      <c r="A1737" s="2">
        <v>45192</v>
      </c>
      <c r="B1737" t="s">
        <v>15</v>
      </c>
      <c r="C1737" s="51">
        <v>5.6</v>
      </c>
      <c r="D1737">
        <f>+VLOOKUP(dHdcp[[#This Row],[Handicap]],'Categoría Hdcap'!$B$2:$E$7,4)</f>
        <v>2</v>
      </c>
      <c r="E1737" t="s">
        <v>74</v>
      </c>
      <c r="F1737" t="s">
        <v>2203</v>
      </c>
      <c r="G1737">
        <f>+IF(dHdcp[[#This Row],[Fecha]]=MAX(dHdcp[Fecha]),1,0)</f>
        <v>0</v>
      </c>
      <c r="H1737" t="str">
        <f>+dHdcp[[#This Row],[Maximo]]&amp;":"&amp;dHdcp[[#This Row],[Nombre]]</f>
        <v>0:Alvaro Aguirre</v>
      </c>
      <c r="I1737" t="str">
        <f>+dHdcp[[#This Row],[Maximo]]&amp;":"&amp;_xlfn.XLOOKUP(dHdcp[[#This Row],[Nombre]],dJugador[Nombre],dJugador[Mote],"",0)</f>
        <v>0:Gifu</v>
      </c>
      <c r="J1737" t="str">
        <f>+IF(dHdcp[[#This Row],[Maximo]]=0,"",_xlfn.RANK.EQ(dHdcp[[#This Row],[Handicap]],dHdcp[Handicap],1))</f>
        <v/>
      </c>
      <c r="K1737" t="str">
        <f>IFERROR(+_xlfn.RANK.EQ(dHdcp[[#This Row],[Ranking]],dHdcp[Ranking],1),"")</f>
        <v/>
      </c>
      <c r="M1737" t="str">
        <f>+dHdcp[[#This Row],[Fecha]]&amp;":"&amp;dHdcp[[#This Row],[Nombre]]</f>
        <v>45192:Alvaro Aguirre</v>
      </c>
      <c r="N1737">
        <f>+COUNTIF(dHdcp[Columna1],dHdcp[[#This Row],[Columna1]])</f>
        <v>1</v>
      </c>
    </row>
    <row r="1738" spans="1:14">
      <c r="A1738" s="2">
        <v>45192</v>
      </c>
      <c r="B1738" t="s">
        <v>201</v>
      </c>
      <c r="C1738" s="51">
        <v>9.6000000000000032</v>
      </c>
      <c r="D1738">
        <f>+VLOOKUP(dHdcp[[#This Row],[Handicap]],'Categoría Hdcap'!$B$2:$E$7,4)</f>
        <v>2</v>
      </c>
      <c r="E1738" t="s">
        <v>74</v>
      </c>
      <c r="F1738" t="s">
        <v>2204</v>
      </c>
      <c r="G1738">
        <f>+IF(dHdcp[[#This Row],[Fecha]]=MAX(dHdcp[Fecha]),1,0)</f>
        <v>0</v>
      </c>
      <c r="H1738" t="str">
        <f>+dHdcp[[#This Row],[Maximo]]&amp;":"&amp;dHdcp[[#This Row],[Nombre]]</f>
        <v>0:Alvaro Montoya</v>
      </c>
      <c r="I1738" t="str">
        <f>+dHdcp[[#This Row],[Maximo]]&amp;":"&amp;_xlfn.XLOOKUP(dHdcp[[#This Row],[Nombre]],dJugador[Nombre],dJugador[Mote],"",0)</f>
        <v>0:Monti</v>
      </c>
      <c r="J1738" t="str">
        <f>+IF(dHdcp[[#This Row],[Maximo]]=0,"",_xlfn.RANK.EQ(dHdcp[[#This Row],[Handicap]],dHdcp[Handicap],1))</f>
        <v/>
      </c>
      <c r="K1738" t="str">
        <f>IFERROR(+_xlfn.RANK.EQ(dHdcp[[#This Row],[Ranking]],dHdcp[Ranking],1),"")</f>
        <v/>
      </c>
      <c r="M1738" t="str">
        <f>+dHdcp[[#This Row],[Fecha]]&amp;":"&amp;dHdcp[[#This Row],[Nombre]]</f>
        <v>45192:Alvaro Montoya</v>
      </c>
      <c r="N1738">
        <f>+COUNTIF(dHdcp[Columna1],dHdcp[[#This Row],[Columna1]])</f>
        <v>1</v>
      </c>
    </row>
    <row r="1739" spans="1:14">
      <c r="A1739" s="2">
        <v>45192</v>
      </c>
      <c r="B1739" t="s">
        <v>25</v>
      </c>
      <c r="C1739" s="51">
        <v>12.9</v>
      </c>
      <c r="D1739">
        <f>+VLOOKUP(dHdcp[[#This Row],[Handicap]],'Categoría Hdcap'!$B$2:$E$7,4)</f>
        <v>3</v>
      </c>
      <c r="E1739" t="s">
        <v>74</v>
      </c>
      <c r="F1739" t="s">
        <v>2205</v>
      </c>
      <c r="G1739">
        <f>+IF(dHdcp[[#This Row],[Fecha]]=MAX(dHdcp[Fecha]),1,0)</f>
        <v>0</v>
      </c>
      <c r="H1739" t="str">
        <f>+dHdcp[[#This Row],[Maximo]]&amp;":"&amp;dHdcp[[#This Row],[Nombre]]</f>
        <v>0:Alvaro Nieto</v>
      </c>
      <c r="I1739" t="str">
        <f>+dHdcp[[#This Row],[Maximo]]&amp;":"&amp;_xlfn.XLOOKUP(dHdcp[[#This Row],[Nombre]],dJugador[Nombre],dJugador[Mote],"",0)</f>
        <v>0:Alvaro</v>
      </c>
      <c r="J1739" t="str">
        <f>+IF(dHdcp[[#This Row],[Maximo]]=0,"",_xlfn.RANK.EQ(dHdcp[[#This Row],[Handicap]],dHdcp[Handicap],1))</f>
        <v/>
      </c>
      <c r="K1739" t="str">
        <f>IFERROR(+_xlfn.RANK.EQ(dHdcp[[#This Row],[Ranking]],dHdcp[Ranking],1),"")</f>
        <v/>
      </c>
      <c r="M1739" t="str">
        <f>+dHdcp[[#This Row],[Fecha]]&amp;":"&amp;dHdcp[[#This Row],[Nombre]]</f>
        <v>45192:Alvaro Nieto</v>
      </c>
      <c r="N1739">
        <f>+COUNTIF(dHdcp[Columna1],dHdcp[[#This Row],[Columna1]])</f>
        <v>1</v>
      </c>
    </row>
    <row r="1740" spans="1:14">
      <c r="A1740" s="2">
        <v>45192</v>
      </c>
      <c r="B1740" t="s">
        <v>33</v>
      </c>
      <c r="C1740" s="51">
        <v>8</v>
      </c>
      <c r="D1740">
        <f>+VLOOKUP(dHdcp[[#This Row],[Handicap]],'Categoría Hdcap'!$B$2:$E$7,4)</f>
        <v>2</v>
      </c>
      <c r="E1740" t="s">
        <v>74</v>
      </c>
      <c r="F1740" t="s">
        <v>2206</v>
      </c>
      <c r="G1740">
        <f>+IF(dHdcp[[#This Row],[Fecha]]=MAX(dHdcp[Fecha]),1,0)</f>
        <v>0</v>
      </c>
      <c r="H1740" t="str">
        <f>+dHdcp[[#This Row],[Maximo]]&amp;":"&amp;dHdcp[[#This Row],[Nombre]]</f>
        <v>0:Angel Hernandez</v>
      </c>
      <c r="I1740" t="str">
        <f>+dHdcp[[#This Row],[Maximo]]&amp;":"&amp;_xlfn.XLOOKUP(dHdcp[[#This Row],[Nombre]],dJugador[Nombre],dJugador[Mote],"",0)</f>
        <v>0:Angel</v>
      </c>
      <c r="J1740" t="str">
        <f>+IF(dHdcp[[#This Row],[Maximo]]=0,"",_xlfn.RANK.EQ(dHdcp[[#This Row],[Handicap]],dHdcp[Handicap],1))</f>
        <v/>
      </c>
      <c r="K1740" t="str">
        <f>IFERROR(+_xlfn.RANK.EQ(dHdcp[[#This Row],[Ranking]],dHdcp[Ranking],1),"")</f>
        <v/>
      </c>
      <c r="M1740" t="str">
        <f>+dHdcp[[#This Row],[Fecha]]&amp;":"&amp;dHdcp[[#This Row],[Nombre]]</f>
        <v>45192:Angel Hernandez</v>
      </c>
      <c r="N1740">
        <f>+COUNTIF(dHdcp[Columna1],dHdcp[[#This Row],[Columna1]])</f>
        <v>1</v>
      </c>
    </row>
    <row r="1741" spans="1:14">
      <c r="A1741" s="2">
        <v>45192</v>
      </c>
      <c r="B1741" t="s">
        <v>264</v>
      </c>
      <c r="C1741" s="51">
        <v>19.8</v>
      </c>
      <c r="D1741">
        <f>+VLOOKUP(dHdcp[[#This Row],[Handicap]],'Categoría Hdcap'!$B$2:$E$7,4)</f>
        <v>4</v>
      </c>
      <c r="E1741" t="s">
        <v>74</v>
      </c>
      <c r="F1741" t="s">
        <v>2207</v>
      </c>
      <c r="G1741">
        <f>+IF(dHdcp[[#This Row],[Fecha]]=MAX(dHdcp[Fecha]),1,0)</f>
        <v>0</v>
      </c>
      <c r="H1741" t="str">
        <f>+dHdcp[[#This Row],[Maximo]]&amp;":"&amp;dHdcp[[#This Row],[Nombre]]</f>
        <v>0:Antonio Carmona</v>
      </c>
      <c r="I1741" t="str">
        <f>+dHdcp[[#This Row],[Maximo]]&amp;":"&amp;_xlfn.XLOOKUP(dHdcp[[#This Row],[Nombre]],dJugador[Nombre],dJugador[Mote],"",0)</f>
        <v>0:Antonio</v>
      </c>
      <c r="J1741" t="str">
        <f>+IF(dHdcp[[#This Row],[Maximo]]=0,"",_xlfn.RANK.EQ(dHdcp[[#This Row],[Handicap]],dHdcp[Handicap],1))</f>
        <v/>
      </c>
      <c r="K1741" t="str">
        <f>IFERROR(+_xlfn.RANK.EQ(dHdcp[[#This Row],[Ranking]],dHdcp[Ranking],1),"")</f>
        <v/>
      </c>
      <c r="M1741" t="str">
        <f>+dHdcp[[#This Row],[Fecha]]&amp;":"&amp;dHdcp[[#This Row],[Nombre]]</f>
        <v>45192:Antonio Carmona</v>
      </c>
      <c r="N1741">
        <f>+COUNTIF(dHdcp[Columna1],dHdcp[[#This Row],[Columna1]])</f>
        <v>1</v>
      </c>
    </row>
    <row r="1742" spans="1:14">
      <c r="A1742" s="2">
        <v>45192</v>
      </c>
      <c r="B1742" t="s">
        <v>291</v>
      </c>
      <c r="C1742" s="51">
        <v>0.99999999999999933</v>
      </c>
      <c r="D1742">
        <f>+VLOOKUP(dHdcp[[#This Row],[Handicap]],'Categoría Hdcap'!$B$2:$E$7,4)</f>
        <v>1</v>
      </c>
      <c r="E1742" t="s">
        <v>74</v>
      </c>
      <c r="F1742" t="s">
        <v>2208</v>
      </c>
      <c r="G1742">
        <f>+IF(dHdcp[[#This Row],[Fecha]]=MAX(dHdcp[Fecha]),1,0)</f>
        <v>0</v>
      </c>
      <c r="H1742" t="str">
        <f>+dHdcp[[#This Row],[Maximo]]&amp;":"&amp;dHdcp[[#This Row],[Nombre]]</f>
        <v>0:Carlos Maestro</v>
      </c>
      <c r="I1742" t="str">
        <f>+dHdcp[[#This Row],[Maximo]]&amp;":"&amp;_xlfn.XLOOKUP(dHdcp[[#This Row],[Nombre]],dJugador[Nombre],dJugador[Mote],"",0)</f>
        <v>0:Carlitos</v>
      </c>
      <c r="J1742" t="str">
        <f>+IF(dHdcp[[#This Row],[Maximo]]=0,"",_xlfn.RANK.EQ(dHdcp[[#This Row],[Handicap]],dHdcp[Handicap],1))</f>
        <v/>
      </c>
      <c r="K1742" t="str">
        <f>IFERROR(+_xlfn.RANK.EQ(dHdcp[[#This Row],[Ranking]],dHdcp[Ranking],1),"")</f>
        <v/>
      </c>
      <c r="M1742" t="str">
        <f>+dHdcp[[#This Row],[Fecha]]&amp;":"&amp;dHdcp[[#This Row],[Nombre]]</f>
        <v>45192:Carlos Maestro</v>
      </c>
      <c r="N1742">
        <f>+COUNTIF(dHdcp[Columna1],dHdcp[[#This Row],[Columna1]])</f>
        <v>1</v>
      </c>
    </row>
    <row r="1743" spans="1:14">
      <c r="A1743" s="2">
        <v>45192</v>
      </c>
      <c r="B1743" t="s">
        <v>30</v>
      </c>
      <c r="C1743" s="51">
        <v>11.10000000000001</v>
      </c>
      <c r="D1743">
        <f>+VLOOKUP(dHdcp[[#This Row],[Handicap]],'Categoría Hdcap'!$B$2:$E$7,4)</f>
        <v>2</v>
      </c>
      <c r="E1743" t="s">
        <v>74</v>
      </c>
      <c r="F1743" t="s">
        <v>2209</v>
      </c>
      <c r="G1743">
        <f>+IF(dHdcp[[#This Row],[Fecha]]=MAX(dHdcp[Fecha]),1,0)</f>
        <v>0</v>
      </c>
      <c r="H1743" t="str">
        <f>+dHdcp[[#This Row],[Maximo]]&amp;":"&amp;dHdcp[[#This Row],[Nombre]]</f>
        <v>0:David Sequera</v>
      </c>
      <c r="I1743" t="str">
        <f>+dHdcp[[#This Row],[Maximo]]&amp;":"&amp;_xlfn.XLOOKUP(dHdcp[[#This Row],[Nombre]],dJugador[Nombre],dJugador[Mote],"",0)</f>
        <v>0:David</v>
      </c>
      <c r="J1743" t="str">
        <f>+IF(dHdcp[[#This Row],[Maximo]]=0,"",_xlfn.RANK.EQ(dHdcp[[#This Row],[Handicap]],dHdcp[Handicap],1))</f>
        <v/>
      </c>
      <c r="K1743" t="str">
        <f>IFERROR(+_xlfn.RANK.EQ(dHdcp[[#This Row],[Ranking]],dHdcp[Ranking],1),"")</f>
        <v/>
      </c>
      <c r="M1743" t="str">
        <f>+dHdcp[[#This Row],[Fecha]]&amp;":"&amp;dHdcp[[#This Row],[Nombre]]</f>
        <v>45192:David Sequera</v>
      </c>
      <c r="N1743">
        <f>+COUNTIF(dHdcp[Columna1],dHdcp[[#This Row],[Columna1]])</f>
        <v>1</v>
      </c>
    </row>
    <row r="1744" spans="1:14">
      <c r="A1744" s="2">
        <v>45192</v>
      </c>
      <c r="B1744" t="s">
        <v>326</v>
      </c>
      <c r="C1744" s="51">
        <v>16.7</v>
      </c>
      <c r="D1744">
        <f>+VLOOKUP(dHdcp[[#This Row],[Handicap]],'Categoría Hdcap'!$B$2:$E$7,4)</f>
        <v>3</v>
      </c>
      <c r="E1744" t="s">
        <v>74</v>
      </c>
      <c r="F1744" t="s">
        <v>2210</v>
      </c>
      <c r="G1744">
        <f>+IF(dHdcp[[#This Row],[Fecha]]=MAX(dHdcp[Fecha]),1,0)</f>
        <v>0</v>
      </c>
      <c r="H1744" t="str">
        <f>+dHdcp[[#This Row],[Maximo]]&amp;":"&amp;dHdcp[[#This Row],[Nombre]]</f>
        <v>0:Eduardo Buendía</v>
      </c>
      <c r="I1744" t="str">
        <f>+dHdcp[[#This Row],[Maximo]]&amp;":"&amp;_xlfn.XLOOKUP(dHdcp[[#This Row],[Nombre]],dJugador[Nombre],dJugador[Mote],"",0)</f>
        <v>0:Eduardo</v>
      </c>
      <c r="J1744" t="str">
        <f>+IF(dHdcp[[#This Row],[Maximo]]=0,"",_xlfn.RANK.EQ(dHdcp[[#This Row],[Handicap]],dHdcp[Handicap],1))</f>
        <v/>
      </c>
      <c r="K1744" t="str">
        <f>IFERROR(+_xlfn.RANK.EQ(dHdcp[[#This Row],[Ranking]],dHdcp[Ranking],1),"")</f>
        <v/>
      </c>
      <c r="M1744" t="str">
        <f>+dHdcp[[#This Row],[Fecha]]&amp;":"&amp;dHdcp[[#This Row],[Nombre]]</f>
        <v>45192:Eduardo Buendía</v>
      </c>
      <c r="N1744">
        <f>+COUNTIF(dHdcp[Columna1],dHdcp[[#This Row],[Columna1]])</f>
        <v>1</v>
      </c>
    </row>
    <row r="1745" spans="1:14">
      <c r="A1745" s="2">
        <v>45192</v>
      </c>
      <c r="B1745" t="s">
        <v>248</v>
      </c>
      <c r="C1745" s="51">
        <v>11.2</v>
      </c>
      <c r="D1745">
        <f>+VLOOKUP(dHdcp[[#This Row],[Handicap]],'Categoría Hdcap'!$B$2:$E$7,4)</f>
        <v>2</v>
      </c>
      <c r="E1745" t="s">
        <v>74</v>
      </c>
      <c r="F1745" t="s">
        <v>2211</v>
      </c>
      <c r="G1745">
        <f>+IF(dHdcp[[#This Row],[Fecha]]=MAX(dHdcp[Fecha]),1,0)</f>
        <v>0</v>
      </c>
      <c r="H1745" t="str">
        <f>+dHdcp[[#This Row],[Maximo]]&amp;":"&amp;dHdcp[[#This Row],[Nombre]]</f>
        <v>0:Enrique Gonzalez R</v>
      </c>
      <c r="I1745" t="str">
        <f>+dHdcp[[#This Row],[Maximo]]&amp;":"&amp;_xlfn.XLOOKUP(dHdcp[[#This Row],[Nombre]],dJugador[Nombre],dJugador[Mote],"",0)</f>
        <v>0:Enrique</v>
      </c>
      <c r="J1745" t="str">
        <f>+IF(dHdcp[[#This Row],[Maximo]]=0,"",_xlfn.RANK.EQ(dHdcp[[#This Row],[Handicap]],dHdcp[Handicap],1))</f>
        <v/>
      </c>
      <c r="K1745" t="str">
        <f>IFERROR(+_xlfn.RANK.EQ(dHdcp[[#This Row],[Ranking]],dHdcp[Ranking],1),"")</f>
        <v/>
      </c>
      <c r="M1745" t="str">
        <f>+dHdcp[[#This Row],[Fecha]]&amp;":"&amp;dHdcp[[#This Row],[Nombre]]</f>
        <v>45192:Enrique Gonzalez R</v>
      </c>
      <c r="N1745">
        <f>+COUNTIF(dHdcp[Columna1],dHdcp[[#This Row],[Columna1]])</f>
        <v>1</v>
      </c>
    </row>
    <row r="1746" spans="1:14">
      <c r="A1746" s="2">
        <v>45192</v>
      </c>
      <c r="B1746" t="s">
        <v>12</v>
      </c>
      <c r="C1746" s="51">
        <v>15</v>
      </c>
      <c r="D1746">
        <f>+VLOOKUP(dHdcp[[#This Row],[Handicap]],'Categoría Hdcap'!$B$2:$E$7,4)</f>
        <v>3</v>
      </c>
      <c r="E1746" t="s">
        <v>74</v>
      </c>
      <c r="F1746" t="s">
        <v>2212</v>
      </c>
      <c r="G1746">
        <f>+IF(dHdcp[[#This Row],[Fecha]]=MAX(dHdcp[Fecha]),1,0)</f>
        <v>0</v>
      </c>
      <c r="H1746" t="str">
        <f>+dHdcp[[#This Row],[Maximo]]&amp;":"&amp;dHdcp[[#This Row],[Nombre]]</f>
        <v>0:Francisco Alvarez</v>
      </c>
      <c r="I1746" t="str">
        <f>+dHdcp[[#This Row],[Maximo]]&amp;":"&amp;_xlfn.XLOOKUP(dHdcp[[#This Row],[Nombre]],dJugador[Nombre],dJugador[Mote],"",0)</f>
        <v>0:Paco</v>
      </c>
      <c r="J1746" t="str">
        <f>+IF(dHdcp[[#This Row],[Maximo]]=0,"",_xlfn.RANK.EQ(dHdcp[[#This Row],[Handicap]],dHdcp[Handicap],1))</f>
        <v/>
      </c>
      <c r="K1746" t="str">
        <f>IFERROR(+_xlfn.RANK.EQ(dHdcp[[#This Row],[Ranking]],dHdcp[Ranking],1),"")</f>
        <v/>
      </c>
      <c r="M1746" t="str">
        <f>+dHdcp[[#This Row],[Fecha]]&amp;":"&amp;dHdcp[[#This Row],[Nombre]]</f>
        <v>45192:Francisco Alvarez</v>
      </c>
      <c r="N1746">
        <f>+COUNTIF(dHdcp[Columna1],dHdcp[[#This Row],[Columna1]])</f>
        <v>1</v>
      </c>
    </row>
    <row r="1747" spans="1:14">
      <c r="A1747" s="2">
        <v>45192</v>
      </c>
      <c r="B1747" t="s">
        <v>49</v>
      </c>
      <c r="C1747" s="51">
        <v>12.199999999999998</v>
      </c>
      <c r="D1747">
        <f>+VLOOKUP(dHdcp[[#This Row],[Handicap]],'Categoría Hdcap'!$B$2:$E$7,4)</f>
        <v>3</v>
      </c>
      <c r="E1747" t="s">
        <v>74</v>
      </c>
      <c r="F1747" t="s">
        <v>2213</v>
      </c>
      <c r="G1747">
        <f>+IF(dHdcp[[#This Row],[Fecha]]=MAX(dHdcp[Fecha]),1,0)</f>
        <v>0</v>
      </c>
      <c r="H1747" t="str">
        <f>+dHdcp[[#This Row],[Maximo]]&amp;":"&amp;dHdcp[[#This Row],[Nombre]]</f>
        <v>0:Francisco Hidalgo</v>
      </c>
      <c r="I1747" t="str">
        <f>+dHdcp[[#This Row],[Maximo]]&amp;":"&amp;_xlfn.XLOOKUP(dHdcp[[#This Row],[Nombre]],dJugador[Nombre],dJugador[Mote],"",0)</f>
        <v>0:Fran</v>
      </c>
      <c r="J1747" t="str">
        <f>+IF(dHdcp[[#This Row],[Maximo]]=0,"",_xlfn.RANK.EQ(dHdcp[[#This Row],[Handicap]],dHdcp[Handicap],1))</f>
        <v/>
      </c>
      <c r="K1747" t="str">
        <f>IFERROR(+_xlfn.RANK.EQ(dHdcp[[#This Row],[Ranking]],dHdcp[Ranking],1),"")</f>
        <v/>
      </c>
      <c r="M1747" t="str">
        <f>+dHdcp[[#This Row],[Fecha]]&amp;":"&amp;dHdcp[[#This Row],[Nombre]]</f>
        <v>45192:Francisco Hidalgo</v>
      </c>
      <c r="N1747">
        <f>+COUNTIF(dHdcp[Columna1],dHdcp[[#This Row],[Columna1]])</f>
        <v>1</v>
      </c>
    </row>
    <row r="1748" spans="1:14">
      <c r="A1748" s="2">
        <v>45192</v>
      </c>
      <c r="B1748" t="s">
        <v>207</v>
      </c>
      <c r="C1748" s="51">
        <v>14.499999999999998</v>
      </c>
      <c r="D1748">
        <f>+VLOOKUP(dHdcp[[#This Row],[Handicap]],'Categoría Hdcap'!$B$2:$E$7,4)</f>
        <v>3</v>
      </c>
      <c r="E1748" t="s">
        <v>74</v>
      </c>
      <c r="F1748" t="s">
        <v>2214</v>
      </c>
      <c r="G1748">
        <f>+IF(dHdcp[[#This Row],[Fecha]]=MAX(dHdcp[Fecha]),1,0)</f>
        <v>0</v>
      </c>
      <c r="H1748" t="str">
        <f>+dHdcp[[#This Row],[Maximo]]&amp;":"&amp;dHdcp[[#This Row],[Nombre]]</f>
        <v>0:Franck Benouniche</v>
      </c>
      <c r="I1748" t="str">
        <f>+dHdcp[[#This Row],[Maximo]]&amp;":"&amp;_xlfn.XLOOKUP(dHdcp[[#This Row],[Nombre]],dJugador[Nombre],dJugador[Mote],"",0)</f>
        <v>0:Franck</v>
      </c>
      <c r="J1748" t="str">
        <f>+IF(dHdcp[[#This Row],[Maximo]]=0,"",_xlfn.RANK.EQ(dHdcp[[#This Row],[Handicap]],dHdcp[Handicap],1))</f>
        <v/>
      </c>
      <c r="K1748" t="str">
        <f>IFERROR(+_xlfn.RANK.EQ(dHdcp[[#This Row],[Ranking]],dHdcp[Ranking],1),"")</f>
        <v/>
      </c>
      <c r="M1748" t="str">
        <f>+dHdcp[[#This Row],[Fecha]]&amp;":"&amp;dHdcp[[#This Row],[Nombre]]</f>
        <v>45192:Franck Benouniche</v>
      </c>
      <c r="N1748">
        <f>+COUNTIF(dHdcp[Columna1],dHdcp[[#This Row],[Columna1]])</f>
        <v>1</v>
      </c>
    </row>
    <row r="1749" spans="1:14">
      <c r="A1749" s="2">
        <v>45192</v>
      </c>
      <c r="B1749" t="s">
        <v>35</v>
      </c>
      <c r="C1749" s="51">
        <v>19.2</v>
      </c>
      <c r="D1749">
        <f>+VLOOKUP(dHdcp[[#This Row],[Handicap]],'Categoría Hdcap'!$B$2:$E$7,4)</f>
        <v>4</v>
      </c>
      <c r="E1749" t="s">
        <v>74</v>
      </c>
      <c r="F1749" t="s">
        <v>2215</v>
      </c>
      <c r="G1749">
        <f>+IF(dHdcp[[#This Row],[Fecha]]=MAX(dHdcp[Fecha]),1,0)</f>
        <v>0</v>
      </c>
      <c r="H1749" t="str">
        <f>+dHdcp[[#This Row],[Maximo]]&amp;":"&amp;dHdcp[[#This Row],[Nombre]]</f>
        <v>0:GLEZ JUAN JOSÉ</v>
      </c>
      <c r="I1749" t="str">
        <f>+dHdcp[[#This Row],[Maximo]]&amp;":"&amp;_xlfn.XLOOKUP(dHdcp[[#This Row],[Nombre]],dJugador[Nombre],dJugador[Mote],"",0)</f>
        <v>0:Juanjo</v>
      </c>
      <c r="J1749" t="str">
        <f>+IF(dHdcp[[#This Row],[Maximo]]=0,"",_xlfn.RANK.EQ(dHdcp[[#This Row],[Handicap]],dHdcp[Handicap],1))</f>
        <v/>
      </c>
      <c r="K1749" t="str">
        <f>IFERROR(+_xlfn.RANK.EQ(dHdcp[[#This Row],[Ranking]],dHdcp[Ranking],1),"")</f>
        <v/>
      </c>
      <c r="M1749" t="str">
        <f>+dHdcp[[#This Row],[Fecha]]&amp;":"&amp;dHdcp[[#This Row],[Nombre]]</f>
        <v>45192:GLEZ JUAN JOSÉ</v>
      </c>
      <c r="N1749">
        <f>+COUNTIF(dHdcp[Columna1],dHdcp[[#This Row],[Columna1]])</f>
        <v>1</v>
      </c>
    </row>
    <row r="1750" spans="1:14">
      <c r="A1750" s="2">
        <v>45192</v>
      </c>
      <c r="B1750" t="s">
        <v>6</v>
      </c>
      <c r="C1750" s="51">
        <v>8.600000000000005</v>
      </c>
      <c r="D1750">
        <f>+VLOOKUP(dHdcp[[#This Row],[Handicap]],'Categoría Hdcap'!$B$2:$E$7,4)</f>
        <v>2</v>
      </c>
      <c r="E1750" t="s">
        <v>74</v>
      </c>
      <c r="F1750" t="s">
        <v>2216</v>
      </c>
      <c r="G1750">
        <f>+IF(dHdcp[[#This Row],[Fecha]]=MAX(dHdcp[Fecha]),1,0)</f>
        <v>0</v>
      </c>
      <c r="H1750" t="str">
        <f>+dHdcp[[#This Row],[Maximo]]&amp;":"&amp;dHdcp[[#This Row],[Nombre]]</f>
        <v>0:Ignacio Cadarso</v>
      </c>
      <c r="I1750" t="str">
        <f>+dHdcp[[#This Row],[Maximo]]&amp;":"&amp;_xlfn.XLOOKUP(dHdcp[[#This Row],[Nombre]],dJugador[Nombre],dJugador[Mote],"",0)</f>
        <v>0:Ignacio</v>
      </c>
      <c r="J1750" t="str">
        <f>+IF(dHdcp[[#This Row],[Maximo]]=0,"",_xlfn.RANK.EQ(dHdcp[[#This Row],[Handicap]],dHdcp[Handicap],1))</f>
        <v/>
      </c>
      <c r="K1750" t="str">
        <f>IFERROR(+_xlfn.RANK.EQ(dHdcp[[#This Row],[Ranking]],dHdcp[Ranking],1),"")</f>
        <v/>
      </c>
      <c r="M1750" t="str">
        <f>+dHdcp[[#This Row],[Fecha]]&amp;":"&amp;dHdcp[[#This Row],[Nombre]]</f>
        <v>45192:Ignacio Cadarso</v>
      </c>
      <c r="N1750">
        <f>+COUNTIF(dHdcp[Columna1],dHdcp[[#This Row],[Columna1]])</f>
        <v>1</v>
      </c>
    </row>
    <row r="1751" spans="1:14">
      <c r="A1751" s="2">
        <v>45192</v>
      </c>
      <c r="B1751" t="s">
        <v>298</v>
      </c>
      <c r="C1751" s="51">
        <v>23.7</v>
      </c>
      <c r="D1751">
        <f>+VLOOKUP(dHdcp[[#This Row],[Handicap]],'Categoría Hdcap'!$B$2:$E$7,4)</f>
        <v>4</v>
      </c>
      <c r="E1751" t="s">
        <v>74</v>
      </c>
      <c r="F1751" t="s">
        <v>2217</v>
      </c>
      <c r="G1751">
        <f>+IF(dHdcp[[#This Row],[Fecha]]=MAX(dHdcp[Fecha]),1,0)</f>
        <v>0</v>
      </c>
      <c r="H1751" t="str">
        <f>+dHdcp[[#This Row],[Maximo]]&amp;":"&amp;dHdcp[[#This Row],[Nombre]]</f>
        <v>0:Ignacio Gracia Charlez</v>
      </c>
      <c r="I1751" t="str">
        <f>+dHdcp[[#This Row],[Maximo]]&amp;":"&amp;_xlfn.XLOOKUP(dHdcp[[#This Row],[Nombre]],dJugador[Nombre],dJugador[Mote],"",0)</f>
        <v>0:I Gracia</v>
      </c>
      <c r="J1751" t="str">
        <f>+IF(dHdcp[[#This Row],[Maximo]]=0,"",_xlfn.RANK.EQ(dHdcp[[#This Row],[Handicap]],dHdcp[Handicap],1))</f>
        <v/>
      </c>
      <c r="K1751" t="str">
        <f>IFERROR(+_xlfn.RANK.EQ(dHdcp[[#This Row],[Ranking]],dHdcp[Ranking],1),"")</f>
        <v/>
      </c>
      <c r="M1751" t="str">
        <f>+dHdcp[[#This Row],[Fecha]]&amp;":"&amp;dHdcp[[#This Row],[Nombre]]</f>
        <v>45192:Ignacio Gracia Charlez</v>
      </c>
      <c r="N1751">
        <f>+COUNTIF(dHdcp[Columna1],dHdcp[[#This Row],[Columna1]])</f>
        <v>1</v>
      </c>
    </row>
    <row r="1752" spans="1:14">
      <c r="A1752" s="2">
        <v>45192</v>
      </c>
      <c r="B1752" t="s">
        <v>23</v>
      </c>
      <c r="C1752" s="51">
        <v>18.2</v>
      </c>
      <c r="D1752">
        <f>+VLOOKUP(dHdcp[[#This Row],[Handicap]],'Categoría Hdcap'!$B$2:$E$7,4)</f>
        <v>3</v>
      </c>
      <c r="E1752" t="s">
        <v>74</v>
      </c>
      <c r="F1752" t="s">
        <v>2218</v>
      </c>
      <c r="G1752">
        <f>+IF(dHdcp[[#This Row],[Fecha]]=MAX(dHdcp[Fecha]),1,0)</f>
        <v>0</v>
      </c>
      <c r="H1752" t="str">
        <f>+dHdcp[[#This Row],[Maximo]]&amp;":"&amp;dHdcp[[#This Row],[Nombre]]</f>
        <v>0:J. Enrique Gonzalez</v>
      </c>
      <c r="I1752" t="str">
        <f>+dHdcp[[#This Row],[Maximo]]&amp;":"&amp;_xlfn.XLOOKUP(dHdcp[[#This Row],[Nombre]],dJugador[Nombre],dJugador[Mote],"",0)</f>
        <v>0:Kike</v>
      </c>
      <c r="J1752" t="str">
        <f>+IF(dHdcp[[#This Row],[Maximo]]=0,"",_xlfn.RANK.EQ(dHdcp[[#This Row],[Handicap]],dHdcp[Handicap],1))</f>
        <v/>
      </c>
      <c r="K1752" t="str">
        <f>IFERROR(+_xlfn.RANK.EQ(dHdcp[[#This Row],[Ranking]],dHdcp[Ranking],1),"")</f>
        <v/>
      </c>
      <c r="M1752" t="str">
        <f>+dHdcp[[#This Row],[Fecha]]&amp;":"&amp;dHdcp[[#This Row],[Nombre]]</f>
        <v>45192:J. Enrique Gonzalez</v>
      </c>
      <c r="N1752">
        <f>+COUNTIF(dHdcp[Columna1],dHdcp[[#This Row],[Columna1]])</f>
        <v>1</v>
      </c>
    </row>
    <row r="1753" spans="1:14">
      <c r="A1753" s="2">
        <v>45192</v>
      </c>
      <c r="B1753" t="s">
        <v>289</v>
      </c>
      <c r="C1753" s="51">
        <v>8.9</v>
      </c>
      <c r="D1753">
        <f>+VLOOKUP(dHdcp[[#This Row],[Handicap]],'Categoría Hdcap'!$B$2:$E$7,4)</f>
        <v>2</v>
      </c>
      <c r="E1753" t="s">
        <v>74</v>
      </c>
      <c r="F1753" t="s">
        <v>2219</v>
      </c>
      <c r="G1753">
        <f>+IF(dHdcp[[#This Row],[Fecha]]=MAX(dHdcp[Fecha]),1,0)</f>
        <v>0</v>
      </c>
      <c r="H1753" t="str">
        <f>+dHdcp[[#This Row],[Maximo]]&amp;":"&amp;dHdcp[[#This Row],[Nombre]]</f>
        <v>0:Jaime Villanueva</v>
      </c>
      <c r="I1753" t="str">
        <f>+dHdcp[[#This Row],[Maximo]]&amp;":"&amp;_xlfn.XLOOKUP(dHdcp[[#This Row],[Nombre]],dJugador[Nombre],dJugador[Mote],"",0)</f>
        <v>0:Villanueva</v>
      </c>
      <c r="J1753" t="str">
        <f>+IF(dHdcp[[#This Row],[Maximo]]=0,"",_xlfn.RANK.EQ(dHdcp[[#This Row],[Handicap]],dHdcp[Handicap],1))</f>
        <v/>
      </c>
      <c r="K1753" t="str">
        <f>IFERROR(+_xlfn.RANK.EQ(dHdcp[[#This Row],[Ranking]],dHdcp[Ranking],1),"")</f>
        <v/>
      </c>
      <c r="M1753" t="str">
        <f>+dHdcp[[#This Row],[Fecha]]&amp;":"&amp;dHdcp[[#This Row],[Nombre]]</f>
        <v>45192:Jaime Villanueva</v>
      </c>
      <c r="N1753">
        <f>+COUNTIF(dHdcp[Columna1],dHdcp[[#This Row],[Columna1]])</f>
        <v>1</v>
      </c>
    </row>
    <row r="1754" spans="1:14">
      <c r="A1754" s="2">
        <v>45192</v>
      </c>
      <c r="B1754" t="s">
        <v>328</v>
      </c>
      <c r="C1754" s="51">
        <v>12.4</v>
      </c>
      <c r="D1754">
        <f>+VLOOKUP(dHdcp[[#This Row],[Handicap]],'Categoría Hdcap'!$B$2:$E$7,4)</f>
        <v>3</v>
      </c>
      <c r="E1754" t="s">
        <v>74</v>
      </c>
      <c r="F1754" t="s">
        <v>2220</v>
      </c>
      <c r="G1754">
        <f>+IF(dHdcp[[#This Row],[Fecha]]=MAX(dHdcp[Fecha]),1,0)</f>
        <v>0</v>
      </c>
      <c r="H1754" t="str">
        <f>+dHdcp[[#This Row],[Maximo]]&amp;":"&amp;dHdcp[[#This Row],[Nombre]]</f>
        <v>0:Javier Arcos</v>
      </c>
      <c r="I1754" t="str">
        <f>+dHdcp[[#This Row],[Maximo]]&amp;":"&amp;_xlfn.XLOOKUP(dHdcp[[#This Row],[Nombre]],dJugador[Nombre],dJugador[Mote],"",0)</f>
        <v>0:J.Arcos</v>
      </c>
      <c r="J1754" t="str">
        <f>+IF(dHdcp[[#This Row],[Maximo]]=0,"",_xlfn.RANK.EQ(dHdcp[[#This Row],[Handicap]],dHdcp[Handicap],1))</f>
        <v/>
      </c>
      <c r="K1754" t="str">
        <f>IFERROR(+_xlfn.RANK.EQ(dHdcp[[#This Row],[Ranking]],dHdcp[Ranking],1),"")</f>
        <v/>
      </c>
      <c r="M1754" t="str">
        <f>+dHdcp[[#This Row],[Fecha]]&amp;":"&amp;dHdcp[[#This Row],[Nombre]]</f>
        <v>45192:Javier Arcos</v>
      </c>
      <c r="N1754">
        <f>+COUNTIF(dHdcp[Columna1],dHdcp[[#This Row],[Columna1]])</f>
        <v>1</v>
      </c>
    </row>
    <row r="1755" spans="1:14">
      <c r="A1755" s="2">
        <v>45192</v>
      </c>
      <c r="B1755" t="s">
        <v>378</v>
      </c>
      <c r="C1755" s="51">
        <v>12.399999999999995</v>
      </c>
      <c r="D1755">
        <f>+VLOOKUP(dHdcp[[#This Row],[Handicap]],'Categoría Hdcap'!$B$2:$E$7,4)</f>
        <v>3</v>
      </c>
      <c r="E1755" t="s">
        <v>74</v>
      </c>
      <c r="F1755" t="s">
        <v>2221</v>
      </c>
      <c r="G1755">
        <f>+IF(dHdcp[[#This Row],[Fecha]]=MAX(dHdcp[Fecha]),1,0)</f>
        <v>0</v>
      </c>
      <c r="H1755" t="str">
        <f>+dHdcp[[#This Row],[Maximo]]&amp;":"&amp;dHdcp[[#This Row],[Nombre]]</f>
        <v>0:Javier Campo</v>
      </c>
      <c r="I1755" t="str">
        <f>+dHdcp[[#This Row],[Maximo]]&amp;":"&amp;_xlfn.XLOOKUP(dHdcp[[#This Row],[Nombre]],dJugador[Nombre],dJugador[Mote],"",0)</f>
        <v>0:Campo</v>
      </c>
      <c r="J1755" t="str">
        <f>+IF(dHdcp[[#This Row],[Maximo]]=0,"",_xlfn.RANK.EQ(dHdcp[[#This Row],[Handicap]],dHdcp[Handicap],1))</f>
        <v/>
      </c>
      <c r="K1755" t="str">
        <f>IFERROR(+_xlfn.RANK.EQ(dHdcp[[#This Row],[Ranking]],dHdcp[Ranking],1),"")</f>
        <v/>
      </c>
      <c r="M1755" t="str">
        <f>+dHdcp[[#This Row],[Fecha]]&amp;":"&amp;dHdcp[[#This Row],[Nombre]]</f>
        <v>45192:Javier Campo</v>
      </c>
      <c r="N1755">
        <f>+COUNTIF(dHdcp[Columna1],dHdcp[[#This Row],[Columna1]])</f>
        <v>1</v>
      </c>
    </row>
    <row r="1756" spans="1:14">
      <c r="A1756" s="2">
        <v>45192</v>
      </c>
      <c r="B1756" t="s">
        <v>46</v>
      </c>
      <c r="C1756" s="51">
        <v>16.600000000000001</v>
      </c>
      <c r="D1756">
        <f>+VLOOKUP(dHdcp[[#This Row],[Handicap]],'Categoría Hdcap'!$B$2:$E$7,4)</f>
        <v>3</v>
      </c>
      <c r="E1756" t="s">
        <v>74</v>
      </c>
      <c r="F1756" t="s">
        <v>2222</v>
      </c>
      <c r="G1756">
        <f>+IF(dHdcp[[#This Row],[Fecha]]=MAX(dHdcp[Fecha]),1,0)</f>
        <v>0</v>
      </c>
      <c r="H1756" t="str">
        <f>+dHdcp[[#This Row],[Maximo]]&amp;":"&amp;dHdcp[[#This Row],[Nombre]]</f>
        <v>0:Javier Cervera</v>
      </c>
      <c r="I1756" t="str">
        <f>+dHdcp[[#This Row],[Maximo]]&amp;":"&amp;_xlfn.XLOOKUP(dHdcp[[#This Row],[Nombre]],dJugador[Nombre],dJugador[Mote],"",0)</f>
        <v>0:Virus</v>
      </c>
      <c r="J1756" t="str">
        <f>+IF(dHdcp[[#This Row],[Maximo]]=0,"",_xlfn.RANK.EQ(dHdcp[[#This Row],[Handicap]],dHdcp[Handicap],1))</f>
        <v/>
      </c>
      <c r="K1756" t="str">
        <f>IFERROR(+_xlfn.RANK.EQ(dHdcp[[#This Row],[Ranking]],dHdcp[Ranking],1),"")</f>
        <v/>
      </c>
      <c r="M1756" t="str">
        <f>+dHdcp[[#This Row],[Fecha]]&amp;":"&amp;dHdcp[[#This Row],[Nombre]]</f>
        <v>45192:Javier Cervera</v>
      </c>
      <c r="N1756">
        <f>+COUNTIF(dHdcp[Columna1],dHdcp[[#This Row],[Columna1]])</f>
        <v>1</v>
      </c>
    </row>
    <row r="1757" spans="1:14">
      <c r="A1757" s="2">
        <v>45192</v>
      </c>
      <c r="B1757" t="s">
        <v>225</v>
      </c>
      <c r="C1757" s="51">
        <v>9.8000000000000007</v>
      </c>
      <c r="D1757">
        <f>+VLOOKUP(dHdcp[[#This Row],[Handicap]],'Categoría Hdcap'!$B$2:$E$7,4)</f>
        <v>2</v>
      </c>
      <c r="E1757" t="s">
        <v>74</v>
      </c>
      <c r="F1757" t="s">
        <v>2223</v>
      </c>
      <c r="G1757">
        <f>+IF(dHdcp[[#This Row],[Fecha]]=MAX(dHdcp[Fecha]),1,0)</f>
        <v>0</v>
      </c>
      <c r="H1757" t="str">
        <f>+dHdcp[[#This Row],[Maximo]]&amp;":"&amp;dHdcp[[#This Row],[Nombre]]</f>
        <v>0:Javier Chiralt</v>
      </c>
      <c r="I1757" t="str">
        <f>+dHdcp[[#This Row],[Maximo]]&amp;":"&amp;_xlfn.XLOOKUP(dHdcp[[#This Row],[Nombre]],dJugador[Nombre],dJugador[Mote],"",0)</f>
        <v>0:Chiralt</v>
      </c>
      <c r="J1757" t="str">
        <f>+IF(dHdcp[[#This Row],[Maximo]]=0,"",_xlfn.RANK.EQ(dHdcp[[#This Row],[Handicap]],dHdcp[Handicap],1))</f>
        <v/>
      </c>
      <c r="K1757" t="str">
        <f>IFERROR(+_xlfn.RANK.EQ(dHdcp[[#This Row],[Ranking]],dHdcp[Ranking],1),"")</f>
        <v/>
      </c>
      <c r="M1757" t="str">
        <f>+dHdcp[[#This Row],[Fecha]]&amp;":"&amp;dHdcp[[#This Row],[Nombre]]</f>
        <v>45192:Javier Chiralt</v>
      </c>
      <c r="N1757">
        <f>+COUNTIF(dHdcp[Columna1],dHdcp[[#This Row],[Columna1]])</f>
        <v>1</v>
      </c>
    </row>
    <row r="1758" spans="1:14">
      <c r="A1758" s="2">
        <v>45192</v>
      </c>
      <c r="B1758" t="s">
        <v>20</v>
      </c>
      <c r="C1758" s="51">
        <v>17.100000000000001</v>
      </c>
      <c r="D1758">
        <f>+VLOOKUP(dHdcp[[#This Row],[Handicap]],'Categoría Hdcap'!$B$2:$E$7,4)</f>
        <v>3</v>
      </c>
      <c r="E1758" t="s">
        <v>74</v>
      </c>
      <c r="F1758" t="s">
        <v>2224</v>
      </c>
      <c r="G1758">
        <f>+IF(dHdcp[[#This Row],[Fecha]]=MAX(dHdcp[Fecha]),1,0)</f>
        <v>0</v>
      </c>
      <c r="H1758" t="str">
        <f>+dHdcp[[#This Row],[Maximo]]&amp;":"&amp;dHdcp[[#This Row],[Nombre]]</f>
        <v>0:Javier Gonzalez Salvador</v>
      </c>
      <c r="I1758" t="str">
        <f>+dHdcp[[#This Row],[Maximo]]&amp;":"&amp;_xlfn.XLOOKUP(dHdcp[[#This Row],[Nombre]],dJugador[Nombre],dJugador[Mote],"",0)</f>
        <v>0:Javi</v>
      </c>
      <c r="J1758" t="str">
        <f>+IF(dHdcp[[#This Row],[Maximo]]=0,"",_xlfn.RANK.EQ(dHdcp[[#This Row],[Handicap]],dHdcp[Handicap],1))</f>
        <v/>
      </c>
      <c r="K1758" t="str">
        <f>IFERROR(+_xlfn.RANK.EQ(dHdcp[[#This Row],[Ranking]],dHdcp[Ranking],1),"")</f>
        <v/>
      </c>
      <c r="M1758" t="str">
        <f>+dHdcp[[#This Row],[Fecha]]&amp;":"&amp;dHdcp[[#This Row],[Nombre]]</f>
        <v>45192:Javier Gonzalez Salvador</v>
      </c>
      <c r="N1758">
        <f>+COUNTIF(dHdcp[Columna1],dHdcp[[#This Row],[Columna1]])</f>
        <v>1</v>
      </c>
    </row>
    <row r="1759" spans="1:14">
      <c r="A1759" s="2">
        <v>45192</v>
      </c>
      <c r="B1759" t="s">
        <v>217</v>
      </c>
      <c r="C1759" s="51">
        <v>20.9</v>
      </c>
      <c r="D1759">
        <f>+VLOOKUP(dHdcp[[#This Row],[Handicap]],'Categoría Hdcap'!$B$2:$E$7,4)</f>
        <v>4</v>
      </c>
      <c r="E1759" t="s">
        <v>74</v>
      </c>
      <c r="F1759" t="s">
        <v>2225</v>
      </c>
      <c r="G1759">
        <f>+IF(dHdcp[[#This Row],[Fecha]]=MAX(dHdcp[Fecha]),1,0)</f>
        <v>0</v>
      </c>
      <c r="H1759" t="str">
        <f>+dHdcp[[#This Row],[Maximo]]&amp;":"&amp;dHdcp[[#This Row],[Nombre]]</f>
        <v>0:Javier Lopez Gullón</v>
      </c>
      <c r="I1759" t="str">
        <f>+dHdcp[[#This Row],[Maximo]]&amp;":"&amp;_xlfn.XLOOKUP(dHdcp[[#This Row],[Nombre]],dJugador[Nombre],dJugador[Mote],"",0)</f>
        <v>0:Cuñao</v>
      </c>
      <c r="J1759" t="str">
        <f>+IF(dHdcp[[#This Row],[Maximo]]=0,"",_xlfn.RANK.EQ(dHdcp[[#This Row],[Handicap]],dHdcp[Handicap],1))</f>
        <v/>
      </c>
      <c r="K1759" t="str">
        <f>IFERROR(+_xlfn.RANK.EQ(dHdcp[[#This Row],[Ranking]],dHdcp[Ranking],1),"")</f>
        <v/>
      </c>
      <c r="M1759" t="str">
        <f>+dHdcp[[#This Row],[Fecha]]&amp;":"&amp;dHdcp[[#This Row],[Nombre]]</f>
        <v>45192:Javier Lopez Gullón</v>
      </c>
      <c r="N1759">
        <f>+COUNTIF(dHdcp[Columna1],dHdcp[[#This Row],[Columna1]])</f>
        <v>1</v>
      </c>
    </row>
    <row r="1760" spans="1:14">
      <c r="A1760" s="2">
        <v>45192</v>
      </c>
      <c r="B1760" t="s">
        <v>41</v>
      </c>
      <c r="C1760" s="51">
        <v>22.1</v>
      </c>
      <c r="D1760">
        <f>+VLOOKUP(dHdcp[[#This Row],[Handicap]],'Categoría Hdcap'!$B$2:$E$7,4)</f>
        <v>4</v>
      </c>
      <c r="E1760" t="s">
        <v>74</v>
      </c>
      <c r="F1760" t="s">
        <v>2226</v>
      </c>
      <c r="G1760">
        <f>+IF(dHdcp[[#This Row],[Fecha]]=MAX(dHdcp[Fecha]),1,0)</f>
        <v>0</v>
      </c>
      <c r="H1760" t="str">
        <f>+dHdcp[[#This Row],[Maximo]]&amp;":"&amp;dHdcp[[#This Row],[Nombre]]</f>
        <v>0:Jesus Touceda</v>
      </c>
      <c r="I1760" t="str">
        <f>+dHdcp[[#This Row],[Maximo]]&amp;":"&amp;_xlfn.XLOOKUP(dHdcp[[#This Row],[Nombre]],dJugador[Nombre],dJugador[Mote],"",0)</f>
        <v>0:Jesús</v>
      </c>
      <c r="J1760" t="str">
        <f>+IF(dHdcp[[#This Row],[Maximo]]=0,"",_xlfn.RANK.EQ(dHdcp[[#This Row],[Handicap]],dHdcp[Handicap],1))</f>
        <v/>
      </c>
      <c r="K1760" t="str">
        <f>IFERROR(+_xlfn.RANK.EQ(dHdcp[[#This Row],[Ranking]],dHdcp[Ranking],1),"")</f>
        <v/>
      </c>
      <c r="M1760" t="str">
        <f>+dHdcp[[#This Row],[Fecha]]&amp;":"&amp;dHdcp[[#This Row],[Nombre]]</f>
        <v>45192:Jesus Touceda</v>
      </c>
      <c r="N1760">
        <f>+COUNTIF(dHdcp[Columna1],dHdcp[[#This Row],[Columna1]])</f>
        <v>1</v>
      </c>
    </row>
    <row r="1761" spans="1:14">
      <c r="A1761" s="2">
        <v>45192</v>
      </c>
      <c r="B1761" t="s">
        <v>297</v>
      </c>
      <c r="C1761" s="51">
        <v>20.8</v>
      </c>
      <c r="D1761">
        <f>+VLOOKUP(dHdcp[[#This Row],[Handicap]],'Categoría Hdcap'!$B$2:$E$7,4)</f>
        <v>4</v>
      </c>
      <c r="E1761" t="s">
        <v>74</v>
      </c>
      <c r="F1761" t="s">
        <v>2227</v>
      </c>
      <c r="G1761">
        <f>+IF(dHdcp[[#This Row],[Fecha]]=MAX(dHdcp[Fecha]),1,0)</f>
        <v>0</v>
      </c>
      <c r="H1761" t="str">
        <f>+dHdcp[[#This Row],[Maximo]]&amp;":"&amp;dHdcp[[#This Row],[Nombre]]</f>
        <v>0:Jorge Alberto Martínez Sánchez</v>
      </c>
      <c r="I1761" t="str">
        <f>+dHdcp[[#This Row],[Maximo]]&amp;":"&amp;_xlfn.XLOOKUP(dHdcp[[#This Row],[Nombre]],dJugador[Nombre],dJugador[Mote],"",0)</f>
        <v>0:Jorge</v>
      </c>
      <c r="J1761" t="str">
        <f>+IF(dHdcp[[#This Row],[Maximo]]=0,"",_xlfn.RANK.EQ(dHdcp[[#This Row],[Handicap]],dHdcp[Handicap],1))</f>
        <v/>
      </c>
      <c r="K1761" t="str">
        <f>IFERROR(+_xlfn.RANK.EQ(dHdcp[[#This Row],[Ranking]],dHdcp[Ranking],1),"")</f>
        <v/>
      </c>
      <c r="M1761" t="str">
        <f>+dHdcp[[#This Row],[Fecha]]&amp;":"&amp;dHdcp[[#This Row],[Nombre]]</f>
        <v>45192:Jorge Alberto Martínez Sánchez</v>
      </c>
      <c r="N1761">
        <f>+COUNTIF(dHdcp[Columna1],dHdcp[[#This Row],[Columna1]])</f>
        <v>1</v>
      </c>
    </row>
    <row r="1762" spans="1:14">
      <c r="A1762" s="2">
        <v>45192</v>
      </c>
      <c r="B1762" t="s">
        <v>388</v>
      </c>
      <c r="C1762" s="51">
        <v>26.499999999999986</v>
      </c>
      <c r="D1762">
        <f>+VLOOKUP(dHdcp[[#This Row],[Handicap]],'Categoría Hdcap'!$B$2:$E$7,4)</f>
        <v>4</v>
      </c>
      <c r="E1762" t="s">
        <v>74</v>
      </c>
      <c r="F1762" t="s">
        <v>2228</v>
      </c>
      <c r="G1762">
        <f>+IF(dHdcp[[#This Row],[Fecha]]=MAX(dHdcp[Fecha]),1,0)</f>
        <v>0</v>
      </c>
      <c r="H1762" t="str">
        <f>+dHdcp[[#This Row],[Maximo]]&amp;":"&amp;dHdcp[[#This Row],[Nombre]]</f>
        <v>0:Jose Antonio Santana</v>
      </c>
      <c r="I1762" t="str">
        <f>+dHdcp[[#This Row],[Maximo]]&amp;":"&amp;_xlfn.XLOOKUP(dHdcp[[#This Row],[Nombre]],dJugador[Nombre],dJugador[Mote],"",0)</f>
        <v>0:J Antonio</v>
      </c>
      <c r="J1762" t="str">
        <f>+IF(dHdcp[[#This Row],[Maximo]]=0,"",_xlfn.RANK.EQ(dHdcp[[#This Row],[Handicap]],dHdcp[Handicap],1))</f>
        <v/>
      </c>
      <c r="K1762" t="str">
        <f>IFERROR(+_xlfn.RANK.EQ(dHdcp[[#This Row],[Ranking]],dHdcp[Ranking],1),"")</f>
        <v/>
      </c>
      <c r="M1762" t="str">
        <f>+dHdcp[[#This Row],[Fecha]]&amp;":"&amp;dHdcp[[#This Row],[Nombre]]</f>
        <v>45192:Jose Antonio Santana</v>
      </c>
      <c r="N1762">
        <f>+COUNTIF(dHdcp[Columna1],dHdcp[[#This Row],[Columna1]])</f>
        <v>1</v>
      </c>
    </row>
    <row r="1763" spans="1:14">
      <c r="A1763" s="2">
        <v>45192</v>
      </c>
      <c r="B1763" t="s">
        <v>18</v>
      </c>
      <c r="C1763" s="51">
        <v>7.7999999999999989</v>
      </c>
      <c r="D1763">
        <f>+VLOOKUP(dHdcp[[#This Row],[Handicap]],'Categoría Hdcap'!$B$2:$E$7,4)</f>
        <v>2</v>
      </c>
      <c r="E1763" t="s">
        <v>74</v>
      </c>
      <c r="F1763" t="s">
        <v>2229</v>
      </c>
      <c r="G1763">
        <f>+IF(dHdcp[[#This Row],[Fecha]]=MAX(dHdcp[Fecha]),1,0)</f>
        <v>0</v>
      </c>
      <c r="H1763" t="str">
        <f>+dHdcp[[#This Row],[Maximo]]&amp;":"&amp;dHdcp[[#This Row],[Nombre]]</f>
        <v>0:José Pablo Guil</v>
      </c>
      <c r="I1763" t="str">
        <f>+dHdcp[[#This Row],[Maximo]]&amp;":"&amp;_xlfn.XLOOKUP(dHdcp[[#This Row],[Nombre]],dJugador[Nombre],dJugador[Mote],"",0)</f>
        <v>0:JP</v>
      </c>
      <c r="J1763" t="str">
        <f>+IF(dHdcp[[#This Row],[Maximo]]=0,"",_xlfn.RANK.EQ(dHdcp[[#This Row],[Handicap]],dHdcp[Handicap],1))</f>
        <v/>
      </c>
      <c r="K1763" t="str">
        <f>IFERROR(+_xlfn.RANK.EQ(dHdcp[[#This Row],[Ranking]],dHdcp[Ranking],1),"")</f>
        <v/>
      </c>
      <c r="M1763" t="str">
        <f>+dHdcp[[#This Row],[Fecha]]&amp;":"&amp;dHdcp[[#This Row],[Nombre]]</f>
        <v>45192:José Pablo Guil</v>
      </c>
      <c r="N1763">
        <f>+COUNTIF(dHdcp[Columna1],dHdcp[[#This Row],[Columna1]])</f>
        <v>1</v>
      </c>
    </row>
    <row r="1764" spans="1:14">
      <c r="A1764" s="2">
        <v>45192</v>
      </c>
      <c r="B1764" t="s">
        <v>293</v>
      </c>
      <c r="C1764" s="51">
        <v>21.2</v>
      </c>
      <c r="D1764">
        <f>+VLOOKUP(dHdcp[[#This Row],[Handicap]],'Categoría Hdcap'!$B$2:$E$7,4)</f>
        <v>4</v>
      </c>
      <c r="E1764" t="s">
        <v>74</v>
      </c>
      <c r="F1764" t="s">
        <v>2230</v>
      </c>
      <c r="G1764">
        <f>+IF(dHdcp[[#This Row],[Fecha]]=MAX(dHdcp[Fecha]),1,0)</f>
        <v>0</v>
      </c>
      <c r="H1764" t="str">
        <f>+dHdcp[[#This Row],[Maximo]]&amp;":"&amp;dHdcp[[#This Row],[Nombre]]</f>
        <v>0:Juan Jose Aguado</v>
      </c>
      <c r="I1764" t="str">
        <f>+dHdcp[[#This Row],[Maximo]]&amp;":"&amp;_xlfn.XLOOKUP(dHdcp[[#This Row],[Nombre]],dJugador[Nombre],dJugador[Mote],"",0)</f>
        <v>0:Juancho</v>
      </c>
      <c r="J1764" t="str">
        <f>+IF(dHdcp[[#This Row],[Maximo]]=0,"",_xlfn.RANK.EQ(dHdcp[[#This Row],[Handicap]],dHdcp[Handicap],1))</f>
        <v/>
      </c>
      <c r="K1764" t="str">
        <f>IFERROR(+_xlfn.RANK.EQ(dHdcp[[#This Row],[Ranking]],dHdcp[Ranking],1),"")</f>
        <v/>
      </c>
      <c r="M1764" t="str">
        <f>+dHdcp[[#This Row],[Fecha]]&amp;":"&amp;dHdcp[[#This Row],[Nombre]]</f>
        <v>45192:Juan Jose Aguado</v>
      </c>
      <c r="N1764">
        <f>+COUNTIF(dHdcp[Columna1],dHdcp[[#This Row],[Columna1]])</f>
        <v>1</v>
      </c>
    </row>
    <row r="1765" spans="1:14">
      <c r="A1765" s="2">
        <v>45192</v>
      </c>
      <c r="B1765" t="s">
        <v>375</v>
      </c>
      <c r="C1765" s="51">
        <v>9.9</v>
      </c>
      <c r="D1765">
        <f>+VLOOKUP(dHdcp[[#This Row],[Handicap]],'Categoría Hdcap'!$B$2:$E$7,4)</f>
        <v>2</v>
      </c>
      <c r="E1765" t="s">
        <v>74</v>
      </c>
      <c r="F1765" t="s">
        <v>2231</v>
      </c>
      <c r="G1765">
        <f>+IF(dHdcp[[#This Row],[Fecha]]=MAX(dHdcp[Fecha]),1,0)</f>
        <v>0</v>
      </c>
      <c r="H1765" t="str">
        <f>+dHdcp[[#This Row],[Maximo]]&amp;":"&amp;dHdcp[[#This Row],[Nombre]]</f>
        <v>0:Luis Fernandez</v>
      </c>
      <c r="I1765" t="str">
        <f>+dHdcp[[#This Row],[Maximo]]&amp;":"&amp;_xlfn.XLOOKUP(dHdcp[[#This Row],[Nombre]],dJugador[Nombre],dJugador[Mote],"",0)</f>
        <v>0:Luis</v>
      </c>
      <c r="J1765" t="str">
        <f>+IF(dHdcp[[#This Row],[Maximo]]=0,"",_xlfn.RANK.EQ(dHdcp[[#This Row],[Handicap]],dHdcp[Handicap],1))</f>
        <v/>
      </c>
      <c r="K1765" t="str">
        <f>IFERROR(+_xlfn.RANK.EQ(dHdcp[[#This Row],[Ranking]],dHdcp[Ranking],1),"")</f>
        <v/>
      </c>
      <c r="M1765" t="str">
        <f>+dHdcp[[#This Row],[Fecha]]&amp;":"&amp;dHdcp[[#This Row],[Nombre]]</f>
        <v>45192:Luis Fernandez</v>
      </c>
      <c r="N1765">
        <f>+COUNTIF(dHdcp[Columna1],dHdcp[[#This Row],[Columna1]])</f>
        <v>1</v>
      </c>
    </row>
    <row r="1766" spans="1:14">
      <c r="A1766" s="2">
        <v>45192</v>
      </c>
      <c r="B1766" t="s">
        <v>135</v>
      </c>
      <c r="C1766" s="51">
        <v>19.500000000000011</v>
      </c>
      <c r="D1766">
        <f>+VLOOKUP(dHdcp[[#This Row],[Handicap]],'Categoría Hdcap'!$B$2:$E$7,4)</f>
        <v>4</v>
      </c>
      <c r="E1766" t="s">
        <v>74</v>
      </c>
      <c r="F1766" t="s">
        <v>2232</v>
      </c>
      <c r="G1766">
        <f>+IF(dHdcp[[#This Row],[Fecha]]=MAX(dHdcp[Fecha]),1,0)</f>
        <v>0</v>
      </c>
      <c r="H1766" t="str">
        <f>+dHdcp[[#This Row],[Maximo]]&amp;":"&amp;dHdcp[[#This Row],[Nombre]]</f>
        <v>0:Miche Lopez</v>
      </c>
      <c r="I1766" t="str">
        <f>+dHdcp[[#This Row],[Maximo]]&amp;":"&amp;_xlfn.XLOOKUP(dHdcp[[#This Row],[Nombre]],dJugador[Nombre],dJugador[Mote],"",0)</f>
        <v>0:Miche</v>
      </c>
      <c r="J1766" t="str">
        <f>+IF(dHdcp[[#This Row],[Maximo]]=0,"",_xlfn.RANK.EQ(dHdcp[[#This Row],[Handicap]],dHdcp[Handicap],1))</f>
        <v/>
      </c>
      <c r="K1766" t="str">
        <f>IFERROR(+_xlfn.RANK.EQ(dHdcp[[#This Row],[Ranking]],dHdcp[Ranking],1),"")</f>
        <v/>
      </c>
      <c r="M1766" t="str">
        <f>+dHdcp[[#This Row],[Fecha]]&amp;":"&amp;dHdcp[[#This Row],[Nombre]]</f>
        <v>45192:Miche Lopez</v>
      </c>
      <c r="N1766">
        <f>+COUNTIF(dHdcp[Columna1],dHdcp[[#This Row],[Columna1]])</f>
        <v>1</v>
      </c>
    </row>
    <row r="1767" spans="1:14">
      <c r="A1767" s="2">
        <v>45192</v>
      </c>
      <c r="B1767" t="s">
        <v>205</v>
      </c>
      <c r="C1767" s="51">
        <v>7.1999999999999975</v>
      </c>
      <c r="D1767">
        <f>+VLOOKUP(dHdcp[[#This Row],[Handicap]],'Categoría Hdcap'!$B$2:$E$7,4)</f>
        <v>2</v>
      </c>
      <c r="E1767" t="s">
        <v>74</v>
      </c>
      <c r="F1767" t="s">
        <v>2233</v>
      </c>
      <c r="G1767">
        <f>+IF(dHdcp[[#This Row],[Fecha]]=MAX(dHdcp[Fecha]),1,0)</f>
        <v>0</v>
      </c>
      <c r="H1767" t="str">
        <f>+dHdcp[[#This Row],[Maximo]]&amp;":"&amp;dHdcp[[#This Row],[Nombre]]</f>
        <v>0:Nacho Casas</v>
      </c>
      <c r="I1767" t="str">
        <f>+dHdcp[[#This Row],[Maximo]]&amp;":"&amp;_xlfn.XLOOKUP(dHdcp[[#This Row],[Nombre]],dJugador[Nombre],dJugador[Mote],"",0)</f>
        <v>0:Nachete</v>
      </c>
      <c r="J1767" t="str">
        <f>+IF(dHdcp[[#This Row],[Maximo]]=0,"",_xlfn.RANK.EQ(dHdcp[[#This Row],[Handicap]],dHdcp[Handicap],1))</f>
        <v/>
      </c>
      <c r="K1767" t="str">
        <f>IFERROR(+_xlfn.RANK.EQ(dHdcp[[#This Row],[Ranking]],dHdcp[Ranking],1),"")</f>
        <v/>
      </c>
      <c r="M1767" t="str">
        <f>+dHdcp[[#This Row],[Fecha]]&amp;":"&amp;dHdcp[[#This Row],[Nombre]]</f>
        <v>45192:Nacho Casas</v>
      </c>
      <c r="N1767">
        <f>+COUNTIF(dHdcp[Columna1],dHdcp[[#This Row],[Columna1]])</f>
        <v>1</v>
      </c>
    </row>
    <row r="1768" spans="1:14">
      <c r="A1768" s="2">
        <v>45192</v>
      </c>
      <c r="B1768" t="s">
        <v>3</v>
      </c>
      <c r="C1768" s="51">
        <v>5.9999999999999973</v>
      </c>
      <c r="D1768">
        <f>+VLOOKUP(dHdcp[[#This Row],[Handicap]],'Categoría Hdcap'!$B$2:$E$7,4)</f>
        <v>2</v>
      </c>
      <c r="E1768" t="s">
        <v>74</v>
      </c>
      <c r="F1768" t="s">
        <v>2234</v>
      </c>
      <c r="G1768">
        <f>+IF(dHdcp[[#This Row],[Fecha]]=MAX(dHdcp[Fecha]),1,0)</f>
        <v>0</v>
      </c>
      <c r="H1768" t="str">
        <f>+dHdcp[[#This Row],[Maximo]]&amp;":"&amp;dHdcp[[#This Row],[Nombre]]</f>
        <v>0:Nacho Gonzalez</v>
      </c>
      <c r="I1768" t="str">
        <f>+dHdcp[[#This Row],[Maximo]]&amp;":"&amp;_xlfn.XLOOKUP(dHdcp[[#This Row],[Nombre]],dJugador[Nombre],dJugador[Mote],"",0)</f>
        <v>0:Nacho</v>
      </c>
      <c r="J1768" t="str">
        <f>+IF(dHdcp[[#This Row],[Maximo]]=0,"",_xlfn.RANK.EQ(dHdcp[[#This Row],[Handicap]],dHdcp[Handicap],1))</f>
        <v/>
      </c>
      <c r="K1768" t="str">
        <f>IFERROR(+_xlfn.RANK.EQ(dHdcp[[#This Row],[Ranking]],dHdcp[Ranking],1),"")</f>
        <v/>
      </c>
      <c r="M1768" t="str">
        <f>+dHdcp[[#This Row],[Fecha]]&amp;":"&amp;dHdcp[[#This Row],[Nombre]]</f>
        <v>45192:Nacho Gonzalez</v>
      </c>
      <c r="N1768">
        <f>+COUNTIF(dHdcp[Columna1],dHdcp[[#This Row],[Columna1]])</f>
        <v>1</v>
      </c>
    </row>
    <row r="1769" spans="1:14">
      <c r="A1769" s="2">
        <v>45192</v>
      </c>
      <c r="B1769" t="s">
        <v>203</v>
      </c>
      <c r="C1769" s="51">
        <v>16.299999999999997</v>
      </c>
      <c r="D1769">
        <f>+VLOOKUP(dHdcp[[#This Row],[Handicap]],'Categoría Hdcap'!$B$2:$E$7,4)</f>
        <v>3</v>
      </c>
      <c r="E1769" t="s">
        <v>74</v>
      </c>
      <c r="F1769" t="s">
        <v>2235</v>
      </c>
      <c r="G1769">
        <f>+IF(dHdcp[[#This Row],[Fecha]]=MAX(dHdcp[Fecha]),1,0)</f>
        <v>0</v>
      </c>
      <c r="H1769" t="str">
        <f>+dHdcp[[#This Row],[Maximo]]&amp;":"&amp;dHdcp[[#This Row],[Nombre]]</f>
        <v>0:Ruslan Kochman</v>
      </c>
      <c r="I1769" t="str">
        <f>+dHdcp[[#This Row],[Maximo]]&amp;":"&amp;_xlfn.XLOOKUP(dHdcp[[#This Row],[Nombre]],dJugador[Nombre],dJugador[Mote],"",0)</f>
        <v>0:Rus</v>
      </c>
      <c r="J1769" t="str">
        <f>+IF(dHdcp[[#This Row],[Maximo]]=0,"",_xlfn.RANK.EQ(dHdcp[[#This Row],[Handicap]],dHdcp[Handicap],1))</f>
        <v/>
      </c>
      <c r="K1769" t="str">
        <f>IFERROR(+_xlfn.RANK.EQ(dHdcp[[#This Row],[Ranking]],dHdcp[Ranking],1),"")</f>
        <v/>
      </c>
      <c r="M1769" t="str">
        <f>+dHdcp[[#This Row],[Fecha]]&amp;":"&amp;dHdcp[[#This Row],[Nombre]]</f>
        <v>45192:Ruslan Kochman</v>
      </c>
      <c r="N1769">
        <f>+COUNTIF(dHdcp[Columna1],dHdcp[[#This Row],[Columna1]])</f>
        <v>1</v>
      </c>
    </row>
    <row r="1770" spans="1:14">
      <c r="A1770" s="2">
        <v>45192</v>
      </c>
      <c r="B1770" t="s">
        <v>271</v>
      </c>
      <c r="C1770" s="51">
        <v>16.399999999999999</v>
      </c>
      <c r="D1770">
        <f>+VLOOKUP(dHdcp[[#This Row],[Handicap]],'Categoría Hdcap'!$B$2:$E$7,4)</f>
        <v>3</v>
      </c>
      <c r="E1770" t="s">
        <v>74</v>
      </c>
      <c r="F1770" t="s">
        <v>2236</v>
      </c>
      <c r="G1770">
        <f>+IF(dHdcp[[#This Row],[Fecha]]=MAX(dHdcp[Fecha]),1,0)</f>
        <v>0</v>
      </c>
      <c r="H1770" t="str">
        <f>+dHdcp[[#This Row],[Maximo]]&amp;":"&amp;dHdcp[[#This Row],[Nombre]]</f>
        <v>0:Santi Diaz</v>
      </c>
      <c r="I1770" t="str">
        <f>+dHdcp[[#This Row],[Maximo]]&amp;":"&amp;_xlfn.XLOOKUP(dHdcp[[#This Row],[Nombre]],dJugador[Nombre],dJugador[Mote],"",0)</f>
        <v>0:Santi</v>
      </c>
      <c r="J1770" t="str">
        <f>+IF(dHdcp[[#This Row],[Maximo]]=0,"",_xlfn.RANK.EQ(dHdcp[[#This Row],[Handicap]],dHdcp[Handicap],1))</f>
        <v/>
      </c>
      <c r="K1770" t="str">
        <f>IFERROR(+_xlfn.RANK.EQ(dHdcp[[#This Row],[Ranking]],dHdcp[Ranking],1),"")</f>
        <v/>
      </c>
      <c r="M1770" t="str">
        <f>+dHdcp[[#This Row],[Fecha]]&amp;":"&amp;dHdcp[[#This Row],[Nombre]]</f>
        <v>45192:Santi Diaz</v>
      </c>
      <c r="N1770">
        <f>+COUNTIF(dHdcp[Columna1],dHdcp[[#This Row],[Columna1]])</f>
        <v>1</v>
      </c>
    </row>
    <row r="1771" spans="1:14">
      <c r="A1771" s="2">
        <v>45220</v>
      </c>
      <c r="B1771" t="s">
        <v>259</v>
      </c>
      <c r="C1771" s="51">
        <v>0.99999999999999845</v>
      </c>
      <c r="D1771">
        <f>+VLOOKUP(dHdcp[[#This Row],[Handicap]],'Categoría Hdcap'!$B$2:$E$7,4)</f>
        <v>1</v>
      </c>
      <c r="E1771" t="s">
        <v>74</v>
      </c>
      <c r="F1771" t="s">
        <v>2237</v>
      </c>
      <c r="G1771">
        <f>+IF(dHdcp[[#This Row],[Fecha]]=MAX(dHdcp[Fecha]),1,0)</f>
        <v>0</v>
      </c>
      <c r="H1771" t="str">
        <f>+dHdcp[[#This Row],[Maximo]]&amp;":"&amp;dHdcp[[#This Row],[Nombre]]</f>
        <v>0:Alejandro Arcos</v>
      </c>
      <c r="I1771" t="str">
        <f>+dHdcp[[#This Row],[Maximo]]&amp;":"&amp;_xlfn.XLOOKUP(dHdcp[[#This Row],[Nombre]],dJugador[Nombre],dJugador[Mote],"",0)</f>
        <v>0:Alex</v>
      </c>
      <c r="J1771" t="str">
        <f>+IF(dHdcp[[#This Row],[Maximo]]=0,"",_xlfn.RANK.EQ(dHdcp[[#This Row],[Handicap]],dHdcp[Handicap],1))</f>
        <v/>
      </c>
      <c r="K1771" t="str">
        <f>IFERROR(+_xlfn.RANK.EQ(dHdcp[[#This Row],[Ranking]],dHdcp[Ranking],1),"")</f>
        <v/>
      </c>
      <c r="M1771" t="str">
        <f>+dHdcp[[#This Row],[Fecha]]&amp;":"&amp;dHdcp[[#This Row],[Nombre]]</f>
        <v>45220:Alejandro Arcos</v>
      </c>
      <c r="N1771">
        <f>+COUNTIF(dHdcp[Columna1],dHdcp[[#This Row],[Columna1]])</f>
        <v>1</v>
      </c>
    </row>
    <row r="1772" spans="1:14">
      <c r="A1772" s="2">
        <v>45220</v>
      </c>
      <c r="B1772" t="s">
        <v>9</v>
      </c>
      <c r="C1772" s="51">
        <v>11.3</v>
      </c>
      <c r="D1772">
        <f>+VLOOKUP(dHdcp[[#This Row],[Handicap]],'Categoría Hdcap'!$B$2:$E$7,4)</f>
        <v>2</v>
      </c>
      <c r="E1772" t="s">
        <v>74</v>
      </c>
      <c r="F1772" t="s">
        <v>2238</v>
      </c>
      <c r="G1772">
        <f>+IF(dHdcp[[#This Row],[Fecha]]=MAX(dHdcp[Fecha]),1,0)</f>
        <v>0</v>
      </c>
      <c r="H1772" t="str">
        <f>+dHdcp[[#This Row],[Maximo]]&amp;":"&amp;dHdcp[[#This Row],[Nombre]]</f>
        <v>0:Alfonso Hidalgo</v>
      </c>
      <c r="I1772" t="str">
        <f>+dHdcp[[#This Row],[Maximo]]&amp;":"&amp;_xlfn.XLOOKUP(dHdcp[[#This Row],[Nombre]],dJugador[Nombre],dJugador[Mote],"",0)</f>
        <v>0:Alfonso</v>
      </c>
      <c r="J1772" t="str">
        <f>+IF(dHdcp[[#This Row],[Maximo]]=0,"",_xlfn.RANK.EQ(dHdcp[[#This Row],[Handicap]],dHdcp[Handicap],1))</f>
        <v/>
      </c>
      <c r="K1772" t="str">
        <f>IFERROR(+_xlfn.RANK.EQ(dHdcp[[#This Row],[Ranking]],dHdcp[Ranking],1),"")</f>
        <v/>
      </c>
      <c r="M1772" t="str">
        <f>+dHdcp[[#This Row],[Fecha]]&amp;":"&amp;dHdcp[[#This Row],[Nombre]]</f>
        <v>45220:Alfonso Hidalgo</v>
      </c>
      <c r="N1772">
        <f>+COUNTIF(dHdcp[Columna1],dHdcp[[#This Row],[Columna1]])</f>
        <v>1</v>
      </c>
    </row>
    <row r="1773" spans="1:14">
      <c r="A1773" s="2">
        <v>45220</v>
      </c>
      <c r="B1773" t="s">
        <v>229</v>
      </c>
      <c r="C1773" s="51">
        <v>14.1</v>
      </c>
      <c r="D1773">
        <f>+VLOOKUP(dHdcp[[#This Row],[Handicap]],'Categoría Hdcap'!$B$2:$E$7,4)</f>
        <v>3</v>
      </c>
      <c r="E1773" t="s">
        <v>74</v>
      </c>
      <c r="F1773" t="s">
        <v>2239</v>
      </c>
      <c r="G1773">
        <f>+IF(dHdcp[[#This Row],[Fecha]]=MAX(dHdcp[Fecha]),1,0)</f>
        <v>0</v>
      </c>
      <c r="H1773" t="str">
        <f>+dHdcp[[#This Row],[Maximo]]&amp;":"&amp;dHdcp[[#This Row],[Nombre]]</f>
        <v>0:Alfonso Zorrilla</v>
      </c>
      <c r="I1773" t="str">
        <f>+dHdcp[[#This Row],[Maximo]]&amp;":"&amp;_xlfn.XLOOKUP(dHdcp[[#This Row],[Nombre]],dJugador[Nombre],dJugador[Mote],"",0)</f>
        <v>0:A Zorrilla</v>
      </c>
      <c r="J1773" t="str">
        <f>+IF(dHdcp[[#This Row],[Maximo]]=0,"",_xlfn.RANK.EQ(dHdcp[[#This Row],[Handicap]],dHdcp[Handicap],1))</f>
        <v/>
      </c>
      <c r="K1773" t="str">
        <f>IFERROR(+_xlfn.RANK.EQ(dHdcp[[#This Row],[Ranking]],dHdcp[Ranking],1),"")</f>
        <v/>
      </c>
      <c r="M1773" t="str">
        <f>+dHdcp[[#This Row],[Fecha]]&amp;":"&amp;dHdcp[[#This Row],[Nombre]]</f>
        <v>45220:Alfonso Zorrilla</v>
      </c>
      <c r="N1773">
        <f>+COUNTIF(dHdcp[Columna1],dHdcp[[#This Row],[Columna1]])</f>
        <v>1</v>
      </c>
    </row>
    <row r="1774" spans="1:14">
      <c r="A1774" s="2">
        <v>45220</v>
      </c>
      <c r="B1774" t="s">
        <v>15</v>
      </c>
      <c r="C1774" s="51">
        <v>5.6</v>
      </c>
      <c r="D1774">
        <f>+VLOOKUP(dHdcp[[#This Row],[Handicap]],'Categoría Hdcap'!$B$2:$E$7,4)</f>
        <v>2</v>
      </c>
      <c r="E1774" t="s">
        <v>74</v>
      </c>
      <c r="F1774" t="s">
        <v>2240</v>
      </c>
      <c r="G1774">
        <f>+IF(dHdcp[[#This Row],[Fecha]]=MAX(dHdcp[Fecha]),1,0)</f>
        <v>0</v>
      </c>
      <c r="H1774" t="str">
        <f>+dHdcp[[#This Row],[Maximo]]&amp;":"&amp;dHdcp[[#This Row],[Nombre]]</f>
        <v>0:Alvaro Aguirre</v>
      </c>
      <c r="I1774" t="str">
        <f>+dHdcp[[#This Row],[Maximo]]&amp;":"&amp;_xlfn.XLOOKUP(dHdcp[[#This Row],[Nombre]],dJugador[Nombre],dJugador[Mote],"",0)</f>
        <v>0:Gifu</v>
      </c>
      <c r="J1774" t="str">
        <f>+IF(dHdcp[[#This Row],[Maximo]]=0,"",_xlfn.RANK.EQ(dHdcp[[#This Row],[Handicap]],dHdcp[Handicap],1))</f>
        <v/>
      </c>
      <c r="K1774" t="str">
        <f>IFERROR(+_xlfn.RANK.EQ(dHdcp[[#This Row],[Ranking]],dHdcp[Ranking],1),"")</f>
        <v/>
      </c>
      <c r="M1774" t="str">
        <f>+dHdcp[[#This Row],[Fecha]]&amp;":"&amp;dHdcp[[#This Row],[Nombre]]</f>
        <v>45220:Alvaro Aguirre</v>
      </c>
      <c r="N1774">
        <f>+COUNTIF(dHdcp[Columna1],dHdcp[[#This Row],[Columna1]])</f>
        <v>1</v>
      </c>
    </row>
    <row r="1775" spans="1:14">
      <c r="A1775" s="2">
        <v>45220</v>
      </c>
      <c r="B1775" t="s">
        <v>201</v>
      </c>
      <c r="C1775" s="51">
        <v>9.2000000000000011</v>
      </c>
      <c r="D1775">
        <f>+VLOOKUP(dHdcp[[#This Row],[Handicap]],'Categoría Hdcap'!$B$2:$E$7,4)</f>
        <v>2</v>
      </c>
      <c r="E1775" t="s">
        <v>74</v>
      </c>
      <c r="F1775" t="s">
        <v>2241</v>
      </c>
      <c r="G1775">
        <f>+IF(dHdcp[[#This Row],[Fecha]]=MAX(dHdcp[Fecha]),1,0)</f>
        <v>0</v>
      </c>
      <c r="H1775" t="str">
        <f>+dHdcp[[#This Row],[Maximo]]&amp;":"&amp;dHdcp[[#This Row],[Nombre]]</f>
        <v>0:Alvaro Montoya</v>
      </c>
      <c r="I1775" t="str">
        <f>+dHdcp[[#This Row],[Maximo]]&amp;":"&amp;_xlfn.XLOOKUP(dHdcp[[#This Row],[Nombre]],dJugador[Nombre],dJugador[Mote],"",0)</f>
        <v>0:Monti</v>
      </c>
      <c r="J1775" t="str">
        <f>+IF(dHdcp[[#This Row],[Maximo]]=0,"",_xlfn.RANK.EQ(dHdcp[[#This Row],[Handicap]],dHdcp[Handicap],1))</f>
        <v/>
      </c>
      <c r="K1775" t="str">
        <f>IFERROR(+_xlfn.RANK.EQ(dHdcp[[#This Row],[Ranking]],dHdcp[Ranking],1),"")</f>
        <v/>
      </c>
      <c r="M1775" t="str">
        <f>+dHdcp[[#This Row],[Fecha]]&amp;":"&amp;dHdcp[[#This Row],[Nombre]]</f>
        <v>45220:Alvaro Montoya</v>
      </c>
      <c r="N1775">
        <f>+COUNTIF(dHdcp[Columna1],dHdcp[[#This Row],[Columna1]])</f>
        <v>1</v>
      </c>
    </row>
    <row r="1776" spans="1:14">
      <c r="A1776" s="2">
        <v>45220</v>
      </c>
      <c r="B1776" t="s">
        <v>25</v>
      </c>
      <c r="C1776" s="51">
        <v>12.9</v>
      </c>
      <c r="D1776">
        <f>+VLOOKUP(dHdcp[[#This Row],[Handicap]],'Categoría Hdcap'!$B$2:$E$7,4)</f>
        <v>3</v>
      </c>
      <c r="E1776" t="s">
        <v>74</v>
      </c>
      <c r="F1776" t="s">
        <v>2242</v>
      </c>
      <c r="G1776">
        <f>+IF(dHdcp[[#This Row],[Fecha]]=MAX(dHdcp[Fecha]),1,0)</f>
        <v>0</v>
      </c>
      <c r="H1776" t="str">
        <f>+dHdcp[[#This Row],[Maximo]]&amp;":"&amp;dHdcp[[#This Row],[Nombre]]</f>
        <v>0:Alvaro Nieto</v>
      </c>
      <c r="I1776" t="str">
        <f>+dHdcp[[#This Row],[Maximo]]&amp;":"&amp;_xlfn.XLOOKUP(dHdcp[[#This Row],[Nombre]],dJugador[Nombre],dJugador[Mote],"",0)</f>
        <v>0:Alvaro</v>
      </c>
      <c r="J1776" t="str">
        <f>+IF(dHdcp[[#This Row],[Maximo]]=0,"",_xlfn.RANK.EQ(dHdcp[[#This Row],[Handicap]],dHdcp[Handicap],1))</f>
        <v/>
      </c>
      <c r="K1776" t="str">
        <f>IFERROR(+_xlfn.RANK.EQ(dHdcp[[#This Row],[Ranking]],dHdcp[Ranking],1),"")</f>
        <v/>
      </c>
      <c r="M1776" t="str">
        <f>+dHdcp[[#This Row],[Fecha]]&amp;":"&amp;dHdcp[[#This Row],[Nombre]]</f>
        <v>45220:Alvaro Nieto</v>
      </c>
      <c r="N1776">
        <f>+COUNTIF(dHdcp[Columna1],dHdcp[[#This Row],[Columna1]])</f>
        <v>1</v>
      </c>
    </row>
    <row r="1777" spans="1:14">
      <c r="A1777" s="2">
        <v>45220</v>
      </c>
      <c r="B1777" t="s">
        <v>33</v>
      </c>
      <c r="C1777" s="51">
        <v>8</v>
      </c>
      <c r="D1777">
        <f>+VLOOKUP(dHdcp[[#This Row],[Handicap]],'Categoría Hdcap'!$B$2:$E$7,4)</f>
        <v>2</v>
      </c>
      <c r="E1777" t="s">
        <v>74</v>
      </c>
      <c r="F1777" t="s">
        <v>2243</v>
      </c>
      <c r="G1777">
        <f>+IF(dHdcp[[#This Row],[Fecha]]=MAX(dHdcp[Fecha]),1,0)</f>
        <v>0</v>
      </c>
      <c r="H1777" t="str">
        <f>+dHdcp[[#This Row],[Maximo]]&amp;":"&amp;dHdcp[[#This Row],[Nombre]]</f>
        <v>0:Angel Hernandez</v>
      </c>
      <c r="I1777" t="str">
        <f>+dHdcp[[#This Row],[Maximo]]&amp;":"&amp;_xlfn.XLOOKUP(dHdcp[[#This Row],[Nombre]],dJugador[Nombre],dJugador[Mote],"",0)</f>
        <v>0:Angel</v>
      </c>
      <c r="J1777" t="str">
        <f>+IF(dHdcp[[#This Row],[Maximo]]=0,"",_xlfn.RANK.EQ(dHdcp[[#This Row],[Handicap]],dHdcp[Handicap],1))</f>
        <v/>
      </c>
      <c r="K1777" t="str">
        <f>IFERROR(+_xlfn.RANK.EQ(dHdcp[[#This Row],[Ranking]],dHdcp[Ranking],1),"")</f>
        <v/>
      </c>
      <c r="M1777" t="str">
        <f>+dHdcp[[#This Row],[Fecha]]&amp;":"&amp;dHdcp[[#This Row],[Nombre]]</f>
        <v>45220:Angel Hernandez</v>
      </c>
      <c r="N1777">
        <f>+COUNTIF(dHdcp[Columna1],dHdcp[[#This Row],[Columna1]])</f>
        <v>1</v>
      </c>
    </row>
    <row r="1778" spans="1:14">
      <c r="A1778" s="2">
        <v>45220</v>
      </c>
      <c r="B1778" t="s">
        <v>264</v>
      </c>
      <c r="C1778" s="51">
        <v>19.8</v>
      </c>
      <c r="D1778">
        <f>+VLOOKUP(dHdcp[[#This Row],[Handicap]],'Categoría Hdcap'!$B$2:$E$7,4)</f>
        <v>4</v>
      </c>
      <c r="E1778" t="s">
        <v>74</v>
      </c>
      <c r="F1778" t="s">
        <v>2244</v>
      </c>
      <c r="G1778">
        <f>+IF(dHdcp[[#This Row],[Fecha]]=MAX(dHdcp[Fecha]),1,0)</f>
        <v>0</v>
      </c>
      <c r="H1778" t="str">
        <f>+dHdcp[[#This Row],[Maximo]]&amp;":"&amp;dHdcp[[#This Row],[Nombre]]</f>
        <v>0:Antonio Carmona</v>
      </c>
      <c r="I1778" t="str">
        <f>+dHdcp[[#This Row],[Maximo]]&amp;":"&amp;_xlfn.XLOOKUP(dHdcp[[#This Row],[Nombre]],dJugador[Nombre],dJugador[Mote],"",0)</f>
        <v>0:Antonio</v>
      </c>
      <c r="J1778" t="str">
        <f>+IF(dHdcp[[#This Row],[Maximo]]=0,"",_xlfn.RANK.EQ(dHdcp[[#This Row],[Handicap]],dHdcp[Handicap],1))</f>
        <v/>
      </c>
      <c r="K1778" t="str">
        <f>IFERROR(+_xlfn.RANK.EQ(dHdcp[[#This Row],[Ranking]],dHdcp[Ranking],1),"")</f>
        <v/>
      </c>
      <c r="M1778" t="str">
        <f>+dHdcp[[#This Row],[Fecha]]&amp;":"&amp;dHdcp[[#This Row],[Nombre]]</f>
        <v>45220:Antonio Carmona</v>
      </c>
      <c r="N1778">
        <f>+COUNTIF(dHdcp[Columna1],dHdcp[[#This Row],[Columna1]])</f>
        <v>1</v>
      </c>
    </row>
    <row r="1779" spans="1:14">
      <c r="A1779" s="2">
        <v>45220</v>
      </c>
      <c r="B1779" t="s">
        <v>291</v>
      </c>
      <c r="C1779" s="51">
        <v>0.7999999999999996</v>
      </c>
      <c r="D1779">
        <f>+VLOOKUP(dHdcp[[#This Row],[Handicap]],'Categoría Hdcap'!$B$2:$E$7,4)</f>
        <v>1</v>
      </c>
      <c r="E1779" t="s">
        <v>74</v>
      </c>
      <c r="F1779" t="s">
        <v>2245</v>
      </c>
      <c r="G1779">
        <f>+IF(dHdcp[[#This Row],[Fecha]]=MAX(dHdcp[Fecha]),1,0)</f>
        <v>0</v>
      </c>
      <c r="H1779" t="str">
        <f>+dHdcp[[#This Row],[Maximo]]&amp;":"&amp;dHdcp[[#This Row],[Nombre]]</f>
        <v>0:Carlos Maestro</v>
      </c>
      <c r="I1779" t="str">
        <f>+dHdcp[[#This Row],[Maximo]]&amp;":"&amp;_xlfn.XLOOKUP(dHdcp[[#This Row],[Nombre]],dJugador[Nombre],dJugador[Mote],"",0)</f>
        <v>0:Carlitos</v>
      </c>
      <c r="J1779" t="str">
        <f>+IF(dHdcp[[#This Row],[Maximo]]=0,"",_xlfn.RANK.EQ(dHdcp[[#This Row],[Handicap]],dHdcp[Handicap],1))</f>
        <v/>
      </c>
      <c r="K1779" t="str">
        <f>IFERROR(+_xlfn.RANK.EQ(dHdcp[[#This Row],[Ranking]],dHdcp[Ranking],1),"")</f>
        <v/>
      </c>
      <c r="M1779" t="str">
        <f>+dHdcp[[#This Row],[Fecha]]&amp;":"&amp;dHdcp[[#This Row],[Nombre]]</f>
        <v>45220:Carlos Maestro</v>
      </c>
      <c r="N1779">
        <f>+COUNTIF(dHdcp[Columna1],dHdcp[[#This Row],[Columna1]])</f>
        <v>1</v>
      </c>
    </row>
    <row r="1780" spans="1:14">
      <c r="A1780" s="2">
        <v>45220</v>
      </c>
      <c r="B1780" t="s">
        <v>30</v>
      </c>
      <c r="C1780" s="51">
        <v>10.700000000000001</v>
      </c>
      <c r="D1780">
        <f>+VLOOKUP(dHdcp[[#This Row],[Handicap]],'Categoría Hdcap'!$B$2:$E$7,4)</f>
        <v>2</v>
      </c>
      <c r="E1780" t="s">
        <v>74</v>
      </c>
      <c r="F1780" t="s">
        <v>2246</v>
      </c>
      <c r="G1780">
        <f>+IF(dHdcp[[#This Row],[Fecha]]=MAX(dHdcp[Fecha]),1,0)</f>
        <v>0</v>
      </c>
      <c r="H1780" t="str">
        <f>+dHdcp[[#This Row],[Maximo]]&amp;":"&amp;dHdcp[[#This Row],[Nombre]]</f>
        <v>0:David Sequera</v>
      </c>
      <c r="I1780" t="str">
        <f>+dHdcp[[#This Row],[Maximo]]&amp;":"&amp;_xlfn.XLOOKUP(dHdcp[[#This Row],[Nombre]],dJugador[Nombre],dJugador[Mote],"",0)</f>
        <v>0:David</v>
      </c>
      <c r="J1780" t="str">
        <f>+IF(dHdcp[[#This Row],[Maximo]]=0,"",_xlfn.RANK.EQ(dHdcp[[#This Row],[Handicap]],dHdcp[Handicap],1))</f>
        <v/>
      </c>
      <c r="K1780" t="str">
        <f>IFERROR(+_xlfn.RANK.EQ(dHdcp[[#This Row],[Ranking]],dHdcp[Ranking],1),"")</f>
        <v/>
      </c>
      <c r="M1780" t="str">
        <f>+dHdcp[[#This Row],[Fecha]]&amp;":"&amp;dHdcp[[#This Row],[Nombre]]</f>
        <v>45220:David Sequera</v>
      </c>
      <c r="N1780">
        <f>+COUNTIF(dHdcp[Columna1],dHdcp[[#This Row],[Columna1]])</f>
        <v>1</v>
      </c>
    </row>
    <row r="1781" spans="1:14">
      <c r="A1781" s="2">
        <v>45220</v>
      </c>
      <c r="B1781" t="s">
        <v>326</v>
      </c>
      <c r="C1781" s="51">
        <v>12.5</v>
      </c>
      <c r="D1781">
        <f>+VLOOKUP(dHdcp[[#This Row],[Handicap]],'Categoría Hdcap'!$B$2:$E$7,4)</f>
        <v>3</v>
      </c>
      <c r="E1781" t="s">
        <v>74</v>
      </c>
      <c r="F1781" t="s">
        <v>2247</v>
      </c>
      <c r="G1781">
        <f>+IF(dHdcp[[#This Row],[Fecha]]=MAX(dHdcp[Fecha]),1,0)</f>
        <v>0</v>
      </c>
      <c r="H1781" t="str">
        <f>+dHdcp[[#This Row],[Maximo]]&amp;":"&amp;dHdcp[[#This Row],[Nombre]]</f>
        <v>0:Eduardo Buendía</v>
      </c>
      <c r="I1781" t="str">
        <f>+dHdcp[[#This Row],[Maximo]]&amp;":"&amp;_xlfn.XLOOKUP(dHdcp[[#This Row],[Nombre]],dJugador[Nombre],dJugador[Mote],"",0)</f>
        <v>0:Eduardo</v>
      </c>
      <c r="J1781" t="str">
        <f>+IF(dHdcp[[#This Row],[Maximo]]=0,"",_xlfn.RANK.EQ(dHdcp[[#This Row],[Handicap]],dHdcp[Handicap],1))</f>
        <v/>
      </c>
      <c r="K1781" t="str">
        <f>IFERROR(+_xlfn.RANK.EQ(dHdcp[[#This Row],[Ranking]],dHdcp[Ranking],1),"")</f>
        <v/>
      </c>
      <c r="M1781" t="str">
        <f>+dHdcp[[#This Row],[Fecha]]&amp;":"&amp;dHdcp[[#This Row],[Nombre]]</f>
        <v>45220:Eduardo Buendía</v>
      </c>
      <c r="N1781">
        <f>+COUNTIF(dHdcp[Columna1],dHdcp[[#This Row],[Columna1]])</f>
        <v>1</v>
      </c>
    </row>
    <row r="1782" spans="1:14">
      <c r="A1782" s="2">
        <v>45220</v>
      </c>
      <c r="B1782" t="s">
        <v>248</v>
      </c>
      <c r="C1782" s="51">
        <v>11.599999999999998</v>
      </c>
      <c r="D1782">
        <f>+VLOOKUP(dHdcp[[#This Row],[Handicap]],'Categoría Hdcap'!$B$2:$E$7,4)</f>
        <v>3</v>
      </c>
      <c r="E1782" t="s">
        <v>74</v>
      </c>
      <c r="F1782" t="s">
        <v>2248</v>
      </c>
      <c r="G1782">
        <f>+IF(dHdcp[[#This Row],[Fecha]]=MAX(dHdcp[Fecha]),1,0)</f>
        <v>0</v>
      </c>
      <c r="H1782" t="str">
        <f>+dHdcp[[#This Row],[Maximo]]&amp;":"&amp;dHdcp[[#This Row],[Nombre]]</f>
        <v>0:Enrique Gonzalez R</v>
      </c>
      <c r="I1782" t="str">
        <f>+dHdcp[[#This Row],[Maximo]]&amp;":"&amp;_xlfn.XLOOKUP(dHdcp[[#This Row],[Nombre]],dJugador[Nombre],dJugador[Mote],"",0)</f>
        <v>0:Enrique</v>
      </c>
      <c r="J1782" t="str">
        <f>+IF(dHdcp[[#This Row],[Maximo]]=0,"",_xlfn.RANK.EQ(dHdcp[[#This Row],[Handicap]],dHdcp[Handicap],1))</f>
        <v/>
      </c>
      <c r="K1782" t="str">
        <f>IFERROR(+_xlfn.RANK.EQ(dHdcp[[#This Row],[Ranking]],dHdcp[Ranking],1),"")</f>
        <v/>
      </c>
      <c r="M1782" t="str">
        <f>+dHdcp[[#This Row],[Fecha]]&amp;":"&amp;dHdcp[[#This Row],[Nombre]]</f>
        <v>45220:Enrique Gonzalez R</v>
      </c>
      <c r="N1782">
        <f>+COUNTIF(dHdcp[Columna1],dHdcp[[#This Row],[Columna1]])</f>
        <v>1</v>
      </c>
    </row>
    <row r="1783" spans="1:14">
      <c r="A1783" s="2">
        <v>45220</v>
      </c>
      <c r="B1783" t="s">
        <v>12</v>
      </c>
      <c r="C1783" s="51">
        <v>15</v>
      </c>
      <c r="D1783">
        <f>+VLOOKUP(dHdcp[[#This Row],[Handicap]],'Categoría Hdcap'!$B$2:$E$7,4)</f>
        <v>3</v>
      </c>
      <c r="E1783" t="s">
        <v>74</v>
      </c>
      <c r="F1783" t="s">
        <v>2249</v>
      </c>
      <c r="G1783">
        <f>+IF(dHdcp[[#This Row],[Fecha]]=MAX(dHdcp[Fecha]),1,0)</f>
        <v>0</v>
      </c>
      <c r="H1783" t="str">
        <f>+dHdcp[[#This Row],[Maximo]]&amp;":"&amp;dHdcp[[#This Row],[Nombre]]</f>
        <v>0:Francisco Alvarez</v>
      </c>
      <c r="I1783" t="str">
        <f>+dHdcp[[#This Row],[Maximo]]&amp;":"&amp;_xlfn.XLOOKUP(dHdcp[[#This Row],[Nombre]],dJugador[Nombre],dJugador[Mote],"",0)</f>
        <v>0:Paco</v>
      </c>
      <c r="J1783" t="str">
        <f>+IF(dHdcp[[#This Row],[Maximo]]=0,"",_xlfn.RANK.EQ(dHdcp[[#This Row],[Handicap]],dHdcp[Handicap],1))</f>
        <v/>
      </c>
      <c r="K1783" t="str">
        <f>IFERROR(+_xlfn.RANK.EQ(dHdcp[[#This Row],[Ranking]],dHdcp[Ranking],1),"")</f>
        <v/>
      </c>
      <c r="M1783" t="str">
        <f>+dHdcp[[#This Row],[Fecha]]&amp;":"&amp;dHdcp[[#This Row],[Nombre]]</f>
        <v>45220:Francisco Alvarez</v>
      </c>
      <c r="N1783">
        <f>+COUNTIF(dHdcp[Columna1],dHdcp[[#This Row],[Columna1]])</f>
        <v>1</v>
      </c>
    </row>
    <row r="1784" spans="1:14">
      <c r="A1784" s="2">
        <v>45220</v>
      </c>
      <c r="B1784" t="s">
        <v>49</v>
      </c>
      <c r="C1784" s="51">
        <v>12.199999999999998</v>
      </c>
      <c r="D1784">
        <f>+VLOOKUP(dHdcp[[#This Row],[Handicap]],'Categoría Hdcap'!$B$2:$E$7,4)</f>
        <v>3</v>
      </c>
      <c r="E1784" t="s">
        <v>74</v>
      </c>
      <c r="F1784" t="s">
        <v>2250</v>
      </c>
      <c r="G1784">
        <f>+IF(dHdcp[[#This Row],[Fecha]]=MAX(dHdcp[Fecha]),1,0)</f>
        <v>0</v>
      </c>
      <c r="H1784" t="str">
        <f>+dHdcp[[#This Row],[Maximo]]&amp;":"&amp;dHdcp[[#This Row],[Nombre]]</f>
        <v>0:Francisco Hidalgo</v>
      </c>
      <c r="I1784" t="str">
        <f>+dHdcp[[#This Row],[Maximo]]&amp;":"&amp;_xlfn.XLOOKUP(dHdcp[[#This Row],[Nombre]],dJugador[Nombre],dJugador[Mote],"",0)</f>
        <v>0:Fran</v>
      </c>
      <c r="J1784" t="str">
        <f>+IF(dHdcp[[#This Row],[Maximo]]=0,"",_xlfn.RANK.EQ(dHdcp[[#This Row],[Handicap]],dHdcp[Handicap],1))</f>
        <v/>
      </c>
      <c r="K1784" t="str">
        <f>IFERROR(+_xlfn.RANK.EQ(dHdcp[[#This Row],[Ranking]],dHdcp[Ranking],1),"")</f>
        <v/>
      </c>
      <c r="M1784" t="str">
        <f>+dHdcp[[#This Row],[Fecha]]&amp;":"&amp;dHdcp[[#This Row],[Nombre]]</f>
        <v>45220:Francisco Hidalgo</v>
      </c>
      <c r="N1784">
        <f>+COUNTIF(dHdcp[Columna1],dHdcp[[#This Row],[Columna1]])</f>
        <v>1</v>
      </c>
    </row>
    <row r="1785" spans="1:14">
      <c r="A1785" s="2">
        <v>45220</v>
      </c>
      <c r="B1785" t="s">
        <v>207</v>
      </c>
      <c r="C1785" s="51">
        <v>14.499999999999998</v>
      </c>
      <c r="D1785">
        <f>+VLOOKUP(dHdcp[[#This Row],[Handicap]],'Categoría Hdcap'!$B$2:$E$7,4)</f>
        <v>3</v>
      </c>
      <c r="E1785" t="s">
        <v>74</v>
      </c>
      <c r="F1785" t="s">
        <v>2251</v>
      </c>
      <c r="G1785">
        <f>+IF(dHdcp[[#This Row],[Fecha]]=MAX(dHdcp[Fecha]),1,0)</f>
        <v>0</v>
      </c>
      <c r="H1785" t="str">
        <f>+dHdcp[[#This Row],[Maximo]]&amp;":"&amp;dHdcp[[#This Row],[Nombre]]</f>
        <v>0:Franck Benouniche</v>
      </c>
      <c r="I1785" t="str">
        <f>+dHdcp[[#This Row],[Maximo]]&amp;":"&amp;_xlfn.XLOOKUP(dHdcp[[#This Row],[Nombre]],dJugador[Nombre],dJugador[Mote],"",0)</f>
        <v>0:Franck</v>
      </c>
      <c r="J1785" t="str">
        <f>+IF(dHdcp[[#This Row],[Maximo]]=0,"",_xlfn.RANK.EQ(dHdcp[[#This Row],[Handicap]],dHdcp[Handicap],1))</f>
        <v/>
      </c>
      <c r="K1785" t="str">
        <f>IFERROR(+_xlfn.RANK.EQ(dHdcp[[#This Row],[Ranking]],dHdcp[Ranking],1),"")</f>
        <v/>
      </c>
      <c r="M1785" t="str">
        <f>+dHdcp[[#This Row],[Fecha]]&amp;":"&amp;dHdcp[[#This Row],[Nombre]]</f>
        <v>45220:Franck Benouniche</v>
      </c>
      <c r="N1785">
        <f>+COUNTIF(dHdcp[Columna1],dHdcp[[#This Row],[Columna1]])</f>
        <v>1</v>
      </c>
    </row>
    <row r="1786" spans="1:14">
      <c r="A1786" s="2">
        <v>45220</v>
      </c>
      <c r="B1786" t="s">
        <v>35</v>
      </c>
      <c r="C1786" s="51">
        <v>19.600000000000001</v>
      </c>
      <c r="D1786">
        <f>+VLOOKUP(dHdcp[[#This Row],[Handicap]],'Categoría Hdcap'!$B$2:$E$7,4)</f>
        <v>4</v>
      </c>
      <c r="E1786" t="s">
        <v>74</v>
      </c>
      <c r="F1786" t="s">
        <v>2252</v>
      </c>
      <c r="G1786">
        <f>+IF(dHdcp[[#This Row],[Fecha]]=MAX(dHdcp[Fecha]),1,0)</f>
        <v>0</v>
      </c>
      <c r="H1786" t="str">
        <f>+dHdcp[[#This Row],[Maximo]]&amp;":"&amp;dHdcp[[#This Row],[Nombre]]</f>
        <v>0:GLEZ JUAN JOSÉ</v>
      </c>
      <c r="I1786" t="str">
        <f>+dHdcp[[#This Row],[Maximo]]&amp;":"&amp;_xlfn.XLOOKUP(dHdcp[[#This Row],[Nombre]],dJugador[Nombre],dJugador[Mote],"",0)</f>
        <v>0:Juanjo</v>
      </c>
      <c r="J1786" t="str">
        <f>+IF(dHdcp[[#This Row],[Maximo]]=0,"",_xlfn.RANK.EQ(dHdcp[[#This Row],[Handicap]],dHdcp[Handicap],1))</f>
        <v/>
      </c>
      <c r="K1786" t="str">
        <f>IFERROR(+_xlfn.RANK.EQ(dHdcp[[#This Row],[Ranking]],dHdcp[Ranking],1),"")</f>
        <v/>
      </c>
      <c r="M1786" t="str">
        <f>+dHdcp[[#This Row],[Fecha]]&amp;":"&amp;dHdcp[[#This Row],[Nombre]]</f>
        <v>45220:GLEZ JUAN JOSÉ</v>
      </c>
      <c r="N1786">
        <f>+COUNTIF(dHdcp[Columna1],dHdcp[[#This Row],[Columna1]])</f>
        <v>1</v>
      </c>
    </row>
    <row r="1787" spans="1:14">
      <c r="A1787" s="2">
        <v>45220</v>
      </c>
      <c r="B1787" t="s">
        <v>6</v>
      </c>
      <c r="C1787" s="51">
        <v>8.600000000000005</v>
      </c>
      <c r="D1787">
        <f>+VLOOKUP(dHdcp[[#This Row],[Handicap]],'Categoría Hdcap'!$B$2:$E$7,4)</f>
        <v>2</v>
      </c>
      <c r="E1787" t="s">
        <v>74</v>
      </c>
      <c r="F1787" t="s">
        <v>2253</v>
      </c>
      <c r="G1787">
        <f>+IF(dHdcp[[#This Row],[Fecha]]=MAX(dHdcp[Fecha]),1,0)</f>
        <v>0</v>
      </c>
      <c r="H1787" t="str">
        <f>+dHdcp[[#This Row],[Maximo]]&amp;":"&amp;dHdcp[[#This Row],[Nombre]]</f>
        <v>0:Ignacio Cadarso</v>
      </c>
      <c r="I1787" t="str">
        <f>+dHdcp[[#This Row],[Maximo]]&amp;":"&amp;_xlfn.XLOOKUP(dHdcp[[#This Row],[Nombre]],dJugador[Nombre],dJugador[Mote],"",0)</f>
        <v>0:Ignacio</v>
      </c>
      <c r="J1787" t="str">
        <f>+IF(dHdcp[[#This Row],[Maximo]]=0,"",_xlfn.RANK.EQ(dHdcp[[#This Row],[Handicap]],dHdcp[Handicap],1))</f>
        <v/>
      </c>
      <c r="K1787" t="str">
        <f>IFERROR(+_xlfn.RANK.EQ(dHdcp[[#This Row],[Ranking]],dHdcp[Ranking],1),"")</f>
        <v/>
      </c>
      <c r="M1787" t="str">
        <f>+dHdcp[[#This Row],[Fecha]]&amp;":"&amp;dHdcp[[#This Row],[Nombre]]</f>
        <v>45220:Ignacio Cadarso</v>
      </c>
      <c r="N1787">
        <f>+COUNTIF(dHdcp[Columna1],dHdcp[[#This Row],[Columna1]])</f>
        <v>1</v>
      </c>
    </row>
    <row r="1788" spans="1:14">
      <c r="A1788" s="2">
        <v>45220</v>
      </c>
      <c r="B1788" t="s">
        <v>298</v>
      </c>
      <c r="C1788" s="51">
        <v>23.7</v>
      </c>
      <c r="D1788">
        <f>+VLOOKUP(dHdcp[[#This Row],[Handicap]],'Categoría Hdcap'!$B$2:$E$7,4)</f>
        <v>4</v>
      </c>
      <c r="E1788" t="s">
        <v>74</v>
      </c>
      <c r="F1788" t="s">
        <v>2254</v>
      </c>
      <c r="G1788">
        <f>+IF(dHdcp[[#This Row],[Fecha]]=MAX(dHdcp[Fecha]),1,0)</f>
        <v>0</v>
      </c>
      <c r="H1788" t="str">
        <f>+dHdcp[[#This Row],[Maximo]]&amp;":"&amp;dHdcp[[#This Row],[Nombre]]</f>
        <v>0:Ignacio Gracia Charlez</v>
      </c>
      <c r="I1788" t="str">
        <f>+dHdcp[[#This Row],[Maximo]]&amp;":"&amp;_xlfn.XLOOKUP(dHdcp[[#This Row],[Nombre]],dJugador[Nombre],dJugador[Mote],"",0)</f>
        <v>0:I Gracia</v>
      </c>
      <c r="J1788" t="str">
        <f>+IF(dHdcp[[#This Row],[Maximo]]=0,"",_xlfn.RANK.EQ(dHdcp[[#This Row],[Handicap]],dHdcp[Handicap],1))</f>
        <v/>
      </c>
      <c r="K1788" t="str">
        <f>IFERROR(+_xlfn.RANK.EQ(dHdcp[[#This Row],[Ranking]],dHdcp[Ranking],1),"")</f>
        <v/>
      </c>
      <c r="M1788" t="str">
        <f>+dHdcp[[#This Row],[Fecha]]&amp;":"&amp;dHdcp[[#This Row],[Nombre]]</f>
        <v>45220:Ignacio Gracia Charlez</v>
      </c>
      <c r="N1788">
        <f>+COUNTIF(dHdcp[Columna1],dHdcp[[#This Row],[Columna1]])</f>
        <v>1</v>
      </c>
    </row>
    <row r="1789" spans="1:14">
      <c r="A1789" s="2">
        <v>45220</v>
      </c>
      <c r="B1789" t="s">
        <v>23</v>
      </c>
      <c r="C1789" s="51">
        <v>18.600000000000001</v>
      </c>
      <c r="D1789">
        <f>+VLOOKUP(dHdcp[[#This Row],[Handicap]],'Categoría Hdcap'!$B$2:$E$7,4)</f>
        <v>4</v>
      </c>
      <c r="E1789" t="s">
        <v>74</v>
      </c>
      <c r="F1789" t="s">
        <v>2255</v>
      </c>
      <c r="G1789">
        <f>+IF(dHdcp[[#This Row],[Fecha]]=MAX(dHdcp[Fecha]),1,0)</f>
        <v>0</v>
      </c>
      <c r="H1789" t="str">
        <f>+dHdcp[[#This Row],[Maximo]]&amp;":"&amp;dHdcp[[#This Row],[Nombre]]</f>
        <v>0:J. Enrique Gonzalez</v>
      </c>
      <c r="I1789" t="str">
        <f>+dHdcp[[#This Row],[Maximo]]&amp;":"&amp;_xlfn.XLOOKUP(dHdcp[[#This Row],[Nombre]],dJugador[Nombre],dJugador[Mote],"",0)</f>
        <v>0:Kike</v>
      </c>
      <c r="J1789" t="str">
        <f>+IF(dHdcp[[#This Row],[Maximo]]=0,"",_xlfn.RANK.EQ(dHdcp[[#This Row],[Handicap]],dHdcp[Handicap],1))</f>
        <v/>
      </c>
      <c r="K1789" t="str">
        <f>IFERROR(+_xlfn.RANK.EQ(dHdcp[[#This Row],[Ranking]],dHdcp[Ranking],1),"")</f>
        <v/>
      </c>
      <c r="M1789" t="str">
        <f>+dHdcp[[#This Row],[Fecha]]&amp;":"&amp;dHdcp[[#This Row],[Nombre]]</f>
        <v>45220:J. Enrique Gonzalez</v>
      </c>
      <c r="N1789">
        <f>+COUNTIF(dHdcp[Columna1],dHdcp[[#This Row],[Columna1]])</f>
        <v>1</v>
      </c>
    </row>
    <row r="1790" spans="1:14">
      <c r="A1790" s="2">
        <v>45220</v>
      </c>
      <c r="B1790" t="s">
        <v>289</v>
      </c>
      <c r="C1790" s="51">
        <v>8.9</v>
      </c>
      <c r="D1790">
        <f>+VLOOKUP(dHdcp[[#This Row],[Handicap]],'Categoría Hdcap'!$B$2:$E$7,4)</f>
        <v>2</v>
      </c>
      <c r="E1790" t="s">
        <v>74</v>
      </c>
      <c r="F1790" t="s">
        <v>2256</v>
      </c>
      <c r="G1790">
        <f>+IF(dHdcp[[#This Row],[Fecha]]=MAX(dHdcp[Fecha]),1,0)</f>
        <v>0</v>
      </c>
      <c r="H1790" t="str">
        <f>+dHdcp[[#This Row],[Maximo]]&amp;":"&amp;dHdcp[[#This Row],[Nombre]]</f>
        <v>0:Jaime Villanueva</v>
      </c>
      <c r="I1790" t="str">
        <f>+dHdcp[[#This Row],[Maximo]]&amp;":"&amp;_xlfn.XLOOKUP(dHdcp[[#This Row],[Nombre]],dJugador[Nombre],dJugador[Mote],"",0)</f>
        <v>0:Villanueva</v>
      </c>
      <c r="J1790" t="str">
        <f>+IF(dHdcp[[#This Row],[Maximo]]=0,"",_xlfn.RANK.EQ(dHdcp[[#This Row],[Handicap]],dHdcp[Handicap],1))</f>
        <v/>
      </c>
      <c r="K1790" t="str">
        <f>IFERROR(+_xlfn.RANK.EQ(dHdcp[[#This Row],[Ranking]],dHdcp[Ranking],1),"")</f>
        <v/>
      </c>
      <c r="M1790" t="str">
        <f>+dHdcp[[#This Row],[Fecha]]&amp;":"&amp;dHdcp[[#This Row],[Nombre]]</f>
        <v>45220:Jaime Villanueva</v>
      </c>
      <c r="N1790">
        <f>+COUNTIF(dHdcp[Columna1],dHdcp[[#This Row],[Columna1]])</f>
        <v>1</v>
      </c>
    </row>
    <row r="1791" spans="1:14">
      <c r="A1791" s="2">
        <v>45220</v>
      </c>
      <c r="B1791" t="s">
        <v>328</v>
      </c>
      <c r="C1791" s="51">
        <v>11.799999999999999</v>
      </c>
      <c r="D1791">
        <f>+VLOOKUP(dHdcp[[#This Row],[Handicap]],'Categoría Hdcap'!$B$2:$E$7,4)</f>
        <v>3</v>
      </c>
      <c r="E1791" t="s">
        <v>74</v>
      </c>
      <c r="F1791" t="s">
        <v>2257</v>
      </c>
      <c r="G1791">
        <f>+IF(dHdcp[[#This Row],[Fecha]]=MAX(dHdcp[Fecha]),1,0)</f>
        <v>0</v>
      </c>
      <c r="H1791" t="str">
        <f>+dHdcp[[#This Row],[Maximo]]&amp;":"&amp;dHdcp[[#This Row],[Nombre]]</f>
        <v>0:Javier Arcos</v>
      </c>
      <c r="I1791" t="str">
        <f>+dHdcp[[#This Row],[Maximo]]&amp;":"&amp;_xlfn.XLOOKUP(dHdcp[[#This Row],[Nombre]],dJugador[Nombre],dJugador[Mote],"",0)</f>
        <v>0:J.Arcos</v>
      </c>
      <c r="J1791" t="str">
        <f>+IF(dHdcp[[#This Row],[Maximo]]=0,"",_xlfn.RANK.EQ(dHdcp[[#This Row],[Handicap]],dHdcp[Handicap],1))</f>
        <v/>
      </c>
      <c r="K1791" t="str">
        <f>IFERROR(+_xlfn.RANK.EQ(dHdcp[[#This Row],[Ranking]],dHdcp[Ranking],1),"")</f>
        <v/>
      </c>
      <c r="M1791" t="str">
        <f>+dHdcp[[#This Row],[Fecha]]&amp;":"&amp;dHdcp[[#This Row],[Nombre]]</f>
        <v>45220:Javier Arcos</v>
      </c>
      <c r="N1791">
        <f>+COUNTIF(dHdcp[Columna1],dHdcp[[#This Row],[Columna1]])</f>
        <v>1</v>
      </c>
    </row>
    <row r="1792" spans="1:14">
      <c r="A1792" s="2">
        <v>45220</v>
      </c>
      <c r="B1792" t="s">
        <v>378</v>
      </c>
      <c r="C1792" s="51">
        <v>11.199999999999992</v>
      </c>
      <c r="D1792">
        <f>+VLOOKUP(dHdcp[[#This Row],[Handicap]],'Categoría Hdcap'!$B$2:$E$7,4)</f>
        <v>2</v>
      </c>
      <c r="E1792" t="s">
        <v>74</v>
      </c>
      <c r="F1792" t="s">
        <v>2258</v>
      </c>
      <c r="G1792">
        <f>+IF(dHdcp[[#This Row],[Fecha]]=MAX(dHdcp[Fecha]),1,0)</f>
        <v>0</v>
      </c>
      <c r="H1792" t="str">
        <f>+dHdcp[[#This Row],[Maximo]]&amp;":"&amp;dHdcp[[#This Row],[Nombre]]</f>
        <v>0:Javier Campo</v>
      </c>
      <c r="I1792" t="str">
        <f>+dHdcp[[#This Row],[Maximo]]&amp;":"&amp;_xlfn.XLOOKUP(dHdcp[[#This Row],[Nombre]],dJugador[Nombre],dJugador[Mote],"",0)</f>
        <v>0:Campo</v>
      </c>
      <c r="J1792" t="str">
        <f>+IF(dHdcp[[#This Row],[Maximo]]=0,"",_xlfn.RANK.EQ(dHdcp[[#This Row],[Handicap]],dHdcp[Handicap],1))</f>
        <v/>
      </c>
      <c r="K1792" t="str">
        <f>IFERROR(+_xlfn.RANK.EQ(dHdcp[[#This Row],[Ranking]],dHdcp[Ranking],1),"")</f>
        <v/>
      </c>
      <c r="M1792" t="str">
        <f>+dHdcp[[#This Row],[Fecha]]&amp;":"&amp;dHdcp[[#This Row],[Nombre]]</f>
        <v>45220:Javier Campo</v>
      </c>
      <c r="N1792">
        <f>+COUNTIF(dHdcp[Columna1],dHdcp[[#This Row],[Columna1]])</f>
        <v>1</v>
      </c>
    </row>
    <row r="1793" spans="1:14">
      <c r="A1793" s="2">
        <v>45220</v>
      </c>
      <c r="B1793" t="s">
        <v>46</v>
      </c>
      <c r="C1793" s="51">
        <v>16.600000000000001</v>
      </c>
      <c r="D1793">
        <f>+VLOOKUP(dHdcp[[#This Row],[Handicap]],'Categoría Hdcap'!$B$2:$E$7,4)</f>
        <v>3</v>
      </c>
      <c r="E1793" t="s">
        <v>74</v>
      </c>
      <c r="F1793" s="94" t="s">
        <v>2259</v>
      </c>
      <c r="G1793">
        <f>+IF(dHdcp[[#This Row],[Fecha]]=MAX(dHdcp[Fecha]),1,0)</f>
        <v>0</v>
      </c>
      <c r="H1793" t="str">
        <f>+dHdcp[[#This Row],[Maximo]]&amp;":"&amp;dHdcp[[#This Row],[Nombre]]</f>
        <v>0:Javier Cervera</v>
      </c>
      <c r="I1793" t="str">
        <f>+dHdcp[[#This Row],[Maximo]]&amp;":"&amp;_xlfn.XLOOKUP(dHdcp[[#This Row],[Nombre]],dJugador[Nombre],dJugador[Mote],"",0)</f>
        <v>0:Virus</v>
      </c>
      <c r="J1793" t="str">
        <f>+IF(dHdcp[[#This Row],[Maximo]]=0,"",_xlfn.RANK.EQ(dHdcp[[#This Row],[Handicap]],dHdcp[Handicap],1))</f>
        <v/>
      </c>
      <c r="K1793" t="str">
        <f>IFERROR(+_xlfn.RANK.EQ(dHdcp[[#This Row],[Ranking]],dHdcp[Ranking],1),"")</f>
        <v/>
      </c>
      <c r="M1793" t="str">
        <f>+dHdcp[[#This Row],[Fecha]]&amp;":"&amp;dHdcp[[#This Row],[Nombre]]</f>
        <v>45220:Javier Cervera</v>
      </c>
      <c r="N1793">
        <f>+COUNTIF(dHdcp[Columna1],dHdcp[[#This Row],[Columna1]])</f>
        <v>1</v>
      </c>
    </row>
    <row r="1794" spans="1:14">
      <c r="A1794" s="2">
        <v>45220</v>
      </c>
      <c r="B1794" t="s">
        <v>225</v>
      </c>
      <c r="C1794" s="51">
        <v>9.8000000000000007</v>
      </c>
      <c r="D1794">
        <f>+VLOOKUP(dHdcp[[#This Row],[Handicap]],'Categoría Hdcap'!$B$2:$E$7,4)</f>
        <v>2</v>
      </c>
      <c r="E1794" t="s">
        <v>74</v>
      </c>
      <c r="F1794" t="s">
        <v>2260</v>
      </c>
      <c r="G1794">
        <f>+IF(dHdcp[[#This Row],[Fecha]]=MAX(dHdcp[Fecha]),1,0)</f>
        <v>0</v>
      </c>
      <c r="H1794" t="str">
        <f>+dHdcp[[#This Row],[Maximo]]&amp;":"&amp;dHdcp[[#This Row],[Nombre]]</f>
        <v>0:Javier Chiralt</v>
      </c>
      <c r="I1794" t="str">
        <f>+dHdcp[[#This Row],[Maximo]]&amp;":"&amp;_xlfn.XLOOKUP(dHdcp[[#This Row],[Nombre]],dJugador[Nombre],dJugador[Mote],"",0)</f>
        <v>0:Chiralt</v>
      </c>
      <c r="J1794" t="str">
        <f>+IF(dHdcp[[#This Row],[Maximo]]=0,"",_xlfn.RANK.EQ(dHdcp[[#This Row],[Handicap]],dHdcp[Handicap],1))</f>
        <v/>
      </c>
      <c r="K1794" t="str">
        <f>IFERROR(+_xlfn.RANK.EQ(dHdcp[[#This Row],[Ranking]],dHdcp[Ranking],1),"")</f>
        <v/>
      </c>
      <c r="M1794" t="str">
        <f>+dHdcp[[#This Row],[Fecha]]&amp;":"&amp;dHdcp[[#This Row],[Nombre]]</f>
        <v>45220:Javier Chiralt</v>
      </c>
      <c r="N1794">
        <f>+COUNTIF(dHdcp[Columna1],dHdcp[[#This Row],[Columna1]])</f>
        <v>1</v>
      </c>
    </row>
    <row r="1795" spans="1:14">
      <c r="A1795" s="2">
        <v>45220</v>
      </c>
      <c r="B1795" t="s">
        <v>20</v>
      </c>
      <c r="C1795" s="51">
        <v>17.5</v>
      </c>
      <c r="D1795">
        <f>+VLOOKUP(dHdcp[[#This Row],[Handicap]],'Categoría Hdcap'!$B$2:$E$7,4)</f>
        <v>3</v>
      </c>
      <c r="E1795" t="s">
        <v>74</v>
      </c>
      <c r="F1795" t="s">
        <v>2261</v>
      </c>
      <c r="G1795">
        <f>+IF(dHdcp[[#This Row],[Fecha]]=MAX(dHdcp[Fecha]),1,0)</f>
        <v>0</v>
      </c>
      <c r="H1795" t="str">
        <f>+dHdcp[[#This Row],[Maximo]]&amp;":"&amp;dHdcp[[#This Row],[Nombre]]</f>
        <v>0:Javier Gonzalez Salvador</v>
      </c>
      <c r="I1795" t="str">
        <f>+dHdcp[[#This Row],[Maximo]]&amp;":"&amp;_xlfn.XLOOKUP(dHdcp[[#This Row],[Nombre]],dJugador[Nombre],dJugador[Mote],"",0)</f>
        <v>0:Javi</v>
      </c>
      <c r="J1795" t="str">
        <f>+IF(dHdcp[[#This Row],[Maximo]]=0,"",_xlfn.RANK.EQ(dHdcp[[#This Row],[Handicap]],dHdcp[Handicap],1))</f>
        <v/>
      </c>
      <c r="K1795" t="str">
        <f>IFERROR(+_xlfn.RANK.EQ(dHdcp[[#This Row],[Ranking]],dHdcp[Ranking],1),"")</f>
        <v/>
      </c>
      <c r="M1795" t="str">
        <f>+dHdcp[[#This Row],[Fecha]]&amp;":"&amp;dHdcp[[#This Row],[Nombre]]</f>
        <v>45220:Javier Gonzalez Salvador</v>
      </c>
      <c r="N1795">
        <f>+COUNTIF(dHdcp[Columna1],dHdcp[[#This Row],[Columna1]])</f>
        <v>1</v>
      </c>
    </row>
    <row r="1796" spans="1:14">
      <c r="A1796" s="2">
        <v>45220</v>
      </c>
      <c r="B1796" t="s">
        <v>217</v>
      </c>
      <c r="C1796" s="51">
        <v>20.9</v>
      </c>
      <c r="D1796">
        <f>+VLOOKUP(dHdcp[[#This Row],[Handicap]],'Categoría Hdcap'!$B$2:$E$7,4)</f>
        <v>4</v>
      </c>
      <c r="E1796" t="s">
        <v>74</v>
      </c>
      <c r="F1796" t="s">
        <v>2262</v>
      </c>
      <c r="G1796">
        <f>+IF(dHdcp[[#This Row],[Fecha]]=MAX(dHdcp[Fecha]),1,0)</f>
        <v>0</v>
      </c>
      <c r="H1796" t="str">
        <f>+dHdcp[[#This Row],[Maximo]]&amp;":"&amp;dHdcp[[#This Row],[Nombre]]</f>
        <v>0:Javier Lopez Gullón</v>
      </c>
      <c r="I1796" t="str">
        <f>+dHdcp[[#This Row],[Maximo]]&amp;":"&amp;_xlfn.XLOOKUP(dHdcp[[#This Row],[Nombre]],dJugador[Nombre],dJugador[Mote],"",0)</f>
        <v>0:Cuñao</v>
      </c>
      <c r="J1796" t="str">
        <f>+IF(dHdcp[[#This Row],[Maximo]]=0,"",_xlfn.RANK.EQ(dHdcp[[#This Row],[Handicap]],dHdcp[Handicap],1))</f>
        <v/>
      </c>
      <c r="K1796" t="str">
        <f>IFERROR(+_xlfn.RANK.EQ(dHdcp[[#This Row],[Ranking]],dHdcp[Ranking],1),"")</f>
        <v/>
      </c>
      <c r="M1796" t="str">
        <f>+dHdcp[[#This Row],[Fecha]]&amp;":"&amp;dHdcp[[#This Row],[Nombre]]</f>
        <v>45220:Javier Lopez Gullón</v>
      </c>
      <c r="N1796">
        <f>+COUNTIF(dHdcp[Columna1],dHdcp[[#This Row],[Columna1]])</f>
        <v>1</v>
      </c>
    </row>
    <row r="1797" spans="1:14">
      <c r="A1797" s="2">
        <v>45220</v>
      </c>
      <c r="B1797" t="s">
        <v>41</v>
      </c>
      <c r="C1797" s="51">
        <v>22.1</v>
      </c>
      <c r="D1797">
        <f>+VLOOKUP(dHdcp[[#This Row],[Handicap]],'Categoría Hdcap'!$B$2:$E$7,4)</f>
        <v>4</v>
      </c>
      <c r="E1797" t="s">
        <v>74</v>
      </c>
      <c r="F1797" t="s">
        <v>2263</v>
      </c>
      <c r="G1797">
        <f>+IF(dHdcp[[#This Row],[Fecha]]=MAX(dHdcp[Fecha]),1,0)</f>
        <v>0</v>
      </c>
      <c r="H1797" t="str">
        <f>+dHdcp[[#This Row],[Maximo]]&amp;":"&amp;dHdcp[[#This Row],[Nombre]]</f>
        <v>0:Jesus Touceda</v>
      </c>
      <c r="I1797" t="str">
        <f>+dHdcp[[#This Row],[Maximo]]&amp;":"&amp;_xlfn.XLOOKUP(dHdcp[[#This Row],[Nombre]],dJugador[Nombre],dJugador[Mote],"",0)</f>
        <v>0:Jesús</v>
      </c>
      <c r="J1797" t="str">
        <f>+IF(dHdcp[[#This Row],[Maximo]]=0,"",_xlfn.RANK.EQ(dHdcp[[#This Row],[Handicap]],dHdcp[Handicap],1))</f>
        <v/>
      </c>
      <c r="K1797" t="str">
        <f>IFERROR(+_xlfn.RANK.EQ(dHdcp[[#This Row],[Ranking]],dHdcp[Ranking],1),"")</f>
        <v/>
      </c>
      <c r="M1797" t="str">
        <f>+dHdcp[[#This Row],[Fecha]]&amp;":"&amp;dHdcp[[#This Row],[Nombre]]</f>
        <v>45220:Jesus Touceda</v>
      </c>
      <c r="N1797">
        <f>+COUNTIF(dHdcp[Columna1],dHdcp[[#This Row],[Columna1]])</f>
        <v>1</v>
      </c>
    </row>
    <row r="1798" spans="1:14">
      <c r="A1798" s="2">
        <v>45220</v>
      </c>
      <c r="B1798" t="s">
        <v>297</v>
      </c>
      <c r="C1798" s="51">
        <v>21.5</v>
      </c>
      <c r="D1798">
        <f>+VLOOKUP(dHdcp[[#This Row],[Handicap]],'Categoría Hdcap'!$B$2:$E$7,4)</f>
        <v>4</v>
      </c>
      <c r="E1798" t="s">
        <v>74</v>
      </c>
      <c r="F1798" t="s">
        <v>2264</v>
      </c>
      <c r="G1798">
        <f>+IF(dHdcp[[#This Row],[Fecha]]=MAX(dHdcp[Fecha]),1,0)</f>
        <v>0</v>
      </c>
      <c r="H1798" t="str">
        <f>+dHdcp[[#This Row],[Maximo]]&amp;":"&amp;dHdcp[[#This Row],[Nombre]]</f>
        <v>0:Jorge Alberto Martínez Sánchez</v>
      </c>
      <c r="I1798" t="str">
        <f>+dHdcp[[#This Row],[Maximo]]&amp;":"&amp;_xlfn.XLOOKUP(dHdcp[[#This Row],[Nombre]],dJugador[Nombre],dJugador[Mote],"",0)</f>
        <v>0:Jorge</v>
      </c>
      <c r="J1798" t="str">
        <f>+IF(dHdcp[[#This Row],[Maximo]]=0,"",_xlfn.RANK.EQ(dHdcp[[#This Row],[Handicap]],dHdcp[Handicap],1))</f>
        <v/>
      </c>
      <c r="K1798" t="str">
        <f>IFERROR(+_xlfn.RANK.EQ(dHdcp[[#This Row],[Ranking]],dHdcp[Ranking],1),"")</f>
        <v/>
      </c>
      <c r="M1798" t="str">
        <f>+dHdcp[[#This Row],[Fecha]]&amp;":"&amp;dHdcp[[#This Row],[Nombre]]</f>
        <v>45220:Jorge Alberto Martínez Sánchez</v>
      </c>
      <c r="N1798">
        <f>+COUNTIF(dHdcp[Columna1],dHdcp[[#This Row],[Columna1]])</f>
        <v>1</v>
      </c>
    </row>
    <row r="1799" spans="1:14">
      <c r="A1799" s="2">
        <v>45220</v>
      </c>
      <c r="B1799" t="s">
        <v>388</v>
      </c>
      <c r="C1799" s="51">
        <v>26.499999999999986</v>
      </c>
      <c r="D1799">
        <f>+VLOOKUP(dHdcp[[#This Row],[Handicap]],'Categoría Hdcap'!$B$2:$E$7,4)</f>
        <v>4</v>
      </c>
      <c r="E1799" t="s">
        <v>74</v>
      </c>
      <c r="F1799" t="s">
        <v>2265</v>
      </c>
      <c r="G1799">
        <f>+IF(dHdcp[[#This Row],[Fecha]]=MAX(dHdcp[Fecha]),1,0)</f>
        <v>0</v>
      </c>
      <c r="H1799" t="str">
        <f>+dHdcp[[#This Row],[Maximo]]&amp;":"&amp;dHdcp[[#This Row],[Nombre]]</f>
        <v>0:Jose Antonio Santana</v>
      </c>
      <c r="I1799" t="str">
        <f>+dHdcp[[#This Row],[Maximo]]&amp;":"&amp;_xlfn.XLOOKUP(dHdcp[[#This Row],[Nombre]],dJugador[Nombre],dJugador[Mote],"",0)</f>
        <v>0:J Antonio</v>
      </c>
      <c r="J1799" t="str">
        <f>+IF(dHdcp[[#This Row],[Maximo]]=0,"",_xlfn.RANK.EQ(dHdcp[[#This Row],[Handicap]],dHdcp[Handicap],1))</f>
        <v/>
      </c>
      <c r="K1799" t="str">
        <f>IFERROR(+_xlfn.RANK.EQ(dHdcp[[#This Row],[Ranking]],dHdcp[Ranking],1),"")</f>
        <v/>
      </c>
      <c r="M1799" t="str">
        <f>+dHdcp[[#This Row],[Fecha]]&amp;":"&amp;dHdcp[[#This Row],[Nombre]]</f>
        <v>45220:Jose Antonio Santana</v>
      </c>
      <c r="N1799">
        <f>+COUNTIF(dHdcp[Columna1],dHdcp[[#This Row],[Columna1]])</f>
        <v>1</v>
      </c>
    </row>
    <row r="1800" spans="1:14">
      <c r="A1800" s="2">
        <v>45220</v>
      </c>
      <c r="B1800" t="s">
        <v>18</v>
      </c>
      <c r="C1800" s="51">
        <v>8.2999999999999989</v>
      </c>
      <c r="D1800">
        <f>+VLOOKUP(dHdcp[[#This Row],[Handicap]],'Categoría Hdcap'!$B$2:$E$7,4)</f>
        <v>2</v>
      </c>
      <c r="E1800" t="s">
        <v>74</v>
      </c>
      <c r="F1800" t="s">
        <v>2266</v>
      </c>
      <c r="G1800">
        <f>+IF(dHdcp[[#This Row],[Fecha]]=MAX(dHdcp[Fecha]),1,0)</f>
        <v>0</v>
      </c>
      <c r="H1800" t="str">
        <f>+dHdcp[[#This Row],[Maximo]]&amp;":"&amp;dHdcp[[#This Row],[Nombre]]</f>
        <v>0:José Pablo Guil</v>
      </c>
      <c r="I1800" t="str">
        <f>+dHdcp[[#This Row],[Maximo]]&amp;":"&amp;_xlfn.XLOOKUP(dHdcp[[#This Row],[Nombre]],dJugador[Nombre],dJugador[Mote],"",0)</f>
        <v>0:JP</v>
      </c>
      <c r="J1800" t="str">
        <f>+IF(dHdcp[[#This Row],[Maximo]]=0,"",_xlfn.RANK.EQ(dHdcp[[#This Row],[Handicap]],dHdcp[Handicap],1))</f>
        <v/>
      </c>
      <c r="K1800" t="str">
        <f>IFERROR(+_xlfn.RANK.EQ(dHdcp[[#This Row],[Ranking]],dHdcp[Ranking],1),"")</f>
        <v/>
      </c>
      <c r="M1800" t="str">
        <f>+dHdcp[[#This Row],[Fecha]]&amp;":"&amp;dHdcp[[#This Row],[Nombre]]</f>
        <v>45220:José Pablo Guil</v>
      </c>
      <c r="N1800">
        <f>+COUNTIF(dHdcp[Columna1],dHdcp[[#This Row],[Columna1]])</f>
        <v>1</v>
      </c>
    </row>
    <row r="1801" spans="1:14">
      <c r="A1801" s="2">
        <v>45220</v>
      </c>
      <c r="B1801" t="s">
        <v>293</v>
      </c>
      <c r="C1801" s="51">
        <v>21.2</v>
      </c>
      <c r="D1801">
        <f>+VLOOKUP(dHdcp[[#This Row],[Handicap]],'Categoría Hdcap'!$B$2:$E$7,4)</f>
        <v>4</v>
      </c>
      <c r="E1801" t="s">
        <v>74</v>
      </c>
      <c r="F1801" t="s">
        <v>2267</v>
      </c>
      <c r="G1801">
        <f>+IF(dHdcp[[#This Row],[Fecha]]=MAX(dHdcp[Fecha]),1,0)</f>
        <v>0</v>
      </c>
      <c r="H1801" t="str">
        <f>+dHdcp[[#This Row],[Maximo]]&amp;":"&amp;dHdcp[[#This Row],[Nombre]]</f>
        <v>0:Juan Jose Aguado</v>
      </c>
      <c r="I1801" t="str">
        <f>+dHdcp[[#This Row],[Maximo]]&amp;":"&amp;_xlfn.XLOOKUP(dHdcp[[#This Row],[Nombre]],dJugador[Nombre],dJugador[Mote],"",0)</f>
        <v>0:Juancho</v>
      </c>
      <c r="J1801" t="str">
        <f>+IF(dHdcp[[#This Row],[Maximo]]=0,"",_xlfn.RANK.EQ(dHdcp[[#This Row],[Handicap]],dHdcp[Handicap],1))</f>
        <v/>
      </c>
      <c r="K1801" t="str">
        <f>IFERROR(+_xlfn.RANK.EQ(dHdcp[[#This Row],[Ranking]],dHdcp[Ranking],1),"")</f>
        <v/>
      </c>
      <c r="M1801" t="str">
        <f>+dHdcp[[#This Row],[Fecha]]&amp;":"&amp;dHdcp[[#This Row],[Nombre]]</f>
        <v>45220:Juan Jose Aguado</v>
      </c>
      <c r="N1801">
        <f>+COUNTIF(dHdcp[Columna1],dHdcp[[#This Row],[Columna1]])</f>
        <v>1</v>
      </c>
    </row>
    <row r="1802" spans="1:14">
      <c r="A1802" s="2">
        <v>45220</v>
      </c>
      <c r="B1802" t="s">
        <v>375</v>
      </c>
      <c r="C1802" s="51">
        <v>9.9</v>
      </c>
      <c r="D1802">
        <f>+VLOOKUP(dHdcp[[#This Row],[Handicap]],'Categoría Hdcap'!$B$2:$E$7,4)</f>
        <v>2</v>
      </c>
      <c r="E1802" t="s">
        <v>74</v>
      </c>
      <c r="F1802" t="s">
        <v>2268</v>
      </c>
      <c r="G1802">
        <f>+IF(dHdcp[[#This Row],[Fecha]]=MAX(dHdcp[Fecha]),1,0)</f>
        <v>0</v>
      </c>
      <c r="H1802" t="str">
        <f>+dHdcp[[#This Row],[Maximo]]&amp;":"&amp;dHdcp[[#This Row],[Nombre]]</f>
        <v>0:Luis Fernandez</v>
      </c>
      <c r="I1802" t="str">
        <f>+dHdcp[[#This Row],[Maximo]]&amp;":"&amp;_xlfn.XLOOKUP(dHdcp[[#This Row],[Nombre]],dJugador[Nombre],dJugador[Mote],"",0)</f>
        <v>0:Luis</v>
      </c>
      <c r="J1802" t="str">
        <f>+IF(dHdcp[[#This Row],[Maximo]]=0,"",_xlfn.RANK.EQ(dHdcp[[#This Row],[Handicap]],dHdcp[Handicap],1))</f>
        <v/>
      </c>
      <c r="K1802" t="str">
        <f>IFERROR(+_xlfn.RANK.EQ(dHdcp[[#This Row],[Ranking]],dHdcp[Ranking],1),"")</f>
        <v/>
      </c>
      <c r="M1802" t="str">
        <f>+dHdcp[[#This Row],[Fecha]]&amp;":"&amp;dHdcp[[#This Row],[Nombre]]</f>
        <v>45220:Luis Fernandez</v>
      </c>
      <c r="N1802">
        <f>+COUNTIF(dHdcp[Columna1],dHdcp[[#This Row],[Columna1]])</f>
        <v>1</v>
      </c>
    </row>
    <row r="1803" spans="1:14">
      <c r="A1803" s="2">
        <v>45220</v>
      </c>
      <c r="B1803" t="s">
        <v>135</v>
      </c>
      <c r="C1803" s="51">
        <v>19.500000000000011</v>
      </c>
      <c r="D1803">
        <f>+VLOOKUP(dHdcp[[#This Row],[Handicap]],'Categoría Hdcap'!$B$2:$E$7,4)</f>
        <v>4</v>
      </c>
      <c r="E1803" t="s">
        <v>74</v>
      </c>
      <c r="F1803" t="s">
        <v>2269</v>
      </c>
      <c r="G1803">
        <f>+IF(dHdcp[[#This Row],[Fecha]]=MAX(dHdcp[Fecha]),1,0)</f>
        <v>0</v>
      </c>
      <c r="H1803" t="str">
        <f>+dHdcp[[#This Row],[Maximo]]&amp;":"&amp;dHdcp[[#This Row],[Nombre]]</f>
        <v>0:Miche Lopez</v>
      </c>
      <c r="I1803" t="str">
        <f>+dHdcp[[#This Row],[Maximo]]&amp;":"&amp;_xlfn.XLOOKUP(dHdcp[[#This Row],[Nombre]],dJugador[Nombre],dJugador[Mote],"",0)</f>
        <v>0:Miche</v>
      </c>
      <c r="J1803" t="str">
        <f>+IF(dHdcp[[#This Row],[Maximo]]=0,"",_xlfn.RANK.EQ(dHdcp[[#This Row],[Handicap]],dHdcp[Handicap],1))</f>
        <v/>
      </c>
      <c r="K1803" t="str">
        <f>IFERROR(+_xlfn.RANK.EQ(dHdcp[[#This Row],[Ranking]],dHdcp[Ranking],1),"")</f>
        <v/>
      </c>
      <c r="M1803" t="str">
        <f>+dHdcp[[#This Row],[Fecha]]&amp;":"&amp;dHdcp[[#This Row],[Nombre]]</f>
        <v>45220:Miche Lopez</v>
      </c>
      <c r="N1803">
        <f>+COUNTIF(dHdcp[Columna1],dHdcp[[#This Row],[Columna1]])</f>
        <v>1</v>
      </c>
    </row>
    <row r="1804" spans="1:14">
      <c r="A1804" s="2">
        <v>45220</v>
      </c>
      <c r="B1804" t="s">
        <v>205</v>
      </c>
      <c r="C1804" s="51">
        <v>7.1999999999999975</v>
      </c>
      <c r="D1804">
        <f>+VLOOKUP(dHdcp[[#This Row],[Handicap]],'Categoría Hdcap'!$B$2:$E$7,4)</f>
        <v>2</v>
      </c>
      <c r="E1804" t="s">
        <v>74</v>
      </c>
      <c r="F1804" t="s">
        <v>2270</v>
      </c>
      <c r="G1804">
        <f>+IF(dHdcp[[#This Row],[Fecha]]=MAX(dHdcp[Fecha]),1,0)</f>
        <v>0</v>
      </c>
      <c r="H1804" t="str">
        <f>+dHdcp[[#This Row],[Maximo]]&amp;":"&amp;dHdcp[[#This Row],[Nombre]]</f>
        <v>0:Nacho Casas</v>
      </c>
      <c r="I1804" t="str">
        <f>+dHdcp[[#This Row],[Maximo]]&amp;":"&amp;_xlfn.XLOOKUP(dHdcp[[#This Row],[Nombre]],dJugador[Nombre],dJugador[Mote],"",0)</f>
        <v>0:Nachete</v>
      </c>
      <c r="J1804" t="str">
        <f>+IF(dHdcp[[#This Row],[Maximo]]=0,"",_xlfn.RANK.EQ(dHdcp[[#This Row],[Handicap]],dHdcp[Handicap],1))</f>
        <v/>
      </c>
      <c r="K1804" t="str">
        <f>IFERROR(+_xlfn.RANK.EQ(dHdcp[[#This Row],[Ranking]],dHdcp[Ranking],1),"")</f>
        <v/>
      </c>
      <c r="M1804" t="str">
        <f>+dHdcp[[#This Row],[Fecha]]&amp;":"&amp;dHdcp[[#This Row],[Nombre]]</f>
        <v>45220:Nacho Casas</v>
      </c>
      <c r="N1804">
        <f>+COUNTIF(dHdcp[Columna1],dHdcp[[#This Row],[Columna1]])</f>
        <v>1</v>
      </c>
    </row>
    <row r="1805" spans="1:14">
      <c r="A1805" s="2">
        <v>45220</v>
      </c>
      <c r="B1805" t="s">
        <v>3</v>
      </c>
      <c r="C1805" s="51">
        <v>5.9999999999999973</v>
      </c>
      <c r="D1805">
        <f>+VLOOKUP(dHdcp[[#This Row],[Handicap]],'Categoría Hdcap'!$B$2:$E$7,4)</f>
        <v>2</v>
      </c>
      <c r="E1805" t="s">
        <v>74</v>
      </c>
      <c r="F1805" t="s">
        <v>2271</v>
      </c>
      <c r="G1805">
        <f>+IF(dHdcp[[#This Row],[Fecha]]=MAX(dHdcp[Fecha]),1,0)</f>
        <v>0</v>
      </c>
      <c r="H1805" t="str">
        <f>+dHdcp[[#This Row],[Maximo]]&amp;":"&amp;dHdcp[[#This Row],[Nombre]]</f>
        <v>0:Nacho Gonzalez</v>
      </c>
      <c r="I1805" t="str">
        <f>+dHdcp[[#This Row],[Maximo]]&amp;":"&amp;_xlfn.XLOOKUP(dHdcp[[#This Row],[Nombre]],dJugador[Nombre],dJugador[Mote],"",0)</f>
        <v>0:Nacho</v>
      </c>
      <c r="J1805" t="str">
        <f>+IF(dHdcp[[#This Row],[Maximo]]=0,"",_xlfn.RANK.EQ(dHdcp[[#This Row],[Handicap]],dHdcp[Handicap],1))</f>
        <v/>
      </c>
      <c r="K1805" t="str">
        <f>IFERROR(+_xlfn.RANK.EQ(dHdcp[[#This Row],[Ranking]],dHdcp[Ranking],1),"")</f>
        <v/>
      </c>
      <c r="M1805" t="str">
        <f>+dHdcp[[#This Row],[Fecha]]&amp;":"&amp;dHdcp[[#This Row],[Nombre]]</f>
        <v>45220:Nacho Gonzalez</v>
      </c>
      <c r="N1805">
        <f>+COUNTIF(dHdcp[Columna1],dHdcp[[#This Row],[Columna1]])</f>
        <v>1</v>
      </c>
    </row>
    <row r="1806" spans="1:14">
      <c r="A1806" s="2">
        <v>45220</v>
      </c>
      <c r="B1806" t="s">
        <v>203</v>
      </c>
      <c r="C1806" s="51">
        <v>16.299999999999997</v>
      </c>
      <c r="D1806">
        <f>+VLOOKUP(dHdcp[[#This Row],[Handicap]],'Categoría Hdcap'!$B$2:$E$7,4)</f>
        <v>3</v>
      </c>
      <c r="E1806" t="s">
        <v>74</v>
      </c>
      <c r="F1806" t="s">
        <v>2272</v>
      </c>
      <c r="G1806">
        <f>+IF(dHdcp[[#This Row],[Fecha]]=MAX(dHdcp[Fecha]),1,0)</f>
        <v>0</v>
      </c>
      <c r="H1806" t="str">
        <f>+dHdcp[[#This Row],[Maximo]]&amp;":"&amp;dHdcp[[#This Row],[Nombre]]</f>
        <v>0:Ruslan Kochman</v>
      </c>
      <c r="I1806" t="str">
        <f>+dHdcp[[#This Row],[Maximo]]&amp;":"&amp;_xlfn.XLOOKUP(dHdcp[[#This Row],[Nombre]],dJugador[Nombre],dJugador[Mote],"",0)</f>
        <v>0:Rus</v>
      </c>
      <c r="J1806" t="str">
        <f>+IF(dHdcp[[#This Row],[Maximo]]=0,"",_xlfn.RANK.EQ(dHdcp[[#This Row],[Handicap]],dHdcp[Handicap],1))</f>
        <v/>
      </c>
      <c r="K1806" t="str">
        <f>IFERROR(+_xlfn.RANK.EQ(dHdcp[[#This Row],[Ranking]],dHdcp[Ranking],1),"")</f>
        <v/>
      </c>
      <c r="M1806" t="str">
        <f>+dHdcp[[#This Row],[Fecha]]&amp;":"&amp;dHdcp[[#This Row],[Nombre]]</f>
        <v>45220:Ruslan Kochman</v>
      </c>
      <c r="N1806">
        <f>+COUNTIF(dHdcp[Columna1],dHdcp[[#This Row],[Columna1]])</f>
        <v>1</v>
      </c>
    </row>
    <row r="1807" spans="1:14">
      <c r="A1807" s="2">
        <v>45220</v>
      </c>
      <c r="B1807" t="s">
        <v>271</v>
      </c>
      <c r="C1807" s="51">
        <v>16.399999999999999</v>
      </c>
      <c r="D1807">
        <f>+VLOOKUP(dHdcp[[#This Row],[Handicap]],'Categoría Hdcap'!$B$2:$E$7,4)</f>
        <v>3</v>
      </c>
      <c r="E1807" t="s">
        <v>74</v>
      </c>
      <c r="F1807" t="s">
        <v>2273</v>
      </c>
      <c r="G1807">
        <f>+IF(dHdcp[[#This Row],[Fecha]]=MAX(dHdcp[Fecha]),1,0)</f>
        <v>0</v>
      </c>
      <c r="H1807" t="str">
        <f>+dHdcp[[#This Row],[Maximo]]&amp;":"&amp;dHdcp[[#This Row],[Nombre]]</f>
        <v>0:Santi Diaz</v>
      </c>
      <c r="I1807" t="str">
        <f>+dHdcp[[#This Row],[Maximo]]&amp;":"&amp;_xlfn.XLOOKUP(dHdcp[[#This Row],[Nombre]],dJugador[Nombre],dJugador[Mote],"",0)</f>
        <v>0:Santi</v>
      </c>
      <c r="J1807" t="str">
        <f>+IF(dHdcp[[#This Row],[Maximo]]=0,"",_xlfn.RANK.EQ(dHdcp[[#This Row],[Handicap]],dHdcp[Handicap],1))</f>
        <v/>
      </c>
      <c r="K1807" t="str">
        <f>IFERROR(+_xlfn.RANK.EQ(dHdcp[[#This Row],[Ranking]],dHdcp[Ranking],1),"")</f>
        <v/>
      </c>
      <c r="M1807" t="str">
        <f>+dHdcp[[#This Row],[Fecha]]&amp;":"&amp;dHdcp[[#This Row],[Nombre]]</f>
        <v>45220:Santi Diaz</v>
      </c>
      <c r="N1807">
        <f>+COUNTIF(dHdcp[Columna1],dHdcp[[#This Row],[Columna1]])</f>
        <v>1</v>
      </c>
    </row>
    <row r="1808" spans="1:14">
      <c r="A1808" s="2">
        <v>45248</v>
      </c>
      <c r="B1808" t="s">
        <v>259</v>
      </c>
      <c r="C1808" s="51">
        <v>0.99999999999999889</v>
      </c>
      <c r="D1808">
        <f>+VLOOKUP(dHdcp[[#This Row],[Handicap]],'Categoría Hdcap'!$B$2:$E$7,4)</f>
        <v>1</v>
      </c>
      <c r="E1808" t="s">
        <v>74</v>
      </c>
      <c r="F1808" t="s">
        <v>2274</v>
      </c>
      <c r="G1808">
        <f>+IF(dHdcp[[#This Row],[Fecha]]=MAX(dHdcp[Fecha]),1,0)</f>
        <v>0</v>
      </c>
      <c r="H1808" t="str">
        <f>+dHdcp[[#This Row],[Maximo]]&amp;":"&amp;dHdcp[[#This Row],[Nombre]]</f>
        <v>0:Alejandro Arcos</v>
      </c>
      <c r="I1808" t="str">
        <f>+dHdcp[[#This Row],[Maximo]]&amp;":"&amp;_xlfn.XLOOKUP(dHdcp[[#This Row],[Nombre]],dJugador[Nombre],dJugador[Mote],"",0)</f>
        <v>0:Alex</v>
      </c>
      <c r="J1808" t="str">
        <f>+IF(dHdcp[[#This Row],[Maximo]]=0,"",_xlfn.RANK.EQ(dHdcp[[#This Row],[Handicap]],dHdcp[Handicap],1))</f>
        <v/>
      </c>
      <c r="K1808" t="str">
        <f>IFERROR(+_xlfn.RANK.EQ(dHdcp[[#This Row],[Ranking]],dHdcp[Ranking],1),"")</f>
        <v/>
      </c>
      <c r="M1808" t="str">
        <f>+dHdcp[[#This Row],[Fecha]]&amp;":"&amp;dHdcp[[#This Row],[Nombre]]</f>
        <v>45248:Alejandro Arcos</v>
      </c>
      <c r="N1808">
        <f>+COUNTIF(dHdcp[Columna1],dHdcp[[#This Row],[Columna1]])</f>
        <v>1</v>
      </c>
    </row>
    <row r="1809" spans="1:14">
      <c r="A1809" s="2">
        <v>45248</v>
      </c>
      <c r="B1809" t="s">
        <v>9</v>
      </c>
      <c r="C1809" s="51">
        <v>11.3</v>
      </c>
      <c r="D1809">
        <f>+VLOOKUP(dHdcp[[#This Row],[Handicap]],'Categoría Hdcap'!$B$2:$E$7,4)</f>
        <v>2</v>
      </c>
      <c r="E1809" t="s">
        <v>74</v>
      </c>
      <c r="F1809" t="s">
        <v>2275</v>
      </c>
      <c r="G1809">
        <f>+IF(dHdcp[[#This Row],[Fecha]]=MAX(dHdcp[Fecha]),1,0)</f>
        <v>0</v>
      </c>
      <c r="H1809" t="str">
        <f>+dHdcp[[#This Row],[Maximo]]&amp;":"&amp;dHdcp[[#This Row],[Nombre]]</f>
        <v>0:Alfonso Hidalgo</v>
      </c>
      <c r="I1809" t="str">
        <f>+dHdcp[[#This Row],[Maximo]]&amp;":"&amp;_xlfn.XLOOKUP(dHdcp[[#This Row],[Nombre]],dJugador[Nombre],dJugador[Mote],"",0)</f>
        <v>0:Alfonso</v>
      </c>
      <c r="J1809" t="str">
        <f>+IF(dHdcp[[#This Row],[Maximo]]=0,"",_xlfn.RANK.EQ(dHdcp[[#This Row],[Handicap]],dHdcp[Handicap],1))</f>
        <v/>
      </c>
      <c r="K1809" t="str">
        <f>IFERROR(+_xlfn.RANK.EQ(dHdcp[[#This Row],[Ranking]],dHdcp[Ranking],1),"")</f>
        <v/>
      </c>
      <c r="M1809" t="str">
        <f>+dHdcp[[#This Row],[Fecha]]&amp;":"&amp;dHdcp[[#This Row],[Nombre]]</f>
        <v>45248:Alfonso Hidalgo</v>
      </c>
      <c r="N1809">
        <f>+COUNTIF(dHdcp[Columna1],dHdcp[[#This Row],[Columna1]])</f>
        <v>1</v>
      </c>
    </row>
    <row r="1810" spans="1:14">
      <c r="A1810" s="2">
        <v>45248</v>
      </c>
      <c r="B1810" t="s">
        <v>229</v>
      </c>
      <c r="C1810" s="51">
        <v>14.1</v>
      </c>
      <c r="D1810">
        <f>+VLOOKUP(dHdcp[[#This Row],[Handicap]],'Categoría Hdcap'!$B$2:$E$7,4)</f>
        <v>3</v>
      </c>
      <c r="E1810" t="s">
        <v>74</v>
      </c>
      <c r="F1810" t="s">
        <v>2276</v>
      </c>
      <c r="G1810">
        <f>+IF(dHdcp[[#This Row],[Fecha]]=MAX(dHdcp[Fecha]),1,0)</f>
        <v>0</v>
      </c>
      <c r="H1810" t="str">
        <f>+dHdcp[[#This Row],[Maximo]]&amp;":"&amp;dHdcp[[#This Row],[Nombre]]</f>
        <v>0:Alfonso Zorrilla</v>
      </c>
      <c r="I1810" t="str">
        <f>+dHdcp[[#This Row],[Maximo]]&amp;":"&amp;_xlfn.XLOOKUP(dHdcp[[#This Row],[Nombre]],dJugador[Nombre],dJugador[Mote],"",0)</f>
        <v>0:A Zorrilla</v>
      </c>
      <c r="J1810" t="str">
        <f>+IF(dHdcp[[#This Row],[Maximo]]=0,"",_xlfn.RANK.EQ(dHdcp[[#This Row],[Handicap]],dHdcp[Handicap],1))</f>
        <v/>
      </c>
      <c r="K1810" t="str">
        <f>IFERROR(+_xlfn.RANK.EQ(dHdcp[[#This Row],[Ranking]],dHdcp[Ranking],1),"")</f>
        <v/>
      </c>
      <c r="M1810" t="str">
        <f>+dHdcp[[#This Row],[Fecha]]&amp;":"&amp;dHdcp[[#This Row],[Nombre]]</f>
        <v>45248:Alfonso Zorrilla</v>
      </c>
      <c r="N1810">
        <f>+COUNTIF(dHdcp[Columna1],dHdcp[[#This Row],[Columna1]])</f>
        <v>1</v>
      </c>
    </row>
    <row r="1811" spans="1:14">
      <c r="A1811" s="2">
        <v>45248</v>
      </c>
      <c r="B1811" t="s">
        <v>15</v>
      </c>
      <c r="C1811" s="51">
        <v>5.4</v>
      </c>
      <c r="D1811">
        <f>+VLOOKUP(dHdcp[[#This Row],[Handicap]],'Categoría Hdcap'!$B$2:$E$7,4)</f>
        <v>2</v>
      </c>
      <c r="E1811" t="s">
        <v>74</v>
      </c>
      <c r="F1811" t="s">
        <v>2277</v>
      </c>
      <c r="G1811">
        <f>+IF(dHdcp[[#This Row],[Fecha]]=MAX(dHdcp[Fecha]),1,0)</f>
        <v>0</v>
      </c>
      <c r="H1811" t="str">
        <f>+dHdcp[[#This Row],[Maximo]]&amp;":"&amp;dHdcp[[#This Row],[Nombre]]</f>
        <v>0:Alvaro Aguirre</v>
      </c>
      <c r="I1811" t="str">
        <f>+dHdcp[[#This Row],[Maximo]]&amp;":"&amp;_xlfn.XLOOKUP(dHdcp[[#This Row],[Nombre]],dJugador[Nombre],dJugador[Mote],"",0)</f>
        <v>0:Gifu</v>
      </c>
      <c r="J1811" t="str">
        <f>+IF(dHdcp[[#This Row],[Maximo]]=0,"",_xlfn.RANK.EQ(dHdcp[[#This Row],[Handicap]],dHdcp[Handicap],1))</f>
        <v/>
      </c>
      <c r="K1811" t="str">
        <f>IFERROR(+_xlfn.RANK.EQ(dHdcp[[#This Row],[Ranking]],dHdcp[Ranking],1),"")</f>
        <v/>
      </c>
      <c r="M1811" t="str">
        <f>+dHdcp[[#This Row],[Fecha]]&amp;":"&amp;dHdcp[[#This Row],[Nombre]]</f>
        <v>45248:Alvaro Aguirre</v>
      </c>
      <c r="N1811">
        <f>+COUNTIF(dHdcp[Columna1],dHdcp[[#This Row],[Columna1]])</f>
        <v>1</v>
      </c>
    </row>
    <row r="1812" spans="1:14">
      <c r="A1812" s="2">
        <v>45248</v>
      </c>
      <c r="B1812" t="s">
        <v>201</v>
      </c>
      <c r="C1812" s="51">
        <v>9.1000000000000032</v>
      </c>
      <c r="D1812">
        <f>+VLOOKUP(dHdcp[[#This Row],[Handicap]],'Categoría Hdcap'!$B$2:$E$7,4)</f>
        <v>2</v>
      </c>
      <c r="E1812" t="s">
        <v>74</v>
      </c>
      <c r="F1812" t="s">
        <v>2278</v>
      </c>
      <c r="G1812">
        <f>+IF(dHdcp[[#This Row],[Fecha]]=MAX(dHdcp[Fecha]),1,0)</f>
        <v>0</v>
      </c>
      <c r="H1812" t="str">
        <f>+dHdcp[[#This Row],[Maximo]]&amp;":"&amp;dHdcp[[#This Row],[Nombre]]</f>
        <v>0:Alvaro Montoya</v>
      </c>
      <c r="I1812" t="str">
        <f>+dHdcp[[#This Row],[Maximo]]&amp;":"&amp;_xlfn.XLOOKUP(dHdcp[[#This Row],[Nombre]],dJugador[Nombre],dJugador[Mote],"",0)</f>
        <v>0:Monti</v>
      </c>
      <c r="J1812" t="str">
        <f>+IF(dHdcp[[#This Row],[Maximo]]=0,"",_xlfn.RANK.EQ(dHdcp[[#This Row],[Handicap]],dHdcp[Handicap],1))</f>
        <v/>
      </c>
      <c r="K1812" t="str">
        <f>IFERROR(+_xlfn.RANK.EQ(dHdcp[[#This Row],[Ranking]],dHdcp[Ranking],1),"")</f>
        <v/>
      </c>
      <c r="M1812" t="str">
        <f>+dHdcp[[#This Row],[Fecha]]&amp;":"&amp;dHdcp[[#This Row],[Nombre]]</f>
        <v>45248:Alvaro Montoya</v>
      </c>
      <c r="N1812">
        <f>+COUNTIF(dHdcp[Columna1],dHdcp[[#This Row],[Columna1]])</f>
        <v>1</v>
      </c>
    </row>
    <row r="1813" spans="1:14">
      <c r="A1813" s="2">
        <v>45248</v>
      </c>
      <c r="B1813" t="s">
        <v>25</v>
      </c>
      <c r="C1813" s="51">
        <v>12.9</v>
      </c>
      <c r="D1813">
        <f>+VLOOKUP(dHdcp[[#This Row],[Handicap]],'Categoría Hdcap'!$B$2:$E$7,4)</f>
        <v>3</v>
      </c>
      <c r="E1813" t="s">
        <v>74</v>
      </c>
      <c r="F1813" t="s">
        <v>2279</v>
      </c>
      <c r="G1813">
        <f>+IF(dHdcp[[#This Row],[Fecha]]=MAX(dHdcp[Fecha]),1,0)</f>
        <v>0</v>
      </c>
      <c r="H1813" t="str">
        <f>+dHdcp[[#This Row],[Maximo]]&amp;":"&amp;dHdcp[[#This Row],[Nombre]]</f>
        <v>0:Alvaro Nieto</v>
      </c>
      <c r="I1813" t="str">
        <f>+dHdcp[[#This Row],[Maximo]]&amp;":"&amp;_xlfn.XLOOKUP(dHdcp[[#This Row],[Nombre]],dJugador[Nombre],dJugador[Mote],"",0)</f>
        <v>0:Alvaro</v>
      </c>
      <c r="J1813" t="str">
        <f>+IF(dHdcp[[#This Row],[Maximo]]=0,"",_xlfn.RANK.EQ(dHdcp[[#This Row],[Handicap]],dHdcp[Handicap],1))</f>
        <v/>
      </c>
      <c r="K1813" t="str">
        <f>IFERROR(+_xlfn.RANK.EQ(dHdcp[[#This Row],[Ranking]],dHdcp[Ranking],1),"")</f>
        <v/>
      </c>
      <c r="M1813" t="str">
        <f>+dHdcp[[#This Row],[Fecha]]&amp;":"&amp;dHdcp[[#This Row],[Nombre]]</f>
        <v>45248:Alvaro Nieto</v>
      </c>
      <c r="N1813">
        <f>+COUNTIF(dHdcp[Columna1],dHdcp[[#This Row],[Columna1]])</f>
        <v>1</v>
      </c>
    </row>
    <row r="1814" spans="1:14">
      <c r="A1814" s="2">
        <v>45248</v>
      </c>
      <c r="B1814" t="s">
        <v>33</v>
      </c>
      <c r="C1814" s="51">
        <v>8</v>
      </c>
      <c r="D1814">
        <f>+VLOOKUP(dHdcp[[#This Row],[Handicap]],'Categoría Hdcap'!$B$2:$E$7,4)</f>
        <v>2</v>
      </c>
      <c r="E1814" t="s">
        <v>74</v>
      </c>
      <c r="F1814" t="s">
        <v>2280</v>
      </c>
      <c r="G1814">
        <f>+IF(dHdcp[[#This Row],[Fecha]]=MAX(dHdcp[Fecha]),1,0)</f>
        <v>0</v>
      </c>
      <c r="H1814" t="str">
        <f>+dHdcp[[#This Row],[Maximo]]&amp;":"&amp;dHdcp[[#This Row],[Nombre]]</f>
        <v>0:Angel Hernandez</v>
      </c>
      <c r="I1814" t="str">
        <f>+dHdcp[[#This Row],[Maximo]]&amp;":"&amp;_xlfn.XLOOKUP(dHdcp[[#This Row],[Nombre]],dJugador[Nombre],dJugador[Mote],"",0)</f>
        <v>0:Angel</v>
      </c>
      <c r="J1814" t="str">
        <f>+IF(dHdcp[[#This Row],[Maximo]]=0,"",_xlfn.RANK.EQ(dHdcp[[#This Row],[Handicap]],dHdcp[Handicap],1))</f>
        <v/>
      </c>
      <c r="K1814" t="str">
        <f>IFERROR(+_xlfn.RANK.EQ(dHdcp[[#This Row],[Ranking]],dHdcp[Ranking],1),"")</f>
        <v/>
      </c>
      <c r="M1814" t="str">
        <f>+dHdcp[[#This Row],[Fecha]]&amp;":"&amp;dHdcp[[#This Row],[Nombre]]</f>
        <v>45248:Angel Hernandez</v>
      </c>
      <c r="N1814">
        <f>+COUNTIF(dHdcp[Columna1],dHdcp[[#This Row],[Columna1]])</f>
        <v>1</v>
      </c>
    </row>
    <row r="1815" spans="1:14">
      <c r="A1815" s="2">
        <v>45248</v>
      </c>
      <c r="B1815" t="s">
        <v>264</v>
      </c>
      <c r="C1815" s="51">
        <v>19.8</v>
      </c>
      <c r="D1815">
        <f>+VLOOKUP(dHdcp[[#This Row],[Handicap]],'Categoría Hdcap'!$B$2:$E$7,4)</f>
        <v>4</v>
      </c>
      <c r="E1815" t="s">
        <v>74</v>
      </c>
      <c r="F1815" t="s">
        <v>2281</v>
      </c>
      <c r="G1815">
        <f>+IF(dHdcp[[#This Row],[Fecha]]=MAX(dHdcp[Fecha]),1,0)</f>
        <v>0</v>
      </c>
      <c r="H1815" t="str">
        <f>+dHdcp[[#This Row],[Maximo]]&amp;":"&amp;dHdcp[[#This Row],[Nombre]]</f>
        <v>0:Antonio Carmona</v>
      </c>
      <c r="I1815" t="str">
        <f>+dHdcp[[#This Row],[Maximo]]&amp;":"&amp;_xlfn.XLOOKUP(dHdcp[[#This Row],[Nombre]],dJugador[Nombre],dJugador[Mote],"",0)</f>
        <v>0:Antonio</v>
      </c>
      <c r="J1815" t="str">
        <f>+IF(dHdcp[[#This Row],[Maximo]]=0,"",_xlfn.RANK.EQ(dHdcp[[#This Row],[Handicap]],dHdcp[Handicap],1))</f>
        <v/>
      </c>
      <c r="K1815" t="str">
        <f>IFERROR(+_xlfn.RANK.EQ(dHdcp[[#This Row],[Ranking]],dHdcp[Ranking],1),"")</f>
        <v/>
      </c>
      <c r="M1815" t="str">
        <f>+dHdcp[[#This Row],[Fecha]]&amp;":"&amp;dHdcp[[#This Row],[Nombre]]</f>
        <v>45248:Antonio Carmona</v>
      </c>
      <c r="N1815">
        <f>+COUNTIF(dHdcp[Columna1],dHdcp[[#This Row],[Columna1]])</f>
        <v>1</v>
      </c>
    </row>
    <row r="1816" spans="1:14">
      <c r="A1816" s="2">
        <v>45248</v>
      </c>
      <c r="B1816" t="s">
        <v>291</v>
      </c>
      <c r="C1816" s="51">
        <v>0.7999999999999996</v>
      </c>
      <c r="D1816">
        <f>+VLOOKUP(dHdcp[[#This Row],[Handicap]],'Categoría Hdcap'!$B$2:$E$7,4)</f>
        <v>1</v>
      </c>
      <c r="E1816" t="s">
        <v>74</v>
      </c>
      <c r="F1816" t="s">
        <v>2282</v>
      </c>
      <c r="G1816">
        <f>+IF(dHdcp[[#This Row],[Fecha]]=MAX(dHdcp[Fecha]),1,0)</f>
        <v>0</v>
      </c>
      <c r="H1816" t="str">
        <f>+dHdcp[[#This Row],[Maximo]]&amp;":"&amp;dHdcp[[#This Row],[Nombre]]</f>
        <v>0:Carlos Maestro</v>
      </c>
      <c r="I1816" t="str">
        <f>+dHdcp[[#This Row],[Maximo]]&amp;":"&amp;_xlfn.XLOOKUP(dHdcp[[#This Row],[Nombre]],dJugador[Nombre],dJugador[Mote],"",0)</f>
        <v>0:Carlitos</v>
      </c>
      <c r="J1816" t="str">
        <f>+IF(dHdcp[[#This Row],[Maximo]]=0,"",_xlfn.RANK.EQ(dHdcp[[#This Row],[Handicap]],dHdcp[Handicap],1))</f>
        <v/>
      </c>
      <c r="K1816" t="str">
        <f>IFERROR(+_xlfn.RANK.EQ(dHdcp[[#This Row],[Ranking]],dHdcp[Ranking],1),"")</f>
        <v/>
      </c>
      <c r="M1816" t="str">
        <f>+dHdcp[[#This Row],[Fecha]]&amp;":"&amp;dHdcp[[#This Row],[Nombre]]</f>
        <v>45248:Carlos Maestro</v>
      </c>
      <c r="N1816">
        <f>+COUNTIF(dHdcp[Columna1],dHdcp[[#This Row],[Columna1]])</f>
        <v>1</v>
      </c>
    </row>
    <row r="1817" spans="1:14">
      <c r="A1817" s="2">
        <v>45248</v>
      </c>
      <c r="B1817" t="s">
        <v>30</v>
      </c>
      <c r="C1817" s="51">
        <v>11.200000000000001</v>
      </c>
      <c r="D1817">
        <f>+VLOOKUP(dHdcp[[#This Row],[Handicap]],'Categoría Hdcap'!$B$2:$E$7,4)</f>
        <v>2</v>
      </c>
      <c r="E1817" t="s">
        <v>74</v>
      </c>
      <c r="F1817" t="s">
        <v>2283</v>
      </c>
      <c r="G1817">
        <f>+IF(dHdcp[[#This Row],[Fecha]]=MAX(dHdcp[Fecha]),1,0)</f>
        <v>0</v>
      </c>
      <c r="H1817" t="str">
        <f>+dHdcp[[#This Row],[Maximo]]&amp;":"&amp;dHdcp[[#This Row],[Nombre]]</f>
        <v>0:David Sequera</v>
      </c>
      <c r="I1817" t="str">
        <f>+dHdcp[[#This Row],[Maximo]]&amp;":"&amp;_xlfn.XLOOKUP(dHdcp[[#This Row],[Nombre]],dJugador[Nombre],dJugador[Mote],"",0)</f>
        <v>0:David</v>
      </c>
      <c r="J1817" t="str">
        <f>+IF(dHdcp[[#This Row],[Maximo]]=0,"",_xlfn.RANK.EQ(dHdcp[[#This Row],[Handicap]],dHdcp[Handicap],1))</f>
        <v/>
      </c>
      <c r="K1817" t="str">
        <f>IFERROR(+_xlfn.RANK.EQ(dHdcp[[#This Row],[Ranking]],dHdcp[Ranking],1),"")</f>
        <v/>
      </c>
      <c r="M1817" t="str">
        <f>+dHdcp[[#This Row],[Fecha]]&amp;":"&amp;dHdcp[[#This Row],[Nombre]]</f>
        <v>45248:David Sequera</v>
      </c>
      <c r="N1817">
        <f>+COUNTIF(dHdcp[Columna1],dHdcp[[#This Row],[Columna1]])</f>
        <v>1</v>
      </c>
    </row>
    <row r="1818" spans="1:14">
      <c r="A1818" s="2">
        <v>45248</v>
      </c>
      <c r="B1818" t="s">
        <v>326</v>
      </c>
      <c r="C1818" s="51">
        <v>13.1</v>
      </c>
      <c r="D1818">
        <f>+VLOOKUP(dHdcp[[#This Row],[Handicap]],'Categoría Hdcap'!$B$2:$E$7,4)</f>
        <v>3</v>
      </c>
      <c r="E1818" t="s">
        <v>74</v>
      </c>
      <c r="F1818" t="s">
        <v>2284</v>
      </c>
      <c r="G1818">
        <f>+IF(dHdcp[[#This Row],[Fecha]]=MAX(dHdcp[Fecha]),1,0)</f>
        <v>0</v>
      </c>
      <c r="H1818" t="str">
        <f>+dHdcp[[#This Row],[Maximo]]&amp;":"&amp;dHdcp[[#This Row],[Nombre]]</f>
        <v>0:Eduardo Buendía</v>
      </c>
      <c r="I1818" t="str">
        <f>+dHdcp[[#This Row],[Maximo]]&amp;":"&amp;_xlfn.XLOOKUP(dHdcp[[#This Row],[Nombre]],dJugador[Nombre],dJugador[Mote],"",0)</f>
        <v>0:Eduardo</v>
      </c>
      <c r="J1818" t="str">
        <f>+IF(dHdcp[[#This Row],[Maximo]]=0,"",_xlfn.RANK.EQ(dHdcp[[#This Row],[Handicap]],dHdcp[Handicap],1))</f>
        <v/>
      </c>
      <c r="K1818" t="str">
        <f>IFERROR(+_xlfn.RANK.EQ(dHdcp[[#This Row],[Ranking]],dHdcp[Ranking],1),"")</f>
        <v/>
      </c>
      <c r="M1818" t="str">
        <f>+dHdcp[[#This Row],[Fecha]]&amp;":"&amp;dHdcp[[#This Row],[Nombre]]</f>
        <v>45248:Eduardo Buendía</v>
      </c>
      <c r="N1818">
        <f>+COUNTIF(dHdcp[Columna1],dHdcp[[#This Row],[Columna1]])</f>
        <v>1</v>
      </c>
    </row>
    <row r="1819" spans="1:14">
      <c r="A1819" s="2">
        <v>45248</v>
      </c>
      <c r="B1819" t="s">
        <v>248</v>
      </c>
      <c r="C1819" s="51">
        <v>12.699999999999998</v>
      </c>
      <c r="D1819">
        <f>+VLOOKUP(dHdcp[[#This Row],[Handicap]],'Categoría Hdcap'!$B$2:$E$7,4)</f>
        <v>3</v>
      </c>
      <c r="E1819" t="s">
        <v>74</v>
      </c>
      <c r="F1819" t="s">
        <v>2285</v>
      </c>
      <c r="G1819">
        <f>+IF(dHdcp[[#This Row],[Fecha]]=MAX(dHdcp[Fecha]),1,0)</f>
        <v>0</v>
      </c>
      <c r="H1819" t="str">
        <f>+dHdcp[[#This Row],[Maximo]]&amp;":"&amp;dHdcp[[#This Row],[Nombre]]</f>
        <v>0:Enrique Gonzalez R</v>
      </c>
      <c r="I1819" t="str">
        <f>+dHdcp[[#This Row],[Maximo]]&amp;":"&amp;_xlfn.XLOOKUP(dHdcp[[#This Row],[Nombre]],dJugador[Nombre],dJugador[Mote],"",0)</f>
        <v>0:Enrique</v>
      </c>
      <c r="J1819" t="str">
        <f>+IF(dHdcp[[#This Row],[Maximo]]=0,"",_xlfn.RANK.EQ(dHdcp[[#This Row],[Handicap]],dHdcp[Handicap],1))</f>
        <v/>
      </c>
      <c r="K1819" t="str">
        <f>IFERROR(+_xlfn.RANK.EQ(dHdcp[[#This Row],[Ranking]],dHdcp[Ranking],1),"")</f>
        <v/>
      </c>
      <c r="M1819" t="str">
        <f>+dHdcp[[#This Row],[Fecha]]&amp;":"&amp;dHdcp[[#This Row],[Nombre]]</f>
        <v>45248:Enrique Gonzalez R</v>
      </c>
      <c r="N1819">
        <f>+COUNTIF(dHdcp[Columna1],dHdcp[[#This Row],[Columna1]])</f>
        <v>1</v>
      </c>
    </row>
    <row r="1820" spans="1:14">
      <c r="A1820" s="2">
        <v>45248</v>
      </c>
      <c r="B1820" t="s">
        <v>12</v>
      </c>
      <c r="C1820" s="51">
        <v>15.000000000000002</v>
      </c>
      <c r="D1820">
        <f>+VLOOKUP(dHdcp[[#This Row],[Handicap]],'Categoría Hdcap'!$B$2:$E$7,4)</f>
        <v>3</v>
      </c>
      <c r="E1820" t="s">
        <v>74</v>
      </c>
      <c r="F1820" t="s">
        <v>2286</v>
      </c>
      <c r="G1820">
        <f>+IF(dHdcp[[#This Row],[Fecha]]=MAX(dHdcp[Fecha]),1,0)</f>
        <v>0</v>
      </c>
      <c r="H1820" t="str">
        <f>+dHdcp[[#This Row],[Maximo]]&amp;":"&amp;dHdcp[[#This Row],[Nombre]]</f>
        <v>0:Francisco Alvarez</v>
      </c>
      <c r="I1820" t="str">
        <f>+dHdcp[[#This Row],[Maximo]]&amp;":"&amp;_xlfn.XLOOKUP(dHdcp[[#This Row],[Nombre]],dJugador[Nombre],dJugador[Mote],"",0)</f>
        <v>0:Paco</v>
      </c>
      <c r="J1820" t="str">
        <f>+IF(dHdcp[[#This Row],[Maximo]]=0,"",_xlfn.RANK.EQ(dHdcp[[#This Row],[Handicap]],dHdcp[Handicap],1))</f>
        <v/>
      </c>
      <c r="K1820" t="str">
        <f>IFERROR(+_xlfn.RANK.EQ(dHdcp[[#This Row],[Ranking]],dHdcp[Ranking],1),"")</f>
        <v/>
      </c>
      <c r="M1820" t="str">
        <f>+dHdcp[[#This Row],[Fecha]]&amp;":"&amp;dHdcp[[#This Row],[Nombre]]</f>
        <v>45248:Francisco Alvarez</v>
      </c>
      <c r="N1820">
        <f>+COUNTIF(dHdcp[Columna1],dHdcp[[#This Row],[Columna1]])</f>
        <v>1</v>
      </c>
    </row>
    <row r="1821" spans="1:14">
      <c r="A1821" s="2">
        <v>45248</v>
      </c>
      <c r="B1821" t="s">
        <v>49</v>
      </c>
      <c r="C1821" s="51">
        <v>12.199999999999998</v>
      </c>
      <c r="D1821">
        <f>+VLOOKUP(dHdcp[[#This Row],[Handicap]],'Categoría Hdcap'!$B$2:$E$7,4)</f>
        <v>3</v>
      </c>
      <c r="E1821" t="s">
        <v>74</v>
      </c>
      <c r="F1821" t="s">
        <v>2287</v>
      </c>
      <c r="G1821">
        <f>+IF(dHdcp[[#This Row],[Fecha]]=MAX(dHdcp[Fecha]),1,0)</f>
        <v>0</v>
      </c>
      <c r="H1821" t="str">
        <f>+dHdcp[[#This Row],[Maximo]]&amp;":"&amp;dHdcp[[#This Row],[Nombre]]</f>
        <v>0:Francisco Hidalgo</v>
      </c>
      <c r="I1821" t="str">
        <f>+dHdcp[[#This Row],[Maximo]]&amp;":"&amp;_xlfn.XLOOKUP(dHdcp[[#This Row],[Nombre]],dJugador[Nombre],dJugador[Mote],"",0)</f>
        <v>0:Fran</v>
      </c>
      <c r="J1821" t="str">
        <f>+IF(dHdcp[[#This Row],[Maximo]]=0,"",_xlfn.RANK.EQ(dHdcp[[#This Row],[Handicap]],dHdcp[Handicap],1))</f>
        <v/>
      </c>
      <c r="K1821" t="str">
        <f>IFERROR(+_xlfn.RANK.EQ(dHdcp[[#This Row],[Ranking]],dHdcp[Ranking],1),"")</f>
        <v/>
      </c>
      <c r="M1821" t="str">
        <f>+dHdcp[[#This Row],[Fecha]]&amp;":"&amp;dHdcp[[#This Row],[Nombre]]</f>
        <v>45248:Francisco Hidalgo</v>
      </c>
      <c r="N1821">
        <f>+COUNTIF(dHdcp[Columna1],dHdcp[[#This Row],[Columna1]])</f>
        <v>1</v>
      </c>
    </row>
    <row r="1822" spans="1:14">
      <c r="A1822" s="2">
        <v>45248</v>
      </c>
      <c r="B1822" t="s">
        <v>207</v>
      </c>
      <c r="C1822" s="51">
        <v>14.5</v>
      </c>
      <c r="D1822">
        <f>+VLOOKUP(dHdcp[[#This Row],[Handicap]],'Categoría Hdcap'!$B$2:$E$7,4)</f>
        <v>3</v>
      </c>
      <c r="E1822" t="s">
        <v>74</v>
      </c>
      <c r="F1822" t="s">
        <v>2288</v>
      </c>
      <c r="G1822">
        <f>+IF(dHdcp[[#This Row],[Fecha]]=MAX(dHdcp[Fecha]),1,0)</f>
        <v>0</v>
      </c>
      <c r="H1822" t="str">
        <f>+dHdcp[[#This Row],[Maximo]]&amp;":"&amp;dHdcp[[#This Row],[Nombre]]</f>
        <v>0:Franck Benouniche</v>
      </c>
      <c r="I1822" t="str">
        <f>+dHdcp[[#This Row],[Maximo]]&amp;":"&amp;_xlfn.XLOOKUP(dHdcp[[#This Row],[Nombre]],dJugador[Nombre],dJugador[Mote],"",0)</f>
        <v>0:Franck</v>
      </c>
      <c r="J1822" t="str">
        <f>+IF(dHdcp[[#This Row],[Maximo]]=0,"",_xlfn.RANK.EQ(dHdcp[[#This Row],[Handicap]],dHdcp[Handicap],1))</f>
        <v/>
      </c>
      <c r="K1822" t="str">
        <f>IFERROR(+_xlfn.RANK.EQ(dHdcp[[#This Row],[Ranking]],dHdcp[Ranking],1),"")</f>
        <v/>
      </c>
      <c r="M1822" t="str">
        <f>+dHdcp[[#This Row],[Fecha]]&amp;":"&amp;dHdcp[[#This Row],[Nombre]]</f>
        <v>45248:Franck Benouniche</v>
      </c>
      <c r="N1822">
        <f>+COUNTIF(dHdcp[Columna1],dHdcp[[#This Row],[Columna1]])</f>
        <v>1</v>
      </c>
    </row>
    <row r="1823" spans="1:14">
      <c r="A1823" s="2">
        <v>45248</v>
      </c>
      <c r="B1823" t="s">
        <v>35</v>
      </c>
      <c r="C1823" s="51">
        <v>19.600000000000001</v>
      </c>
      <c r="D1823">
        <f>+VLOOKUP(dHdcp[[#This Row],[Handicap]],'Categoría Hdcap'!$B$2:$E$7,4)</f>
        <v>4</v>
      </c>
      <c r="E1823" t="s">
        <v>74</v>
      </c>
      <c r="F1823" t="s">
        <v>2289</v>
      </c>
      <c r="G1823">
        <f>+IF(dHdcp[[#This Row],[Fecha]]=MAX(dHdcp[Fecha]),1,0)</f>
        <v>0</v>
      </c>
      <c r="H1823" t="str">
        <f>+dHdcp[[#This Row],[Maximo]]&amp;":"&amp;dHdcp[[#This Row],[Nombre]]</f>
        <v>0:GLEZ JUAN JOSÉ</v>
      </c>
      <c r="I1823" t="str">
        <f>+dHdcp[[#This Row],[Maximo]]&amp;":"&amp;_xlfn.XLOOKUP(dHdcp[[#This Row],[Nombre]],dJugador[Nombre],dJugador[Mote],"",0)</f>
        <v>0:Juanjo</v>
      </c>
      <c r="J1823" t="str">
        <f>+IF(dHdcp[[#This Row],[Maximo]]=0,"",_xlfn.RANK.EQ(dHdcp[[#This Row],[Handicap]],dHdcp[Handicap],1))</f>
        <v/>
      </c>
      <c r="K1823" t="str">
        <f>IFERROR(+_xlfn.RANK.EQ(dHdcp[[#This Row],[Ranking]],dHdcp[Ranking],1),"")</f>
        <v/>
      </c>
      <c r="M1823" t="str">
        <f>+dHdcp[[#This Row],[Fecha]]&amp;":"&amp;dHdcp[[#This Row],[Nombre]]</f>
        <v>45248:GLEZ JUAN JOSÉ</v>
      </c>
      <c r="N1823">
        <f>+COUNTIF(dHdcp[Columna1],dHdcp[[#This Row],[Columna1]])</f>
        <v>1</v>
      </c>
    </row>
    <row r="1824" spans="1:14">
      <c r="A1824" s="2">
        <v>45248</v>
      </c>
      <c r="B1824" t="s">
        <v>6</v>
      </c>
      <c r="C1824" s="51">
        <v>8.600000000000005</v>
      </c>
      <c r="D1824">
        <f>+VLOOKUP(dHdcp[[#This Row],[Handicap]],'Categoría Hdcap'!$B$2:$E$7,4)</f>
        <v>2</v>
      </c>
      <c r="E1824" t="s">
        <v>74</v>
      </c>
      <c r="F1824" t="s">
        <v>2290</v>
      </c>
      <c r="G1824">
        <f>+IF(dHdcp[[#This Row],[Fecha]]=MAX(dHdcp[Fecha]),1,0)</f>
        <v>0</v>
      </c>
      <c r="H1824" t="str">
        <f>+dHdcp[[#This Row],[Maximo]]&amp;":"&amp;dHdcp[[#This Row],[Nombre]]</f>
        <v>0:Ignacio Cadarso</v>
      </c>
      <c r="I1824" t="str">
        <f>+dHdcp[[#This Row],[Maximo]]&amp;":"&amp;_xlfn.XLOOKUP(dHdcp[[#This Row],[Nombre]],dJugador[Nombre],dJugador[Mote],"",0)</f>
        <v>0:Ignacio</v>
      </c>
      <c r="J1824" t="str">
        <f>+IF(dHdcp[[#This Row],[Maximo]]=0,"",_xlfn.RANK.EQ(dHdcp[[#This Row],[Handicap]],dHdcp[Handicap],1))</f>
        <v/>
      </c>
      <c r="K1824" t="str">
        <f>IFERROR(+_xlfn.RANK.EQ(dHdcp[[#This Row],[Ranking]],dHdcp[Ranking],1),"")</f>
        <v/>
      </c>
      <c r="M1824" t="str">
        <f>+dHdcp[[#This Row],[Fecha]]&amp;":"&amp;dHdcp[[#This Row],[Nombre]]</f>
        <v>45248:Ignacio Cadarso</v>
      </c>
      <c r="N1824">
        <f>+COUNTIF(dHdcp[Columna1],dHdcp[[#This Row],[Columna1]])</f>
        <v>1</v>
      </c>
    </row>
    <row r="1825" spans="1:14">
      <c r="A1825" s="2">
        <v>45248</v>
      </c>
      <c r="B1825" t="s">
        <v>298</v>
      </c>
      <c r="C1825" s="51">
        <v>23.7</v>
      </c>
      <c r="D1825">
        <f>+VLOOKUP(dHdcp[[#This Row],[Handicap]],'Categoría Hdcap'!$B$2:$E$7,4)</f>
        <v>4</v>
      </c>
      <c r="E1825" t="s">
        <v>74</v>
      </c>
      <c r="F1825" t="s">
        <v>2291</v>
      </c>
      <c r="G1825">
        <f>+IF(dHdcp[[#This Row],[Fecha]]=MAX(dHdcp[Fecha]),1,0)</f>
        <v>0</v>
      </c>
      <c r="H1825" t="str">
        <f>+dHdcp[[#This Row],[Maximo]]&amp;":"&amp;dHdcp[[#This Row],[Nombre]]</f>
        <v>0:Ignacio Gracia Charlez</v>
      </c>
      <c r="I1825" t="str">
        <f>+dHdcp[[#This Row],[Maximo]]&amp;":"&amp;_xlfn.XLOOKUP(dHdcp[[#This Row],[Nombre]],dJugador[Nombre],dJugador[Mote],"",0)</f>
        <v>0:I Gracia</v>
      </c>
      <c r="J1825" t="str">
        <f>+IF(dHdcp[[#This Row],[Maximo]]=0,"",_xlfn.RANK.EQ(dHdcp[[#This Row],[Handicap]],dHdcp[Handicap],1))</f>
        <v/>
      </c>
      <c r="K1825" t="str">
        <f>IFERROR(+_xlfn.RANK.EQ(dHdcp[[#This Row],[Ranking]],dHdcp[Ranking],1),"")</f>
        <v/>
      </c>
      <c r="M1825" t="str">
        <f>+dHdcp[[#This Row],[Fecha]]&amp;":"&amp;dHdcp[[#This Row],[Nombre]]</f>
        <v>45248:Ignacio Gracia Charlez</v>
      </c>
      <c r="N1825">
        <f>+COUNTIF(dHdcp[Columna1],dHdcp[[#This Row],[Columna1]])</f>
        <v>1</v>
      </c>
    </row>
    <row r="1826" spans="1:14">
      <c r="A1826" s="2">
        <v>45248</v>
      </c>
      <c r="B1826" t="s">
        <v>23</v>
      </c>
      <c r="C1826" s="51">
        <v>18.600000000000001</v>
      </c>
      <c r="D1826">
        <f>+VLOOKUP(dHdcp[[#This Row],[Handicap]],'Categoría Hdcap'!$B$2:$E$7,4)</f>
        <v>4</v>
      </c>
      <c r="E1826" t="s">
        <v>74</v>
      </c>
      <c r="F1826" t="s">
        <v>2292</v>
      </c>
      <c r="G1826">
        <f>+IF(dHdcp[[#This Row],[Fecha]]=MAX(dHdcp[Fecha]),1,0)</f>
        <v>0</v>
      </c>
      <c r="H1826" t="str">
        <f>+dHdcp[[#This Row],[Maximo]]&amp;":"&amp;dHdcp[[#This Row],[Nombre]]</f>
        <v>0:J. Enrique Gonzalez</v>
      </c>
      <c r="I1826" t="str">
        <f>+dHdcp[[#This Row],[Maximo]]&amp;":"&amp;_xlfn.XLOOKUP(dHdcp[[#This Row],[Nombre]],dJugador[Nombre],dJugador[Mote],"",0)</f>
        <v>0:Kike</v>
      </c>
      <c r="J1826" t="str">
        <f>+IF(dHdcp[[#This Row],[Maximo]]=0,"",_xlfn.RANK.EQ(dHdcp[[#This Row],[Handicap]],dHdcp[Handicap],1))</f>
        <v/>
      </c>
      <c r="K1826" t="str">
        <f>IFERROR(+_xlfn.RANK.EQ(dHdcp[[#This Row],[Ranking]],dHdcp[Ranking],1),"")</f>
        <v/>
      </c>
      <c r="M1826" t="str">
        <f>+dHdcp[[#This Row],[Fecha]]&amp;":"&amp;dHdcp[[#This Row],[Nombre]]</f>
        <v>45248:J. Enrique Gonzalez</v>
      </c>
      <c r="N1826">
        <f>+COUNTIF(dHdcp[Columna1],dHdcp[[#This Row],[Columna1]])</f>
        <v>1</v>
      </c>
    </row>
    <row r="1827" spans="1:14">
      <c r="A1827" s="2">
        <v>45248</v>
      </c>
      <c r="B1827" t="s">
        <v>289</v>
      </c>
      <c r="C1827" s="51">
        <v>8.9</v>
      </c>
      <c r="D1827">
        <f>+VLOOKUP(dHdcp[[#This Row],[Handicap]],'Categoría Hdcap'!$B$2:$E$7,4)</f>
        <v>2</v>
      </c>
      <c r="E1827" t="s">
        <v>74</v>
      </c>
      <c r="F1827" t="s">
        <v>2293</v>
      </c>
      <c r="G1827">
        <f>+IF(dHdcp[[#This Row],[Fecha]]=MAX(dHdcp[Fecha]),1,0)</f>
        <v>0</v>
      </c>
      <c r="H1827" t="str">
        <f>+dHdcp[[#This Row],[Maximo]]&amp;":"&amp;dHdcp[[#This Row],[Nombre]]</f>
        <v>0:Jaime Villanueva</v>
      </c>
      <c r="I1827" t="str">
        <f>+dHdcp[[#This Row],[Maximo]]&amp;":"&amp;_xlfn.XLOOKUP(dHdcp[[#This Row],[Nombre]],dJugador[Nombre],dJugador[Mote],"",0)</f>
        <v>0:Villanueva</v>
      </c>
      <c r="J1827" t="str">
        <f>+IF(dHdcp[[#This Row],[Maximo]]=0,"",_xlfn.RANK.EQ(dHdcp[[#This Row],[Handicap]],dHdcp[Handicap],1))</f>
        <v/>
      </c>
      <c r="K1827" t="str">
        <f>IFERROR(+_xlfn.RANK.EQ(dHdcp[[#This Row],[Ranking]],dHdcp[Ranking],1),"")</f>
        <v/>
      </c>
      <c r="M1827" t="str">
        <f>+dHdcp[[#This Row],[Fecha]]&amp;":"&amp;dHdcp[[#This Row],[Nombre]]</f>
        <v>45248:Jaime Villanueva</v>
      </c>
      <c r="N1827">
        <f>+COUNTIF(dHdcp[Columna1],dHdcp[[#This Row],[Columna1]])</f>
        <v>1</v>
      </c>
    </row>
    <row r="1828" spans="1:14">
      <c r="A1828" s="2">
        <v>45248</v>
      </c>
      <c r="B1828" t="s">
        <v>328</v>
      </c>
      <c r="C1828" s="51">
        <v>11.799999999999999</v>
      </c>
      <c r="D1828">
        <f>+VLOOKUP(dHdcp[[#This Row],[Handicap]],'Categoría Hdcap'!$B$2:$E$7,4)</f>
        <v>3</v>
      </c>
      <c r="E1828" t="s">
        <v>74</v>
      </c>
      <c r="F1828" t="s">
        <v>2294</v>
      </c>
      <c r="G1828">
        <f>+IF(dHdcp[[#This Row],[Fecha]]=MAX(dHdcp[Fecha]),1,0)</f>
        <v>0</v>
      </c>
      <c r="H1828" t="str">
        <f>+dHdcp[[#This Row],[Maximo]]&amp;":"&amp;dHdcp[[#This Row],[Nombre]]</f>
        <v>0:Javier Arcos</v>
      </c>
      <c r="I1828" t="str">
        <f>+dHdcp[[#This Row],[Maximo]]&amp;":"&amp;_xlfn.XLOOKUP(dHdcp[[#This Row],[Nombre]],dJugador[Nombre],dJugador[Mote],"",0)</f>
        <v>0:J.Arcos</v>
      </c>
      <c r="J1828" t="str">
        <f>+IF(dHdcp[[#This Row],[Maximo]]=0,"",_xlfn.RANK.EQ(dHdcp[[#This Row],[Handicap]],dHdcp[Handicap],1))</f>
        <v/>
      </c>
      <c r="K1828" t="str">
        <f>IFERROR(+_xlfn.RANK.EQ(dHdcp[[#This Row],[Ranking]],dHdcp[Ranking],1),"")</f>
        <v/>
      </c>
      <c r="M1828" t="str">
        <f>+dHdcp[[#This Row],[Fecha]]&amp;":"&amp;dHdcp[[#This Row],[Nombre]]</f>
        <v>45248:Javier Arcos</v>
      </c>
      <c r="N1828">
        <f>+COUNTIF(dHdcp[Columna1],dHdcp[[#This Row],[Columna1]])</f>
        <v>1</v>
      </c>
    </row>
    <row r="1829" spans="1:14">
      <c r="A1829" s="2">
        <v>45248</v>
      </c>
      <c r="B1829" t="s">
        <v>378</v>
      </c>
      <c r="C1829" s="51">
        <v>11.199999999999992</v>
      </c>
      <c r="D1829">
        <f>+VLOOKUP(dHdcp[[#This Row],[Handicap]],'Categoría Hdcap'!$B$2:$E$7,4)</f>
        <v>2</v>
      </c>
      <c r="E1829" t="s">
        <v>74</v>
      </c>
      <c r="F1829" t="s">
        <v>2295</v>
      </c>
      <c r="G1829">
        <f>+IF(dHdcp[[#This Row],[Fecha]]=MAX(dHdcp[Fecha]),1,0)</f>
        <v>0</v>
      </c>
      <c r="H1829" t="str">
        <f>+dHdcp[[#This Row],[Maximo]]&amp;":"&amp;dHdcp[[#This Row],[Nombre]]</f>
        <v>0:Javier Campo</v>
      </c>
      <c r="I1829" t="str">
        <f>+dHdcp[[#This Row],[Maximo]]&amp;":"&amp;_xlfn.XLOOKUP(dHdcp[[#This Row],[Nombre]],dJugador[Nombre],dJugador[Mote],"",0)</f>
        <v>0:Campo</v>
      </c>
      <c r="J1829" t="str">
        <f>+IF(dHdcp[[#This Row],[Maximo]]=0,"",_xlfn.RANK.EQ(dHdcp[[#This Row],[Handicap]],dHdcp[Handicap],1))</f>
        <v/>
      </c>
      <c r="K1829" t="str">
        <f>IFERROR(+_xlfn.RANK.EQ(dHdcp[[#This Row],[Ranking]],dHdcp[Ranking],1),"")</f>
        <v/>
      </c>
      <c r="M1829" t="str">
        <f>+dHdcp[[#This Row],[Fecha]]&amp;":"&amp;dHdcp[[#This Row],[Nombre]]</f>
        <v>45248:Javier Campo</v>
      </c>
      <c r="N1829">
        <f>+COUNTIF(dHdcp[Columna1],dHdcp[[#This Row],[Columna1]])</f>
        <v>1</v>
      </c>
    </row>
    <row r="1830" spans="1:14">
      <c r="A1830" s="2">
        <v>45248</v>
      </c>
      <c r="B1830" t="s">
        <v>46</v>
      </c>
      <c r="C1830" s="51">
        <v>16.600000000000001</v>
      </c>
      <c r="D1830">
        <f>+VLOOKUP(dHdcp[[#This Row],[Handicap]],'Categoría Hdcap'!$B$2:$E$7,4)</f>
        <v>3</v>
      </c>
      <c r="E1830" t="s">
        <v>74</v>
      </c>
      <c r="F1830" t="s">
        <v>2296</v>
      </c>
      <c r="G1830">
        <f>+IF(dHdcp[[#This Row],[Fecha]]=MAX(dHdcp[Fecha]),1,0)</f>
        <v>0</v>
      </c>
      <c r="H1830" t="str">
        <f>+dHdcp[[#This Row],[Maximo]]&amp;":"&amp;dHdcp[[#This Row],[Nombre]]</f>
        <v>0:Javier Cervera</v>
      </c>
      <c r="I1830" t="str">
        <f>+dHdcp[[#This Row],[Maximo]]&amp;":"&amp;_xlfn.XLOOKUP(dHdcp[[#This Row],[Nombre]],dJugador[Nombre],dJugador[Mote],"",0)</f>
        <v>0:Virus</v>
      </c>
      <c r="J1830" t="str">
        <f>+IF(dHdcp[[#This Row],[Maximo]]=0,"",_xlfn.RANK.EQ(dHdcp[[#This Row],[Handicap]],dHdcp[Handicap],1))</f>
        <v/>
      </c>
      <c r="K1830" t="str">
        <f>IFERROR(+_xlfn.RANK.EQ(dHdcp[[#This Row],[Ranking]],dHdcp[Ranking],1),"")</f>
        <v/>
      </c>
      <c r="M1830" t="str">
        <f>+dHdcp[[#This Row],[Fecha]]&amp;":"&amp;dHdcp[[#This Row],[Nombre]]</f>
        <v>45248:Javier Cervera</v>
      </c>
      <c r="N1830">
        <f>+COUNTIF(dHdcp[Columna1],dHdcp[[#This Row],[Columna1]])</f>
        <v>1</v>
      </c>
    </row>
    <row r="1831" spans="1:14">
      <c r="A1831" s="2">
        <v>45248</v>
      </c>
      <c r="B1831" t="s">
        <v>225</v>
      </c>
      <c r="C1831" s="51">
        <v>10.1</v>
      </c>
      <c r="D1831">
        <f>+VLOOKUP(dHdcp[[#This Row],[Handicap]],'Categoría Hdcap'!$B$2:$E$7,4)</f>
        <v>2</v>
      </c>
      <c r="E1831" t="s">
        <v>74</v>
      </c>
      <c r="F1831" t="s">
        <v>2297</v>
      </c>
      <c r="G1831">
        <f>+IF(dHdcp[[#This Row],[Fecha]]=MAX(dHdcp[Fecha]),1,0)</f>
        <v>0</v>
      </c>
      <c r="H1831" t="str">
        <f>+dHdcp[[#This Row],[Maximo]]&amp;":"&amp;dHdcp[[#This Row],[Nombre]]</f>
        <v>0:Javier Chiralt</v>
      </c>
      <c r="I1831" t="str">
        <f>+dHdcp[[#This Row],[Maximo]]&amp;":"&amp;_xlfn.XLOOKUP(dHdcp[[#This Row],[Nombre]],dJugador[Nombre],dJugador[Mote],"",0)</f>
        <v>0:Chiralt</v>
      </c>
      <c r="J1831" t="str">
        <f>+IF(dHdcp[[#This Row],[Maximo]]=0,"",_xlfn.RANK.EQ(dHdcp[[#This Row],[Handicap]],dHdcp[Handicap],1))</f>
        <v/>
      </c>
      <c r="K1831" t="str">
        <f>IFERROR(+_xlfn.RANK.EQ(dHdcp[[#This Row],[Ranking]],dHdcp[Ranking],1),"")</f>
        <v/>
      </c>
      <c r="M1831" t="str">
        <f>+dHdcp[[#This Row],[Fecha]]&amp;":"&amp;dHdcp[[#This Row],[Nombre]]</f>
        <v>45248:Javier Chiralt</v>
      </c>
      <c r="N1831">
        <f>+COUNTIF(dHdcp[Columna1],dHdcp[[#This Row],[Columna1]])</f>
        <v>1</v>
      </c>
    </row>
    <row r="1832" spans="1:14">
      <c r="A1832" s="2">
        <v>45248</v>
      </c>
      <c r="B1832" t="s">
        <v>20</v>
      </c>
      <c r="C1832" s="51">
        <v>17.5</v>
      </c>
      <c r="D1832">
        <f>+VLOOKUP(dHdcp[[#This Row],[Handicap]],'Categoría Hdcap'!$B$2:$E$7,4)</f>
        <v>3</v>
      </c>
      <c r="E1832" t="s">
        <v>74</v>
      </c>
      <c r="F1832" t="s">
        <v>2298</v>
      </c>
      <c r="G1832">
        <f>+IF(dHdcp[[#This Row],[Fecha]]=MAX(dHdcp[Fecha]),1,0)</f>
        <v>0</v>
      </c>
      <c r="H1832" t="str">
        <f>+dHdcp[[#This Row],[Maximo]]&amp;":"&amp;dHdcp[[#This Row],[Nombre]]</f>
        <v>0:Javier Gonzalez Salvador</v>
      </c>
      <c r="I1832" t="str">
        <f>+dHdcp[[#This Row],[Maximo]]&amp;":"&amp;_xlfn.XLOOKUP(dHdcp[[#This Row],[Nombre]],dJugador[Nombre],dJugador[Mote],"",0)</f>
        <v>0:Javi</v>
      </c>
      <c r="J1832" t="str">
        <f>+IF(dHdcp[[#This Row],[Maximo]]=0,"",_xlfn.RANK.EQ(dHdcp[[#This Row],[Handicap]],dHdcp[Handicap],1))</f>
        <v/>
      </c>
      <c r="K1832" t="str">
        <f>IFERROR(+_xlfn.RANK.EQ(dHdcp[[#This Row],[Ranking]],dHdcp[Ranking],1),"")</f>
        <v/>
      </c>
      <c r="M1832" t="str">
        <f>+dHdcp[[#This Row],[Fecha]]&amp;":"&amp;dHdcp[[#This Row],[Nombre]]</f>
        <v>45248:Javier Gonzalez Salvador</v>
      </c>
      <c r="N1832">
        <f>+COUNTIF(dHdcp[Columna1],dHdcp[[#This Row],[Columna1]])</f>
        <v>1</v>
      </c>
    </row>
    <row r="1833" spans="1:14">
      <c r="A1833" s="2">
        <v>45248</v>
      </c>
      <c r="B1833" t="s">
        <v>217</v>
      </c>
      <c r="C1833" s="51">
        <v>20.9</v>
      </c>
      <c r="D1833">
        <f>+VLOOKUP(dHdcp[[#This Row],[Handicap]],'Categoría Hdcap'!$B$2:$E$7,4)</f>
        <v>4</v>
      </c>
      <c r="E1833" t="s">
        <v>74</v>
      </c>
      <c r="F1833" t="s">
        <v>2299</v>
      </c>
      <c r="G1833">
        <f>+IF(dHdcp[[#This Row],[Fecha]]=MAX(dHdcp[Fecha]),1,0)</f>
        <v>0</v>
      </c>
      <c r="H1833" t="str">
        <f>+dHdcp[[#This Row],[Maximo]]&amp;":"&amp;dHdcp[[#This Row],[Nombre]]</f>
        <v>0:Javier Lopez Gullón</v>
      </c>
      <c r="I1833" t="str">
        <f>+dHdcp[[#This Row],[Maximo]]&amp;":"&amp;_xlfn.XLOOKUP(dHdcp[[#This Row],[Nombre]],dJugador[Nombre],dJugador[Mote],"",0)</f>
        <v>0:Cuñao</v>
      </c>
      <c r="J1833" t="str">
        <f>+IF(dHdcp[[#This Row],[Maximo]]=0,"",_xlfn.RANK.EQ(dHdcp[[#This Row],[Handicap]],dHdcp[Handicap],1))</f>
        <v/>
      </c>
      <c r="K1833" t="str">
        <f>IFERROR(+_xlfn.RANK.EQ(dHdcp[[#This Row],[Ranking]],dHdcp[Ranking],1),"")</f>
        <v/>
      </c>
      <c r="M1833" t="str">
        <f>+dHdcp[[#This Row],[Fecha]]&amp;":"&amp;dHdcp[[#This Row],[Nombre]]</f>
        <v>45248:Javier Lopez Gullón</v>
      </c>
      <c r="N1833">
        <f>+COUNTIF(dHdcp[Columna1],dHdcp[[#This Row],[Columna1]])</f>
        <v>1</v>
      </c>
    </row>
    <row r="1834" spans="1:14">
      <c r="A1834" s="2">
        <v>45248</v>
      </c>
      <c r="B1834" t="s">
        <v>41</v>
      </c>
      <c r="C1834" s="51">
        <v>22.3</v>
      </c>
      <c r="D1834">
        <f>+VLOOKUP(dHdcp[[#This Row],[Handicap]],'Categoría Hdcap'!$B$2:$E$7,4)</f>
        <v>4</v>
      </c>
      <c r="E1834" t="s">
        <v>74</v>
      </c>
      <c r="F1834" t="s">
        <v>2300</v>
      </c>
      <c r="G1834">
        <f>+IF(dHdcp[[#This Row],[Fecha]]=MAX(dHdcp[Fecha]),1,0)</f>
        <v>0</v>
      </c>
      <c r="H1834" t="str">
        <f>+dHdcp[[#This Row],[Maximo]]&amp;":"&amp;dHdcp[[#This Row],[Nombre]]</f>
        <v>0:Jesus Touceda</v>
      </c>
      <c r="I1834" t="str">
        <f>+dHdcp[[#This Row],[Maximo]]&amp;":"&amp;_xlfn.XLOOKUP(dHdcp[[#This Row],[Nombre]],dJugador[Nombre],dJugador[Mote],"",0)</f>
        <v>0:Jesús</v>
      </c>
      <c r="J1834" t="str">
        <f>+IF(dHdcp[[#This Row],[Maximo]]=0,"",_xlfn.RANK.EQ(dHdcp[[#This Row],[Handicap]],dHdcp[Handicap],1))</f>
        <v/>
      </c>
      <c r="K1834" t="str">
        <f>IFERROR(+_xlfn.RANK.EQ(dHdcp[[#This Row],[Ranking]],dHdcp[Ranking],1),"")</f>
        <v/>
      </c>
      <c r="M1834" t="str">
        <f>+dHdcp[[#This Row],[Fecha]]&amp;":"&amp;dHdcp[[#This Row],[Nombre]]</f>
        <v>45248:Jesus Touceda</v>
      </c>
      <c r="N1834">
        <f>+COUNTIF(dHdcp[Columna1],dHdcp[[#This Row],[Columna1]])</f>
        <v>1</v>
      </c>
    </row>
    <row r="1835" spans="1:14">
      <c r="A1835" s="2">
        <v>45248</v>
      </c>
      <c r="B1835" t="s">
        <v>297</v>
      </c>
      <c r="C1835" s="51">
        <v>21.1</v>
      </c>
      <c r="D1835">
        <f>+VLOOKUP(dHdcp[[#This Row],[Handicap]],'Categoría Hdcap'!$B$2:$E$7,4)</f>
        <v>4</v>
      </c>
      <c r="E1835" t="s">
        <v>74</v>
      </c>
      <c r="F1835" t="s">
        <v>2301</v>
      </c>
      <c r="G1835">
        <f>+IF(dHdcp[[#This Row],[Fecha]]=MAX(dHdcp[Fecha]),1,0)</f>
        <v>0</v>
      </c>
      <c r="H1835" t="str">
        <f>+dHdcp[[#This Row],[Maximo]]&amp;":"&amp;dHdcp[[#This Row],[Nombre]]</f>
        <v>0:Jorge Alberto Martínez Sánchez</v>
      </c>
      <c r="I1835" t="str">
        <f>+dHdcp[[#This Row],[Maximo]]&amp;":"&amp;_xlfn.XLOOKUP(dHdcp[[#This Row],[Nombre]],dJugador[Nombre],dJugador[Mote],"",0)</f>
        <v>0:Jorge</v>
      </c>
      <c r="J1835" t="str">
        <f>+IF(dHdcp[[#This Row],[Maximo]]=0,"",_xlfn.RANK.EQ(dHdcp[[#This Row],[Handicap]],dHdcp[Handicap],1))</f>
        <v/>
      </c>
      <c r="K1835" t="str">
        <f>IFERROR(+_xlfn.RANK.EQ(dHdcp[[#This Row],[Ranking]],dHdcp[Ranking],1),"")</f>
        <v/>
      </c>
      <c r="M1835" t="str">
        <f>+dHdcp[[#This Row],[Fecha]]&amp;":"&amp;dHdcp[[#This Row],[Nombre]]</f>
        <v>45248:Jorge Alberto Martínez Sánchez</v>
      </c>
      <c r="N1835">
        <f>+COUNTIF(dHdcp[Columna1],dHdcp[[#This Row],[Columna1]])</f>
        <v>1</v>
      </c>
    </row>
    <row r="1836" spans="1:14">
      <c r="A1836" s="2">
        <v>45248</v>
      </c>
      <c r="B1836" t="s">
        <v>388</v>
      </c>
      <c r="C1836" s="51">
        <v>26.499999999999986</v>
      </c>
      <c r="D1836">
        <f>+VLOOKUP(dHdcp[[#This Row],[Handicap]],'Categoría Hdcap'!$B$2:$E$7,4)</f>
        <v>4</v>
      </c>
      <c r="E1836" t="s">
        <v>74</v>
      </c>
      <c r="F1836" t="s">
        <v>2302</v>
      </c>
      <c r="G1836">
        <f>+IF(dHdcp[[#This Row],[Fecha]]=MAX(dHdcp[Fecha]),1,0)</f>
        <v>0</v>
      </c>
      <c r="H1836" t="str">
        <f>+dHdcp[[#This Row],[Maximo]]&amp;":"&amp;dHdcp[[#This Row],[Nombre]]</f>
        <v>0:Jose Antonio Santana</v>
      </c>
      <c r="I1836" t="str">
        <f>+dHdcp[[#This Row],[Maximo]]&amp;":"&amp;_xlfn.XLOOKUP(dHdcp[[#This Row],[Nombre]],dJugador[Nombre],dJugador[Mote],"",0)</f>
        <v>0:J Antonio</v>
      </c>
      <c r="J1836" t="str">
        <f>+IF(dHdcp[[#This Row],[Maximo]]=0,"",_xlfn.RANK.EQ(dHdcp[[#This Row],[Handicap]],dHdcp[Handicap],1))</f>
        <v/>
      </c>
      <c r="K1836" t="str">
        <f>IFERROR(+_xlfn.RANK.EQ(dHdcp[[#This Row],[Ranking]],dHdcp[Ranking],1),"")</f>
        <v/>
      </c>
      <c r="M1836" t="str">
        <f>+dHdcp[[#This Row],[Fecha]]&amp;":"&amp;dHdcp[[#This Row],[Nombre]]</f>
        <v>45248:Jose Antonio Santana</v>
      </c>
      <c r="N1836">
        <f>+COUNTIF(dHdcp[Columna1],dHdcp[[#This Row],[Columna1]])</f>
        <v>1</v>
      </c>
    </row>
    <row r="1837" spans="1:14">
      <c r="A1837" s="2">
        <v>45248</v>
      </c>
      <c r="B1837" t="s">
        <v>18</v>
      </c>
      <c r="C1837" s="51">
        <v>8.2999999999999989</v>
      </c>
      <c r="D1837">
        <f>+VLOOKUP(dHdcp[[#This Row],[Handicap]],'Categoría Hdcap'!$B$2:$E$7,4)</f>
        <v>2</v>
      </c>
      <c r="E1837" t="s">
        <v>74</v>
      </c>
      <c r="F1837" t="s">
        <v>2303</v>
      </c>
      <c r="G1837">
        <f>+IF(dHdcp[[#This Row],[Fecha]]=MAX(dHdcp[Fecha]),1,0)</f>
        <v>0</v>
      </c>
      <c r="H1837" t="str">
        <f>+dHdcp[[#This Row],[Maximo]]&amp;":"&amp;dHdcp[[#This Row],[Nombre]]</f>
        <v>0:José Pablo Guil</v>
      </c>
      <c r="I1837" t="str">
        <f>+dHdcp[[#This Row],[Maximo]]&amp;":"&amp;_xlfn.XLOOKUP(dHdcp[[#This Row],[Nombre]],dJugador[Nombre],dJugador[Mote],"",0)</f>
        <v>0:JP</v>
      </c>
      <c r="J1837" t="str">
        <f>+IF(dHdcp[[#This Row],[Maximo]]=0,"",_xlfn.RANK.EQ(dHdcp[[#This Row],[Handicap]],dHdcp[Handicap],1))</f>
        <v/>
      </c>
      <c r="K1837" t="str">
        <f>IFERROR(+_xlfn.RANK.EQ(dHdcp[[#This Row],[Ranking]],dHdcp[Ranking],1),"")</f>
        <v/>
      </c>
      <c r="M1837" t="str">
        <f>+dHdcp[[#This Row],[Fecha]]&amp;":"&amp;dHdcp[[#This Row],[Nombre]]</f>
        <v>45248:José Pablo Guil</v>
      </c>
      <c r="N1837">
        <f>+COUNTIF(dHdcp[Columna1],dHdcp[[#This Row],[Columna1]])</f>
        <v>1</v>
      </c>
    </row>
    <row r="1838" spans="1:14">
      <c r="A1838" s="2">
        <v>45248</v>
      </c>
      <c r="B1838" t="s">
        <v>293</v>
      </c>
      <c r="C1838" s="51">
        <v>20.2</v>
      </c>
      <c r="D1838">
        <f>+VLOOKUP(dHdcp[[#This Row],[Handicap]],'Categoría Hdcap'!$B$2:$E$7,4)</f>
        <v>4</v>
      </c>
      <c r="E1838" t="s">
        <v>74</v>
      </c>
      <c r="F1838" t="s">
        <v>2304</v>
      </c>
      <c r="G1838">
        <f>+IF(dHdcp[[#This Row],[Fecha]]=MAX(dHdcp[Fecha]),1,0)</f>
        <v>0</v>
      </c>
      <c r="H1838" t="str">
        <f>+dHdcp[[#This Row],[Maximo]]&amp;":"&amp;dHdcp[[#This Row],[Nombre]]</f>
        <v>0:Juan Jose Aguado</v>
      </c>
      <c r="I1838" t="str">
        <f>+dHdcp[[#This Row],[Maximo]]&amp;":"&amp;_xlfn.XLOOKUP(dHdcp[[#This Row],[Nombre]],dJugador[Nombre],dJugador[Mote],"",0)</f>
        <v>0:Juancho</v>
      </c>
      <c r="J1838" t="str">
        <f>+IF(dHdcp[[#This Row],[Maximo]]=0,"",_xlfn.RANK.EQ(dHdcp[[#This Row],[Handicap]],dHdcp[Handicap],1))</f>
        <v/>
      </c>
      <c r="K1838" t="str">
        <f>IFERROR(+_xlfn.RANK.EQ(dHdcp[[#This Row],[Ranking]],dHdcp[Ranking],1),"")</f>
        <v/>
      </c>
      <c r="M1838" t="str">
        <f>+dHdcp[[#This Row],[Fecha]]&amp;":"&amp;dHdcp[[#This Row],[Nombre]]</f>
        <v>45248:Juan Jose Aguado</v>
      </c>
      <c r="N1838">
        <f>+COUNTIF(dHdcp[Columna1],dHdcp[[#This Row],[Columna1]])</f>
        <v>1</v>
      </c>
    </row>
    <row r="1839" spans="1:14">
      <c r="A1839" s="2">
        <v>45248</v>
      </c>
      <c r="B1839" t="s">
        <v>375</v>
      </c>
      <c r="C1839" s="51">
        <v>9.9</v>
      </c>
      <c r="D1839">
        <f>+VLOOKUP(dHdcp[[#This Row],[Handicap]],'Categoría Hdcap'!$B$2:$E$7,4)</f>
        <v>2</v>
      </c>
      <c r="E1839" t="s">
        <v>74</v>
      </c>
      <c r="F1839" t="s">
        <v>2305</v>
      </c>
      <c r="G1839">
        <f>+IF(dHdcp[[#This Row],[Fecha]]=MAX(dHdcp[Fecha]),1,0)</f>
        <v>0</v>
      </c>
      <c r="H1839" t="str">
        <f>+dHdcp[[#This Row],[Maximo]]&amp;":"&amp;dHdcp[[#This Row],[Nombre]]</f>
        <v>0:Luis Fernandez</v>
      </c>
      <c r="I1839" t="str">
        <f>+dHdcp[[#This Row],[Maximo]]&amp;":"&amp;_xlfn.XLOOKUP(dHdcp[[#This Row],[Nombre]],dJugador[Nombre],dJugador[Mote],"",0)</f>
        <v>0:Luis</v>
      </c>
      <c r="J1839" t="str">
        <f>+IF(dHdcp[[#This Row],[Maximo]]=0,"",_xlfn.RANK.EQ(dHdcp[[#This Row],[Handicap]],dHdcp[Handicap],1))</f>
        <v/>
      </c>
      <c r="K1839" t="str">
        <f>IFERROR(+_xlfn.RANK.EQ(dHdcp[[#This Row],[Ranking]],dHdcp[Ranking],1),"")</f>
        <v/>
      </c>
      <c r="M1839" t="str">
        <f>+dHdcp[[#This Row],[Fecha]]&amp;":"&amp;dHdcp[[#This Row],[Nombre]]</f>
        <v>45248:Luis Fernandez</v>
      </c>
      <c r="N1839">
        <f>+COUNTIF(dHdcp[Columna1],dHdcp[[#This Row],[Columna1]])</f>
        <v>1</v>
      </c>
    </row>
    <row r="1840" spans="1:14">
      <c r="A1840" s="2">
        <v>45248</v>
      </c>
      <c r="B1840" t="s">
        <v>135</v>
      </c>
      <c r="C1840" s="51">
        <v>19.400000000000002</v>
      </c>
      <c r="D1840">
        <f>+VLOOKUP(dHdcp[[#This Row],[Handicap]],'Categoría Hdcap'!$B$2:$E$7,4)</f>
        <v>4</v>
      </c>
      <c r="E1840" t="s">
        <v>74</v>
      </c>
      <c r="F1840" t="s">
        <v>2306</v>
      </c>
      <c r="G1840">
        <f>+IF(dHdcp[[#This Row],[Fecha]]=MAX(dHdcp[Fecha]),1,0)</f>
        <v>0</v>
      </c>
      <c r="H1840" t="str">
        <f>+dHdcp[[#This Row],[Maximo]]&amp;":"&amp;dHdcp[[#This Row],[Nombre]]</f>
        <v>0:Miche Lopez</v>
      </c>
      <c r="I1840" t="str">
        <f>+dHdcp[[#This Row],[Maximo]]&amp;":"&amp;_xlfn.XLOOKUP(dHdcp[[#This Row],[Nombre]],dJugador[Nombre],dJugador[Mote],"",0)</f>
        <v>0:Miche</v>
      </c>
      <c r="J1840" t="str">
        <f>+IF(dHdcp[[#This Row],[Maximo]]=0,"",_xlfn.RANK.EQ(dHdcp[[#This Row],[Handicap]],dHdcp[Handicap],1))</f>
        <v/>
      </c>
      <c r="K1840" t="str">
        <f>IFERROR(+_xlfn.RANK.EQ(dHdcp[[#This Row],[Ranking]],dHdcp[Ranking],1),"")</f>
        <v/>
      </c>
      <c r="M1840" t="str">
        <f>+dHdcp[[#This Row],[Fecha]]&amp;":"&amp;dHdcp[[#This Row],[Nombre]]</f>
        <v>45248:Miche Lopez</v>
      </c>
      <c r="N1840">
        <f>+COUNTIF(dHdcp[Columna1],dHdcp[[#This Row],[Columna1]])</f>
        <v>1</v>
      </c>
    </row>
    <row r="1841" spans="1:14">
      <c r="A1841" s="2">
        <v>45248</v>
      </c>
      <c r="B1841" t="s">
        <v>205</v>
      </c>
      <c r="C1841" s="51">
        <v>6.9999999999999973</v>
      </c>
      <c r="D1841">
        <f>+VLOOKUP(dHdcp[[#This Row],[Handicap]],'Categoría Hdcap'!$B$2:$E$7,4)</f>
        <v>2</v>
      </c>
      <c r="E1841" t="s">
        <v>74</v>
      </c>
      <c r="F1841" t="s">
        <v>2307</v>
      </c>
      <c r="G1841">
        <f>+IF(dHdcp[[#This Row],[Fecha]]=MAX(dHdcp[Fecha]),1,0)</f>
        <v>0</v>
      </c>
      <c r="H1841" t="str">
        <f>+dHdcp[[#This Row],[Maximo]]&amp;":"&amp;dHdcp[[#This Row],[Nombre]]</f>
        <v>0:Nacho Casas</v>
      </c>
      <c r="I1841" t="str">
        <f>+dHdcp[[#This Row],[Maximo]]&amp;":"&amp;_xlfn.XLOOKUP(dHdcp[[#This Row],[Nombre]],dJugador[Nombre],dJugador[Mote],"",0)</f>
        <v>0:Nachete</v>
      </c>
      <c r="J1841" t="str">
        <f>+IF(dHdcp[[#This Row],[Maximo]]=0,"",_xlfn.RANK.EQ(dHdcp[[#This Row],[Handicap]],dHdcp[Handicap],1))</f>
        <v/>
      </c>
      <c r="K1841" t="str">
        <f>IFERROR(+_xlfn.RANK.EQ(dHdcp[[#This Row],[Ranking]],dHdcp[Ranking],1),"")</f>
        <v/>
      </c>
      <c r="M1841" t="str">
        <f>+dHdcp[[#This Row],[Fecha]]&amp;":"&amp;dHdcp[[#This Row],[Nombre]]</f>
        <v>45248:Nacho Casas</v>
      </c>
      <c r="N1841">
        <f>+COUNTIF(dHdcp[Columna1],dHdcp[[#This Row],[Columna1]])</f>
        <v>1</v>
      </c>
    </row>
    <row r="1842" spans="1:14">
      <c r="A1842" s="2">
        <v>45248</v>
      </c>
      <c r="B1842" t="s">
        <v>3</v>
      </c>
      <c r="C1842" s="51">
        <v>5.9999999999999973</v>
      </c>
      <c r="D1842">
        <f>+VLOOKUP(dHdcp[[#This Row],[Handicap]],'Categoría Hdcap'!$B$2:$E$7,4)</f>
        <v>2</v>
      </c>
      <c r="E1842" t="s">
        <v>74</v>
      </c>
      <c r="F1842" t="s">
        <v>2308</v>
      </c>
      <c r="G1842">
        <f>+IF(dHdcp[[#This Row],[Fecha]]=MAX(dHdcp[Fecha]),1,0)</f>
        <v>0</v>
      </c>
      <c r="H1842" t="str">
        <f>+dHdcp[[#This Row],[Maximo]]&amp;":"&amp;dHdcp[[#This Row],[Nombre]]</f>
        <v>0:Nacho Gonzalez</v>
      </c>
      <c r="I1842" t="str">
        <f>+dHdcp[[#This Row],[Maximo]]&amp;":"&amp;_xlfn.XLOOKUP(dHdcp[[#This Row],[Nombre]],dJugador[Nombre],dJugador[Mote],"",0)</f>
        <v>0:Nacho</v>
      </c>
      <c r="J1842" t="str">
        <f>+IF(dHdcp[[#This Row],[Maximo]]=0,"",_xlfn.RANK.EQ(dHdcp[[#This Row],[Handicap]],dHdcp[Handicap],1))</f>
        <v/>
      </c>
      <c r="K1842" t="str">
        <f>IFERROR(+_xlfn.RANK.EQ(dHdcp[[#This Row],[Ranking]],dHdcp[Ranking],1),"")</f>
        <v/>
      </c>
      <c r="M1842" t="str">
        <f>+dHdcp[[#This Row],[Fecha]]&amp;":"&amp;dHdcp[[#This Row],[Nombre]]</f>
        <v>45248:Nacho Gonzalez</v>
      </c>
      <c r="N1842">
        <f>+COUNTIF(dHdcp[Columna1],dHdcp[[#This Row],[Columna1]])</f>
        <v>1</v>
      </c>
    </row>
    <row r="1843" spans="1:14">
      <c r="A1843" s="2">
        <v>45248</v>
      </c>
      <c r="B1843" t="s">
        <v>203</v>
      </c>
      <c r="C1843" s="51">
        <v>16.100000000000001</v>
      </c>
      <c r="D1843">
        <f>+VLOOKUP(dHdcp[[#This Row],[Handicap]],'Categoría Hdcap'!$B$2:$E$7,4)</f>
        <v>3</v>
      </c>
      <c r="E1843" t="s">
        <v>74</v>
      </c>
      <c r="F1843" t="s">
        <v>2309</v>
      </c>
      <c r="G1843">
        <f>+IF(dHdcp[[#This Row],[Fecha]]=MAX(dHdcp[Fecha]),1,0)</f>
        <v>0</v>
      </c>
      <c r="H1843" t="str">
        <f>+dHdcp[[#This Row],[Maximo]]&amp;":"&amp;dHdcp[[#This Row],[Nombre]]</f>
        <v>0:Ruslan Kochman</v>
      </c>
      <c r="I1843" t="str">
        <f>+dHdcp[[#This Row],[Maximo]]&amp;":"&amp;_xlfn.XLOOKUP(dHdcp[[#This Row],[Nombre]],dJugador[Nombre],dJugador[Mote],"",0)</f>
        <v>0:Rus</v>
      </c>
      <c r="J1843" t="str">
        <f>+IF(dHdcp[[#This Row],[Maximo]]=0,"",_xlfn.RANK.EQ(dHdcp[[#This Row],[Handicap]],dHdcp[Handicap],1))</f>
        <v/>
      </c>
      <c r="K1843" t="str">
        <f>IFERROR(+_xlfn.RANK.EQ(dHdcp[[#This Row],[Ranking]],dHdcp[Ranking],1),"")</f>
        <v/>
      </c>
      <c r="M1843" t="str">
        <f>+dHdcp[[#This Row],[Fecha]]&amp;":"&amp;dHdcp[[#This Row],[Nombre]]</f>
        <v>45248:Ruslan Kochman</v>
      </c>
      <c r="N1843">
        <f>+COUNTIF(dHdcp[Columna1],dHdcp[[#This Row],[Columna1]])</f>
        <v>1</v>
      </c>
    </row>
    <row r="1844" spans="1:14">
      <c r="A1844" s="2">
        <v>45248</v>
      </c>
      <c r="B1844" t="s">
        <v>271</v>
      </c>
      <c r="C1844" s="51">
        <v>16.399999999999999</v>
      </c>
      <c r="D1844">
        <f>+VLOOKUP(dHdcp[[#This Row],[Handicap]],'Categoría Hdcap'!$B$2:$E$7,4)</f>
        <v>3</v>
      </c>
      <c r="E1844" t="s">
        <v>74</v>
      </c>
      <c r="F1844" t="s">
        <v>2310</v>
      </c>
      <c r="G1844">
        <f>+IF(dHdcp[[#This Row],[Fecha]]=MAX(dHdcp[Fecha]),1,0)</f>
        <v>0</v>
      </c>
      <c r="H1844" t="str">
        <f>+dHdcp[[#This Row],[Maximo]]&amp;":"&amp;dHdcp[[#This Row],[Nombre]]</f>
        <v>0:Santi Diaz</v>
      </c>
      <c r="I1844" t="str">
        <f>+dHdcp[[#This Row],[Maximo]]&amp;":"&amp;_xlfn.XLOOKUP(dHdcp[[#This Row],[Nombre]],dJugador[Nombre],dJugador[Mote],"",0)</f>
        <v>0:Santi</v>
      </c>
      <c r="J1844" t="str">
        <f>+IF(dHdcp[[#This Row],[Maximo]]=0,"",_xlfn.RANK.EQ(dHdcp[[#This Row],[Handicap]],dHdcp[Handicap],1))</f>
        <v/>
      </c>
      <c r="K1844" t="str">
        <f>IFERROR(+_xlfn.RANK.EQ(dHdcp[[#This Row],[Ranking]],dHdcp[Ranking],1),"")</f>
        <v/>
      </c>
      <c r="M1844" t="str">
        <f>+dHdcp[[#This Row],[Fecha]]&amp;":"&amp;dHdcp[[#This Row],[Nombre]]</f>
        <v>45248:Santi Diaz</v>
      </c>
      <c r="N1844">
        <f>+COUNTIF(dHdcp[Columna1],dHdcp[[#This Row],[Columna1]])</f>
        <v>1</v>
      </c>
    </row>
    <row r="1845" spans="1:14">
      <c r="A1845" s="2">
        <v>45276</v>
      </c>
      <c r="B1845" t="s">
        <v>259</v>
      </c>
      <c r="C1845" s="85">
        <v>0.99999999999999889</v>
      </c>
      <c r="D1845">
        <f>+VLOOKUP(dHdcp[[#This Row],[Handicap]],'Categoría Hdcap'!$B$2:$E$7,4)</f>
        <v>1</v>
      </c>
      <c r="E1845" t="s">
        <v>74</v>
      </c>
      <c r="F1845" t="s">
        <v>2311</v>
      </c>
      <c r="G1845">
        <f>+IF(dHdcp[[#This Row],[Fecha]]=MAX(dHdcp[Fecha]),1,0)</f>
        <v>0</v>
      </c>
      <c r="H1845" t="str">
        <f>+dHdcp[[#This Row],[Maximo]]&amp;":"&amp;dHdcp[[#This Row],[Nombre]]</f>
        <v>0:Alejandro Arcos</v>
      </c>
      <c r="I1845" t="str">
        <f>+dHdcp[[#This Row],[Maximo]]&amp;":"&amp;_xlfn.XLOOKUP(dHdcp[[#This Row],[Nombre]],dJugador[Nombre],dJugador[Mote],"",0)</f>
        <v>0:Alex</v>
      </c>
      <c r="J1845" t="str">
        <f>+IF(dHdcp[[#This Row],[Maximo]]=0,"",_xlfn.RANK.EQ(dHdcp[[#This Row],[Handicap]],dHdcp[Handicap],1))</f>
        <v/>
      </c>
      <c r="K1845" t="str">
        <f>IFERROR(+_xlfn.RANK.EQ(dHdcp[[#This Row],[Ranking]],dHdcp[Ranking],1),"")</f>
        <v/>
      </c>
      <c r="M1845" t="str">
        <f>+dHdcp[[#This Row],[Fecha]]&amp;":"&amp;dHdcp[[#This Row],[Nombre]]</f>
        <v>45276:Alejandro Arcos</v>
      </c>
      <c r="N1845">
        <f>+COUNTIF(dHdcp[Columna1],dHdcp[[#This Row],[Columna1]])</f>
        <v>1</v>
      </c>
    </row>
    <row r="1846" spans="1:14">
      <c r="A1846" s="2">
        <v>45276</v>
      </c>
      <c r="B1846" t="s">
        <v>9</v>
      </c>
      <c r="C1846" s="85">
        <v>11.3</v>
      </c>
      <c r="D1846">
        <f>+VLOOKUP(dHdcp[[#This Row],[Handicap]],'Categoría Hdcap'!$B$2:$E$7,4)</f>
        <v>2</v>
      </c>
      <c r="E1846" t="s">
        <v>74</v>
      </c>
      <c r="F1846" t="s">
        <v>2312</v>
      </c>
      <c r="G1846">
        <f>+IF(dHdcp[[#This Row],[Fecha]]=MAX(dHdcp[Fecha]),1,0)</f>
        <v>0</v>
      </c>
      <c r="H1846" t="str">
        <f>+dHdcp[[#This Row],[Maximo]]&amp;":"&amp;dHdcp[[#This Row],[Nombre]]</f>
        <v>0:Alfonso Hidalgo</v>
      </c>
      <c r="I1846" t="str">
        <f>+dHdcp[[#This Row],[Maximo]]&amp;":"&amp;_xlfn.XLOOKUP(dHdcp[[#This Row],[Nombre]],dJugador[Nombre],dJugador[Mote],"",0)</f>
        <v>0:Alfonso</v>
      </c>
      <c r="J1846" t="str">
        <f>+IF(dHdcp[[#This Row],[Maximo]]=0,"",_xlfn.RANK.EQ(dHdcp[[#This Row],[Handicap]],dHdcp[Handicap],1))</f>
        <v/>
      </c>
      <c r="K1846" t="str">
        <f>IFERROR(+_xlfn.RANK.EQ(dHdcp[[#This Row],[Ranking]],dHdcp[Ranking],1),"")</f>
        <v/>
      </c>
      <c r="M1846" t="str">
        <f>+dHdcp[[#This Row],[Fecha]]&amp;":"&amp;dHdcp[[#This Row],[Nombre]]</f>
        <v>45276:Alfonso Hidalgo</v>
      </c>
      <c r="N1846">
        <f>+COUNTIF(dHdcp[Columna1],dHdcp[[#This Row],[Columna1]])</f>
        <v>1</v>
      </c>
    </row>
    <row r="1847" spans="1:14">
      <c r="A1847" s="2">
        <v>45276</v>
      </c>
      <c r="B1847" t="s">
        <v>229</v>
      </c>
      <c r="C1847" s="85">
        <v>14.1</v>
      </c>
      <c r="D1847">
        <f>+VLOOKUP(dHdcp[[#This Row],[Handicap]],'Categoría Hdcap'!$B$2:$E$7,4)</f>
        <v>3</v>
      </c>
      <c r="E1847" t="s">
        <v>74</v>
      </c>
      <c r="F1847" s="94" t="s">
        <v>2313</v>
      </c>
      <c r="G1847">
        <f>+IF(dHdcp[[#This Row],[Fecha]]=MAX(dHdcp[Fecha]),1,0)</f>
        <v>0</v>
      </c>
      <c r="H1847" t="str">
        <f>+dHdcp[[#This Row],[Maximo]]&amp;":"&amp;dHdcp[[#This Row],[Nombre]]</f>
        <v>0:Alfonso Zorrilla</v>
      </c>
      <c r="I1847" t="str">
        <f>+dHdcp[[#This Row],[Maximo]]&amp;":"&amp;_xlfn.XLOOKUP(dHdcp[[#This Row],[Nombre]],dJugador[Nombre],dJugador[Mote],"",0)</f>
        <v>0:A Zorrilla</v>
      </c>
      <c r="J1847" t="str">
        <f>+IF(dHdcp[[#This Row],[Maximo]]=0,"",_xlfn.RANK.EQ(dHdcp[[#This Row],[Handicap]],dHdcp[Handicap],1))</f>
        <v/>
      </c>
      <c r="K1847" t="str">
        <f>IFERROR(+_xlfn.RANK.EQ(dHdcp[[#This Row],[Ranking]],dHdcp[Ranking],1),"")</f>
        <v/>
      </c>
      <c r="M1847" t="str">
        <f>+dHdcp[[#This Row],[Fecha]]&amp;":"&amp;dHdcp[[#This Row],[Nombre]]</f>
        <v>45276:Alfonso Zorrilla</v>
      </c>
      <c r="N1847">
        <f>+COUNTIF(dHdcp[Columna1],dHdcp[[#This Row],[Columna1]])</f>
        <v>1</v>
      </c>
    </row>
    <row r="1848" spans="1:14">
      <c r="A1848" s="2">
        <v>45276</v>
      </c>
      <c r="B1848" t="s">
        <v>15</v>
      </c>
      <c r="C1848" s="85">
        <v>5.4</v>
      </c>
      <c r="D1848">
        <f>+VLOOKUP(dHdcp[[#This Row],[Handicap]],'Categoría Hdcap'!$B$2:$E$7,4)</f>
        <v>2</v>
      </c>
      <c r="E1848" t="s">
        <v>74</v>
      </c>
      <c r="F1848" t="s">
        <v>2314</v>
      </c>
      <c r="G1848">
        <f>+IF(dHdcp[[#This Row],[Fecha]]=MAX(dHdcp[Fecha]),1,0)</f>
        <v>0</v>
      </c>
      <c r="H1848" t="str">
        <f>+dHdcp[[#This Row],[Maximo]]&amp;":"&amp;dHdcp[[#This Row],[Nombre]]</f>
        <v>0:Alvaro Aguirre</v>
      </c>
      <c r="I1848" t="str">
        <f>+dHdcp[[#This Row],[Maximo]]&amp;":"&amp;_xlfn.XLOOKUP(dHdcp[[#This Row],[Nombre]],dJugador[Nombre],dJugador[Mote],"",0)</f>
        <v>0:Gifu</v>
      </c>
      <c r="J1848" t="str">
        <f>+IF(dHdcp[[#This Row],[Maximo]]=0,"",_xlfn.RANK.EQ(dHdcp[[#This Row],[Handicap]],dHdcp[Handicap],1))</f>
        <v/>
      </c>
      <c r="K1848" t="str">
        <f>IFERROR(+_xlfn.RANK.EQ(dHdcp[[#This Row],[Ranking]],dHdcp[Ranking],1),"")</f>
        <v/>
      </c>
      <c r="M1848" t="str">
        <f>+dHdcp[[#This Row],[Fecha]]&amp;":"&amp;dHdcp[[#This Row],[Nombre]]</f>
        <v>45276:Alvaro Aguirre</v>
      </c>
      <c r="N1848">
        <f>+COUNTIF(dHdcp[Columna1],dHdcp[[#This Row],[Columna1]])</f>
        <v>1</v>
      </c>
    </row>
    <row r="1849" spans="1:14">
      <c r="A1849" s="2">
        <v>45276</v>
      </c>
      <c r="B1849" t="s">
        <v>201</v>
      </c>
      <c r="C1849" s="85">
        <v>9.1000000000000032</v>
      </c>
      <c r="D1849">
        <f>+VLOOKUP(dHdcp[[#This Row],[Handicap]],'Categoría Hdcap'!$B$2:$E$7,4)</f>
        <v>2</v>
      </c>
      <c r="E1849" t="s">
        <v>74</v>
      </c>
      <c r="F1849" t="s">
        <v>2315</v>
      </c>
      <c r="G1849">
        <f>+IF(dHdcp[[#This Row],[Fecha]]=MAX(dHdcp[Fecha]),1,0)</f>
        <v>0</v>
      </c>
      <c r="H1849" t="str">
        <f>+dHdcp[[#This Row],[Maximo]]&amp;":"&amp;dHdcp[[#This Row],[Nombre]]</f>
        <v>0:Alvaro Montoya</v>
      </c>
      <c r="I1849" t="str">
        <f>+dHdcp[[#This Row],[Maximo]]&amp;":"&amp;_xlfn.XLOOKUP(dHdcp[[#This Row],[Nombre]],dJugador[Nombre],dJugador[Mote],"",0)</f>
        <v>0:Monti</v>
      </c>
      <c r="J1849" t="str">
        <f>+IF(dHdcp[[#This Row],[Maximo]]=0,"",_xlfn.RANK.EQ(dHdcp[[#This Row],[Handicap]],dHdcp[Handicap],1))</f>
        <v/>
      </c>
      <c r="K1849" t="str">
        <f>IFERROR(+_xlfn.RANK.EQ(dHdcp[[#This Row],[Ranking]],dHdcp[Ranking],1),"")</f>
        <v/>
      </c>
      <c r="M1849" t="str">
        <f>+dHdcp[[#This Row],[Fecha]]&amp;":"&amp;dHdcp[[#This Row],[Nombre]]</f>
        <v>45276:Alvaro Montoya</v>
      </c>
      <c r="N1849">
        <f>+COUNTIF(dHdcp[Columna1],dHdcp[[#This Row],[Columna1]])</f>
        <v>1</v>
      </c>
    </row>
    <row r="1850" spans="1:14">
      <c r="A1850" s="2">
        <v>45276</v>
      </c>
      <c r="B1850" t="s">
        <v>25</v>
      </c>
      <c r="C1850" s="85">
        <v>12.9</v>
      </c>
      <c r="D1850">
        <f>+VLOOKUP(dHdcp[[#This Row],[Handicap]],'Categoría Hdcap'!$B$2:$E$7,4)</f>
        <v>3</v>
      </c>
      <c r="E1850" t="s">
        <v>74</v>
      </c>
      <c r="F1850" t="s">
        <v>2316</v>
      </c>
      <c r="G1850">
        <f>+IF(dHdcp[[#This Row],[Fecha]]=MAX(dHdcp[Fecha]),1,0)</f>
        <v>0</v>
      </c>
      <c r="H1850" t="str">
        <f>+dHdcp[[#This Row],[Maximo]]&amp;":"&amp;dHdcp[[#This Row],[Nombre]]</f>
        <v>0:Alvaro Nieto</v>
      </c>
      <c r="I1850" t="str">
        <f>+dHdcp[[#This Row],[Maximo]]&amp;":"&amp;_xlfn.XLOOKUP(dHdcp[[#This Row],[Nombre]],dJugador[Nombre],dJugador[Mote],"",0)</f>
        <v>0:Alvaro</v>
      </c>
      <c r="J1850" t="str">
        <f>+IF(dHdcp[[#This Row],[Maximo]]=0,"",_xlfn.RANK.EQ(dHdcp[[#This Row],[Handicap]],dHdcp[Handicap],1))</f>
        <v/>
      </c>
      <c r="K1850" t="str">
        <f>IFERROR(+_xlfn.RANK.EQ(dHdcp[[#This Row],[Ranking]],dHdcp[Ranking],1),"")</f>
        <v/>
      </c>
      <c r="M1850" t="str">
        <f>+dHdcp[[#This Row],[Fecha]]&amp;":"&amp;dHdcp[[#This Row],[Nombre]]</f>
        <v>45276:Alvaro Nieto</v>
      </c>
      <c r="N1850">
        <f>+COUNTIF(dHdcp[Columna1],dHdcp[[#This Row],[Columna1]])</f>
        <v>1</v>
      </c>
    </row>
    <row r="1851" spans="1:14">
      <c r="A1851" s="2">
        <v>45276</v>
      </c>
      <c r="B1851" t="s">
        <v>33</v>
      </c>
      <c r="C1851" s="85">
        <v>8</v>
      </c>
      <c r="D1851">
        <f>+VLOOKUP(dHdcp[[#This Row],[Handicap]],'Categoría Hdcap'!$B$2:$E$7,4)</f>
        <v>2</v>
      </c>
      <c r="E1851" t="s">
        <v>74</v>
      </c>
      <c r="F1851" t="s">
        <v>2317</v>
      </c>
      <c r="G1851">
        <f>+IF(dHdcp[[#This Row],[Fecha]]=MAX(dHdcp[Fecha]),1,0)</f>
        <v>0</v>
      </c>
      <c r="H1851" t="str">
        <f>+dHdcp[[#This Row],[Maximo]]&amp;":"&amp;dHdcp[[#This Row],[Nombre]]</f>
        <v>0:Angel Hernandez</v>
      </c>
      <c r="I1851" t="str">
        <f>+dHdcp[[#This Row],[Maximo]]&amp;":"&amp;_xlfn.XLOOKUP(dHdcp[[#This Row],[Nombre]],dJugador[Nombre],dJugador[Mote],"",0)</f>
        <v>0:Angel</v>
      </c>
      <c r="J1851" t="str">
        <f>+IF(dHdcp[[#This Row],[Maximo]]=0,"",_xlfn.RANK.EQ(dHdcp[[#This Row],[Handicap]],dHdcp[Handicap],1))</f>
        <v/>
      </c>
      <c r="K1851" t="str">
        <f>IFERROR(+_xlfn.RANK.EQ(dHdcp[[#This Row],[Ranking]],dHdcp[Ranking],1),"")</f>
        <v/>
      </c>
      <c r="M1851" t="str">
        <f>+dHdcp[[#This Row],[Fecha]]&amp;":"&amp;dHdcp[[#This Row],[Nombre]]</f>
        <v>45276:Angel Hernandez</v>
      </c>
      <c r="N1851">
        <f>+COUNTIF(dHdcp[Columna1],dHdcp[[#This Row],[Columna1]])</f>
        <v>1</v>
      </c>
    </row>
    <row r="1852" spans="1:14">
      <c r="A1852" s="2">
        <v>45276</v>
      </c>
      <c r="B1852" t="s">
        <v>264</v>
      </c>
      <c r="C1852" s="85">
        <v>19.3</v>
      </c>
      <c r="D1852">
        <f>+VLOOKUP(dHdcp[[#This Row],[Handicap]],'Categoría Hdcap'!$B$2:$E$7,4)</f>
        <v>4</v>
      </c>
      <c r="E1852" t="s">
        <v>74</v>
      </c>
      <c r="F1852" t="s">
        <v>2318</v>
      </c>
      <c r="G1852">
        <f>+IF(dHdcp[[#This Row],[Fecha]]=MAX(dHdcp[Fecha]),1,0)</f>
        <v>0</v>
      </c>
      <c r="H1852" t="str">
        <f>+dHdcp[[#This Row],[Maximo]]&amp;":"&amp;dHdcp[[#This Row],[Nombre]]</f>
        <v>0:Antonio Carmona</v>
      </c>
      <c r="I1852" t="str">
        <f>+dHdcp[[#This Row],[Maximo]]&amp;":"&amp;_xlfn.XLOOKUP(dHdcp[[#This Row],[Nombre]],dJugador[Nombre],dJugador[Mote],"",0)</f>
        <v>0:Antonio</v>
      </c>
      <c r="J1852" t="str">
        <f>+IF(dHdcp[[#This Row],[Maximo]]=0,"",_xlfn.RANK.EQ(dHdcp[[#This Row],[Handicap]],dHdcp[Handicap],1))</f>
        <v/>
      </c>
      <c r="K1852" t="str">
        <f>IFERROR(+_xlfn.RANK.EQ(dHdcp[[#This Row],[Ranking]],dHdcp[Ranking],1),"")</f>
        <v/>
      </c>
      <c r="M1852" t="str">
        <f>+dHdcp[[#This Row],[Fecha]]&amp;":"&amp;dHdcp[[#This Row],[Nombre]]</f>
        <v>45276:Antonio Carmona</v>
      </c>
      <c r="N1852">
        <f>+COUNTIF(dHdcp[Columna1],dHdcp[[#This Row],[Columna1]])</f>
        <v>1</v>
      </c>
    </row>
    <row r="1853" spans="1:14">
      <c r="A1853" s="2">
        <v>45276</v>
      </c>
      <c r="B1853" t="s">
        <v>291</v>
      </c>
      <c r="C1853" s="85">
        <v>0.7999999999999996</v>
      </c>
      <c r="D1853">
        <f>+VLOOKUP(dHdcp[[#This Row],[Handicap]],'Categoría Hdcap'!$B$2:$E$7,4)</f>
        <v>1</v>
      </c>
      <c r="E1853" t="s">
        <v>74</v>
      </c>
      <c r="F1853" t="s">
        <v>2319</v>
      </c>
      <c r="G1853">
        <f>+IF(dHdcp[[#This Row],[Fecha]]=MAX(dHdcp[Fecha]),1,0)</f>
        <v>0</v>
      </c>
      <c r="H1853" t="str">
        <f>+dHdcp[[#This Row],[Maximo]]&amp;":"&amp;dHdcp[[#This Row],[Nombre]]</f>
        <v>0:Carlos Maestro</v>
      </c>
      <c r="I1853" t="str">
        <f>+dHdcp[[#This Row],[Maximo]]&amp;":"&amp;_xlfn.XLOOKUP(dHdcp[[#This Row],[Nombre]],dJugador[Nombre],dJugador[Mote],"",0)</f>
        <v>0:Carlitos</v>
      </c>
      <c r="J1853" t="str">
        <f>+IF(dHdcp[[#This Row],[Maximo]]=0,"",_xlfn.RANK.EQ(dHdcp[[#This Row],[Handicap]],dHdcp[Handicap],1))</f>
        <v/>
      </c>
      <c r="K1853" t="str">
        <f>IFERROR(+_xlfn.RANK.EQ(dHdcp[[#This Row],[Ranking]],dHdcp[Ranking],1),"")</f>
        <v/>
      </c>
      <c r="M1853" t="str">
        <f>+dHdcp[[#This Row],[Fecha]]&amp;":"&amp;dHdcp[[#This Row],[Nombre]]</f>
        <v>45276:Carlos Maestro</v>
      </c>
      <c r="N1853">
        <f>+COUNTIF(dHdcp[Columna1],dHdcp[[#This Row],[Columna1]])</f>
        <v>1</v>
      </c>
    </row>
    <row r="1854" spans="1:14">
      <c r="A1854" s="2">
        <v>45276</v>
      </c>
      <c r="B1854" t="s">
        <v>30</v>
      </c>
      <c r="C1854" s="85">
        <v>11.200000000000001</v>
      </c>
      <c r="D1854">
        <f>+VLOOKUP(dHdcp[[#This Row],[Handicap]],'Categoría Hdcap'!$B$2:$E$7,4)</f>
        <v>2</v>
      </c>
      <c r="E1854" t="s">
        <v>74</v>
      </c>
      <c r="F1854" t="s">
        <v>2320</v>
      </c>
      <c r="G1854">
        <f>+IF(dHdcp[[#This Row],[Fecha]]=MAX(dHdcp[Fecha]),1,0)</f>
        <v>0</v>
      </c>
      <c r="H1854" t="str">
        <f>+dHdcp[[#This Row],[Maximo]]&amp;":"&amp;dHdcp[[#This Row],[Nombre]]</f>
        <v>0:David Sequera</v>
      </c>
      <c r="I1854" t="str">
        <f>+dHdcp[[#This Row],[Maximo]]&amp;":"&amp;_xlfn.XLOOKUP(dHdcp[[#This Row],[Nombre]],dJugador[Nombre],dJugador[Mote],"",0)</f>
        <v>0:David</v>
      </c>
      <c r="J1854" t="str">
        <f>+IF(dHdcp[[#This Row],[Maximo]]=0,"",_xlfn.RANK.EQ(dHdcp[[#This Row],[Handicap]],dHdcp[Handicap],1))</f>
        <v/>
      </c>
      <c r="K1854" t="str">
        <f>IFERROR(+_xlfn.RANK.EQ(dHdcp[[#This Row],[Ranking]],dHdcp[Ranking],1),"")</f>
        <v/>
      </c>
      <c r="M1854" t="str">
        <f>+dHdcp[[#This Row],[Fecha]]&amp;":"&amp;dHdcp[[#This Row],[Nombre]]</f>
        <v>45276:David Sequera</v>
      </c>
      <c r="N1854">
        <f>+COUNTIF(dHdcp[Columna1],dHdcp[[#This Row],[Columna1]])</f>
        <v>1</v>
      </c>
    </row>
    <row r="1855" spans="1:14">
      <c r="A1855" s="2">
        <v>45276</v>
      </c>
      <c r="B1855" t="s">
        <v>326</v>
      </c>
      <c r="C1855" s="85">
        <v>13.1</v>
      </c>
      <c r="D1855">
        <f>+VLOOKUP(dHdcp[[#This Row],[Handicap]],'Categoría Hdcap'!$B$2:$E$7,4)</f>
        <v>3</v>
      </c>
      <c r="E1855" t="s">
        <v>74</v>
      </c>
      <c r="F1855" t="s">
        <v>2321</v>
      </c>
      <c r="G1855">
        <f>+IF(dHdcp[[#This Row],[Fecha]]=MAX(dHdcp[Fecha]),1,0)</f>
        <v>0</v>
      </c>
      <c r="H1855" t="str">
        <f>+dHdcp[[#This Row],[Maximo]]&amp;":"&amp;dHdcp[[#This Row],[Nombre]]</f>
        <v>0:Eduardo Buendía</v>
      </c>
      <c r="I1855" t="str">
        <f>+dHdcp[[#This Row],[Maximo]]&amp;":"&amp;_xlfn.XLOOKUP(dHdcp[[#This Row],[Nombre]],dJugador[Nombre],dJugador[Mote],"",0)</f>
        <v>0:Eduardo</v>
      </c>
      <c r="J1855" t="str">
        <f>+IF(dHdcp[[#This Row],[Maximo]]=0,"",_xlfn.RANK.EQ(dHdcp[[#This Row],[Handicap]],dHdcp[Handicap],1))</f>
        <v/>
      </c>
      <c r="K1855" t="str">
        <f>IFERROR(+_xlfn.RANK.EQ(dHdcp[[#This Row],[Ranking]],dHdcp[Ranking],1),"")</f>
        <v/>
      </c>
      <c r="M1855" t="str">
        <f>+dHdcp[[#This Row],[Fecha]]&amp;":"&amp;dHdcp[[#This Row],[Nombre]]</f>
        <v>45276:Eduardo Buendía</v>
      </c>
      <c r="N1855">
        <f>+COUNTIF(dHdcp[Columna1],dHdcp[[#This Row],[Columna1]])</f>
        <v>1</v>
      </c>
    </row>
    <row r="1856" spans="1:14">
      <c r="A1856" s="2">
        <v>45276</v>
      </c>
      <c r="B1856" t="s">
        <v>248</v>
      </c>
      <c r="C1856" s="85">
        <v>12.699999999999998</v>
      </c>
      <c r="D1856">
        <f>+VLOOKUP(dHdcp[[#This Row],[Handicap]],'Categoría Hdcap'!$B$2:$E$7,4)</f>
        <v>3</v>
      </c>
      <c r="E1856" t="s">
        <v>74</v>
      </c>
      <c r="F1856" t="s">
        <v>2322</v>
      </c>
      <c r="G1856">
        <f>+IF(dHdcp[[#This Row],[Fecha]]=MAX(dHdcp[Fecha]),1,0)</f>
        <v>0</v>
      </c>
      <c r="H1856" t="str">
        <f>+dHdcp[[#This Row],[Maximo]]&amp;":"&amp;dHdcp[[#This Row],[Nombre]]</f>
        <v>0:Enrique Gonzalez R</v>
      </c>
      <c r="I1856" t="str">
        <f>+dHdcp[[#This Row],[Maximo]]&amp;":"&amp;_xlfn.XLOOKUP(dHdcp[[#This Row],[Nombre]],dJugador[Nombre],dJugador[Mote],"",0)</f>
        <v>0:Enrique</v>
      </c>
      <c r="J1856" t="str">
        <f>+IF(dHdcp[[#This Row],[Maximo]]=0,"",_xlfn.RANK.EQ(dHdcp[[#This Row],[Handicap]],dHdcp[Handicap],1))</f>
        <v/>
      </c>
      <c r="K1856" t="str">
        <f>IFERROR(+_xlfn.RANK.EQ(dHdcp[[#This Row],[Ranking]],dHdcp[Ranking],1),"")</f>
        <v/>
      </c>
      <c r="M1856" t="str">
        <f>+dHdcp[[#This Row],[Fecha]]&amp;":"&amp;dHdcp[[#This Row],[Nombre]]</f>
        <v>45276:Enrique Gonzalez R</v>
      </c>
      <c r="N1856">
        <f>+COUNTIF(dHdcp[Columna1],dHdcp[[#This Row],[Columna1]])</f>
        <v>1</v>
      </c>
    </row>
    <row r="1857" spans="1:14">
      <c r="A1857" s="2">
        <v>45276</v>
      </c>
      <c r="B1857" t="s">
        <v>12</v>
      </c>
      <c r="C1857" s="85">
        <v>15.1</v>
      </c>
      <c r="D1857">
        <f>+VLOOKUP(dHdcp[[#This Row],[Handicap]],'Categoría Hdcap'!$B$2:$E$7,4)</f>
        <v>3</v>
      </c>
      <c r="E1857" t="s">
        <v>74</v>
      </c>
      <c r="F1857" t="s">
        <v>2323</v>
      </c>
      <c r="G1857">
        <f>+IF(dHdcp[[#This Row],[Fecha]]=MAX(dHdcp[Fecha]),1,0)</f>
        <v>0</v>
      </c>
      <c r="H1857" t="str">
        <f>+dHdcp[[#This Row],[Maximo]]&amp;":"&amp;dHdcp[[#This Row],[Nombre]]</f>
        <v>0:Francisco Alvarez</v>
      </c>
      <c r="I1857" t="str">
        <f>+dHdcp[[#This Row],[Maximo]]&amp;":"&amp;_xlfn.XLOOKUP(dHdcp[[#This Row],[Nombre]],dJugador[Nombre],dJugador[Mote],"",0)</f>
        <v>0:Paco</v>
      </c>
      <c r="J1857" t="str">
        <f>+IF(dHdcp[[#This Row],[Maximo]]=0,"",_xlfn.RANK.EQ(dHdcp[[#This Row],[Handicap]],dHdcp[Handicap],1))</f>
        <v/>
      </c>
      <c r="K1857" t="str">
        <f>IFERROR(+_xlfn.RANK.EQ(dHdcp[[#This Row],[Ranking]],dHdcp[Ranking],1),"")</f>
        <v/>
      </c>
      <c r="M1857" t="str">
        <f>+dHdcp[[#This Row],[Fecha]]&amp;":"&amp;dHdcp[[#This Row],[Nombre]]</f>
        <v>45276:Francisco Alvarez</v>
      </c>
      <c r="N1857">
        <f>+COUNTIF(dHdcp[Columna1],dHdcp[[#This Row],[Columna1]])</f>
        <v>1</v>
      </c>
    </row>
    <row r="1858" spans="1:14">
      <c r="A1858" s="2">
        <v>45276</v>
      </c>
      <c r="B1858" t="s">
        <v>49</v>
      </c>
      <c r="C1858" s="85">
        <v>12.199999999999998</v>
      </c>
      <c r="D1858">
        <f>+VLOOKUP(dHdcp[[#This Row],[Handicap]],'Categoría Hdcap'!$B$2:$E$7,4)</f>
        <v>3</v>
      </c>
      <c r="E1858" t="s">
        <v>74</v>
      </c>
      <c r="F1858" t="s">
        <v>2324</v>
      </c>
      <c r="G1858">
        <f>+IF(dHdcp[[#This Row],[Fecha]]=MAX(dHdcp[Fecha]),1,0)</f>
        <v>0</v>
      </c>
      <c r="H1858" t="str">
        <f>+dHdcp[[#This Row],[Maximo]]&amp;":"&amp;dHdcp[[#This Row],[Nombre]]</f>
        <v>0:Francisco Hidalgo</v>
      </c>
      <c r="I1858" t="str">
        <f>+dHdcp[[#This Row],[Maximo]]&amp;":"&amp;_xlfn.XLOOKUP(dHdcp[[#This Row],[Nombre]],dJugador[Nombre],dJugador[Mote],"",0)</f>
        <v>0:Fran</v>
      </c>
      <c r="J1858" t="str">
        <f>+IF(dHdcp[[#This Row],[Maximo]]=0,"",_xlfn.RANK.EQ(dHdcp[[#This Row],[Handicap]],dHdcp[Handicap],1))</f>
        <v/>
      </c>
      <c r="K1858" t="str">
        <f>IFERROR(+_xlfn.RANK.EQ(dHdcp[[#This Row],[Ranking]],dHdcp[Ranking],1),"")</f>
        <v/>
      </c>
      <c r="M1858" t="str">
        <f>+dHdcp[[#This Row],[Fecha]]&amp;":"&amp;dHdcp[[#This Row],[Nombre]]</f>
        <v>45276:Francisco Hidalgo</v>
      </c>
      <c r="N1858">
        <f>+COUNTIF(dHdcp[Columna1],dHdcp[[#This Row],[Columna1]])</f>
        <v>1</v>
      </c>
    </row>
    <row r="1859" spans="1:14">
      <c r="A1859" s="2">
        <v>45276</v>
      </c>
      <c r="B1859" t="s">
        <v>207</v>
      </c>
      <c r="C1859" s="85">
        <v>14.5</v>
      </c>
      <c r="D1859">
        <f>+VLOOKUP(dHdcp[[#This Row],[Handicap]],'Categoría Hdcap'!$B$2:$E$7,4)</f>
        <v>3</v>
      </c>
      <c r="E1859" t="s">
        <v>74</v>
      </c>
      <c r="F1859" t="s">
        <v>2325</v>
      </c>
      <c r="G1859">
        <f>+IF(dHdcp[[#This Row],[Fecha]]=MAX(dHdcp[Fecha]),1,0)</f>
        <v>0</v>
      </c>
      <c r="H1859" t="str">
        <f>+dHdcp[[#This Row],[Maximo]]&amp;":"&amp;dHdcp[[#This Row],[Nombre]]</f>
        <v>0:Franck Benouniche</v>
      </c>
      <c r="I1859" t="str">
        <f>+dHdcp[[#This Row],[Maximo]]&amp;":"&amp;_xlfn.XLOOKUP(dHdcp[[#This Row],[Nombre]],dJugador[Nombre],dJugador[Mote],"",0)</f>
        <v>0:Franck</v>
      </c>
      <c r="J1859" t="str">
        <f>+IF(dHdcp[[#This Row],[Maximo]]=0,"",_xlfn.RANK.EQ(dHdcp[[#This Row],[Handicap]],dHdcp[Handicap],1))</f>
        <v/>
      </c>
      <c r="K1859" t="str">
        <f>IFERROR(+_xlfn.RANK.EQ(dHdcp[[#This Row],[Ranking]],dHdcp[Ranking],1),"")</f>
        <v/>
      </c>
      <c r="M1859" t="str">
        <f>+dHdcp[[#This Row],[Fecha]]&amp;":"&amp;dHdcp[[#This Row],[Nombre]]</f>
        <v>45276:Franck Benouniche</v>
      </c>
      <c r="N1859">
        <f>+COUNTIF(dHdcp[Columna1],dHdcp[[#This Row],[Columna1]])</f>
        <v>1</v>
      </c>
    </row>
    <row r="1860" spans="1:14">
      <c r="A1860" s="2">
        <v>45276</v>
      </c>
      <c r="B1860" t="s">
        <v>35</v>
      </c>
      <c r="C1860" s="85">
        <v>20.5</v>
      </c>
      <c r="D1860">
        <f>+VLOOKUP(dHdcp[[#This Row],[Handicap]],'Categoría Hdcap'!$B$2:$E$7,4)</f>
        <v>4</v>
      </c>
      <c r="E1860" t="s">
        <v>74</v>
      </c>
      <c r="F1860" t="s">
        <v>2326</v>
      </c>
      <c r="G1860">
        <f>+IF(dHdcp[[#This Row],[Fecha]]=MAX(dHdcp[Fecha]),1,0)</f>
        <v>0</v>
      </c>
      <c r="H1860" t="str">
        <f>+dHdcp[[#This Row],[Maximo]]&amp;":"&amp;dHdcp[[#This Row],[Nombre]]</f>
        <v>0:GLEZ JUAN JOSÉ</v>
      </c>
      <c r="I1860" t="str">
        <f>+dHdcp[[#This Row],[Maximo]]&amp;":"&amp;_xlfn.XLOOKUP(dHdcp[[#This Row],[Nombre]],dJugador[Nombre],dJugador[Mote],"",0)</f>
        <v>0:Juanjo</v>
      </c>
      <c r="J1860" t="str">
        <f>+IF(dHdcp[[#This Row],[Maximo]]=0,"",_xlfn.RANK.EQ(dHdcp[[#This Row],[Handicap]],dHdcp[Handicap],1))</f>
        <v/>
      </c>
      <c r="K1860" t="str">
        <f>IFERROR(+_xlfn.RANK.EQ(dHdcp[[#This Row],[Ranking]],dHdcp[Ranking],1),"")</f>
        <v/>
      </c>
      <c r="M1860" t="str">
        <f>+dHdcp[[#This Row],[Fecha]]&amp;":"&amp;dHdcp[[#This Row],[Nombre]]</f>
        <v>45276:GLEZ JUAN JOSÉ</v>
      </c>
      <c r="N1860">
        <f>+COUNTIF(dHdcp[Columna1],dHdcp[[#This Row],[Columna1]])</f>
        <v>1</v>
      </c>
    </row>
    <row r="1861" spans="1:14">
      <c r="A1861" s="2">
        <v>45276</v>
      </c>
      <c r="B1861" t="s">
        <v>6</v>
      </c>
      <c r="C1861" s="85">
        <v>8</v>
      </c>
      <c r="D1861">
        <f>+VLOOKUP(dHdcp[[#This Row],[Handicap]],'Categoría Hdcap'!$B$2:$E$7,4)</f>
        <v>2</v>
      </c>
      <c r="E1861" t="s">
        <v>74</v>
      </c>
      <c r="F1861" t="s">
        <v>2327</v>
      </c>
      <c r="G1861">
        <f>+IF(dHdcp[[#This Row],[Fecha]]=MAX(dHdcp[Fecha]),1,0)</f>
        <v>0</v>
      </c>
      <c r="H1861" t="str">
        <f>+dHdcp[[#This Row],[Maximo]]&amp;":"&amp;dHdcp[[#This Row],[Nombre]]</f>
        <v>0:Ignacio Cadarso</v>
      </c>
      <c r="I1861" t="str">
        <f>+dHdcp[[#This Row],[Maximo]]&amp;":"&amp;_xlfn.XLOOKUP(dHdcp[[#This Row],[Nombre]],dJugador[Nombre],dJugador[Mote],"",0)</f>
        <v>0:Ignacio</v>
      </c>
      <c r="J1861" t="str">
        <f>+IF(dHdcp[[#This Row],[Maximo]]=0,"",_xlfn.RANK.EQ(dHdcp[[#This Row],[Handicap]],dHdcp[Handicap],1))</f>
        <v/>
      </c>
      <c r="K1861" t="str">
        <f>IFERROR(+_xlfn.RANK.EQ(dHdcp[[#This Row],[Ranking]],dHdcp[Ranking],1),"")</f>
        <v/>
      </c>
      <c r="M1861" t="str">
        <f>+dHdcp[[#This Row],[Fecha]]&amp;":"&amp;dHdcp[[#This Row],[Nombre]]</f>
        <v>45276:Ignacio Cadarso</v>
      </c>
      <c r="N1861">
        <f>+COUNTIF(dHdcp[Columna1],dHdcp[[#This Row],[Columna1]])</f>
        <v>1</v>
      </c>
    </row>
    <row r="1862" spans="1:14">
      <c r="A1862" s="2">
        <v>45276</v>
      </c>
      <c r="B1862" t="s">
        <v>298</v>
      </c>
      <c r="C1862" s="85">
        <v>23.7</v>
      </c>
      <c r="D1862">
        <f>+VLOOKUP(dHdcp[[#This Row],[Handicap]],'Categoría Hdcap'!$B$2:$E$7,4)</f>
        <v>4</v>
      </c>
      <c r="E1862" t="s">
        <v>74</v>
      </c>
      <c r="F1862" t="s">
        <v>2328</v>
      </c>
      <c r="G1862">
        <f>+IF(dHdcp[[#This Row],[Fecha]]=MAX(dHdcp[Fecha]),1,0)</f>
        <v>0</v>
      </c>
      <c r="H1862" t="str">
        <f>+dHdcp[[#This Row],[Maximo]]&amp;":"&amp;dHdcp[[#This Row],[Nombre]]</f>
        <v>0:Ignacio Gracia Charlez</v>
      </c>
      <c r="I1862" t="str">
        <f>+dHdcp[[#This Row],[Maximo]]&amp;":"&amp;_xlfn.XLOOKUP(dHdcp[[#This Row],[Nombre]],dJugador[Nombre],dJugador[Mote],"",0)</f>
        <v>0:I Gracia</v>
      </c>
      <c r="J1862" t="str">
        <f>+IF(dHdcp[[#This Row],[Maximo]]=0,"",_xlfn.RANK.EQ(dHdcp[[#This Row],[Handicap]],dHdcp[Handicap],1))</f>
        <v/>
      </c>
      <c r="K1862" t="str">
        <f>IFERROR(+_xlfn.RANK.EQ(dHdcp[[#This Row],[Ranking]],dHdcp[Ranking],1),"")</f>
        <v/>
      </c>
      <c r="M1862" t="str">
        <f>+dHdcp[[#This Row],[Fecha]]&amp;":"&amp;dHdcp[[#This Row],[Nombre]]</f>
        <v>45276:Ignacio Gracia Charlez</v>
      </c>
      <c r="N1862">
        <f>+COUNTIF(dHdcp[Columna1],dHdcp[[#This Row],[Columna1]])</f>
        <v>1</v>
      </c>
    </row>
    <row r="1863" spans="1:14">
      <c r="A1863" s="2">
        <v>45276</v>
      </c>
      <c r="B1863" t="s">
        <v>23</v>
      </c>
      <c r="C1863" s="85">
        <v>19.100000000000001</v>
      </c>
      <c r="D1863">
        <f>+VLOOKUP(dHdcp[[#This Row],[Handicap]],'Categoría Hdcap'!$B$2:$E$7,4)</f>
        <v>4</v>
      </c>
      <c r="E1863" t="s">
        <v>74</v>
      </c>
      <c r="F1863" t="s">
        <v>2329</v>
      </c>
      <c r="G1863">
        <f>+IF(dHdcp[[#This Row],[Fecha]]=MAX(dHdcp[Fecha]),1,0)</f>
        <v>0</v>
      </c>
      <c r="H1863" t="str">
        <f>+dHdcp[[#This Row],[Maximo]]&amp;":"&amp;dHdcp[[#This Row],[Nombre]]</f>
        <v>0:J. Enrique Gonzalez</v>
      </c>
      <c r="I1863" t="str">
        <f>+dHdcp[[#This Row],[Maximo]]&amp;":"&amp;_xlfn.XLOOKUP(dHdcp[[#This Row],[Nombre]],dJugador[Nombre],dJugador[Mote],"",0)</f>
        <v>0:Kike</v>
      </c>
      <c r="J1863" t="str">
        <f>+IF(dHdcp[[#This Row],[Maximo]]=0,"",_xlfn.RANK.EQ(dHdcp[[#This Row],[Handicap]],dHdcp[Handicap],1))</f>
        <v/>
      </c>
      <c r="K1863" t="str">
        <f>IFERROR(+_xlfn.RANK.EQ(dHdcp[[#This Row],[Ranking]],dHdcp[Ranking],1),"")</f>
        <v/>
      </c>
      <c r="M1863" t="str">
        <f>+dHdcp[[#This Row],[Fecha]]&amp;":"&amp;dHdcp[[#This Row],[Nombre]]</f>
        <v>45276:J. Enrique Gonzalez</v>
      </c>
      <c r="N1863">
        <f>+COUNTIF(dHdcp[Columna1],dHdcp[[#This Row],[Columna1]])</f>
        <v>1</v>
      </c>
    </row>
    <row r="1864" spans="1:14">
      <c r="A1864" s="2">
        <v>45276</v>
      </c>
      <c r="B1864" t="s">
        <v>289</v>
      </c>
      <c r="C1864" s="85">
        <v>8.9</v>
      </c>
      <c r="D1864">
        <f>+VLOOKUP(dHdcp[[#This Row],[Handicap]],'Categoría Hdcap'!$B$2:$E$7,4)</f>
        <v>2</v>
      </c>
      <c r="E1864" t="s">
        <v>74</v>
      </c>
      <c r="F1864" t="s">
        <v>2330</v>
      </c>
      <c r="G1864">
        <f>+IF(dHdcp[[#This Row],[Fecha]]=MAX(dHdcp[Fecha]),1,0)</f>
        <v>0</v>
      </c>
      <c r="H1864" t="str">
        <f>+dHdcp[[#This Row],[Maximo]]&amp;":"&amp;dHdcp[[#This Row],[Nombre]]</f>
        <v>0:Jaime Villanueva</v>
      </c>
      <c r="I1864" t="str">
        <f>+dHdcp[[#This Row],[Maximo]]&amp;":"&amp;_xlfn.XLOOKUP(dHdcp[[#This Row],[Nombre]],dJugador[Nombre],dJugador[Mote],"",0)</f>
        <v>0:Villanueva</v>
      </c>
      <c r="J1864" t="str">
        <f>+IF(dHdcp[[#This Row],[Maximo]]=0,"",_xlfn.RANK.EQ(dHdcp[[#This Row],[Handicap]],dHdcp[Handicap],1))</f>
        <v/>
      </c>
      <c r="K1864" t="str">
        <f>IFERROR(+_xlfn.RANK.EQ(dHdcp[[#This Row],[Ranking]],dHdcp[Ranking],1),"")</f>
        <v/>
      </c>
      <c r="M1864" t="str">
        <f>+dHdcp[[#This Row],[Fecha]]&amp;":"&amp;dHdcp[[#This Row],[Nombre]]</f>
        <v>45276:Jaime Villanueva</v>
      </c>
      <c r="N1864">
        <f>+COUNTIF(dHdcp[Columna1],dHdcp[[#This Row],[Columna1]])</f>
        <v>1</v>
      </c>
    </row>
    <row r="1865" spans="1:14">
      <c r="A1865" s="2">
        <v>45276</v>
      </c>
      <c r="B1865" t="s">
        <v>328</v>
      </c>
      <c r="C1865" s="85">
        <v>11.799999999999999</v>
      </c>
      <c r="D1865">
        <f>+VLOOKUP(dHdcp[[#This Row],[Handicap]],'Categoría Hdcap'!$B$2:$E$7,4)</f>
        <v>3</v>
      </c>
      <c r="E1865" t="s">
        <v>74</v>
      </c>
      <c r="F1865" t="s">
        <v>2331</v>
      </c>
      <c r="G1865">
        <f>+IF(dHdcp[[#This Row],[Fecha]]=MAX(dHdcp[Fecha]),1,0)</f>
        <v>0</v>
      </c>
      <c r="H1865" t="str">
        <f>+dHdcp[[#This Row],[Maximo]]&amp;":"&amp;dHdcp[[#This Row],[Nombre]]</f>
        <v>0:Javier Arcos</v>
      </c>
      <c r="I1865" t="str">
        <f>+dHdcp[[#This Row],[Maximo]]&amp;":"&amp;_xlfn.XLOOKUP(dHdcp[[#This Row],[Nombre]],dJugador[Nombre],dJugador[Mote],"",0)</f>
        <v>0:J.Arcos</v>
      </c>
      <c r="J1865" t="str">
        <f>+IF(dHdcp[[#This Row],[Maximo]]=0,"",_xlfn.RANK.EQ(dHdcp[[#This Row],[Handicap]],dHdcp[Handicap],1))</f>
        <v/>
      </c>
      <c r="K1865" t="str">
        <f>IFERROR(+_xlfn.RANK.EQ(dHdcp[[#This Row],[Ranking]],dHdcp[Ranking],1),"")</f>
        <v/>
      </c>
      <c r="M1865" t="str">
        <f>+dHdcp[[#This Row],[Fecha]]&amp;":"&amp;dHdcp[[#This Row],[Nombre]]</f>
        <v>45276:Javier Arcos</v>
      </c>
      <c r="N1865">
        <f>+COUNTIF(dHdcp[Columna1],dHdcp[[#This Row],[Columna1]])</f>
        <v>1</v>
      </c>
    </row>
    <row r="1866" spans="1:14">
      <c r="A1866" s="2">
        <v>45276</v>
      </c>
      <c r="B1866" t="s">
        <v>378</v>
      </c>
      <c r="C1866" s="51">
        <v>11.199999999999992</v>
      </c>
      <c r="D1866">
        <f>+VLOOKUP(dHdcp[[#This Row],[Handicap]],'Categoría Hdcap'!$B$2:$E$7,4)</f>
        <v>2</v>
      </c>
      <c r="E1866" t="s">
        <v>74</v>
      </c>
      <c r="F1866" t="s">
        <v>2332</v>
      </c>
      <c r="G1866">
        <f>+IF(dHdcp[[#This Row],[Fecha]]=MAX(dHdcp[Fecha]),1,0)</f>
        <v>0</v>
      </c>
      <c r="H1866" t="str">
        <f>+dHdcp[[#This Row],[Maximo]]&amp;":"&amp;dHdcp[[#This Row],[Nombre]]</f>
        <v>0:Javier Campo</v>
      </c>
      <c r="I1866" t="str">
        <f>+dHdcp[[#This Row],[Maximo]]&amp;":"&amp;_xlfn.XLOOKUP(dHdcp[[#This Row],[Nombre]],dJugador[Nombre],dJugador[Mote],"",0)</f>
        <v>0:Campo</v>
      </c>
      <c r="J1866" t="str">
        <f>+IF(dHdcp[[#This Row],[Maximo]]=0,"",_xlfn.RANK.EQ(dHdcp[[#This Row],[Handicap]],dHdcp[Handicap],1))</f>
        <v/>
      </c>
      <c r="K1866" t="str">
        <f>IFERROR(+_xlfn.RANK.EQ(dHdcp[[#This Row],[Ranking]],dHdcp[Ranking],1),"")</f>
        <v/>
      </c>
      <c r="M1866" t="str">
        <f>+dHdcp[[#This Row],[Fecha]]&amp;":"&amp;dHdcp[[#This Row],[Nombre]]</f>
        <v>45276:Javier Campo</v>
      </c>
      <c r="N1866">
        <f>+COUNTIF(dHdcp[Columna1],dHdcp[[#This Row],[Columna1]])</f>
        <v>1</v>
      </c>
    </row>
    <row r="1867" spans="1:14">
      <c r="A1867" s="2">
        <v>45276</v>
      </c>
      <c r="B1867" t="s">
        <v>46</v>
      </c>
      <c r="C1867" s="85">
        <v>16.600000000000001</v>
      </c>
      <c r="D1867">
        <f>+VLOOKUP(dHdcp[[#This Row],[Handicap]],'Categoría Hdcap'!$B$2:$E$7,4)</f>
        <v>3</v>
      </c>
      <c r="E1867" t="s">
        <v>74</v>
      </c>
      <c r="F1867" t="s">
        <v>2333</v>
      </c>
      <c r="G1867">
        <f>+IF(dHdcp[[#This Row],[Fecha]]=MAX(dHdcp[Fecha]),1,0)</f>
        <v>0</v>
      </c>
      <c r="H1867" t="str">
        <f>+dHdcp[[#This Row],[Maximo]]&amp;":"&amp;dHdcp[[#This Row],[Nombre]]</f>
        <v>0:Javier Cervera</v>
      </c>
      <c r="I1867" t="str">
        <f>+dHdcp[[#This Row],[Maximo]]&amp;":"&amp;_xlfn.XLOOKUP(dHdcp[[#This Row],[Nombre]],dJugador[Nombre],dJugador[Mote],"",0)</f>
        <v>0:Virus</v>
      </c>
      <c r="J1867" t="str">
        <f>+IF(dHdcp[[#This Row],[Maximo]]=0,"",_xlfn.RANK.EQ(dHdcp[[#This Row],[Handicap]],dHdcp[Handicap],1))</f>
        <v/>
      </c>
      <c r="K1867" t="str">
        <f>IFERROR(+_xlfn.RANK.EQ(dHdcp[[#This Row],[Ranking]],dHdcp[Ranking],1),"")</f>
        <v/>
      </c>
      <c r="M1867" t="str">
        <f>+dHdcp[[#This Row],[Fecha]]&amp;":"&amp;dHdcp[[#This Row],[Nombre]]</f>
        <v>45276:Javier Cervera</v>
      </c>
      <c r="N1867">
        <f>+COUNTIF(dHdcp[Columna1],dHdcp[[#This Row],[Columna1]])</f>
        <v>1</v>
      </c>
    </row>
    <row r="1868" spans="1:14">
      <c r="A1868" s="2">
        <v>45276</v>
      </c>
      <c r="B1868" t="s">
        <v>225</v>
      </c>
      <c r="C1868" s="85">
        <v>10.1</v>
      </c>
      <c r="D1868">
        <f>+VLOOKUP(dHdcp[[#This Row],[Handicap]],'Categoría Hdcap'!$B$2:$E$7,4)</f>
        <v>2</v>
      </c>
      <c r="E1868" t="s">
        <v>74</v>
      </c>
      <c r="F1868" t="s">
        <v>2334</v>
      </c>
      <c r="G1868">
        <f>+IF(dHdcp[[#This Row],[Fecha]]=MAX(dHdcp[Fecha]),1,0)</f>
        <v>0</v>
      </c>
      <c r="H1868" t="str">
        <f>+dHdcp[[#This Row],[Maximo]]&amp;":"&amp;dHdcp[[#This Row],[Nombre]]</f>
        <v>0:Javier Chiralt</v>
      </c>
      <c r="I1868" t="str">
        <f>+dHdcp[[#This Row],[Maximo]]&amp;":"&amp;_xlfn.XLOOKUP(dHdcp[[#This Row],[Nombre]],dJugador[Nombre],dJugador[Mote],"",0)</f>
        <v>0:Chiralt</v>
      </c>
      <c r="J1868" t="str">
        <f>+IF(dHdcp[[#This Row],[Maximo]]=0,"",_xlfn.RANK.EQ(dHdcp[[#This Row],[Handicap]],dHdcp[Handicap],1))</f>
        <v/>
      </c>
      <c r="K1868" t="str">
        <f>IFERROR(+_xlfn.RANK.EQ(dHdcp[[#This Row],[Ranking]],dHdcp[Ranking],1),"")</f>
        <v/>
      </c>
      <c r="M1868" t="str">
        <f>+dHdcp[[#This Row],[Fecha]]&amp;":"&amp;dHdcp[[#This Row],[Nombre]]</f>
        <v>45276:Javier Chiralt</v>
      </c>
      <c r="N1868">
        <f>+COUNTIF(dHdcp[Columna1],dHdcp[[#This Row],[Columna1]])</f>
        <v>1</v>
      </c>
    </row>
    <row r="1869" spans="1:14">
      <c r="A1869" s="2">
        <v>45276</v>
      </c>
      <c r="B1869" t="s">
        <v>20</v>
      </c>
      <c r="C1869" s="85">
        <v>17.5</v>
      </c>
      <c r="D1869">
        <f>+VLOOKUP(dHdcp[[#This Row],[Handicap]],'Categoría Hdcap'!$B$2:$E$7,4)</f>
        <v>3</v>
      </c>
      <c r="E1869" t="s">
        <v>74</v>
      </c>
      <c r="F1869" t="s">
        <v>2335</v>
      </c>
      <c r="G1869">
        <f>+IF(dHdcp[[#This Row],[Fecha]]=MAX(dHdcp[Fecha]),1,0)</f>
        <v>0</v>
      </c>
      <c r="H1869" t="str">
        <f>+dHdcp[[#This Row],[Maximo]]&amp;":"&amp;dHdcp[[#This Row],[Nombre]]</f>
        <v>0:Javier Gonzalez Salvador</v>
      </c>
      <c r="I1869" t="str">
        <f>+dHdcp[[#This Row],[Maximo]]&amp;":"&amp;_xlfn.XLOOKUP(dHdcp[[#This Row],[Nombre]],dJugador[Nombre],dJugador[Mote],"",0)</f>
        <v>0:Javi</v>
      </c>
      <c r="J1869" t="str">
        <f>+IF(dHdcp[[#This Row],[Maximo]]=0,"",_xlfn.RANK.EQ(dHdcp[[#This Row],[Handicap]],dHdcp[Handicap],1))</f>
        <v/>
      </c>
      <c r="K1869" t="str">
        <f>IFERROR(+_xlfn.RANK.EQ(dHdcp[[#This Row],[Ranking]],dHdcp[Ranking],1),"")</f>
        <v/>
      </c>
      <c r="M1869" t="str">
        <f>+dHdcp[[#This Row],[Fecha]]&amp;":"&amp;dHdcp[[#This Row],[Nombre]]</f>
        <v>45276:Javier Gonzalez Salvador</v>
      </c>
      <c r="N1869">
        <f>+COUNTIF(dHdcp[Columna1],dHdcp[[#This Row],[Columna1]])</f>
        <v>1</v>
      </c>
    </row>
    <row r="1870" spans="1:14">
      <c r="A1870" s="2">
        <v>45276</v>
      </c>
      <c r="B1870" t="s">
        <v>217</v>
      </c>
      <c r="C1870" s="85">
        <v>20.9</v>
      </c>
      <c r="D1870">
        <f>+VLOOKUP(dHdcp[[#This Row],[Handicap]],'Categoría Hdcap'!$B$2:$E$7,4)</f>
        <v>4</v>
      </c>
      <c r="E1870" t="s">
        <v>74</v>
      </c>
      <c r="F1870" t="s">
        <v>2336</v>
      </c>
      <c r="G1870">
        <f>+IF(dHdcp[[#This Row],[Fecha]]=MAX(dHdcp[Fecha]),1,0)</f>
        <v>0</v>
      </c>
      <c r="H1870" t="str">
        <f>+dHdcp[[#This Row],[Maximo]]&amp;":"&amp;dHdcp[[#This Row],[Nombre]]</f>
        <v>0:Javier Lopez Gullón</v>
      </c>
      <c r="I1870" t="str">
        <f>+dHdcp[[#This Row],[Maximo]]&amp;":"&amp;_xlfn.XLOOKUP(dHdcp[[#This Row],[Nombre]],dJugador[Nombre],dJugador[Mote],"",0)</f>
        <v>0:Cuñao</v>
      </c>
      <c r="J1870" t="str">
        <f>+IF(dHdcp[[#This Row],[Maximo]]=0,"",_xlfn.RANK.EQ(dHdcp[[#This Row],[Handicap]],dHdcp[Handicap],1))</f>
        <v/>
      </c>
      <c r="K1870" t="str">
        <f>IFERROR(+_xlfn.RANK.EQ(dHdcp[[#This Row],[Ranking]],dHdcp[Ranking],1),"")</f>
        <v/>
      </c>
      <c r="M1870" t="str">
        <f>+dHdcp[[#This Row],[Fecha]]&amp;":"&amp;dHdcp[[#This Row],[Nombre]]</f>
        <v>45276:Javier Lopez Gullón</v>
      </c>
      <c r="N1870">
        <f>+COUNTIF(dHdcp[Columna1],dHdcp[[#This Row],[Columna1]])</f>
        <v>1</v>
      </c>
    </row>
    <row r="1871" spans="1:14">
      <c r="A1871" s="2">
        <v>45276</v>
      </c>
      <c r="B1871" t="s">
        <v>41</v>
      </c>
      <c r="C1871" s="85">
        <v>22.2</v>
      </c>
      <c r="D1871">
        <f>+VLOOKUP(dHdcp[[#This Row],[Handicap]],'Categoría Hdcap'!$B$2:$E$7,4)</f>
        <v>4</v>
      </c>
      <c r="E1871" t="s">
        <v>74</v>
      </c>
      <c r="F1871" t="s">
        <v>2337</v>
      </c>
      <c r="G1871">
        <f>+IF(dHdcp[[#This Row],[Fecha]]=MAX(dHdcp[Fecha]),1,0)</f>
        <v>0</v>
      </c>
      <c r="H1871" t="str">
        <f>+dHdcp[[#This Row],[Maximo]]&amp;":"&amp;dHdcp[[#This Row],[Nombre]]</f>
        <v>0:Jesus Touceda</v>
      </c>
      <c r="I1871" t="str">
        <f>+dHdcp[[#This Row],[Maximo]]&amp;":"&amp;_xlfn.XLOOKUP(dHdcp[[#This Row],[Nombre]],dJugador[Nombre],dJugador[Mote],"",0)</f>
        <v>0:Jesús</v>
      </c>
      <c r="J1871" t="str">
        <f>+IF(dHdcp[[#This Row],[Maximo]]=0,"",_xlfn.RANK.EQ(dHdcp[[#This Row],[Handicap]],dHdcp[Handicap],1))</f>
        <v/>
      </c>
      <c r="K1871" t="str">
        <f>IFERROR(+_xlfn.RANK.EQ(dHdcp[[#This Row],[Ranking]],dHdcp[Ranking],1),"")</f>
        <v/>
      </c>
      <c r="M1871" t="str">
        <f>+dHdcp[[#This Row],[Fecha]]&amp;":"&amp;dHdcp[[#This Row],[Nombre]]</f>
        <v>45276:Jesus Touceda</v>
      </c>
      <c r="N1871">
        <f>+COUNTIF(dHdcp[Columna1],dHdcp[[#This Row],[Columna1]])</f>
        <v>1</v>
      </c>
    </row>
    <row r="1872" spans="1:14">
      <c r="A1872" s="2">
        <v>45276</v>
      </c>
      <c r="B1872" t="s">
        <v>297</v>
      </c>
      <c r="C1872" s="85">
        <v>21.1</v>
      </c>
      <c r="D1872">
        <f>+VLOOKUP(dHdcp[[#This Row],[Handicap]],'Categoría Hdcap'!$B$2:$E$7,4)</f>
        <v>4</v>
      </c>
      <c r="E1872" t="s">
        <v>74</v>
      </c>
      <c r="F1872" t="s">
        <v>2338</v>
      </c>
      <c r="G1872">
        <f>+IF(dHdcp[[#This Row],[Fecha]]=MAX(dHdcp[Fecha]),1,0)</f>
        <v>0</v>
      </c>
      <c r="H1872" t="str">
        <f>+dHdcp[[#This Row],[Maximo]]&amp;":"&amp;dHdcp[[#This Row],[Nombre]]</f>
        <v>0:Jorge Alberto Martínez Sánchez</v>
      </c>
      <c r="I1872" t="str">
        <f>+dHdcp[[#This Row],[Maximo]]&amp;":"&amp;_xlfn.XLOOKUP(dHdcp[[#This Row],[Nombre]],dJugador[Nombre],dJugador[Mote],"",0)</f>
        <v>0:Jorge</v>
      </c>
      <c r="J1872" t="str">
        <f>+IF(dHdcp[[#This Row],[Maximo]]=0,"",_xlfn.RANK.EQ(dHdcp[[#This Row],[Handicap]],dHdcp[Handicap],1))</f>
        <v/>
      </c>
      <c r="K1872" t="str">
        <f>IFERROR(+_xlfn.RANK.EQ(dHdcp[[#This Row],[Ranking]],dHdcp[Ranking],1),"")</f>
        <v/>
      </c>
      <c r="M1872" t="str">
        <f>+dHdcp[[#This Row],[Fecha]]&amp;":"&amp;dHdcp[[#This Row],[Nombre]]</f>
        <v>45276:Jorge Alberto Martínez Sánchez</v>
      </c>
      <c r="N1872">
        <f>+COUNTIF(dHdcp[Columna1],dHdcp[[#This Row],[Columna1]])</f>
        <v>1</v>
      </c>
    </row>
    <row r="1873" spans="1:14">
      <c r="A1873" s="2">
        <v>45276</v>
      </c>
      <c r="B1873" t="s">
        <v>388</v>
      </c>
      <c r="C1873" s="85">
        <v>26.499999999999986</v>
      </c>
      <c r="D1873">
        <f>+VLOOKUP(dHdcp[[#This Row],[Handicap]],'Categoría Hdcap'!$B$2:$E$7,4)</f>
        <v>4</v>
      </c>
      <c r="E1873" t="s">
        <v>74</v>
      </c>
      <c r="F1873" t="s">
        <v>2339</v>
      </c>
      <c r="G1873">
        <f>+IF(dHdcp[[#This Row],[Fecha]]=MAX(dHdcp[Fecha]),1,0)</f>
        <v>0</v>
      </c>
      <c r="H1873" t="str">
        <f>+dHdcp[[#This Row],[Maximo]]&amp;":"&amp;dHdcp[[#This Row],[Nombre]]</f>
        <v>0:Jose Antonio Santana</v>
      </c>
      <c r="I1873" t="str">
        <f>+dHdcp[[#This Row],[Maximo]]&amp;":"&amp;_xlfn.XLOOKUP(dHdcp[[#This Row],[Nombre]],dJugador[Nombre],dJugador[Mote],"",0)</f>
        <v>0:J Antonio</v>
      </c>
      <c r="J1873" t="str">
        <f>+IF(dHdcp[[#This Row],[Maximo]]=0,"",_xlfn.RANK.EQ(dHdcp[[#This Row],[Handicap]],dHdcp[Handicap],1))</f>
        <v/>
      </c>
      <c r="K1873" t="str">
        <f>IFERROR(+_xlfn.RANK.EQ(dHdcp[[#This Row],[Ranking]],dHdcp[Ranking],1),"")</f>
        <v/>
      </c>
      <c r="M1873" t="str">
        <f>+dHdcp[[#This Row],[Fecha]]&amp;":"&amp;dHdcp[[#This Row],[Nombre]]</f>
        <v>45276:Jose Antonio Santana</v>
      </c>
      <c r="N1873">
        <f>+COUNTIF(dHdcp[Columna1],dHdcp[[#This Row],[Columna1]])</f>
        <v>1</v>
      </c>
    </row>
    <row r="1874" spans="1:14">
      <c r="A1874" s="2">
        <v>45276</v>
      </c>
      <c r="B1874" t="s">
        <v>18</v>
      </c>
      <c r="C1874" s="85">
        <v>8.1</v>
      </c>
      <c r="D1874">
        <f>+VLOOKUP(dHdcp[[#This Row],[Handicap]],'Categoría Hdcap'!$B$2:$E$7,4)</f>
        <v>2</v>
      </c>
      <c r="E1874" t="s">
        <v>74</v>
      </c>
      <c r="F1874" t="s">
        <v>2340</v>
      </c>
      <c r="G1874">
        <f>+IF(dHdcp[[#This Row],[Fecha]]=MAX(dHdcp[Fecha]),1,0)</f>
        <v>0</v>
      </c>
      <c r="H1874" t="str">
        <f>+dHdcp[[#This Row],[Maximo]]&amp;":"&amp;dHdcp[[#This Row],[Nombre]]</f>
        <v>0:José Pablo Guil</v>
      </c>
      <c r="I1874" t="str">
        <f>+dHdcp[[#This Row],[Maximo]]&amp;":"&amp;_xlfn.XLOOKUP(dHdcp[[#This Row],[Nombre]],dJugador[Nombre],dJugador[Mote],"",0)</f>
        <v>0:JP</v>
      </c>
      <c r="J1874" t="str">
        <f>+IF(dHdcp[[#This Row],[Maximo]]=0,"",_xlfn.RANK.EQ(dHdcp[[#This Row],[Handicap]],dHdcp[Handicap],1))</f>
        <v/>
      </c>
      <c r="K1874" t="str">
        <f>IFERROR(+_xlfn.RANK.EQ(dHdcp[[#This Row],[Ranking]],dHdcp[Ranking],1),"")</f>
        <v/>
      </c>
      <c r="M1874" t="str">
        <f>+dHdcp[[#This Row],[Fecha]]&amp;":"&amp;dHdcp[[#This Row],[Nombre]]</f>
        <v>45276:José Pablo Guil</v>
      </c>
      <c r="N1874">
        <f>+COUNTIF(dHdcp[Columna1],dHdcp[[#This Row],[Columna1]])</f>
        <v>1</v>
      </c>
    </row>
    <row r="1875" spans="1:14">
      <c r="A1875" s="2">
        <v>45276</v>
      </c>
      <c r="B1875" t="s">
        <v>293</v>
      </c>
      <c r="C1875" s="85">
        <v>20.2</v>
      </c>
      <c r="D1875">
        <f>+VLOOKUP(dHdcp[[#This Row],[Handicap]],'Categoría Hdcap'!$B$2:$E$7,4)</f>
        <v>4</v>
      </c>
      <c r="E1875" t="s">
        <v>74</v>
      </c>
      <c r="F1875" t="s">
        <v>2341</v>
      </c>
      <c r="G1875">
        <f>+IF(dHdcp[[#This Row],[Fecha]]=MAX(dHdcp[Fecha]),1,0)</f>
        <v>0</v>
      </c>
      <c r="H1875" t="str">
        <f>+dHdcp[[#This Row],[Maximo]]&amp;":"&amp;dHdcp[[#This Row],[Nombre]]</f>
        <v>0:Juan Jose Aguado</v>
      </c>
      <c r="I1875" t="str">
        <f>+dHdcp[[#This Row],[Maximo]]&amp;":"&amp;_xlfn.XLOOKUP(dHdcp[[#This Row],[Nombre]],dJugador[Nombre],dJugador[Mote],"",0)</f>
        <v>0:Juancho</v>
      </c>
      <c r="J1875" t="str">
        <f>+IF(dHdcp[[#This Row],[Maximo]]=0,"",_xlfn.RANK.EQ(dHdcp[[#This Row],[Handicap]],dHdcp[Handicap],1))</f>
        <v/>
      </c>
      <c r="K1875" t="str">
        <f>IFERROR(+_xlfn.RANK.EQ(dHdcp[[#This Row],[Ranking]],dHdcp[Ranking],1),"")</f>
        <v/>
      </c>
      <c r="M1875" t="str">
        <f>+dHdcp[[#This Row],[Fecha]]&amp;":"&amp;dHdcp[[#This Row],[Nombre]]</f>
        <v>45276:Juan Jose Aguado</v>
      </c>
      <c r="N1875">
        <f>+COUNTIF(dHdcp[Columna1],dHdcp[[#This Row],[Columna1]])</f>
        <v>1</v>
      </c>
    </row>
    <row r="1876" spans="1:14">
      <c r="A1876" s="2">
        <v>45276</v>
      </c>
      <c r="B1876" t="s">
        <v>375</v>
      </c>
      <c r="C1876" s="85">
        <v>9.9</v>
      </c>
      <c r="D1876">
        <f>+VLOOKUP(dHdcp[[#This Row],[Handicap]],'Categoría Hdcap'!$B$2:$E$7,4)</f>
        <v>2</v>
      </c>
      <c r="E1876" t="s">
        <v>74</v>
      </c>
      <c r="F1876" t="s">
        <v>2342</v>
      </c>
      <c r="G1876">
        <f>+IF(dHdcp[[#This Row],[Fecha]]=MAX(dHdcp[Fecha]),1,0)</f>
        <v>0</v>
      </c>
      <c r="H1876" t="str">
        <f>+dHdcp[[#This Row],[Maximo]]&amp;":"&amp;dHdcp[[#This Row],[Nombre]]</f>
        <v>0:Luis Fernandez</v>
      </c>
      <c r="I1876" t="str">
        <f>+dHdcp[[#This Row],[Maximo]]&amp;":"&amp;_xlfn.XLOOKUP(dHdcp[[#This Row],[Nombre]],dJugador[Nombre],dJugador[Mote],"",0)</f>
        <v>0:Luis</v>
      </c>
      <c r="J1876" t="str">
        <f>+IF(dHdcp[[#This Row],[Maximo]]=0,"",_xlfn.RANK.EQ(dHdcp[[#This Row],[Handicap]],dHdcp[Handicap],1))</f>
        <v/>
      </c>
      <c r="K1876" t="str">
        <f>IFERROR(+_xlfn.RANK.EQ(dHdcp[[#This Row],[Ranking]],dHdcp[Ranking],1),"")</f>
        <v/>
      </c>
      <c r="M1876" t="str">
        <f>+dHdcp[[#This Row],[Fecha]]&amp;":"&amp;dHdcp[[#This Row],[Nombre]]</f>
        <v>45276:Luis Fernandez</v>
      </c>
      <c r="N1876">
        <f>+COUNTIF(dHdcp[Columna1],dHdcp[[#This Row],[Columna1]])</f>
        <v>1</v>
      </c>
    </row>
    <row r="1877" spans="1:14">
      <c r="A1877" s="2">
        <v>45276</v>
      </c>
      <c r="B1877" t="s">
        <v>135</v>
      </c>
      <c r="C1877" s="85">
        <v>18.8</v>
      </c>
      <c r="D1877">
        <f>+VLOOKUP(dHdcp[[#This Row],[Handicap]],'Categoría Hdcap'!$B$2:$E$7,4)</f>
        <v>4</v>
      </c>
      <c r="E1877" t="s">
        <v>74</v>
      </c>
      <c r="F1877" t="s">
        <v>2343</v>
      </c>
      <c r="G1877">
        <f>+IF(dHdcp[[#This Row],[Fecha]]=MAX(dHdcp[Fecha]),1,0)</f>
        <v>0</v>
      </c>
      <c r="H1877" t="str">
        <f>+dHdcp[[#This Row],[Maximo]]&amp;":"&amp;dHdcp[[#This Row],[Nombre]]</f>
        <v>0:Miche Lopez</v>
      </c>
      <c r="I1877" t="str">
        <f>+dHdcp[[#This Row],[Maximo]]&amp;":"&amp;_xlfn.XLOOKUP(dHdcp[[#This Row],[Nombre]],dJugador[Nombre],dJugador[Mote],"",0)</f>
        <v>0:Miche</v>
      </c>
      <c r="J1877" t="str">
        <f>+IF(dHdcp[[#This Row],[Maximo]]=0,"",_xlfn.RANK.EQ(dHdcp[[#This Row],[Handicap]],dHdcp[Handicap],1))</f>
        <v/>
      </c>
      <c r="K1877" t="str">
        <f>IFERROR(+_xlfn.RANK.EQ(dHdcp[[#This Row],[Ranking]],dHdcp[Ranking],1),"")</f>
        <v/>
      </c>
      <c r="M1877" t="str">
        <f>+dHdcp[[#This Row],[Fecha]]&amp;":"&amp;dHdcp[[#This Row],[Nombre]]</f>
        <v>45276:Miche Lopez</v>
      </c>
      <c r="N1877">
        <f>+COUNTIF(dHdcp[Columna1],dHdcp[[#This Row],[Columna1]])</f>
        <v>1</v>
      </c>
    </row>
    <row r="1878" spans="1:14">
      <c r="A1878" s="2">
        <v>45276</v>
      </c>
      <c r="B1878" t="s">
        <v>205</v>
      </c>
      <c r="C1878" s="85">
        <v>6.3</v>
      </c>
      <c r="D1878">
        <f>+VLOOKUP(dHdcp[[#This Row],[Handicap]],'Categoría Hdcap'!$B$2:$E$7,4)</f>
        <v>2</v>
      </c>
      <c r="E1878" t="s">
        <v>74</v>
      </c>
      <c r="F1878" t="s">
        <v>2344</v>
      </c>
      <c r="G1878">
        <f>+IF(dHdcp[[#This Row],[Fecha]]=MAX(dHdcp[Fecha]),1,0)</f>
        <v>0</v>
      </c>
      <c r="H1878" t="str">
        <f>+dHdcp[[#This Row],[Maximo]]&amp;":"&amp;dHdcp[[#This Row],[Nombre]]</f>
        <v>0:Nacho Casas</v>
      </c>
      <c r="I1878" t="str">
        <f>+dHdcp[[#This Row],[Maximo]]&amp;":"&amp;_xlfn.XLOOKUP(dHdcp[[#This Row],[Nombre]],dJugador[Nombre],dJugador[Mote],"",0)</f>
        <v>0:Nachete</v>
      </c>
      <c r="J1878" t="str">
        <f>+IF(dHdcp[[#This Row],[Maximo]]=0,"",_xlfn.RANK.EQ(dHdcp[[#This Row],[Handicap]],dHdcp[Handicap],1))</f>
        <v/>
      </c>
      <c r="K1878" t="str">
        <f>IFERROR(+_xlfn.RANK.EQ(dHdcp[[#This Row],[Ranking]],dHdcp[Ranking],1),"")</f>
        <v/>
      </c>
      <c r="M1878" t="str">
        <f>+dHdcp[[#This Row],[Fecha]]&amp;":"&amp;dHdcp[[#This Row],[Nombre]]</f>
        <v>45276:Nacho Casas</v>
      </c>
      <c r="N1878">
        <f>+COUNTIF(dHdcp[Columna1],dHdcp[[#This Row],[Columna1]])</f>
        <v>1</v>
      </c>
    </row>
    <row r="1879" spans="1:14">
      <c r="A1879" s="2">
        <v>45276</v>
      </c>
      <c r="B1879" t="s">
        <v>3</v>
      </c>
      <c r="C1879" s="85">
        <v>6</v>
      </c>
      <c r="D1879">
        <f>+VLOOKUP(dHdcp[[#This Row],[Handicap]],'Categoría Hdcap'!$B$2:$E$7,4)</f>
        <v>2</v>
      </c>
      <c r="E1879" t="s">
        <v>74</v>
      </c>
      <c r="F1879" t="s">
        <v>2345</v>
      </c>
      <c r="G1879">
        <f>+IF(dHdcp[[#This Row],[Fecha]]=MAX(dHdcp[Fecha]),1,0)</f>
        <v>0</v>
      </c>
      <c r="H1879" t="str">
        <f>+dHdcp[[#This Row],[Maximo]]&amp;":"&amp;dHdcp[[#This Row],[Nombre]]</f>
        <v>0:Nacho Gonzalez</v>
      </c>
      <c r="I1879" t="str">
        <f>+dHdcp[[#This Row],[Maximo]]&amp;":"&amp;_xlfn.XLOOKUP(dHdcp[[#This Row],[Nombre]],dJugador[Nombre],dJugador[Mote],"",0)</f>
        <v>0:Nacho</v>
      </c>
      <c r="J1879" t="str">
        <f>+IF(dHdcp[[#This Row],[Maximo]]=0,"",_xlfn.RANK.EQ(dHdcp[[#This Row],[Handicap]],dHdcp[Handicap],1))</f>
        <v/>
      </c>
      <c r="K1879" t="str">
        <f>IFERROR(+_xlfn.RANK.EQ(dHdcp[[#This Row],[Ranking]],dHdcp[Ranking],1),"")</f>
        <v/>
      </c>
      <c r="M1879" t="str">
        <f>+dHdcp[[#This Row],[Fecha]]&amp;":"&amp;dHdcp[[#This Row],[Nombre]]</f>
        <v>45276:Nacho Gonzalez</v>
      </c>
      <c r="N1879">
        <f>+COUNTIF(dHdcp[Columna1],dHdcp[[#This Row],[Columna1]])</f>
        <v>1</v>
      </c>
    </row>
    <row r="1880" spans="1:14">
      <c r="A1880" s="2">
        <v>45276</v>
      </c>
      <c r="B1880" t="s">
        <v>203</v>
      </c>
      <c r="C1880" s="85">
        <v>16.100000000000001</v>
      </c>
      <c r="D1880">
        <f>+VLOOKUP(dHdcp[[#This Row],[Handicap]],'Categoría Hdcap'!$B$2:$E$7,4)</f>
        <v>3</v>
      </c>
      <c r="E1880" t="s">
        <v>74</v>
      </c>
      <c r="F1880" t="s">
        <v>2346</v>
      </c>
      <c r="G1880">
        <f>+IF(dHdcp[[#This Row],[Fecha]]=MAX(dHdcp[Fecha]),1,0)</f>
        <v>0</v>
      </c>
      <c r="H1880" t="str">
        <f>+dHdcp[[#This Row],[Maximo]]&amp;":"&amp;dHdcp[[#This Row],[Nombre]]</f>
        <v>0:Ruslan Kochman</v>
      </c>
      <c r="I1880" t="str">
        <f>+dHdcp[[#This Row],[Maximo]]&amp;":"&amp;_xlfn.XLOOKUP(dHdcp[[#This Row],[Nombre]],dJugador[Nombre],dJugador[Mote],"",0)</f>
        <v>0:Rus</v>
      </c>
      <c r="J1880" t="str">
        <f>+IF(dHdcp[[#This Row],[Maximo]]=0,"",_xlfn.RANK.EQ(dHdcp[[#This Row],[Handicap]],dHdcp[Handicap],1))</f>
        <v/>
      </c>
      <c r="K1880" t="str">
        <f>IFERROR(+_xlfn.RANK.EQ(dHdcp[[#This Row],[Ranking]],dHdcp[Ranking],1),"")</f>
        <v/>
      </c>
      <c r="M1880" t="str">
        <f>+dHdcp[[#This Row],[Fecha]]&amp;":"&amp;dHdcp[[#This Row],[Nombre]]</f>
        <v>45276:Ruslan Kochman</v>
      </c>
      <c r="N1880">
        <f>+COUNTIF(dHdcp[Columna1],dHdcp[[#This Row],[Columna1]])</f>
        <v>1</v>
      </c>
    </row>
    <row r="1881" spans="1:14">
      <c r="A1881" s="2">
        <v>45276</v>
      </c>
      <c r="B1881" t="s">
        <v>271</v>
      </c>
      <c r="C1881" s="85">
        <v>16.399999999999999</v>
      </c>
      <c r="D1881">
        <f>+VLOOKUP(dHdcp[[#This Row],[Handicap]],'Categoría Hdcap'!$B$2:$E$7,4)</f>
        <v>3</v>
      </c>
      <c r="E1881" t="s">
        <v>74</v>
      </c>
      <c r="F1881" t="s">
        <v>2347</v>
      </c>
      <c r="G1881">
        <f>+IF(dHdcp[[#This Row],[Fecha]]=MAX(dHdcp[Fecha]),1,0)</f>
        <v>0</v>
      </c>
      <c r="H1881" t="str">
        <f>+dHdcp[[#This Row],[Maximo]]&amp;":"&amp;dHdcp[[#This Row],[Nombre]]</f>
        <v>0:Santi Diaz</v>
      </c>
      <c r="I1881" t="str">
        <f>+dHdcp[[#This Row],[Maximo]]&amp;":"&amp;_xlfn.XLOOKUP(dHdcp[[#This Row],[Nombre]],dJugador[Nombre],dJugador[Mote],"",0)</f>
        <v>0:Santi</v>
      </c>
      <c r="J1881" t="str">
        <f>+IF(dHdcp[[#This Row],[Maximo]]=0,"",_xlfn.RANK.EQ(dHdcp[[#This Row],[Handicap]],dHdcp[Handicap],1))</f>
        <v/>
      </c>
      <c r="K1881" t="str">
        <f>IFERROR(+_xlfn.RANK.EQ(dHdcp[[#This Row],[Ranking]],dHdcp[Ranking],1),"")</f>
        <v/>
      </c>
      <c r="M1881" t="str">
        <f>+dHdcp[[#This Row],[Fecha]]&amp;":"&amp;dHdcp[[#This Row],[Nombre]]</f>
        <v>45276:Santi Diaz</v>
      </c>
      <c r="N1881">
        <f>+COUNTIF(dHdcp[Columna1],dHdcp[[#This Row],[Columna1]])</f>
        <v>1</v>
      </c>
    </row>
    <row r="1882" spans="1:14">
      <c r="A1882" s="2">
        <v>45332</v>
      </c>
      <c r="B1882" t="s">
        <v>259</v>
      </c>
      <c r="C1882" s="51">
        <v>1.2</v>
      </c>
      <c r="D1882">
        <f>+VLOOKUP(dHdcp[[#This Row],[Handicap]],'Categoría Hdcap'!$B$2:$E$7,4)</f>
        <v>1</v>
      </c>
      <c r="E1882" t="s">
        <v>74</v>
      </c>
      <c r="F1882" t="s">
        <v>2348</v>
      </c>
      <c r="G1882">
        <f>+IF(dHdcp[[#This Row],[Fecha]]=MAX(dHdcp[Fecha]),1,0)</f>
        <v>0</v>
      </c>
      <c r="H1882" t="str">
        <f>+dHdcp[[#This Row],[Maximo]]&amp;":"&amp;dHdcp[[#This Row],[Nombre]]</f>
        <v>0:Alejandro Arcos</v>
      </c>
      <c r="I1882" t="str">
        <f>+dHdcp[[#This Row],[Maximo]]&amp;":"&amp;_xlfn.XLOOKUP(dHdcp[[#This Row],[Nombre]],dJugador[Nombre],dJugador[Mote],"",0)</f>
        <v>0:Alex</v>
      </c>
      <c r="J1882" t="str">
        <f>+IF(dHdcp[[#This Row],[Maximo]]=0,"",_xlfn.RANK.EQ(dHdcp[[#This Row],[Handicap]],dHdcp[Handicap],1))</f>
        <v/>
      </c>
      <c r="K1882" t="str">
        <f>IFERROR(+_xlfn.RANK.EQ(dHdcp[[#This Row],[Ranking]],dHdcp[Ranking],1),"")</f>
        <v/>
      </c>
      <c r="M1882" t="str">
        <f>+dHdcp[[#This Row],[Fecha]]&amp;":"&amp;dHdcp[[#This Row],[Nombre]]</f>
        <v>45332:Alejandro Arcos</v>
      </c>
      <c r="N1882">
        <f>+COUNTIF(dHdcp[Columna1],dHdcp[[#This Row],[Columna1]])</f>
        <v>1</v>
      </c>
    </row>
    <row r="1883" spans="1:14">
      <c r="A1883" s="2">
        <v>45332</v>
      </c>
      <c r="B1883" t="s">
        <v>9</v>
      </c>
      <c r="C1883" s="51">
        <v>11.3</v>
      </c>
      <c r="D1883">
        <f>+VLOOKUP(dHdcp[[#This Row],[Handicap]],'Categoría Hdcap'!$B$2:$E$7,4)</f>
        <v>2</v>
      </c>
      <c r="E1883" t="s">
        <v>74</v>
      </c>
      <c r="F1883" t="s">
        <v>2349</v>
      </c>
      <c r="G1883">
        <f>+IF(dHdcp[[#This Row],[Fecha]]=MAX(dHdcp[Fecha]),1,0)</f>
        <v>0</v>
      </c>
      <c r="H1883" t="str">
        <f>+dHdcp[[#This Row],[Maximo]]&amp;":"&amp;dHdcp[[#This Row],[Nombre]]</f>
        <v>0:Alfonso Hidalgo</v>
      </c>
      <c r="I1883" t="str">
        <f>+dHdcp[[#This Row],[Maximo]]&amp;":"&amp;_xlfn.XLOOKUP(dHdcp[[#This Row],[Nombre]],dJugador[Nombre],dJugador[Mote],"",0)</f>
        <v>0:Alfonso</v>
      </c>
      <c r="J1883" t="str">
        <f>+IF(dHdcp[[#This Row],[Maximo]]=0,"",_xlfn.RANK.EQ(dHdcp[[#This Row],[Handicap]],dHdcp[Handicap],1))</f>
        <v/>
      </c>
      <c r="K1883" t="str">
        <f>IFERROR(+_xlfn.RANK.EQ(dHdcp[[#This Row],[Ranking]],dHdcp[Ranking],1),"")</f>
        <v/>
      </c>
      <c r="M1883" t="str">
        <f>+dHdcp[[#This Row],[Fecha]]&amp;":"&amp;dHdcp[[#This Row],[Nombre]]</f>
        <v>45332:Alfonso Hidalgo</v>
      </c>
      <c r="N1883">
        <f>+COUNTIF(dHdcp[Columna1],dHdcp[[#This Row],[Columna1]])</f>
        <v>1</v>
      </c>
    </row>
    <row r="1884" spans="1:14">
      <c r="A1884" s="2">
        <v>45332</v>
      </c>
      <c r="B1884" t="s">
        <v>229</v>
      </c>
      <c r="C1884" s="51">
        <v>14.1</v>
      </c>
      <c r="D1884">
        <f>+VLOOKUP(dHdcp[[#This Row],[Handicap]],'Categoría Hdcap'!$B$2:$E$7,4)</f>
        <v>3</v>
      </c>
      <c r="E1884" t="s">
        <v>74</v>
      </c>
      <c r="F1884" t="s">
        <v>2350</v>
      </c>
      <c r="G1884">
        <f>+IF(dHdcp[[#This Row],[Fecha]]=MAX(dHdcp[Fecha]),1,0)</f>
        <v>0</v>
      </c>
      <c r="H1884" t="str">
        <f>+dHdcp[[#This Row],[Maximo]]&amp;":"&amp;dHdcp[[#This Row],[Nombre]]</f>
        <v>0:Alfonso Zorrilla</v>
      </c>
      <c r="I1884" t="str">
        <f>+dHdcp[[#This Row],[Maximo]]&amp;":"&amp;_xlfn.XLOOKUP(dHdcp[[#This Row],[Nombre]],dJugador[Nombre],dJugador[Mote],"",0)</f>
        <v>0:A Zorrilla</v>
      </c>
      <c r="J1884" t="str">
        <f>+IF(dHdcp[[#This Row],[Maximo]]=0,"",_xlfn.RANK.EQ(dHdcp[[#This Row],[Handicap]],dHdcp[Handicap],1))</f>
        <v/>
      </c>
      <c r="K1884" t="str">
        <f>IFERROR(+_xlfn.RANK.EQ(dHdcp[[#This Row],[Ranking]],dHdcp[Ranking],1),"")</f>
        <v/>
      </c>
      <c r="M1884" t="str">
        <f>+dHdcp[[#This Row],[Fecha]]&amp;":"&amp;dHdcp[[#This Row],[Nombre]]</f>
        <v>45332:Alfonso Zorrilla</v>
      </c>
      <c r="N1884">
        <f>+COUNTIF(dHdcp[Columna1],dHdcp[[#This Row],[Columna1]])</f>
        <v>1</v>
      </c>
    </row>
    <row r="1885" spans="1:14">
      <c r="A1885" s="2">
        <v>45332</v>
      </c>
      <c r="B1885" t="s">
        <v>15</v>
      </c>
      <c r="C1885" s="51">
        <v>5.0999999999999996</v>
      </c>
      <c r="D1885">
        <f>+VLOOKUP(dHdcp[[#This Row],[Handicap]],'Categoría Hdcap'!$B$2:$E$7,4)</f>
        <v>2</v>
      </c>
      <c r="E1885" t="s">
        <v>74</v>
      </c>
      <c r="F1885" t="s">
        <v>2351</v>
      </c>
      <c r="G1885">
        <f>+IF(dHdcp[[#This Row],[Fecha]]=MAX(dHdcp[Fecha]),1,0)</f>
        <v>0</v>
      </c>
      <c r="H1885" t="str">
        <f>+dHdcp[[#This Row],[Maximo]]&amp;":"&amp;dHdcp[[#This Row],[Nombre]]</f>
        <v>0:Alvaro Aguirre</v>
      </c>
      <c r="I1885" t="str">
        <f>+dHdcp[[#This Row],[Maximo]]&amp;":"&amp;_xlfn.XLOOKUP(dHdcp[[#This Row],[Nombre]],dJugador[Nombre],dJugador[Mote],"",0)</f>
        <v>0:Gifu</v>
      </c>
      <c r="J1885" t="str">
        <f>+IF(dHdcp[[#This Row],[Maximo]]=0,"",_xlfn.RANK.EQ(dHdcp[[#This Row],[Handicap]],dHdcp[Handicap],1))</f>
        <v/>
      </c>
      <c r="K1885" t="str">
        <f>IFERROR(+_xlfn.RANK.EQ(dHdcp[[#This Row],[Ranking]],dHdcp[Ranking],1),"")</f>
        <v/>
      </c>
      <c r="M1885" t="str">
        <f>+dHdcp[[#This Row],[Fecha]]&amp;":"&amp;dHdcp[[#This Row],[Nombre]]</f>
        <v>45332:Alvaro Aguirre</v>
      </c>
      <c r="N1885">
        <f>+COUNTIF(dHdcp[Columna1],dHdcp[[#This Row],[Columna1]])</f>
        <v>1</v>
      </c>
    </row>
    <row r="1886" spans="1:14">
      <c r="A1886" s="2">
        <v>45332</v>
      </c>
      <c r="B1886" t="s">
        <v>201</v>
      </c>
      <c r="C1886" s="51">
        <v>9.1000000000000032</v>
      </c>
      <c r="D1886">
        <f>+VLOOKUP(dHdcp[[#This Row],[Handicap]],'Categoría Hdcap'!$B$2:$E$7,4)</f>
        <v>2</v>
      </c>
      <c r="E1886" t="s">
        <v>74</v>
      </c>
      <c r="F1886" t="s">
        <v>2352</v>
      </c>
      <c r="G1886">
        <f>+IF(dHdcp[[#This Row],[Fecha]]=MAX(dHdcp[Fecha]),1,0)</f>
        <v>0</v>
      </c>
      <c r="H1886" t="str">
        <f>+dHdcp[[#This Row],[Maximo]]&amp;":"&amp;dHdcp[[#This Row],[Nombre]]</f>
        <v>0:Alvaro Montoya</v>
      </c>
      <c r="I1886" t="str">
        <f>+dHdcp[[#This Row],[Maximo]]&amp;":"&amp;_xlfn.XLOOKUP(dHdcp[[#This Row],[Nombre]],dJugador[Nombre],dJugador[Mote],"",0)</f>
        <v>0:Monti</v>
      </c>
      <c r="J1886" t="str">
        <f>+IF(dHdcp[[#This Row],[Maximo]]=0,"",_xlfn.RANK.EQ(dHdcp[[#This Row],[Handicap]],dHdcp[Handicap],1))</f>
        <v/>
      </c>
      <c r="K1886" t="str">
        <f>IFERROR(+_xlfn.RANK.EQ(dHdcp[[#This Row],[Ranking]],dHdcp[Ranking],1),"")</f>
        <v/>
      </c>
      <c r="M1886" t="str">
        <f>+dHdcp[[#This Row],[Fecha]]&amp;":"&amp;dHdcp[[#This Row],[Nombre]]</f>
        <v>45332:Alvaro Montoya</v>
      </c>
      <c r="N1886">
        <f>+COUNTIF(dHdcp[Columna1],dHdcp[[#This Row],[Columna1]])</f>
        <v>1</v>
      </c>
    </row>
    <row r="1887" spans="1:14">
      <c r="A1887" s="2">
        <v>45332</v>
      </c>
      <c r="B1887" t="s">
        <v>25</v>
      </c>
      <c r="C1887" s="51">
        <v>12.9</v>
      </c>
      <c r="D1887">
        <f>+VLOOKUP(dHdcp[[#This Row],[Handicap]],'Categoría Hdcap'!$B$2:$E$7,4)</f>
        <v>3</v>
      </c>
      <c r="E1887" t="s">
        <v>74</v>
      </c>
      <c r="F1887" t="s">
        <v>2353</v>
      </c>
      <c r="G1887">
        <f>+IF(dHdcp[[#This Row],[Fecha]]=MAX(dHdcp[Fecha]),1,0)</f>
        <v>0</v>
      </c>
      <c r="H1887" t="str">
        <f>+dHdcp[[#This Row],[Maximo]]&amp;":"&amp;dHdcp[[#This Row],[Nombre]]</f>
        <v>0:Alvaro Nieto</v>
      </c>
      <c r="I1887" t="str">
        <f>+dHdcp[[#This Row],[Maximo]]&amp;":"&amp;_xlfn.XLOOKUP(dHdcp[[#This Row],[Nombre]],dJugador[Nombre],dJugador[Mote],"",0)</f>
        <v>0:Alvaro</v>
      </c>
      <c r="J1887" t="str">
        <f>+IF(dHdcp[[#This Row],[Maximo]]=0,"",_xlfn.RANK.EQ(dHdcp[[#This Row],[Handicap]],dHdcp[Handicap],1))</f>
        <v/>
      </c>
      <c r="K1887" t="str">
        <f>IFERROR(+_xlfn.RANK.EQ(dHdcp[[#This Row],[Ranking]],dHdcp[Ranking],1),"")</f>
        <v/>
      </c>
      <c r="M1887" t="str">
        <f>+dHdcp[[#This Row],[Fecha]]&amp;":"&amp;dHdcp[[#This Row],[Nombre]]</f>
        <v>45332:Alvaro Nieto</v>
      </c>
      <c r="N1887">
        <f>+COUNTIF(dHdcp[Columna1],dHdcp[[#This Row],[Columna1]])</f>
        <v>1</v>
      </c>
    </row>
    <row r="1888" spans="1:14">
      <c r="A1888" s="2">
        <v>45332</v>
      </c>
      <c r="B1888" t="s">
        <v>33</v>
      </c>
      <c r="C1888" s="51">
        <v>8</v>
      </c>
      <c r="D1888">
        <f>+VLOOKUP(dHdcp[[#This Row],[Handicap]],'Categoría Hdcap'!$B$2:$E$7,4)</f>
        <v>2</v>
      </c>
      <c r="E1888" t="s">
        <v>74</v>
      </c>
      <c r="F1888" t="s">
        <v>2354</v>
      </c>
      <c r="G1888">
        <f>+IF(dHdcp[[#This Row],[Fecha]]=MAX(dHdcp[Fecha]),1,0)</f>
        <v>0</v>
      </c>
      <c r="H1888" t="str">
        <f>+dHdcp[[#This Row],[Maximo]]&amp;":"&amp;dHdcp[[#This Row],[Nombre]]</f>
        <v>0:Angel Hernandez</v>
      </c>
      <c r="I1888" t="str">
        <f>+dHdcp[[#This Row],[Maximo]]&amp;":"&amp;_xlfn.XLOOKUP(dHdcp[[#This Row],[Nombre]],dJugador[Nombre],dJugador[Mote],"",0)</f>
        <v>0:Angel</v>
      </c>
      <c r="J1888" t="str">
        <f>+IF(dHdcp[[#This Row],[Maximo]]=0,"",_xlfn.RANK.EQ(dHdcp[[#This Row],[Handicap]],dHdcp[Handicap],1))</f>
        <v/>
      </c>
      <c r="K1888" t="str">
        <f>IFERROR(+_xlfn.RANK.EQ(dHdcp[[#This Row],[Ranking]],dHdcp[Ranking],1),"")</f>
        <v/>
      </c>
      <c r="M1888" t="str">
        <f>+dHdcp[[#This Row],[Fecha]]&amp;":"&amp;dHdcp[[#This Row],[Nombre]]</f>
        <v>45332:Angel Hernandez</v>
      </c>
      <c r="N1888">
        <f>+COUNTIF(dHdcp[Columna1],dHdcp[[#This Row],[Columna1]])</f>
        <v>1</v>
      </c>
    </row>
    <row r="1889" spans="1:14">
      <c r="A1889" s="2">
        <v>45332</v>
      </c>
      <c r="B1889" t="s">
        <v>264</v>
      </c>
      <c r="C1889" s="51">
        <v>19.2</v>
      </c>
      <c r="D1889">
        <f>+VLOOKUP(dHdcp[[#This Row],[Handicap]],'Categoría Hdcap'!$B$2:$E$7,4)</f>
        <v>4</v>
      </c>
      <c r="E1889" t="s">
        <v>74</v>
      </c>
      <c r="F1889" t="s">
        <v>2355</v>
      </c>
      <c r="G1889">
        <f>+IF(dHdcp[[#This Row],[Fecha]]=MAX(dHdcp[Fecha]),1,0)</f>
        <v>0</v>
      </c>
      <c r="H1889" t="str">
        <f>+dHdcp[[#This Row],[Maximo]]&amp;":"&amp;dHdcp[[#This Row],[Nombre]]</f>
        <v>0:Antonio Carmona</v>
      </c>
      <c r="I1889" t="str">
        <f>+dHdcp[[#This Row],[Maximo]]&amp;":"&amp;_xlfn.XLOOKUP(dHdcp[[#This Row],[Nombre]],dJugador[Nombre],dJugador[Mote],"",0)</f>
        <v>0:Antonio</v>
      </c>
      <c r="J1889" t="str">
        <f>+IF(dHdcp[[#This Row],[Maximo]]=0,"",_xlfn.RANK.EQ(dHdcp[[#This Row],[Handicap]],dHdcp[Handicap],1))</f>
        <v/>
      </c>
      <c r="K1889" t="str">
        <f>IFERROR(+_xlfn.RANK.EQ(dHdcp[[#This Row],[Ranking]],dHdcp[Ranking],1),"")</f>
        <v/>
      </c>
      <c r="M1889" t="str">
        <f>+dHdcp[[#This Row],[Fecha]]&amp;":"&amp;dHdcp[[#This Row],[Nombre]]</f>
        <v>45332:Antonio Carmona</v>
      </c>
      <c r="N1889">
        <f>+COUNTIF(dHdcp[Columna1],dHdcp[[#This Row],[Columna1]])</f>
        <v>1</v>
      </c>
    </row>
    <row r="1890" spans="1:14">
      <c r="A1890" s="2">
        <v>45332</v>
      </c>
      <c r="B1890" t="s">
        <v>291</v>
      </c>
      <c r="C1890" s="51">
        <v>1</v>
      </c>
      <c r="D1890">
        <f>+VLOOKUP(dHdcp[[#This Row],[Handicap]],'Categoría Hdcap'!$B$2:$E$7,4)</f>
        <v>1</v>
      </c>
      <c r="E1890" t="s">
        <v>74</v>
      </c>
      <c r="F1890" t="s">
        <v>2356</v>
      </c>
      <c r="G1890">
        <f>+IF(dHdcp[[#This Row],[Fecha]]=MAX(dHdcp[Fecha]),1,0)</f>
        <v>0</v>
      </c>
      <c r="H1890" t="str">
        <f>+dHdcp[[#This Row],[Maximo]]&amp;":"&amp;dHdcp[[#This Row],[Nombre]]</f>
        <v>0:Carlos Maestro</v>
      </c>
      <c r="I1890" t="str">
        <f>+dHdcp[[#This Row],[Maximo]]&amp;":"&amp;_xlfn.XLOOKUP(dHdcp[[#This Row],[Nombre]],dJugador[Nombre],dJugador[Mote],"",0)</f>
        <v>0:Carlitos</v>
      </c>
      <c r="J1890" t="str">
        <f>+IF(dHdcp[[#This Row],[Maximo]]=0,"",_xlfn.RANK.EQ(dHdcp[[#This Row],[Handicap]],dHdcp[Handicap],1))</f>
        <v/>
      </c>
      <c r="K1890" t="str">
        <f>IFERROR(+_xlfn.RANK.EQ(dHdcp[[#This Row],[Ranking]],dHdcp[Ranking],1),"")</f>
        <v/>
      </c>
      <c r="M1890" t="str">
        <f>+dHdcp[[#This Row],[Fecha]]&amp;":"&amp;dHdcp[[#This Row],[Nombre]]</f>
        <v>45332:Carlos Maestro</v>
      </c>
      <c r="N1890">
        <f>+COUNTIF(dHdcp[Columna1],dHdcp[[#This Row],[Columna1]])</f>
        <v>1</v>
      </c>
    </row>
    <row r="1891" spans="1:14">
      <c r="A1891" s="2">
        <v>45332</v>
      </c>
      <c r="B1891" t="s">
        <v>30</v>
      </c>
      <c r="C1891" s="51">
        <v>11.4</v>
      </c>
      <c r="D1891">
        <f>+VLOOKUP(dHdcp[[#This Row],[Handicap]],'Categoría Hdcap'!$B$2:$E$7,4)</f>
        <v>2</v>
      </c>
      <c r="E1891" t="s">
        <v>74</v>
      </c>
      <c r="F1891" t="s">
        <v>2357</v>
      </c>
      <c r="G1891">
        <f>+IF(dHdcp[[#This Row],[Fecha]]=MAX(dHdcp[Fecha]),1,0)</f>
        <v>0</v>
      </c>
      <c r="H1891" t="str">
        <f>+dHdcp[[#This Row],[Maximo]]&amp;":"&amp;dHdcp[[#This Row],[Nombre]]</f>
        <v>0:David Sequera</v>
      </c>
      <c r="I1891" t="str">
        <f>+dHdcp[[#This Row],[Maximo]]&amp;":"&amp;_xlfn.XLOOKUP(dHdcp[[#This Row],[Nombre]],dJugador[Nombre],dJugador[Mote],"",0)</f>
        <v>0:David</v>
      </c>
      <c r="J1891" t="str">
        <f>+IF(dHdcp[[#This Row],[Maximo]]=0,"",_xlfn.RANK.EQ(dHdcp[[#This Row],[Handicap]],dHdcp[Handicap],1))</f>
        <v/>
      </c>
      <c r="K1891" t="str">
        <f>IFERROR(+_xlfn.RANK.EQ(dHdcp[[#This Row],[Ranking]],dHdcp[Ranking],1),"")</f>
        <v/>
      </c>
      <c r="M1891" t="str">
        <f>+dHdcp[[#This Row],[Fecha]]&amp;":"&amp;dHdcp[[#This Row],[Nombre]]</f>
        <v>45332:David Sequera</v>
      </c>
      <c r="N1891">
        <f>+COUNTIF(dHdcp[Columna1],dHdcp[[#This Row],[Columna1]])</f>
        <v>1</v>
      </c>
    </row>
    <row r="1892" spans="1:14">
      <c r="A1892" s="2">
        <v>45332</v>
      </c>
      <c r="B1892" t="s">
        <v>326</v>
      </c>
      <c r="C1892" s="51">
        <v>13.1</v>
      </c>
      <c r="D1892">
        <f>+VLOOKUP(dHdcp[[#This Row],[Handicap]],'Categoría Hdcap'!$B$2:$E$7,4)</f>
        <v>3</v>
      </c>
      <c r="E1892" t="s">
        <v>74</v>
      </c>
      <c r="F1892" t="s">
        <v>2358</v>
      </c>
      <c r="G1892">
        <f>+IF(dHdcp[[#This Row],[Fecha]]=MAX(dHdcp[Fecha]),1,0)</f>
        <v>0</v>
      </c>
      <c r="H1892" t="str">
        <f>+dHdcp[[#This Row],[Maximo]]&amp;":"&amp;dHdcp[[#This Row],[Nombre]]</f>
        <v>0:Eduardo Buendía</v>
      </c>
      <c r="I1892" t="str">
        <f>+dHdcp[[#This Row],[Maximo]]&amp;":"&amp;_xlfn.XLOOKUP(dHdcp[[#This Row],[Nombre]],dJugador[Nombre],dJugador[Mote],"",0)</f>
        <v>0:Eduardo</v>
      </c>
      <c r="J1892" t="str">
        <f>+IF(dHdcp[[#This Row],[Maximo]]=0,"",_xlfn.RANK.EQ(dHdcp[[#This Row],[Handicap]],dHdcp[Handicap],1))</f>
        <v/>
      </c>
      <c r="K1892" t="str">
        <f>IFERROR(+_xlfn.RANK.EQ(dHdcp[[#This Row],[Ranking]],dHdcp[Ranking],1),"")</f>
        <v/>
      </c>
      <c r="M1892" t="str">
        <f>+dHdcp[[#This Row],[Fecha]]&amp;":"&amp;dHdcp[[#This Row],[Nombre]]</f>
        <v>45332:Eduardo Buendía</v>
      </c>
      <c r="N1892">
        <f>+COUNTIF(dHdcp[Columna1],dHdcp[[#This Row],[Columna1]])</f>
        <v>1</v>
      </c>
    </row>
    <row r="1893" spans="1:14">
      <c r="A1893" s="2">
        <v>45332</v>
      </c>
      <c r="B1893" t="s">
        <v>248</v>
      </c>
      <c r="C1893" s="51">
        <v>12.7</v>
      </c>
      <c r="D1893">
        <f>+VLOOKUP(dHdcp[[#This Row],[Handicap]],'Categoría Hdcap'!$B$2:$E$7,4)</f>
        <v>3</v>
      </c>
      <c r="E1893" t="s">
        <v>74</v>
      </c>
      <c r="F1893" t="s">
        <v>2359</v>
      </c>
      <c r="G1893">
        <f>+IF(dHdcp[[#This Row],[Fecha]]=MAX(dHdcp[Fecha]),1,0)</f>
        <v>0</v>
      </c>
      <c r="H1893" t="str">
        <f>+dHdcp[[#This Row],[Maximo]]&amp;":"&amp;dHdcp[[#This Row],[Nombre]]</f>
        <v>0:Enrique Gonzalez R</v>
      </c>
      <c r="I1893" t="str">
        <f>+dHdcp[[#This Row],[Maximo]]&amp;":"&amp;_xlfn.XLOOKUP(dHdcp[[#This Row],[Nombre]],dJugador[Nombre],dJugador[Mote],"",0)</f>
        <v>0:Enrique</v>
      </c>
      <c r="J1893" t="str">
        <f>+IF(dHdcp[[#This Row],[Maximo]]=0,"",_xlfn.RANK.EQ(dHdcp[[#This Row],[Handicap]],dHdcp[Handicap],1))</f>
        <v/>
      </c>
      <c r="K1893" t="str">
        <f>IFERROR(+_xlfn.RANK.EQ(dHdcp[[#This Row],[Ranking]],dHdcp[Ranking],1),"")</f>
        <v/>
      </c>
      <c r="M1893" t="str">
        <f>+dHdcp[[#This Row],[Fecha]]&amp;":"&amp;dHdcp[[#This Row],[Nombre]]</f>
        <v>45332:Enrique Gonzalez R</v>
      </c>
      <c r="N1893">
        <f>+COUNTIF(dHdcp[Columna1],dHdcp[[#This Row],[Columna1]])</f>
        <v>1</v>
      </c>
    </row>
    <row r="1894" spans="1:14">
      <c r="A1894" s="2">
        <v>45332</v>
      </c>
      <c r="B1894" t="s">
        <v>12</v>
      </c>
      <c r="C1894" s="51">
        <v>15.2</v>
      </c>
      <c r="D1894">
        <f>+VLOOKUP(dHdcp[[#This Row],[Handicap]],'Categoría Hdcap'!$B$2:$E$7,4)</f>
        <v>3</v>
      </c>
      <c r="E1894" t="s">
        <v>74</v>
      </c>
      <c r="F1894" t="s">
        <v>2360</v>
      </c>
      <c r="G1894">
        <f>+IF(dHdcp[[#This Row],[Fecha]]=MAX(dHdcp[Fecha]),1,0)</f>
        <v>0</v>
      </c>
      <c r="H1894" t="str">
        <f>+dHdcp[[#This Row],[Maximo]]&amp;":"&amp;dHdcp[[#This Row],[Nombre]]</f>
        <v>0:Francisco Alvarez</v>
      </c>
      <c r="I1894" t="str">
        <f>+dHdcp[[#This Row],[Maximo]]&amp;":"&amp;_xlfn.XLOOKUP(dHdcp[[#This Row],[Nombre]],dJugador[Nombre],dJugador[Mote],"",0)</f>
        <v>0:Paco</v>
      </c>
      <c r="J1894" t="str">
        <f>+IF(dHdcp[[#This Row],[Maximo]]=0,"",_xlfn.RANK.EQ(dHdcp[[#This Row],[Handicap]],dHdcp[Handicap],1))</f>
        <v/>
      </c>
      <c r="K1894" t="str">
        <f>IFERROR(+_xlfn.RANK.EQ(dHdcp[[#This Row],[Ranking]],dHdcp[Ranking],1),"")</f>
        <v/>
      </c>
      <c r="M1894" t="str">
        <f>+dHdcp[[#This Row],[Fecha]]&amp;":"&amp;dHdcp[[#This Row],[Nombre]]</f>
        <v>45332:Francisco Alvarez</v>
      </c>
      <c r="N1894">
        <f>+COUNTIF(dHdcp[Columna1],dHdcp[[#This Row],[Columna1]])</f>
        <v>1</v>
      </c>
    </row>
    <row r="1895" spans="1:14">
      <c r="A1895" s="2">
        <v>45332</v>
      </c>
      <c r="B1895" t="s">
        <v>49</v>
      </c>
      <c r="C1895" s="51">
        <v>12.6</v>
      </c>
      <c r="D1895">
        <f>+VLOOKUP(dHdcp[[#This Row],[Handicap]],'Categoría Hdcap'!$B$2:$E$7,4)</f>
        <v>3</v>
      </c>
      <c r="E1895" t="s">
        <v>74</v>
      </c>
      <c r="F1895" t="s">
        <v>2361</v>
      </c>
      <c r="G1895">
        <f>+IF(dHdcp[[#This Row],[Fecha]]=MAX(dHdcp[Fecha]),1,0)</f>
        <v>0</v>
      </c>
      <c r="H1895" t="str">
        <f>+dHdcp[[#This Row],[Maximo]]&amp;":"&amp;dHdcp[[#This Row],[Nombre]]</f>
        <v>0:Francisco Hidalgo</v>
      </c>
      <c r="I1895" t="str">
        <f>+dHdcp[[#This Row],[Maximo]]&amp;":"&amp;_xlfn.XLOOKUP(dHdcp[[#This Row],[Nombre]],dJugador[Nombre],dJugador[Mote],"",0)</f>
        <v>0:Fran</v>
      </c>
      <c r="J1895" t="str">
        <f>+IF(dHdcp[[#This Row],[Maximo]]=0,"",_xlfn.RANK.EQ(dHdcp[[#This Row],[Handicap]],dHdcp[Handicap],1))</f>
        <v/>
      </c>
      <c r="K1895" t="str">
        <f>IFERROR(+_xlfn.RANK.EQ(dHdcp[[#This Row],[Ranking]],dHdcp[Ranking],1),"")</f>
        <v/>
      </c>
      <c r="M1895" t="str">
        <f>+dHdcp[[#This Row],[Fecha]]&amp;":"&amp;dHdcp[[#This Row],[Nombre]]</f>
        <v>45332:Francisco Hidalgo</v>
      </c>
      <c r="N1895">
        <f>+COUNTIF(dHdcp[Columna1],dHdcp[[#This Row],[Columna1]])</f>
        <v>1</v>
      </c>
    </row>
    <row r="1896" spans="1:14">
      <c r="A1896" s="2">
        <v>45332</v>
      </c>
      <c r="B1896" t="s">
        <v>207</v>
      </c>
      <c r="C1896" s="51">
        <v>14.5</v>
      </c>
      <c r="D1896">
        <f>+VLOOKUP(dHdcp[[#This Row],[Handicap]],'Categoría Hdcap'!$B$2:$E$7,4)</f>
        <v>3</v>
      </c>
      <c r="E1896" t="s">
        <v>74</v>
      </c>
      <c r="F1896" t="s">
        <v>2362</v>
      </c>
      <c r="G1896">
        <f>+IF(dHdcp[[#This Row],[Fecha]]=MAX(dHdcp[Fecha]),1,0)</f>
        <v>0</v>
      </c>
      <c r="H1896" t="str">
        <f>+dHdcp[[#This Row],[Maximo]]&amp;":"&amp;dHdcp[[#This Row],[Nombre]]</f>
        <v>0:Franck Benouniche</v>
      </c>
      <c r="I1896" t="str">
        <f>+dHdcp[[#This Row],[Maximo]]&amp;":"&amp;_xlfn.XLOOKUP(dHdcp[[#This Row],[Nombre]],dJugador[Nombre],dJugador[Mote],"",0)</f>
        <v>0:Franck</v>
      </c>
      <c r="J1896" t="str">
        <f>+IF(dHdcp[[#This Row],[Maximo]]=0,"",_xlfn.RANK.EQ(dHdcp[[#This Row],[Handicap]],dHdcp[Handicap],1))</f>
        <v/>
      </c>
      <c r="K1896" t="str">
        <f>IFERROR(+_xlfn.RANK.EQ(dHdcp[[#This Row],[Ranking]],dHdcp[Ranking],1),"")</f>
        <v/>
      </c>
      <c r="M1896" t="str">
        <f>+dHdcp[[#This Row],[Fecha]]&amp;":"&amp;dHdcp[[#This Row],[Nombre]]</f>
        <v>45332:Franck Benouniche</v>
      </c>
      <c r="N1896">
        <f>+COUNTIF(dHdcp[Columna1],dHdcp[[#This Row],[Columna1]])</f>
        <v>1</v>
      </c>
    </row>
    <row r="1897" spans="1:14">
      <c r="A1897" s="2">
        <v>45332</v>
      </c>
      <c r="B1897" t="s">
        <v>35</v>
      </c>
      <c r="C1897" s="51">
        <v>20.5</v>
      </c>
      <c r="D1897">
        <f>+VLOOKUP(dHdcp[[#This Row],[Handicap]],'Categoría Hdcap'!$B$2:$E$7,4)</f>
        <v>4</v>
      </c>
      <c r="E1897" t="s">
        <v>74</v>
      </c>
      <c r="F1897" t="s">
        <v>2363</v>
      </c>
      <c r="G1897">
        <f>+IF(dHdcp[[#This Row],[Fecha]]=MAX(dHdcp[Fecha]),1,0)</f>
        <v>0</v>
      </c>
      <c r="H1897" t="str">
        <f>+dHdcp[[#This Row],[Maximo]]&amp;":"&amp;dHdcp[[#This Row],[Nombre]]</f>
        <v>0:GLEZ JUAN JOSÉ</v>
      </c>
      <c r="I1897" t="str">
        <f>+dHdcp[[#This Row],[Maximo]]&amp;":"&amp;_xlfn.XLOOKUP(dHdcp[[#This Row],[Nombre]],dJugador[Nombre],dJugador[Mote],"",0)</f>
        <v>0:Juanjo</v>
      </c>
      <c r="J1897" t="str">
        <f>+IF(dHdcp[[#This Row],[Maximo]]=0,"",_xlfn.RANK.EQ(dHdcp[[#This Row],[Handicap]],dHdcp[Handicap],1))</f>
        <v/>
      </c>
      <c r="K1897" t="str">
        <f>IFERROR(+_xlfn.RANK.EQ(dHdcp[[#This Row],[Ranking]],dHdcp[Ranking],1),"")</f>
        <v/>
      </c>
      <c r="M1897" t="str">
        <f>+dHdcp[[#This Row],[Fecha]]&amp;":"&amp;dHdcp[[#This Row],[Nombre]]</f>
        <v>45332:GLEZ JUAN JOSÉ</v>
      </c>
      <c r="N1897">
        <f>+COUNTIF(dHdcp[Columna1],dHdcp[[#This Row],[Columna1]])</f>
        <v>1</v>
      </c>
    </row>
    <row r="1898" spans="1:14">
      <c r="A1898" s="2">
        <v>45332</v>
      </c>
      <c r="B1898" t="s">
        <v>6</v>
      </c>
      <c r="C1898" s="51">
        <v>8.1</v>
      </c>
      <c r="D1898">
        <f>+VLOOKUP(dHdcp[[#This Row],[Handicap]],'Categoría Hdcap'!$B$2:$E$7,4)</f>
        <v>2</v>
      </c>
      <c r="E1898" t="s">
        <v>74</v>
      </c>
      <c r="F1898" t="s">
        <v>2364</v>
      </c>
      <c r="G1898">
        <f>+IF(dHdcp[[#This Row],[Fecha]]=MAX(dHdcp[Fecha]),1,0)</f>
        <v>0</v>
      </c>
      <c r="H1898" t="str">
        <f>+dHdcp[[#This Row],[Maximo]]&amp;":"&amp;dHdcp[[#This Row],[Nombre]]</f>
        <v>0:Ignacio Cadarso</v>
      </c>
      <c r="I1898" t="str">
        <f>+dHdcp[[#This Row],[Maximo]]&amp;":"&amp;_xlfn.XLOOKUP(dHdcp[[#This Row],[Nombre]],dJugador[Nombre],dJugador[Mote],"",0)</f>
        <v>0:Ignacio</v>
      </c>
      <c r="J1898" t="str">
        <f>+IF(dHdcp[[#This Row],[Maximo]]=0,"",_xlfn.RANK.EQ(dHdcp[[#This Row],[Handicap]],dHdcp[Handicap],1))</f>
        <v/>
      </c>
      <c r="K1898" t="str">
        <f>IFERROR(+_xlfn.RANK.EQ(dHdcp[[#This Row],[Ranking]],dHdcp[Ranking],1),"")</f>
        <v/>
      </c>
      <c r="M1898" t="str">
        <f>+dHdcp[[#This Row],[Fecha]]&amp;":"&amp;dHdcp[[#This Row],[Nombre]]</f>
        <v>45332:Ignacio Cadarso</v>
      </c>
      <c r="N1898">
        <f>+COUNTIF(dHdcp[Columna1],dHdcp[[#This Row],[Columna1]])</f>
        <v>1</v>
      </c>
    </row>
    <row r="1899" spans="1:14">
      <c r="A1899" s="2">
        <v>45332</v>
      </c>
      <c r="B1899" t="s">
        <v>298</v>
      </c>
      <c r="C1899" s="51">
        <v>23.7</v>
      </c>
      <c r="D1899">
        <f>+VLOOKUP(dHdcp[[#This Row],[Handicap]],'Categoría Hdcap'!$B$2:$E$7,4)</f>
        <v>4</v>
      </c>
      <c r="E1899" t="s">
        <v>74</v>
      </c>
      <c r="F1899" t="s">
        <v>2365</v>
      </c>
      <c r="G1899">
        <f>+IF(dHdcp[[#This Row],[Fecha]]=MAX(dHdcp[Fecha]),1,0)</f>
        <v>0</v>
      </c>
      <c r="H1899" t="str">
        <f>+dHdcp[[#This Row],[Maximo]]&amp;":"&amp;dHdcp[[#This Row],[Nombre]]</f>
        <v>0:Ignacio Gracia Charlez</v>
      </c>
      <c r="I1899" t="str">
        <f>+dHdcp[[#This Row],[Maximo]]&amp;":"&amp;_xlfn.XLOOKUP(dHdcp[[#This Row],[Nombre]],dJugador[Nombre],dJugador[Mote],"",0)</f>
        <v>0:I Gracia</v>
      </c>
      <c r="J1899" t="str">
        <f>+IF(dHdcp[[#This Row],[Maximo]]=0,"",_xlfn.RANK.EQ(dHdcp[[#This Row],[Handicap]],dHdcp[Handicap],1))</f>
        <v/>
      </c>
      <c r="K1899" t="str">
        <f>IFERROR(+_xlfn.RANK.EQ(dHdcp[[#This Row],[Ranking]],dHdcp[Ranking],1),"")</f>
        <v/>
      </c>
      <c r="M1899" t="str">
        <f>+dHdcp[[#This Row],[Fecha]]&amp;":"&amp;dHdcp[[#This Row],[Nombre]]</f>
        <v>45332:Ignacio Gracia Charlez</v>
      </c>
      <c r="N1899">
        <f>+COUNTIF(dHdcp[Columna1],dHdcp[[#This Row],[Columna1]])</f>
        <v>1</v>
      </c>
    </row>
    <row r="1900" spans="1:14">
      <c r="A1900" s="2">
        <v>45332</v>
      </c>
      <c r="B1900" t="s">
        <v>23</v>
      </c>
      <c r="C1900" s="51">
        <v>18.899999999999999</v>
      </c>
      <c r="D1900">
        <f>+VLOOKUP(dHdcp[[#This Row],[Handicap]],'Categoría Hdcap'!$B$2:$E$7,4)</f>
        <v>4</v>
      </c>
      <c r="E1900" t="s">
        <v>74</v>
      </c>
      <c r="F1900" t="s">
        <v>2366</v>
      </c>
      <c r="G1900">
        <f>+IF(dHdcp[[#This Row],[Fecha]]=MAX(dHdcp[Fecha]),1,0)</f>
        <v>0</v>
      </c>
      <c r="H1900" t="str">
        <f>+dHdcp[[#This Row],[Maximo]]&amp;":"&amp;dHdcp[[#This Row],[Nombre]]</f>
        <v>0:J. Enrique Gonzalez</v>
      </c>
      <c r="I1900" t="str">
        <f>+dHdcp[[#This Row],[Maximo]]&amp;":"&amp;_xlfn.XLOOKUP(dHdcp[[#This Row],[Nombre]],dJugador[Nombre],dJugador[Mote],"",0)</f>
        <v>0:Kike</v>
      </c>
      <c r="J1900" t="str">
        <f>+IF(dHdcp[[#This Row],[Maximo]]=0,"",_xlfn.RANK.EQ(dHdcp[[#This Row],[Handicap]],dHdcp[Handicap],1))</f>
        <v/>
      </c>
      <c r="K1900" t="str">
        <f>IFERROR(+_xlfn.RANK.EQ(dHdcp[[#This Row],[Ranking]],dHdcp[Ranking],1),"")</f>
        <v/>
      </c>
      <c r="M1900" t="str">
        <f>+dHdcp[[#This Row],[Fecha]]&amp;":"&amp;dHdcp[[#This Row],[Nombre]]</f>
        <v>45332:J. Enrique Gonzalez</v>
      </c>
      <c r="N1900">
        <f>+COUNTIF(dHdcp[Columna1],dHdcp[[#This Row],[Columna1]])</f>
        <v>1</v>
      </c>
    </row>
    <row r="1901" spans="1:14">
      <c r="A1901" s="2">
        <v>45332</v>
      </c>
      <c r="B1901" t="s">
        <v>289</v>
      </c>
      <c r="C1901" s="51">
        <v>8.9</v>
      </c>
      <c r="D1901">
        <f>+VLOOKUP(dHdcp[[#This Row],[Handicap]],'Categoría Hdcap'!$B$2:$E$7,4)</f>
        <v>2</v>
      </c>
      <c r="E1901" t="s">
        <v>74</v>
      </c>
      <c r="F1901" t="s">
        <v>2367</v>
      </c>
      <c r="G1901">
        <f>+IF(dHdcp[[#This Row],[Fecha]]=MAX(dHdcp[Fecha]),1,0)</f>
        <v>0</v>
      </c>
      <c r="H1901" t="str">
        <f>+dHdcp[[#This Row],[Maximo]]&amp;":"&amp;dHdcp[[#This Row],[Nombre]]</f>
        <v>0:Jaime Villanueva</v>
      </c>
      <c r="I1901" t="str">
        <f>+dHdcp[[#This Row],[Maximo]]&amp;":"&amp;_xlfn.XLOOKUP(dHdcp[[#This Row],[Nombre]],dJugador[Nombre],dJugador[Mote],"",0)</f>
        <v>0:Villanueva</v>
      </c>
      <c r="J1901" t="str">
        <f>+IF(dHdcp[[#This Row],[Maximo]]=0,"",_xlfn.RANK.EQ(dHdcp[[#This Row],[Handicap]],dHdcp[Handicap],1))</f>
        <v/>
      </c>
      <c r="K1901" t="str">
        <f>IFERROR(+_xlfn.RANK.EQ(dHdcp[[#This Row],[Ranking]],dHdcp[Ranking],1),"")</f>
        <v/>
      </c>
      <c r="M1901" t="str">
        <f>+dHdcp[[#This Row],[Fecha]]&amp;":"&amp;dHdcp[[#This Row],[Nombre]]</f>
        <v>45332:Jaime Villanueva</v>
      </c>
      <c r="N1901">
        <f>+COUNTIF(dHdcp[Columna1],dHdcp[[#This Row],[Columna1]])</f>
        <v>1</v>
      </c>
    </row>
    <row r="1902" spans="1:14">
      <c r="A1902" s="2">
        <v>45332</v>
      </c>
      <c r="B1902" t="s">
        <v>328</v>
      </c>
      <c r="C1902" s="51">
        <v>11.6</v>
      </c>
      <c r="D1902">
        <f>+VLOOKUP(dHdcp[[#This Row],[Handicap]],'Categoría Hdcap'!$B$2:$E$7,4)</f>
        <v>3</v>
      </c>
      <c r="E1902" t="s">
        <v>74</v>
      </c>
      <c r="F1902" t="s">
        <v>2368</v>
      </c>
      <c r="G1902">
        <f>+IF(dHdcp[[#This Row],[Fecha]]=MAX(dHdcp[Fecha]),1,0)</f>
        <v>0</v>
      </c>
      <c r="H1902" t="str">
        <f>+dHdcp[[#This Row],[Maximo]]&amp;":"&amp;dHdcp[[#This Row],[Nombre]]</f>
        <v>0:Javier Arcos</v>
      </c>
      <c r="I1902" t="str">
        <f>+dHdcp[[#This Row],[Maximo]]&amp;":"&amp;_xlfn.XLOOKUP(dHdcp[[#This Row],[Nombre]],dJugador[Nombre],dJugador[Mote],"",0)</f>
        <v>0:J.Arcos</v>
      </c>
      <c r="J1902" t="str">
        <f>+IF(dHdcp[[#This Row],[Maximo]]=0,"",_xlfn.RANK.EQ(dHdcp[[#This Row],[Handicap]],dHdcp[Handicap],1))</f>
        <v/>
      </c>
      <c r="K1902" t="str">
        <f>IFERROR(+_xlfn.RANK.EQ(dHdcp[[#This Row],[Ranking]],dHdcp[Ranking],1),"")</f>
        <v/>
      </c>
      <c r="M1902" t="str">
        <f>+dHdcp[[#This Row],[Fecha]]&amp;":"&amp;dHdcp[[#This Row],[Nombre]]</f>
        <v>45332:Javier Arcos</v>
      </c>
      <c r="N1902">
        <f>+COUNTIF(dHdcp[Columna1],dHdcp[[#This Row],[Columna1]])</f>
        <v>1</v>
      </c>
    </row>
    <row r="1903" spans="1:14">
      <c r="A1903" s="2">
        <v>45332</v>
      </c>
      <c r="B1903" t="s">
        <v>378</v>
      </c>
      <c r="C1903" s="51">
        <v>11.199999999999992</v>
      </c>
      <c r="D1903">
        <f>+VLOOKUP(dHdcp[[#This Row],[Handicap]],'Categoría Hdcap'!$B$2:$E$7,4)</f>
        <v>2</v>
      </c>
      <c r="E1903" t="s">
        <v>74</v>
      </c>
      <c r="F1903" t="s">
        <v>2369</v>
      </c>
      <c r="G1903">
        <f>+IF(dHdcp[[#This Row],[Fecha]]=MAX(dHdcp[Fecha]),1,0)</f>
        <v>0</v>
      </c>
      <c r="H1903" t="str">
        <f>+dHdcp[[#This Row],[Maximo]]&amp;":"&amp;dHdcp[[#This Row],[Nombre]]</f>
        <v>0:Javier Campo</v>
      </c>
      <c r="I1903" t="str">
        <f>+dHdcp[[#This Row],[Maximo]]&amp;":"&amp;_xlfn.XLOOKUP(dHdcp[[#This Row],[Nombre]],dJugador[Nombre],dJugador[Mote],"",0)</f>
        <v>0:Campo</v>
      </c>
      <c r="J1903" t="str">
        <f>+IF(dHdcp[[#This Row],[Maximo]]=0,"",_xlfn.RANK.EQ(dHdcp[[#This Row],[Handicap]],dHdcp[Handicap],1))</f>
        <v/>
      </c>
      <c r="K1903" t="str">
        <f>IFERROR(+_xlfn.RANK.EQ(dHdcp[[#This Row],[Ranking]],dHdcp[Ranking],1),"")</f>
        <v/>
      </c>
      <c r="M1903" t="str">
        <f>+dHdcp[[#This Row],[Fecha]]&amp;":"&amp;dHdcp[[#This Row],[Nombre]]</f>
        <v>45332:Javier Campo</v>
      </c>
      <c r="N1903">
        <f>+COUNTIF(dHdcp[Columna1],dHdcp[[#This Row],[Columna1]])</f>
        <v>1</v>
      </c>
    </row>
    <row r="1904" spans="1:14">
      <c r="A1904" s="2">
        <v>45332</v>
      </c>
      <c r="B1904" t="s">
        <v>46</v>
      </c>
      <c r="C1904" s="51">
        <v>16.600000000000001</v>
      </c>
      <c r="D1904">
        <f>+VLOOKUP(dHdcp[[#This Row],[Handicap]],'Categoría Hdcap'!$B$2:$E$7,4)</f>
        <v>3</v>
      </c>
      <c r="E1904" t="s">
        <v>74</v>
      </c>
      <c r="F1904" t="s">
        <v>2370</v>
      </c>
      <c r="G1904">
        <f>+IF(dHdcp[[#This Row],[Fecha]]=MAX(dHdcp[Fecha]),1,0)</f>
        <v>0</v>
      </c>
      <c r="H1904" t="str">
        <f>+dHdcp[[#This Row],[Maximo]]&amp;":"&amp;dHdcp[[#This Row],[Nombre]]</f>
        <v>0:Javier Cervera</v>
      </c>
      <c r="I1904" t="str">
        <f>+dHdcp[[#This Row],[Maximo]]&amp;":"&amp;_xlfn.XLOOKUP(dHdcp[[#This Row],[Nombre]],dJugador[Nombre],dJugador[Mote],"",0)</f>
        <v>0:Virus</v>
      </c>
      <c r="J1904" t="str">
        <f>+IF(dHdcp[[#This Row],[Maximo]]=0,"",_xlfn.RANK.EQ(dHdcp[[#This Row],[Handicap]],dHdcp[Handicap],1))</f>
        <v/>
      </c>
      <c r="K1904" t="str">
        <f>IFERROR(+_xlfn.RANK.EQ(dHdcp[[#This Row],[Ranking]],dHdcp[Ranking],1),"")</f>
        <v/>
      </c>
      <c r="M1904" t="str">
        <f>+dHdcp[[#This Row],[Fecha]]&amp;":"&amp;dHdcp[[#This Row],[Nombre]]</f>
        <v>45332:Javier Cervera</v>
      </c>
      <c r="N1904">
        <f>+COUNTIF(dHdcp[Columna1],dHdcp[[#This Row],[Columna1]])</f>
        <v>1</v>
      </c>
    </row>
    <row r="1905" spans="1:14">
      <c r="A1905" s="2">
        <v>45332</v>
      </c>
      <c r="B1905" t="s">
        <v>225</v>
      </c>
      <c r="C1905" s="51">
        <v>10.1</v>
      </c>
      <c r="D1905">
        <f>+VLOOKUP(dHdcp[[#This Row],[Handicap]],'Categoría Hdcap'!$B$2:$E$7,4)</f>
        <v>2</v>
      </c>
      <c r="E1905" t="s">
        <v>74</v>
      </c>
      <c r="F1905" t="s">
        <v>2371</v>
      </c>
      <c r="G1905">
        <f>+IF(dHdcp[[#This Row],[Fecha]]=MAX(dHdcp[Fecha]),1,0)</f>
        <v>0</v>
      </c>
      <c r="H1905" t="str">
        <f>+dHdcp[[#This Row],[Maximo]]&amp;":"&amp;dHdcp[[#This Row],[Nombre]]</f>
        <v>0:Javier Chiralt</v>
      </c>
      <c r="I1905" t="str">
        <f>+dHdcp[[#This Row],[Maximo]]&amp;":"&amp;_xlfn.XLOOKUP(dHdcp[[#This Row],[Nombre]],dJugador[Nombre],dJugador[Mote],"",0)</f>
        <v>0:Chiralt</v>
      </c>
      <c r="J1905" t="str">
        <f>+IF(dHdcp[[#This Row],[Maximo]]=0,"",_xlfn.RANK.EQ(dHdcp[[#This Row],[Handicap]],dHdcp[Handicap],1))</f>
        <v/>
      </c>
      <c r="K1905" t="str">
        <f>IFERROR(+_xlfn.RANK.EQ(dHdcp[[#This Row],[Ranking]],dHdcp[Ranking],1),"")</f>
        <v/>
      </c>
      <c r="M1905" t="str">
        <f>+dHdcp[[#This Row],[Fecha]]&amp;":"&amp;dHdcp[[#This Row],[Nombre]]</f>
        <v>45332:Javier Chiralt</v>
      </c>
      <c r="N1905">
        <f>+COUNTIF(dHdcp[Columna1],dHdcp[[#This Row],[Columna1]])</f>
        <v>1</v>
      </c>
    </row>
    <row r="1906" spans="1:14">
      <c r="A1906" s="2">
        <v>45332</v>
      </c>
      <c r="B1906" t="s">
        <v>20</v>
      </c>
      <c r="C1906" s="51">
        <v>17.5</v>
      </c>
      <c r="D1906">
        <f>+VLOOKUP(dHdcp[[#This Row],[Handicap]],'Categoría Hdcap'!$B$2:$E$7,4)</f>
        <v>3</v>
      </c>
      <c r="E1906" t="s">
        <v>74</v>
      </c>
      <c r="F1906" t="s">
        <v>2372</v>
      </c>
      <c r="G1906">
        <f>+IF(dHdcp[[#This Row],[Fecha]]=MAX(dHdcp[Fecha]),1,0)</f>
        <v>0</v>
      </c>
      <c r="H1906" t="str">
        <f>+dHdcp[[#This Row],[Maximo]]&amp;":"&amp;dHdcp[[#This Row],[Nombre]]</f>
        <v>0:Javier Gonzalez Salvador</v>
      </c>
      <c r="I1906" t="str">
        <f>+dHdcp[[#This Row],[Maximo]]&amp;":"&amp;_xlfn.XLOOKUP(dHdcp[[#This Row],[Nombre]],dJugador[Nombre],dJugador[Mote],"",0)</f>
        <v>0:Javi</v>
      </c>
      <c r="J1906" t="str">
        <f>+IF(dHdcp[[#This Row],[Maximo]]=0,"",_xlfn.RANK.EQ(dHdcp[[#This Row],[Handicap]],dHdcp[Handicap],1))</f>
        <v/>
      </c>
      <c r="K1906" t="str">
        <f>IFERROR(+_xlfn.RANK.EQ(dHdcp[[#This Row],[Ranking]],dHdcp[Ranking],1),"")</f>
        <v/>
      </c>
      <c r="M1906" t="str">
        <f>+dHdcp[[#This Row],[Fecha]]&amp;":"&amp;dHdcp[[#This Row],[Nombre]]</f>
        <v>45332:Javier Gonzalez Salvador</v>
      </c>
      <c r="N1906">
        <f>+COUNTIF(dHdcp[Columna1],dHdcp[[#This Row],[Columna1]])</f>
        <v>1</v>
      </c>
    </row>
    <row r="1907" spans="1:14">
      <c r="A1907" s="2">
        <v>45332</v>
      </c>
      <c r="B1907" t="s">
        <v>217</v>
      </c>
      <c r="C1907" s="51">
        <v>20.9</v>
      </c>
      <c r="D1907">
        <f>+VLOOKUP(dHdcp[[#This Row],[Handicap]],'Categoría Hdcap'!$B$2:$E$7,4)</f>
        <v>4</v>
      </c>
      <c r="E1907" t="s">
        <v>74</v>
      </c>
      <c r="F1907" t="s">
        <v>2373</v>
      </c>
      <c r="G1907">
        <f>+IF(dHdcp[[#This Row],[Fecha]]=MAX(dHdcp[Fecha]),1,0)</f>
        <v>0</v>
      </c>
      <c r="H1907" t="str">
        <f>+dHdcp[[#This Row],[Maximo]]&amp;":"&amp;dHdcp[[#This Row],[Nombre]]</f>
        <v>0:Javier Lopez Gullón</v>
      </c>
      <c r="I1907" t="str">
        <f>+dHdcp[[#This Row],[Maximo]]&amp;":"&amp;_xlfn.XLOOKUP(dHdcp[[#This Row],[Nombre]],dJugador[Nombre],dJugador[Mote],"",0)</f>
        <v>0:Cuñao</v>
      </c>
      <c r="J1907" t="str">
        <f>+IF(dHdcp[[#This Row],[Maximo]]=0,"",_xlfn.RANK.EQ(dHdcp[[#This Row],[Handicap]],dHdcp[Handicap],1))</f>
        <v/>
      </c>
      <c r="K1907" t="str">
        <f>IFERROR(+_xlfn.RANK.EQ(dHdcp[[#This Row],[Ranking]],dHdcp[Ranking],1),"")</f>
        <v/>
      </c>
      <c r="M1907" t="str">
        <f>+dHdcp[[#This Row],[Fecha]]&amp;":"&amp;dHdcp[[#This Row],[Nombre]]</f>
        <v>45332:Javier Lopez Gullón</v>
      </c>
      <c r="N1907">
        <f>+COUNTIF(dHdcp[Columna1],dHdcp[[#This Row],[Columna1]])</f>
        <v>1</v>
      </c>
    </row>
    <row r="1908" spans="1:14">
      <c r="A1908" s="2">
        <v>45332</v>
      </c>
      <c r="B1908" t="s">
        <v>41</v>
      </c>
      <c r="C1908" s="51">
        <v>22.2</v>
      </c>
      <c r="D1908">
        <f>+VLOOKUP(dHdcp[[#This Row],[Handicap]],'Categoría Hdcap'!$B$2:$E$7,4)</f>
        <v>4</v>
      </c>
      <c r="E1908" t="s">
        <v>74</v>
      </c>
      <c r="F1908" t="s">
        <v>2374</v>
      </c>
      <c r="G1908">
        <f>+IF(dHdcp[[#This Row],[Fecha]]=MAX(dHdcp[Fecha]),1,0)</f>
        <v>0</v>
      </c>
      <c r="H1908" t="str">
        <f>+dHdcp[[#This Row],[Maximo]]&amp;":"&amp;dHdcp[[#This Row],[Nombre]]</f>
        <v>0:Jesus Touceda</v>
      </c>
      <c r="I1908" t="str">
        <f>+dHdcp[[#This Row],[Maximo]]&amp;":"&amp;_xlfn.XLOOKUP(dHdcp[[#This Row],[Nombre]],dJugador[Nombre],dJugador[Mote],"",0)</f>
        <v>0:Jesús</v>
      </c>
      <c r="J1908" t="str">
        <f>+IF(dHdcp[[#This Row],[Maximo]]=0,"",_xlfn.RANK.EQ(dHdcp[[#This Row],[Handicap]],dHdcp[Handicap],1))</f>
        <v/>
      </c>
      <c r="K1908" t="str">
        <f>IFERROR(+_xlfn.RANK.EQ(dHdcp[[#This Row],[Ranking]],dHdcp[Ranking],1),"")</f>
        <v/>
      </c>
      <c r="M1908" t="str">
        <f>+dHdcp[[#This Row],[Fecha]]&amp;":"&amp;dHdcp[[#This Row],[Nombre]]</f>
        <v>45332:Jesus Touceda</v>
      </c>
      <c r="N1908">
        <f>+COUNTIF(dHdcp[Columna1],dHdcp[[#This Row],[Columna1]])</f>
        <v>1</v>
      </c>
    </row>
    <row r="1909" spans="1:14">
      <c r="A1909" s="2">
        <v>45332</v>
      </c>
      <c r="B1909" t="s">
        <v>297</v>
      </c>
      <c r="C1909" s="51">
        <v>21.1</v>
      </c>
      <c r="D1909">
        <f>+VLOOKUP(dHdcp[[#This Row],[Handicap]],'Categoría Hdcap'!$B$2:$E$7,4)</f>
        <v>4</v>
      </c>
      <c r="E1909" t="s">
        <v>74</v>
      </c>
      <c r="F1909" t="s">
        <v>2375</v>
      </c>
      <c r="G1909">
        <f>+IF(dHdcp[[#This Row],[Fecha]]=MAX(dHdcp[Fecha]),1,0)</f>
        <v>0</v>
      </c>
      <c r="H1909" t="str">
        <f>+dHdcp[[#This Row],[Maximo]]&amp;":"&amp;dHdcp[[#This Row],[Nombre]]</f>
        <v>0:Jorge Alberto Martínez Sánchez</v>
      </c>
      <c r="I1909" t="str">
        <f>+dHdcp[[#This Row],[Maximo]]&amp;":"&amp;_xlfn.XLOOKUP(dHdcp[[#This Row],[Nombre]],dJugador[Nombre],dJugador[Mote],"",0)</f>
        <v>0:Jorge</v>
      </c>
      <c r="J1909" t="str">
        <f>+IF(dHdcp[[#This Row],[Maximo]]=0,"",_xlfn.RANK.EQ(dHdcp[[#This Row],[Handicap]],dHdcp[Handicap],1))</f>
        <v/>
      </c>
      <c r="K1909" t="str">
        <f>IFERROR(+_xlfn.RANK.EQ(dHdcp[[#This Row],[Ranking]],dHdcp[Ranking],1),"")</f>
        <v/>
      </c>
      <c r="M1909" t="str">
        <f>+dHdcp[[#This Row],[Fecha]]&amp;":"&amp;dHdcp[[#This Row],[Nombre]]</f>
        <v>45332:Jorge Alberto Martínez Sánchez</v>
      </c>
      <c r="N1909">
        <f>+COUNTIF(dHdcp[Columna1],dHdcp[[#This Row],[Columna1]])</f>
        <v>1</v>
      </c>
    </row>
    <row r="1910" spans="1:14">
      <c r="A1910" s="2">
        <v>45332</v>
      </c>
      <c r="B1910" t="s">
        <v>388</v>
      </c>
      <c r="C1910" s="51">
        <v>26.499999999999986</v>
      </c>
      <c r="D1910">
        <f>+VLOOKUP(dHdcp[[#This Row],[Handicap]],'Categoría Hdcap'!$B$2:$E$7,4)</f>
        <v>4</v>
      </c>
      <c r="E1910" t="s">
        <v>74</v>
      </c>
      <c r="F1910" t="s">
        <v>2376</v>
      </c>
      <c r="G1910">
        <f>+IF(dHdcp[[#This Row],[Fecha]]=MAX(dHdcp[Fecha]),1,0)</f>
        <v>0</v>
      </c>
      <c r="H1910" t="str">
        <f>+dHdcp[[#This Row],[Maximo]]&amp;":"&amp;dHdcp[[#This Row],[Nombre]]</f>
        <v>0:Jose Antonio Santana</v>
      </c>
      <c r="I1910" t="str">
        <f>+dHdcp[[#This Row],[Maximo]]&amp;":"&amp;_xlfn.XLOOKUP(dHdcp[[#This Row],[Nombre]],dJugador[Nombre],dJugador[Mote],"",0)</f>
        <v>0:J Antonio</v>
      </c>
      <c r="J1910" t="str">
        <f>+IF(dHdcp[[#This Row],[Maximo]]=0,"",_xlfn.RANK.EQ(dHdcp[[#This Row],[Handicap]],dHdcp[Handicap],1))</f>
        <v/>
      </c>
      <c r="K1910" t="str">
        <f>IFERROR(+_xlfn.RANK.EQ(dHdcp[[#This Row],[Ranking]],dHdcp[Ranking],1),"")</f>
        <v/>
      </c>
      <c r="M1910" t="str">
        <f>+dHdcp[[#This Row],[Fecha]]&amp;":"&amp;dHdcp[[#This Row],[Nombre]]</f>
        <v>45332:Jose Antonio Santana</v>
      </c>
      <c r="N1910">
        <f>+COUNTIF(dHdcp[Columna1],dHdcp[[#This Row],[Columna1]])</f>
        <v>1</v>
      </c>
    </row>
    <row r="1911" spans="1:14">
      <c r="A1911" s="2">
        <v>45332</v>
      </c>
      <c r="B1911" t="s">
        <v>18</v>
      </c>
      <c r="C1911" s="51">
        <v>8.1</v>
      </c>
      <c r="D1911">
        <f>+VLOOKUP(dHdcp[[#This Row],[Handicap]],'Categoría Hdcap'!$B$2:$E$7,4)</f>
        <v>2</v>
      </c>
      <c r="E1911" t="s">
        <v>74</v>
      </c>
      <c r="F1911" t="s">
        <v>2377</v>
      </c>
      <c r="G1911">
        <f>+IF(dHdcp[[#This Row],[Fecha]]=MAX(dHdcp[Fecha]),1,0)</f>
        <v>0</v>
      </c>
      <c r="H1911" t="str">
        <f>+dHdcp[[#This Row],[Maximo]]&amp;":"&amp;dHdcp[[#This Row],[Nombre]]</f>
        <v>0:José Pablo Guil</v>
      </c>
      <c r="I1911" t="str">
        <f>+dHdcp[[#This Row],[Maximo]]&amp;":"&amp;_xlfn.XLOOKUP(dHdcp[[#This Row],[Nombre]],dJugador[Nombre],dJugador[Mote],"",0)</f>
        <v>0:JP</v>
      </c>
      <c r="J1911" t="str">
        <f>+IF(dHdcp[[#This Row],[Maximo]]=0,"",_xlfn.RANK.EQ(dHdcp[[#This Row],[Handicap]],dHdcp[Handicap],1))</f>
        <v/>
      </c>
      <c r="K1911" t="str">
        <f>IFERROR(+_xlfn.RANK.EQ(dHdcp[[#This Row],[Ranking]],dHdcp[Ranking],1),"")</f>
        <v/>
      </c>
      <c r="M1911" t="str">
        <f>+dHdcp[[#This Row],[Fecha]]&amp;":"&amp;dHdcp[[#This Row],[Nombre]]</f>
        <v>45332:José Pablo Guil</v>
      </c>
      <c r="N1911">
        <f>+COUNTIF(dHdcp[Columna1],dHdcp[[#This Row],[Columna1]])</f>
        <v>1</v>
      </c>
    </row>
    <row r="1912" spans="1:14">
      <c r="A1912" s="2">
        <v>45332</v>
      </c>
      <c r="B1912" t="s">
        <v>293</v>
      </c>
      <c r="C1912" s="51">
        <v>20.6</v>
      </c>
      <c r="D1912">
        <f>+VLOOKUP(dHdcp[[#This Row],[Handicap]],'Categoría Hdcap'!$B$2:$E$7,4)</f>
        <v>4</v>
      </c>
      <c r="E1912" t="s">
        <v>74</v>
      </c>
      <c r="F1912" t="s">
        <v>2378</v>
      </c>
      <c r="G1912">
        <f>+IF(dHdcp[[#This Row],[Fecha]]=MAX(dHdcp[Fecha]),1,0)</f>
        <v>0</v>
      </c>
      <c r="H1912" t="str">
        <f>+dHdcp[[#This Row],[Maximo]]&amp;":"&amp;dHdcp[[#This Row],[Nombre]]</f>
        <v>0:Juan Jose Aguado</v>
      </c>
      <c r="I1912" t="str">
        <f>+dHdcp[[#This Row],[Maximo]]&amp;":"&amp;_xlfn.XLOOKUP(dHdcp[[#This Row],[Nombre]],dJugador[Nombre],dJugador[Mote],"",0)</f>
        <v>0:Juancho</v>
      </c>
      <c r="J1912" t="str">
        <f>+IF(dHdcp[[#This Row],[Maximo]]=0,"",_xlfn.RANK.EQ(dHdcp[[#This Row],[Handicap]],dHdcp[Handicap],1))</f>
        <v/>
      </c>
      <c r="K1912" t="str">
        <f>IFERROR(+_xlfn.RANK.EQ(dHdcp[[#This Row],[Ranking]],dHdcp[Ranking],1),"")</f>
        <v/>
      </c>
      <c r="M1912" t="str">
        <f>+dHdcp[[#This Row],[Fecha]]&amp;":"&amp;dHdcp[[#This Row],[Nombre]]</f>
        <v>45332:Juan Jose Aguado</v>
      </c>
      <c r="N1912">
        <f>+COUNTIF(dHdcp[Columna1],dHdcp[[#This Row],[Columna1]])</f>
        <v>1</v>
      </c>
    </row>
    <row r="1913" spans="1:14">
      <c r="A1913" s="2">
        <v>45332</v>
      </c>
      <c r="B1913" t="s">
        <v>375</v>
      </c>
      <c r="C1913" s="51">
        <v>9.9</v>
      </c>
      <c r="D1913">
        <f>+VLOOKUP(dHdcp[[#This Row],[Handicap]],'Categoría Hdcap'!$B$2:$E$7,4)</f>
        <v>2</v>
      </c>
      <c r="E1913" t="s">
        <v>74</v>
      </c>
      <c r="F1913" t="s">
        <v>2379</v>
      </c>
      <c r="G1913">
        <f>+IF(dHdcp[[#This Row],[Fecha]]=MAX(dHdcp[Fecha]),1,0)</f>
        <v>0</v>
      </c>
      <c r="H1913" t="str">
        <f>+dHdcp[[#This Row],[Maximo]]&amp;":"&amp;dHdcp[[#This Row],[Nombre]]</f>
        <v>0:Luis Fernandez</v>
      </c>
      <c r="I1913" t="str">
        <f>+dHdcp[[#This Row],[Maximo]]&amp;":"&amp;_xlfn.XLOOKUP(dHdcp[[#This Row],[Nombre]],dJugador[Nombre],dJugador[Mote],"",0)</f>
        <v>0:Luis</v>
      </c>
      <c r="J1913" t="str">
        <f>+IF(dHdcp[[#This Row],[Maximo]]=0,"",_xlfn.RANK.EQ(dHdcp[[#This Row],[Handicap]],dHdcp[Handicap],1))</f>
        <v/>
      </c>
      <c r="K1913" t="str">
        <f>IFERROR(+_xlfn.RANK.EQ(dHdcp[[#This Row],[Ranking]],dHdcp[Ranking],1),"")</f>
        <v/>
      </c>
      <c r="M1913" t="str">
        <f>+dHdcp[[#This Row],[Fecha]]&amp;":"&amp;dHdcp[[#This Row],[Nombre]]</f>
        <v>45332:Luis Fernandez</v>
      </c>
      <c r="N1913">
        <f>+COUNTIF(dHdcp[Columna1],dHdcp[[#This Row],[Columna1]])</f>
        <v>1</v>
      </c>
    </row>
    <row r="1914" spans="1:14">
      <c r="A1914" s="2">
        <v>45332</v>
      </c>
      <c r="B1914" t="s">
        <v>135</v>
      </c>
      <c r="C1914" s="51">
        <v>19</v>
      </c>
      <c r="D1914">
        <f>+VLOOKUP(dHdcp[[#This Row],[Handicap]],'Categoría Hdcap'!$B$2:$E$7,4)</f>
        <v>4</v>
      </c>
      <c r="E1914" t="s">
        <v>74</v>
      </c>
      <c r="F1914" t="s">
        <v>2380</v>
      </c>
      <c r="G1914">
        <f>+IF(dHdcp[[#This Row],[Fecha]]=MAX(dHdcp[Fecha]),1,0)</f>
        <v>0</v>
      </c>
      <c r="H1914" t="str">
        <f>+dHdcp[[#This Row],[Maximo]]&amp;":"&amp;dHdcp[[#This Row],[Nombre]]</f>
        <v>0:Miche Lopez</v>
      </c>
      <c r="I1914" t="str">
        <f>+dHdcp[[#This Row],[Maximo]]&amp;":"&amp;_xlfn.XLOOKUP(dHdcp[[#This Row],[Nombre]],dJugador[Nombre],dJugador[Mote],"",0)</f>
        <v>0:Miche</v>
      </c>
      <c r="J1914" t="str">
        <f>+IF(dHdcp[[#This Row],[Maximo]]=0,"",_xlfn.RANK.EQ(dHdcp[[#This Row],[Handicap]],dHdcp[Handicap],1))</f>
        <v/>
      </c>
      <c r="K1914" t="str">
        <f>IFERROR(+_xlfn.RANK.EQ(dHdcp[[#This Row],[Ranking]],dHdcp[Ranking],1),"")</f>
        <v/>
      </c>
      <c r="M1914" t="str">
        <f>+dHdcp[[#This Row],[Fecha]]&amp;":"&amp;dHdcp[[#This Row],[Nombre]]</f>
        <v>45332:Miche Lopez</v>
      </c>
      <c r="N1914">
        <f>+COUNTIF(dHdcp[Columna1],dHdcp[[#This Row],[Columna1]])</f>
        <v>1</v>
      </c>
    </row>
    <row r="1915" spans="1:14">
      <c r="A1915" s="2">
        <v>45332</v>
      </c>
      <c r="B1915" t="s">
        <v>205</v>
      </c>
      <c r="C1915" s="51">
        <v>6.2</v>
      </c>
      <c r="D1915">
        <f>+VLOOKUP(dHdcp[[#This Row],[Handicap]],'Categoría Hdcap'!$B$2:$E$7,4)</f>
        <v>2</v>
      </c>
      <c r="E1915" t="s">
        <v>74</v>
      </c>
      <c r="F1915" t="s">
        <v>2381</v>
      </c>
      <c r="G1915">
        <f>+IF(dHdcp[[#This Row],[Fecha]]=MAX(dHdcp[Fecha]),1,0)</f>
        <v>0</v>
      </c>
      <c r="H1915" t="str">
        <f>+dHdcp[[#This Row],[Maximo]]&amp;":"&amp;dHdcp[[#This Row],[Nombre]]</f>
        <v>0:Nacho Casas</v>
      </c>
      <c r="I1915" t="str">
        <f>+dHdcp[[#This Row],[Maximo]]&amp;":"&amp;_xlfn.XLOOKUP(dHdcp[[#This Row],[Nombre]],dJugador[Nombre],dJugador[Mote],"",0)</f>
        <v>0:Nachete</v>
      </c>
      <c r="J1915" t="str">
        <f>+IF(dHdcp[[#This Row],[Maximo]]=0,"",_xlfn.RANK.EQ(dHdcp[[#This Row],[Handicap]],dHdcp[Handicap],1))</f>
        <v/>
      </c>
      <c r="K1915" t="str">
        <f>IFERROR(+_xlfn.RANK.EQ(dHdcp[[#This Row],[Ranking]],dHdcp[Ranking],1),"")</f>
        <v/>
      </c>
      <c r="M1915" t="str">
        <f>+dHdcp[[#This Row],[Fecha]]&amp;":"&amp;dHdcp[[#This Row],[Nombre]]</f>
        <v>45332:Nacho Casas</v>
      </c>
      <c r="N1915">
        <f>+COUNTIF(dHdcp[Columna1],dHdcp[[#This Row],[Columna1]])</f>
        <v>1</v>
      </c>
    </row>
    <row r="1916" spans="1:14">
      <c r="A1916" s="2">
        <v>45332</v>
      </c>
      <c r="B1916" t="s">
        <v>3</v>
      </c>
      <c r="C1916" s="51">
        <v>6</v>
      </c>
      <c r="D1916">
        <f>+VLOOKUP(dHdcp[[#This Row],[Handicap]],'Categoría Hdcap'!$B$2:$E$7,4)</f>
        <v>2</v>
      </c>
      <c r="E1916" t="s">
        <v>74</v>
      </c>
      <c r="F1916" t="s">
        <v>2382</v>
      </c>
      <c r="G1916">
        <f>+IF(dHdcp[[#This Row],[Fecha]]=MAX(dHdcp[Fecha]),1,0)</f>
        <v>0</v>
      </c>
      <c r="H1916" t="str">
        <f>+dHdcp[[#This Row],[Maximo]]&amp;":"&amp;dHdcp[[#This Row],[Nombre]]</f>
        <v>0:Nacho Gonzalez</v>
      </c>
      <c r="I1916" t="str">
        <f>+dHdcp[[#This Row],[Maximo]]&amp;":"&amp;_xlfn.XLOOKUP(dHdcp[[#This Row],[Nombre]],dJugador[Nombre],dJugador[Mote],"",0)</f>
        <v>0:Nacho</v>
      </c>
      <c r="J1916" t="str">
        <f>+IF(dHdcp[[#This Row],[Maximo]]=0,"",_xlfn.RANK.EQ(dHdcp[[#This Row],[Handicap]],dHdcp[Handicap],1))</f>
        <v/>
      </c>
      <c r="K1916" t="str">
        <f>IFERROR(+_xlfn.RANK.EQ(dHdcp[[#This Row],[Ranking]],dHdcp[Ranking],1),"")</f>
        <v/>
      </c>
      <c r="M1916" t="str">
        <f>+dHdcp[[#This Row],[Fecha]]&amp;":"&amp;dHdcp[[#This Row],[Nombre]]</f>
        <v>45332:Nacho Gonzalez</v>
      </c>
      <c r="N1916">
        <f>+COUNTIF(dHdcp[Columna1],dHdcp[[#This Row],[Columna1]])</f>
        <v>1</v>
      </c>
    </row>
    <row r="1917" spans="1:14">
      <c r="A1917" s="2">
        <v>45332</v>
      </c>
      <c r="B1917" t="s">
        <v>203</v>
      </c>
      <c r="C1917" s="51">
        <v>16.100000000000001</v>
      </c>
      <c r="D1917">
        <f>+VLOOKUP(dHdcp[[#This Row],[Handicap]],'Categoría Hdcap'!$B$2:$E$7,4)</f>
        <v>3</v>
      </c>
      <c r="E1917" t="s">
        <v>74</v>
      </c>
      <c r="F1917" t="s">
        <v>2383</v>
      </c>
      <c r="G1917">
        <f>+IF(dHdcp[[#This Row],[Fecha]]=MAX(dHdcp[Fecha]),1,0)</f>
        <v>0</v>
      </c>
      <c r="H1917" t="str">
        <f>+dHdcp[[#This Row],[Maximo]]&amp;":"&amp;dHdcp[[#This Row],[Nombre]]</f>
        <v>0:Ruslan Kochman</v>
      </c>
      <c r="I1917" t="str">
        <f>+dHdcp[[#This Row],[Maximo]]&amp;":"&amp;_xlfn.XLOOKUP(dHdcp[[#This Row],[Nombre]],dJugador[Nombre],dJugador[Mote],"",0)</f>
        <v>0:Rus</v>
      </c>
      <c r="J1917" t="str">
        <f>+IF(dHdcp[[#This Row],[Maximo]]=0,"",_xlfn.RANK.EQ(dHdcp[[#This Row],[Handicap]],dHdcp[Handicap],1))</f>
        <v/>
      </c>
      <c r="K1917" t="str">
        <f>IFERROR(+_xlfn.RANK.EQ(dHdcp[[#This Row],[Ranking]],dHdcp[Ranking],1),"")</f>
        <v/>
      </c>
      <c r="M1917" t="str">
        <f>+dHdcp[[#This Row],[Fecha]]&amp;":"&amp;dHdcp[[#This Row],[Nombre]]</f>
        <v>45332:Ruslan Kochman</v>
      </c>
      <c r="N1917">
        <f>+COUNTIF(dHdcp[Columna1],dHdcp[[#This Row],[Columna1]])</f>
        <v>1</v>
      </c>
    </row>
    <row r="1918" spans="1:14">
      <c r="A1918" s="2">
        <v>45332</v>
      </c>
      <c r="B1918" t="s">
        <v>271</v>
      </c>
      <c r="C1918" s="51">
        <v>16.399999999999999</v>
      </c>
      <c r="D1918">
        <f>+VLOOKUP(dHdcp[[#This Row],[Handicap]],'Categoría Hdcap'!$B$2:$E$7,4)</f>
        <v>3</v>
      </c>
      <c r="E1918" t="s">
        <v>74</v>
      </c>
      <c r="F1918" t="s">
        <v>2384</v>
      </c>
      <c r="G1918">
        <f>+IF(dHdcp[[#This Row],[Fecha]]=MAX(dHdcp[Fecha]),1,0)</f>
        <v>0</v>
      </c>
      <c r="H1918" t="str">
        <f>+dHdcp[[#This Row],[Maximo]]&amp;":"&amp;dHdcp[[#This Row],[Nombre]]</f>
        <v>0:Santi Diaz</v>
      </c>
      <c r="I1918" t="str">
        <f>+dHdcp[[#This Row],[Maximo]]&amp;":"&amp;_xlfn.XLOOKUP(dHdcp[[#This Row],[Nombre]],dJugador[Nombre],dJugador[Mote],"",0)</f>
        <v>0:Santi</v>
      </c>
      <c r="J1918" t="str">
        <f>+IF(dHdcp[[#This Row],[Maximo]]=0,"",_xlfn.RANK.EQ(dHdcp[[#This Row],[Handicap]],dHdcp[Handicap],1))</f>
        <v/>
      </c>
      <c r="K1918" t="str">
        <f>IFERROR(+_xlfn.RANK.EQ(dHdcp[[#This Row],[Ranking]],dHdcp[Ranking],1),"")</f>
        <v/>
      </c>
      <c r="M1918" t="str">
        <f>+dHdcp[[#This Row],[Fecha]]&amp;":"&amp;dHdcp[[#This Row],[Nombre]]</f>
        <v>45332:Santi Diaz</v>
      </c>
      <c r="N1918">
        <f>+COUNTIF(dHdcp[Columna1],dHdcp[[#This Row],[Columna1]])</f>
        <v>1</v>
      </c>
    </row>
    <row r="1919" spans="1:14">
      <c r="A1919" s="91">
        <v>45346</v>
      </c>
      <c r="B1919" s="92" t="s">
        <v>259</v>
      </c>
      <c r="C1919" s="93">
        <v>1.2</v>
      </c>
      <c r="D1919" s="92">
        <f>+VLOOKUP(dHdcp[[#This Row],[Handicap]],'Categoría Hdcap'!$B$2:$E$7,4)</f>
        <v>1</v>
      </c>
      <c r="E1919" s="92" t="s">
        <v>74</v>
      </c>
      <c r="F1919" s="92" t="s">
        <v>2385</v>
      </c>
      <c r="G1919">
        <f>+IF(dHdcp[[#This Row],[Fecha]]=MAX(dHdcp[Fecha]),1,0)</f>
        <v>0</v>
      </c>
      <c r="H1919" t="str">
        <f>+dHdcp[[#This Row],[Maximo]]&amp;":"&amp;dHdcp[[#This Row],[Nombre]]</f>
        <v>0:Alejandro Arcos</v>
      </c>
      <c r="I1919" t="str">
        <f>+dHdcp[[#This Row],[Maximo]]&amp;":"&amp;_xlfn.XLOOKUP(dHdcp[[#This Row],[Nombre]],dJugador[Nombre],dJugador[Mote],"",0)</f>
        <v>0:Alex</v>
      </c>
      <c r="J1919" t="str">
        <f>+IF(dHdcp[[#This Row],[Maximo]]=0,"",_xlfn.RANK.EQ(dHdcp[[#This Row],[Handicap]],dHdcp[Handicap],1))</f>
        <v/>
      </c>
      <c r="K1919" t="str">
        <f>IFERROR(+_xlfn.RANK.EQ(dHdcp[[#This Row],[Ranking]],dHdcp[Ranking],1),"")</f>
        <v/>
      </c>
      <c r="M1919" t="str">
        <f>+dHdcp[[#This Row],[Fecha]]&amp;":"&amp;dHdcp[[#This Row],[Nombre]]</f>
        <v>45346:Alejandro Arcos</v>
      </c>
      <c r="N1919">
        <f>+COUNTIF(dHdcp[Columna1],dHdcp[[#This Row],[Columna1]])</f>
        <v>1</v>
      </c>
    </row>
    <row r="1920" spans="1:14">
      <c r="A1920" s="91">
        <v>45346</v>
      </c>
      <c r="B1920" s="92" t="s">
        <v>9</v>
      </c>
      <c r="C1920" s="93">
        <v>11.3</v>
      </c>
      <c r="D1920" s="92">
        <f>+VLOOKUP(dHdcp[[#This Row],[Handicap]],'Categoría Hdcap'!$B$2:$E$7,4)</f>
        <v>2</v>
      </c>
      <c r="E1920" s="92" t="s">
        <v>74</v>
      </c>
      <c r="F1920" s="92" t="s">
        <v>2386</v>
      </c>
      <c r="G1920">
        <f>+IF(dHdcp[[#This Row],[Fecha]]=MAX(dHdcp[Fecha]),1,0)</f>
        <v>0</v>
      </c>
      <c r="H1920" t="str">
        <f>+dHdcp[[#This Row],[Maximo]]&amp;":"&amp;dHdcp[[#This Row],[Nombre]]</f>
        <v>0:Alfonso Hidalgo</v>
      </c>
      <c r="I1920" t="str">
        <f>+dHdcp[[#This Row],[Maximo]]&amp;":"&amp;_xlfn.XLOOKUP(dHdcp[[#This Row],[Nombre]],dJugador[Nombre],dJugador[Mote],"",0)</f>
        <v>0:Alfonso</v>
      </c>
      <c r="J1920" t="str">
        <f>+IF(dHdcp[[#This Row],[Maximo]]=0,"",_xlfn.RANK.EQ(dHdcp[[#This Row],[Handicap]],dHdcp[Handicap],1))</f>
        <v/>
      </c>
      <c r="K1920" t="str">
        <f>IFERROR(+_xlfn.RANK.EQ(dHdcp[[#This Row],[Ranking]],dHdcp[Ranking],1),"")</f>
        <v/>
      </c>
      <c r="M1920" t="str">
        <f>+dHdcp[[#This Row],[Fecha]]&amp;":"&amp;dHdcp[[#This Row],[Nombre]]</f>
        <v>45346:Alfonso Hidalgo</v>
      </c>
      <c r="N1920">
        <f>+COUNTIF(dHdcp[Columna1],dHdcp[[#This Row],[Columna1]])</f>
        <v>1</v>
      </c>
    </row>
    <row r="1921" spans="1:14">
      <c r="A1921" s="91">
        <v>45346</v>
      </c>
      <c r="B1921" s="92" t="s">
        <v>229</v>
      </c>
      <c r="C1921" s="93">
        <v>14.1</v>
      </c>
      <c r="D1921" s="92">
        <f>+VLOOKUP(dHdcp[[#This Row],[Handicap]],'Categoría Hdcap'!$B$2:$E$7,4)</f>
        <v>3</v>
      </c>
      <c r="E1921" s="92" t="s">
        <v>74</v>
      </c>
      <c r="F1921" s="92" t="s">
        <v>2387</v>
      </c>
      <c r="G1921">
        <f>+IF(dHdcp[[#This Row],[Fecha]]=MAX(dHdcp[Fecha]),1,0)</f>
        <v>0</v>
      </c>
      <c r="H1921" t="str">
        <f>+dHdcp[[#This Row],[Maximo]]&amp;":"&amp;dHdcp[[#This Row],[Nombre]]</f>
        <v>0:Alfonso Zorrilla</v>
      </c>
      <c r="I1921" t="str">
        <f>+dHdcp[[#This Row],[Maximo]]&amp;":"&amp;_xlfn.XLOOKUP(dHdcp[[#This Row],[Nombre]],dJugador[Nombre],dJugador[Mote],"",0)</f>
        <v>0:A Zorrilla</v>
      </c>
      <c r="J1921" t="str">
        <f>+IF(dHdcp[[#This Row],[Maximo]]=0,"",_xlfn.RANK.EQ(dHdcp[[#This Row],[Handicap]],dHdcp[Handicap],1))</f>
        <v/>
      </c>
      <c r="K1921" t="str">
        <f>IFERROR(+_xlfn.RANK.EQ(dHdcp[[#This Row],[Ranking]],dHdcp[Ranking],1),"")</f>
        <v/>
      </c>
      <c r="M1921" t="str">
        <f>+dHdcp[[#This Row],[Fecha]]&amp;":"&amp;dHdcp[[#This Row],[Nombre]]</f>
        <v>45346:Alfonso Zorrilla</v>
      </c>
      <c r="N1921">
        <f>+COUNTIF(dHdcp[Columna1],dHdcp[[#This Row],[Columna1]])</f>
        <v>1</v>
      </c>
    </row>
    <row r="1922" spans="1:14">
      <c r="A1922" s="91">
        <v>45346</v>
      </c>
      <c r="B1922" s="92" t="s">
        <v>15</v>
      </c>
      <c r="C1922" s="93">
        <v>5.0999999999999996</v>
      </c>
      <c r="D1922" s="92">
        <f>+VLOOKUP(dHdcp[[#This Row],[Handicap]],'Categoría Hdcap'!$B$2:$E$7,4)</f>
        <v>2</v>
      </c>
      <c r="E1922" s="92" t="s">
        <v>74</v>
      </c>
      <c r="F1922" s="92" t="s">
        <v>2388</v>
      </c>
      <c r="G1922">
        <f>+IF(dHdcp[[#This Row],[Fecha]]=MAX(dHdcp[Fecha]),1,0)</f>
        <v>0</v>
      </c>
      <c r="H1922" t="str">
        <f>+dHdcp[[#This Row],[Maximo]]&amp;":"&amp;dHdcp[[#This Row],[Nombre]]</f>
        <v>0:Alvaro Aguirre</v>
      </c>
      <c r="I1922" t="str">
        <f>+dHdcp[[#This Row],[Maximo]]&amp;":"&amp;_xlfn.XLOOKUP(dHdcp[[#This Row],[Nombre]],dJugador[Nombre],dJugador[Mote],"",0)</f>
        <v>0:Gifu</v>
      </c>
      <c r="J1922" t="str">
        <f>+IF(dHdcp[[#This Row],[Maximo]]=0,"",_xlfn.RANK.EQ(dHdcp[[#This Row],[Handicap]],dHdcp[Handicap],1))</f>
        <v/>
      </c>
      <c r="K1922" t="str">
        <f>IFERROR(+_xlfn.RANK.EQ(dHdcp[[#This Row],[Ranking]],dHdcp[Ranking],1),"")</f>
        <v/>
      </c>
      <c r="M1922" t="str">
        <f>+dHdcp[[#This Row],[Fecha]]&amp;":"&amp;dHdcp[[#This Row],[Nombre]]</f>
        <v>45346:Alvaro Aguirre</v>
      </c>
      <c r="N1922">
        <f>+COUNTIF(dHdcp[Columna1],dHdcp[[#This Row],[Columna1]])</f>
        <v>1</v>
      </c>
    </row>
    <row r="1923" spans="1:14">
      <c r="A1923" s="91">
        <v>45346</v>
      </c>
      <c r="B1923" s="92" t="s">
        <v>201</v>
      </c>
      <c r="C1923" s="93">
        <v>9.1000000000000032</v>
      </c>
      <c r="D1923" s="92">
        <f>+VLOOKUP(dHdcp[[#This Row],[Handicap]],'Categoría Hdcap'!$B$2:$E$7,4)</f>
        <v>2</v>
      </c>
      <c r="E1923" s="92" t="s">
        <v>74</v>
      </c>
      <c r="F1923" s="92" t="s">
        <v>2389</v>
      </c>
      <c r="G1923">
        <f>+IF(dHdcp[[#This Row],[Fecha]]=MAX(dHdcp[Fecha]),1,0)</f>
        <v>0</v>
      </c>
      <c r="H1923" t="str">
        <f>+dHdcp[[#This Row],[Maximo]]&amp;":"&amp;dHdcp[[#This Row],[Nombre]]</f>
        <v>0:Alvaro Montoya</v>
      </c>
      <c r="I1923" t="str">
        <f>+dHdcp[[#This Row],[Maximo]]&amp;":"&amp;_xlfn.XLOOKUP(dHdcp[[#This Row],[Nombre]],dJugador[Nombre],dJugador[Mote],"",0)</f>
        <v>0:Monti</v>
      </c>
      <c r="J1923" t="str">
        <f>+IF(dHdcp[[#This Row],[Maximo]]=0,"",_xlfn.RANK.EQ(dHdcp[[#This Row],[Handicap]],dHdcp[Handicap],1))</f>
        <v/>
      </c>
      <c r="K1923" t="str">
        <f>IFERROR(+_xlfn.RANK.EQ(dHdcp[[#This Row],[Ranking]],dHdcp[Ranking],1),"")</f>
        <v/>
      </c>
      <c r="M1923" t="str">
        <f>+dHdcp[[#This Row],[Fecha]]&amp;":"&amp;dHdcp[[#This Row],[Nombre]]</f>
        <v>45346:Alvaro Montoya</v>
      </c>
      <c r="N1923">
        <f>+COUNTIF(dHdcp[Columna1],dHdcp[[#This Row],[Columna1]])</f>
        <v>1</v>
      </c>
    </row>
    <row r="1924" spans="1:14">
      <c r="A1924" s="91">
        <v>45346</v>
      </c>
      <c r="B1924" s="92" t="s">
        <v>25</v>
      </c>
      <c r="C1924" s="93">
        <v>12.9</v>
      </c>
      <c r="D1924" s="92">
        <f>+VLOOKUP(dHdcp[[#This Row],[Handicap]],'Categoría Hdcap'!$B$2:$E$7,4)</f>
        <v>3</v>
      </c>
      <c r="E1924" s="92" t="s">
        <v>74</v>
      </c>
      <c r="F1924" s="92" t="s">
        <v>2390</v>
      </c>
      <c r="G1924">
        <f>+IF(dHdcp[[#This Row],[Fecha]]=MAX(dHdcp[Fecha]),1,0)</f>
        <v>0</v>
      </c>
      <c r="H1924" t="str">
        <f>+dHdcp[[#This Row],[Maximo]]&amp;":"&amp;dHdcp[[#This Row],[Nombre]]</f>
        <v>0:Alvaro Nieto</v>
      </c>
      <c r="I1924" t="str">
        <f>+dHdcp[[#This Row],[Maximo]]&amp;":"&amp;_xlfn.XLOOKUP(dHdcp[[#This Row],[Nombre]],dJugador[Nombre],dJugador[Mote],"",0)</f>
        <v>0:Alvaro</v>
      </c>
      <c r="J1924" t="str">
        <f>+IF(dHdcp[[#This Row],[Maximo]]=0,"",_xlfn.RANK.EQ(dHdcp[[#This Row],[Handicap]],dHdcp[Handicap],1))</f>
        <v/>
      </c>
      <c r="K1924" t="str">
        <f>IFERROR(+_xlfn.RANK.EQ(dHdcp[[#This Row],[Ranking]],dHdcp[Ranking],1),"")</f>
        <v/>
      </c>
      <c r="M1924" t="str">
        <f>+dHdcp[[#This Row],[Fecha]]&amp;":"&amp;dHdcp[[#This Row],[Nombre]]</f>
        <v>45346:Alvaro Nieto</v>
      </c>
      <c r="N1924">
        <f>+COUNTIF(dHdcp[Columna1],dHdcp[[#This Row],[Columna1]])</f>
        <v>1</v>
      </c>
    </row>
    <row r="1925" spans="1:14">
      <c r="A1925" s="91">
        <v>45346</v>
      </c>
      <c r="B1925" s="92" t="s">
        <v>33</v>
      </c>
      <c r="C1925" s="93">
        <v>8</v>
      </c>
      <c r="D1925" s="92">
        <f>+VLOOKUP(dHdcp[[#This Row],[Handicap]],'Categoría Hdcap'!$B$2:$E$7,4)</f>
        <v>2</v>
      </c>
      <c r="E1925" s="92" t="s">
        <v>74</v>
      </c>
      <c r="F1925" s="92" t="s">
        <v>2391</v>
      </c>
      <c r="G1925">
        <f>+IF(dHdcp[[#This Row],[Fecha]]=MAX(dHdcp[Fecha]),1,0)</f>
        <v>0</v>
      </c>
      <c r="H1925" t="str">
        <f>+dHdcp[[#This Row],[Maximo]]&amp;":"&amp;dHdcp[[#This Row],[Nombre]]</f>
        <v>0:Angel Hernandez</v>
      </c>
      <c r="I1925" t="str">
        <f>+dHdcp[[#This Row],[Maximo]]&amp;":"&amp;_xlfn.XLOOKUP(dHdcp[[#This Row],[Nombre]],dJugador[Nombre],dJugador[Mote],"",0)</f>
        <v>0:Angel</v>
      </c>
      <c r="J1925" t="str">
        <f>+IF(dHdcp[[#This Row],[Maximo]]=0,"",_xlfn.RANK.EQ(dHdcp[[#This Row],[Handicap]],dHdcp[Handicap],1))</f>
        <v/>
      </c>
      <c r="K1925" t="str">
        <f>IFERROR(+_xlfn.RANK.EQ(dHdcp[[#This Row],[Ranking]],dHdcp[Ranking],1),"")</f>
        <v/>
      </c>
      <c r="M1925" t="str">
        <f>+dHdcp[[#This Row],[Fecha]]&amp;":"&amp;dHdcp[[#This Row],[Nombre]]</f>
        <v>45346:Angel Hernandez</v>
      </c>
      <c r="N1925">
        <f>+COUNTIF(dHdcp[Columna1],dHdcp[[#This Row],[Columna1]])</f>
        <v>1</v>
      </c>
    </row>
    <row r="1926" spans="1:14">
      <c r="A1926" s="91">
        <v>45346</v>
      </c>
      <c r="B1926" s="92" t="s">
        <v>264</v>
      </c>
      <c r="C1926" s="93">
        <v>19.2</v>
      </c>
      <c r="D1926" s="92">
        <f>+VLOOKUP(dHdcp[[#This Row],[Handicap]],'Categoría Hdcap'!$B$2:$E$7,4)</f>
        <v>4</v>
      </c>
      <c r="E1926" s="92" t="s">
        <v>74</v>
      </c>
      <c r="F1926" s="92" t="s">
        <v>2392</v>
      </c>
      <c r="G1926">
        <f>+IF(dHdcp[[#This Row],[Fecha]]=MAX(dHdcp[Fecha]),1,0)</f>
        <v>0</v>
      </c>
      <c r="H1926" t="str">
        <f>+dHdcp[[#This Row],[Maximo]]&amp;":"&amp;dHdcp[[#This Row],[Nombre]]</f>
        <v>0:Antonio Carmona</v>
      </c>
      <c r="I1926" t="str">
        <f>+dHdcp[[#This Row],[Maximo]]&amp;":"&amp;_xlfn.XLOOKUP(dHdcp[[#This Row],[Nombre]],dJugador[Nombre],dJugador[Mote],"",0)</f>
        <v>0:Antonio</v>
      </c>
      <c r="J1926" t="str">
        <f>+IF(dHdcp[[#This Row],[Maximo]]=0,"",_xlfn.RANK.EQ(dHdcp[[#This Row],[Handicap]],dHdcp[Handicap],1))</f>
        <v/>
      </c>
      <c r="K1926" t="str">
        <f>IFERROR(+_xlfn.RANK.EQ(dHdcp[[#This Row],[Ranking]],dHdcp[Ranking],1),"")</f>
        <v/>
      </c>
      <c r="M1926" t="str">
        <f>+dHdcp[[#This Row],[Fecha]]&amp;":"&amp;dHdcp[[#This Row],[Nombre]]</f>
        <v>45346:Antonio Carmona</v>
      </c>
      <c r="N1926">
        <f>+COUNTIF(dHdcp[Columna1],dHdcp[[#This Row],[Columna1]])</f>
        <v>1</v>
      </c>
    </row>
    <row r="1927" spans="1:14">
      <c r="A1927" s="91">
        <v>45346</v>
      </c>
      <c r="B1927" s="92" t="s">
        <v>291</v>
      </c>
      <c r="C1927" s="93">
        <v>1</v>
      </c>
      <c r="D1927" s="92">
        <f>+VLOOKUP(dHdcp[[#This Row],[Handicap]],'Categoría Hdcap'!$B$2:$E$7,4)</f>
        <v>1</v>
      </c>
      <c r="E1927" s="92" t="s">
        <v>74</v>
      </c>
      <c r="F1927" s="92" t="s">
        <v>2393</v>
      </c>
      <c r="G1927">
        <f>+IF(dHdcp[[#This Row],[Fecha]]=MAX(dHdcp[Fecha]),1,0)</f>
        <v>0</v>
      </c>
      <c r="H1927" t="str">
        <f>+dHdcp[[#This Row],[Maximo]]&amp;":"&amp;dHdcp[[#This Row],[Nombre]]</f>
        <v>0:Carlos Maestro</v>
      </c>
      <c r="I1927" t="str">
        <f>+dHdcp[[#This Row],[Maximo]]&amp;":"&amp;_xlfn.XLOOKUP(dHdcp[[#This Row],[Nombre]],dJugador[Nombre],dJugador[Mote],"",0)</f>
        <v>0:Carlitos</v>
      </c>
      <c r="J1927" t="str">
        <f>+IF(dHdcp[[#This Row],[Maximo]]=0,"",_xlfn.RANK.EQ(dHdcp[[#This Row],[Handicap]],dHdcp[Handicap],1))</f>
        <v/>
      </c>
      <c r="K1927" t="str">
        <f>IFERROR(+_xlfn.RANK.EQ(dHdcp[[#This Row],[Ranking]],dHdcp[Ranking],1),"")</f>
        <v/>
      </c>
      <c r="M1927" t="str">
        <f>+dHdcp[[#This Row],[Fecha]]&amp;":"&amp;dHdcp[[#This Row],[Nombre]]</f>
        <v>45346:Carlos Maestro</v>
      </c>
      <c r="N1927">
        <f>+COUNTIF(dHdcp[Columna1],dHdcp[[#This Row],[Columna1]])</f>
        <v>1</v>
      </c>
    </row>
    <row r="1928" spans="1:14">
      <c r="A1928" s="91">
        <v>45346</v>
      </c>
      <c r="B1928" s="92" t="s">
        <v>30</v>
      </c>
      <c r="C1928" s="93">
        <v>11.4</v>
      </c>
      <c r="D1928" s="92">
        <f>+VLOOKUP(dHdcp[[#This Row],[Handicap]],'Categoría Hdcap'!$B$2:$E$7,4)</f>
        <v>2</v>
      </c>
      <c r="E1928" s="92" t="s">
        <v>74</v>
      </c>
      <c r="F1928" s="92" t="s">
        <v>2394</v>
      </c>
      <c r="G1928">
        <f>+IF(dHdcp[[#This Row],[Fecha]]=MAX(dHdcp[Fecha]),1,0)</f>
        <v>0</v>
      </c>
      <c r="H1928" t="str">
        <f>+dHdcp[[#This Row],[Maximo]]&amp;":"&amp;dHdcp[[#This Row],[Nombre]]</f>
        <v>0:David Sequera</v>
      </c>
      <c r="I1928" t="str">
        <f>+dHdcp[[#This Row],[Maximo]]&amp;":"&amp;_xlfn.XLOOKUP(dHdcp[[#This Row],[Nombre]],dJugador[Nombre],dJugador[Mote],"",0)</f>
        <v>0:David</v>
      </c>
      <c r="J1928" t="str">
        <f>+IF(dHdcp[[#This Row],[Maximo]]=0,"",_xlfn.RANK.EQ(dHdcp[[#This Row],[Handicap]],dHdcp[Handicap],1))</f>
        <v/>
      </c>
      <c r="K1928" t="str">
        <f>IFERROR(+_xlfn.RANK.EQ(dHdcp[[#This Row],[Ranking]],dHdcp[Ranking],1),"")</f>
        <v/>
      </c>
      <c r="M1928" t="str">
        <f>+dHdcp[[#This Row],[Fecha]]&amp;":"&amp;dHdcp[[#This Row],[Nombre]]</f>
        <v>45346:David Sequera</v>
      </c>
      <c r="N1928">
        <f>+COUNTIF(dHdcp[Columna1],dHdcp[[#This Row],[Columna1]])</f>
        <v>1</v>
      </c>
    </row>
    <row r="1929" spans="1:14">
      <c r="A1929" s="91">
        <v>45346</v>
      </c>
      <c r="B1929" s="92" t="s">
        <v>326</v>
      </c>
      <c r="C1929" s="93">
        <v>13.1</v>
      </c>
      <c r="D1929" s="92">
        <f>+VLOOKUP(dHdcp[[#This Row],[Handicap]],'Categoría Hdcap'!$B$2:$E$7,4)</f>
        <v>3</v>
      </c>
      <c r="E1929" s="92" t="s">
        <v>74</v>
      </c>
      <c r="F1929" s="92" t="s">
        <v>2395</v>
      </c>
      <c r="G1929">
        <f>+IF(dHdcp[[#This Row],[Fecha]]=MAX(dHdcp[Fecha]),1,0)</f>
        <v>0</v>
      </c>
      <c r="H1929" t="str">
        <f>+dHdcp[[#This Row],[Maximo]]&amp;":"&amp;dHdcp[[#This Row],[Nombre]]</f>
        <v>0:Eduardo Buendía</v>
      </c>
      <c r="I1929" t="str">
        <f>+dHdcp[[#This Row],[Maximo]]&amp;":"&amp;_xlfn.XLOOKUP(dHdcp[[#This Row],[Nombre]],dJugador[Nombre],dJugador[Mote],"",0)</f>
        <v>0:Eduardo</v>
      </c>
      <c r="J1929" t="str">
        <f>+IF(dHdcp[[#This Row],[Maximo]]=0,"",_xlfn.RANK.EQ(dHdcp[[#This Row],[Handicap]],dHdcp[Handicap],1))</f>
        <v/>
      </c>
      <c r="K1929" t="str">
        <f>IFERROR(+_xlfn.RANK.EQ(dHdcp[[#This Row],[Ranking]],dHdcp[Ranking],1),"")</f>
        <v/>
      </c>
      <c r="M1929" t="str">
        <f>+dHdcp[[#This Row],[Fecha]]&amp;":"&amp;dHdcp[[#This Row],[Nombre]]</f>
        <v>45346:Eduardo Buendía</v>
      </c>
      <c r="N1929">
        <f>+COUNTIF(dHdcp[Columna1],dHdcp[[#This Row],[Columna1]])</f>
        <v>1</v>
      </c>
    </row>
    <row r="1930" spans="1:14">
      <c r="A1930" s="91">
        <v>45346</v>
      </c>
      <c r="B1930" s="92" t="s">
        <v>248</v>
      </c>
      <c r="C1930" s="93">
        <v>12.7</v>
      </c>
      <c r="D1930" s="92">
        <f>+VLOOKUP(dHdcp[[#This Row],[Handicap]],'Categoría Hdcap'!$B$2:$E$7,4)</f>
        <v>3</v>
      </c>
      <c r="E1930" s="92" t="s">
        <v>74</v>
      </c>
      <c r="F1930" s="92" t="s">
        <v>2396</v>
      </c>
      <c r="G1930">
        <f>+IF(dHdcp[[#This Row],[Fecha]]=MAX(dHdcp[Fecha]),1,0)</f>
        <v>0</v>
      </c>
      <c r="H1930" t="str">
        <f>+dHdcp[[#This Row],[Maximo]]&amp;":"&amp;dHdcp[[#This Row],[Nombre]]</f>
        <v>0:Enrique Gonzalez R</v>
      </c>
      <c r="I1930" t="str">
        <f>+dHdcp[[#This Row],[Maximo]]&amp;":"&amp;_xlfn.XLOOKUP(dHdcp[[#This Row],[Nombre]],dJugador[Nombre],dJugador[Mote],"",0)</f>
        <v>0:Enrique</v>
      </c>
      <c r="J1930" t="str">
        <f>+IF(dHdcp[[#This Row],[Maximo]]=0,"",_xlfn.RANK.EQ(dHdcp[[#This Row],[Handicap]],dHdcp[Handicap],1))</f>
        <v/>
      </c>
      <c r="K1930" t="str">
        <f>IFERROR(+_xlfn.RANK.EQ(dHdcp[[#This Row],[Ranking]],dHdcp[Ranking],1),"")</f>
        <v/>
      </c>
      <c r="M1930" t="str">
        <f>+dHdcp[[#This Row],[Fecha]]&amp;":"&amp;dHdcp[[#This Row],[Nombre]]</f>
        <v>45346:Enrique Gonzalez R</v>
      </c>
      <c r="N1930">
        <f>+COUNTIF(dHdcp[Columna1],dHdcp[[#This Row],[Columna1]])</f>
        <v>1</v>
      </c>
    </row>
    <row r="1931" spans="1:14">
      <c r="A1931" s="91">
        <v>45346</v>
      </c>
      <c r="B1931" s="92" t="s">
        <v>12</v>
      </c>
      <c r="C1931" s="93">
        <v>15.2</v>
      </c>
      <c r="D1931" s="92">
        <f>+VLOOKUP(dHdcp[[#This Row],[Handicap]],'Categoría Hdcap'!$B$2:$E$7,4)</f>
        <v>3</v>
      </c>
      <c r="E1931" s="92" t="s">
        <v>74</v>
      </c>
      <c r="F1931" s="92" t="s">
        <v>2397</v>
      </c>
      <c r="G1931">
        <f>+IF(dHdcp[[#This Row],[Fecha]]=MAX(dHdcp[Fecha]),1,0)</f>
        <v>0</v>
      </c>
      <c r="H1931" t="str">
        <f>+dHdcp[[#This Row],[Maximo]]&amp;":"&amp;dHdcp[[#This Row],[Nombre]]</f>
        <v>0:Francisco Alvarez</v>
      </c>
      <c r="I1931" t="str">
        <f>+dHdcp[[#This Row],[Maximo]]&amp;":"&amp;_xlfn.XLOOKUP(dHdcp[[#This Row],[Nombre]],dJugador[Nombre],dJugador[Mote],"",0)</f>
        <v>0:Paco</v>
      </c>
      <c r="J1931" t="str">
        <f>+IF(dHdcp[[#This Row],[Maximo]]=0,"",_xlfn.RANK.EQ(dHdcp[[#This Row],[Handicap]],dHdcp[Handicap],1))</f>
        <v/>
      </c>
      <c r="K1931" t="str">
        <f>IFERROR(+_xlfn.RANK.EQ(dHdcp[[#This Row],[Ranking]],dHdcp[Ranking],1),"")</f>
        <v/>
      </c>
      <c r="M1931" t="str">
        <f>+dHdcp[[#This Row],[Fecha]]&amp;":"&amp;dHdcp[[#This Row],[Nombre]]</f>
        <v>45346:Francisco Alvarez</v>
      </c>
      <c r="N1931">
        <f>+COUNTIF(dHdcp[Columna1],dHdcp[[#This Row],[Columna1]])</f>
        <v>1</v>
      </c>
    </row>
    <row r="1932" spans="1:14">
      <c r="A1932" s="91">
        <v>45346</v>
      </c>
      <c r="B1932" s="92" t="s">
        <v>49</v>
      </c>
      <c r="C1932" s="93">
        <v>12.6</v>
      </c>
      <c r="D1932" s="92">
        <f>+VLOOKUP(dHdcp[[#This Row],[Handicap]],'Categoría Hdcap'!$B$2:$E$7,4)</f>
        <v>3</v>
      </c>
      <c r="E1932" s="92" t="s">
        <v>74</v>
      </c>
      <c r="F1932" s="92" t="s">
        <v>2398</v>
      </c>
      <c r="G1932">
        <f>+IF(dHdcp[[#This Row],[Fecha]]=MAX(dHdcp[Fecha]),1,0)</f>
        <v>0</v>
      </c>
      <c r="H1932" t="str">
        <f>+dHdcp[[#This Row],[Maximo]]&amp;":"&amp;dHdcp[[#This Row],[Nombre]]</f>
        <v>0:Francisco Hidalgo</v>
      </c>
      <c r="I1932" t="str">
        <f>+dHdcp[[#This Row],[Maximo]]&amp;":"&amp;_xlfn.XLOOKUP(dHdcp[[#This Row],[Nombre]],dJugador[Nombre],dJugador[Mote],"",0)</f>
        <v>0:Fran</v>
      </c>
      <c r="J1932" t="str">
        <f>+IF(dHdcp[[#This Row],[Maximo]]=0,"",_xlfn.RANK.EQ(dHdcp[[#This Row],[Handicap]],dHdcp[Handicap],1))</f>
        <v/>
      </c>
      <c r="K1932" t="str">
        <f>IFERROR(+_xlfn.RANK.EQ(dHdcp[[#This Row],[Ranking]],dHdcp[Ranking],1),"")</f>
        <v/>
      </c>
      <c r="M1932" t="str">
        <f>+dHdcp[[#This Row],[Fecha]]&amp;":"&amp;dHdcp[[#This Row],[Nombre]]</f>
        <v>45346:Francisco Hidalgo</v>
      </c>
      <c r="N1932">
        <f>+COUNTIF(dHdcp[Columna1],dHdcp[[#This Row],[Columna1]])</f>
        <v>1</v>
      </c>
    </row>
    <row r="1933" spans="1:14">
      <c r="A1933" s="91">
        <v>45346</v>
      </c>
      <c r="B1933" s="92" t="s">
        <v>207</v>
      </c>
      <c r="C1933" s="93">
        <v>14.5</v>
      </c>
      <c r="D1933" s="92">
        <f>+VLOOKUP(dHdcp[[#This Row],[Handicap]],'Categoría Hdcap'!$B$2:$E$7,4)</f>
        <v>3</v>
      </c>
      <c r="E1933" s="92" t="s">
        <v>74</v>
      </c>
      <c r="F1933" s="92" t="s">
        <v>2399</v>
      </c>
      <c r="G1933">
        <f>+IF(dHdcp[[#This Row],[Fecha]]=MAX(dHdcp[Fecha]),1,0)</f>
        <v>0</v>
      </c>
      <c r="H1933" t="str">
        <f>+dHdcp[[#This Row],[Maximo]]&amp;":"&amp;dHdcp[[#This Row],[Nombre]]</f>
        <v>0:Franck Benouniche</v>
      </c>
      <c r="I1933" t="str">
        <f>+dHdcp[[#This Row],[Maximo]]&amp;":"&amp;_xlfn.XLOOKUP(dHdcp[[#This Row],[Nombre]],dJugador[Nombre],dJugador[Mote],"",0)</f>
        <v>0:Franck</v>
      </c>
      <c r="J1933" t="str">
        <f>+IF(dHdcp[[#This Row],[Maximo]]=0,"",_xlfn.RANK.EQ(dHdcp[[#This Row],[Handicap]],dHdcp[Handicap],1))</f>
        <v/>
      </c>
      <c r="K1933" t="str">
        <f>IFERROR(+_xlfn.RANK.EQ(dHdcp[[#This Row],[Ranking]],dHdcp[Ranking],1),"")</f>
        <v/>
      </c>
      <c r="M1933" t="str">
        <f>+dHdcp[[#This Row],[Fecha]]&amp;":"&amp;dHdcp[[#This Row],[Nombre]]</f>
        <v>45346:Franck Benouniche</v>
      </c>
      <c r="N1933">
        <f>+COUNTIF(dHdcp[Columna1],dHdcp[[#This Row],[Columna1]])</f>
        <v>1</v>
      </c>
    </row>
    <row r="1934" spans="1:14">
      <c r="A1934" s="91">
        <v>45346</v>
      </c>
      <c r="B1934" s="92" t="s">
        <v>35</v>
      </c>
      <c r="C1934" s="93">
        <v>20.5</v>
      </c>
      <c r="D1934" s="92">
        <f>+VLOOKUP(dHdcp[[#This Row],[Handicap]],'Categoría Hdcap'!$B$2:$E$7,4)</f>
        <v>4</v>
      </c>
      <c r="E1934" s="92" t="s">
        <v>74</v>
      </c>
      <c r="F1934" s="92" t="s">
        <v>2400</v>
      </c>
      <c r="G1934">
        <f>+IF(dHdcp[[#This Row],[Fecha]]=MAX(dHdcp[Fecha]),1,0)</f>
        <v>0</v>
      </c>
      <c r="H1934" t="str">
        <f>+dHdcp[[#This Row],[Maximo]]&amp;":"&amp;dHdcp[[#This Row],[Nombre]]</f>
        <v>0:GLEZ JUAN JOSÉ</v>
      </c>
      <c r="I1934" t="str">
        <f>+dHdcp[[#This Row],[Maximo]]&amp;":"&amp;_xlfn.XLOOKUP(dHdcp[[#This Row],[Nombre]],dJugador[Nombre],dJugador[Mote],"",0)</f>
        <v>0:Juanjo</v>
      </c>
      <c r="J1934" t="str">
        <f>+IF(dHdcp[[#This Row],[Maximo]]=0,"",_xlfn.RANK.EQ(dHdcp[[#This Row],[Handicap]],dHdcp[Handicap],1))</f>
        <v/>
      </c>
      <c r="K1934" t="str">
        <f>IFERROR(+_xlfn.RANK.EQ(dHdcp[[#This Row],[Ranking]],dHdcp[Ranking],1),"")</f>
        <v/>
      </c>
      <c r="M1934" t="str">
        <f>+dHdcp[[#This Row],[Fecha]]&amp;":"&amp;dHdcp[[#This Row],[Nombre]]</f>
        <v>45346:GLEZ JUAN JOSÉ</v>
      </c>
      <c r="N1934">
        <f>+COUNTIF(dHdcp[Columna1],dHdcp[[#This Row],[Columna1]])</f>
        <v>1</v>
      </c>
    </row>
    <row r="1935" spans="1:14">
      <c r="A1935" s="91">
        <v>45346</v>
      </c>
      <c r="B1935" s="92" t="s">
        <v>6</v>
      </c>
      <c r="C1935" s="93">
        <v>8.1</v>
      </c>
      <c r="D1935" s="92">
        <f>+VLOOKUP(dHdcp[[#This Row],[Handicap]],'Categoría Hdcap'!$B$2:$E$7,4)</f>
        <v>2</v>
      </c>
      <c r="E1935" s="92" t="s">
        <v>74</v>
      </c>
      <c r="F1935" s="92" t="s">
        <v>2401</v>
      </c>
      <c r="G1935">
        <f>+IF(dHdcp[[#This Row],[Fecha]]=MAX(dHdcp[Fecha]),1,0)</f>
        <v>0</v>
      </c>
      <c r="H1935" t="str">
        <f>+dHdcp[[#This Row],[Maximo]]&amp;":"&amp;dHdcp[[#This Row],[Nombre]]</f>
        <v>0:Ignacio Cadarso</v>
      </c>
      <c r="I1935" t="str">
        <f>+dHdcp[[#This Row],[Maximo]]&amp;":"&amp;_xlfn.XLOOKUP(dHdcp[[#This Row],[Nombre]],dJugador[Nombre],dJugador[Mote],"",0)</f>
        <v>0:Ignacio</v>
      </c>
      <c r="J1935" t="str">
        <f>+IF(dHdcp[[#This Row],[Maximo]]=0,"",_xlfn.RANK.EQ(dHdcp[[#This Row],[Handicap]],dHdcp[Handicap],1))</f>
        <v/>
      </c>
      <c r="K1935" t="str">
        <f>IFERROR(+_xlfn.RANK.EQ(dHdcp[[#This Row],[Ranking]],dHdcp[Ranking],1),"")</f>
        <v/>
      </c>
      <c r="M1935" t="str">
        <f>+dHdcp[[#This Row],[Fecha]]&amp;":"&amp;dHdcp[[#This Row],[Nombre]]</f>
        <v>45346:Ignacio Cadarso</v>
      </c>
      <c r="N1935">
        <f>+COUNTIF(dHdcp[Columna1],dHdcp[[#This Row],[Columna1]])</f>
        <v>1</v>
      </c>
    </row>
    <row r="1936" spans="1:14">
      <c r="A1936" s="91">
        <v>45346</v>
      </c>
      <c r="B1936" s="92" t="s">
        <v>298</v>
      </c>
      <c r="C1936" s="93">
        <v>23.7</v>
      </c>
      <c r="D1936" s="92">
        <f>+VLOOKUP(dHdcp[[#This Row],[Handicap]],'Categoría Hdcap'!$B$2:$E$7,4)</f>
        <v>4</v>
      </c>
      <c r="E1936" s="92" t="s">
        <v>74</v>
      </c>
      <c r="F1936" s="92" t="s">
        <v>2402</v>
      </c>
      <c r="G1936">
        <f>+IF(dHdcp[[#This Row],[Fecha]]=MAX(dHdcp[Fecha]),1,0)</f>
        <v>0</v>
      </c>
      <c r="H1936" t="str">
        <f>+dHdcp[[#This Row],[Maximo]]&amp;":"&amp;dHdcp[[#This Row],[Nombre]]</f>
        <v>0:Ignacio Gracia Charlez</v>
      </c>
      <c r="I1936" t="str">
        <f>+dHdcp[[#This Row],[Maximo]]&amp;":"&amp;_xlfn.XLOOKUP(dHdcp[[#This Row],[Nombre]],dJugador[Nombre],dJugador[Mote],"",0)</f>
        <v>0:I Gracia</v>
      </c>
      <c r="J1936" t="str">
        <f>+IF(dHdcp[[#This Row],[Maximo]]=0,"",_xlfn.RANK.EQ(dHdcp[[#This Row],[Handicap]],dHdcp[Handicap],1))</f>
        <v/>
      </c>
      <c r="K1936" t="str">
        <f>IFERROR(+_xlfn.RANK.EQ(dHdcp[[#This Row],[Ranking]],dHdcp[Ranking],1),"")</f>
        <v/>
      </c>
      <c r="M1936" t="str">
        <f>+dHdcp[[#This Row],[Fecha]]&amp;":"&amp;dHdcp[[#This Row],[Nombre]]</f>
        <v>45346:Ignacio Gracia Charlez</v>
      </c>
      <c r="N1936">
        <f>+COUNTIF(dHdcp[Columna1],dHdcp[[#This Row],[Columna1]])</f>
        <v>1</v>
      </c>
    </row>
    <row r="1937" spans="1:14">
      <c r="A1937" s="91">
        <v>45346</v>
      </c>
      <c r="B1937" s="92" t="s">
        <v>23</v>
      </c>
      <c r="C1937" s="93">
        <v>18.899999999999999</v>
      </c>
      <c r="D1937" s="92">
        <f>+VLOOKUP(dHdcp[[#This Row],[Handicap]],'Categoría Hdcap'!$B$2:$E$7,4)</f>
        <v>4</v>
      </c>
      <c r="E1937" s="92" t="s">
        <v>74</v>
      </c>
      <c r="F1937" s="92" t="s">
        <v>2403</v>
      </c>
      <c r="G1937">
        <f>+IF(dHdcp[[#This Row],[Fecha]]=MAX(dHdcp[Fecha]),1,0)</f>
        <v>0</v>
      </c>
      <c r="H1937" t="str">
        <f>+dHdcp[[#This Row],[Maximo]]&amp;":"&amp;dHdcp[[#This Row],[Nombre]]</f>
        <v>0:J. Enrique Gonzalez</v>
      </c>
      <c r="I1937" t="str">
        <f>+dHdcp[[#This Row],[Maximo]]&amp;":"&amp;_xlfn.XLOOKUP(dHdcp[[#This Row],[Nombre]],dJugador[Nombre],dJugador[Mote],"",0)</f>
        <v>0:Kike</v>
      </c>
      <c r="J1937" t="str">
        <f>+IF(dHdcp[[#This Row],[Maximo]]=0,"",_xlfn.RANK.EQ(dHdcp[[#This Row],[Handicap]],dHdcp[Handicap],1))</f>
        <v/>
      </c>
      <c r="K1937" t="str">
        <f>IFERROR(+_xlfn.RANK.EQ(dHdcp[[#This Row],[Ranking]],dHdcp[Ranking],1),"")</f>
        <v/>
      </c>
      <c r="M1937" t="str">
        <f>+dHdcp[[#This Row],[Fecha]]&amp;":"&amp;dHdcp[[#This Row],[Nombre]]</f>
        <v>45346:J. Enrique Gonzalez</v>
      </c>
      <c r="N1937">
        <f>+COUNTIF(dHdcp[Columna1],dHdcp[[#This Row],[Columna1]])</f>
        <v>1</v>
      </c>
    </row>
    <row r="1938" spans="1:14">
      <c r="A1938" s="91">
        <v>45346</v>
      </c>
      <c r="B1938" s="92" t="s">
        <v>289</v>
      </c>
      <c r="C1938" s="93">
        <v>8.9</v>
      </c>
      <c r="D1938" s="92">
        <f>+VLOOKUP(dHdcp[[#This Row],[Handicap]],'Categoría Hdcap'!$B$2:$E$7,4)</f>
        <v>2</v>
      </c>
      <c r="E1938" s="92" t="s">
        <v>74</v>
      </c>
      <c r="F1938" s="92" t="s">
        <v>2404</v>
      </c>
      <c r="G1938">
        <f>+IF(dHdcp[[#This Row],[Fecha]]=MAX(dHdcp[Fecha]),1,0)</f>
        <v>0</v>
      </c>
      <c r="H1938" t="str">
        <f>+dHdcp[[#This Row],[Maximo]]&amp;":"&amp;dHdcp[[#This Row],[Nombre]]</f>
        <v>0:Jaime Villanueva</v>
      </c>
      <c r="I1938" t="str">
        <f>+dHdcp[[#This Row],[Maximo]]&amp;":"&amp;_xlfn.XLOOKUP(dHdcp[[#This Row],[Nombre]],dJugador[Nombre],dJugador[Mote],"",0)</f>
        <v>0:Villanueva</v>
      </c>
      <c r="J1938" t="str">
        <f>+IF(dHdcp[[#This Row],[Maximo]]=0,"",_xlfn.RANK.EQ(dHdcp[[#This Row],[Handicap]],dHdcp[Handicap],1))</f>
        <v/>
      </c>
      <c r="K1938" t="str">
        <f>IFERROR(+_xlfn.RANK.EQ(dHdcp[[#This Row],[Ranking]],dHdcp[Ranking],1),"")</f>
        <v/>
      </c>
      <c r="M1938" t="str">
        <f>+dHdcp[[#This Row],[Fecha]]&amp;":"&amp;dHdcp[[#This Row],[Nombre]]</f>
        <v>45346:Jaime Villanueva</v>
      </c>
      <c r="N1938">
        <f>+COUNTIF(dHdcp[Columna1],dHdcp[[#This Row],[Columna1]])</f>
        <v>1</v>
      </c>
    </row>
    <row r="1939" spans="1:14">
      <c r="A1939" s="91">
        <v>45346</v>
      </c>
      <c r="B1939" s="92" t="s">
        <v>328</v>
      </c>
      <c r="C1939" s="93">
        <v>11.6</v>
      </c>
      <c r="D1939" s="92">
        <f>+VLOOKUP(dHdcp[[#This Row],[Handicap]],'Categoría Hdcap'!$B$2:$E$7,4)</f>
        <v>3</v>
      </c>
      <c r="E1939" s="92" t="s">
        <v>74</v>
      </c>
      <c r="F1939" s="92" t="s">
        <v>2405</v>
      </c>
      <c r="G1939">
        <f>+IF(dHdcp[[#This Row],[Fecha]]=MAX(dHdcp[Fecha]),1,0)</f>
        <v>0</v>
      </c>
      <c r="H1939" t="str">
        <f>+dHdcp[[#This Row],[Maximo]]&amp;":"&amp;dHdcp[[#This Row],[Nombre]]</f>
        <v>0:Javier Arcos</v>
      </c>
      <c r="I1939" t="str">
        <f>+dHdcp[[#This Row],[Maximo]]&amp;":"&amp;_xlfn.XLOOKUP(dHdcp[[#This Row],[Nombre]],dJugador[Nombre],dJugador[Mote],"",0)</f>
        <v>0:J.Arcos</v>
      </c>
      <c r="J1939" t="str">
        <f>+IF(dHdcp[[#This Row],[Maximo]]=0,"",_xlfn.RANK.EQ(dHdcp[[#This Row],[Handicap]],dHdcp[Handicap],1))</f>
        <v/>
      </c>
      <c r="K1939" t="str">
        <f>IFERROR(+_xlfn.RANK.EQ(dHdcp[[#This Row],[Ranking]],dHdcp[Ranking],1),"")</f>
        <v/>
      </c>
      <c r="M1939" t="str">
        <f>+dHdcp[[#This Row],[Fecha]]&amp;":"&amp;dHdcp[[#This Row],[Nombre]]</f>
        <v>45346:Javier Arcos</v>
      </c>
      <c r="N1939">
        <f>+COUNTIF(dHdcp[Columna1],dHdcp[[#This Row],[Columna1]])</f>
        <v>1</v>
      </c>
    </row>
    <row r="1940" spans="1:14">
      <c r="A1940" s="91">
        <v>45346</v>
      </c>
      <c r="B1940" s="92" t="s">
        <v>378</v>
      </c>
      <c r="C1940" s="93">
        <v>11.199999999999992</v>
      </c>
      <c r="D1940" s="92">
        <f>+VLOOKUP(dHdcp[[#This Row],[Handicap]],'Categoría Hdcap'!$B$2:$E$7,4)</f>
        <v>2</v>
      </c>
      <c r="E1940" s="92" t="s">
        <v>74</v>
      </c>
      <c r="F1940" s="92" t="s">
        <v>2406</v>
      </c>
      <c r="G1940">
        <f>+IF(dHdcp[[#This Row],[Fecha]]=MAX(dHdcp[Fecha]),1,0)</f>
        <v>0</v>
      </c>
      <c r="H1940" t="str">
        <f>+dHdcp[[#This Row],[Maximo]]&amp;":"&amp;dHdcp[[#This Row],[Nombre]]</f>
        <v>0:Javier Campo</v>
      </c>
      <c r="I1940" t="str">
        <f>+dHdcp[[#This Row],[Maximo]]&amp;":"&amp;_xlfn.XLOOKUP(dHdcp[[#This Row],[Nombre]],dJugador[Nombre],dJugador[Mote],"",0)</f>
        <v>0:Campo</v>
      </c>
      <c r="J1940" t="str">
        <f>+IF(dHdcp[[#This Row],[Maximo]]=0,"",_xlfn.RANK.EQ(dHdcp[[#This Row],[Handicap]],dHdcp[Handicap],1))</f>
        <v/>
      </c>
      <c r="K1940" t="str">
        <f>IFERROR(+_xlfn.RANK.EQ(dHdcp[[#This Row],[Ranking]],dHdcp[Ranking],1),"")</f>
        <v/>
      </c>
      <c r="M1940" t="str">
        <f>+dHdcp[[#This Row],[Fecha]]&amp;":"&amp;dHdcp[[#This Row],[Nombre]]</f>
        <v>45346:Javier Campo</v>
      </c>
      <c r="N1940">
        <f>+COUNTIF(dHdcp[Columna1],dHdcp[[#This Row],[Columna1]])</f>
        <v>1</v>
      </c>
    </row>
    <row r="1941" spans="1:14">
      <c r="A1941" s="91">
        <v>45346</v>
      </c>
      <c r="B1941" s="92" t="s">
        <v>46</v>
      </c>
      <c r="C1941" s="93">
        <v>16.600000000000001</v>
      </c>
      <c r="D1941" s="92">
        <f>+VLOOKUP(dHdcp[[#This Row],[Handicap]],'Categoría Hdcap'!$B$2:$E$7,4)</f>
        <v>3</v>
      </c>
      <c r="E1941" s="92" t="s">
        <v>74</v>
      </c>
      <c r="F1941" s="92" t="s">
        <v>2407</v>
      </c>
      <c r="G1941">
        <f>+IF(dHdcp[[#This Row],[Fecha]]=MAX(dHdcp[Fecha]),1,0)</f>
        <v>0</v>
      </c>
      <c r="H1941" t="str">
        <f>+dHdcp[[#This Row],[Maximo]]&amp;":"&amp;dHdcp[[#This Row],[Nombre]]</f>
        <v>0:Javier Cervera</v>
      </c>
      <c r="I1941" t="str">
        <f>+dHdcp[[#This Row],[Maximo]]&amp;":"&amp;_xlfn.XLOOKUP(dHdcp[[#This Row],[Nombre]],dJugador[Nombre],dJugador[Mote],"",0)</f>
        <v>0:Virus</v>
      </c>
      <c r="J1941" t="str">
        <f>+IF(dHdcp[[#This Row],[Maximo]]=0,"",_xlfn.RANK.EQ(dHdcp[[#This Row],[Handicap]],dHdcp[Handicap],1))</f>
        <v/>
      </c>
      <c r="K1941" t="str">
        <f>IFERROR(+_xlfn.RANK.EQ(dHdcp[[#This Row],[Ranking]],dHdcp[Ranking],1),"")</f>
        <v/>
      </c>
      <c r="M1941" t="str">
        <f>+dHdcp[[#This Row],[Fecha]]&amp;":"&amp;dHdcp[[#This Row],[Nombre]]</f>
        <v>45346:Javier Cervera</v>
      </c>
      <c r="N1941">
        <f>+COUNTIF(dHdcp[Columna1],dHdcp[[#This Row],[Columna1]])</f>
        <v>1</v>
      </c>
    </row>
    <row r="1942" spans="1:14">
      <c r="A1942" s="91">
        <v>45346</v>
      </c>
      <c r="B1942" s="92" t="s">
        <v>225</v>
      </c>
      <c r="C1942" s="93">
        <v>10.1</v>
      </c>
      <c r="D1942" s="92">
        <f>+VLOOKUP(dHdcp[[#This Row],[Handicap]],'Categoría Hdcap'!$B$2:$E$7,4)</f>
        <v>2</v>
      </c>
      <c r="E1942" s="92" t="s">
        <v>74</v>
      </c>
      <c r="F1942" s="92" t="s">
        <v>2408</v>
      </c>
      <c r="G1942">
        <f>+IF(dHdcp[[#This Row],[Fecha]]=MAX(dHdcp[Fecha]),1,0)</f>
        <v>0</v>
      </c>
      <c r="H1942" t="str">
        <f>+dHdcp[[#This Row],[Maximo]]&amp;":"&amp;dHdcp[[#This Row],[Nombre]]</f>
        <v>0:Javier Chiralt</v>
      </c>
      <c r="I1942" t="str">
        <f>+dHdcp[[#This Row],[Maximo]]&amp;":"&amp;_xlfn.XLOOKUP(dHdcp[[#This Row],[Nombre]],dJugador[Nombre],dJugador[Mote],"",0)</f>
        <v>0:Chiralt</v>
      </c>
      <c r="J1942" t="str">
        <f>+IF(dHdcp[[#This Row],[Maximo]]=0,"",_xlfn.RANK.EQ(dHdcp[[#This Row],[Handicap]],dHdcp[Handicap],1))</f>
        <v/>
      </c>
      <c r="K1942" t="str">
        <f>IFERROR(+_xlfn.RANK.EQ(dHdcp[[#This Row],[Ranking]],dHdcp[Ranking],1),"")</f>
        <v/>
      </c>
      <c r="M1942" t="str">
        <f>+dHdcp[[#This Row],[Fecha]]&amp;":"&amp;dHdcp[[#This Row],[Nombre]]</f>
        <v>45346:Javier Chiralt</v>
      </c>
      <c r="N1942">
        <f>+COUNTIF(dHdcp[Columna1],dHdcp[[#This Row],[Columna1]])</f>
        <v>1</v>
      </c>
    </row>
    <row r="1943" spans="1:14">
      <c r="A1943" s="91">
        <v>45346</v>
      </c>
      <c r="B1943" s="92" t="s">
        <v>20</v>
      </c>
      <c r="C1943" s="93">
        <v>17.5</v>
      </c>
      <c r="D1943" s="92">
        <f>+VLOOKUP(dHdcp[[#This Row],[Handicap]],'Categoría Hdcap'!$B$2:$E$7,4)</f>
        <v>3</v>
      </c>
      <c r="E1943" s="92" t="s">
        <v>74</v>
      </c>
      <c r="F1943" s="92" t="s">
        <v>2409</v>
      </c>
      <c r="G1943">
        <f>+IF(dHdcp[[#This Row],[Fecha]]=MAX(dHdcp[Fecha]),1,0)</f>
        <v>0</v>
      </c>
      <c r="H1943" t="str">
        <f>+dHdcp[[#This Row],[Maximo]]&amp;":"&amp;dHdcp[[#This Row],[Nombre]]</f>
        <v>0:Javier Gonzalez Salvador</v>
      </c>
      <c r="I1943" t="str">
        <f>+dHdcp[[#This Row],[Maximo]]&amp;":"&amp;_xlfn.XLOOKUP(dHdcp[[#This Row],[Nombre]],dJugador[Nombre],dJugador[Mote],"",0)</f>
        <v>0:Javi</v>
      </c>
      <c r="J1943" t="str">
        <f>+IF(dHdcp[[#This Row],[Maximo]]=0,"",_xlfn.RANK.EQ(dHdcp[[#This Row],[Handicap]],dHdcp[Handicap],1))</f>
        <v/>
      </c>
      <c r="K1943" t="str">
        <f>IFERROR(+_xlfn.RANK.EQ(dHdcp[[#This Row],[Ranking]],dHdcp[Ranking],1),"")</f>
        <v/>
      </c>
      <c r="M1943" t="str">
        <f>+dHdcp[[#This Row],[Fecha]]&amp;":"&amp;dHdcp[[#This Row],[Nombre]]</f>
        <v>45346:Javier Gonzalez Salvador</v>
      </c>
      <c r="N1943">
        <f>+COUNTIF(dHdcp[Columna1],dHdcp[[#This Row],[Columna1]])</f>
        <v>1</v>
      </c>
    </row>
    <row r="1944" spans="1:14">
      <c r="A1944" s="91">
        <v>45346</v>
      </c>
      <c r="B1944" s="92" t="s">
        <v>217</v>
      </c>
      <c r="C1944" s="93">
        <v>20.9</v>
      </c>
      <c r="D1944" s="92">
        <f>+VLOOKUP(dHdcp[[#This Row],[Handicap]],'Categoría Hdcap'!$B$2:$E$7,4)</f>
        <v>4</v>
      </c>
      <c r="E1944" s="92" t="s">
        <v>74</v>
      </c>
      <c r="F1944" s="92" t="s">
        <v>2410</v>
      </c>
      <c r="G1944">
        <f>+IF(dHdcp[[#This Row],[Fecha]]=MAX(dHdcp[Fecha]),1,0)</f>
        <v>0</v>
      </c>
      <c r="H1944" t="str">
        <f>+dHdcp[[#This Row],[Maximo]]&amp;":"&amp;dHdcp[[#This Row],[Nombre]]</f>
        <v>0:Javier Lopez Gullón</v>
      </c>
      <c r="I1944" t="str">
        <f>+dHdcp[[#This Row],[Maximo]]&amp;":"&amp;_xlfn.XLOOKUP(dHdcp[[#This Row],[Nombre]],dJugador[Nombre],dJugador[Mote],"",0)</f>
        <v>0:Cuñao</v>
      </c>
      <c r="J1944" t="str">
        <f>+IF(dHdcp[[#This Row],[Maximo]]=0,"",_xlfn.RANK.EQ(dHdcp[[#This Row],[Handicap]],dHdcp[Handicap],1))</f>
        <v/>
      </c>
      <c r="K1944" t="str">
        <f>IFERROR(+_xlfn.RANK.EQ(dHdcp[[#This Row],[Ranking]],dHdcp[Ranking],1),"")</f>
        <v/>
      </c>
      <c r="M1944" t="str">
        <f>+dHdcp[[#This Row],[Fecha]]&amp;":"&amp;dHdcp[[#This Row],[Nombre]]</f>
        <v>45346:Javier Lopez Gullón</v>
      </c>
      <c r="N1944">
        <f>+COUNTIF(dHdcp[Columna1],dHdcp[[#This Row],[Columna1]])</f>
        <v>1</v>
      </c>
    </row>
    <row r="1945" spans="1:14">
      <c r="A1945" s="91">
        <v>45346</v>
      </c>
      <c r="B1945" s="92" t="s">
        <v>41</v>
      </c>
      <c r="C1945" s="93">
        <v>22.2</v>
      </c>
      <c r="D1945" s="92">
        <f>+VLOOKUP(dHdcp[[#This Row],[Handicap]],'Categoría Hdcap'!$B$2:$E$7,4)</f>
        <v>4</v>
      </c>
      <c r="E1945" s="92" t="s">
        <v>74</v>
      </c>
      <c r="F1945" s="92" t="s">
        <v>2411</v>
      </c>
      <c r="G1945">
        <f>+IF(dHdcp[[#This Row],[Fecha]]=MAX(dHdcp[Fecha]),1,0)</f>
        <v>0</v>
      </c>
      <c r="H1945" t="str">
        <f>+dHdcp[[#This Row],[Maximo]]&amp;":"&amp;dHdcp[[#This Row],[Nombre]]</f>
        <v>0:Jesus Touceda</v>
      </c>
      <c r="I1945" t="str">
        <f>+dHdcp[[#This Row],[Maximo]]&amp;":"&amp;_xlfn.XLOOKUP(dHdcp[[#This Row],[Nombre]],dJugador[Nombre],dJugador[Mote],"",0)</f>
        <v>0:Jesús</v>
      </c>
      <c r="J1945" t="str">
        <f>+IF(dHdcp[[#This Row],[Maximo]]=0,"",_xlfn.RANK.EQ(dHdcp[[#This Row],[Handicap]],dHdcp[Handicap],1))</f>
        <v/>
      </c>
      <c r="K1945" t="str">
        <f>IFERROR(+_xlfn.RANK.EQ(dHdcp[[#This Row],[Ranking]],dHdcp[Ranking],1),"")</f>
        <v/>
      </c>
      <c r="M1945" t="str">
        <f>+dHdcp[[#This Row],[Fecha]]&amp;":"&amp;dHdcp[[#This Row],[Nombre]]</f>
        <v>45346:Jesus Touceda</v>
      </c>
      <c r="N1945">
        <f>+COUNTIF(dHdcp[Columna1],dHdcp[[#This Row],[Columna1]])</f>
        <v>1</v>
      </c>
    </row>
    <row r="1946" spans="1:14">
      <c r="A1946" s="91">
        <v>45346</v>
      </c>
      <c r="B1946" s="92" t="s">
        <v>297</v>
      </c>
      <c r="C1946" s="93">
        <v>21.1</v>
      </c>
      <c r="D1946" s="92">
        <f>+VLOOKUP(dHdcp[[#This Row],[Handicap]],'Categoría Hdcap'!$B$2:$E$7,4)</f>
        <v>4</v>
      </c>
      <c r="E1946" s="92" t="s">
        <v>74</v>
      </c>
      <c r="F1946" s="92" t="s">
        <v>2412</v>
      </c>
      <c r="G1946">
        <f>+IF(dHdcp[[#This Row],[Fecha]]=MAX(dHdcp[Fecha]),1,0)</f>
        <v>0</v>
      </c>
      <c r="H1946" t="str">
        <f>+dHdcp[[#This Row],[Maximo]]&amp;":"&amp;dHdcp[[#This Row],[Nombre]]</f>
        <v>0:Jorge Alberto Martínez Sánchez</v>
      </c>
      <c r="I1946" t="str">
        <f>+dHdcp[[#This Row],[Maximo]]&amp;":"&amp;_xlfn.XLOOKUP(dHdcp[[#This Row],[Nombre]],dJugador[Nombre],dJugador[Mote],"",0)</f>
        <v>0:Jorge</v>
      </c>
      <c r="J1946" t="str">
        <f>+IF(dHdcp[[#This Row],[Maximo]]=0,"",_xlfn.RANK.EQ(dHdcp[[#This Row],[Handicap]],dHdcp[Handicap],1))</f>
        <v/>
      </c>
      <c r="K1946" t="str">
        <f>IFERROR(+_xlfn.RANK.EQ(dHdcp[[#This Row],[Ranking]],dHdcp[Ranking],1),"")</f>
        <v/>
      </c>
      <c r="M1946" t="str">
        <f>+dHdcp[[#This Row],[Fecha]]&amp;":"&amp;dHdcp[[#This Row],[Nombre]]</f>
        <v>45346:Jorge Alberto Martínez Sánchez</v>
      </c>
      <c r="N1946">
        <f>+COUNTIF(dHdcp[Columna1],dHdcp[[#This Row],[Columna1]])</f>
        <v>1</v>
      </c>
    </row>
    <row r="1947" spans="1:14">
      <c r="A1947" s="91">
        <v>45346</v>
      </c>
      <c r="B1947" s="92" t="s">
        <v>388</v>
      </c>
      <c r="C1947" s="93">
        <v>26.499999999999986</v>
      </c>
      <c r="D1947" s="92">
        <f>+VLOOKUP(dHdcp[[#This Row],[Handicap]],'Categoría Hdcap'!$B$2:$E$7,4)</f>
        <v>4</v>
      </c>
      <c r="E1947" s="92" t="s">
        <v>74</v>
      </c>
      <c r="F1947" s="92" t="s">
        <v>2413</v>
      </c>
      <c r="G1947">
        <f>+IF(dHdcp[[#This Row],[Fecha]]=MAX(dHdcp[Fecha]),1,0)</f>
        <v>0</v>
      </c>
      <c r="H1947" t="str">
        <f>+dHdcp[[#This Row],[Maximo]]&amp;":"&amp;dHdcp[[#This Row],[Nombre]]</f>
        <v>0:Jose Antonio Santana</v>
      </c>
      <c r="I1947" t="str">
        <f>+dHdcp[[#This Row],[Maximo]]&amp;":"&amp;_xlfn.XLOOKUP(dHdcp[[#This Row],[Nombre]],dJugador[Nombre],dJugador[Mote],"",0)</f>
        <v>0:J Antonio</v>
      </c>
      <c r="J1947" t="str">
        <f>+IF(dHdcp[[#This Row],[Maximo]]=0,"",_xlfn.RANK.EQ(dHdcp[[#This Row],[Handicap]],dHdcp[Handicap],1))</f>
        <v/>
      </c>
      <c r="K1947" t="str">
        <f>IFERROR(+_xlfn.RANK.EQ(dHdcp[[#This Row],[Ranking]],dHdcp[Ranking],1),"")</f>
        <v/>
      </c>
      <c r="M1947" t="str">
        <f>+dHdcp[[#This Row],[Fecha]]&amp;":"&amp;dHdcp[[#This Row],[Nombre]]</f>
        <v>45346:Jose Antonio Santana</v>
      </c>
      <c r="N1947">
        <f>+COUNTIF(dHdcp[Columna1],dHdcp[[#This Row],[Columna1]])</f>
        <v>1</v>
      </c>
    </row>
    <row r="1948" spans="1:14">
      <c r="A1948" s="91">
        <v>45346</v>
      </c>
      <c r="B1948" s="92" t="s">
        <v>18</v>
      </c>
      <c r="C1948" s="93">
        <v>8.1</v>
      </c>
      <c r="D1948" s="92">
        <f>+VLOOKUP(dHdcp[[#This Row],[Handicap]],'Categoría Hdcap'!$B$2:$E$7,4)</f>
        <v>2</v>
      </c>
      <c r="E1948" s="92" t="s">
        <v>74</v>
      </c>
      <c r="F1948" s="92" t="s">
        <v>2414</v>
      </c>
      <c r="G1948">
        <f>+IF(dHdcp[[#This Row],[Fecha]]=MAX(dHdcp[Fecha]),1,0)</f>
        <v>0</v>
      </c>
      <c r="H1948" t="str">
        <f>+dHdcp[[#This Row],[Maximo]]&amp;":"&amp;dHdcp[[#This Row],[Nombre]]</f>
        <v>0:José Pablo Guil</v>
      </c>
      <c r="I1948" t="str">
        <f>+dHdcp[[#This Row],[Maximo]]&amp;":"&amp;_xlfn.XLOOKUP(dHdcp[[#This Row],[Nombre]],dJugador[Nombre],dJugador[Mote],"",0)</f>
        <v>0:JP</v>
      </c>
      <c r="J1948" t="str">
        <f>+IF(dHdcp[[#This Row],[Maximo]]=0,"",_xlfn.RANK.EQ(dHdcp[[#This Row],[Handicap]],dHdcp[Handicap],1))</f>
        <v/>
      </c>
      <c r="K1948" t="str">
        <f>IFERROR(+_xlfn.RANK.EQ(dHdcp[[#This Row],[Ranking]],dHdcp[Ranking],1),"")</f>
        <v/>
      </c>
      <c r="M1948" t="str">
        <f>+dHdcp[[#This Row],[Fecha]]&amp;":"&amp;dHdcp[[#This Row],[Nombre]]</f>
        <v>45346:José Pablo Guil</v>
      </c>
      <c r="N1948">
        <f>+COUNTIF(dHdcp[Columna1],dHdcp[[#This Row],[Columna1]])</f>
        <v>1</v>
      </c>
    </row>
    <row r="1949" spans="1:14">
      <c r="A1949" s="91">
        <v>45346</v>
      </c>
      <c r="B1949" s="92" t="s">
        <v>293</v>
      </c>
      <c r="C1949" s="93">
        <v>20.6</v>
      </c>
      <c r="D1949" s="92">
        <f>+VLOOKUP(dHdcp[[#This Row],[Handicap]],'Categoría Hdcap'!$B$2:$E$7,4)</f>
        <v>4</v>
      </c>
      <c r="E1949" s="92" t="s">
        <v>74</v>
      </c>
      <c r="F1949" s="92" t="s">
        <v>2415</v>
      </c>
      <c r="G1949">
        <f>+IF(dHdcp[[#This Row],[Fecha]]=MAX(dHdcp[Fecha]),1,0)</f>
        <v>0</v>
      </c>
      <c r="H1949" t="str">
        <f>+dHdcp[[#This Row],[Maximo]]&amp;":"&amp;dHdcp[[#This Row],[Nombre]]</f>
        <v>0:Juan Jose Aguado</v>
      </c>
      <c r="I1949" t="str">
        <f>+dHdcp[[#This Row],[Maximo]]&amp;":"&amp;_xlfn.XLOOKUP(dHdcp[[#This Row],[Nombre]],dJugador[Nombre],dJugador[Mote],"",0)</f>
        <v>0:Juancho</v>
      </c>
      <c r="J1949" t="str">
        <f>+IF(dHdcp[[#This Row],[Maximo]]=0,"",_xlfn.RANK.EQ(dHdcp[[#This Row],[Handicap]],dHdcp[Handicap],1))</f>
        <v/>
      </c>
      <c r="K1949" t="str">
        <f>IFERROR(+_xlfn.RANK.EQ(dHdcp[[#This Row],[Ranking]],dHdcp[Ranking],1),"")</f>
        <v/>
      </c>
      <c r="M1949" t="str">
        <f>+dHdcp[[#This Row],[Fecha]]&amp;":"&amp;dHdcp[[#This Row],[Nombre]]</f>
        <v>45346:Juan Jose Aguado</v>
      </c>
      <c r="N1949">
        <f>+COUNTIF(dHdcp[Columna1],dHdcp[[#This Row],[Columna1]])</f>
        <v>1</v>
      </c>
    </row>
    <row r="1950" spans="1:14">
      <c r="A1950" s="91">
        <v>45346</v>
      </c>
      <c r="B1950" s="92" t="s">
        <v>375</v>
      </c>
      <c r="C1950" s="93">
        <v>9.9</v>
      </c>
      <c r="D1950" s="92">
        <f>+VLOOKUP(dHdcp[[#This Row],[Handicap]],'Categoría Hdcap'!$B$2:$E$7,4)</f>
        <v>2</v>
      </c>
      <c r="E1950" s="92" t="s">
        <v>74</v>
      </c>
      <c r="F1950" s="92" t="s">
        <v>2416</v>
      </c>
      <c r="G1950">
        <f>+IF(dHdcp[[#This Row],[Fecha]]=MAX(dHdcp[Fecha]),1,0)</f>
        <v>0</v>
      </c>
      <c r="H1950" t="str">
        <f>+dHdcp[[#This Row],[Maximo]]&amp;":"&amp;dHdcp[[#This Row],[Nombre]]</f>
        <v>0:Luis Fernandez</v>
      </c>
      <c r="I1950" t="str">
        <f>+dHdcp[[#This Row],[Maximo]]&amp;":"&amp;_xlfn.XLOOKUP(dHdcp[[#This Row],[Nombre]],dJugador[Nombre],dJugador[Mote],"",0)</f>
        <v>0:Luis</v>
      </c>
      <c r="J1950" t="str">
        <f>+IF(dHdcp[[#This Row],[Maximo]]=0,"",_xlfn.RANK.EQ(dHdcp[[#This Row],[Handicap]],dHdcp[Handicap],1))</f>
        <v/>
      </c>
      <c r="K1950" t="str">
        <f>IFERROR(+_xlfn.RANK.EQ(dHdcp[[#This Row],[Ranking]],dHdcp[Ranking],1),"")</f>
        <v/>
      </c>
      <c r="M1950" t="str">
        <f>+dHdcp[[#This Row],[Fecha]]&amp;":"&amp;dHdcp[[#This Row],[Nombre]]</f>
        <v>45346:Luis Fernandez</v>
      </c>
      <c r="N1950">
        <f>+COUNTIF(dHdcp[Columna1],dHdcp[[#This Row],[Columna1]])</f>
        <v>1</v>
      </c>
    </row>
    <row r="1951" spans="1:14">
      <c r="A1951" s="91">
        <v>45346</v>
      </c>
      <c r="B1951" s="92" t="s">
        <v>135</v>
      </c>
      <c r="C1951" s="93">
        <v>19</v>
      </c>
      <c r="D1951" s="92">
        <f>+VLOOKUP(dHdcp[[#This Row],[Handicap]],'Categoría Hdcap'!$B$2:$E$7,4)</f>
        <v>4</v>
      </c>
      <c r="E1951" s="92" t="s">
        <v>74</v>
      </c>
      <c r="F1951" s="92" t="s">
        <v>2417</v>
      </c>
      <c r="G1951">
        <f>+IF(dHdcp[[#This Row],[Fecha]]=MAX(dHdcp[Fecha]),1,0)</f>
        <v>0</v>
      </c>
      <c r="H1951" t="str">
        <f>+dHdcp[[#This Row],[Maximo]]&amp;":"&amp;dHdcp[[#This Row],[Nombre]]</f>
        <v>0:Miche Lopez</v>
      </c>
      <c r="I1951" t="str">
        <f>+dHdcp[[#This Row],[Maximo]]&amp;":"&amp;_xlfn.XLOOKUP(dHdcp[[#This Row],[Nombre]],dJugador[Nombre],dJugador[Mote],"",0)</f>
        <v>0:Miche</v>
      </c>
      <c r="J1951" t="str">
        <f>+IF(dHdcp[[#This Row],[Maximo]]=0,"",_xlfn.RANK.EQ(dHdcp[[#This Row],[Handicap]],dHdcp[Handicap],1))</f>
        <v/>
      </c>
      <c r="K1951" t="str">
        <f>IFERROR(+_xlfn.RANK.EQ(dHdcp[[#This Row],[Ranking]],dHdcp[Ranking],1),"")</f>
        <v/>
      </c>
      <c r="M1951" t="str">
        <f>+dHdcp[[#This Row],[Fecha]]&amp;":"&amp;dHdcp[[#This Row],[Nombre]]</f>
        <v>45346:Miche Lopez</v>
      </c>
      <c r="N1951">
        <f>+COUNTIF(dHdcp[Columna1],dHdcp[[#This Row],[Columna1]])</f>
        <v>1</v>
      </c>
    </row>
    <row r="1952" spans="1:14">
      <c r="A1952" s="91">
        <v>45346</v>
      </c>
      <c r="B1952" s="92" t="s">
        <v>205</v>
      </c>
      <c r="C1952" s="93">
        <v>6.2</v>
      </c>
      <c r="D1952" s="92">
        <f>+VLOOKUP(dHdcp[[#This Row],[Handicap]],'Categoría Hdcap'!$B$2:$E$7,4)</f>
        <v>2</v>
      </c>
      <c r="E1952" s="92" t="s">
        <v>74</v>
      </c>
      <c r="F1952" s="92" t="s">
        <v>2418</v>
      </c>
      <c r="G1952">
        <f>+IF(dHdcp[[#This Row],[Fecha]]=MAX(dHdcp[Fecha]),1,0)</f>
        <v>0</v>
      </c>
      <c r="H1952" t="str">
        <f>+dHdcp[[#This Row],[Maximo]]&amp;":"&amp;dHdcp[[#This Row],[Nombre]]</f>
        <v>0:Nacho Casas</v>
      </c>
      <c r="I1952" t="str">
        <f>+dHdcp[[#This Row],[Maximo]]&amp;":"&amp;_xlfn.XLOOKUP(dHdcp[[#This Row],[Nombre]],dJugador[Nombre],dJugador[Mote],"",0)</f>
        <v>0:Nachete</v>
      </c>
      <c r="J1952" t="str">
        <f>+IF(dHdcp[[#This Row],[Maximo]]=0,"",_xlfn.RANK.EQ(dHdcp[[#This Row],[Handicap]],dHdcp[Handicap],1))</f>
        <v/>
      </c>
      <c r="K1952" t="str">
        <f>IFERROR(+_xlfn.RANK.EQ(dHdcp[[#This Row],[Ranking]],dHdcp[Ranking],1),"")</f>
        <v/>
      </c>
      <c r="M1952" t="str">
        <f>+dHdcp[[#This Row],[Fecha]]&amp;":"&amp;dHdcp[[#This Row],[Nombre]]</f>
        <v>45346:Nacho Casas</v>
      </c>
      <c r="N1952">
        <f>+COUNTIF(dHdcp[Columna1],dHdcp[[#This Row],[Columna1]])</f>
        <v>1</v>
      </c>
    </row>
    <row r="1953" spans="1:14">
      <c r="A1953" s="91">
        <v>45346</v>
      </c>
      <c r="B1953" s="92" t="s">
        <v>3</v>
      </c>
      <c r="C1953" s="93">
        <v>6</v>
      </c>
      <c r="D1953" s="92">
        <f>+VLOOKUP(dHdcp[[#This Row],[Handicap]],'Categoría Hdcap'!$B$2:$E$7,4)</f>
        <v>2</v>
      </c>
      <c r="E1953" s="92" t="s">
        <v>74</v>
      </c>
      <c r="F1953" s="92" t="s">
        <v>2419</v>
      </c>
      <c r="G1953">
        <f>+IF(dHdcp[[#This Row],[Fecha]]=MAX(dHdcp[Fecha]),1,0)</f>
        <v>0</v>
      </c>
      <c r="H1953" t="str">
        <f>+dHdcp[[#This Row],[Maximo]]&amp;":"&amp;dHdcp[[#This Row],[Nombre]]</f>
        <v>0:Nacho Gonzalez</v>
      </c>
      <c r="I1953" t="str">
        <f>+dHdcp[[#This Row],[Maximo]]&amp;":"&amp;_xlfn.XLOOKUP(dHdcp[[#This Row],[Nombre]],dJugador[Nombre],dJugador[Mote],"",0)</f>
        <v>0:Nacho</v>
      </c>
      <c r="J1953" t="str">
        <f>+IF(dHdcp[[#This Row],[Maximo]]=0,"",_xlfn.RANK.EQ(dHdcp[[#This Row],[Handicap]],dHdcp[Handicap],1))</f>
        <v/>
      </c>
      <c r="K1953" t="str">
        <f>IFERROR(+_xlfn.RANK.EQ(dHdcp[[#This Row],[Ranking]],dHdcp[Ranking],1),"")</f>
        <v/>
      </c>
      <c r="M1953" t="str">
        <f>+dHdcp[[#This Row],[Fecha]]&amp;":"&amp;dHdcp[[#This Row],[Nombre]]</f>
        <v>45346:Nacho Gonzalez</v>
      </c>
      <c r="N1953">
        <f>+COUNTIF(dHdcp[Columna1],dHdcp[[#This Row],[Columna1]])</f>
        <v>1</v>
      </c>
    </row>
    <row r="1954" spans="1:14">
      <c r="A1954" s="91">
        <v>45346</v>
      </c>
      <c r="B1954" s="92" t="s">
        <v>203</v>
      </c>
      <c r="C1954" s="93">
        <v>16.100000000000001</v>
      </c>
      <c r="D1954" s="92">
        <f>+VLOOKUP(dHdcp[[#This Row],[Handicap]],'Categoría Hdcap'!$B$2:$E$7,4)</f>
        <v>3</v>
      </c>
      <c r="E1954" s="92" t="s">
        <v>74</v>
      </c>
      <c r="F1954" s="92" t="s">
        <v>2420</v>
      </c>
      <c r="G1954">
        <f>+IF(dHdcp[[#This Row],[Fecha]]=MAX(dHdcp[Fecha]),1,0)</f>
        <v>0</v>
      </c>
      <c r="H1954" t="str">
        <f>+dHdcp[[#This Row],[Maximo]]&amp;":"&amp;dHdcp[[#This Row],[Nombre]]</f>
        <v>0:Ruslan Kochman</v>
      </c>
      <c r="I1954" t="str">
        <f>+dHdcp[[#This Row],[Maximo]]&amp;":"&amp;_xlfn.XLOOKUP(dHdcp[[#This Row],[Nombre]],dJugador[Nombre],dJugador[Mote],"",0)</f>
        <v>0:Rus</v>
      </c>
      <c r="J1954" t="str">
        <f>+IF(dHdcp[[#This Row],[Maximo]]=0,"",_xlfn.RANK.EQ(dHdcp[[#This Row],[Handicap]],dHdcp[Handicap],1))</f>
        <v/>
      </c>
      <c r="K1954" t="str">
        <f>IFERROR(+_xlfn.RANK.EQ(dHdcp[[#This Row],[Ranking]],dHdcp[Ranking],1),"")</f>
        <v/>
      </c>
      <c r="M1954" t="str">
        <f>+dHdcp[[#This Row],[Fecha]]&amp;":"&amp;dHdcp[[#This Row],[Nombre]]</f>
        <v>45346:Ruslan Kochman</v>
      </c>
      <c r="N1954">
        <f>+COUNTIF(dHdcp[Columna1],dHdcp[[#This Row],[Columna1]])</f>
        <v>1</v>
      </c>
    </row>
    <row r="1955" spans="1:14">
      <c r="A1955" s="91">
        <v>45346</v>
      </c>
      <c r="B1955" s="92" t="s">
        <v>271</v>
      </c>
      <c r="C1955" s="93">
        <v>16.399999999999999</v>
      </c>
      <c r="D1955" s="92">
        <f>+VLOOKUP(dHdcp[[#This Row],[Handicap]],'Categoría Hdcap'!$B$2:$E$7,4)</f>
        <v>3</v>
      </c>
      <c r="E1955" s="92" t="s">
        <v>74</v>
      </c>
      <c r="F1955" s="92" t="s">
        <v>2421</v>
      </c>
      <c r="G1955">
        <f>+IF(dHdcp[[#This Row],[Fecha]]=MAX(dHdcp[Fecha]),1,0)</f>
        <v>0</v>
      </c>
      <c r="H1955" t="str">
        <f>+dHdcp[[#This Row],[Maximo]]&amp;":"&amp;dHdcp[[#This Row],[Nombre]]</f>
        <v>0:Santi Diaz</v>
      </c>
      <c r="I1955" t="str">
        <f>+dHdcp[[#This Row],[Maximo]]&amp;":"&amp;_xlfn.XLOOKUP(dHdcp[[#This Row],[Nombre]],dJugador[Nombre],dJugador[Mote],"",0)</f>
        <v>0:Santi</v>
      </c>
      <c r="J1955" t="str">
        <f>+IF(dHdcp[[#This Row],[Maximo]]=0,"",_xlfn.RANK.EQ(dHdcp[[#This Row],[Handicap]],dHdcp[Handicap],1))</f>
        <v/>
      </c>
      <c r="K1955" t="str">
        <f>IFERROR(+_xlfn.RANK.EQ(dHdcp[[#This Row],[Ranking]],dHdcp[Ranking],1),"")</f>
        <v/>
      </c>
      <c r="M1955" t="str">
        <f>+dHdcp[[#This Row],[Fecha]]&amp;":"&amp;dHdcp[[#This Row],[Nombre]]</f>
        <v>45346:Santi Diaz</v>
      </c>
      <c r="N1955">
        <f>+COUNTIF(dHdcp[Columna1],dHdcp[[#This Row],[Columna1]])</f>
        <v>1</v>
      </c>
    </row>
    <row r="1956" spans="1:14">
      <c r="A1956" s="98">
        <v>45360</v>
      </c>
      <c r="B1956" s="99" t="s">
        <v>259</v>
      </c>
      <c r="C1956" s="100">
        <v>1.3</v>
      </c>
      <c r="D1956" s="99">
        <f>+VLOOKUP(dHdcp[[#This Row],[Handicap]],'Categoría Hdcap'!$B$2:$E$7,4)</f>
        <v>1</v>
      </c>
      <c r="E1956" s="99" t="s">
        <v>74</v>
      </c>
      <c r="F1956" s="99"/>
      <c r="G1956">
        <f>+IF(dHdcp[[#This Row],[Fecha]]=MAX(dHdcp[Fecha]),1,0)</f>
        <v>0</v>
      </c>
      <c r="H1956" t="str">
        <f>+dHdcp[[#This Row],[Maximo]]&amp;":"&amp;dHdcp[[#This Row],[Nombre]]</f>
        <v>0:Alejandro Arcos</v>
      </c>
      <c r="I1956" t="str">
        <f>+dHdcp[[#This Row],[Maximo]]&amp;":"&amp;_xlfn.XLOOKUP(dHdcp[[#This Row],[Nombre]],dJugador[Nombre],dJugador[Mote],"",0)</f>
        <v>0:Alex</v>
      </c>
      <c r="J1956" t="str">
        <f>+IF(dHdcp[[#This Row],[Maximo]]=0,"",_xlfn.RANK.EQ(dHdcp[[#This Row],[Handicap]],dHdcp[Handicap],1))</f>
        <v/>
      </c>
      <c r="K1956" t="str">
        <f>IFERROR(+_xlfn.RANK.EQ(dHdcp[[#This Row],[Ranking]],dHdcp[Ranking],1),"")</f>
        <v/>
      </c>
      <c r="M1956" t="str">
        <f>+dHdcp[[#This Row],[Fecha]]&amp;":"&amp;dHdcp[[#This Row],[Nombre]]</f>
        <v>45360:Alejandro Arcos</v>
      </c>
      <c r="N1956">
        <f>+COUNTIF(dHdcp[Columna1],dHdcp[[#This Row],[Columna1]])</f>
        <v>1</v>
      </c>
    </row>
    <row r="1957" spans="1:14">
      <c r="A1957" s="98">
        <v>45360</v>
      </c>
      <c r="B1957" s="99" t="s">
        <v>9</v>
      </c>
      <c r="C1957" s="100">
        <v>11.3</v>
      </c>
      <c r="D1957" s="99">
        <f>+VLOOKUP(dHdcp[[#This Row],[Handicap]],'Categoría Hdcap'!$B$2:$E$7,4)</f>
        <v>2</v>
      </c>
      <c r="E1957" s="99" t="s">
        <v>74</v>
      </c>
      <c r="F1957" s="99"/>
      <c r="G1957">
        <f>+IF(dHdcp[[#This Row],[Fecha]]=MAX(dHdcp[Fecha]),1,0)</f>
        <v>0</v>
      </c>
      <c r="H1957" t="str">
        <f>+dHdcp[[#This Row],[Maximo]]&amp;":"&amp;dHdcp[[#This Row],[Nombre]]</f>
        <v>0:Alfonso Hidalgo</v>
      </c>
      <c r="I1957" t="str">
        <f>+dHdcp[[#This Row],[Maximo]]&amp;":"&amp;_xlfn.XLOOKUP(dHdcp[[#This Row],[Nombre]],dJugador[Nombre],dJugador[Mote],"",0)</f>
        <v>0:Alfonso</v>
      </c>
      <c r="J1957" t="str">
        <f>+IF(dHdcp[[#This Row],[Maximo]]=0,"",_xlfn.RANK.EQ(dHdcp[[#This Row],[Handicap]],dHdcp[Handicap],1))</f>
        <v/>
      </c>
      <c r="K1957" t="str">
        <f>IFERROR(+_xlfn.RANK.EQ(dHdcp[[#This Row],[Ranking]],dHdcp[Ranking],1),"")</f>
        <v/>
      </c>
      <c r="M1957" t="str">
        <f>+dHdcp[[#This Row],[Fecha]]&amp;":"&amp;dHdcp[[#This Row],[Nombre]]</f>
        <v>45360:Alfonso Hidalgo</v>
      </c>
      <c r="N1957">
        <f>+COUNTIF(dHdcp[Columna1],dHdcp[[#This Row],[Columna1]])</f>
        <v>1</v>
      </c>
    </row>
    <row r="1958" spans="1:14">
      <c r="A1958" s="98">
        <v>45360</v>
      </c>
      <c r="B1958" s="99" t="s">
        <v>229</v>
      </c>
      <c r="C1958" s="100">
        <v>14.1</v>
      </c>
      <c r="D1958" s="99">
        <f>+VLOOKUP(dHdcp[[#This Row],[Handicap]],'Categoría Hdcap'!$B$2:$E$7,4)</f>
        <v>3</v>
      </c>
      <c r="E1958" s="99" t="s">
        <v>74</v>
      </c>
      <c r="F1958" s="99"/>
      <c r="G1958">
        <f>+IF(dHdcp[[#This Row],[Fecha]]=MAX(dHdcp[Fecha]),1,0)</f>
        <v>0</v>
      </c>
      <c r="H1958" t="str">
        <f>+dHdcp[[#This Row],[Maximo]]&amp;":"&amp;dHdcp[[#This Row],[Nombre]]</f>
        <v>0:Alfonso Zorrilla</v>
      </c>
      <c r="I1958" t="str">
        <f>+dHdcp[[#This Row],[Maximo]]&amp;":"&amp;_xlfn.XLOOKUP(dHdcp[[#This Row],[Nombre]],dJugador[Nombre],dJugador[Mote],"",0)</f>
        <v>0:A Zorrilla</v>
      </c>
      <c r="J1958" t="str">
        <f>+IF(dHdcp[[#This Row],[Maximo]]=0,"",_xlfn.RANK.EQ(dHdcp[[#This Row],[Handicap]],dHdcp[Handicap],1))</f>
        <v/>
      </c>
      <c r="K1958" t="str">
        <f>IFERROR(+_xlfn.RANK.EQ(dHdcp[[#This Row],[Ranking]],dHdcp[Ranking],1),"")</f>
        <v/>
      </c>
      <c r="M1958" t="str">
        <f>+dHdcp[[#This Row],[Fecha]]&amp;":"&amp;dHdcp[[#This Row],[Nombre]]</f>
        <v>45360:Alfonso Zorrilla</v>
      </c>
      <c r="N1958">
        <f>+COUNTIF(dHdcp[Columna1],dHdcp[[#This Row],[Columna1]])</f>
        <v>1</v>
      </c>
    </row>
    <row r="1959" spans="1:14">
      <c r="A1959" s="98">
        <v>45360</v>
      </c>
      <c r="B1959" s="99" t="s">
        <v>15</v>
      </c>
      <c r="C1959" s="100">
        <v>5.0999999999999996</v>
      </c>
      <c r="D1959" s="99">
        <f>+VLOOKUP(dHdcp[[#This Row],[Handicap]],'Categoría Hdcap'!$B$2:$E$7,4)</f>
        <v>2</v>
      </c>
      <c r="E1959" s="99" t="s">
        <v>74</v>
      </c>
      <c r="F1959" s="99"/>
      <c r="G1959">
        <f>+IF(dHdcp[[#This Row],[Fecha]]=MAX(dHdcp[Fecha]),1,0)</f>
        <v>0</v>
      </c>
      <c r="H1959" t="str">
        <f>+dHdcp[[#This Row],[Maximo]]&amp;":"&amp;dHdcp[[#This Row],[Nombre]]</f>
        <v>0:Alvaro Aguirre</v>
      </c>
      <c r="I1959" t="str">
        <f>+dHdcp[[#This Row],[Maximo]]&amp;":"&amp;_xlfn.XLOOKUP(dHdcp[[#This Row],[Nombre]],dJugador[Nombre],dJugador[Mote],"",0)</f>
        <v>0:Gifu</v>
      </c>
      <c r="J1959" t="str">
        <f>+IF(dHdcp[[#This Row],[Maximo]]=0,"",_xlfn.RANK.EQ(dHdcp[[#This Row],[Handicap]],dHdcp[Handicap],1))</f>
        <v/>
      </c>
      <c r="K1959" t="str">
        <f>IFERROR(+_xlfn.RANK.EQ(dHdcp[[#This Row],[Ranking]],dHdcp[Ranking],1),"")</f>
        <v/>
      </c>
      <c r="M1959" t="str">
        <f>+dHdcp[[#This Row],[Fecha]]&amp;":"&amp;dHdcp[[#This Row],[Nombre]]</f>
        <v>45360:Alvaro Aguirre</v>
      </c>
      <c r="N1959">
        <f>+COUNTIF(dHdcp[Columna1],dHdcp[[#This Row],[Columna1]])</f>
        <v>1</v>
      </c>
    </row>
    <row r="1960" spans="1:14">
      <c r="A1960" s="98">
        <v>45360</v>
      </c>
      <c r="B1960" s="99" t="s">
        <v>201</v>
      </c>
      <c r="C1960" s="100">
        <v>9.1000000000000032</v>
      </c>
      <c r="D1960" s="99">
        <f>+VLOOKUP(dHdcp[[#This Row],[Handicap]],'Categoría Hdcap'!$B$2:$E$7,4)</f>
        <v>2</v>
      </c>
      <c r="E1960" s="99" t="s">
        <v>74</v>
      </c>
      <c r="F1960" s="99"/>
      <c r="G1960">
        <f>+IF(dHdcp[[#This Row],[Fecha]]=MAX(dHdcp[Fecha]),1,0)</f>
        <v>0</v>
      </c>
      <c r="H1960" t="str">
        <f>+dHdcp[[#This Row],[Maximo]]&amp;":"&amp;dHdcp[[#This Row],[Nombre]]</f>
        <v>0:Alvaro Montoya</v>
      </c>
      <c r="I1960" t="str">
        <f>+dHdcp[[#This Row],[Maximo]]&amp;":"&amp;_xlfn.XLOOKUP(dHdcp[[#This Row],[Nombre]],dJugador[Nombre],dJugador[Mote],"",0)</f>
        <v>0:Monti</v>
      </c>
      <c r="J1960" t="str">
        <f>+IF(dHdcp[[#This Row],[Maximo]]=0,"",_xlfn.RANK.EQ(dHdcp[[#This Row],[Handicap]],dHdcp[Handicap],1))</f>
        <v/>
      </c>
      <c r="K1960" t="str">
        <f>IFERROR(+_xlfn.RANK.EQ(dHdcp[[#This Row],[Ranking]],dHdcp[Ranking],1),"")</f>
        <v/>
      </c>
      <c r="M1960" t="str">
        <f>+dHdcp[[#This Row],[Fecha]]&amp;":"&amp;dHdcp[[#This Row],[Nombre]]</f>
        <v>45360:Alvaro Montoya</v>
      </c>
      <c r="N1960">
        <f>+COUNTIF(dHdcp[Columna1],dHdcp[[#This Row],[Columna1]])</f>
        <v>1</v>
      </c>
    </row>
    <row r="1961" spans="1:14">
      <c r="A1961" s="98">
        <v>45360</v>
      </c>
      <c r="B1961" s="99" t="s">
        <v>25</v>
      </c>
      <c r="C1961" s="100">
        <v>13.6</v>
      </c>
      <c r="D1961" s="99">
        <f>+VLOOKUP(dHdcp[[#This Row],[Handicap]],'Categoría Hdcap'!$B$2:$E$7,4)</f>
        <v>3</v>
      </c>
      <c r="E1961" s="99" t="s">
        <v>74</v>
      </c>
      <c r="F1961" s="99"/>
      <c r="G1961">
        <f>+IF(dHdcp[[#This Row],[Fecha]]=MAX(dHdcp[Fecha]),1,0)</f>
        <v>0</v>
      </c>
      <c r="H1961" t="str">
        <f>+dHdcp[[#This Row],[Maximo]]&amp;":"&amp;dHdcp[[#This Row],[Nombre]]</f>
        <v>0:Alvaro Nieto</v>
      </c>
      <c r="I1961" t="str">
        <f>+dHdcp[[#This Row],[Maximo]]&amp;":"&amp;_xlfn.XLOOKUP(dHdcp[[#This Row],[Nombre]],dJugador[Nombre],dJugador[Mote],"",0)</f>
        <v>0:Alvaro</v>
      </c>
      <c r="J1961" t="str">
        <f>+IF(dHdcp[[#This Row],[Maximo]]=0,"",_xlfn.RANK.EQ(dHdcp[[#This Row],[Handicap]],dHdcp[Handicap],1))</f>
        <v/>
      </c>
      <c r="K1961" t="str">
        <f>IFERROR(+_xlfn.RANK.EQ(dHdcp[[#This Row],[Ranking]],dHdcp[Ranking],1),"")</f>
        <v/>
      </c>
      <c r="M1961" t="str">
        <f>+dHdcp[[#This Row],[Fecha]]&amp;":"&amp;dHdcp[[#This Row],[Nombre]]</f>
        <v>45360:Alvaro Nieto</v>
      </c>
      <c r="N1961">
        <f>+COUNTIF(dHdcp[Columna1],dHdcp[[#This Row],[Columna1]])</f>
        <v>1</v>
      </c>
    </row>
    <row r="1962" spans="1:14">
      <c r="A1962" s="98">
        <v>45360</v>
      </c>
      <c r="B1962" s="99" t="s">
        <v>33</v>
      </c>
      <c r="C1962" s="100">
        <v>7.8</v>
      </c>
      <c r="D1962" s="99">
        <f>+VLOOKUP(dHdcp[[#This Row],[Handicap]],'Categoría Hdcap'!$B$2:$E$7,4)</f>
        <v>2</v>
      </c>
      <c r="E1962" s="99" t="s">
        <v>74</v>
      </c>
      <c r="F1962" s="99"/>
      <c r="G1962">
        <f>+IF(dHdcp[[#This Row],[Fecha]]=MAX(dHdcp[Fecha]),1,0)</f>
        <v>0</v>
      </c>
      <c r="H1962" t="str">
        <f>+dHdcp[[#This Row],[Maximo]]&amp;":"&amp;dHdcp[[#This Row],[Nombre]]</f>
        <v>0:Angel Hernandez</v>
      </c>
      <c r="I1962" t="str">
        <f>+dHdcp[[#This Row],[Maximo]]&amp;":"&amp;_xlfn.XLOOKUP(dHdcp[[#This Row],[Nombre]],dJugador[Nombre],dJugador[Mote],"",0)</f>
        <v>0:Angel</v>
      </c>
      <c r="J1962" t="str">
        <f>+IF(dHdcp[[#This Row],[Maximo]]=0,"",_xlfn.RANK.EQ(dHdcp[[#This Row],[Handicap]],dHdcp[Handicap],1))</f>
        <v/>
      </c>
      <c r="K1962" t="str">
        <f>IFERROR(+_xlfn.RANK.EQ(dHdcp[[#This Row],[Ranking]],dHdcp[Ranking],1),"")</f>
        <v/>
      </c>
      <c r="M1962" t="str">
        <f>+dHdcp[[#This Row],[Fecha]]&amp;":"&amp;dHdcp[[#This Row],[Nombre]]</f>
        <v>45360:Angel Hernandez</v>
      </c>
      <c r="N1962">
        <f>+COUNTIF(dHdcp[Columna1],dHdcp[[#This Row],[Columna1]])</f>
        <v>1</v>
      </c>
    </row>
    <row r="1963" spans="1:14">
      <c r="A1963" s="98">
        <v>45360</v>
      </c>
      <c r="B1963" s="99" t="s">
        <v>264</v>
      </c>
      <c r="C1963" s="100">
        <v>19.2</v>
      </c>
      <c r="D1963" s="99">
        <f>+VLOOKUP(dHdcp[[#This Row],[Handicap]],'Categoría Hdcap'!$B$2:$E$7,4)</f>
        <v>4</v>
      </c>
      <c r="E1963" s="99" t="s">
        <v>74</v>
      </c>
      <c r="F1963" s="99"/>
      <c r="G1963">
        <f>+IF(dHdcp[[#This Row],[Fecha]]=MAX(dHdcp[Fecha]),1,0)</f>
        <v>0</v>
      </c>
      <c r="H1963" t="str">
        <f>+dHdcp[[#This Row],[Maximo]]&amp;":"&amp;dHdcp[[#This Row],[Nombre]]</f>
        <v>0:Antonio Carmona</v>
      </c>
      <c r="I1963" t="str">
        <f>+dHdcp[[#This Row],[Maximo]]&amp;":"&amp;_xlfn.XLOOKUP(dHdcp[[#This Row],[Nombre]],dJugador[Nombre],dJugador[Mote],"",0)</f>
        <v>0:Antonio</v>
      </c>
      <c r="J1963" t="str">
        <f>+IF(dHdcp[[#This Row],[Maximo]]=0,"",_xlfn.RANK.EQ(dHdcp[[#This Row],[Handicap]],dHdcp[Handicap],1))</f>
        <v/>
      </c>
      <c r="K1963" t="str">
        <f>IFERROR(+_xlfn.RANK.EQ(dHdcp[[#This Row],[Ranking]],dHdcp[Ranking],1),"")</f>
        <v/>
      </c>
      <c r="M1963" t="str">
        <f>+dHdcp[[#This Row],[Fecha]]&amp;":"&amp;dHdcp[[#This Row],[Nombre]]</f>
        <v>45360:Antonio Carmona</v>
      </c>
      <c r="N1963">
        <f>+COUNTIF(dHdcp[Columna1],dHdcp[[#This Row],[Columna1]])</f>
        <v>1</v>
      </c>
    </row>
    <row r="1964" spans="1:14">
      <c r="A1964" s="98">
        <v>45360</v>
      </c>
      <c r="B1964" s="99" t="s">
        <v>291</v>
      </c>
      <c r="C1964" s="100">
        <v>1</v>
      </c>
      <c r="D1964" s="99">
        <f>+VLOOKUP(dHdcp[[#This Row],[Handicap]],'Categoría Hdcap'!$B$2:$E$7,4)</f>
        <v>1</v>
      </c>
      <c r="E1964" s="99" t="s">
        <v>74</v>
      </c>
      <c r="F1964" s="99"/>
      <c r="G1964">
        <f>+IF(dHdcp[[#This Row],[Fecha]]=MAX(dHdcp[Fecha]),1,0)</f>
        <v>0</v>
      </c>
      <c r="H1964" t="str">
        <f>+dHdcp[[#This Row],[Maximo]]&amp;":"&amp;dHdcp[[#This Row],[Nombre]]</f>
        <v>0:Carlos Maestro</v>
      </c>
      <c r="I1964" t="str">
        <f>+dHdcp[[#This Row],[Maximo]]&amp;":"&amp;_xlfn.XLOOKUP(dHdcp[[#This Row],[Nombre]],dJugador[Nombre],dJugador[Mote],"",0)</f>
        <v>0:Carlitos</v>
      </c>
      <c r="J1964" t="str">
        <f>+IF(dHdcp[[#This Row],[Maximo]]=0,"",_xlfn.RANK.EQ(dHdcp[[#This Row],[Handicap]],dHdcp[Handicap],1))</f>
        <v/>
      </c>
      <c r="K1964" t="str">
        <f>IFERROR(+_xlfn.RANK.EQ(dHdcp[[#This Row],[Ranking]],dHdcp[Ranking],1),"")</f>
        <v/>
      </c>
      <c r="M1964" t="str">
        <f>+dHdcp[[#This Row],[Fecha]]&amp;":"&amp;dHdcp[[#This Row],[Nombre]]</f>
        <v>45360:Carlos Maestro</v>
      </c>
      <c r="N1964">
        <f>+COUNTIF(dHdcp[Columna1],dHdcp[[#This Row],[Columna1]])</f>
        <v>1</v>
      </c>
    </row>
    <row r="1965" spans="1:14">
      <c r="A1965" s="98">
        <v>45360</v>
      </c>
      <c r="B1965" s="99" t="s">
        <v>30</v>
      </c>
      <c r="C1965" s="100">
        <v>12.8</v>
      </c>
      <c r="D1965" s="99">
        <f>+VLOOKUP(dHdcp[[#This Row],[Handicap]],'Categoría Hdcap'!$B$2:$E$7,4)</f>
        <v>3</v>
      </c>
      <c r="E1965" s="99" t="s">
        <v>74</v>
      </c>
      <c r="F1965" s="99"/>
      <c r="G1965">
        <f>+IF(dHdcp[[#This Row],[Fecha]]=MAX(dHdcp[Fecha]),1,0)</f>
        <v>0</v>
      </c>
      <c r="H1965" t="str">
        <f>+dHdcp[[#This Row],[Maximo]]&amp;":"&amp;dHdcp[[#This Row],[Nombre]]</f>
        <v>0:David Sequera</v>
      </c>
      <c r="I1965" t="str">
        <f>+dHdcp[[#This Row],[Maximo]]&amp;":"&amp;_xlfn.XLOOKUP(dHdcp[[#This Row],[Nombre]],dJugador[Nombre],dJugador[Mote],"",0)</f>
        <v>0:David</v>
      </c>
      <c r="J1965" t="str">
        <f>+IF(dHdcp[[#This Row],[Maximo]]=0,"",_xlfn.RANK.EQ(dHdcp[[#This Row],[Handicap]],dHdcp[Handicap],1))</f>
        <v/>
      </c>
      <c r="K1965" t="str">
        <f>IFERROR(+_xlfn.RANK.EQ(dHdcp[[#This Row],[Ranking]],dHdcp[Ranking],1),"")</f>
        <v/>
      </c>
      <c r="M1965" t="str">
        <f>+dHdcp[[#This Row],[Fecha]]&amp;":"&amp;dHdcp[[#This Row],[Nombre]]</f>
        <v>45360:David Sequera</v>
      </c>
      <c r="N1965">
        <f>+COUNTIF(dHdcp[Columna1],dHdcp[[#This Row],[Columna1]])</f>
        <v>1</v>
      </c>
    </row>
    <row r="1966" spans="1:14">
      <c r="A1966" s="98">
        <v>45360</v>
      </c>
      <c r="B1966" s="99" t="s">
        <v>326</v>
      </c>
      <c r="C1966" s="100">
        <v>13.6</v>
      </c>
      <c r="D1966" s="99">
        <f>+VLOOKUP(dHdcp[[#This Row],[Handicap]],'Categoría Hdcap'!$B$2:$E$7,4)</f>
        <v>3</v>
      </c>
      <c r="E1966" s="99" t="s">
        <v>74</v>
      </c>
      <c r="F1966" s="99"/>
      <c r="G1966">
        <f>+IF(dHdcp[[#This Row],[Fecha]]=MAX(dHdcp[Fecha]),1,0)</f>
        <v>0</v>
      </c>
      <c r="H1966" t="str">
        <f>+dHdcp[[#This Row],[Maximo]]&amp;":"&amp;dHdcp[[#This Row],[Nombre]]</f>
        <v>0:Eduardo Buendía</v>
      </c>
      <c r="I1966" t="str">
        <f>+dHdcp[[#This Row],[Maximo]]&amp;":"&amp;_xlfn.XLOOKUP(dHdcp[[#This Row],[Nombre]],dJugador[Nombre],dJugador[Mote],"",0)</f>
        <v>0:Eduardo</v>
      </c>
      <c r="J1966" t="str">
        <f>+IF(dHdcp[[#This Row],[Maximo]]=0,"",_xlfn.RANK.EQ(dHdcp[[#This Row],[Handicap]],dHdcp[Handicap],1))</f>
        <v/>
      </c>
      <c r="K1966" t="str">
        <f>IFERROR(+_xlfn.RANK.EQ(dHdcp[[#This Row],[Ranking]],dHdcp[Ranking],1),"")</f>
        <v/>
      </c>
      <c r="M1966" t="str">
        <f>+dHdcp[[#This Row],[Fecha]]&amp;":"&amp;dHdcp[[#This Row],[Nombre]]</f>
        <v>45360:Eduardo Buendía</v>
      </c>
      <c r="N1966">
        <f>+COUNTIF(dHdcp[Columna1],dHdcp[[#This Row],[Columna1]])</f>
        <v>1</v>
      </c>
    </row>
    <row r="1967" spans="1:14">
      <c r="A1967" s="98">
        <v>45360</v>
      </c>
      <c r="B1967" s="99" t="s">
        <v>248</v>
      </c>
      <c r="C1967" s="100">
        <v>13</v>
      </c>
      <c r="D1967" s="99">
        <f>+VLOOKUP(dHdcp[[#This Row],[Handicap]],'Categoría Hdcap'!$B$2:$E$7,4)</f>
        <v>3</v>
      </c>
      <c r="E1967" s="99" t="s">
        <v>74</v>
      </c>
      <c r="F1967" s="99"/>
      <c r="G1967">
        <f>+IF(dHdcp[[#This Row],[Fecha]]=MAX(dHdcp[Fecha]),1,0)</f>
        <v>0</v>
      </c>
      <c r="H1967" t="str">
        <f>+dHdcp[[#This Row],[Maximo]]&amp;":"&amp;dHdcp[[#This Row],[Nombre]]</f>
        <v>0:Enrique Gonzalez R</v>
      </c>
      <c r="I1967" t="str">
        <f>+dHdcp[[#This Row],[Maximo]]&amp;":"&amp;_xlfn.XLOOKUP(dHdcp[[#This Row],[Nombre]],dJugador[Nombre],dJugador[Mote],"",0)</f>
        <v>0:Enrique</v>
      </c>
      <c r="J1967" t="str">
        <f>+IF(dHdcp[[#This Row],[Maximo]]=0,"",_xlfn.RANK.EQ(dHdcp[[#This Row],[Handicap]],dHdcp[Handicap],1))</f>
        <v/>
      </c>
      <c r="K1967" t="str">
        <f>IFERROR(+_xlfn.RANK.EQ(dHdcp[[#This Row],[Ranking]],dHdcp[Ranking],1),"")</f>
        <v/>
      </c>
      <c r="M1967" t="str">
        <f>+dHdcp[[#This Row],[Fecha]]&amp;":"&amp;dHdcp[[#This Row],[Nombre]]</f>
        <v>45360:Enrique Gonzalez R</v>
      </c>
      <c r="N1967">
        <f>+COUNTIF(dHdcp[Columna1],dHdcp[[#This Row],[Columna1]])</f>
        <v>1</v>
      </c>
    </row>
    <row r="1968" spans="1:14">
      <c r="A1968" s="98">
        <v>45360</v>
      </c>
      <c r="B1968" s="99" t="s">
        <v>12</v>
      </c>
      <c r="C1968" s="100">
        <v>15.2</v>
      </c>
      <c r="D1968" s="99">
        <f>+VLOOKUP(dHdcp[[#This Row],[Handicap]],'Categoría Hdcap'!$B$2:$E$7,4)</f>
        <v>3</v>
      </c>
      <c r="E1968" s="99" t="s">
        <v>74</v>
      </c>
      <c r="F1968" s="99"/>
      <c r="G1968">
        <f>+IF(dHdcp[[#This Row],[Fecha]]=MAX(dHdcp[Fecha]),1,0)</f>
        <v>0</v>
      </c>
      <c r="H1968" t="str">
        <f>+dHdcp[[#This Row],[Maximo]]&amp;":"&amp;dHdcp[[#This Row],[Nombre]]</f>
        <v>0:Francisco Alvarez</v>
      </c>
      <c r="I1968" t="str">
        <f>+dHdcp[[#This Row],[Maximo]]&amp;":"&amp;_xlfn.XLOOKUP(dHdcp[[#This Row],[Nombre]],dJugador[Nombre],dJugador[Mote],"",0)</f>
        <v>0:Paco</v>
      </c>
      <c r="J1968" t="str">
        <f>+IF(dHdcp[[#This Row],[Maximo]]=0,"",_xlfn.RANK.EQ(dHdcp[[#This Row],[Handicap]],dHdcp[Handicap],1))</f>
        <v/>
      </c>
      <c r="K1968" t="str">
        <f>IFERROR(+_xlfn.RANK.EQ(dHdcp[[#This Row],[Ranking]],dHdcp[Ranking],1),"")</f>
        <v/>
      </c>
      <c r="M1968" t="str">
        <f>+dHdcp[[#This Row],[Fecha]]&amp;":"&amp;dHdcp[[#This Row],[Nombre]]</f>
        <v>45360:Francisco Alvarez</v>
      </c>
      <c r="N1968">
        <f>+COUNTIF(dHdcp[Columna1],dHdcp[[#This Row],[Columna1]])</f>
        <v>1</v>
      </c>
    </row>
    <row r="1969" spans="1:14">
      <c r="A1969" s="98">
        <v>45360</v>
      </c>
      <c r="B1969" s="99" t="s">
        <v>49</v>
      </c>
      <c r="C1969" s="100">
        <v>12.7</v>
      </c>
      <c r="D1969" s="99">
        <f>+VLOOKUP(dHdcp[[#This Row],[Handicap]],'Categoría Hdcap'!$B$2:$E$7,4)</f>
        <v>3</v>
      </c>
      <c r="E1969" s="99" t="s">
        <v>74</v>
      </c>
      <c r="F1969" s="99"/>
      <c r="G1969">
        <f>+IF(dHdcp[[#This Row],[Fecha]]=MAX(dHdcp[Fecha]),1,0)</f>
        <v>0</v>
      </c>
      <c r="H1969" t="str">
        <f>+dHdcp[[#This Row],[Maximo]]&amp;":"&amp;dHdcp[[#This Row],[Nombre]]</f>
        <v>0:Francisco Hidalgo</v>
      </c>
      <c r="I1969" t="str">
        <f>+dHdcp[[#This Row],[Maximo]]&amp;":"&amp;_xlfn.XLOOKUP(dHdcp[[#This Row],[Nombre]],dJugador[Nombre],dJugador[Mote],"",0)</f>
        <v>0:Fran</v>
      </c>
      <c r="J1969" t="str">
        <f>+IF(dHdcp[[#This Row],[Maximo]]=0,"",_xlfn.RANK.EQ(dHdcp[[#This Row],[Handicap]],dHdcp[Handicap],1))</f>
        <v/>
      </c>
      <c r="K1969" t="str">
        <f>IFERROR(+_xlfn.RANK.EQ(dHdcp[[#This Row],[Ranking]],dHdcp[Ranking],1),"")</f>
        <v/>
      </c>
      <c r="M1969" t="str">
        <f>+dHdcp[[#This Row],[Fecha]]&amp;":"&amp;dHdcp[[#This Row],[Nombre]]</f>
        <v>45360:Francisco Hidalgo</v>
      </c>
      <c r="N1969">
        <f>+COUNTIF(dHdcp[Columna1],dHdcp[[#This Row],[Columna1]])</f>
        <v>1</v>
      </c>
    </row>
    <row r="1970" spans="1:14">
      <c r="A1970" s="98">
        <v>45360</v>
      </c>
      <c r="B1970" s="99" t="s">
        <v>207</v>
      </c>
      <c r="C1970" s="100">
        <v>15</v>
      </c>
      <c r="D1970" s="99">
        <f>+VLOOKUP(dHdcp[[#This Row],[Handicap]],'Categoría Hdcap'!$B$2:$E$7,4)</f>
        <v>3</v>
      </c>
      <c r="E1970" s="99" t="s">
        <v>74</v>
      </c>
      <c r="F1970" s="99"/>
      <c r="G1970">
        <f>+IF(dHdcp[[#This Row],[Fecha]]=MAX(dHdcp[Fecha]),1,0)</f>
        <v>0</v>
      </c>
      <c r="H1970" t="str">
        <f>+dHdcp[[#This Row],[Maximo]]&amp;":"&amp;dHdcp[[#This Row],[Nombre]]</f>
        <v>0:Franck Benouniche</v>
      </c>
      <c r="I1970" t="str">
        <f>+dHdcp[[#This Row],[Maximo]]&amp;":"&amp;_xlfn.XLOOKUP(dHdcp[[#This Row],[Nombre]],dJugador[Nombre],dJugador[Mote],"",0)</f>
        <v>0:Franck</v>
      </c>
      <c r="J1970" t="str">
        <f>+IF(dHdcp[[#This Row],[Maximo]]=0,"",_xlfn.RANK.EQ(dHdcp[[#This Row],[Handicap]],dHdcp[Handicap],1))</f>
        <v/>
      </c>
      <c r="K1970" t="str">
        <f>IFERROR(+_xlfn.RANK.EQ(dHdcp[[#This Row],[Ranking]],dHdcp[Ranking],1),"")</f>
        <v/>
      </c>
      <c r="M1970" t="str">
        <f>+dHdcp[[#This Row],[Fecha]]&amp;":"&amp;dHdcp[[#This Row],[Nombre]]</f>
        <v>45360:Franck Benouniche</v>
      </c>
      <c r="N1970">
        <f>+COUNTIF(dHdcp[Columna1],dHdcp[[#This Row],[Columna1]])</f>
        <v>1</v>
      </c>
    </row>
    <row r="1971" spans="1:14">
      <c r="A1971" s="98">
        <v>45360</v>
      </c>
      <c r="B1971" s="99" t="s">
        <v>35</v>
      </c>
      <c r="C1971" s="100">
        <v>20.9</v>
      </c>
      <c r="D1971" s="99">
        <f>+VLOOKUP(dHdcp[[#This Row],[Handicap]],'Categoría Hdcap'!$B$2:$E$7,4)</f>
        <v>4</v>
      </c>
      <c r="E1971" s="99" t="s">
        <v>74</v>
      </c>
      <c r="F1971" s="99"/>
      <c r="G1971">
        <f>+IF(dHdcp[[#This Row],[Fecha]]=MAX(dHdcp[Fecha]),1,0)</f>
        <v>0</v>
      </c>
      <c r="H1971" t="str">
        <f>+dHdcp[[#This Row],[Maximo]]&amp;":"&amp;dHdcp[[#This Row],[Nombre]]</f>
        <v>0:GLEZ JUAN JOSÉ</v>
      </c>
      <c r="I1971" t="str">
        <f>+dHdcp[[#This Row],[Maximo]]&amp;":"&amp;_xlfn.XLOOKUP(dHdcp[[#This Row],[Nombre]],dJugador[Nombre],dJugador[Mote],"",0)</f>
        <v>0:Juanjo</v>
      </c>
      <c r="J1971" t="str">
        <f>+IF(dHdcp[[#This Row],[Maximo]]=0,"",_xlfn.RANK.EQ(dHdcp[[#This Row],[Handicap]],dHdcp[Handicap],1))</f>
        <v/>
      </c>
      <c r="K1971" t="str">
        <f>IFERROR(+_xlfn.RANK.EQ(dHdcp[[#This Row],[Ranking]],dHdcp[Ranking],1),"")</f>
        <v/>
      </c>
      <c r="M1971" t="str">
        <f>+dHdcp[[#This Row],[Fecha]]&amp;":"&amp;dHdcp[[#This Row],[Nombre]]</f>
        <v>45360:GLEZ JUAN JOSÉ</v>
      </c>
      <c r="N1971">
        <f>+COUNTIF(dHdcp[Columna1],dHdcp[[#This Row],[Columna1]])</f>
        <v>1</v>
      </c>
    </row>
    <row r="1972" spans="1:14">
      <c r="A1972" s="98">
        <v>45360</v>
      </c>
      <c r="B1972" s="99" t="s">
        <v>6</v>
      </c>
      <c r="C1972" s="100">
        <v>8.1</v>
      </c>
      <c r="D1972" s="99">
        <f>+VLOOKUP(dHdcp[[#This Row],[Handicap]],'Categoría Hdcap'!$B$2:$E$7,4)</f>
        <v>2</v>
      </c>
      <c r="E1972" s="99" t="s">
        <v>74</v>
      </c>
      <c r="F1972" s="99"/>
      <c r="G1972">
        <f>+IF(dHdcp[[#This Row],[Fecha]]=MAX(dHdcp[Fecha]),1,0)</f>
        <v>0</v>
      </c>
      <c r="H1972" t="str">
        <f>+dHdcp[[#This Row],[Maximo]]&amp;":"&amp;dHdcp[[#This Row],[Nombre]]</f>
        <v>0:Ignacio Cadarso</v>
      </c>
      <c r="I1972" t="str">
        <f>+dHdcp[[#This Row],[Maximo]]&amp;":"&amp;_xlfn.XLOOKUP(dHdcp[[#This Row],[Nombre]],dJugador[Nombre],dJugador[Mote],"",0)</f>
        <v>0:Ignacio</v>
      </c>
      <c r="J1972" t="str">
        <f>+IF(dHdcp[[#This Row],[Maximo]]=0,"",_xlfn.RANK.EQ(dHdcp[[#This Row],[Handicap]],dHdcp[Handicap],1))</f>
        <v/>
      </c>
      <c r="K1972" t="str">
        <f>IFERROR(+_xlfn.RANK.EQ(dHdcp[[#This Row],[Ranking]],dHdcp[Ranking],1),"")</f>
        <v/>
      </c>
      <c r="M1972" t="str">
        <f>+dHdcp[[#This Row],[Fecha]]&amp;":"&amp;dHdcp[[#This Row],[Nombre]]</f>
        <v>45360:Ignacio Cadarso</v>
      </c>
      <c r="N1972">
        <f>+COUNTIF(dHdcp[Columna1],dHdcp[[#This Row],[Columna1]])</f>
        <v>1</v>
      </c>
    </row>
    <row r="1973" spans="1:14">
      <c r="A1973" s="98">
        <v>45360</v>
      </c>
      <c r="B1973" s="99" t="s">
        <v>298</v>
      </c>
      <c r="C1973" s="100">
        <v>23.7</v>
      </c>
      <c r="D1973" s="99">
        <f>+VLOOKUP(dHdcp[[#This Row],[Handicap]],'Categoría Hdcap'!$B$2:$E$7,4)</f>
        <v>4</v>
      </c>
      <c r="E1973" s="99" t="s">
        <v>74</v>
      </c>
      <c r="F1973" s="99"/>
      <c r="G1973">
        <f>+IF(dHdcp[[#This Row],[Fecha]]=MAX(dHdcp[Fecha]),1,0)</f>
        <v>0</v>
      </c>
      <c r="H1973" t="str">
        <f>+dHdcp[[#This Row],[Maximo]]&amp;":"&amp;dHdcp[[#This Row],[Nombre]]</f>
        <v>0:Ignacio Gracia Charlez</v>
      </c>
      <c r="I1973" t="str">
        <f>+dHdcp[[#This Row],[Maximo]]&amp;":"&amp;_xlfn.XLOOKUP(dHdcp[[#This Row],[Nombre]],dJugador[Nombre],dJugador[Mote],"",0)</f>
        <v>0:I Gracia</v>
      </c>
      <c r="J1973" t="str">
        <f>+IF(dHdcp[[#This Row],[Maximo]]=0,"",_xlfn.RANK.EQ(dHdcp[[#This Row],[Handicap]],dHdcp[Handicap],1))</f>
        <v/>
      </c>
      <c r="K1973" t="str">
        <f>IFERROR(+_xlfn.RANK.EQ(dHdcp[[#This Row],[Ranking]],dHdcp[Ranking],1),"")</f>
        <v/>
      </c>
      <c r="M1973" t="str">
        <f>+dHdcp[[#This Row],[Fecha]]&amp;":"&amp;dHdcp[[#This Row],[Nombre]]</f>
        <v>45360:Ignacio Gracia Charlez</v>
      </c>
      <c r="N1973">
        <f>+COUNTIF(dHdcp[Columna1],dHdcp[[#This Row],[Columna1]])</f>
        <v>1</v>
      </c>
    </row>
    <row r="1974" spans="1:14">
      <c r="A1974" s="98">
        <v>45360</v>
      </c>
      <c r="B1974" s="99" t="s">
        <v>23</v>
      </c>
      <c r="C1974" s="100">
        <v>18.899999999999999</v>
      </c>
      <c r="D1974" s="99">
        <f>+VLOOKUP(dHdcp[[#This Row],[Handicap]],'Categoría Hdcap'!$B$2:$E$7,4)</f>
        <v>4</v>
      </c>
      <c r="E1974" s="99" t="s">
        <v>74</v>
      </c>
      <c r="F1974" s="99"/>
      <c r="G1974">
        <f>+IF(dHdcp[[#This Row],[Fecha]]=MAX(dHdcp[Fecha]),1,0)</f>
        <v>0</v>
      </c>
      <c r="H1974" t="str">
        <f>+dHdcp[[#This Row],[Maximo]]&amp;":"&amp;dHdcp[[#This Row],[Nombre]]</f>
        <v>0:J. Enrique Gonzalez</v>
      </c>
      <c r="I1974" t="str">
        <f>+dHdcp[[#This Row],[Maximo]]&amp;":"&amp;_xlfn.XLOOKUP(dHdcp[[#This Row],[Nombre]],dJugador[Nombre],dJugador[Mote],"",0)</f>
        <v>0:Kike</v>
      </c>
      <c r="J1974" t="str">
        <f>+IF(dHdcp[[#This Row],[Maximo]]=0,"",_xlfn.RANK.EQ(dHdcp[[#This Row],[Handicap]],dHdcp[Handicap],1))</f>
        <v/>
      </c>
      <c r="K1974" t="str">
        <f>IFERROR(+_xlfn.RANK.EQ(dHdcp[[#This Row],[Ranking]],dHdcp[Ranking],1),"")</f>
        <v/>
      </c>
      <c r="M1974" t="str">
        <f>+dHdcp[[#This Row],[Fecha]]&amp;":"&amp;dHdcp[[#This Row],[Nombre]]</f>
        <v>45360:J. Enrique Gonzalez</v>
      </c>
      <c r="N1974">
        <f>+COUNTIF(dHdcp[Columna1],dHdcp[[#This Row],[Columna1]])</f>
        <v>1</v>
      </c>
    </row>
    <row r="1975" spans="1:14">
      <c r="A1975" s="98">
        <v>45360</v>
      </c>
      <c r="B1975" s="99" t="s">
        <v>289</v>
      </c>
      <c r="C1975" s="100">
        <v>8.9</v>
      </c>
      <c r="D1975" s="99">
        <f>+VLOOKUP(dHdcp[[#This Row],[Handicap]],'Categoría Hdcap'!$B$2:$E$7,4)</f>
        <v>2</v>
      </c>
      <c r="E1975" s="99" t="s">
        <v>74</v>
      </c>
      <c r="F1975" s="99"/>
      <c r="G1975">
        <f>+IF(dHdcp[[#This Row],[Fecha]]=MAX(dHdcp[Fecha]),1,0)</f>
        <v>0</v>
      </c>
      <c r="H1975" t="str">
        <f>+dHdcp[[#This Row],[Maximo]]&amp;":"&amp;dHdcp[[#This Row],[Nombre]]</f>
        <v>0:Jaime Villanueva</v>
      </c>
      <c r="I1975" t="str">
        <f>+dHdcp[[#This Row],[Maximo]]&amp;":"&amp;_xlfn.XLOOKUP(dHdcp[[#This Row],[Nombre]],dJugador[Nombre],dJugador[Mote],"",0)</f>
        <v>0:Villanueva</v>
      </c>
      <c r="J1975" t="str">
        <f>+IF(dHdcp[[#This Row],[Maximo]]=0,"",_xlfn.RANK.EQ(dHdcp[[#This Row],[Handicap]],dHdcp[Handicap],1))</f>
        <v/>
      </c>
      <c r="K1975" t="str">
        <f>IFERROR(+_xlfn.RANK.EQ(dHdcp[[#This Row],[Ranking]],dHdcp[Ranking],1),"")</f>
        <v/>
      </c>
      <c r="M1975" t="str">
        <f>+dHdcp[[#This Row],[Fecha]]&amp;":"&amp;dHdcp[[#This Row],[Nombre]]</f>
        <v>45360:Jaime Villanueva</v>
      </c>
      <c r="N1975">
        <f>+COUNTIF(dHdcp[Columna1],dHdcp[[#This Row],[Columna1]])</f>
        <v>1</v>
      </c>
    </row>
    <row r="1976" spans="1:14">
      <c r="A1976" s="98">
        <v>45360</v>
      </c>
      <c r="B1976" s="99" t="s">
        <v>328</v>
      </c>
      <c r="C1976" s="100">
        <v>11.6</v>
      </c>
      <c r="D1976" s="99">
        <f>+VLOOKUP(dHdcp[[#This Row],[Handicap]],'Categoría Hdcap'!$B$2:$E$7,4)</f>
        <v>3</v>
      </c>
      <c r="E1976" s="99" t="s">
        <v>74</v>
      </c>
      <c r="F1976" s="99"/>
      <c r="G1976">
        <f>+IF(dHdcp[[#This Row],[Fecha]]=MAX(dHdcp[Fecha]),1,0)</f>
        <v>0</v>
      </c>
      <c r="H1976" t="str">
        <f>+dHdcp[[#This Row],[Maximo]]&amp;":"&amp;dHdcp[[#This Row],[Nombre]]</f>
        <v>0:Javier Arcos</v>
      </c>
      <c r="I1976" t="str">
        <f>+dHdcp[[#This Row],[Maximo]]&amp;":"&amp;_xlfn.XLOOKUP(dHdcp[[#This Row],[Nombre]],dJugador[Nombre],dJugador[Mote],"",0)</f>
        <v>0:J.Arcos</v>
      </c>
      <c r="J1976" t="str">
        <f>+IF(dHdcp[[#This Row],[Maximo]]=0,"",_xlfn.RANK.EQ(dHdcp[[#This Row],[Handicap]],dHdcp[Handicap],1))</f>
        <v/>
      </c>
      <c r="K1976" t="str">
        <f>IFERROR(+_xlfn.RANK.EQ(dHdcp[[#This Row],[Ranking]],dHdcp[Ranking],1),"")</f>
        <v/>
      </c>
      <c r="M1976" t="str">
        <f>+dHdcp[[#This Row],[Fecha]]&amp;":"&amp;dHdcp[[#This Row],[Nombre]]</f>
        <v>45360:Javier Arcos</v>
      </c>
      <c r="N1976">
        <f>+COUNTIF(dHdcp[Columna1],dHdcp[[#This Row],[Columna1]])</f>
        <v>1</v>
      </c>
    </row>
    <row r="1977" spans="1:14">
      <c r="A1977" s="98">
        <v>45360</v>
      </c>
      <c r="B1977" s="99" t="s">
        <v>378</v>
      </c>
      <c r="C1977" s="53">
        <v>11.199999999999992</v>
      </c>
      <c r="D1977" s="99">
        <f>+VLOOKUP(dHdcp[[#This Row],[Handicap]],'Categoría Hdcap'!$B$2:$E$7,4)</f>
        <v>2</v>
      </c>
      <c r="E1977" s="99" t="s">
        <v>74</v>
      </c>
      <c r="F1977" s="99"/>
      <c r="G1977">
        <f>+IF(dHdcp[[#This Row],[Fecha]]=MAX(dHdcp[Fecha]),1,0)</f>
        <v>0</v>
      </c>
      <c r="H1977" t="str">
        <f>+dHdcp[[#This Row],[Maximo]]&amp;":"&amp;dHdcp[[#This Row],[Nombre]]</f>
        <v>0:Javier Campo</v>
      </c>
      <c r="I1977" t="str">
        <f>+dHdcp[[#This Row],[Maximo]]&amp;":"&amp;_xlfn.XLOOKUP(dHdcp[[#This Row],[Nombre]],dJugador[Nombre],dJugador[Mote],"",0)</f>
        <v>0:Campo</v>
      </c>
      <c r="J1977" t="str">
        <f>+IF(dHdcp[[#This Row],[Maximo]]=0,"",_xlfn.RANK.EQ(dHdcp[[#This Row],[Handicap]],dHdcp[Handicap],1))</f>
        <v/>
      </c>
      <c r="K1977" t="str">
        <f>IFERROR(+_xlfn.RANK.EQ(dHdcp[[#This Row],[Ranking]],dHdcp[Ranking],1),"")</f>
        <v/>
      </c>
      <c r="M1977" t="str">
        <f>+dHdcp[[#This Row],[Fecha]]&amp;":"&amp;dHdcp[[#This Row],[Nombre]]</f>
        <v>45360:Javier Campo</v>
      </c>
      <c r="N1977">
        <f>+COUNTIF(dHdcp[Columna1],dHdcp[[#This Row],[Columna1]])</f>
        <v>1</v>
      </c>
    </row>
    <row r="1978" spans="1:14">
      <c r="A1978" s="98">
        <v>45360</v>
      </c>
      <c r="B1978" s="99" t="s">
        <v>46</v>
      </c>
      <c r="C1978" s="100">
        <v>17.100000000000001</v>
      </c>
      <c r="D1978" s="99">
        <f>+VLOOKUP(dHdcp[[#This Row],[Handicap]],'Categoría Hdcap'!$B$2:$E$7,4)</f>
        <v>3</v>
      </c>
      <c r="E1978" s="99" t="s">
        <v>74</v>
      </c>
      <c r="F1978" s="99"/>
      <c r="G1978">
        <f>+IF(dHdcp[[#This Row],[Fecha]]=MAX(dHdcp[Fecha]),1,0)</f>
        <v>0</v>
      </c>
      <c r="H1978" t="str">
        <f>+dHdcp[[#This Row],[Maximo]]&amp;":"&amp;dHdcp[[#This Row],[Nombre]]</f>
        <v>0:Javier Cervera</v>
      </c>
      <c r="I1978" t="str">
        <f>+dHdcp[[#This Row],[Maximo]]&amp;":"&amp;_xlfn.XLOOKUP(dHdcp[[#This Row],[Nombre]],dJugador[Nombre],dJugador[Mote],"",0)</f>
        <v>0:Virus</v>
      </c>
      <c r="J1978" t="str">
        <f>+IF(dHdcp[[#This Row],[Maximo]]=0,"",_xlfn.RANK.EQ(dHdcp[[#This Row],[Handicap]],dHdcp[Handicap],1))</f>
        <v/>
      </c>
      <c r="K1978" t="str">
        <f>IFERROR(+_xlfn.RANK.EQ(dHdcp[[#This Row],[Ranking]],dHdcp[Ranking],1),"")</f>
        <v/>
      </c>
      <c r="M1978" t="str">
        <f>+dHdcp[[#This Row],[Fecha]]&amp;":"&amp;dHdcp[[#This Row],[Nombre]]</f>
        <v>45360:Javier Cervera</v>
      </c>
      <c r="N1978">
        <f>+COUNTIF(dHdcp[Columna1],dHdcp[[#This Row],[Columna1]])</f>
        <v>1</v>
      </c>
    </row>
    <row r="1979" spans="1:14">
      <c r="A1979" s="98">
        <v>45360</v>
      </c>
      <c r="B1979" s="99" t="s">
        <v>225</v>
      </c>
      <c r="C1979" s="100">
        <v>10.1</v>
      </c>
      <c r="D1979" s="99">
        <f>+VLOOKUP(dHdcp[[#This Row],[Handicap]],'Categoría Hdcap'!$B$2:$E$7,4)</f>
        <v>2</v>
      </c>
      <c r="E1979" s="99" t="s">
        <v>74</v>
      </c>
      <c r="F1979" s="99"/>
      <c r="G1979">
        <f>+IF(dHdcp[[#This Row],[Fecha]]=MAX(dHdcp[Fecha]),1,0)</f>
        <v>0</v>
      </c>
      <c r="H1979" t="str">
        <f>+dHdcp[[#This Row],[Maximo]]&amp;":"&amp;dHdcp[[#This Row],[Nombre]]</f>
        <v>0:Javier Chiralt</v>
      </c>
      <c r="I1979" t="str">
        <f>+dHdcp[[#This Row],[Maximo]]&amp;":"&amp;_xlfn.XLOOKUP(dHdcp[[#This Row],[Nombre]],dJugador[Nombre],dJugador[Mote],"",0)</f>
        <v>0:Chiralt</v>
      </c>
      <c r="J1979" t="str">
        <f>+IF(dHdcp[[#This Row],[Maximo]]=0,"",_xlfn.RANK.EQ(dHdcp[[#This Row],[Handicap]],dHdcp[Handicap],1))</f>
        <v/>
      </c>
      <c r="K1979" t="str">
        <f>IFERROR(+_xlfn.RANK.EQ(dHdcp[[#This Row],[Ranking]],dHdcp[Ranking],1),"")</f>
        <v/>
      </c>
      <c r="M1979" t="str">
        <f>+dHdcp[[#This Row],[Fecha]]&amp;":"&amp;dHdcp[[#This Row],[Nombre]]</f>
        <v>45360:Javier Chiralt</v>
      </c>
      <c r="N1979">
        <f>+COUNTIF(dHdcp[Columna1],dHdcp[[#This Row],[Columna1]])</f>
        <v>1</v>
      </c>
    </row>
    <row r="1980" spans="1:14">
      <c r="A1980" s="98">
        <v>45360</v>
      </c>
      <c r="B1980" s="99" t="s">
        <v>2466</v>
      </c>
      <c r="C1980" s="100">
        <v>16.7</v>
      </c>
      <c r="D1980" s="99">
        <f>+VLOOKUP(dHdcp[[#This Row],[Handicap]],'Categoría Hdcap'!$B$2:$E$7,4)</f>
        <v>3</v>
      </c>
      <c r="E1980" s="99" t="s">
        <v>74</v>
      </c>
      <c r="F1980" s="92"/>
      <c r="G1980">
        <f>+IF(dHdcp[[#This Row],[Fecha]]=MAX(dHdcp[Fecha]),1,0)</f>
        <v>0</v>
      </c>
      <c r="H1980" t="str">
        <f>+dHdcp[[#This Row],[Maximo]]&amp;":"&amp;dHdcp[[#This Row],[Nombre]]</f>
        <v>0:Javier Dodero de Solano</v>
      </c>
      <c r="I1980" t="str">
        <f>+dHdcp[[#This Row],[Maximo]]&amp;":"&amp;_xlfn.XLOOKUP(dHdcp[[#This Row],[Nombre]],dJugador[Nombre],dJugador[Mote],"",0)</f>
        <v>0:Dodero</v>
      </c>
      <c r="J1980" t="str">
        <f>+IF(dHdcp[[#This Row],[Maximo]]=0,"",_xlfn.RANK.EQ(dHdcp[[#This Row],[Handicap]],dHdcp[Handicap],1))</f>
        <v/>
      </c>
      <c r="K1980" t="str">
        <f>IFERROR(+_xlfn.RANK.EQ(dHdcp[[#This Row],[Ranking]],dHdcp[Ranking],1),"")</f>
        <v/>
      </c>
      <c r="M1980" t="str">
        <f>+dHdcp[[#This Row],[Fecha]]&amp;":"&amp;dHdcp[[#This Row],[Nombre]]</f>
        <v>45360:Javier Dodero de Solano</v>
      </c>
      <c r="N1980">
        <f>+COUNTIF(dHdcp[Columna1],dHdcp[[#This Row],[Columna1]])</f>
        <v>1</v>
      </c>
    </row>
    <row r="1981" spans="1:14">
      <c r="A1981" s="98">
        <v>45360</v>
      </c>
      <c r="B1981" s="99" t="s">
        <v>20</v>
      </c>
      <c r="C1981" s="100">
        <v>18</v>
      </c>
      <c r="D1981" s="99">
        <f>+VLOOKUP(dHdcp[[#This Row],[Handicap]],'Categoría Hdcap'!$B$2:$E$7,4)</f>
        <v>3</v>
      </c>
      <c r="E1981" s="99" t="s">
        <v>74</v>
      </c>
      <c r="F1981" s="99"/>
      <c r="G1981">
        <f>+IF(dHdcp[[#This Row],[Fecha]]=MAX(dHdcp[Fecha]),1,0)</f>
        <v>0</v>
      </c>
      <c r="H1981" t="str">
        <f>+dHdcp[[#This Row],[Maximo]]&amp;":"&amp;dHdcp[[#This Row],[Nombre]]</f>
        <v>0:Javier Gonzalez Salvador</v>
      </c>
      <c r="I1981" t="str">
        <f>+dHdcp[[#This Row],[Maximo]]&amp;":"&amp;_xlfn.XLOOKUP(dHdcp[[#This Row],[Nombre]],dJugador[Nombre],dJugador[Mote],"",0)</f>
        <v>0:Javi</v>
      </c>
      <c r="J1981" t="str">
        <f>+IF(dHdcp[[#This Row],[Maximo]]=0,"",_xlfn.RANK.EQ(dHdcp[[#This Row],[Handicap]],dHdcp[Handicap],1))</f>
        <v/>
      </c>
      <c r="K1981" t="str">
        <f>IFERROR(+_xlfn.RANK.EQ(dHdcp[[#This Row],[Ranking]],dHdcp[Ranking],1),"")</f>
        <v/>
      </c>
      <c r="M1981" t="str">
        <f>+dHdcp[[#This Row],[Fecha]]&amp;":"&amp;dHdcp[[#This Row],[Nombre]]</f>
        <v>45360:Javier Gonzalez Salvador</v>
      </c>
      <c r="N1981">
        <f>+COUNTIF(dHdcp[Columna1],dHdcp[[#This Row],[Columna1]])</f>
        <v>1</v>
      </c>
    </row>
    <row r="1982" spans="1:14">
      <c r="A1982" s="98">
        <v>45360</v>
      </c>
      <c r="B1982" s="99" t="s">
        <v>217</v>
      </c>
      <c r="C1982" s="100">
        <v>20.9</v>
      </c>
      <c r="D1982" s="99">
        <f>+VLOOKUP(dHdcp[[#This Row],[Handicap]],'Categoría Hdcap'!$B$2:$E$7,4)</f>
        <v>4</v>
      </c>
      <c r="E1982" s="99" t="s">
        <v>74</v>
      </c>
      <c r="F1982" s="99"/>
      <c r="G1982">
        <f>+IF(dHdcp[[#This Row],[Fecha]]=MAX(dHdcp[Fecha]),1,0)</f>
        <v>0</v>
      </c>
      <c r="H1982" t="str">
        <f>+dHdcp[[#This Row],[Maximo]]&amp;":"&amp;dHdcp[[#This Row],[Nombre]]</f>
        <v>0:Javier Lopez Gullón</v>
      </c>
      <c r="I1982" t="str">
        <f>+dHdcp[[#This Row],[Maximo]]&amp;":"&amp;_xlfn.XLOOKUP(dHdcp[[#This Row],[Nombre]],dJugador[Nombre],dJugador[Mote],"",0)</f>
        <v>0:Cuñao</v>
      </c>
      <c r="J1982" t="str">
        <f>+IF(dHdcp[[#This Row],[Maximo]]=0,"",_xlfn.RANK.EQ(dHdcp[[#This Row],[Handicap]],dHdcp[Handicap],1))</f>
        <v/>
      </c>
      <c r="K1982" t="str">
        <f>IFERROR(+_xlfn.RANK.EQ(dHdcp[[#This Row],[Ranking]],dHdcp[Ranking],1),"")</f>
        <v/>
      </c>
      <c r="M1982" t="str">
        <f>+dHdcp[[#This Row],[Fecha]]&amp;":"&amp;dHdcp[[#This Row],[Nombre]]</f>
        <v>45360:Javier Lopez Gullón</v>
      </c>
      <c r="N1982">
        <f>+COUNTIF(dHdcp[Columna1],dHdcp[[#This Row],[Columna1]])</f>
        <v>1</v>
      </c>
    </row>
    <row r="1983" spans="1:14">
      <c r="A1983" s="98">
        <v>45360</v>
      </c>
      <c r="B1983" s="99" t="s">
        <v>41</v>
      </c>
      <c r="C1983" s="100">
        <v>21.6</v>
      </c>
      <c r="D1983" s="99">
        <f>+VLOOKUP(dHdcp[[#This Row],[Handicap]],'Categoría Hdcap'!$B$2:$E$7,4)</f>
        <v>4</v>
      </c>
      <c r="E1983" s="99" t="s">
        <v>74</v>
      </c>
      <c r="F1983" s="99"/>
      <c r="G1983">
        <f>+IF(dHdcp[[#This Row],[Fecha]]=MAX(dHdcp[Fecha]),1,0)</f>
        <v>0</v>
      </c>
      <c r="H1983" t="str">
        <f>+dHdcp[[#This Row],[Maximo]]&amp;":"&amp;dHdcp[[#This Row],[Nombre]]</f>
        <v>0:Jesus Touceda</v>
      </c>
      <c r="I1983" t="str">
        <f>+dHdcp[[#This Row],[Maximo]]&amp;":"&amp;_xlfn.XLOOKUP(dHdcp[[#This Row],[Nombre]],dJugador[Nombre],dJugador[Mote],"",0)</f>
        <v>0:Jesús</v>
      </c>
      <c r="J1983" t="str">
        <f>+IF(dHdcp[[#This Row],[Maximo]]=0,"",_xlfn.RANK.EQ(dHdcp[[#This Row],[Handicap]],dHdcp[Handicap],1))</f>
        <v/>
      </c>
      <c r="K1983" t="str">
        <f>IFERROR(+_xlfn.RANK.EQ(dHdcp[[#This Row],[Ranking]],dHdcp[Ranking],1),"")</f>
        <v/>
      </c>
      <c r="M1983" t="str">
        <f>+dHdcp[[#This Row],[Fecha]]&amp;":"&amp;dHdcp[[#This Row],[Nombre]]</f>
        <v>45360:Jesus Touceda</v>
      </c>
      <c r="N1983">
        <f>+COUNTIF(dHdcp[Columna1],dHdcp[[#This Row],[Columna1]])</f>
        <v>1</v>
      </c>
    </row>
    <row r="1984" spans="1:14">
      <c r="A1984" s="98">
        <v>45360</v>
      </c>
      <c r="B1984" s="99" t="s">
        <v>297</v>
      </c>
      <c r="C1984" s="100">
        <v>21.1</v>
      </c>
      <c r="D1984" s="99">
        <f>+VLOOKUP(dHdcp[[#This Row],[Handicap]],'Categoría Hdcap'!$B$2:$E$7,4)</f>
        <v>4</v>
      </c>
      <c r="E1984" s="99" t="s">
        <v>74</v>
      </c>
      <c r="F1984" s="99"/>
      <c r="G1984">
        <f>+IF(dHdcp[[#This Row],[Fecha]]=MAX(dHdcp[Fecha]),1,0)</f>
        <v>0</v>
      </c>
      <c r="H1984" t="str">
        <f>+dHdcp[[#This Row],[Maximo]]&amp;":"&amp;dHdcp[[#This Row],[Nombre]]</f>
        <v>0:Jorge Alberto Martínez Sánchez</v>
      </c>
      <c r="I1984" t="str">
        <f>+dHdcp[[#This Row],[Maximo]]&amp;":"&amp;_xlfn.XLOOKUP(dHdcp[[#This Row],[Nombre]],dJugador[Nombre],dJugador[Mote],"",0)</f>
        <v>0:Jorge</v>
      </c>
      <c r="J1984" t="str">
        <f>+IF(dHdcp[[#This Row],[Maximo]]=0,"",_xlfn.RANK.EQ(dHdcp[[#This Row],[Handicap]],dHdcp[Handicap],1))</f>
        <v/>
      </c>
      <c r="K1984" t="str">
        <f>IFERROR(+_xlfn.RANK.EQ(dHdcp[[#This Row],[Ranking]],dHdcp[Ranking],1),"")</f>
        <v/>
      </c>
      <c r="M1984" t="str">
        <f>+dHdcp[[#This Row],[Fecha]]&amp;":"&amp;dHdcp[[#This Row],[Nombre]]</f>
        <v>45360:Jorge Alberto Martínez Sánchez</v>
      </c>
      <c r="N1984">
        <f>+COUNTIF(dHdcp[Columna1],dHdcp[[#This Row],[Columna1]])</f>
        <v>1</v>
      </c>
    </row>
    <row r="1985" spans="1:14">
      <c r="A1985" s="98">
        <v>45360</v>
      </c>
      <c r="B1985" s="99" t="s">
        <v>388</v>
      </c>
      <c r="C1985" s="100">
        <v>26.499999999999986</v>
      </c>
      <c r="D1985" s="99">
        <f>+VLOOKUP(dHdcp[[#This Row],[Handicap]],'Categoría Hdcap'!$B$2:$E$7,4)</f>
        <v>4</v>
      </c>
      <c r="E1985" s="99" t="s">
        <v>74</v>
      </c>
      <c r="F1985" s="99"/>
      <c r="G1985">
        <f>+IF(dHdcp[[#This Row],[Fecha]]=MAX(dHdcp[Fecha]),1,0)</f>
        <v>0</v>
      </c>
      <c r="H1985" t="str">
        <f>+dHdcp[[#This Row],[Maximo]]&amp;":"&amp;dHdcp[[#This Row],[Nombre]]</f>
        <v>0:Jose Antonio Santana</v>
      </c>
      <c r="I1985" t="str">
        <f>+dHdcp[[#This Row],[Maximo]]&amp;":"&amp;_xlfn.XLOOKUP(dHdcp[[#This Row],[Nombre]],dJugador[Nombre],dJugador[Mote],"",0)</f>
        <v>0:J Antonio</v>
      </c>
      <c r="J1985" t="str">
        <f>+IF(dHdcp[[#This Row],[Maximo]]=0,"",_xlfn.RANK.EQ(dHdcp[[#This Row],[Handicap]],dHdcp[Handicap],1))</f>
        <v/>
      </c>
      <c r="K1985" t="str">
        <f>IFERROR(+_xlfn.RANK.EQ(dHdcp[[#This Row],[Ranking]],dHdcp[Ranking],1),"")</f>
        <v/>
      </c>
      <c r="M1985" t="str">
        <f>+dHdcp[[#This Row],[Fecha]]&amp;":"&amp;dHdcp[[#This Row],[Nombre]]</f>
        <v>45360:Jose Antonio Santana</v>
      </c>
      <c r="N1985">
        <f>+COUNTIF(dHdcp[Columna1],dHdcp[[#This Row],[Columna1]])</f>
        <v>1</v>
      </c>
    </row>
    <row r="1986" spans="1:14">
      <c r="A1986" s="98">
        <v>45360</v>
      </c>
      <c r="B1986" s="99" t="s">
        <v>18</v>
      </c>
      <c r="C1986" s="100">
        <v>8.6999999999999993</v>
      </c>
      <c r="D1986" s="99">
        <f>+VLOOKUP(dHdcp[[#This Row],[Handicap]],'Categoría Hdcap'!$B$2:$E$7,4)</f>
        <v>2</v>
      </c>
      <c r="E1986" s="99" t="s">
        <v>74</v>
      </c>
      <c r="F1986" s="99"/>
      <c r="G1986">
        <f>+IF(dHdcp[[#This Row],[Fecha]]=MAX(dHdcp[Fecha]),1,0)</f>
        <v>0</v>
      </c>
      <c r="H1986" t="str">
        <f>+dHdcp[[#This Row],[Maximo]]&amp;":"&amp;dHdcp[[#This Row],[Nombre]]</f>
        <v>0:José Pablo Guil</v>
      </c>
      <c r="I1986" t="str">
        <f>+dHdcp[[#This Row],[Maximo]]&amp;":"&amp;_xlfn.XLOOKUP(dHdcp[[#This Row],[Nombre]],dJugador[Nombre],dJugador[Mote],"",0)</f>
        <v>0:JP</v>
      </c>
      <c r="J1986" t="str">
        <f>+IF(dHdcp[[#This Row],[Maximo]]=0,"",_xlfn.RANK.EQ(dHdcp[[#This Row],[Handicap]],dHdcp[Handicap],1))</f>
        <v/>
      </c>
      <c r="K1986" t="str">
        <f>IFERROR(+_xlfn.RANK.EQ(dHdcp[[#This Row],[Ranking]],dHdcp[Ranking],1),"")</f>
        <v/>
      </c>
      <c r="M1986" t="str">
        <f>+dHdcp[[#This Row],[Fecha]]&amp;":"&amp;dHdcp[[#This Row],[Nombre]]</f>
        <v>45360:José Pablo Guil</v>
      </c>
      <c r="N1986">
        <f>+COUNTIF(dHdcp[Columna1],dHdcp[[#This Row],[Columna1]])</f>
        <v>1</v>
      </c>
    </row>
    <row r="1987" spans="1:14">
      <c r="A1987" s="98">
        <v>45360</v>
      </c>
      <c r="B1987" s="99" t="s">
        <v>293</v>
      </c>
      <c r="C1987" s="100">
        <v>20.6</v>
      </c>
      <c r="D1987" s="99">
        <f>+VLOOKUP(dHdcp[[#This Row],[Handicap]],'Categoría Hdcap'!$B$2:$E$7,4)</f>
        <v>4</v>
      </c>
      <c r="E1987" s="99" t="s">
        <v>74</v>
      </c>
      <c r="F1987" s="99"/>
      <c r="G1987">
        <f>+IF(dHdcp[[#This Row],[Fecha]]=MAX(dHdcp[Fecha]),1,0)</f>
        <v>0</v>
      </c>
      <c r="H1987" t="str">
        <f>+dHdcp[[#This Row],[Maximo]]&amp;":"&amp;dHdcp[[#This Row],[Nombre]]</f>
        <v>0:Juan Jose Aguado</v>
      </c>
      <c r="I1987" t="str">
        <f>+dHdcp[[#This Row],[Maximo]]&amp;":"&amp;_xlfn.XLOOKUP(dHdcp[[#This Row],[Nombre]],dJugador[Nombre],dJugador[Mote],"",0)</f>
        <v>0:Juancho</v>
      </c>
      <c r="J1987" t="str">
        <f>+IF(dHdcp[[#This Row],[Maximo]]=0,"",_xlfn.RANK.EQ(dHdcp[[#This Row],[Handicap]],dHdcp[Handicap],1))</f>
        <v/>
      </c>
      <c r="K1987" t="str">
        <f>IFERROR(+_xlfn.RANK.EQ(dHdcp[[#This Row],[Ranking]],dHdcp[Ranking],1),"")</f>
        <v/>
      </c>
      <c r="M1987" t="str">
        <f>+dHdcp[[#This Row],[Fecha]]&amp;":"&amp;dHdcp[[#This Row],[Nombre]]</f>
        <v>45360:Juan Jose Aguado</v>
      </c>
      <c r="N1987">
        <f>+COUNTIF(dHdcp[Columna1],dHdcp[[#This Row],[Columna1]])</f>
        <v>1</v>
      </c>
    </row>
    <row r="1988" spans="1:14">
      <c r="A1988" s="98">
        <v>45360</v>
      </c>
      <c r="B1988" s="99" t="s">
        <v>375</v>
      </c>
      <c r="C1988" s="100">
        <v>9.9</v>
      </c>
      <c r="D1988" s="99">
        <f>+VLOOKUP(dHdcp[[#This Row],[Handicap]],'Categoría Hdcap'!$B$2:$E$7,4)</f>
        <v>2</v>
      </c>
      <c r="E1988" s="99" t="s">
        <v>74</v>
      </c>
      <c r="F1988" s="99"/>
      <c r="G1988">
        <f>+IF(dHdcp[[#This Row],[Fecha]]=MAX(dHdcp[Fecha]),1,0)</f>
        <v>0</v>
      </c>
      <c r="H1988" t="str">
        <f>+dHdcp[[#This Row],[Maximo]]&amp;":"&amp;dHdcp[[#This Row],[Nombre]]</f>
        <v>0:Luis Fernandez</v>
      </c>
      <c r="I1988" t="str">
        <f>+dHdcp[[#This Row],[Maximo]]&amp;":"&amp;_xlfn.XLOOKUP(dHdcp[[#This Row],[Nombre]],dJugador[Nombre],dJugador[Mote],"",0)</f>
        <v>0:Luis</v>
      </c>
      <c r="J1988" t="str">
        <f>+IF(dHdcp[[#This Row],[Maximo]]=0,"",_xlfn.RANK.EQ(dHdcp[[#This Row],[Handicap]],dHdcp[Handicap],1))</f>
        <v/>
      </c>
      <c r="K1988" t="str">
        <f>IFERROR(+_xlfn.RANK.EQ(dHdcp[[#This Row],[Ranking]],dHdcp[Ranking],1),"")</f>
        <v/>
      </c>
      <c r="M1988" t="str">
        <f>+dHdcp[[#This Row],[Fecha]]&amp;":"&amp;dHdcp[[#This Row],[Nombre]]</f>
        <v>45360:Luis Fernandez</v>
      </c>
      <c r="N1988">
        <f>+COUNTIF(dHdcp[Columna1],dHdcp[[#This Row],[Columna1]])</f>
        <v>1</v>
      </c>
    </row>
    <row r="1989" spans="1:14">
      <c r="A1989" s="98">
        <v>45360</v>
      </c>
      <c r="B1989" s="99" t="s">
        <v>135</v>
      </c>
      <c r="C1989" s="100">
        <v>19</v>
      </c>
      <c r="D1989" s="99">
        <f>+VLOOKUP(dHdcp[[#This Row],[Handicap]],'Categoría Hdcap'!$B$2:$E$7,4)</f>
        <v>4</v>
      </c>
      <c r="E1989" s="99" t="s">
        <v>74</v>
      </c>
      <c r="F1989" s="99"/>
      <c r="G1989">
        <f>+IF(dHdcp[[#This Row],[Fecha]]=MAX(dHdcp[Fecha]),1,0)</f>
        <v>0</v>
      </c>
      <c r="H1989" t="str">
        <f>+dHdcp[[#This Row],[Maximo]]&amp;":"&amp;dHdcp[[#This Row],[Nombre]]</f>
        <v>0:Miche Lopez</v>
      </c>
      <c r="I1989" t="str">
        <f>+dHdcp[[#This Row],[Maximo]]&amp;":"&amp;_xlfn.XLOOKUP(dHdcp[[#This Row],[Nombre]],dJugador[Nombre],dJugador[Mote],"",0)</f>
        <v>0:Miche</v>
      </c>
      <c r="J1989" t="str">
        <f>+IF(dHdcp[[#This Row],[Maximo]]=0,"",_xlfn.RANK.EQ(dHdcp[[#This Row],[Handicap]],dHdcp[Handicap],1))</f>
        <v/>
      </c>
      <c r="K1989" t="str">
        <f>IFERROR(+_xlfn.RANK.EQ(dHdcp[[#This Row],[Ranking]],dHdcp[Ranking],1),"")</f>
        <v/>
      </c>
      <c r="M1989" t="str">
        <f>+dHdcp[[#This Row],[Fecha]]&amp;":"&amp;dHdcp[[#This Row],[Nombre]]</f>
        <v>45360:Miche Lopez</v>
      </c>
      <c r="N1989">
        <f>+COUNTIF(dHdcp[Columna1],dHdcp[[#This Row],[Columna1]])</f>
        <v>1</v>
      </c>
    </row>
    <row r="1990" spans="1:14">
      <c r="A1990" s="98">
        <v>45360</v>
      </c>
      <c r="B1990" s="99" t="s">
        <v>205</v>
      </c>
      <c r="C1990" s="100">
        <v>6.3</v>
      </c>
      <c r="D1990" s="99">
        <f>+VLOOKUP(dHdcp[[#This Row],[Handicap]],'Categoría Hdcap'!$B$2:$E$7,4)</f>
        <v>2</v>
      </c>
      <c r="E1990" s="99" t="s">
        <v>74</v>
      </c>
      <c r="F1990" s="99"/>
      <c r="G1990">
        <f>+IF(dHdcp[[#This Row],[Fecha]]=MAX(dHdcp[Fecha]),1,0)</f>
        <v>0</v>
      </c>
      <c r="H1990" t="str">
        <f>+dHdcp[[#This Row],[Maximo]]&amp;":"&amp;dHdcp[[#This Row],[Nombre]]</f>
        <v>0:Nacho Casas</v>
      </c>
      <c r="I1990" t="str">
        <f>+dHdcp[[#This Row],[Maximo]]&amp;":"&amp;_xlfn.XLOOKUP(dHdcp[[#This Row],[Nombre]],dJugador[Nombre],dJugador[Mote],"",0)</f>
        <v>0:Nachete</v>
      </c>
      <c r="J1990" t="str">
        <f>+IF(dHdcp[[#This Row],[Maximo]]=0,"",_xlfn.RANK.EQ(dHdcp[[#This Row],[Handicap]],dHdcp[Handicap],1))</f>
        <v/>
      </c>
      <c r="K1990" t="str">
        <f>IFERROR(+_xlfn.RANK.EQ(dHdcp[[#This Row],[Ranking]],dHdcp[Ranking],1),"")</f>
        <v/>
      </c>
      <c r="M1990" t="str">
        <f>+dHdcp[[#This Row],[Fecha]]&amp;":"&amp;dHdcp[[#This Row],[Nombre]]</f>
        <v>45360:Nacho Casas</v>
      </c>
      <c r="N1990">
        <f>+COUNTIF(dHdcp[Columna1],dHdcp[[#This Row],[Columna1]])</f>
        <v>1</v>
      </c>
    </row>
    <row r="1991" spans="1:14">
      <c r="A1991" s="98">
        <v>45360</v>
      </c>
      <c r="B1991" s="99" t="s">
        <v>3</v>
      </c>
      <c r="C1991" s="100">
        <v>6</v>
      </c>
      <c r="D1991" s="99">
        <f>+VLOOKUP(dHdcp[[#This Row],[Handicap]],'Categoría Hdcap'!$B$2:$E$7,4)</f>
        <v>2</v>
      </c>
      <c r="E1991" s="99" t="s">
        <v>74</v>
      </c>
      <c r="F1991" s="99"/>
      <c r="G1991">
        <f>+IF(dHdcp[[#This Row],[Fecha]]=MAX(dHdcp[Fecha]),1,0)</f>
        <v>0</v>
      </c>
      <c r="H1991" t="str">
        <f>+dHdcp[[#This Row],[Maximo]]&amp;":"&amp;dHdcp[[#This Row],[Nombre]]</f>
        <v>0:Nacho Gonzalez</v>
      </c>
      <c r="I1991" t="str">
        <f>+dHdcp[[#This Row],[Maximo]]&amp;":"&amp;_xlfn.XLOOKUP(dHdcp[[#This Row],[Nombre]],dJugador[Nombre],dJugador[Mote],"",0)</f>
        <v>0:Nacho</v>
      </c>
      <c r="J1991" t="str">
        <f>+IF(dHdcp[[#This Row],[Maximo]]=0,"",_xlfn.RANK.EQ(dHdcp[[#This Row],[Handicap]],dHdcp[Handicap],1))</f>
        <v/>
      </c>
      <c r="K1991" t="str">
        <f>IFERROR(+_xlfn.RANK.EQ(dHdcp[[#This Row],[Ranking]],dHdcp[Ranking],1),"")</f>
        <v/>
      </c>
      <c r="M1991" t="str">
        <f>+dHdcp[[#This Row],[Fecha]]&amp;":"&amp;dHdcp[[#This Row],[Nombre]]</f>
        <v>45360:Nacho Gonzalez</v>
      </c>
      <c r="N1991">
        <f>+COUNTIF(dHdcp[Columna1],dHdcp[[#This Row],[Columna1]])</f>
        <v>1</v>
      </c>
    </row>
    <row r="1992" spans="1:14">
      <c r="A1992" s="98">
        <v>45360</v>
      </c>
      <c r="B1992" s="99" t="s">
        <v>203</v>
      </c>
      <c r="C1992" s="100">
        <v>16.100000000000001</v>
      </c>
      <c r="D1992" s="99">
        <f>+VLOOKUP(dHdcp[[#This Row],[Handicap]],'Categoría Hdcap'!$B$2:$E$7,4)</f>
        <v>3</v>
      </c>
      <c r="E1992" s="99" t="s">
        <v>74</v>
      </c>
      <c r="F1992" s="99"/>
      <c r="G1992">
        <f>+IF(dHdcp[[#This Row],[Fecha]]=MAX(dHdcp[Fecha]),1,0)</f>
        <v>0</v>
      </c>
      <c r="H1992" t="str">
        <f>+dHdcp[[#This Row],[Maximo]]&amp;":"&amp;dHdcp[[#This Row],[Nombre]]</f>
        <v>0:Ruslan Kochman</v>
      </c>
      <c r="I1992" t="str">
        <f>+dHdcp[[#This Row],[Maximo]]&amp;":"&amp;_xlfn.XLOOKUP(dHdcp[[#This Row],[Nombre]],dJugador[Nombre],dJugador[Mote],"",0)</f>
        <v>0:Rus</v>
      </c>
      <c r="J1992" t="str">
        <f>+IF(dHdcp[[#This Row],[Maximo]]=0,"",_xlfn.RANK.EQ(dHdcp[[#This Row],[Handicap]],dHdcp[Handicap],1))</f>
        <v/>
      </c>
      <c r="K1992" t="str">
        <f>IFERROR(+_xlfn.RANK.EQ(dHdcp[[#This Row],[Ranking]],dHdcp[Ranking],1),"")</f>
        <v/>
      </c>
      <c r="M1992" t="str">
        <f>+dHdcp[[#This Row],[Fecha]]&amp;":"&amp;dHdcp[[#This Row],[Nombre]]</f>
        <v>45360:Ruslan Kochman</v>
      </c>
      <c r="N1992">
        <f>+COUNTIF(dHdcp[Columna1],dHdcp[[#This Row],[Columna1]])</f>
        <v>1</v>
      </c>
    </row>
    <row r="1993" spans="1:14">
      <c r="A1993" s="98">
        <v>45360</v>
      </c>
      <c r="B1993" s="99" t="s">
        <v>271</v>
      </c>
      <c r="C1993" s="100">
        <v>16.399999999999999</v>
      </c>
      <c r="D1993" s="99">
        <f>+VLOOKUP(dHdcp[[#This Row],[Handicap]],'Categoría Hdcap'!$B$2:$E$7,4)</f>
        <v>3</v>
      </c>
      <c r="E1993" s="99" t="s">
        <v>74</v>
      </c>
      <c r="F1993" s="99"/>
      <c r="G1993">
        <f>+IF(dHdcp[[#This Row],[Fecha]]=MAX(dHdcp[Fecha]),1,0)</f>
        <v>0</v>
      </c>
      <c r="H1993" t="str">
        <f>+dHdcp[[#This Row],[Maximo]]&amp;":"&amp;dHdcp[[#This Row],[Nombre]]</f>
        <v>0:Santi Diaz</v>
      </c>
      <c r="I1993" t="str">
        <f>+dHdcp[[#This Row],[Maximo]]&amp;":"&amp;_xlfn.XLOOKUP(dHdcp[[#This Row],[Nombre]],dJugador[Nombre],dJugador[Mote],"",0)</f>
        <v>0:Santi</v>
      </c>
      <c r="J1993" t="str">
        <f>+IF(dHdcp[[#This Row],[Maximo]]=0,"",_xlfn.RANK.EQ(dHdcp[[#This Row],[Handicap]],dHdcp[Handicap],1))</f>
        <v/>
      </c>
      <c r="K1993" t="str">
        <f>IFERROR(+_xlfn.RANK.EQ(dHdcp[[#This Row],[Ranking]],dHdcp[Ranking],1),"")</f>
        <v/>
      </c>
      <c r="M1993" t="str">
        <f>+dHdcp[[#This Row],[Fecha]]&amp;":"&amp;dHdcp[[#This Row],[Nombre]]</f>
        <v>45360:Santi Diaz</v>
      </c>
      <c r="N1993">
        <f>+COUNTIF(dHdcp[Columna1],dHdcp[[#This Row],[Columna1]])</f>
        <v>1</v>
      </c>
    </row>
    <row r="1994" spans="1:14">
      <c r="A1994" s="16">
        <v>45409</v>
      </c>
      <c r="B1994" s="15" t="s">
        <v>259</v>
      </c>
      <c r="C1994" s="85">
        <v>1.3</v>
      </c>
      <c r="D1994" s="15">
        <f>+VLOOKUP(dHdcp[[#This Row],[Handicap]],'Categoría Hdcap'!$B$2:$E$7,4)</f>
        <v>1</v>
      </c>
      <c r="E1994" s="15" t="s">
        <v>74</v>
      </c>
      <c r="F1994" s="15"/>
      <c r="G1994">
        <f>+IF(dHdcp[[#This Row],[Fecha]]=MAX(dHdcp[Fecha]),1,0)</f>
        <v>0</v>
      </c>
      <c r="H1994" t="str">
        <f>+dHdcp[[#This Row],[Maximo]]&amp;":"&amp;dHdcp[[#This Row],[Nombre]]</f>
        <v>0:Alejandro Arcos</v>
      </c>
      <c r="I1994" t="str">
        <f>+dHdcp[[#This Row],[Maximo]]&amp;":"&amp;_xlfn.XLOOKUP(dHdcp[[#This Row],[Nombre]],dJugador[Nombre],dJugador[Mote],"",0)</f>
        <v>0:Alex</v>
      </c>
      <c r="J1994" t="str">
        <f>+IF(dHdcp[[#This Row],[Maximo]]=0,"",_xlfn.RANK.EQ(dHdcp[[#This Row],[Handicap]],dHdcp[Handicap],1))</f>
        <v/>
      </c>
      <c r="K1994" t="str">
        <f>IFERROR(+_xlfn.RANK.EQ(dHdcp[[#This Row],[Ranking]],dHdcp[Ranking],1),"")</f>
        <v/>
      </c>
      <c r="M1994" t="str">
        <f>+dHdcp[[#This Row],[Fecha]]&amp;":"&amp;dHdcp[[#This Row],[Nombre]]</f>
        <v>45409:Alejandro Arcos</v>
      </c>
      <c r="N1994">
        <f>+COUNTIF(dHdcp[Columna1],dHdcp[[#This Row],[Columna1]])</f>
        <v>1</v>
      </c>
    </row>
    <row r="1995" spans="1:14">
      <c r="A1995" s="16">
        <v>45409</v>
      </c>
      <c r="B1995" s="15" t="s">
        <v>9</v>
      </c>
      <c r="C1995" s="85">
        <v>12.1</v>
      </c>
      <c r="D1995" s="15">
        <f>+VLOOKUP(dHdcp[[#This Row],[Handicap]],'Categoría Hdcap'!$B$2:$E$7,4)</f>
        <v>3</v>
      </c>
      <c r="E1995" s="15" t="s">
        <v>74</v>
      </c>
      <c r="F1995" s="15"/>
      <c r="G1995">
        <f>+IF(dHdcp[[#This Row],[Fecha]]=MAX(dHdcp[Fecha]),1,0)</f>
        <v>0</v>
      </c>
      <c r="H1995" t="str">
        <f>+dHdcp[[#This Row],[Maximo]]&amp;":"&amp;dHdcp[[#This Row],[Nombre]]</f>
        <v>0:Alfonso Hidalgo</v>
      </c>
      <c r="I1995" t="str">
        <f>+dHdcp[[#This Row],[Maximo]]&amp;":"&amp;_xlfn.XLOOKUP(dHdcp[[#This Row],[Nombre]],dJugador[Nombre],dJugador[Mote],"",0)</f>
        <v>0:Alfonso</v>
      </c>
      <c r="J1995" t="str">
        <f>+IF(dHdcp[[#This Row],[Maximo]]=0,"",_xlfn.RANK.EQ(dHdcp[[#This Row],[Handicap]],dHdcp[Handicap],1))</f>
        <v/>
      </c>
      <c r="K1995" t="str">
        <f>IFERROR(+_xlfn.RANK.EQ(dHdcp[[#This Row],[Ranking]],dHdcp[Ranking],1),"")</f>
        <v/>
      </c>
      <c r="M1995" t="str">
        <f>+dHdcp[[#This Row],[Fecha]]&amp;":"&amp;dHdcp[[#This Row],[Nombre]]</f>
        <v>45409:Alfonso Hidalgo</v>
      </c>
      <c r="N1995">
        <f>+COUNTIF(dHdcp[Columna1],dHdcp[[#This Row],[Columna1]])</f>
        <v>1</v>
      </c>
    </row>
    <row r="1996" spans="1:14">
      <c r="A1996" s="16">
        <v>45409</v>
      </c>
      <c r="B1996" s="15" t="s">
        <v>229</v>
      </c>
      <c r="C1996" s="85">
        <v>14.1</v>
      </c>
      <c r="D1996" s="15">
        <f>+VLOOKUP(dHdcp[[#This Row],[Handicap]],'Categoría Hdcap'!$B$2:$E$7,4)</f>
        <v>3</v>
      </c>
      <c r="E1996" s="15" t="s">
        <v>74</v>
      </c>
      <c r="F1996" s="15"/>
      <c r="G1996">
        <f>+IF(dHdcp[[#This Row],[Fecha]]=MAX(dHdcp[Fecha]),1,0)</f>
        <v>0</v>
      </c>
      <c r="H1996" t="str">
        <f>+dHdcp[[#This Row],[Maximo]]&amp;":"&amp;dHdcp[[#This Row],[Nombre]]</f>
        <v>0:Alfonso Zorrilla</v>
      </c>
      <c r="I1996" t="str">
        <f>+dHdcp[[#This Row],[Maximo]]&amp;":"&amp;_xlfn.XLOOKUP(dHdcp[[#This Row],[Nombre]],dJugador[Nombre],dJugador[Mote],"",0)</f>
        <v>0:A Zorrilla</v>
      </c>
      <c r="J1996" t="str">
        <f>+IF(dHdcp[[#This Row],[Maximo]]=0,"",_xlfn.RANK.EQ(dHdcp[[#This Row],[Handicap]],dHdcp[Handicap],1))</f>
        <v/>
      </c>
      <c r="K1996" t="str">
        <f>IFERROR(+_xlfn.RANK.EQ(dHdcp[[#This Row],[Ranking]],dHdcp[Ranking],1),"")</f>
        <v/>
      </c>
      <c r="M1996" t="str">
        <f>+dHdcp[[#This Row],[Fecha]]&amp;":"&amp;dHdcp[[#This Row],[Nombre]]</f>
        <v>45409:Alfonso Zorrilla</v>
      </c>
      <c r="N1996">
        <f>+COUNTIF(dHdcp[Columna1],dHdcp[[#This Row],[Columna1]])</f>
        <v>1</v>
      </c>
    </row>
    <row r="1997" spans="1:14">
      <c r="A1997" s="16">
        <v>45409</v>
      </c>
      <c r="B1997" s="15" t="s">
        <v>15</v>
      </c>
      <c r="C1997" s="85">
        <v>5.7</v>
      </c>
      <c r="D1997" s="15">
        <f>+VLOOKUP(dHdcp[[#This Row],[Handicap]],'Categoría Hdcap'!$B$2:$E$7,4)</f>
        <v>2</v>
      </c>
      <c r="E1997" s="15" t="s">
        <v>74</v>
      </c>
      <c r="F1997" s="15"/>
      <c r="G1997">
        <f>+IF(dHdcp[[#This Row],[Fecha]]=MAX(dHdcp[Fecha]),1,0)</f>
        <v>0</v>
      </c>
      <c r="H1997" t="str">
        <f>+dHdcp[[#This Row],[Maximo]]&amp;":"&amp;dHdcp[[#This Row],[Nombre]]</f>
        <v>0:Alvaro Aguirre</v>
      </c>
      <c r="I1997" t="str">
        <f>+dHdcp[[#This Row],[Maximo]]&amp;":"&amp;_xlfn.XLOOKUP(dHdcp[[#This Row],[Nombre]],dJugador[Nombre],dJugador[Mote],"",0)</f>
        <v>0:Gifu</v>
      </c>
      <c r="J1997" t="str">
        <f>+IF(dHdcp[[#This Row],[Maximo]]=0,"",_xlfn.RANK.EQ(dHdcp[[#This Row],[Handicap]],dHdcp[Handicap],1))</f>
        <v/>
      </c>
      <c r="K1997" t="str">
        <f>IFERROR(+_xlfn.RANK.EQ(dHdcp[[#This Row],[Ranking]],dHdcp[Ranking],1),"")</f>
        <v/>
      </c>
      <c r="M1997" t="str">
        <f>+dHdcp[[#This Row],[Fecha]]&amp;":"&amp;dHdcp[[#This Row],[Nombre]]</f>
        <v>45409:Alvaro Aguirre</v>
      </c>
      <c r="N1997">
        <f>+COUNTIF(dHdcp[Columna1],dHdcp[[#This Row],[Columna1]])</f>
        <v>1</v>
      </c>
    </row>
    <row r="1998" spans="1:14">
      <c r="A1998" s="16">
        <v>45409</v>
      </c>
      <c r="B1998" s="15" t="s">
        <v>201</v>
      </c>
      <c r="C1998" s="85">
        <v>9.4</v>
      </c>
      <c r="D1998" s="15">
        <f>+VLOOKUP(dHdcp[[#This Row],[Handicap]],'Categoría Hdcap'!$B$2:$E$7,4)</f>
        <v>2</v>
      </c>
      <c r="E1998" s="15" t="s">
        <v>74</v>
      </c>
      <c r="F1998" s="15"/>
      <c r="G1998">
        <f>+IF(dHdcp[[#This Row],[Fecha]]=MAX(dHdcp[Fecha]),1,0)</f>
        <v>0</v>
      </c>
      <c r="H1998" t="str">
        <f>+dHdcp[[#This Row],[Maximo]]&amp;":"&amp;dHdcp[[#This Row],[Nombre]]</f>
        <v>0:Alvaro Montoya</v>
      </c>
      <c r="I1998" t="str">
        <f>+dHdcp[[#This Row],[Maximo]]&amp;":"&amp;_xlfn.XLOOKUP(dHdcp[[#This Row],[Nombre]],dJugador[Nombre],dJugador[Mote],"",0)</f>
        <v>0:Monti</v>
      </c>
      <c r="J1998" t="str">
        <f>+IF(dHdcp[[#This Row],[Maximo]]=0,"",_xlfn.RANK.EQ(dHdcp[[#This Row],[Handicap]],dHdcp[Handicap],1))</f>
        <v/>
      </c>
      <c r="K1998" t="str">
        <f>IFERROR(+_xlfn.RANK.EQ(dHdcp[[#This Row],[Ranking]],dHdcp[Ranking],1),"")</f>
        <v/>
      </c>
      <c r="M1998" t="str">
        <f>+dHdcp[[#This Row],[Fecha]]&amp;":"&amp;dHdcp[[#This Row],[Nombre]]</f>
        <v>45409:Alvaro Montoya</v>
      </c>
      <c r="N1998">
        <f>+COUNTIF(dHdcp[Columna1],dHdcp[[#This Row],[Columna1]])</f>
        <v>1</v>
      </c>
    </row>
    <row r="1999" spans="1:14">
      <c r="A1999" s="16">
        <v>45409</v>
      </c>
      <c r="B1999" s="15" t="s">
        <v>25</v>
      </c>
      <c r="C1999" s="85">
        <v>13.7</v>
      </c>
      <c r="D1999" s="15">
        <f>+VLOOKUP(dHdcp[[#This Row],[Handicap]],'Categoría Hdcap'!$B$2:$E$7,4)</f>
        <v>3</v>
      </c>
      <c r="E1999" s="15" t="s">
        <v>74</v>
      </c>
      <c r="F1999" s="15"/>
      <c r="G1999">
        <f>+IF(dHdcp[[#This Row],[Fecha]]=MAX(dHdcp[Fecha]),1,0)</f>
        <v>0</v>
      </c>
      <c r="H1999" t="str">
        <f>+dHdcp[[#This Row],[Maximo]]&amp;":"&amp;dHdcp[[#This Row],[Nombre]]</f>
        <v>0:Alvaro Nieto</v>
      </c>
      <c r="I1999" t="str">
        <f>+dHdcp[[#This Row],[Maximo]]&amp;":"&amp;_xlfn.XLOOKUP(dHdcp[[#This Row],[Nombre]],dJugador[Nombre],dJugador[Mote],"",0)</f>
        <v>0:Alvaro</v>
      </c>
      <c r="J1999" t="str">
        <f>+IF(dHdcp[[#This Row],[Maximo]]=0,"",_xlfn.RANK.EQ(dHdcp[[#This Row],[Handicap]],dHdcp[Handicap],1))</f>
        <v/>
      </c>
      <c r="K1999" t="str">
        <f>IFERROR(+_xlfn.RANK.EQ(dHdcp[[#This Row],[Ranking]],dHdcp[Ranking],1),"")</f>
        <v/>
      </c>
      <c r="M1999" t="str">
        <f>+dHdcp[[#This Row],[Fecha]]&amp;":"&amp;dHdcp[[#This Row],[Nombre]]</f>
        <v>45409:Alvaro Nieto</v>
      </c>
      <c r="N1999">
        <f>+COUNTIF(dHdcp[Columna1],dHdcp[[#This Row],[Columna1]])</f>
        <v>1</v>
      </c>
    </row>
    <row r="2000" spans="1:14">
      <c r="A2000" s="16">
        <v>45409</v>
      </c>
      <c r="B2000" s="15" t="s">
        <v>33</v>
      </c>
      <c r="C2000" s="85">
        <v>7.8</v>
      </c>
      <c r="D2000" s="15">
        <f>+VLOOKUP(dHdcp[[#This Row],[Handicap]],'Categoría Hdcap'!$B$2:$E$7,4)</f>
        <v>2</v>
      </c>
      <c r="E2000" s="15" t="s">
        <v>74</v>
      </c>
      <c r="F2000" s="15"/>
      <c r="G2000">
        <f>+IF(dHdcp[[#This Row],[Fecha]]=MAX(dHdcp[Fecha]),1,0)</f>
        <v>0</v>
      </c>
      <c r="H2000" t="str">
        <f>+dHdcp[[#This Row],[Maximo]]&amp;":"&amp;dHdcp[[#This Row],[Nombre]]</f>
        <v>0:Angel Hernandez</v>
      </c>
      <c r="I2000" t="str">
        <f>+dHdcp[[#This Row],[Maximo]]&amp;":"&amp;_xlfn.XLOOKUP(dHdcp[[#This Row],[Nombre]],dJugador[Nombre],dJugador[Mote],"",0)</f>
        <v>0:Angel</v>
      </c>
      <c r="J2000" t="str">
        <f>+IF(dHdcp[[#This Row],[Maximo]]=0,"",_xlfn.RANK.EQ(dHdcp[[#This Row],[Handicap]],dHdcp[Handicap],1))</f>
        <v/>
      </c>
      <c r="K2000" t="str">
        <f>IFERROR(+_xlfn.RANK.EQ(dHdcp[[#This Row],[Ranking]],dHdcp[Ranking],1),"")</f>
        <v/>
      </c>
      <c r="M2000" t="str">
        <f>+dHdcp[[#This Row],[Fecha]]&amp;":"&amp;dHdcp[[#This Row],[Nombre]]</f>
        <v>45409:Angel Hernandez</v>
      </c>
      <c r="N2000">
        <f>+COUNTIF(dHdcp[Columna1],dHdcp[[#This Row],[Columna1]])</f>
        <v>1</v>
      </c>
    </row>
    <row r="2001" spans="1:14">
      <c r="A2001" s="16">
        <v>45409</v>
      </c>
      <c r="B2001" s="15" t="s">
        <v>2469</v>
      </c>
      <c r="C2001" s="85">
        <v>15</v>
      </c>
      <c r="D2001" s="15">
        <f>+VLOOKUP(dHdcp[[#This Row],[Handicap]],'Categoría Hdcap'!$B$2:$E$7,4)</f>
        <v>3</v>
      </c>
      <c r="E2001" s="15" t="s">
        <v>74</v>
      </c>
      <c r="F2001" s="92"/>
      <c r="G2001">
        <f>+IF(dHdcp[[#This Row],[Fecha]]=MAX(dHdcp[Fecha]),1,0)</f>
        <v>0</v>
      </c>
      <c r="H2001" t="str">
        <f>+dHdcp[[#This Row],[Maximo]]&amp;":"&amp;dHdcp[[#This Row],[Nombre]]</f>
        <v>0:Angel Santana</v>
      </c>
      <c r="I2001" t="str">
        <f>+dHdcp[[#This Row],[Maximo]]&amp;":"&amp;_xlfn.XLOOKUP(dHdcp[[#This Row],[Nombre]],dJugador[Nombre],dJugador[Mote],"",0)</f>
        <v>0:A.Santana</v>
      </c>
      <c r="J2001" t="str">
        <f>+IF(dHdcp[[#This Row],[Maximo]]=0,"",_xlfn.RANK.EQ(dHdcp[[#This Row],[Handicap]],dHdcp[Handicap],1))</f>
        <v/>
      </c>
      <c r="K2001" t="str">
        <f>IFERROR(+_xlfn.RANK.EQ(dHdcp[[#This Row],[Ranking]],dHdcp[Ranking],1),"")</f>
        <v/>
      </c>
      <c r="M2001" t="str">
        <f>+dHdcp[[#This Row],[Fecha]]&amp;":"&amp;dHdcp[[#This Row],[Nombre]]</f>
        <v>45409:Angel Santana</v>
      </c>
      <c r="N2001">
        <f>+COUNTIF(dHdcp[Columna1],dHdcp[[#This Row],[Columna1]])</f>
        <v>1</v>
      </c>
    </row>
    <row r="2002" spans="1:14">
      <c r="A2002" s="16">
        <v>45409</v>
      </c>
      <c r="B2002" s="15" t="s">
        <v>264</v>
      </c>
      <c r="C2002" s="85">
        <v>19.2</v>
      </c>
      <c r="D2002" s="15">
        <f>+VLOOKUP(dHdcp[[#This Row],[Handicap]],'Categoría Hdcap'!$B$2:$E$7,4)</f>
        <v>4</v>
      </c>
      <c r="E2002" s="15" t="s">
        <v>74</v>
      </c>
      <c r="F2002" s="15"/>
      <c r="G2002">
        <f>+IF(dHdcp[[#This Row],[Fecha]]=MAX(dHdcp[Fecha]),1,0)</f>
        <v>0</v>
      </c>
      <c r="H2002" t="str">
        <f>+dHdcp[[#This Row],[Maximo]]&amp;":"&amp;dHdcp[[#This Row],[Nombre]]</f>
        <v>0:Antonio Carmona</v>
      </c>
      <c r="I2002" t="str">
        <f>+dHdcp[[#This Row],[Maximo]]&amp;":"&amp;_xlfn.XLOOKUP(dHdcp[[#This Row],[Nombre]],dJugador[Nombre],dJugador[Mote],"",0)</f>
        <v>0:Antonio</v>
      </c>
      <c r="J2002" t="str">
        <f>+IF(dHdcp[[#This Row],[Maximo]]=0,"",_xlfn.RANK.EQ(dHdcp[[#This Row],[Handicap]],dHdcp[Handicap],1))</f>
        <v/>
      </c>
      <c r="K2002" t="str">
        <f>IFERROR(+_xlfn.RANK.EQ(dHdcp[[#This Row],[Ranking]],dHdcp[Ranking],1),"")</f>
        <v/>
      </c>
      <c r="M2002" t="str">
        <f>+dHdcp[[#This Row],[Fecha]]&amp;":"&amp;dHdcp[[#This Row],[Nombre]]</f>
        <v>45409:Antonio Carmona</v>
      </c>
      <c r="N2002">
        <f>+COUNTIF(dHdcp[Columna1],dHdcp[[#This Row],[Columna1]])</f>
        <v>1</v>
      </c>
    </row>
    <row r="2003" spans="1:14">
      <c r="A2003" s="16">
        <v>45409</v>
      </c>
      <c r="B2003" s="15" t="s">
        <v>291</v>
      </c>
      <c r="C2003" s="85">
        <v>1</v>
      </c>
      <c r="D2003" s="15">
        <f>+VLOOKUP(dHdcp[[#This Row],[Handicap]],'Categoría Hdcap'!$B$2:$E$7,4)</f>
        <v>1</v>
      </c>
      <c r="E2003" s="15" t="s">
        <v>74</v>
      </c>
      <c r="F2003" s="15"/>
      <c r="G2003">
        <f>+IF(dHdcp[[#This Row],[Fecha]]=MAX(dHdcp[Fecha]),1,0)</f>
        <v>0</v>
      </c>
      <c r="H2003" t="str">
        <f>+dHdcp[[#This Row],[Maximo]]&amp;":"&amp;dHdcp[[#This Row],[Nombre]]</f>
        <v>0:Carlos Maestro</v>
      </c>
      <c r="I2003" t="str">
        <f>+dHdcp[[#This Row],[Maximo]]&amp;":"&amp;_xlfn.XLOOKUP(dHdcp[[#This Row],[Nombre]],dJugador[Nombre],dJugador[Mote],"",0)</f>
        <v>0:Carlitos</v>
      </c>
      <c r="J2003" t="str">
        <f>+IF(dHdcp[[#This Row],[Maximo]]=0,"",_xlfn.RANK.EQ(dHdcp[[#This Row],[Handicap]],dHdcp[Handicap],1))</f>
        <v/>
      </c>
      <c r="K2003" t="str">
        <f>IFERROR(+_xlfn.RANK.EQ(dHdcp[[#This Row],[Ranking]],dHdcp[Ranking],1),"")</f>
        <v/>
      </c>
      <c r="M2003" t="str">
        <f>+dHdcp[[#This Row],[Fecha]]&amp;":"&amp;dHdcp[[#This Row],[Nombre]]</f>
        <v>45409:Carlos Maestro</v>
      </c>
      <c r="N2003">
        <f>+COUNTIF(dHdcp[Columna1],dHdcp[[#This Row],[Columna1]])</f>
        <v>1</v>
      </c>
    </row>
    <row r="2004" spans="1:14">
      <c r="A2004" s="16">
        <v>45409</v>
      </c>
      <c r="B2004" s="15" t="s">
        <v>30</v>
      </c>
      <c r="C2004" s="85">
        <v>13.4</v>
      </c>
      <c r="D2004" s="15">
        <f>+VLOOKUP(dHdcp[[#This Row],[Handicap]],'Categoría Hdcap'!$B$2:$E$7,4)</f>
        <v>3</v>
      </c>
      <c r="E2004" s="15" t="s">
        <v>74</v>
      </c>
      <c r="F2004" s="15"/>
      <c r="G2004">
        <f>+IF(dHdcp[[#This Row],[Fecha]]=MAX(dHdcp[Fecha]),1,0)</f>
        <v>0</v>
      </c>
      <c r="H2004" t="str">
        <f>+dHdcp[[#This Row],[Maximo]]&amp;":"&amp;dHdcp[[#This Row],[Nombre]]</f>
        <v>0:David Sequera</v>
      </c>
      <c r="I2004" t="str">
        <f>+dHdcp[[#This Row],[Maximo]]&amp;":"&amp;_xlfn.XLOOKUP(dHdcp[[#This Row],[Nombre]],dJugador[Nombre],dJugador[Mote],"",0)</f>
        <v>0:David</v>
      </c>
      <c r="J2004" t="str">
        <f>+IF(dHdcp[[#This Row],[Maximo]]=0,"",_xlfn.RANK.EQ(dHdcp[[#This Row],[Handicap]],dHdcp[Handicap],1))</f>
        <v/>
      </c>
      <c r="K2004" t="str">
        <f>IFERROR(+_xlfn.RANK.EQ(dHdcp[[#This Row],[Ranking]],dHdcp[Ranking],1),"")</f>
        <v/>
      </c>
      <c r="M2004" t="str">
        <f>+dHdcp[[#This Row],[Fecha]]&amp;":"&amp;dHdcp[[#This Row],[Nombre]]</f>
        <v>45409:David Sequera</v>
      </c>
      <c r="N2004">
        <f>+COUNTIF(dHdcp[Columna1],dHdcp[[#This Row],[Columna1]])</f>
        <v>1</v>
      </c>
    </row>
    <row r="2005" spans="1:14">
      <c r="A2005" s="16">
        <v>45409</v>
      </c>
      <c r="B2005" s="15" t="s">
        <v>326</v>
      </c>
      <c r="C2005" s="85">
        <v>11.7</v>
      </c>
      <c r="D2005" s="15">
        <f>+VLOOKUP(dHdcp[[#This Row],[Handicap]],'Categoría Hdcap'!$B$2:$E$7,4)</f>
        <v>3</v>
      </c>
      <c r="E2005" s="15" t="s">
        <v>74</v>
      </c>
      <c r="F2005" s="15"/>
      <c r="G2005">
        <f>+IF(dHdcp[[#This Row],[Fecha]]=MAX(dHdcp[Fecha]),1,0)</f>
        <v>0</v>
      </c>
      <c r="H2005" t="str">
        <f>+dHdcp[[#This Row],[Maximo]]&amp;":"&amp;dHdcp[[#This Row],[Nombre]]</f>
        <v>0:Eduardo Buendía</v>
      </c>
      <c r="I2005" t="str">
        <f>+dHdcp[[#This Row],[Maximo]]&amp;":"&amp;_xlfn.XLOOKUP(dHdcp[[#This Row],[Nombre]],dJugador[Nombre],dJugador[Mote],"",0)</f>
        <v>0:Eduardo</v>
      </c>
      <c r="J2005" t="str">
        <f>+IF(dHdcp[[#This Row],[Maximo]]=0,"",_xlfn.RANK.EQ(dHdcp[[#This Row],[Handicap]],dHdcp[Handicap],1))</f>
        <v/>
      </c>
      <c r="K2005" t="str">
        <f>IFERROR(+_xlfn.RANK.EQ(dHdcp[[#This Row],[Ranking]],dHdcp[Ranking],1),"")</f>
        <v/>
      </c>
      <c r="M2005" t="str">
        <f>+dHdcp[[#This Row],[Fecha]]&amp;":"&amp;dHdcp[[#This Row],[Nombre]]</f>
        <v>45409:Eduardo Buendía</v>
      </c>
      <c r="N2005">
        <f>+COUNTIF(dHdcp[Columna1],dHdcp[[#This Row],[Columna1]])</f>
        <v>1</v>
      </c>
    </row>
    <row r="2006" spans="1:14">
      <c r="A2006" s="16">
        <v>45409</v>
      </c>
      <c r="B2006" s="15" t="s">
        <v>248</v>
      </c>
      <c r="C2006" s="85">
        <v>13</v>
      </c>
      <c r="D2006" s="15">
        <f>+VLOOKUP(dHdcp[[#This Row],[Handicap]],'Categoría Hdcap'!$B$2:$E$7,4)</f>
        <v>3</v>
      </c>
      <c r="E2006" s="15" t="s">
        <v>74</v>
      </c>
      <c r="F2006" s="15"/>
      <c r="G2006">
        <f>+IF(dHdcp[[#This Row],[Fecha]]=MAX(dHdcp[Fecha]),1,0)</f>
        <v>0</v>
      </c>
      <c r="H2006" t="str">
        <f>+dHdcp[[#This Row],[Maximo]]&amp;":"&amp;dHdcp[[#This Row],[Nombre]]</f>
        <v>0:Enrique Gonzalez R</v>
      </c>
      <c r="I2006" t="str">
        <f>+dHdcp[[#This Row],[Maximo]]&amp;":"&amp;_xlfn.XLOOKUP(dHdcp[[#This Row],[Nombre]],dJugador[Nombre],dJugador[Mote],"",0)</f>
        <v>0:Enrique</v>
      </c>
      <c r="J2006" t="str">
        <f>+IF(dHdcp[[#This Row],[Maximo]]=0,"",_xlfn.RANK.EQ(dHdcp[[#This Row],[Handicap]],dHdcp[Handicap],1))</f>
        <v/>
      </c>
      <c r="K2006" t="str">
        <f>IFERROR(+_xlfn.RANK.EQ(dHdcp[[#This Row],[Ranking]],dHdcp[Ranking],1),"")</f>
        <v/>
      </c>
      <c r="M2006" t="str">
        <f>+dHdcp[[#This Row],[Fecha]]&amp;":"&amp;dHdcp[[#This Row],[Nombre]]</f>
        <v>45409:Enrique Gonzalez R</v>
      </c>
      <c r="N2006">
        <f>+COUNTIF(dHdcp[Columna1],dHdcp[[#This Row],[Columna1]])</f>
        <v>1</v>
      </c>
    </row>
    <row r="2007" spans="1:14">
      <c r="A2007" s="16">
        <v>45409</v>
      </c>
      <c r="B2007" s="15" t="s">
        <v>12</v>
      </c>
      <c r="C2007" s="85">
        <v>15.7</v>
      </c>
      <c r="D2007" s="15">
        <f>+VLOOKUP(dHdcp[[#This Row],[Handicap]],'Categoría Hdcap'!$B$2:$E$7,4)</f>
        <v>3</v>
      </c>
      <c r="E2007" s="15" t="s">
        <v>74</v>
      </c>
      <c r="F2007" s="15"/>
      <c r="G2007">
        <f>+IF(dHdcp[[#This Row],[Fecha]]=MAX(dHdcp[Fecha]),1,0)</f>
        <v>0</v>
      </c>
      <c r="H2007" t="str">
        <f>+dHdcp[[#This Row],[Maximo]]&amp;":"&amp;dHdcp[[#This Row],[Nombre]]</f>
        <v>0:Francisco Alvarez</v>
      </c>
      <c r="I2007" t="str">
        <f>+dHdcp[[#This Row],[Maximo]]&amp;":"&amp;_xlfn.XLOOKUP(dHdcp[[#This Row],[Nombre]],dJugador[Nombre],dJugador[Mote],"",0)</f>
        <v>0:Paco</v>
      </c>
      <c r="J2007" t="str">
        <f>+IF(dHdcp[[#This Row],[Maximo]]=0,"",_xlfn.RANK.EQ(dHdcp[[#This Row],[Handicap]],dHdcp[Handicap],1))</f>
        <v/>
      </c>
      <c r="K2007" t="str">
        <f>IFERROR(+_xlfn.RANK.EQ(dHdcp[[#This Row],[Ranking]],dHdcp[Ranking],1),"")</f>
        <v/>
      </c>
      <c r="M2007" t="str">
        <f>+dHdcp[[#This Row],[Fecha]]&amp;":"&amp;dHdcp[[#This Row],[Nombre]]</f>
        <v>45409:Francisco Alvarez</v>
      </c>
      <c r="N2007">
        <f>+COUNTIF(dHdcp[Columna1],dHdcp[[#This Row],[Columna1]])</f>
        <v>1</v>
      </c>
    </row>
    <row r="2008" spans="1:14">
      <c r="A2008" s="16">
        <v>45409</v>
      </c>
      <c r="B2008" s="15" t="s">
        <v>49</v>
      </c>
      <c r="C2008" s="85">
        <v>12.7</v>
      </c>
      <c r="D2008" s="15">
        <f>+VLOOKUP(dHdcp[[#This Row],[Handicap]],'Categoría Hdcap'!$B$2:$E$7,4)</f>
        <v>3</v>
      </c>
      <c r="E2008" s="15" t="s">
        <v>74</v>
      </c>
      <c r="F2008" s="15"/>
      <c r="G2008">
        <f>+IF(dHdcp[[#This Row],[Fecha]]=MAX(dHdcp[Fecha]),1,0)</f>
        <v>0</v>
      </c>
      <c r="H2008" t="str">
        <f>+dHdcp[[#This Row],[Maximo]]&amp;":"&amp;dHdcp[[#This Row],[Nombre]]</f>
        <v>0:Francisco Hidalgo</v>
      </c>
      <c r="I2008" t="str">
        <f>+dHdcp[[#This Row],[Maximo]]&amp;":"&amp;_xlfn.XLOOKUP(dHdcp[[#This Row],[Nombre]],dJugador[Nombre],dJugador[Mote],"",0)</f>
        <v>0:Fran</v>
      </c>
      <c r="J2008" t="str">
        <f>+IF(dHdcp[[#This Row],[Maximo]]=0,"",_xlfn.RANK.EQ(dHdcp[[#This Row],[Handicap]],dHdcp[Handicap],1))</f>
        <v/>
      </c>
      <c r="K2008" t="str">
        <f>IFERROR(+_xlfn.RANK.EQ(dHdcp[[#This Row],[Ranking]],dHdcp[Ranking],1),"")</f>
        <v/>
      </c>
      <c r="M2008" t="str">
        <f>+dHdcp[[#This Row],[Fecha]]&amp;":"&amp;dHdcp[[#This Row],[Nombre]]</f>
        <v>45409:Francisco Hidalgo</v>
      </c>
      <c r="N2008">
        <f>+COUNTIF(dHdcp[Columna1],dHdcp[[#This Row],[Columna1]])</f>
        <v>1</v>
      </c>
    </row>
    <row r="2009" spans="1:14">
      <c r="A2009" s="16">
        <v>45409</v>
      </c>
      <c r="B2009" s="15" t="s">
        <v>207</v>
      </c>
      <c r="C2009" s="85">
        <v>15</v>
      </c>
      <c r="D2009" s="15">
        <f>+VLOOKUP(dHdcp[[#This Row],[Handicap]],'Categoría Hdcap'!$B$2:$E$7,4)</f>
        <v>3</v>
      </c>
      <c r="E2009" s="15" t="s">
        <v>74</v>
      </c>
      <c r="F2009" s="15"/>
      <c r="G2009">
        <f>+IF(dHdcp[[#This Row],[Fecha]]=MAX(dHdcp[Fecha]),1,0)</f>
        <v>0</v>
      </c>
      <c r="H2009" t="str">
        <f>+dHdcp[[#This Row],[Maximo]]&amp;":"&amp;dHdcp[[#This Row],[Nombre]]</f>
        <v>0:Franck Benouniche</v>
      </c>
      <c r="I2009" t="str">
        <f>+dHdcp[[#This Row],[Maximo]]&amp;":"&amp;_xlfn.XLOOKUP(dHdcp[[#This Row],[Nombre]],dJugador[Nombre],dJugador[Mote],"",0)</f>
        <v>0:Franck</v>
      </c>
      <c r="J2009" t="str">
        <f>+IF(dHdcp[[#This Row],[Maximo]]=0,"",_xlfn.RANK.EQ(dHdcp[[#This Row],[Handicap]],dHdcp[Handicap],1))</f>
        <v/>
      </c>
      <c r="K2009" t="str">
        <f>IFERROR(+_xlfn.RANK.EQ(dHdcp[[#This Row],[Ranking]],dHdcp[Ranking],1),"")</f>
        <v/>
      </c>
      <c r="M2009" t="str">
        <f>+dHdcp[[#This Row],[Fecha]]&amp;":"&amp;dHdcp[[#This Row],[Nombre]]</f>
        <v>45409:Franck Benouniche</v>
      </c>
      <c r="N2009">
        <f>+COUNTIF(dHdcp[Columna1],dHdcp[[#This Row],[Columna1]])</f>
        <v>1</v>
      </c>
    </row>
    <row r="2010" spans="1:14">
      <c r="A2010" s="16">
        <v>45409</v>
      </c>
      <c r="B2010" s="15" t="s">
        <v>35</v>
      </c>
      <c r="C2010" s="85">
        <v>21.1</v>
      </c>
      <c r="D2010" s="15">
        <f>+VLOOKUP(dHdcp[[#This Row],[Handicap]],'Categoría Hdcap'!$B$2:$E$7,4)</f>
        <v>4</v>
      </c>
      <c r="E2010" s="15" t="s">
        <v>74</v>
      </c>
      <c r="F2010" s="15"/>
      <c r="G2010">
        <f>+IF(dHdcp[[#This Row],[Fecha]]=MAX(dHdcp[Fecha]),1,0)</f>
        <v>0</v>
      </c>
      <c r="H2010" t="str">
        <f>+dHdcp[[#This Row],[Maximo]]&amp;":"&amp;dHdcp[[#This Row],[Nombre]]</f>
        <v>0:GLEZ JUAN JOSÉ</v>
      </c>
      <c r="I2010" t="str">
        <f>+dHdcp[[#This Row],[Maximo]]&amp;":"&amp;_xlfn.XLOOKUP(dHdcp[[#This Row],[Nombre]],dJugador[Nombre],dJugador[Mote],"",0)</f>
        <v>0:Juanjo</v>
      </c>
      <c r="J2010" t="str">
        <f>+IF(dHdcp[[#This Row],[Maximo]]=0,"",_xlfn.RANK.EQ(dHdcp[[#This Row],[Handicap]],dHdcp[Handicap],1))</f>
        <v/>
      </c>
      <c r="K2010" t="str">
        <f>IFERROR(+_xlfn.RANK.EQ(dHdcp[[#This Row],[Ranking]],dHdcp[Ranking],1),"")</f>
        <v/>
      </c>
      <c r="M2010" t="str">
        <f>+dHdcp[[#This Row],[Fecha]]&amp;":"&amp;dHdcp[[#This Row],[Nombre]]</f>
        <v>45409:GLEZ JUAN JOSÉ</v>
      </c>
      <c r="N2010">
        <f>+COUNTIF(dHdcp[Columna1],dHdcp[[#This Row],[Columna1]])</f>
        <v>1</v>
      </c>
    </row>
    <row r="2011" spans="1:14">
      <c r="A2011" s="16">
        <v>45409</v>
      </c>
      <c r="B2011" s="15" t="s">
        <v>6</v>
      </c>
      <c r="C2011" s="85">
        <v>8.1</v>
      </c>
      <c r="D2011" s="15">
        <f>+VLOOKUP(dHdcp[[#This Row],[Handicap]],'Categoría Hdcap'!$B$2:$E$7,4)</f>
        <v>2</v>
      </c>
      <c r="E2011" s="15" t="s">
        <v>74</v>
      </c>
      <c r="F2011" s="15"/>
      <c r="G2011">
        <f>+IF(dHdcp[[#This Row],[Fecha]]=MAX(dHdcp[Fecha]),1,0)</f>
        <v>0</v>
      </c>
      <c r="H2011" t="str">
        <f>+dHdcp[[#This Row],[Maximo]]&amp;":"&amp;dHdcp[[#This Row],[Nombre]]</f>
        <v>0:Ignacio Cadarso</v>
      </c>
      <c r="I2011" t="str">
        <f>+dHdcp[[#This Row],[Maximo]]&amp;":"&amp;_xlfn.XLOOKUP(dHdcp[[#This Row],[Nombre]],dJugador[Nombre],dJugador[Mote],"",0)</f>
        <v>0:Ignacio</v>
      </c>
      <c r="J2011" t="str">
        <f>+IF(dHdcp[[#This Row],[Maximo]]=0,"",_xlfn.RANK.EQ(dHdcp[[#This Row],[Handicap]],dHdcp[Handicap],1))</f>
        <v/>
      </c>
      <c r="K2011" t="str">
        <f>IFERROR(+_xlfn.RANK.EQ(dHdcp[[#This Row],[Ranking]],dHdcp[Ranking],1),"")</f>
        <v/>
      </c>
      <c r="M2011" t="str">
        <f>+dHdcp[[#This Row],[Fecha]]&amp;":"&amp;dHdcp[[#This Row],[Nombre]]</f>
        <v>45409:Ignacio Cadarso</v>
      </c>
      <c r="N2011">
        <f>+COUNTIF(dHdcp[Columna1],dHdcp[[#This Row],[Columna1]])</f>
        <v>1</v>
      </c>
    </row>
    <row r="2012" spans="1:14">
      <c r="A2012" s="16">
        <v>45409</v>
      </c>
      <c r="B2012" s="15" t="s">
        <v>298</v>
      </c>
      <c r="C2012" s="85">
        <v>23.7</v>
      </c>
      <c r="D2012" s="15">
        <f>+VLOOKUP(dHdcp[[#This Row],[Handicap]],'Categoría Hdcap'!$B$2:$E$7,4)</f>
        <v>4</v>
      </c>
      <c r="E2012" s="15" t="s">
        <v>74</v>
      </c>
      <c r="F2012" s="15"/>
      <c r="G2012">
        <f>+IF(dHdcp[[#This Row],[Fecha]]=MAX(dHdcp[Fecha]),1,0)</f>
        <v>0</v>
      </c>
      <c r="H2012" t="str">
        <f>+dHdcp[[#This Row],[Maximo]]&amp;":"&amp;dHdcp[[#This Row],[Nombre]]</f>
        <v>0:Ignacio Gracia Charlez</v>
      </c>
      <c r="I2012" t="str">
        <f>+dHdcp[[#This Row],[Maximo]]&amp;":"&amp;_xlfn.XLOOKUP(dHdcp[[#This Row],[Nombre]],dJugador[Nombre],dJugador[Mote],"",0)</f>
        <v>0:I Gracia</v>
      </c>
      <c r="J2012" t="str">
        <f>+IF(dHdcp[[#This Row],[Maximo]]=0,"",_xlfn.RANK.EQ(dHdcp[[#This Row],[Handicap]],dHdcp[Handicap],1))</f>
        <v/>
      </c>
      <c r="K2012" t="str">
        <f>IFERROR(+_xlfn.RANK.EQ(dHdcp[[#This Row],[Ranking]],dHdcp[Ranking],1),"")</f>
        <v/>
      </c>
      <c r="M2012" t="str">
        <f>+dHdcp[[#This Row],[Fecha]]&amp;":"&amp;dHdcp[[#This Row],[Nombre]]</f>
        <v>45409:Ignacio Gracia Charlez</v>
      </c>
      <c r="N2012">
        <f>+COUNTIF(dHdcp[Columna1],dHdcp[[#This Row],[Columna1]])</f>
        <v>1</v>
      </c>
    </row>
    <row r="2013" spans="1:14">
      <c r="A2013" s="16">
        <v>45409</v>
      </c>
      <c r="B2013" s="15" t="s">
        <v>23</v>
      </c>
      <c r="C2013" s="85">
        <v>18.899999999999999</v>
      </c>
      <c r="D2013" s="15">
        <f>+VLOOKUP(dHdcp[[#This Row],[Handicap]],'Categoría Hdcap'!$B$2:$E$7,4)</f>
        <v>4</v>
      </c>
      <c r="E2013" s="15" t="s">
        <v>74</v>
      </c>
      <c r="F2013" s="15"/>
      <c r="G2013">
        <f>+IF(dHdcp[[#This Row],[Fecha]]=MAX(dHdcp[Fecha]),1,0)</f>
        <v>0</v>
      </c>
      <c r="H2013" t="str">
        <f>+dHdcp[[#This Row],[Maximo]]&amp;":"&amp;dHdcp[[#This Row],[Nombre]]</f>
        <v>0:J. Enrique Gonzalez</v>
      </c>
      <c r="I2013" t="str">
        <f>+dHdcp[[#This Row],[Maximo]]&amp;":"&amp;_xlfn.XLOOKUP(dHdcp[[#This Row],[Nombre]],dJugador[Nombre],dJugador[Mote],"",0)</f>
        <v>0:Kike</v>
      </c>
      <c r="J2013" t="str">
        <f>+IF(dHdcp[[#This Row],[Maximo]]=0,"",_xlfn.RANK.EQ(dHdcp[[#This Row],[Handicap]],dHdcp[Handicap],1))</f>
        <v/>
      </c>
      <c r="K2013" t="str">
        <f>IFERROR(+_xlfn.RANK.EQ(dHdcp[[#This Row],[Ranking]],dHdcp[Ranking],1),"")</f>
        <v/>
      </c>
      <c r="M2013" t="str">
        <f>+dHdcp[[#This Row],[Fecha]]&amp;":"&amp;dHdcp[[#This Row],[Nombre]]</f>
        <v>45409:J. Enrique Gonzalez</v>
      </c>
      <c r="N2013">
        <f>+COUNTIF(dHdcp[Columna1],dHdcp[[#This Row],[Columna1]])</f>
        <v>1</v>
      </c>
    </row>
    <row r="2014" spans="1:14">
      <c r="A2014" s="16">
        <v>45409</v>
      </c>
      <c r="B2014" s="15" t="s">
        <v>289</v>
      </c>
      <c r="C2014" s="85">
        <v>9.1999999999999993</v>
      </c>
      <c r="D2014" s="15">
        <f>+VLOOKUP(dHdcp[[#This Row],[Handicap]],'Categoría Hdcap'!$B$2:$E$7,4)</f>
        <v>2</v>
      </c>
      <c r="E2014" s="15" t="s">
        <v>74</v>
      </c>
      <c r="F2014" s="15"/>
      <c r="G2014">
        <f>+IF(dHdcp[[#This Row],[Fecha]]=MAX(dHdcp[Fecha]),1,0)</f>
        <v>0</v>
      </c>
      <c r="H2014" t="str">
        <f>+dHdcp[[#This Row],[Maximo]]&amp;":"&amp;dHdcp[[#This Row],[Nombre]]</f>
        <v>0:Jaime Villanueva</v>
      </c>
      <c r="I2014" t="str">
        <f>+dHdcp[[#This Row],[Maximo]]&amp;":"&amp;_xlfn.XLOOKUP(dHdcp[[#This Row],[Nombre]],dJugador[Nombre],dJugador[Mote],"",0)</f>
        <v>0:Villanueva</v>
      </c>
      <c r="J2014" t="str">
        <f>+IF(dHdcp[[#This Row],[Maximo]]=0,"",_xlfn.RANK.EQ(dHdcp[[#This Row],[Handicap]],dHdcp[Handicap],1))</f>
        <v/>
      </c>
      <c r="K2014" t="str">
        <f>IFERROR(+_xlfn.RANK.EQ(dHdcp[[#This Row],[Ranking]],dHdcp[Ranking],1),"")</f>
        <v/>
      </c>
      <c r="M2014" t="str">
        <f>+dHdcp[[#This Row],[Fecha]]&amp;":"&amp;dHdcp[[#This Row],[Nombre]]</f>
        <v>45409:Jaime Villanueva</v>
      </c>
      <c r="N2014">
        <f>+COUNTIF(dHdcp[Columna1],dHdcp[[#This Row],[Columna1]])</f>
        <v>1</v>
      </c>
    </row>
    <row r="2015" spans="1:14">
      <c r="A2015" s="16">
        <v>45409</v>
      </c>
      <c r="B2015" s="15" t="s">
        <v>328</v>
      </c>
      <c r="C2015" s="85">
        <v>11.7</v>
      </c>
      <c r="D2015" s="15">
        <f>+VLOOKUP(dHdcp[[#This Row],[Handicap]],'Categoría Hdcap'!$B$2:$E$7,4)</f>
        <v>3</v>
      </c>
      <c r="E2015" s="15" t="s">
        <v>74</v>
      </c>
      <c r="F2015" s="15"/>
      <c r="G2015">
        <f>+IF(dHdcp[[#This Row],[Fecha]]=MAX(dHdcp[Fecha]),1,0)</f>
        <v>0</v>
      </c>
      <c r="H2015" t="str">
        <f>+dHdcp[[#This Row],[Maximo]]&amp;":"&amp;dHdcp[[#This Row],[Nombre]]</f>
        <v>0:Javier Arcos</v>
      </c>
      <c r="I2015" t="str">
        <f>+dHdcp[[#This Row],[Maximo]]&amp;":"&amp;_xlfn.XLOOKUP(dHdcp[[#This Row],[Nombre]],dJugador[Nombre],dJugador[Mote],"",0)</f>
        <v>0:J.Arcos</v>
      </c>
      <c r="J2015" t="str">
        <f>+IF(dHdcp[[#This Row],[Maximo]]=0,"",_xlfn.RANK.EQ(dHdcp[[#This Row],[Handicap]],dHdcp[Handicap],1))</f>
        <v/>
      </c>
      <c r="K2015" t="str">
        <f>IFERROR(+_xlfn.RANK.EQ(dHdcp[[#This Row],[Ranking]],dHdcp[Ranking],1),"")</f>
        <v/>
      </c>
      <c r="M2015" t="str">
        <f>+dHdcp[[#This Row],[Fecha]]&amp;":"&amp;dHdcp[[#This Row],[Nombre]]</f>
        <v>45409:Javier Arcos</v>
      </c>
      <c r="N2015">
        <f>+COUNTIF(dHdcp[Columna1],dHdcp[[#This Row],[Columna1]])</f>
        <v>1</v>
      </c>
    </row>
    <row r="2016" spans="1:14">
      <c r="A2016" s="16">
        <v>45409</v>
      </c>
      <c r="B2016" s="15" t="s">
        <v>378</v>
      </c>
      <c r="C2016" s="102">
        <v>11.199999999999992</v>
      </c>
      <c r="D2016" s="15">
        <f>+VLOOKUP(dHdcp[[#This Row],[Handicap]],'Categoría Hdcap'!$B$2:$E$7,4)</f>
        <v>2</v>
      </c>
      <c r="E2016" s="15" t="s">
        <v>74</v>
      </c>
      <c r="F2016" s="15"/>
      <c r="G2016">
        <f>+IF(dHdcp[[#This Row],[Fecha]]=MAX(dHdcp[Fecha]),1,0)</f>
        <v>0</v>
      </c>
      <c r="H2016" t="str">
        <f>+dHdcp[[#This Row],[Maximo]]&amp;":"&amp;dHdcp[[#This Row],[Nombre]]</f>
        <v>0:Javier Campo</v>
      </c>
      <c r="I2016" t="str">
        <f>+dHdcp[[#This Row],[Maximo]]&amp;":"&amp;_xlfn.XLOOKUP(dHdcp[[#This Row],[Nombre]],dJugador[Nombre],dJugador[Mote],"",0)</f>
        <v>0:Campo</v>
      </c>
      <c r="J2016" t="str">
        <f>+IF(dHdcp[[#This Row],[Maximo]]=0,"",_xlfn.RANK.EQ(dHdcp[[#This Row],[Handicap]],dHdcp[Handicap],1))</f>
        <v/>
      </c>
      <c r="K2016" t="str">
        <f>IFERROR(+_xlfn.RANK.EQ(dHdcp[[#This Row],[Ranking]],dHdcp[Ranking],1),"")</f>
        <v/>
      </c>
      <c r="M2016" t="str">
        <f>+dHdcp[[#This Row],[Fecha]]&amp;":"&amp;dHdcp[[#This Row],[Nombre]]</f>
        <v>45409:Javier Campo</v>
      </c>
      <c r="N2016">
        <f>+COUNTIF(dHdcp[Columna1],dHdcp[[#This Row],[Columna1]])</f>
        <v>1</v>
      </c>
    </row>
    <row r="2017" spans="1:14">
      <c r="A2017" s="16">
        <v>45409</v>
      </c>
      <c r="B2017" s="15" t="s">
        <v>46</v>
      </c>
      <c r="C2017" s="85">
        <v>18.3</v>
      </c>
      <c r="D2017" s="15">
        <f>+VLOOKUP(dHdcp[[#This Row],[Handicap]],'Categoría Hdcap'!$B$2:$E$7,4)</f>
        <v>3</v>
      </c>
      <c r="E2017" s="15" t="s">
        <v>74</v>
      </c>
      <c r="F2017" s="15"/>
      <c r="G2017">
        <f>+IF(dHdcp[[#This Row],[Fecha]]=MAX(dHdcp[Fecha]),1,0)</f>
        <v>0</v>
      </c>
      <c r="H2017" t="str">
        <f>+dHdcp[[#This Row],[Maximo]]&amp;":"&amp;dHdcp[[#This Row],[Nombre]]</f>
        <v>0:Javier Cervera</v>
      </c>
      <c r="I2017" t="str">
        <f>+dHdcp[[#This Row],[Maximo]]&amp;":"&amp;_xlfn.XLOOKUP(dHdcp[[#This Row],[Nombre]],dJugador[Nombre],dJugador[Mote],"",0)</f>
        <v>0:Virus</v>
      </c>
      <c r="J2017" t="str">
        <f>+IF(dHdcp[[#This Row],[Maximo]]=0,"",_xlfn.RANK.EQ(dHdcp[[#This Row],[Handicap]],dHdcp[Handicap],1))</f>
        <v/>
      </c>
      <c r="K2017" t="str">
        <f>IFERROR(+_xlfn.RANK.EQ(dHdcp[[#This Row],[Ranking]],dHdcp[Ranking],1),"")</f>
        <v/>
      </c>
      <c r="M2017" t="str">
        <f>+dHdcp[[#This Row],[Fecha]]&amp;":"&amp;dHdcp[[#This Row],[Nombre]]</f>
        <v>45409:Javier Cervera</v>
      </c>
      <c r="N2017">
        <f>+COUNTIF(dHdcp[Columna1],dHdcp[[#This Row],[Columna1]])</f>
        <v>1</v>
      </c>
    </row>
    <row r="2018" spans="1:14">
      <c r="A2018" s="16">
        <v>45409</v>
      </c>
      <c r="B2018" s="15" t="s">
        <v>225</v>
      </c>
      <c r="C2018" s="85">
        <v>10.1</v>
      </c>
      <c r="D2018" s="15">
        <f>+VLOOKUP(dHdcp[[#This Row],[Handicap]],'Categoría Hdcap'!$B$2:$E$7,4)</f>
        <v>2</v>
      </c>
      <c r="E2018" s="15" t="s">
        <v>74</v>
      </c>
      <c r="F2018" s="15"/>
      <c r="G2018">
        <f>+IF(dHdcp[[#This Row],[Fecha]]=MAX(dHdcp[Fecha]),1,0)</f>
        <v>0</v>
      </c>
      <c r="H2018" t="str">
        <f>+dHdcp[[#This Row],[Maximo]]&amp;":"&amp;dHdcp[[#This Row],[Nombre]]</f>
        <v>0:Javier Chiralt</v>
      </c>
      <c r="I2018" t="str">
        <f>+dHdcp[[#This Row],[Maximo]]&amp;":"&amp;_xlfn.XLOOKUP(dHdcp[[#This Row],[Nombre]],dJugador[Nombre],dJugador[Mote],"",0)</f>
        <v>0:Chiralt</v>
      </c>
      <c r="J2018" t="str">
        <f>+IF(dHdcp[[#This Row],[Maximo]]=0,"",_xlfn.RANK.EQ(dHdcp[[#This Row],[Handicap]],dHdcp[Handicap],1))</f>
        <v/>
      </c>
      <c r="K2018" t="str">
        <f>IFERROR(+_xlfn.RANK.EQ(dHdcp[[#This Row],[Ranking]],dHdcp[Ranking],1),"")</f>
        <v/>
      </c>
      <c r="M2018" t="str">
        <f>+dHdcp[[#This Row],[Fecha]]&amp;":"&amp;dHdcp[[#This Row],[Nombre]]</f>
        <v>45409:Javier Chiralt</v>
      </c>
      <c r="N2018">
        <f>+COUNTIF(dHdcp[Columna1],dHdcp[[#This Row],[Columna1]])</f>
        <v>1</v>
      </c>
    </row>
    <row r="2019" spans="1:14">
      <c r="A2019" s="16">
        <v>45409</v>
      </c>
      <c r="B2019" s="15" t="s">
        <v>2466</v>
      </c>
      <c r="C2019" s="85">
        <v>16.7</v>
      </c>
      <c r="D2019" s="15">
        <f>+VLOOKUP(dHdcp[[#This Row],[Handicap]],'Categoría Hdcap'!$B$2:$E$7,4)</f>
        <v>3</v>
      </c>
      <c r="E2019" s="15" t="s">
        <v>74</v>
      </c>
      <c r="F2019" s="15"/>
      <c r="G2019">
        <f>+IF(dHdcp[[#This Row],[Fecha]]=MAX(dHdcp[Fecha]),1,0)</f>
        <v>0</v>
      </c>
      <c r="H2019" t="str">
        <f>+dHdcp[[#This Row],[Maximo]]&amp;":"&amp;dHdcp[[#This Row],[Nombre]]</f>
        <v>0:Javier Dodero de Solano</v>
      </c>
      <c r="I2019" t="str">
        <f>+dHdcp[[#This Row],[Maximo]]&amp;":"&amp;_xlfn.XLOOKUP(dHdcp[[#This Row],[Nombre]],dJugador[Nombre],dJugador[Mote],"",0)</f>
        <v>0:Dodero</v>
      </c>
      <c r="J2019" t="str">
        <f>+IF(dHdcp[[#This Row],[Maximo]]=0,"",_xlfn.RANK.EQ(dHdcp[[#This Row],[Handicap]],dHdcp[Handicap],1))</f>
        <v/>
      </c>
      <c r="K2019" t="str">
        <f>IFERROR(+_xlfn.RANK.EQ(dHdcp[[#This Row],[Ranking]],dHdcp[Ranking],1),"")</f>
        <v/>
      </c>
      <c r="M2019" t="str">
        <f>+dHdcp[[#This Row],[Fecha]]&amp;":"&amp;dHdcp[[#This Row],[Nombre]]</f>
        <v>45409:Javier Dodero de Solano</v>
      </c>
      <c r="N2019">
        <f>+COUNTIF(dHdcp[Columna1],dHdcp[[#This Row],[Columna1]])</f>
        <v>1</v>
      </c>
    </row>
    <row r="2020" spans="1:14">
      <c r="A2020" s="16">
        <v>45409</v>
      </c>
      <c r="B2020" s="15" t="s">
        <v>20</v>
      </c>
      <c r="C2020" s="85">
        <v>18.5</v>
      </c>
      <c r="D2020" s="15">
        <f>+VLOOKUP(dHdcp[[#This Row],[Handicap]],'Categoría Hdcap'!$B$2:$E$7,4)</f>
        <v>4</v>
      </c>
      <c r="E2020" s="15" t="s">
        <v>74</v>
      </c>
      <c r="F2020" s="15"/>
      <c r="G2020">
        <f>+IF(dHdcp[[#This Row],[Fecha]]=MAX(dHdcp[Fecha]),1,0)</f>
        <v>0</v>
      </c>
      <c r="H2020" t="str">
        <f>+dHdcp[[#This Row],[Maximo]]&amp;":"&amp;dHdcp[[#This Row],[Nombre]]</f>
        <v>0:Javier Gonzalez Salvador</v>
      </c>
      <c r="I2020" t="str">
        <f>+dHdcp[[#This Row],[Maximo]]&amp;":"&amp;_xlfn.XLOOKUP(dHdcp[[#This Row],[Nombre]],dJugador[Nombre],dJugador[Mote],"",0)</f>
        <v>0:Javi</v>
      </c>
      <c r="J2020" t="str">
        <f>+IF(dHdcp[[#This Row],[Maximo]]=0,"",_xlfn.RANK.EQ(dHdcp[[#This Row],[Handicap]],dHdcp[Handicap],1))</f>
        <v/>
      </c>
      <c r="K2020" t="str">
        <f>IFERROR(+_xlfn.RANK.EQ(dHdcp[[#This Row],[Ranking]],dHdcp[Ranking],1),"")</f>
        <v/>
      </c>
      <c r="M2020" t="str">
        <f>+dHdcp[[#This Row],[Fecha]]&amp;":"&amp;dHdcp[[#This Row],[Nombre]]</f>
        <v>45409:Javier Gonzalez Salvador</v>
      </c>
      <c r="N2020">
        <f>+COUNTIF(dHdcp[Columna1],dHdcp[[#This Row],[Columna1]])</f>
        <v>1</v>
      </c>
    </row>
    <row r="2021" spans="1:14">
      <c r="A2021" s="16">
        <v>45409</v>
      </c>
      <c r="B2021" s="15" t="s">
        <v>217</v>
      </c>
      <c r="C2021" s="85">
        <v>20.9</v>
      </c>
      <c r="D2021" s="15">
        <f>+VLOOKUP(dHdcp[[#This Row],[Handicap]],'Categoría Hdcap'!$B$2:$E$7,4)</f>
        <v>4</v>
      </c>
      <c r="E2021" s="15" t="s">
        <v>74</v>
      </c>
      <c r="F2021" s="15"/>
      <c r="G2021">
        <f>+IF(dHdcp[[#This Row],[Fecha]]=MAX(dHdcp[Fecha]),1,0)</f>
        <v>0</v>
      </c>
      <c r="H2021" t="str">
        <f>+dHdcp[[#This Row],[Maximo]]&amp;":"&amp;dHdcp[[#This Row],[Nombre]]</f>
        <v>0:Javier Lopez Gullón</v>
      </c>
      <c r="I2021" t="str">
        <f>+dHdcp[[#This Row],[Maximo]]&amp;":"&amp;_xlfn.XLOOKUP(dHdcp[[#This Row],[Nombre]],dJugador[Nombre],dJugador[Mote],"",0)</f>
        <v>0:Cuñao</v>
      </c>
      <c r="J2021" t="str">
        <f>+IF(dHdcp[[#This Row],[Maximo]]=0,"",_xlfn.RANK.EQ(dHdcp[[#This Row],[Handicap]],dHdcp[Handicap],1))</f>
        <v/>
      </c>
      <c r="K2021" t="str">
        <f>IFERROR(+_xlfn.RANK.EQ(dHdcp[[#This Row],[Ranking]],dHdcp[Ranking],1),"")</f>
        <v/>
      </c>
      <c r="M2021" t="str">
        <f>+dHdcp[[#This Row],[Fecha]]&amp;":"&amp;dHdcp[[#This Row],[Nombre]]</f>
        <v>45409:Javier Lopez Gullón</v>
      </c>
      <c r="N2021">
        <f>+COUNTIF(dHdcp[Columna1],dHdcp[[#This Row],[Columna1]])</f>
        <v>1</v>
      </c>
    </row>
    <row r="2022" spans="1:14">
      <c r="A2022" s="16">
        <v>45409</v>
      </c>
      <c r="B2022" s="15" t="s">
        <v>41</v>
      </c>
      <c r="C2022" s="85">
        <v>21.9</v>
      </c>
      <c r="D2022" s="15">
        <f>+VLOOKUP(dHdcp[[#This Row],[Handicap]],'Categoría Hdcap'!$B$2:$E$7,4)</f>
        <v>4</v>
      </c>
      <c r="E2022" s="15" t="s">
        <v>74</v>
      </c>
      <c r="F2022" s="15"/>
      <c r="G2022">
        <f>+IF(dHdcp[[#This Row],[Fecha]]=MAX(dHdcp[Fecha]),1,0)</f>
        <v>0</v>
      </c>
      <c r="H2022" t="str">
        <f>+dHdcp[[#This Row],[Maximo]]&amp;":"&amp;dHdcp[[#This Row],[Nombre]]</f>
        <v>0:Jesus Touceda</v>
      </c>
      <c r="I2022" t="str">
        <f>+dHdcp[[#This Row],[Maximo]]&amp;":"&amp;_xlfn.XLOOKUP(dHdcp[[#This Row],[Nombre]],dJugador[Nombre],dJugador[Mote],"",0)</f>
        <v>0:Jesús</v>
      </c>
      <c r="J2022" t="str">
        <f>+IF(dHdcp[[#This Row],[Maximo]]=0,"",_xlfn.RANK.EQ(dHdcp[[#This Row],[Handicap]],dHdcp[Handicap],1))</f>
        <v/>
      </c>
      <c r="K2022" t="str">
        <f>IFERROR(+_xlfn.RANK.EQ(dHdcp[[#This Row],[Ranking]],dHdcp[Ranking],1),"")</f>
        <v/>
      </c>
      <c r="M2022" t="str">
        <f>+dHdcp[[#This Row],[Fecha]]&amp;":"&amp;dHdcp[[#This Row],[Nombre]]</f>
        <v>45409:Jesus Touceda</v>
      </c>
      <c r="N2022">
        <f>+COUNTIF(dHdcp[Columna1],dHdcp[[#This Row],[Columna1]])</f>
        <v>1</v>
      </c>
    </row>
    <row r="2023" spans="1:14">
      <c r="A2023" s="16">
        <v>45409</v>
      </c>
      <c r="B2023" s="15" t="s">
        <v>297</v>
      </c>
      <c r="C2023" s="85">
        <v>20.8</v>
      </c>
      <c r="D2023" s="15">
        <f>+VLOOKUP(dHdcp[[#This Row],[Handicap]],'Categoría Hdcap'!$B$2:$E$7,4)</f>
        <v>4</v>
      </c>
      <c r="E2023" s="15" t="s">
        <v>74</v>
      </c>
      <c r="F2023" s="15"/>
      <c r="G2023">
        <f>+IF(dHdcp[[#This Row],[Fecha]]=MAX(dHdcp[Fecha]),1,0)</f>
        <v>0</v>
      </c>
      <c r="H2023" t="str">
        <f>+dHdcp[[#This Row],[Maximo]]&amp;":"&amp;dHdcp[[#This Row],[Nombre]]</f>
        <v>0:Jorge Alberto Martínez Sánchez</v>
      </c>
      <c r="I2023" t="str">
        <f>+dHdcp[[#This Row],[Maximo]]&amp;":"&amp;_xlfn.XLOOKUP(dHdcp[[#This Row],[Nombre]],dJugador[Nombre],dJugador[Mote],"",0)</f>
        <v>0:Jorge</v>
      </c>
      <c r="J2023" t="str">
        <f>+IF(dHdcp[[#This Row],[Maximo]]=0,"",_xlfn.RANK.EQ(dHdcp[[#This Row],[Handicap]],dHdcp[Handicap],1))</f>
        <v/>
      </c>
      <c r="K2023" t="str">
        <f>IFERROR(+_xlfn.RANK.EQ(dHdcp[[#This Row],[Ranking]],dHdcp[Ranking],1),"")</f>
        <v/>
      </c>
      <c r="M2023" t="str">
        <f>+dHdcp[[#This Row],[Fecha]]&amp;":"&amp;dHdcp[[#This Row],[Nombre]]</f>
        <v>45409:Jorge Alberto Martínez Sánchez</v>
      </c>
      <c r="N2023">
        <f>+COUNTIF(dHdcp[Columna1],dHdcp[[#This Row],[Columna1]])</f>
        <v>1</v>
      </c>
    </row>
    <row r="2024" spans="1:14">
      <c r="A2024" s="16">
        <v>45409</v>
      </c>
      <c r="B2024" s="15" t="s">
        <v>388</v>
      </c>
      <c r="C2024" s="85">
        <v>26.499999999999986</v>
      </c>
      <c r="D2024" s="15">
        <f>+VLOOKUP(dHdcp[[#This Row],[Handicap]],'Categoría Hdcap'!$B$2:$E$7,4)</f>
        <v>4</v>
      </c>
      <c r="E2024" s="15" t="s">
        <v>74</v>
      </c>
      <c r="F2024" s="15"/>
      <c r="G2024">
        <f>+IF(dHdcp[[#This Row],[Fecha]]=MAX(dHdcp[Fecha]),1,0)</f>
        <v>0</v>
      </c>
      <c r="H2024" t="str">
        <f>+dHdcp[[#This Row],[Maximo]]&amp;":"&amp;dHdcp[[#This Row],[Nombre]]</f>
        <v>0:Jose Antonio Santana</v>
      </c>
      <c r="I2024" t="str">
        <f>+dHdcp[[#This Row],[Maximo]]&amp;":"&amp;_xlfn.XLOOKUP(dHdcp[[#This Row],[Nombre]],dJugador[Nombre],dJugador[Mote],"",0)</f>
        <v>0:J Antonio</v>
      </c>
      <c r="J2024" t="str">
        <f>+IF(dHdcp[[#This Row],[Maximo]]=0,"",_xlfn.RANK.EQ(dHdcp[[#This Row],[Handicap]],dHdcp[Handicap],1))</f>
        <v/>
      </c>
      <c r="K2024" t="str">
        <f>IFERROR(+_xlfn.RANK.EQ(dHdcp[[#This Row],[Ranking]],dHdcp[Ranking],1),"")</f>
        <v/>
      </c>
      <c r="M2024" t="str">
        <f>+dHdcp[[#This Row],[Fecha]]&amp;":"&amp;dHdcp[[#This Row],[Nombre]]</f>
        <v>45409:Jose Antonio Santana</v>
      </c>
      <c r="N2024">
        <f>+COUNTIF(dHdcp[Columna1],dHdcp[[#This Row],[Columna1]])</f>
        <v>1</v>
      </c>
    </row>
    <row r="2025" spans="1:14">
      <c r="A2025" s="16">
        <v>45409</v>
      </c>
      <c r="B2025" s="15" t="s">
        <v>18</v>
      </c>
      <c r="C2025" s="85">
        <v>8.6999999999999993</v>
      </c>
      <c r="D2025" s="15">
        <f>+VLOOKUP(dHdcp[[#This Row],[Handicap]],'Categoría Hdcap'!$B$2:$E$7,4)</f>
        <v>2</v>
      </c>
      <c r="E2025" s="15" t="s">
        <v>74</v>
      </c>
      <c r="F2025" s="15"/>
      <c r="G2025">
        <f>+IF(dHdcp[[#This Row],[Fecha]]=MAX(dHdcp[Fecha]),1,0)</f>
        <v>0</v>
      </c>
      <c r="H2025" t="str">
        <f>+dHdcp[[#This Row],[Maximo]]&amp;":"&amp;dHdcp[[#This Row],[Nombre]]</f>
        <v>0:José Pablo Guil</v>
      </c>
      <c r="I2025" t="str">
        <f>+dHdcp[[#This Row],[Maximo]]&amp;":"&amp;_xlfn.XLOOKUP(dHdcp[[#This Row],[Nombre]],dJugador[Nombre],dJugador[Mote],"",0)</f>
        <v>0:JP</v>
      </c>
      <c r="J2025" t="str">
        <f>+IF(dHdcp[[#This Row],[Maximo]]=0,"",_xlfn.RANK.EQ(dHdcp[[#This Row],[Handicap]],dHdcp[Handicap],1))</f>
        <v/>
      </c>
      <c r="K2025" t="str">
        <f>IFERROR(+_xlfn.RANK.EQ(dHdcp[[#This Row],[Ranking]],dHdcp[Ranking],1),"")</f>
        <v/>
      </c>
      <c r="M2025" t="str">
        <f>+dHdcp[[#This Row],[Fecha]]&amp;":"&amp;dHdcp[[#This Row],[Nombre]]</f>
        <v>45409:José Pablo Guil</v>
      </c>
      <c r="N2025">
        <f>+COUNTIF(dHdcp[Columna1],dHdcp[[#This Row],[Columna1]])</f>
        <v>1</v>
      </c>
    </row>
    <row r="2026" spans="1:14">
      <c r="A2026" s="16">
        <v>45409</v>
      </c>
      <c r="B2026" s="15" t="s">
        <v>293</v>
      </c>
      <c r="C2026" s="85">
        <v>18</v>
      </c>
      <c r="D2026" s="15">
        <f>+VLOOKUP(dHdcp[[#This Row],[Handicap]],'Categoría Hdcap'!$B$2:$E$7,4)</f>
        <v>3</v>
      </c>
      <c r="E2026" s="15" t="s">
        <v>74</v>
      </c>
      <c r="F2026" s="15"/>
      <c r="G2026">
        <f>+IF(dHdcp[[#This Row],[Fecha]]=MAX(dHdcp[Fecha]),1,0)</f>
        <v>0</v>
      </c>
      <c r="H2026" t="str">
        <f>+dHdcp[[#This Row],[Maximo]]&amp;":"&amp;dHdcp[[#This Row],[Nombre]]</f>
        <v>0:Juan Jose Aguado</v>
      </c>
      <c r="I2026" t="str">
        <f>+dHdcp[[#This Row],[Maximo]]&amp;":"&amp;_xlfn.XLOOKUP(dHdcp[[#This Row],[Nombre]],dJugador[Nombre],dJugador[Mote],"",0)</f>
        <v>0:Juancho</v>
      </c>
      <c r="J2026" t="str">
        <f>+IF(dHdcp[[#This Row],[Maximo]]=0,"",_xlfn.RANK.EQ(dHdcp[[#This Row],[Handicap]],dHdcp[Handicap],1))</f>
        <v/>
      </c>
      <c r="K2026" t="str">
        <f>IFERROR(+_xlfn.RANK.EQ(dHdcp[[#This Row],[Ranking]],dHdcp[Ranking],1),"")</f>
        <v/>
      </c>
      <c r="M2026" t="str">
        <f>+dHdcp[[#This Row],[Fecha]]&amp;":"&amp;dHdcp[[#This Row],[Nombre]]</f>
        <v>45409:Juan Jose Aguado</v>
      </c>
      <c r="N2026">
        <f>+COUNTIF(dHdcp[Columna1],dHdcp[[#This Row],[Columna1]])</f>
        <v>1</v>
      </c>
    </row>
    <row r="2027" spans="1:14">
      <c r="A2027" s="16">
        <v>45409</v>
      </c>
      <c r="B2027" s="15" t="s">
        <v>375</v>
      </c>
      <c r="C2027" s="85">
        <v>9.9</v>
      </c>
      <c r="D2027" s="15">
        <f>+VLOOKUP(dHdcp[[#This Row],[Handicap]],'Categoría Hdcap'!$B$2:$E$7,4)</f>
        <v>2</v>
      </c>
      <c r="E2027" s="15" t="s">
        <v>74</v>
      </c>
      <c r="F2027" s="15"/>
      <c r="G2027">
        <f>+IF(dHdcp[[#This Row],[Fecha]]=MAX(dHdcp[Fecha]),1,0)</f>
        <v>0</v>
      </c>
      <c r="H2027" t="str">
        <f>+dHdcp[[#This Row],[Maximo]]&amp;":"&amp;dHdcp[[#This Row],[Nombre]]</f>
        <v>0:Luis Fernandez</v>
      </c>
      <c r="I2027" t="str">
        <f>+dHdcp[[#This Row],[Maximo]]&amp;":"&amp;_xlfn.XLOOKUP(dHdcp[[#This Row],[Nombre]],dJugador[Nombre],dJugador[Mote],"",0)</f>
        <v>0:Luis</v>
      </c>
      <c r="J2027" t="str">
        <f>+IF(dHdcp[[#This Row],[Maximo]]=0,"",_xlfn.RANK.EQ(dHdcp[[#This Row],[Handicap]],dHdcp[Handicap],1))</f>
        <v/>
      </c>
      <c r="K2027" t="str">
        <f>IFERROR(+_xlfn.RANK.EQ(dHdcp[[#This Row],[Ranking]],dHdcp[Ranking],1),"")</f>
        <v/>
      </c>
      <c r="M2027" t="str">
        <f>+dHdcp[[#This Row],[Fecha]]&amp;":"&amp;dHdcp[[#This Row],[Nombre]]</f>
        <v>45409:Luis Fernandez</v>
      </c>
      <c r="N2027">
        <f>+COUNTIF(dHdcp[Columna1],dHdcp[[#This Row],[Columna1]])</f>
        <v>1</v>
      </c>
    </row>
    <row r="2028" spans="1:14">
      <c r="A2028" s="16">
        <v>45409</v>
      </c>
      <c r="B2028" s="15" t="s">
        <v>135</v>
      </c>
      <c r="C2028" s="85">
        <v>19</v>
      </c>
      <c r="D2028" s="15">
        <f>+VLOOKUP(dHdcp[[#This Row],[Handicap]],'Categoría Hdcap'!$B$2:$E$7,4)</f>
        <v>4</v>
      </c>
      <c r="E2028" s="15" t="s">
        <v>74</v>
      </c>
      <c r="F2028" s="15"/>
      <c r="G2028">
        <f>+IF(dHdcp[[#This Row],[Fecha]]=MAX(dHdcp[Fecha]),1,0)</f>
        <v>0</v>
      </c>
      <c r="H2028" t="str">
        <f>+dHdcp[[#This Row],[Maximo]]&amp;":"&amp;dHdcp[[#This Row],[Nombre]]</f>
        <v>0:Miche Lopez</v>
      </c>
      <c r="I2028" t="str">
        <f>+dHdcp[[#This Row],[Maximo]]&amp;":"&amp;_xlfn.XLOOKUP(dHdcp[[#This Row],[Nombre]],dJugador[Nombre],dJugador[Mote],"",0)</f>
        <v>0:Miche</v>
      </c>
      <c r="J2028" t="str">
        <f>+IF(dHdcp[[#This Row],[Maximo]]=0,"",_xlfn.RANK.EQ(dHdcp[[#This Row],[Handicap]],dHdcp[Handicap],1))</f>
        <v/>
      </c>
      <c r="K2028" t="str">
        <f>IFERROR(+_xlfn.RANK.EQ(dHdcp[[#This Row],[Ranking]],dHdcp[Ranking],1),"")</f>
        <v/>
      </c>
      <c r="M2028" t="str">
        <f>+dHdcp[[#This Row],[Fecha]]&amp;":"&amp;dHdcp[[#This Row],[Nombre]]</f>
        <v>45409:Miche Lopez</v>
      </c>
      <c r="N2028">
        <f>+COUNTIF(dHdcp[Columna1],dHdcp[[#This Row],[Columna1]])</f>
        <v>1</v>
      </c>
    </row>
    <row r="2029" spans="1:14">
      <c r="A2029" s="16">
        <v>45409</v>
      </c>
      <c r="B2029" s="15" t="s">
        <v>205</v>
      </c>
      <c r="C2029" s="85">
        <v>5.9</v>
      </c>
      <c r="D2029" s="15">
        <f>+VLOOKUP(dHdcp[[#This Row],[Handicap]],'Categoría Hdcap'!$B$2:$E$7,4)</f>
        <v>2</v>
      </c>
      <c r="E2029" s="15" t="s">
        <v>74</v>
      </c>
      <c r="F2029" s="15"/>
      <c r="G2029">
        <f>+IF(dHdcp[[#This Row],[Fecha]]=MAX(dHdcp[Fecha]),1,0)</f>
        <v>0</v>
      </c>
      <c r="H2029" t="str">
        <f>+dHdcp[[#This Row],[Maximo]]&amp;":"&amp;dHdcp[[#This Row],[Nombre]]</f>
        <v>0:Nacho Casas</v>
      </c>
      <c r="I2029" t="str">
        <f>+dHdcp[[#This Row],[Maximo]]&amp;":"&amp;_xlfn.XLOOKUP(dHdcp[[#This Row],[Nombre]],dJugador[Nombre],dJugador[Mote],"",0)</f>
        <v>0:Nachete</v>
      </c>
      <c r="J2029" t="str">
        <f>+IF(dHdcp[[#This Row],[Maximo]]=0,"",_xlfn.RANK.EQ(dHdcp[[#This Row],[Handicap]],dHdcp[Handicap],1))</f>
        <v/>
      </c>
      <c r="K2029" t="str">
        <f>IFERROR(+_xlfn.RANK.EQ(dHdcp[[#This Row],[Ranking]],dHdcp[Ranking],1),"")</f>
        <v/>
      </c>
      <c r="M2029" t="str">
        <f>+dHdcp[[#This Row],[Fecha]]&amp;":"&amp;dHdcp[[#This Row],[Nombre]]</f>
        <v>45409:Nacho Casas</v>
      </c>
      <c r="N2029">
        <f>+COUNTIF(dHdcp[Columna1],dHdcp[[#This Row],[Columna1]])</f>
        <v>1</v>
      </c>
    </row>
    <row r="2030" spans="1:14">
      <c r="A2030" s="16">
        <v>45409</v>
      </c>
      <c r="B2030" s="15" t="s">
        <v>3</v>
      </c>
      <c r="C2030" s="85">
        <v>6.1</v>
      </c>
      <c r="D2030" s="15">
        <f>+VLOOKUP(dHdcp[[#This Row],[Handicap]],'Categoría Hdcap'!$B$2:$E$7,4)</f>
        <v>2</v>
      </c>
      <c r="E2030" s="15" t="s">
        <v>74</v>
      </c>
      <c r="F2030" s="15"/>
      <c r="G2030">
        <f>+IF(dHdcp[[#This Row],[Fecha]]=MAX(dHdcp[Fecha]),1,0)</f>
        <v>0</v>
      </c>
      <c r="H2030" t="str">
        <f>+dHdcp[[#This Row],[Maximo]]&amp;":"&amp;dHdcp[[#This Row],[Nombre]]</f>
        <v>0:Nacho Gonzalez</v>
      </c>
      <c r="I2030" t="str">
        <f>+dHdcp[[#This Row],[Maximo]]&amp;":"&amp;_xlfn.XLOOKUP(dHdcp[[#This Row],[Nombre]],dJugador[Nombre],dJugador[Mote],"",0)</f>
        <v>0:Nacho</v>
      </c>
      <c r="J2030" t="str">
        <f>+IF(dHdcp[[#This Row],[Maximo]]=0,"",_xlfn.RANK.EQ(dHdcp[[#This Row],[Handicap]],dHdcp[Handicap],1))</f>
        <v/>
      </c>
      <c r="K2030" t="str">
        <f>IFERROR(+_xlfn.RANK.EQ(dHdcp[[#This Row],[Ranking]],dHdcp[Ranking],1),"")</f>
        <v/>
      </c>
      <c r="M2030" t="str">
        <f>+dHdcp[[#This Row],[Fecha]]&amp;":"&amp;dHdcp[[#This Row],[Nombre]]</f>
        <v>45409:Nacho Gonzalez</v>
      </c>
      <c r="N2030">
        <f>+COUNTIF(dHdcp[Columna1],dHdcp[[#This Row],[Columna1]])</f>
        <v>1</v>
      </c>
    </row>
    <row r="2031" spans="1:14">
      <c r="A2031" s="16">
        <v>45409</v>
      </c>
      <c r="B2031" s="15" t="s">
        <v>203</v>
      </c>
      <c r="C2031" s="85">
        <v>16.600000000000001</v>
      </c>
      <c r="D2031" s="15">
        <f>+VLOOKUP(dHdcp[[#This Row],[Handicap]],'Categoría Hdcap'!$B$2:$E$7,4)</f>
        <v>3</v>
      </c>
      <c r="E2031" s="15" t="s">
        <v>74</v>
      </c>
      <c r="F2031" s="15"/>
      <c r="G2031">
        <f>+IF(dHdcp[[#This Row],[Fecha]]=MAX(dHdcp[Fecha]),1,0)</f>
        <v>0</v>
      </c>
      <c r="H2031" t="str">
        <f>+dHdcp[[#This Row],[Maximo]]&amp;":"&amp;dHdcp[[#This Row],[Nombre]]</f>
        <v>0:Ruslan Kochman</v>
      </c>
      <c r="I2031" t="str">
        <f>+dHdcp[[#This Row],[Maximo]]&amp;":"&amp;_xlfn.XLOOKUP(dHdcp[[#This Row],[Nombre]],dJugador[Nombre],dJugador[Mote],"",0)</f>
        <v>0:Rus</v>
      </c>
      <c r="J2031" t="str">
        <f>+IF(dHdcp[[#This Row],[Maximo]]=0,"",_xlfn.RANK.EQ(dHdcp[[#This Row],[Handicap]],dHdcp[Handicap],1))</f>
        <v/>
      </c>
      <c r="K2031" t="str">
        <f>IFERROR(+_xlfn.RANK.EQ(dHdcp[[#This Row],[Ranking]],dHdcp[Ranking],1),"")</f>
        <v/>
      </c>
      <c r="M2031" t="str">
        <f>+dHdcp[[#This Row],[Fecha]]&amp;":"&amp;dHdcp[[#This Row],[Nombre]]</f>
        <v>45409:Ruslan Kochman</v>
      </c>
      <c r="N2031">
        <f>+COUNTIF(dHdcp[Columna1],dHdcp[[#This Row],[Columna1]])</f>
        <v>1</v>
      </c>
    </row>
    <row r="2032" spans="1:14">
      <c r="A2032" s="16">
        <v>45409</v>
      </c>
      <c r="B2032" s="15" t="s">
        <v>271</v>
      </c>
      <c r="C2032" s="85">
        <v>16.399999999999999</v>
      </c>
      <c r="D2032" s="15">
        <f>+VLOOKUP(dHdcp[[#This Row],[Handicap]],'Categoría Hdcap'!$B$2:$E$7,4)</f>
        <v>3</v>
      </c>
      <c r="E2032" s="15" t="s">
        <v>74</v>
      </c>
      <c r="F2032" s="15"/>
      <c r="G2032">
        <f>+IF(dHdcp[[#This Row],[Fecha]]=MAX(dHdcp[Fecha]),1,0)</f>
        <v>0</v>
      </c>
      <c r="H2032" t="str">
        <f>+dHdcp[[#This Row],[Maximo]]&amp;":"&amp;dHdcp[[#This Row],[Nombre]]</f>
        <v>0:Santi Diaz</v>
      </c>
      <c r="I2032" t="str">
        <f>+dHdcp[[#This Row],[Maximo]]&amp;":"&amp;_xlfn.XLOOKUP(dHdcp[[#This Row],[Nombre]],dJugador[Nombre],dJugador[Mote],"",0)</f>
        <v>0:Santi</v>
      </c>
      <c r="J2032" t="str">
        <f>+IF(dHdcp[[#This Row],[Maximo]]=0,"",_xlfn.RANK.EQ(dHdcp[[#This Row],[Handicap]],dHdcp[Handicap],1))</f>
        <v/>
      </c>
      <c r="K2032" t="str">
        <f>IFERROR(+_xlfn.RANK.EQ(dHdcp[[#This Row],[Ranking]],dHdcp[Ranking],1),"")</f>
        <v/>
      </c>
      <c r="M2032" t="str">
        <f>+dHdcp[[#This Row],[Fecha]]&amp;":"&amp;dHdcp[[#This Row],[Nombre]]</f>
        <v>45409:Santi Diaz</v>
      </c>
      <c r="N2032">
        <f>+COUNTIF(dHdcp[Columna1],dHdcp[[#This Row],[Columna1]])</f>
        <v>1</v>
      </c>
    </row>
    <row r="2033" spans="1:14">
      <c r="A2033" s="103">
        <v>45430</v>
      </c>
      <c r="B2033" s="46" t="s">
        <v>259</v>
      </c>
      <c r="C2033" s="104">
        <v>1.3</v>
      </c>
      <c r="D2033" s="46">
        <f>+VLOOKUP(dHdcp[[#This Row],[Handicap]],'Categoría Hdcap'!$B$2:$E$7,4)</f>
        <v>1</v>
      </c>
      <c r="E2033" s="46" t="s">
        <v>74</v>
      </c>
      <c r="F2033" s="92"/>
      <c r="G2033">
        <f>+IF(dHdcp[[#This Row],[Fecha]]=MAX(dHdcp[Fecha]),1,0)</f>
        <v>0</v>
      </c>
      <c r="H2033" t="str">
        <f>+dHdcp[[#This Row],[Maximo]]&amp;":"&amp;dHdcp[[#This Row],[Nombre]]</f>
        <v>0:Alejandro Arcos</v>
      </c>
      <c r="I2033" t="str">
        <f>+dHdcp[[#This Row],[Maximo]]&amp;":"&amp;_xlfn.XLOOKUP(dHdcp[[#This Row],[Nombre]],dJugador[Nombre],dJugador[Mote],"",0)</f>
        <v>0:Alex</v>
      </c>
      <c r="J2033" t="str">
        <f>+IF(dHdcp[[#This Row],[Maximo]]=0,"",_xlfn.RANK.EQ(dHdcp[[#This Row],[Handicap]],dHdcp[Handicap],1))</f>
        <v/>
      </c>
      <c r="K2033" t="str">
        <f>IFERROR(+_xlfn.RANK.EQ(dHdcp[[#This Row],[Ranking]],dHdcp[Ranking],1),"")</f>
        <v/>
      </c>
      <c r="L2033">
        <v>1</v>
      </c>
      <c r="M2033" t="str">
        <f>+dHdcp[[#This Row],[Fecha]]&amp;":"&amp;dHdcp[[#This Row],[Nombre]]</f>
        <v>45430:Alejandro Arcos</v>
      </c>
      <c r="N2033">
        <f>+COUNTIF(dHdcp[Columna1],dHdcp[[#This Row],[Columna1]])</f>
        <v>1</v>
      </c>
    </row>
    <row r="2034" spans="1:14">
      <c r="A2034" s="103">
        <v>45430</v>
      </c>
      <c r="B2034" s="46" t="s">
        <v>9</v>
      </c>
      <c r="C2034" s="104">
        <v>12.2</v>
      </c>
      <c r="D2034" s="46">
        <f>+VLOOKUP(dHdcp[[#This Row],[Handicap]],'Categoría Hdcap'!$B$2:$E$7,4)</f>
        <v>3</v>
      </c>
      <c r="E2034" s="46" t="s">
        <v>74</v>
      </c>
      <c r="F2034" s="92"/>
      <c r="G2034">
        <f>+IF(dHdcp[[#This Row],[Fecha]]=MAX(dHdcp[Fecha]),1,0)</f>
        <v>0</v>
      </c>
      <c r="H2034" t="str">
        <f>+dHdcp[[#This Row],[Maximo]]&amp;":"&amp;dHdcp[[#This Row],[Nombre]]</f>
        <v>0:Alfonso Hidalgo</v>
      </c>
      <c r="I2034" t="str">
        <f>+dHdcp[[#This Row],[Maximo]]&amp;":"&amp;_xlfn.XLOOKUP(dHdcp[[#This Row],[Nombre]],dJugador[Nombre],dJugador[Mote],"",0)</f>
        <v>0:Alfonso</v>
      </c>
      <c r="J2034" t="str">
        <f>+IF(dHdcp[[#This Row],[Maximo]]=0,"",_xlfn.RANK.EQ(dHdcp[[#This Row],[Handicap]],dHdcp[Handicap],1))</f>
        <v/>
      </c>
      <c r="K2034" t="str">
        <f>IFERROR(+_xlfn.RANK.EQ(dHdcp[[#This Row],[Ranking]],dHdcp[Ranking],1),"")</f>
        <v/>
      </c>
      <c r="L2034">
        <v>2</v>
      </c>
      <c r="M2034" t="str">
        <f>+dHdcp[[#This Row],[Fecha]]&amp;":"&amp;dHdcp[[#This Row],[Nombre]]</f>
        <v>45430:Alfonso Hidalgo</v>
      </c>
      <c r="N2034">
        <f>+COUNTIF(dHdcp[Columna1],dHdcp[[#This Row],[Columna1]])</f>
        <v>1</v>
      </c>
    </row>
    <row r="2035" spans="1:14">
      <c r="A2035" s="103">
        <v>45430</v>
      </c>
      <c r="B2035" s="46" t="s">
        <v>229</v>
      </c>
      <c r="C2035" s="104">
        <v>14.1</v>
      </c>
      <c r="D2035" s="46">
        <f>+VLOOKUP(dHdcp[[#This Row],[Handicap]],'Categoría Hdcap'!$B$2:$E$7,4)</f>
        <v>3</v>
      </c>
      <c r="E2035" s="46" t="s">
        <v>74</v>
      </c>
      <c r="F2035" s="92"/>
      <c r="G2035">
        <f>+IF(dHdcp[[#This Row],[Fecha]]=MAX(dHdcp[Fecha]),1,0)</f>
        <v>0</v>
      </c>
      <c r="H2035" t="str">
        <f>+dHdcp[[#This Row],[Maximo]]&amp;":"&amp;dHdcp[[#This Row],[Nombre]]</f>
        <v>0:Alfonso Zorrilla</v>
      </c>
      <c r="I2035" t="str">
        <f>+dHdcp[[#This Row],[Maximo]]&amp;":"&amp;_xlfn.XLOOKUP(dHdcp[[#This Row],[Nombre]],dJugador[Nombre],dJugador[Mote],"",0)</f>
        <v>0:A Zorrilla</v>
      </c>
      <c r="J2035" t="str">
        <f>+IF(dHdcp[[#This Row],[Maximo]]=0,"",_xlfn.RANK.EQ(dHdcp[[#This Row],[Handicap]],dHdcp[Handicap],1))</f>
        <v/>
      </c>
      <c r="K2035" t="str">
        <f>IFERROR(+_xlfn.RANK.EQ(dHdcp[[#This Row],[Ranking]],dHdcp[Ranking],1),"")</f>
        <v/>
      </c>
      <c r="L2035">
        <v>3</v>
      </c>
      <c r="M2035" t="str">
        <f>+dHdcp[[#This Row],[Fecha]]&amp;":"&amp;dHdcp[[#This Row],[Nombre]]</f>
        <v>45430:Alfonso Zorrilla</v>
      </c>
      <c r="N2035">
        <f>+COUNTIF(dHdcp[Columna1],dHdcp[[#This Row],[Columna1]])</f>
        <v>1</v>
      </c>
    </row>
    <row r="2036" spans="1:14">
      <c r="A2036" s="103">
        <v>45430</v>
      </c>
      <c r="B2036" s="46" t="s">
        <v>15</v>
      </c>
      <c r="C2036" s="104">
        <v>5.7</v>
      </c>
      <c r="D2036" s="46">
        <f>+VLOOKUP(dHdcp[[#This Row],[Handicap]],'Categoría Hdcap'!$B$2:$E$7,4)</f>
        <v>2</v>
      </c>
      <c r="E2036" s="46" t="s">
        <v>74</v>
      </c>
      <c r="F2036" s="92"/>
      <c r="G2036">
        <f>+IF(dHdcp[[#This Row],[Fecha]]=MAX(dHdcp[Fecha]),1,0)</f>
        <v>0</v>
      </c>
      <c r="H2036" t="str">
        <f>+dHdcp[[#This Row],[Maximo]]&amp;":"&amp;dHdcp[[#This Row],[Nombre]]</f>
        <v>0:Alvaro Aguirre</v>
      </c>
      <c r="I2036" t="str">
        <f>+dHdcp[[#This Row],[Maximo]]&amp;":"&amp;_xlfn.XLOOKUP(dHdcp[[#This Row],[Nombre]],dJugador[Nombre],dJugador[Mote],"",0)</f>
        <v>0:Gifu</v>
      </c>
      <c r="J2036" t="str">
        <f>+IF(dHdcp[[#This Row],[Maximo]]=0,"",_xlfn.RANK.EQ(dHdcp[[#This Row],[Handicap]],dHdcp[Handicap],1))</f>
        <v/>
      </c>
      <c r="K2036" t="str">
        <f>IFERROR(+_xlfn.RANK.EQ(dHdcp[[#This Row],[Ranking]],dHdcp[Ranking],1),"")</f>
        <v/>
      </c>
      <c r="L2036">
        <v>4</v>
      </c>
      <c r="M2036" t="str">
        <f>+dHdcp[[#This Row],[Fecha]]&amp;":"&amp;dHdcp[[#This Row],[Nombre]]</f>
        <v>45430:Alvaro Aguirre</v>
      </c>
      <c r="N2036">
        <f>+COUNTIF(dHdcp[Columna1],dHdcp[[#This Row],[Columna1]])</f>
        <v>1</v>
      </c>
    </row>
    <row r="2037" spans="1:14">
      <c r="A2037" s="103">
        <v>45430</v>
      </c>
      <c r="B2037" s="46" t="s">
        <v>201</v>
      </c>
      <c r="C2037" s="104">
        <v>9.4</v>
      </c>
      <c r="D2037" s="46">
        <f>+VLOOKUP(dHdcp[[#This Row],[Handicap]],'Categoría Hdcap'!$B$2:$E$7,4)</f>
        <v>2</v>
      </c>
      <c r="E2037" s="46" t="s">
        <v>74</v>
      </c>
      <c r="F2037" s="92"/>
      <c r="G2037">
        <f>+IF(dHdcp[[#This Row],[Fecha]]=MAX(dHdcp[Fecha]),1,0)</f>
        <v>0</v>
      </c>
      <c r="H2037" t="str">
        <f>+dHdcp[[#This Row],[Maximo]]&amp;":"&amp;dHdcp[[#This Row],[Nombre]]</f>
        <v>0:Alvaro Montoya</v>
      </c>
      <c r="I2037" t="str">
        <f>+dHdcp[[#This Row],[Maximo]]&amp;":"&amp;_xlfn.XLOOKUP(dHdcp[[#This Row],[Nombre]],dJugador[Nombre],dJugador[Mote],"",0)</f>
        <v>0:Monti</v>
      </c>
      <c r="J2037" t="str">
        <f>+IF(dHdcp[[#This Row],[Maximo]]=0,"",_xlfn.RANK.EQ(dHdcp[[#This Row],[Handicap]],dHdcp[Handicap],1))</f>
        <v/>
      </c>
      <c r="K2037" t="str">
        <f>IFERROR(+_xlfn.RANK.EQ(dHdcp[[#This Row],[Ranking]],dHdcp[Ranking],1),"")</f>
        <v/>
      </c>
      <c r="L2037">
        <v>5</v>
      </c>
      <c r="M2037" t="str">
        <f>+dHdcp[[#This Row],[Fecha]]&amp;":"&amp;dHdcp[[#This Row],[Nombre]]</f>
        <v>45430:Alvaro Montoya</v>
      </c>
      <c r="N2037">
        <f>+COUNTIF(dHdcp[Columna1],dHdcp[[#This Row],[Columna1]])</f>
        <v>1</v>
      </c>
    </row>
    <row r="2038" spans="1:14">
      <c r="A2038" s="103">
        <v>45430</v>
      </c>
      <c r="B2038" s="46" t="s">
        <v>25</v>
      </c>
      <c r="C2038" s="104">
        <v>13.7</v>
      </c>
      <c r="D2038" s="46">
        <f>+VLOOKUP(dHdcp[[#This Row],[Handicap]],'Categoría Hdcap'!$B$2:$E$7,4)</f>
        <v>3</v>
      </c>
      <c r="E2038" s="46" t="s">
        <v>74</v>
      </c>
      <c r="F2038" s="92"/>
      <c r="G2038">
        <f>+IF(dHdcp[[#This Row],[Fecha]]=MAX(dHdcp[Fecha]),1,0)</f>
        <v>0</v>
      </c>
      <c r="H2038" t="str">
        <f>+dHdcp[[#This Row],[Maximo]]&amp;":"&amp;dHdcp[[#This Row],[Nombre]]</f>
        <v>0:Alvaro Nieto</v>
      </c>
      <c r="I2038" t="str">
        <f>+dHdcp[[#This Row],[Maximo]]&amp;":"&amp;_xlfn.XLOOKUP(dHdcp[[#This Row],[Nombre]],dJugador[Nombre],dJugador[Mote],"",0)</f>
        <v>0:Alvaro</v>
      </c>
      <c r="J2038" t="str">
        <f>+IF(dHdcp[[#This Row],[Maximo]]=0,"",_xlfn.RANK.EQ(dHdcp[[#This Row],[Handicap]],dHdcp[Handicap],1))</f>
        <v/>
      </c>
      <c r="K2038" t="str">
        <f>IFERROR(+_xlfn.RANK.EQ(dHdcp[[#This Row],[Ranking]],dHdcp[Ranking],1),"")</f>
        <v/>
      </c>
      <c r="L2038">
        <v>6</v>
      </c>
      <c r="M2038" t="str">
        <f>+dHdcp[[#This Row],[Fecha]]&amp;":"&amp;dHdcp[[#This Row],[Nombre]]</f>
        <v>45430:Alvaro Nieto</v>
      </c>
      <c r="N2038">
        <f>+COUNTIF(dHdcp[Columna1],dHdcp[[#This Row],[Columna1]])</f>
        <v>1</v>
      </c>
    </row>
    <row r="2039" spans="1:14">
      <c r="A2039" s="103">
        <v>45430</v>
      </c>
      <c r="B2039" s="46" t="s">
        <v>33</v>
      </c>
      <c r="C2039" s="104">
        <v>7.8</v>
      </c>
      <c r="D2039" s="46">
        <f>+VLOOKUP(dHdcp[[#This Row],[Handicap]],'Categoría Hdcap'!$B$2:$E$7,4)</f>
        <v>2</v>
      </c>
      <c r="E2039" s="46" t="s">
        <v>74</v>
      </c>
      <c r="F2039" s="92"/>
      <c r="G2039">
        <f>+IF(dHdcp[[#This Row],[Fecha]]=MAX(dHdcp[Fecha]),1,0)</f>
        <v>0</v>
      </c>
      <c r="H2039" t="str">
        <f>+dHdcp[[#This Row],[Maximo]]&amp;":"&amp;dHdcp[[#This Row],[Nombre]]</f>
        <v>0:Angel Hernandez</v>
      </c>
      <c r="I2039" t="str">
        <f>+dHdcp[[#This Row],[Maximo]]&amp;":"&amp;_xlfn.XLOOKUP(dHdcp[[#This Row],[Nombre]],dJugador[Nombre],dJugador[Mote],"",0)</f>
        <v>0:Angel</v>
      </c>
      <c r="J2039" t="str">
        <f>+IF(dHdcp[[#This Row],[Maximo]]=0,"",_xlfn.RANK.EQ(dHdcp[[#This Row],[Handicap]],dHdcp[Handicap],1))</f>
        <v/>
      </c>
      <c r="K2039" t="str">
        <f>IFERROR(+_xlfn.RANK.EQ(dHdcp[[#This Row],[Ranking]],dHdcp[Ranking],1),"")</f>
        <v/>
      </c>
      <c r="L2039">
        <v>8</v>
      </c>
      <c r="M2039" t="str">
        <f>+dHdcp[[#This Row],[Fecha]]&amp;":"&amp;dHdcp[[#This Row],[Nombre]]</f>
        <v>45430:Angel Hernandez</v>
      </c>
      <c r="N2039">
        <f>+COUNTIF(dHdcp[Columna1],dHdcp[[#This Row],[Columna1]])</f>
        <v>1</v>
      </c>
    </row>
    <row r="2040" spans="1:14">
      <c r="A2040" s="103">
        <v>45430</v>
      </c>
      <c r="B2040" s="46" t="s">
        <v>2469</v>
      </c>
      <c r="C2040" s="104">
        <v>14.8</v>
      </c>
      <c r="D2040" s="46">
        <f>+VLOOKUP(dHdcp[[#This Row],[Handicap]],'Categoría Hdcap'!$B$2:$E$7,4)</f>
        <v>3</v>
      </c>
      <c r="E2040" s="46" t="s">
        <v>74</v>
      </c>
      <c r="F2040" s="92"/>
      <c r="G2040">
        <f>+IF(dHdcp[[#This Row],[Fecha]]=MAX(dHdcp[Fecha]),1,0)</f>
        <v>0</v>
      </c>
      <c r="H2040" t="str">
        <f>+dHdcp[[#This Row],[Maximo]]&amp;":"&amp;dHdcp[[#This Row],[Nombre]]</f>
        <v>0:Angel Santana</v>
      </c>
      <c r="I2040" t="str">
        <f>+dHdcp[[#This Row],[Maximo]]&amp;":"&amp;_xlfn.XLOOKUP(dHdcp[[#This Row],[Nombre]],dJugador[Nombre],dJugador[Mote],"",0)</f>
        <v>0:A.Santana</v>
      </c>
      <c r="J2040" t="str">
        <f>+IF(dHdcp[[#This Row],[Maximo]]=0,"",_xlfn.RANK.EQ(dHdcp[[#This Row],[Handicap]],dHdcp[Handicap],1))</f>
        <v/>
      </c>
      <c r="K2040" t="str">
        <f>IFERROR(+_xlfn.RANK.EQ(dHdcp[[#This Row],[Ranking]],dHdcp[Ranking],1),"")</f>
        <v/>
      </c>
      <c r="L2040">
        <v>7</v>
      </c>
      <c r="M2040" t="str">
        <f>+dHdcp[[#This Row],[Fecha]]&amp;":"&amp;dHdcp[[#This Row],[Nombre]]</f>
        <v>45430:Angel Santana</v>
      </c>
      <c r="N2040">
        <f>+COUNTIF(dHdcp[Columna1],dHdcp[[#This Row],[Columna1]])</f>
        <v>1</v>
      </c>
    </row>
    <row r="2041" spans="1:14">
      <c r="A2041" s="103">
        <v>45430</v>
      </c>
      <c r="B2041" s="46" t="s">
        <v>264</v>
      </c>
      <c r="C2041" s="104">
        <v>20</v>
      </c>
      <c r="D2041" s="46">
        <f>+VLOOKUP(dHdcp[[#This Row],[Handicap]],'Categoría Hdcap'!$B$2:$E$7,4)</f>
        <v>4</v>
      </c>
      <c r="E2041" s="46" t="s">
        <v>74</v>
      </c>
      <c r="F2041" s="92"/>
      <c r="G2041">
        <f>+IF(dHdcp[[#This Row],[Fecha]]=MAX(dHdcp[Fecha]),1,0)</f>
        <v>0</v>
      </c>
      <c r="H2041" t="str">
        <f>+dHdcp[[#This Row],[Maximo]]&amp;":"&amp;dHdcp[[#This Row],[Nombre]]</f>
        <v>0:Antonio Carmona</v>
      </c>
      <c r="I2041" t="str">
        <f>+dHdcp[[#This Row],[Maximo]]&amp;":"&amp;_xlfn.XLOOKUP(dHdcp[[#This Row],[Nombre]],dJugador[Nombre],dJugador[Mote],"",0)</f>
        <v>0:Antonio</v>
      </c>
      <c r="J2041" t="str">
        <f>+IF(dHdcp[[#This Row],[Maximo]]=0,"",_xlfn.RANK.EQ(dHdcp[[#This Row],[Handicap]],dHdcp[Handicap],1))</f>
        <v/>
      </c>
      <c r="K2041" t="str">
        <f>IFERROR(+_xlfn.RANK.EQ(dHdcp[[#This Row],[Ranking]],dHdcp[Ranking],1),"")</f>
        <v/>
      </c>
      <c r="L2041">
        <v>9</v>
      </c>
      <c r="M2041" t="str">
        <f>+dHdcp[[#This Row],[Fecha]]&amp;":"&amp;dHdcp[[#This Row],[Nombre]]</f>
        <v>45430:Antonio Carmona</v>
      </c>
      <c r="N2041">
        <f>+COUNTIF(dHdcp[Columna1],dHdcp[[#This Row],[Columna1]])</f>
        <v>1</v>
      </c>
    </row>
    <row r="2042" spans="1:14">
      <c r="A2042" s="103">
        <v>45430</v>
      </c>
      <c r="B2042" s="46" t="s">
        <v>291</v>
      </c>
      <c r="C2042" s="104">
        <v>1.2</v>
      </c>
      <c r="D2042" s="46">
        <f>+VLOOKUP(dHdcp[[#This Row],[Handicap]],'Categoría Hdcap'!$B$2:$E$7,4)</f>
        <v>1</v>
      </c>
      <c r="E2042" s="46" t="s">
        <v>74</v>
      </c>
      <c r="F2042" s="92"/>
      <c r="G2042">
        <f>+IF(dHdcp[[#This Row],[Fecha]]=MAX(dHdcp[Fecha]),1,0)</f>
        <v>0</v>
      </c>
      <c r="H2042" t="str">
        <f>+dHdcp[[#This Row],[Maximo]]&amp;":"&amp;dHdcp[[#This Row],[Nombre]]</f>
        <v>0:Carlos Maestro</v>
      </c>
      <c r="I2042" t="str">
        <f>+dHdcp[[#This Row],[Maximo]]&amp;":"&amp;_xlfn.XLOOKUP(dHdcp[[#This Row],[Nombre]],dJugador[Nombre],dJugador[Mote],"",0)</f>
        <v>0:Carlitos</v>
      </c>
      <c r="J2042" t="str">
        <f>+IF(dHdcp[[#This Row],[Maximo]]=0,"",_xlfn.RANK.EQ(dHdcp[[#This Row],[Handicap]],dHdcp[Handicap],1))</f>
        <v/>
      </c>
      <c r="K2042" t="str">
        <f>IFERROR(+_xlfn.RANK.EQ(dHdcp[[#This Row],[Ranking]],dHdcp[Ranking],1),"")</f>
        <v/>
      </c>
      <c r="L2042">
        <v>10</v>
      </c>
      <c r="M2042" t="str">
        <f>+dHdcp[[#This Row],[Fecha]]&amp;":"&amp;dHdcp[[#This Row],[Nombre]]</f>
        <v>45430:Carlos Maestro</v>
      </c>
      <c r="N2042">
        <f>+COUNTIF(dHdcp[Columna1],dHdcp[[#This Row],[Columna1]])</f>
        <v>1</v>
      </c>
    </row>
    <row r="2043" spans="1:14">
      <c r="A2043" s="103">
        <v>45430</v>
      </c>
      <c r="B2043" s="46" t="s">
        <v>30</v>
      </c>
      <c r="C2043" s="104">
        <v>13.6</v>
      </c>
      <c r="D2043" s="46">
        <f>+VLOOKUP(dHdcp[[#This Row],[Handicap]],'Categoría Hdcap'!$B$2:$E$7,4)</f>
        <v>3</v>
      </c>
      <c r="E2043" s="46" t="s">
        <v>74</v>
      </c>
      <c r="F2043" s="92"/>
      <c r="G2043">
        <f>+IF(dHdcp[[#This Row],[Fecha]]=MAX(dHdcp[Fecha]),1,0)</f>
        <v>0</v>
      </c>
      <c r="H2043" t="str">
        <f>+dHdcp[[#This Row],[Maximo]]&amp;":"&amp;dHdcp[[#This Row],[Nombre]]</f>
        <v>0:David Sequera</v>
      </c>
      <c r="I2043" t="str">
        <f>+dHdcp[[#This Row],[Maximo]]&amp;":"&amp;_xlfn.XLOOKUP(dHdcp[[#This Row],[Nombre]],dJugador[Nombre],dJugador[Mote],"",0)</f>
        <v>0:David</v>
      </c>
      <c r="J2043" t="str">
        <f>+IF(dHdcp[[#This Row],[Maximo]]=0,"",_xlfn.RANK.EQ(dHdcp[[#This Row],[Handicap]],dHdcp[Handicap],1))</f>
        <v/>
      </c>
      <c r="K2043" t="str">
        <f>IFERROR(+_xlfn.RANK.EQ(dHdcp[[#This Row],[Ranking]],dHdcp[Ranking],1),"")</f>
        <v/>
      </c>
      <c r="L2043">
        <v>11</v>
      </c>
      <c r="M2043" t="str">
        <f>+dHdcp[[#This Row],[Fecha]]&amp;":"&amp;dHdcp[[#This Row],[Nombre]]</f>
        <v>45430:David Sequera</v>
      </c>
      <c r="N2043">
        <f>+COUNTIF(dHdcp[Columna1],dHdcp[[#This Row],[Columna1]])</f>
        <v>1</v>
      </c>
    </row>
    <row r="2044" spans="1:14">
      <c r="A2044" s="103">
        <v>45430</v>
      </c>
      <c r="B2044" s="46" t="s">
        <v>326</v>
      </c>
      <c r="C2044" s="104">
        <v>11.7</v>
      </c>
      <c r="D2044" s="46">
        <f>+VLOOKUP(dHdcp[[#This Row],[Handicap]],'Categoría Hdcap'!$B$2:$E$7,4)</f>
        <v>3</v>
      </c>
      <c r="E2044" s="46" t="s">
        <v>74</v>
      </c>
      <c r="F2044" s="92"/>
      <c r="G2044">
        <f>+IF(dHdcp[[#This Row],[Fecha]]=MAX(dHdcp[Fecha]),1,0)</f>
        <v>0</v>
      </c>
      <c r="H2044" t="str">
        <f>+dHdcp[[#This Row],[Maximo]]&amp;":"&amp;dHdcp[[#This Row],[Nombre]]</f>
        <v>0:Eduardo Buendía</v>
      </c>
      <c r="I2044" t="str">
        <f>+dHdcp[[#This Row],[Maximo]]&amp;":"&amp;_xlfn.XLOOKUP(dHdcp[[#This Row],[Nombre]],dJugador[Nombre],dJugador[Mote],"",0)</f>
        <v>0:Eduardo</v>
      </c>
      <c r="J2044" t="str">
        <f>+IF(dHdcp[[#This Row],[Maximo]]=0,"",_xlfn.RANK.EQ(dHdcp[[#This Row],[Handicap]],dHdcp[Handicap],1))</f>
        <v/>
      </c>
      <c r="K2044" t="str">
        <f>IFERROR(+_xlfn.RANK.EQ(dHdcp[[#This Row],[Ranking]],dHdcp[Ranking],1),"")</f>
        <v/>
      </c>
      <c r="L2044">
        <v>12</v>
      </c>
      <c r="M2044" t="str">
        <f>+dHdcp[[#This Row],[Fecha]]&amp;":"&amp;dHdcp[[#This Row],[Nombre]]</f>
        <v>45430:Eduardo Buendía</v>
      </c>
      <c r="N2044">
        <f>+COUNTIF(dHdcp[Columna1],dHdcp[[#This Row],[Columna1]])</f>
        <v>1</v>
      </c>
    </row>
    <row r="2045" spans="1:14">
      <c r="A2045" s="103">
        <v>45430</v>
      </c>
      <c r="B2045" s="46" t="s">
        <v>248</v>
      </c>
      <c r="C2045" s="104">
        <v>13.2</v>
      </c>
      <c r="D2045" s="46">
        <f>+VLOOKUP(dHdcp[[#This Row],[Handicap]],'Categoría Hdcap'!$B$2:$E$7,4)</f>
        <v>3</v>
      </c>
      <c r="E2045" s="46" t="s">
        <v>74</v>
      </c>
      <c r="F2045" s="92"/>
      <c r="G2045">
        <f>+IF(dHdcp[[#This Row],[Fecha]]=MAX(dHdcp[Fecha]),1,0)</f>
        <v>0</v>
      </c>
      <c r="H2045" t="str">
        <f>+dHdcp[[#This Row],[Maximo]]&amp;":"&amp;dHdcp[[#This Row],[Nombre]]</f>
        <v>0:Enrique Gonzalez R</v>
      </c>
      <c r="I2045" t="str">
        <f>+dHdcp[[#This Row],[Maximo]]&amp;":"&amp;_xlfn.XLOOKUP(dHdcp[[#This Row],[Nombre]],dJugador[Nombre],dJugador[Mote],"",0)</f>
        <v>0:Enrique</v>
      </c>
      <c r="J2045" t="str">
        <f>+IF(dHdcp[[#This Row],[Maximo]]=0,"",_xlfn.RANK.EQ(dHdcp[[#This Row],[Handicap]],dHdcp[Handicap],1))</f>
        <v/>
      </c>
      <c r="K2045" t="str">
        <f>IFERROR(+_xlfn.RANK.EQ(dHdcp[[#This Row],[Ranking]],dHdcp[Ranking],1),"")</f>
        <v/>
      </c>
      <c r="L2045">
        <v>37</v>
      </c>
      <c r="M2045" t="str">
        <f>+dHdcp[[#This Row],[Fecha]]&amp;":"&amp;dHdcp[[#This Row],[Nombre]]</f>
        <v>45430:Enrique Gonzalez R</v>
      </c>
      <c r="N2045">
        <f>+COUNTIF(dHdcp[Columna1],dHdcp[[#This Row],[Columna1]])</f>
        <v>1</v>
      </c>
    </row>
    <row r="2046" spans="1:14">
      <c r="A2046" s="103">
        <v>45430</v>
      </c>
      <c r="B2046" s="46" t="s">
        <v>12</v>
      </c>
      <c r="C2046" s="104">
        <v>15.8</v>
      </c>
      <c r="D2046" s="46">
        <f>+VLOOKUP(dHdcp[[#This Row],[Handicap]],'Categoría Hdcap'!$B$2:$E$7,4)</f>
        <v>3</v>
      </c>
      <c r="E2046" s="46" t="s">
        <v>74</v>
      </c>
      <c r="F2046" s="92"/>
      <c r="G2046">
        <f>+IF(dHdcp[[#This Row],[Fecha]]=MAX(dHdcp[Fecha]),1,0)</f>
        <v>0</v>
      </c>
      <c r="H2046" t="str">
        <f>+dHdcp[[#This Row],[Maximo]]&amp;":"&amp;dHdcp[[#This Row],[Nombre]]</f>
        <v>0:Francisco Alvarez</v>
      </c>
      <c r="I2046" t="str">
        <f>+dHdcp[[#This Row],[Maximo]]&amp;":"&amp;_xlfn.XLOOKUP(dHdcp[[#This Row],[Nombre]],dJugador[Nombre],dJugador[Mote],"",0)</f>
        <v>0:Paco</v>
      </c>
      <c r="J2046" t="str">
        <f>+IF(dHdcp[[#This Row],[Maximo]]=0,"",_xlfn.RANK.EQ(dHdcp[[#This Row],[Handicap]],dHdcp[Handicap],1))</f>
        <v/>
      </c>
      <c r="K2046" t="str">
        <f>IFERROR(+_xlfn.RANK.EQ(dHdcp[[#This Row],[Ranking]],dHdcp[Ranking],1),"")</f>
        <v/>
      </c>
      <c r="L2046">
        <v>13</v>
      </c>
      <c r="M2046" t="str">
        <f>+dHdcp[[#This Row],[Fecha]]&amp;":"&amp;dHdcp[[#This Row],[Nombre]]</f>
        <v>45430:Francisco Alvarez</v>
      </c>
      <c r="N2046">
        <f>+COUNTIF(dHdcp[Columna1],dHdcp[[#This Row],[Columna1]])</f>
        <v>1</v>
      </c>
    </row>
    <row r="2047" spans="1:14">
      <c r="A2047" s="103">
        <v>45430</v>
      </c>
      <c r="B2047" s="46" t="s">
        <v>49</v>
      </c>
      <c r="C2047" s="104">
        <v>13</v>
      </c>
      <c r="D2047" s="46">
        <f>+VLOOKUP(dHdcp[[#This Row],[Handicap]],'Categoría Hdcap'!$B$2:$E$7,4)</f>
        <v>3</v>
      </c>
      <c r="E2047" s="46" t="s">
        <v>74</v>
      </c>
      <c r="F2047" s="92"/>
      <c r="G2047">
        <f>+IF(dHdcp[[#This Row],[Fecha]]=MAX(dHdcp[Fecha]),1,0)</f>
        <v>0</v>
      </c>
      <c r="H2047" t="str">
        <f>+dHdcp[[#This Row],[Maximo]]&amp;":"&amp;dHdcp[[#This Row],[Nombre]]</f>
        <v>0:Francisco Hidalgo</v>
      </c>
      <c r="I2047" t="str">
        <f>+dHdcp[[#This Row],[Maximo]]&amp;":"&amp;_xlfn.XLOOKUP(dHdcp[[#This Row],[Nombre]],dJugador[Nombre],dJugador[Mote],"",0)</f>
        <v>0:Fran</v>
      </c>
      <c r="J2047" t="str">
        <f>+IF(dHdcp[[#This Row],[Maximo]]=0,"",_xlfn.RANK.EQ(dHdcp[[#This Row],[Handicap]],dHdcp[Handicap],1))</f>
        <v/>
      </c>
      <c r="K2047" t="str">
        <f>IFERROR(+_xlfn.RANK.EQ(dHdcp[[#This Row],[Ranking]],dHdcp[Ranking],1),"")</f>
        <v/>
      </c>
      <c r="L2047">
        <v>14</v>
      </c>
      <c r="M2047" t="str">
        <f>+dHdcp[[#This Row],[Fecha]]&amp;":"&amp;dHdcp[[#This Row],[Nombre]]</f>
        <v>45430:Francisco Hidalgo</v>
      </c>
      <c r="N2047">
        <f>+COUNTIF(dHdcp[Columna1],dHdcp[[#This Row],[Columna1]])</f>
        <v>1</v>
      </c>
    </row>
    <row r="2048" spans="1:14">
      <c r="A2048" s="103">
        <v>45430</v>
      </c>
      <c r="B2048" s="46" t="s">
        <v>207</v>
      </c>
      <c r="C2048" s="104">
        <v>15</v>
      </c>
      <c r="D2048" s="46">
        <f>+VLOOKUP(dHdcp[[#This Row],[Handicap]],'Categoría Hdcap'!$B$2:$E$7,4)</f>
        <v>3</v>
      </c>
      <c r="E2048" s="46" t="s">
        <v>74</v>
      </c>
      <c r="F2048" s="92"/>
      <c r="G2048">
        <f>+IF(dHdcp[[#This Row],[Fecha]]=MAX(dHdcp[Fecha]),1,0)</f>
        <v>0</v>
      </c>
      <c r="H2048" t="str">
        <f>+dHdcp[[#This Row],[Maximo]]&amp;":"&amp;dHdcp[[#This Row],[Nombre]]</f>
        <v>0:Franck Benouniche</v>
      </c>
      <c r="I2048" t="str">
        <f>+dHdcp[[#This Row],[Maximo]]&amp;":"&amp;_xlfn.XLOOKUP(dHdcp[[#This Row],[Nombre]],dJugador[Nombre],dJugador[Mote],"",0)</f>
        <v>0:Franck</v>
      </c>
      <c r="J2048" t="str">
        <f>+IF(dHdcp[[#This Row],[Maximo]]=0,"",_xlfn.RANK.EQ(dHdcp[[#This Row],[Handicap]],dHdcp[Handicap],1))</f>
        <v/>
      </c>
      <c r="K2048" t="str">
        <f>IFERROR(+_xlfn.RANK.EQ(dHdcp[[#This Row],[Ranking]],dHdcp[Ranking],1),"")</f>
        <v/>
      </c>
      <c r="L2048">
        <v>17</v>
      </c>
      <c r="M2048" t="str">
        <f>+dHdcp[[#This Row],[Fecha]]&amp;":"&amp;dHdcp[[#This Row],[Nombre]]</f>
        <v>45430:Franck Benouniche</v>
      </c>
      <c r="N2048">
        <f>+COUNTIF(dHdcp[Columna1],dHdcp[[#This Row],[Columna1]])</f>
        <v>1</v>
      </c>
    </row>
    <row r="2049" spans="1:14">
      <c r="A2049" s="103">
        <v>45430</v>
      </c>
      <c r="B2049" s="46" t="s">
        <v>35</v>
      </c>
      <c r="C2049" s="104">
        <v>20.6</v>
      </c>
      <c r="D2049" s="46">
        <f>+VLOOKUP(dHdcp[[#This Row],[Handicap]],'Categoría Hdcap'!$B$2:$E$7,4)</f>
        <v>4</v>
      </c>
      <c r="E2049" s="46" t="s">
        <v>74</v>
      </c>
      <c r="F2049" s="92"/>
      <c r="G2049">
        <f>+IF(dHdcp[[#This Row],[Fecha]]=MAX(dHdcp[Fecha]),1,0)</f>
        <v>0</v>
      </c>
      <c r="H2049" t="str">
        <f>+dHdcp[[#This Row],[Maximo]]&amp;":"&amp;dHdcp[[#This Row],[Nombre]]</f>
        <v>0:GLEZ JUAN JOSÉ</v>
      </c>
      <c r="I2049" t="str">
        <f>+dHdcp[[#This Row],[Maximo]]&amp;":"&amp;_xlfn.XLOOKUP(dHdcp[[#This Row],[Nombre]],dJugador[Nombre],dJugador[Mote],"",0)</f>
        <v>0:Juanjo</v>
      </c>
      <c r="J2049" t="str">
        <f>+IF(dHdcp[[#This Row],[Maximo]]=0,"",_xlfn.RANK.EQ(dHdcp[[#This Row],[Handicap]],dHdcp[Handicap],1))</f>
        <v/>
      </c>
      <c r="K2049" t="str">
        <f>IFERROR(+_xlfn.RANK.EQ(dHdcp[[#This Row],[Ranking]],dHdcp[Ranking],1),"")</f>
        <v/>
      </c>
      <c r="L2049">
        <v>32</v>
      </c>
      <c r="M2049" t="str">
        <f>+dHdcp[[#This Row],[Fecha]]&amp;":"&amp;dHdcp[[#This Row],[Nombre]]</f>
        <v>45430:GLEZ JUAN JOSÉ</v>
      </c>
      <c r="N2049">
        <f>+COUNTIF(dHdcp[Columna1],dHdcp[[#This Row],[Columna1]])</f>
        <v>1</v>
      </c>
    </row>
    <row r="2050" spans="1:14">
      <c r="A2050" s="103">
        <v>45430</v>
      </c>
      <c r="B2050" s="46" t="s">
        <v>6</v>
      </c>
      <c r="C2050" s="104">
        <v>8.1</v>
      </c>
      <c r="D2050" s="46">
        <f>+VLOOKUP(dHdcp[[#This Row],[Handicap]],'Categoría Hdcap'!$B$2:$E$7,4)</f>
        <v>2</v>
      </c>
      <c r="E2050" s="46" t="s">
        <v>74</v>
      </c>
      <c r="F2050" s="92"/>
      <c r="G2050">
        <f>+IF(dHdcp[[#This Row],[Fecha]]=MAX(dHdcp[Fecha]),1,0)</f>
        <v>0</v>
      </c>
      <c r="H2050" t="str">
        <f>+dHdcp[[#This Row],[Maximo]]&amp;":"&amp;dHdcp[[#This Row],[Nombre]]</f>
        <v>0:Ignacio Cadarso</v>
      </c>
      <c r="I2050" t="str">
        <f>+dHdcp[[#This Row],[Maximo]]&amp;":"&amp;_xlfn.XLOOKUP(dHdcp[[#This Row],[Nombre]],dJugador[Nombre],dJugador[Mote],"",0)</f>
        <v>0:Ignacio</v>
      </c>
      <c r="J2050" t="str">
        <f>+IF(dHdcp[[#This Row],[Maximo]]=0,"",_xlfn.RANK.EQ(dHdcp[[#This Row],[Handicap]],dHdcp[Handicap],1))</f>
        <v/>
      </c>
      <c r="K2050" t="str">
        <f>IFERROR(+_xlfn.RANK.EQ(dHdcp[[#This Row],[Ranking]],dHdcp[Ranking],1),"")</f>
        <v/>
      </c>
      <c r="L2050">
        <v>18</v>
      </c>
      <c r="M2050" t="str">
        <f>+dHdcp[[#This Row],[Fecha]]&amp;":"&amp;dHdcp[[#This Row],[Nombre]]</f>
        <v>45430:Ignacio Cadarso</v>
      </c>
      <c r="N2050">
        <f>+COUNTIF(dHdcp[Columna1],dHdcp[[#This Row],[Columna1]])</f>
        <v>1</v>
      </c>
    </row>
    <row r="2051" spans="1:14">
      <c r="A2051" s="103">
        <v>45430</v>
      </c>
      <c r="B2051" s="46" t="s">
        <v>298</v>
      </c>
      <c r="C2051" s="104">
        <v>23.7</v>
      </c>
      <c r="D2051" s="46">
        <f>+VLOOKUP(dHdcp[[#This Row],[Handicap]],'Categoría Hdcap'!$B$2:$E$7,4)</f>
        <v>4</v>
      </c>
      <c r="E2051" s="46" t="s">
        <v>74</v>
      </c>
      <c r="F2051" s="92"/>
      <c r="G2051">
        <f>+IF(dHdcp[[#This Row],[Fecha]]=MAX(dHdcp[Fecha]),1,0)</f>
        <v>0</v>
      </c>
      <c r="H2051" t="str">
        <f>+dHdcp[[#This Row],[Maximo]]&amp;":"&amp;dHdcp[[#This Row],[Nombre]]</f>
        <v>0:Ignacio Gracia Charlez</v>
      </c>
      <c r="I2051" t="str">
        <f>+dHdcp[[#This Row],[Maximo]]&amp;":"&amp;_xlfn.XLOOKUP(dHdcp[[#This Row],[Nombre]],dJugador[Nombre],dJugador[Mote],"",0)</f>
        <v>0:I Gracia</v>
      </c>
      <c r="J2051" t="str">
        <f>+IF(dHdcp[[#This Row],[Maximo]]=0,"",_xlfn.RANK.EQ(dHdcp[[#This Row],[Handicap]],dHdcp[Handicap],1))</f>
        <v/>
      </c>
      <c r="K2051" t="str">
        <f>IFERROR(+_xlfn.RANK.EQ(dHdcp[[#This Row],[Ranking]],dHdcp[Ranking],1),"")</f>
        <v/>
      </c>
      <c r="L2051">
        <v>21</v>
      </c>
      <c r="M2051" t="str">
        <f>+dHdcp[[#This Row],[Fecha]]&amp;":"&amp;dHdcp[[#This Row],[Nombre]]</f>
        <v>45430:Ignacio Gracia Charlez</v>
      </c>
      <c r="N2051">
        <f>+COUNTIF(dHdcp[Columna1],dHdcp[[#This Row],[Columna1]])</f>
        <v>1</v>
      </c>
    </row>
    <row r="2052" spans="1:14">
      <c r="A2052" s="103">
        <v>45430</v>
      </c>
      <c r="B2052" s="46" t="s">
        <v>23</v>
      </c>
      <c r="C2052" s="104">
        <v>19.3</v>
      </c>
      <c r="D2052" s="46">
        <f>+VLOOKUP(dHdcp[[#This Row],[Handicap]],'Categoría Hdcap'!$B$2:$E$7,4)</f>
        <v>4</v>
      </c>
      <c r="E2052" s="46" t="s">
        <v>74</v>
      </c>
      <c r="F2052" s="92"/>
      <c r="G2052">
        <f>+IF(dHdcp[[#This Row],[Fecha]]=MAX(dHdcp[Fecha]),1,0)</f>
        <v>0</v>
      </c>
      <c r="H2052" t="str">
        <f>+dHdcp[[#This Row],[Maximo]]&amp;":"&amp;dHdcp[[#This Row],[Nombre]]</f>
        <v>0:J. Enrique Gonzalez</v>
      </c>
      <c r="I2052" t="str">
        <f>+dHdcp[[#This Row],[Maximo]]&amp;":"&amp;_xlfn.XLOOKUP(dHdcp[[#This Row],[Nombre]],dJugador[Nombre],dJugador[Mote],"",0)</f>
        <v>0:Kike</v>
      </c>
      <c r="J2052" t="str">
        <f>+IF(dHdcp[[#This Row],[Maximo]]=0,"",_xlfn.RANK.EQ(dHdcp[[#This Row],[Handicap]],dHdcp[Handicap],1))</f>
        <v/>
      </c>
      <c r="K2052" t="str">
        <f>IFERROR(+_xlfn.RANK.EQ(dHdcp[[#This Row],[Ranking]],dHdcp[Ranking],1),"")</f>
        <v/>
      </c>
      <c r="L2052">
        <v>35</v>
      </c>
      <c r="M2052" t="str">
        <f>+dHdcp[[#This Row],[Fecha]]&amp;":"&amp;dHdcp[[#This Row],[Nombre]]</f>
        <v>45430:J. Enrique Gonzalez</v>
      </c>
      <c r="N2052">
        <f>+COUNTIF(dHdcp[Columna1],dHdcp[[#This Row],[Columna1]])</f>
        <v>1</v>
      </c>
    </row>
    <row r="2053" spans="1:14">
      <c r="A2053" s="103">
        <v>45430</v>
      </c>
      <c r="B2053" s="46" t="s">
        <v>289</v>
      </c>
      <c r="C2053" s="104">
        <v>9.5</v>
      </c>
      <c r="D2053" s="46">
        <f>+VLOOKUP(dHdcp[[#This Row],[Handicap]],'Categoría Hdcap'!$B$2:$E$7,4)</f>
        <v>2</v>
      </c>
      <c r="E2053" s="46" t="s">
        <v>74</v>
      </c>
      <c r="F2053" s="92"/>
      <c r="G2053">
        <f>+IF(dHdcp[[#This Row],[Fecha]]=MAX(dHdcp[Fecha]),1,0)</f>
        <v>0</v>
      </c>
      <c r="H2053" t="str">
        <f>+dHdcp[[#This Row],[Maximo]]&amp;":"&amp;dHdcp[[#This Row],[Nombre]]</f>
        <v>0:Jaime Villanueva</v>
      </c>
      <c r="I2053" t="str">
        <f>+dHdcp[[#This Row],[Maximo]]&amp;":"&amp;_xlfn.XLOOKUP(dHdcp[[#This Row],[Nombre]],dJugador[Nombre],dJugador[Mote],"",0)</f>
        <v>0:Villanueva</v>
      </c>
      <c r="J2053" t="str">
        <f>+IF(dHdcp[[#This Row],[Maximo]]=0,"",_xlfn.RANK.EQ(dHdcp[[#This Row],[Handicap]],dHdcp[Handicap],1))</f>
        <v/>
      </c>
      <c r="K2053" t="str">
        <f>IFERROR(+_xlfn.RANK.EQ(dHdcp[[#This Row],[Ranking]],dHdcp[Ranking],1),"")</f>
        <v/>
      </c>
      <c r="L2053">
        <v>22</v>
      </c>
      <c r="M2053" t="str">
        <f>+dHdcp[[#This Row],[Fecha]]&amp;":"&amp;dHdcp[[#This Row],[Nombre]]</f>
        <v>45430:Jaime Villanueva</v>
      </c>
      <c r="N2053">
        <f>+COUNTIF(dHdcp[Columna1],dHdcp[[#This Row],[Columna1]])</f>
        <v>1</v>
      </c>
    </row>
    <row r="2054" spans="1:14">
      <c r="A2054" s="103">
        <v>45430</v>
      </c>
      <c r="B2054" s="46" t="s">
        <v>328</v>
      </c>
      <c r="C2054" s="104">
        <v>12.1</v>
      </c>
      <c r="D2054" s="46">
        <f>+VLOOKUP(dHdcp[[#This Row],[Handicap]],'Categoría Hdcap'!$B$2:$E$7,4)</f>
        <v>3</v>
      </c>
      <c r="E2054" s="46" t="s">
        <v>74</v>
      </c>
      <c r="F2054" s="92"/>
      <c r="G2054">
        <f>+IF(dHdcp[[#This Row],[Fecha]]=MAX(dHdcp[Fecha]),1,0)</f>
        <v>0</v>
      </c>
      <c r="H2054" t="str">
        <f>+dHdcp[[#This Row],[Maximo]]&amp;":"&amp;dHdcp[[#This Row],[Nombre]]</f>
        <v>0:Javier Arcos</v>
      </c>
      <c r="I2054" t="str">
        <f>+dHdcp[[#This Row],[Maximo]]&amp;":"&amp;_xlfn.XLOOKUP(dHdcp[[#This Row],[Nombre]],dJugador[Nombre],dJugador[Mote],"",0)</f>
        <v>0:J.Arcos</v>
      </c>
      <c r="J2054" t="str">
        <f>+IF(dHdcp[[#This Row],[Maximo]]=0,"",_xlfn.RANK.EQ(dHdcp[[#This Row],[Handicap]],dHdcp[Handicap],1))</f>
        <v/>
      </c>
      <c r="K2054" t="str">
        <f>IFERROR(+_xlfn.RANK.EQ(dHdcp[[#This Row],[Ranking]],dHdcp[Ranking],1),"")</f>
        <v/>
      </c>
      <c r="L2054">
        <v>24</v>
      </c>
      <c r="M2054" t="str">
        <f>+dHdcp[[#This Row],[Fecha]]&amp;":"&amp;dHdcp[[#This Row],[Nombre]]</f>
        <v>45430:Javier Arcos</v>
      </c>
      <c r="N2054">
        <f>+COUNTIF(dHdcp[Columna1],dHdcp[[#This Row],[Columna1]])</f>
        <v>1</v>
      </c>
    </row>
    <row r="2055" spans="1:14">
      <c r="A2055" s="103">
        <v>45430</v>
      </c>
      <c r="B2055" s="46" t="s">
        <v>378</v>
      </c>
      <c r="C2055" s="104">
        <v>11.199999999999992</v>
      </c>
      <c r="D2055" s="46">
        <f>+VLOOKUP(dHdcp[[#This Row],[Handicap]],'Categoría Hdcap'!$B$2:$E$7,4)</f>
        <v>2</v>
      </c>
      <c r="E2055" s="46" t="s">
        <v>74</v>
      </c>
      <c r="F2055" s="92"/>
      <c r="G2055">
        <f>+IF(dHdcp[[#This Row],[Fecha]]=MAX(dHdcp[Fecha]),1,0)</f>
        <v>0</v>
      </c>
      <c r="H2055" t="str">
        <f>+dHdcp[[#This Row],[Maximo]]&amp;":"&amp;dHdcp[[#This Row],[Nombre]]</f>
        <v>0:Javier Campo</v>
      </c>
      <c r="I2055" t="str">
        <f>+dHdcp[[#This Row],[Maximo]]&amp;":"&amp;_xlfn.XLOOKUP(dHdcp[[#This Row],[Nombre]],dJugador[Nombre],dJugador[Mote],"",0)</f>
        <v>0:Campo</v>
      </c>
      <c r="J2055" t="str">
        <f>+IF(dHdcp[[#This Row],[Maximo]]=0,"",_xlfn.RANK.EQ(dHdcp[[#This Row],[Handicap]],dHdcp[Handicap],1))</f>
        <v/>
      </c>
      <c r="K2055" t="str">
        <f>IFERROR(+_xlfn.RANK.EQ(dHdcp[[#This Row],[Ranking]],dHdcp[Ranking],1),"")</f>
        <v/>
      </c>
      <c r="L2055">
        <v>25</v>
      </c>
      <c r="M2055" t="str">
        <f>+dHdcp[[#This Row],[Fecha]]&amp;":"&amp;dHdcp[[#This Row],[Nombre]]</f>
        <v>45430:Javier Campo</v>
      </c>
      <c r="N2055">
        <f>+COUNTIF(dHdcp[Columna1],dHdcp[[#This Row],[Columna1]])</f>
        <v>1</v>
      </c>
    </row>
    <row r="2056" spans="1:14">
      <c r="A2056" s="103">
        <v>45430</v>
      </c>
      <c r="B2056" s="46" t="s">
        <v>46</v>
      </c>
      <c r="C2056" s="104">
        <v>18.3</v>
      </c>
      <c r="D2056" s="46">
        <f>+VLOOKUP(dHdcp[[#This Row],[Handicap]],'Categoría Hdcap'!$B$2:$E$7,4)</f>
        <v>3</v>
      </c>
      <c r="E2056" s="46" t="s">
        <v>74</v>
      </c>
      <c r="F2056" s="92"/>
      <c r="G2056">
        <f>+IF(dHdcp[[#This Row],[Fecha]]=MAX(dHdcp[Fecha]),1,0)</f>
        <v>0</v>
      </c>
      <c r="H2056" t="str">
        <f>+dHdcp[[#This Row],[Maximo]]&amp;":"&amp;dHdcp[[#This Row],[Nombre]]</f>
        <v>0:Javier Cervera</v>
      </c>
      <c r="I2056" t="str">
        <f>+dHdcp[[#This Row],[Maximo]]&amp;":"&amp;_xlfn.XLOOKUP(dHdcp[[#This Row],[Nombre]],dJugador[Nombre],dJugador[Mote],"",0)</f>
        <v>0:Virus</v>
      </c>
      <c r="J2056" t="str">
        <f>+IF(dHdcp[[#This Row],[Maximo]]=0,"",_xlfn.RANK.EQ(dHdcp[[#This Row],[Handicap]],dHdcp[Handicap],1))</f>
        <v/>
      </c>
      <c r="K2056" t="str">
        <f>IFERROR(+_xlfn.RANK.EQ(dHdcp[[#This Row],[Ranking]],dHdcp[Ranking],1),"")</f>
        <v/>
      </c>
      <c r="L2056">
        <v>26</v>
      </c>
      <c r="M2056" t="str">
        <f>+dHdcp[[#This Row],[Fecha]]&amp;":"&amp;dHdcp[[#This Row],[Nombre]]</f>
        <v>45430:Javier Cervera</v>
      </c>
      <c r="N2056">
        <f>+COUNTIF(dHdcp[Columna1],dHdcp[[#This Row],[Columna1]])</f>
        <v>1</v>
      </c>
    </row>
    <row r="2057" spans="1:14">
      <c r="A2057" s="103">
        <v>45430</v>
      </c>
      <c r="B2057" s="46" t="s">
        <v>225</v>
      </c>
      <c r="C2057" s="104">
        <v>10.1</v>
      </c>
      <c r="D2057" s="46">
        <f>+VLOOKUP(dHdcp[[#This Row],[Handicap]],'Categoría Hdcap'!$B$2:$E$7,4)</f>
        <v>2</v>
      </c>
      <c r="E2057" s="46" t="s">
        <v>74</v>
      </c>
      <c r="F2057" s="92"/>
      <c r="G2057">
        <f>+IF(dHdcp[[#This Row],[Fecha]]=MAX(dHdcp[Fecha]),1,0)</f>
        <v>0</v>
      </c>
      <c r="H2057" t="str">
        <f>+dHdcp[[#This Row],[Maximo]]&amp;":"&amp;dHdcp[[#This Row],[Nombre]]</f>
        <v>0:Javier Chiralt</v>
      </c>
      <c r="I2057" t="str">
        <f>+dHdcp[[#This Row],[Maximo]]&amp;":"&amp;_xlfn.XLOOKUP(dHdcp[[#This Row],[Nombre]],dJugador[Nombre],dJugador[Mote],"",0)</f>
        <v>0:Chiralt</v>
      </c>
      <c r="J2057" t="str">
        <f>+IF(dHdcp[[#This Row],[Maximo]]=0,"",_xlfn.RANK.EQ(dHdcp[[#This Row],[Handicap]],dHdcp[Handicap],1))</f>
        <v/>
      </c>
      <c r="K2057" t="str">
        <f>IFERROR(+_xlfn.RANK.EQ(dHdcp[[#This Row],[Ranking]],dHdcp[Ranking],1),"")</f>
        <v/>
      </c>
      <c r="L2057">
        <v>23</v>
      </c>
      <c r="M2057" t="str">
        <f>+dHdcp[[#This Row],[Fecha]]&amp;":"&amp;dHdcp[[#This Row],[Nombre]]</f>
        <v>45430:Javier Chiralt</v>
      </c>
      <c r="N2057">
        <f>+COUNTIF(dHdcp[Columna1],dHdcp[[#This Row],[Columna1]])</f>
        <v>1</v>
      </c>
    </row>
    <row r="2058" spans="1:14">
      <c r="A2058" s="103">
        <v>45430</v>
      </c>
      <c r="B2058" s="46" t="s">
        <v>2466</v>
      </c>
      <c r="C2058" s="104">
        <v>16.7</v>
      </c>
      <c r="D2058" s="46">
        <f>+VLOOKUP(dHdcp[[#This Row],[Handicap]],'Categoría Hdcap'!$B$2:$E$7,4)</f>
        <v>3</v>
      </c>
      <c r="E2058" s="46" t="s">
        <v>74</v>
      </c>
      <c r="F2058" s="92"/>
      <c r="G2058">
        <f>+IF(dHdcp[[#This Row],[Fecha]]=MAX(dHdcp[Fecha]),1,0)</f>
        <v>0</v>
      </c>
      <c r="H2058" t="str">
        <f>+dHdcp[[#This Row],[Maximo]]&amp;":"&amp;dHdcp[[#This Row],[Nombre]]</f>
        <v>0:Javier Dodero de Solano</v>
      </c>
      <c r="I2058" t="str">
        <f>+dHdcp[[#This Row],[Maximo]]&amp;":"&amp;_xlfn.XLOOKUP(dHdcp[[#This Row],[Nombre]],dJugador[Nombre],dJugador[Mote],"",0)</f>
        <v>0:Dodero</v>
      </c>
      <c r="J2058" t="str">
        <f>+IF(dHdcp[[#This Row],[Maximo]]=0,"",_xlfn.RANK.EQ(dHdcp[[#This Row],[Handicap]],dHdcp[Handicap],1))</f>
        <v/>
      </c>
      <c r="K2058" t="str">
        <f>IFERROR(+_xlfn.RANK.EQ(dHdcp[[#This Row],[Ranking]],dHdcp[Ranking],1),"")</f>
        <v/>
      </c>
      <c r="L2058">
        <v>27</v>
      </c>
      <c r="M2058" t="str">
        <f>+dHdcp[[#This Row],[Fecha]]&amp;":"&amp;dHdcp[[#This Row],[Nombre]]</f>
        <v>45430:Javier Dodero de Solano</v>
      </c>
      <c r="N2058">
        <f>+COUNTIF(dHdcp[Columna1],dHdcp[[#This Row],[Columna1]])</f>
        <v>1</v>
      </c>
    </row>
    <row r="2059" spans="1:14">
      <c r="A2059" s="103">
        <v>45430</v>
      </c>
      <c r="B2059" s="46" t="s">
        <v>20</v>
      </c>
      <c r="C2059" s="104">
        <v>19.399999999999999</v>
      </c>
      <c r="D2059" s="46">
        <f>+VLOOKUP(dHdcp[[#This Row],[Handicap]],'Categoría Hdcap'!$B$2:$E$7,4)</f>
        <v>4</v>
      </c>
      <c r="E2059" s="46" t="s">
        <v>74</v>
      </c>
      <c r="F2059" s="92"/>
      <c r="G2059">
        <f>+IF(dHdcp[[#This Row],[Fecha]]=MAX(dHdcp[Fecha]),1,0)</f>
        <v>0</v>
      </c>
      <c r="H2059" t="str">
        <f>+dHdcp[[#This Row],[Maximo]]&amp;":"&amp;dHdcp[[#This Row],[Nombre]]</f>
        <v>0:Javier Gonzalez Salvador</v>
      </c>
      <c r="I2059" t="str">
        <f>+dHdcp[[#This Row],[Maximo]]&amp;":"&amp;_xlfn.XLOOKUP(dHdcp[[#This Row],[Nombre]],dJugador[Nombre],dJugador[Mote],"",0)</f>
        <v>0:Javi</v>
      </c>
      <c r="J2059" t="str">
        <f>+IF(dHdcp[[#This Row],[Maximo]]=0,"",_xlfn.RANK.EQ(dHdcp[[#This Row],[Handicap]],dHdcp[Handicap],1))</f>
        <v/>
      </c>
      <c r="K2059" t="str">
        <f>IFERROR(+_xlfn.RANK.EQ(dHdcp[[#This Row],[Ranking]],dHdcp[Ranking],1),"")</f>
        <v/>
      </c>
      <c r="L2059">
        <v>16</v>
      </c>
      <c r="M2059" t="str">
        <f>+dHdcp[[#This Row],[Fecha]]&amp;":"&amp;dHdcp[[#This Row],[Nombre]]</f>
        <v>45430:Javier Gonzalez Salvador</v>
      </c>
      <c r="N2059">
        <f>+COUNTIF(dHdcp[Columna1],dHdcp[[#This Row],[Columna1]])</f>
        <v>1</v>
      </c>
    </row>
    <row r="2060" spans="1:14">
      <c r="A2060" s="103">
        <v>45430</v>
      </c>
      <c r="B2060" s="46" t="s">
        <v>217</v>
      </c>
      <c r="C2060" s="104">
        <v>20.9</v>
      </c>
      <c r="D2060" s="46">
        <f>+VLOOKUP(dHdcp[[#This Row],[Handicap]],'Categoría Hdcap'!$B$2:$E$7,4)</f>
        <v>4</v>
      </c>
      <c r="E2060" s="46" t="s">
        <v>74</v>
      </c>
      <c r="F2060" s="92"/>
      <c r="G2060">
        <f>+IF(dHdcp[[#This Row],[Fecha]]=MAX(dHdcp[Fecha]),1,0)</f>
        <v>0</v>
      </c>
      <c r="H2060" t="str">
        <f>+dHdcp[[#This Row],[Maximo]]&amp;":"&amp;dHdcp[[#This Row],[Nombre]]</f>
        <v>0:Javier Lopez Gullón</v>
      </c>
      <c r="I2060" t="str">
        <f>+dHdcp[[#This Row],[Maximo]]&amp;":"&amp;_xlfn.XLOOKUP(dHdcp[[#This Row],[Nombre]],dJugador[Nombre],dJugador[Mote],"",0)</f>
        <v>0:Cuñao</v>
      </c>
      <c r="J2060" t="str">
        <f>+IF(dHdcp[[#This Row],[Maximo]]=0,"",_xlfn.RANK.EQ(dHdcp[[#This Row],[Handicap]],dHdcp[Handicap],1))</f>
        <v/>
      </c>
      <c r="K2060" t="str">
        <f>IFERROR(+_xlfn.RANK.EQ(dHdcp[[#This Row],[Ranking]],dHdcp[Ranking],1),"")</f>
        <v/>
      </c>
      <c r="L2060">
        <v>15</v>
      </c>
      <c r="M2060" t="str">
        <f>+dHdcp[[#This Row],[Fecha]]&amp;":"&amp;dHdcp[[#This Row],[Nombre]]</f>
        <v>45430:Javier Lopez Gullón</v>
      </c>
      <c r="N2060">
        <f>+COUNTIF(dHdcp[Columna1],dHdcp[[#This Row],[Columna1]])</f>
        <v>1</v>
      </c>
    </row>
    <row r="2061" spans="1:14">
      <c r="A2061" s="103">
        <v>45430</v>
      </c>
      <c r="B2061" s="46" t="s">
        <v>41</v>
      </c>
      <c r="C2061" s="104">
        <v>21.9</v>
      </c>
      <c r="D2061" s="46">
        <f>+VLOOKUP(dHdcp[[#This Row],[Handicap]],'Categoría Hdcap'!$B$2:$E$7,4)</f>
        <v>4</v>
      </c>
      <c r="E2061" s="46" t="s">
        <v>74</v>
      </c>
      <c r="F2061" s="92"/>
      <c r="G2061">
        <f>+IF(dHdcp[[#This Row],[Fecha]]=MAX(dHdcp[Fecha]),1,0)</f>
        <v>0</v>
      </c>
      <c r="H2061" t="str">
        <f>+dHdcp[[#This Row],[Maximo]]&amp;":"&amp;dHdcp[[#This Row],[Nombre]]</f>
        <v>0:Jesus Touceda</v>
      </c>
      <c r="I2061" t="str">
        <f>+dHdcp[[#This Row],[Maximo]]&amp;":"&amp;_xlfn.XLOOKUP(dHdcp[[#This Row],[Nombre]],dJugador[Nombre],dJugador[Mote],"",0)</f>
        <v>0:Jesús</v>
      </c>
      <c r="J2061" t="str">
        <f>+IF(dHdcp[[#This Row],[Maximo]]=0,"",_xlfn.RANK.EQ(dHdcp[[#This Row],[Handicap]],dHdcp[Handicap],1))</f>
        <v/>
      </c>
      <c r="K2061" t="str">
        <f>IFERROR(+_xlfn.RANK.EQ(dHdcp[[#This Row],[Ranking]],dHdcp[Ranking],1),"")</f>
        <v/>
      </c>
      <c r="L2061">
        <v>28</v>
      </c>
      <c r="M2061" t="str">
        <f>+dHdcp[[#This Row],[Fecha]]&amp;":"&amp;dHdcp[[#This Row],[Nombre]]</f>
        <v>45430:Jesus Touceda</v>
      </c>
      <c r="N2061">
        <f>+COUNTIF(dHdcp[Columna1],dHdcp[[#This Row],[Columna1]])</f>
        <v>1</v>
      </c>
    </row>
    <row r="2062" spans="1:14">
      <c r="A2062" s="103">
        <v>45430</v>
      </c>
      <c r="B2062" s="46" t="s">
        <v>297</v>
      </c>
      <c r="C2062" s="104">
        <v>20.8</v>
      </c>
      <c r="D2062" s="46">
        <f>+VLOOKUP(dHdcp[[#This Row],[Handicap]],'Categoría Hdcap'!$B$2:$E$7,4)</f>
        <v>4</v>
      </c>
      <c r="E2062" s="46" t="s">
        <v>74</v>
      </c>
      <c r="F2062" s="92"/>
      <c r="G2062">
        <f>+IF(dHdcp[[#This Row],[Fecha]]=MAX(dHdcp[Fecha]),1,0)</f>
        <v>0</v>
      </c>
      <c r="H2062" t="str">
        <f>+dHdcp[[#This Row],[Maximo]]&amp;":"&amp;dHdcp[[#This Row],[Nombre]]</f>
        <v>0:Jorge Alberto Martínez Sánchez</v>
      </c>
      <c r="I2062" t="str">
        <f>+dHdcp[[#This Row],[Maximo]]&amp;":"&amp;_xlfn.XLOOKUP(dHdcp[[#This Row],[Nombre]],dJugador[Nombre],dJugador[Mote],"",0)</f>
        <v>0:Jorge</v>
      </c>
      <c r="J2062" t="str">
        <f>+IF(dHdcp[[#This Row],[Maximo]]=0,"",_xlfn.RANK.EQ(dHdcp[[#This Row],[Handicap]],dHdcp[Handicap],1))</f>
        <v/>
      </c>
      <c r="K2062" t="str">
        <f>IFERROR(+_xlfn.RANK.EQ(dHdcp[[#This Row],[Ranking]],dHdcp[Ranking],1),"")</f>
        <v/>
      </c>
      <c r="L2062">
        <v>29</v>
      </c>
      <c r="M2062" t="str">
        <f>+dHdcp[[#This Row],[Fecha]]&amp;":"&amp;dHdcp[[#This Row],[Nombre]]</f>
        <v>45430:Jorge Alberto Martínez Sánchez</v>
      </c>
      <c r="N2062">
        <f>+COUNTIF(dHdcp[Columna1],dHdcp[[#This Row],[Columna1]])</f>
        <v>1</v>
      </c>
    </row>
    <row r="2063" spans="1:14">
      <c r="A2063" s="103">
        <v>45430</v>
      </c>
      <c r="B2063" s="46" t="s">
        <v>388</v>
      </c>
      <c r="C2063" s="104">
        <v>26.499999999999986</v>
      </c>
      <c r="D2063" s="46">
        <f>+VLOOKUP(dHdcp[[#This Row],[Handicap]],'Categoría Hdcap'!$B$2:$E$7,4)</f>
        <v>4</v>
      </c>
      <c r="E2063" s="46" t="s">
        <v>74</v>
      </c>
      <c r="F2063" s="92"/>
      <c r="G2063">
        <f>+IF(dHdcp[[#This Row],[Fecha]]=MAX(dHdcp[Fecha]),1,0)</f>
        <v>0</v>
      </c>
      <c r="H2063" t="str">
        <f>+dHdcp[[#This Row],[Maximo]]&amp;":"&amp;dHdcp[[#This Row],[Nombre]]</f>
        <v>0:Jose Antonio Santana</v>
      </c>
      <c r="I2063" t="str">
        <f>+dHdcp[[#This Row],[Maximo]]&amp;":"&amp;_xlfn.XLOOKUP(dHdcp[[#This Row],[Nombre]],dJugador[Nombre],dJugador[Mote],"",0)</f>
        <v>0:J Antonio</v>
      </c>
      <c r="J2063" t="str">
        <f>+IF(dHdcp[[#This Row],[Maximo]]=0,"",_xlfn.RANK.EQ(dHdcp[[#This Row],[Handicap]],dHdcp[Handicap],1))</f>
        <v/>
      </c>
      <c r="K2063" t="str">
        <f>IFERROR(+_xlfn.RANK.EQ(dHdcp[[#This Row],[Ranking]],dHdcp[Ranking],1),"")</f>
        <v/>
      </c>
      <c r="L2063">
        <v>30</v>
      </c>
      <c r="M2063" t="str">
        <f>+dHdcp[[#This Row],[Fecha]]&amp;":"&amp;dHdcp[[#This Row],[Nombre]]</f>
        <v>45430:Jose Antonio Santana</v>
      </c>
      <c r="N2063">
        <f>+COUNTIF(dHdcp[Columna1],dHdcp[[#This Row],[Columna1]])</f>
        <v>1</v>
      </c>
    </row>
    <row r="2064" spans="1:14">
      <c r="A2064" s="103">
        <v>45430</v>
      </c>
      <c r="B2064" s="46" t="s">
        <v>18</v>
      </c>
      <c r="C2064" s="104">
        <v>8.6999999999999993</v>
      </c>
      <c r="D2064" s="46">
        <f>+VLOOKUP(dHdcp[[#This Row],[Handicap]],'Categoría Hdcap'!$B$2:$E$7,4)</f>
        <v>2</v>
      </c>
      <c r="E2064" s="46" t="s">
        <v>74</v>
      </c>
      <c r="F2064" s="92"/>
      <c r="G2064">
        <f>+IF(dHdcp[[#This Row],[Fecha]]=MAX(dHdcp[Fecha]),1,0)</f>
        <v>0</v>
      </c>
      <c r="H2064" t="str">
        <f>+dHdcp[[#This Row],[Maximo]]&amp;":"&amp;dHdcp[[#This Row],[Nombre]]</f>
        <v>0:José Pablo Guil</v>
      </c>
      <c r="I2064" t="str">
        <f>+dHdcp[[#This Row],[Maximo]]&amp;":"&amp;_xlfn.XLOOKUP(dHdcp[[#This Row],[Nombre]],dJugador[Nombre],dJugador[Mote],"",0)</f>
        <v>0:JP</v>
      </c>
      <c r="J2064" t="str">
        <f>+IF(dHdcp[[#This Row],[Maximo]]=0,"",_xlfn.RANK.EQ(dHdcp[[#This Row],[Handicap]],dHdcp[Handicap],1))</f>
        <v/>
      </c>
      <c r="K2064" t="str">
        <f>IFERROR(+_xlfn.RANK.EQ(dHdcp[[#This Row],[Ranking]],dHdcp[Ranking],1),"")</f>
        <v/>
      </c>
      <c r="L2064">
        <v>31</v>
      </c>
      <c r="M2064" t="str">
        <f>+dHdcp[[#This Row],[Fecha]]&amp;":"&amp;dHdcp[[#This Row],[Nombre]]</f>
        <v>45430:José Pablo Guil</v>
      </c>
      <c r="N2064">
        <f>+COUNTIF(dHdcp[Columna1],dHdcp[[#This Row],[Columna1]])</f>
        <v>1</v>
      </c>
    </row>
    <row r="2065" spans="1:14">
      <c r="A2065" s="103">
        <v>45430</v>
      </c>
      <c r="B2065" s="46" t="s">
        <v>293</v>
      </c>
      <c r="C2065" s="104">
        <v>18</v>
      </c>
      <c r="D2065" s="46">
        <f>+VLOOKUP(dHdcp[[#This Row],[Handicap]],'Categoría Hdcap'!$B$2:$E$7,4)</f>
        <v>3</v>
      </c>
      <c r="E2065" s="46" t="s">
        <v>74</v>
      </c>
      <c r="F2065" s="92"/>
      <c r="G2065">
        <f>+IF(dHdcp[[#This Row],[Fecha]]=MAX(dHdcp[Fecha]),1,0)</f>
        <v>0</v>
      </c>
      <c r="H2065" t="str">
        <f>+dHdcp[[#This Row],[Maximo]]&amp;":"&amp;dHdcp[[#This Row],[Nombre]]</f>
        <v>0:Juan Jose Aguado</v>
      </c>
      <c r="I2065" t="str">
        <f>+dHdcp[[#This Row],[Maximo]]&amp;":"&amp;_xlfn.XLOOKUP(dHdcp[[#This Row],[Nombre]],dJugador[Nombre],dJugador[Mote],"",0)</f>
        <v>0:Juancho</v>
      </c>
      <c r="J2065" t="str">
        <f>+IF(dHdcp[[#This Row],[Maximo]]=0,"",_xlfn.RANK.EQ(dHdcp[[#This Row],[Handicap]],dHdcp[Handicap],1))</f>
        <v/>
      </c>
      <c r="K2065" t="str">
        <f>IFERROR(+_xlfn.RANK.EQ(dHdcp[[#This Row],[Ranking]],dHdcp[Ranking],1),"")</f>
        <v/>
      </c>
      <c r="L2065">
        <v>33</v>
      </c>
      <c r="M2065" t="str">
        <f>+dHdcp[[#This Row],[Fecha]]&amp;":"&amp;dHdcp[[#This Row],[Nombre]]</f>
        <v>45430:Juan Jose Aguado</v>
      </c>
      <c r="N2065">
        <f>+COUNTIF(dHdcp[Columna1],dHdcp[[#This Row],[Columna1]])</f>
        <v>1</v>
      </c>
    </row>
    <row r="2066" spans="1:14">
      <c r="A2066" s="103">
        <v>45430</v>
      </c>
      <c r="B2066" t="s">
        <v>2516</v>
      </c>
      <c r="C2066" s="51">
        <v>20.3</v>
      </c>
      <c r="D2066" s="46">
        <f>+VLOOKUP(dHdcp[[#This Row],[Handicap]],'Categoría Hdcap'!$B$2:$E$7,4)</f>
        <v>4</v>
      </c>
      <c r="E2066" s="46" t="s">
        <v>74</v>
      </c>
      <c r="F2066" s="92"/>
      <c r="G2066">
        <f>+IF(dHdcp[[#This Row],[Fecha]]=MAX(dHdcp[Fecha]),1,0)</f>
        <v>0</v>
      </c>
      <c r="H2066" t="str">
        <f>+dHdcp[[#This Row],[Maximo]]&amp;":"&amp;dHdcp[[#This Row],[Nombre]]</f>
        <v>0:Juan Sanz</v>
      </c>
      <c r="I2066" t="str">
        <f>+dHdcp[[#This Row],[Maximo]]&amp;":"&amp;_xlfn.XLOOKUP(dHdcp[[#This Row],[Nombre]],dJugador[Nombre],dJugador[Mote],"",0)</f>
        <v>0:JuanSanz</v>
      </c>
      <c r="J2066" t="str">
        <f>+IF(dHdcp[[#This Row],[Maximo]]=0,"",_xlfn.RANK.EQ(dHdcp[[#This Row],[Handicap]],dHdcp[Handicap],1))</f>
        <v/>
      </c>
      <c r="K2066" t="str">
        <f>IFERROR(+_xlfn.RANK.EQ(dHdcp[[#This Row],[Ranking]],dHdcp[Ranking],1),"")</f>
        <v/>
      </c>
      <c r="L2066">
        <v>34</v>
      </c>
      <c r="M2066" t="str">
        <f>+dHdcp[[#This Row],[Fecha]]&amp;":"&amp;dHdcp[[#This Row],[Nombre]]</f>
        <v>45430:Juan Sanz</v>
      </c>
      <c r="N2066">
        <f>+COUNTIF(dHdcp[Columna1],dHdcp[[#This Row],[Columna1]])</f>
        <v>1</v>
      </c>
    </row>
    <row r="2067" spans="1:14">
      <c r="A2067" s="103">
        <v>45430</v>
      </c>
      <c r="B2067" s="46" t="s">
        <v>375</v>
      </c>
      <c r="C2067" s="104">
        <v>9.9</v>
      </c>
      <c r="D2067" s="46">
        <f>+VLOOKUP(dHdcp[[#This Row],[Handicap]],'Categoría Hdcap'!$B$2:$E$7,4)</f>
        <v>2</v>
      </c>
      <c r="E2067" s="46" t="s">
        <v>74</v>
      </c>
      <c r="F2067" s="92"/>
      <c r="G2067">
        <f>+IF(dHdcp[[#This Row],[Fecha]]=MAX(dHdcp[Fecha]),1,0)</f>
        <v>0</v>
      </c>
      <c r="H2067" t="str">
        <f>+dHdcp[[#This Row],[Maximo]]&amp;":"&amp;dHdcp[[#This Row],[Nombre]]</f>
        <v>0:Luis Fernandez</v>
      </c>
      <c r="I2067" t="str">
        <f>+dHdcp[[#This Row],[Maximo]]&amp;":"&amp;_xlfn.XLOOKUP(dHdcp[[#This Row],[Nombre]],dJugador[Nombre],dJugador[Mote],"",0)</f>
        <v>0:Luis</v>
      </c>
      <c r="J2067" t="str">
        <f>+IF(dHdcp[[#This Row],[Maximo]]=0,"",_xlfn.RANK.EQ(dHdcp[[#This Row],[Handicap]],dHdcp[Handicap],1))</f>
        <v/>
      </c>
      <c r="K2067" t="str">
        <f>IFERROR(+_xlfn.RANK.EQ(dHdcp[[#This Row],[Ranking]],dHdcp[Ranking],1),"")</f>
        <v/>
      </c>
      <c r="L2067">
        <v>36</v>
      </c>
      <c r="M2067" t="str">
        <f>+dHdcp[[#This Row],[Fecha]]&amp;":"&amp;dHdcp[[#This Row],[Nombre]]</f>
        <v>45430:Luis Fernandez</v>
      </c>
      <c r="N2067">
        <f>+COUNTIF(dHdcp[Columna1],dHdcp[[#This Row],[Columna1]])</f>
        <v>1</v>
      </c>
    </row>
    <row r="2068" spans="1:14">
      <c r="A2068" s="103">
        <v>45430</v>
      </c>
      <c r="B2068" s="46" t="s">
        <v>135</v>
      </c>
      <c r="C2068" s="104">
        <v>19</v>
      </c>
      <c r="D2068" s="46">
        <f>+VLOOKUP(dHdcp[[#This Row],[Handicap]],'Categoría Hdcap'!$B$2:$E$7,4)</f>
        <v>4</v>
      </c>
      <c r="E2068" s="46" t="s">
        <v>74</v>
      </c>
      <c r="F2068" s="92"/>
      <c r="G2068">
        <f>+IF(dHdcp[[#This Row],[Fecha]]=MAX(dHdcp[Fecha]),1,0)</f>
        <v>0</v>
      </c>
      <c r="H2068" t="str">
        <f>+dHdcp[[#This Row],[Maximo]]&amp;":"&amp;dHdcp[[#This Row],[Nombre]]</f>
        <v>0:Miche Lopez</v>
      </c>
      <c r="I2068" t="str">
        <f>+dHdcp[[#This Row],[Maximo]]&amp;":"&amp;_xlfn.XLOOKUP(dHdcp[[#This Row],[Nombre]],dJugador[Nombre],dJugador[Mote],"",0)</f>
        <v>0:Miche</v>
      </c>
      <c r="J2068" t="str">
        <f>+IF(dHdcp[[#This Row],[Maximo]]=0,"",_xlfn.RANK.EQ(dHdcp[[#This Row],[Handicap]],dHdcp[Handicap],1))</f>
        <v/>
      </c>
      <c r="K2068" t="str">
        <f>IFERROR(+_xlfn.RANK.EQ(dHdcp[[#This Row],[Ranking]],dHdcp[Ranking],1),"")</f>
        <v/>
      </c>
      <c r="L2068">
        <v>41</v>
      </c>
      <c r="M2068" t="str">
        <f>+dHdcp[[#This Row],[Fecha]]&amp;":"&amp;dHdcp[[#This Row],[Nombre]]</f>
        <v>45430:Miche Lopez</v>
      </c>
      <c r="N2068">
        <f>+COUNTIF(dHdcp[Columna1],dHdcp[[#This Row],[Columna1]])</f>
        <v>1</v>
      </c>
    </row>
    <row r="2069" spans="1:14">
      <c r="A2069" s="103">
        <v>45430</v>
      </c>
      <c r="B2069" s="46" t="s">
        <v>205</v>
      </c>
      <c r="C2069" s="104">
        <v>5.9</v>
      </c>
      <c r="D2069" s="46">
        <f>+VLOOKUP(dHdcp[[#This Row],[Handicap]],'Categoría Hdcap'!$B$2:$E$7,4)</f>
        <v>2</v>
      </c>
      <c r="E2069" s="46" t="s">
        <v>74</v>
      </c>
      <c r="F2069" s="92"/>
      <c r="G2069">
        <f>+IF(dHdcp[[#This Row],[Fecha]]=MAX(dHdcp[Fecha]),1,0)</f>
        <v>0</v>
      </c>
      <c r="H2069" t="str">
        <f>+dHdcp[[#This Row],[Maximo]]&amp;":"&amp;dHdcp[[#This Row],[Nombre]]</f>
        <v>0:Nacho Casas</v>
      </c>
      <c r="I2069" t="str">
        <f>+dHdcp[[#This Row],[Maximo]]&amp;":"&amp;_xlfn.XLOOKUP(dHdcp[[#This Row],[Nombre]],dJugador[Nombre],dJugador[Mote],"",0)</f>
        <v>0:Nachete</v>
      </c>
      <c r="J2069" t="str">
        <f>+IF(dHdcp[[#This Row],[Maximo]]=0,"",_xlfn.RANK.EQ(dHdcp[[#This Row],[Handicap]],dHdcp[Handicap],1))</f>
        <v/>
      </c>
      <c r="K2069" t="str">
        <f>IFERROR(+_xlfn.RANK.EQ(dHdcp[[#This Row],[Ranking]],dHdcp[Ranking],1),"")</f>
        <v/>
      </c>
      <c r="L2069">
        <v>19</v>
      </c>
      <c r="M2069" t="str">
        <f>+dHdcp[[#This Row],[Fecha]]&amp;":"&amp;dHdcp[[#This Row],[Nombre]]</f>
        <v>45430:Nacho Casas</v>
      </c>
      <c r="N2069">
        <f>+COUNTIF(dHdcp[Columna1],dHdcp[[#This Row],[Columna1]])</f>
        <v>1</v>
      </c>
    </row>
    <row r="2070" spans="1:14">
      <c r="A2070" s="103">
        <v>45430</v>
      </c>
      <c r="B2070" s="46" t="s">
        <v>3</v>
      </c>
      <c r="C2070" s="104">
        <v>6.1</v>
      </c>
      <c r="D2070" s="46">
        <f>+VLOOKUP(dHdcp[[#This Row],[Handicap]],'Categoría Hdcap'!$B$2:$E$7,4)</f>
        <v>2</v>
      </c>
      <c r="E2070" s="46" t="s">
        <v>74</v>
      </c>
      <c r="F2070" s="92"/>
      <c r="G2070">
        <f>+IF(dHdcp[[#This Row],[Fecha]]=MAX(dHdcp[Fecha]),1,0)</f>
        <v>0</v>
      </c>
      <c r="H2070" t="str">
        <f>+dHdcp[[#This Row],[Maximo]]&amp;":"&amp;dHdcp[[#This Row],[Nombre]]</f>
        <v>0:Nacho Gonzalez</v>
      </c>
      <c r="I2070" t="str">
        <f>+dHdcp[[#This Row],[Maximo]]&amp;":"&amp;_xlfn.XLOOKUP(dHdcp[[#This Row],[Nombre]],dJugador[Nombre],dJugador[Mote],"",0)</f>
        <v>0:Nacho</v>
      </c>
      <c r="J2070" t="str">
        <f>+IF(dHdcp[[#This Row],[Maximo]]=0,"",_xlfn.RANK.EQ(dHdcp[[#This Row],[Handicap]],dHdcp[Handicap],1))</f>
        <v/>
      </c>
      <c r="K2070" t="str">
        <f>IFERROR(+_xlfn.RANK.EQ(dHdcp[[#This Row],[Ranking]],dHdcp[Ranking],1),"")</f>
        <v/>
      </c>
      <c r="L2070">
        <v>20</v>
      </c>
      <c r="M2070" t="str">
        <f>+dHdcp[[#This Row],[Fecha]]&amp;":"&amp;dHdcp[[#This Row],[Nombre]]</f>
        <v>45430:Nacho Gonzalez</v>
      </c>
      <c r="N2070">
        <f>+COUNTIF(dHdcp[Columna1],dHdcp[[#This Row],[Columna1]])</f>
        <v>1</v>
      </c>
    </row>
    <row r="2071" spans="1:14">
      <c r="A2071" s="103">
        <v>45430</v>
      </c>
      <c r="B2071" s="46" t="s">
        <v>203</v>
      </c>
      <c r="C2071" s="104">
        <v>16.600000000000001</v>
      </c>
      <c r="D2071" s="46">
        <f>+VLOOKUP(dHdcp[[#This Row],[Handicap]],'Categoría Hdcap'!$B$2:$E$7,4)</f>
        <v>3</v>
      </c>
      <c r="E2071" s="46" t="s">
        <v>74</v>
      </c>
      <c r="F2071" s="92"/>
      <c r="G2071">
        <f>+IF(dHdcp[[#This Row],[Fecha]]=MAX(dHdcp[Fecha]),1,0)</f>
        <v>0</v>
      </c>
      <c r="H2071" t="str">
        <f>+dHdcp[[#This Row],[Maximo]]&amp;":"&amp;dHdcp[[#This Row],[Nombre]]</f>
        <v>0:Ruslan Kochman</v>
      </c>
      <c r="I2071" t="str">
        <f>+dHdcp[[#This Row],[Maximo]]&amp;":"&amp;_xlfn.XLOOKUP(dHdcp[[#This Row],[Nombre]],dJugador[Nombre],dJugador[Mote],"",0)</f>
        <v>0:Rus</v>
      </c>
      <c r="J2071" t="str">
        <f>+IF(dHdcp[[#This Row],[Maximo]]=0,"",_xlfn.RANK.EQ(dHdcp[[#This Row],[Handicap]],dHdcp[Handicap],1))</f>
        <v/>
      </c>
      <c r="K2071" t="str">
        <f>IFERROR(+_xlfn.RANK.EQ(dHdcp[[#This Row],[Ranking]],dHdcp[Ranking],1),"")</f>
        <v/>
      </c>
      <c r="L2071">
        <v>38</v>
      </c>
      <c r="M2071" t="str">
        <f>+dHdcp[[#This Row],[Fecha]]&amp;":"&amp;dHdcp[[#This Row],[Nombre]]</f>
        <v>45430:Ruslan Kochman</v>
      </c>
      <c r="N2071">
        <f>+COUNTIF(dHdcp[Columna1],dHdcp[[#This Row],[Columna1]])</f>
        <v>1</v>
      </c>
    </row>
    <row r="2072" spans="1:14">
      <c r="A2072" s="103">
        <v>45430</v>
      </c>
      <c r="B2072" s="46" t="s">
        <v>271</v>
      </c>
      <c r="C2072" s="104">
        <v>16.399999999999999</v>
      </c>
      <c r="D2072" s="46">
        <f>+VLOOKUP(dHdcp[[#This Row],[Handicap]],'Categoría Hdcap'!$B$2:$E$7,4)</f>
        <v>3</v>
      </c>
      <c r="E2072" s="46" t="s">
        <v>74</v>
      </c>
      <c r="F2072" s="92"/>
      <c r="G2072">
        <f>+IF(dHdcp[[#This Row],[Fecha]]=MAX(dHdcp[Fecha]),1,0)</f>
        <v>0</v>
      </c>
      <c r="H2072" t="str">
        <f>+dHdcp[[#This Row],[Maximo]]&amp;":"&amp;dHdcp[[#This Row],[Nombre]]</f>
        <v>0:Santi Diaz</v>
      </c>
      <c r="I2072" t="str">
        <f>+dHdcp[[#This Row],[Maximo]]&amp;":"&amp;_xlfn.XLOOKUP(dHdcp[[#This Row],[Nombre]],dJugador[Nombre],dJugador[Mote],"",0)</f>
        <v>0:Santi</v>
      </c>
      <c r="J2072" t="str">
        <f>+IF(dHdcp[[#This Row],[Maximo]]=0,"",_xlfn.RANK.EQ(dHdcp[[#This Row],[Handicap]],dHdcp[Handicap],1))</f>
        <v/>
      </c>
      <c r="K2072" t="str">
        <f>IFERROR(+_xlfn.RANK.EQ(dHdcp[[#This Row],[Ranking]],dHdcp[Ranking],1),"")</f>
        <v/>
      </c>
      <c r="L2072">
        <v>39</v>
      </c>
      <c r="M2072" t="str">
        <f>+dHdcp[[#This Row],[Fecha]]&amp;":"&amp;dHdcp[[#This Row],[Nombre]]</f>
        <v>45430:Santi Diaz</v>
      </c>
      <c r="N2072">
        <f>+COUNTIF(dHdcp[Columna1],dHdcp[[#This Row],[Columna1]])</f>
        <v>1</v>
      </c>
    </row>
    <row r="2073" spans="1:14">
      <c r="A2073" s="103">
        <v>45430</v>
      </c>
      <c r="B2073" s="46" t="s">
        <v>2473</v>
      </c>
      <c r="C2073" s="104">
        <v>13</v>
      </c>
      <c r="D2073" s="46">
        <f>+VLOOKUP(dHdcp[[#This Row],[Handicap]],'Categoría Hdcap'!$B$2:$E$7,4)</f>
        <v>3</v>
      </c>
      <c r="E2073" s="46" t="s">
        <v>74</v>
      </c>
      <c r="F2073" s="92"/>
      <c r="G2073">
        <f>+IF(dHdcp[[#This Row],[Fecha]]=MAX(dHdcp[Fecha]),1,0)</f>
        <v>0</v>
      </c>
      <c r="H2073" t="str">
        <f>+dHdcp[[#This Row],[Maximo]]&amp;":"&amp;dHdcp[[#This Row],[Nombre]]</f>
        <v>0:Thomas Dauterman</v>
      </c>
      <c r="I2073" t="str">
        <f>+dHdcp[[#This Row],[Maximo]]&amp;":"&amp;_xlfn.XLOOKUP(dHdcp[[#This Row],[Nombre]],dJugador[Nombre],dJugador[Mote],"",0)</f>
        <v>0:Tom</v>
      </c>
      <c r="J2073" t="str">
        <f>+IF(dHdcp[[#This Row],[Maximo]]=0,"",_xlfn.RANK.EQ(dHdcp[[#This Row],[Handicap]],dHdcp[Handicap],1))</f>
        <v/>
      </c>
      <c r="K2073" t="str">
        <f>IFERROR(+_xlfn.RANK.EQ(dHdcp[[#This Row],[Ranking]],dHdcp[Ranking],1),"")</f>
        <v/>
      </c>
      <c r="L2073">
        <v>40</v>
      </c>
      <c r="M2073" t="str">
        <f>+dHdcp[[#This Row],[Fecha]]&amp;":"&amp;dHdcp[[#This Row],[Nombre]]</f>
        <v>45430:Thomas Dauterman</v>
      </c>
      <c r="N2073">
        <f>+COUNTIF(dHdcp[Columna1],dHdcp[[#This Row],[Columna1]])</f>
        <v>1</v>
      </c>
    </row>
    <row r="2074" spans="1:14">
      <c r="A2074" s="98">
        <v>45431</v>
      </c>
      <c r="B2074" s="46" t="s">
        <v>259</v>
      </c>
      <c r="C2074" s="104">
        <v>1.3</v>
      </c>
      <c r="D2074" s="46">
        <f>+VLOOKUP(dHdcp[[#This Row],[Handicap]],'Categoría Hdcap'!$B$2:$E$7,4)</f>
        <v>1</v>
      </c>
      <c r="E2074" s="46" t="s">
        <v>74</v>
      </c>
      <c r="F2074" s="92"/>
      <c r="G2074">
        <f>+IF(dHdcp[[#This Row],[Fecha]]=MAX(dHdcp[Fecha]),1,0)</f>
        <v>0</v>
      </c>
      <c r="H2074" t="str">
        <f>+dHdcp[[#This Row],[Maximo]]&amp;":"&amp;dHdcp[[#This Row],[Nombre]]</f>
        <v>0:Alejandro Arcos</v>
      </c>
      <c r="I2074" t="str">
        <f>+dHdcp[[#This Row],[Maximo]]&amp;":"&amp;_xlfn.XLOOKUP(dHdcp[[#This Row],[Nombre]],dJugador[Nombre],dJugador[Mote],"",0)</f>
        <v>0:Alex</v>
      </c>
      <c r="J2074" t="str">
        <f>+IF(dHdcp[[#This Row],[Maximo]]=0,"",_xlfn.RANK.EQ(dHdcp[[#This Row],[Handicap]],dHdcp[Handicap],1))</f>
        <v/>
      </c>
      <c r="K2074" t="str">
        <f>IFERROR(+_xlfn.RANK.EQ(dHdcp[[#This Row],[Ranking]],dHdcp[Ranking],1),"")</f>
        <v/>
      </c>
      <c r="M2074" t="str">
        <f>+dHdcp[[#This Row],[Fecha]]&amp;":"&amp;dHdcp[[#This Row],[Nombre]]</f>
        <v>45431:Alejandro Arcos</v>
      </c>
      <c r="N2074">
        <f>+COUNTIF(dHdcp[Columna1],dHdcp[[#This Row],[Columna1]])</f>
        <v>1</v>
      </c>
    </row>
    <row r="2075" spans="1:14">
      <c r="A2075" s="98">
        <v>45431</v>
      </c>
      <c r="B2075" s="46" t="s">
        <v>9</v>
      </c>
      <c r="C2075" s="104">
        <v>12.2</v>
      </c>
      <c r="D2075" s="46">
        <f>+VLOOKUP(dHdcp[[#This Row],[Handicap]],'Categoría Hdcap'!$B$2:$E$7,4)</f>
        <v>3</v>
      </c>
      <c r="E2075" s="46" t="s">
        <v>74</v>
      </c>
      <c r="F2075" s="92"/>
      <c r="G2075">
        <f>+IF(dHdcp[[#This Row],[Fecha]]=MAX(dHdcp[Fecha]),1,0)</f>
        <v>0</v>
      </c>
      <c r="H2075" t="str">
        <f>+dHdcp[[#This Row],[Maximo]]&amp;":"&amp;dHdcp[[#This Row],[Nombre]]</f>
        <v>0:Alfonso Hidalgo</v>
      </c>
      <c r="I2075" t="str">
        <f>+dHdcp[[#This Row],[Maximo]]&amp;":"&amp;_xlfn.XLOOKUP(dHdcp[[#This Row],[Nombre]],dJugador[Nombre],dJugador[Mote],"",0)</f>
        <v>0:Alfonso</v>
      </c>
      <c r="J2075" t="str">
        <f>+IF(dHdcp[[#This Row],[Maximo]]=0,"",_xlfn.RANK.EQ(dHdcp[[#This Row],[Handicap]],dHdcp[Handicap],1))</f>
        <v/>
      </c>
      <c r="K2075" t="str">
        <f>IFERROR(+_xlfn.RANK.EQ(dHdcp[[#This Row],[Ranking]],dHdcp[Ranking],1),"")</f>
        <v/>
      </c>
      <c r="M2075" t="str">
        <f>+dHdcp[[#This Row],[Fecha]]&amp;":"&amp;dHdcp[[#This Row],[Nombre]]</f>
        <v>45431:Alfonso Hidalgo</v>
      </c>
      <c r="N2075">
        <f>+COUNTIF(dHdcp[Columna1],dHdcp[[#This Row],[Columna1]])</f>
        <v>1</v>
      </c>
    </row>
    <row r="2076" spans="1:14">
      <c r="A2076" s="98">
        <v>45431</v>
      </c>
      <c r="B2076" s="46" t="s">
        <v>229</v>
      </c>
      <c r="C2076" s="104">
        <v>14.1</v>
      </c>
      <c r="D2076" s="46">
        <f>+VLOOKUP(dHdcp[[#This Row],[Handicap]],'Categoría Hdcap'!$B$2:$E$7,4)</f>
        <v>3</v>
      </c>
      <c r="E2076" s="46" t="s">
        <v>74</v>
      </c>
      <c r="F2076" s="92"/>
      <c r="G2076">
        <f>+IF(dHdcp[[#This Row],[Fecha]]=MAX(dHdcp[Fecha]),1,0)</f>
        <v>0</v>
      </c>
      <c r="H2076" t="str">
        <f>+dHdcp[[#This Row],[Maximo]]&amp;":"&amp;dHdcp[[#This Row],[Nombre]]</f>
        <v>0:Alfonso Zorrilla</v>
      </c>
      <c r="I2076" t="str">
        <f>+dHdcp[[#This Row],[Maximo]]&amp;":"&amp;_xlfn.XLOOKUP(dHdcp[[#This Row],[Nombre]],dJugador[Nombre],dJugador[Mote],"",0)</f>
        <v>0:A Zorrilla</v>
      </c>
      <c r="J2076" t="str">
        <f>+IF(dHdcp[[#This Row],[Maximo]]=0,"",_xlfn.RANK.EQ(dHdcp[[#This Row],[Handicap]],dHdcp[Handicap],1))</f>
        <v/>
      </c>
      <c r="K2076" t="str">
        <f>IFERROR(+_xlfn.RANK.EQ(dHdcp[[#This Row],[Ranking]],dHdcp[Ranking],1),"")</f>
        <v/>
      </c>
      <c r="M2076" t="str">
        <f>+dHdcp[[#This Row],[Fecha]]&amp;":"&amp;dHdcp[[#This Row],[Nombre]]</f>
        <v>45431:Alfonso Zorrilla</v>
      </c>
      <c r="N2076">
        <f>+COUNTIF(dHdcp[Columna1],dHdcp[[#This Row],[Columna1]])</f>
        <v>1</v>
      </c>
    </row>
    <row r="2077" spans="1:14">
      <c r="A2077" s="98">
        <v>45431</v>
      </c>
      <c r="B2077" s="46" t="s">
        <v>15</v>
      </c>
      <c r="C2077" s="104">
        <v>5.5</v>
      </c>
      <c r="D2077" s="46">
        <f>+VLOOKUP(dHdcp[[#This Row],[Handicap]],'Categoría Hdcap'!$B$2:$E$7,4)</f>
        <v>2</v>
      </c>
      <c r="E2077" s="46" t="s">
        <v>74</v>
      </c>
      <c r="F2077" s="92"/>
      <c r="G2077">
        <f>+IF(dHdcp[[#This Row],[Fecha]]=MAX(dHdcp[Fecha]),1,0)</f>
        <v>0</v>
      </c>
      <c r="H2077" t="str">
        <f>+dHdcp[[#This Row],[Maximo]]&amp;":"&amp;dHdcp[[#This Row],[Nombre]]</f>
        <v>0:Alvaro Aguirre</v>
      </c>
      <c r="I2077" t="str">
        <f>+dHdcp[[#This Row],[Maximo]]&amp;":"&amp;_xlfn.XLOOKUP(dHdcp[[#This Row],[Nombre]],dJugador[Nombre],dJugador[Mote],"",0)</f>
        <v>0:Gifu</v>
      </c>
      <c r="J2077" t="str">
        <f>+IF(dHdcp[[#This Row],[Maximo]]=0,"",_xlfn.RANK.EQ(dHdcp[[#This Row],[Handicap]],dHdcp[Handicap],1))</f>
        <v/>
      </c>
      <c r="K2077" t="str">
        <f>IFERROR(+_xlfn.RANK.EQ(dHdcp[[#This Row],[Ranking]],dHdcp[Ranking],1),"")</f>
        <v/>
      </c>
      <c r="M2077" t="str">
        <f>+dHdcp[[#This Row],[Fecha]]&amp;":"&amp;dHdcp[[#This Row],[Nombre]]</f>
        <v>45431:Alvaro Aguirre</v>
      </c>
      <c r="N2077">
        <f>+COUNTIF(dHdcp[Columna1],dHdcp[[#This Row],[Columna1]])</f>
        <v>1</v>
      </c>
    </row>
    <row r="2078" spans="1:14">
      <c r="A2078" s="98">
        <v>45431</v>
      </c>
      <c r="B2078" s="46" t="s">
        <v>201</v>
      </c>
      <c r="C2078" s="104">
        <v>9.4</v>
      </c>
      <c r="D2078" s="46">
        <f>+VLOOKUP(dHdcp[[#This Row],[Handicap]],'Categoría Hdcap'!$B$2:$E$7,4)</f>
        <v>2</v>
      </c>
      <c r="E2078" s="46" t="s">
        <v>74</v>
      </c>
      <c r="F2078" s="92"/>
      <c r="G2078">
        <f>+IF(dHdcp[[#This Row],[Fecha]]=MAX(dHdcp[Fecha]),1,0)</f>
        <v>0</v>
      </c>
      <c r="H2078" t="str">
        <f>+dHdcp[[#This Row],[Maximo]]&amp;":"&amp;dHdcp[[#This Row],[Nombre]]</f>
        <v>0:Alvaro Montoya</v>
      </c>
      <c r="I2078" t="str">
        <f>+dHdcp[[#This Row],[Maximo]]&amp;":"&amp;_xlfn.XLOOKUP(dHdcp[[#This Row],[Nombre]],dJugador[Nombre],dJugador[Mote],"",0)</f>
        <v>0:Monti</v>
      </c>
      <c r="J2078" t="str">
        <f>+IF(dHdcp[[#This Row],[Maximo]]=0,"",_xlfn.RANK.EQ(dHdcp[[#This Row],[Handicap]],dHdcp[Handicap],1))</f>
        <v/>
      </c>
      <c r="K2078" t="str">
        <f>IFERROR(+_xlfn.RANK.EQ(dHdcp[[#This Row],[Ranking]],dHdcp[Ranking],1),"")</f>
        <v/>
      </c>
      <c r="M2078" t="str">
        <f>+dHdcp[[#This Row],[Fecha]]&amp;":"&amp;dHdcp[[#This Row],[Nombre]]</f>
        <v>45431:Alvaro Montoya</v>
      </c>
      <c r="N2078">
        <f>+COUNTIF(dHdcp[Columna1],dHdcp[[#This Row],[Columna1]])</f>
        <v>1</v>
      </c>
    </row>
    <row r="2079" spans="1:14">
      <c r="A2079" s="98">
        <v>45431</v>
      </c>
      <c r="B2079" s="46" t="s">
        <v>25</v>
      </c>
      <c r="C2079" s="104">
        <v>13.6</v>
      </c>
      <c r="D2079" s="46">
        <f>+VLOOKUP(dHdcp[[#This Row],[Handicap]],'Categoría Hdcap'!$B$2:$E$7,4)</f>
        <v>3</v>
      </c>
      <c r="E2079" s="46" t="s">
        <v>74</v>
      </c>
      <c r="F2079" s="92"/>
      <c r="G2079">
        <f>+IF(dHdcp[[#This Row],[Fecha]]=MAX(dHdcp[Fecha]),1,0)</f>
        <v>0</v>
      </c>
      <c r="H2079" t="str">
        <f>+dHdcp[[#This Row],[Maximo]]&amp;":"&amp;dHdcp[[#This Row],[Nombre]]</f>
        <v>0:Alvaro Nieto</v>
      </c>
      <c r="I2079" t="str">
        <f>+dHdcp[[#This Row],[Maximo]]&amp;":"&amp;_xlfn.XLOOKUP(dHdcp[[#This Row],[Nombre]],dJugador[Nombre],dJugador[Mote],"",0)</f>
        <v>0:Alvaro</v>
      </c>
      <c r="J2079" t="str">
        <f>+IF(dHdcp[[#This Row],[Maximo]]=0,"",_xlfn.RANK.EQ(dHdcp[[#This Row],[Handicap]],dHdcp[Handicap],1))</f>
        <v/>
      </c>
      <c r="K2079" t="str">
        <f>IFERROR(+_xlfn.RANK.EQ(dHdcp[[#This Row],[Ranking]],dHdcp[Ranking],1),"")</f>
        <v/>
      </c>
      <c r="M2079" t="str">
        <f>+dHdcp[[#This Row],[Fecha]]&amp;":"&amp;dHdcp[[#This Row],[Nombre]]</f>
        <v>45431:Alvaro Nieto</v>
      </c>
      <c r="N2079">
        <f>+COUNTIF(dHdcp[Columna1],dHdcp[[#This Row],[Columna1]])</f>
        <v>1</v>
      </c>
    </row>
    <row r="2080" spans="1:14">
      <c r="A2080" s="98">
        <v>45431</v>
      </c>
      <c r="B2080" s="46" t="s">
        <v>33</v>
      </c>
      <c r="C2080" s="104">
        <v>8.6</v>
      </c>
      <c r="D2080" s="46">
        <f>+VLOOKUP(dHdcp[[#This Row],[Handicap]],'Categoría Hdcap'!$B$2:$E$7,4)</f>
        <v>2</v>
      </c>
      <c r="E2080" s="46" t="s">
        <v>74</v>
      </c>
      <c r="F2080" s="92"/>
      <c r="G2080">
        <f>+IF(dHdcp[[#This Row],[Fecha]]=MAX(dHdcp[Fecha]),1,0)</f>
        <v>0</v>
      </c>
      <c r="H2080" t="str">
        <f>+dHdcp[[#This Row],[Maximo]]&amp;":"&amp;dHdcp[[#This Row],[Nombre]]</f>
        <v>0:Angel Hernandez</v>
      </c>
      <c r="I2080" t="str">
        <f>+dHdcp[[#This Row],[Maximo]]&amp;":"&amp;_xlfn.XLOOKUP(dHdcp[[#This Row],[Nombre]],dJugador[Nombre],dJugador[Mote],"",0)</f>
        <v>0:Angel</v>
      </c>
      <c r="J2080" t="str">
        <f>+IF(dHdcp[[#This Row],[Maximo]]=0,"",_xlfn.RANK.EQ(dHdcp[[#This Row],[Handicap]],dHdcp[Handicap],1))</f>
        <v/>
      </c>
      <c r="K2080" t="str">
        <f>IFERROR(+_xlfn.RANK.EQ(dHdcp[[#This Row],[Ranking]],dHdcp[Ranking],1),"")</f>
        <v/>
      </c>
      <c r="M2080" t="str">
        <f>+dHdcp[[#This Row],[Fecha]]&amp;":"&amp;dHdcp[[#This Row],[Nombre]]</f>
        <v>45431:Angel Hernandez</v>
      </c>
      <c r="N2080">
        <f>+COUNTIF(dHdcp[Columna1],dHdcp[[#This Row],[Columna1]])</f>
        <v>1</v>
      </c>
    </row>
    <row r="2081" spans="1:14">
      <c r="A2081" s="98">
        <v>45431</v>
      </c>
      <c r="B2081" s="46" t="s">
        <v>2469</v>
      </c>
      <c r="C2081" s="104">
        <v>14.8</v>
      </c>
      <c r="D2081" s="46">
        <f>+VLOOKUP(dHdcp[[#This Row],[Handicap]],'Categoría Hdcap'!$B$2:$E$7,4)</f>
        <v>3</v>
      </c>
      <c r="E2081" s="46" t="s">
        <v>74</v>
      </c>
      <c r="F2081" s="92"/>
      <c r="G2081">
        <f>+IF(dHdcp[[#This Row],[Fecha]]=MAX(dHdcp[Fecha]),1,0)</f>
        <v>0</v>
      </c>
      <c r="H2081" t="str">
        <f>+dHdcp[[#This Row],[Maximo]]&amp;":"&amp;dHdcp[[#This Row],[Nombre]]</f>
        <v>0:Angel Santana</v>
      </c>
      <c r="I2081" t="str">
        <f>+dHdcp[[#This Row],[Maximo]]&amp;":"&amp;_xlfn.XLOOKUP(dHdcp[[#This Row],[Nombre]],dJugador[Nombre],dJugador[Mote],"",0)</f>
        <v>0:A.Santana</v>
      </c>
      <c r="J2081" t="str">
        <f>+IF(dHdcp[[#This Row],[Maximo]]=0,"",_xlfn.RANK.EQ(dHdcp[[#This Row],[Handicap]],dHdcp[Handicap],1))</f>
        <v/>
      </c>
      <c r="K2081" t="str">
        <f>IFERROR(+_xlfn.RANK.EQ(dHdcp[[#This Row],[Ranking]],dHdcp[Ranking],1),"")</f>
        <v/>
      </c>
      <c r="M2081" t="str">
        <f>+dHdcp[[#This Row],[Fecha]]&amp;":"&amp;dHdcp[[#This Row],[Nombre]]</f>
        <v>45431:Angel Santana</v>
      </c>
      <c r="N2081">
        <f>+COUNTIF(dHdcp[Columna1],dHdcp[[#This Row],[Columna1]])</f>
        <v>1</v>
      </c>
    </row>
    <row r="2082" spans="1:14">
      <c r="A2082" s="98">
        <v>45431</v>
      </c>
      <c r="B2082" s="46" t="s">
        <v>264</v>
      </c>
      <c r="C2082" s="104">
        <v>20</v>
      </c>
      <c r="D2082" s="46">
        <f>+VLOOKUP(dHdcp[[#This Row],[Handicap]],'Categoría Hdcap'!$B$2:$E$7,4)</f>
        <v>4</v>
      </c>
      <c r="E2082" s="46" t="s">
        <v>74</v>
      </c>
      <c r="F2082" s="92"/>
      <c r="G2082">
        <f>+IF(dHdcp[[#This Row],[Fecha]]=MAX(dHdcp[Fecha]),1,0)</f>
        <v>0</v>
      </c>
      <c r="H2082" t="str">
        <f>+dHdcp[[#This Row],[Maximo]]&amp;":"&amp;dHdcp[[#This Row],[Nombre]]</f>
        <v>0:Antonio Carmona</v>
      </c>
      <c r="I2082" t="str">
        <f>+dHdcp[[#This Row],[Maximo]]&amp;":"&amp;_xlfn.XLOOKUP(dHdcp[[#This Row],[Nombre]],dJugador[Nombre],dJugador[Mote],"",0)</f>
        <v>0:Antonio</v>
      </c>
      <c r="J2082" t="str">
        <f>+IF(dHdcp[[#This Row],[Maximo]]=0,"",_xlfn.RANK.EQ(dHdcp[[#This Row],[Handicap]],dHdcp[Handicap],1))</f>
        <v/>
      </c>
      <c r="K2082" t="str">
        <f>IFERROR(+_xlfn.RANK.EQ(dHdcp[[#This Row],[Ranking]],dHdcp[Ranking],1),"")</f>
        <v/>
      </c>
      <c r="M2082" t="str">
        <f>+dHdcp[[#This Row],[Fecha]]&amp;":"&amp;dHdcp[[#This Row],[Nombre]]</f>
        <v>45431:Antonio Carmona</v>
      </c>
      <c r="N2082">
        <f>+COUNTIF(dHdcp[Columna1],dHdcp[[#This Row],[Columna1]])</f>
        <v>1</v>
      </c>
    </row>
    <row r="2083" spans="1:14">
      <c r="A2083" s="98">
        <v>45431</v>
      </c>
      <c r="B2083" s="46" t="s">
        <v>291</v>
      </c>
      <c r="C2083" s="104">
        <v>1.2</v>
      </c>
      <c r="D2083" s="46">
        <f>+VLOOKUP(dHdcp[[#This Row],[Handicap]],'Categoría Hdcap'!$B$2:$E$7,4)</f>
        <v>1</v>
      </c>
      <c r="E2083" s="46" t="s">
        <v>74</v>
      </c>
      <c r="F2083" s="92"/>
      <c r="G2083">
        <f>+IF(dHdcp[[#This Row],[Fecha]]=MAX(dHdcp[Fecha]),1,0)</f>
        <v>0</v>
      </c>
      <c r="H2083" t="str">
        <f>+dHdcp[[#This Row],[Maximo]]&amp;":"&amp;dHdcp[[#This Row],[Nombre]]</f>
        <v>0:Carlos Maestro</v>
      </c>
      <c r="I2083" t="str">
        <f>+dHdcp[[#This Row],[Maximo]]&amp;":"&amp;_xlfn.XLOOKUP(dHdcp[[#This Row],[Nombre]],dJugador[Nombre],dJugador[Mote],"",0)</f>
        <v>0:Carlitos</v>
      </c>
      <c r="J2083" t="str">
        <f>+IF(dHdcp[[#This Row],[Maximo]]=0,"",_xlfn.RANK.EQ(dHdcp[[#This Row],[Handicap]],dHdcp[Handicap],1))</f>
        <v/>
      </c>
      <c r="K2083" t="str">
        <f>IFERROR(+_xlfn.RANK.EQ(dHdcp[[#This Row],[Ranking]],dHdcp[Ranking],1),"")</f>
        <v/>
      </c>
      <c r="M2083" t="str">
        <f>+dHdcp[[#This Row],[Fecha]]&amp;":"&amp;dHdcp[[#This Row],[Nombre]]</f>
        <v>45431:Carlos Maestro</v>
      </c>
      <c r="N2083">
        <f>+COUNTIF(dHdcp[Columna1],dHdcp[[#This Row],[Columna1]])</f>
        <v>1</v>
      </c>
    </row>
    <row r="2084" spans="1:14">
      <c r="A2084" s="98">
        <v>45431</v>
      </c>
      <c r="B2084" s="46" t="s">
        <v>30</v>
      </c>
      <c r="C2084" s="104">
        <v>13.7</v>
      </c>
      <c r="D2084" s="46">
        <f>+VLOOKUP(dHdcp[[#This Row],[Handicap]],'Categoría Hdcap'!$B$2:$E$7,4)</f>
        <v>3</v>
      </c>
      <c r="E2084" s="46" t="s">
        <v>74</v>
      </c>
      <c r="F2084" s="92"/>
      <c r="G2084">
        <f>+IF(dHdcp[[#This Row],[Fecha]]=MAX(dHdcp[Fecha]),1,0)</f>
        <v>0</v>
      </c>
      <c r="H2084" t="str">
        <f>+dHdcp[[#This Row],[Maximo]]&amp;":"&amp;dHdcp[[#This Row],[Nombre]]</f>
        <v>0:David Sequera</v>
      </c>
      <c r="I2084" t="str">
        <f>+dHdcp[[#This Row],[Maximo]]&amp;":"&amp;_xlfn.XLOOKUP(dHdcp[[#This Row],[Nombre]],dJugador[Nombre],dJugador[Mote],"",0)</f>
        <v>0:David</v>
      </c>
      <c r="J2084" t="str">
        <f>+IF(dHdcp[[#This Row],[Maximo]]=0,"",_xlfn.RANK.EQ(dHdcp[[#This Row],[Handicap]],dHdcp[Handicap],1))</f>
        <v/>
      </c>
      <c r="K2084" t="str">
        <f>IFERROR(+_xlfn.RANK.EQ(dHdcp[[#This Row],[Ranking]],dHdcp[Ranking],1),"")</f>
        <v/>
      </c>
      <c r="M2084" t="str">
        <f>+dHdcp[[#This Row],[Fecha]]&amp;":"&amp;dHdcp[[#This Row],[Nombre]]</f>
        <v>45431:David Sequera</v>
      </c>
      <c r="N2084">
        <f>+COUNTIF(dHdcp[Columna1],dHdcp[[#This Row],[Columna1]])</f>
        <v>1</v>
      </c>
    </row>
    <row r="2085" spans="1:14">
      <c r="A2085" s="98">
        <v>45431</v>
      </c>
      <c r="B2085" s="46" t="s">
        <v>326</v>
      </c>
      <c r="C2085" s="104">
        <v>11.7</v>
      </c>
      <c r="D2085" s="46">
        <f>+VLOOKUP(dHdcp[[#This Row],[Handicap]],'Categoría Hdcap'!$B$2:$E$7,4)</f>
        <v>3</v>
      </c>
      <c r="E2085" s="46" t="s">
        <v>74</v>
      </c>
      <c r="F2085" s="92"/>
      <c r="G2085">
        <f>+IF(dHdcp[[#This Row],[Fecha]]=MAX(dHdcp[Fecha]),1,0)</f>
        <v>0</v>
      </c>
      <c r="H2085" t="str">
        <f>+dHdcp[[#This Row],[Maximo]]&amp;":"&amp;dHdcp[[#This Row],[Nombre]]</f>
        <v>0:Eduardo Buendía</v>
      </c>
      <c r="I2085" t="str">
        <f>+dHdcp[[#This Row],[Maximo]]&amp;":"&amp;_xlfn.XLOOKUP(dHdcp[[#This Row],[Nombre]],dJugador[Nombre],dJugador[Mote],"",0)</f>
        <v>0:Eduardo</v>
      </c>
      <c r="J2085" t="str">
        <f>+IF(dHdcp[[#This Row],[Maximo]]=0,"",_xlfn.RANK.EQ(dHdcp[[#This Row],[Handicap]],dHdcp[Handicap],1))</f>
        <v/>
      </c>
      <c r="K2085" t="str">
        <f>IFERROR(+_xlfn.RANK.EQ(dHdcp[[#This Row],[Ranking]],dHdcp[Ranking],1),"")</f>
        <v/>
      </c>
      <c r="M2085" t="str">
        <f>+dHdcp[[#This Row],[Fecha]]&amp;":"&amp;dHdcp[[#This Row],[Nombre]]</f>
        <v>45431:Eduardo Buendía</v>
      </c>
      <c r="N2085">
        <f>+COUNTIF(dHdcp[Columna1],dHdcp[[#This Row],[Columna1]])</f>
        <v>1</v>
      </c>
    </row>
    <row r="2086" spans="1:14">
      <c r="A2086" s="98">
        <v>45431</v>
      </c>
      <c r="B2086" s="46" t="s">
        <v>248</v>
      </c>
      <c r="C2086" s="104">
        <v>13.1</v>
      </c>
      <c r="D2086" s="46">
        <f>+VLOOKUP(dHdcp[[#This Row],[Handicap]],'Categoría Hdcap'!$B$2:$E$7,4)</f>
        <v>3</v>
      </c>
      <c r="E2086" s="46" t="s">
        <v>74</v>
      </c>
      <c r="F2086" s="92"/>
      <c r="G2086">
        <f>+IF(dHdcp[[#This Row],[Fecha]]=MAX(dHdcp[Fecha]),1,0)</f>
        <v>0</v>
      </c>
      <c r="H2086" t="str">
        <f>+dHdcp[[#This Row],[Maximo]]&amp;":"&amp;dHdcp[[#This Row],[Nombre]]</f>
        <v>0:Enrique Gonzalez R</v>
      </c>
      <c r="I2086" t="str">
        <f>+dHdcp[[#This Row],[Maximo]]&amp;":"&amp;_xlfn.XLOOKUP(dHdcp[[#This Row],[Nombre]],dJugador[Nombre],dJugador[Mote],"",0)</f>
        <v>0:Enrique</v>
      </c>
      <c r="J2086" t="str">
        <f>+IF(dHdcp[[#This Row],[Maximo]]=0,"",_xlfn.RANK.EQ(dHdcp[[#This Row],[Handicap]],dHdcp[Handicap],1))</f>
        <v/>
      </c>
      <c r="K2086" t="str">
        <f>IFERROR(+_xlfn.RANK.EQ(dHdcp[[#This Row],[Ranking]],dHdcp[Ranking],1),"")</f>
        <v/>
      </c>
      <c r="M2086" t="str">
        <f>+dHdcp[[#This Row],[Fecha]]&amp;":"&amp;dHdcp[[#This Row],[Nombre]]</f>
        <v>45431:Enrique Gonzalez R</v>
      </c>
      <c r="N2086">
        <f>+COUNTIF(dHdcp[Columna1],dHdcp[[#This Row],[Columna1]])</f>
        <v>1</v>
      </c>
    </row>
    <row r="2087" spans="1:14">
      <c r="A2087" s="98">
        <v>45431</v>
      </c>
      <c r="B2087" s="46" t="s">
        <v>12</v>
      </c>
      <c r="C2087" s="104">
        <v>15.7</v>
      </c>
      <c r="D2087" s="46">
        <f>+VLOOKUP(dHdcp[[#This Row],[Handicap]],'Categoría Hdcap'!$B$2:$E$7,4)</f>
        <v>3</v>
      </c>
      <c r="E2087" s="46" t="s">
        <v>74</v>
      </c>
      <c r="F2087" s="92"/>
      <c r="G2087">
        <f>+IF(dHdcp[[#This Row],[Fecha]]=MAX(dHdcp[Fecha]),1,0)</f>
        <v>0</v>
      </c>
      <c r="H2087" t="str">
        <f>+dHdcp[[#This Row],[Maximo]]&amp;":"&amp;dHdcp[[#This Row],[Nombre]]</f>
        <v>0:Francisco Alvarez</v>
      </c>
      <c r="I2087" t="str">
        <f>+dHdcp[[#This Row],[Maximo]]&amp;":"&amp;_xlfn.XLOOKUP(dHdcp[[#This Row],[Nombre]],dJugador[Nombre],dJugador[Mote],"",0)</f>
        <v>0:Paco</v>
      </c>
      <c r="J2087" t="str">
        <f>+IF(dHdcp[[#This Row],[Maximo]]=0,"",_xlfn.RANK.EQ(dHdcp[[#This Row],[Handicap]],dHdcp[Handicap],1))</f>
        <v/>
      </c>
      <c r="K2087" t="str">
        <f>IFERROR(+_xlfn.RANK.EQ(dHdcp[[#This Row],[Ranking]],dHdcp[Ranking],1),"")</f>
        <v/>
      </c>
      <c r="M2087" t="str">
        <f>+dHdcp[[#This Row],[Fecha]]&amp;":"&amp;dHdcp[[#This Row],[Nombre]]</f>
        <v>45431:Francisco Alvarez</v>
      </c>
      <c r="N2087">
        <f>+COUNTIF(dHdcp[Columna1],dHdcp[[#This Row],[Columna1]])</f>
        <v>1</v>
      </c>
    </row>
    <row r="2088" spans="1:14">
      <c r="A2088" s="98">
        <v>45431</v>
      </c>
      <c r="B2088" s="46" t="s">
        <v>49</v>
      </c>
      <c r="C2088" s="104">
        <v>13.1</v>
      </c>
      <c r="D2088" s="46">
        <f>+VLOOKUP(dHdcp[[#This Row],[Handicap]],'Categoría Hdcap'!$B$2:$E$7,4)</f>
        <v>3</v>
      </c>
      <c r="E2088" s="46" t="s">
        <v>74</v>
      </c>
      <c r="F2088" s="92"/>
      <c r="G2088">
        <f>+IF(dHdcp[[#This Row],[Fecha]]=MAX(dHdcp[Fecha]),1,0)</f>
        <v>0</v>
      </c>
      <c r="H2088" t="str">
        <f>+dHdcp[[#This Row],[Maximo]]&amp;":"&amp;dHdcp[[#This Row],[Nombre]]</f>
        <v>0:Francisco Hidalgo</v>
      </c>
      <c r="I2088" t="str">
        <f>+dHdcp[[#This Row],[Maximo]]&amp;":"&amp;_xlfn.XLOOKUP(dHdcp[[#This Row],[Nombre]],dJugador[Nombre],dJugador[Mote],"",0)</f>
        <v>0:Fran</v>
      </c>
      <c r="J2088" t="str">
        <f>+IF(dHdcp[[#This Row],[Maximo]]=0,"",_xlfn.RANK.EQ(dHdcp[[#This Row],[Handicap]],dHdcp[Handicap],1))</f>
        <v/>
      </c>
      <c r="K2088" t="str">
        <f>IFERROR(+_xlfn.RANK.EQ(dHdcp[[#This Row],[Ranking]],dHdcp[Ranking],1),"")</f>
        <v/>
      </c>
      <c r="M2088" t="str">
        <f>+dHdcp[[#This Row],[Fecha]]&amp;":"&amp;dHdcp[[#This Row],[Nombre]]</f>
        <v>45431:Francisco Hidalgo</v>
      </c>
      <c r="N2088">
        <f>+COUNTIF(dHdcp[Columna1],dHdcp[[#This Row],[Columna1]])</f>
        <v>1</v>
      </c>
    </row>
    <row r="2089" spans="1:14">
      <c r="A2089" s="98">
        <v>45431</v>
      </c>
      <c r="B2089" s="46" t="s">
        <v>207</v>
      </c>
      <c r="C2089" s="104">
        <v>15</v>
      </c>
      <c r="D2089" s="46">
        <f>+VLOOKUP(dHdcp[[#This Row],[Handicap]],'Categoría Hdcap'!$B$2:$E$7,4)</f>
        <v>3</v>
      </c>
      <c r="E2089" s="46" t="s">
        <v>74</v>
      </c>
      <c r="F2089" s="92"/>
      <c r="G2089">
        <f>+IF(dHdcp[[#This Row],[Fecha]]=MAX(dHdcp[Fecha]),1,0)</f>
        <v>0</v>
      </c>
      <c r="H2089" t="str">
        <f>+dHdcp[[#This Row],[Maximo]]&amp;":"&amp;dHdcp[[#This Row],[Nombre]]</f>
        <v>0:Franck Benouniche</v>
      </c>
      <c r="I2089" t="str">
        <f>+dHdcp[[#This Row],[Maximo]]&amp;":"&amp;_xlfn.XLOOKUP(dHdcp[[#This Row],[Nombre]],dJugador[Nombre],dJugador[Mote],"",0)</f>
        <v>0:Franck</v>
      </c>
      <c r="J2089" t="str">
        <f>+IF(dHdcp[[#This Row],[Maximo]]=0,"",_xlfn.RANK.EQ(dHdcp[[#This Row],[Handicap]],dHdcp[Handicap],1))</f>
        <v/>
      </c>
      <c r="K2089" t="str">
        <f>IFERROR(+_xlfn.RANK.EQ(dHdcp[[#This Row],[Ranking]],dHdcp[Ranking],1),"")</f>
        <v/>
      </c>
      <c r="M2089" t="str">
        <f>+dHdcp[[#This Row],[Fecha]]&amp;":"&amp;dHdcp[[#This Row],[Nombre]]</f>
        <v>45431:Franck Benouniche</v>
      </c>
      <c r="N2089">
        <f>+COUNTIF(dHdcp[Columna1],dHdcp[[#This Row],[Columna1]])</f>
        <v>1</v>
      </c>
    </row>
    <row r="2090" spans="1:14">
      <c r="A2090" s="98">
        <v>45431</v>
      </c>
      <c r="B2090" s="46" t="s">
        <v>35</v>
      </c>
      <c r="C2090" s="104">
        <v>20.8</v>
      </c>
      <c r="D2090" s="46">
        <f>+VLOOKUP(dHdcp[[#This Row],[Handicap]],'Categoría Hdcap'!$B$2:$E$7,4)</f>
        <v>4</v>
      </c>
      <c r="E2090" s="46" t="s">
        <v>74</v>
      </c>
      <c r="F2090" s="92"/>
      <c r="G2090">
        <f>+IF(dHdcp[[#This Row],[Fecha]]=MAX(dHdcp[Fecha]),1,0)</f>
        <v>0</v>
      </c>
      <c r="H2090" t="str">
        <f>+dHdcp[[#This Row],[Maximo]]&amp;":"&amp;dHdcp[[#This Row],[Nombre]]</f>
        <v>0:GLEZ JUAN JOSÉ</v>
      </c>
      <c r="I2090" t="str">
        <f>+dHdcp[[#This Row],[Maximo]]&amp;":"&amp;_xlfn.XLOOKUP(dHdcp[[#This Row],[Nombre]],dJugador[Nombre],dJugador[Mote],"",0)</f>
        <v>0:Juanjo</v>
      </c>
      <c r="J2090" t="str">
        <f>+IF(dHdcp[[#This Row],[Maximo]]=0,"",_xlfn.RANK.EQ(dHdcp[[#This Row],[Handicap]],dHdcp[Handicap],1))</f>
        <v/>
      </c>
      <c r="K2090" t="str">
        <f>IFERROR(+_xlfn.RANK.EQ(dHdcp[[#This Row],[Ranking]],dHdcp[Ranking],1),"")</f>
        <v/>
      </c>
      <c r="M2090" t="str">
        <f>+dHdcp[[#This Row],[Fecha]]&amp;":"&amp;dHdcp[[#This Row],[Nombre]]</f>
        <v>45431:GLEZ JUAN JOSÉ</v>
      </c>
      <c r="N2090">
        <f>+COUNTIF(dHdcp[Columna1],dHdcp[[#This Row],[Columna1]])</f>
        <v>1</v>
      </c>
    </row>
    <row r="2091" spans="1:14">
      <c r="A2091" s="98">
        <v>45431</v>
      </c>
      <c r="B2091" s="46" t="s">
        <v>6</v>
      </c>
      <c r="C2091" s="104">
        <v>8.1</v>
      </c>
      <c r="D2091" s="46">
        <f>+VLOOKUP(dHdcp[[#This Row],[Handicap]],'Categoría Hdcap'!$B$2:$E$7,4)</f>
        <v>2</v>
      </c>
      <c r="E2091" s="46" t="s">
        <v>74</v>
      </c>
      <c r="F2091" s="92"/>
      <c r="G2091">
        <f>+IF(dHdcp[[#This Row],[Fecha]]=MAX(dHdcp[Fecha]),1,0)</f>
        <v>0</v>
      </c>
      <c r="H2091" t="str">
        <f>+dHdcp[[#This Row],[Maximo]]&amp;":"&amp;dHdcp[[#This Row],[Nombre]]</f>
        <v>0:Ignacio Cadarso</v>
      </c>
      <c r="I2091" t="str">
        <f>+dHdcp[[#This Row],[Maximo]]&amp;":"&amp;_xlfn.XLOOKUP(dHdcp[[#This Row],[Nombre]],dJugador[Nombre],dJugador[Mote],"",0)</f>
        <v>0:Ignacio</v>
      </c>
      <c r="J2091" t="str">
        <f>+IF(dHdcp[[#This Row],[Maximo]]=0,"",_xlfn.RANK.EQ(dHdcp[[#This Row],[Handicap]],dHdcp[Handicap],1))</f>
        <v/>
      </c>
      <c r="K2091" t="str">
        <f>IFERROR(+_xlfn.RANK.EQ(dHdcp[[#This Row],[Ranking]],dHdcp[Ranking],1),"")</f>
        <v/>
      </c>
      <c r="M2091" t="str">
        <f>+dHdcp[[#This Row],[Fecha]]&amp;":"&amp;dHdcp[[#This Row],[Nombre]]</f>
        <v>45431:Ignacio Cadarso</v>
      </c>
      <c r="N2091">
        <f>+COUNTIF(dHdcp[Columna1],dHdcp[[#This Row],[Columna1]])</f>
        <v>1</v>
      </c>
    </row>
    <row r="2092" spans="1:14">
      <c r="A2092" s="98">
        <v>45431</v>
      </c>
      <c r="B2092" s="46" t="s">
        <v>298</v>
      </c>
      <c r="C2092" s="104">
        <v>23.7</v>
      </c>
      <c r="D2092" s="46">
        <f>+VLOOKUP(dHdcp[[#This Row],[Handicap]],'Categoría Hdcap'!$B$2:$E$7,4)</f>
        <v>4</v>
      </c>
      <c r="E2092" s="46" t="s">
        <v>74</v>
      </c>
      <c r="F2092" s="92"/>
      <c r="G2092">
        <f>+IF(dHdcp[[#This Row],[Fecha]]=MAX(dHdcp[Fecha]),1,0)</f>
        <v>0</v>
      </c>
      <c r="H2092" t="str">
        <f>+dHdcp[[#This Row],[Maximo]]&amp;":"&amp;dHdcp[[#This Row],[Nombre]]</f>
        <v>0:Ignacio Gracia Charlez</v>
      </c>
      <c r="I2092" t="str">
        <f>+dHdcp[[#This Row],[Maximo]]&amp;":"&amp;_xlfn.XLOOKUP(dHdcp[[#This Row],[Nombre]],dJugador[Nombre],dJugador[Mote],"",0)</f>
        <v>0:I Gracia</v>
      </c>
      <c r="J2092" t="str">
        <f>+IF(dHdcp[[#This Row],[Maximo]]=0,"",_xlfn.RANK.EQ(dHdcp[[#This Row],[Handicap]],dHdcp[Handicap],1))</f>
        <v/>
      </c>
      <c r="K2092" t="str">
        <f>IFERROR(+_xlfn.RANK.EQ(dHdcp[[#This Row],[Ranking]],dHdcp[Ranking],1),"")</f>
        <v/>
      </c>
      <c r="M2092" t="str">
        <f>+dHdcp[[#This Row],[Fecha]]&amp;":"&amp;dHdcp[[#This Row],[Nombre]]</f>
        <v>45431:Ignacio Gracia Charlez</v>
      </c>
      <c r="N2092">
        <f>+COUNTIF(dHdcp[Columna1],dHdcp[[#This Row],[Columna1]])</f>
        <v>1</v>
      </c>
    </row>
    <row r="2093" spans="1:14">
      <c r="A2093" s="98">
        <v>45431</v>
      </c>
      <c r="B2093" s="46" t="s">
        <v>23</v>
      </c>
      <c r="C2093" s="104">
        <v>19.3</v>
      </c>
      <c r="D2093" s="46">
        <f>+VLOOKUP(dHdcp[[#This Row],[Handicap]],'Categoría Hdcap'!$B$2:$E$7,4)</f>
        <v>4</v>
      </c>
      <c r="E2093" s="46" t="s">
        <v>74</v>
      </c>
      <c r="F2093" s="92"/>
      <c r="G2093">
        <f>+IF(dHdcp[[#This Row],[Fecha]]=MAX(dHdcp[Fecha]),1,0)</f>
        <v>0</v>
      </c>
      <c r="H2093" t="str">
        <f>+dHdcp[[#This Row],[Maximo]]&amp;":"&amp;dHdcp[[#This Row],[Nombre]]</f>
        <v>0:J. Enrique Gonzalez</v>
      </c>
      <c r="I2093" t="str">
        <f>+dHdcp[[#This Row],[Maximo]]&amp;":"&amp;_xlfn.XLOOKUP(dHdcp[[#This Row],[Nombre]],dJugador[Nombre],dJugador[Mote],"",0)</f>
        <v>0:Kike</v>
      </c>
      <c r="J2093" t="str">
        <f>+IF(dHdcp[[#This Row],[Maximo]]=0,"",_xlfn.RANK.EQ(dHdcp[[#This Row],[Handicap]],dHdcp[Handicap],1))</f>
        <v/>
      </c>
      <c r="K2093" t="str">
        <f>IFERROR(+_xlfn.RANK.EQ(dHdcp[[#This Row],[Ranking]],dHdcp[Ranking],1),"")</f>
        <v/>
      </c>
      <c r="M2093" t="str">
        <f>+dHdcp[[#This Row],[Fecha]]&amp;":"&amp;dHdcp[[#This Row],[Nombre]]</f>
        <v>45431:J. Enrique Gonzalez</v>
      </c>
      <c r="N2093">
        <f>+COUNTIF(dHdcp[Columna1],dHdcp[[#This Row],[Columna1]])</f>
        <v>1</v>
      </c>
    </row>
    <row r="2094" spans="1:14">
      <c r="A2094" s="98">
        <v>45431</v>
      </c>
      <c r="B2094" s="46" t="s">
        <v>289</v>
      </c>
      <c r="C2094" s="104">
        <v>9.5</v>
      </c>
      <c r="D2094" s="46">
        <f>+VLOOKUP(dHdcp[[#This Row],[Handicap]],'Categoría Hdcap'!$B$2:$E$7,4)</f>
        <v>2</v>
      </c>
      <c r="E2094" s="46" t="s">
        <v>74</v>
      </c>
      <c r="F2094" s="92"/>
      <c r="G2094">
        <f>+IF(dHdcp[[#This Row],[Fecha]]=MAX(dHdcp[Fecha]),1,0)</f>
        <v>0</v>
      </c>
      <c r="H2094" t="str">
        <f>+dHdcp[[#This Row],[Maximo]]&amp;":"&amp;dHdcp[[#This Row],[Nombre]]</f>
        <v>0:Jaime Villanueva</v>
      </c>
      <c r="I2094" t="str">
        <f>+dHdcp[[#This Row],[Maximo]]&amp;":"&amp;_xlfn.XLOOKUP(dHdcp[[#This Row],[Nombre]],dJugador[Nombre],dJugador[Mote],"",0)</f>
        <v>0:Villanueva</v>
      </c>
      <c r="J2094" t="str">
        <f>+IF(dHdcp[[#This Row],[Maximo]]=0,"",_xlfn.RANK.EQ(dHdcp[[#This Row],[Handicap]],dHdcp[Handicap],1))</f>
        <v/>
      </c>
      <c r="K2094" t="str">
        <f>IFERROR(+_xlfn.RANK.EQ(dHdcp[[#This Row],[Ranking]],dHdcp[Ranking],1),"")</f>
        <v/>
      </c>
      <c r="M2094" t="str">
        <f>+dHdcp[[#This Row],[Fecha]]&amp;":"&amp;dHdcp[[#This Row],[Nombre]]</f>
        <v>45431:Jaime Villanueva</v>
      </c>
      <c r="N2094">
        <f>+COUNTIF(dHdcp[Columna1],dHdcp[[#This Row],[Columna1]])</f>
        <v>1</v>
      </c>
    </row>
    <row r="2095" spans="1:14">
      <c r="A2095" s="98">
        <v>45431</v>
      </c>
      <c r="B2095" s="46" t="s">
        <v>328</v>
      </c>
      <c r="C2095" s="104">
        <v>12.1</v>
      </c>
      <c r="D2095" s="46">
        <f>+VLOOKUP(dHdcp[[#This Row],[Handicap]],'Categoría Hdcap'!$B$2:$E$7,4)</f>
        <v>3</v>
      </c>
      <c r="E2095" s="46" t="s">
        <v>74</v>
      </c>
      <c r="F2095" s="92"/>
      <c r="G2095">
        <f>+IF(dHdcp[[#This Row],[Fecha]]=MAX(dHdcp[Fecha]),1,0)</f>
        <v>0</v>
      </c>
      <c r="H2095" t="str">
        <f>+dHdcp[[#This Row],[Maximo]]&amp;":"&amp;dHdcp[[#This Row],[Nombre]]</f>
        <v>0:Javier Arcos</v>
      </c>
      <c r="I2095" t="str">
        <f>+dHdcp[[#This Row],[Maximo]]&amp;":"&amp;_xlfn.XLOOKUP(dHdcp[[#This Row],[Nombre]],dJugador[Nombre],dJugador[Mote],"",0)</f>
        <v>0:J.Arcos</v>
      </c>
      <c r="J2095" t="str">
        <f>+IF(dHdcp[[#This Row],[Maximo]]=0,"",_xlfn.RANK.EQ(dHdcp[[#This Row],[Handicap]],dHdcp[Handicap],1))</f>
        <v/>
      </c>
      <c r="K2095" t="str">
        <f>IFERROR(+_xlfn.RANK.EQ(dHdcp[[#This Row],[Ranking]],dHdcp[Ranking],1),"")</f>
        <v/>
      </c>
      <c r="M2095" t="str">
        <f>+dHdcp[[#This Row],[Fecha]]&amp;":"&amp;dHdcp[[#This Row],[Nombre]]</f>
        <v>45431:Javier Arcos</v>
      </c>
      <c r="N2095">
        <f>+COUNTIF(dHdcp[Columna1],dHdcp[[#This Row],[Columna1]])</f>
        <v>1</v>
      </c>
    </row>
    <row r="2096" spans="1:14">
      <c r="A2096" s="98">
        <v>45431</v>
      </c>
      <c r="B2096" s="46" t="s">
        <v>378</v>
      </c>
      <c r="C2096" s="104">
        <v>11.199999999999992</v>
      </c>
      <c r="D2096" s="46">
        <f>+VLOOKUP(dHdcp[[#This Row],[Handicap]],'Categoría Hdcap'!$B$2:$E$7,4)</f>
        <v>2</v>
      </c>
      <c r="E2096" s="46" t="s">
        <v>74</v>
      </c>
      <c r="F2096" s="92"/>
      <c r="G2096">
        <f>+IF(dHdcp[[#This Row],[Fecha]]=MAX(dHdcp[Fecha]),1,0)</f>
        <v>0</v>
      </c>
      <c r="H2096" t="str">
        <f>+dHdcp[[#This Row],[Maximo]]&amp;":"&amp;dHdcp[[#This Row],[Nombre]]</f>
        <v>0:Javier Campo</v>
      </c>
      <c r="I2096" t="str">
        <f>+dHdcp[[#This Row],[Maximo]]&amp;":"&amp;_xlfn.XLOOKUP(dHdcp[[#This Row],[Nombre]],dJugador[Nombre],dJugador[Mote],"",0)</f>
        <v>0:Campo</v>
      </c>
      <c r="J2096" t="str">
        <f>+IF(dHdcp[[#This Row],[Maximo]]=0,"",_xlfn.RANK.EQ(dHdcp[[#This Row],[Handicap]],dHdcp[Handicap],1))</f>
        <v/>
      </c>
      <c r="K2096" t="str">
        <f>IFERROR(+_xlfn.RANK.EQ(dHdcp[[#This Row],[Ranking]],dHdcp[Ranking],1),"")</f>
        <v/>
      </c>
      <c r="M2096" t="str">
        <f>+dHdcp[[#This Row],[Fecha]]&amp;":"&amp;dHdcp[[#This Row],[Nombre]]</f>
        <v>45431:Javier Campo</v>
      </c>
      <c r="N2096">
        <f>+COUNTIF(dHdcp[Columna1],dHdcp[[#This Row],[Columna1]])</f>
        <v>1</v>
      </c>
    </row>
    <row r="2097" spans="1:14">
      <c r="A2097" s="98">
        <v>45431</v>
      </c>
      <c r="B2097" s="46" t="s">
        <v>46</v>
      </c>
      <c r="C2097" s="104">
        <v>18.5</v>
      </c>
      <c r="D2097" s="46">
        <f>+VLOOKUP(dHdcp[[#This Row],[Handicap]],'Categoría Hdcap'!$B$2:$E$7,4)</f>
        <v>4</v>
      </c>
      <c r="E2097" s="46" t="s">
        <v>74</v>
      </c>
      <c r="F2097" s="92"/>
      <c r="G2097">
        <f>+IF(dHdcp[[#This Row],[Fecha]]=MAX(dHdcp[Fecha]),1,0)</f>
        <v>0</v>
      </c>
      <c r="H2097" t="str">
        <f>+dHdcp[[#This Row],[Maximo]]&amp;":"&amp;dHdcp[[#This Row],[Nombre]]</f>
        <v>0:Javier Cervera</v>
      </c>
      <c r="I2097" t="str">
        <f>+dHdcp[[#This Row],[Maximo]]&amp;":"&amp;_xlfn.XLOOKUP(dHdcp[[#This Row],[Nombre]],dJugador[Nombre],dJugador[Mote],"",0)</f>
        <v>0:Virus</v>
      </c>
      <c r="J2097" t="str">
        <f>+IF(dHdcp[[#This Row],[Maximo]]=0,"",_xlfn.RANK.EQ(dHdcp[[#This Row],[Handicap]],dHdcp[Handicap],1))</f>
        <v/>
      </c>
      <c r="K2097" t="str">
        <f>IFERROR(+_xlfn.RANK.EQ(dHdcp[[#This Row],[Ranking]],dHdcp[Ranking],1),"")</f>
        <v/>
      </c>
      <c r="M2097" t="str">
        <f>+dHdcp[[#This Row],[Fecha]]&amp;":"&amp;dHdcp[[#This Row],[Nombre]]</f>
        <v>45431:Javier Cervera</v>
      </c>
      <c r="N2097">
        <f>+COUNTIF(dHdcp[Columna1],dHdcp[[#This Row],[Columna1]])</f>
        <v>1</v>
      </c>
    </row>
    <row r="2098" spans="1:14">
      <c r="A2098" s="98">
        <v>45431</v>
      </c>
      <c r="B2098" s="46" t="s">
        <v>225</v>
      </c>
      <c r="C2098" s="104">
        <v>10.1</v>
      </c>
      <c r="D2098" s="46">
        <f>+VLOOKUP(dHdcp[[#This Row],[Handicap]],'Categoría Hdcap'!$B$2:$E$7,4)</f>
        <v>2</v>
      </c>
      <c r="E2098" s="46" t="s">
        <v>74</v>
      </c>
      <c r="F2098" s="92"/>
      <c r="G2098">
        <f>+IF(dHdcp[[#This Row],[Fecha]]=MAX(dHdcp[Fecha]),1,0)</f>
        <v>0</v>
      </c>
      <c r="H2098" t="str">
        <f>+dHdcp[[#This Row],[Maximo]]&amp;":"&amp;dHdcp[[#This Row],[Nombre]]</f>
        <v>0:Javier Chiralt</v>
      </c>
      <c r="I2098" t="str">
        <f>+dHdcp[[#This Row],[Maximo]]&amp;":"&amp;_xlfn.XLOOKUP(dHdcp[[#This Row],[Nombre]],dJugador[Nombre],dJugador[Mote],"",0)</f>
        <v>0:Chiralt</v>
      </c>
      <c r="J2098" t="str">
        <f>+IF(dHdcp[[#This Row],[Maximo]]=0,"",_xlfn.RANK.EQ(dHdcp[[#This Row],[Handicap]],dHdcp[Handicap],1))</f>
        <v/>
      </c>
      <c r="K2098" t="str">
        <f>IFERROR(+_xlfn.RANK.EQ(dHdcp[[#This Row],[Ranking]],dHdcp[Ranking],1),"")</f>
        <v/>
      </c>
      <c r="M2098" t="str">
        <f>+dHdcp[[#This Row],[Fecha]]&amp;":"&amp;dHdcp[[#This Row],[Nombre]]</f>
        <v>45431:Javier Chiralt</v>
      </c>
      <c r="N2098">
        <f>+COUNTIF(dHdcp[Columna1],dHdcp[[#This Row],[Columna1]])</f>
        <v>1</v>
      </c>
    </row>
    <row r="2099" spans="1:14">
      <c r="A2099" s="98">
        <v>45431</v>
      </c>
      <c r="B2099" s="46" t="s">
        <v>2466</v>
      </c>
      <c r="C2099" s="104">
        <v>16.7</v>
      </c>
      <c r="D2099" s="46">
        <f>+VLOOKUP(dHdcp[[#This Row],[Handicap]],'Categoría Hdcap'!$B$2:$E$7,4)</f>
        <v>3</v>
      </c>
      <c r="E2099" s="46" t="s">
        <v>74</v>
      </c>
      <c r="F2099" s="92"/>
      <c r="G2099">
        <f>+IF(dHdcp[[#This Row],[Fecha]]=MAX(dHdcp[Fecha]),1,0)</f>
        <v>0</v>
      </c>
      <c r="H2099" t="str">
        <f>+dHdcp[[#This Row],[Maximo]]&amp;":"&amp;dHdcp[[#This Row],[Nombre]]</f>
        <v>0:Javier Dodero de Solano</v>
      </c>
      <c r="I2099" t="str">
        <f>+dHdcp[[#This Row],[Maximo]]&amp;":"&amp;_xlfn.XLOOKUP(dHdcp[[#This Row],[Nombre]],dJugador[Nombre],dJugador[Mote],"",0)</f>
        <v>0:Dodero</v>
      </c>
      <c r="J2099" t="str">
        <f>+IF(dHdcp[[#This Row],[Maximo]]=0,"",_xlfn.RANK.EQ(dHdcp[[#This Row],[Handicap]],dHdcp[Handicap],1))</f>
        <v/>
      </c>
      <c r="K2099" t="str">
        <f>IFERROR(+_xlfn.RANK.EQ(dHdcp[[#This Row],[Ranking]],dHdcp[Ranking],1),"")</f>
        <v/>
      </c>
      <c r="M2099" t="str">
        <f>+dHdcp[[#This Row],[Fecha]]&amp;":"&amp;dHdcp[[#This Row],[Nombre]]</f>
        <v>45431:Javier Dodero de Solano</v>
      </c>
      <c r="N2099">
        <f>+COUNTIF(dHdcp[Columna1],dHdcp[[#This Row],[Columna1]])</f>
        <v>1</v>
      </c>
    </row>
    <row r="2100" spans="1:14">
      <c r="A2100" s="98">
        <v>45431</v>
      </c>
      <c r="B2100" s="46" t="s">
        <v>20</v>
      </c>
      <c r="C2100" s="104">
        <v>19.399999999999999</v>
      </c>
      <c r="D2100" s="46">
        <f>+VLOOKUP(dHdcp[[#This Row],[Handicap]],'Categoría Hdcap'!$B$2:$E$7,4)</f>
        <v>4</v>
      </c>
      <c r="E2100" s="46" t="s">
        <v>74</v>
      </c>
      <c r="F2100" s="92"/>
      <c r="G2100">
        <f>+IF(dHdcp[[#This Row],[Fecha]]=MAX(dHdcp[Fecha]),1,0)</f>
        <v>0</v>
      </c>
      <c r="H2100" t="str">
        <f>+dHdcp[[#This Row],[Maximo]]&amp;":"&amp;dHdcp[[#This Row],[Nombre]]</f>
        <v>0:Javier Gonzalez Salvador</v>
      </c>
      <c r="I2100" t="str">
        <f>+dHdcp[[#This Row],[Maximo]]&amp;":"&amp;_xlfn.XLOOKUP(dHdcp[[#This Row],[Nombre]],dJugador[Nombre],dJugador[Mote],"",0)</f>
        <v>0:Javi</v>
      </c>
      <c r="J2100" t="str">
        <f>+IF(dHdcp[[#This Row],[Maximo]]=0,"",_xlfn.RANK.EQ(dHdcp[[#This Row],[Handicap]],dHdcp[Handicap],1))</f>
        <v/>
      </c>
      <c r="K2100" t="str">
        <f>IFERROR(+_xlfn.RANK.EQ(dHdcp[[#This Row],[Ranking]],dHdcp[Ranking],1),"")</f>
        <v/>
      </c>
      <c r="M2100" t="str">
        <f>+dHdcp[[#This Row],[Fecha]]&amp;":"&amp;dHdcp[[#This Row],[Nombre]]</f>
        <v>45431:Javier Gonzalez Salvador</v>
      </c>
      <c r="N2100">
        <f>+COUNTIF(dHdcp[Columna1],dHdcp[[#This Row],[Columna1]])</f>
        <v>1</v>
      </c>
    </row>
    <row r="2101" spans="1:14">
      <c r="A2101" s="98">
        <v>45431</v>
      </c>
      <c r="B2101" s="46" t="s">
        <v>217</v>
      </c>
      <c r="C2101" s="104">
        <v>20.9</v>
      </c>
      <c r="D2101" s="46">
        <f>+VLOOKUP(dHdcp[[#This Row],[Handicap]],'Categoría Hdcap'!$B$2:$E$7,4)</f>
        <v>4</v>
      </c>
      <c r="E2101" s="46" t="s">
        <v>74</v>
      </c>
      <c r="F2101" s="92"/>
      <c r="G2101">
        <f>+IF(dHdcp[[#This Row],[Fecha]]=MAX(dHdcp[Fecha]),1,0)</f>
        <v>0</v>
      </c>
      <c r="H2101" t="str">
        <f>+dHdcp[[#This Row],[Maximo]]&amp;":"&amp;dHdcp[[#This Row],[Nombre]]</f>
        <v>0:Javier Lopez Gullón</v>
      </c>
      <c r="I2101" t="str">
        <f>+dHdcp[[#This Row],[Maximo]]&amp;":"&amp;_xlfn.XLOOKUP(dHdcp[[#This Row],[Nombre]],dJugador[Nombre],dJugador[Mote],"",0)</f>
        <v>0:Cuñao</v>
      </c>
      <c r="J2101" t="str">
        <f>+IF(dHdcp[[#This Row],[Maximo]]=0,"",_xlfn.RANK.EQ(dHdcp[[#This Row],[Handicap]],dHdcp[Handicap],1))</f>
        <v/>
      </c>
      <c r="K2101" t="str">
        <f>IFERROR(+_xlfn.RANK.EQ(dHdcp[[#This Row],[Ranking]],dHdcp[Ranking],1),"")</f>
        <v/>
      </c>
      <c r="M2101" t="str">
        <f>+dHdcp[[#This Row],[Fecha]]&amp;":"&amp;dHdcp[[#This Row],[Nombre]]</f>
        <v>45431:Javier Lopez Gullón</v>
      </c>
      <c r="N2101">
        <f>+COUNTIF(dHdcp[Columna1],dHdcp[[#This Row],[Columna1]])</f>
        <v>1</v>
      </c>
    </row>
    <row r="2102" spans="1:14">
      <c r="A2102" s="98">
        <v>45431</v>
      </c>
      <c r="B2102" s="46" t="s">
        <v>41</v>
      </c>
      <c r="C2102" s="104">
        <v>22</v>
      </c>
      <c r="D2102" s="46">
        <f>+VLOOKUP(dHdcp[[#This Row],[Handicap]],'Categoría Hdcap'!$B$2:$E$7,4)</f>
        <v>4</v>
      </c>
      <c r="E2102" s="46" t="s">
        <v>74</v>
      </c>
      <c r="F2102" s="92"/>
      <c r="G2102">
        <f>+IF(dHdcp[[#This Row],[Fecha]]=MAX(dHdcp[Fecha]),1,0)</f>
        <v>0</v>
      </c>
      <c r="H2102" t="str">
        <f>+dHdcp[[#This Row],[Maximo]]&amp;":"&amp;dHdcp[[#This Row],[Nombre]]</f>
        <v>0:Jesus Touceda</v>
      </c>
      <c r="I2102" t="str">
        <f>+dHdcp[[#This Row],[Maximo]]&amp;":"&amp;_xlfn.XLOOKUP(dHdcp[[#This Row],[Nombre]],dJugador[Nombre],dJugador[Mote],"",0)</f>
        <v>0:Jesús</v>
      </c>
      <c r="J2102" t="str">
        <f>+IF(dHdcp[[#This Row],[Maximo]]=0,"",_xlfn.RANK.EQ(dHdcp[[#This Row],[Handicap]],dHdcp[Handicap],1))</f>
        <v/>
      </c>
      <c r="K2102" t="str">
        <f>IFERROR(+_xlfn.RANK.EQ(dHdcp[[#This Row],[Ranking]],dHdcp[Ranking],1),"")</f>
        <v/>
      </c>
      <c r="M2102" t="str">
        <f>+dHdcp[[#This Row],[Fecha]]&amp;":"&amp;dHdcp[[#This Row],[Nombre]]</f>
        <v>45431:Jesus Touceda</v>
      </c>
      <c r="N2102">
        <f>+COUNTIF(dHdcp[Columna1],dHdcp[[#This Row],[Columna1]])</f>
        <v>1</v>
      </c>
    </row>
    <row r="2103" spans="1:14">
      <c r="A2103" s="98">
        <v>45431</v>
      </c>
      <c r="B2103" s="46" t="s">
        <v>297</v>
      </c>
      <c r="C2103" s="104">
        <v>20.8</v>
      </c>
      <c r="D2103" s="46">
        <f>+VLOOKUP(dHdcp[[#This Row],[Handicap]],'Categoría Hdcap'!$B$2:$E$7,4)</f>
        <v>4</v>
      </c>
      <c r="E2103" s="46" t="s">
        <v>74</v>
      </c>
      <c r="F2103" s="92"/>
      <c r="G2103">
        <f>+IF(dHdcp[[#This Row],[Fecha]]=MAX(dHdcp[Fecha]),1,0)</f>
        <v>0</v>
      </c>
      <c r="H2103" t="str">
        <f>+dHdcp[[#This Row],[Maximo]]&amp;":"&amp;dHdcp[[#This Row],[Nombre]]</f>
        <v>0:Jorge Alberto Martínez Sánchez</v>
      </c>
      <c r="I2103" t="str">
        <f>+dHdcp[[#This Row],[Maximo]]&amp;":"&amp;_xlfn.XLOOKUP(dHdcp[[#This Row],[Nombre]],dJugador[Nombre],dJugador[Mote],"",0)</f>
        <v>0:Jorge</v>
      </c>
      <c r="J2103" t="str">
        <f>+IF(dHdcp[[#This Row],[Maximo]]=0,"",_xlfn.RANK.EQ(dHdcp[[#This Row],[Handicap]],dHdcp[Handicap],1))</f>
        <v/>
      </c>
      <c r="K2103" t="str">
        <f>IFERROR(+_xlfn.RANK.EQ(dHdcp[[#This Row],[Ranking]],dHdcp[Ranking],1),"")</f>
        <v/>
      </c>
      <c r="M2103" t="str">
        <f>+dHdcp[[#This Row],[Fecha]]&amp;":"&amp;dHdcp[[#This Row],[Nombre]]</f>
        <v>45431:Jorge Alberto Martínez Sánchez</v>
      </c>
      <c r="N2103">
        <f>+COUNTIF(dHdcp[Columna1],dHdcp[[#This Row],[Columna1]])</f>
        <v>1</v>
      </c>
    </row>
    <row r="2104" spans="1:14">
      <c r="A2104" s="98">
        <v>45431</v>
      </c>
      <c r="B2104" s="46" t="s">
        <v>388</v>
      </c>
      <c r="C2104" s="104">
        <v>26.499999999999986</v>
      </c>
      <c r="D2104" s="46">
        <f>+VLOOKUP(dHdcp[[#This Row],[Handicap]],'Categoría Hdcap'!$B$2:$E$7,4)</f>
        <v>4</v>
      </c>
      <c r="E2104" s="46" t="s">
        <v>74</v>
      </c>
      <c r="F2104" s="92"/>
      <c r="G2104">
        <f>+IF(dHdcp[[#This Row],[Fecha]]=MAX(dHdcp[Fecha]),1,0)</f>
        <v>0</v>
      </c>
      <c r="H2104" t="str">
        <f>+dHdcp[[#This Row],[Maximo]]&amp;":"&amp;dHdcp[[#This Row],[Nombre]]</f>
        <v>0:Jose Antonio Santana</v>
      </c>
      <c r="I2104" t="str">
        <f>+dHdcp[[#This Row],[Maximo]]&amp;":"&amp;_xlfn.XLOOKUP(dHdcp[[#This Row],[Nombre]],dJugador[Nombre],dJugador[Mote],"",0)</f>
        <v>0:J Antonio</v>
      </c>
      <c r="J2104" t="str">
        <f>+IF(dHdcp[[#This Row],[Maximo]]=0,"",_xlfn.RANK.EQ(dHdcp[[#This Row],[Handicap]],dHdcp[Handicap],1))</f>
        <v/>
      </c>
      <c r="K2104" t="str">
        <f>IFERROR(+_xlfn.RANK.EQ(dHdcp[[#This Row],[Ranking]],dHdcp[Ranking],1),"")</f>
        <v/>
      </c>
      <c r="M2104" t="str">
        <f>+dHdcp[[#This Row],[Fecha]]&amp;":"&amp;dHdcp[[#This Row],[Nombre]]</f>
        <v>45431:Jose Antonio Santana</v>
      </c>
      <c r="N2104">
        <f>+COUNTIF(dHdcp[Columna1],dHdcp[[#This Row],[Columna1]])</f>
        <v>1</v>
      </c>
    </row>
    <row r="2105" spans="1:14">
      <c r="A2105" s="98">
        <v>45431</v>
      </c>
      <c r="B2105" s="46" t="s">
        <v>18</v>
      </c>
      <c r="C2105" s="104">
        <v>8.3000000000000007</v>
      </c>
      <c r="D2105" s="46">
        <f>+VLOOKUP(dHdcp[[#This Row],[Handicap]],'Categoría Hdcap'!$B$2:$E$7,4)</f>
        <v>2</v>
      </c>
      <c r="E2105" s="46" t="s">
        <v>74</v>
      </c>
      <c r="F2105" s="92"/>
      <c r="G2105">
        <f>+IF(dHdcp[[#This Row],[Fecha]]=MAX(dHdcp[Fecha]),1,0)</f>
        <v>0</v>
      </c>
      <c r="H2105" t="str">
        <f>+dHdcp[[#This Row],[Maximo]]&amp;":"&amp;dHdcp[[#This Row],[Nombre]]</f>
        <v>0:José Pablo Guil</v>
      </c>
      <c r="I2105" t="str">
        <f>+dHdcp[[#This Row],[Maximo]]&amp;":"&amp;_xlfn.XLOOKUP(dHdcp[[#This Row],[Nombre]],dJugador[Nombre],dJugador[Mote],"",0)</f>
        <v>0:JP</v>
      </c>
      <c r="J2105" t="str">
        <f>+IF(dHdcp[[#This Row],[Maximo]]=0,"",_xlfn.RANK.EQ(dHdcp[[#This Row],[Handicap]],dHdcp[Handicap],1))</f>
        <v/>
      </c>
      <c r="K2105" t="str">
        <f>IFERROR(+_xlfn.RANK.EQ(dHdcp[[#This Row],[Ranking]],dHdcp[Ranking],1),"")</f>
        <v/>
      </c>
      <c r="M2105" t="str">
        <f>+dHdcp[[#This Row],[Fecha]]&amp;":"&amp;dHdcp[[#This Row],[Nombre]]</f>
        <v>45431:José Pablo Guil</v>
      </c>
      <c r="N2105">
        <f>+COUNTIF(dHdcp[Columna1],dHdcp[[#This Row],[Columna1]])</f>
        <v>1</v>
      </c>
    </row>
    <row r="2106" spans="1:14">
      <c r="A2106" s="98">
        <v>45431</v>
      </c>
      <c r="B2106" s="46" t="s">
        <v>293</v>
      </c>
      <c r="C2106" s="104">
        <v>18</v>
      </c>
      <c r="D2106" s="46">
        <f>+VLOOKUP(dHdcp[[#This Row],[Handicap]],'Categoría Hdcap'!$B$2:$E$7,4)</f>
        <v>3</v>
      </c>
      <c r="E2106" s="46" t="s">
        <v>74</v>
      </c>
      <c r="F2106" s="92"/>
      <c r="G2106">
        <f>+IF(dHdcp[[#This Row],[Fecha]]=MAX(dHdcp[Fecha]),1,0)</f>
        <v>0</v>
      </c>
      <c r="H2106" t="str">
        <f>+dHdcp[[#This Row],[Maximo]]&amp;":"&amp;dHdcp[[#This Row],[Nombre]]</f>
        <v>0:Juan Jose Aguado</v>
      </c>
      <c r="I2106" t="str">
        <f>+dHdcp[[#This Row],[Maximo]]&amp;":"&amp;_xlfn.XLOOKUP(dHdcp[[#This Row],[Nombre]],dJugador[Nombre],dJugador[Mote],"",0)</f>
        <v>0:Juancho</v>
      </c>
      <c r="J2106" t="str">
        <f>+IF(dHdcp[[#This Row],[Maximo]]=0,"",_xlfn.RANK.EQ(dHdcp[[#This Row],[Handicap]],dHdcp[Handicap],1))</f>
        <v/>
      </c>
      <c r="K2106" t="str">
        <f>IFERROR(+_xlfn.RANK.EQ(dHdcp[[#This Row],[Ranking]],dHdcp[Ranking],1),"")</f>
        <v/>
      </c>
      <c r="M2106" t="str">
        <f>+dHdcp[[#This Row],[Fecha]]&amp;":"&amp;dHdcp[[#This Row],[Nombre]]</f>
        <v>45431:Juan Jose Aguado</v>
      </c>
      <c r="N2106">
        <f>+COUNTIF(dHdcp[Columna1],dHdcp[[#This Row],[Columna1]])</f>
        <v>1</v>
      </c>
    </row>
    <row r="2107" spans="1:14">
      <c r="A2107" s="98">
        <v>45431</v>
      </c>
      <c r="B2107" t="s">
        <v>2516</v>
      </c>
      <c r="C2107" s="104">
        <v>20.6</v>
      </c>
      <c r="D2107" s="46">
        <f>+VLOOKUP(dHdcp[[#This Row],[Handicap]],'Categoría Hdcap'!$B$2:$E$7,4)</f>
        <v>4</v>
      </c>
      <c r="E2107" s="46" t="s">
        <v>74</v>
      </c>
      <c r="F2107" s="92"/>
      <c r="G2107">
        <f>+IF(dHdcp[[#This Row],[Fecha]]=MAX(dHdcp[Fecha]),1,0)</f>
        <v>0</v>
      </c>
      <c r="H2107" t="str">
        <f>+dHdcp[[#This Row],[Maximo]]&amp;":"&amp;dHdcp[[#This Row],[Nombre]]</f>
        <v>0:Juan Sanz</v>
      </c>
      <c r="I2107" t="str">
        <f>+dHdcp[[#This Row],[Maximo]]&amp;":"&amp;_xlfn.XLOOKUP(dHdcp[[#This Row],[Nombre]],dJugador[Nombre],dJugador[Mote],"",0)</f>
        <v>0:JuanSanz</v>
      </c>
      <c r="J2107" t="str">
        <f>+IF(dHdcp[[#This Row],[Maximo]]=0,"",_xlfn.RANK.EQ(dHdcp[[#This Row],[Handicap]],dHdcp[Handicap],1))</f>
        <v/>
      </c>
      <c r="K2107" t="str">
        <f>IFERROR(+_xlfn.RANK.EQ(dHdcp[[#This Row],[Ranking]],dHdcp[Ranking],1),"")</f>
        <v/>
      </c>
      <c r="M2107" t="str">
        <f>+dHdcp[[#This Row],[Fecha]]&amp;":"&amp;dHdcp[[#This Row],[Nombre]]</f>
        <v>45431:Juan Sanz</v>
      </c>
      <c r="N2107">
        <f>+COUNTIF(dHdcp[Columna1],dHdcp[[#This Row],[Columna1]])</f>
        <v>1</v>
      </c>
    </row>
    <row r="2108" spans="1:14">
      <c r="A2108" s="98">
        <v>45431</v>
      </c>
      <c r="B2108" s="46" t="s">
        <v>375</v>
      </c>
      <c r="C2108" s="104">
        <v>10.199999999999999</v>
      </c>
      <c r="D2108" s="46">
        <f>+VLOOKUP(dHdcp[[#This Row],[Handicap]],'Categoría Hdcap'!$B$2:$E$7,4)</f>
        <v>2</v>
      </c>
      <c r="E2108" s="46" t="s">
        <v>74</v>
      </c>
      <c r="F2108" s="92"/>
      <c r="G2108">
        <f>+IF(dHdcp[[#This Row],[Fecha]]=MAX(dHdcp[Fecha]),1,0)</f>
        <v>0</v>
      </c>
      <c r="H2108" t="str">
        <f>+dHdcp[[#This Row],[Maximo]]&amp;":"&amp;dHdcp[[#This Row],[Nombre]]</f>
        <v>0:Luis Fernandez</v>
      </c>
      <c r="I2108" t="str">
        <f>+dHdcp[[#This Row],[Maximo]]&amp;":"&amp;_xlfn.XLOOKUP(dHdcp[[#This Row],[Nombre]],dJugador[Nombre],dJugador[Mote],"",0)</f>
        <v>0:Luis</v>
      </c>
      <c r="J2108" t="str">
        <f>+IF(dHdcp[[#This Row],[Maximo]]=0,"",_xlfn.RANK.EQ(dHdcp[[#This Row],[Handicap]],dHdcp[Handicap],1))</f>
        <v/>
      </c>
      <c r="K2108" t="str">
        <f>IFERROR(+_xlfn.RANK.EQ(dHdcp[[#This Row],[Ranking]],dHdcp[Ranking],1),"")</f>
        <v/>
      </c>
      <c r="M2108" t="str">
        <f>+dHdcp[[#This Row],[Fecha]]&amp;":"&amp;dHdcp[[#This Row],[Nombre]]</f>
        <v>45431:Luis Fernandez</v>
      </c>
      <c r="N2108">
        <f>+COUNTIF(dHdcp[Columna1],dHdcp[[#This Row],[Columna1]])</f>
        <v>1</v>
      </c>
    </row>
    <row r="2109" spans="1:14">
      <c r="A2109" s="98">
        <v>45431</v>
      </c>
      <c r="B2109" s="46" t="s">
        <v>135</v>
      </c>
      <c r="C2109" s="104">
        <v>19</v>
      </c>
      <c r="D2109" s="46">
        <f>+VLOOKUP(dHdcp[[#This Row],[Handicap]],'Categoría Hdcap'!$B$2:$E$7,4)</f>
        <v>4</v>
      </c>
      <c r="E2109" s="46" t="s">
        <v>74</v>
      </c>
      <c r="F2109" s="92"/>
      <c r="G2109">
        <f>+IF(dHdcp[[#This Row],[Fecha]]=MAX(dHdcp[Fecha]),1,0)</f>
        <v>0</v>
      </c>
      <c r="H2109" t="str">
        <f>+dHdcp[[#This Row],[Maximo]]&amp;":"&amp;dHdcp[[#This Row],[Nombre]]</f>
        <v>0:Miche Lopez</v>
      </c>
      <c r="I2109" t="str">
        <f>+dHdcp[[#This Row],[Maximo]]&amp;":"&amp;_xlfn.XLOOKUP(dHdcp[[#This Row],[Nombre]],dJugador[Nombre],dJugador[Mote],"",0)</f>
        <v>0:Miche</v>
      </c>
      <c r="J2109" t="str">
        <f>+IF(dHdcp[[#This Row],[Maximo]]=0,"",_xlfn.RANK.EQ(dHdcp[[#This Row],[Handicap]],dHdcp[Handicap],1))</f>
        <v/>
      </c>
      <c r="K2109" t="str">
        <f>IFERROR(+_xlfn.RANK.EQ(dHdcp[[#This Row],[Ranking]],dHdcp[Ranking],1),"")</f>
        <v/>
      </c>
      <c r="M2109" t="str">
        <f>+dHdcp[[#This Row],[Fecha]]&amp;":"&amp;dHdcp[[#This Row],[Nombre]]</f>
        <v>45431:Miche Lopez</v>
      </c>
      <c r="N2109">
        <f>+COUNTIF(dHdcp[Columna1],dHdcp[[#This Row],[Columna1]])</f>
        <v>1</v>
      </c>
    </row>
    <row r="2110" spans="1:14">
      <c r="A2110" s="98">
        <v>45431</v>
      </c>
      <c r="B2110" s="46" t="s">
        <v>205</v>
      </c>
      <c r="C2110" s="104">
        <v>5.9</v>
      </c>
      <c r="D2110" s="46">
        <f>+VLOOKUP(dHdcp[[#This Row],[Handicap]],'Categoría Hdcap'!$B$2:$E$7,4)</f>
        <v>2</v>
      </c>
      <c r="E2110" s="46" t="s">
        <v>74</v>
      </c>
      <c r="F2110" s="92"/>
      <c r="G2110">
        <f>+IF(dHdcp[[#This Row],[Fecha]]=MAX(dHdcp[Fecha]),1,0)</f>
        <v>0</v>
      </c>
      <c r="H2110" t="str">
        <f>+dHdcp[[#This Row],[Maximo]]&amp;":"&amp;dHdcp[[#This Row],[Nombre]]</f>
        <v>0:Nacho Casas</v>
      </c>
      <c r="I2110" t="str">
        <f>+dHdcp[[#This Row],[Maximo]]&amp;":"&amp;_xlfn.XLOOKUP(dHdcp[[#This Row],[Nombre]],dJugador[Nombre],dJugador[Mote],"",0)</f>
        <v>0:Nachete</v>
      </c>
      <c r="J2110" t="str">
        <f>+IF(dHdcp[[#This Row],[Maximo]]=0,"",_xlfn.RANK.EQ(dHdcp[[#This Row],[Handicap]],dHdcp[Handicap],1))</f>
        <v/>
      </c>
      <c r="K2110" t="str">
        <f>IFERROR(+_xlfn.RANK.EQ(dHdcp[[#This Row],[Ranking]],dHdcp[Ranking],1),"")</f>
        <v/>
      </c>
      <c r="M2110" t="str">
        <f>+dHdcp[[#This Row],[Fecha]]&amp;":"&amp;dHdcp[[#This Row],[Nombre]]</f>
        <v>45431:Nacho Casas</v>
      </c>
      <c r="N2110">
        <f>+COUNTIF(dHdcp[Columna1],dHdcp[[#This Row],[Columna1]])</f>
        <v>1</v>
      </c>
    </row>
    <row r="2111" spans="1:14">
      <c r="A2111" s="98">
        <v>45431</v>
      </c>
      <c r="B2111" s="46" t="s">
        <v>3</v>
      </c>
      <c r="C2111" s="104">
        <v>6.3</v>
      </c>
      <c r="D2111" s="46">
        <f>+VLOOKUP(dHdcp[[#This Row],[Handicap]],'Categoría Hdcap'!$B$2:$E$7,4)</f>
        <v>2</v>
      </c>
      <c r="E2111" s="46" t="s">
        <v>74</v>
      </c>
      <c r="F2111" s="92"/>
      <c r="G2111">
        <f>+IF(dHdcp[[#This Row],[Fecha]]=MAX(dHdcp[Fecha]),1,0)</f>
        <v>0</v>
      </c>
      <c r="H2111" t="str">
        <f>+dHdcp[[#This Row],[Maximo]]&amp;":"&amp;dHdcp[[#This Row],[Nombre]]</f>
        <v>0:Nacho Gonzalez</v>
      </c>
      <c r="I2111" t="str">
        <f>+dHdcp[[#This Row],[Maximo]]&amp;":"&amp;_xlfn.XLOOKUP(dHdcp[[#This Row],[Nombre]],dJugador[Nombre],dJugador[Mote],"",0)</f>
        <v>0:Nacho</v>
      </c>
      <c r="J2111" t="str">
        <f>+IF(dHdcp[[#This Row],[Maximo]]=0,"",_xlfn.RANK.EQ(dHdcp[[#This Row],[Handicap]],dHdcp[Handicap],1))</f>
        <v/>
      </c>
      <c r="K2111" t="str">
        <f>IFERROR(+_xlfn.RANK.EQ(dHdcp[[#This Row],[Ranking]],dHdcp[Ranking],1),"")</f>
        <v/>
      </c>
      <c r="M2111" t="str">
        <f>+dHdcp[[#This Row],[Fecha]]&amp;":"&amp;dHdcp[[#This Row],[Nombre]]</f>
        <v>45431:Nacho Gonzalez</v>
      </c>
      <c r="N2111">
        <f>+COUNTIF(dHdcp[Columna1],dHdcp[[#This Row],[Columna1]])</f>
        <v>1</v>
      </c>
    </row>
    <row r="2112" spans="1:14">
      <c r="A2112" s="98">
        <v>45431</v>
      </c>
      <c r="B2112" s="46" t="s">
        <v>203</v>
      </c>
      <c r="C2112" s="104">
        <v>16.600000000000001</v>
      </c>
      <c r="D2112" s="46">
        <f>+VLOOKUP(dHdcp[[#This Row],[Handicap]],'Categoría Hdcap'!$B$2:$E$7,4)</f>
        <v>3</v>
      </c>
      <c r="E2112" s="46" t="s">
        <v>74</v>
      </c>
      <c r="F2112" s="92"/>
      <c r="G2112">
        <f>+IF(dHdcp[[#This Row],[Fecha]]=MAX(dHdcp[Fecha]),1,0)</f>
        <v>0</v>
      </c>
      <c r="H2112" t="str">
        <f>+dHdcp[[#This Row],[Maximo]]&amp;":"&amp;dHdcp[[#This Row],[Nombre]]</f>
        <v>0:Ruslan Kochman</v>
      </c>
      <c r="I2112" t="str">
        <f>+dHdcp[[#This Row],[Maximo]]&amp;":"&amp;_xlfn.XLOOKUP(dHdcp[[#This Row],[Nombre]],dJugador[Nombre],dJugador[Mote],"",0)</f>
        <v>0:Rus</v>
      </c>
      <c r="J2112" t="str">
        <f>+IF(dHdcp[[#This Row],[Maximo]]=0,"",_xlfn.RANK.EQ(dHdcp[[#This Row],[Handicap]],dHdcp[Handicap],1))</f>
        <v/>
      </c>
      <c r="K2112" t="str">
        <f>IFERROR(+_xlfn.RANK.EQ(dHdcp[[#This Row],[Ranking]],dHdcp[Ranking],1),"")</f>
        <v/>
      </c>
      <c r="M2112" t="str">
        <f>+dHdcp[[#This Row],[Fecha]]&amp;":"&amp;dHdcp[[#This Row],[Nombre]]</f>
        <v>45431:Ruslan Kochman</v>
      </c>
      <c r="N2112">
        <f>+COUNTIF(dHdcp[Columna1],dHdcp[[#This Row],[Columna1]])</f>
        <v>1</v>
      </c>
    </row>
    <row r="2113" spans="1:14">
      <c r="A2113" s="98">
        <v>45431</v>
      </c>
      <c r="B2113" s="46" t="s">
        <v>271</v>
      </c>
      <c r="C2113" s="104">
        <v>16.399999999999999</v>
      </c>
      <c r="D2113" s="46">
        <f>+VLOOKUP(dHdcp[[#This Row],[Handicap]],'Categoría Hdcap'!$B$2:$E$7,4)</f>
        <v>3</v>
      </c>
      <c r="E2113" s="46" t="s">
        <v>74</v>
      </c>
      <c r="F2113" s="92"/>
      <c r="G2113">
        <f>+IF(dHdcp[[#This Row],[Fecha]]=MAX(dHdcp[Fecha]),1,0)</f>
        <v>0</v>
      </c>
      <c r="H2113" t="str">
        <f>+dHdcp[[#This Row],[Maximo]]&amp;":"&amp;dHdcp[[#This Row],[Nombre]]</f>
        <v>0:Santi Diaz</v>
      </c>
      <c r="I2113" t="str">
        <f>+dHdcp[[#This Row],[Maximo]]&amp;":"&amp;_xlfn.XLOOKUP(dHdcp[[#This Row],[Nombre]],dJugador[Nombre],dJugador[Mote],"",0)</f>
        <v>0:Santi</v>
      </c>
      <c r="J2113" t="str">
        <f>+IF(dHdcp[[#This Row],[Maximo]]=0,"",_xlfn.RANK.EQ(dHdcp[[#This Row],[Handicap]],dHdcp[Handicap],1))</f>
        <v/>
      </c>
      <c r="K2113" t="str">
        <f>IFERROR(+_xlfn.RANK.EQ(dHdcp[[#This Row],[Ranking]],dHdcp[Ranking],1),"")</f>
        <v/>
      </c>
      <c r="M2113" t="str">
        <f>+dHdcp[[#This Row],[Fecha]]&amp;":"&amp;dHdcp[[#This Row],[Nombre]]</f>
        <v>45431:Santi Diaz</v>
      </c>
      <c r="N2113">
        <f>+COUNTIF(dHdcp[Columna1],dHdcp[[#This Row],[Columna1]])</f>
        <v>1</v>
      </c>
    </row>
    <row r="2114" spans="1:14">
      <c r="A2114" s="98">
        <v>45431</v>
      </c>
      <c r="B2114" s="46" t="s">
        <v>2473</v>
      </c>
      <c r="C2114" s="100">
        <v>13.6</v>
      </c>
      <c r="D2114" s="46">
        <f>+VLOOKUP(dHdcp[[#This Row],[Handicap]],'Categoría Hdcap'!$B$2:$E$7,4)</f>
        <v>3</v>
      </c>
      <c r="E2114" s="46" t="s">
        <v>74</v>
      </c>
      <c r="F2114" s="92"/>
      <c r="G2114">
        <f>+IF(dHdcp[[#This Row],[Fecha]]=MAX(dHdcp[Fecha]),1,0)</f>
        <v>0</v>
      </c>
      <c r="H2114" t="str">
        <f>+dHdcp[[#This Row],[Maximo]]&amp;":"&amp;dHdcp[[#This Row],[Nombre]]</f>
        <v>0:Thomas Dauterman</v>
      </c>
      <c r="I2114" t="str">
        <f>+dHdcp[[#This Row],[Maximo]]&amp;":"&amp;_xlfn.XLOOKUP(dHdcp[[#This Row],[Nombre]],dJugador[Nombre],dJugador[Mote],"",0)</f>
        <v>0:Tom</v>
      </c>
      <c r="J2114" t="str">
        <f>+IF(dHdcp[[#This Row],[Maximo]]=0,"",_xlfn.RANK.EQ(dHdcp[[#This Row],[Handicap]],dHdcp[Handicap],1))</f>
        <v/>
      </c>
      <c r="K2114" t="str">
        <f>IFERROR(+_xlfn.RANK.EQ(dHdcp[[#This Row],[Ranking]],dHdcp[Ranking],1),"")</f>
        <v/>
      </c>
      <c r="M2114" t="str">
        <f>+dHdcp[[#This Row],[Fecha]]&amp;":"&amp;dHdcp[[#This Row],[Nombre]]</f>
        <v>45431:Thomas Dauterman</v>
      </c>
      <c r="N2114">
        <f>+COUNTIF(dHdcp[Columna1],dHdcp[[#This Row],[Columna1]])</f>
        <v>1</v>
      </c>
    </row>
    <row r="2115" spans="1:14">
      <c r="A2115" s="98">
        <v>45444</v>
      </c>
      <c r="B2115" s="46" t="s">
        <v>259</v>
      </c>
      <c r="C2115" s="104">
        <v>1.7</v>
      </c>
      <c r="D2115" s="46">
        <f>+VLOOKUP(dHdcp[[#This Row],[Handicap]],'Categoría Hdcap'!$B$2:$E$7,4)</f>
        <v>1</v>
      </c>
      <c r="E2115" s="46" t="s">
        <v>74</v>
      </c>
      <c r="F2115" s="92"/>
      <c r="G2115">
        <f>+IF(dHdcp[[#This Row],[Fecha]]=MAX(dHdcp[Fecha]),1,0)</f>
        <v>0</v>
      </c>
      <c r="H2115" t="str">
        <f>+dHdcp[[#This Row],[Maximo]]&amp;":"&amp;dHdcp[[#This Row],[Nombre]]</f>
        <v>0:Alejandro Arcos</v>
      </c>
      <c r="I2115" t="str">
        <f>+dHdcp[[#This Row],[Maximo]]&amp;":"&amp;_xlfn.XLOOKUP(dHdcp[[#This Row],[Nombre]],dJugador[Nombre],dJugador[Mote],"",0)</f>
        <v>0:Alex</v>
      </c>
      <c r="J2115" t="str">
        <f>+IF(dHdcp[[#This Row],[Maximo]]=0,"",_xlfn.RANK.EQ(dHdcp[[#This Row],[Handicap]],dHdcp[Handicap],1))</f>
        <v/>
      </c>
      <c r="K2115" t="str">
        <f>IFERROR(+_xlfn.RANK.EQ(dHdcp[[#This Row],[Ranking]],dHdcp[Ranking],1),"")</f>
        <v/>
      </c>
      <c r="M2115" t="str">
        <f>+dHdcp[[#This Row],[Fecha]]&amp;":"&amp;dHdcp[[#This Row],[Nombre]]</f>
        <v>45444:Alejandro Arcos</v>
      </c>
      <c r="N2115">
        <f>+COUNTIF(dHdcp[Columna1],dHdcp[[#This Row],[Columna1]])</f>
        <v>1</v>
      </c>
    </row>
    <row r="2116" spans="1:14">
      <c r="A2116" s="98">
        <v>45444</v>
      </c>
      <c r="B2116" s="46" t="s">
        <v>9</v>
      </c>
      <c r="C2116" s="104">
        <v>12.5</v>
      </c>
      <c r="D2116" s="46">
        <f>+VLOOKUP(dHdcp[[#This Row],[Handicap]],'Categoría Hdcap'!$B$2:$E$7,4)</f>
        <v>3</v>
      </c>
      <c r="E2116" s="46" t="s">
        <v>74</v>
      </c>
      <c r="F2116" s="92"/>
      <c r="G2116">
        <f>+IF(dHdcp[[#This Row],[Fecha]]=MAX(dHdcp[Fecha]),1,0)</f>
        <v>0</v>
      </c>
      <c r="H2116" t="str">
        <f>+dHdcp[[#This Row],[Maximo]]&amp;":"&amp;dHdcp[[#This Row],[Nombre]]</f>
        <v>0:Alfonso Hidalgo</v>
      </c>
      <c r="I2116" t="str">
        <f>+dHdcp[[#This Row],[Maximo]]&amp;":"&amp;_xlfn.XLOOKUP(dHdcp[[#This Row],[Nombre]],dJugador[Nombre],dJugador[Mote],"",0)</f>
        <v>0:Alfonso</v>
      </c>
      <c r="J2116" t="str">
        <f>+IF(dHdcp[[#This Row],[Maximo]]=0,"",_xlfn.RANK.EQ(dHdcp[[#This Row],[Handicap]],dHdcp[Handicap],1))</f>
        <v/>
      </c>
      <c r="K2116" t="str">
        <f>IFERROR(+_xlfn.RANK.EQ(dHdcp[[#This Row],[Ranking]],dHdcp[Ranking],1),"")</f>
        <v/>
      </c>
      <c r="M2116" t="str">
        <f>+dHdcp[[#This Row],[Fecha]]&amp;":"&amp;dHdcp[[#This Row],[Nombre]]</f>
        <v>45444:Alfonso Hidalgo</v>
      </c>
      <c r="N2116">
        <f>+COUNTIF(dHdcp[Columna1],dHdcp[[#This Row],[Columna1]])</f>
        <v>1</v>
      </c>
    </row>
    <row r="2117" spans="1:14">
      <c r="A2117" s="98">
        <v>45444</v>
      </c>
      <c r="B2117" s="46" t="s">
        <v>229</v>
      </c>
      <c r="C2117" s="104">
        <v>14.1</v>
      </c>
      <c r="D2117" s="46">
        <f>+VLOOKUP(dHdcp[[#This Row],[Handicap]],'Categoría Hdcap'!$B$2:$E$7,4)</f>
        <v>3</v>
      </c>
      <c r="E2117" s="46" t="s">
        <v>74</v>
      </c>
      <c r="F2117" s="92"/>
      <c r="G2117">
        <f>+IF(dHdcp[[#This Row],[Fecha]]=MAX(dHdcp[Fecha]),1,0)</f>
        <v>0</v>
      </c>
      <c r="H2117" t="str">
        <f>+dHdcp[[#This Row],[Maximo]]&amp;":"&amp;dHdcp[[#This Row],[Nombre]]</f>
        <v>0:Alfonso Zorrilla</v>
      </c>
      <c r="I2117" t="str">
        <f>+dHdcp[[#This Row],[Maximo]]&amp;":"&amp;_xlfn.XLOOKUP(dHdcp[[#This Row],[Nombre]],dJugador[Nombre],dJugador[Mote],"",0)</f>
        <v>0:A Zorrilla</v>
      </c>
      <c r="J2117" t="str">
        <f>+IF(dHdcp[[#This Row],[Maximo]]=0,"",_xlfn.RANK.EQ(dHdcp[[#This Row],[Handicap]],dHdcp[Handicap],1))</f>
        <v/>
      </c>
      <c r="K2117" t="str">
        <f>IFERROR(+_xlfn.RANK.EQ(dHdcp[[#This Row],[Ranking]],dHdcp[Ranking],1),"")</f>
        <v/>
      </c>
      <c r="M2117" t="str">
        <f>+dHdcp[[#This Row],[Fecha]]&amp;":"&amp;dHdcp[[#This Row],[Nombre]]</f>
        <v>45444:Alfonso Zorrilla</v>
      </c>
      <c r="N2117">
        <f>+COUNTIF(dHdcp[Columna1],dHdcp[[#This Row],[Columna1]])</f>
        <v>1</v>
      </c>
    </row>
    <row r="2118" spans="1:14">
      <c r="A2118" s="98">
        <v>45444</v>
      </c>
      <c r="B2118" s="46" t="s">
        <v>15</v>
      </c>
      <c r="C2118" s="104">
        <v>5.5</v>
      </c>
      <c r="D2118" s="46">
        <f>+VLOOKUP(dHdcp[[#This Row],[Handicap]],'Categoría Hdcap'!$B$2:$E$7,4)</f>
        <v>2</v>
      </c>
      <c r="E2118" s="46" t="s">
        <v>74</v>
      </c>
      <c r="F2118" s="92"/>
      <c r="G2118">
        <f>+IF(dHdcp[[#This Row],[Fecha]]=MAX(dHdcp[Fecha]),1,0)</f>
        <v>0</v>
      </c>
      <c r="H2118" t="str">
        <f>+dHdcp[[#This Row],[Maximo]]&amp;":"&amp;dHdcp[[#This Row],[Nombre]]</f>
        <v>0:Alvaro Aguirre</v>
      </c>
      <c r="I2118" t="str">
        <f>+dHdcp[[#This Row],[Maximo]]&amp;":"&amp;_xlfn.XLOOKUP(dHdcp[[#This Row],[Nombre]],dJugador[Nombre],dJugador[Mote],"",0)</f>
        <v>0:Gifu</v>
      </c>
      <c r="J2118" t="str">
        <f>+IF(dHdcp[[#This Row],[Maximo]]=0,"",_xlfn.RANK.EQ(dHdcp[[#This Row],[Handicap]],dHdcp[Handicap],1))</f>
        <v/>
      </c>
      <c r="K2118" t="str">
        <f>IFERROR(+_xlfn.RANK.EQ(dHdcp[[#This Row],[Ranking]],dHdcp[Ranking],1),"")</f>
        <v/>
      </c>
      <c r="M2118" t="str">
        <f>+dHdcp[[#This Row],[Fecha]]&amp;":"&amp;dHdcp[[#This Row],[Nombre]]</f>
        <v>45444:Alvaro Aguirre</v>
      </c>
      <c r="N2118">
        <f>+COUNTIF(dHdcp[Columna1],dHdcp[[#This Row],[Columna1]])</f>
        <v>1</v>
      </c>
    </row>
    <row r="2119" spans="1:14">
      <c r="A2119" s="98">
        <v>45444</v>
      </c>
      <c r="B2119" s="46" t="s">
        <v>201</v>
      </c>
      <c r="C2119" s="104">
        <v>9.1</v>
      </c>
      <c r="D2119" s="46">
        <f>+VLOOKUP(dHdcp[[#This Row],[Handicap]],'Categoría Hdcap'!$B$2:$E$7,4)</f>
        <v>2</v>
      </c>
      <c r="E2119" s="46" t="s">
        <v>74</v>
      </c>
      <c r="F2119" s="92"/>
      <c r="G2119">
        <f>+IF(dHdcp[[#This Row],[Fecha]]=MAX(dHdcp[Fecha]),1,0)</f>
        <v>0</v>
      </c>
      <c r="H2119" t="str">
        <f>+dHdcp[[#This Row],[Maximo]]&amp;":"&amp;dHdcp[[#This Row],[Nombre]]</f>
        <v>0:Alvaro Montoya</v>
      </c>
      <c r="I2119" t="str">
        <f>+dHdcp[[#This Row],[Maximo]]&amp;":"&amp;_xlfn.XLOOKUP(dHdcp[[#This Row],[Nombre]],dJugador[Nombre],dJugador[Mote],"",0)</f>
        <v>0:Monti</v>
      </c>
      <c r="J2119" t="str">
        <f>+IF(dHdcp[[#This Row],[Maximo]]=0,"",_xlfn.RANK.EQ(dHdcp[[#This Row],[Handicap]],dHdcp[Handicap],1))</f>
        <v/>
      </c>
      <c r="K2119" t="str">
        <f>IFERROR(+_xlfn.RANK.EQ(dHdcp[[#This Row],[Ranking]],dHdcp[Ranking],1),"")</f>
        <v/>
      </c>
      <c r="M2119" t="str">
        <f>+dHdcp[[#This Row],[Fecha]]&amp;":"&amp;dHdcp[[#This Row],[Nombre]]</f>
        <v>45444:Alvaro Montoya</v>
      </c>
      <c r="N2119">
        <f>+COUNTIF(dHdcp[Columna1],dHdcp[[#This Row],[Columna1]])</f>
        <v>1</v>
      </c>
    </row>
    <row r="2120" spans="1:14">
      <c r="A2120" s="98">
        <v>45444</v>
      </c>
      <c r="B2120" s="46" t="s">
        <v>25</v>
      </c>
      <c r="C2120" s="104">
        <v>13.9</v>
      </c>
      <c r="D2120" s="46">
        <f>+VLOOKUP(dHdcp[[#This Row],[Handicap]],'Categoría Hdcap'!$B$2:$E$7,4)</f>
        <v>3</v>
      </c>
      <c r="E2120" s="46" t="s">
        <v>74</v>
      </c>
      <c r="F2120" s="92"/>
      <c r="G2120">
        <f>+IF(dHdcp[[#This Row],[Fecha]]=MAX(dHdcp[Fecha]),1,0)</f>
        <v>0</v>
      </c>
      <c r="H2120" t="str">
        <f>+dHdcp[[#This Row],[Maximo]]&amp;":"&amp;dHdcp[[#This Row],[Nombre]]</f>
        <v>0:Alvaro Nieto</v>
      </c>
      <c r="I2120" t="str">
        <f>+dHdcp[[#This Row],[Maximo]]&amp;":"&amp;_xlfn.XLOOKUP(dHdcp[[#This Row],[Nombre]],dJugador[Nombre],dJugador[Mote],"",0)</f>
        <v>0:Alvaro</v>
      </c>
      <c r="J2120" t="str">
        <f>+IF(dHdcp[[#This Row],[Maximo]]=0,"",_xlfn.RANK.EQ(dHdcp[[#This Row],[Handicap]],dHdcp[Handicap],1))</f>
        <v/>
      </c>
      <c r="K2120" t="str">
        <f>IFERROR(+_xlfn.RANK.EQ(dHdcp[[#This Row],[Ranking]],dHdcp[Ranking],1),"")</f>
        <v/>
      </c>
      <c r="M2120" t="str">
        <f>+dHdcp[[#This Row],[Fecha]]&amp;":"&amp;dHdcp[[#This Row],[Nombre]]</f>
        <v>45444:Alvaro Nieto</v>
      </c>
      <c r="N2120">
        <f>+COUNTIF(dHdcp[Columna1],dHdcp[[#This Row],[Columna1]])</f>
        <v>1</v>
      </c>
    </row>
    <row r="2121" spans="1:14">
      <c r="A2121" s="98">
        <v>45444</v>
      </c>
      <c r="B2121" s="46" t="s">
        <v>33</v>
      </c>
      <c r="C2121" s="104">
        <v>8.8000000000000007</v>
      </c>
      <c r="D2121" s="46">
        <f>+VLOOKUP(dHdcp[[#This Row],[Handicap]],'Categoría Hdcap'!$B$2:$E$7,4)</f>
        <v>2</v>
      </c>
      <c r="E2121" s="46" t="s">
        <v>74</v>
      </c>
      <c r="F2121" s="92"/>
      <c r="G2121">
        <f>+IF(dHdcp[[#This Row],[Fecha]]=MAX(dHdcp[Fecha]),1,0)</f>
        <v>0</v>
      </c>
      <c r="H2121" t="str">
        <f>+dHdcp[[#This Row],[Maximo]]&amp;":"&amp;dHdcp[[#This Row],[Nombre]]</f>
        <v>0:Angel Hernandez</v>
      </c>
      <c r="I2121" t="str">
        <f>+dHdcp[[#This Row],[Maximo]]&amp;":"&amp;_xlfn.XLOOKUP(dHdcp[[#This Row],[Nombre]],dJugador[Nombre],dJugador[Mote],"",0)</f>
        <v>0:Angel</v>
      </c>
      <c r="J2121" t="str">
        <f>+IF(dHdcp[[#This Row],[Maximo]]=0,"",_xlfn.RANK.EQ(dHdcp[[#This Row],[Handicap]],dHdcp[Handicap],1))</f>
        <v/>
      </c>
      <c r="K2121" t="str">
        <f>IFERROR(+_xlfn.RANK.EQ(dHdcp[[#This Row],[Ranking]],dHdcp[Ranking],1),"")</f>
        <v/>
      </c>
      <c r="M2121" t="str">
        <f>+dHdcp[[#This Row],[Fecha]]&amp;":"&amp;dHdcp[[#This Row],[Nombre]]</f>
        <v>45444:Angel Hernandez</v>
      </c>
      <c r="N2121">
        <f>+COUNTIF(dHdcp[Columna1],dHdcp[[#This Row],[Columna1]])</f>
        <v>1</v>
      </c>
    </row>
    <row r="2122" spans="1:14">
      <c r="A2122" s="98">
        <v>45444</v>
      </c>
      <c r="B2122" s="46" t="s">
        <v>2469</v>
      </c>
      <c r="C2122" s="104">
        <v>14.8</v>
      </c>
      <c r="D2122" s="46">
        <f>+VLOOKUP(dHdcp[[#This Row],[Handicap]],'Categoría Hdcap'!$B$2:$E$7,4)</f>
        <v>3</v>
      </c>
      <c r="E2122" s="46" t="s">
        <v>74</v>
      </c>
      <c r="F2122" s="92"/>
      <c r="G2122">
        <f>+IF(dHdcp[[#This Row],[Fecha]]=MAX(dHdcp[Fecha]),1,0)</f>
        <v>0</v>
      </c>
      <c r="H2122" t="str">
        <f>+dHdcp[[#This Row],[Maximo]]&amp;":"&amp;dHdcp[[#This Row],[Nombre]]</f>
        <v>0:Angel Santana</v>
      </c>
      <c r="I2122" t="str">
        <f>+dHdcp[[#This Row],[Maximo]]&amp;":"&amp;_xlfn.XLOOKUP(dHdcp[[#This Row],[Nombre]],dJugador[Nombre],dJugador[Mote],"",0)</f>
        <v>0:A.Santana</v>
      </c>
      <c r="J2122" t="str">
        <f>+IF(dHdcp[[#This Row],[Maximo]]=0,"",_xlfn.RANK.EQ(dHdcp[[#This Row],[Handicap]],dHdcp[Handicap],1))</f>
        <v/>
      </c>
      <c r="K2122" t="str">
        <f>IFERROR(+_xlfn.RANK.EQ(dHdcp[[#This Row],[Ranking]],dHdcp[Ranking],1),"")</f>
        <v/>
      </c>
      <c r="M2122" t="str">
        <f>+dHdcp[[#This Row],[Fecha]]&amp;":"&amp;dHdcp[[#This Row],[Nombre]]</f>
        <v>45444:Angel Santana</v>
      </c>
      <c r="N2122">
        <f>+COUNTIF(dHdcp[Columna1],dHdcp[[#This Row],[Columna1]])</f>
        <v>1</v>
      </c>
    </row>
    <row r="2123" spans="1:14">
      <c r="A2123" s="98">
        <v>45444</v>
      </c>
      <c r="B2123" s="46" t="s">
        <v>264</v>
      </c>
      <c r="C2123" s="104">
        <v>20.2</v>
      </c>
      <c r="D2123" s="46">
        <f>+VLOOKUP(dHdcp[[#This Row],[Handicap]],'Categoría Hdcap'!$B$2:$E$7,4)</f>
        <v>4</v>
      </c>
      <c r="E2123" s="46" t="s">
        <v>74</v>
      </c>
      <c r="F2123" s="92"/>
      <c r="G2123">
        <f>+IF(dHdcp[[#This Row],[Fecha]]=MAX(dHdcp[Fecha]),1,0)</f>
        <v>0</v>
      </c>
      <c r="H2123" t="str">
        <f>+dHdcp[[#This Row],[Maximo]]&amp;":"&amp;dHdcp[[#This Row],[Nombre]]</f>
        <v>0:Antonio Carmona</v>
      </c>
      <c r="I2123" t="str">
        <f>+dHdcp[[#This Row],[Maximo]]&amp;":"&amp;_xlfn.XLOOKUP(dHdcp[[#This Row],[Nombre]],dJugador[Nombre],dJugador[Mote],"",0)</f>
        <v>0:Antonio</v>
      </c>
      <c r="J2123" t="str">
        <f>+IF(dHdcp[[#This Row],[Maximo]]=0,"",_xlfn.RANK.EQ(dHdcp[[#This Row],[Handicap]],dHdcp[Handicap],1))</f>
        <v/>
      </c>
      <c r="K2123" t="str">
        <f>IFERROR(+_xlfn.RANK.EQ(dHdcp[[#This Row],[Ranking]],dHdcp[Ranking],1),"")</f>
        <v/>
      </c>
      <c r="M2123" t="str">
        <f>+dHdcp[[#This Row],[Fecha]]&amp;":"&amp;dHdcp[[#This Row],[Nombre]]</f>
        <v>45444:Antonio Carmona</v>
      </c>
      <c r="N2123">
        <f>+COUNTIF(dHdcp[Columna1],dHdcp[[#This Row],[Columna1]])</f>
        <v>1</v>
      </c>
    </row>
    <row r="2124" spans="1:14">
      <c r="A2124" s="98">
        <v>45444</v>
      </c>
      <c r="B2124" s="46" t="s">
        <v>291</v>
      </c>
      <c r="C2124" s="104">
        <v>1.2</v>
      </c>
      <c r="D2124" s="46">
        <f>+VLOOKUP(dHdcp[[#This Row],[Handicap]],'Categoría Hdcap'!$B$2:$E$7,4)</f>
        <v>1</v>
      </c>
      <c r="E2124" s="46" t="s">
        <v>74</v>
      </c>
      <c r="F2124" s="92"/>
      <c r="G2124">
        <f>+IF(dHdcp[[#This Row],[Fecha]]=MAX(dHdcp[Fecha]),1,0)</f>
        <v>0</v>
      </c>
      <c r="H2124" t="str">
        <f>+dHdcp[[#This Row],[Maximo]]&amp;":"&amp;dHdcp[[#This Row],[Nombre]]</f>
        <v>0:Carlos Maestro</v>
      </c>
      <c r="I2124" t="str">
        <f>+dHdcp[[#This Row],[Maximo]]&amp;":"&amp;_xlfn.XLOOKUP(dHdcp[[#This Row],[Nombre]],dJugador[Nombre],dJugador[Mote],"",0)</f>
        <v>0:Carlitos</v>
      </c>
      <c r="J2124" t="str">
        <f>+IF(dHdcp[[#This Row],[Maximo]]=0,"",_xlfn.RANK.EQ(dHdcp[[#This Row],[Handicap]],dHdcp[Handicap],1))</f>
        <v/>
      </c>
      <c r="K2124" t="str">
        <f>IFERROR(+_xlfn.RANK.EQ(dHdcp[[#This Row],[Ranking]],dHdcp[Ranking],1),"")</f>
        <v/>
      </c>
      <c r="M2124" t="str">
        <f>+dHdcp[[#This Row],[Fecha]]&amp;":"&amp;dHdcp[[#This Row],[Nombre]]</f>
        <v>45444:Carlos Maestro</v>
      </c>
      <c r="N2124">
        <f>+COUNTIF(dHdcp[Columna1],dHdcp[[#This Row],[Columna1]])</f>
        <v>1</v>
      </c>
    </row>
    <row r="2125" spans="1:14">
      <c r="A2125" s="98">
        <v>45444</v>
      </c>
      <c r="B2125" s="46" t="s">
        <v>30</v>
      </c>
      <c r="C2125" s="104">
        <v>14</v>
      </c>
      <c r="D2125" s="46">
        <f>+VLOOKUP(dHdcp[[#This Row],[Handicap]],'Categoría Hdcap'!$B$2:$E$7,4)</f>
        <v>3</v>
      </c>
      <c r="E2125" s="46" t="s">
        <v>74</v>
      </c>
      <c r="F2125" s="92"/>
      <c r="G2125">
        <f>+IF(dHdcp[[#This Row],[Fecha]]=MAX(dHdcp[Fecha]),1,0)</f>
        <v>0</v>
      </c>
      <c r="H2125" t="str">
        <f>+dHdcp[[#This Row],[Maximo]]&amp;":"&amp;dHdcp[[#This Row],[Nombre]]</f>
        <v>0:David Sequera</v>
      </c>
      <c r="I2125" t="str">
        <f>+dHdcp[[#This Row],[Maximo]]&amp;":"&amp;_xlfn.XLOOKUP(dHdcp[[#This Row],[Nombre]],dJugador[Nombre],dJugador[Mote],"",0)</f>
        <v>0:David</v>
      </c>
      <c r="J2125" t="str">
        <f>+IF(dHdcp[[#This Row],[Maximo]]=0,"",_xlfn.RANK.EQ(dHdcp[[#This Row],[Handicap]],dHdcp[Handicap],1))</f>
        <v/>
      </c>
      <c r="K2125" t="str">
        <f>IFERROR(+_xlfn.RANK.EQ(dHdcp[[#This Row],[Ranking]],dHdcp[Ranking],1),"")</f>
        <v/>
      </c>
      <c r="M2125" t="str">
        <f>+dHdcp[[#This Row],[Fecha]]&amp;":"&amp;dHdcp[[#This Row],[Nombre]]</f>
        <v>45444:David Sequera</v>
      </c>
      <c r="N2125">
        <f>+COUNTIF(dHdcp[Columna1],dHdcp[[#This Row],[Columna1]])</f>
        <v>1</v>
      </c>
    </row>
    <row r="2126" spans="1:14">
      <c r="A2126" s="98">
        <v>45444</v>
      </c>
      <c r="B2126" s="46" t="s">
        <v>326</v>
      </c>
      <c r="C2126" s="104">
        <v>11.7</v>
      </c>
      <c r="D2126" s="46">
        <f>+VLOOKUP(dHdcp[[#This Row],[Handicap]],'Categoría Hdcap'!$B$2:$E$7,4)</f>
        <v>3</v>
      </c>
      <c r="E2126" s="46" t="s">
        <v>74</v>
      </c>
      <c r="F2126" s="92"/>
      <c r="G2126">
        <f>+IF(dHdcp[[#This Row],[Fecha]]=MAX(dHdcp[Fecha]),1,0)</f>
        <v>0</v>
      </c>
      <c r="H2126" t="str">
        <f>+dHdcp[[#This Row],[Maximo]]&amp;":"&amp;dHdcp[[#This Row],[Nombre]]</f>
        <v>0:Eduardo Buendía</v>
      </c>
      <c r="I2126" t="str">
        <f>+dHdcp[[#This Row],[Maximo]]&amp;":"&amp;_xlfn.XLOOKUP(dHdcp[[#This Row],[Nombre]],dJugador[Nombre],dJugador[Mote],"",0)</f>
        <v>0:Eduardo</v>
      </c>
      <c r="J2126" t="str">
        <f>+IF(dHdcp[[#This Row],[Maximo]]=0,"",_xlfn.RANK.EQ(dHdcp[[#This Row],[Handicap]],dHdcp[Handicap],1))</f>
        <v/>
      </c>
      <c r="K2126" t="str">
        <f>IFERROR(+_xlfn.RANK.EQ(dHdcp[[#This Row],[Ranking]],dHdcp[Ranking],1),"")</f>
        <v/>
      </c>
      <c r="M2126" t="str">
        <f>+dHdcp[[#This Row],[Fecha]]&amp;":"&amp;dHdcp[[#This Row],[Nombre]]</f>
        <v>45444:Eduardo Buendía</v>
      </c>
      <c r="N2126">
        <f>+COUNTIF(dHdcp[Columna1],dHdcp[[#This Row],[Columna1]])</f>
        <v>1</v>
      </c>
    </row>
    <row r="2127" spans="1:14">
      <c r="A2127" s="98">
        <v>45444</v>
      </c>
      <c r="B2127" s="46" t="s">
        <v>248</v>
      </c>
      <c r="C2127" s="104">
        <v>12.4</v>
      </c>
      <c r="D2127" s="46">
        <f>+VLOOKUP(dHdcp[[#This Row],[Handicap]],'Categoría Hdcap'!$B$2:$E$7,4)</f>
        <v>3</v>
      </c>
      <c r="E2127" s="46" t="s">
        <v>74</v>
      </c>
      <c r="F2127" s="92"/>
      <c r="G2127">
        <f>+IF(dHdcp[[#This Row],[Fecha]]=MAX(dHdcp[Fecha]),1,0)</f>
        <v>0</v>
      </c>
      <c r="H2127" t="str">
        <f>+dHdcp[[#This Row],[Maximo]]&amp;":"&amp;dHdcp[[#This Row],[Nombre]]</f>
        <v>0:Enrique Gonzalez R</v>
      </c>
      <c r="I2127" t="str">
        <f>+dHdcp[[#This Row],[Maximo]]&amp;":"&amp;_xlfn.XLOOKUP(dHdcp[[#This Row],[Nombre]],dJugador[Nombre],dJugador[Mote],"",0)</f>
        <v>0:Enrique</v>
      </c>
      <c r="J2127" t="str">
        <f>+IF(dHdcp[[#This Row],[Maximo]]=0,"",_xlfn.RANK.EQ(dHdcp[[#This Row],[Handicap]],dHdcp[Handicap],1))</f>
        <v/>
      </c>
      <c r="K2127" t="str">
        <f>IFERROR(+_xlfn.RANK.EQ(dHdcp[[#This Row],[Ranking]],dHdcp[Ranking],1),"")</f>
        <v/>
      </c>
      <c r="M2127" t="str">
        <f>+dHdcp[[#This Row],[Fecha]]&amp;":"&amp;dHdcp[[#This Row],[Nombre]]</f>
        <v>45444:Enrique Gonzalez R</v>
      </c>
      <c r="N2127">
        <f>+COUNTIF(dHdcp[Columna1],dHdcp[[#This Row],[Columna1]])</f>
        <v>1</v>
      </c>
    </row>
    <row r="2128" spans="1:14">
      <c r="A2128" s="98">
        <v>45444</v>
      </c>
      <c r="B2128" s="46" t="s">
        <v>12</v>
      </c>
      <c r="C2128" s="104">
        <v>15.7</v>
      </c>
      <c r="D2128" s="46">
        <f>+VLOOKUP(dHdcp[[#This Row],[Handicap]],'Categoría Hdcap'!$B$2:$E$7,4)</f>
        <v>3</v>
      </c>
      <c r="E2128" s="46" t="s">
        <v>74</v>
      </c>
      <c r="F2128" s="92"/>
      <c r="G2128">
        <f>+IF(dHdcp[[#This Row],[Fecha]]=MAX(dHdcp[Fecha]),1,0)</f>
        <v>0</v>
      </c>
      <c r="H2128" t="str">
        <f>+dHdcp[[#This Row],[Maximo]]&amp;":"&amp;dHdcp[[#This Row],[Nombre]]</f>
        <v>0:Francisco Alvarez</v>
      </c>
      <c r="I2128" t="str">
        <f>+dHdcp[[#This Row],[Maximo]]&amp;":"&amp;_xlfn.XLOOKUP(dHdcp[[#This Row],[Nombre]],dJugador[Nombre],dJugador[Mote],"",0)</f>
        <v>0:Paco</v>
      </c>
      <c r="J2128" t="str">
        <f>+IF(dHdcp[[#This Row],[Maximo]]=0,"",_xlfn.RANK.EQ(dHdcp[[#This Row],[Handicap]],dHdcp[Handicap],1))</f>
        <v/>
      </c>
      <c r="K2128" t="str">
        <f>IFERROR(+_xlfn.RANK.EQ(dHdcp[[#This Row],[Ranking]],dHdcp[Ranking],1),"")</f>
        <v/>
      </c>
      <c r="M2128" t="str">
        <f>+dHdcp[[#This Row],[Fecha]]&amp;":"&amp;dHdcp[[#This Row],[Nombre]]</f>
        <v>45444:Francisco Alvarez</v>
      </c>
      <c r="N2128">
        <f>+COUNTIF(dHdcp[Columna1],dHdcp[[#This Row],[Columna1]])</f>
        <v>1</v>
      </c>
    </row>
    <row r="2129" spans="1:14">
      <c r="A2129" s="98">
        <v>45444</v>
      </c>
      <c r="B2129" s="46" t="s">
        <v>49</v>
      </c>
      <c r="C2129" s="104">
        <v>13.1</v>
      </c>
      <c r="D2129" s="46">
        <f>+VLOOKUP(dHdcp[[#This Row],[Handicap]],'Categoría Hdcap'!$B$2:$E$7,4)</f>
        <v>3</v>
      </c>
      <c r="E2129" s="46" t="s">
        <v>74</v>
      </c>
      <c r="F2129" s="92"/>
      <c r="G2129">
        <f>+IF(dHdcp[[#This Row],[Fecha]]=MAX(dHdcp[Fecha]),1,0)</f>
        <v>0</v>
      </c>
      <c r="H2129" t="str">
        <f>+dHdcp[[#This Row],[Maximo]]&amp;":"&amp;dHdcp[[#This Row],[Nombre]]</f>
        <v>0:Francisco Hidalgo</v>
      </c>
      <c r="I2129" t="str">
        <f>+dHdcp[[#This Row],[Maximo]]&amp;":"&amp;_xlfn.XLOOKUP(dHdcp[[#This Row],[Nombre]],dJugador[Nombre],dJugador[Mote],"",0)</f>
        <v>0:Fran</v>
      </c>
      <c r="J2129" t="str">
        <f>+IF(dHdcp[[#This Row],[Maximo]]=0,"",_xlfn.RANK.EQ(dHdcp[[#This Row],[Handicap]],dHdcp[Handicap],1))</f>
        <v/>
      </c>
      <c r="K2129" t="str">
        <f>IFERROR(+_xlfn.RANK.EQ(dHdcp[[#This Row],[Ranking]],dHdcp[Ranking],1),"")</f>
        <v/>
      </c>
      <c r="M2129" t="str">
        <f>+dHdcp[[#This Row],[Fecha]]&amp;":"&amp;dHdcp[[#This Row],[Nombre]]</f>
        <v>45444:Francisco Hidalgo</v>
      </c>
      <c r="N2129">
        <f>+COUNTIF(dHdcp[Columna1],dHdcp[[#This Row],[Columna1]])</f>
        <v>1</v>
      </c>
    </row>
    <row r="2130" spans="1:14">
      <c r="A2130" s="98">
        <v>45444</v>
      </c>
      <c r="B2130" s="46" t="s">
        <v>207</v>
      </c>
      <c r="C2130" s="104">
        <v>15</v>
      </c>
      <c r="D2130" s="46">
        <f>+VLOOKUP(dHdcp[[#This Row],[Handicap]],'Categoría Hdcap'!$B$2:$E$7,4)</f>
        <v>3</v>
      </c>
      <c r="E2130" s="46" t="s">
        <v>74</v>
      </c>
      <c r="F2130" s="92"/>
      <c r="G2130">
        <f>+IF(dHdcp[[#This Row],[Fecha]]=MAX(dHdcp[Fecha]),1,0)</f>
        <v>0</v>
      </c>
      <c r="H2130" t="str">
        <f>+dHdcp[[#This Row],[Maximo]]&amp;":"&amp;dHdcp[[#This Row],[Nombre]]</f>
        <v>0:Franck Benouniche</v>
      </c>
      <c r="I2130" t="str">
        <f>+dHdcp[[#This Row],[Maximo]]&amp;":"&amp;_xlfn.XLOOKUP(dHdcp[[#This Row],[Nombre]],dJugador[Nombre],dJugador[Mote],"",0)</f>
        <v>0:Franck</v>
      </c>
      <c r="J2130" t="str">
        <f>+IF(dHdcp[[#This Row],[Maximo]]=0,"",_xlfn.RANK.EQ(dHdcp[[#This Row],[Handicap]],dHdcp[Handicap],1))</f>
        <v/>
      </c>
      <c r="K2130" t="str">
        <f>IFERROR(+_xlfn.RANK.EQ(dHdcp[[#This Row],[Ranking]],dHdcp[Ranking],1),"")</f>
        <v/>
      </c>
      <c r="M2130" t="str">
        <f>+dHdcp[[#This Row],[Fecha]]&amp;":"&amp;dHdcp[[#This Row],[Nombre]]</f>
        <v>45444:Franck Benouniche</v>
      </c>
      <c r="N2130">
        <f>+COUNTIF(dHdcp[Columna1],dHdcp[[#This Row],[Columna1]])</f>
        <v>1</v>
      </c>
    </row>
    <row r="2131" spans="1:14">
      <c r="A2131" s="98">
        <v>45444</v>
      </c>
      <c r="B2131" s="46" t="s">
        <v>35</v>
      </c>
      <c r="C2131" s="104">
        <v>20.3</v>
      </c>
      <c r="D2131" s="46">
        <f>+VLOOKUP(dHdcp[[#This Row],[Handicap]],'Categoría Hdcap'!$B$2:$E$7,4)</f>
        <v>4</v>
      </c>
      <c r="E2131" s="46" t="s">
        <v>74</v>
      </c>
      <c r="F2131" s="92"/>
      <c r="G2131">
        <f>+IF(dHdcp[[#This Row],[Fecha]]=MAX(dHdcp[Fecha]),1,0)</f>
        <v>0</v>
      </c>
      <c r="H2131" t="str">
        <f>+dHdcp[[#This Row],[Maximo]]&amp;":"&amp;dHdcp[[#This Row],[Nombre]]</f>
        <v>0:GLEZ JUAN JOSÉ</v>
      </c>
      <c r="I2131" t="str">
        <f>+dHdcp[[#This Row],[Maximo]]&amp;":"&amp;_xlfn.XLOOKUP(dHdcp[[#This Row],[Nombre]],dJugador[Nombre],dJugador[Mote],"",0)</f>
        <v>0:Juanjo</v>
      </c>
      <c r="J2131" t="str">
        <f>+IF(dHdcp[[#This Row],[Maximo]]=0,"",_xlfn.RANK.EQ(dHdcp[[#This Row],[Handicap]],dHdcp[Handicap],1))</f>
        <v/>
      </c>
      <c r="K2131" t="str">
        <f>IFERROR(+_xlfn.RANK.EQ(dHdcp[[#This Row],[Ranking]],dHdcp[Ranking],1),"")</f>
        <v/>
      </c>
      <c r="M2131" t="str">
        <f>+dHdcp[[#This Row],[Fecha]]&amp;":"&amp;dHdcp[[#This Row],[Nombre]]</f>
        <v>45444:GLEZ JUAN JOSÉ</v>
      </c>
      <c r="N2131">
        <f>+COUNTIF(dHdcp[Columna1],dHdcp[[#This Row],[Columna1]])</f>
        <v>1</v>
      </c>
    </row>
    <row r="2132" spans="1:14">
      <c r="A2132" s="98">
        <v>45444</v>
      </c>
      <c r="B2132" s="46" t="s">
        <v>6</v>
      </c>
      <c r="C2132" s="104">
        <v>7.9</v>
      </c>
      <c r="D2132" s="46">
        <f>+VLOOKUP(dHdcp[[#This Row],[Handicap]],'Categoría Hdcap'!$B$2:$E$7,4)</f>
        <v>2</v>
      </c>
      <c r="E2132" s="46" t="s">
        <v>74</v>
      </c>
      <c r="F2132" s="92"/>
      <c r="G2132">
        <f>+IF(dHdcp[[#This Row],[Fecha]]=MAX(dHdcp[Fecha]),1,0)</f>
        <v>0</v>
      </c>
      <c r="H2132" t="str">
        <f>+dHdcp[[#This Row],[Maximo]]&amp;":"&amp;dHdcp[[#This Row],[Nombre]]</f>
        <v>0:Ignacio Cadarso</v>
      </c>
      <c r="I2132" t="str">
        <f>+dHdcp[[#This Row],[Maximo]]&amp;":"&amp;_xlfn.XLOOKUP(dHdcp[[#This Row],[Nombre]],dJugador[Nombre],dJugador[Mote],"",0)</f>
        <v>0:Ignacio</v>
      </c>
      <c r="J2132" t="str">
        <f>+IF(dHdcp[[#This Row],[Maximo]]=0,"",_xlfn.RANK.EQ(dHdcp[[#This Row],[Handicap]],dHdcp[Handicap],1))</f>
        <v/>
      </c>
      <c r="K2132" t="str">
        <f>IFERROR(+_xlfn.RANK.EQ(dHdcp[[#This Row],[Ranking]],dHdcp[Ranking],1),"")</f>
        <v/>
      </c>
      <c r="M2132" t="str">
        <f>+dHdcp[[#This Row],[Fecha]]&amp;":"&amp;dHdcp[[#This Row],[Nombre]]</f>
        <v>45444:Ignacio Cadarso</v>
      </c>
      <c r="N2132">
        <f>+COUNTIF(dHdcp[Columna1],dHdcp[[#This Row],[Columna1]])</f>
        <v>1</v>
      </c>
    </row>
    <row r="2133" spans="1:14">
      <c r="A2133" s="98">
        <v>45444</v>
      </c>
      <c r="B2133" s="46" t="s">
        <v>298</v>
      </c>
      <c r="C2133" s="104">
        <v>23.7</v>
      </c>
      <c r="D2133" s="46">
        <f>+VLOOKUP(dHdcp[[#This Row],[Handicap]],'Categoría Hdcap'!$B$2:$E$7,4)</f>
        <v>4</v>
      </c>
      <c r="E2133" s="46" t="s">
        <v>74</v>
      </c>
      <c r="F2133" s="92"/>
      <c r="G2133">
        <f>+IF(dHdcp[[#This Row],[Fecha]]=MAX(dHdcp[Fecha]),1,0)</f>
        <v>0</v>
      </c>
      <c r="H2133" t="str">
        <f>+dHdcp[[#This Row],[Maximo]]&amp;":"&amp;dHdcp[[#This Row],[Nombre]]</f>
        <v>0:Ignacio Gracia Charlez</v>
      </c>
      <c r="I2133" t="str">
        <f>+dHdcp[[#This Row],[Maximo]]&amp;":"&amp;_xlfn.XLOOKUP(dHdcp[[#This Row],[Nombre]],dJugador[Nombre],dJugador[Mote],"",0)</f>
        <v>0:I Gracia</v>
      </c>
      <c r="J2133" t="str">
        <f>+IF(dHdcp[[#This Row],[Maximo]]=0,"",_xlfn.RANK.EQ(dHdcp[[#This Row],[Handicap]],dHdcp[Handicap],1))</f>
        <v/>
      </c>
      <c r="K2133" t="str">
        <f>IFERROR(+_xlfn.RANK.EQ(dHdcp[[#This Row],[Ranking]],dHdcp[Ranking],1),"")</f>
        <v/>
      </c>
      <c r="M2133" t="str">
        <f>+dHdcp[[#This Row],[Fecha]]&amp;":"&amp;dHdcp[[#This Row],[Nombre]]</f>
        <v>45444:Ignacio Gracia Charlez</v>
      </c>
      <c r="N2133">
        <f>+COUNTIF(dHdcp[Columna1],dHdcp[[#This Row],[Columna1]])</f>
        <v>1</v>
      </c>
    </row>
    <row r="2134" spans="1:14">
      <c r="A2134" s="98">
        <v>45444</v>
      </c>
      <c r="B2134" s="46" t="s">
        <v>23</v>
      </c>
      <c r="C2134" s="104">
        <v>19.399999999999999</v>
      </c>
      <c r="D2134" s="46">
        <f>+VLOOKUP(dHdcp[[#This Row],[Handicap]],'Categoría Hdcap'!$B$2:$E$7,4)</f>
        <v>4</v>
      </c>
      <c r="E2134" s="46" t="s">
        <v>74</v>
      </c>
      <c r="F2134" s="92"/>
      <c r="G2134">
        <f>+IF(dHdcp[[#This Row],[Fecha]]=MAX(dHdcp[Fecha]),1,0)</f>
        <v>0</v>
      </c>
      <c r="H2134" t="str">
        <f>+dHdcp[[#This Row],[Maximo]]&amp;":"&amp;dHdcp[[#This Row],[Nombre]]</f>
        <v>0:J. Enrique Gonzalez</v>
      </c>
      <c r="I2134" t="str">
        <f>+dHdcp[[#This Row],[Maximo]]&amp;":"&amp;_xlfn.XLOOKUP(dHdcp[[#This Row],[Nombre]],dJugador[Nombre],dJugador[Mote],"",0)</f>
        <v>0:Kike</v>
      </c>
      <c r="J2134" t="str">
        <f>+IF(dHdcp[[#This Row],[Maximo]]=0,"",_xlfn.RANK.EQ(dHdcp[[#This Row],[Handicap]],dHdcp[Handicap],1))</f>
        <v/>
      </c>
      <c r="K2134" t="str">
        <f>IFERROR(+_xlfn.RANK.EQ(dHdcp[[#This Row],[Ranking]],dHdcp[Ranking],1),"")</f>
        <v/>
      </c>
      <c r="M2134" t="str">
        <f>+dHdcp[[#This Row],[Fecha]]&amp;":"&amp;dHdcp[[#This Row],[Nombre]]</f>
        <v>45444:J. Enrique Gonzalez</v>
      </c>
      <c r="N2134">
        <f>+COUNTIF(dHdcp[Columna1],dHdcp[[#This Row],[Columna1]])</f>
        <v>1</v>
      </c>
    </row>
    <row r="2135" spans="1:14">
      <c r="A2135" s="98">
        <v>45444</v>
      </c>
      <c r="B2135" s="46" t="s">
        <v>289</v>
      </c>
      <c r="C2135" s="104">
        <v>9.5</v>
      </c>
      <c r="D2135" s="46">
        <f>+VLOOKUP(dHdcp[[#This Row],[Handicap]],'Categoría Hdcap'!$B$2:$E$7,4)</f>
        <v>2</v>
      </c>
      <c r="E2135" s="46" t="s">
        <v>74</v>
      </c>
      <c r="F2135" s="92"/>
      <c r="G2135">
        <f>+IF(dHdcp[[#This Row],[Fecha]]=MAX(dHdcp[Fecha]),1,0)</f>
        <v>0</v>
      </c>
      <c r="H2135" t="str">
        <f>+dHdcp[[#This Row],[Maximo]]&amp;":"&amp;dHdcp[[#This Row],[Nombre]]</f>
        <v>0:Jaime Villanueva</v>
      </c>
      <c r="I2135" t="str">
        <f>+dHdcp[[#This Row],[Maximo]]&amp;":"&amp;_xlfn.XLOOKUP(dHdcp[[#This Row],[Nombre]],dJugador[Nombre],dJugador[Mote],"",0)</f>
        <v>0:Villanueva</v>
      </c>
      <c r="J2135" t="str">
        <f>+IF(dHdcp[[#This Row],[Maximo]]=0,"",_xlfn.RANK.EQ(dHdcp[[#This Row],[Handicap]],dHdcp[Handicap],1))</f>
        <v/>
      </c>
      <c r="K2135" t="str">
        <f>IFERROR(+_xlfn.RANK.EQ(dHdcp[[#This Row],[Ranking]],dHdcp[Ranking],1),"")</f>
        <v/>
      </c>
      <c r="M2135" t="str">
        <f>+dHdcp[[#This Row],[Fecha]]&amp;":"&amp;dHdcp[[#This Row],[Nombre]]</f>
        <v>45444:Jaime Villanueva</v>
      </c>
      <c r="N2135">
        <f>+COUNTIF(dHdcp[Columna1],dHdcp[[#This Row],[Columna1]])</f>
        <v>1</v>
      </c>
    </row>
    <row r="2136" spans="1:14">
      <c r="A2136" s="98">
        <v>45444</v>
      </c>
      <c r="B2136" s="46" t="s">
        <v>328</v>
      </c>
      <c r="C2136" s="104">
        <v>11.3</v>
      </c>
      <c r="D2136" s="46">
        <f>+VLOOKUP(dHdcp[[#This Row],[Handicap]],'Categoría Hdcap'!$B$2:$E$7,4)</f>
        <v>2</v>
      </c>
      <c r="E2136" s="46" t="s">
        <v>74</v>
      </c>
      <c r="F2136" s="92"/>
      <c r="G2136">
        <f>+IF(dHdcp[[#This Row],[Fecha]]=MAX(dHdcp[Fecha]),1,0)</f>
        <v>0</v>
      </c>
      <c r="H2136" t="str">
        <f>+dHdcp[[#This Row],[Maximo]]&amp;":"&amp;dHdcp[[#This Row],[Nombre]]</f>
        <v>0:Javier Arcos</v>
      </c>
      <c r="I2136" t="str">
        <f>+dHdcp[[#This Row],[Maximo]]&amp;":"&amp;_xlfn.XLOOKUP(dHdcp[[#This Row],[Nombre]],dJugador[Nombre],dJugador[Mote],"",0)</f>
        <v>0:J.Arcos</v>
      </c>
      <c r="J2136" t="str">
        <f>+IF(dHdcp[[#This Row],[Maximo]]=0,"",_xlfn.RANK.EQ(dHdcp[[#This Row],[Handicap]],dHdcp[Handicap],1))</f>
        <v/>
      </c>
      <c r="K2136" t="str">
        <f>IFERROR(+_xlfn.RANK.EQ(dHdcp[[#This Row],[Ranking]],dHdcp[Ranking],1),"")</f>
        <v/>
      </c>
      <c r="M2136" t="str">
        <f>+dHdcp[[#This Row],[Fecha]]&amp;":"&amp;dHdcp[[#This Row],[Nombre]]</f>
        <v>45444:Javier Arcos</v>
      </c>
      <c r="N2136">
        <f>+COUNTIF(dHdcp[Columna1],dHdcp[[#This Row],[Columna1]])</f>
        <v>1</v>
      </c>
    </row>
    <row r="2137" spans="1:14">
      <c r="A2137" s="98">
        <v>45444</v>
      </c>
      <c r="B2137" s="46" t="s">
        <v>378</v>
      </c>
      <c r="C2137" s="104">
        <v>11.199999999999992</v>
      </c>
      <c r="D2137" s="46">
        <f>+VLOOKUP(dHdcp[[#This Row],[Handicap]],'Categoría Hdcap'!$B$2:$E$7,4)</f>
        <v>2</v>
      </c>
      <c r="E2137" s="46" t="s">
        <v>74</v>
      </c>
      <c r="F2137" s="92"/>
      <c r="G2137">
        <f>+IF(dHdcp[[#This Row],[Fecha]]=MAX(dHdcp[Fecha]),1,0)</f>
        <v>0</v>
      </c>
      <c r="H2137" t="str">
        <f>+dHdcp[[#This Row],[Maximo]]&amp;":"&amp;dHdcp[[#This Row],[Nombre]]</f>
        <v>0:Javier Campo</v>
      </c>
      <c r="I2137" t="str">
        <f>+dHdcp[[#This Row],[Maximo]]&amp;":"&amp;_xlfn.XLOOKUP(dHdcp[[#This Row],[Nombre]],dJugador[Nombre],dJugador[Mote],"",0)</f>
        <v>0:Campo</v>
      </c>
      <c r="J2137" t="str">
        <f>+IF(dHdcp[[#This Row],[Maximo]]=0,"",_xlfn.RANK.EQ(dHdcp[[#This Row],[Handicap]],dHdcp[Handicap],1))</f>
        <v/>
      </c>
      <c r="K2137" t="str">
        <f>IFERROR(+_xlfn.RANK.EQ(dHdcp[[#This Row],[Ranking]],dHdcp[Ranking],1),"")</f>
        <v/>
      </c>
      <c r="M2137" t="str">
        <f>+dHdcp[[#This Row],[Fecha]]&amp;":"&amp;dHdcp[[#This Row],[Nombre]]</f>
        <v>45444:Javier Campo</v>
      </c>
      <c r="N2137">
        <f>+COUNTIF(dHdcp[Columna1],dHdcp[[#This Row],[Columna1]])</f>
        <v>1</v>
      </c>
    </row>
    <row r="2138" spans="1:14">
      <c r="A2138" s="98">
        <v>45444</v>
      </c>
      <c r="B2138" s="46" t="s">
        <v>46</v>
      </c>
      <c r="C2138" s="104">
        <v>18.5</v>
      </c>
      <c r="D2138" s="46">
        <f>+VLOOKUP(dHdcp[[#This Row],[Handicap]],'Categoría Hdcap'!$B$2:$E$7,4)</f>
        <v>4</v>
      </c>
      <c r="E2138" s="46" t="s">
        <v>74</v>
      </c>
      <c r="F2138" s="92"/>
      <c r="G2138">
        <f>+IF(dHdcp[[#This Row],[Fecha]]=MAX(dHdcp[Fecha]),1,0)</f>
        <v>0</v>
      </c>
      <c r="H2138" t="str">
        <f>+dHdcp[[#This Row],[Maximo]]&amp;":"&amp;dHdcp[[#This Row],[Nombre]]</f>
        <v>0:Javier Cervera</v>
      </c>
      <c r="I2138" t="str">
        <f>+dHdcp[[#This Row],[Maximo]]&amp;":"&amp;_xlfn.XLOOKUP(dHdcp[[#This Row],[Nombre]],dJugador[Nombre],dJugador[Mote],"",0)</f>
        <v>0:Virus</v>
      </c>
      <c r="J2138" t="str">
        <f>+IF(dHdcp[[#This Row],[Maximo]]=0,"",_xlfn.RANK.EQ(dHdcp[[#This Row],[Handicap]],dHdcp[Handicap],1))</f>
        <v/>
      </c>
      <c r="K2138" t="str">
        <f>IFERROR(+_xlfn.RANK.EQ(dHdcp[[#This Row],[Ranking]],dHdcp[Ranking],1),"")</f>
        <v/>
      </c>
      <c r="M2138" t="str">
        <f>+dHdcp[[#This Row],[Fecha]]&amp;":"&amp;dHdcp[[#This Row],[Nombre]]</f>
        <v>45444:Javier Cervera</v>
      </c>
      <c r="N2138">
        <f>+COUNTIF(dHdcp[Columna1],dHdcp[[#This Row],[Columna1]])</f>
        <v>1</v>
      </c>
    </row>
    <row r="2139" spans="1:14">
      <c r="A2139" s="98">
        <v>45444</v>
      </c>
      <c r="B2139" s="46" t="s">
        <v>225</v>
      </c>
      <c r="C2139" s="104">
        <v>10.9</v>
      </c>
      <c r="D2139" s="46">
        <f>+VLOOKUP(dHdcp[[#This Row],[Handicap]],'Categoría Hdcap'!$B$2:$E$7,4)</f>
        <v>2</v>
      </c>
      <c r="E2139" s="46" t="s">
        <v>74</v>
      </c>
      <c r="F2139" s="92"/>
      <c r="G2139">
        <f>+IF(dHdcp[[#This Row],[Fecha]]=MAX(dHdcp[Fecha]),1,0)</f>
        <v>0</v>
      </c>
      <c r="H2139" t="str">
        <f>+dHdcp[[#This Row],[Maximo]]&amp;":"&amp;dHdcp[[#This Row],[Nombre]]</f>
        <v>0:Javier Chiralt</v>
      </c>
      <c r="I2139" t="str">
        <f>+dHdcp[[#This Row],[Maximo]]&amp;":"&amp;_xlfn.XLOOKUP(dHdcp[[#This Row],[Nombre]],dJugador[Nombre],dJugador[Mote],"",0)</f>
        <v>0:Chiralt</v>
      </c>
      <c r="J2139" t="str">
        <f>+IF(dHdcp[[#This Row],[Maximo]]=0,"",_xlfn.RANK.EQ(dHdcp[[#This Row],[Handicap]],dHdcp[Handicap],1))</f>
        <v/>
      </c>
      <c r="K2139" t="str">
        <f>IFERROR(+_xlfn.RANK.EQ(dHdcp[[#This Row],[Ranking]],dHdcp[Ranking],1),"")</f>
        <v/>
      </c>
      <c r="M2139" t="str">
        <f>+dHdcp[[#This Row],[Fecha]]&amp;":"&amp;dHdcp[[#This Row],[Nombre]]</f>
        <v>45444:Javier Chiralt</v>
      </c>
      <c r="N2139">
        <f>+COUNTIF(dHdcp[Columna1],dHdcp[[#This Row],[Columna1]])</f>
        <v>1</v>
      </c>
    </row>
    <row r="2140" spans="1:14">
      <c r="A2140" s="98">
        <v>45444</v>
      </c>
      <c r="B2140" s="46" t="s">
        <v>2466</v>
      </c>
      <c r="C2140" s="104">
        <v>17.5</v>
      </c>
      <c r="D2140" s="46">
        <f>+VLOOKUP(dHdcp[[#This Row],[Handicap]],'Categoría Hdcap'!$B$2:$E$7,4)</f>
        <v>3</v>
      </c>
      <c r="E2140" s="46" t="s">
        <v>74</v>
      </c>
      <c r="F2140" s="92"/>
      <c r="G2140">
        <f>+IF(dHdcp[[#This Row],[Fecha]]=MAX(dHdcp[Fecha]),1,0)</f>
        <v>0</v>
      </c>
      <c r="H2140" t="str">
        <f>+dHdcp[[#This Row],[Maximo]]&amp;":"&amp;dHdcp[[#This Row],[Nombre]]</f>
        <v>0:Javier Dodero de Solano</v>
      </c>
      <c r="I2140" t="str">
        <f>+dHdcp[[#This Row],[Maximo]]&amp;":"&amp;_xlfn.XLOOKUP(dHdcp[[#This Row],[Nombre]],dJugador[Nombre],dJugador[Mote],"",0)</f>
        <v>0:Dodero</v>
      </c>
      <c r="J2140" t="str">
        <f>+IF(dHdcp[[#This Row],[Maximo]]=0,"",_xlfn.RANK.EQ(dHdcp[[#This Row],[Handicap]],dHdcp[Handicap],1))</f>
        <v/>
      </c>
      <c r="K2140" t="str">
        <f>IFERROR(+_xlfn.RANK.EQ(dHdcp[[#This Row],[Ranking]],dHdcp[Ranking],1),"")</f>
        <v/>
      </c>
      <c r="M2140" t="str">
        <f>+dHdcp[[#This Row],[Fecha]]&amp;":"&amp;dHdcp[[#This Row],[Nombre]]</f>
        <v>45444:Javier Dodero de Solano</v>
      </c>
      <c r="N2140">
        <f>+COUNTIF(dHdcp[Columna1],dHdcp[[#This Row],[Columna1]])</f>
        <v>1</v>
      </c>
    </row>
    <row r="2141" spans="1:14">
      <c r="A2141" s="98">
        <v>45444</v>
      </c>
      <c r="B2141" s="46" t="s">
        <v>20</v>
      </c>
      <c r="C2141" s="104">
        <v>19</v>
      </c>
      <c r="D2141" s="46">
        <f>+VLOOKUP(dHdcp[[#This Row],[Handicap]],'Categoría Hdcap'!$B$2:$E$7,4)</f>
        <v>4</v>
      </c>
      <c r="E2141" s="46" t="s">
        <v>74</v>
      </c>
      <c r="F2141" s="92"/>
      <c r="G2141">
        <f>+IF(dHdcp[[#This Row],[Fecha]]=MAX(dHdcp[Fecha]),1,0)</f>
        <v>0</v>
      </c>
      <c r="H2141" t="str">
        <f>+dHdcp[[#This Row],[Maximo]]&amp;":"&amp;dHdcp[[#This Row],[Nombre]]</f>
        <v>0:Javier Gonzalez Salvador</v>
      </c>
      <c r="I2141" t="str">
        <f>+dHdcp[[#This Row],[Maximo]]&amp;":"&amp;_xlfn.XLOOKUP(dHdcp[[#This Row],[Nombre]],dJugador[Nombre],dJugador[Mote],"",0)</f>
        <v>0:Javi</v>
      </c>
      <c r="J2141" t="str">
        <f>+IF(dHdcp[[#This Row],[Maximo]]=0,"",_xlfn.RANK.EQ(dHdcp[[#This Row],[Handicap]],dHdcp[Handicap],1))</f>
        <v/>
      </c>
      <c r="K2141" t="str">
        <f>IFERROR(+_xlfn.RANK.EQ(dHdcp[[#This Row],[Ranking]],dHdcp[Ranking],1),"")</f>
        <v/>
      </c>
      <c r="M2141" t="str">
        <f>+dHdcp[[#This Row],[Fecha]]&amp;":"&amp;dHdcp[[#This Row],[Nombre]]</f>
        <v>45444:Javier Gonzalez Salvador</v>
      </c>
      <c r="N2141">
        <f>+COUNTIF(dHdcp[Columna1],dHdcp[[#This Row],[Columna1]])</f>
        <v>1</v>
      </c>
    </row>
    <row r="2142" spans="1:14">
      <c r="A2142" s="98">
        <v>45444</v>
      </c>
      <c r="B2142" s="46" t="s">
        <v>217</v>
      </c>
      <c r="C2142" s="104">
        <v>20.9</v>
      </c>
      <c r="D2142" s="46">
        <f>+VLOOKUP(dHdcp[[#This Row],[Handicap]],'Categoría Hdcap'!$B$2:$E$7,4)</f>
        <v>4</v>
      </c>
      <c r="E2142" s="46" t="s">
        <v>74</v>
      </c>
      <c r="F2142" s="92"/>
      <c r="G2142">
        <f>+IF(dHdcp[[#This Row],[Fecha]]=MAX(dHdcp[Fecha]),1,0)</f>
        <v>0</v>
      </c>
      <c r="H2142" t="str">
        <f>+dHdcp[[#This Row],[Maximo]]&amp;":"&amp;dHdcp[[#This Row],[Nombre]]</f>
        <v>0:Javier Lopez Gullón</v>
      </c>
      <c r="I2142" t="str">
        <f>+dHdcp[[#This Row],[Maximo]]&amp;":"&amp;_xlfn.XLOOKUP(dHdcp[[#This Row],[Nombre]],dJugador[Nombre],dJugador[Mote],"",0)</f>
        <v>0:Cuñao</v>
      </c>
      <c r="J2142" t="str">
        <f>+IF(dHdcp[[#This Row],[Maximo]]=0,"",_xlfn.RANK.EQ(dHdcp[[#This Row],[Handicap]],dHdcp[Handicap],1))</f>
        <v/>
      </c>
      <c r="K2142" t="str">
        <f>IFERROR(+_xlfn.RANK.EQ(dHdcp[[#This Row],[Ranking]],dHdcp[Ranking],1),"")</f>
        <v/>
      </c>
      <c r="M2142" t="str">
        <f>+dHdcp[[#This Row],[Fecha]]&amp;":"&amp;dHdcp[[#This Row],[Nombre]]</f>
        <v>45444:Javier Lopez Gullón</v>
      </c>
      <c r="N2142">
        <f>+COUNTIF(dHdcp[Columna1],dHdcp[[#This Row],[Columna1]])</f>
        <v>1</v>
      </c>
    </row>
    <row r="2143" spans="1:14">
      <c r="A2143" s="98">
        <v>45444</v>
      </c>
      <c r="B2143" s="46" t="s">
        <v>41</v>
      </c>
      <c r="C2143" s="104">
        <v>21.6</v>
      </c>
      <c r="D2143" s="46">
        <f>+VLOOKUP(dHdcp[[#This Row],[Handicap]],'Categoría Hdcap'!$B$2:$E$7,4)</f>
        <v>4</v>
      </c>
      <c r="E2143" s="46" t="s">
        <v>74</v>
      </c>
      <c r="F2143" s="92"/>
      <c r="G2143">
        <f>+IF(dHdcp[[#This Row],[Fecha]]=MAX(dHdcp[Fecha]),1,0)</f>
        <v>0</v>
      </c>
      <c r="H2143" t="str">
        <f>+dHdcp[[#This Row],[Maximo]]&amp;":"&amp;dHdcp[[#This Row],[Nombre]]</f>
        <v>0:Jesus Touceda</v>
      </c>
      <c r="I2143" t="str">
        <f>+dHdcp[[#This Row],[Maximo]]&amp;":"&amp;_xlfn.XLOOKUP(dHdcp[[#This Row],[Nombre]],dJugador[Nombre],dJugador[Mote],"",0)</f>
        <v>0:Jesús</v>
      </c>
      <c r="J2143" t="str">
        <f>+IF(dHdcp[[#This Row],[Maximo]]=0,"",_xlfn.RANK.EQ(dHdcp[[#This Row],[Handicap]],dHdcp[Handicap],1))</f>
        <v/>
      </c>
      <c r="K2143" t="str">
        <f>IFERROR(+_xlfn.RANK.EQ(dHdcp[[#This Row],[Ranking]],dHdcp[Ranking],1),"")</f>
        <v/>
      </c>
      <c r="M2143" t="str">
        <f>+dHdcp[[#This Row],[Fecha]]&amp;":"&amp;dHdcp[[#This Row],[Nombre]]</f>
        <v>45444:Jesus Touceda</v>
      </c>
      <c r="N2143">
        <f>+COUNTIF(dHdcp[Columna1],dHdcp[[#This Row],[Columna1]])</f>
        <v>1</v>
      </c>
    </row>
    <row r="2144" spans="1:14">
      <c r="A2144" s="98">
        <v>45444</v>
      </c>
      <c r="B2144" s="46" t="s">
        <v>297</v>
      </c>
      <c r="C2144" s="104">
        <v>20.5</v>
      </c>
      <c r="D2144" s="46">
        <f>+VLOOKUP(dHdcp[[#This Row],[Handicap]],'Categoría Hdcap'!$B$2:$E$7,4)</f>
        <v>4</v>
      </c>
      <c r="E2144" s="46" t="s">
        <v>74</v>
      </c>
      <c r="F2144" s="92"/>
      <c r="G2144">
        <f>+IF(dHdcp[[#This Row],[Fecha]]=MAX(dHdcp[Fecha]),1,0)</f>
        <v>0</v>
      </c>
      <c r="H2144" t="str">
        <f>+dHdcp[[#This Row],[Maximo]]&amp;":"&amp;dHdcp[[#This Row],[Nombre]]</f>
        <v>0:Jorge Alberto Martínez Sánchez</v>
      </c>
      <c r="I2144" t="str">
        <f>+dHdcp[[#This Row],[Maximo]]&amp;":"&amp;_xlfn.XLOOKUP(dHdcp[[#This Row],[Nombre]],dJugador[Nombre],dJugador[Mote],"",0)</f>
        <v>0:Jorge</v>
      </c>
      <c r="J2144" t="str">
        <f>+IF(dHdcp[[#This Row],[Maximo]]=0,"",_xlfn.RANK.EQ(dHdcp[[#This Row],[Handicap]],dHdcp[Handicap],1))</f>
        <v/>
      </c>
      <c r="K2144" t="str">
        <f>IFERROR(+_xlfn.RANK.EQ(dHdcp[[#This Row],[Ranking]],dHdcp[Ranking],1),"")</f>
        <v/>
      </c>
      <c r="M2144" t="str">
        <f>+dHdcp[[#This Row],[Fecha]]&amp;":"&amp;dHdcp[[#This Row],[Nombre]]</f>
        <v>45444:Jorge Alberto Martínez Sánchez</v>
      </c>
      <c r="N2144">
        <f>+COUNTIF(dHdcp[Columna1],dHdcp[[#This Row],[Columna1]])</f>
        <v>1</v>
      </c>
    </row>
    <row r="2145" spans="1:18">
      <c r="A2145" s="98">
        <v>45444</v>
      </c>
      <c r="B2145" s="46" t="s">
        <v>388</v>
      </c>
      <c r="C2145" s="104">
        <v>26.499999999999986</v>
      </c>
      <c r="D2145" s="46">
        <f>+VLOOKUP(dHdcp[[#This Row],[Handicap]],'Categoría Hdcap'!$B$2:$E$7,4)</f>
        <v>4</v>
      </c>
      <c r="E2145" s="46" t="s">
        <v>74</v>
      </c>
      <c r="F2145" s="92"/>
      <c r="G2145">
        <f>+IF(dHdcp[[#This Row],[Fecha]]=MAX(dHdcp[Fecha]),1,0)</f>
        <v>0</v>
      </c>
      <c r="H2145" t="str">
        <f>+dHdcp[[#This Row],[Maximo]]&amp;":"&amp;dHdcp[[#This Row],[Nombre]]</f>
        <v>0:Jose Antonio Santana</v>
      </c>
      <c r="I2145" t="str">
        <f>+dHdcp[[#This Row],[Maximo]]&amp;":"&amp;_xlfn.XLOOKUP(dHdcp[[#This Row],[Nombre]],dJugador[Nombre],dJugador[Mote],"",0)</f>
        <v>0:J Antonio</v>
      </c>
      <c r="J2145" t="str">
        <f>+IF(dHdcp[[#This Row],[Maximo]]=0,"",_xlfn.RANK.EQ(dHdcp[[#This Row],[Handicap]],dHdcp[Handicap],1))</f>
        <v/>
      </c>
      <c r="K2145" t="str">
        <f>IFERROR(+_xlfn.RANK.EQ(dHdcp[[#This Row],[Ranking]],dHdcp[Ranking],1),"")</f>
        <v/>
      </c>
      <c r="M2145" t="str">
        <f>+dHdcp[[#This Row],[Fecha]]&amp;":"&amp;dHdcp[[#This Row],[Nombre]]</f>
        <v>45444:Jose Antonio Santana</v>
      </c>
      <c r="N2145">
        <f>+COUNTIF(dHdcp[Columna1],dHdcp[[#This Row],[Columna1]])</f>
        <v>1</v>
      </c>
    </row>
    <row r="2146" spans="1:18">
      <c r="A2146" s="98">
        <v>45444</v>
      </c>
      <c r="B2146" s="46" t="s">
        <v>18</v>
      </c>
      <c r="C2146" s="104">
        <v>8.3000000000000007</v>
      </c>
      <c r="D2146" s="46">
        <f>+VLOOKUP(dHdcp[[#This Row],[Handicap]],'Categoría Hdcap'!$B$2:$E$7,4)</f>
        <v>2</v>
      </c>
      <c r="E2146" s="46" t="s">
        <v>74</v>
      </c>
      <c r="F2146" s="92"/>
      <c r="G2146">
        <f>+IF(dHdcp[[#This Row],[Fecha]]=MAX(dHdcp[Fecha]),1,0)</f>
        <v>0</v>
      </c>
      <c r="H2146" t="str">
        <f>+dHdcp[[#This Row],[Maximo]]&amp;":"&amp;dHdcp[[#This Row],[Nombre]]</f>
        <v>0:José Pablo Guil</v>
      </c>
      <c r="I2146" t="str">
        <f>+dHdcp[[#This Row],[Maximo]]&amp;":"&amp;_xlfn.XLOOKUP(dHdcp[[#This Row],[Nombre]],dJugador[Nombre],dJugador[Mote],"",0)</f>
        <v>0:JP</v>
      </c>
      <c r="J2146" t="str">
        <f>+IF(dHdcp[[#This Row],[Maximo]]=0,"",_xlfn.RANK.EQ(dHdcp[[#This Row],[Handicap]],dHdcp[Handicap],1))</f>
        <v/>
      </c>
      <c r="K2146" t="str">
        <f>IFERROR(+_xlfn.RANK.EQ(dHdcp[[#This Row],[Ranking]],dHdcp[Ranking],1),"")</f>
        <v/>
      </c>
      <c r="M2146" t="str">
        <f>+dHdcp[[#This Row],[Fecha]]&amp;":"&amp;dHdcp[[#This Row],[Nombre]]</f>
        <v>45444:José Pablo Guil</v>
      </c>
      <c r="N2146">
        <f>+COUNTIF(dHdcp[Columna1],dHdcp[[#This Row],[Columna1]])</f>
        <v>1</v>
      </c>
    </row>
    <row r="2147" spans="1:18">
      <c r="A2147" s="98">
        <v>45444</v>
      </c>
      <c r="B2147" s="46" t="s">
        <v>293</v>
      </c>
      <c r="C2147" s="104">
        <v>17.2</v>
      </c>
      <c r="D2147" s="46">
        <f>+VLOOKUP(dHdcp[[#This Row],[Handicap]],'Categoría Hdcap'!$B$2:$E$7,4)</f>
        <v>3</v>
      </c>
      <c r="E2147" s="46" t="s">
        <v>74</v>
      </c>
      <c r="F2147" s="92"/>
      <c r="G2147">
        <f>+IF(dHdcp[[#This Row],[Fecha]]=MAX(dHdcp[Fecha]),1,0)</f>
        <v>0</v>
      </c>
      <c r="H2147" t="str">
        <f>+dHdcp[[#This Row],[Maximo]]&amp;":"&amp;dHdcp[[#This Row],[Nombre]]</f>
        <v>0:Juan Jose Aguado</v>
      </c>
      <c r="I2147" t="str">
        <f>+dHdcp[[#This Row],[Maximo]]&amp;":"&amp;_xlfn.XLOOKUP(dHdcp[[#This Row],[Nombre]],dJugador[Nombre],dJugador[Mote],"",0)</f>
        <v>0:Juancho</v>
      </c>
      <c r="J2147" t="str">
        <f>+IF(dHdcp[[#This Row],[Maximo]]=0,"",_xlfn.RANK.EQ(dHdcp[[#This Row],[Handicap]],dHdcp[Handicap],1))</f>
        <v/>
      </c>
      <c r="K2147" t="str">
        <f>IFERROR(+_xlfn.RANK.EQ(dHdcp[[#This Row],[Ranking]],dHdcp[Ranking],1),"")</f>
        <v/>
      </c>
      <c r="M2147" t="str">
        <f>+dHdcp[[#This Row],[Fecha]]&amp;":"&amp;dHdcp[[#This Row],[Nombre]]</f>
        <v>45444:Juan Jose Aguado</v>
      </c>
      <c r="N2147">
        <f>+COUNTIF(dHdcp[Columna1],dHdcp[[#This Row],[Columna1]])</f>
        <v>1</v>
      </c>
    </row>
    <row r="2148" spans="1:18">
      <c r="A2148" s="98">
        <v>45444</v>
      </c>
      <c r="B2148" t="s">
        <v>2516</v>
      </c>
      <c r="C2148" s="104">
        <v>20.100000000000001</v>
      </c>
      <c r="D2148" s="46">
        <f>+VLOOKUP(dHdcp[[#This Row],[Handicap]],'Categoría Hdcap'!$B$2:$E$7,4)</f>
        <v>4</v>
      </c>
      <c r="E2148" s="46" t="s">
        <v>74</v>
      </c>
      <c r="F2148" s="92"/>
      <c r="G2148">
        <f>+IF(dHdcp[[#This Row],[Fecha]]=MAX(dHdcp[Fecha]),1,0)</f>
        <v>0</v>
      </c>
      <c r="H2148" t="str">
        <f>+dHdcp[[#This Row],[Maximo]]&amp;":"&amp;dHdcp[[#This Row],[Nombre]]</f>
        <v>0:Juan Sanz</v>
      </c>
      <c r="I2148" t="str">
        <f>+dHdcp[[#This Row],[Maximo]]&amp;":"&amp;_xlfn.XLOOKUP(dHdcp[[#This Row],[Nombre]],dJugador[Nombre],dJugador[Mote],"",0)</f>
        <v>0:JuanSanz</v>
      </c>
      <c r="J2148" t="str">
        <f>+IF(dHdcp[[#This Row],[Maximo]]=0,"",_xlfn.RANK.EQ(dHdcp[[#This Row],[Handicap]],dHdcp[Handicap],1))</f>
        <v/>
      </c>
      <c r="K2148" t="str">
        <f>IFERROR(+_xlfn.RANK.EQ(dHdcp[[#This Row],[Ranking]],dHdcp[Ranking],1),"")</f>
        <v/>
      </c>
      <c r="M2148" t="str">
        <f>+dHdcp[[#This Row],[Fecha]]&amp;":"&amp;dHdcp[[#This Row],[Nombre]]</f>
        <v>45444:Juan Sanz</v>
      </c>
      <c r="N2148">
        <f>+COUNTIF(dHdcp[Columna1],dHdcp[[#This Row],[Columna1]])</f>
        <v>1</v>
      </c>
    </row>
    <row r="2149" spans="1:18">
      <c r="A2149" s="98">
        <v>45444</v>
      </c>
      <c r="B2149" s="46" t="s">
        <v>375</v>
      </c>
      <c r="C2149" s="104">
        <v>10</v>
      </c>
      <c r="D2149" s="46">
        <f>+VLOOKUP(dHdcp[[#This Row],[Handicap]],'Categoría Hdcap'!$B$2:$E$7,4)</f>
        <v>2</v>
      </c>
      <c r="E2149" s="46" t="s">
        <v>74</v>
      </c>
      <c r="F2149" s="92"/>
      <c r="G2149">
        <f>+IF(dHdcp[[#This Row],[Fecha]]=MAX(dHdcp[Fecha]),1,0)</f>
        <v>0</v>
      </c>
      <c r="H2149" t="str">
        <f>+dHdcp[[#This Row],[Maximo]]&amp;":"&amp;dHdcp[[#This Row],[Nombre]]</f>
        <v>0:Luis Fernandez</v>
      </c>
      <c r="I2149" t="str">
        <f>+dHdcp[[#This Row],[Maximo]]&amp;":"&amp;_xlfn.XLOOKUP(dHdcp[[#This Row],[Nombre]],dJugador[Nombre],dJugador[Mote],"",0)</f>
        <v>0:Luis</v>
      </c>
      <c r="J2149" t="str">
        <f>+IF(dHdcp[[#This Row],[Maximo]]=0,"",_xlfn.RANK.EQ(dHdcp[[#This Row],[Handicap]],dHdcp[Handicap],1))</f>
        <v/>
      </c>
      <c r="K2149" t="str">
        <f>IFERROR(+_xlfn.RANK.EQ(dHdcp[[#This Row],[Ranking]],dHdcp[Ranking],1),"")</f>
        <v/>
      </c>
      <c r="M2149" t="str">
        <f>+dHdcp[[#This Row],[Fecha]]&amp;":"&amp;dHdcp[[#This Row],[Nombre]]</f>
        <v>45444:Luis Fernandez</v>
      </c>
      <c r="N2149">
        <f>+COUNTIF(dHdcp[Columna1],dHdcp[[#This Row],[Columna1]])</f>
        <v>1</v>
      </c>
    </row>
    <row r="2150" spans="1:18">
      <c r="A2150" s="98">
        <v>45444</v>
      </c>
      <c r="B2150" s="46" t="s">
        <v>135</v>
      </c>
      <c r="C2150" s="104">
        <v>19</v>
      </c>
      <c r="D2150" s="46">
        <f>+VLOOKUP(dHdcp[[#This Row],[Handicap]],'Categoría Hdcap'!$B$2:$E$7,4)</f>
        <v>4</v>
      </c>
      <c r="E2150" s="46" t="s">
        <v>74</v>
      </c>
      <c r="F2150" s="92"/>
      <c r="G2150">
        <f>+IF(dHdcp[[#This Row],[Fecha]]=MAX(dHdcp[Fecha]),1,0)</f>
        <v>0</v>
      </c>
      <c r="H2150" t="str">
        <f>+dHdcp[[#This Row],[Maximo]]&amp;":"&amp;dHdcp[[#This Row],[Nombre]]</f>
        <v>0:Miche Lopez</v>
      </c>
      <c r="I2150" t="str">
        <f>+dHdcp[[#This Row],[Maximo]]&amp;":"&amp;_xlfn.XLOOKUP(dHdcp[[#This Row],[Nombre]],dJugador[Nombre],dJugador[Mote],"",0)</f>
        <v>0:Miche</v>
      </c>
      <c r="J2150" t="str">
        <f>+IF(dHdcp[[#This Row],[Maximo]]=0,"",_xlfn.RANK.EQ(dHdcp[[#This Row],[Handicap]],dHdcp[Handicap],1))</f>
        <v/>
      </c>
      <c r="K2150" t="str">
        <f>IFERROR(+_xlfn.RANK.EQ(dHdcp[[#This Row],[Ranking]],dHdcp[Ranking],1),"")</f>
        <v/>
      </c>
      <c r="M2150" t="str">
        <f>+dHdcp[[#This Row],[Fecha]]&amp;":"&amp;dHdcp[[#This Row],[Nombre]]</f>
        <v>45444:Miche Lopez</v>
      </c>
      <c r="N2150">
        <f>+COUNTIF(dHdcp[Columna1],dHdcp[[#This Row],[Columna1]])</f>
        <v>1</v>
      </c>
    </row>
    <row r="2151" spans="1:18">
      <c r="A2151" s="98">
        <v>45444</v>
      </c>
      <c r="B2151" s="46" t="s">
        <v>205</v>
      </c>
      <c r="C2151" s="104">
        <v>6.1</v>
      </c>
      <c r="D2151" s="46">
        <f>+VLOOKUP(dHdcp[[#This Row],[Handicap]],'Categoría Hdcap'!$B$2:$E$7,4)</f>
        <v>2</v>
      </c>
      <c r="E2151" s="46" t="s">
        <v>74</v>
      </c>
      <c r="F2151" s="92"/>
      <c r="G2151">
        <f>+IF(dHdcp[[#This Row],[Fecha]]=MAX(dHdcp[Fecha]),1,0)</f>
        <v>0</v>
      </c>
      <c r="H2151" t="str">
        <f>+dHdcp[[#This Row],[Maximo]]&amp;":"&amp;dHdcp[[#This Row],[Nombre]]</f>
        <v>0:Nacho Casas</v>
      </c>
      <c r="I2151" t="str">
        <f>+dHdcp[[#This Row],[Maximo]]&amp;":"&amp;_xlfn.XLOOKUP(dHdcp[[#This Row],[Nombre]],dJugador[Nombre],dJugador[Mote],"",0)</f>
        <v>0:Nachete</v>
      </c>
      <c r="J2151" t="str">
        <f>+IF(dHdcp[[#This Row],[Maximo]]=0,"",_xlfn.RANK.EQ(dHdcp[[#This Row],[Handicap]],dHdcp[Handicap],1))</f>
        <v/>
      </c>
      <c r="K2151" t="str">
        <f>IFERROR(+_xlfn.RANK.EQ(dHdcp[[#This Row],[Ranking]],dHdcp[Ranking],1),"")</f>
        <v/>
      </c>
      <c r="M2151" t="str">
        <f>+dHdcp[[#This Row],[Fecha]]&amp;":"&amp;dHdcp[[#This Row],[Nombre]]</f>
        <v>45444:Nacho Casas</v>
      </c>
      <c r="N2151">
        <f>+COUNTIF(dHdcp[Columna1],dHdcp[[#This Row],[Columna1]])</f>
        <v>1</v>
      </c>
    </row>
    <row r="2152" spans="1:18">
      <c r="A2152" s="98">
        <v>45444</v>
      </c>
      <c r="B2152" s="46" t="s">
        <v>3</v>
      </c>
      <c r="C2152" s="104">
        <v>6.2</v>
      </c>
      <c r="D2152" s="46">
        <f>+VLOOKUP(dHdcp[[#This Row],[Handicap]],'Categoría Hdcap'!$B$2:$E$7,4)</f>
        <v>2</v>
      </c>
      <c r="E2152" s="46" t="s">
        <v>74</v>
      </c>
      <c r="F2152" s="92"/>
      <c r="G2152">
        <f>+IF(dHdcp[[#This Row],[Fecha]]=MAX(dHdcp[Fecha]),1,0)</f>
        <v>0</v>
      </c>
      <c r="H2152" t="str">
        <f>+dHdcp[[#This Row],[Maximo]]&amp;":"&amp;dHdcp[[#This Row],[Nombre]]</f>
        <v>0:Nacho Gonzalez</v>
      </c>
      <c r="I2152" t="str">
        <f>+dHdcp[[#This Row],[Maximo]]&amp;":"&amp;_xlfn.XLOOKUP(dHdcp[[#This Row],[Nombre]],dJugador[Nombre],dJugador[Mote],"",0)</f>
        <v>0:Nacho</v>
      </c>
      <c r="J2152" t="str">
        <f>+IF(dHdcp[[#This Row],[Maximo]]=0,"",_xlfn.RANK.EQ(dHdcp[[#This Row],[Handicap]],dHdcp[Handicap],1))</f>
        <v/>
      </c>
      <c r="K2152" t="str">
        <f>IFERROR(+_xlfn.RANK.EQ(dHdcp[[#This Row],[Ranking]],dHdcp[Ranking],1),"")</f>
        <v/>
      </c>
      <c r="M2152" t="str">
        <f>+dHdcp[[#This Row],[Fecha]]&amp;":"&amp;dHdcp[[#This Row],[Nombre]]</f>
        <v>45444:Nacho Gonzalez</v>
      </c>
      <c r="N2152">
        <f>+COUNTIF(dHdcp[Columna1],dHdcp[[#This Row],[Columna1]])</f>
        <v>1</v>
      </c>
    </row>
    <row r="2153" spans="1:18">
      <c r="A2153" s="98">
        <v>45444</v>
      </c>
      <c r="B2153" s="46" t="s">
        <v>203</v>
      </c>
      <c r="C2153" s="104">
        <v>16.600000000000001</v>
      </c>
      <c r="D2153" s="46">
        <f>+VLOOKUP(dHdcp[[#This Row],[Handicap]],'Categoría Hdcap'!$B$2:$E$7,4)</f>
        <v>3</v>
      </c>
      <c r="E2153" s="46" t="s">
        <v>74</v>
      </c>
      <c r="F2153" s="92"/>
      <c r="G2153">
        <f>+IF(dHdcp[[#This Row],[Fecha]]=MAX(dHdcp[Fecha]),1,0)</f>
        <v>0</v>
      </c>
      <c r="H2153" t="str">
        <f>+dHdcp[[#This Row],[Maximo]]&amp;":"&amp;dHdcp[[#This Row],[Nombre]]</f>
        <v>0:Ruslan Kochman</v>
      </c>
      <c r="I2153" t="str">
        <f>+dHdcp[[#This Row],[Maximo]]&amp;":"&amp;_xlfn.XLOOKUP(dHdcp[[#This Row],[Nombre]],dJugador[Nombre],dJugador[Mote],"",0)</f>
        <v>0:Rus</v>
      </c>
      <c r="J2153" t="str">
        <f>+IF(dHdcp[[#This Row],[Maximo]]=0,"",_xlfn.RANK.EQ(dHdcp[[#This Row],[Handicap]],dHdcp[Handicap],1))</f>
        <v/>
      </c>
      <c r="K2153" t="str">
        <f>IFERROR(+_xlfn.RANK.EQ(dHdcp[[#This Row],[Ranking]],dHdcp[Ranking],1),"")</f>
        <v/>
      </c>
      <c r="M2153" t="str">
        <f>+dHdcp[[#This Row],[Fecha]]&amp;":"&amp;dHdcp[[#This Row],[Nombre]]</f>
        <v>45444:Ruslan Kochman</v>
      </c>
      <c r="N2153">
        <f>+COUNTIF(dHdcp[Columna1],dHdcp[[#This Row],[Columna1]])</f>
        <v>1</v>
      </c>
    </row>
    <row r="2154" spans="1:18">
      <c r="A2154" s="98">
        <v>45444</v>
      </c>
      <c r="B2154" s="46" t="s">
        <v>271</v>
      </c>
      <c r="C2154" s="104">
        <v>16.399999999999999</v>
      </c>
      <c r="D2154" s="46">
        <f>+VLOOKUP(dHdcp[[#This Row],[Handicap]],'Categoría Hdcap'!$B$2:$E$7,4)</f>
        <v>3</v>
      </c>
      <c r="E2154" s="46" t="s">
        <v>74</v>
      </c>
      <c r="F2154" s="92"/>
      <c r="G2154">
        <f>+IF(dHdcp[[#This Row],[Fecha]]=MAX(dHdcp[Fecha]),1,0)</f>
        <v>0</v>
      </c>
      <c r="H2154" t="str">
        <f>+dHdcp[[#This Row],[Maximo]]&amp;":"&amp;dHdcp[[#This Row],[Nombre]]</f>
        <v>0:Santi Diaz</v>
      </c>
      <c r="I2154" t="str">
        <f>+dHdcp[[#This Row],[Maximo]]&amp;":"&amp;_xlfn.XLOOKUP(dHdcp[[#This Row],[Nombre]],dJugador[Nombre],dJugador[Mote],"",0)</f>
        <v>0:Santi</v>
      </c>
      <c r="J2154" t="str">
        <f>+IF(dHdcp[[#This Row],[Maximo]]=0,"",_xlfn.RANK.EQ(dHdcp[[#This Row],[Handicap]],dHdcp[Handicap],1))</f>
        <v/>
      </c>
      <c r="K2154" t="str">
        <f>IFERROR(+_xlfn.RANK.EQ(dHdcp[[#This Row],[Ranking]],dHdcp[Ranking],1),"")</f>
        <v/>
      </c>
      <c r="M2154" t="str">
        <f>+dHdcp[[#This Row],[Fecha]]&amp;":"&amp;dHdcp[[#This Row],[Nombre]]</f>
        <v>45444:Santi Diaz</v>
      </c>
      <c r="N2154">
        <f>+COUNTIF(dHdcp[Columna1],dHdcp[[#This Row],[Columna1]])</f>
        <v>1</v>
      </c>
    </row>
    <row r="2155" spans="1:18">
      <c r="A2155" s="98">
        <v>45444</v>
      </c>
      <c r="B2155" s="46" t="s">
        <v>2473</v>
      </c>
      <c r="C2155" s="100">
        <v>13.4</v>
      </c>
      <c r="D2155" s="46">
        <f>+VLOOKUP(dHdcp[[#This Row],[Handicap]],'Categoría Hdcap'!$B$2:$E$7,4)</f>
        <v>3</v>
      </c>
      <c r="E2155" s="46" t="s">
        <v>74</v>
      </c>
      <c r="F2155" s="92"/>
      <c r="G2155">
        <f>+IF(dHdcp[[#This Row],[Fecha]]=MAX(dHdcp[Fecha]),1,0)</f>
        <v>0</v>
      </c>
      <c r="H2155" t="str">
        <f>+dHdcp[[#This Row],[Maximo]]&amp;":"&amp;dHdcp[[#This Row],[Nombre]]</f>
        <v>0:Thomas Dauterman</v>
      </c>
      <c r="I2155" t="str">
        <f>+dHdcp[[#This Row],[Maximo]]&amp;":"&amp;_xlfn.XLOOKUP(dHdcp[[#This Row],[Nombre]],dJugador[Nombre],dJugador[Mote],"",0)</f>
        <v>0:Tom</v>
      </c>
      <c r="J2155" t="str">
        <f>+IF(dHdcp[[#This Row],[Maximo]]=0,"",_xlfn.RANK.EQ(dHdcp[[#This Row],[Handicap]],dHdcp[Handicap],1))</f>
        <v/>
      </c>
      <c r="K2155" t="str">
        <f>IFERROR(+_xlfn.RANK.EQ(dHdcp[[#This Row],[Ranking]],dHdcp[Ranking],1),"")</f>
        <v/>
      </c>
      <c r="M2155" t="str">
        <f>+dHdcp[[#This Row],[Fecha]]&amp;":"&amp;dHdcp[[#This Row],[Nombre]]</f>
        <v>45444:Thomas Dauterman</v>
      </c>
      <c r="N2155">
        <f>+COUNTIF(dHdcp[Columna1],dHdcp[[#This Row],[Columna1]])</f>
        <v>1</v>
      </c>
    </row>
    <row r="2156" spans="1:18">
      <c r="A2156" s="98">
        <v>45479</v>
      </c>
      <c r="B2156" s="46" t="s">
        <v>259</v>
      </c>
      <c r="C2156" s="104">
        <v>1.7</v>
      </c>
      <c r="D2156" s="46">
        <f>+VLOOKUP(dHdcp[[#This Row],[Handicap]],'Categoría Hdcap'!$B$2:$E$7,4)</f>
        <v>1</v>
      </c>
      <c r="E2156" s="46" t="s">
        <v>74</v>
      </c>
      <c r="F2156" s="92"/>
      <c r="G2156">
        <f>+IF(dHdcp[[#This Row],[Fecha]]=MAX(dHdcp[Fecha]),1,0)</f>
        <v>0</v>
      </c>
      <c r="H2156" t="str">
        <f>+dHdcp[[#This Row],[Maximo]]&amp;":"&amp;dHdcp[[#This Row],[Nombre]]</f>
        <v>0:Alejandro Arcos</v>
      </c>
      <c r="I2156" t="str">
        <f>+dHdcp[[#This Row],[Maximo]]&amp;":"&amp;_xlfn.XLOOKUP(dHdcp[[#This Row],[Nombre]],dJugador[Nombre],dJugador[Mote],"",0)</f>
        <v>0:Alex</v>
      </c>
      <c r="J2156" t="str">
        <f>+IF(dHdcp[[#This Row],[Maximo]]=0,"",_xlfn.RANK.EQ(dHdcp[[#This Row],[Handicap]],dHdcp[Handicap],1))</f>
        <v/>
      </c>
      <c r="K2156" t="str">
        <f>IFERROR(+_xlfn.RANK.EQ(dHdcp[[#This Row],[Ranking]],dHdcp[Ranking],1),"")</f>
        <v/>
      </c>
      <c r="M2156" t="str">
        <f>+dHdcp[[#This Row],[Fecha]]&amp;":"&amp;dHdcp[[#This Row],[Nombre]]</f>
        <v>45479:Alejandro Arcos</v>
      </c>
      <c r="N2156">
        <f>+COUNTIF(dHdcp[Columna1],dHdcp[[#This Row],[Columna1]])</f>
        <v>1</v>
      </c>
    </row>
    <row r="2157" spans="1:18">
      <c r="A2157" s="98">
        <v>45479</v>
      </c>
      <c r="B2157" s="46" t="s">
        <v>9</v>
      </c>
      <c r="C2157" s="104">
        <v>13.1</v>
      </c>
      <c r="D2157" s="46">
        <f>+VLOOKUP(dHdcp[[#This Row],[Handicap]],'Categoría Hdcap'!$B$2:$E$7,4)</f>
        <v>3</v>
      </c>
      <c r="E2157" s="46" t="s">
        <v>74</v>
      </c>
      <c r="F2157" s="92"/>
      <c r="G2157">
        <f>+IF(dHdcp[[#This Row],[Fecha]]=MAX(dHdcp[Fecha]),1,0)</f>
        <v>0</v>
      </c>
      <c r="H2157" t="str">
        <f>+dHdcp[[#This Row],[Maximo]]&amp;":"&amp;dHdcp[[#This Row],[Nombre]]</f>
        <v>0:Alfonso Hidalgo</v>
      </c>
      <c r="I2157" t="str">
        <f>+dHdcp[[#This Row],[Maximo]]&amp;":"&amp;_xlfn.XLOOKUP(dHdcp[[#This Row],[Nombre]],dJugador[Nombre],dJugador[Mote],"",0)</f>
        <v>0:Alfonso</v>
      </c>
      <c r="J2157" t="str">
        <f>+IF(dHdcp[[#This Row],[Maximo]]=0,"",_xlfn.RANK.EQ(dHdcp[[#This Row],[Handicap]],dHdcp[Handicap],1))</f>
        <v/>
      </c>
      <c r="K2157" t="str">
        <f>IFERROR(+_xlfn.RANK.EQ(dHdcp[[#This Row],[Ranking]],dHdcp[Ranking],1),"")</f>
        <v/>
      </c>
      <c r="M2157" t="str">
        <f>+dHdcp[[#This Row],[Fecha]]&amp;":"&amp;dHdcp[[#This Row],[Nombre]]</f>
        <v>45479:Alfonso Hidalgo</v>
      </c>
      <c r="N2157">
        <f>+COUNTIF(dHdcp[Columna1],dHdcp[[#This Row],[Columna1]])</f>
        <v>1</v>
      </c>
    </row>
    <row r="2158" spans="1:18">
      <c r="A2158" s="98">
        <v>45479</v>
      </c>
      <c r="B2158" s="46" t="s">
        <v>229</v>
      </c>
      <c r="C2158" s="104">
        <v>14.1</v>
      </c>
      <c r="D2158" s="46">
        <f>+VLOOKUP(dHdcp[[#This Row],[Handicap]],'Categoría Hdcap'!$B$2:$E$7,4)</f>
        <v>3</v>
      </c>
      <c r="E2158" s="46" t="s">
        <v>74</v>
      </c>
      <c r="F2158" s="92"/>
      <c r="G2158">
        <f>+IF(dHdcp[[#This Row],[Fecha]]=MAX(dHdcp[Fecha]),1,0)</f>
        <v>0</v>
      </c>
      <c r="H2158" t="str">
        <f>+dHdcp[[#This Row],[Maximo]]&amp;":"&amp;dHdcp[[#This Row],[Nombre]]</f>
        <v>0:Alfonso Zorrilla</v>
      </c>
      <c r="I2158" t="str">
        <f>+dHdcp[[#This Row],[Maximo]]&amp;":"&amp;_xlfn.XLOOKUP(dHdcp[[#This Row],[Nombre]],dJugador[Nombre],dJugador[Mote],"",0)</f>
        <v>0:A Zorrilla</v>
      </c>
      <c r="J2158" t="str">
        <f>+IF(dHdcp[[#This Row],[Maximo]]=0,"",_xlfn.RANK.EQ(dHdcp[[#This Row],[Handicap]],dHdcp[Handicap],1))</f>
        <v/>
      </c>
      <c r="K2158" t="str">
        <f>IFERROR(+_xlfn.RANK.EQ(dHdcp[[#This Row],[Ranking]],dHdcp[Ranking],1),"")</f>
        <v/>
      </c>
      <c r="M2158" t="str">
        <f>+dHdcp[[#This Row],[Fecha]]&amp;":"&amp;dHdcp[[#This Row],[Nombre]]</f>
        <v>45479:Alfonso Zorrilla</v>
      </c>
      <c r="N2158">
        <f>+COUNTIF(dHdcp[Columna1],dHdcp[[#This Row],[Columna1]])</f>
        <v>1</v>
      </c>
      <c r="Q2158" t="s">
        <v>2525</v>
      </c>
      <c r="R2158">
        <v>20.100000000000001</v>
      </c>
    </row>
    <row r="2159" spans="1:18">
      <c r="A2159" s="98">
        <v>45479</v>
      </c>
      <c r="B2159" s="46" t="s">
        <v>15</v>
      </c>
      <c r="C2159" s="104">
        <v>5.5</v>
      </c>
      <c r="D2159" s="46">
        <f>+VLOOKUP(dHdcp[[#This Row],[Handicap]],'Categoría Hdcap'!$B$2:$E$7,4)</f>
        <v>2</v>
      </c>
      <c r="E2159" s="46" t="s">
        <v>74</v>
      </c>
      <c r="F2159" s="92"/>
      <c r="G2159">
        <f>+IF(dHdcp[[#This Row],[Fecha]]=MAX(dHdcp[Fecha]),1,0)</f>
        <v>0</v>
      </c>
      <c r="H2159" t="str">
        <f>+dHdcp[[#This Row],[Maximo]]&amp;":"&amp;dHdcp[[#This Row],[Nombre]]</f>
        <v>0:Alvaro Aguirre</v>
      </c>
      <c r="I2159" t="str">
        <f>+dHdcp[[#This Row],[Maximo]]&amp;":"&amp;_xlfn.XLOOKUP(dHdcp[[#This Row],[Nombre]],dJugador[Nombre],dJugador[Mote],"",0)</f>
        <v>0:Gifu</v>
      </c>
      <c r="J2159" t="str">
        <f>+IF(dHdcp[[#This Row],[Maximo]]=0,"",_xlfn.RANK.EQ(dHdcp[[#This Row],[Handicap]],dHdcp[Handicap],1))</f>
        <v/>
      </c>
      <c r="K2159" t="str">
        <f>IFERROR(+_xlfn.RANK.EQ(dHdcp[[#This Row],[Ranking]],dHdcp[Ranking],1),"")</f>
        <v/>
      </c>
      <c r="M2159" t="str">
        <f>+dHdcp[[#This Row],[Fecha]]&amp;":"&amp;dHdcp[[#This Row],[Nombre]]</f>
        <v>45479:Alvaro Aguirre</v>
      </c>
      <c r="N2159">
        <f>+COUNTIF(dHdcp[Columna1],dHdcp[[#This Row],[Columna1]])</f>
        <v>1</v>
      </c>
      <c r="Q2159" t="s">
        <v>2526</v>
      </c>
      <c r="R2159">
        <v>6.1</v>
      </c>
    </row>
    <row r="2160" spans="1:18">
      <c r="A2160" s="98">
        <v>45479</v>
      </c>
      <c r="B2160" s="46" t="s">
        <v>201</v>
      </c>
      <c r="C2160" s="104">
        <v>9.1</v>
      </c>
      <c r="D2160" s="46">
        <f>+VLOOKUP(dHdcp[[#This Row],[Handicap]],'Categoría Hdcap'!$B$2:$E$7,4)</f>
        <v>2</v>
      </c>
      <c r="E2160" s="46" t="s">
        <v>74</v>
      </c>
      <c r="F2160" s="92"/>
      <c r="G2160">
        <f>+IF(dHdcp[[#This Row],[Fecha]]=MAX(dHdcp[Fecha]),1,0)</f>
        <v>0</v>
      </c>
      <c r="H2160" t="str">
        <f>+dHdcp[[#This Row],[Maximo]]&amp;":"&amp;dHdcp[[#This Row],[Nombre]]</f>
        <v>0:Alvaro Montoya</v>
      </c>
      <c r="I2160" t="str">
        <f>+dHdcp[[#This Row],[Maximo]]&amp;":"&amp;_xlfn.XLOOKUP(dHdcp[[#This Row],[Nombre]],dJugador[Nombre],dJugador[Mote],"",0)</f>
        <v>0:Monti</v>
      </c>
      <c r="J2160" t="str">
        <f>+IF(dHdcp[[#This Row],[Maximo]]=0,"",_xlfn.RANK.EQ(dHdcp[[#This Row],[Handicap]],dHdcp[Handicap],1))</f>
        <v/>
      </c>
      <c r="K2160" t="str">
        <f>IFERROR(+_xlfn.RANK.EQ(dHdcp[[#This Row],[Ranking]],dHdcp[Ranking],1),"")</f>
        <v/>
      </c>
      <c r="M2160" t="str">
        <f>+dHdcp[[#This Row],[Fecha]]&amp;":"&amp;dHdcp[[#This Row],[Nombre]]</f>
        <v>45479:Alvaro Montoya</v>
      </c>
      <c r="N2160">
        <f>+COUNTIF(dHdcp[Columna1],dHdcp[[#This Row],[Columna1]])</f>
        <v>1</v>
      </c>
      <c r="Q2160" t="s">
        <v>2527</v>
      </c>
      <c r="R2160">
        <v>15.7</v>
      </c>
    </row>
    <row r="2161" spans="1:18">
      <c r="A2161" s="98">
        <v>45479</v>
      </c>
      <c r="B2161" s="46" t="s">
        <v>25</v>
      </c>
      <c r="C2161" s="104">
        <v>13.9</v>
      </c>
      <c r="D2161" s="46">
        <f>+VLOOKUP(dHdcp[[#This Row],[Handicap]],'Categoría Hdcap'!$B$2:$E$7,4)</f>
        <v>3</v>
      </c>
      <c r="E2161" s="46" t="s">
        <v>74</v>
      </c>
      <c r="F2161" s="92"/>
      <c r="G2161">
        <f>+IF(dHdcp[[#This Row],[Fecha]]=MAX(dHdcp[Fecha]),1,0)</f>
        <v>0</v>
      </c>
      <c r="H2161" t="str">
        <f>+dHdcp[[#This Row],[Maximo]]&amp;":"&amp;dHdcp[[#This Row],[Nombre]]</f>
        <v>0:Alvaro Nieto</v>
      </c>
      <c r="I2161" t="str">
        <f>+dHdcp[[#This Row],[Maximo]]&amp;":"&amp;_xlfn.XLOOKUP(dHdcp[[#This Row],[Nombre]],dJugador[Nombre],dJugador[Mote],"",0)</f>
        <v>0:Alvaro</v>
      </c>
      <c r="J2161" t="str">
        <f>+IF(dHdcp[[#This Row],[Maximo]]=0,"",_xlfn.RANK.EQ(dHdcp[[#This Row],[Handicap]],dHdcp[Handicap],1))</f>
        <v/>
      </c>
      <c r="K2161" t="str">
        <f>IFERROR(+_xlfn.RANK.EQ(dHdcp[[#This Row],[Ranking]],dHdcp[Ranking],1),"")</f>
        <v/>
      </c>
      <c r="M2161" t="str">
        <f>+dHdcp[[#This Row],[Fecha]]&amp;":"&amp;dHdcp[[#This Row],[Nombre]]</f>
        <v>45479:Alvaro Nieto</v>
      </c>
      <c r="N2161">
        <f>+COUNTIF(dHdcp[Columna1],dHdcp[[#This Row],[Columna1]])</f>
        <v>1</v>
      </c>
      <c r="Q2161" t="s">
        <v>2528</v>
      </c>
      <c r="R2161">
        <v>20.5</v>
      </c>
    </row>
    <row r="2162" spans="1:18">
      <c r="A2162" s="98">
        <v>45479</v>
      </c>
      <c r="B2162" s="46" t="s">
        <v>33</v>
      </c>
      <c r="C2162" s="104">
        <v>8.8000000000000007</v>
      </c>
      <c r="D2162" s="46">
        <f>+VLOOKUP(dHdcp[[#This Row],[Handicap]],'Categoría Hdcap'!$B$2:$E$7,4)</f>
        <v>2</v>
      </c>
      <c r="E2162" s="46" t="s">
        <v>74</v>
      </c>
      <c r="F2162" s="92"/>
      <c r="G2162">
        <f>+IF(dHdcp[[#This Row],[Fecha]]=MAX(dHdcp[Fecha]),1,0)</f>
        <v>0</v>
      </c>
      <c r="H2162" t="str">
        <f>+dHdcp[[#This Row],[Maximo]]&amp;":"&amp;dHdcp[[#This Row],[Nombre]]</f>
        <v>0:Angel Hernandez</v>
      </c>
      <c r="I2162" t="str">
        <f>+dHdcp[[#This Row],[Maximo]]&amp;":"&amp;_xlfn.XLOOKUP(dHdcp[[#This Row],[Nombre]],dJugador[Nombre],dJugador[Mote],"",0)</f>
        <v>0:Angel</v>
      </c>
      <c r="J2162" t="str">
        <f>+IF(dHdcp[[#This Row],[Maximo]]=0,"",_xlfn.RANK.EQ(dHdcp[[#This Row],[Handicap]],dHdcp[Handicap],1))</f>
        <v/>
      </c>
      <c r="K2162" t="str">
        <f>IFERROR(+_xlfn.RANK.EQ(dHdcp[[#This Row],[Ranking]],dHdcp[Ranking],1),"")</f>
        <v/>
      </c>
      <c r="M2162" t="str">
        <f>+dHdcp[[#This Row],[Fecha]]&amp;":"&amp;dHdcp[[#This Row],[Nombre]]</f>
        <v>45479:Angel Hernandez</v>
      </c>
      <c r="N2162">
        <f>+COUNTIF(dHdcp[Columna1],dHdcp[[#This Row],[Columna1]])</f>
        <v>1</v>
      </c>
      <c r="Q2162" t="s">
        <v>2529</v>
      </c>
      <c r="R2162">
        <v>8.8000000000000007</v>
      </c>
    </row>
    <row r="2163" spans="1:18">
      <c r="A2163" s="98">
        <v>45479</v>
      </c>
      <c r="B2163" s="46" t="s">
        <v>2469</v>
      </c>
      <c r="C2163" s="104">
        <v>11</v>
      </c>
      <c r="D2163" s="46">
        <f>+VLOOKUP(dHdcp[[#This Row],[Handicap]],'Categoría Hdcap'!$B$2:$E$7,4)</f>
        <v>2</v>
      </c>
      <c r="E2163" s="46" t="s">
        <v>74</v>
      </c>
      <c r="F2163" s="92"/>
      <c r="G2163">
        <f>+IF(dHdcp[[#This Row],[Fecha]]=MAX(dHdcp[Fecha]),1,0)</f>
        <v>0</v>
      </c>
      <c r="H2163" t="str">
        <f>+dHdcp[[#This Row],[Maximo]]&amp;":"&amp;dHdcp[[#This Row],[Nombre]]</f>
        <v>0:Angel Santana</v>
      </c>
      <c r="I2163" t="str">
        <f>+dHdcp[[#This Row],[Maximo]]&amp;":"&amp;_xlfn.XLOOKUP(dHdcp[[#This Row],[Nombre]],dJugador[Nombre],dJugador[Mote],"",0)</f>
        <v>0:A.Santana</v>
      </c>
      <c r="J2163" t="str">
        <f>+IF(dHdcp[[#This Row],[Maximo]]=0,"",_xlfn.RANK.EQ(dHdcp[[#This Row],[Handicap]],dHdcp[Handicap],1))</f>
        <v/>
      </c>
      <c r="K2163" t="str">
        <f>IFERROR(+_xlfn.RANK.EQ(dHdcp[[#This Row],[Ranking]],dHdcp[Ranking],1),"")</f>
        <v/>
      </c>
      <c r="M2163" t="str">
        <f>+dHdcp[[#This Row],[Fecha]]&amp;":"&amp;dHdcp[[#This Row],[Nombre]]</f>
        <v>45479:Angel Santana</v>
      </c>
      <c r="N2163">
        <f>+COUNTIF(dHdcp[Columna1],dHdcp[[#This Row],[Columna1]])</f>
        <v>1</v>
      </c>
      <c r="Q2163" t="s">
        <v>2530</v>
      </c>
      <c r="R2163">
        <v>12.5</v>
      </c>
    </row>
    <row r="2164" spans="1:18">
      <c r="A2164" s="98">
        <v>45479</v>
      </c>
      <c r="B2164" s="46" t="s">
        <v>264</v>
      </c>
      <c r="C2164" s="104">
        <v>20.6</v>
      </c>
      <c r="D2164" s="46">
        <f>+VLOOKUP(dHdcp[[#This Row],[Handicap]],'Categoría Hdcap'!$B$2:$E$7,4)</f>
        <v>4</v>
      </c>
      <c r="E2164" s="46" t="s">
        <v>74</v>
      </c>
      <c r="F2164" s="92"/>
      <c r="G2164">
        <f>+IF(dHdcp[[#This Row],[Fecha]]=MAX(dHdcp[Fecha]),1,0)</f>
        <v>0</v>
      </c>
      <c r="H2164" t="str">
        <f>+dHdcp[[#This Row],[Maximo]]&amp;":"&amp;dHdcp[[#This Row],[Nombre]]</f>
        <v>0:Antonio Carmona</v>
      </c>
      <c r="I2164" t="str">
        <f>+dHdcp[[#This Row],[Maximo]]&amp;":"&amp;_xlfn.XLOOKUP(dHdcp[[#This Row],[Nombre]],dJugador[Nombre],dJugador[Mote],"",0)</f>
        <v>0:Antonio</v>
      </c>
      <c r="J2164" t="str">
        <f>+IF(dHdcp[[#This Row],[Maximo]]=0,"",_xlfn.RANK.EQ(dHdcp[[#This Row],[Handicap]],dHdcp[Handicap],1))</f>
        <v/>
      </c>
      <c r="K2164" t="str">
        <f>IFERROR(+_xlfn.RANK.EQ(dHdcp[[#This Row],[Ranking]],dHdcp[Ranking],1),"")</f>
        <v/>
      </c>
      <c r="M2164" t="str">
        <f>+dHdcp[[#This Row],[Fecha]]&amp;":"&amp;dHdcp[[#This Row],[Nombre]]</f>
        <v>45479:Antonio Carmona</v>
      </c>
      <c r="N2164">
        <f>+COUNTIF(dHdcp[Columna1],dHdcp[[#This Row],[Columna1]])</f>
        <v>1</v>
      </c>
      <c r="Q2164" t="s">
        <v>2531</v>
      </c>
      <c r="R2164">
        <v>19</v>
      </c>
    </row>
    <row r="2165" spans="1:18">
      <c r="A2165" s="98">
        <v>45479</v>
      </c>
      <c r="B2165" s="46" t="s">
        <v>291</v>
      </c>
      <c r="C2165" s="104">
        <v>1.2</v>
      </c>
      <c r="D2165" s="46">
        <f>+VLOOKUP(dHdcp[[#This Row],[Handicap]],'Categoría Hdcap'!$B$2:$E$7,4)</f>
        <v>1</v>
      </c>
      <c r="E2165" s="46" t="s">
        <v>74</v>
      </c>
      <c r="F2165" s="92"/>
      <c r="G2165">
        <f>+IF(dHdcp[[#This Row],[Fecha]]=MAX(dHdcp[Fecha]),1,0)</f>
        <v>0</v>
      </c>
      <c r="H2165" t="str">
        <f>+dHdcp[[#This Row],[Maximo]]&amp;":"&amp;dHdcp[[#This Row],[Nombre]]</f>
        <v>0:Carlos Maestro</v>
      </c>
      <c r="I2165" t="str">
        <f>+dHdcp[[#This Row],[Maximo]]&amp;":"&amp;_xlfn.XLOOKUP(dHdcp[[#This Row],[Nombre]],dJugador[Nombre],dJugador[Mote],"",0)</f>
        <v>0:Carlitos</v>
      </c>
      <c r="J2165" t="str">
        <f>+IF(dHdcp[[#This Row],[Maximo]]=0,"",_xlfn.RANK.EQ(dHdcp[[#This Row],[Handicap]],dHdcp[Handicap],1))</f>
        <v/>
      </c>
      <c r="K2165" t="str">
        <f>IFERROR(+_xlfn.RANK.EQ(dHdcp[[#This Row],[Ranking]],dHdcp[Ranking],1),"")</f>
        <v/>
      </c>
      <c r="M2165" t="str">
        <f>+dHdcp[[#This Row],[Fecha]]&amp;":"&amp;dHdcp[[#This Row],[Nombre]]</f>
        <v>45479:Carlos Maestro</v>
      </c>
      <c r="N2165">
        <f>+COUNTIF(dHdcp[Columna1],dHdcp[[#This Row],[Columna1]])</f>
        <v>1</v>
      </c>
      <c r="Q2165" t="s">
        <v>2532</v>
      </c>
      <c r="R2165">
        <v>21.6</v>
      </c>
    </row>
    <row r="2166" spans="1:18">
      <c r="A2166" s="98">
        <v>45479</v>
      </c>
      <c r="B2166" s="46" t="s">
        <v>30</v>
      </c>
      <c r="C2166" s="104">
        <v>14</v>
      </c>
      <c r="D2166" s="46">
        <f>+VLOOKUP(dHdcp[[#This Row],[Handicap]],'Categoría Hdcap'!$B$2:$E$7,4)</f>
        <v>3</v>
      </c>
      <c r="E2166" s="46" t="s">
        <v>74</v>
      </c>
      <c r="F2166" s="92"/>
      <c r="G2166">
        <f>+IF(dHdcp[[#This Row],[Fecha]]=MAX(dHdcp[Fecha]),1,0)</f>
        <v>0</v>
      </c>
      <c r="H2166" t="str">
        <f>+dHdcp[[#This Row],[Maximo]]&amp;":"&amp;dHdcp[[#This Row],[Nombre]]</f>
        <v>0:David Sequera</v>
      </c>
      <c r="I2166" t="str">
        <f>+dHdcp[[#This Row],[Maximo]]&amp;":"&amp;_xlfn.XLOOKUP(dHdcp[[#This Row],[Nombre]],dJugador[Nombre],dJugador[Mote],"",0)</f>
        <v>0:David</v>
      </c>
      <c r="J2166" t="str">
        <f>+IF(dHdcp[[#This Row],[Maximo]]=0,"",_xlfn.RANK.EQ(dHdcp[[#This Row],[Handicap]],dHdcp[Handicap],1))</f>
        <v/>
      </c>
      <c r="K2166" t="str">
        <f>IFERROR(+_xlfn.RANK.EQ(dHdcp[[#This Row],[Ranking]],dHdcp[Ranking],1),"")</f>
        <v/>
      </c>
      <c r="M2166" t="str">
        <f>+dHdcp[[#This Row],[Fecha]]&amp;":"&amp;dHdcp[[#This Row],[Nombre]]</f>
        <v>45479:David Sequera</v>
      </c>
      <c r="N2166">
        <f>+COUNTIF(dHdcp[Columna1],dHdcp[[#This Row],[Columna1]])</f>
        <v>1</v>
      </c>
      <c r="Q2166" t="s">
        <v>2533</v>
      </c>
      <c r="R2166">
        <v>20.3</v>
      </c>
    </row>
    <row r="2167" spans="1:18">
      <c r="A2167" s="98">
        <v>45479</v>
      </c>
      <c r="B2167" s="46" t="s">
        <v>326</v>
      </c>
      <c r="C2167" s="104">
        <v>11.7</v>
      </c>
      <c r="D2167" s="46">
        <f>+VLOOKUP(dHdcp[[#This Row],[Handicap]],'Categoría Hdcap'!$B$2:$E$7,4)</f>
        <v>3</v>
      </c>
      <c r="E2167" s="46" t="s">
        <v>74</v>
      </c>
      <c r="F2167" s="92"/>
      <c r="G2167">
        <f>+IF(dHdcp[[#This Row],[Fecha]]=MAX(dHdcp[Fecha]),1,0)</f>
        <v>0</v>
      </c>
      <c r="H2167" t="str">
        <f>+dHdcp[[#This Row],[Maximo]]&amp;":"&amp;dHdcp[[#This Row],[Nombre]]</f>
        <v>0:Eduardo Buendía</v>
      </c>
      <c r="I2167" t="str">
        <f>+dHdcp[[#This Row],[Maximo]]&amp;":"&amp;_xlfn.XLOOKUP(dHdcp[[#This Row],[Nombre]],dJugador[Nombre],dJugador[Mote],"",0)</f>
        <v>0:Eduardo</v>
      </c>
      <c r="J2167" t="str">
        <f>+IF(dHdcp[[#This Row],[Maximo]]=0,"",_xlfn.RANK.EQ(dHdcp[[#This Row],[Handicap]],dHdcp[Handicap],1))</f>
        <v/>
      </c>
      <c r="K2167" t="str">
        <f>IFERROR(+_xlfn.RANK.EQ(dHdcp[[#This Row],[Ranking]],dHdcp[Ranking],1),"")</f>
        <v/>
      </c>
      <c r="M2167" t="str">
        <f>+dHdcp[[#This Row],[Fecha]]&amp;":"&amp;dHdcp[[#This Row],[Nombre]]</f>
        <v>45479:Eduardo Buendía</v>
      </c>
      <c r="N2167">
        <f>+COUNTIF(dHdcp[Columna1],dHdcp[[#This Row],[Columna1]])</f>
        <v>1</v>
      </c>
      <c r="Q2167" t="s">
        <v>2534</v>
      </c>
      <c r="R2167">
        <v>13.1</v>
      </c>
    </row>
    <row r="2168" spans="1:18">
      <c r="A2168" s="98">
        <v>45479</v>
      </c>
      <c r="B2168" s="46" t="s">
        <v>248</v>
      </c>
      <c r="C2168" s="104">
        <v>12.4</v>
      </c>
      <c r="D2168" s="46">
        <f>+VLOOKUP(dHdcp[[#This Row],[Handicap]],'Categoría Hdcap'!$B$2:$E$7,4)</f>
        <v>3</v>
      </c>
      <c r="E2168" s="46" t="s">
        <v>74</v>
      </c>
      <c r="F2168" s="92"/>
      <c r="G2168">
        <f>+IF(dHdcp[[#This Row],[Fecha]]=MAX(dHdcp[Fecha]),1,0)</f>
        <v>0</v>
      </c>
      <c r="H2168" t="str">
        <f>+dHdcp[[#This Row],[Maximo]]&amp;":"&amp;dHdcp[[#This Row],[Nombre]]</f>
        <v>0:Enrique Gonzalez R</v>
      </c>
      <c r="I2168" t="str">
        <f>+dHdcp[[#This Row],[Maximo]]&amp;":"&amp;_xlfn.XLOOKUP(dHdcp[[#This Row],[Nombre]],dJugador[Nombre],dJugador[Mote],"",0)</f>
        <v>0:Enrique</v>
      </c>
      <c r="J2168" t="str">
        <f>+IF(dHdcp[[#This Row],[Maximo]]=0,"",_xlfn.RANK.EQ(dHdcp[[#This Row],[Handicap]],dHdcp[Handicap],1))</f>
        <v/>
      </c>
      <c r="K2168" t="str">
        <f>IFERROR(+_xlfn.RANK.EQ(dHdcp[[#This Row],[Ranking]],dHdcp[Ranking],1),"")</f>
        <v/>
      </c>
      <c r="M2168" t="str">
        <f>+dHdcp[[#This Row],[Fecha]]&amp;":"&amp;dHdcp[[#This Row],[Nombre]]</f>
        <v>45479:Enrique Gonzalez R</v>
      </c>
      <c r="N2168">
        <f>+COUNTIF(dHdcp[Columna1],dHdcp[[#This Row],[Columna1]])</f>
        <v>1</v>
      </c>
      <c r="Q2168" t="s">
        <v>2535</v>
      </c>
      <c r="R2168">
        <v>26.5</v>
      </c>
    </row>
    <row r="2169" spans="1:18">
      <c r="A2169" s="98">
        <v>45479</v>
      </c>
      <c r="B2169" s="46" t="s">
        <v>12</v>
      </c>
      <c r="C2169" s="104">
        <v>15.2</v>
      </c>
      <c r="D2169" s="46">
        <f>+VLOOKUP(dHdcp[[#This Row],[Handicap]],'Categoría Hdcap'!$B$2:$E$7,4)</f>
        <v>3</v>
      </c>
      <c r="E2169" s="46" t="s">
        <v>74</v>
      </c>
      <c r="F2169" s="92"/>
      <c r="G2169">
        <f>+IF(dHdcp[[#This Row],[Fecha]]=MAX(dHdcp[Fecha]),1,0)</f>
        <v>0</v>
      </c>
      <c r="H2169" t="str">
        <f>+dHdcp[[#This Row],[Maximo]]&amp;":"&amp;dHdcp[[#This Row],[Nombre]]</f>
        <v>0:Francisco Alvarez</v>
      </c>
      <c r="I2169" t="str">
        <f>+dHdcp[[#This Row],[Maximo]]&amp;":"&amp;_xlfn.XLOOKUP(dHdcp[[#This Row],[Nombre]],dJugador[Nombre],dJugador[Mote],"",0)</f>
        <v>0:Paco</v>
      </c>
      <c r="J2169" t="str">
        <f>+IF(dHdcp[[#This Row],[Maximo]]=0,"",_xlfn.RANK.EQ(dHdcp[[#This Row],[Handicap]],dHdcp[Handicap],1))</f>
        <v/>
      </c>
      <c r="K2169" t="str">
        <f>IFERROR(+_xlfn.RANK.EQ(dHdcp[[#This Row],[Ranking]],dHdcp[Ranking],1),"")</f>
        <v/>
      </c>
      <c r="M2169" t="str">
        <f>+dHdcp[[#This Row],[Fecha]]&amp;":"&amp;dHdcp[[#This Row],[Nombre]]</f>
        <v>45479:Francisco Alvarez</v>
      </c>
      <c r="N2169">
        <f>+COUNTIF(dHdcp[Columna1],dHdcp[[#This Row],[Columna1]])</f>
        <v>1</v>
      </c>
      <c r="Q2169" t="s">
        <v>2536</v>
      </c>
      <c r="R2169">
        <v>19.399999999999999</v>
      </c>
    </row>
    <row r="2170" spans="1:18">
      <c r="A2170" s="98">
        <v>45479</v>
      </c>
      <c r="B2170" s="46" t="s">
        <v>49</v>
      </c>
      <c r="C2170" s="104">
        <v>13.1</v>
      </c>
      <c r="D2170" s="46">
        <f>+VLOOKUP(dHdcp[[#This Row],[Handicap]],'Categoría Hdcap'!$B$2:$E$7,4)</f>
        <v>3</v>
      </c>
      <c r="E2170" s="46" t="s">
        <v>74</v>
      </c>
      <c r="F2170" s="92"/>
      <c r="G2170">
        <f>+IF(dHdcp[[#This Row],[Fecha]]=MAX(dHdcp[Fecha]),1,0)</f>
        <v>0</v>
      </c>
      <c r="H2170" t="str">
        <f>+dHdcp[[#This Row],[Maximo]]&amp;":"&amp;dHdcp[[#This Row],[Nombre]]</f>
        <v>0:Francisco Hidalgo</v>
      </c>
      <c r="I2170" t="str">
        <f>+dHdcp[[#This Row],[Maximo]]&amp;":"&amp;_xlfn.XLOOKUP(dHdcp[[#This Row],[Nombre]],dJugador[Nombre],dJugador[Mote],"",0)</f>
        <v>0:Fran</v>
      </c>
      <c r="J2170" t="str">
        <f>+IF(dHdcp[[#This Row],[Maximo]]=0,"",_xlfn.RANK.EQ(dHdcp[[#This Row],[Handicap]],dHdcp[Handicap],1))</f>
        <v/>
      </c>
      <c r="K2170" t="str">
        <f>IFERROR(+_xlfn.RANK.EQ(dHdcp[[#This Row],[Ranking]],dHdcp[Ranking],1),"")</f>
        <v/>
      </c>
      <c r="M2170" t="str">
        <f>+dHdcp[[#This Row],[Fecha]]&amp;":"&amp;dHdcp[[#This Row],[Nombre]]</f>
        <v>45479:Francisco Hidalgo</v>
      </c>
      <c r="N2170">
        <f>+COUNTIF(dHdcp[Columna1],dHdcp[[#This Row],[Columna1]])</f>
        <v>1</v>
      </c>
      <c r="Q2170" t="s">
        <v>2537</v>
      </c>
      <c r="R2170">
        <v>19</v>
      </c>
    </row>
    <row r="2171" spans="1:18">
      <c r="A2171" s="98">
        <v>45479</v>
      </c>
      <c r="B2171" s="46" t="s">
        <v>207</v>
      </c>
      <c r="C2171" s="104">
        <v>15</v>
      </c>
      <c r="D2171" s="46">
        <f>+VLOOKUP(dHdcp[[#This Row],[Handicap]],'Categoría Hdcap'!$B$2:$E$7,4)</f>
        <v>3</v>
      </c>
      <c r="E2171" s="46" t="s">
        <v>74</v>
      </c>
      <c r="F2171" s="92"/>
      <c r="G2171">
        <f>+IF(dHdcp[[#This Row],[Fecha]]=MAX(dHdcp[Fecha]),1,0)</f>
        <v>0</v>
      </c>
      <c r="H2171" t="str">
        <f>+dHdcp[[#This Row],[Maximo]]&amp;":"&amp;dHdcp[[#This Row],[Nombre]]</f>
        <v>0:Franck Benouniche</v>
      </c>
      <c r="I2171" t="str">
        <f>+dHdcp[[#This Row],[Maximo]]&amp;":"&amp;_xlfn.XLOOKUP(dHdcp[[#This Row],[Nombre]],dJugador[Nombre],dJugador[Mote],"",0)</f>
        <v>0:Franck</v>
      </c>
      <c r="J2171" t="str">
        <f>+IF(dHdcp[[#This Row],[Maximo]]=0,"",_xlfn.RANK.EQ(dHdcp[[#This Row],[Handicap]],dHdcp[Handicap],1))</f>
        <v/>
      </c>
      <c r="K2171" t="str">
        <f>IFERROR(+_xlfn.RANK.EQ(dHdcp[[#This Row],[Ranking]],dHdcp[Ranking],1),"")</f>
        <v/>
      </c>
      <c r="M2171" t="str">
        <f>+dHdcp[[#This Row],[Fecha]]&amp;":"&amp;dHdcp[[#This Row],[Nombre]]</f>
        <v>45479:Franck Benouniche</v>
      </c>
      <c r="N2171">
        <f>+COUNTIF(dHdcp[Columna1],dHdcp[[#This Row],[Columna1]])</f>
        <v>1</v>
      </c>
      <c r="Q2171" t="s">
        <v>2538</v>
      </c>
      <c r="R2171">
        <v>13.9</v>
      </c>
    </row>
    <row r="2172" spans="1:18">
      <c r="A2172" s="98">
        <v>45479</v>
      </c>
      <c r="B2172" s="46" t="s">
        <v>35</v>
      </c>
      <c r="C2172" s="104">
        <v>20.3</v>
      </c>
      <c r="D2172" s="46">
        <f>+VLOOKUP(dHdcp[[#This Row],[Handicap]],'Categoría Hdcap'!$B$2:$E$7,4)</f>
        <v>4</v>
      </c>
      <c r="E2172" s="46" t="s">
        <v>74</v>
      </c>
      <c r="F2172" s="92"/>
      <c r="G2172">
        <f>+IF(dHdcp[[#This Row],[Fecha]]=MAX(dHdcp[Fecha]),1,0)</f>
        <v>0</v>
      </c>
      <c r="H2172" t="str">
        <f>+dHdcp[[#This Row],[Maximo]]&amp;":"&amp;dHdcp[[#This Row],[Nombre]]</f>
        <v>0:GLEZ JUAN JOSÉ</v>
      </c>
      <c r="I2172" t="str">
        <f>+dHdcp[[#This Row],[Maximo]]&amp;":"&amp;_xlfn.XLOOKUP(dHdcp[[#This Row],[Nombre]],dJugador[Nombre],dJugador[Mote],"",0)</f>
        <v>0:Juanjo</v>
      </c>
      <c r="J2172" t="str">
        <f>+IF(dHdcp[[#This Row],[Maximo]]=0,"",_xlfn.RANK.EQ(dHdcp[[#This Row],[Handicap]],dHdcp[Handicap],1))</f>
        <v/>
      </c>
      <c r="K2172" t="str">
        <f>IFERROR(+_xlfn.RANK.EQ(dHdcp[[#This Row],[Ranking]],dHdcp[Ranking],1),"")</f>
        <v/>
      </c>
      <c r="M2172" t="str">
        <f>+dHdcp[[#This Row],[Fecha]]&amp;":"&amp;dHdcp[[#This Row],[Nombre]]</f>
        <v>45479:GLEZ JUAN JOSÉ</v>
      </c>
      <c r="N2172">
        <f>+COUNTIF(dHdcp[Columna1],dHdcp[[#This Row],[Columna1]])</f>
        <v>1</v>
      </c>
      <c r="Q2172" t="s">
        <v>2539</v>
      </c>
      <c r="R2172">
        <v>20.2</v>
      </c>
    </row>
    <row r="2173" spans="1:18">
      <c r="A2173" s="98">
        <v>45479</v>
      </c>
      <c r="B2173" s="46" t="s">
        <v>6</v>
      </c>
      <c r="C2173" s="104">
        <v>7.9</v>
      </c>
      <c r="D2173" s="46">
        <f>+VLOOKUP(dHdcp[[#This Row],[Handicap]],'Categoría Hdcap'!$B$2:$E$7,4)</f>
        <v>2</v>
      </c>
      <c r="E2173" s="46" t="s">
        <v>74</v>
      </c>
      <c r="F2173" s="92"/>
      <c r="G2173">
        <f>+IF(dHdcp[[#This Row],[Fecha]]=MAX(dHdcp[Fecha]),1,0)</f>
        <v>0</v>
      </c>
      <c r="H2173" t="str">
        <f>+dHdcp[[#This Row],[Maximo]]&amp;":"&amp;dHdcp[[#This Row],[Nombre]]</f>
        <v>0:Ignacio Cadarso</v>
      </c>
      <c r="I2173" t="str">
        <f>+dHdcp[[#This Row],[Maximo]]&amp;":"&amp;_xlfn.XLOOKUP(dHdcp[[#This Row],[Nombre]],dJugador[Nombre],dJugador[Mote],"",0)</f>
        <v>0:Ignacio</v>
      </c>
      <c r="J2173" t="str">
        <f>+IF(dHdcp[[#This Row],[Maximo]]=0,"",_xlfn.RANK.EQ(dHdcp[[#This Row],[Handicap]],dHdcp[Handicap],1))</f>
        <v/>
      </c>
      <c r="K2173" t="str">
        <f>IFERROR(+_xlfn.RANK.EQ(dHdcp[[#This Row],[Ranking]],dHdcp[Ranking],1),"")</f>
        <v/>
      </c>
      <c r="M2173" t="str">
        <f>+dHdcp[[#This Row],[Fecha]]&amp;":"&amp;dHdcp[[#This Row],[Nombre]]</f>
        <v>45479:Ignacio Cadarso</v>
      </c>
      <c r="N2173">
        <f>+COUNTIF(dHdcp[Columna1],dHdcp[[#This Row],[Columna1]])</f>
        <v>1</v>
      </c>
    </row>
    <row r="2174" spans="1:18">
      <c r="A2174" s="98">
        <v>45479</v>
      </c>
      <c r="B2174" s="46" t="s">
        <v>298</v>
      </c>
      <c r="C2174" s="104">
        <v>23.7</v>
      </c>
      <c r="D2174" s="46">
        <f>+VLOOKUP(dHdcp[[#This Row],[Handicap]],'Categoría Hdcap'!$B$2:$E$7,4)</f>
        <v>4</v>
      </c>
      <c r="E2174" s="46" t="s">
        <v>74</v>
      </c>
      <c r="F2174" s="92"/>
      <c r="G2174">
        <f>+IF(dHdcp[[#This Row],[Fecha]]=MAX(dHdcp[Fecha]),1,0)</f>
        <v>0</v>
      </c>
      <c r="H2174" t="str">
        <f>+dHdcp[[#This Row],[Maximo]]&amp;":"&amp;dHdcp[[#This Row],[Nombre]]</f>
        <v>0:Ignacio Gracia Charlez</v>
      </c>
      <c r="I2174" t="str">
        <f>+dHdcp[[#This Row],[Maximo]]&amp;":"&amp;_xlfn.XLOOKUP(dHdcp[[#This Row],[Nombre]],dJugador[Nombre],dJugador[Mote],"",0)</f>
        <v>0:I Gracia</v>
      </c>
      <c r="J2174" t="str">
        <f>+IF(dHdcp[[#This Row],[Maximo]]=0,"",_xlfn.RANK.EQ(dHdcp[[#This Row],[Handicap]],dHdcp[Handicap],1))</f>
        <v/>
      </c>
      <c r="K2174" t="str">
        <f>IFERROR(+_xlfn.RANK.EQ(dHdcp[[#This Row],[Ranking]],dHdcp[Ranking],1),"")</f>
        <v/>
      </c>
      <c r="M2174" t="str">
        <f>+dHdcp[[#This Row],[Fecha]]&amp;":"&amp;dHdcp[[#This Row],[Nombre]]</f>
        <v>45479:Ignacio Gracia Charlez</v>
      </c>
      <c r="N2174">
        <f>+COUNTIF(dHdcp[Columna1],dHdcp[[#This Row],[Columna1]])</f>
        <v>1</v>
      </c>
    </row>
    <row r="2175" spans="1:18">
      <c r="A2175" s="98">
        <v>45479</v>
      </c>
      <c r="B2175" s="46" t="s">
        <v>23</v>
      </c>
      <c r="C2175" s="104">
        <v>19.8</v>
      </c>
      <c r="D2175" s="46">
        <f>+VLOOKUP(dHdcp[[#This Row],[Handicap]],'Categoría Hdcap'!$B$2:$E$7,4)</f>
        <v>4</v>
      </c>
      <c r="E2175" s="46" t="s">
        <v>74</v>
      </c>
      <c r="F2175" s="92"/>
      <c r="G2175">
        <f>+IF(dHdcp[[#This Row],[Fecha]]=MAX(dHdcp[Fecha]),1,0)</f>
        <v>0</v>
      </c>
      <c r="H2175" t="str">
        <f>+dHdcp[[#This Row],[Maximo]]&amp;":"&amp;dHdcp[[#This Row],[Nombre]]</f>
        <v>0:J. Enrique Gonzalez</v>
      </c>
      <c r="I2175" t="str">
        <f>+dHdcp[[#This Row],[Maximo]]&amp;":"&amp;_xlfn.XLOOKUP(dHdcp[[#This Row],[Nombre]],dJugador[Nombre],dJugador[Mote],"",0)</f>
        <v>0:Kike</v>
      </c>
      <c r="J2175" t="str">
        <f>+IF(dHdcp[[#This Row],[Maximo]]=0,"",_xlfn.RANK.EQ(dHdcp[[#This Row],[Handicap]],dHdcp[Handicap],1))</f>
        <v/>
      </c>
      <c r="K2175" t="str">
        <f>IFERROR(+_xlfn.RANK.EQ(dHdcp[[#This Row],[Ranking]],dHdcp[Ranking],1),"")</f>
        <v/>
      </c>
      <c r="M2175" t="str">
        <f>+dHdcp[[#This Row],[Fecha]]&amp;":"&amp;dHdcp[[#This Row],[Nombre]]</f>
        <v>45479:J. Enrique Gonzalez</v>
      </c>
      <c r="N2175">
        <f>+COUNTIF(dHdcp[Columna1],dHdcp[[#This Row],[Columna1]])</f>
        <v>1</v>
      </c>
    </row>
    <row r="2176" spans="1:18">
      <c r="A2176" s="98">
        <v>45479</v>
      </c>
      <c r="B2176" s="46" t="s">
        <v>289</v>
      </c>
      <c r="C2176" s="104">
        <v>9.1</v>
      </c>
      <c r="D2176" s="46">
        <f>+VLOOKUP(dHdcp[[#This Row],[Handicap]],'Categoría Hdcap'!$B$2:$E$7,4)</f>
        <v>2</v>
      </c>
      <c r="E2176" s="46" t="s">
        <v>74</v>
      </c>
      <c r="F2176" s="92"/>
      <c r="G2176">
        <f>+IF(dHdcp[[#This Row],[Fecha]]=MAX(dHdcp[Fecha]),1,0)</f>
        <v>0</v>
      </c>
      <c r="H2176" t="str">
        <f>+dHdcp[[#This Row],[Maximo]]&amp;":"&amp;dHdcp[[#This Row],[Nombre]]</f>
        <v>0:Jaime Villanueva</v>
      </c>
      <c r="I2176" t="str">
        <f>+dHdcp[[#This Row],[Maximo]]&amp;":"&amp;_xlfn.XLOOKUP(dHdcp[[#This Row],[Nombre]],dJugador[Nombre],dJugador[Mote],"",0)</f>
        <v>0:Villanueva</v>
      </c>
      <c r="J2176" t="str">
        <f>+IF(dHdcp[[#This Row],[Maximo]]=0,"",_xlfn.RANK.EQ(dHdcp[[#This Row],[Handicap]],dHdcp[Handicap],1))</f>
        <v/>
      </c>
      <c r="K2176" t="str">
        <f>IFERROR(+_xlfn.RANK.EQ(dHdcp[[#This Row],[Ranking]],dHdcp[Ranking],1),"")</f>
        <v/>
      </c>
      <c r="M2176" t="str">
        <f>+dHdcp[[#This Row],[Fecha]]&amp;":"&amp;dHdcp[[#This Row],[Nombre]]</f>
        <v>45479:Jaime Villanueva</v>
      </c>
      <c r="N2176">
        <f>+COUNTIF(dHdcp[Columna1],dHdcp[[#This Row],[Columna1]])</f>
        <v>1</v>
      </c>
    </row>
    <row r="2177" spans="1:14">
      <c r="A2177" s="98">
        <v>45479</v>
      </c>
      <c r="B2177" s="46" t="s">
        <v>328</v>
      </c>
      <c r="C2177" s="104">
        <v>11.3</v>
      </c>
      <c r="D2177" s="46">
        <f>+VLOOKUP(dHdcp[[#This Row],[Handicap]],'Categoría Hdcap'!$B$2:$E$7,4)</f>
        <v>2</v>
      </c>
      <c r="E2177" s="46" t="s">
        <v>74</v>
      </c>
      <c r="F2177" s="92"/>
      <c r="G2177">
        <f>+IF(dHdcp[[#This Row],[Fecha]]=MAX(dHdcp[Fecha]),1,0)</f>
        <v>0</v>
      </c>
      <c r="H2177" t="str">
        <f>+dHdcp[[#This Row],[Maximo]]&amp;":"&amp;dHdcp[[#This Row],[Nombre]]</f>
        <v>0:Javier Arcos</v>
      </c>
      <c r="I2177" t="str">
        <f>+dHdcp[[#This Row],[Maximo]]&amp;":"&amp;_xlfn.XLOOKUP(dHdcp[[#This Row],[Nombre]],dJugador[Nombre],dJugador[Mote],"",0)</f>
        <v>0:J.Arcos</v>
      </c>
      <c r="J2177" t="str">
        <f>+IF(dHdcp[[#This Row],[Maximo]]=0,"",_xlfn.RANK.EQ(dHdcp[[#This Row],[Handicap]],dHdcp[Handicap],1))</f>
        <v/>
      </c>
      <c r="K2177" t="str">
        <f>IFERROR(+_xlfn.RANK.EQ(dHdcp[[#This Row],[Ranking]],dHdcp[Ranking],1),"")</f>
        <v/>
      </c>
      <c r="M2177" t="str">
        <f>+dHdcp[[#This Row],[Fecha]]&amp;":"&amp;dHdcp[[#This Row],[Nombre]]</f>
        <v>45479:Javier Arcos</v>
      </c>
      <c r="N2177">
        <f>+COUNTIF(dHdcp[Columna1],dHdcp[[#This Row],[Columna1]])</f>
        <v>1</v>
      </c>
    </row>
    <row r="2178" spans="1:14">
      <c r="A2178" s="98">
        <v>45479</v>
      </c>
      <c r="B2178" s="46" t="s">
        <v>378</v>
      </c>
      <c r="C2178" s="104">
        <v>11.199999999999992</v>
      </c>
      <c r="D2178" s="46">
        <f>+VLOOKUP(dHdcp[[#This Row],[Handicap]],'Categoría Hdcap'!$B$2:$E$7,4)</f>
        <v>2</v>
      </c>
      <c r="E2178" s="46" t="s">
        <v>74</v>
      </c>
      <c r="F2178" s="92"/>
      <c r="G2178">
        <f>+IF(dHdcp[[#This Row],[Fecha]]=MAX(dHdcp[Fecha]),1,0)</f>
        <v>0</v>
      </c>
      <c r="H2178" t="str">
        <f>+dHdcp[[#This Row],[Maximo]]&amp;":"&amp;dHdcp[[#This Row],[Nombre]]</f>
        <v>0:Javier Campo</v>
      </c>
      <c r="I2178" t="str">
        <f>+dHdcp[[#This Row],[Maximo]]&amp;":"&amp;_xlfn.XLOOKUP(dHdcp[[#This Row],[Nombre]],dJugador[Nombre],dJugador[Mote],"",0)</f>
        <v>0:Campo</v>
      </c>
      <c r="J2178" t="str">
        <f>+IF(dHdcp[[#This Row],[Maximo]]=0,"",_xlfn.RANK.EQ(dHdcp[[#This Row],[Handicap]],dHdcp[Handicap],1))</f>
        <v/>
      </c>
      <c r="K2178" t="str">
        <f>IFERROR(+_xlfn.RANK.EQ(dHdcp[[#This Row],[Ranking]],dHdcp[Ranking],1),"")</f>
        <v/>
      </c>
      <c r="M2178" t="str">
        <f>+dHdcp[[#This Row],[Fecha]]&amp;":"&amp;dHdcp[[#This Row],[Nombre]]</f>
        <v>45479:Javier Campo</v>
      </c>
      <c r="N2178">
        <f>+COUNTIF(dHdcp[Columna1],dHdcp[[#This Row],[Columna1]])</f>
        <v>1</v>
      </c>
    </row>
    <row r="2179" spans="1:14">
      <c r="A2179" s="98">
        <v>45479</v>
      </c>
      <c r="B2179" s="46" t="s">
        <v>46</v>
      </c>
      <c r="C2179" s="104">
        <v>18.5</v>
      </c>
      <c r="D2179" s="46">
        <f>+VLOOKUP(dHdcp[[#This Row],[Handicap]],'Categoría Hdcap'!$B$2:$E$7,4)</f>
        <v>4</v>
      </c>
      <c r="E2179" s="46" t="s">
        <v>74</v>
      </c>
      <c r="F2179" s="92"/>
      <c r="G2179">
        <f>+IF(dHdcp[[#This Row],[Fecha]]=MAX(dHdcp[Fecha]),1,0)</f>
        <v>0</v>
      </c>
      <c r="H2179" t="str">
        <f>+dHdcp[[#This Row],[Maximo]]&amp;":"&amp;dHdcp[[#This Row],[Nombre]]</f>
        <v>0:Javier Cervera</v>
      </c>
      <c r="I2179" t="str">
        <f>+dHdcp[[#This Row],[Maximo]]&amp;":"&amp;_xlfn.XLOOKUP(dHdcp[[#This Row],[Nombre]],dJugador[Nombre],dJugador[Mote],"",0)</f>
        <v>0:Virus</v>
      </c>
      <c r="J2179" t="str">
        <f>+IF(dHdcp[[#This Row],[Maximo]]=0,"",_xlfn.RANK.EQ(dHdcp[[#This Row],[Handicap]],dHdcp[Handicap],1))</f>
        <v/>
      </c>
      <c r="K2179" t="str">
        <f>IFERROR(+_xlfn.RANK.EQ(dHdcp[[#This Row],[Ranking]],dHdcp[Ranking],1),"")</f>
        <v/>
      </c>
      <c r="M2179" t="str">
        <f>+dHdcp[[#This Row],[Fecha]]&amp;":"&amp;dHdcp[[#This Row],[Nombre]]</f>
        <v>45479:Javier Cervera</v>
      </c>
      <c r="N2179">
        <f>+COUNTIF(dHdcp[Columna1],dHdcp[[#This Row],[Columna1]])</f>
        <v>1</v>
      </c>
    </row>
    <row r="2180" spans="1:14">
      <c r="A2180" s="98">
        <v>45479</v>
      </c>
      <c r="B2180" s="46" t="s">
        <v>225</v>
      </c>
      <c r="C2180" s="104">
        <v>10.9</v>
      </c>
      <c r="D2180" s="46">
        <f>+VLOOKUP(dHdcp[[#This Row],[Handicap]],'Categoría Hdcap'!$B$2:$E$7,4)</f>
        <v>2</v>
      </c>
      <c r="E2180" s="46" t="s">
        <v>74</v>
      </c>
      <c r="F2180" s="92"/>
      <c r="G2180">
        <f>+IF(dHdcp[[#This Row],[Fecha]]=MAX(dHdcp[Fecha]),1,0)</f>
        <v>0</v>
      </c>
      <c r="H2180" t="str">
        <f>+dHdcp[[#This Row],[Maximo]]&amp;":"&amp;dHdcp[[#This Row],[Nombre]]</f>
        <v>0:Javier Chiralt</v>
      </c>
      <c r="I2180" t="str">
        <f>+dHdcp[[#This Row],[Maximo]]&amp;":"&amp;_xlfn.XLOOKUP(dHdcp[[#This Row],[Nombre]],dJugador[Nombre],dJugador[Mote],"",0)</f>
        <v>0:Chiralt</v>
      </c>
      <c r="J2180" t="str">
        <f>+IF(dHdcp[[#This Row],[Maximo]]=0,"",_xlfn.RANK.EQ(dHdcp[[#This Row],[Handicap]],dHdcp[Handicap],1))</f>
        <v/>
      </c>
      <c r="K2180" t="str">
        <f>IFERROR(+_xlfn.RANK.EQ(dHdcp[[#This Row],[Ranking]],dHdcp[Ranking],1),"")</f>
        <v/>
      </c>
      <c r="M2180" t="str">
        <f>+dHdcp[[#This Row],[Fecha]]&amp;":"&amp;dHdcp[[#This Row],[Nombre]]</f>
        <v>45479:Javier Chiralt</v>
      </c>
      <c r="N2180">
        <f>+COUNTIF(dHdcp[Columna1],dHdcp[[#This Row],[Columna1]])</f>
        <v>1</v>
      </c>
    </row>
    <row r="2181" spans="1:14">
      <c r="A2181" s="98">
        <v>45479</v>
      </c>
      <c r="B2181" s="46" t="s">
        <v>2466</v>
      </c>
      <c r="C2181" s="104">
        <v>17.5</v>
      </c>
      <c r="D2181" s="46">
        <f>+VLOOKUP(dHdcp[[#This Row],[Handicap]],'Categoría Hdcap'!$B$2:$E$7,4)</f>
        <v>3</v>
      </c>
      <c r="E2181" s="46" t="s">
        <v>74</v>
      </c>
      <c r="F2181" s="92"/>
      <c r="G2181">
        <f>+IF(dHdcp[[#This Row],[Fecha]]=MAX(dHdcp[Fecha]),1,0)</f>
        <v>0</v>
      </c>
      <c r="H2181" t="str">
        <f>+dHdcp[[#This Row],[Maximo]]&amp;":"&amp;dHdcp[[#This Row],[Nombre]]</f>
        <v>0:Javier Dodero de Solano</v>
      </c>
      <c r="I2181" t="str">
        <f>+dHdcp[[#This Row],[Maximo]]&amp;":"&amp;_xlfn.XLOOKUP(dHdcp[[#This Row],[Nombre]],dJugador[Nombre],dJugador[Mote],"",0)</f>
        <v>0:Dodero</v>
      </c>
      <c r="J2181" t="str">
        <f>+IF(dHdcp[[#This Row],[Maximo]]=0,"",_xlfn.RANK.EQ(dHdcp[[#This Row],[Handicap]],dHdcp[Handicap],1))</f>
        <v/>
      </c>
      <c r="K2181" t="str">
        <f>IFERROR(+_xlfn.RANK.EQ(dHdcp[[#This Row],[Ranking]],dHdcp[Ranking],1),"")</f>
        <v/>
      </c>
      <c r="M2181" t="str">
        <f>+dHdcp[[#This Row],[Fecha]]&amp;":"&amp;dHdcp[[#This Row],[Nombre]]</f>
        <v>45479:Javier Dodero de Solano</v>
      </c>
      <c r="N2181">
        <f>+COUNTIF(dHdcp[Columna1],dHdcp[[#This Row],[Columna1]])</f>
        <v>1</v>
      </c>
    </row>
    <row r="2182" spans="1:14">
      <c r="A2182" s="98">
        <v>45479</v>
      </c>
      <c r="B2182" s="46" t="s">
        <v>20</v>
      </c>
      <c r="C2182" s="104">
        <v>18.899999999999999</v>
      </c>
      <c r="D2182" s="46">
        <f>+VLOOKUP(dHdcp[[#This Row],[Handicap]],'Categoría Hdcap'!$B$2:$E$7,4)</f>
        <v>4</v>
      </c>
      <c r="E2182" s="46" t="s">
        <v>74</v>
      </c>
      <c r="F2182" s="92"/>
      <c r="G2182">
        <f>+IF(dHdcp[[#This Row],[Fecha]]=MAX(dHdcp[Fecha]),1,0)</f>
        <v>0</v>
      </c>
      <c r="H2182" t="str">
        <f>+dHdcp[[#This Row],[Maximo]]&amp;":"&amp;dHdcp[[#This Row],[Nombre]]</f>
        <v>0:Javier Gonzalez Salvador</v>
      </c>
      <c r="I2182" t="str">
        <f>+dHdcp[[#This Row],[Maximo]]&amp;":"&amp;_xlfn.XLOOKUP(dHdcp[[#This Row],[Nombre]],dJugador[Nombre],dJugador[Mote],"",0)</f>
        <v>0:Javi</v>
      </c>
      <c r="J2182" t="str">
        <f>+IF(dHdcp[[#This Row],[Maximo]]=0,"",_xlfn.RANK.EQ(dHdcp[[#This Row],[Handicap]],dHdcp[Handicap],1))</f>
        <v/>
      </c>
      <c r="K2182" t="str">
        <f>IFERROR(+_xlfn.RANK.EQ(dHdcp[[#This Row],[Ranking]],dHdcp[Ranking],1),"")</f>
        <v/>
      </c>
      <c r="M2182" t="str">
        <f>+dHdcp[[#This Row],[Fecha]]&amp;":"&amp;dHdcp[[#This Row],[Nombre]]</f>
        <v>45479:Javier Gonzalez Salvador</v>
      </c>
      <c r="N2182">
        <f>+COUNTIF(dHdcp[Columna1],dHdcp[[#This Row],[Columna1]])</f>
        <v>1</v>
      </c>
    </row>
    <row r="2183" spans="1:14">
      <c r="A2183" s="98">
        <v>45479</v>
      </c>
      <c r="B2183" s="46" t="s">
        <v>217</v>
      </c>
      <c r="C2183" s="104">
        <v>20.9</v>
      </c>
      <c r="D2183" s="46">
        <f>+VLOOKUP(dHdcp[[#This Row],[Handicap]],'Categoría Hdcap'!$B$2:$E$7,4)</f>
        <v>4</v>
      </c>
      <c r="E2183" s="46" t="s">
        <v>74</v>
      </c>
      <c r="F2183" s="92"/>
      <c r="G2183">
        <f>+IF(dHdcp[[#This Row],[Fecha]]=MAX(dHdcp[Fecha]),1,0)</f>
        <v>0</v>
      </c>
      <c r="H2183" t="str">
        <f>+dHdcp[[#This Row],[Maximo]]&amp;":"&amp;dHdcp[[#This Row],[Nombre]]</f>
        <v>0:Javier Lopez Gullón</v>
      </c>
      <c r="I2183" t="str">
        <f>+dHdcp[[#This Row],[Maximo]]&amp;":"&amp;_xlfn.XLOOKUP(dHdcp[[#This Row],[Nombre]],dJugador[Nombre],dJugador[Mote],"",0)</f>
        <v>0:Cuñao</v>
      </c>
      <c r="J2183" t="str">
        <f>+IF(dHdcp[[#This Row],[Maximo]]=0,"",_xlfn.RANK.EQ(dHdcp[[#This Row],[Handicap]],dHdcp[Handicap],1))</f>
        <v/>
      </c>
      <c r="K2183" t="str">
        <f>IFERROR(+_xlfn.RANK.EQ(dHdcp[[#This Row],[Ranking]],dHdcp[Ranking],1),"")</f>
        <v/>
      </c>
      <c r="M2183" t="str">
        <f>+dHdcp[[#This Row],[Fecha]]&amp;":"&amp;dHdcp[[#This Row],[Nombre]]</f>
        <v>45479:Javier Lopez Gullón</v>
      </c>
      <c r="N2183">
        <f>+COUNTIF(dHdcp[Columna1],dHdcp[[#This Row],[Columna1]])</f>
        <v>1</v>
      </c>
    </row>
    <row r="2184" spans="1:14">
      <c r="A2184" s="98">
        <v>45479</v>
      </c>
      <c r="B2184" s="46" t="s">
        <v>41</v>
      </c>
      <c r="C2184" s="104">
        <v>21.3</v>
      </c>
      <c r="D2184" s="46">
        <f>+VLOOKUP(dHdcp[[#This Row],[Handicap]],'Categoría Hdcap'!$B$2:$E$7,4)</f>
        <v>4</v>
      </c>
      <c r="E2184" s="46" t="s">
        <v>74</v>
      </c>
      <c r="F2184" s="92"/>
      <c r="G2184">
        <f>+IF(dHdcp[[#This Row],[Fecha]]=MAX(dHdcp[Fecha]),1,0)</f>
        <v>0</v>
      </c>
      <c r="H2184" t="str">
        <f>+dHdcp[[#This Row],[Maximo]]&amp;":"&amp;dHdcp[[#This Row],[Nombre]]</f>
        <v>0:Jesus Touceda</v>
      </c>
      <c r="I2184" t="str">
        <f>+dHdcp[[#This Row],[Maximo]]&amp;":"&amp;_xlfn.XLOOKUP(dHdcp[[#This Row],[Nombre]],dJugador[Nombre],dJugador[Mote],"",0)</f>
        <v>0:Jesús</v>
      </c>
      <c r="J2184" t="str">
        <f>+IF(dHdcp[[#This Row],[Maximo]]=0,"",_xlfn.RANK.EQ(dHdcp[[#This Row],[Handicap]],dHdcp[Handicap],1))</f>
        <v/>
      </c>
      <c r="K2184" t="str">
        <f>IFERROR(+_xlfn.RANK.EQ(dHdcp[[#This Row],[Ranking]],dHdcp[Ranking],1),"")</f>
        <v/>
      </c>
      <c r="M2184" t="str">
        <f>+dHdcp[[#This Row],[Fecha]]&amp;":"&amp;dHdcp[[#This Row],[Nombre]]</f>
        <v>45479:Jesus Touceda</v>
      </c>
      <c r="N2184">
        <f>+COUNTIF(dHdcp[Columna1],dHdcp[[#This Row],[Columna1]])</f>
        <v>1</v>
      </c>
    </row>
    <row r="2185" spans="1:14">
      <c r="A2185" s="98">
        <v>45479</v>
      </c>
      <c r="B2185" s="46" t="s">
        <v>297</v>
      </c>
      <c r="C2185" s="104">
        <v>20.100000000000001</v>
      </c>
      <c r="D2185" s="46">
        <f>+VLOOKUP(dHdcp[[#This Row],[Handicap]],'Categoría Hdcap'!$B$2:$E$7,4)</f>
        <v>4</v>
      </c>
      <c r="E2185" s="46" t="s">
        <v>74</v>
      </c>
      <c r="F2185" s="92"/>
      <c r="G2185">
        <f>+IF(dHdcp[[#This Row],[Fecha]]=MAX(dHdcp[Fecha]),1,0)</f>
        <v>0</v>
      </c>
      <c r="H2185" t="str">
        <f>+dHdcp[[#This Row],[Maximo]]&amp;":"&amp;dHdcp[[#This Row],[Nombre]]</f>
        <v>0:Jorge Alberto Martínez Sánchez</v>
      </c>
      <c r="I2185" t="str">
        <f>+dHdcp[[#This Row],[Maximo]]&amp;":"&amp;_xlfn.XLOOKUP(dHdcp[[#This Row],[Nombre]],dJugador[Nombre],dJugador[Mote],"",0)</f>
        <v>0:Jorge</v>
      </c>
      <c r="J2185" t="str">
        <f>+IF(dHdcp[[#This Row],[Maximo]]=0,"",_xlfn.RANK.EQ(dHdcp[[#This Row],[Handicap]],dHdcp[Handicap],1))</f>
        <v/>
      </c>
      <c r="K2185" t="str">
        <f>IFERROR(+_xlfn.RANK.EQ(dHdcp[[#This Row],[Ranking]],dHdcp[Ranking],1),"")</f>
        <v/>
      </c>
      <c r="M2185" t="str">
        <f>+dHdcp[[#This Row],[Fecha]]&amp;":"&amp;dHdcp[[#This Row],[Nombre]]</f>
        <v>45479:Jorge Alberto Martínez Sánchez</v>
      </c>
      <c r="N2185">
        <f>+COUNTIF(dHdcp[Columna1],dHdcp[[#This Row],[Columna1]])</f>
        <v>1</v>
      </c>
    </row>
    <row r="2186" spans="1:14">
      <c r="A2186" s="98">
        <v>45479</v>
      </c>
      <c r="B2186" t="s">
        <v>2540</v>
      </c>
      <c r="C2186" s="51">
        <v>20.2</v>
      </c>
      <c r="D2186" s="46">
        <f>+VLOOKUP(dHdcp[[#This Row],[Handicap]],'Categoría Hdcap'!$B$2:$E$7,4)</f>
        <v>4</v>
      </c>
      <c r="E2186" t="s">
        <v>74</v>
      </c>
      <c r="F2186" s="92"/>
      <c r="G2186">
        <f>+IF(dHdcp[[#This Row],[Fecha]]=MAX(dHdcp[Fecha]),1,0)</f>
        <v>0</v>
      </c>
      <c r="H2186" t="str">
        <f>+dHdcp[[#This Row],[Maximo]]&amp;":"&amp;dHdcp[[#This Row],[Nombre]]</f>
        <v>0:Jorge Maestro Aguilera</v>
      </c>
      <c r="I2186" t="str">
        <f>+dHdcp[[#This Row],[Maximo]]&amp;":"&amp;_xlfn.XLOOKUP(dHdcp[[#This Row],[Nombre]],dJugador[Nombre],dJugador[Mote],"",0)</f>
        <v>0:JMaestro</v>
      </c>
      <c r="J2186" t="str">
        <f>+IF(dHdcp[[#This Row],[Maximo]]=0,"",_xlfn.RANK.EQ(dHdcp[[#This Row],[Handicap]],dHdcp[Handicap],1))</f>
        <v/>
      </c>
      <c r="K2186" t="str">
        <f>IFERROR(+_xlfn.RANK.EQ(dHdcp[[#This Row],[Ranking]],dHdcp[Ranking],1),"")</f>
        <v/>
      </c>
      <c r="M2186" t="str">
        <f>+dHdcp[[#This Row],[Fecha]]&amp;":"&amp;dHdcp[[#This Row],[Nombre]]</f>
        <v>45479:Jorge Maestro Aguilera</v>
      </c>
      <c r="N2186">
        <f>+COUNTIF(dHdcp[Columna1],dHdcp[[#This Row],[Columna1]])</f>
        <v>1</v>
      </c>
    </row>
    <row r="2187" spans="1:14">
      <c r="A2187" s="98">
        <v>45479</v>
      </c>
      <c r="B2187" s="46" t="s">
        <v>388</v>
      </c>
      <c r="C2187" s="104">
        <v>26.2</v>
      </c>
      <c r="D2187" s="46">
        <f>+VLOOKUP(dHdcp[[#This Row],[Handicap]],'Categoría Hdcap'!$B$2:$E$7,4)</f>
        <v>4</v>
      </c>
      <c r="E2187" s="46" t="s">
        <v>74</v>
      </c>
      <c r="F2187" s="92"/>
      <c r="G2187">
        <f>+IF(dHdcp[[#This Row],[Fecha]]=MAX(dHdcp[Fecha]),1,0)</f>
        <v>0</v>
      </c>
      <c r="H2187" t="str">
        <f>+dHdcp[[#This Row],[Maximo]]&amp;":"&amp;dHdcp[[#This Row],[Nombre]]</f>
        <v>0:Jose Antonio Santana</v>
      </c>
      <c r="I2187" t="str">
        <f>+dHdcp[[#This Row],[Maximo]]&amp;":"&amp;_xlfn.XLOOKUP(dHdcp[[#This Row],[Nombre]],dJugador[Nombre],dJugador[Mote],"",0)</f>
        <v>0:J Antonio</v>
      </c>
      <c r="J2187" t="str">
        <f>+IF(dHdcp[[#This Row],[Maximo]]=0,"",_xlfn.RANK.EQ(dHdcp[[#This Row],[Handicap]],dHdcp[Handicap],1))</f>
        <v/>
      </c>
      <c r="K2187" t="str">
        <f>IFERROR(+_xlfn.RANK.EQ(dHdcp[[#This Row],[Ranking]],dHdcp[Ranking],1),"")</f>
        <v/>
      </c>
      <c r="M2187" t="str">
        <f>+dHdcp[[#This Row],[Fecha]]&amp;":"&amp;dHdcp[[#This Row],[Nombre]]</f>
        <v>45479:Jose Antonio Santana</v>
      </c>
      <c r="N2187">
        <f>+COUNTIF(dHdcp[Columna1],dHdcp[[#This Row],[Columna1]])</f>
        <v>1</v>
      </c>
    </row>
    <row r="2188" spans="1:14">
      <c r="A2188" s="98">
        <v>45479</v>
      </c>
      <c r="B2188" s="46" t="s">
        <v>18</v>
      </c>
      <c r="C2188" s="104">
        <v>8.6</v>
      </c>
      <c r="D2188" s="46">
        <f>+VLOOKUP(dHdcp[[#This Row],[Handicap]],'Categoría Hdcap'!$B$2:$E$7,4)</f>
        <v>2</v>
      </c>
      <c r="E2188" s="46" t="s">
        <v>74</v>
      </c>
      <c r="F2188" s="92"/>
      <c r="G2188">
        <f>+IF(dHdcp[[#This Row],[Fecha]]=MAX(dHdcp[Fecha]),1,0)</f>
        <v>0</v>
      </c>
      <c r="H2188" t="str">
        <f>+dHdcp[[#This Row],[Maximo]]&amp;":"&amp;dHdcp[[#This Row],[Nombre]]</f>
        <v>0:José Pablo Guil</v>
      </c>
      <c r="I2188" t="str">
        <f>+dHdcp[[#This Row],[Maximo]]&amp;":"&amp;_xlfn.XLOOKUP(dHdcp[[#This Row],[Nombre]],dJugador[Nombre],dJugador[Mote],"",0)</f>
        <v>0:JP</v>
      </c>
      <c r="J2188" t="str">
        <f>+IF(dHdcp[[#This Row],[Maximo]]=0,"",_xlfn.RANK.EQ(dHdcp[[#This Row],[Handicap]],dHdcp[Handicap],1))</f>
        <v/>
      </c>
      <c r="K2188" t="str">
        <f>IFERROR(+_xlfn.RANK.EQ(dHdcp[[#This Row],[Ranking]],dHdcp[Ranking],1),"")</f>
        <v/>
      </c>
      <c r="M2188" t="str">
        <f>+dHdcp[[#This Row],[Fecha]]&amp;":"&amp;dHdcp[[#This Row],[Nombre]]</f>
        <v>45479:José Pablo Guil</v>
      </c>
      <c r="N2188">
        <f>+COUNTIF(dHdcp[Columna1],dHdcp[[#This Row],[Columna1]])</f>
        <v>1</v>
      </c>
    </row>
    <row r="2189" spans="1:14">
      <c r="A2189" s="98">
        <v>45479</v>
      </c>
      <c r="B2189" s="46" t="s">
        <v>293</v>
      </c>
      <c r="C2189" s="104">
        <v>17.2</v>
      </c>
      <c r="D2189" s="46">
        <f>+VLOOKUP(dHdcp[[#This Row],[Handicap]],'Categoría Hdcap'!$B$2:$E$7,4)</f>
        <v>3</v>
      </c>
      <c r="E2189" s="46" t="s">
        <v>74</v>
      </c>
      <c r="F2189" s="92"/>
      <c r="G2189">
        <f>+IF(dHdcp[[#This Row],[Fecha]]=MAX(dHdcp[Fecha]),1,0)</f>
        <v>0</v>
      </c>
      <c r="H2189" t="str">
        <f>+dHdcp[[#This Row],[Maximo]]&amp;":"&amp;dHdcp[[#This Row],[Nombre]]</f>
        <v>0:Juan Jose Aguado</v>
      </c>
      <c r="I2189" t="str">
        <f>+dHdcp[[#This Row],[Maximo]]&amp;":"&amp;_xlfn.XLOOKUP(dHdcp[[#This Row],[Nombre]],dJugador[Nombre],dJugador[Mote],"",0)</f>
        <v>0:Juancho</v>
      </c>
      <c r="J2189" t="str">
        <f>+IF(dHdcp[[#This Row],[Maximo]]=0,"",_xlfn.RANK.EQ(dHdcp[[#This Row],[Handicap]],dHdcp[Handicap],1))</f>
        <v/>
      </c>
      <c r="K2189" t="str">
        <f>IFERROR(+_xlfn.RANK.EQ(dHdcp[[#This Row],[Ranking]],dHdcp[Ranking],1),"")</f>
        <v/>
      </c>
      <c r="M2189" t="str">
        <f>+dHdcp[[#This Row],[Fecha]]&amp;":"&amp;dHdcp[[#This Row],[Nombre]]</f>
        <v>45479:Juan Jose Aguado</v>
      </c>
      <c r="N2189">
        <f>+COUNTIF(dHdcp[Columna1],dHdcp[[#This Row],[Columna1]])</f>
        <v>1</v>
      </c>
    </row>
    <row r="2190" spans="1:14">
      <c r="A2190" s="98">
        <v>45479</v>
      </c>
      <c r="B2190" t="s">
        <v>2516</v>
      </c>
      <c r="C2190" s="104">
        <v>20.3</v>
      </c>
      <c r="D2190" s="46">
        <f>+VLOOKUP(dHdcp[[#This Row],[Handicap]],'Categoría Hdcap'!$B$2:$E$7,4)</f>
        <v>4</v>
      </c>
      <c r="E2190" s="46" t="s">
        <v>74</v>
      </c>
      <c r="F2190" s="92"/>
      <c r="G2190">
        <f>+IF(dHdcp[[#This Row],[Fecha]]=MAX(dHdcp[Fecha]),1,0)</f>
        <v>0</v>
      </c>
      <c r="H2190" t="str">
        <f>+dHdcp[[#This Row],[Maximo]]&amp;":"&amp;dHdcp[[#This Row],[Nombre]]</f>
        <v>0:Juan Sanz</v>
      </c>
      <c r="I2190" t="str">
        <f>+dHdcp[[#This Row],[Maximo]]&amp;":"&amp;_xlfn.XLOOKUP(dHdcp[[#This Row],[Nombre]],dJugador[Nombre],dJugador[Mote],"",0)</f>
        <v>0:JuanSanz</v>
      </c>
      <c r="J2190" t="str">
        <f>+IF(dHdcp[[#This Row],[Maximo]]=0,"",_xlfn.RANK.EQ(dHdcp[[#This Row],[Handicap]],dHdcp[Handicap],1))</f>
        <v/>
      </c>
      <c r="K2190" t="str">
        <f>IFERROR(+_xlfn.RANK.EQ(dHdcp[[#This Row],[Ranking]],dHdcp[Ranking],1),"")</f>
        <v/>
      </c>
      <c r="M2190" t="str">
        <f>+dHdcp[[#This Row],[Fecha]]&amp;":"&amp;dHdcp[[#This Row],[Nombre]]</f>
        <v>45479:Juan Sanz</v>
      </c>
      <c r="N2190">
        <f>+COUNTIF(dHdcp[Columna1],dHdcp[[#This Row],[Columna1]])</f>
        <v>1</v>
      </c>
    </row>
    <row r="2191" spans="1:14">
      <c r="A2191" s="98">
        <v>45479</v>
      </c>
      <c r="B2191" s="46" t="s">
        <v>375</v>
      </c>
      <c r="C2191" s="104">
        <v>10.1</v>
      </c>
      <c r="D2191" s="46">
        <f>+VLOOKUP(dHdcp[[#This Row],[Handicap]],'Categoría Hdcap'!$B$2:$E$7,4)</f>
        <v>2</v>
      </c>
      <c r="E2191" s="46" t="s">
        <v>74</v>
      </c>
      <c r="F2191" s="92"/>
      <c r="G2191">
        <f>+IF(dHdcp[[#This Row],[Fecha]]=MAX(dHdcp[Fecha]),1,0)</f>
        <v>0</v>
      </c>
      <c r="H2191" t="str">
        <f>+dHdcp[[#This Row],[Maximo]]&amp;":"&amp;dHdcp[[#This Row],[Nombre]]</f>
        <v>0:Luis Fernandez</v>
      </c>
      <c r="I2191" t="str">
        <f>+dHdcp[[#This Row],[Maximo]]&amp;":"&amp;_xlfn.XLOOKUP(dHdcp[[#This Row],[Nombre]],dJugador[Nombre],dJugador[Mote],"",0)</f>
        <v>0:Luis</v>
      </c>
      <c r="J2191" t="str">
        <f>+IF(dHdcp[[#This Row],[Maximo]]=0,"",_xlfn.RANK.EQ(dHdcp[[#This Row],[Handicap]],dHdcp[Handicap],1))</f>
        <v/>
      </c>
      <c r="K2191" t="str">
        <f>IFERROR(+_xlfn.RANK.EQ(dHdcp[[#This Row],[Ranking]],dHdcp[Ranking],1),"")</f>
        <v/>
      </c>
      <c r="M2191" t="str">
        <f>+dHdcp[[#This Row],[Fecha]]&amp;":"&amp;dHdcp[[#This Row],[Nombre]]</f>
        <v>45479:Luis Fernandez</v>
      </c>
      <c r="N2191">
        <f>+COUNTIF(dHdcp[Columna1],dHdcp[[#This Row],[Columna1]])</f>
        <v>1</v>
      </c>
    </row>
    <row r="2192" spans="1:14">
      <c r="A2192" s="98">
        <v>45479</v>
      </c>
      <c r="B2192" s="46" t="s">
        <v>135</v>
      </c>
      <c r="C2192" s="104">
        <v>18.600000000000001</v>
      </c>
      <c r="D2192" s="46">
        <f>+VLOOKUP(dHdcp[[#This Row],[Handicap]],'Categoría Hdcap'!$B$2:$E$7,4)</f>
        <v>4</v>
      </c>
      <c r="E2192" s="46" t="s">
        <v>74</v>
      </c>
      <c r="F2192" s="92"/>
      <c r="G2192">
        <f>+IF(dHdcp[[#This Row],[Fecha]]=MAX(dHdcp[Fecha]),1,0)</f>
        <v>0</v>
      </c>
      <c r="H2192" t="str">
        <f>+dHdcp[[#This Row],[Maximo]]&amp;":"&amp;dHdcp[[#This Row],[Nombre]]</f>
        <v>0:Miche Lopez</v>
      </c>
      <c r="I2192" t="str">
        <f>+dHdcp[[#This Row],[Maximo]]&amp;":"&amp;_xlfn.XLOOKUP(dHdcp[[#This Row],[Nombre]],dJugador[Nombre],dJugador[Mote],"",0)</f>
        <v>0:Miche</v>
      </c>
      <c r="J2192" t="str">
        <f>+IF(dHdcp[[#This Row],[Maximo]]=0,"",_xlfn.RANK.EQ(dHdcp[[#This Row],[Handicap]],dHdcp[Handicap],1))</f>
        <v/>
      </c>
      <c r="K2192" t="str">
        <f>IFERROR(+_xlfn.RANK.EQ(dHdcp[[#This Row],[Ranking]],dHdcp[Ranking],1),"")</f>
        <v/>
      </c>
      <c r="M2192" t="str">
        <f>+dHdcp[[#This Row],[Fecha]]&amp;":"&amp;dHdcp[[#This Row],[Nombre]]</f>
        <v>45479:Miche Lopez</v>
      </c>
      <c r="N2192">
        <f>+COUNTIF(dHdcp[Columna1],dHdcp[[#This Row],[Columna1]])</f>
        <v>1</v>
      </c>
    </row>
    <row r="2193" spans="1:14">
      <c r="A2193" s="98">
        <v>45479</v>
      </c>
      <c r="B2193" s="46" t="s">
        <v>205</v>
      </c>
      <c r="C2193" s="104">
        <v>5.9</v>
      </c>
      <c r="D2193" s="46">
        <f>+VLOOKUP(dHdcp[[#This Row],[Handicap]],'Categoría Hdcap'!$B$2:$E$7,4)</f>
        <v>2</v>
      </c>
      <c r="E2193" s="46" t="s">
        <v>74</v>
      </c>
      <c r="F2193" s="92"/>
      <c r="G2193">
        <f>+IF(dHdcp[[#This Row],[Fecha]]=MAX(dHdcp[Fecha]),1,0)</f>
        <v>0</v>
      </c>
      <c r="H2193" t="str">
        <f>+dHdcp[[#This Row],[Maximo]]&amp;":"&amp;dHdcp[[#This Row],[Nombre]]</f>
        <v>0:Nacho Casas</v>
      </c>
      <c r="I2193" t="str">
        <f>+dHdcp[[#This Row],[Maximo]]&amp;":"&amp;_xlfn.XLOOKUP(dHdcp[[#This Row],[Nombre]],dJugador[Nombre],dJugador[Mote],"",0)</f>
        <v>0:Nachete</v>
      </c>
      <c r="J2193" t="str">
        <f>+IF(dHdcp[[#This Row],[Maximo]]=0,"",_xlfn.RANK.EQ(dHdcp[[#This Row],[Handicap]],dHdcp[Handicap],1))</f>
        <v/>
      </c>
      <c r="K2193" t="str">
        <f>IFERROR(+_xlfn.RANK.EQ(dHdcp[[#This Row],[Ranking]],dHdcp[Ranking],1),"")</f>
        <v/>
      </c>
      <c r="M2193" t="str">
        <f>+dHdcp[[#This Row],[Fecha]]&amp;":"&amp;dHdcp[[#This Row],[Nombre]]</f>
        <v>45479:Nacho Casas</v>
      </c>
      <c r="N2193">
        <f>+COUNTIF(dHdcp[Columna1],dHdcp[[#This Row],[Columna1]])</f>
        <v>1</v>
      </c>
    </row>
    <row r="2194" spans="1:14">
      <c r="A2194" s="98">
        <v>45479</v>
      </c>
      <c r="B2194" s="46" t="s">
        <v>3</v>
      </c>
      <c r="C2194" s="104">
        <v>6.2</v>
      </c>
      <c r="D2194" s="46">
        <f>+VLOOKUP(dHdcp[[#This Row],[Handicap]],'Categoría Hdcap'!$B$2:$E$7,4)</f>
        <v>2</v>
      </c>
      <c r="E2194" s="46" t="s">
        <v>74</v>
      </c>
      <c r="F2194" s="92"/>
      <c r="G2194">
        <f>+IF(dHdcp[[#This Row],[Fecha]]=MAX(dHdcp[Fecha]),1,0)</f>
        <v>0</v>
      </c>
      <c r="H2194" t="str">
        <f>+dHdcp[[#This Row],[Maximo]]&amp;":"&amp;dHdcp[[#This Row],[Nombre]]</f>
        <v>0:Nacho Gonzalez</v>
      </c>
      <c r="I2194" t="str">
        <f>+dHdcp[[#This Row],[Maximo]]&amp;":"&amp;_xlfn.XLOOKUP(dHdcp[[#This Row],[Nombre]],dJugador[Nombre],dJugador[Mote],"",0)</f>
        <v>0:Nacho</v>
      </c>
      <c r="J2194" t="str">
        <f>+IF(dHdcp[[#This Row],[Maximo]]=0,"",_xlfn.RANK.EQ(dHdcp[[#This Row],[Handicap]],dHdcp[Handicap],1))</f>
        <v/>
      </c>
      <c r="K2194" t="str">
        <f>IFERROR(+_xlfn.RANK.EQ(dHdcp[[#This Row],[Ranking]],dHdcp[Ranking],1),"")</f>
        <v/>
      </c>
      <c r="M2194" t="str">
        <f>+dHdcp[[#This Row],[Fecha]]&amp;":"&amp;dHdcp[[#This Row],[Nombre]]</f>
        <v>45479:Nacho Gonzalez</v>
      </c>
      <c r="N2194">
        <f>+COUNTIF(dHdcp[Columna1],dHdcp[[#This Row],[Columna1]])</f>
        <v>1</v>
      </c>
    </row>
    <row r="2195" spans="1:14">
      <c r="A2195" s="98">
        <v>45479</v>
      </c>
      <c r="B2195" s="46" t="s">
        <v>203</v>
      </c>
      <c r="C2195" s="104">
        <v>16.600000000000001</v>
      </c>
      <c r="D2195" s="46">
        <f>+VLOOKUP(dHdcp[[#This Row],[Handicap]],'Categoría Hdcap'!$B$2:$E$7,4)</f>
        <v>3</v>
      </c>
      <c r="E2195" s="46" t="s">
        <v>74</v>
      </c>
      <c r="F2195" s="92"/>
      <c r="G2195">
        <f>+IF(dHdcp[[#This Row],[Fecha]]=MAX(dHdcp[Fecha]),1,0)</f>
        <v>0</v>
      </c>
      <c r="H2195" t="str">
        <f>+dHdcp[[#This Row],[Maximo]]&amp;":"&amp;dHdcp[[#This Row],[Nombre]]</f>
        <v>0:Ruslan Kochman</v>
      </c>
      <c r="I2195" t="str">
        <f>+dHdcp[[#This Row],[Maximo]]&amp;":"&amp;_xlfn.XLOOKUP(dHdcp[[#This Row],[Nombre]],dJugador[Nombre],dJugador[Mote],"",0)</f>
        <v>0:Rus</v>
      </c>
      <c r="J2195" t="str">
        <f>+IF(dHdcp[[#This Row],[Maximo]]=0,"",_xlfn.RANK.EQ(dHdcp[[#This Row],[Handicap]],dHdcp[Handicap],1))</f>
        <v/>
      </c>
      <c r="K2195" t="str">
        <f>IFERROR(+_xlfn.RANK.EQ(dHdcp[[#This Row],[Ranking]],dHdcp[Ranking],1),"")</f>
        <v/>
      </c>
      <c r="M2195" t="str">
        <f>+dHdcp[[#This Row],[Fecha]]&amp;":"&amp;dHdcp[[#This Row],[Nombre]]</f>
        <v>45479:Ruslan Kochman</v>
      </c>
      <c r="N2195">
        <f>+COUNTIF(dHdcp[Columna1],dHdcp[[#This Row],[Columna1]])</f>
        <v>1</v>
      </c>
    </row>
    <row r="2196" spans="1:14">
      <c r="A2196" s="98">
        <v>45479</v>
      </c>
      <c r="B2196" s="46" t="s">
        <v>271</v>
      </c>
      <c r="C2196" s="104">
        <v>16.399999999999999</v>
      </c>
      <c r="D2196" s="46">
        <f>+VLOOKUP(dHdcp[[#This Row],[Handicap]],'Categoría Hdcap'!$B$2:$E$7,4)</f>
        <v>3</v>
      </c>
      <c r="E2196" s="46" t="s">
        <v>74</v>
      </c>
      <c r="F2196" s="92"/>
      <c r="G2196">
        <f>+IF(dHdcp[[#This Row],[Fecha]]=MAX(dHdcp[Fecha]),1,0)</f>
        <v>0</v>
      </c>
      <c r="H2196" t="str">
        <f>+dHdcp[[#This Row],[Maximo]]&amp;":"&amp;dHdcp[[#This Row],[Nombre]]</f>
        <v>0:Santi Diaz</v>
      </c>
      <c r="I2196" t="str">
        <f>+dHdcp[[#This Row],[Maximo]]&amp;":"&amp;_xlfn.XLOOKUP(dHdcp[[#This Row],[Nombre]],dJugador[Nombre],dJugador[Mote],"",0)</f>
        <v>0:Santi</v>
      </c>
      <c r="J2196" t="str">
        <f>+IF(dHdcp[[#This Row],[Maximo]]=0,"",_xlfn.RANK.EQ(dHdcp[[#This Row],[Handicap]],dHdcp[Handicap],1))</f>
        <v/>
      </c>
      <c r="K2196" t="str">
        <f>IFERROR(+_xlfn.RANK.EQ(dHdcp[[#This Row],[Ranking]],dHdcp[Ranking],1),"")</f>
        <v/>
      </c>
      <c r="M2196" t="str">
        <f>+dHdcp[[#This Row],[Fecha]]&amp;":"&amp;dHdcp[[#This Row],[Nombre]]</f>
        <v>45479:Santi Diaz</v>
      </c>
      <c r="N2196">
        <f>+COUNTIF(dHdcp[Columna1],dHdcp[[#This Row],[Columna1]])</f>
        <v>1</v>
      </c>
    </row>
    <row r="2197" spans="1:14">
      <c r="A2197" s="98">
        <v>45479</v>
      </c>
      <c r="B2197" s="46" t="s">
        <v>2473</v>
      </c>
      <c r="C2197" s="100">
        <v>14.1</v>
      </c>
      <c r="D2197" s="46">
        <f>+VLOOKUP(dHdcp[[#This Row],[Handicap]],'Categoría Hdcap'!$B$2:$E$7,4)</f>
        <v>3</v>
      </c>
      <c r="E2197" s="46" t="s">
        <v>74</v>
      </c>
      <c r="F2197" s="92"/>
      <c r="G2197">
        <f>+IF(dHdcp[[#This Row],[Fecha]]=MAX(dHdcp[Fecha]),1,0)</f>
        <v>0</v>
      </c>
      <c r="H2197" t="str">
        <f>+dHdcp[[#This Row],[Maximo]]&amp;":"&amp;dHdcp[[#This Row],[Nombre]]</f>
        <v>0:Thomas Dauterman</v>
      </c>
      <c r="I2197" t="str">
        <f>+dHdcp[[#This Row],[Maximo]]&amp;":"&amp;_xlfn.XLOOKUP(dHdcp[[#This Row],[Nombre]],dJugador[Nombre],dJugador[Mote],"",0)</f>
        <v>0:Tom</v>
      </c>
      <c r="J2197" t="str">
        <f>+IF(dHdcp[[#This Row],[Maximo]]=0,"",_xlfn.RANK.EQ(dHdcp[[#This Row],[Handicap]],dHdcp[Handicap],1))</f>
        <v/>
      </c>
      <c r="K2197" t="str">
        <f>IFERROR(+_xlfn.RANK.EQ(dHdcp[[#This Row],[Ranking]],dHdcp[Ranking],1),"")</f>
        <v/>
      </c>
      <c r="M2197" t="str">
        <f>+dHdcp[[#This Row],[Fecha]]&amp;":"&amp;dHdcp[[#This Row],[Nombre]]</f>
        <v>45479:Thomas Dauterman</v>
      </c>
      <c r="N2197">
        <f>+COUNTIF(dHdcp[Columna1],dHdcp[[#This Row],[Columna1]])</f>
        <v>1</v>
      </c>
    </row>
    <row r="2198" spans="1:14">
      <c r="A2198" s="98">
        <v>45577</v>
      </c>
      <c r="B2198" s="46" t="s">
        <v>259</v>
      </c>
      <c r="C2198" s="104">
        <v>1.2</v>
      </c>
      <c r="D2198" s="46">
        <f>+VLOOKUP(dHdcp[[#This Row],[Handicap]],'Categoría Hdcap'!$B$2:$E$7,4)</f>
        <v>1</v>
      </c>
      <c r="E2198" s="46" t="s">
        <v>74</v>
      </c>
      <c r="F2198" s="92"/>
      <c r="G2198">
        <f>+IF(dHdcp[[#This Row],[Fecha]]=MAX(dHdcp[Fecha]),1,0)</f>
        <v>0</v>
      </c>
      <c r="H2198" t="str">
        <f>+dHdcp[[#This Row],[Maximo]]&amp;":"&amp;dHdcp[[#This Row],[Nombre]]</f>
        <v>0:Alejandro Arcos</v>
      </c>
      <c r="I2198" t="str">
        <f>+dHdcp[[#This Row],[Maximo]]&amp;":"&amp;_xlfn.XLOOKUP(dHdcp[[#This Row],[Nombre]],dJugador[Nombre],dJugador[Mote],"",0)</f>
        <v>0:Alex</v>
      </c>
      <c r="J2198" t="str">
        <f>+IF(dHdcp[[#This Row],[Maximo]]=0,"",_xlfn.RANK.EQ(dHdcp[[#This Row],[Handicap]],dHdcp[Handicap],1))</f>
        <v/>
      </c>
      <c r="K2198" t="str">
        <f>IFERROR(+_xlfn.RANK.EQ(dHdcp[[#This Row],[Ranking]],dHdcp[Ranking],1),"")</f>
        <v/>
      </c>
      <c r="M2198" t="str">
        <f>+dHdcp[[#This Row],[Fecha]]&amp;":"&amp;dHdcp[[#This Row],[Nombre]]</f>
        <v>45577:Alejandro Arcos</v>
      </c>
      <c r="N2198">
        <f>+COUNTIF(dHdcp[Columna1],dHdcp[[#This Row],[Columna1]])</f>
        <v>1</v>
      </c>
    </row>
    <row r="2199" spans="1:14">
      <c r="A2199" s="98">
        <v>45577</v>
      </c>
      <c r="B2199" s="46" t="s">
        <v>9</v>
      </c>
      <c r="C2199" s="104">
        <v>13.1</v>
      </c>
      <c r="D2199" s="46">
        <f>+VLOOKUP(dHdcp[[#This Row],[Handicap]],'Categoría Hdcap'!$B$2:$E$7,4)</f>
        <v>3</v>
      </c>
      <c r="E2199" s="46" t="s">
        <v>74</v>
      </c>
      <c r="F2199" s="92"/>
      <c r="G2199">
        <f>+IF(dHdcp[[#This Row],[Fecha]]=MAX(dHdcp[Fecha]),1,0)</f>
        <v>0</v>
      </c>
      <c r="H2199" t="str">
        <f>+dHdcp[[#This Row],[Maximo]]&amp;":"&amp;dHdcp[[#This Row],[Nombre]]</f>
        <v>0:Alfonso Hidalgo</v>
      </c>
      <c r="I2199" t="str">
        <f>+dHdcp[[#This Row],[Maximo]]&amp;":"&amp;_xlfn.XLOOKUP(dHdcp[[#This Row],[Nombre]],dJugador[Nombre],dJugador[Mote],"",0)</f>
        <v>0:Alfonso</v>
      </c>
      <c r="J2199" t="str">
        <f>+IF(dHdcp[[#This Row],[Maximo]]=0,"",_xlfn.RANK.EQ(dHdcp[[#This Row],[Handicap]],dHdcp[Handicap],1))</f>
        <v/>
      </c>
      <c r="K2199" t="str">
        <f>IFERROR(+_xlfn.RANK.EQ(dHdcp[[#This Row],[Ranking]],dHdcp[Ranking],1),"")</f>
        <v/>
      </c>
      <c r="M2199" t="str">
        <f>+dHdcp[[#This Row],[Fecha]]&amp;":"&amp;dHdcp[[#This Row],[Nombre]]</f>
        <v>45577:Alfonso Hidalgo</v>
      </c>
      <c r="N2199">
        <f>+COUNTIF(dHdcp[Columna1],dHdcp[[#This Row],[Columna1]])</f>
        <v>1</v>
      </c>
    </row>
    <row r="2200" spans="1:14">
      <c r="A2200" s="98">
        <v>45577</v>
      </c>
      <c r="B2200" s="46" t="s">
        <v>229</v>
      </c>
      <c r="C2200" s="104">
        <v>15</v>
      </c>
      <c r="D2200" s="46">
        <f>+VLOOKUP(dHdcp[[#This Row],[Handicap]],'Categoría Hdcap'!$B$2:$E$7,4)</f>
        <v>3</v>
      </c>
      <c r="E2200" s="46" t="s">
        <v>74</v>
      </c>
      <c r="F2200" s="92"/>
      <c r="G2200">
        <f>+IF(dHdcp[[#This Row],[Fecha]]=MAX(dHdcp[Fecha]),1,0)</f>
        <v>0</v>
      </c>
      <c r="H2200" t="str">
        <f>+dHdcp[[#This Row],[Maximo]]&amp;":"&amp;dHdcp[[#This Row],[Nombre]]</f>
        <v>0:Alfonso Zorrilla</v>
      </c>
      <c r="I2200" t="str">
        <f>+dHdcp[[#This Row],[Maximo]]&amp;":"&amp;_xlfn.XLOOKUP(dHdcp[[#This Row],[Nombre]],dJugador[Nombre],dJugador[Mote],"",0)</f>
        <v>0:A Zorrilla</v>
      </c>
      <c r="J2200" t="str">
        <f>+IF(dHdcp[[#This Row],[Maximo]]=0,"",_xlfn.RANK.EQ(dHdcp[[#This Row],[Handicap]],dHdcp[Handicap],1))</f>
        <v/>
      </c>
      <c r="K2200" t="str">
        <f>IFERROR(+_xlfn.RANK.EQ(dHdcp[[#This Row],[Ranking]],dHdcp[Ranking],1),"")</f>
        <v/>
      </c>
      <c r="M2200" t="str">
        <f>+dHdcp[[#This Row],[Fecha]]&amp;":"&amp;dHdcp[[#This Row],[Nombre]]</f>
        <v>45577:Alfonso Zorrilla</v>
      </c>
      <c r="N2200">
        <f>+COUNTIF(dHdcp[Columna1],dHdcp[[#This Row],[Columna1]])</f>
        <v>1</v>
      </c>
    </row>
    <row r="2201" spans="1:14">
      <c r="A2201" s="98">
        <v>45577</v>
      </c>
      <c r="B2201" s="46" t="s">
        <v>15</v>
      </c>
      <c r="C2201" s="104">
        <v>5.0999999999999996</v>
      </c>
      <c r="D2201" s="46">
        <f>+VLOOKUP(dHdcp[[#This Row],[Handicap]],'Categoría Hdcap'!$B$2:$E$7,4)</f>
        <v>2</v>
      </c>
      <c r="E2201" s="46" t="s">
        <v>74</v>
      </c>
      <c r="F2201" s="92"/>
      <c r="G2201">
        <f>+IF(dHdcp[[#This Row],[Fecha]]=MAX(dHdcp[Fecha]),1,0)</f>
        <v>0</v>
      </c>
      <c r="H2201" t="str">
        <f>+dHdcp[[#This Row],[Maximo]]&amp;":"&amp;dHdcp[[#This Row],[Nombre]]</f>
        <v>0:Alvaro Aguirre</v>
      </c>
      <c r="I2201" t="str">
        <f>+dHdcp[[#This Row],[Maximo]]&amp;":"&amp;_xlfn.XLOOKUP(dHdcp[[#This Row],[Nombre]],dJugador[Nombre],dJugador[Mote],"",0)</f>
        <v>0:Gifu</v>
      </c>
      <c r="J2201" t="str">
        <f>+IF(dHdcp[[#This Row],[Maximo]]=0,"",_xlfn.RANK.EQ(dHdcp[[#This Row],[Handicap]],dHdcp[Handicap],1))</f>
        <v/>
      </c>
      <c r="K2201" t="str">
        <f>IFERROR(+_xlfn.RANK.EQ(dHdcp[[#This Row],[Ranking]],dHdcp[Ranking],1),"")</f>
        <v/>
      </c>
      <c r="M2201" t="str">
        <f>+dHdcp[[#This Row],[Fecha]]&amp;":"&amp;dHdcp[[#This Row],[Nombre]]</f>
        <v>45577:Alvaro Aguirre</v>
      </c>
      <c r="N2201">
        <f>+COUNTIF(dHdcp[Columna1],dHdcp[[#This Row],[Columna1]])</f>
        <v>1</v>
      </c>
    </row>
    <row r="2202" spans="1:14">
      <c r="A2202" s="98">
        <v>45577</v>
      </c>
      <c r="B2202" s="46" t="s">
        <v>201</v>
      </c>
      <c r="C2202" s="104">
        <v>9.1</v>
      </c>
      <c r="D2202" s="46">
        <f>+VLOOKUP(dHdcp[[#This Row],[Handicap]],'Categoría Hdcap'!$B$2:$E$7,4)</f>
        <v>2</v>
      </c>
      <c r="E2202" s="46" t="s">
        <v>74</v>
      </c>
      <c r="F2202" s="92"/>
      <c r="G2202">
        <f>+IF(dHdcp[[#This Row],[Fecha]]=MAX(dHdcp[Fecha]),1,0)</f>
        <v>0</v>
      </c>
      <c r="H2202" t="str">
        <f>+dHdcp[[#This Row],[Maximo]]&amp;":"&amp;dHdcp[[#This Row],[Nombre]]</f>
        <v>0:Alvaro Montoya</v>
      </c>
      <c r="I2202" t="str">
        <f>+dHdcp[[#This Row],[Maximo]]&amp;":"&amp;_xlfn.XLOOKUP(dHdcp[[#This Row],[Nombre]],dJugador[Nombre],dJugador[Mote],"",0)</f>
        <v>0:Monti</v>
      </c>
      <c r="J2202" t="str">
        <f>+IF(dHdcp[[#This Row],[Maximo]]=0,"",_xlfn.RANK.EQ(dHdcp[[#This Row],[Handicap]],dHdcp[Handicap],1))</f>
        <v/>
      </c>
      <c r="K2202" t="str">
        <f>IFERROR(+_xlfn.RANK.EQ(dHdcp[[#This Row],[Ranking]],dHdcp[Ranking],1),"")</f>
        <v/>
      </c>
      <c r="M2202" t="str">
        <f>+dHdcp[[#This Row],[Fecha]]&amp;":"&amp;dHdcp[[#This Row],[Nombre]]</f>
        <v>45577:Alvaro Montoya</v>
      </c>
      <c r="N2202">
        <f>+COUNTIF(dHdcp[Columna1],dHdcp[[#This Row],[Columna1]])</f>
        <v>1</v>
      </c>
    </row>
    <row r="2203" spans="1:14">
      <c r="A2203" s="98">
        <v>45577</v>
      </c>
      <c r="B2203" s="46" t="s">
        <v>25</v>
      </c>
      <c r="C2203" s="104">
        <v>15.1</v>
      </c>
      <c r="D2203" s="46">
        <f>+VLOOKUP(dHdcp[[#This Row],[Handicap]],'Categoría Hdcap'!$B$2:$E$7,4)</f>
        <v>3</v>
      </c>
      <c r="E2203" s="46" t="s">
        <v>74</v>
      </c>
      <c r="F2203" s="92"/>
      <c r="G2203">
        <f>+IF(dHdcp[[#This Row],[Fecha]]=MAX(dHdcp[Fecha]),1,0)</f>
        <v>0</v>
      </c>
      <c r="H2203" t="str">
        <f>+dHdcp[[#This Row],[Maximo]]&amp;":"&amp;dHdcp[[#This Row],[Nombre]]</f>
        <v>0:Alvaro Nieto</v>
      </c>
      <c r="I2203" t="str">
        <f>+dHdcp[[#This Row],[Maximo]]&amp;":"&amp;_xlfn.XLOOKUP(dHdcp[[#This Row],[Nombre]],dJugador[Nombre],dJugador[Mote],"",0)</f>
        <v>0:Alvaro</v>
      </c>
      <c r="J2203" t="str">
        <f>+IF(dHdcp[[#This Row],[Maximo]]=0,"",_xlfn.RANK.EQ(dHdcp[[#This Row],[Handicap]],dHdcp[Handicap],1))</f>
        <v/>
      </c>
      <c r="K2203" t="str">
        <f>IFERROR(+_xlfn.RANK.EQ(dHdcp[[#This Row],[Ranking]],dHdcp[Ranking],1),"")</f>
        <v/>
      </c>
      <c r="M2203" t="str">
        <f>+dHdcp[[#This Row],[Fecha]]&amp;":"&amp;dHdcp[[#This Row],[Nombre]]</f>
        <v>45577:Alvaro Nieto</v>
      </c>
      <c r="N2203">
        <f>+COUNTIF(dHdcp[Columna1],dHdcp[[#This Row],[Columna1]])</f>
        <v>1</v>
      </c>
    </row>
    <row r="2204" spans="1:14">
      <c r="A2204" s="98">
        <v>45577</v>
      </c>
      <c r="B2204" s="46" t="s">
        <v>33</v>
      </c>
      <c r="C2204" s="104">
        <v>9.3000000000000007</v>
      </c>
      <c r="D2204" s="46">
        <f>+VLOOKUP(dHdcp[[#This Row],[Handicap]],'Categoría Hdcap'!$B$2:$E$7,4)</f>
        <v>2</v>
      </c>
      <c r="E2204" s="46" t="s">
        <v>74</v>
      </c>
      <c r="F2204" s="92"/>
      <c r="G2204">
        <f>+IF(dHdcp[[#This Row],[Fecha]]=MAX(dHdcp[Fecha]),1,0)</f>
        <v>0</v>
      </c>
      <c r="H2204" t="str">
        <f>+dHdcp[[#This Row],[Maximo]]&amp;":"&amp;dHdcp[[#This Row],[Nombre]]</f>
        <v>0:Angel Hernandez</v>
      </c>
      <c r="I2204" t="str">
        <f>+dHdcp[[#This Row],[Maximo]]&amp;":"&amp;_xlfn.XLOOKUP(dHdcp[[#This Row],[Nombre]],dJugador[Nombre],dJugador[Mote],"",0)</f>
        <v>0:Angel</v>
      </c>
      <c r="J2204" t="str">
        <f>+IF(dHdcp[[#This Row],[Maximo]]=0,"",_xlfn.RANK.EQ(dHdcp[[#This Row],[Handicap]],dHdcp[Handicap],1))</f>
        <v/>
      </c>
      <c r="K2204" t="str">
        <f>IFERROR(+_xlfn.RANK.EQ(dHdcp[[#This Row],[Ranking]],dHdcp[Ranking],1),"")</f>
        <v/>
      </c>
      <c r="M2204" t="str">
        <f>+dHdcp[[#This Row],[Fecha]]&amp;":"&amp;dHdcp[[#This Row],[Nombre]]</f>
        <v>45577:Angel Hernandez</v>
      </c>
      <c r="N2204">
        <f>+COUNTIF(dHdcp[Columna1],dHdcp[[#This Row],[Columna1]])</f>
        <v>1</v>
      </c>
    </row>
    <row r="2205" spans="1:14">
      <c r="A2205" s="98">
        <v>45577</v>
      </c>
      <c r="B2205" s="46" t="s">
        <v>2469</v>
      </c>
      <c r="C2205" s="104">
        <v>8.3000000000000007</v>
      </c>
      <c r="D2205" s="46">
        <f>+VLOOKUP(dHdcp[[#This Row],[Handicap]],'Categoría Hdcap'!$B$2:$E$7,4)</f>
        <v>2</v>
      </c>
      <c r="E2205" s="46" t="s">
        <v>74</v>
      </c>
      <c r="F2205" s="92"/>
      <c r="G2205">
        <f>+IF(dHdcp[[#This Row],[Fecha]]=MAX(dHdcp[Fecha]),1,0)</f>
        <v>0</v>
      </c>
      <c r="H2205" t="str">
        <f>+dHdcp[[#This Row],[Maximo]]&amp;":"&amp;dHdcp[[#This Row],[Nombre]]</f>
        <v>0:Angel Santana</v>
      </c>
      <c r="I2205" t="str">
        <f>+dHdcp[[#This Row],[Maximo]]&amp;":"&amp;_xlfn.XLOOKUP(dHdcp[[#This Row],[Nombre]],dJugador[Nombre],dJugador[Mote],"",0)</f>
        <v>0:A.Santana</v>
      </c>
      <c r="J2205" t="str">
        <f>+IF(dHdcp[[#This Row],[Maximo]]=0,"",_xlfn.RANK.EQ(dHdcp[[#This Row],[Handicap]],dHdcp[Handicap],1))</f>
        <v/>
      </c>
      <c r="K2205" t="str">
        <f>IFERROR(+_xlfn.RANK.EQ(dHdcp[[#This Row],[Ranking]],dHdcp[Ranking],1),"")</f>
        <v/>
      </c>
      <c r="M2205" t="str">
        <f>+dHdcp[[#This Row],[Fecha]]&amp;":"&amp;dHdcp[[#This Row],[Nombre]]</f>
        <v>45577:Angel Santana</v>
      </c>
      <c r="N2205">
        <f>+COUNTIF(dHdcp[Columna1],dHdcp[[#This Row],[Columna1]])</f>
        <v>1</v>
      </c>
    </row>
    <row r="2206" spans="1:14">
      <c r="A2206" s="98">
        <v>45577</v>
      </c>
      <c r="B2206" s="46" t="s">
        <v>264</v>
      </c>
      <c r="C2206" s="104">
        <v>19.3</v>
      </c>
      <c r="D2206" s="46">
        <f>+VLOOKUP(dHdcp[[#This Row],[Handicap]],'Categoría Hdcap'!$B$2:$E$7,4)</f>
        <v>4</v>
      </c>
      <c r="E2206" s="46" t="s">
        <v>74</v>
      </c>
      <c r="F2206" s="92"/>
      <c r="G2206">
        <f>+IF(dHdcp[[#This Row],[Fecha]]=MAX(dHdcp[Fecha]),1,0)</f>
        <v>0</v>
      </c>
      <c r="H2206" t="str">
        <f>+dHdcp[[#This Row],[Maximo]]&amp;":"&amp;dHdcp[[#This Row],[Nombre]]</f>
        <v>0:Antonio Carmona</v>
      </c>
      <c r="I2206" t="str">
        <f>+dHdcp[[#This Row],[Maximo]]&amp;":"&amp;_xlfn.XLOOKUP(dHdcp[[#This Row],[Nombre]],dJugador[Nombre],dJugador[Mote],"",0)</f>
        <v>0:Antonio</v>
      </c>
      <c r="J2206" t="str">
        <f>+IF(dHdcp[[#This Row],[Maximo]]=0,"",_xlfn.RANK.EQ(dHdcp[[#This Row],[Handicap]],dHdcp[Handicap],1))</f>
        <v/>
      </c>
      <c r="K2206" t="str">
        <f>IFERROR(+_xlfn.RANK.EQ(dHdcp[[#This Row],[Ranking]],dHdcp[Ranking],1),"")</f>
        <v/>
      </c>
      <c r="M2206" t="str">
        <f>+dHdcp[[#This Row],[Fecha]]&amp;":"&amp;dHdcp[[#This Row],[Nombre]]</f>
        <v>45577:Antonio Carmona</v>
      </c>
      <c r="N2206">
        <f>+COUNTIF(dHdcp[Columna1],dHdcp[[#This Row],[Columna1]])</f>
        <v>1</v>
      </c>
    </row>
    <row r="2207" spans="1:14">
      <c r="A2207" s="98">
        <v>45577</v>
      </c>
      <c r="B2207" s="46" t="s">
        <v>291</v>
      </c>
      <c r="C2207" s="104">
        <v>1.3</v>
      </c>
      <c r="D2207" s="46">
        <f>+VLOOKUP(dHdcp[[#This Row],[Handicap]],'Categoría Hdcap'!$B$2:$E$7,4)</f>
        <v>1</v>
      </c>
      <c r="E2207" s="46" t="s">
        <v>74</v>
      </c>
      <c r="F2207" s="92"/>
      <c r="G2207">
        <f>+IF(dHdcp[[#This Row],[Fecha]]=MAX(dHdcp[Fecha]),1,0)</f>
        <v>0</v>
      </c>
      <c r="H2207" t="str">
        <f>+dHdcp[[#This Row],[Maximo]]&amp;":"&amp;dHdcp[[#This Row],[Nombre]]</f>
        <v>0:Carlos Maestro</v>
      </c>
      <c r="I2207" t="str">
        <f>+dHdcp[[#This Row],[Maximo]]&amp;":"&amp;_xlfn.XLOOKUP(dHdcp[[#This Row],[Nombre]],dJugador[Nombre],dJugador[Mote],"",0)</f>
        <v>0:Carlitos</v>
      </c>
      <c r="J2207" t="str">
        <f>+IF(dHdcp[[#This Row],[Maximo]]=0,"",_xlfn.RANK.EQ(dHdcp[[#This Row],[Handicap]],dHdcp[Handicap],1))</f>
        <v/>
      </c>
      <c r="K2207" t="str">
        <f>IFERROR(+_xlfn.RANK.EQ(dHdcp[[#This Row],[Ranking]],dHdcp[Ranking],1),"")</f>
        <v/>
      </c>
      <c r="M2207" t="str">
        <f>+dHdcp[[#This Row],[Fecha]]&amp;":"&amp;dHdcp[[#This Row],[Nombre]]</f>
        <v>45577:Carlos Maestro</v>
      </c>
      <c r="N2207">
        <f>+COUNTIF(dHdcp[Columna1],dHdcp[[#This Row],[Columna1]])</f>
        <v>1</v>
      </c>
    </row>
    <row r="2208" spans="1:14">
      <c r="A2208" s="98">
        <v>45577</v>
      </c>
      <c r="B2208" s="46" t="s">
        <v>30</v>
      </c>
      <c r="C2208" s="104">
        <v>14.4</v>
      </c>
      <c r="D2208" s="46">
        <f>+VLOOKUP(dHdcp[[#This Row],[Handicap]],'Categoría Hdcap'!$B$2:$E$7,4)</f>
        <v>3</v>
      </c>
      <c r="E2208" s="46" t="s">
        <v>74</v>
      </c>
      <c r="F2208" s="92"/>
      <c r="G2208">
        <f>+IF(dHdcp[[#This Row],[Fecha]]=MAX(dHdcp[Fecha]),1,0)</f>
        <v>0</v>
      </c>
      <c r="H2208" t="str">
        <f>+dHdcp[[#This Row],[Maximo]]&amp;":"&amp;dHdcp[[#This Row],[Nombre]]</f>
        <v>0:David Sequera</v>
      </c>
      <c r="I2208" t="str">
        <f>+dHdcp[[#This Row],[Maximo]]&amp;":"&amp;_xlfn.XLOOKUP(dHdcp[[#This Row],[Nombre]],dJugador[Nombre],dJugador[Mote],"",0)</f>
        <v>0:David</v>
      </c>
      <c r="J2208" t="str">
        <f>+IF(dHdcp[[#This Row],[Maximo]]=0,"",_xlfn.RANK.EQ(dHdcp[[#This Row],[Handicap]],dHdcp[Handicap],1))</f>
        <v/>
      </c>
      <c r="K2208" t="str">
        <f>IFERROR(+_xlfn.RANK.EQ(dHdcp[[#This Row],[Ranking]],dHdcp[Ranking],1),"")</f>
        <v/>
      </c>
      <c r="M2208" t="str">
        <f>+dHdcp[[#This Row],[Fecha]]&amp;":"&amp;dHdcp[[#This Row],[Nombre]]</f>
        <v>45577:David Sequera</v>
      </c>
      <c r="N2208">
        <f>+COUNTIF(dHdcp[Columna1],dHdcp[[#This Row],[Columna1]])</f>
        <v>1</v>
      </c>
    </row>
    <row r="2209" spans="1:14">
      <c r="A2209" s="98">
        <v>45577</v>
      </c>
      <c r="B2209" s="46" t="s">
        <v>326</v>
      </c>
      <c r="C2209" s="104">
        <v>8.9</v>
      </c>
      <c r="D2209" s="46">
        <f>+VLOOKUP(dHdcp[[#This Row],[Handicap]],'Categoría Hdcap'!$B$2:$E$7,4)</f>
        <v>2</v>
      </c>
      <c r="E2209" s="46" t="s">
        <v>74</v>
      </c>
      <c r="F2209" s="92"/>
      <c r="G2209">
        <f>+IF(dHdcp[[#This Row],[Fecha]]=MAX(dHdcp[Fecha]),1,0)</f>
        <v>0</v>
      </c>
      <c r="H2209" t="str">
        <f>+dHdcp[[#This Row],[Maximo]]&amp;":"&amp;dHdcp[[#This Row],[Nombre]]</f>
        <v>0:Eduardo Buendía</v>
      </c>
      <c r="I2209" t="str">
        <f>+dHdcp[[#This Row],[Maximo]]&amp;":"&amp;_xlfn.XLOOKUP(dHdcp[[#This Row],[Nombre]],dJugador[Nombre],dJugador[Mote],"",0)</f>
        <v>0:Eduardo</v>
      </c>
      <c r="J2209" t="str">
        <f>+IF(dHdcp[[#This Row],[Maximo]]=0,"",_xlfn.RANK.EQ(dHdcp[[#This Row],[Handicap]],dHdcp[Handicap],1))</f>
        <v/>
      </c>
      <c r="K2209" t="str">
        <f>IFERROR(+_xlfn.RANK.EQ(dHdcp[[#This Row],[Ranking]],dHdcp[Ranking],1),"")</f>
        <v/>
      </c>
      <c r="M2209" t="str">
        <f>+dHdcp[[#This Row],[Fecha]]&amp;":"&amp;dHdcp[[#This Row],[Nombre]]</f>
        <v>45577:Eduardo Buendía</v>
      </c>
      <c r="N2209">
        <f>+COUNTIF(dHdcp[Columna1],dHdcp[[#This Row],[Columna1]])</f>
        <v>1</v>
      </c>
    </row>
    <row r="2210" spans="1:14">
      <c r="A2210" s="98">
        <v>45577</v>
      </c>
      <c r="B2210" s="46" t="s">
        <v>248</v>
      </c>
      <c r="C2210" s="104">
        <v>12.9</v>
      </c>
      <c r="D2210" s="46">
        <f>+VLOOKUP(dHdcp[[#This Row],[Handicap]],'Categoría Hdcap'!$B$2:$E$7,4)</f>
        <v>3</v>
      </c>
      <c r="E2210" s="46" t="s">
        <v>74</v>
      </c>
      <c r="F2210" s="92"/>
      <c r="G2210">
        <f>+IF(dHdcp[[#This Row],[Fecha]]=MAX(dHdcp[Fecha]),1,0)</f>
        <v>0</v>
      </c>
      <c r="H2210" t="str">
        <f>+dHdcp[[#This Row],[Maximo]]&amp;":"&amp;dHdcp[[#This Row],[Nombre]]</f>
        <v>0:Enrique Gonzalez R</v>
      </c>
      <c r="I2210" t="str">
        <f>+dHdcp[[#This Row],[Maximo]]&amp;":"&amp;_xlfn.XLOOKUP(dHdcp[[#This Row],[Nombre]],dJugador[Nombre],dJugador[Mote],"",0)</f>
        <v>0:Enrique</v>
      </c>
      <c r="J2210" t="str">
        <f>+IF(dHdcp[[#This Row],[Maximo]]=0,"",_xlfn.RANK.EQ(dHdcp[[#This Row],[Handicap]],dHdcp[Handicap],1))</f>
        <v/>
      </c>
      <c r="K2210" t="str">
        <f>IFERROR(+_xlfn.RANK.EQ(dHdcp[[#This Row],[Ranking]],dHdcp[Ranking],1),"")</f>
        <v/>
      </c>
      <c r="M2210" t="str">
        <f>+dHdcp[[#This Row],[Fecha]]&amp;":"&amp;dHdcp[[#This Row],[Nombre]]</f>
        <v>45577:Enrique Gonzalez R</v>
      </c>
      <c r="N2210">
        <f>+COUNTIF(dHdcp[Columna1],dHdcp[[#This Row],[Columna1]])</f>
        <v>1</v>
      </c>
    </row>
    <row r="2211" spans="1:14">
      <c r="A2211" s="98">
        <v>45577</v>
      </c>
      <c r="B2211" s="46" t="s">
        <v>12</v>
      </c>
      <c r="C2211" s="104">
        <v>16.100000000000001</v>
      </c>
      <c r="D2211" s="46">
        <f>+VLOOKUP(dHdcp[[#This Row],[Handicap]],'Categoría Hdcap'!$B$2:$E$7,4)</f>
        <v>3</v>
      </c>
      <c r="E2211" s="46" t="s">
        <v>74</v>
      </c>
      <c r="F2211" s="92"/>
      <c r="G2211">
        <f>+IF(dHdcp[[#This Row],[Fecha]]=MAX(dHdcp[Fecha]),1,0)</f>
        <v>0</v>
      </c>
      <c r="H2211" t="str">
        <f>+dHdcp[[#This Row],[Maximo]]&amp;":"&amp;dHdcp[[#This Row],[Nombre]]</f>
        <v>0:Francisco Alvarez</v>
      </c>
      <c r="I2211" t="str">
        <f>+dHdcp[[#This Row],[Maximo]]&amp;":"&amp;_xlfn.XLOOKUP(dHdcp[[#This Row],[Nombre]],dJugador[Nombre],dJugador[Mote],"",0)</f>
        <v>0:Paco</v>
      </c>
      <c r="J2211" t="str">
        <f>+IF(dHdcp[[#This Row],[Maximo]]=0,"",_xlfn.RANK.EQ(dHdcp[[#This Row],[Handicap]],dHdcp[Handicap],1))</f>
        <v/>
      </c>
      <c r="K2211" t="str">
        <f>IFERROR(+_xlfn.RANK.EQ(dHdcp[[#This Row],[Ranking]],dHdcp[Ranking],1),"")</f>
        <v/>
      </c>
      <c r="M2211" t="str">
        <f>+dHdcp[[#This Row],[Fecha]]&amp;":"&amp;dHdcp[[#This Row],[Nombre]]</f>
        <v>45577:Francisco Alvarez</v>
      </c>
      <c r="N2211">
        <f>+COUNTIF(dHdcp[Columna1],dHdcp[[#This Row],[Columna1]])</f>
        <v>1</v>
      </c>
    </row>
    <row r="2212" spans="1:14">
      <c r="A2212" s="98">
        <v>45577</v>
      </c>
      <c r="B2212" s="46" t="s">
        <v>49</v>
      </c>
      <c r="C2212" s="104">
        <v>13.6</v>
      </c>
      <c r="D2212" s="46">
        <f>+VLOOKUP(dHdcp[[#This Row],[Handicap]],'Categoría Hdcap'!$B$2:$E$7,4)</f>
        <v>3</v>
      </c>
      <c r="E2212" s="46" t="s">
        <v>74</v>
      </c>
      <c r="F2212" s="92"/>
      <c r="G2212">
        <f>+IF(dHdcp[[#This Row],[Fecha]]=MAX(dHdcp[Fecha]),1,0)</f>
        <v>0</v>
      </c>
      <c r="H2212" t="str">
        <f>+dHdcp[[#This Row],[Maximo]]&amp;":"&amp;dHdcp[[#This Row],[Nombre]]</f>
        <v>0:Francisco Hidalgo</v>
      </c>
      <c r="I2212" t="str">
        <f>+dHdcp[[#This Row],[Maximo]]&amp;":"&amp;_xlfn.XLOOKUP(dHdcp[[#This Row],[Nombre]],dJugador[Nombre],dJugador[Mote],"",0)</f>
        <v>0:Fran</v>
      </c>
      <c r="J2212" t="str">
        <f>+IF(dHdcp[[#This Row],[Maximo]]=0,"",_xlfn.RANK.EQ(dHdcp[[#This Row],[Handicap]],dHdcp[Handicap],1))</f>
        <v/>
      </c>
      <c r="K2212" t="str">
        <f>IFERROR(+_xlfn.RANK.EQ(dHdcp[[#This Row],[Ranking]],dHdcp[Ranking],1),"")</f>
        <v/>
      </c>
      <c r="M2212" t="str">
        <f>+dHdcp[[#This Row],[Fecha]]&amp;":"&amp;dHdcp[[#This Row],[Nombre]]</f>
        <v>45577:Francisco Hidalgo</v>
      </c>
      <c r="N2212">
        <f>+COUNTIF(dHdcp[Columna1],dHdcp[[#This Row],[Columna1]])</f>
        <v>1</v>
      </c>
    </row>
    <row r="2213" spans="1:14">
      <c r="A2213" s="98">
        <v>45577</v>
      </c>
      <c r="B2213" s="46" t="s">
        <v>207</v>
      </c>
      <c r="C2213" s="104">
        <v>15</v>
      </c>
      <c r="D2213" s="46">
        <f>+VLOOKUP(dHdcp[[#This Row],[Handicap]],'Categoría Hdcap'!$B$2:$E$7,4)</f>
        <v>3</v>
      </c>
      <c r="E2213" s="46" t="s">
        <v>74</v>
      </c>
      <c r="F2213" s="92"/>
      <c r="G2213">
        <f>+IF(dHdcp[[#This Row],[Fecha]]=MAX(dHdcp[Fecha]),1,0)</f>
        <v>0</v>
      </c>
      <c r="H2213" t="str">
        <f>+dHdcp[[#This Row],[Maximo]]&amp;":"&amp;dHdcp[[#This Row],[Nombre]]</f>
        <v>0:Franck Benouniche</v>
      </c>
      <c r="I2213" t="str">
        <f>+dHdcp[[#This Row],[Maximo]]&amp;":"&amp;_xlfn.XLOOKUP(dHdcp[[#This Row],[Nombre]],dJugador[Nombre],dJugador[Mote],"",0)</f>
        <v>0:Franck</v>
      </c>
      <c r="J2213" t="str">
        <f>+IF(dHdcp[[#This Row],[Maximo]]=0,"",_xlfn.RANK.EQ(dHdcp[[#This Row],[Handicap]],dHdcp[Handicap],1))</f>
        <v/>
      </c>
      <c r="K2213" t="str">
        <f>IFERROR(+_xlfn.RANK.EQ(dHdcp[[#This Row],[Ranking]],dHdcp[Ranking],1),"")</f>
        <v/>
      </c>
      <c r="M2213" t="str">
        <f>+dHdcp[[#This Row],[Fecha]]&amp;":"&amp;dHdcp[[#This Row],[Nombre]]</f>
        <v>45577:Franck Benouniche</v>
      </c>
      <c r="N2213">
        <f>+COUNTIF(dHdcp[Columna1],dHdcp[[#This Row],[Columna1]])</f>
        <v>1</v>
      </c>
    </row>
    <row r="2214" spans="1:14">
      <c r="A2214" s="98">
        <v>45577</v>
      </c>
      <c r="B2214" s="46" t="s">
        <v>35</v>
      </c>
      <c r="C2214" s="104">
        <v>19.399999999999999</v>
      </c>
      <c r="D2214" s="46">
        <f>+VLOOKUP(dHdcp[[#This Row],[Handicap]],'Categoría Hdcap'!$B$2:$E$7,4)</f>
        <v>4</v>
      </c>
      <c r="E2214" s="46" t="s">
        <v>74</v>
      </c>
      <c r="F2214" s="92"/>
      <c r="G2214">
        <f>+IF(dHdcp[[#This Row],[Fecha]]=MAX(dHdcp[Fecha]),1,0)</f>
        <v>0</v>
      </c>
      <c r="H2214" t="str">
        <f>+dHdcp[[#This Row],[Maximo]]&amp;":"&amp;dHdcp[[#This Row],[Nombre]]</f>
        <v>0:GLEZ JUAN JOSÉ</v>
      </c>
      <c r="I2214" t="str">
        <f>+dHdcp[[#This Row],[Maximo]]&amp;":"&amp;_xlfn.XLOOKUP(dHdcp[[#This Row],[Nombre]],dJugador[Nombre],dJugador[Mote],"",0)</f>
        <v>0:Juanjo</v>
      </c>
      <c r="J2214" t="str">
        <f>+IF(dHdcp[[#This Row],[Maximo]]=0,"",_xlfn.RANK.EQ(dHdcp[[#This Row],[Handicap]],dHdcp[Handicap],1))</f>
        <v/>
      </c>
      <c r="K2214" t="str">
        <f>IFERROR(+_xlfn.RANK.EQ(dHdcp[[#This Row],[Ranking]],dHdcp[Ranking],1),"")</f>
        <v/>
      </c>
      <c r="M2214" t="str">
        <f>+dHdcp[[#This Row],[Fecha]]&amp;":"&amp;dHdcp[[#This Row],[Nombre]]</f>
        <v>45577:GLEZ JUAN JOSÉ</v>
      </c>
      <c r="N2214">
        <f>+COUNTIF(dHdcp[Columna1],dHdcp[[#This Row],[Columna1]])</f>
        <v>1</v>
      </c>
    </row>
    <row r="2215" spans="1:14">
      <c r="A2215" s="98">
        <v>45577</v>
      </c>
      <c r="B2215" s="46" t="s">
        <v>6</v>
      </c>
      <c r="C2215" s="104">
        <v>7.7</v>
      </c>
      <c r="D2215" s="46">
        <f>+VLOOKUP(dHdcp[[#This Row],[Handicap]],'Categoría Hdcap'!$B$2:$E$7,4)</f>
        <v>2</v>
      </c>
      <c r="E2215" s="46" t="s">
        <v>74</v>
      </c>
      <c r="F2215" s="92"/>
      <c r="G2215">
        <f>+IF(dHdcp[[#This Row],[Fecha]]=MAX(dHdcp[Fecha]),1,0)</f>
        <v>0</v>
      </c>
      <c r="H2215" t="str">
        <f>+dHdcp[[#This Row],[Maximo]]&amp;":"&amp;dHdcp[[#This Row],[Nombre]]</f>
        <v>0:Ignacio Cadarso</v>
      </c>
      <c r="I2215" t="str">
        <f>+dHdcp[[#This Row],[Maximo]]&amp;":"&amp;_xlfn.XLOOKUP(dHdcp[[#This Row],[Nombre]],dJugador[Nombre],dJugador[Mote],"",0)</f>
        <v>0:Ignacio</v>
      </c>
      <c r="J2215" t="str">
        <f>+IF(dHdcp[[#This Row],[Maximo]]=0,"",_xlfn.RANK.EQ(dHdcp[[#This Row],[Handicap]],dHdcp[Handicap],1))</f>
        <v/>
      </c>
      <c r="K2215" t="str">
        <f>IFERROR(+_xlfn.RANK.EQ(dHdcp[[#This Row],[Ranking]],dHdcp[Ranking],1),"")</f>
        <v/>
      </c>
      <c r="M2215" t="str">
        <f>+dHdcp[[#This Row],[Fecha]]&amp;":"&amp;dHdcp[[#This Row],[Nombre]]</f>
        <v>45577:Ignacio Cadarso</v>
      </c>
      <c r="N2215">
        <f>+COUNTIF(dHdcp[Columna1],dHdcp[[#This Row],[Columna1]])</f>
        <v>1</v>
      </c>
    </row>
    <row r="2216" spans="1:14">
      <c r="A2216" s="98">
        <v>45577</v>
      </c>
      <c r="B2216" s="46" t="s">
        <v>298</v>
      </c>
      <c r="C2216" s="104">
        <v>23.7</v>
      </c>
      <c r="D2216" s="46">
        <f>+VLOOKUP(dHdcp[[#This Row],[Handicap]],'Categoría Hdcap'!$B$2:$E$7,4)</f>
        <v>4</v>
      </c>
      <c r="E2216" s="46" t="s">
        <v>74</v>
      </c>
      <c r="F2216" s="92"/>
      <c r="G2216">
        <f>+IF(dHdcp[[#This Row],[Fecha]]=MAX(dHdcp[Fecha]),1,0)</f>
        <v>0</v>
      </c>
      <c r="H2216" t="str">
        <f>+dHdcp[[#This Row],[Maximo]]&amp;":"&amp;dHdcp[[#This Row],[Nombre]]</f>
        <v>0:Ignacio Gracia Charlez</v>
      </c>
      <c r="I2216" t="str">
        <f>+dHdcp[[#This Row],[Maximo]]&amp;":"&amp;_xlfn.XLOOKUP(dHdcp[[#This Row],[Nombre]],dJugador[Nombre],dJugador[Mote],"",0)</f>
        <v>0:I Gracia</v>
      </c>
      <c r="J2216" t="str">
        <f>+IF(dHdcp[[#This Row],[Maximo]]=0,"",_xlfn.RANK.EQ(dHdcp[[#This Row],[Handicap]],dHdcp[Handicap],1))</f>
        <v/>
      </c>
      <c r="K2216" t="str">
        <f>IFERROR(+_xlfn.RANK.EQ(dHdcp[[#This Row],[Ranking]],dHdcp[Ranking],1),"")</f>
        <v/>
      </c>
      <c r="M2216" t="str">
        <f>+dHdcp[[#This Row],[Fecha]]&amp;":"&amp;dHdcp[[#This Row],[Nombre]]</f>
        <v>45577:Ignacio Gracia Charlez</v>
      </c>
      <c r="N2216">
        <f>+COUNTIF(dHdcp[Columna1],dHdcp[[#This Row],[Columna1]])</f>
        <v>1</v>
      </c>
    </row>
    <row r="2217" spans="1:14">
      <c r="A2217" s="98">
        <v>45577</v>
      </c>
      <c r="B2217" s="46" t="s">
        <v>23</v>
      </c>
      <c r="C2217" s="104">
        <v>19.2</v>
      </c>
      <c r="D2217" s="46">
        <f>+VLOOKUP(dHdcp[[#This Row],[Handicap]],'Categoría Hdcap'!$B$2:$E$7,4)</f>
        <v>4</v>
      </c>
      <c r="E2217" s="46" t="s">
        <v>74</v>
      </c>
      <c r="F2217" s="92"/>
      <c r="G2217">
        <f>+IF(dHdcp[[#This Row],[Fecha]]=MAX(dHdcp[Fecha]),1,0)</f>
        <v>0</v>
      </c>
      <c r="H2217" t="str">
        <f>+dHdcp[[#This Row],[Maximo]]&amp;":"&amp;dHdcp[[#This Row],[Nombre]]</f>
        <v>0:J. Enrique Gonzalez</v>
      </c>
      <c r="I2217" t="str">
        <f>+dHdcp[[#This Row],[Maximo]]&amp;":"&amp;_xlfn.XLOOKUP(dHdcp[[#This Row],[Nombre]],dJugador[Nombre],dJugador[Mote],"",0)</f>
        <v>0:Kike</v>
      </c>
      <c r="J2217" t="str">
        <f>+IF(dHdcp[[#This Row],[Maximo]]=0,"",_xlfn.RANK.EQ(dHdcp[[#This Row],[Handicap]],dHdcp[Handicap],1))</f>
        <v/>
      </c>
      <c r="K2217" t="str">
        <f>IFERROR(+_xlfn.RANK.EQ(dHdcp[[#This Row],[Ranking]],dHdcp[Ranking],1),"")</f>
        <v/>
      </c>
      <c r="M2217" t="str">
        <f>+dHdcp[[#This Row],[Fecha]]&amp;":"&amp;dHdcp[[#This Row],[Nombre]]</f>
        <v>45577:J. Enrique Gonzalez</v>
      </c>
      <c r="N2217">
        <f>+COUNTIF(dHdcp[Columna1],dHdcp[[#This Row],[Columna1]])</f>
        <v>1</v>
      </c>
    </row>
    <row r="2218" spans="1:14">
      <c r="A2218" s="98">
        <v>45577</v>
      </c>
      <c r="B2218" s="46" t="s">
        <v>289</v>
      </c>
      <c r="C2218" s="104">
        <v>9</v>
      </c>
      <c r="D2218" s="46">
        <f>+VLOOKUP(dHdcp[[#This Row],[Handicap]],'Categoría Hdcap'!$B$2:$E$7,4)</f>
        <v>2</v>
      </c>
      <c r="E2218" s="46" t="s">
        <v>74</v>
      </c>
      <c r="F2218" s="92"/>
      <c r="G2218">
        <f>+IF(dHdcp[[#This Row],[Fecha]]=MAX(dHdcp[Fecha]),1,0)</f>
        <v>0</v>
      </c>
      <c r="H2218" t="str">
        <f>+dHdcp[[#This Row],[Maximo]]&amp;":"&amp;dHdcp[[#This Row],[Nombre]]</f>
        <v>0:Jaime Villanueva</v>
      </c>
      <c r="I2218" t="str">
        <f>+dHdcp[[#This Row],[Maximo]]&amp;":"&amp;_xlfn.XLOOKUP(dHdcp[[#This Row],[Nombre]],dJugador[Nombre],dJugador[Mote],"",0)</f>
        <v>0:Villanueva</v>
      </c>
      <c r="J2218" t="str">
        <f>+IF(dHdcp[[#This Row],[Maximo]]=0,"",_xlfn.RANK.EQ(dHdcp[[#This Row],[Handicap]],dHdcp[Handicap],1))</f>
        <v/>
      </c>
      <c r="K2218" t="str">
        <f>IFERROR(+_xlfn.RANK.EQ(dHdcp[[#This Row],[Ranking]],dHdcp[Ranking],1),"")</f>
        <v/>
      </c>
      <c r="M2218" t="str">
        <f>+dHdcp[[#This Row],[Fecha]]&amp;":"&amp;dHdcp[[#This Row],[Nombre]]</f>
        <v>45577:Jaime Villanueva</v>
      </c>
      <c r="N2218">
        <f>+COUNTIF(dHdcp[Columna1],dHdcp[[#This Row],[Columna1]])</f>
        <v>1</v>
      </c>
    </row>
    <row r="2219" spans="1:14">
      <c r="A2219" s="98">
        <v>45577</v>
      </c>
      <c r="B2219" s="46" t="s">
        <v>328</v>
      </c>
      <c r="C2219" s="104">
        <v>10.4</v>
      </c>
      <c r="D2219" s="46">
        <f>+VLOOKUP(dHdcp[[#This Row],[Handicap]],'Categoría Hdcap'!$B$2:$E$7,4)</f>
        <v>2</v>
      </c>
      <c r="E2219" s="46" t="s">
        <v>74</v>
      </c>
      <c r="F2219" s="92"/>
      <c r="G2219">
        <f>+IF(dHdcp[[#This Row],[Fecha]]=MAX(dHdcp[Fecha]),1,0)</f>
        <v>0</v>
      </c>
      <c r="H2219" t="str">
        <f>+dHdcp[[#This Row],[Maximo]]&amp;":"&amp;dHdcp[[#This Row],[Nombre]]</f>
        <v>0:Javier Arcos</v>
      </c>
      <c r="I2219" t="str">
        <f>+dHdcp[[#This Row],[Maximo]]&amp;":"&amp;_xlfn.XLOOKUP(dHdcp[[#This Row],[Nombre]],dJugador[Nombre],dJugador[Mote],"",0)</f>
        <v>0:J.Arcos</v>
      </c>
      <c r="J2219" t="str">
        <f>+IF(dHdcp[[#This Row],[Maximo]]=0,"",_xlfn.RANK.EQ(dHdcp[[#This Row],[Handicap]],dHdcp[Handicap],1))</f>
        <v/>
      </c>
      <c r="K2219" t="str">
        <f>IFERROR(+_xlfn.RANK.EQ(dHdcp[[#This Row],[Ranking]],dHdcp[Ranking],1),"")</f>
        <v/>
      </c>
      <c r="M2219" t="str">
        <f>+dHdcp[[#This Row],[Fecha]]&amp;":"&amp;dHdcp[[#This Row],[Nombre]]</f>
        <v>45577:Javier Arcos</v>
      </c>
      <c r="N2219">
        <f>+COUNTIF(dHdcp[Columna1],dHdcp[[#This Row],[Columna1]])</f>
        <v>1</v>
      </c>
    </row>
    <row r="2220" spans="1:14">
      <c r="A2220" s="98">
        <v>45577</v>
      </c>
      <c r="B2220" s="46" t="s">
        <v>378</v>
      </c>
      <c r="C2220" s="104">
        <v>11.199999999999992</v>
      </c>
      <c r="D2220" s="46">
        <f>+VLOOKUP(dHdcp[[#This Row],[Handicap]],'Categoría Hdcap'!$B$2:$E$7,4)</f>
        <v>2</v>
      </c>
      <c r="E2220" s="46" t="s">
        <v>74</v>
      </c>
      <c r="F2220" s="92"/>
      <c r="G2220">
        <f>+IF(dHdcp[[#This Row],[Fecha]]=MAX(dHdcp[Fecha]),1,0)</f>
        <v>0</v>
      </c>
      <c r="H2220" t="str">
        <f>+dHdcp[[#This Row],[Maximo]]&amp;":"&amp;dHdcp[[#This Row],[Nombre]]</f>
        <v>0:Javier Campo</v>
      </c>
      <c r="I2220" t="str">
        <f>+dHdcp[[#This Row],[Maximo]]&amp;":"&amp;_xlfn.XLOOKUP(dHdcp[[#This Row],[Nombre]],dJugador[Nombre],dJugador[Mote],"",0)</f>
        <v>0:Campo</v>
      </c>
      <c r="J2220" t="str">
        <f>+IF(dHdcp[[#This Row],[Maximo]]=0,"",_xlfn.RANK.EQ(dHdcp[[#This Row],[Handicap]],dHdcp[Handicap],1))</f>
        <v/>
      </c>
      <c r="K2220" t="str">
        <f>IFERROR(+_xlfn.RANK.EQ(dHdcp[[#This Row],[Ranking]],dHdcp[Ranking],1),"")</f>
        <v/>
      </c>
      <c r="M2220" t="str">
        <f>+dHdcp[[#This Row],[Fecha]]&amp;":"&amp;dHdcp[[#This Row],[Nombre]]</f>
        <v>45577:Javier Campo</v>
      </c>
      <c r="N2220">
        <f>+COUNTIF(dHdcp[Columna1],dHdcp[[#This Row],[Columna1]])</f>
        <v>1</v>
      </c>
    </row>
    <row r="2221" spans="1:14">
      <c r="A2221" s="98">
        <v>45577</v>
      </c>
      <c r="B2221" s="46" t="s">
        <v>46</v>
      </c>
      <c r="C2221" s="104">
        <v>18.399999999999999</v>
      </c>
      <c r="D2221" s="46">
        <f>+VLOOKUP(dHdcp[[#This Row],[Handicap]],'Categoría Hdcap'!$B$2:$E$7,4)</f>
        <v>3</v>
      </c>
      <c r="E2221" s="46" t="s">
        <v>74</v>
      </c>
      <c r="F2221" s="92"/>
      <c r="G2221">
        <f>+IF(dHdcp[[#This Row],[Fecha]]=MAX(dHdcp[Fecha]),1,0)</f>
        <v>0</v>
      </c>
      <c r="H2221" t="str">
        <f>+dHdcp[[#This Row],[Maximo]]&amp;":"&amp;dHdcp[[#This Row],[Nombre]]</f>
        <v>0:Javier Cervera</v>
      </c>
      <c r="I2221" t="str">
        <f>+dHdcp[[#This Row],[Maximo]]&amp;":"&amp;_xlfn.XLOOKUP(dHdcp[[#This Row],[Nombre]],dJugador[Nombre],dJugador[Mote],"",0)</f>
        <v>0:Virus</v>
      </c>
      <c r="J2221" t="str">
        <f>+IF(dHdcp[[#This Row],[Maximo]]=0,"",_xlfn.RANK.EQ(dHdcp[[#This Row],[Handicap]],dHdcp[Handicap],1))</f>
        <v/>
      </c>
      <c r="K2221" t="str">
        <f>IFERROR(+_xlfn.RANK.EQ(dHdcp[[#This Row],[Ranking]],dHdcp[Ranking],1),"")</f>
        <v/>
      </c>
      <c r="M2221" t="str">
        <f>+dHdcp[[#This Row],[Fecha]]&amp;":"&amp;dHdcp[[#This Row],[Nombre]]</f>
        <v>45577:Javier Cervera</v>
      </c>
      <c r="N2221">
        <f>+COUNTIF(dHdcp[Columna1],dHdcp[[#This Row],[Columna1]])</f>
        <v>1</v>
      </c>
    </row>
    <row r="2222" spans="1:14">
      <c r="A2222" s="98">
        <v>45577</v>
      </c>
      <c r="B2222" s="46" t="s">
        <v>225</v>
      </c>
      <c r="C2222" s="104">
        <v>10.6</v>
      </c>
      <c r="D2222" s="46">
        <f>+VLOOKUP(dHdcp[[#This Row],[Handicap]],'Categoría Hdcap'!$B$2:$E$7,4)</f>
        <v>2</v>
      </c>
      <c r="E2222" s="46" t="s">
        <v>74</v>
      </c>
      <c r="F2222" s="92"/>
      <c r="G2222">
        <f>+IF(dHdcp[[#This Row],[Fecha]]=MAX(dHdcp[Fecha]),1,0)</f>
        <v>0</v>
      </c>
      <c r="H2222" t="str">
        <f>+dHdcp[[#This Row],[Maximo]]&amp;":"&amp;dHdcp[[#This Row],[Nombre]]</f>
        <v>0:Javier Chiralt</v>
      </c>
      <c r="I2222" t="str">
        <f>+dHdcp[[#This Row],[Maximo]]&amp;":"&amp;_xlfn.XLOOKUP(dHdcp[[#This Row],[Nombre]],dJugador[Nombre],dJugador[Mote],"",0)</f>
        <v>0:Chiralt</v>
      </c>
      <c r="J2222" t="str">
        <f>+IF(dHdcp[[#This Row],[Maximo]]=0,"",_xlfn.RANK.EQ(dHdcp[[#This Row],[Handicap]],dHdcp[Handicap],1))</f>
        <v/>
      </c>
      <c r="K2222" t="str">
        <f>IFERROR(+_xlfn.RANK.EQ(dHdcp[[#This Row],[Ranking]],dHdcp[Ranking],1),"")</f>
        <v/>
      </c>
      <c r="M2222" t="str">
        <f>+dHdcp[[#This Row],[Fecha]]&amp;":"&amp;dHdcp[[#This Row],[Nombre]]</f>
        <v>45577:Javier Chiralt</v>
      </c>
      <c r="N2222">
        <f>+COUNTIF(dHdcp[Columna1],dHdcp[[#This Row],[Columna1]])</f>
        <v>1</v>
      </c>
    </row>
    <row r="2223" spans="1:14">
      <c r="A2223" s="98">
        <v>45577</v>
      </c>
      <c r="B2223" s="46" t="s">
        <v>2466</v>
      </c>
      <c r="C2223" s="104">
        <v>17.5</v>
      </c>
      <c r="D2223" s="46">
        <f>+VLOOKUP(dHdcp[[#This Row],[Handicap]],'Categoría Hdcap'!$B$2:$E$7,4)</f>
        <v>3</v>
      </c>
      <c r="E2223" s="46" t="s">
        <v>74</v>
      </c>
      <c r="F2223" s="92"/>
      <c r="G2223">
        <f>+IF(dHdcp[[#This Row],[Fecha]]=MAX(dHdcp[Fecha]),1,0)</f>
        <v>0</v>
      </c>
      <c r="H2223" t="str">
        <f>+dHdcp[[#This Row],[Maximo]]&amp;":"&amp;dHdcp[[#This Row],[Nombre]]</f>
        <v>0:Javier Dodero de Solano</v>
      </c>
      <c r="I2223" t="str">
        <f>+dHdcp[[#This Row],[Maximo]]&amp;":"&amp;_xlfn.XLOOKUP(dHdcp[[#This Row],[Nombre]],dJugador[Nombre],dJugador[Mote],"",0)</f>
        <v>0:Dodero</v>
      </c>
      <c r="J2223" t="str">
        <f>+IF(dHdcp[[#This Row],[Maximo]]=0,"",_xlfn.RANK.EQ(dHdcp[[#This Row],[Handicap]],dHdcp[Handicap],1))</f>
        <v/>
      </c>
      <c r="K2223" t="str">
        <f>IFERROR(+_xlfn.RANK.EQ(dHdcp[[#This Row],[Ranking]],dHdcp[Ranking],1),"")</f>
        <v/>
      </c>
      <c r="M2223" t="str">
        <f>+dHdcp[[#This Row],[Fecha]]&amp;":"&amp;dHdcp[[#This Row],[Nombre]]</f>
        <v>45577:Javier Dodero de Solano</v>
      </c>
      <c r="N2223">
        <f>+COUNTIF(dHdcp[Columna1],dHdcp[[#This Row],[Columna1]])</f>
        <v>1</v>
      </c>
    </row>
    <row r="2224" spans="1:14">
      <c r="A2224" s="98">
        <v>45577</v>
      </c>
      <c r="B2224" s="46" t="s">
        <v>20</v>
      </c>
      <c r="C2224" s="104">
        <v>19.3</v>
      </c>
      <c r="D2224" s="46">
        <f>+VLOOKUP(dHdcp[[#This Row],[Handicap]],'Categoría Hdcap'!$B$2:$E$7,4)</f>
        <v>4</v>
      </c>
      <c r="E2224" s="46" t="s">
        <v>74</v>
      </c>
      <c r="F2224" s="92"/>
      <c r="G2224">
        <f>+IF(dHdcp[[#This Row],[Fecha]]=MAX(dHdcp[Fecha]),1,0)</f>
        <v>0</v>
      </c>
      <c r="H2224" t="str">
        <f>+dHdcp[[#This Row],[Maximo]]&amp;":"&amp;dHdcp[[#This Row],[Nombre]]</f>
        <v>0:Javier Gonzalez Salvador</v>
      </c>
      <c r="I2224" t="str">
        <f>+dHdcp[[#This Row],[Maximo]]&amp;":"&amp;_xlfn.XLOOKUP(dHdcp[[#This Row],[Nombre]],dJugador[Nombre],dJugador[Mote],"",0)</f>
        <v>0:Javi</v>
      </c>
      <c r="J2224" t="str">
        <f>+IF(dHdcp[[#This Row],[Maximo]]=0,"",_xlfn.RANK.EQ(dHdcp[[#This Row],[Handicap]],dHdcp[Handicap],1))</f>
        <v/>
      </c>
      <c r="K2224" t="str">
        <f>IFERROR(+_xlfn.RANK.EQ(dHdcp[[#This Row],[Ranking]],dHdcp[Ranking],1),"")</f>
        <v/>
      </c>
      <c r="M2224" t="str">
        <f>+dHdcp[[#This Row],[Fecha]]&amp;":"&amp;dHdcp[[#This Row],[Nombre]]</f>
        <v>45577:Javier Gonzalez Salvador</v>
      </c>
      <c r="N2224">
        <f>+COUNTIF(dHdcp[Columna1],dHdcp[[#This Row],[Columna1]])</f>
        <v>1</v>
      </c>
    </row>
    <row r="2225" spans="1:14">
      <c r="A2225" s="98">
        <v>45577</v>
      </c>
      <c r="B2225" s="46" t="s">
        <v>217</v>
      </c>
      <c r="C2225" s="104">
        <v>20.9</v>
      </c>
      <c r="D2225" s="46">
        <f>+VLOOKUP(dHdcp[[#This Row],[Handicap]],'Categoría Hdcap'!$B$2:$E$7,4)</f>
        <v>4</v>
      </c>
      <c r="E2225" s="46" t="s">
        <v>74</v>
      </c>
      <c r="F2225" s="92"/>
      <c r="G2225">
        <f>+IF(dHdcp[[#This Row],[Fecha]]=MAX(dHdcp[Fecha]),1,0)</f>
        <v>0</v>
      </c>
      <c r="H2225" t="str">
        <f>+dHdcp[[#This Row],[Maximo]]&amp;":"&amp;dHdcp[[#This Row],[Nombre]]</f>
        <v>0:Javier Lopez Gullón</v>
      </c>
      <c r="I2225" t="str">
        <f>+dHdcp[[#This Row],[Maximo]]&amp;":"&amp;_xlfn.XLOOKUP(dHdcp[[#This Row],[Nombre]],dJugador[Nombre],dJugador[Mote],"",0)</f>
        <v>0:Cuñao</v>
      </c>
      <c r="J2225" t="str">
        <f>+IF(dHdcp[[#This Row],[Maximo]]=0,"",_xlfn.RANK.EQ(dHdcp[[#This Row],[Handicap]],dHdcp[Handicap],1))</f>
        <v/>
      </c>
      <c r="K2225" t="str">
        <f>IFERROR(+_xlfn.RANK.EQ(dHdcp[[#This Row],[Ranking]],dHdcp[Ranking],1),"")</f>
        <v/>
      </c>
      <c r="M2225" t="str">
        <f>+dHdcp[[#This Row],[Fecha]]&amp;":"&amp;dHdcp[[#This Row],[Nombre]]</f>
        <v>45577:Javier Lopez Gullón</v>
      </c>
      <c r="N2225">
        <f>+COUNTIF(dHdcp[Columna1],dHdcp[[#This Row],[Columna1]])</f>
        <v>1</v>
      </c>
    </row>
    <row r="2226" spans="1:14">
      <c r="A2226" s="98">
        <v>45577</v>
      </c>
      <c r="B2226" s="46" t="s">
        <v>41</v>
      </c>
      <c r="C2226" s="104">
        <v>21.1</v>
      </c>
      <c r="D2226" s="46">
        <f>+VLOOKUP(dHdcp[[#This Row],[Handicap]],'Categoría Hdcap'!$B$2:$E$7,4)</f>
        <v>4</v>
      </c>
      <c r="E2226" s="46" t="s">
        <v>74</v>
      </c>
      <c r="F2226" s="92"/>
      <c r="G2226">
        <f>+IF(dHdcp[[#This Row],[Fecha]]=MAX(dHdcp[Fecha]),1,0)</f>
        <v>0</v>
      </c>
      <c r="H2226" t="str">
        <f>+dHdcp[[#This Row],[Maximo]]&amp;":"&amp;dHdcp[[#This Row],[Nombre]]</f>
        <v>0:Jesus Touceda</v>
      </c>
      <c r="I2226" t="str">
        <f>+dHdcp[[#This Row],[Maximo]]&amp;":"&amp;_xlfn.XLOOKUP(dHdcp[[#This Row],[Nombre]],dJugador[Nombre],dJugador[Mote],"",0)</f>
        <v>0:Jesús</v>
      </c>
      <c r="J2226" t="str">
        <f>+IF(dHdcp[[#This Row],[Maximo]]=0,"",_xlfn.RANK.EQ(dHdcp[[#This Row],[Handicap]],dHdcp[Handicap],1))</f>
        <v/>
      </c>
      <c r="K2226" t="str">
        <f>IFERROR(+_xlfn.RANK.EQ(dHdcp[[#This Row],[Ranking]],dHdcp[Ranking],1),"")</f>
        <v/>
      </c>
      <c r="M2226" t="str">
        <f>+dHdcp[[#This Row],[Fecha]]&amp;":"&amp;dHdcp[[#This Row],[Nombre]]</f>
        <v>45577:Jesus Touceda</v>
      </c>
      <c r="N2226">
        <f>+COUNTIF(dHdcp[Columna1],dHdcp[[#This Row],[Columna1]])</f>
        <v>1</v>
      </c>
    </row>
    <row r="2227" spans="1:14">
      <c r="A2227" s="98">
        <v>45577</v>
      </c>
      <c r="B2227" s="46" t="s">
        <v>297</v>
      </c>
      <c r="C2227" s="104">
        <v>19.399999999999999</v>
      </c>
      <c r="D2227" s="46">
        <f>+VLOOKUP(dHdcp[[#This Row],[Handicap]],'Categoría Hdcap'!$B$2:$E$7,4)</f>
        <v>4</v>
      </c>
      <c r="E2227" s="46" t="s">
        <v>74</v>
      </c>
      <c r="F2227" s="92"/>
      <c r="G2227">
        <f>+IF(dHdcp[[#This Row],[Fecha]]=MAX(dHdcp[Fecha]),1,0)</f>
        <v>0</v>
      </c>
      <c r="H2227" t="str">
        <f>+dHdcp[[#This Row],[Maximo]]&amp;":"&amp;dHdcp[[#This Row],[Nombre]]</f>
        <v>0:Jorge Alberto Martínez Sánchez</v>
      </c>
      <c r="I2227" t="str">
        <f>+dHdcp[[#This Row],[Maximo]]&amp;":"&amp;_xlfn.XLOOKUP(dHdcp[[#This Row],[Nombre]],dJugador[Nombre],dJugador[Mote],"",0)</f>
        <v>0:Jorge</v>
      </c>
      <c r="J2227" t="str">
        <f>+IF(dHdcp[[#This Row],[Maximo]]=0,"",_xlfn.RANK.EQ(dHdcp[[#This Row],[Handicap]],dHdcp[Handicap],1))</f>
        <v/>
      </c>
      <c r="K2227" t="str">
        <f>IFERROR(+_xlfn.RANK.EQ(dHdcp[[#This Row],[Ranking]],dHdcp[Ranking],1),"")</f>
        <v/>
      </c>
      <c r="M2227" t="str">
        <f>+dHdcp[[#This Row],[Fecha]]&amp;":"&amp;dHdcp[[#This Row],[Nombre]]</f>
        <v>45577:Jorge Alberto Martínez Sánchez</v>
      </c>
      <c r="N2227">
        <f>+COUNTIF(dHdcp[Columna1],dHdcp[[#This Row],[Columna1]])</f>
        <v>1</v>
      </c>
    </row>
    <row r="2228" spans="1:14">
      <c r="A2228" s="98">
        <v>45577</v>
      </c>
      <c r="B2228" t="s">
        <v>2540</v>
      </c>
      <c r="C2228" s="51">
        <v>20.2</v>
      </c>
      <c r="D2228" s="46">
        <f>+VLOOKUP(dHdcp[[#This Row],[Handicap]],'Categoría Hdcap'!$B$2:$E$7,4)</f>
        <v>4</v>
      </c>
      <c r="E2228" t="s">
        <v>74</v>
      </c>
      <c r="F2228" s="92"/>
      <c r="G2228">
        <f>+IF(dHdcp[[#This Row],[Fecha]]=MAX(dHdcp[Fecha]),1,0)</f>
        <v>0</v>
      </c>
      <c r="H2228" t="str">
        <f>+dHdcp[[#This Row],[Maximo]]&amp;":"&amp;dHdcp[[#This Row],[Nombre]]</f>
        <v>0:Jorge Maestro Aguilera</v>
      </c>
      <c r="I2228" t="str">
        <f>+dHdcp[[#This Row],[Maximo]]&amp;":"&amp;_xlfn.XLOOKUP(dHdcp[[#This Row],[Nombre]],dJugador[Nombre],dJugador[Mote],"",0)</f>
        <v>0:JMaestro</v>
      </c>
      <c r="J2228" t="str">
        <f>+IF(dHdcp[[#This Row],[Maximo]]=0,"",_xlfn.RANK.EQ(dHdcp[[#This Row],[Handicap]],dHdcp[Handicap],1))</f>
        <v/>
      </c>
      <c r="K2228" t="str">
        <f>IFERROR(+_xlfn.RANK.EQ(dHdcp[[#This Row],[Ranking]],dHdcp[Ranking],1),"")</f>
        <v/>
      </c>
      <c r="M2228" t="str">
        <f>+dHdcp[[#This Row],[Fecha]]&amp;":"&amp;dHdcp[[#This Row],[Nombre]]</f>
        <v>45577:Jorge Maestro Aguilera</v>
      </c>
      <c r="N2228">
        <f>+COUNTIF(dHdcp[Columna1],dHdcp[[#This Row],[Columna1]])</f>
        <v>1</v>
      </c>
    </row>
    <row r="2229" spans="1:14">
      <c r="A2229" s="98">
        <v>45577</v>
      </c>
      <c r="B2229" s="46" t="s">
        <v>388</v>
      </c>
      <c r="C2229" s="104">
        <v>26.4</v>
      </c>
      <c r="D2229" s="46">
        <f>+VLOOKUP(dHdcp[[#This Row],[Handicap]],'Categoría Hdcap'!$B$2:$E$7,4)</f>
        <v>4</v>
      </c>
      <c r="E2229" s="46" t="s">
        <v>74</v>
      </c>
      <c r="F2229" s="92"/>
      <c r="G2229">
        <f>+IF(dHdcp[[#This Row],[Fecha]]=MAX(dHdcp[Fecha]),1,0)</f>
        <v>0</v>
      </c>
      <c r="H2229" t="str">
        <f>+dHdcp[[#This Row],[Maximo]]&amp;":"&amp;dHdcp[[#This Row],[Nombre]]</f>
        <v>0:Jose Antonio Santana</v>
      </c>
      <c r="I2229" t="str">
        <f>+dHdcp[[#This Row],[Maximo]]&amp;":"&amp;_xlfn.XLOOKUP(dHdcp[[#This Row],[Nombre]],dJugador[Nombre],dJugador[Mote],"",0)</f>
        <v>0:J Antonio</v>
      </c>
      <c r="J2229" t="str">
        <f>+IF(dHdcp[[#This Row],[Maximo]]=0,"",_xlfn.RANK.EQ(dHdcp[[#This Row],[Handicap]],dHdcp[Handicap],1))</f>
        <v/>
      </c>
      <c r="K2229" t="str">
        <f>IFERROR(+_xlfn.RANK.EQ(dHdcp[[#This Row],[Ranking]],dHdcp[Ranking],1),"")</f>
        <v/>
      </c>
      <c r="M2229" t="str">
        <f>+dHdcp[[#This Row],[Fecha]]&amp;":"&amp;dHdcp[[#This Row],[Nombre]]</f>
        <v>45577:Jose Antonio Santana</v>
      </c>
      <c r="N2229">
        <f>+COUNTIF(dHdcp[Columna1],dHdcp[[#This Row],[Columna1]])</f>
        <v>1</v>
      </c>
    </row>
    <row r="2230" spans="1:14">
      <c r="A2230" s="98">
        <v>45577</v>
      </c>
      <c r="B2230" s="46" t="s">
        <v>18</v>
      </c>
      <c r="C2230" s="104">
        <v>9.1</v>
      </c>
      <c r="D2230" s="46">
        <f>+VLOOKUP(dHdcp[[#This Row],[Handicap]],'Categoría Hdcap'!$B$2:$E$7,4)</f>
        <v>2</v>
      </c>
      <c r="E2230" s="46" t="s">
        <v>74</v>
      </c>
      <c r="F2230" s="92"/>
      <c r="G2230">
        <f>+IF(dHdcp[[#This Row],[Fecha]]=MAX(dHdcp[Fecha]),1,0)</f>
        <v>0</v>
      </c>
      <c r="H2230" t="str">
        <f>+dHdcp[[#This Row],[Maximo]]&amp;":"&amp;dHdcp[[#This Row],[Nombre]]</f>
        <v>0:José Pablo Guil</v>
      </c>
      <c r="I2230" t="str">
        <f>+dHdcp[[#This Row],[Maximo]]&amp;":"&amp;_xlfn.XLOOKUP(dHdcp[[#This Row],[Nombre]],dJugador[Nombre],dJugador[Mote],"",0)</f>
        <v>0:JP</v>
      </c>
      <c r="J2230" t="str">
        <f>+IF(dHdcp[[#This Row],[Maximo]]=0,"",_xlfn.RANK.EQ(dHdcp[[#This Row],[Handicap]],dHdcp[Handicap],1))</f>
        <v/>
      </c>
      <c r="K2230" t="str">
        <f>IFERROR(+_xlfn.RANK.EQ(dHdcp[[#This Row],[Ranking]],dHdcp[Ranking],1),"")</f>
        <v/>
      </c>
      <c r="M2230" t="str">
        <f>+dHdcp[[#This Row],[Fecha]]&amp;":"&amp;dHdcp[[#This Row],[Nombre]]</f>
        <v>45577:José Pablo Guil</v>
      </c>
      <c r="N2230">
        <f>+COUNTIF(dHdcp[Columna1],dHdcp[[#This Row],[Columna1]])</f>
        <v>1</v>
      </c>
    </row>
    <row r="2231" spans="1:14">
      <c r="A2231" s="98">
        <v>45577</v>
      </c>
      <c r="B2231" s="46" t="s">
        <v>293</v>
      </c>
      <c r="C2231" s="104">
        <v>15.4</v>
      </c>
      <c r="D2231" s="46">
        <f>+VLOOKUP(dHdcp[[#This Row],[Handicap]],'Categoría Hdcap'!$B$2:$E$7,4)</f>
        <v>3</v>
      </c>
      <c r="E2231" s="46" t="s">
        <v>74</v>
      </c>
      <c r="F2231" s="92"/>
      <c r="G2231">
        <f>+IF(dHdcp[[#This Row],[Fecha]]=MAX(dHdcp[Fecha]),1,0)</f>
        <v>0</v>
      </c>
      <c r="H2231" t="str">
        <f>+dHdcp[[#This Row],[Maximo]]&amp;":"&amp;dHdcp[[#This Row],[Nombre]]</f>
        <v>0:Juan Jose Aguado</v>
      </c>
      <c r="I2231" t="str">
        <f>+dHdcp[[#This Row],[Maximo]]&amp;":"&amp;_xlfn.XLOOKUP(dHdcp[[#This Row],[Nombre]],dJugador[Nombre],dJugador[Mote],"",0)</f>
        <v>0:Juancho</v>
      </c>
      <c r="J2231" t="str">
        <f>+IF(dHdcp[[#This Row],[Maximo]]=0,"",_xlfn.RANK.EQ(dHdcp[[#This Row],[Handicap]],dHdcp[Handicap],1))</f>
        <v/>
      </c>
      <c r="K2231" t="str">
        <f>IFERROR(+_xlfn.RANK.EQ(dHdcp[[#This Row],[Ranking]],dHdcp[Ranking],1),"")</f>
        <v/>
      </c>
      <c r="M2231" t="str">
        <f>+dHdcp[[#This Row],[Fecha]]&amp;":"&amp;dHdcp[[#This Row],[Nombre]]</f>
        <v>45577:Juan Jose Aguado</v>
      </c>
      <c r="N2231">
        <f>+COUNTIF(dHdcp[Columna1],dHdcp[[#This Row],[Columna1]])</f>
        <v>1</v>
      </c>
    </row>
    <row r="2232" spans="1:14">
      <c r="A2232" s="98">
        <v>45577</v>
      </c>
      <c r="B2232" t="s">
        <v>2516</v>
      </c>
      <c r="C2232" s="104">
        <v>18.5</v>
      </c>
      <c r="D2232" s="46">
        <f>+VLOOKUP(dHdcp[[#This Row],[Handicap]],'Categoría Hdcap'!$B$2:$E$7,4)</f>
        <v>4</v>
      </c>
      <c r="E2232" s="46" t="s">
        <v>74</v>
      </c>
      <c r="F2232" s="92"/>
      <c r="G2232">
        <f>+IF(dHdcp[[#This Row],[Fecha]]=MAX(dHdcp[Fecha]),1,0)</f>
        <v>0</v>
      </c>
      <c r="H2232" t="str">
        <f>+dHdcp[[#This Row],[Maximo]]&amp;":"&amp;dHdcp[[#This Row],[Nombre]]</f>
        <v>0:Juan Sanz</v>
      </c>
      <c r="I2232" t="str">
        <f>+dHdcp[[#This Row],[Maximo]]&amp;":"&amp;_xlfn.XLOOKUP(dHdcp[[#This Row],[Nombre]],dJugador[Nombre],dJugador[Mote],"",0)</f>
        <v>0:JuanSanz</v>
      </c>
      <c r="J2232" t="str">
        <f>+IF(dHdcp[[#This Row],[Maximo]]=0,"",_xlfn.RANK.EQ(dHdcp[[#This Row],[Handicap]],dHdcp[Handicap],1))</f>
        <v/>
      </c>
      <c r="K2232" t="str">
        <f>IFERROR(+_xlfn.RANK.EQ(dHdcp[[#This Row],[Ranking]],dHdcp[Ranking],1),"")</f>
        <v/>
      </c>
      <c r="M2232" t="str">
        <f>+dHdcp[[#This Row],[Fecha]]&amp;":"&amp;dHdcp[[#This Row],[Nombre]]</f>
        <v>45577:Juan Sanz</v>
      </c>
      <c r="N2232">
        <f>+COUNTIF(dHdcp[Columna1],dHdcp[[#This Row],[Columna1]])</f>
        <v>1</v>
      </c>
    </row>
    <row r="2233" spans="1:14">
      <c r="A2233" s="98">
        <v>45577</v>
      </c>
      <c r="B2233" s="46" t="s">
        <v>375</v>
      </c>
      <c r="C2233" s="104">
        <v>10.4</v>
      </c>
      <c r="D2233" s="46">
        <f>+VLOOKUP(dHdcp[[#This Row],[Handicap]],'Categoría Hdcap'!$B$2:$E$7,4)</f>
        <v>2</v>
      </c>
      <c r="E2233" s="46" t="s">
        <v>74</v>
      </c>
      <c r="F2233" s="92"/>
      <c r="G2233">
        <f>+IF(dHdcp[[#This Row],[Fecha]]=MAX(dHdcp[Fecha]),1,0)</f>
        <v>0</v>
      </c>
      <c r="H2233" t="str">
        <f>+dHdcp[[#This Row],[Maximo]]&amp;":"&amp;dHdcp[[#This Row],[Nombre]]</f>
        <v>0:Luis Fernandez</v>
      </c>
      <c r="I2233" t="str">
        <f>+dHdcp[[#This Row],[Maximo]]&amp;":"&amp;_xlfn.XLOOKUP(dHdcp[[#This Row],[Nombre]],dJugador[Nombre],dJugador[Mote],"",0)</f>
        <v>0:Luis</v>
      </c>
      <c r="J2233" t="str">
        <f>+IF(dHdcp[[#This Row],[Maximo]]=0,"",_xlfn.RANK.EQ(dHdcp[[#This Row],[Handicap]],dHdcp[Handicap],1))</f>
        <v/>
      </c>
      <c r="K2233" t="str">
        <f>IFERROR(+_xlfn.RANK.EQ(dHdcp[[#This Row],[Ranking]],dHdcp[Ranking],1),"")</f>
        <v/>
      </c>
      <c r="M2233" t="str">
        <f>+dHdcp[[#This Row],[Fecha]]&amp;":"&amp;dHdcp[[#This Row],[Nombre]]</f>
        <v>45577:Luis Fernandez</v>
      </c>
      <c r="N2233">
        <f>+COUNTIF(dHdcp[Columna1],dHdcp[[#This Row],[Columna1]])</f>
        <v>1</v>
      </c>
    </row>
    <row r="2234" spans="1:14">
      <c r="A2234" s="98">
        <v>45577</v>
      </c>
      <c r="B2234" s="46" t="s">
        <v>135</v>
      </c>
      <c r="C2234" s="104">
        <v>18</v>
      </c>
      <c r="D2234" s="46">
        <f>+VLOOKUP(dHdcp[[#This Row],[Handicap]],'Categoría Hdcap'!$B$2:$E$7,4)</f>
        <v>3</v>
      </c>
      <c r="E2234" s="46" t="s">
        <v>74</v>
      </c>
      <c r="F2234" s="92"/>
      <c r="G2234">
        <f>+IF(dHdcp[[#This Row],[Fecha]]=MAX(dHdcp[Fecha]),1,0)</f>
        <v>0</v>
      </c>
      <c r="H2234" t="str">
        <f>+dHdcp[[#This Row],[Maximo]]&amp;":"&amp;dHdcp[[#This Row],[Nombre]]</f>
        <v>0:Miche Lopez</v>
      </c>
      <c r="I2234" t="str">
        <f>+dHdcp[[#This Row],[Maximo]]&amp;":"&amp;_xlfn.XLOOKUP(dHdcp[[#This Row],[Nombre]],dJugador[Nombre],dJugador[Mote],"",0)</f>
        <v>0:Miche</v>
      </c>
      <c r="J2234" t="str">
        <f>+IF(dHdcp[[#This Row],[Maximo]]=0,"",_xlfn.RANK.EQ(dHdcp[[#This Row],[Handicap]],dHdcp[Handicap],1))</f>
        <v/>
      </c>
      <c r="K2234" t="str">
        <f>IFERROR(+_xlfn.RANK.EQ(dHdcp[[#This Row],[Ranking]],dHdcp[Ranking],1),"")</f>
        <v/>
      </c>
      <c r="M2234" t="str">
        <f>+dHdcp[[#This Row],[Fecha]]&amp;":"&amp;dHdcp[[#This Row],[Nombre]]</f>
        <v>45577:Miche Lopez</v>
      </c>
      <c r="N2234">
        <f>+COUNTIF(dHdcp[Columna1],dHdcp[[#This Row],[Columna1]])</f>
        <v>1</v>
      </c>
    </row>
    <row r="2235" spans="1:14">
      <c r="A2235" s="98">
        <v>45577</v>
      </c>
      <c r="B2235" s="46" t="s">
        <v>205</v>
      </c>
      <c r="C2235" s="104">
        <v>5.2</v>
      </c>
      <c r="D2235" s="46">
        <f>+VLOOKUP(dHdcp[[#This Row],[Handicap]],'Categoría Hdcap'!$B$2:$E$7,4)</f>
        <v>2</v>
      </c>
      <c r="E2235" s="46" t="s">
        <v>74</v>
      </c>
      <c r="F2235" s="92"/>
      <c r="G2235">
        <f>+IF(dHdcp[[#This Row],[Fecha]]=MAX(dHdcp[Fecha]),1,0)</f>
        <v>0</v>
      </c>
      <c r="H2235" t="str">
        <f>+dHdcp[[#This Row],[Maximo]]&amp;":"&amp;dHdcp[[#This Row],[Nombre]]</f>
        <v>0:Nacho Casas</v>
      </c>
      <c r="I2235" t="str">
        <f>+dHdcp[[#This Row],[Maximo]]&amp;":"&amp;_xlfn.XLOOKUP(dHdcp[[#This Row],[Nombre]],dJugador[Nombre],dJugador[Mote],"",0)</f>
        <v>0:Nachete</v>
      </c>
      <c r="J2235" t="str">
        <f>+IF(dHdcp[[#This Row],[Maximo]]=0,"",_xlfn.RANK.EQ(dHdcp[[#This Row],[Handicap]],dHdcp[Handicap],1))</f>
        <v/>
      </c>
      <c r="K2235" t="str">
        <f>IFERROR(+_xlfn.RANK.EQ(dHdcp[[#This Row],[Ranking]],dHdcp[Ranking],1),"")</f>
        <v/>
      </c>
      <c r="M2235" t="str">
        <f>+dHdcp[[#This Row],[Fecha]]&amp;":"&amp;dHdcp[[#This Row],[Nombre]]</f>
        <v>45577:Nacho Casas</v>
      </c>
      <c r="N2235">
        <f>+COUNTIF(dHdcp[Columna1],dHdcp[[#This Row],[Columna1]])</f>
        <v>1</v>
      </c>
    </row>
    <row r="2236" spans="1:14">
      <c r="A2236" s="98">
        <v>45577</v>
      </c>
      <c r="B2236" s="46" t="s">
        <v>3</v>
      </c>
      <c r="C2236" s="104">
        <v>4.7</v>
      </c>
      <c r="D2236" s="46">
        <f>+VLOOKUP(dHdcp[[#This Row],[Handicap]],'Categoría Hdcap'!$B$2:$E$7,4)</f>
        <v>2</v>
      </c>
      <c r="E2236" s="46" t="s">
        <v>74</v>
      </c>
      <c r="F2236" s="92"/>
      <c r="G2236">
        <f>+IF(dHdcp[[#This Row],[Fecha]]=MAX(dHdcp[Fecha]),1,0)</f>
        <v>0</v>
      </c>
      <c r="H2236" t="str">
        <f>+dHdcp[[#This Row],[Maximo]]&amp;":"&amp;dHdcp[[#This Row],[Nombre]]</f>
        <v>0:Nacho Gonzalez</v>
      </c>
      <c r="I2236" t="str">
        <f>+dHdcp[[#This Row],[Maximo]]&amp;":"&amp;_xlfn.XLOOKUP(dHdcp[[#This Row],[Nombre]],dJugador[Nombre],dJugador[Mote],"",0)</f>
        <v>0:Nacho</v>
      </c>
      <c r="J2236" t="str">
        <f>+IF(dHdcp[[#This Row],[Maximo]]=0,"",_xlfn.RANK.EQ(dHdcp[[#This Row],[Handicap]],dHdcp[Handicap],1))</f>
        <v/>
      </c>
      <c r="K2236" t="str">
        <f>IFERROR(+_xlfn.RANK.EQ(dHdcp[[#This Row],[Ranking]],dHdcp[Ranking],1),"")</f>
        <v/>
      </c>
      <c r="M2236" t="str">
        <f>+dHdcp[[#This Row],[Fecha]]&amp;":"&amp;dHdcp[[#This Row],[Nombre]]</f>
        <v>45577:Nacho Gonzalez</v>
      </c>
      <c r="N2236">
        <f>+COUNTIF(dHdcp[Columna1],dHdcp[[#This Row],[Columna1]])</f>
        <v>1</v>
      </c>
    </row>
    <row r="2237" spans="1:14">
      <c r="A2237" s="98">
        <v>45577</v>
      </c>
      <c r="B2237" s="46" t="s">
        <v>203</v>
      </c>
      <c r="C2237" s="104">
        <v>16.600000000000001</v>
      </c>
      <c r="D2237" s="46">
        <f>+VLOOKUP(dHdcp[[#This Row],[Handicap]],'Categoría Hdcap'!$B$2:$E$7,4)</f>
        <v>3</v>
      </c>
      <c r="E2237" s="46" t="s">
        <v>74</v>
      </c>
      <c r="F2237" s="92"/>
      <c r="G2237">
        <f>+IF(dHdcp[[#This Row],[Fecha]]=MAX(dHdcp[Fecha]),1,0)</f>
        <v>0</v>
      </c>
      <c r="H2237" t="str">
        <f>+dHdcp[[#This Row],[Maximo]]&amp;":"&amp;dHdcp[[#This Row],[Nombre]]</f>
        <v>0:Ruslan Kochman</v>
      </c>
      <c r="I2237" t="str">
        <f>+dHdcp[[#This Row],[Maximo]]&amp;":"&amp;_xlfn.XLOOKUP(dHdcp[[#This Row],[Nombre]],dJugador[Nombre],dJugador[Mote],"",0)</f>
        <v>0:Rus</v>
      </c>
      <c r="J2237" t="str">
        <f>+IF(dHdcp[[#This Row],[Maximo]]=0,"",_xlfn.RANK.EQ(dHdcp[[#This Row],[Handicap]],dHdcp[Handicap],1))</f>
        <v/>
      </c>
      <c r="K2237" t="str">
        <f>IFERROR(+_xlfn.RANK.EQ(dHdcp[[#This Row],[Ranking]],dHdcp[Ranking],1),"")</f>
        <v/>
      </c>
      <c r="M2237" t="str">
        <f>+dHdcp[[#This Row],[Fecha]]&amp;":"&amp;dHdcp[[#This Row],[Nombre]]</f>
        <v>45577:Ruslan Kochman</v>
      </c>
      <c r="N2237">
        <f>+COUNTIF(dHdcp[Columna1],dHdcp[[#This Row],[Columna1]])</f>
        <v>1</v>
      </c>
    </row>
    <row r="2238" spans="1:14">
      <c r="A2238" s="98">
        <v>45577</v>
      </c>
      <c r="B2238" s="46" t="s">
        <v>271</v>
      </c>
      <c r="C2238" s="104">
        <v>16.399999999999999</v>
      </c>
      <c r="D2238" s="46">
        <f>+VLOOKUP(dHdcp[[#This Row],[Handicap]],'Categoría Hdcap'!$B$2:$E$7,4)</f>
        <v>3</v>
      </c>
      <c r="E2238" s="46" t="s">
        <v>74</v>
      </c>
      <c r="F2238" s="92"/>
      <c r="G2238">
        <f>+IF(dHdcp[[#This Row],[Fecha]]=MAX(dHdcp[Fecha]),1,0)</f>
        <v>0</v>
      </c>
      <c r="H2238" t="str">
        <f>+dHdcp[[#This Row],[Maximo]]&amp;":"&amp;dHdcp[[#This Row],[Nombre]]</f>
        <v>0:Santi Diaz</v>
      </c>
      <c r="I2238" t="str">
        <f>+dHdcp[[#This Row],[Maximo]]&amp;":"&amp;_xlfn.XLOOKUP(dHdcp[[#This Row],[Nombre]],dJugador[Nombre],dJugador[Mote],"",0)</f>
        <v>0:Santi</v>
      </c>
      <c r="J2238" t="str">
        <f>+IF(dHdcp[[#This Row],[Maximo]]=0,"",_xlfn.RANK.EQ(dHdcp[[#This Row],[Handicap]],dHdcp[Handicap],1))</f>
        <v/>
      </c>
      <c r="K2238" t="str">
        <f>IFERROR(+_xlfn.RANK.EQ(dHdcp[[#This Row],[Ranking]],dHdcp[Ranking],1),"")</f>
        <v/>
      </c>
      <c r="M2238" t="str">
        <f>+dHdcp[[#This Row],[Fecha]]&amp;":"&amp;dHdcp[[#This Row],[Nombre]]</f>
        <v>45577:Santi Diaz</v>
      </c>
      <c r="N2238">
        <f>+COUNTIF(dHdcp[Columna1],dHdcp[[#This Row],[Columna1]])</f>
        <v>1</v>
      </c>
    </row>
    <row r="2239" spans="1:14">
      <c r="A2239" s="98">
        <v>45577</v>
      </c>
      <c r="B2239" s="46" t="s">
        <v>2473</v>
      </c>
      <c r="C2239" s="100">
        <v>13.9</v>
      </c>
      <c r="D2239" s="46">
        <f>+VLOOKUP(dHdcp[[#This Row],[Handicap]],'Categoría Hdcap'!$B$2:$E$7,4)</f>
        <v>3</v>
      </c>
      <c r="E2239" s="46" t="s">
        <v>74</v>
      </c>
      <c r="F2239" s="92"/>
      <c r="G2239">
        <f>+IF(dHdcp[[#This Row],[Fecha]]=MAX(dHdcp[Fecha]),1,0)</f>
        <v>0</v>
      </c>
      <c r="H2239" t="str">
        <f>+dHdcp[[#This Row],[Maximo]]&amp;":"&amp;dHdcp[[#This Row],[Nombre]]</f>
        <v>0:Thomas Dauterman</v>
      </c>
      <c r="I2239" t="str">
        <f>+dHdcp[[#This Row],[Maximo]]&amp;":"&amp;_xlfn.XLOOKUP(dHdcp[[#This Row],[Nombre]],dJugador[Nombre],dJugador[Mote],"",0)</f>
        <v>0:Tom</v>
      </c>
      <c r="J2239" t="str">
        <f>+IF(dHdcp[[#This Row],[Maximo]]=0,"",_xlfn.RANK.EQ(dHdcp[[#This Row],[Handicap]],dHdcp[Handicap],1))</f>
        <v/>
      </c>
      <c r="K2239" t="str">
        <f>IFERROR(+_xlfn.RANK.EQ(dHdcp[[#This Row],[Ranking]],dHdcp[Ranking],1),"")</f>
        <v/>
      </c>
      <c r="M2239" t="str">
        <f>+dHdcp[[#This Row],[Fecha]]&amp;":"&amp;dHdcp[[#This Row],[Nombre]]</f>
        <v>45577:Thomas Dauterman</v>
      </c>
      <c r="N2239">
        <f>+COUNTIF(dHdcp[Columna1],dHdcp[[#This Row],[Columna1]])</f>
        <v>1</v>
      </c>
    </row>
    <row r="2240" spans="1:14">
      <c r="A2240" s="98">
        <v>45612</v>
      </c>
      <c r="B2240" s="46" t="s">
        <v>259</v>
      </c>
      <c r="C2240" s="104">
        <v>1.2</v>
      </c>
      <c r="D2240" s="46">
        <f>+VLOOKUP(dHdcp[[#This Row],[Handicap]],'Categoría Hdcap'!$B$2:$E$7,4)</f>
        <v>1</v>
      </c>
      <c r="E2240" s="46" t="s">
        <v>74</v>
      </c>
      <c r="F2240" s="92"/>
      <c r="G2240">
        <f>+IF(dHdcp[[#This Row],[Fecha]]=MAX(dHdcp[Fecha]),1,0)</f>
        <v>0</v>
      </c>
      <c r="H2240" t="str">
        <f>+dHdcp[[#This Row],[Maximo]]&amp;":"&amp;dHdcp[[#This Row],[Nombre]]</f>
        <v>0:Alejandro Arcos</v>
      </c>
      <c r="I2240" t="str">
        <f>+dHdcp[[#This Row],[Maximo]]&amp;":"&amp;_xlfn.XLOOKUP(dHdcp[[#This Row],[Nombre]],dJugador[Nombre],dJugador[Mote],"",0)</f>
        <v>0:Alex</v>
      </c>
      <c r="J2240" t="str">
        <f>+IF(dHdcp[[#This Row],[Maximo]]=0,"",_xlfn.RANK.EQ(dHdcp[[#This Row],[Handicap]],dHdcp[Handicap],1))</f>
        <v/>
      </c>
      <c r="K2240" t="str">
        <f>IFERROR(+_xlfn.RANK.EQ(dHdcp[[#This Row],[Ranking]],dHdcp[Ranking],1),"")</f>
        <v/>
      </c>
      <c r="M2240" t="str">
        <f>+dHdcp[[#This Row],[Fecha]]&amp;":"&amp;dHdcp[[#This Row],[Nombre]]</f>
        <v>45612:Alejandro Arcos</v>
      </c>
      <c r="N2240">
        <f>+COUNTIF(dHdcp[Columna1],dHdcp[[#This Row],[Columna1]])</f>
        <v>1</v>
      </c>
    </row>
    <row r="2241" spans="1:14">
      <c r="A2241" s="98">
        <v>45612</v>
      </c>
      <c r="B2241" s="46" t="s">
        <v>9</v>
      </c>
      <c r="C2241" s="104">
        <v>12.2</v>
      </c>
      <c r="D2241" s="46">
        <f>+VLOOKUP(dHdcp[[#This Row],[Handicap]],'Categoría Hdcap'!$B$2:$E$7,4)</f>
        <v>3</v>
      </c>
      <c r="E2241" s="46" t="s">
        <v>74</v>
      </c>
      <c r="F2241" s="92"/>
      <c r="G2241">
        <f>+IF(dHdcp[[#This Row],[Fecha]]=MAX(dHdcp[Fecha]),1,0)</f>
        <v>0</v>
      </c>
      <c r="H2241" t="str">
        <f>+dHdcp[[#This Row],[Maximo]]&amp;":"&amp;dHdcp[[#This Row],[Nombre]]</f>
        <v>0:Alfonso Hidalgo</v>
      </c>
      <c r="I2241" t="str">
        <f>+dHdcp[[#This Row],[Maximo]]&amp;":"&amp;_xlfn.XLOOKUP(dHdcp[[#This Row],[Nombre]],dJugador[Nombre],dJugador[Mote],"",0)</f>
        <v>0:Alfonso</v>
      </c>
      <c r="J2241" t="str">
        <f>+IF(dHdcp[[#This Row],[Maximo]]=0,"",_xlfn.RANK.EQ(dHdcp[[#This Row],[Handicap]],dHdcp[Handicap],1))</f>
        <v/>
      </c>
      <c r="K2241" t="str">
        <f>IFERROR(+_xlfn.RANK.EQ(dHdcp[[#This Row],[Ranking]],dHdcp[Ranking],1),"")</f>
        <v/>
      </c>
      <c r="M2241" t="str">
        <f>+dHdcp[[#This Row],[Fecha]]&amp;":"&amp;dHdcp[[#This Row],[Nombre]]</f>
        <v>45612:Alfonso Hidalgo</v>
      </c>
      <c r="N2241">
        <f>+COUNTIF(dHdcp[Columna1],dHdcp[[#This Row],[Columna1]])</f>
        <v>1</v>
      </c>
    </row>
    <row r="2242" spans="1:14">
      <c r="A2242" s="98">
        <v>45612</v>
      </c>
      <c r="B2242" s="46" t="s">
        <v>229</v>
      </c>
      <c r="C2242" s="104">
        <v>15</v>
      </c>
      <c r="D2242" s="46">
        <f>+VLOOKUP(dHdcp[[#This Row],[Handicap]],'Categoría Hdcap'!$B$2:$E$7,4)</f>
        <v>3</v>
      </c>
      <c r="E2242" s="46" t="s">
        <v>74</v>
      </c>
      <c r="F2242" s="92"/>
      <c r="G2242">
        <f>+IF(dHdcp[[#This Row],[Fecha]]=MAX(dHdcp[Fecha]),1,0)</f>
        <v>0</v>
      </c>
      <c r="H2242" t="str">
        <f>+dHdcp[[#This Row],[Maximo]]&amp;":"&amp;dHdcp[[#This Row],[Nombre]]</f>
        <v>0:Alfonso Zorrilla</v>
      </c>
      <c r="I2242" t="str">
        <f>+dHdcp[[#This Row],[Maximo]]&amp;":"&amp;_xlfn.XLOOKUP(dHdcp[[#This Row],[Nombre]],dJugador[Nombre],dJugador[Mote],"",0)</f>
        <v>0:A Zorrilla</v>
      </c>
      <c r="J2242" t="str">
        <f>+IF(dHdcp[[#This Row],[Maximo]]=0,"",_xlfn.RANK.EQ(dHdcp[[#This Row],[Handicap]],dHdcp[Handicap],1))</f>
        <v/>
      </c>
      <c r="K2242" t="str">
        <f>IFERROR(+_xlfn.RANK.EQ(dHdcp[[#This Row],[Ranking]],dHdcp[Ranking],1),"")</f>
        <v/>
      </c>
      <c r="M2242" t="str">
        <f>+dHdcp[[#This Row],[Fecha]]&amp;":"&amp;dHdcp[[#This Row],[Nombre]]</f>
        <v>45612:Alfonso Zorrilla</v>
      </c>
      <c r="N2242">
        <f>+COUNTIF(dHdcp[Columna1],dHdcp[[#This Row],[Columna1]])</f>
        <v>1</v>
      </c>
    </row>
    <row r="2243" spans="1:14">
      <c r="A2243" s="98">
        <v>45612</v>
      </c>
      <c r="B2243" s="46" t="s">
        <v>15</v>
      </c>
      <c r="C2243" s="104">
        <v>5.4</v>
      </c>
      <c r="D2243" s="46">
        <f>+VLOOKUP(dHdcp[[#This Row],[Handicap]],'Categoría Hdcap'!$B$2:$E$7,4)</f>
        <v>2</v>
      </c>
      <c r="E2243" s="46" t="s">
        <v>74</v>
      </c>
      <c r="F2243" s="92"/>
      <c r="G2243">
        <f>+IF(dHdcp[[#This Row],[Fecha]]=MAX(dHdcp[Fecha]),1,0)</f>
        <v>0</v>
      </c>
      <c r="H2243" t="str">
        <f>+dHdcp[[#This Row],[Maximo]]&amp;":"&amp;dHdcp[[#This Row],[Nombre]]</f>
        <v>0:Alvaro Aguirre</v>
      </c>
      <c r="I2243" t="str">
        <f>+dHdcp[[#This Row],[Maximo]]&amp;":"&amp;_xlfn.XLOOKUP(dHdcp[[#This Row],[Nombre]],dJugador[Nombre],dJugador[Mote],"",0)</f>
        <v>0:Gifu</v>
      </c>
      <c r="J2243" t="str">
        <f>+IF(dHdcp[[#This Row],[Maximo]]=0,"",_xlfn.RANK.EQ(dHdcp[[#This Row],[Handicap]],dHdcp[Handicap],1))</f>
        <v/>
      </c>
      <c r="K2243" t="str">
        <f>IFERROR(+_xlfn.RANK.EQ(dHdcp[[#This Row],[Ranking]],dHdcp[Ranking],1),"")</f>
        <v/>
      </c>
      <c r="M2243" t="str">
        <f>+dHdcp[[#This Row],[Fecha]]&amp;":"&amp;dHdcp[[#This Row],[Nombre]]</f>
        <v>45612:Alvaro Aguirre</v>
      </c>
      <c r="N2243">
        <f>+COUNTIF(dHdcp[Columna1],dHdcp[[#This Row],[Columna1]])</f>
        <v>1</v>
      </c>
    </row>
    <row r="2244" spans="1:14">
      <c r="A2244" s="98">
        <v>45612</v>
      </c>
      <c r="B2244" s="46" t="s">
        <v>201</v>
      </c>
      <c r="C2244" s="104">
        <v>9.1</v>
      </c>
      <c r="D2244" s="46">
        <f>+VLOOKUP(dHdcp[[#This Row],[Handicap]],'Categoría Hdcap'!$B$2:$E$7,4)</f>
        <v>2</v>
      </c>
      <c r="E2244" s="46" t="s">
        <v>74</v>
      </c>
      <c r="F2244" s="92"/>
      <c r="G2244">
        <f>+IF(dHdcp[[#This Row],[Fecha]]=MAX(dHdcp[Fecha]),1,0)</f>
        <v>0</v>
      </c>
      <c r="H2244" t="str">
        <f>+dHdcp[[#This Row],[Maximo]]&amp;":"&amp;dHdcp[[#This Row],[Nombre]]</f>
        <v>0:Alvaro Montoya</v>
      </c>
      <c r="I2244" t="str">
        <f>+dHdcp[[#This Row],[Maximo]]&amp;":"&amp;_xlfn.XLOOKUP(dHdcp[[#This Row],[Nombre]],dJugador[Nombre],dJugador[Mote],"",0)</f>
        <v>0:Monti</v>
      </c>
      <c r="J2244" t="str">
        <f>+IF(dHdcp[[#This Row],[Maximo]]=0,"",_xlfn.RANK.EQ(dHdcp[[#This Row],[Handicap]],dHdcp[Handicap],1))</f>
        <v/>
      </c>
      <c r="K2244" t="str">
        <f>IFERROR(+_xlfn.RANK.EQ(dHdcp[[#This Row],[Ranking]],dHdcp[Ranking],1),"")</f>
        <v/>
      </c>
      <c r="M2244" t="str">
        <f>+dHdcp[[#This Row],[Fecha]]&amp;":"&amp;dHdcp[[#This Row],[Nombre]]</f>
        <v>45612:Alvaro Montoya</v>
      </c>
      <c r="N2244">
        <f>+COUNTIF(dHdcp[Columna1],dHdcp[[#This Row],[Columna1]])</f>
        <v>1</v>
      </c>
    </row>
    <row r="2245" spans="1:14">
      <c r="A2245" s="98">
        <v>45612</v>
      </c>
      <c r="B2245" s="46" t="s">
        <v>25</v>
      </c>
      <c r="C2245" s="104">
        <v>15.2</v>
      </c>
      <c r="D2245" s="46">
        <f>+VLOOKUP(dHdcp[[#This Row],[Handicap]],'Categoría Hdcap'!$B$2:$E$7,4)</f>
        <v>3</v>
      </c>
      <c r="E2245" s="46" t="s">
        <v>74</v>
      </c>
      <c r="F2245" s="92"/>
      <c r="G2245">
        <f>+IF(dHdcp[[#This Row],[Fecha]]=MAX(dHdcp[Fecha]),1,0)</f>
        <v>0</v>
      </c>
      <c r="H2245" t="str">
        <f>+dHdcp[[#This Row],[Maximo]]&amp;":"&amp;dHdcp[[#This Row],[Nombre]]</f>
        <v>0:Alvaro Nieto</v>
      </c>
      <c r="I2245" t="str">
        <f>+dHdcp[[#This Row],[Maximo]]&amp;":"&amp;_xlfn.XLOOKUP(dHdcp[[#This Row],[Nombre]],dJugador[Nombre],dJugador[Mote],"",0)</f>
        <v>0:Alvaro</v>
      </c>
      <c r="J2245" t="str">
        <f>+IF(dHdcp[[#This Row],[Maximo]]=0,"",_xlfn.RANK.EQ(dHdcp[[#This Row],[Handicap]],dHdcp[Handicap],1))</f>
        <v/>
      </c>
      <c r="K2245" t="str">
        <f>IFERROR(+_xlfn.RANK.EQ(dHdcp[[#This Row],[Ranking]],dHdcp[Ranking],1),"")</f>
        <v/>
      </c>
      <c r="M2245" t="str">
        <f>+dHdcp[[#This Row],[Fecha]]&amp;":"&amp;dHdcp[[#This Row],[Nombre]]</f>
        <v>45612:Alvaro Nieto</v>
      </c>
      <c r="N2245">
        <f>+COUNTIF(dHdcp[Columna1],dHdcp[[#This Row],[Columna1]])</f>
        <v>1</v>
      </c>
    </row>
    <row r="2246" spans="1:14">
      <c r="A2246" s="98">
        <v>45612</v>
      </c>
      <c r="B2246" s="46" t="s">
        <v>33</v>
      </c>
      <c r="C2246" s="104">
        <v>9.5</v>
      </c>
      <c r="D2246" s="46">
        <f>+VLOOKUP(dHdcp[[#This Row],[Handicap]],'Categoría Hdcap'!$B$2:$E$7,4)</f>
        <v>2</v>
      </c>
      <c r="E2246" s="46" t="s">
        <v>74</v>
      </c>
      <c r="F2246" s="92"/>
      <c r="G2246">
        <f>+IF(dHdcp[[#This Row],[Fecha]]=MAX(dHdcp[Fecha]),1,0)</f>
        <v>0</v>
      </c>
      <c r="H2246" t="str">
        <f>+dHdcp[[#This Row],[Maximo]]&amp;":"&amp;dHdcp[[#This Row],[Nombre]]</f>
        <v>0:Angel Hernandez</v>
      </c>
      <c r="I2246" t="str">
        <f>+dHdcp[[#This Row],[Maximo]]&amp;":"&amp;_xlfn.XLOOKUP(dHdcp[[#This Row],[Nombre]],dJugador[Nombre],dJugador[Mote],"",0)</f>
        <v>0:Angel</v>
      </c>
      <c r="J2246" t="str">
        <f>+IF(dHdcp[[#This Row],[Maximo]]=0,"",_xlfn.RANK.EQ(dHdcp[[#This Row],[Handicap]],dHdcp[Handicap],1))</f>
        <v/>
      </c>
      <c r="K2246" t="str">
        <f>IFERROR(+_xlfn.RANK.EQ(dHdcp[[#This Row],[Ranking]],dHdcp[Ranking],1),"")</f>
        <v/>
      </c>
      <c r="M2246" t="str">
        <f>+dHdcp[[#This Row],[Fecha]]&amp;":"&amp;dHdcp[[#This Row],[Nombre]]</f>
        <v>45612:Angel Hernandez</v>
      </c>
      <c r="N2246">
        <f>+COUNTIF(dHdcp[Columna1],dHdcp[[#This Row],[Columna1]])</f>
        <v>1</v>
      </c>
    </row>
    <row r="2247" spans="1:14">
      <c r="A2247" s="98">
        <v>45612</v>
      </c>
      <c r="B2247" s="46" t="s">
        <v>2469</v>
      </c>
      <c r="C2247" s="104">
        <v>7.5</v>
      </c>
      <c r="D2247" s="46">
        <f>+VLOOKUP(dHdcp[[#This Row],[Handicap]],'Categoría Hdcap'!$B$2:$E$7,4)</f>
        <v>2</v>
      </c>
      <c r="E2247" s="46" t="s">
        <v>74</v>
      </c>
      <c r="F2247" s="92"/>
      <c r="G2247">
        <f>+IF(dHdcp[[#This Row],[Fecha]]=MAX(dHdcp[Fecha]),1,0)</f>
        <v>0</v>
      </c>
      <c r="H2247" t="str">
        <f>+dHdcp[[#This Row],[Maximo]]&amp;":"&amp;dHdcp[[#This Row],[Nombre]]</f>
        <v>0:Angel Santana</v>
      </c>
      <c r="I2247" t="str">
        <f>+dHdcp[[#This Row],[Maximo]]&amp;":"&amp;_xlfn.XLOOKUP(dHdcp[[#This Row],[Nombre]],dJugador[Nombre],dJugador[Mote],"",0)</f>
        <v>0:A.Santana</v>
      </c>
      <c r="J2247" t="str">
        <f>+IF(dHdcp[[#This Row],[Maximo]]=0,"",_xlfn.RANK.EQ(dHdcp[[#This Row],[Handicap]],dHdcp[Handicap],1))</f>
        <v/>
      </c>
      <c r="K2247" t="str">
        <f>IFERROR(+_xlfn.RANK.EQ(dHdcp[[#This Row],[Ranking]],dHdcp[Ranking],1),"")</f>
        <v/>
      </c>
      <c r="M2247" t="str">
        <f>+dHdcp[[#This Row],[Fecha]]&amp;":"&amp;dHdcp[[#This Row],[Nombre]]</f>
        <v>45612:Angel Santana</v>
      </c>
      <c r="N2247">
        <f>+COUNTIF(dHdcp[Columna1],dHdcp[[#This Row],[Columna1]])</f>
        <v>1</v>
      </c>
    </row>
    <row r="2248" spans="1:14">
      <c r="A2248" s="98">
        <v>45612</v>
      </c>
      <c r="B2248" s="46" t="s">
        <v>264</v>
      </c>
      <c r="C2248" s="104">
        <v>19.3</v>
      </c>
      <c r="D2248" s="46">
        <f>+VLOOKUP(dHdcp[[#This Row],[Handicap]],'Categoría Hdcap'!$B$2:$E$7,4)</f>
        <v>4</v>
      </c>
      <c r="E2248" s="46" t="s">
        <v>74</v>
      </c>
      <c r="F2248" s="92"/>
      <c r="G2248">
        <f>+IF(dHdcp[[#This Row],[Fecha]]=MAX(dHdcp[Fecha]),1,0)</f>
        <v>0</v>
      </c>
      <c r="H2248" t="str">
        <f>+dHdcp[[#This Row],[Maximo]]&amp;":"&amp;dHdcp[[#This Row],[Nombre]]</f>
        <v>0:Antonio Carmona</v>
      </c>
      <c r="I2248" t="str">
        <f>+dHdcp[[#This Row],[Maximo]]&amp;":"&amp;_xlfn.XLOOKUP(dHdcp[[#This Row],[Nombre]],dJugador[Nombre],dJugador[Mote],"",0)</f>
        <v>0:Antonio</v>
      </c>
      <c r="J2248" t="str">
        <f>+IF(dHdcp[[#This Row],[Maximo]]=0,"",_xlfn.RANK.EQ(dHdcp[[#This Row],[Handicap]],dHdcp[Handicap],1))</f>
        <v/>
      </c>
      <c r="K2248" t="str">
        <f>IFERROR(+_xlfn.RANK.EQ(dHdcp[[#This Row],[Ranking]],dHdcp[Ranking],1),"")</f>
        <v/>
      </c>
      <c r="M2248" t="str">
        <f>+dHdcp[[#This Row],[Fecha]]&amp;":"&amp;dHdcp[[#This Row],[Nombre]]</f>
        <v>45612:Antonio Carmona</v>
      </c>
      <c r="N2248">
        <f>+COUNTIF(dHdcp[Columna1],dHdcp[[#This Row],[Columna1]])</f>
        <v>1</v>
      </c>
    </row>
    <row r="2249" spans="1:14">
      <c r="A2249" s="98">
        <v>45612</v>
      </c>
      <c r="B2249" s="46" t="s">
        <v>291</v>
      </c>
      <c r="C2249" s="104">
        <v>1.3</v>
      </c>
      <c r="D2249" s="46">
        <f>+VLOOKUP(dHdcp[[#This Row],[Handicap]],'Categoría Hdcap'!$B$2:$E$7,4)</f>
        <v>1</v>
      </c>
      <c r="E2249" s="46" t="s">
        <v>74</v>
      </c>
      <c r="F2249" s="92"/>
      <c r="G2249">
        <f>+IF(dHdcp[[#This Row],[Fecha]]=MAX(dHdcp[Fecha]),1,0)</f>
        <v>0</v>
      </c>
      <c r="H2249" t="str">
        <f>+dHdcp[[#This Row],[Maximo]]&amp;":"&amp;dHdcp[[#This Row],[Nombre]]</f>
        <v>0:Carlos Maestro</v>
      </c>
      <c r="I2249" t="str">
        <f>+dHdcp[[#This Row],[Maximo]]&amp;":"&amp;_xlfn.XLOOKUP(dHdcp[[#This Row],[Nombre]],dJugador[Nombre],dJugador[Mote],"",0)</f>
        <v>0:Carlitos</v>
      </c>
      <c r="J2249" t="str">
        <f>+IF(dHdcp[[#This Row],[Maximo]]=0,"",_xlfn.RANK.EQ(dHdcp[[#This Row],[Handicap]],dHdcp[Handicap],1))</f>
        <v/>
      </c>
      <c r="K2249" t="str">
        <f>IFERROR(+_xlfn.RANK.EQ(dHdcp[[#This Row],[Ranking]],dHdcp[Ranking],1),"")</f>
        <v/>
      </c>
      <c r="M2249" t="str">
        <f>+dHdcp[[#This Row],[Fecha]]&amp;":"&amp;dHdcp[[#This Row],[Nombre]]</f>
        <v>45612:Carlos Maestro</v>
      </c>
      <c r="N2249">
        <f>+COUNTIF(dHdcp[Columna1],dHdcp[[#This Row],[Columna1]])</f>
        <v>1</v>
      </c>
    </row>
    <row r="2250" spans="1:14">
      <c r="A2250" s="98">
        <v>45612</v>
      </c>
      <c r="B2250" s="46" t="s">
        <v>30</v>
      </c>
      <c r="C2250" s="104">
        <v>14.4</v>
      </c>
      <c r="D2250" s="46">
        <f>+VLOOKUP(dHdcp[[#This Row],[Handicap]],'Categoría Hdcap'!$B$2:$E$7,4)</f>
        <v>3</v>
      </c>
      <c r="E2250" s="46" t="s">
        <v>74</v>
      </c>
      <c r="F2250" s="92"/>
      <c r="G2250">
        <f>+IF(dHdcp[[#This Row],[Fecha]]=MAX(dHdcp[Fecha]),1,0)</f>
        <v>0</v>
      </c>
      <c r="H2250" t="str">
        <f>+dHdcp[[#This Row],[Maximo]]&amp;":"&amp;dHdcp[[#This Row],[Nombre]]</f>
        <v>0:David Sequera</v>
      </c>
      <c r="I2250" t="str">
        <f>+dHdcp[[#This Row],[Maximo]]&amp;":"&amp;_xlfn.XLOOKUP(dHdcp[[#This Row],[Nombre]],dJugador[Nombre],dJugador[Mote],"",0)</f>
        <v>0:David</v>
      </c>
      <c r="J2250" t="str">
        <f>+IF(dHdcp[[#This Row],[Maximo]]=0,"",_xlfn.RANK.EQ(dHdcp[[#This Row],[Handicap]],dHdcp[Handicap],1))</f>
        <v/>
      </c>
      <c r="K2250" t="str">
        <f>IFERROR(+_xlfn.RANK.EQ(dHdcp[[#This Row],[Ranking]],dHdcp[Ranking],1),"")</f>
        <v/>
      </c>
      <c r="M2250" t="str">
        <f>+dHdcp[[#This Row],[Fecha]]&amp;":"&amp;dHdcp[[#This Row],[Nombre]]</f>
        <v>45612:David Sequera</v>
      </c>
      <c r="N2250">
        <f>+COUNTIF(dHdcp[Columna1],dHdcp[[#This Row],[Columna1]])</f>
        <v>1</v>
      </c>
    </row>
    <row r="2251" spans="1:14">
      <c r="A2251" s="98">
        <v>45612</v>
      </c>
      <c r="B2251" s="46" t="s">
        <v>326</v>
      </c>
      <c r="C2251" s="104">
        <v>9.8000000000000007</v>
      </c>
      <c r="D2251" s="46">
        <f>+VLOOKUP(dHdcp[[#This Row],[Handicap]],'Categoría Hdcap'!$B$2:$E$7,4)</f>
        <v>2</v>
      </c>
      <c r="E2251" s="46" t="s">
        <v>74</v>
      </c>
      <c r="F2251" s="92"/>
      <c r="G2251">
        <f>+IF(dHdcp[[#This Row],[Fecha]]=MAX(dHdcp[Fecha]),1,0)</f>
        <v>0</v>
      </c>
      <c r="H2251" t="str">
        <f>+dHdcp[[#This Row],[Maximo]]&amp;":"&amp;dHdcp[[#This Row],[Nombre]]</f>
        <v>0:Eduardo Buendía</v>
      </c>
      <c r="I2251" t="str">
        <f>+dHdcp[[#This Row],[Maximo]]&amp;":"&amp;_xlfn.XLOOKUP(dHdcp[[#This Row],[Nombre]],dJugador[Nombre],dJugador[Mote],"",0)</f>
        <v>0:Eduardo</v>
      </c>
      <c r="J2251" t="str">
        <f>+IF(dHdcp[[#This Row],[Maximo]]=0,"",_xlfn.RANK.EQ(dHdcp[[#This Row],[Handicap]],dHdcp[Handicap],1))</f>
        <v/>
      </c>
      <c r="K2251" t="str">
        <f>IFERROR(+_xlfn.RANK.EQ(dHdcp[[#This Row],[Ranking]],dHdcp[Ranking],1),"")</f>
        <v/>
      </c>
      <c r="M2251" t="str">
        <f>+dHdcp[[#This Row],[Fecha]]&amp;":"&amp;dHdcp[[#This Row],[Nombre]]</f>
        <v>45612:Eduardo Buendía</v>
      </c>
      <c r="N2251">
        <f>+COUNTIF(dHdcp[Columna1],dHdcp[[#This Row],[Columna1]])</f>
        <v>1</v>
      </c>
    </row>
    <row r="2252" spans="1:14">
      <c r="A2252" s="98">
        <v>45612</v>
      </c>
      <c r="B2252" s="46" t="s">
        <v>248</v>
      </c>
      <c r="C2252" s="104">
        <v>13.3</v>
      </c>
      <c r="D2252" s="46">
        <f>+VLOOKUP(dHdcp[[#This Row],[Handicap]],'Categoría Hdcap'!$B$2:$E$7,4)</f>
        <v>3</v>
      </c>
      <c r="E2252" s="46" t="s">
        <v>74</v>
      </c>
      <c r="F2252" s="92"/>
      <c r="G2252">
        <f>+IF(dHdcp[[#This Row],[Fecha]]=MAX(dHdcp[Fecha]),1,0)</f>
        <v>0</v>
      </c>
      <c r="H2252" t="str">
        <f>+dHdcp[[#This Row],[Maximo]]&amp;":"&amp;dHdcp[[#This Row],[Nombre]]</f>
        <v>0:Enrique Gonzalez R</v>
      </c>
      <c r="I2252" t="str">
        <f>+dHdcp[[#This Row],[Maximo]]&amp;":"&amp;_xlfn.XLOOKUP(dHdcp[[#This Row],[Nombre]],dJugador[Nombre],dJugador[Mote],"",0)</f>
        <v>0:Enrique</v>
      </c>
      <c r="J2252" t="str">
        <f>+IF(dHdcp[[#This Row],[Maximo]]=0,"",_xlfn.RANK.EQ(dHdcp[[#This Row],[Handicap]],dHdcp[Handicap],1))</f>
        <v/>
      </c>
      <c r="K2252" t="str">
        <f>IFERROR(+_xlfn.RANK.EQ(dHdcp[[#This Row],[Ranking]],dHdcp[Ranking],1),"")</f>
        <v/>
      </c>
      <c r="M2252" t="str">
        <f>+dHdcp[[#This Row],[Fecha]]&amp;":"&amp;dHdcp[[#This Row],[Nombre]]</f>
        <v>45612:Enrique Gonzalez R</v>
      </c>
      <c r="N2252">
        <f>+COUNTIF(dHdcp[Columna1],dHdcp[[#This Row],[Columna1]])</f>
        <v>1</v>
      </c>
    </row>
    <row r="2253" spans="1:14">
      <c r="A2253" s="98">
        <v>45612</v>
      </c>
      <c r="B2253" s="46" t="s">
        <v>12</v>
      </c>
      <c r="C2253" s="104">
        <v>16.100000000000001</v>
      </c>
      <c r="D2253" s="46">
        <f>+VLOOKUP(dHdcp[[#This Row],[Handicap]],'Categoría Hdcap'!$B$2:$E$7,4)</f>
        <v>3</v>
      </c>
      <c r="E2253" s="46" t="s">
        <v>74</v>
      </c>
      <c r="F2253" s="92"/>
      <c r="G2253">
        <f>+IF(dHdcp[[#This Row],[Fecha]]=MAX(dHdcp[Fecha]),1,0)</f>
        <v>0</v>
      </c>
      <c r="H2253" t="str">
        <f>+dHdcp[[#This Row],[Maximo]]&amp;":"&amp;dHdcp[[#This Row],[Nombre]]</f>
        <v>0:Francisco Alvarez</v>
      </c>
      <c r="I2253" t="str">
        <f>+dHdcp[[#This Row],[Maximo]]&amp;":"&amp;_xlfn.XLOOKUP(dHdcp[[#This Row],[Nombre]],dJugador[Nombre],dJugador[Mote],"",0)</f>
        <v>0:Paco</v>
      </c>
      <c r="J2253" t="str">
        <f>+IF(dHdcp[[#This Row],[Maximo]]=0,"",_xlfn.RANK.EQ(dHdcp[[#This Row],[Handicap]],dHdcp[Handicap],1))</f>
        <v/>
      </c>
      <c r="K2253" t="str">
        <f>IFERROR(+_xlfn.RANK.EQ(dHdcp[[#This Row],[Ranking]],dHdcp[Ranking],1),"")</f>
        <v/>
      </c>
      <c r="M2253" t="str">
        <f>+dHdcp[[#This Row],[Fecha]]&amp;":"&amp;dHdcp[[#This Row],[Nombre]]</f>
        <v>45612:Francisco Alvarez</v>
      </c>
      <c r="N2253">
        <f>+COUNTIF(dHdcp[Columna1],dHdcp[[#This Row],[Columna1]])</f>
        <v>1</v>
      </c>
    </row>
    <row r="2254" spans="1:14">
      <c r="A2254" s="98">
        <v>45612</v>
      </c>
      <c r="B2254" s="46" t="s">
        <v>49</v>
      </c>
      <c r="C2254" s="104">
        <v>13.6</v>
      </c>
      <c r="D2254" s="46">
        <f>+VLOOKUP(dHdcp[[#This Row],[Handicap]],'Categoría Hdcap'!$B$2:$E$7,4)</f>
        <v>3</v>
      </c>
      <c r="E2254" s="46" t="s">
        <v>74</v>
      </c>
      <c r="F2254" s="92"/>
      <c r="G2254">
        <f>+IF(dHdcp[[#This Row],[Fecha]]=MAX(dHdcp[Fecha]),1,0)</f>
        <v>0</v>
      </c>
      <c r="H2254" t="str">
        <f>+dHdcp[[#This Row],[Maximo]]&amp;":"&amp;dHdcp[[#This Row],[Nombre]]</f>
        <v>0:Francisco Hidalgo</v>
      </c>
      <c r="I2254" t="str">
        <f>+dHdcp[[#This Row],[Maximo]]&amp;":"&amp;_xlfn.XLOOKUP(dHdcp[[#This Row],[Nombre]],dJugador[Nombre],dJugador[Mote],"",0)</f>
        <v>0:Fran</v>
      </c>
      <c r="J2254" t="str">
        <f>+IF(dHdcp[[#This Row],[Maximo]]=0,"",_xlfn.RANK.EQ(dHdcp[[#This Row],[Handicap]],dHdcp[Handicap],1))</f>
        <v/>
      </c>
      <c r="K2254" t="str">
        <f>IFERROR(+_xlfn.RANK.EQ(dHdcp[[#This Row],[Ranking]],dHdcp[Ranking],1),"")</f>
        <v/>
      </c>
      <c r="M2254" t="str">
        <f>+dHdcp[[#This Row],[Fecha]]&amp;":"&amp;dHdcp[[#This Row],[Nombre]]</f>
        <v>45612:Francisco Hidalgo</v>
      </c>
      <c r="N2254">
        <f>+COUNTIF(dHdcp[Columna1],dHdcp[[#This Row],[Columna1]])</f>
        <v>1</v>
      </c>
    </row>
    <row r="2255" spans="1:14">
      <c r="A2255" s="98">
        <v>45612</v>
      </c>
      <c r="B2255" s="46" t="s">
        <v>207</v>
      </c>
      <c r="C2255" s="104">
        <v>15</v>
      </c>
      <c r="D2255" s="46">
        <f>+VLOOKUP(dHdcp[[#This Row],[Handicap]],'Categoría Hdcap'!$B$2:$E$7,4)</f>
        <v>3</v>
      </c>
      <c r="E2255" s="46" t="s">
        <v>74</v>
      </c>
      <c r="F2255" s="92"/>
      <c r="G2255">
        <f>+IF(dHdcp[[#This Row],[Fecha]]=MAX(dHdcp[Fecha]),1,0)</f>
        <v>0</v>
      </c>
      <c r="H2255" t="str">
        <f>+dHdcp[[#This Row],[Maximo]]&amp;":"&amp;dHdcp[[#This Row],[Nombre]]</f>
        <v>0:Franck Benouniche</v>
      </c>
      <c r="I2255" t="str">
        <f>+dHdcp[[#This Row],[Maximo]]&amp;":"&amp;_xlfn.XLOOKUP(dHdcp[[#This Row],[Nombre]],dJugador[Nombre],dJugador[Mote],"",0)</f>
        <v>0:Franck</v>
      </c>
      <c r="J2255" t="str">
        <f>+IF(dHdcp[[#This Row],[Maximo]]=0,"",_xlfn.RANK.EQ(dHdcp[[#This Row],[Handicap]],dHdcp[Handicap],1))</f>
        <v/>
      </c>
      <c r="K2255" t="str">
        <f>IFERROR(+_xlfn.RANK.EQ(dHdcp[[#This Row],[Ranking]],dHdcp[Ranking],1),"")</f>
        <v/>
      </c>
      <c r="M2255" t="str">
        <f>+dHdcp[[#This Row],[Fecha]]&amp;":"&amp;dHdcp[[#This Row],[Nombre]]</f>
        <v>45612:Franck Benouniche</v>
      </c>
      <c r="N2255">
        <f>+COUNTIF(dHdcp[Columna1],dHdcp[[#This Row],[Columna1]])</f>
        <v>1</v>
      </c>
    </row>
    <row r="2256" spans="1:14">
      <c r="A2256" s="98">
        <v>45612</v>
      </c>
      <c r="B2256" s="46" t="s">
        <v>35</v>
      </c>
      <c r="C2256" s="104">
        <v>19.399999999999999</v>
      </c>
      <c r="D2256" s="46">
        <f>+VLOOKUP(dHdcp[[#This Row],[Handicap]],'Categoría Hdcap'!$B$2:$E$7,4)</f>
        <v>4</v>
      </c>
      <c r="E2256" s="46" t="s">
        <v>74</v>
      </c>
      <c r="F2256" s="92"/>
      <c r="G2256">
        <f>+IF(dHdcp[[#This Row],[Fecha]]=MAX(dHdcp[Fecha]),1,0)</f>
        <v>0</v>
      </c>
      <c r="H2256" t="str">
        <f>+dHdcp[[#This Row],[Maximo]]&amp;":"&amp;dHdcp[[#This Row],[Nombre]]</f>
        <v>0:GLEZ JUAN JOSÉ</v>
      </c>
      <c r="I2256" t="str">
        <f>+dHdcp[[#This Row],[Maximo]]&amp;":"&amp;_xlfn.XLOOKUP(dHdcp[[#This Row],[Nombre]],dJugador[Nombre],dJugador[Mote],"",0)</f>
        <v>0:Juanjo</v>
      </c>
      <c r="J2256" t="str">
        <f>+IF(dHdcp[[#This Row],[Maximo]]=0,"",_xlfn.RANK.EQ(dHdcp[[#This Row],[Handicap]],dHdcp[Handicap],1))</f>
        <v/>
      </c>
      <c r="K2256" t="str">
        <f>IFERROR(+_xlfn.RANK.EQ(dHdcp[[#This Row],[Ranking]],dHdcp[Ranking],1),"")</f>
        <v/>
      </c>
      <c r="M2256" t="str">
        <f>+dHdcp[[#This Row],[Fecha]]&amp;":"&amp;dHdcp[[#This Row],[Nombre]]</f>
        <v>45612:GLEZ JUAN JOSÉ</v>
      </c>
      <c r="N2256">
        <f>+COUNTIF(dHdcp[Columna1],dHdcp[[#This Row],[Columna1]])</f>
        <v>1</v>
      </c>
    </row>
    <row r="2257" spans="1:14">
      <c r="A2257" s="98">
        <v>45612</v>
      </c>
      <c r="B2257" s="46" t="s">
        <v>6</v>
      </c>
      <c r="C2257" s="104">
        <v>7.2</v>
      </c>
      <c r="D2257" s="46">
        <f>+VLOOKUP(dHdcp[[#This Row],[Handicap]],'Categoría Hdcap'!$B$2:$E$7,4)</f>
        <v>2</v>
      </c>
      <c r="E2257" s="46" t="s">
        <v>74</v>
      </c>
      <c r="F2257" s="92"/>
      <c r="G2257">
        <f>+IF(dHdcp[[#This Row],[Fecha]]=MAX(dHdcp[Fecha]),1,0)</f>
        <v>0</v>
      </c>
      <c r="H2257" t="str">
        <f>+dHdcp[[#This Row],[Maximo]]&amp;":"&amp;dHdcp[[#This Row],[Nombre]]</f>
        <v>0:Ignacio Cadarso</v>
      </c>
      <c r="I2257" t="str">
        <f>+dHdcp[[#This Row],[Maximo]]&amp;":"&amp;_xlfn.XLOOKUP(dHdcp[[#This Row],[Nombre]],dJugador[Nombre],dJugador[Mote],"",0)</f>
        <v>0:Ignacio</v>
      </c>
      <c r="J2257" t="str">
        <f>+IF(dHdcp[[#This Row],[Maximo]]=0,"",_xlfn.RANK.EQ(dHdcp[[#This Row],[Handicap]],dHdcp[Handicap],1))</f>
        <v/>
      </c>
      <c r="K2257" t="str">
        <f>IFERROR(+_xlfn.RANK.EQ(dHdcp[[#This Row],[Ranking]],dHdcp[Ranking],1),"")</f>
        <v/>
      </c>
      <c r="M2257" t="str">
        <f>+dHdcp[[#This Row],[Fecha]]&amp;":"&amp;dHdcp[[#This Row],[Nombre]]</f>
        <v>45612:Ignacio Cadarso</v>
      </c>
      <c r="N2257">
        <f>+COUNTIF(dHdcp[Columna1],dHdcp[[#This Row],[Columna1]])</f>
        <v>1</v>
      </c>
    </row>
    <row r="2258" spans="1:14">
      <c r="A2258" s="98">
        <v>45612</v>
      </c>
      <c r="B2258" s="46" t="s">
        <v>298</v>
      </c>
      <c r="C2258" s="104">
        <v>23.7</v>
      </c>
      <c r="D2258" s="46">
        <f>+VLOOKUP(dHdcp[[#This Row],[Handicap]],'Categoría Hdcap'!$B$2:$E$7,4)</f>
        <v>4</v>
      </c>
      <c r="E2258" s="46" t="s">
        <v>74</v>
      </c>
      <c r="F2258" s="92"/>
      <c r="G2258">
        <f>+IF(dHdcp[[#This Row],[Fecha]]=MAX(dHdcp[Fecha]),1,0)</f>
        <v>0</v>
      </c>
      <c r="H2258" t="str">
        <f>+dHdcp[[#This Row],[Maximo]]&amp;":"&amp;dHdcp[[#This Row],[Nombre]]</f>
        <v>0:Ignacio Gracia Charlez</v>
      </c>
      <c r="I2258" t="str">
        <f>+dHdcp[[#This Row],[Maximo]]&amp;":"&amp;_xlfn.XLOOKUP(dHdcp[[#This Row],[Nombre]],dJugador[Nombre],dJugador[Mote],"",0)</f>
        <v>0:I Gracia</v>
      </c>
      <c r="J2258" t="str">
        <f>+IF(dHdcp[[#This Row],[Maximo]]=0,"",_xlfn.RANK.EQ(dHdcp[[#This Row],[Handicap]],dHdcp[Handicap],1))</f>
        <v/>
      </c>
      <c r="K2258" t="str">
        <f>IFERROR(+_xlfn.RANK.EQ(dHdcp[[#This Row],[Ranking]],dHdcp[Ranking],1),"")</f>
        <v/>
      </c>
      <c r="M2258" t="str">
        <f>+dHdcp[[#This Row],[Fecha]]&amp;":"&amp;dHdcp[[#This Row],[Nombre]]</f>
        <v>45612:Ignacio Gracia Charlez</v>
      </c>
      <c r="N2258">
        <f>+COUNTIF(dHdcp[Columna1],dHdcp[[#This Row],[Columna1]])</f>
        <v>1</v>
      </c>
    </row>
    <row r="2259" spans="1:14">
      <c r="A2259" s="98">
        <v>45612</v>
      </c>
      <c r="B2259" s="46" t="s">
        <v>23</v>
      </c>
      <c r="C2259" s="104">
        <v>19.2</v>
      </c>
      <c r="D2259" s="46">
        <f>+VLOOKUP(dHdcp[[#This Row],[Handicap]],'Categoría Hdcap'!$B$2:$E$7,4)</f>
        <v>4</v>
      </c>
      <c r="E2259" s="46" t="s">
        <v>74</v>
      </c>
      <c r="F2259" s="92"/>
      <c r="G2259">
        <f>+IF(dHdcp[[#This Row],[Fecha]]=MAX(dHdcp[Fecha]),1,0)</f>
        <v>0</v>
      </c>
      <c r="H2259" t="str">
        <f>+dHdcp[[#This Row],[Maximo]]&amp;":"&amp;dHdcp[[#This Row],[Nombre]]</f>
        <v>0:J. Enrique Gonzalez</v>
      </c>
      <c r="I2259" t="str">
        <f>+dHdcp[[#This Row],[Maximo]]&amp;":"&amp;_xlfn.XLOOKUP(dHdcp[[#This Row],[Nombre]],dJugador[Nombre],dJugador[Mote],"",0)</f>
        <v>0:Kike</v>
      </c>
      <c r="J2259" t="str">
        <f>+IF(dHdcp[[#This Row],[Maximo]]=0,"",_xlfn.RANK.EQ(dHdcp[[#This Row],[Handicap]],dHdcp[Handicap],1))</f>
        <v/>
      </c>
      <c r="K2259" t="str">
        <f>IFERROR(+_xlfn.RANK.EQ(dHdcp[[#This Row],[Ranking]],dHdcp[Ranking],1),"")</f>
        <v/>
      </c>
      <c r="M2259" t="str">
        <f>+dHdcp[[#This Row],[Fecha]]&amp;":"&amp;dHdcp[[#This Row],[Nombre]]</f>
        <v>45612:J. Enrique Gonzalez</v>
      </c>
      <c r="N2259">
        <f>+COUNTIF(dHdcp[Columna1],dHdcp[[#This Row],[Columna1]])</f>
        <v>1</v>
      </c>
    </row>
    <row r="2260" spans="1:14">
      <c r="A2260" s="98">
        <v>45612</v>
      </c>
      <c r="B2260" s="46" t="s">
        <v>289</v>
      </c>
      <c r="C2260" s="104">
        <v>8</v>
      </c>
      <c r="D2260" s="46">
        <f>+VLOOKUP(dHdcp[[#This Row],[Handicap]],'Categoría Hdcap'!$B$2:$E$7,4)</f>
        <v>2</v>
      </c>
      <c r="E2260" s="46" t="s">
        <v>74</v>
      </c>
      <c r="F2260" s="92"/>
      <c r="G2260">
        <f>+IF(dHdcp[[#This Row],[Fecha]]=MAX(dHdcp[Fecha]),1,0)</f>
        <v>0</v>
      </c>
      <c r="H2260" t="str">
        <f>+dHdcp[[#This Row],[Maximo]]&amp;":"&amp;dHdcp[[#This Row],[Nombre]]</f>
        <v>0:Jaime Villanueva</v>
      </c>
      <c r="I2260" t="str">
        <f>+dHdcp[[#This Row],[Maximo]]&amp;":"&amp;_xlfn.XLOOKUP(dHdcp[[#This Row],[Nombre]],dJugador[Nombre],dJugador[Mote],"",0)</f>
        <v>0:Villanueva</v>
      </c>
      <c r="J2260" t="str">
        <f>+IF(dHdcp[[#This Row],[Maximo]]=0,"",_xlfn.RANK.EQ(dHdcp[[#This Row],[Handicap]],dHdcp[Handicap],1))</f>
        <v/>
      </c>
      <c r="K2260" t="str">
        <f>IFERROR(+_xlfn.RANK.EQ(dHdcp[[#This Row],[Ranking]],dHdcp[Ranking],1),"")</f>
        <v/>
      </c>
      <c r="M2260" t="str">
        <f>+dHdcp[[#This Row],[Fecha]]&amp;":"&amp;dHdcp[[#This Row],[Nombre]]</f>
        <v>45612:Jaime Villanueva</v>
      </c>
      <c r="N2260">
        <f>+COUNTIF(dHdcp[Columna1],dHdcp[[#This Row],[Columna1]])</f>
        <v>1</v>
      </c>
    </row>
    <row r="2261" spans="1:14">
      <c r="A2261" s="98">
        <v>45612</v>
      </c>
      <c r="B2261" s="46" t="s">
        <v>328</v>
      </c>
      <c r="C2261" s="104">
        <v>10.4</v>
      </c>
      <c r="D2261" s="46">
        <f>+VLOOKUP(dHdcp[[#This Row],[Handicap]],'Categoría Hdcap'!$B$2:$E$7,4)</f>
        <v>2</v>
      </c>
      <c r="E2261" s="46" t="s">
        <v>74</v>
      </c>
      <c r="F2261" s="92"/>
      <c r="G2261">
        <f>+IF(dHdcp[[#This Row],[Fecha]]=MAX(dHdcp[Fecha]),1,0)</f>
        <v>0</v>
      </c>
      <c r="H2261" t="str">
        <f>+dHdcp[[#This Row],[Maximo]]&amp;":"&amp;dHdcp[[#This Row],[Nombre]]</f>
        <v>0:Javier Arcos</v>
      </c>
      <c r="I2261" t="str">
        <f>+dHdcp[[#This Row],[Maximo]]&amp;":"&amp;_xlfn.XLOOKUP(dHdcp[[#This Row],[Nombre]],dJugador[Nombre],dJugador[Mote],"",0)</f>
        <v>0:J.Arcos</v>
      </c>
      <c r="J2261" t="str">
        <f>+IF(dHdcp[[#This Row],[Maximo]]=0,"",_xlfn.RANK.EQ(dHdcp[[#This Row],[Handicap]],dHdcp[Handicap],1))</f>
        <v/>
      </c>
      <c r="K2261" t="str">
        <f>IFERROR(+_xlfn.RANK.EQ(dHdcp[[#This Row],[Ranking]],dHdcp[Ranking],1),"")</f>
        <v/>
      </c>
      <c r="M2261" t="str">
        <f>+dHdcp[[#This Row],[Fecha]]&amp;":"&amp;dHdcp[[#This Row],[Nombre]]</f>
        <v>45612:Javier Arcos</v>
      </c>
      <c r="N2261">
        <f>+COUNTIF(dHdcp[Columna1],dHdcp[[#This Row],[Columna1]])</f>
        <v>1</v>
      </c>
    </row>
    <row r="2262" spans="1:14">
      <c r="A2262" s="98">
        <v>45612</v>
      </c>
      <c r="B2262" s="46" t="s">
        <v>378</v>
      </c>
      <c r="C2262" s="104">
        <v>11.199999999999992</v>
      </c>
      <c r="D2262" s="46">
        <f>+VLOOKUP(dHdcp[[#This Row],[Handicap]],'Categoría Hdcap'!$B$2:$E$7,4)</f>
        <v>2</v>
      </c>
      <c r="E2262" s="46" t="s">
        <v>74</v>
      </c>
      <c r="F2262" s="92"/>
      <c r="G2262">
        <f>+IF(dHdcp[[#This Row],[Fecha]]=MAX(dHdcp[Fecha]),1,0)</f>
        <v>0</v>
      </c>
      <c r="H2262" t="str">
        <f>+dHdcp[[#This Row],[Maximo]]&amp;":"&amp;dHdcp[[#This Row],[Nombre]]</f>
        <v>0:Javier Campo</v>
      </c>
      <c r="I2262" t="str">
        <f>+dHdcp[[#This Row],[Maximo]]&amp;":"&amp;_xlfn.XLOOKUP(dHdcp[[#This Row],[Nombre]],dJugador[Nombre],dJugador[Mote],"",0)</f>
        <v>0:Campo</v>
      </c>
      <c r="J2262" t="str">
        <f>+IF(dHdcp[[#This Row],[Maximo]]=0,"",_xlfn.RANK.EQ(dHdcp[[#This Row],[Handicap]],dHdcp[Handicap],1))</f>
        <v/>
      </c>
      <c r="K2262" t="str">
        <f>IFERROR(+_xlfn.RANK.EQ(dHdcp[[#This Row],[Ranking]],dHdcp[Ranking],1),"")</f>
        <v/>
      </c>
      <c r="M2262" t="str">
        <f>+dHdcp[[#This Row],[Fecha]]&amp;":"&amp;dHdcp[[#This Row],[Nombre]]</f>
        <v>45612:Javier Campo</v>
      </c>
      <c r="N2262">
        <f>+COUNTIF(dHdcp[Columna1],dHdcp[[#This Row],[Columna1]])</f>
        <v>1</v>
      </c>
    </row>
    <row r="2263" spans="1:14">
      <c r="A2263" s="98">
        <v>45612</v>
      </c>
      <c r="B2263" s="46" t="s">
        <v>46</v>
      </c>
      <c r="C2263" s="104">
        <v>18.399999999999999</v>
      </c>
      <c r="D2263" s="46">
        <f>+VLOOKUP(dHdcp[[#This Row],[Handicap]],'Categoría Hdcap'!$B$2:$E$7,4)</f>
        <v>3</v>
      </c>
      <c r="E2263" s="46" t="s">
        <v>74</v>
      </c>
      <c r="F2263" s="92"/>
      <c r="G2263">
        <f>+IF(dHdcp[[#This Row],[Fecha]]=MAX(dHdcp[Fecha]),1,0)</f>
        <v>0</v>
      </c>
      <c r="H2263" t="str">
        <f>+dHdcp[[#This Row],[Maximo]]&amp;":"&amp;dHdcp[[#This Row],[Nombre]]</f>
        <v>0:Javier Cervera</v>
      </c>
      <c r="I2263" t="str">
        <f>+dHdcp[[#This Row],[Maximo]]&amp;":"&amp;_xlfn.XLOOKUP(dHdcp[[#This Row],[Nombre]],dJugador[Nombre],dJugador[Mote],"",0)</f>
        <v>0:Virus</v>
      </c>
      <c r="J2263" t="str">
        <f>+IF(dHdcp[[#This Row],[Maximo]]=0,"",_xlfn.RANK.EQ(dHdcp[[#This Row],[Handicap]],dHdcp[Handicap],1))</f>
        <v/>
      </c>
      <c r="K2263" t="str">
        <f>IFERROR(+_xlfn.RANK.EQ(dHdcp[[#This Row],[Ranking]],dHdcp[Ranking],1),"")</f>
        <v/>
      </c>
      <c r="M2263" t="str">
        <f>+dHdcp[[#This Row],[Fecha]]&amp;":"&amp;dHdcp[[#This Row],[Nombre]]</f>
        <v>45612:Javier Cervera</v>
      </c>
      <c r="N2263">
        <f>+COUNTIF(dHdcp[Columna1],dHdcp[[#This Row],[Columna1]])</f>
        <v>1</v>
      </c>
    </row>
    <row r="2264" spans="1:14">
      <c r="A2264" s="98">
        <v>45612</v>
      </c>
      <c r="B2264" s="46" t="s">
        <v>225</v>
      </c>
      <c r="C2264" s="104">
        <v>10.6</v>
      </c>
      <c r="D2264" s="46">
        <f>+VLOOKUP(dHdcp[[#This Row],[Handicap]],'Categoría Hdcap'!$B$2:$E$7,4)</f>
        <v>2</v>
      </c>
      <c r="E2264" s="46" t="s">
        <v>74</v>
      </c>
      <c r="F2264" s="92"/>
      <c r="G2264">
        <f>+IF(dHdcp[[#This Row],[Fecha]]=MAX(dHdcp[Fecha]),1,0)</f>
        <v>0</v>
      </c>
      <c r="H2264" t="str">
        <f>+dHdcp[[#This Row],[Maximo]]&amp;":"&amp;dHdcp[[#This Row],[Nombre]]</f>
        <v>0:Javier Chiralt</v>
      </c>
      <c r="I2264" t="str">
        <f>+dHdcp[[#This Row],[Maximo]]&amp;":"&amp;_xlfn.XLOOKUP(dHdcp[[#This Row],[Nombre]],dJugador[Nombre],dJugador[Mote],"",0)</f>
        <v>0:Chiralt</v>
      </c>
      <c r="J2264" t="str">
        <f>+IF(dHdcp[[#This Row],[Maximo]]=0,"",_xlfn.RANK.EQ(dHdcp[[#This Row],[Handicap]],dHdcp[Handicap],1))</f>
        <v/>
      </c>
      <c r="K2264" t="str">
        <f>IFERROR(+_xlfn.RANK.EQ(dHdcp[[#This Row],[Ranking]],dHdcp[Ranking],1),"")</f>
        <v/>
      </c>
      <c r="M2264" t="str">
        <f>+dHdcp[[#This Row],[Fecha]]&amp;":"&amp;dHdcp[[#This Row],[Nombre]]</f>
        <v>45612:Javier Chiralt</v>
      </c>
      <c r="N2264">
        <f>+COUNTIF(dHdcp[Columna1],dHdcp[[#This Row],[Columna1]])</f>
        <v>1</v>
      </c>
    </row>
    <row r="2265" spans="1:14">
      <c r="A2265" s="98">
        <v>45612</v>
      </c>
      <c r="B2265" s="46" t="s">
        <v>2466</v>
      </c>
      <c r="C2265" s="104">
        <v>17.5</v>
      </c>
      <c r="D2265" s="46">
        <f>+VLOOKUP(dHdcp[[#This Row],[Handicap]],'Categoría Hdcap'!$B$2:$E$7,4)</f>
        <v>3</v>
      </c>
      <c r="E2265" s="46" t="s">
        <v>74</v>
      </c>
      <c r="F2265" s="92"/>
      <c r="G2265">
        <f>+IF(dHdcp[[#This Row],[Fecha]]=MAX(dHdcp[Fecha]),1,0)</f>
        <v>0</v>
      </c>
      <c r="H2265" t="str">
        <f>+dHdcp[[#This Row],[Maximo]]&amp;":"&amp;dHdcp[[#This Row],[Nombre]]</f>
        <v>0:Javier Dodero de Solano</v>
      </c>
      <c r="I2265" t="str">
        <f>+dHdcp[[#This Row],[Maximo]]&amp;":"&amp;_xlfn.XLOOKUP(dHdcp[[#This Row],[Nombre]],dJugador[Nombre],dJugador[Mote],"",0)</f>
        <v>0:Dodero</v>
      </c>
      <c r="J2265" t="str">
        <f>+IF(dHdcp[[#This Row],[Maximo]]=0,"",_xlfn.RANK.EQ(dHdcp[[#This Row],[Handicap]],dHdcp[Handicap],1))</f>
        <v/>
      </c>
      <c r="K2265" t="str">
        <f>IFERROR(+_xlfn.RANK.EQ(dHdcp[[#This Row],[Ranking]],dHdcp[Ranking],1),"")</f>
        <v/>
      </c>
      <c r="M2265" t="str">
        <f>+dHdcp[[#This Row],[Fecha]]&amp;":"&amp;dHdcp[[#This Row],[Nombre]]</f>
        <v>45612:Javier Dodero de Solano</v>
      </c>
      <c r="N2265">
        <f>+COUNTIF(dHdcp[Columna1],dHdcp[[#This Row],[Columna1]])</f>
        <v>1</v>
      </c>
    </row>
    <row r="2266" spans="1:14">
      <c r="A2266" s="98">
        <v>45612</v>
      </c>
      <c r="B2266" s="46" t="s">
        <v>20</v>
      </c>
      <c r="C2266" s="104">
        <v>19.3</v>
      </c>
      <c r="D2266" s="46">
        <f>+VLOOKUP(dHdcp[[#This Row],[Handicap]],'Categoría Hdcap'!$B$2:$E$7,4)</f>
        <v>4</v>
      </c>
      <c r="E2266" s="46" t="s">
        <v>74</v>
      </c>
      <c r="F2266" s="92"/>
      <c r="G2266">
        <f>+IF(dHdcp[[#This Row],[Fecha]]=MAX(dHdcp[Fecha]),1,0)</f>
        <v>0</v>
      </c>
      <c r="H2266" t="str">
        <f>+dHdcp[[#This Row],[Maximo]]&amp;":"&amp;dHdcp[[#This Row],[Nombre]]</f>
        <v>0:Javier Gonzalez Salvador</v>
      </c>
      <c r="I2266" t="str">
        <f>+dHdcp[[#This Row],[Maximo]]&amp;":"&amp;_xlfn.XLOOKUP(dHdcp[[#This Row],[Nombre]],dJugador[Nombre],dJugador[Mote],"",0)</f>
        <v>0:Javi</v>
      </c>
      <c r="J2266" t="str">
        <f>+IF(dHdcp[[#This Row],[Maximo]]=0,"",_xlfn.RANK.EQ(dHdcp[[#This Row],[Handicap]],dHdcp[Handicap],1))</f>
        <v/>
      </c>
      <c r="K2266" t="str">
        <f>IFERROR(+_xlfn.RANK.EQ(dHdcp[[#This Row],[Ranking]],dHdcp[Ranking],1),"")</f>
        <v/>
      </c>
      <c r="M2266" t="str">
        <f>+dHdcp[[#This Row],[Fecha]]&amp;":"&amp;dHdcp[[#This Row],[Nombre]]</f>
        <v>45612:Javier Gonzalez Salvador</v>
      </c>
      <c r="N2266">
        <f>+COUNTIF(dHdcp[Columna1],dHdcp[[#This Row],[Columna1]])</f>
        <v>1</v>
      </c>
    </row>
    <row r="2267" spans="1:14">
      <c r="A2267" s="98">
        <v>45612</v>
      </c>
      <c r="B2267" s="46" t="s">
        <v>217</v>
      </c>
      <c r="C2267" s="104">
        <v>20.9</v>
      </c>
      <c r="D2267" s="46">
        <f>+VLOOKUP(dHdcp[[#This Row],[Handicap]],'Categoría Hdcap'!$B$2:$E$7,4)</f>
        <v>4</v>
      </c>
      <c r="E2267" s="46" t="s">
        <v>74</v>
      </c>
      <c r="F2267" s="92"/>
      <c r="G2267">
        <f>+IF(dHdcp[[#This Row],[Fecha]]=MAX(dHdcp[Fecha]),1,0)</f>
        <v>0</v>
      </c>
      <c r="H2267" t="str">
        <f>+dHdcp[[#This Row],[Maximo]]&amp;":"&amp;dHdcp[[#This Row],[Nombre]]</f>
        <v>0:Javier Lopez Gullón</v>
      </c>
      <c r="I2267" t="str">
        <f>+dHdcp[[#This Row],[Maximo]]&amp;":"&amp;_xlfn.XLOOKUP(dHdcp[[#This Row],[Nombre]],dJugador[Nombre],dJugador[Mote],"",0)</f>
        <v>0:Cuñao</v>
      </c>
      <c r="J2267" t="str">
        <f>+IF(dHdcp[[#This Row],[Maximo]]=0,"",_xlfn.RANK.EQ(dHdcp[[#This Row],[Handicap]],dHdcp[Handicap],1))</f>
        <v/>
      </c>
      <c r="K2267" t="str">
        <f>IFERROR(+_xlfn.RANK.EQ(dHdcp[[#This Row],[Ranking]],dHdcp[Ranking],1),"")</f>
        <v/>
      </c>
      <c r="M2267" t="str">
        <f>+dHdcp[[#This Row],[Fecha]]&amp;":"&amp;dHdcp[[#This Row],[Nombre]]</f>
        <v>45612:Javier Lopez Gullón</v>
      </c>
      <c r="N2267">
        <f>+COUNTIF(dHdcp[Columna1],dHdcp[[#This Row],[Columna1]])</f>
        <v>1</v>
      </c>
    </row>
    <row r="2268" spans="1:14">
      <c r="A2268" s="98">
        <v>45612</v>
      </c>
      <c r="B2268" s="46" t="s">
        <v>41</v>
      </c>
      <c r="C2268" s="104">
        <v>21.1</v>
      </c>
      <c r="D2268" s="46">
        <f>+VLOOKUP(dHdcp[[#This Row],[Handicap]],'Categoría Hdcap'!$B$2:$E$7,4)</f>
        <v>4</v>
      </c>
      <c r="E2268" s="46" t="s">
        <v>74</v>
      </c>
      <c r="F2268" s="92"/>
      <c r="G2268">
        <f>+IF(dHdcp[[#This Row],[Fecha]]=MAX(dHdcp[Fecha]),1,0)</f>
        <v>0</v>
      </c>
      <c r="H2268" t="str">
        <f>+dHdcp[[#This Row],[Maximo]]&amp;":"&amp;dHdcp[[#This Row],[Nombre]]</f>
        <v>0:Jesus Touceda</v>
      </c>
      <c r="I2268" t="str">
        <f>+dHdcp[[#This Row],[Maximo]]&amp;":"&amp;_xlfn.XLOOKUP(dHdcp[[#This Row],[Nombre]],dJugador[Nombre],dJugador[Mote],"",0)</f>
        <v>0:Jesús</v>
      </c>
      <c r="J2268" t="str">
        <f>+IF(dHdcp[[#This Row],[Maximo]]=0,"",_xlfn.RANK.EQ(dHdcp[[#This Row],[Handicap]],dHdcp[Handicap],1))</f>
        <v/>
      </c>
      <c r="K2268" t="str">
        <f>IFERROR(+_xlfn.RANK.EQ(dHdcp[[#This Row],[Ranking]],dHdcp[Ranking],1),"")</f>
        <v/>
      </c>
      <c r="M2268" t="str">
        <f>+dHdcp[[#This Row],[Fecha]]&amp;":"&amp;dHdcp[[#This Row],[Nombre]]</f>
        <v>45612:Jesus Touceda</v>
      </c>
      <c r="N2268">
        <f>+COUNTIF(dHdcp[Columna1],dHdcp[[#This Row],[Columna1]])</f>
        <v>1</v>
      </c>
    </row>
    <row r="2269" spans="1:14">
      <c r="A2269" s="98">
        <v>45612</v>
      </c>
      <c r="B2269" s="46" t="s">
        <v>297</v>
      </c>
      <c r="C2269" s="104">
        <v>18.600000000000001</v>
      </c>
      <c r="D2269" s="46">
        <f>+VLOOKUP(dHdcp[[#This Row],[Handicap]],'Categoría Hdcap'!$B$2:$E$7,4)</f>
        <v>4</v>
      </c>
      <c r="E2269" s="46" t="s">
        <v>74</v>
      </c>
      <c r="F2269" s="92"/>
      <c r="G2269">
        <f>+IF(dHdcp[[#This Row],[Fecha]]=MAX(dHdcp[Fecha]),1,0)</f>
        <v>0</v>
      </c>
      <c r="H2269" t="str">
        <f>+dHdcp[[#This Row],[Maximo]]&amp;":"&amp;dHdcp[[#This Row],[Nombre]]</f>
        <v>0:Jorge Alberto Martínez Sánchez</v>
      </c>
      <c r="I2269" t="str">
        <f>+dHdcp[[#This Row],[Maximo]]&amp;":"&amp;_xlfn.XLOOKUP(dHdcp[[#This Row],[Nombre]],dJugador[Nombre],dJugador[Mote],"",0)</f>
        <v>0:Jorge</v>
      </c>
      <c r="J2269" t="str">
        <f>+IF(dHdcp[[#This Row],[Maximo]]=0,"",_xlfn.RANK.EQ(dHdcp[[#This Row],[Handicap]],dHdcp[Handicap],1))</f>
        <v/>
      </c>
      <c r="K2269" t="str">
        <f>IFERROR(+_xlfn.RANK.EQ(dHdcp[[#This Row],[Ranking]],dHdcp[Ranking],1),"")</f>
        <v/>
      </c>
      <c r="M2269" t="str">
        <f>+dHdcp[[#This Row],[Fecha]]&amp;":"&amp;dHdcp[[#This Row],[Nombre]]</f>
        <v>45612:Jorge Alberto Martínez Sánchez</v>
      </c>
      <c r="N2269">
        <f>+COUNTIF(dHdcp[Columna1],dHdcp[[#This Row],[Columna1]])</f>
        <v>1</v>
      </c>
    </row>
    <row r="2270" spans="1:14">
      <c r="A2270" s="98">
        <v>45612</v>
      </c>
      <c r="B2270" t="s">
        <v>2540</v>
      </c>
      <c r="C2270" s="51">
        <v>17.5</v>
      </c>
      <c r="D2270" s="46">
        <f>+VLOOKUP(dHdcp[[#This Row],[Handicap]],'Categoría Hdcap'!$B$2:$E$7,4)</f>
        <v>3</v>
      </c>
      <c r="E2270" t="s">
        <v>74</v>
      </c>
      <c r="F2270" s="92"/>
      <c r="G2270">
        <f>+IF(dHdcp[[#This Row],[Fecha]]=MAX(dHdcp[Fecha]),1,0)</f>
        <v>0</v>
      </c>
      <c r="H2270" t="str">
        <f>+dHdcp[[#This Row],[Maximo]]&amp;":"&amp;dHdcp[[#This Row],[Nombre]]</f>
        <v>0:Jorge Maestro Aguilera</v>
      </c>
      <c r="I2270" t="str">
        <f>+dHdcp[[#This Row],[Maximo]]&amp;":"&amp;_xlfn.XLOOKUP(dHdcp[[#This Row],[Nombre]],dJugador[Nombre],dJugador[Mote],"",0)</f>
        <v>0:JMaestro</v>
      </c>
      <c r="J2270" t="str">
        <f>+IF(dHdcp[[#This Row],[Maximo]]=0,"",_xlfn.RANK.EQ(dHdcp[[#This Row],[Handicap]],dHdcp[Handicap],1))</f>
        <v/>
      </c>
      <c r="K2270" t="str">
        <f>IFERROR(+_xlfn.RANK.EQ(dHdcp[[#This Row],[Ranking]],dHdcp[Ranking],1),"")</f>
        <v/>
      </c>
      <c r="M2270" t="str">
        <f>+dHdcp[[#This Row],[Fecha]]&amp;":"&amp;dHdcp[[#This Row],[Nombre]]</f>
        <v>45612:Jorge Maestro Aguilera</v>
      </c>
      <c r="N2270">
        <f>+COUNTIF(dHdcp[Columna1],dHdcp[[#This Row],[Columna1]])</f>
        <v>1</v>
      </c>
    </row>
    <row r="2271" spans="1:14">
      <c r="A2271" s="98">
        <v>45612</v>
      </c>
      <c r="B2271" s="46" t="s">
        <v>388</v>
      </c>
      <c r="C2271" s="104">
        <v>26.4</v>
      </c>
      <c r="D2271" s="46">
        <f>+VLOOKUP(dHdcp[[#This Row],[Handicap]],'Categoría Hdcap'!$B$2:$E$7,4)</f>
        <v>4</v>
      </c>
      <c r="E2271" s="46" t="s">
        <v>74</v>
      </c>
      <c r="F2271" s="92"/>
      <c r="G2271">
        <f>+IF(dHdcp[[#This Row],[Fecha]]=MAX(dHdcp[Fecha]),1,0)</f>
        <v>0</v>
      </c>
      <c r="H2271" t="str">
        <f>+dHdcp[[#This Row],[Maximo]]&amp;":"&amp;dHdcp[[#This Row],[Nombre]]</f>
        <v>0:Jose Antonio Santana</v>
      </c>
      <c r="I2271" t="str">
        <f>+dHdcp[[#This Row],[Maximo]]&amp;":"&amp;_xlfn.XLOOKUP(dHdcp[[#This Row],[Nombre]],dJugador[Nombre],dJugador[Mote],"",0)</f>
        <v>0:J Antonio</v>
      </c>
      <c r="J2271" t="str">
        <f>+IF(dHdcp[[#This Row],[Maximo]]=0,"",_xlfn.RANK.EQ(dHdcp[[#This Row],[Handicap]],dHdcp[Handicap],1))</f>
        <v/>
      </c>
      <c r="K2271" t="str">
        <f>IFERROR(+_xlfn.RANK.EQ(dHdcp[[#This Row],[Ranking]],dHdcp[Ranking],1),"")</f>
        <v/>
      </c>
      <c r="M2271" t="str">
        <f>+dHdcp[[#This Row],[Fecha]]&amp;":"&amp;dHdcp[[#This Row],[Nombre]]</f>
        <v>45612:Jose Antonio Santana</v>
      </c>
      <c r="N2271">
        <f>+COUNTIF(dHdcp[Columna1],dHdcp[[#This Row],[Columna1]])</f>
        <v>1</v>
      </c>
    </row>
    <row r="2272" spans="1:14">
      <c r="A2272" s="98">
        <v>45612</v>
      </c>
      <c r="B2272" s="46" t="s">
        <v>18</v>
      </c>
      <c r="C2272" s="104">
        <v>7.3</v>
      </c>
      <c r="D2272" s="46">
        <f>+VLOOKUP(dHdcp[[#This Row],[Handicap]],'Categoría Hdcap'!$B$2:$E$7,4)</f>
        <v>2</v>
      </c>
      <c r="E2272" s="46" t="s">
        <v>74</v>
      </c>
      <c r="F2272" s="92"/>
      <c r="G2272">
        <f>+IF(dHdcp[[#This Row],[Fecha]]=MAX(dHdcp[Fecha]),1,0)</f>
        <v>0</v>
      </c>
      <c r="H2272" t="str">
        <f>+dHdcp[[#This Row],[Maximo]]&amp;":"&amp;dHdcp[[#This Row],[Nombre]]</f>
        <v>0:José Pablo Guil</v>
      </c>
      <c r="I2272" t="str">
        <f>+dHdcp[[#This Row],[Maximo]]&amp;":"&amp;_xlfn.XLOOKUP(dHdcp[[#This Row],[Nombre]],dJugador[Nombre],dJugador[Mote],"",0)</f>
        <v>0:JP</v>
      </c>
      <c r="J2272" t="str">
        <f>+IF(dHdcp[[#This Row],[Maximo]]=0,"",_xlfn.RANK.EQ(dHdcp[[#This Row],[Handicap]],dHdcp[Handicap],1))</f>
        <v/>
      </c>
      <c r="K2272" t="str">
        <f>IFERROR(+_xlfn.RANK.EQ(dHdcp[[#This Row],[Ranking]],dHdcp[Ranking],1),"")</f>
        <v/>
      </c>
      <c r="M2272" t="str">
        <f>+dHdcp[[#This Row],[Fecha]]&amp;":"&amp;dHdcp[[#This Row],[Nombre]]</f>
        <v>45612:José Pablo Guil</v>
      </c>
      <c r="N2272">
        <f>+COUNTIF(dHdcp[Columna1],dHdcp[[#This Row],[Columna1]])</f>
        <v>1</v>
      </c>
    </row>
    <row r="2273" spans="1:14">
      <c r="A2273" s="98">
        <v>45612</v>
      </c>
      <c r="B2273" s="46" t="s">
        <v>293</v>
      </c>
      <c r="C2273" s="104">
        <v>15.1</v>
      </c>
      <c r="D2273" s="46">
        <f>+VLOOKUP(dHdcp[[#This Row],[Handicap]],'Categoría Hdcap'!$B$2:$E$7,4)</f>
        <v>3</v>
      </c>
      <c r="E2273" s="46" t="s">
        <v>74</v>
      </c>
      <c r="F2273" s="92"/>
      <c r="G2273">
        <f>+IF(dHdcp[[#This Row],[Fecha]]=MAX(dHdcp[Fecha]),1,0)</f>
        <v>0</v>
      </c>
      <c r="H2273" t="str">
        <f>+dHdcp[[#This Row],[Maximo]]&amp;":"&amp;dHdcp[[#This Row],[Nombre]]</f>
        <v>0:Juan Jose Aguado</v>
      </c>
      <c r="I2273" t="str">
        <f>+dHdcp[[#This Row],[Maximo]]&amp;":"&amp;_xlfn.XLOOKUP(dHdcp[[#This Row],[Nombre]],dJugador[Nombre],dJugador[Mote],"",0)</f>
        <v>0:Juancho</v>
      </c>
      <c r="J2273" t="str">
        <f>+IF(dHdcp[[#This Row],[Maximo]]=0,"",_xlfn.RANK.EQ(dHdcp[[#This Row],[Handicap]],dHdcp[Handicap],1))</f>
        <v/>
      </c>
      <c r="K2273" t="str">
        <f>IFERROR(+_xlfn.RANK.EQ(dHdcp[[#This Row],[Ranking]],dHdcp[Ranking],1),"")</f>
        <v/>
      </c>
      <c r="M2273" t="str">
        <f>+dHdcp[[#This Row],[Fecha]]&amp;":"&amp;dHdcp[[#This Row],[Nombre]]</f>
        <v>45612:Juan Jose Aguado</v>
      </c>
      <c r="N2273">
        <f>+COUNTIF(dHdcp[Columna1],dHdcp[[#This Row],[Columna1]])</f>
        <v>1</v>
      </c>
    </row>
    <row r="2274" spans="1:14">
      <c r="A2274" s="98">
        <v>45612</v>
      </c>
      <c r="B2274" t="s">
        <v>2516</v>
      </c>
      <c r="C2274" s="104">
        <v>17.2</v>
      </c>
      <c r="D2274" s="46">
        <f>+VLOOKUP(dHdcp[[#This Row],[Handicap]],'Categoría Hdcap'!$B$2:$E$7,4)</f>
        <v>3</v>
      </c>
      <c r="E2274" s="46" t="s">
        <v>74</v>
      </c>
      <c r="F2274" s="92"/>
      <c r="G2274">
        <f>+IF(dHdcp[[#This Row],[Fecha]]=MAX(dHdcp[Fecha]),1,0)</f>
        <v>0</v>
      </c>
      <c r="H2274" t="str">
        <f>+dHdcp[[#This Row],[Maximo]]&amp;":"&amp;dHdcp[[#This Row],[Nombre]]</f>
        <v>0:Juan Sanz</v>
      </c>
      <c r="I2274" t="str">
        <f>+dHdcp[[#This Row],[Maximo]]&amp;":"&amp;_xlfn.XLOOKUP(dHdcp[[#This Row],[Nombre]],dJugador[Nombre],dJugador[Mote],"",0)</f>
        <v>0:JuanSanz</v>
      </c>
      <c r="J2274" t="str">
        <f>+IF(dHdcp[[#This Row],[Maximo]]=0,"",_xlfn.RANK.EQ(dHdcp[[#This Row],[Handicap]],dHdcp[Handicap],1))</f>
        <v/>
      </c>
      <c r="K2274" t="str">
        <f>IFERROR(+_xlfn.RANK.EQ(dHdcp[[#This Row],[Ranking]],dHdcp[Ranking],1),"")</f>
        <v/>
      </c>
      <c r="M2274" t="str">
        <f>+dHdcp[[#This Row],[Fecha]]&amp;":"&amp;dHdcp[[#This Row],[Nombre]]</f>
        <v>45612:Juan Sanz</v>
      </c>
      <c r="N2274">
        <f>+COUNTIF(dHdcp[Columna1],dHdcp[[#This Row],[Columna1]])</f>
        <v>1</v>
      </c>
    </row>
    <row r="2275" spans="1:14">
      <c r="A2275" s="98">
        <v>45612</v>
      </c>
      <c r="B2275" s="46" t="s">
        <v>375</v>
      </c>
      <c r="C2275" s="104">
        <v>10.4</v>
      </c>
      <c r="D2275" s="46">
        <f>+VLOOKUP(dHdcp[[#This Row],[Handicap]],'Categoría Hdcap'!$B$2:$E$7,4)</f>
        <v>2</v>
      </c>
      <c r="E2275" s="46" t="s">
        <v>74</v>
      </c>
      <c r="F2275" s="92"/>
      <c r="G2275">
        <f>+IF(dHdcp[[#This Row],[Fecha]]=MAX(dHdcp[Fecha]),1,0)</f>
        <v>0</v>
      </c>
      <c r="H2275" t="str">
        <f>+dHdcp[[#This Row],[Maximo]]&amp;":"&amp;dHdcp[[#This Row],[Nombre]]</f>
        <v>0:Luis Fernandez</v>
      </c>
      <c r="I2275" t="str">
        <f>+dHdcp[[#This Row],[Maximo]]&amp;":"&amp;_xlfn.XLOOKUP(dHdcp[[#This Row],[Nombre]],dJugador[Nombre],dJugador[Mote],"",0)</f>
        <v>0:Luis</v>
      </c>
      <c r="J2275" t="str">
        <f>+IF(dHdcp[[#This Row],[Maximo]]=0,"",_xlfn.RANK.EQ(dHdcp[[#This Row],[Handicap]],dHdcp[Handicap],1))</f>
        <v/>
      </c>
      <c r="K2275" t="str">
        <f>IFERROR(+_xlfn.RANK.EQ(dHdcp[[#This Row],[Ranking]],dHdcp[Ranking],1),"")</f>
        <v/>
      </c>
      <c r="M2275" t="str">
        <f>+dHdcp[[#This Row],[Fecha]]&amp;":"&amp;dHdcp[[#This Row],[Nombre]]</f>
        <v>45612:Luis Fernandez</v>
      </c>
      <c r="N2275">
        <f>+COUNTIF(dHdcp[Columna1],dHdcp[[#This Row],[Columna1]])</f>
        <v>1</v>
      </c>
    </row>
    <row r="2276" spans="1:14">
      <c r="A2276" s="98">
        <v>45612</v>
      </c>
      <c r="B2276" s="46" t="s">
        <v>135</v>
      </c>
      <c r="C2276" s="104">
        <v>18</v>
      </c>
      <c r="D2276" s="46">
        <f>+VLOOKUP(dHdcp[[#This Row],[Handicap]],'Categoría Hdcap'!$B$2:$E$7,4)</f>
        <v>3</v>
      </c>
      <c r="E2276" s="46" t="s">
        <v>74</v>
      </c>
      <c r="F2276" s="92"/>
      <c r="G2276">
        <f>+IF(dHdcp[[#This Row],[Fecha]]=MAX(dHdcp[Fecha]),1,0)</f>
        <v>0</v>
      </c>
      <c r="H2276" t="str">
        <f>+dHdcp[[#This Row],[Maximo]]&amp;":"&amp;dHdcp[[#This Row],[Nombre]]</f>
        <v>0:Miche Lopez</v>
      </c>
      <c r="I2276" t="str">
        <f>+dHdcp[[#This Row],[Maximo]]&amp;":"&amp;_xlfn.XLOOKUP(dHdcp[[#This Row],[Nombre]],dJugador[Nombre],dJugador[Mote],"",0)</f>
        <v>0:Miche</v>
      </c>
      <c r="J2276" t="str">
        <f>+IF(dHdcp[[#This Row],[Maximo]]=0,"",_xlfn.RANK.EQ(dHdcp[[#This Row],[Handicap]],dHdcp[Handicap],1))</f>
        <v/>
      </c>
      <c r="K2276" t="str">
        <f>IFERROR(+_xlfn.RANK.EQ(dHdcp[[#This Row],[Ranking]],dHdcp[Ranking],1),"")</f>
        <v/>
      </c>
      <c r="M2276" t="str">
        <f>+dHdcp[[#This Row],[Fecha]]&amp;":"&amp;dHdcp[[#This Row],[Nombre]]</f>
        <v>45612:Miche Lopez</v>
      </c>
      <c r="N2276">
        <f>+COUNTIF(dHdcp[Columna1],dHdcp[[#This Row],[Columna1]])</f>
        <v>1</v>
      </c>
    </row>
    <row r="2277" spans="1:14">
      <c r="A2277" s="98">
        <v>45612</v>
      </c>
      <c r="B2277" s="46" t="s">
        <v>205</v>
      </c>
      <c r="C2277" s="104">
        <v>5.2</v>
      </c>
      <c r="D2277" s="46">
        <f>+VLOOKUP(dHdcp[[#This Row],[Handicap]],'Categoría Hdcap'!$B$2:$E$7,4)</f>
        <v>2</v>
      </c>
      <c r="E2277" s="46" t="s">
        <v>74</v>
      </c>
      <c r="F2277" s="92"/>
      <c r="G2277">
        <f>+IF(dHdcp[[#This Row],[Fecha]]=MAX(dHdcp[Fecha]),1,0)</f>
        <v>0</v>
      </c>
      <c r="H2277" t="str">
        <f>+dHdcp[[#This Row],[Maximo]]&amp;":"&amp;dHdcp[[#This Row],[Nombre]]</f>
        <v>0:Nacho Casas</v>
      </c>
      <c r="I2277" t="str">
        <f>+dHdcp[[#This Row],[Maximo]]&amp;":"&amp;_xlfn.XLOOKUP(dHdcp[[#This Row],[Nombre]],dJugador[Nombre],dJugador[Mote],"",0)</f>
        <v>0:Nachete</v>
      </c>
      <c r="J2277" t="str">
        <f>+IF(dHdcp[[#This Row],[Maximo]]=0,"",_xlfn.RANK.EQ(dHdcp[[#This Row],[Handicap]],dHdcp[Handicap],1))</f>
        <v/>
      </c>
      <c r="K2277" t="str">
        <f>IFERROR(+_xlfn.RANK.EQ(dHdcp[[#This Row],[Ranking]],dHdcp[Ranking],1),"")</f>
        <v/>
      </c>
      <c r="M2277" t="str">
        <f>+dHdcp[[#This Row],[Fecha]]&amp;":"&amp;dHdcp[[#This Row],[Nombre]]</f>
        <v>45612:Nacho Casas</v>
      </c>
      <c r="N2277">
        <f>+COUNTIF(dHdcp[Columna1],dHdcp[[#This Row],[Columna1]])</f>
        <v>1</v>
      </c>
    </row>
    <row r="2278" spans="1:14">
      <c r="A2278" s="98">
        <v>45612</v>
      </c>
      <c r="B2278" s="46" t="s">
        <v>3</v>
      </c>
      <c r="C2278" s="104">
        <v>4.7</v>
      </c>
      <c r="D2278" s="46">
        <f>+VLOOKUP(dHdcp[[#This Row],[Handicap]],'Categoría Hdcap'!$B$2:$E$7,4)</f>
        <v>2</v>
      </c>
      <c r="E2278" s="46" t="s">
        <v>74</v>
      </c>
      <c r="F2278" s="92"/>
      <c r="G2278">
        <f>+IF(dHdcp[[#This Row],[Fecha]]=MAX(dHdcp[Fecha]),1,0)</f>
        <v>0</v>
      </c>
      <c r="H2278" t="str">
        <f>+dHdcp[[#This Row],[Maximo]]&amp;":"&amp;dHdcp[[#This Row],[Nombre]]</f>
        <v>0:Nacho Gonzalez</v>
      </c>
      <c r="I2278" t="str">
        <f>+dHdcp[[#This Row],[Maximo]]&amp;":"&amp;_xlfn.XLOOKUP(dHdcp[[#This Row],[Nombre]],dJugador[Nombre],dJugador[Mote],"",0)</f>
        <v>0:Nacho</v>
      </c>
      <c r="J2278" t="str">
        <f>+IF(dHdcp[[#This Row],[Maximo]]=0,"",_xlfn.RANK.EQ(dHdcp[[#This Row],[Handicap]],dHdcp[Handicap],1))</f>
        <v/>
      </c>
      <c r="K2278" t="str">
        <f>IFERROR(+_xlfn.RANK.EQ(dHdcp[[#This Row],[Ranking]],dHdcp[Ranking],1),"")</f>
        <v/>
      </c>
      <c r="M2278" t="str">
        <f>+dHdcp[[#This Row],[Fecha]]&amp;":"&amp;dHdcp[[#This Row],[Nombre]]</f>
        <v>45612:Nacho Gonzalez</v>
      </c>
      <c r="N2278">
        <f>+COUNTIF(dHdcp[Columna1],dHdcp[[#This Row],[Columna1]])</f>
        <v>1</v>
      </c>
    </row>
    <row r="2279" spans="1:14">
      <c r="A2279" s="98">
        <v>45612</v>
      </c>
      <c r="B2279" s="46" t="s">
        <v>203</v>
      </c>
      <c r="C2279" s="104">
        <v>16.600000000000001</v>
      </c>
      <c r="D2279" s="46">
        <f>+VLOOKUP(dHdcp[[#This Row],[Handicap]],'Categoría Hdcap'!$B$2:$E$7,4)</f>
        <v>3</v>
      </c>
      <c r="E2279" s="46" t="s">
        <v>74</v>
      </c>
      <c r="F2279" s="92"/>
      <c r="G2279">
        <f>+IF(dHdcp[[#This Row],[Fecha]]=MAX(dHdcp[Fecha]),1,0)</f>
        <v>0</v>
      </c>
      <c r="H2279" t="str">
        <f>+dHdcp[[#This Row],[Maximo]]&amp;":"&amp;dHdcp[[#This Row],[Nombre]]</f>
        <v>0:Ruslan Kochman</v>
      </c>
      <c r="I2279" t="str">
        <f>+dHdcp[[#This Row],[Maximo]]&amp;":"&amp;_xlfn.XLOOKUP(dHdcp[[#This Row],[Nombre]],dJugador[Nombre],dJugador[Mote],"",0)</f>
        <v>0:Rus</v>
      </c>
      <c r="J2279" t="str">
        <f>+IF(dHdcp[[#This Row],[Maximo]]=0,"",_xlfn.RANK.EQ(dHdcp[[#This Row],[Handicap]],dHdcp[Handicap],1))</f>
        <v/>
      </c>
      <c r="K2279" t="str">
        <f>IFERROR(+_xlfn.RANK.EQ(dHdcp[[#This Row],[Ranking]],dHdcp[Ranking],1),"")</f>
        <v/>
      </c>
      <c r="M2279" t="str">
        <f>+dHdcp[[#This Row],[Fecha]]&amp;":"&amp;dHdcp[[#This Row],[Nombre]]</f>
        <v>45612:Ruslan Kochman</v>
      </c>
      <c r="N2279">
        <f>+COUNTIF(dHdcp[Columna1],dHdcp[[#This Row],[Columna1]])</f>
        <v>1</v>
      </c>
    </row>
    <row r="2280" spans="1:14">
      <c r="A2280" s="98">
        <v>45612</v>
      </c>
      <c r="B2280" s="46" t="s">
        <v>271</v>
      </c>
      <c r="C2280" s="104">
        <v>16.399999999999999</v>
      </c>
      <c r="D2280" s="46">
        <f>+VLOOKUP(dHdcp[[#This Row],[Handicap]],'Categoría Hdcap'!$B$2:$E$7,4)</f>
        <v>3</v>
      </c>
      <c r="E2280" s="46" t="s">
        <v>74</v>
      </c>
      <c r="F2280" s="92"/>
      <c r="G2280">
        <f>+IF(dHdcp[[#This Row],[Fecha]]=MAX(dHdcp[Fecha]),1,0)</f>
        <v>0</v>
      </c>
      <c r="H2280" t="str">
        <f>+dHdcp[[#This Row],[Maximo]]&amp;":"&amp;dHdcp[[#This Row],[Nombre]]</f>
        <v>0:Santi Diaz</v>
      </c>
      <c r="I2280" t="str">
        <f>+dHdcp[[#This Row],[Maximo]]&amp;":"&amp;_xlfn.XLOOKUP(dHdcp[[#This Row],[Nombre]],dJugador[Nombre],dJugador[Mote],"",0)</f>
        <v>0:Santi</v>
      </c>
      <c r="J2280" t="str">
        <f>+IF(dHdcp[[#This Row],[Maximo]]=0,"",_xlfn.RANK.EQ(dHdcp[[#This Row],[Handicap]],dHdcp[Handicap],1))</f>
        <v/>
      </c>
      <c r="K2280" t="str">
        <f>IFERROR(+_xlfn.RANK.EQ(dHdcp[[#This Row],[Ranking]],dHdcp[Ranking],1),"")</f>
        <v/>
      </c>
      <c r="M2280" t="str">
        <f>+dHdcp[[#This Row],[Fecha]]&amp;":"&amp;dHdcp[[#This Row],[Nombre]]</f>
        <v>45612:Santi Diaz</v>
      </c>
      <c r="N2280">
        <f>+COUNTIF(dHdcp[Columna1],dHdcp[[#This Row],[Columna1]])</f>
        <v>1</v>
      </c>
    </row>
    <row r="2281" spans="1:14">
      <c r="A2281" s="98">
        <v>45612</v>
      </c>
      <c r="B2281" s="46" t="s">
        <v>2473</v>
      </c>
      <c r="C2281" s="100">
        <v>13.9</v>
      </c>
      <c r="D2281" s="46">
        <f>+VLOOKUP(dHdcp[[#This Row],[Handicap]],'Categoría Hdcap'!$B$2:$E$7,4)</f>
        <v>3</v>
      </c>
      <c r="E2281" s="46" t="s">
        <v>74</v>
      </c>
      <c r="F2281" s="92"/>
      <c r="G2281">
        <f>+IF(dHdcp[[#This Row],[Fecha]]=MAX(dHdcp[Fecha]),1,0)</f>
        <v>0</v>
      </c>
      <c r="H2281" t="str">
        <f>+dHdcp[[#This Row],[Maximo]]&amp;":"&amp;dHdcp[[#This Row],[Nombre]]</f>
        <v>0:Thomas Dauterman</v>
      </c>
      <c r="I2281" t="str">
        <f>+dHdcp[[#This Row],[Maximo]]&amp;":"&amp;_xlfn.XLOOKUP(dHdcp[[#This Row],[Nombre]],dJugador[Nombre],dJugador[Mote],"",0)</f>
        <v>0:Tom</v>
      </c>
      <c r="J2281" t="str">
        <f>+IF(dHdcp[[#This Row],[Maximo]]=0,"",_xlfn.RANK.EQ(dHdcp[[#This Row],[Handicap]],dHdcp[Handicap],1))</f>
        <v/>
      </c>
      <c r="K2281" t="str">
        <f>IFERROR(+_xlfn.RANK.EQ(dHdcp[[#This Row],[Ranking]],dHdcp[Ranking],1),"")</f>
        <v/>
      </c>
      <c r="M2281" t="str">
        <f>+dHdcp[[#This Row],[Fecha]]&amp;":"&amp;dHdcp[[#This Row],[Nombre]]</f>
        <v>45612:Thomas Dauterman</v>
      </c>
      <c r="N2281">
        <f>+COUNTIF(dHdcp[Columna1],dHdcp[[#This Row],[Columna1]])</f>
        <v>1</v>
      </c>
    </row>
    <row r="2282" spans="1:14">
      <c r="A2282" s="98">
        <v>45626</v>
      </c>
      <c r="B2282" s="46" t="s">
        <v>259</v>
      </c>
      <c r="C2282" s="104">
        <v>1.2</v>
      </c>
      <c r="D2282" s="46">
        <f>+VLOOKUP(dHdcp[[#This Row],[Handicap]],'Categoría Hdcap'!$B$2:$E$7,4)</f>
        <v>1</v>
      </c>
      <c r="E2282" s="46" t="s">
        <v>74</v>
      </c>
      <c r="F2282" s="92"/>
      <c r="G2282">
        <f>+IF(dHdcp[[#This Row],[Fecha]]=MAX(dHdcp[Fecha]),1,0)</f>
        <v>0</v>
      </c>
      <c r="H2282" t="str">
        <f>+dHdcp[[#This Row],[Maximo]]&amp;":"&amp;dHdcp[[#This Row],[Nombre]]</f>
        <v>0:Alejandro Arcos</v>
      </c>
      <c r="I2282" t="str">
        <f>+dHdcp[[#This Row],[Maximo]]&amp;":"&amp;_xlfn.XLOOKUP(dHdcp[[#This Row],[Nombre]],dJugador[Nombre],dJugador[Mote],"",0)</f>
        <v>0:Alex</v>
      </c>
      <c r="J2282" t="str">
        <f>+IF(dHdcp[[#This Row],[Maximo]]=0,"",_xlfn.RANK.EQ(dHdcp[[#This Row],[Handicap]],dHdcp[Handicap],1))</f>
        <v/>
      </c>
      <c r="K2282" t="str">
        <f>IFERROR(+_xlfn.RANK.EQ(dHdcp[[#This Row],[Ranking]],dHdcp[Ranking],1),"")</f>
        <v/>
      </c>
      <c r="M2282" t="str">
        <f>+dHdcp[[#This Row],[Fecha]]&amp;":"&amp;dHdcp[[#This Row],[Nombre]]</f>
        <v>45626:Alejandro Arcos</v>
      </c>
      <c r="N2282">
        <f>+COUNTIF(dHdcp[Columna1],dHdcp[[#This Row],[Columna1]])</f>
        <v>1</v>
      </c>
    </row>
    <row r="2283" spans="1:14">
      <c r="A2283" s="98">
        <v>45626</v>
      </c>
      <c r="B2283" s="46" t="s">
        <v>9</v>
      </c>
      <c r="C2283" s="104">
        <v>11.9</v>
      </c>
      <c r="D2283" s="46">
        <f>+VLOOKUP(dHdcp[[#This Row],[Handicap]],'Categoría Hdcap'!$B$2:$E$7,4)</f>
        <v>3</v>
      </c>
      <c r="E2283" s="46" t="s">
        <v>74</v>
      </c>
      <c r="F2283" s="92"/>
      <c r="G2283">
        <f>+IF(dHdcp[[#This Row],[Fecha]]=MAX(dHdcp[Fecha]),1,0)</f>
        <v>0</v>
      </c>
      <c r="H2283" t="str">
        <f>+dHdcp[[#This Row],[Maximo]]&amp;":"&amp;dHdcp[[#This Row],[Nombre]]</f>
        <v>0:Alfonso Hidalgo</v>
      </c>
      <c r="I2283" t="str">
        <f>+dHdcp[[#This Row],[Maximo]]&amp;":"&amp;_xlfn.XLOOKUP(dHdcp[[#This Row],[Nombre]],dJugador[Nombre],dJugador[Mote],"",0)</f>
        <v>0:Alfonso</v>
      </c>
      <c r="J2283" t="str">
        <f>+IF(dHdcp[[#This Row],[Maximo]]=0,"",_xlfn.RANK.EQ(dHdcp[[#This Row],[Handicap]],dHdcp[Handicap],1))</f>
        <v/>
      </c>
      <c r="K2283" t="str">
        <f>IFERROR(+_xlfn.RANK.EQ(dHdcp[[#This Row],[Ranking]],dHdcp[Ranking],1),"")</f>
        <v/>
      </c>
      <c r="M2283" t="str">
        <f>+dHdcp[[#This Row],[Fecha]]&amp;":"&amp;dHdcp[[#This Row],[Nombre]]</f>
        <v>45626:Alfonso Hidalgo</v>
      </c>
      <c r="N2283">
        <f>+COUNTIF(dHdcp[Columna1],dHdcp[[#This Row],[Columna1]])</f>
        <v>1</v>
      </c>
    </row>
    <row r="2284" spans="1:14">
      <c r="A2284" s="98">
        <v>45626</v>
      </c>
      <c r="B2284" s="46" t="s">
        <v>229</v>
      </c>
      <c r="C2284" s="104">
        <v>15</v>
      </c>
      <c r="D2284" s="46">
        <f>+VLOOKUP(dHdcp[[#This Row],[Handicap]],'Categoría Hdcap'!$B$2:$E$7,4)</f>
        <v>3</v>
      </c>
      <c r="E2284" s="46" t="s">
        <v>74</v>
      </c>
      <c r="F2284" s="92"/>
      <c r="G2284">
        <f>+IF(dHdcp[[#This Row],[Fecha]]=MAX(dHdcp[Fecha]),1,0)</f>
        <v>0</v>
      </c>
      <c r="H2284" t="str">
        <f>+dHdcp[[#This Row],[Maximo]]&amp;":"&amp;dHdcp[[#This Row],[Nombre]]</f>
        <v>0:Alfonso Zorrilla</v>
      </c>
      <c r="I2284" t="str">
        <f>+dHdcp[[#This Row],[Maximo]]&amp;":"&amp;_xlfn.XLOOKUP(dHdcp[[#This Row],[Nombre]],dJugador[Nombre],dJugador[Mote],"",0)</f>
        <v>0:A Zorrilla</v>
      </c>
      <c r="J2284" t="str">
        <f>+IF(dHdcp[[#This Row],[Maximo]]=0,"",_xlfn.RANK.EQ(dHdcp[[#This Row],[Handicap]],dHdcp[Handicap],1))</f>
        <v/>
      </c>
      <c r="K2284" t="str">
        <f>IFERROR(+_xlfn.RANK.EQ(dHdcp[[#This Row],[Ranking]],dHdcp[Ranking],1),"")</f>
        <v/>
      </c>
      <c r="M2284" t="str">
        <f>+dHdcp[[#This Row],[Fecha]]&amp;":"&amp;dHdcp[[#This Row],[Nombre]]</f>
        <v>45626:Alfonso Zorrilla</v>
      </c>
      <c r="N2284">
        <f>+COUNTIF(dHdcp[Columna1],dHdcp[[#This Row],[Columna1]])</f>
        <v>1</v>
      </c>
    </row>
    <row r="2285" spans="1:14">
      <c r="A2285" s="98">
        <v>45626</v>
      </c>
      <c r="B2285" s="46" t="s">
        <v>15</v>
      </c>
      <c r="C2285" s="104">
        <v>5.7</v>
      </c>
      <c r="D2285" s="46">
        <f>+VLOOKUP(dHdcp[[#This Row],[Handicap]],'Categoría Hdcap'!$B$2:$E$7,4)</f>
        <v>2</v>
      </c>
      <c r="E2285" s="46" t="s">
        <v>74</v>
      </c>
      <c r="F2285" s="92"/>
      <c r="G2285">
        <f>+IF(dHdcp[[#This Row],[Fecha]]=MAX(dHdcp[Fecha]),1,0)</f>
        <v>0</v>
      </c>
      <c r="H2285" t="str">
        <f>+dHdcp[[#This Row],[Maximo]]&amp;":"&amp;dHdcp[[#This Row],[Nombre]]</f>
        <v>0:Alvaro Aguirre</v>
      </c>
      <c r="I2285" t="str">
        <f>+dHdcp[[#This Row],[Maximo]]&amp;":"&amp;_xlfn.XLOOKUP(dHdcp[[#This Row],[Nombre]],dJugador[Nombre],dJugador[Mote],"",0)</f>
        <v>0:Gifu</v>
      </c>
      <c r="J2285" t="str">
        <f>+IF(dHdcp[[#This Row],[Maximo]]=0,"",_xlfn.RANK.EQ(dHdcp[[#This Row],[Handicap]],dHdcp[Handicap],1))</f>
        <v/>
      </c>
      <c r="K2285" t="str">
        <f>IFERROR(+_xlfn.RANK.EQ(dHdcp[[#This Row],[Ranking]],dHdcp[Ranking],1),"")</f>
        <v/>
      </c>
      <c r="M2285" t="str">
        <f>+dHdcp[[#This Row],[Fecha]]&amp;":"&amp;dHdcp[[#This Row],[Nombre]]</f>
        <v>45626:Alvaro Aguirre</v>
      </c>
      <c r="N2285">
        <f>+COUNTIF(dHdcp[Columna1],dHdcp[[#This Row],[Columna1]])</f>
        <v>1</v>
      </c>
    </row>
    <row r="2286" spans="1:14">
      <c r="A2286" s="98">
        <v>45626</v>
      </c>
      <c r="B2286" s="46" t="s">
        <v>201</v>
      </c>
      <c r="C2286" s="104">
        <v>9.1999999999999993</v>
      </c>
      <c r="D2286" s="46">
        <f>+VLOOKUP(dHdcp[[#This Row],[Handicap]],'Categoría Hdcap'!$B$2:$E$7,4)</f>
        <v>2</v>
      </c>
      <c r="E2286" s="46" t="s">
        <v>74</v>
      </c>
      <c r="F2286" s="92"/>
      <c r="G2286">
        <f>+IF(dHdcp[[#This Row],[Fecha]]=MAX(dHdcp[Fecha]),1,0)</f>
        <v>0</v>
      </c>
      <c r="H2286" t="str">
        <f>+dHdcp[[#This Row],[Maximo]]&amp;":"&amp;dHdcp[[#This Row],[Nombre]]</f>
        <v>0:Alvaro Montoya</v>
      </c>
      <c r="I2286" t="str">
        <f>+dHdcp[[#This Row],[Maximo]]&amp;":"&amp;_xlfn.XLOOKUP(dHdcp[[#This Row],[Nombre]],dJugador[Nombre],dJugador[Mote],"",0)</f>
        <v>0:Monti</v>
      </c>
      <c r="J2286" t="str">
        <f>+IF(dHdcp[[#This Row],[Maximo]]=0,"",_xlfn.RANK.EQ(dHdcp[[#This Row],[Handicap]],dHdcp[Handicap],1))</f>
        <v/>
      </c>
      <c r="K2286" t="str">
        <f>IFERROR(+_xlfn.RANK.EQ(dHdcp[[#This Row],[Ranking]],dHdcp[Ranking],1),"")</f>
        <v/>
      </c>
      <c r="M2286" t="str">
        <f>+dHdcp[[#This Row],[Fecha]]&amp;":"&amp;dHdcp[[#This Row],[Nombre]]</f>
        <v>45626:Alvaro Montoya</v>
      </c>
      <c r="N2286">
        <f>+COUNTIF(dHdcp[Columna1],dHdcp[[#This Row],[Columna1]])</f>
        <v>1</v>
      </c>
    </row>
    <row r="2287" spans="1:14">
      <c r="A2287" s="98">
        <v>45626</v>
      </c>
      <c r="B2287" s="46" t="s">
        <v>25</v>
      </c>
      <c r="C2287" s="104">
        <v>15.2</v>
      </c>
      <c r="D2287" s="46">
        <f>+VLOOKUP(dHdcp[[#This Row],[Handicap]],'Categoría Hdcap'!$B$2:$E$7,4)</f>
        <v>3</v>
      </c>
      <c r="E2287" s="46" t="s">
        <v>74</v>
      </c>
      <c r="F2287" s="92"/>
      <c r="G2287">
        <f>+IF(dHdcp[[#This Row],[Fecha]]=MAX(dHdcp[Fecha]),1,0)</f>
        <v>0</v>
      </c>
      <c r="H2287" t="str">
        <f>+dHdcp[[#This Row],[Maximo]]&amp;":"&amp;dHdcp[[#This Row],[Nombre]]</f>
        <v>0:Alvaro Nieto</v>
      </c>
      <c r="I2287" t="str">
        <f>+dHdcp[[#This Row],[Maximo]]&amp;":"&amp;_xlfn.XLOOKUP(dHdcp[[#This Row],[Nombre]],dJugador[Nombre],dJugador[Mote],"",0)</f>
        <v>0:Alvaro</v>
      </c>
      <c r="J2287" t="str">
        <f>+IF(dHdcp[[#This Row],[Maximo]]=0,"",_xlfn.RANK.EQ(dHdcp[[#This Row],[Handicap]],dHdcp[Handicap],1))</f>
        <v/>
      </c>
      <c r="K2287" t="str">
        <f>IFERROR(+_xlfn.RANK.EQ(dHdcp[[#This Row],[Ranking]],dHdcp[Ranking],1),"")</f>
        <v/>
      </c>
      <c r="M2287" t="str">
        <f>+dHdcp[[#This Row],[Fecha]]&amp;":"&amp;dHdcp[[#This Row],[Nombre]]</f>
        <v>45626:Alvaro Nieto</v>
      </c>
      <c r="N2287">
        <f>+COUNTIF(dHdcp[Columna1],dHdcp[[#This Row],[Columna1]])</f>
        <v>1</v>
      </c>
    </row>
    <row r="2288" spans="1:14">
      <c r="A2288" s="98">
        <v>45626</v>
      </c>
      <c r="B2288" s="46" t="s">
        <v>33</v>
      </c>
      <c r="C2288" s="104">
        <v>9.6999999999999993</v>
      </c>
      <c r="D2288" s="46">
        <f>+VLOOKUP(dHdcp[[#This Row],[Handicap]],'Categoría Hdcap'!$B$2:$E$7,4)</f>
        <v>2</v>
      </c>
      <c r="E2288" s="46" t="s">
        <v>74</v>
      </c>
      <c r="F2288" s="92"/>
      <c r="G2288">
        <f>+IF(dHdcp[[#This Row],[Fecha]]=MAX(dHdcp[Fecha]),1,0)</f>
        <v>0</v>
      </c>
      <c r="H2288" t="str">
        <f>+dHdcp[[#This Row],[Maximo]]&amp;":"&amp;dHdcp[[#This Row],[Nombre]]</f>
        <v>0:Angel Hernandez</v>
      </c>
      <c r="I2288" t="str">
        <f>+dHdcp[[#This Row],[Maximo]]&amp;":"&amp;_xlfn.XLOOKUP(dHdcp[[#This Row],[Nombre]],dJugador[Nombre],dJugador[Mote],"",0)</f>
        <v>0:Angel</v>
      </c>
      <c r="J2288" t="str">
        <f>+IF(dHdcp[[#This Row],[Maximo]]=0,"",_xlfn.RANK.EQ(dHdcp[[#This Row],[Handicap]],dHdcp[Handicap],1))</f>
        <v/>
      </c>
      <c r="K2288" t="str">
        <f>IFERROR(+_xlfn.RANK.EQ(dHdcp[[#This Row],[Ranking]],dHdcp[Ranking],1),"")</f>
        <v/>
      </c>
      <c r="M2288" t="str">
        <f>+dHdcp[[#This Row],[Fecha]]&amp;":"&amp;dHdcp[[#This Row],[Nombre]]</f>
        <v>45626:Angel Hernandez</v>
      </c>
      <c r="N2288">
        <f>+COUNTIF(dHdcp[Columna1],dHdcp[[#This Row],[Columna1]])</f>
        <v>1</v>
      </c>
    </row>
    <row r="2289" spans="1:14">
      <c r="A2289" s="98">
        <v>45626</v>
      </c>
      <c r="B2289" s="46" t="s">
        <v>2469</v>
      </c>
      <c r="C2289" s="104">
        <v>6.9</v>
      </c>
      <c r="D2289" s="46">
        <f>+VLOOKUP(dHdcp[[#This Row],[Handicap]],'Categoría Hdcap'!$B$2:$E$7,4)</f>
        <v>2</v>
      </c>
      <c r="E2289" s="46" t="s">
        <v>74</v>
      </c>
      <c r="F2289" s="92"/>
      <c r="G2289">
        <f>+IF(dHdcp[[#This Row],[Fecha]]=MAX(dHdcp[Fecha]),1,0)</f>
        <v>0</v>
      </c>
      <c r="H2289" t="str">
        <f>+dHdcp[[#This Row],[Maximo]]&amp;":"&amp;dHdcp[[#This Row],[Nombre]]</f>
        <v>0:Angel Santana</v>
      </c>
      <c r="I2289" t="str">
        <f>+dHdcp[[#This Row],[Maximo]]&amp;":"&amp;_xlfn.XLOOKUP(dHdcp[[#This Row],[Nombre]],dJugador[Nombre],dJugador[Mote],"",0)</f>
        <v>0:A.Santana</v>
      </c>
      <c r="J2289" t="str">
        <f>+IF(dHdcp[[#This Row],[Maximo]]=0,"",_xlfn.RANK.EQ(dHdcp[[#This Row],[Handicap]],dHdcp[Handicap],1))</f>
        <v/>
      </c>
      <c r="K2289" t="str">
        <f>IFERROR(+_xlfn.RANK.EQ(dHdcp[[#This Row],[Ranking]],dHdcp[Ranking],1),"")</f>
        <v/>
      </c>
      <c r="M2289" t="str">
        <f>+dHdcp[[#This Row],[Fecha]]&amp;":"&amp;dHdcp[[#This Row],[Nombre]]</f>
        <v>45626:Angel Santana</v>
      </c>
      <c r="N2289">
        <f>+COUNTIF(dHdcp[Columna1],dHdcp[[#This Row],[Columna1]])</f>
        <v>1</v>
      </c>
    </row>
    <row r="2290" spans="1:14">
      <c r="A2290" s="98">
        <v>45626</v>
      </c>
      <c r="B2290" s="46" t="s">
        <v>264</v>
      </c>
      <c r="C2290" s="104">
        <v>19.399999999999999</v>
      </c>
      <c r="D2290" s="46">
        <f>+VLOOKUP(dHdcp[[#This Row],[Handicap]],'Categoría Hdcap'!$B$2:$E$7,4)</f>
        <v>4</v>
      </c>
      <c r="E2290" s="46" t="s">
        <v>74</v>
      </c>
      <c r="F2290" s="92"/>
      <c r="G2290">
        <f>+IF(dHdcp[[#This Row],[Fecha]]=MAX(dHdcp[Fecha]),1,0)</f>
        <v>0</v>
      </c>
      <c r="H2290" t="str">
        <f>+dHdcp[[#This Row],[Maximo]]&amp;":"&amp;dHdcp[[#This Row],[Nombre]]</f>
        <v>0:Antonio Carmona</v>
      </c>
      <c r="I2290" t="str">
        <f>+dHdcp[[#This Row],[Maximo]]&amp;":"&amp;_xlfn.XLOOKUP(dHdcp[[#This Row],[Nombre]],dJugador[Nombre],dJugador[Mote],"",0)</f>
        <v>0:Antonio</v>
      </c>
      <c r="J2290" t="str">
        <f>+IF(dHdcp[[#This Row],[Maximo]]=0,"",_xlfn.RANK.EQ(dHdcp[[#This Row],[Handicap]],dHdcp[Handicap],1))</f>
        <v/>
      </c>
      <c r="K2290" t="str">
        <f>IFERROR(+_xlfn.RANK.EQ(dHdcp[[#This Row],[Ranking]],dHdcp[Ranking],1),"")</f>
        <v/>
      </c>
      <c r="M2290" t="str">
        <f>+dHdcp[[#This Row],[Fecha]]&amp;":"&amp;dHdcp[[#This Row],[Nombre]]</f>
        <v>45626:Antonio Carmona</v>
      </c>
      <c r="N2290">
        <f>+COUNTIF(dHdcp[Columna1],dHdcp[[#This Row],[Columna1]])</f>
        <v>1</v>
      </c>
    </row>
    <row r="2291" spans="1:14">
      <c r="A2291" s="98">
        <v>45626</v>
      </c>
      <c r="B2291" s="46" t="s">
        <v>291</v>
      </c>
      <c r="C2291" s="104">
        <v>1.3</v>
      </c>
      <c r="D2291" s="46">
        <f>+VLOOKUP(dHdcp[[#This Row],[Handicap]],'Categoría Hdcap'!$B$2:$E$7,4)</f>
        <v>1</v>
      </c>
      <c r="E2291" s="46" t="s">
        <v>74</v>
      </c>
      <c r="F2291" s="92"/>
      <c r="G2291">
        <f>+IF(dHdcp[[#This Row],[Fecha]]=MAX(dHdcp[Fecha]),1,0)</f>
        <v>0</v>
      </c>
      <c r="H2291" t="str">
        <f>+dHdcp[[#This Row],[Maximo]]&amp;":"&amp;dHdcp[[#This Row],[Nombre]]</f>
        <v>0:Carlos Maestro</v>
      </c>
      <c r="I2291" t="str">
        <f>+dHdcp[[#This Row],[Maximo]]&amp;":"&amp;_xlfn.XLOOKUP(dHdcp[[#This Row],[Nombre]],dJugador[Nombre],dJugador[Mote],"",0)</f>
        <v>0:Carlitos</v>
      </c>
      <c r="J2291" t="str">
        <f>+IF(dHdcp[[#This Row],[Maximo]]=0,"",_xlfn.RANK.EQ(dHdcp[[#This Row],[Handicap]],dHdcp[Handicap],1))</f>
        <v/>
      </c>
      <c r="K2291" t="str">
        <f>IFERROR(+_xlfn.RANK.EQ(dHdcp[[#This Row],[Ranking]],dHdcp[Ranking],1),"")</f>
        <v/>
      </c>
      <c r="M2291" t="str">
        <f>+dHdcp[[#This Row],[Fecha]]&amp;":"&amp;dHdcp[[#This Row],[Nombre]]</f>
        <v>45626:Carlos Maestro</v>
      </c>
      <c r="N2291">
        <f>+COUNTIF(dHdcp[Columna1],dHdcp[[#This Row],[Columna1]])</f>
        <v>1</v>
      </c>
    </row>
    <row r="2292" spans="1:14">
      <c r="A2292" s="98">
        <v>45626</v>
      </c>
      <c r="B2292" s="46" t="s">
        <v>30</v>
      </c>
      <c r="C2292" s="104">
        <v>14.4</v>
      </c>
      <c r="D2292" s="46">
        <f>+VLOOKUP(dHdcp[[#This Row],[Handicap]],'Categoría Hdcap'!$B$2:$E$7,4)</f>
        <v>3</v>
      </c>
      <c r="E2292" s="46" t="s">
        <v>74</v>
      </c>
      <c r="F2292" s="92"/>
      <c r="G2292">
        <f>+IF(dHdcp[[#This Row],[Fecha]]=MAX(dHdcp[Fecha]),1,0)</f>
        <v>0</v>
      </c>
      <c r="H2292" t="str">
        <f>+dHdcp[[#This Row],[Maximo]]&amp;":"&amp;dHdcp[[#This Row],[Nombre]]</f>
        <v>0:David Sequera</v>
      </c>
      <c r="I2292" t="str">
        <f>+dHdcp[[#This Row],[Maximo]]&amp;":"&amp;_xlfn.XLOOKUP(dHdcp[[#This Row],[Nombre]],dJugador[Nombre],dJugador[Mote],"",0)</f>
        <v>0:David</v>
      </c>
      <c r="J2292" t="str">
        <f>+IF(dHdcp[[#This Row],[Maximo]]=0,"",_xlfn.RANK.EQ(dHdcp[[#This Row],[Handicap]],dHdcp[Handicap],1))</f>
        <v/>
      </c>
      <c r="K2292" t="str">
        <f>IFERROR(+_xlfn.RANK.EQ(dHdcp[[#This Row],[Ranking]],dHdcp[Ranking],1),"")</f>
        <v/>
      </c>
      <c r="M2292" t="str">
        <f>+dHdcp[[#This Row],[Fecha]]&amp;":"&amp;dHdcp[[#This Row],[Nombre]]</f>
        <v>45626:David Sequera</v>
      </c>
      <c r="N2292">
        <f>+COUNTIF(dHdcp[Columna1],dHdcp[[#This Row],[Columna1]])</f>
        <v>1</v>
      </c>
    </row>
    <row r="2293" spans="1:14">
      <c r="A2293" s="98">
        <v>45626</v>
      </c>
      <c r="B2293" s="46" t="s">
        <v>326</v>
      </c>
      <c r="C2293" s="104">
        <v>9.8000000000000007</v>
      </c>
      <c r="D2293" s="46">
        <f>+VLOOKUP(dHdcp[[#This Row],[Handicap]],'Categoría Hdcap'!$B$2:$E$7,4)</f>
        <v>2</v>
      </c>
      <c r="E2293" s="46" t="s">
        <v>74</v>
      </c>
      <c r="F2293" s="92"/>
      <c r="G2293">
        <f>+IF(dHdcp[[#This Row],[Fecha]]=MAX(dHdcp[Fecha]),1,0)</f>
        <v>0</v>
      </c>
      <c r="H2293" t="str">
        <f>+dHdcp[[#This Row],[Maximo]]&amp;":"&amp;dHdcp[[#This Row],[Nombre]]</f>
        <v>0:Eduardo Buendía</v>
      </c>
      <c r="I2293" t="str">
        <f>+dHdcp[[#This Row],[Maximo]]&amp;":"&amp;_xlfn.XLOOKUP(dHdcp[[#This Row],[Nombre]],dJugador[Nombre],dJugador[Mote],"",0)</f>
        <v>0:Eduardo</v>
      </c>
      <c r="J2293" t="str">
        <f>+IF(dHdcp[[#This Row],[Maximo]]=0,"",_xlfn.RANK.EQ(dHdcp[[#This Row],[Handicap]],dHdcp[Handicap],1))</f>
        <v/>
      </c>
      <c r="K2293" t="str">
        <f>IFERROR(+_xlfn.RANK.EQ(dHdcp[[#This Row],[Ranking]],dHdcp[Ranking],1),"")</f>
        <v/>
      </c>
      <c r="M2293" t="str">
        <f>+dHdcp[[#This Row],[Fecha]]&amp;":"&amp;dHdcp[[#This Row],[Nombre]]</f>
        <v>45626:Eduardo Buendía</v>
      </c>
      <c r="N2293">
        <f>+COUNTIF(dHdcp[Columna1],dHdcp[[#This Row],[Columna1]])</f>
        <v>1</v>
      </c>
    </row>
    <row r="2294" spans="1:14">
      <c r="A2294" s="98">
        <v>45626</v>
      </c>
      <c r="B2294" s="46" t="s">
        <v>248</v>
      </c>
      <c r="C2294" s="104">
        <v>12.5</v>
      </c>
      <c r="D2294" s="46">
        <f>+VLOOKUP(dHdcp[[#This Row],[Handicap]],'Categoría Hdcap'!$B$2:$E$7,4)</f>
        <v>3</v>
      </c>
      <c r="E2294" s="46" t="s">
        <v>74</v>
      </c>
      <c r="F2294" s="92"/>
      <c r="G2294">
        <f>+IF(dHdcp[[#This Row],[Fecha]]=MAX(dHdcp[Fecha]),1,0)</f>
        <v>0</v>
      </c>
      <c r="H2294" t="str">
        <f>+dHdcp[[#This Row],[Maximo]]&amp;":"&amp;dHdcp[[#This Row],[Nombre]]</f>
        <v>0:Enrique Gonzalez R</v>
      </c>
      <c r="I2294" t="str">
        <f>+dHdcp[[#This Row],[Maximo]]&amp;":"&amp;_xlfn.XLOOKUP(dHdcp[[#This Row],[Nombre]],dJugador[Nombre],dJugador[Mote],"",0)</f>
        <v>0:Enrique</v>
      </c>
      <c r="J2294" t="str">
        <f>+IF(dHdcp[[#This Row],[Maximo]]=0,"",_xlfn.RANK.EQ(dHdcp[[#This Row],[Handicap]],dHdcp[Handicap],1))</f>
        <v/>
      </c>
      <c r="K2294" t="str">
        <f>IFERROR(+_xlfn.RANK.EQ(dHdcp[[#This Row],[Ranking]],dHdcp[Ranking],1),"")</f>
        <v/>
      </c>
      <c r="M2294" t="str">
        <f>+dHdcp[[#This Row],[Fecha]]&amp;":"&amp;dHdcp[[#This Row],[Nombre]]</f>
        <v>45626:Enrique Gonzalez R</v>
      </c>
      <c r="N2294">
        <f>+COUNTIF(dHdcp[Columna1],dHdcp[[#This Row],[Columna1]])</f>
        <v>1</v>
      </c>
    </row>
    <row r="2295" spans="1:14">
      <c r="A2295" s="98">
        <v>45626</v>
      </c>
      <c r="B2295" s="46" t="s">
        <v>12</v>
      </c>
      <c r="C2295" s="104">
        <v>16.100000000000001</v>
      </c>
      <c r="D2295" s="46">
        <f>+VLOOKUP(dHdcp[[#This Row],[Handicap]],'Categoría Hdcap'!$B$2:$E$7,4)</f>
        <v>3</v>
      </c>
      <c r="E2295" s="46" t="s">
        <v>74</v>
      </c>
      <c r="F2295" s="92"/>
      <c r="G2295">
        <f>+IF(dHdcp[[#This Row],[Fecha]]=MAX(dHdcp[Fecha]),1,0)</f>
        <v>0</v>
      </c>
      <c r="H2295" t="str">
        <f>+dHdcp[[#This Row],[Maximo]]&amp;":"&amp;dHdcp[[#This Row],[Nombre]]</f>
        <v>0:Francisco Alvarez</v>
      </c>
      <c r="I2295" t="str">
        <f>+dHdcp[[#This Row],[Maximo]]&amp;":"&amp;_xlfn.XLOOKUP(dHdcp[[#This Row],[Nombre]],dJugador[Nombre],dJugador[Mote],"",0)</f>
        <v>0:Paco</v>
      </c>
      <c r="J2295" t="str">
        <f>+IF(dHdcp[[#This Row],[Maximo]]=0,"",_xlfn.RANK.EQ(dHdcp[[#This Row],[Handicap]],dHdcp[Handicap],1))</f>
        <v/>
      </c>
      <c r="K2295" t="str">
        <f>IFERROR(+_xlfn.RANK.EQ(dHdcp[[#This Row],[Ranking]],dHdcp[Ranking],1),"")</f>
        <v/>
      </c>
      <c r="M2295" t="str">
        <f>+dHdcp[[#This Row],[Fecha]]&amp;":"&amp;dHdcp[[#This Row],[Nombre]]</f>
        <v>45626:Francisco Alvarez</v>
      </c>
      <c r="N2295">
        <f>+COUNTIF(dHdcp[Columna1],dHdcp[[#This Row],[Columna1]])</f>
        <v>1</v>
      </c>
    </row>
    <row r="2296" spans="1:14">
      <c r="A2296" s="98">
        <v>45626</v>
      </c>
      <c r="B2296" s="46" t="s">
        <v>49</v>
      </c>
      <c r="C2296" s="104">
        <v>14.4</v>
      </c>
      <c r="D2296" s="46">
        <f>+VLOOKUP(dHdcp[[#This Row],[Handicap]],'Categoría Hdcap'!$B$2:$E$7,4)</f>
        <v>3</v>
      </c>
      <c r="E2296" s="46" t="s">
        <v>74</v>
      </c>
      <c r="F2296" s="92"/>
      <c r="G2296">
        <f>+IF(dHdcp[[#This Row],[Fecha]]=MAX(dHdcp[Fecha]),1,0)</f>
        <v>0</v>
      </c>
      <c r="H2296" t="str">
        <f>+dHdcp[[#This Row],[Maximo]]&amp;":"&amp;dHdcp[[#This Row],[Nombre]]</f>
        <v>0:Francisco Hidalgo</v>
      </c>
      <c r="I2296" t="str">
        <f>+dHdcp[[#This Row],[Maximo]]&amp;":"&amp;_xlfn.XLOOKUP(dHdcp[[#This Row],[Nombre]],dJugador[Nombre],dJugador[Mote],"",0)</f>
        <v>0:Fran</v>
      </c>
      <c r="J2296" t="str">
        <f>+IF(dHdcp[[#This Row],[Maximo]]=0,"",_xlfn.RANK.EQ(dHdcp[[#This Row],[Handicap]],dHdcp[Handicap],1))</f>
        <v/>
      </c>
      <c r="K2296" t="str">
        <f>IFERROR(+_xlfn.RANK.EQ(dHdcp[[#This Row],[Ranking]],dHdcp[Ranking],1),"")</f>
        <v/>
      </c>
      <c r="M2296" t="str">
        <f>+dHdcp[[#This Row],[Fecha]]&amp;":"&amp;dHdcp[[#This Row],[Nombre]]</f>
        <v>45626:Francisco Hidalgo</v>
      </c>
      <c r="N2296">
        <f>+COUNTIF(dHdcp[Columna1],dHdcp[[#This Row],[Columna1]])</f>
        <v>1</v>
      </c>
    </row>
    <row r="2297" spans="1:14">
      <c r="A2297" s="98">
        <v>45626</v>
      </c>
      <c r="B2297" s="46" t="s">
        <v>207</v>
      </c>
      <c r="C2297" s="104">
        <v>15</v>
      </c>
      <c r="D2297" s="46">
        <f>+VLOOKUP(dHdcp[[#This Row],[Handicap]],'Categoría Hdcap'!$B$2:$E$7,4)</f>
        <v>3</v>
      </c>
      <c r="E2297" s="46" t="s">
        <v>74</v>
      </c>
      <c r="F2297" s="92"/>
      <c r="G2297">
        <f>+IF(dHdcp[[#This Row],[Fecha]]=MAX(dHdcp[Fecha]),1,0)</f>
        <v>0</v>
      </c>
      <c r="H2297" t="str">
        <f>+dHdcp[[#This Row],[Maximo]]&amp;":"&amp;dHdcp[[#This Row],[Nombre]]</f>
        <v>0:Franck Benouniche</v>
      </c>
      <c r="I2297" t="str">
        <f>+dHdcp[[#This Row],[Maximo]]&amp;":"&amp;_xlfn.XLOOKUP(dHdcp[[#This Row],[Nombre]],dJugador[Nombre],dJugador[Mote],"",0)</f>
        <v>0:Franck</v>
      </c>
      <c r="J2297" t="str">
        <f>+IF(dHdcp[[#This Row],[Maximo]]=0,"",_xlfn.RANK.EQ(dHdcp[[#This Row],[Handicap]],dHdcp[Handicap],1))</f>
        <v/>
      </c>
      <c r="K2297" t="str">
        <f>IFERROR(+_xlfn.RANK.EQ(dHdcp[[#This Row],[Ranking]],dHdcp[Ranking],1),"")</f>
        <v/>
      </c>
      <c r="M2297" t="str">
        <f>+dHdcp[[#This Row],[Fecha]]&amp;":"&amp;dHdcp[[#This Row],[Nombre]]</f>
        <v>45626:Franck Benouniche</v>
      </c>
      <c r="N2297">
        <f>+COUNTIF(dHdcp[Columna1],dHdcp[[#This Row],[Columna1]])</f>
        <v>1</v>
      </c>
    </row>
    <row r="2298" spans="1:14">
      <c r="A2298" s="98">
        <v>45626</v>
      </c>
      <c r="B2298" s="46" t="s">
        <v>35</v>
      </c>
      <c r="C2298" s="104">
        <v>19.399999999999999</v>
      </c>
      <c r="D2298" s="46">
        <f>+VLOOKUP(dHdcp[[#This Row],[Handicap]],'Categoría Hdcap'!$B$2:$E$7,4)</f>
        <v>4</v>
      </c>
      <c r="E2298" s="46" t="s">
        <v>74</v>
      </c>
      <c r="F2298" s="92"/>
      <c r="G2298">
        <f>+IF(dHdcp[[#This Row],[Fecha]]=MAX(dHdcp[Fecha]),1,0)</f>
        <v>0</v>
      </c>
      <c r="H2298" t="str">
        <f>+dHdcp[[#This Row],[Maximo]]&amp;":"&amp;dHdcp[[#This Row],[Nombre]]</f>
        <v>0:GLEZ JUAN JOSÉ</v>
      </c>
      <c r="I2298" t="str">
        <f>+dHdcp[[#This Row],[Maximo]]&amp;":"&amp;_xlfn.XLOOKUP(dHdcp[[#This Row],[Nombre]],dJugador[Nombre],dJugador[Mote],"",0)</f>
        <v>0:Juanjo</v>
      </c>
      <c r="J2298" t="str">
        <f>+IF(dHdcp[[#This Row],[Maximo]]=0,"",_xlfn.RANK.EQ(dHdcp[[#This Row],[Handicap]],dHdcp[Handicap],1))</f>
        <v/>
      </c>
      <c r="K2298" t="str">
        <f>IFERROR(+_xlfn.RANK.EQ(dHdcp[[#This Row],[Ranking]],dHdcp[Ranking],1),"")</f>
        <v/>
      </c>
      <c r="M2298" t="str">
        <f>+dHdcp[[#This Row],[Fecha]]&amp;":"&amp;dHdcp[[#This Row],[Nombre]]</f>
        <v>45626:GLEZ JUAN JOSÉ</v>
      </c>
      <c r="N2298">
        <f>+COUNTIF(dHdcp[Columna1],dHdcp[[#This Row],[Columna1]])</f>
        <v>1</v>
      </c>
    </row>
    <row r="2299" spans="1:14">
      <c r="A2299" s="98">
        <v>45626</v>
      </c>
      <c r="B2299" s="46" t="s">
        <v>6</v>
      </c>
      <c r="C2299" s="104">
        <v>6.8</v>
      </c>
      <c r="D2299" s="46">
        <f>+VLOOKUP(dHdcp[[#This Row],[Handicap]],'Categoría Hdcap'!$B$2:$E$7,4)</f>
        <v>2</v>
      </c>
      <c r="E2299" s="46" t="s">
        <v>74</v>
      </c>
      <c r="F2299" s="92"/>
      <c r="G2299">
        <f>+IF(dHdcp[[#This Row],[Fecha]]=MAX(dHdcp[Fecha]),1,0)</f>
        <v>0</v>
      </c>
      <c r="H2299" t="str">
        <f>+dHdcp[[#This Row],[Maximo]]&amp;":"&amp;dHdcp[[#This Row],[Nombre]]</f>
        <v>0:Ignacio Cadarso</v>
      </c>
      <c r="I2299" t="str">
        <f>+dHdcp[[#This Row],[Maximo]]&amp;":"&amp;_xlfn.XLOOKUP(dHdcp[[#This Row],[Nombre]],dJugador[Nombre],dJugador[Mote],"",0)</f>
        <v>0:Ignacio</v>
      </c>
      <c r="J2299" t="str">
        <f>+IF(dHdcp[[#This Row],[Maximo]]=0,"",_xlfn.RANK.EQ(dHdcp[[#This Row],[Handicap]],dHdcp[Handicap],1))</f>
        <v/>
      </c>
      <c r="K2299" t="str">
        <f>IFERROR(+_xlfn.RANK.EQ(dHdcp[[#This Row],[Ranking]],dHdcp[Ranking],1),"")</f>
        <v/>
      </c>
      <c r="M2299" t="str">
        <f>+dHdcp[[#This Row],[Fecha]]&amp;":"&amp;dHdcp[[#This Row],[Nombre]]</f>
        <v>45626:Ignacio Cadarso</v>
      </c>
      <c r="N2299">
        <f>+COUNTIF(dHdcp[Columna1],dHdcp[[#This Row],[Columna1]])</f>
        <v>1</v>
      </c>
    </row>
    <row r="2300" spans="1:14">
      <c r="A2300" s="98">
        <v>45626</v>
      </c>
      <c r="B2300" s="46" t="s">
        <v>298</v>
      </c>
      <c r="C2300" s="104">
        <v>23.7</v>
      </c>
      <c r="D2300" s="46">
        <f>+VLOOKUP(dHdcp[[#This Row],[Handicap]],'Categoría Hdcap'!$B$2:$E$7,4)</f>
        <v>4</v>
      </c>
      <c r="E2300" s="46" t="s">
        <v>74</v>
      </c>
      <c r="F2300" s="92"/>
      <c r="G2300">
        <f>+IF(dHdcp[[#This Row],[Fecha]]=MAX(dHdcp[Fecha]),1,0)</f>
        <v>0</v>
      </c>
      <c r="H2300" t="str">
        <f>+dHdcp[[#This Row],[Maximo]]&amp;":"&amp;dHdcp[[#This Row],[Nombre]]</f>
        <v>0:Ignacio Gracia Charlez</v>
      </c>
      <c r="I2300" t="str">
        <f>+dHdcp[[#This Row],[Maximo]]&amp;":"&amp;_xlfn.XLOOKUP(dHdcp[[#This Row],[Nombre]],dJugador[Nombre],dJugador[Mote],"",0)</f>
        <v>0:I Gracia</v>
      </c>
      <c r="J2300" t="str">
        <f>+IF(dHdcp[[#This Row],[Maximo]]=0,"",_xlfn.RANK.EQ(dHdcp[[#This Row],[Handicap]],dHdcp[Handicap],1))</f>
        <v/>
      </c>
      <c r="K2300" t="str">
        <f>IFERROR(+_xlfn.RANK.EQ(dHdcp[[#This Row],[Ranking]],dHdcp[Ranking],1),"")</f>
        <v/>
      </c>
      <c r="M2300" t="str">
        <f>+dHdcp[[#This Row],[Fecha]]&amp;":"&amp;dHdcp[[#This Row],[Nombre]]</f>
        <v>45626:Ignacio Gracia Charlez</v>
      </c>
      <c r="N2300">
        <f>+COUNTIF(dHdcp[Columna1],dHdcp[[#This Row],[Columna1]])</f>
        <v>1</v>
      </c>
    </row>
    <row r="2301" spans="1:14">
      <c r="A2301" s="98">
        <v>45626</v>
      </c>
      <c r="B2301" s="46" t="s">
        <v>23</v>
      </c>
      <c r="C2301" s="104">
        <v>19.399999999999999</v>
      </c>
      <c r="D2301" s="46">
        <f>+VLOOKUP(dHdcp[[#This Row],[Handicap]],'Categoría Hdcap'!$B$2:$E$7,4)</f>
        <v>4</v>
      </c>
      <c r="E2301" s="46" t="s">
        <v>74</v>
      </c>
      <c r="F2301" s="92"/>
      <c r="G2301">
        <f>+IF(dHdcp[[#This Row],[Fecha]]=MAX(dHdcp[Fecha]),1,0)</f>
        <v>0</v>
      </c>
      <c r="H2301" t="str">
        <f>+dHdcp[[#This Row],[Maximo]]&amp;":"&amp;dHdcp[[#This Row],[Nombre]]</f>
        <v>0:J. Enrique Gonzalez</v>
      </c>
      <c r="I2301" t="str">
        <f>+dHdcp[[#This Row],[Maximo]]&amp;":"&amp;_xlfn.XLOOKUP(dHdcp[[#This Row],[Nombre]],dJugador[Nombre],dJugador[Mote],"",0)</f>
        <v>0:Kike</v>
      </c>
      <c r="J2301" t="str">
        <f>+IF(dHdcp[[#This Row],[Maximo]]=0,"",_xlfn.RANK.EQ(dHdcp[[#This Row],[Handicap]],dHdcp[Handicap],1))</f>
        <v/>
      </c>
      <c r="K2301" t="str">
        <f>IFERROR(+_xlfn.RANK.EQ(dHdcp[[#This Row],[Ranking]],dHdcp[Ranking],1),"")</f>
        <v/>
      </c>
      <c r="M2301" t="str">
        <f>+dHdcp[[#This Row],[Fecha]]&amp;":"&amp;dHdcp[[#This Row],[Nombre]]</f>
        <v>45626:J. Enrique Gonzalez</v>
      </c>
      <c r="N2301">
        <f>+COUNTIF(dHdcp[Columna1],dHdcp[[#This Row],[Columna1]])</f>
        <v>1</v>
      </c>
    </row>
    <row r="2302" spans="1:14">
      <c r="A2302" s="98">
        <v>45626</v>
      </c>
      <c r="B2302" s="46" t="s">
        <v>289</v>
      </c>
      <c r="C2302" s="104">
        <v>8</v>
      </c>
      <c r="D2302" s="46">
        <f>+VLOOKUP(dHdcp[[#This Row],[Handicap]],'Categoría Hdcap'!$B$2:$E$7,4)</f>
        <v>2</v>
      </c>
      <c r="E2302" s="46" t="s">
        <v>74</v>
      </c>
      <c r="F2302" s="92"/>
      <c r="G2302">
        <f>+IF(dHdcp[[#This Row],[Fecha]]=MAX(dHdcp[Fecha]),1,0)</f>
        <v>0</v>
      </c>
      <c r="H2302" t="str">
        <f>+dHdcp[[#This Row],[Maximo]]&amp;":"&amp;dHdcp[[#This Row],[Nombre]]</f>
        <v>0:Jaime Villanueva</v>
      </c>
      <c r="I2302" t="str">
        <f>+dHdcp[[#This Row],[Maximo]]&amp;":"&amp;_xlfn.XLOOKUP(dHdcp[[#This Row],[Nombre]],dJugador[Nombre],dJugador[Mote],"",0)</f>
        <v>0:Villanueva</v>
      </c>
      <c r="J2302" t="str">
        <f>+IF(dHdcp[[#This Row],[Maximo]]=0,"",_xlfn.RANK.EQ(dHdcp[[#This Row],[Handicap]],dHdcp[Handicap],1))</f>
        <v/>
      </c>
      <c r="K2302" t="str">
        <f>IFERROR(+_xlfn.RANK.EQ(dHdcp[[#This Row],[Ranking]],dHdcp[Ranking],1),"")</f>
        <v/>
      </c>
      <c r="M2302" t="str">
        <f>+dHdcp[[#This Row],[Fecha]]&amp;":"&amp;dHdcp[[#This Row],[Nombre]]</f>
        <v>45626:Jaime Villanueva</v>
      </c>
      <c r="N2302">
        <f>+COUNTIF(dHdcp[Columna1],dHdcp[[#This Row],[Columna1]])</f>
        <v>1</v>
      </c>
    </row>
    <row r="2303" spans="1:14">
      <c r="A2303" s="98">
        <v>45626</v>
      </c>
      <c r="B2303" s="46" t="s">
        <v>328</v>
      </c>
      <c r="C2303" s="104">
        <v>10.4</v>
      </c>
      <c r="D2303" s="46">
        <f>+VLOOKUP(dHdcp[[#This Row],[Handicap]],'Categoría Hdcap'!$B$2:$E$7,4)</f>
        <v>2</v>
      </c>
      <c r="E2303" s="46" t="s">
        <v>74</v>
      </c>
      <c r="F2303" s="92"/>
      <c r="G2303">
        <f>+IF(dHdcp[[#This Row],[Fecha]]=MAX(dHdcp[Fecha]),1,0)</f>
        <v>0</v>
      </c>
      <c r="H2303" t="str">
        <f>+dHdcp[[#This Row],[Maximo]]&amp;":"&amp;dHdcp[[#This Row],[Nombre]]</f>
        <v>0:Javier Arcos</v>
      </c>
      <c r="I2303" t="str">
        <f>+dHdcp[[#This Row],[Maximo]]&amp;":"&amp;_xlfn.XLOOKUP(dHdcp[[#This Row],[Nombre]],dJugador[Nombre],dJugador[Mote],"",0)</f>
        <v>0:J.Arcos</v>
      </c>
      <c r="J2303" t="str">
        <f>+IF(dHdcp[[#This Row],[Maximo]]=0,"",_xlfn.RANK.EQ(dHdcp[[#This Row],[Handicap]],dHdcp[Handicap],1))</f>
        <v/>
      </c>
      <c r="K2303" t="str">
        <f>IFERROR(+_xlfn.RANK.EQ(dHdcp[[#This Row],[Ranking]],dHdcp[Ranking],1),"")</f>
        <v/>
      </c>
      <c r="M2303" t="str">
        <f>+dHdcp[[#This Row],[Fecha]]&amp;":"&amp;dHdcp[[#This Row],[Nombre]]</f>
        <v>45626:Javier Arcos</v>
      </c>
      <c r="N2303">
        <f>+COUNTIF(dHdcp[Columna1],dHdcp[[#This Row],[Columna1]])</f>
        <v>1</v>
      </c>
    </row>
    <row r="2304" spans="1:14">
      <c r="A2304" s="98">
        <v>45626</v>
      </c>
      <c r="B2304" s="46" t="s">
        <v>378</v>
      </c>
      <c r="C2304" s="104">
        <v>11.199999999999992</v>
      </c>
      <c r="D2304" s="46">
        <f>+VLOOKUP(dHdcp[[#This Row],[Handicap]],'Categoría Hdcap'!$B$2:$E$7,4)</f>
        <v>2</v>
      </c>
      <c r="E2304" s="46" t="s">
        <v>74</v>
      </c>
      <c r="F2304" s="92"/>
      <c r="G2304">
        <f>+IF(dHdcp[[#This Row],[Fecha]]=MAX(dHdcp[Fecha]),1,0)</f>
        <v>0</v>
      </c>
      <c r="H2304" t="str">
        <f>+dHdcp[[#This Row],[Maximo]]&amp;":"&amp;dHdcp[[#This Row],[Nombre]]</f>
        <v>0:Javier Campo</v>
      </c>
      <c r="I2304" t="str">
        <f>+dHdcp[[#This Row],[Maximo]]&amp;":"&amp;_xlfn.XLOOKUP(dHdcp[[#This Row],[Nombre]],dJugador[Nombre],dJugador[Mote],"",0)</f>
        <v>0:Campo</v>
      </c>
      <c r="J2304" t="str">
        <f>+IF(dHdcp[[#This Row],[Maximo]]=0,"",_xlfn.RANK.EQ(dHdcp[[#This Row],[Handicap]],dHdcp[Handicap],1))</f>
        <v/>
      </c>
      <c r="K2304" t="str">
        <f>IFERROR(+_xlfn.RANK.EQ(dHdcp[[#This Row],[Ranking]],dHdcp[Ranking],1),"")</f>
        <v/>
      </c>
      <c r="M2304" t="str">
        <f>+dHdcp[[#This Row],[Fecha]]&amp;":"&amp;dHdcp[[#This Row],[Nombre]]</f>
        <v>45626:Javier Campo</v>
      </c>
      <c r="N2304">
        <f>+COUNTIF(dHdcp[Columna1],dHdcp[[#This Row],[Columna1]])</f>
        <v>1</v>
      </c>
    </row>
    <row r="2305" spans="1:14">
      <c r="A2305" s="98">
        <v>45626</v>
      </c>
      <c r="B2305" s="46" t="s">
        <v>46</v>
      </c>
      <c r="C2305" s="104">
        <v>18.399999999999999</v>
      </c>
      <c r="D2305" s="46">
        <f>+VLOOKUP(dHdcp[[#This Row],[Handicap]],'Categoría Hdcap'!$B$2:$E$7,4)</f>
        <v>3</v>
      </c>
      <c r="E2305" s="46" t="s">
        <v>74</v>
      </c>
      <c r="F2305" s="92"/>
      <c r="G2305">
        <f>+IF(dHdcp[[#This Row],[Fecha]]=MAX(dHdcp[Fecha]),1,0)</f>
        <v>0</v>
      </c>
      <c r="H2305" t="str">
        <f>+dHdcp[[#This Row],[Maximo]]&amp;":"&amp;dHdcp[[#This Row],[Nombre]]</f>
        <v>0:Javier Cervera</v>
      </c>
      <c r="I2305" t="str">
        <f>+dHdcp[[#This Row],[Maximo]]&amp;":"&amp;_xlfn.XLOOKUP(dHdcp[[#This Row],[Nombre]],dJugador[Nombre],dJugador[Mote],"",0)</f>
        <v>0:Virus</v>
      </c>
      <c r="J2305" t="str">
        <f>+IF(dHdcp[[#This Row],[Maximo]]=0,"",_xlfn.RANK.EQ(dHdcp[[#This Row],[Handicap]],dHdcp[Handicap],1))</f>
        <v/>
      </c>
      <c r="K2305" t="str">
        <f>IFERROR(+_xlfn.RANK.EQ(dHdcp[[#This Row],[Ranking]],dHdcp[Ranking],1),"")</f>
        <v/>
      </c>
      <c r="M2305" t="str">
        <f>+dHdcp[[#This Row],[Fecha]]&amp;":"&amp;dHdcp[[#This Row],[Nombre]]</f>
        <v>45626:Javier Cervera</v>
      </c>
      <c r="N2305">
        <f>+COUNTIF(dHdcp[Columna1],dHdcp[[#This Row],[Columna1]])</f>
        <v>1</v>
      </c>
    </row>
    <row r="2306" spans="1:14">
      <c r="A2306" s="98">
        <v>45626</v>
      </c>
      <c r="B2306" s="46" t="s">
        <v>225</v>
      </c>
      <c r="C2306" s="104">
        <v>10.6</v>
      </c>
      <c r="D2306" s="46">
        <f>+VLOOKUP(dHdcp[[#This Row],[Handicap]],'Categoría Hdcap'!$B$2:$E$7,4)</f>
        <v>2</v>
      </c>
      <c r="E2306" s="46" t="s">
        <v>74</v>
      </c>
      <c r="F2306" s="92"/>
      <c r="G2306">
        <f>+IF(dHdcp[[#This Row],[Fecha]]=MAX(dHdcp[Fecha]),1,0)</f>
        <v>0</v>
      </c>
      <c r="H2306" t="str">
        <f>+dHdcp[[#This Row],[Maximo]]&amp;":"&amp;dHdcp[[#This Row],[Nombre]]</f>
        <v>0:Javier Chiralt</v>
      </c>
      <c r="I2306" t="str">
        <f>+dHdcp[[#This Row],[Maximo]]&amp;":"&amp;_xlfn.XLOOKUP(dHdcp[[#This Row],[Nombre]],dJugador[Nombre],dJugador[Mote],"",0)</f>
        <v>0:Chiralt</v>
      </c>
      <c r="J2306" t="str">
        <f>+IF(dHdcp[[#This Row],[Maximo]]=0,"",_xlfn.RANK.EQ(dHdcp[[#This Row],[Handicap]],dHdcp[Handicap],1))</f>
        <v/>
      </c>
      <c r="K2306" t="str">
        <f>IFERROR(+_xlfn.RANK.EQ(dHdcp[[#This Row],[Ranking]],dHdcp[Ranking],1),"")</f>
        <v/>
      </c>
      <c r="M2306" t="str">
        <f>+dHdcp[[#This Row],[Fecha]]&amp;":"&amp;dHdcp[[#This Row],[Nombre]]</f>
        <v>45626:Javier Chiralt</v>
      </c>
      <c r="N2306">
        <f>+COUNTIF(dHdcp[Columna1],dHdcp[[#This Row],[Columna1]])</f>
        <v>1</v>
      </c>
    </row>
    <row r="2307" spans="1:14">
      <c r="A2307" s="98">
        <v>45626</v>
      </c>
      <c r="B2307" s="46" t="s">
        <v>2466</v>
      </c>
      <c r="C2307" s="104">
        <v>17.5</v>
      </c>
      <c r="D2307" s="46">
        <f>+VLOOKUP(dHdcp[[#This Row],[Handicap]],'Categoría Hdcap'!$B$2:$E$7,4)</f>
        <v>3</v>
      </c>
      <c r="E2307" s="46" t="s">
        <v>74</v>
      </c>
      <c r="F2307" s="92"/>
      <c r="G2307">
        <f>+IF(dHdcp[[#This Row],[Fecha]]=MAX(dHdcp[Fecha]),1,0)</f>
        <v>0</v>
      </c>
      <c r="H2307" t="str">
        <f>+dHdcp[[#This Row],[Maximo]]&amp;":"&amp;dHdcp[[#This Row],[Nombre]]</f>
        <v>0:Javier Dodero de Solano</v>
      </c>
      <c r="I2307" t="str">
        <f>+dHdcp[[#This Row],[Maximo]]&amp;":"&amp;_xlfn.XLOOKUP(dHdcp[[#This Row],[Nombre]],dJugador[Nombre],dJugador[Mote],"",0)</f>
        <v>0:Dodero</v>
      </c>
      <c r="J2307" t="str">
        <f>+IF(dHdcp[[#This Row],[Maximo]]=0,"",_xlfn.RANK.EQ(dHdcp[[#This Row],[Handicap]],dHdcp[Handicap],1))</f>
        <v/>
      </c>
      <c r="K2307" t="str">
        <f>IFERROR(+_xlfn.RANK.EQ(dHdcp[[#This Row],[Ranking]],dHdcp[Ranking],1),"")</f>
        <v/>
      </c>
      <c r="M2307" t="str">
        <f>+dHdcp[[#This Row],[Fecha]]&amp;":"&amp;dHdcp[[#This Row],[Nombre]]</f>
        <v>45626:Javier Dodero de Solano</v>
      </c>
      <c r="N2307">
        <f>+COUNTIF(dHdcp[Columna1],dHdcp[[#This Row],[Columna1]])</f>
        <v>1</v>
      </c>
    </row>
    <row r="2308" spans="1:14">
      <c r="A2308" s="98">
        <v>45626</v>
      </c>
      <c r="B2308" s="46" t="s">
        <v>20</v>
      </c>
      <c r="C2308" s="104">
        <v>19.3</v>
      </c>
      <c r="D2308" s="46">
        <f>+VLOOKUP(dHdcp[[#This Row],[Handicap]],'Categoría Hdcap'!$B$2:$E$7,4)</f>
        <v>4</v>
      </c>
      <c r="E2308" s="46" t="s">
        <v>74</v>
      </c>
      <c r="F2308" s="92"/>
      <c r="G2308">
        <f>+IF(dHdcp[[#This Row],[Fecha]]=MAX(dHdcp[Fecha]),1,0)</f>
        <v>0</v>
      </c>
      <c r="H2308" t="str">
        <f>+dHdcp[[#This Row],[Maximo]]&amp;":"&amp;dHdcp[[#This Row],[Nombre]]</f>
        <v>0:Javier Gonzalez Salvador</v>
      </c>
      <c r="I2308" t="str">
        <f>+dHdcp[[#This Row],[Maximo]]&amp;":"&amp;_xlfn.XLOOKUP(dHdcp[[#This Row],[Nombre]],dJugador[Nombre],dJugador[Mote],"",0)</f>
        <v>0:Javi</v>
      </c>
      <c r="J2308" t="str">
        <f>+IF(dHdcp[[#This Row],[Maximo]]=0,"",_xlfn.RANK.EQ(dHdcp[[#This Row],[Handicap]],dHdcp[Handicap],1))</f>
        <v/>
      </c>
      <c r="K2308" t="str">
        <f>IFERROR(+_xlfn.RANK.EQ(dHdcp[[#This Row],[Ranking]],dHdcp[Ranking],1),"")</f>
        <v/>
      </c>
      <c r="M2308" t="str">
        <f>+dHdcp[[#This Row],[Fecha]]&amp;":"&amp;dHdcp[[#This Row],[Nombre]]</f>
        <v>45626:Javier Gonzalez Salvador</v>
      </c>
      <c r="N2308">
        <f>+COUNTIF(dHdcp[Columna1],dHdcp[[#This Row],[Columna1]])</f>
        <v>1</v>
      </c>
    </row>
    <row r="2309" spans="1:14">
      <c r="A2309" s="98">
        <v>45626</v>
      </c>
      <c r="B2309" s="46" t="s">
        <v>217</v>
      </c>
      <c r="C2309" s="104">
        <v>20.9</v>
      </c>
      <c r="D2309" s="46">
        <f>+VLOOKUP(dHdcp[[#This Row],[Handicap]],'Categoría Hdcap'!$B$2:$E$7,4)</f>
        <v>4</v>
      </c>
      <c r="E2309" s="46" t="s">
        <v>74</v>
      </c>
      <c r="F2309" s="92"/>
      <c r="G2309">
        <f>+IF(dHdcp[[#This Row],[Fecha]]=MAX(dHdcp[Fecha]),1,0)</f>
        <v>0</v>
      </c>
      <c r="H2309" t="str">
        <f>+dHdcp[[#This Row],[Maximo]]&amp;":"&amp;dHdcp[[#This Row],[Nombre]]</f>
        <v>0:Javier Lopez Gullón</v>
      </c>
      <c r="I2309" t="str">
        <f>+dHdcp[[#This Row],[Maximo]]&amp;":"&amp;_xlfn.XLOOKUP(dHdcp[[#This Row],[Nombre]],dJugador[Nombre],dJugador[Mote],"",0)</f>
        <v>0:Cuñao</v>
      </c>
      <c r="J2309" t="str">
        <f>+IF(dHdcp[[#This Row],[Maximo]]=0,"",_xlfn.RANK.EQ(dHdcp[[#This Row],[Handicap]],dHdcp[Handicap],1))</f>
        <v/>
      </c>
      <c r="K2309" t="str">
        <f>IFERROR(+_xlfn.RANK.EQ(dHdcp[[#This Row],[Ranking]],dHdcp[Ranking],1),"")</f>
        <v/>
      </c>
      <c r="M2309" t="str">
        <f>+dHdcp[[#This Row],[Fecha]]&amp;":"&amp;dHdcp[[#This Row],[Nombre]]</f>
        <v>45626:Javier Lopez Gullón</v>
      </c>
      <c r="N2309">
        <f>+COUNTIF(dHdcp[Columna1],dHdcp[[#This Row],[Columna1]])</f>
        <v>1</v>
      </c>
    </row>
    <row r="2310" spans="1:14">
      <c r="A2310" s="98">
        <v>45626</v>
      </c>
      <c r="B2310" s="46" t="s">
        <v>41</v>
      </c>
      <c r="C2310" s="104">
        <v>21.1</v>
      </c>
      <c r="D2310" s="46">
        <f>+VLOOKUP(dHdcp[[#This Row],[Handicap]],'Categoría Hdcap'!$B$2:$E$7,4)</f>
        <v>4</v>
      </c>
      <c r="E2310" s="46" t="s">
        <v>74</v>
      </c>
      <c r="F2310" s="92"/>
      <c r="G2310">
        <f>+IF(dHdcp[[#This Row],[Fecha]]=MAX(dHdcp[Fecha]),1,0)</f>
        <v>0</v>
      </c>
      <c r="H2310" t="str">
        <f>+dHdcp[[#This Row],[Maximo]]&amp;":"&amp;dHdcp[[#This Row],[Nombre]]</f>
        <v>0:Jesus Touceda</v>
      </c>
      <c r="I2310" t="str">
        <f>+dHdcp[[#This Row],[Maximo]]&amp;":"&amp;_xlfn.XLOOKUP(dHdcp[[#This Row],[Nombre]],dJugador[Nombre],dJugador[Mote],"",0)</f>
        <v>0:Jesús</v>
      </c>
      <c r="J2310" t="str">
        <f>+IF(dHdcp[[#This Row],[Maximo]]=0,"",_xlfn.RANK.EQ(dHdcp[[#This Row],[Handicap]],dHdcp[Handicap],1))</f>
        <v/>
      </c>
      <c r="K2310" t="str">
        <f>IFERROR(+_xlfn.RANK.EQ(dHdcp[[#This Row],[Ranking]],dHdcp[Ranking],1),"")</f>
        <v/>
      </c>
      <c r="M2310" t="str">
        <f>+dHdcp[[#This Row],[Fecha]]&amp;":"&amp;dHdcp[[#This Row],[Nombre]]</f>
        <v>45626:Jesus Touceda</v>
      </c>
      <c r="N2310">
        <f>+COUNTIF(dHdcp[Columna1],dHdcp[[#This Row],[Columna1]])</f>
        <v>1</v>
      </c>
    </row>
    <row r="2311" spans="1:14">
      <c r="A2311" s="98">
        <v>45626</v>
      </c>
      <c r="B2311" s="46" t="s">
        <v>297</v>
      </c>
      <c r="C2311" s="104">
        <v>18.600000000000001</v>
      </c>
      <c r="D2311" s="46">
        <f>+VLOOKUP(dHdcp[[#This Row],[Handicap]],'Categoría Hdcap'!$B$2:$E$7,4)</f>
        <v>4</v>
      </c>
      <c r="E2311" s="46" t="s">
        <v>74</v>
      </c>
      <c r="F2311" s="92"/>
      <c r="G2311">
        <f>+IF(dHdcp[[#This Row],[Fecha]]=MAX(dHdcp[Fecha]),1,0)</f>
        <v>0</v>
      </c>
      <c r="H2311" t="str">
        <f>+dHdcp[[#This Row],[Maximo]]&amp;":"&amp;dHdcp[[#This Row],[Nombre]]</f>
        <v>0:Jorge Alberto Martínez Sánchez</v>
      </c>
      <c r="I2311" t="str">
        <f>+dHdcp[[#This Row],[Maximo]]&amp;":"&amp;_xlfn.XLOOKUP(dHdcp[[#This Row],[Nombre]],dJugador[Nombre],dJugador[Mote],"",0)</f>
        <v>0:Jorge</v>
      </c>
      <c r="J2311" t="str">
        <f>+IF(dHdcp[[#This Row],[Maximo]]=0,"",_xlfn.RANK.EQ(dHdcp[[#This Row],[Handicap]],dHdcp[Handicap],1))</f>
        <v/>
      </c>
      <c r="K2311" t="str">
        <f>IFERROR(+_xlfn.RANK.EQ(dHdcp[[#This Row],[Ranking]],dHdcp[Ranking],1),"")</f>
        <v/>
      </c>
      <c r="M2311" t="str">
        <f>+dHdcp[[#This Row],[Fecha]]&amp;":"&amp;dHdcp[[#This Row],[Nombre]]</f>
        <v>45626:Jorge Alberto Martínez Sánchez</v>
      </c>
      <c r="N2311">
        <f>+COUNTIF(dHdcp[Columna1],dHdcp[[#This Row],[Columna1]])</f>
        <v>1</v>
      </c>
    </row>
    <row r="2312" spans="1:14">
      <c r="A2312" s="98">
        <v>45626</v>
      </c>
      <c r="B2312" t="s">
        <v>2540</v>
      </c>
      <c r="C2312" s="51">
        <v>17.5</v>
      </c>
      <c r="D2312" s="46">
        <f>+VLOOKUP(dHdcp[[#This Row],[Handicap]],'Categoría Hdcap'!$B$2:$E$7,4)</f>
        <v>3</v>
      </c>
      <c r="E2312" t="s">
        <v>74</v>
      </c>
      <c r="F2312" s="92"/>
      <c r="G2312">
        <f>+IF(dHdcp[[#This Row],[Fecha]]=MAX(dHdcp[Fecha]),1,0)</f>
        <v>0</v>
      </c>
      <c r="H2312" t="str">
        <f>+dHdcp[[#This Row],[Maximo]]&amp;":"&amp;dHdcp[[#This Row],[Nombre]]</f>
        <v>0:Jorge Maestro Aguilera</v>
      </c>
      <c r="I2312" t="str">
        <f>+dHdcp[[#This Row],[Maximo]]&amp;":"&amp;_xlfn.XLOOKUP(dHdcp[[#This Row],[Nombre]],dJugador[Nombre],dJugador[Mote],"",0)</f>
        <v>0:JMaestro</v>
      </c>
      <c r="J2312" t="str">
        <f>+IF(dHdcp[[#This Row],[Maximo]]=0,"",_xlfn.RANK.EQ(dHdcp[[#This Row],[Handicap]],dHdcp[Handicap],1))</f>
        <v/>
      </c>
      <c r="K2312" t="str">
        <f>IFERROR(+_xlfn.RANK.EQ(dHdcp[[#This Row],[Ranking]],dHdcp[Ranking],1),"")</f>
        <v/>
      </c>
      <c r="M2312" t="str">
        <f>+dHdcp[[#This Row],[Fecha]]&amp;":"&amp;dHdcp[[#This Row],[Nombre]]</f>
        <v>45626:Jorge Maestro Aguilera</v>
      </c>
      <c r="N2312">
        <f>+COUNTIF(dHdcp[Columna1],dHdcp[[#This Row],[Columna1]])</f>
        <v>1</v>
      </c>
    </row>
    <row r="2313" spans="1:14">
      <c r="A2313" s="98">
        <v>45626</v>
      </c>
      <c r="B2313" s="46" t="s">
        <v>388</v>
      </c>
      <c r="C2313" s="104">
        <v>26.2</v>
      </c>
      <c r="D2313" s="46">
        <f>+VLOOKUP(dHdcp[[#This Row],[Handicap]],'Categoría Hdcap'!$B$2:$E$7,4)</f>
        <v>4</v>
      </c>
      <c r="E2313" s="46" t="s">
        <v>74</v>
      </c>
      <c r="F2313" s="92"/>
      <c r="G2313">
        <f>+IF(dHdcp[[#This Row],[Fecha]]=MAX(dHdcp[Fecha]),1,0)</f>
        <v>0</v>
      </c>
      <c r="H2313" t="str">
        <f>+dHdcp[[#This Row],[Maximo]]&amp;":"&amp;dHdcp[[#This Row],[Nombre]]</f>
        <v>0:Jose Antonio Santana</v>
      </c>
      <c r="I2313" t="str">
        <f>+dHdcp[[#This Row],[Maximo]]&amp;":"&amp;_xlfn.XLOOKUP(dHdcp[[#This Row],[Nombre]],dJugador[Nombre],dJugador[Mote],"",0)</f>
        <v>0:J Antonio</v>
      </c>
      <c r="J2313" t="str">
        <f>+IF(dHdcp[[#This Row],[Maximo]]=0,"",_xlfn.RANK.EQ(dHdcp[[#This Row],[Handicap]],dHdcp[Handicap],1))</f>
        <v/>
      </c>
      <c r="K2313" t="str">
        <f>IFERROR(+_xlfn.RANK.EQ(dHdcp[[#This Row],[Ranking]],dHdcp[Ranking],1),"")</f>
        <v/>
      </c>
      <c r="M2313" t="str">
        <f>+dHdcp[[#This Row],[Fecha]]&amp;":"&amp;dHdcp[[#This Row],[Nombre]]</f>
        <v>45626:Jose Antonio Santana</v>
      </c>
      <c r="N2313">
        <f>+COUNTIF(dHdcp[Columna1],dHdcp[[#This Row],[Columna1]])</f>
        <v>1</v>
      </c>
    </row>
    <row r="2314" spans="1:14">
      <c r="A2314" s="98">
        <v>45626</v>
      </c>
      <c r="B2314" s="46" t="s">
        <v>18</v>
      </c>
      <c r="C2314" s="104">
        <v>7.2</v>
      </c>
      <c r="D2314" s="46">
        <f>+VLOOKUP(dHdcp[[#This Row],[Handicap]],'Categoría Hdcap'!$B$2:$E$7,4)</f>
        <v>2</v>
      </c>
      <c r="E2314" s="46" t="s">
        <v>74</v>
      </c>
      <c r="F2314" s="92"/>
      <c r="G2314">
        <f>+IF(dHdcp[[#This Row],[Fecha]]=MAX(dHdcp[Fecha]),1,0)</f>
        <v>0</v>
      </c>
      <c r="H2314" t="str">
        <f>+dHdcp[[#This Row],[Maximo]]&amp;":"&amp;dHdcp[[#This Row],[Nombre]]</f>
        <v>0:José Pablo Guil</v>
      </c>
      <c r="I2314" t="str">
        <f>+dHdcp[[#This Row],[Maximo]]&amp;":"&amp;_xlfn.XLOOKUP(dHdcp[[#This Row],[Nombre]],dJugador[Nombre],dJugador[Mote],"",0)</f>
        <v>0:JP</v>
      </c>
      <c r="J2314" t="str">
        <f>+IF(dHdcp[[#This Row],[Maximo]]=0,"",_xlfn.RANK.EQ(dHdcp[[#This Row],[Handicap]],dHdcp[Handicap],1))</f>
        <v/>
      </c>
      <c r="K2314" t="str">
        <f>IFERROR(+_xlfn.RANK.EQ(dHdcp[[#This Row],[Ranking]],dHdcp[Ranking],1),"")</f>
        <v/>
      </c>
      <c r="M2314" t="str">
        <f>+dHdcp[[#This Row],[Fecha]]&amp;":"&amp;dHdcp[[#This Row],[Nombre]]</f>
        <v>45626:José Pablo Guil</v>
      </c>
      <c r="N2314">
        <f>+COUNTIF(dHdcp[Columna1],dHdcp[[#This Row],[Columna1]])</f>
        <v>1</v>
      </c>
    </row>
    <row r="2315" spans="1:14">
      <c r="A2315" s="98">
        <v>45626</v>
      </c>
      <c r="B2315" s="46" t="s">
        <v>293</v>
      </c>
      <c r="C2315" s="104">
        <v>15.1</v>
      </c>
      <c r="D2315" s="46">
        <f>+VLOOKUP(dHdcp[[#This Row],[Handicap]],'Categoría Hdcap'!$B$2:$E$7,4)</f>
        <v>3</v>
      </c>
      <c r="E2315" s="46" t="s">
        <v>74</v>
      </c>
      <c r="F2315" s="92"/>
      <c r="G2315">
        <f>+IF(dHdcp[[#This Row],[Fecha]]=MAX(dHdcp[Fecha]),1,0)</f>
        <v>0</v>
      </c>
      <c r="H2315" t="str">
        <f>+dHdcp[[#This Row],[Maximo]]&amp;":"&amp;dHdcp[[#This Row],[Nombre]]</f>
        <v>0:Juan Jose Aguado</v>
      </c>
      <c r="I2315" t="str">
        <f>+dHdcp[[#This Row],[Maximo]]&amp;":"&amp;_xlfn.XLOOKUP(dHdcp[[#This Row],[Nombre]],dJugador[Nombre],dJugador[Mote],"",0)</f>
        <v>0:Juancho</v>
      </c>
      <c r="J2315" t="str">
        <f>+IF(dHdcp[[#This Row],[Maximo]]=0,"",_xlfn.RANK.EQ(dHdcp[[#This Row],[Handicap]],dHdcp[Handicap],1))</f>
        <v/>
      </c>
      <c r="K2315" t="str">
        <f>IFERROR(+_xlfn.RANK.EQ(dHdcp[[#This Row],[Ranking]],dHdcp[Ranking],1),"")</f>
        <v/>
      </c>
      <c r="M2315" t="str">
        <f>+dHdcp[[#This Row],[Fecha]]&amp;":"&amp;dHdcp[[#This Row],[Nombre]]</f>
        <v>45626:Juan Jose Aguado</v>
      </c>
      <c r="N2315">
        <f>+COUNTIF(dHdcp[Columna1],dHdcp[[#This Row],[Columna1]])</f>
        <v>1</v>
      </c>
    </row>
    <row r="2316" spans="1:14">
      <c r="A2316" s="98">
        <v>45626</v>
      </c>
      <c r="B2316" t="s">
        <v>2516</v>
      </c>
      <c r="C2316" s="104">
        <v>17.2</v>
      </c>
      <c r="D2316" s="46">
        <f>+VLOOKUP(dHdcp[[#This Row],[Handicap]],'Categoría Hdcap'!$B$2:$E$7,4)</f>
        <v>3</v>
      </c>
      <c r="E2316" s="46" t="s">
        <v>74</v>
      </c>
      <c r="F2316" s="92"/>
      <c r="G2316">
        <f>+IF(dHdcp[[#This Row],[Fecha]]=MAX(dHdcp[Fecha]),1,0)</f>
        <v>0</v>
      </c>
      <c r="H2316" t="str">
        <f>+dHdcp[[#This Row],[Maximo]]&amp;":"&amp;dHdcp[[#This Row],[Nombre]]</f>
        <v>0:Juan Sanz</v>
      </c>
      <c r="I2316" t="str">
        <f>+dHdcp[[#This Row],[Maximo]]&amp;":"&amp;_xlfn.XLOOKUP(dHdcp[[#This Row],[Nombre]],dJugador[Nombre],dJugador[Mote],"",0)</f>
        <v>0:JuanSanz</v>
      </c>
      <c r="J2316" t="str">
        <f>+IF(dHdcp[[#This Row],[Maximo]]=0,"",_xlfn.RANK.EQ(dHdcp[[#This Row],[Handicap]],dHdcp[Handicap],1))</f>
        <v/>
      </c>
      <c r="K2316" t="str">
        <f>IFERROR(+_xlfn.RANK.EQ(dHdcp[[#This Row],[Ranking]],dHdcp[Ranking],1),"")</f>
        <v/>
      </c>
      <c r="M2316" t="str">
        <f>+dHdcp[[#This Row],[Fecha]]&amp;":"&amp;dHdcp[[#This Row],[Nombre]]</f>
        <v>45626:Juan Sanz</v>
      </c>
      <c r="N2316">
        <f>+COUNTIF(dHdcp[Columna1],dHdcp[[#This Row],[Columna1]])</f>
        <v>1</v>
      </c>
    </row>
    <row r="2317" spans="1:14">
      <c r="A2317" s="98">
        <v>45626</v>
      </c>
      <c r="B2317" s="46" t="s">
        <v>375</v>
      </c>
      <c r="C2317" s="104">
        <v>10</v>
      </c>
      <c r="D2317" s="46">
        <f>+VLOOKUP(dHdcp[[#This Row],[Handicap]],'Categoría Hdcap'!$B$2:$E$7,4)</f>
        <v>2</v>
      </c>
      <c r="E2317" s="46" t="s">
        <v>74</v>
      </c>
      <c r="F2317" s="92"/>
      <c r="G2317">
        <f>+IF(dHdcp[[#This Row],[Fecha]]=MAX(dHdcp[Fecha]),1,0)</f>
        <v>0</v>
      </c>
      <c r="H2317" t="str">
        <f>+dHdcp[[#This Row],[Maximo]]&amp;":"&amp;dHdcp[[#This Row],[Nombre]]</f>
        <v>0:Luis Fernandez</v>
      </c>
      <c r="I2317" t="str">
        <f>+dHdcp[[#This Row],[Maximo]]&amp;":"&amp;_xlfn.XLOOKUP(dHdcp[[#This Row],[Nombre]],dJugador[Nombre],dJugador[Mote],"",0)</f>
        <v>0:Luis</v>
      </c>
      <c r="J2317" t="str">
        <f>+IF(dHdcp[[#This Row],[Maximo]]=0,"",_xlfn.RANK.EQ(dHdcp[[#This Row],[Handicap]],dHdcp[Handicap],1))</f>
        <v/>
      </c>
      <c r="K2317" t="str">
        <f>IFERROR(+_xlfn.RANK.EQ(dHdcp[[#This Row],[Ranking]],dHdcp[Ranking],1),"")</f>
        <v/>
      </c>
      <c r="M2317" t="str">
        <f>+dHdcp[[#This Row],[Fecha]]&amp;":"&amp;dHdcp[[#This Row],[Nombre]]</f>
        <v>45626:Luis Fernandez</v>
      </c>
      <c r="N2317">
        <f>+COUNTIF(dHdcp[Columna1],dHdcp[[#This Row],[Columna1]])</f>
        <v>1</v>
      </c>
    </row>
    <row r="2318" spans="1:14">
      <c r="A2318" s="98">
        <v>45626</v>
      </c>
      <c r="B2318" s="46" t="s">
        <v>135</v>
      </c>
      <c r="C2318" s="104">
        <v>18</v>
      </c>
      <c r="D2318" s="46">
        <f>+VLOOKUP(dHdcp[[#This Row],[Handicap]],'Categoría Hdcap'!$B$2:$E$7,4)</f>
        <v>3</v>
      </c>
      <c r="E2318" s="46" t="s">
        <v>74</v>
      </c>
      <c r="F2318" s="92"/>
      <c r="G2318">
        <f>+IF(dHdcp[[#This Row],[Fecha]]=MAX(dHdcp[Fecha]),1,0)</f>
        <v>0</v>
      </c>
      <c r="H2318" t="str">
        <f>+dHdcp[[#This Row],[Maximo]]&amp;":"&amp;dHdcp[[#This Row],[Nombre]]</f>
        <v>0:Miche Lopez</v>
      </c>
      <c r="I2318" t="str">
        <f>+dHdcp[[#This Row],[Maximo]]&amp;":"&amp;_xlfn.XLOOKUP(dHdcp[[#This Row],[Nombre]],dJugador[Nombre],dJugador[Mote],"",0)</f>
        <v>0:Miche</v>
      </c>
      <c r="J2318" t="str">
        <f>+IF(dHdcp[[#This Row],[Maximo]]=0,"",_xlfn.RANK.EQ(dHdcp[[#This Row],[Handicap]],dHdcp[Handicap],1))</f>
        <v/>
      </c>
      <c r="K2318" t="str">
        <f>IFERROR(+_xlfn.RANK.EQ(dHdcp[[#This Row],[Ranking]],dHdcp[Ranking],1),"")</f>
        <v/>
      </c>
      <c r="M2318" t="str">
        <f>+dHdcp[[#This Row],[Fecha]]&amp;":"&amp;dHdcp[[#This Row],[Nombre]]</f>
        <v>45626:Miche Lopez</v>
      </c>
      <c r="N2318">
        <f>+COUNTIF(dHdcp[Columna1],dHdcp[[#This Row],[Columna1]])</f>
        <v>1</v>
      </c>
    </row>
    <row r="2319" spans="1:14">
      <c r="A2319" s="98">
        <v>45626</v>
      </c>
      <c r="B2319" s="46" t="s">
        <v>205</v>
      </c>
      <c r="C2319" s="104">
        <v>5.2</v>
      </c>
      <c r="D2319" s="46">
        <f>+VLOOKUP(dHdcp[[#This Row],[Handicap]],'Categoría Hdcap'!$B$2:$E$7,4)</f>
        <v>2</v>
      </c>
      <c r="E2319" s="46" t="s">
        <v>74</v>
      </c>
      <c r="F2319" s="92"/>
      <c r="G2319">
        <f>+IF(dHdcp[[#This Row],[Fecha]]=MAX(dHdcp[Fecha]),1,0)</f>
        <v>0</v>
      </c>
      <c r="H2319" t="str">
        <f>+dHdcp[[#This Row],[Maximo]]&amp;":"&amp;dHdcp[[#This Row],[Nombre]]</f>
        <v>0:Nacho Casas</v>
      </c>
      <c r="I2319" t="str">
        <f>+dHdcp[[#This Row],[Maximo]]&amp;":"&amp;_xlfn.XLOOKUP(dHdcp[[#This Row],[Nombre]],dJugador[Nombre],dJugador[Mote],"",0)</f>
        <v>0:Nachete</v>
      </c>
      <c r="J2319" t="str">
        <f>+IF(dHdcp[[#This Row],[Maximo]]=0,"",_xlfn.RANK.EQ(dHdcp[[#This Row],[Handicap]],dHdcp[Handicap],1))</f>
        <v/>
      </c>
      <c r="K2319" t="str">
        <f>IFERROR(+_xlfn.RANK.EQ(dHdcp[[#This Row],[Ranking]],dHdcp[Ranking],1),"")</f>
        <v/>
      </c>
      <c r="M2319" t="str">
        <f>+dHdcp[[#This Row],[Fecha]]&amp;":"&amp;dHdcp[[#This Row],[Nombre]]</f>
        <v>45626:Nacho Casas</v>
      </c>
      <c r="N2319">
        <f>+COUNTIF(dHdcp[Columna1],dHdcp[[#This Row],[Columna1]])</f>
        <v>1</v>
      </c>
    </row>
    <row r="2320" spans="1:14">
      <c r="A2320" s="98">
        <v>45626</v>
      </c>
      <c r="B2320" s="46" t="s">
        <v>3</v>
      </c>
      <c r="C2320" s="104">
        <v>4.7</v>
      </c>
      <c r="D2320" s="46">
        <f>+VLOOKUP(dHdcp[[#This Row],[Handicap]],'Categoría Hdcap'!$B$2:$E$7,4)</f>
        <v>2</v>
      </c>
      <c r="E2320" s="46" t="s">
        <v>74</v>
      </c>
      <c r="F2320" s="92"/>
      <c r="G2320">
        <f>+IF(dHdcp[[#This Row],[Fecha]]=MAX(dHdcp[Fecha]),1,0)</f>
        <v>0</v>
      </c>
      <c r="H2320" t="str">
        <f>+dHdcp[[#This Row],[Maximo]]&amp;":"&amp;dHdcp[[#This Row],[Nombre]]</f>
        <v>0:Nacho Gonzalez</v>
      </c>
      <c r="I2320" t="str">
        <f>+dHdcp[[#This Row],[Maximo]]&amp;":"&amp;_xlfn.XLOOKUP(dHdcp[[#This Row],[Nombre]],dJugador[Nombre],dJugador[Mote],"",0)</f>
        <v>0:Nacho</v>
      </c>
      <c r="J2320" t="str">
        <f>+IF(dHdcp[[#This Row],[Maximo]]=0,"",_xlfn.RANK.EQ(dHdcp[[#This Row],[Handicap]],dHdcp[Handicap],1))</f>
        <v/>
      </c>
      <c r="K2320" t="str">
        <f>IFERROR(+_xlfn.RANK.EQ(dHdcp[[#This Row],[Ranking]],dHdcp[Ranking],1),"")</f>
        <v/>
      </c>
      <c r="M2320" t="str">
        <f>+dHdcp[[#This Row],[Fecha]]&amp;":"&amp;dHdcp[[#This Row],[Nombre]]</f>
        <v>45626:Nacho Gonzalez</v>
      </c>
      <c r="N2320">
        <f>+COUNTIF(dHdcp[Columna1],dHdcp[[#This Row],[Columna1]])</f>
        <v>1</v>
      </c>
    </row>
    <row r="2321" spans="1:14">
      <c r="A2321" s="98">
        <v>45626</v>
      </c>
      <c r="B2321" s="46" t="s">
        <v>203</v>
      </c>
      <c r="C2321" s="104">
        <v>16.600000000000001</v>
      </c>
      <c r="D2321" s="46">
        <f>+VLOOKUP(dHdcp[[#This Row],[Handicap]],'Categoría Hdcap'!$B$2:$E$7,4)</f>
        <v>3</v>
      </c>
      <c r="E2321" s="46" t="s">
        <v>74</v>
      </c>
      <c r="F2321" s="92"/>
      <c r="G2321">
        <f>+IF(dHdcp[[#This Row],[Fecha]]=MAX(dHdcp[Fecha]),1,0)</f>
        <v>0</v>
      </c>
      <c r="H2321" t="str">
        <f>+dHdcp[[#This Row],[Maximo]]&amp;":"&amp;dHdcp[[#This Row],[Nombre]]</f>
        <v>0:Ruslan Kochman</v>
      </c>
      <c r="I2321" t="str">
        <f>+dHdcp[[#This Row],[Maximo]]&amp;":"&amp;_xlfn.XLOOKUP(dHdcp[[#This Row],[Nombre]],dJugador[Nombre],dJugador[Mote],"",0)</f>
        <v>0:Rus</v>
      </c>
      <c r="J2321" t="str">
        <f>+IF(dHdcp[[#This Row],[Maximo]]=0,"",_xlfn.RANK.EQ(dHdcp[[#This Row],[Handicap]],dHdcp[Handicap],1))</f>
        <v/>
      </c>
      <c r="K2321" t="str">
        <f>IFERROR(+_xlfn.RANK.EQ(dHdcp[[#This Row],[Ranking]],dHdcp[Ranking],1),"")</f>
        <v/>
      </c>
      <c r="M2321" t="str">
        <f>+dHdcp[[#This Row],[Fecha]]&amp;":"&amp;dHdcp[[#This Row],[Nombre]]</f>
        <v>45626:Ruslan Kochman</v>
      </c>
      <c r="N2321">
        <f>+COUNTIF(dHdcp[Columna1],dHdcp[[#This Row],[Columna1]])</f>
        <v>1</v>
      </c>
    </row>
    <row r="2322" spans="1:14">
      <c r="A2322" s="98">
        <v>45626</v>
      </c>
      <c r="B2322" s="46" t="s">
        <v>271</v>
      </c>
      <c r="C2322" s="104">
        <v>16.399999999999999</v>
      </c>
      <c r="D2322" s="46">
        <f>+VLOOKUP(dHdcp[[#This Row],[Handicap]],'Categoría Hdcap'!$B$2:$E$7,4)</f>
        <v>3</v>
      </c>
      <c r="E2322" s="46" t="s">
        <v>74</v>
      </c>
      <c r="F2322" s="92"/>
      <c r="G2322">
        <f>+IF(dHdcp[[#This Row],[Fecha]]=MAX(dHdcp[Fecha]),1,0)</f>
        <v>0</v>
      </c>
      <c r="H2322" t="str">
        <f>+dHdcp[[#This Row],[Maximo]]&amp;":"&amp;dHdcp[[#This Row],[Nombre]]</f>
        <v>0:Santi Diaz</v>
      </c>
      <c r="I2322" t="str">
        <f>+dHdcp[[#This Row],[Maximo]]&amp;":"&amp;_xlfn.XLOOKUP(dHdcp[[#This Row],[Nombre]],dJugador[Nombre],dJugador[Mote],"",0)</f>
        <v>0:Santi</v>
      </c>
      <c r="J2322" t="str">
        <f>+IF(dHdcp[[#This Row],[Maximo]]=0,"",_xlfn.RANK.EQ(dHdcp[[#This Row],[Handicap]],dHdcp[Handicap],1))</f>
        <v/>
      </c>
      <c r="K2322" t="str">
        <f>IFERROR(+_xlfn.RANK.EQ(dHdcp[[#This Row],[Ranking]],dHdcp[Ranking],1),"")</f>
        <v/>
      </c>
      <c r="M2322" t="str">
        <f>+dHdcp[[#This Row],[Fecha]]&amp;":"&amp;dHdcp[[#This Row],[Nombre]]</f>
        <v>45626:Santi Diaz</v>
      </c>
      <c r="N2322">
        <f>+COUNTIF(dHdcp[Columna1],dHdcp[[#This Row],[Columna1]])</f>
        <v>1</v>
      </c>
    </row>
    <row r="2323" spans="1:14">
      <c r="A2323" s="98">
        <v>45626</v>
      </c>
      <c r="B2323" s="46" t="s">
        <v>2473</v>
      </c>
      <c r="C2323" s="100">
        <v>13.9</v>
      </c>
      <c r="D2323" s="46">
        <f>+VLOOKUP(dHdcp[[#This Row],[Handicap]],'Categoría Hdcap'!$B$2:$E$7,4)</f>
        <v>3</v>
      </c>
      <c r="E2323" s="46" t="s">
        <v>74</v>
      </c>
      <c r="F2323" s="92"/>
      <c r="G2323">
        <f>+IF(dHdcp[[#This Row],[Fecha]]=MAX(dHdcp[Fecha]),1,0)</f>
        <v>0</v>
      </c>
      <c r="H2323" t="str">
        <f>+dHdcp[[#This Row],[Maximo]]&amp;":"&amp;dHdcp[[#This Row],[Nombre]]</f>
        <v>0:Thomas Dauterman</v>
      </c>
      <c r="I2323" t="str">
        <f>+dHdcp[[#This Row],[Maximo]]&amp;":"&amp;_xlfn.XLOOKUP(dHdcp[[#This Row],[Nombre]],dJugador[Nombre],dJugador[Mote],"",0)</f>
        <v>0:Tom</v>
      </c>
      <c r="J2323" t="str">
        <f>+IF(dHdcp[[#This Row],[Maximo]]=0,"",_xlfn.RANK.EQ(dHdcp[[#This Row],[Handicap]],dHdcp[Handicap],1))</f>
        <v/>
      </c>
      <c r="K2323" t="str">
        <f>IFERROR(+_xlfn.RANK.EQ(dHdcp[[#This Row],[Ranking]],dHdcp[Ranking],1),"")</f>
        <v/>
      </c>
      <c r="M2323" t="str">
        <f>+dHdcp[[#This Row],[Fecha]]&amp;":"&amp;dHdcp[[#This Row],[Nombre]]</f>
        <v>45626:Thomas Dauterman</v>
      </c>
      <c r="N2323">
        <f>+COUNTIF(dHdcp[Columna1],dHdcp[[#This Row],[Columna1]])</f>
        <v>1</v>
      </c>
    </row>
    <row r="2324" spans="1:14">
      <c r="A2324" s="98">
        <v>45647</v>
      </c>
      <c r="B2324" s="46" t="s">
        <v>259</v>
      </c>
      <c r="C2324" s="104">
        <v>1.2</v>
      </c>
      <c r="D2324" s="46">
        <f>+VLOOKUP(dHdcp[[#This Row],[Handicap]],'Categoría Hdcap'!$B$2:$E$7,4)</f>
        <v>1</v>
      </c>
      <c r="E2324" s="46" t="s">
        <v>74</v>
      </c>
      <c r="F2324" s="92"/>
      <c r="G2324">
        <f>+IF(dHdcp[[#This Row],[Fecha]]=MAX(dHdcp[Fecha]),1,0)</f>
        <v>0</v>
      </c>
      <c r="H2324" t="str">
        <f>+dHdcp[[#This Row],[Maximo]]&amp;":"&amp;dHdcp[[#This Row],[Nombre]]</f>
        <v>0:Alejandro Arcos</v>
      </c>
      <c r="I2324" t="str">
        <f>+dHdcp[[#This Row],[Maximo]]&amp;":"&amp;_xlfn.XLOOKUP(dHdcp[[#This Row],[Nombre]],dJugador[Nombre],dJugador[Mote],"",0)</f>
        <v>0:Alex</v>
      </c>
      <c r="J2324" t="str">
        <f>+IF(dHdcp[[#This Row],[Maximo]]=0,"",_xlfn.RANK.EQ(dHdcp[[#This Row],[Handicap]],dHdcp[Handicap],1))</f>
        <v/>
      </c>
      <c r="K2324" t="str">
        <f>IFERROR(+_xlfn.RANK.EQ(dHdcp[[#This Row],[Ranking]],dHdcp[Ranking],1),"")</f>
        <v/>
      </c>
      <c r="M2324" t="str">
        <f>+dHdcp[[#This Row],[Fecha]]&amp;":"&amp;dHdcp[[#This Row],[Nombre]]</f>
        <v>45647:Alejandro Arcos</v>
      </c>
      <c r="N2324">
        <f>+COUNTIF(dHdcp[Columna1],dHdcp[[#This Row],[Columna1]])</f>
        <v>1</v>
      </c>
    </row>
    <row r="2325" spans="1:14">
      <c r="A2325" s="98">
        <v>45647</v>
      </c>
      <c r="B2325" s="46" t="s">
        <v>9</v>
      </c>
      <c r="C2325" s="104">
        <v>12.3</v>
      </c>
      <c r="D2325" s="46">
        <f>+VLOOKUP(dHdcp[[#This Row],[Handicap]],'Categoría Hdcap'!$B$2:$E$7,4)</f>
        <v>3</v>
      </c>
      <c r="E2325" s="46" t="s">
        <v>74</v>
      </c>
      <c r="F2325" s="92"/>
      <c r="G2325">
        <f>+IF(dHdcp[[#This Row],[Fecha]]=MAX(dHdcp[Fecha]),1,0)</f>
        <v>0</v>
      </c>
      <c r="H2325" t="str">
        <f>+dHdcp[[#This Row],[Maximo]]&amp;":"&amp;dHdcp[[#This Row],[Nombre]]</f>
        <v>0:Alfonso Hidalgo</v>
      </c>
      <c r="I2325" t="str">
        <f>+dHdcp[[#This Row],[Maximo]]&amp;":"&amp;_xlfn.XLOOKUP(dHdcp[[#This Row],[Nombre]],dJugador[Nombre],dJugador[Mote],"",0)</f>
        <v>0:Alfonso</v>
      </c>
      <c r="J2325" t="str">
        <f>+IF(dHdcp[[#This Row],[Maximo]]=0,"",_xlfn.RANK.EQ(dHdcp[[#This Row],[Handicap]],dHdcp[Handicap],1))</f>
        <v/>
      </c>
      <c r="K2325" t="str">
        <f>IFERROR(+_xlfn.RANK.EQ(dHdcp[[#This Row],[Ranking]],dHdcp[Ranking],1),"")</f>
        <v/>
      </c>
      <c r="M2325" t="str">
        <f>+dHdcp[[#This Row],[Fecha]]&amp;":"&amp;dHdcp[[#This Row],[Nombre]]</f>
        <v>45647:Alfonso Hidalgo</v>
      </c>
      <c r="N2325">
        <f>+COUNTIF(dHdcp[Columna1],dHdcp[[#This Row],[Columna1]])</f>
        <v>1</v>
      </c>
    </row>
    <row r="2326" spans="1:14">
      <c r="A2326" s="98">
        <v>45647</v>
      </c>
      <c r="B2326" s="46" t="s">
        <v>229</v>
      </c>
      <c r="C2326" s="104">
        <v>15</v>
      </c>
      <c r="D2326" s="46">
        <f>+VLOOKUP(dHdcp[[#This Row],[Handicap]],'Categoría Hdcap'!$B$2:$E$7,4)</f>
        <v>3</v>
      </c>
      <c r="E2326" s="46" t="s">
        <v>74</v>
      </c>
      <c r="F2326" s="92"/>
      <c r="G2326">
        <f>+IF(dHdcp[[#This Row],[Fecha]]=MAX(dHdcp[Fecha]),1,0)</f>
        <v>0</v>
      </c>
      <c r="H2326" t="str">
        <f>+dHdcp[[#This Row],[Maximo]]&amp;":"&amp;dHdcp[[#This Row],[Nombre]]</f>
        <v>0:Alfonso Zorrilla</v>
      </c>
      <c r="I2326" t="str">
        <f>+dHdcp[[#This Row],[Maximo]]&amp;":"&amp;_xlfn.XLOOKUP(dHdcp[[#This Row],[Nombre]],dJugador[Nombre],dJugador[Mote],"",0)</f>
        <v>0:A Zorrilla</v>
      </c>
      <c r="J2326" t="str">
        <f>+IF(dHdcp[[#This Row],[Maximo]]=0,"",_xlfn.RANK.EQ(dHdcp[[#This Row],[Handicap]],dHdcp[Handicap],1))</f>
        <v/>
      </c>
      <c r="K2326" t="str">
        <f>IFERROR(+_xlfn.RANK.EQ(dHdcp[[#This Row],[Ranking]],dHdcp[Ranking],1),"")</f>
        <v/>
      </c>
      <c r="M2326" t="str">
        <f>+dHdcp[[#This Row],[Fecha]]&amp;":"&amp;dHdcp[[#This Row],[Nombre]]</f>
        <v>45647:Alfonso Zorrilla</v>
      </c>
      <c r="N2326">
        <f>+COUNTIF(dHdcp[Columna1],dHdcp[[#This Row],[Columna1]])</f>
        <v>1</v>
      </c>
    </row>
    <row r="2327" spans="1:14">
      <c r="A2327" s="98">
        <v>45647</v>
      </c>
      <c r="B2327" s="46" t="s">
        <v>15</v>
      </c>
      <c r="C2327" s="104">
        <v>6</v>
      </c>
      <c r="D2327" s="46">
        <f>+VLOOKUP(dHdcp[[#This Row],[Handicap]],'Categoría Hdcap'!$B$2:$E$7,4)</f>
        <v>2</v>
      </c>
      <c r="E2327" s="46" t="s">
        <v>74</v>
      </c>
      <c r="F2327" s="92"/>
      <c r="G2327">
        <f>+IF(dHdcp[[#This Row],[Fecha]]=MAX(dHdcp[Fecha]),1,0)</f>
        <v>0</v>
      </c>
      <c r="H2327" t="str">
        <f>+dHdcp[[#This Row],[Maximo]]&amp;":"&amp;dHdcp[[#This Row],[Nombre]]</f>
        <v>0:Alvaro Aguirre</v>
      </c>
      <c r="I2327" t="str">
        <f>+dHdcp[[#This Row],[Maximo]]&amp;":"&amp;_xlfn.XLOOKUP(dHdcp[[#This Row],[Nombre]],dJugador[Nombre],dJugador[Mote],"",0)</f>
        <v>0:Gifu</v>
      </c>
      <c r="J2327" t="str">
        <f>+IF(dHdcp[[#This Row],[Maximo]]=0,"",_xlfn.RANK.EQ(dHdcp[[#This Row],[Handicap]],dHdcp[Handicap],1))</f>
        <v/>
      </c>
      <c r="K2327" t="str">
        <f>IFERROR(+_xlfn.RANK.EQ(dHdcp[[#This Row],[Ranking]],dHdcp[Ranking],1),"")</f>
        <v/>
      </c>
      <c r="M2327" t="str">
        <f>+dHdcp[[#This Row],[Fecha]]&amp;":"&amp;dHdcp[[#This Row],[Nombre]]</f>
        <v>45647:Alvaro Aguirre</v>
      </c>
      <c r="N2327">
        <f>+COUNTIF(dHdcp[Columna1],dHdcp[[#This Row],[Columna1]])</f>
        <v>1</v>
      </c>
    </row>
    <row r="2328" spans="1:14">
      <c r="A2328" s="98">
        <v>45647</v>
      </c>
      <c r="B2328" s="46" t="s">
        <v>201</v>
      </c>
      <c r="C2328" s="104">
        <v>9.1999999999999993</v>
      </c>
      <c r="D2328" s="46">
        <f>+VLOOKUP(dHdcp[[#This Row],[Handicap]],'Categoría Hdcap'!$B$2:$E$7,4)</f>
        <v>2</v>
      </c>
      <c r="E2328" s="46" t="s">
        <v>74</v>
      </c>
      <c r="F2328" s="92"/>
      <c r="G2328">
        <f>+IF(dHdcp[[#This Row],[Fecha]]=MAX(dHdcp[Fecha]),1,0)</f>
        <v>0</v>
      </c>
      <c r="H2328" t="str">
        <f>+dHdcp[[#This Row],[Maximo]]&amp;":"&amp;dHdcp[[#This Row],[Nombre]]</f>
        <v>0:Alvaro Montoya</v>
      </c>
      <c r="I2328" t="str">
        <f>+dHdcp[[#This Row],[Maximo]]&amp;":"&amp;_xlfn.XLOOKUP(dHdcp[[#This Row],[Nombre]],dJugador[Nombre],dJugador[Mote],"",0)</f>
        <v>0:Monti</v>
      </c>
      <c r="J2328" t="str">
        <f>+IF(dHdcp[[#This Row],[Maximo]]=0,"",_xlfn.RANK.EQ(dHdcp[[#This Row],[Handicap]],dHdcp[Handicap],1))</f>
        <v/>
      </c>
      <c r="K2328" t="str">
        <f>IFERROR(+_xlfn.RANK.EQ(dHdcp[[#This Row],[Ranking]],dHdcp[Ranking],1),"")</f>
        <v/>
      </c>
      <c r="M2328" t="str">
        <f>+dHdcp[[#This Row],[Fecha]]&amp;":"&amp;dHdcp[[#This Row],[Nombre]]</f>
        <v>45647:Alvaro Montoya</v>
      </c>
      <c r="N2328">
        <f>+COUNTIF(dHdcp[Columna1],dHdcp[[#This Row],[Columna1]])</f>
        <v>1</v>
      </c>
    </row>
    <row r="2329" spans="1:14">
      <c r="A2329" s="98">
        <v>45647</v>
      </c>
      <c r="B2329" s="46" t="s">
        <v>25</v>
      </c>
      <c r="C2329" s="104">
        <v>15.2</v>
      </c>
      <c r="D2329" s="46">
        <f>+VLOOKUP(dHdcp[[#This Row],[Handicap]],'Categoría Hdcap'!$B$2:$E$7,4)</f>
        <v>3</v>
      </c>
      <c r="E2329" s="46" t="s">
        <v>74</v>
      </c>
      <c r="F2329" s="92"/>
      <c r="G2329">
        <f>+IF(dHdcp[[#This Row],[Fecha]]=MAX(dHdcp[Fecha]),1,0)</f>
        <v>0</v>
      </c>
      <c r="H2329" t="str">
        <f>+dHdcp[[#This Row],[Maximo]]&amp;":"&amp;dHdcp[[#This Row],[Nombre]]</f>
        <v>0:Alvaro Nieto</v>
      </c>
      <c r="I2329" t="str">
        <f>+dHdcp[[#This Row],[Maximo]]&amp;":"&amp;_xlfn.XLOOKUP(dHdcp[[#This Row],[Nombre]],dJugador[Nombre],dJugador[Mote],"",0)</f>
        <v>0:Alvaro</v>
      </c>
      <c r="J2329" t="str">
        <f>+IF(dHdcp[[#This Row],[Maximo]]=0,"",_xlfn.RANK.EQ(dHdcp[[#This Row],[Handicap]],dHdcp[Handicap],1))</f>
        <v/>
      </c>
      <c r="K2329" t="str">
        <f>IFERROR(+_xlfn.RANK.EQ(dHdcp[[#This Row],[Ranking]],dHdcp[Ranking],1),"")</f>
        <v/>
      </c>
      <c r="M2329" t="str">
        <f>+dHdcp[[#This Row],[Fecha]]&amp;":"&amp;dHdcp[[#This Row],[Nombre]]</f>
        <v>45647:Alvaro Nieto</v>
      </c>
      <c r="N2329">
        <f>+COUNTIF(dHdcp[Columna1],dHdcp[[#This Row],[Columna1]])</f>
        <v>1</v>
      </c>
    </row>
    <row r="2330" spans="1:14">
      <c r="A2330" s="98">
        <v>45647</v>
      </c>
      <c r="B2330" s="46" t="s">
        <v>33</v>
      </c>
      <c r="C2330" s="104">
        <v>9.4</v>
      </c>
      <c r="D2330" s="46">
        <f>+VLOOKUP(dHdcp[[#This Row],[Handicap]],'Categoría Hdcap'!$B$2:$E$7,4)</f>
        <v>2</v>
      </c>
      <c r="E2330" s="46" t="s">
        <v>74</v>
      </c>
      <c r="F2330" s="92"/>
      <c r="G2330">
        <f>+IF(dHdcp[[#This Row],[Fecha]]=MAX(dHdcp[Fecha]),1,0)</f>
        <v>0</v>
      </c>
      <c r="H2330" t="str">
        <f>+dHdcp[[#This Row],[Maximo]]&amp;":"&amp;dHdcp[[#This Row],[Nombre]]</f>
        <v>0:Angel Hernandez</v>
      </c>
      <c r="I2330" t="str">
        <f>+dHdcp[[#This Row],[Maximo]]&amp;":"&amp;_xlfn.XLOOKUP(dHdcp[[#This Row],[Nombre]],dJugador[Nombre],dJugador[Mote],"",0)</f>
        <v>0:Angel</v>
      </c>
      <c r="J2330" t="str">
        <f>+IF(dHdcp[[#This Row],[Maximo]]=0,"",_xlfn.RANK.EQ(dHdcp[[#This Row],[Handicap]],dHdcp[Handicap],1))</f>
        <v/>
      </c>
      <c r="K2330" t="str">
        <f>IFERROR(+_xlfn.RANK.EQ(dHdcp[[#This Row],[Ranking]],dHdcp[Ranking],1),"")</f>
        <v/>
      </c>
      <c r="M2330" t="str">
        <f>+dHdcp[[#This Row],[Fecha]]&amp;":"&amp;dHdcp[[#This Row],[Nombre]]</f>
        <v>45647:Angel Hernandez</v>
      </c>
      <c r="N2330">
        <f>+COUNTIF(dHdcp[Columna1],dHdcp[[#This Row],[Columna1]])</f>
        <v>1</v>
      </c>
    </row>
    <row r="2331" spans="1:14">
      <c r="A2331" s="98">
        <v>45647</v>
      </c>
      <c r="B2331" s="46" t="s">
        <v>2469</v>
      </c>
      <c r="C2331" s="104">
        <v>6.8</v>
      </c>
      <c r="D2331" s="46">
        <f>+VLOOKUP(dHdcp[[#This Row],[Handicap]],'Categoría Hdcap'!$B$2:$E$7,4)</f>
        <v>2</v>
      </c>
      <c r="E2331" s="46" t="s">
        <v>74</v>
      </c>
      <c r="F2331" s="92"/>
      <c r="G2331">
        <f>+IF(dHdcp[[#This Row],[Fecha]]=MAX(dHdcp[Fecha]),1,0)</f>
        <v>0</v>
      </c>
      <c r="H2331" t="str">
        <f>+dHdcp[[#This Row],[Maximo]]&amp;":"&amp;dHdcp[[#This Row],[Nombre]]</f>
        <v>0:Angel Santana</v>
      </c>
      <c r="I2331" t="str">
        <f>+dHdcp[[#This Row],[Maximo]]&amp;":"&amp;_xlfn.XLOOKUP(dHdcp[[#This Row],[Nombre]],dJugador[Nombre],dJugador[Mote],"",0)</f>
        <v>0:A.Santana</v>
      </c>
      <c r="J2331" t="str">
        <f>+IF(dHdcp[[#This Row],[Maximo]]=0,"",_xlfn.RANK.EQ(dHdcp[[#This Row],[Handicap]],dHdcp[Handicap],1))</f>
        <v/>
      </c>
      <c r="K2331" t="str">
        <f>IFERROR(+_xlfn.RANK.EQ(dHdcp[[#This Row],[Ranking]],dHdcp[Ranking],1),"")</f>
        <v/>
      </c>
      <c r="M2331" t="str">
        <f>+dHdcp[[#This Row],[Fecha]]&amp;":"&amp;dHdcp[[#This Row],[Nombre]]</f>
        <v>45647:Angel Santana</v>
      </c>
      <c r="N2331">
        <f>+COUNTIF(dHdcp[Columna1],dHdcp[[#This Row],[Columna1]])</f>
        <v>1</v>
      </c>
    </row>
    <row r="2332" spans="1:14">
      <c r="A2332" s="98">
        <v>45647</v>
      </c>
      <c r="B2332" s="46" t="s">
        <v>264</v>
      </c>
      <c r="C2332" s="104">
        <v>18.899999999999999</v>
      </c>
      <c r="D2332" s="46">
        <f>+VLOOKUP(dHdcp[[#This Row],[Handicap]],'Categoría Hdcap'!$B$2:$E$7,4)</f>
        <v>4</v>
      </c>
      <c r="E2332" s="46" t="s">
        <v>74</v>
      </c>
      <c r="F2332" s="92"/>
      <c r="G2332">
        <f>+IF(dHdcp[[#This Row],[Fecha]]=MAX(dHdcp[Fecha]),1,0)</f>
        <v>0</v>
      </c>
      <c r="H2332" t="str">
        <f>+dHdcp[[#This Row],[Maximo]]&amp;":"&amp;dHdcp[[#This Row],[Nombre]]</f>
        <v>0:Antonio Carmona</v>
      </c>
      <c r="I2332" t="str">
        <f>+dHdcp[[#This Row],[Maximo]]&amp;":"&amp;_xlfn.XLOOKUP(dHdcp[[#This Row],[Nombre]],dJugador[Nombre],dJugador[Mote],"",0)</f>
        <v>0:Antonio</v>
      </c>
      <c r="J2332" t="str">
        <f>+IF(dHdcp[[#This Row],[Maximo]]=0,"",_xlfn.RANK.EQ(dHdcp[[#This Row],[Handicap]],dHdcp[Handicap],1))</f>
        <v/>
      </c>
      <c r="K2332" t="str">
        <f>IFERROR(+_xlfn.RANK.EQ(dHdcp[[#This Row],[Ranking]],dHdcp[Ranking],1),"")</f>
        <v/>
      </c>
      <c r="M2332" t="str">
        <f>+dHdcp[[#This Row],[Fecha]]&amp;":"&amp;dHdcp[[#This Row],[Nombre]]</f>
        <v>45647:Antonio Carmona</v>
      </c>
      <c r="N2332">
        <f>+COUNTIF(dHdcp[Columna1],dHdcp[[#This Row],[Columna1]])</f>
        <v>1</v>
      </c>
    </row>
    <row r="2333" spans="1:14">
      <c r="A2333" s="98">
        <v>45647</v>
      </c>
      <c r="B2333" s="46" t="s">
        <v>291</v>
      </c>
      <c r="C2333" s="104">
        <v>1.1000000000000001</v>
      </c>
      <c r="D2333" s="46">
        <f>+VLOOKUP(dHdcp[[#This Row],[Handicap]],'Categoría Hdcap'!$B$2:$E$7,4)</f>
        <v>1</v>
      </c>
      <c r="E2333" s="46" t="s">
        <v>74</v>
      </c>
      <c r="F2333" s="92"/>
      <c r="G2333">
        <f>+IF(dHdcp[[#This Row],[Fecha]]=MAX(dHdcp[Fecha]),1,0)</f>
        <v>0</v>
      </c>
      <c r="H2333" t="str">
        <f>+dHdcp[[#This Row],[Maximo]]&amp;":"&amp;dHdcp[[#This Row],[Nombre]]</f>
        <v>0:Carlos Maestro</v>
      </c>
      <c r="I2333" t="str">
        <f>+dHdcp[[#This Row],[Maximo]]&amp;":"&amp;_xlfn.XLOOKUP(dHdcp[[#This Row],[Nombre]],dJugador[Nombre],dJugador[Mote],"",0)</f>
        <v>0:Carlitos</v>
      </c>
      <c r="J2333" t="str">
        <f>+IF(dHdcp[[#This Row],[Maximo]]=0,"",_xlfn.RANK.EQ(dHdcp[[#This Row],[Handicap]],dHdcp[Handicap],1))</f>
        <v/>
      </c>
      <c r="K2333" t="str">
        <f>IFERROR(+_xlfn.RANK.EQ(dHdcp[[#This Row],[Ranking]],dHdcp[Ranking],1),"")</f>
        <v/>
      </c>
      <c r="M2333" t="str">
        <f>+dHdcp[[#This Row],[Fecha]]&amp;":"&amp;dHdcp[[#This Row],[Nombre]]</f>
        <v>45647:Carlos Maestro</v>
      </c>
      <c r="N2333">
        <f>+COUNTIF(dHdcp[Columna1],dHdcp[[#This Row],[Columna1]])</f>
        <v>1</v>
      </c>
    </row>
    <row r="2334" spans="1:14">
      <c r="A2334" s="98">
        <v>45647</v>
      </c>
      <c r="B2334" s="46" t="s">
        <v>30</v>
      </c>
      <c r="C2334" s="104">
        <v>14.7</v>
      </c>
      <c r="D2334" s="46">
        <f>+VLOOKUP(dHdcp[[#This Row],[Handicap]],'Categoría Hdcap'!$B$2:$E$7,4)</f>
        <v>3</v>
      </c>
      <c r="E2334" s="46" t="s">
        <v>74</v>
      </c>
      <c r="F2334" s="92"/>
      <c r="G2334">
        <f>+IF(dHdcp[[#This Row],[Fecha]]=MAX(dHdcp[Fecha]),1,0)</f>
        <v>0</v>
      </c>
      <c r="H2334" t="str">
        <f>+dHdcp[[#This Row],[Maximo]]&amp;":"&amp;dHdcp[[#This Row],[Nombre]]</f>
        <v>0:David Sequera</v>
      </c>
      <c r="I2334" t="str">
        <f>+dHdcp[[#This Row],[Maximo]]&amp;":"&amp;_xlfn.XLOOKUP(dHdcp[[#This Row],[Nombre]],dJugador[Nombre],dJugador[Mote],"",0)</f>
        <v>0:David</v>
      </c>
      <c r="J2334" t="str">
        <f>+IF(dHdcp[[#This Row],[Maximo]]=0,"",_xlfn.RANK.EQ(dHdcp[[#This Row],[Handicap]],dHdcp[Handicap],1))</f>
        <v/>
      </c>
      <c r="K2334" t="str">
        <f>IFERROR(+_xlfn.RANK.EQ(dHdcp[[#This Row],[Ranking]],dHdcp[Ranking],1),"")</f>
        <v/>
      </c>
      <c r="M2334" t="str">
        <f>+dHdcp[[#This Row],[Fecha]]&amp;":"&amp;dHdcp[[#This Row],[Nombre]]</f>
        <v>45647:David Sequera</v>
      </c>
      <c r="N2334">
        <f>+COUNTIF(dHdcp[Columna1],dHdcp[[#This Row],[Columna1]])</f>
        <v>1</v>
      </c>
    </row>
    <row r="2335" spans="1:14">
      <c r="A2335" s="98">
        <v>45647</v>
      </c>
      <c r="B2335" s="46" t="s">
        <v>326</v>
      </c>
      <c r="C2335" s="104">
        <v>8.8000000000000007</v>
      </c>
      <c r="D2335" s="46">
        <f>+VLOOKUP(dHdcp[[#This Row],[Handicap]],'Categoría Hdcap'!$B$2:$E$7,4)</f>
        <v>2</v>
      </c>
      <c r="E2335" s="46" t="s">
        <v>74</v>
      </c>
      <c r="F2335" s="92"/>
      <c r="G2335">
        <f>+IF(dHdcp[[#This Row],[Fecha]]=MAX(dHdcp[Fecha]),1,0)</f>
        <v>0</v>
      </c>
      <c r="H2335" t="str">
        <f>+dHdcp[[#This Row],[Maximo]]&amp;":"&amp;dHdcp[[#This Row],[Nombre]]</f>
        <v>0:Eduardo Buendía</v>
      </c>
      <c r="I2335" t="str">
        <f>+dHdcp[[#This Row],[Maximo]]&amp;":"&amp;_xlfn.XLOOKUP(dHdcp[[#This Row],[Nombre]],dJugador[Nombre],dJugador[Mote],"",0)</f>
        <v>0:Eduardo</v>
      </c>
      <c r="J2335" t="str">
        <f>+IF(dHdcp[[#This Row],[Maximo]]=0,"",_xlfn.RANK.EQ(dHdcp[[#This Row],[Handicap]],dHdcp[Handicap],1))</f>
        <v/>
      </c>
      <c r="K2335" t="str">
        <f>IFERROR(+_xlfn.RANK.EQ(dHdcp[[#This Row],[Ranking]],dHdcp[Ranking],1),"")</f>
        <v/>
      </c>
      <c r="M2335" t="str">
        <f>+dHdcp[[#This Row],[Fecha]]&amp;":"&amp;dHdcp[[#This Row],[Nombre]]</f>
        <v>45647:Eduardo Buendía</v>
      </c>
      <c r="N2335">
        <f>+COUNTIF(dHdcp[Columna1],dHdcp[[#This Row],[Columna1]])</f>
        <v>1</v>
      </c>
    </row>
    <row r="2336" spans="1:14">
      <c r="A2336" s="98">
        <v>45647</v>
      </c>
      <c r="B2336" s="46" t="s">
        <v>248</v>
      </c>
      <c r="C2336" s="104">
        <v>13.4</v>
      </c>
      <c r="D2336" s="46">
        <f>+VLOOKUP(dHdcp[[#This Row],[Handicap]],'Categoría Hdcap'!$B$2:$E$7,4)</f>
        <v>3</v>
      </c>
      <c r="E2336" s="46" t="s">
        <v>74</v>
      </c>
      <c r="F2336" s="92"/>
      <c r="G2336">
        <f>+IF(dHdcp[[#This Row],[Fecha]]=MAX(dHdcp[Fecha]),1,0)</f>
        <v>0</v>
      </c>
      <c r="H2336" t="str">
        <f>+dHdcp[[#This Row],[Maximo]]&amp;":"&amp;dHdcp[[#This Row],[Nombre]]</f>
        <v>0:Enrique Gonzalez R</v>
      </c>
      <c r="I2336" t="str">
        <f>+dHdcp[[#This Row],[Maximo]]&amp;":"&amp;_xlfn.XLOOKUP(dHdcp[[#This Row],[Nombre]],dJugador[Nombre],dJugador[Mote],"",0)</f>
        <v>0:Enrique</v>
      </c>
      <c r="J2336" t="str">
        <f>+IF(dHdcp[[#This Row],[Maximo]]=0,"",_xlfn.RANK.EQ(dHdcp[[#This Row],[Handicap]],dHdcp[Handicap],1))</f>
        <v/>
      </c>
      <c r="K2336" t="str">
        <f>IFERROR(+_xlfn.RANK.EQ(dHdcp[[#This Row],[Ranking]],dHdcp[Ranking],1),"")</f>
        <v/>
      </c>
      <c r="M2336" t="str">
        <f>+dHdcp[[#This Row],[Fecha]]&amp;":"&amp;dHdcp[[#This Row],[Nombre]]</f>
        <v>45647:Enrique Gonzalez R</v>
      </c>
      <c r="N2336">
        <f>+COUNTIF(dHdcp[Columna1],dHdcp[[#This Row],[Columna1]])</f>
        <v>1</v>
      </c>
    </row>
    <row r="2337" spans="1:14">
      <c r="A2337" s="98">
        <v>45647</v>
      </c>
      <c r="B2337" s="46" t="s">
        <v>12</v>
      </c>
      <c r="C2337" s="104">
        <v>15.5</v>
      </c>
      <c r="D2337" s="46">
        <f>+VLOOKUP(dHdcp[[#This Row],[Handicap]],'Categoría Hdcap'!$B$2:$E$7,4)</f>
        <v>3</v>
      </c>
      <c r="E2337" s="46" t="s">
        <v>74</v>
      </c>
      <c r="F2337" s="92"/>
      <c r="G2337">
        <f>+IF(dHdcp[[#This Row],[Fecha]]=MAX(dHdcp[Fecha]),1,0)</f>
        <v>0</v>
      </c>
      <c r="H2337" t="str">
        <f>+dHdcp[[#This Row],[Maximo]]&amp;":"&amp;dHdcp[[#This Row],[Nombre]]</f>
        <v>0:Francisco Alvarez</v>
      </c>
      <c r="I2337" t="str">
        <f>+dHdcp[[#This Row],[Maximo]]&amp;":"&amp;_xlfn.XLOOKUP(dHdcp[[#This Row],[Nombre]],dJugador[Nombre],dJugador[Mote],"",0)</f>
        <v>0:Paco</v>
      </c>
      <c r="J2337" t="str">
        <f>+IF(dHdcp[[#This Row],[Maximo]]=0,"",_xlfn.RANK.EQ(dHdcp[[#This Row],[Handicap]],dHdcp[Handicap],1))</f>
        <v/>
      </c>
      <c r="K2337" t="str">
        <f>IFERROR(+_xlfn.RANK.EQ(dHdcp[[#This Row],[Ranking]],dHdcp[Ranking],1),"")</f>
        <v/>
      </c>
      <c r="M2337" t="str">
        <f>+dHdcp[[#This Row],[Fecha]]&amp;":"&amp;dHdcp[[#This Row],[Nombre]]</f>
        <v>45647:Francisco Alvarez</v>
      </c>
      <c r="N2337">
        <f>+COUNTIF(dHdcp[Columna1],dHdcp[[#This Row],[Columna1]])</f>
        <v>1</v>
      </c>
    </row>
    <row r="2338" spans="1:14">
      <c r="A2338" s="98">
        <v>45647</v>
      </c>
      <c r="B2338" s="46" t="s">
        <v>49</v>
      </c>
      <c r="C2338" s="104">
        <v>14.4</v>
      </c>
      <c r="D2338" s="46">
        <f>+VLOOKUP(dHdcp[[#This Row],[Handicap]],'Categoría Hdcap'!$B$2:$E$7,4)</f>
        <v>3</v>
      </c>
      <c r="E2338" s="46" t="s">
        <v>74</v>
      </c>
      <c r="F2338" s="92"/>
      <c r="G2338">
        <f>+IF(dHdcp[[#This Row],[Fecha]]=MAX(dHdcp[Fecha]),1,0)</f>
        <v>0</v>
      </c>
      <c r="H2338" t="str">
        <f>+dHdcp[[#This Row],[Maximo]]&amp;":"&amp;dHdcp[[#This Row],[Nombre]]</f>
        <v>0:Francisco Hidalgo</v>
      </c>
      <c r="I2338" t="str">
        <f>+dHdcp[[#This Row],[Maximo]]&amp;":"&amp;_xlfn.XLOOKUP(dHdcp[[#This Row],[Nombre]],dJugador[Nombre],dJugador[Mote],"",0)</f>
        <v>0:Fran</v>
      </c>
      <c r="J2338" t="str">
        <f>+IF(dHdcp[[#This Row],[Maximo]]=0,"",_xlfn.RANK.EQ(dHdcp[[#This Row],[Handicap]],dHdcp[Handicap],1))</f>
        <v/>
      </c>
      <c r="K2338" t="str">
        <f>IFERROR(+_xlfn.RANK.EQ(dHdcp[[#This Row],[Ranking]],dHdcp[Ranking],1),"")</f>
        <v/>
      </c>
      <c r="M2338" t="str">
        <f>+dHdcp[[#This Row],[Fecha]]&amp;":"&amp;dHdcp[[#This Row],[Nombre]]</f>
        <v>45647:Francisco Hidalgo</v>
      </c>
      <c r="N2338">
        <f>+COUNTIF(dHdcp[Columna1],dHdcp[[#This Row],[Columna1]])</f>
        <v>1</v>
      </c>
    </row>
    <row r="2339" spans="1:14">
      <c r="A2339" s="98">
        <v>45647</v>
      </c>
      <c r="B2339" s="46" t="s">
        <v>207</v>
      </c>
      <c r="C2339" s="104">
        <v>15</v>
      </c>
      <c r="D2339" s="46">
        <f>+VLOOKUP(dHdcp[[#This Row],[Handicap]],'Categoría Hdcap'!$B$2:$E$7,4)</f>
        <v>3</v>
      </c>
      <c r="E2339" s="46" t="s">
        <v>74</v>
      </c>
      <c r="F2339" s="92"/>
      <c r="G2339">
        <f>+IF(dHdcp[[#This Row],[Fecha]]=MAX(dHdcp[Fecha]),1,0)</f>
        <v>0</v>
      </c>
      <c r="H2339" t="str">
        <f>+dHdcp[[#This Row],[Maximo]]&amp;":"&amp;dHdcp[[#This Row],[Nombre]]</f>
        <v>0:Franck Benouniche</v>
      </c>
      <c r="I2339" t="str">
        <f>+dHdcp[[#This Row],[Maximo]]&amp;":"&amp;_xlfn.XLOOKUP(dHdcp[[#This Row],[Nombre]],dJugador[Nombre],dJugador[Mote],"",0)</f>
        <v>0:Franck</v>
      </c>
      <c r="J2339" t="str">
        <f>+IF(dHdcp[[#This Row],[Maximo]]=0,"",_xlfn.RANK.EQ(dHdcp[[#This Row],[Handicap]],dHdcp[Handicap],1))</f>
        <v/>
      </c>
      <c r="K2339" t="str">
        <f>IFERROR(+_xlfn.RANK.EQ(dHdcp[[#This Row],[Ranking]],dHdcp[Ranking],1),"")</f>
        <v/>
      </c>
      <c r="M2339" t="str">
        <f>+dHdcp[[#This Row],[Fecha]]&amp;":"&amp;dHdcp[[#This Row],[Nombre]]</f>
        <v>45647:Franck Benouniche</v>
      </c>
      <c r="N2339">
        <f>+COUNTIF(dHdcp[Columna1],dHdcp[[#This Row],[Columna1]])</f>
        <v>1</v>
      </c>
    </row>
    <row r="2340" spans="1:14">
      <c r="A2340" s="98">
        <v>45647</v>
      </c>
      <c r="B2340" s="46" t="s">
        <v>35</v>
      </c>
      <c r="C2340" s="104">
        <v>19.399999999999999</v>
      </c>
      <c r="D2340" s="46">
        <f>+VLOOKUP(dHdcp[[#This Row],[Handicap]],'Categoría Hdcap'!$B$2:$E$7,4)</f>
        <v>4</v>
      </c>
      <c r="E2340" s="46" t="s">
        <v>74</v>
      </c>
      <c r="F2340" s="92"/>
      <c r="G2340">
        <f>+IF(dHdcp[[#This Row],[Fecha]]=MAX(dHdcp[Fecha]),1,0)</f>
        <v>0</v>
      </c>
      <c r="H2340" t="str">
        <f>+dHdcp[[#This Row],[Maximo]]&amp;":"&amp;dHdcp[[#This Row],[Nombre]]</f>
        <v>0:GLEZ JUAN JOSÉ</v>
      </c>
      <c r="I2340" t="str">
        <f>+dHdcp[[#This Row],[Maximo]]&amp;":"&amp;_xlfn.XLOOKUP(dHdcp[[#This Row],[Nombre]],dJugador[Nombre],dJugador[Mote],"",0)</f>
        <v>0:Juanjo</v>
      </c>
      <c r="J2340" t="str">
        <f>+IF(dHdcp[[#This Row],[Maximo]]=0,"",_xlfn.RANK.EQ(dHdcp[[#This Row],[Handicap]],dHdcp[Handicap],1))</f>
        <v/>
      </c>
      <c r="K2340" t="str">
        <f>IFERROR(+_xlfn.RANK.EQ(dHdcp[[#This Row],[Ranking]],dHdcp[Ranking],1),"")</f>
        <v/>
      </c>
      <c r="M2340" t="str">
        <f>+dHdcp[[#This Row],[Fecha]]&amp;":"&amp;dHdcp[[#This Row],[Nombre]]</f>
        <v>45647:GLEZ JUAN JOSÉ</v>
      </c>
      <c r="N2340">
        <f>+COUNTIF(dHdcp[Columna1],dHdcp[[#This Row],[Columna1]])</f>
        <v>1</v>
      </c>
    </row>
    <row r="2341" spans="1:14">
      <c r="A2341" s="98">
        <v>45647</v>
      </c>
      <c r="B2341" s="46" t="s">
        <v>6</v>
      </c>
      <c r="C2341" s="104">
        <v>6.8</v>
      </c>
      <c r="D2341" s="46">
        <f>+VLOOKUP(dHdcp[[#This Row],[Handicap]],'Categoría Hdcap'!$B$2:$E$7,4)</f>
        <v>2</v>
      </c>
      <c r="E2341" s="46" t="s">
        <v>74</v>
      </c>
      <c r="F2341" s="92"/>
      <c r="G2341">
        <f>+IF(dHdcp[[#This Row],[Fecha]]=MAX(dHdcp[Fecha]),1,0)</f>
        <v>0</v>
      </c>
      <c r="H2341" t="str">
        <f>+dHdcp[[#This Row],[Maximo]]&amp;":"&amp;dHdcp[[#This Row],[Nombre]]</f>
        <v>0:Ignacio Cadarso</v>
      </c>
      <c r="I2341" t="str">
        <f>+dHdcp[[#This Row],[Maximo]]&amp;":"&amp;_xlfn.XLOOKUP(dHdcp[[#This Row],[Nombre]],dJugador[Nombre],dJugador[Mote],"",0)</f>
        <v>0:Ignacio</v>
      </c>
      <c r="J2341" t="str">
        <f>+IF(dHdcp[[#This Row],[Maximo]]=0,"",_xlfn.RANK.EQ(dHdcp[[#This Row],[Handicap]],dHdcp[Handicap],1))</f>
        <v/>
      </c>
      <c r="K2341" t="str">
        <f>IFERROR(+_xlfn.RANK.EQ(dHdcp[[#This Row],[Ranking]],dHdcp[Ranking],1),"")</f>
        <v/>
      </c>
      <c r="M2341" t="str">
        <f>+dHdcp[[#This Row],[Fecha]]&amp;":"&amp;dHdcp[[#This Row],[Nombre]]</f>
        <v>45647:Ignacio Cadarso</v>
      </c>
      <c r="N2341">
        <f>+COUNTIF(dHdcp[Columna1],dHdcp[[#This Row],[Columna1]])</f>
        <v>1</v>
      </c>
    </row>
    <row r="2342" spans="1:14">
      <c r="A2342" s="98">
        <v>45647</v>
      </c>
      <c r="B2342" s="46" t="s">
        <v>298</v>
      </c>
      <c r="C2342" s="104">
        <v>23.7</v>
      </c>
      <c r="D2342" s="46">
        <f>+VLOOKUP(dHdcp[[#This Row],[Handicap]],'Categoría Hdcap'!$B$2:$E$7,4)</f>
        <v>4</v>
      </c>
      <c r="E2342" s="46" t="s">
        <v>74</v>
      </c>
      <c r="F2342" s="92"/>
      <c r="G2342">
        <f>+IF(dHdcp[[#This Row],[Fecha]]=MAX(dHdcp[Fecha]),1,0)</f>
        <v>0</v>
      </c>
      <c r="H2342" t="str">
        <f>+dHdcp[[#This Row],[Maximo]]&amp;":"&amp;dHdcp[[#This Row],[Nombre]]</f>
        <v>0:Ignacio Gracia Charlez</v>
      </c>
      <c r="I2342" t="str">
        <f>+dHdcp[[#This Row],[Maximo]]&amp;":"&amp;_xlfn.XLOOKUP(dHdcp[[#This Row],[Nombre]],dJugador[Nombre],dJugador[Mote],"",0)</f>
        <v>0:I Gracia</v>
      </c>
      <c r="J2342" t="str">
        <f>+IF(dHdcp[[#This Row],[Maximo]]=0,"",_xlfn.RANK.EQ(dHdcp[[#This Row],[Handicap]],dHdcp[Handicap],1))</f>
        <v/>
      </c>
      <c r="K2342" t="str">
        <f>IFERROR(+_xlfn.RANK.EQ(dHdcp[[#This Row],[Ranking]],dHdcp[Ranking],1),"")</f>
        <v/>
      </c>
      <c r="M2342" t="str">
        <f>+dHdcp[[#This Row],[Fecha]]&amp;":"&amp;dHdcp[[#This Row],[Nombre]]</f>
        <v>45647:Ignacio Gracia Charlez</v>
      </c>
      <c r="N2342">
        <f>+COUNTIF(dHdcp[Columna1],dHdcp[[#This Row],[Columna1]])</f>
        <v>1</v>
      </c>
    </row>
    <row r="2343" spans="1:14">
      <c r="A2343" s="98">
        <v>45647</v>
      </c>
      <c r="B2343" s="46" t="s">
        <v>23</v>
      </c>
      <c r="C2343" s="104">
        <v>19.600000000000001</v>
      </c>
      <c r="D2343" s="46">
        <f>+VLOOKUP(dHdcp[[#This Row],[Handicap]],'Categoría Hdcap'!$B$2:$E$7,4)</f>
        <v>4</v>
      </c>
      <c r="E2343" s="46" t="s">
        <v>74</v>
      </c>
      <c r="F2343" s="92"/>
      <c r="G2343">
        <f>+IF(dHdcp[[#This Row],[Fecha]]=MAX(dHdcp[Fecha]),1,0)</f>
        <v>0</v>
      </c>
      <c r="H2343" t="str">
        <f>+dHdcp[[#This Row],[Maximo]]&amp;":"&amp;dHdcp[[#This Row],[Nombre]]</f>
        <v>0:J. Enrique Gonzalez</v>
      </c>
      <c r="I2343" t="str">
        <f>+dHdcp[[#This Row],[Maximo]]&amp;":"&amp;_xlfn.XLOOKUP(dHdcp[[#This Row],[Nombre]],dJugador[Nombre],dJugador[Mote],"",0)</f>
        <v>0:Kike</v>
      </c>
      <c r="J2343" t="str">
        <f>+IF(dHdcp[[#This Row],[Maximo]]=0,"",_xlfn.RANK.EQ(dHdcp[[#This Row],[Handicap]],dHdcp[Handicap],1))</f>
        <v/>
      </c>
      <c r="K2343" t="str">
        <f>IFERROR(+_xlfn.RANK.EQ(dHdcp[[#This Row],[Ranking]],dHdcp[Ranking],1),"")</f>
        <v/>
      </c>
      <c r="M2343" t="str">
        <f>+dHdcp[[#This Row],[Fecha]]&amp;":"&amp;dHdcp[[#This Row],[Nombre]]</f>
        <v>45647:J. Enrique Gonzalez</v>
      </c>
      <c r="N2343">
        <f>+COUNTIF(dHdcp[Columna1],dHdcp[[#This Row],[Columna1]])</f>
        <v>1</v>
      </c>
    </row>
    <row r="2344" spans="1:14">
      <c r="A2344" s="98">
        <v>45647</v>
      </c>
      <c r="B2344" s="46" t="s">
        <v>289</v>
      </c>
      <c r="C2344" s="104">
        <v>8</v>
      </c>
      <c r="D2344" s="46">
        <f>+VLOOKUP(dHdcp[[#This Row],[Handicap]],'Categoría Hdcap'!$B$2:$E$7,4)</f>
        <v>2</v>
      </c>
      <c r="E2344" s="46" t="s">
        <v>74</v>
      </c>
      <c r="F2344" s="92"/>
      <c r="G2344">
        <f>+IF(dHdcp[[#This Row],[Fecha]]=MAX(dHdcp[Fecha]),1,0)</f>
        <v>0</v>
      </c>
      <c r="H2344" t="str">
        <f>+dHdcp[[#This Row],[Maximo]]&amp;":"&amp;dHdcp[[#This Row],[Nombre]]</f>
        <v>0:Jaime Villanueva</v>
      </c>
      <c r="I2344" t="str">
        <f>+dHdcp[[#This Row],[Maximo]]&amp;":"&amp;_xlfn.XLOOKUP(dHdcp[[#This Row],[Nombre]],dJugador[Nombre],dJugador[Mote],"",0)</f>
        <v>0:Villanueva</v>
      </c>
      <c r="J2344" t="str">
        <f>+IF(dHdcp[[#This Row],[Maximo]]=0,"",_xlfn.RANK.EQ(dHdcp[[#This Row],[Handicap]],dHdcp[Handicap],1))</f>
        <v/>
      </c>
      <c r="K2344" t="str">
        <f>IFERROR(+_xlfn.RANK.EQ(dHdcp[[#This Row],[Ranking]],dHdcp[Ranking],1),"")</f>
        <v/>
      </c>
      <c r="M2344" t="str">
        <f>+dHdcp[[#This Row],[Fecha]]&amp;":"&amp;dHdcp[[#This Row],[Nombre]]</f>
        <v>45647:Jaime Villanueva</v>
      </c>
      <c r="N2344">
        <f>+COUNTIF(dHdcp[Columna1],dHdcp[[#This Row],[Columna1]])</f>
        <v>1</v>
      </c>
    </row>
    <row r="2345" spans="1:14">
      <c r="A2345" s="98">
        <v>45647</v>
      </c>
      <c r="B2345" s="46" t="s">
        <v>328</v>
      </c>
      <c r="C2345" s="104">
        <v>10.4</v>
      </c>
      <c r="D2345" s="46">
        <f>+VLOOKUP(dHdcp[[#This Row],[Handicap]],'Categoría Hdcap'!$B$2:$E$7,4)</f>
        <v>2</v>
      </c>
      <c r="E2345" s="46" t="s">
        <v>74</v>
      </c>
      <c r="F2345" s="92"/>
      <c r="G2345">
        <f>+IF(dHdcp[[#This Row],[Fecha]]=MAX(dHdcp[Fecha]),1,0)</f>
        <v>0</v>
      </c>
      <c r="H2345" t="str">
        <f>+dHdcp[[#This Row],[Maximo]]&amp;":"&amp;dHdcp[[#This Row],[Nombre]]</f>
        <v>0:Javier Arcos</v>
      </c>
      <c r="I2345" t="str">
        <f>+dHdcp[[#This Row],[Maximo]]&amp;":"&amp;_xlfn.XLOOKUP(dHdcp[[#This Row],[Nombre]],dJugador[Nombre],dJugador[Mote],"",0)</f>
        <v>0:J.Arcos</v>
      </c>
      <c r="J2345" t="str">
        <f>+IF(dHdcp[[#This Row],[Maximo]]=0,"",_xlfn.RANK.EQ(dHdcp[[#This Row],[Handicap]],dHdcp[Handicap],1))</f>
        <v/>
      </c>
      <c r="K2345" t="str">
        <f>IFERROR(+_xlfn.RANK.EQ(dHdcp[[#This Row],[Ranking]],dHdcp[Ranking],1),"")</f>
        <v/>
      </c>
      <c r="M2345" t="str">
        <f>+dHdcp[[#This Row],[Fecha]]&amp;":"&amp;dHdcp[[#This Row],[Nombre]]</f>
        <v>45647:Javier Arcos</v>
      </c>
      <c r="N2345">
        <f>+COUNTIF(dHdcp[Columna1],dHdcp[[#This Row],[Columna1]])</f>
        <v>1</v>
      </c>
    </row>
    <row r="2346" spans="1:14">
      <c r="A2346" s="98">
        <v>45647</v>
      </c>
      <c r="B2346" s="46" t="s">
        <v>378</v>
      </c>
      <c r="C2346" s="104">
        <v>11.199999999999992</v>
      </c>
      <c r="D2346" s="46">
        <f>+VLOOKUP(dHdcp[[#This Row],[Handicap]],'Categoría Hdcap'!$B$2:$E$7,4)</f>
        <v>2</v>
      </c>
      <c r="E2346" s="46" t="s">
        <v>74</v>
      </c>
      <c r="F2346" s="92"/>
      <c r="G2346">
        <f>+IF(dHdcp[[#This Row],[Fecha]]=MAX(dHdcp[Fecha]),1,0)</f>
        <v>0</v>
      </c>
      <c r="H2346" t="str">
        <f>+dHdcp[[#This Row],[Maximo]]&amp;":"&amp;dHdcp[[#This Row],[Nombre]]</f>
        <v>0:Javier Campo</v>
      </c>
      <c r="I2346" t="str">
        <f>+dHdcp[[#This Row],[Maximo]]&amp;":"&amp;_xlfn.XLOOKUP(dHdcp[[#This Row],[Nombre]],dJugador[Nombre],dJugador[Mote],"",0)</f>
        <v>0:Campo</v>
      </c>
      <c r="J2346" t="str">
        <f>+IF(dHdcp[[#This Row],[Maximo]]=0,"",_xlfn.RANK.EQ(dHdcp[[#This Row],[Handicap]],dHdcp[Handicap],1))</f>
        <v/>
      </c>
      <c r="K2346" t="str">
        <f>IFERROR(+_xlfn.RANK.EQ(dHdcp[[#This Row],[Ranking]],dHdcp[Ranking],1),"")</f>
        <v/>
      </c>
      <c r="M2346" t="str">
        <f>+dHdcp[[#This Row],[Fecha]]&amp;":"&amp;dHdcp[[#This Row],[Nombre]]</f>
        <v>45647:Javier Campo</v>
      </c>
      <c r="N2346">
        <f>+COUNTIF(dHdcp[Columna1],dHdcp[[#This Row],[Columna1]])</f>
        <v>1</v>
      </c>
    </row>
    <row r="2347" spans="1:14">
      <c r="A2347" s="98">
        <v>45647</v>
      </c>
      <c r="B2347" s="46" t="s">
        <v>46</v>
      </c>
      <c r="C2347" s="104">
        <v>18.399999999999999</v>
      </c>
      <c r="D2347" s="46">
        <f>+VLOOKUP(dHdcp[[#This Row],[Handicap]],'Categoría Hdcap'!$B$2:$E$7,4)</f>
        <v>3</v>
      </c>
      <c r="E2347" s="46" t="s">
        <v>74</v>
      </c>
      <c r="F2347" s="92"/>
      <c r="G2347">
        <f>+IF(dHdcp[[#This Row],[Fecha]]=MAX(dHdcp[Fecha]),1,0)</f>
        <v>0</v>
      </c>
      <c r="H2347" t="str">
        <f>+dHdcp[[#This Row],[Maximo]]&amp;":"&amp;dHdcp[[#This Row],[Nombre]]</f>
        <v>0:Javier Cervera</v>
      </c>
      <c r="I2347" t="str">
        <f>+dHdcp[[#This Row],[Maximo]]&amp;":"&amp;_xlfn.XLOOKUP(dHdcp[[#This Row],[Nombre]],dJugador[Nombre],dJugador[Mote],"",0)</f>
        <v>0:Virus</v>
      </c>
      <c r="J2347" t="str">
        <f>+IF(dHdcp[[#This Row],[Maximo]]=0,"",_xlfn.RANK.EQ(dHdcp[[#This Row],[Handicap]],dHdcp[Handicap],1))</f>
        <v/>
      </c>
      <c r="K2347" t="str">
        <f>IFERROR(+_xlfn.RANK.EQ(dHdcp[[#This Row],[Ranking]],dHdcp[Ranking],1),"")</f>
        <v/>
      </c>
      <c r="M2347" t="str">
        <f>+dHdcp[[#This Row],[Fecha]]&amp;":"&amp;dHdcp[[#This Row],[Nombre]]</f>
        <v>45647:Javier Cervera</v>
      </c>
      <c r="N2347">
        <f>+COUNTIF(dHdcp[Columna1],dHdcp[[#This Row],[Columna1]])</f>
        <v>1</v>
      </c>
    </row>
    <row r="2348" spans="1:14">
      <c r="A2348" s="98">
        <v>45647</v>
      </c>
      <c r="B2348" s="46" t="s">
        <v>225</v>
      </c>
      <c r="C2348" s="104">
        <v>10.6</v>
      </c>
      <c r="D2348" s="46">
        <f>+VLOOKUP(dHdcp[[#This Row],[Handicap]],'Categoría Hdcap'!$B$2:$E$7,4)</f>
        <v>2</v>
      </c>
      <c r="E2348" s="46" t="s">
        <v>74</v>
      </c>
      <c r="F2348" s="92"/>
      <c r="G2348">
        <f>+IF(dHdcp[[#This Row],[Fecha]]=MAX(dHdcp[Fecha]),1,0)</f>
        <v>0</v>
      </c>
      <c r="H2348" t="str">
        <f>+dHdcp[[#This Row],[Maximo]]&amp;":"&amp;dHdcp[[#This Row],[Nombre]]</f>
        <v>0:Javier Chiralt</v>
      </c>
      <c r="I2348" t="str">
        <f>+dHdcp[[#This Row],[Maximo]]&amp;":"&amp;_xlfn.XLOOKUP(dHdcp[[#This Row],[Nombre]],dJugador[Nombre],dJugador[Mote],"",0)</f>
        <v>0:Chiralt</v>
      </c>
      <c r="J2348" t="str">
        <f>+IF(dHdcp[[#This Row],[Maximo]]=0,"",_xlfn.RANK.EQ(dHdcp[[#This Row],[Handicap]],dHdcp[Handicap],1))</f>
        <v/>
      </c>
      <c r="K2348" t="str">
        <f>IFERROR(+_xlfn.RANK.EQ(dHdcp[[#This Row],[Ranking]],dHdcp[Ranking],1),"")</f>
        <v/>
      </c>
      <c r="M2348" t="str">
        <f>+dHdcp[[#This Row],[Fecha]]&amp;":"&amp;dHdcp[[#This Row],[Nombre]]</f>
        <v>45647:Javier Chiralt</v>
      </c>
      <c r="N2348">
        <f>+COUNTIF(dHdcp[Columna1],dHdcp[[#This Row],[Columna1]])</f>
        <v>1</v>
      </c>
    </row>
    <row r="2349" spans="1:14">
      <c r="A2349" s="98">
        <v>45647</v>
      </c>
      <c r="B2349" s="46" t="s">
        <v>2466</v>
      </c>
      <c r="C2349" s="104">
        <v>17.5</v>
      </c>
      <c r="D2349" s="46">
        <f>+VLOOKUP(dHdcp[[#This Row],[Handicap]],'Categoría Hdcap'!$B$2:$E$7,4)</f>
        <v>3</v>
      </c>
      <c r="E2349" s="46" t="s">
        <v>74</v>
      </c>
      <c r="F2349" s="92"/>
      <c r="G2349">
        <f>+IF(dHdcp[[#This Row],[Fecha]]=MAX(dHdcp[Fecha]),1,0)</f>
        <v>0</v>
      </c>
      <c r="H2349" t="str">
        <f>+dHdcp[[#This Row],[Maximo]]&amp;":"&amp;dHdcp[[#This Row],[Nombre]]</f>
        <v>0:Javier Dodero de Solano</v>
      </c>
      <c r="I2349" t="str">
        <f>+dHdcp[[#This Row],[Maximo]]&amp;":"&amp;_xlfn.XLOOKUP(dHdcp[[#This Row],[Nombre]],dJugador[Nombre],dJugador[Mote],"",0)</f>
        <v>0:Dodero</v>
      </c>
      <c r="J2349" t="str">
        <f>+IF(dHdcp[[#This Row],[Maximo]]=0,"",_xlfn.RANK.EQ(dHdcp[[#This Row],[Handicap]],dHdcp[Handicap],1))</f>
        <v/>
      </c>
      <c r="K2349" t="str">
        <f>IFERROR(+_xlfn.RANK.EQ(dHdcp[[#This Row],[Ranking]],dHdcp[Ranking],1),"")</f>
        <v/>
      </c>
      <c r="M2349" t="str">
        <f>+dHdcp[[#This Row],[Fecha]]&amp;":"&amp;dHdcp[[#This Row],[Nombre]]</f>
        <v>45647:Javier Dodero de Solano</v>
      </c>
      <c r="N2349">
        <f>+COUNTIF(dHdcp[Columna1],dHdcp[[#This Row],[Columna1]])</f>
        <v>1</v>
      </c>
    </row>
    <row r="2350" spans="1:14">
      <c r="A2350" s="98">
        <v>45647</v>
      </c>
      <c r="B2350" s="46" t="s">
        <v>20</v>
      </c>
      <c r="C2350" s="104">
        <v>19.3</v>
      </c>
      <c r="D2350" s="46">
        <f>+VLOOKUP(dHdcp[[#This Row],[Handicap]],'Categoría Hdcap'!$B$2:$E$7,4)</f>
        <v>4</v>
      </c>
      <c r="E2350" s="46" t="s">
        <v>74</v>
      </c>
      <c r="F2350" s="92"/>
      <c r="G2350">
        <f>+IF(dHdcp[[#This Row],[Fecha]]=MAX(dHdcp[Fecha]),1,0)</f>
        <v>0</v>
      </c>
      <c r="H2350" t="str">
        <f>+dHdcp[[#This Row],[Maximo]]&amp;":"&amp;dHdcp[[#This Row],[Nombre]]</f>
        <v>0:Javier Gonzalez Salvador</v>
      </c>
      <c r="I2350" t="str">
        <f>+dHdcp[[#This Row],[Maximo]]&amp;":"&amp;_xlfn.XLOOKUP(dHdcp[[#This Row],[Nombre]],dJugador[Nombre],dJugador[Mote],"",0)</f>
        <v>0:Javi</v>
      </c>
      <c r="J2350" t="str">
        <f>+IF(dHdcp[[#This Row],[Maximo]]=0,"",_xlfn.RANK.EQ(dHdcp[[#This Row],[Handicap]],dHdcp[Handicap],1))</f>
        <v/>
      </c>
      <c r="K2350" t="str">
        <f>IFERROR(+_xlfn.RANK.EQ(dHdcp[[#This Row],[Ranking]],dHdcp[Ranking],1),"")</f>
        <v/>
      </c>
      <c r="M2350" t="str">
        <f>+dHdcp[[#This Row],[Fecha]]&amp;":"&amp;dHdcp[[#This Row],[Nombre]]</f>
        <v>45647:Javier Gonzalez Salvador</v>
      </c>
      <c r="N2350">
        <f>+COUNTIF(dHdcp[Columna1],dHdcp[[#This Row],[Columna1]])</f>
        <v>1</v>
      </c>
    </row>
    <row r="2351" spans="1:14">
      <c r="A2351" s="98">
        <v>45647</v>
      </c>
      <c r="B2351" s="46" t="s">
        <v>217</v>
      </c>
      <c r="C2351" s="104">
        <v>20.9</v>
      </c>
      <c r="D2351" s="46">
        <f>+VLOOKUP(dHdcp[[#This Row],[Handicap]],'Categoría Hdcap'!$B$2:$E$7,4)</f>
        <v>4</v>
      </c>
      <c r="E2351" s="46" t="s">
        <v>74</v>
      </c>
      <c r="F2351" s="92"/>
      <c r="G2351">
        <f>+IF(dHdcp[[#This Row],[Fecha]]=MAX(dHdcp[Fecha]),1,0)</f>
        <v>0</v>
      </c>
      <c r="H2351" t="str">
        <f>+dHdcp[[#This Row],[Maximo]]&amp;":"&amp;dHdcp[[#This Row],[Nombre]]</f>
        <v>0:Javier Lopez Gullón</v>
      </c>
      <c r="I2351" t="str">
        <f>+dHdcp[[#This Row],[Maximo]]&amp;":"&amp;_xlfn.XLOOKUP(dHdcp[[#This Row],[Nombre]],dJugador[Nombre],dJugador[Mote],"",0)</f>
        <v>0:Cuñao</v>
      </c>
      <c r="J2351" t="str">
        <f>+IF(dHdcp[[#This Row],[Maximo]]=0,"",_xlfn.RANK.EQ(dHdcp[[#This Row],[Handicap]],dHdcp[Handicap],1))</f>
        <v/>
      </c>
      <c r="K2351" t="str">
        <f>IFERROR(+_xlfn.RANK.EQ(dHdcp[[#This Row],[Ranking]],dHdcp[Ranking],1),"")</f>
        <v/>
      </c>
      <c r="M2351" t="str">
        <f>+dHdcp[[#This Row],[Fecha]]&amp;":"&amp;dHdcp[[#This Row],[Nombre]]</f>
        <v>45647:Javier Lopez Gullón</v>
      </c>
      <c r="N2351">
        <f>+COUNTIF(dHdcp[Columna1],dHdcp[[#This Row],[Columna1]])</f>
        <v>1</v>
      </c>
    </row>
    <row r="2352" spans="1:14">
      <c r="A2352" s="98">
        <v>45647</v>
      </c>
      <c r="B2352" t="s">
        <v>2560</v>
      </c>
      <c r="C2352" s="51">
        <v>12.9</v>
      </c>
      <c r="D2352" s="46">
        <f>+VLOOKUP(dHdcp[[#This Row],[Handicap]],'Categoría Hdcap'!$B$2:$E$7,4)</f>
        <v>3</v>
      </c>
      <c r="E2352" t="s">
        <v>74</v>
      </c>
      <c r="F2352" s="92"/>
      <c r="G2352">
        <f>+IF(dHdcp[[#This Row],[Fecha]]=MAX(dHdcp[Fecha]),1,0)</f>
        <v>0</v>
      </c>
      <c r="H2352" t="str">
        <f>+dHdcp[[#This Row],[Maximo]]&amp;":"&amp;dHdcp[[#This Row],[Nombre]]</f>
        <v>0:Jesús Otero</v>
      </c>
      <c r="I2352" t="str">
        <f>+dHdcp[[#This Row],[Maximo]]&amp;":"&amp;_xlfn.XLOOKUP(dHdcp[[#This Row],[Nombre]],dJugador[Nombre],dJugador[Mote],"",0)</f>
        <v>0:Otero</v>
      </c>
      <c r="J2352" t="str">
        <f>+IF(dHdcp[[#This Row],[Maximo]]=0,"",_xlfn.RANK.EQ(dHdcp[[#This Row],[Handicap]],dHdcp[Handicap],1))</f>
        <v/>
      </c>
      <c r="K2352" t="str">
        <f>IFERROR(+_xlfn.RANK.EQ(dHdcp[[#This Row],[Ranking]],dHdcp[Ranking],1),"")</f>
        <v/>
      </c>
      <c r="M2352" t="str">
        <f>+dHdcp[[#This Row],[Fecha]]&amp;":"&amp;dHdcp[[#This Row],[Nombre]]</f>
        <v>45647:Jesús Otero</v>
      </c>
      <c r="N2352">
        <f>+COUNTIF(dHdcp[Columna1],dHdcp[[#This Row],[Columna1]])</f>
        <v>1</v>
      </c>
    </row>
    <row r="2353" spans="1:14">
      <c r="A2353" s="98">
        <v>45647</v>
      </c>
      <c r="B2353" s="46" t="s">
        <v>41</v>
      </c>
      <c r="C2353" s="104">
        <v>21.9</v>
      </c>
      <c r="D2353" s="46">
        <f>+VLOOKUP(dHdcp[[#This Row],[Handicap]],'Categoría Hdcap'!$B$2:$E$7,4)</f>
        <v>4</v>
      </c>
      <c r="E2353" s="46" t="s">
        <v>74</v>
      </c>
      <c r="F2353" s="92"/>
      <c r="G2353">
        <f>+IF(dHdcp[[#This Row],[Fecha]]=MAX(dHdcp[Fecha]),1,0)</f>
        <v>0</v>
      </c>
      <c r="H2353" t="str">
        <f>+dHdcp[[#This Row],[Maximo]]&amp;":"&amp;dHdcp[[#This Row],[Nombre]]</f>
        <v>0:Jesus Touceda</v>
      </c>
      <c r="I2353" t="str">
        <f>+dHdcp[[#This Row],[Maximo]]&amp;":"&amp;_xlfn.XLOOKUP(dHdcp[[#This Row],[Nombre]],dJugador[Nombre],dJugador[Mote],"",0)</f>
        <v>0:Jesús</v>
      </c>
      <c r="J2353" t="str">
        <f>+IF(dHdcp[[#This Row],[Maximo]]=0,"",_xlfn.RANK.EQ(dHdcp[[#This Row],[Handicap]],dHdcp[Handicap],1))</f>
        <v/>
      </c>
      <c r="K2353" t="str">
        <f>IFERROR(+_xlfn.RANK.EQ(dHdcp[[#This Row],[Ranking]],dHdcp[Ranking],1),"")</f>
        <v/>
      </c>
      <c r="M2353" t="str">
        <f>+dHdcp[[#This Row],[Fecha]]&amp;":"&amp;dHdcp[[#This Row],[Nombre]]</f>
        <v>45647:Jesus Touceda</v>
      </c>
      <c r="N2353">
        <f>+COUNTIF(dHdcp[Columna1],dHdcp[[#This Row],[Columna1]])</f>
        <v>1</v>
      </c>
    </row>
    <row r="2354" spans="1:14">
      <c r="A2354" s="98">
        <v>45647</v>
      </c>
      <c r="B2354" s="46" t="s">
        <v>297</v>
      </c>
      <c r="C2354" s="104">
        <v>18.600000000000001</v>
      </c>
      <c r="D2354" s="46">
        <f>+VLOOKUP(dHdcp[[#This Row],[Handicap]],'Categoría Hdcap'!$B$2:$E$7,4)</f>
        <v>4</v>
      </c>
      <c r="E2354" s="46" t="s">
        <v>74</v>
      </c>
      <c r="F2354" s="92"/>
      <c r="G2354">
        <f>+IF(dHdcp[[#This Row],[Fecha]]=MAX(dHdcp[Fecha]),1,0)</f>
        <v>0</v>
      </c>
      <c r="H2354" t="str">
        <f>+dHdcp[[#This Row],[Maximo]]&amp;":"&amp;dHdcp[[#This Row],[Nombre]]</f>
        <v>0:Jorge Alberto Martínez Sánchez</v>
      </c>
      <c r="I2354" t="str">
        <f>+dHdcp[[#This Row],[Maximo]]&amp;":"&amp;_xlfn.XLOOKUP(dHdcp[[#This Row],[Nombre]],dJugador[Nombre],dJugador[Mote],"",0)</f>
        <v>0:Jorge</v>
      </c>
      <c r="J2354" t="str">
        <f>+IF(dHdcp[[#This Row],[Maximo]]=0,"",_xlfn.RANK.EQ(dHdcp[[#This Row],[Handicap]],dHdcp[Handicap],1))</f>
        <v/>
      </c>
      <c r="K2354" t="str">
        <f>IFERROR(+_xlfn.RANK.EQ(dHdcp[[#This Row],[Ranking]],dHdcp[Ranking],1),"")</f>
        <v/>
      </c>
      <c r="M2354" t="str">
        <f>+dHdcp[[#This Row],[Fecha]]&amp;":"&amp;dHdcp[[#This Row],[Nombre]]</f>
        <v>45647:Jorge Alberto Martínez Sánchez</v>
      </c>
      <c r="N2354">
        <f>+COUNTIF(dHdcp[Columna1],dHdcp[[#This Row],[Columna1]])</f>
        <v>1</v>
      </c>
    </row>
    <row r="2355" spans="1:14">
      <c r="A2355" s="98">
        <v>45647</v>
      </c>
      <c r="B2355" t="s">
        <v>2540</v>
      </c>
      <c r="C2355" s="51">
        <v>18.399999999999999</v>
      </c>
      <c r="D2355" s="46">
        <f>+VLOOKUP(dHdcp[[#This Row],[Handicap]],'Categoría Hdcap'!$B$2:$E$7,4)</f>
        <v>3</v>
      </c>
      <c r="E2355" t="s">
        <v>74</v>
      </c>
      <c r="F2355" s="92"/>
      <c r="G2355">
        <f>+IF(dHdcp[[#This Row],[Fecha]]=MAX(dHdcp[Fecha]),1,0)</f>
        <v>0</v>
      </c>
      <c r="H2355" t="str">
        <f>+dHdcp[[#This Row],[Maximo]]&amp;":"&amp;dHdcp[[#This Row],[Nombre]]</f>
        <v>0:Jorge Maestro Aguilera</v>
      </c>
      <c r="I2355" t="str">
        <f>+dHdcp[[#This Row],[Maximo]]&amp;":"&amp;_xlfn.XLOOKUP(dHdcp[[#This Row],[Nombre]],dJugador[Nombre],dJugador[Mote],"",0)</f>
        <v>0:JMaestro</v>
      </c>
      <c r="J2355" t="str">
        <f>+IF(dHdcp[[#This Row],[Maximo]]=0,"",_xlfn.RANK.EQ(dHdcp[[#This Row],[Handicap]],dHdcp[Handicap],1))</f>
        <v/>
      </c>
      <c r="K2355" t="str">
        <f>IFERROR(+_xlfn.RANK.EQ(dHdcp[[#This Row],[Ranking]],dHdcp[Ranking],1),"")</f>
        <v/>
      </c>
      <c r="M2355" t="str">
        <f>+dHdcp[[#This Row],[Fecha]]&amp;":"&amp;dHdcp[[#This Row],[Nombre]]</f>
        <v>45647:Jorge Maestro Aguilera</v>
      </c>
      <c r="N2355">
        <f>+COUNTIF(dHdcp[Columna1],dHdcp[[#This Row],[Columna1]])</f>
        <v>1</v>
      </c>
    </row>
    <row r="2356" spans="1:14">
      <c r="A2356" s="98">
        <v>45647</v>
      </c>
      <c r="B2356" s="46" t="s">
        <v>388</v>
      </c>
      <c r="C2356" s="104">
        <v>25.7</v>
      </c>
      <c r="D2356" s="46">
        <f>+VLOOKUP(dHdcp[[#This Row],[Handicap]],'Categoría Hdcap'!$B$2:$E$7,4)</f>
        <v>4</v>
      </c>
      <c r="E2356" s="46" t="s">
        <v>74</v>
      </c>
      <c r="F2356" s="92"/>
      <c r="G2356">
        <f>+IF(dHdcp[[#This Row],[Fecha]]=MAX(dHdcp[Fecha]),1,0)</f>
        <v>0</v>
      </c>
      <c r="H2356" t="str">
        <f>+dHdcp[[#This Row],[Maximo]]&amp;":"&amp;dHdcp[[#This Row],[Nombre]]</f>
        <v>0:Jose Antonio Santana</v>
      </c>
      <c r="I2356" t="str">
        <f>+dHdcp[[#This Row],[Maximo]]&amp;":"&amp;_xlfn.XLOOKUP(dHdcp[[#This Row],[Nombre]],dJugador[Nombre],dJugador[Mote],"",0)</f>
        <v>0:J Antonio</v>
      </c>
      <c r="J2356" t="str">
        <f>+IF(dHdcp[[#This Row],[Maximo]]=0,"",_xlfn.RANK.EQ(dHdcp[[#This Row],[Handicap]],dHdcp[Handicap],1))</f>
        <v/>
      </c>
      <c r="K2356" t="str">
        <f>IFERROR(+_xlfn.RANK.EQ(dHdcp[[#This Row],[Ranking]],dHdcp[Ranking],1),"")</f>
        <v/>
      </c>
      <c r="M2356" t="str">
        <f>+dHdcp[[#This Row],[Fecha]]&amp;":"&amp;dHdcp[[#This Row],[Nombre]]</f>
        <v>45647:Jose Antonio Santana</v>
      </c>
      <c r="N2356">
        <f>+COUNTIF(dHdcp[Columna1],dHdcp[[#This Row],[Columna1]])</f>
        <v>1</v>
      </c>
    </row>
    <row r="2357" spans="1:14">
      <c r="A2357" s="98">
        <v>45647</v>
      </c>
      <c r="B2357" s="46" t="s">
        <v>18</v>
      </c>
      <c r="C2357" s="104">
        <v>6.8</v>
      </c>
      <c r="D2357" s="46">
        <f>+VLOOKUP(dHdcp[[#This Row],[Handicap]],'Categoría Hdcap'!$B$2:$E$7,4)</f>
        <v>2</v>
      </c>
      <c r="E2357" s="46" t="s">
        <v>74</v>
      </c>
      <c r="F2357" s="92"/>
      <c r="G2357">
        <f>+IF(dHdcp[[#This Row],[Fecha]]=MAX(dHdcp[Fecha]),1,0)</f>
        <v>0</v>
      </c>
      <c r="H2357" t="str">
        <f>+dHdcp[[#This Row],[Maximo]]&amp;":"&amp;dHdcp[[#This Row],[Nombre]]</f>
        <v>0:José Pablo Guil</v>
      </c>
      <c r="I2357" t="str">
        <f>+dHdcp[[#This Row],[Maximo]]&amp;":"&amp;_xlfn.XLOOKUP(dHdcp[[#This Row],[Nombre]],dJugador[Nombre],dJugador[Mote],"",0)</f>
        <v>0:JP</v>
      </c>
      <c r="J2357" t="str">
        <f>+IF(dHdcp[[#This Row],[Maximo]]=0,"",_xlfn.RANK.EQ(dHdcp[[#This Row],[Handicap]],dHdcp[Handicap],1))</f>
        <v/>
      </c>
      <c r="K2357" t="str">
        <f>IFERROR(+_xlfn.RANK.EQ(dHdcp[[#This Row],[Ranking]],dHdcp[Ranking],1),"")</f>
        <v/>
      </c>
      <c r="M2357" t="str">
        <f>+dHdcp[[#This Row],[Fecha]]&amp;":"&amp;dHdcp[[#This Row],[Nombre]]</f>
        <v>45647:José Pablo Guil</v>
      </c>
      <c r="N2357">
        <f>+COUNTIF(dHdcp[Columna1],dHdcp[[#This Row],[Columna1]])</f>
        <v>1</v>
      </c>
    </row>
    <row r="2358" spans="1:14">
      <c r="A2358" s="98">
        <v>45647</v>
      </c>
      <c r="B2358" s="46" t="s">
        <v>293</v>
      </c>
      <c r="C2358" s="104">
        <v>15.1</v>
      </c>
      <c r="D2358" s="46">
        <f>+VLOOKUP(dHdcp[[#This Row],[Handicap]],'Categoría Hdcap'!$B$2:$E$7,4)</f>
        <v>3</v>
      </c>
      <c r="E2358" s="46" t="s">
        <v>74</v>
      </c>
      <c r="F2358" s="92"/>
      <c r="G2358">
        <f>+IF(dHdcp[[#This Row],[Fecha]]=MAX(dHdcp[Fecha]),1,0)</f>
        <v>0</v>
      </c>
      <c r="H2358" t="str">
        <f>+dHdcp[[#This Row],[Maximo]]&amp;":"&amp;dHdcp[[#This Row],[Nombre]]</f>
        <v>0:Juan Jose Aguado</v>
      </c>
      <c r="I2358" t="str">
        <f>+dHdcp[[#This Row],[Maximo]]&amp;":"&amp;_xlfn.XLOOKUP(dHdcp[[#This Row],[Nombre]],dJugador[Nombre],dJugador[Mote],"",0)</f>
        <v>0:Juancho</v>
      </c>
      <c r="J2358" t="str">
        <f>+IF(dHdcp[[#This Row],[Maximo]]=0,"",_xlfn.RANK.EQ(dHdcp[[#This Row],[Handicap]],dHdcp[Handicap],1))</f>
        <v/>
      </c>
      <c r="K2358" t="str">
        <f>IFERROR(+_xlfn.RANK.EQ(dHdcp[[#This Row],[Ranking]],dHdcp[Ranking],1),"")</f>
        <v/>
      </c>
      <c r="M2358" t="str">
        <f>+dHdcp[[#This Row],[Fecha]]&amp;":"&amp;dHdcp[[#This Row],[Nombre]]</f>
        <v>45647:Juan Jose Aguado</v>
      </c>
      <c r="N2358">
        <f>+COUNTIF(dHdcp[Columna1],dHdcp[[#This Row],[Columna1]])</f>
        <v>1</v>
      </c>
    </row>
    <row r="2359" spans="1:14">
      <c r="A2359" s="98">
        <v>45647</v>
      </c>
      <c r="B2359" t="s">
        <v>2516</v>
      </c>
      <c r="C2359" s="104">
        <v>16.600000000000001</v>
      </c>
      <c r="D2359" s="46">
        <f>+VLOOKUP(dHdcp[[#This Row],[Handicap]],'Categoría Hdcap'!$B$2:$E$7,4)</f>
        <v>3</v>
      </c>
      <c r="E2359" s="46" t="s">
        <v>74</v>
      </c>
      <c r="F2359" s="92"/>
      <c r="G2359">
        <f>+IF(dHdcp[[#This Row],[Fecha]]=MAX(dHdcp[Fecha]),1,0)</f>
        <v>0</v>
      </c>
      <c r="H2359" t="str">
        <f>+dHdcp[[#This Row],[Maximo]]&amp;":"&amp;dHdcp[[#This Row],[Nombre]]</f>
        <v>0:Juan Sanz</v>
      </c>
      <c r="I2359" t="str">
        <f>+dHdcp[[#This Row],[Maximo]]&amp;":"&amp;_xlfn.XLOOKUP(dHdcp[[#This Row],[Nombre]],dJugador[Nombre],dJugador[Mote],"",0)</f>
        <v>0:JuanSanz</v>
      </c>
      <c r="J2359" t="str">
        <f>+IF(dHdcp[[#This Row],[Maximo]]=0,"",_xlfn.RANK.EQ(dHdcp[[#This Row],[Handicap]],dHdcp[Handicap],1))</f>
        <v/>
      </c>
      <c r="K2359" t="str">
        <f>IFERROR(+_xlfn.RANK.EQ(dHdcp[[#This Row],[Ranking]],dHdcp[Ranking],1),"")</f>
        <v/>
      </c>
      <c r="M2359" t="str">
        <f>+dHdcp[[#This Row],[Fecha]]&amp;":"&amp;dHdcp[[#This Row],[Nombre]]</f>
        <v>45647:Juan Sanz</v>
      </c>
      <c r="N2359">
        <f>+COUNTIF(dHdcp[Columna1],dHdcp[[#This Row],[Columna1]])</f>
        <v>1</v>
      </c>
    </row>
    <row r="2360" spans="1:14">
      <c r="A2360" s="98">
        <v>45647</v>
      </c>
      <c r="B2360" s="46" t="s">
        <v>375</v>
      </c>
      <c r="C2360" s="104">
        <v>9.6</v>
      </c>
      <c r="D2360" s="46">
        <f>+VLOOKUP(dHdcp[[#This Row],[Handicap]],'Categoría Hdcap'!$B$2:$E$7,4)</f>
        <v>2</v>
      </c>
      <c r="E2360" s="46" t="s">
        <v>74</v>
      </c>
      <c r="F2360" s="92"/>
      <c r="G2360">
        <f>+IF(dHdcp[[#This Row],[Fecha]]=MAX(dHdcp[Fecha]),1,0)</f>
        <v>0</v>
      </c>
      <c r="H2360" t="str">
        <f>+dHdcp[[#This Row],[Maximo]]&amp;":"&amp;dHdcp[[#This Row],[Nombre]]</f>
        <v>0:Luis Fernandez</v>
      </c>
      <c r="I2360" t="str">
        <f>+dHdcp[[#This Row],[Maximo]]&amp;":"&amp;_xlfn.XLOOKUP(dHdcp[[#This Row],[Nombre]],dJugador[Nombre],dJugador[Mote],"",0)</f>
        <v>0:Luis</v>
      </c>
      <c r="J2360" t="str">
        <f>+IF(dHdcp[[#This Row],[Maximo]]=0,"",_xlfn.RANK.EQ(dHdcp[[#This Row],[Handicap]],dHdcp[Handicap],1))</f>
        <v/>
      </c>
      <c r="K2360" t="str">
        <f>IFERROR(+_xlfn.RANK.EQ(dHdcp[[#This Row],[Ranking]],dHdcp[Ranking],1),"")</f>
        <v/>
      </c>
      <c r="M2360" t="str">
        <f>+dHdcp[[#This Row],[Fecha]]&amp;":"&amp;dHdcp[[#This Row],[Nombre]]</f>
        <v>45647:Luis Fernandez</v>
      </c>
      <c r="N2360">
        <f>+COUNTIF(dHdcp[Columna1],dHdcp[[#This Row],[Columna1]])</f>
        <v>1</v>
      </c>
    </row>
    <row r="2361" spans="1:14">
      <c r="A2361" s="98">
        <v>45647</v>
      </c>
      <c r="B2361" s="46" t="s">
        <v>135</v>
      </c>
      <c r="C2361" s="104">
        <v>18.399999999999999</v>
      </c>
      <c r="D2361" s="46">
        <f>+VLOOKUP(dHdcp[[#This Row],[Handicap]],'Categoría Hdcap'!$B$2:$E$7,4)</f>
        <v>3</v>
      </c>
      <c r="E2361" s="46" t="s">
        <v>74</v>
      </c>
      <c r="F2361" s="92"/>
      <c r="G2361">
        <f>+IF(dHdcp[[#This Row],[Fecha]]=MAX(dHdcp[Fecha]),1,0)</f>
        <v>0</v>
      </c>
      <c r="H2361" t="str">
        <f>+dHdcp[[#This Row],[Maximo]]&amp;":"&amp;dHdcp[[#This Row],[Nombre]]</f>
        <v>0:Miche Lopez</v>
      </c>
      <c r="I2361" t="str">
        <f>+dHdcp[[#This Row],[Maximo]]&amp;":"&amp;_xlfn.XLOOKUP(dHdcp[[#This Row],[Nombre]],dJugador[Nombre],dJugador[Mote],"",0)</f>
        <v>0:Miche</v>
      </c>
      <c r="J2361" t="str">
        <f>+IF(dHdcp[[#This Row],[Maximo]]=0,"",_xlfn.RANK.EQ(dHdcp[[#This Row],[Handicap]],dHdcp[Handicap],1))</f>
        <v/>
      </c>
      <c r="K2361" t="str">
        <f>IFERROR(+_xlfn.RANK.EQ(dHdcp[[#This Row],[Ranking]],dHdcp[Ranking],1),"")</f>
        <v/>
      </c>
      <c r="M2361" t="str">
        <f>+dHdcp[[#This Row],[Fecha]]&amp;":"&amp;dHdcp[[#This Row],[Nombre]]</f>
        <v>45647:Miche Lopez</v>
      </c>
      <c r="N2361">
        <f>+COUNTIF(dHdcp[Columna1],dHdcp[[#This Row],[Columna1]])</f>
        <v>1</v>
      </c>
    </row>
    <row r="2362" spans="1:14">
      <c r="A2362" s="98">
        <v>45647</v>
      </c>
      <c r="B2362" s="46" t="s">
        <v>205</v>
      </c>
      <c r="C2362" s="104">
        <v>5.2</v>
      </c>
      <c r="D2362" s="46">
        <f>+VLOOKUP(dHdcp[[#This Row],[Handicap]],'Categoría Hdcap'!$B$2:$E$7,4)</f>
        <v>2</v>
      </c>
      <c r="E2362" s="46" t="s">
        <v>74</v>
      </c>
      <c r="F2362" s="92"/>
      <c r="G2362">
        <f>+IF(dHdcp[[#This Row],[Fecha]]=MAX(dHdcp[Fecha]),1,0)</f>
        <v>0</v>
      </c>
      <c r="H2362" t="str">
        <f>+dHdcp[[#This Row],[Maximo]]&amp;":"&amp;dHdcp[[#This Row],[Nombre]]</f>
        <v>0:Nacho Casas</v>
      </c>
      <c r="I2362" t="str">
        <f>+dHdcp[[#This Row],[Maximo]]&amp;":"&amp;_xlfn.XLOOKUP(dHdcp[[#This Row],[Nombre]],dJugador[Nombre],dJugador[Mote],"",0)</f>
        <v>0:Nachete</v>
      </c>
      <c r="J2362" t="str">
        <f>+IF(dHdcp[[#This Row],[Maximo]]=0,"",_xlfn.RANK.EQ(dHdcp[[#This Row],[Handicap]],dHdcp[Handicap],1))</f>
        <v/>
      </c>
      <c r="K2362" t="str">
        <f>IFERROR(+_xlfn.RANK.EQ(dHdcp[[#This Row],[Ranking]],dHdcp[Ranking],1),"")</f>
        <v/>
      </c>
      <c r="M2362" t="str">
        <f>+dHdcp[[#This Row],[Fecha]]&amp;":"&amp;dHdcp[[#This Row],[Nombre]]</f>
        <v>45647:Nacho Casas</v>
      </c>
      <c r="N2362">
        <f>+COUNTIF(dHdcp[Columna1],dHdcp[[#This Row],[Columna1]])</f>
        <v>1</v>
      </c>
    </row>
    <row r="2363" spans="1:14">
      <c r="A2363" s="98">
        <v>45647</v>
      </c>
      <c r="B2363" s="46" t="s">
        <v>3</v>
      </c>
      <c r="C2363" s="104">
        <v>4.7</v>
      </c>
      <c r="D2363" s="46">
        <f>+VLOOKUP(dHdcp[[#This Row],[Handicap]],'Categoría Hdcap'!$B$2:$E$7,4)</f>
        <v>2</v>
      </c>
      <c r="E2363" s="46" t="s">
        <v>74</v>
      </c>
      <c r="F2363" s="92"/>
      <c r="G2363">
        <f>+IF(dHdcp[[#This Row],[Fecha]]=MAX(dHdcp[Fecha]),1,0)</f>
        <v>0</v>
      </c>
      <c r="H2363" t="str">
        <f>+dHdcp[[#This Row],[Maximo]]&amp;":"&amp;dHdcp[[#This Row],[Nombre]]</f>
        <v>0:Nacho Gonzalez</v>
      </c>
      <c r="I2363" t="str">
        <f>+dHdcp[[#This Row],[Maximo]]&amp;":"&amp;_xlfn.XLOOKUP(dHdcp[[#This Row],[Nombre]],dJugador[Nombre],dJugador[Mote],"",0)</f>
        <v>0:Nacho</v>
      </c>
      <c r="J2363" t="str">
        <f>+IF(dHdcp[[#This Row],[Maximo]]=0,"",_xlfn.RANK.EQ(dHdcp[[#This Row],[Handicap]],dHdcp[Handicap],1))</f>
        <v/>
      </c>
      <c r="K2363" t="str">
        <f>IFERROR(+_xlfn.RANK.EQ(dHdcp[[#This Row],[Ranking]],dHdcp[Ranking],1),"")</f>
        <v/>
      </c>
      <c r="M2363" t="str">
        <f>+dHdcp[[#This Row],[Fecha]]&amp;":"&amp;dHdcp[[#This Row],[Nombre]]</f>
        <v>45647:Nacho Gonzalez</v>
      </c>
      <c r="N2363">
        <f>+COUNTIF(dHdcp[Columna1],dHdcp[[#This Row],[Columna1]])</f>
        <v>1</v>
      </c>
    </row>
    <row r="2364" spans="1:14">
      <c r="A2364" s="98">
        <v>45647</v>
      </c>
      <c r="B2364" s="46" t="s">
        <v>203</v>
      </c>
      <c r="C2364" s="104">
        <v>17.100000000000001</v>
      </c>
      <c r="D2364" s="46">
        <f>+VLOOKUP(dHdcp[[#This Row],[Handicap]],'Categoría Hdcap'!$B$2:$E$7,4)</f>
        <v>3</v>
      </c>
      <c r="E2364" s="46" t="s">
        <v>74</v>
      </c>
      <c r="F2364" s="92"/>
      <c r="G2364">
        <f>+IF(dHdcp[[#This Row],[Fecha]]=MAX(dHdcp[Fecha]),1,0)</f>
        <v>0</v>
      </c>
      <c r="H2364" t="str">
        <f>+dHdcp[[#This Row],[Maximo]]&amp;":"&amp;dHdcp[[#This Row],[Nombre]]</f>
        <v>0:Ruslan Kochman</v>
      </c>
      <c r="I2364" t="str">
        <f>+dHdcp[[#This Row],[Maximo]]&amp;":"&amp;_xlfn.XLOOKUP(dHdcp[[#This Row],[Nombre]],dJugador[Nombre],dJugador[Mote],"",0)</f>
        <v>0:Rus</v>
      </c>
      <c r="J2364" t="str">
        <f>+IF(dHdcp[[#This Row],[Maximo]]=0,"",_xlfn.RANK.EQ(dHdcp[[#This Row],[Handicap]],dHdcp[Handicap],1))</f>
        <v/>
      </c>
      <c r="K2364" t="str">
        <f>IFERROR(+_xlfn.RANK.EQ(dHdcp[[#This Row],[Ranking]],dHdcp[Ranking],1),"")</f>
        <v/>
      </c>
      <c r="M2364" t="str">
        <f>+dHdcp[[#This Row],[Fecha]]&amp;":"&amp;dHdcp[[#This Row],[Nombre]]</f>
        <v>45647:Ruslan Kochman</v>
      </c>
      <c r="N2364">
        <f>+COUNTIF(dHdcp[Columna1],dHdcp[[#This Row],[Columna1]])</f>
        <v>1</v>
      </c>
    </row>
    <row r="2365" spans="1:14">
      <c r="A2365" s="98">
        <v>45647</v>
      </c>
      <c r="B2365" s="46" t="s">
        <v>271</v>
      </c>
      <c r="C2365" s="104">
        <v>16.399999999999999</v>
      </c>
      <c r="D2365" s="46">
        <f>+VLOOKUP(dHdcp[[#This Row],[Handicap]],'Categoría Hdcap'!$B$2:$E$7,4)</f>
        <v>3</v>
      </c>
      <c r="E2365" s="46" t="s">
        <v>74</v>
      </c>
      <c r="F2365" s="92"/>
      <c r="G2365">
        <f>+IF(dHdcp[[#This Row],[Fecha]]=MAX(dHdcp[Fecha]),1,0)</f>
        <v>0</v>
      </c>
      <c r="H2365" t="str">
        <f>+dHdcp[[#This Row],[Maximo]]&amp;":"&amp;dHdcp[[#This Row],[Nombre]]</f>
        <v>0:Santi Diaz</v>
      </c>
      <c r="I2365" t="str">
        <f>+dHdcp[[#This Row],[Maximo]]&amp;":"&amp;_xlfn.XLOOKUP(dHdcp[[#This Row],[Nombre]],dJugador[Nombre],dJugador[Mote],"",0)</f>
        <v>0:Santi</v>
      </c>
      <c r="J2365" t="str">
        <f>+IF(dHdcp[[#This Row],[Maximo]]=0,"",_xlfn.RANK.EQ(dHdcp[[#This Row],[Handicap]],dHdcp[Handicap],1))</f>
        <v/>
      </c>
      <c r="K2365" t="str">
        <f>IFERROR(+_xlfn.RANK.EQ(dHdcp[[#This Row],[Ranking]],dHdcp[Ranking],1),"")</f>
        <v/>
      </c>
      <c r="M2365" t="str">
        <f>+dHdcp[[#This Row],[Fecha]]&amp;":"&amp;dHdcp[[#This Row],[Nombre]]</f>
        <v>45647:Santi Diaz</v>
      </c>
      <c r="N2365">
        <f>+COUNTIF(dHdcp[Columna1],dHdcp[[#This Row],[Columna1]])</f>
        <v>1</v>
      </c>
    </row>
    <row r="2366" spans="1:14">
      <c r="A2366" s="98">
        <v>45647</v>
      </c>
      <c r="B2366" s="46" t="s">
        <v>2473</v>
      </c>
      <c r="C2366" s="100">
        <v>13.9</v>
      </c>
      <c r="D2366" s="46">
        <f>+VLOOKUP(dHdcp[[#This Row],[Handicap]],'Categoría Hdcap'!$B$2:$E$7,4)</f>
        <v>3</v>
      </c>
      <c r="E2366" s="46" t="s">
        <v>74</v>
      </c>
      <c r="F2366" s="92"/>
      <c r="G2366">
        <f>+IF(dHdcp[[#This Row],[Fecha]]=MAX(dHdcp[Fecha]),1,0)</f>
        <v>0</v>
      </c>
      <c r="H2366" t="str">
        <f>+dHdcp[[#This Row],[Maximo]]&amp;":"&amp;dHdcp[[#This Row],[Nombre]]</f>
        <v>0:Thomas Dauterman</v>
      </c>
      <c r="I2366" t="str">
        <f>+dHdcp[[#This Row],[Maximo]]&amp;":"&amp;_xlfn.XLOOKUP(dHdcp[[#This Row],[Nombre]],dJugador[Nombre],dJugador[Mote],"",0)</f>
        <v>0:Tom</v>
      </c>
      <c r="J2366" t="str">
        <f>+IF(dHdcp[[#This Row],[Maximo]]=0,"",_xlfn.RANK.EQ(dHdcp[[#This Row],[Handicap]],dHdcp[Handicap],1))</f>
        <v/>
      </c>
      <c r="K2366" t="str">
        <f>IFERROR(+_xlfn.RANK.EQ(dHdcp[[#This Row],[Ranking]],dHdcp[Ranking],1),"")</f>
        <v/>
      </c>
      <c r="M2366" t="str">
        <f>+dHdcp[[#This Row],[Fecha]]&amp;":"&amp;dHdcp[[#This Row],[Nombre]]</f>
        <v>45647:Thomas Dauterman</v>
      </c>
      <c r="N2366">
        <f>+COUNTIF(dHdcp[Columna1],dHdcp[[#This Row],[Columna1]])</f>
        <v>1</v>
      </c>
    </row>
    <row r="2367" spans="1:14">
      <c r="A2367" s="98">
        <v>45668</v>
      </c>
      <c r="B2367" s="46" t="s">
        <v>259</v>
      </c>
      <c r="C2367" s="104">
        <v>1.2</v>
      </c>
      <c r="D2367" s="46">
        <f>+VLOOKUP(dHdcp[[#This Row],[Handicap]],'Categoría Hdcap'!$B$2:$E$7,4)</f>
        <v>1</v>
      </c>
      <c r="E2367" s="46" t="s">
        <v>74</v>
      </c>
      <c r="F2367" s="92"/>
      <c r="G2367">
        <f>+IF(dHdcp[[#This Row],[Fecha]]=MAX(dHdcp[Fecha]),1,0)</f>
        <v>0</v>
      </c>
      <c r="H2367" t="str">
        <f>+dHdcp[[#This Row],[Maximo]]&amp;":"&amp;dHdcp[[#This Row],[Nombre]]</f>
        <v>0:Alejandro Arcos</v>
      </c>
      <c r="I2367" t="str">
        <f>+dHdcp[[#This Row],[Maximo]]&amp;":"&amp;_xlfn.XLOOKUP(dHdcp[[#This Row],[Nombre]],dJugador[Nombre],dJugador[Mote],"",0)</f>
        <v>0:Alex</v>
      </c>
      <c r="J2367" t="str">
        <f>+IF(dHdcp[[#This Row],[Maximo]]=0,"",_xlfn.RANK.EQ(dHdcp[[#This Row],[Handicap]],dHdcp[Handicap],1))</f>
        <v/>
      </c>
      <c r="K2367" t="str">
        <f>IFERROR(+_xlfn.RANK.EQ(dHdcp[[#This Row],[Ranking]],dHdcp[Ranking],1),"")</f>
        <v/>
      </c>
      <c r="M2367" t="str">
        <f>+dHdcp[[#This Row],[Fecha]]&amp;":"&amp;dHdcp[[#This Row],[Nombre]]</f>
        <v>45668:Alejandro Arcos</v>
      </c>
      <c r="N2367">
        <f>+COUNTIF(dHdcp[Columna1],dHdcp[[#This Row],[Columna1]])</f>
        <v>1</v>
      </c>
    </row>
    <row r="2368" spans="1:14">
      <c r="A2368" s="98">
        <v>45668</v>
      </c>
      <c r="B2368" s="46" t="s">
        <v>9</v>
      </c>
      <c r="C2368" s="104">
        <v>12.3</v>
      </c>
      <c r="D2368" s="46">
        <f>+VLOOKUP(dHdcp[[#This Row],[Handicap]],'Categoría Hdcap'!$B$2:$E$7,4)</f>
        <v>3</v>
      </c>
      <c r="E2368" s="46" t="s">
        <v>74</v>
      </c>
      <c r="F2368" s="92"/>
      <c r="G2368">
        <f>+IF(dHdcp[[#This Row],[Fecha]]=MAX(dHdcp[Fecha]),1,0)</f>
        <v>0</v>
      </c>
      <c r="H2368" t="str">
        <f>+dHdcp[[#This Row],[Maximo]]&amp;":"&amp;dHdcp[[#This Row],[Nombre]]</f>
        <v>0:Alfonso Hidalgo</v>
      </c>
      <c r="I2368" t="str">
        <f>+dHdcp[[#This Row],[Maximo]]&amp;":"&amp;_xlfn.XLOOKUP(dHdcp[[#This Row],[Nombre]],dJugador[Nombre],dJugador[Mote],"",0)</f>
        <v>0:Alfonso</v>
      </c>
      <c r="J2368" t="str">
        <f>+IF(dHdcp[[#This Row],[Maximo]]=0,"",_xlfn.RANK.EQ(dHdcp[[#This Row],[Handicap]],dHdcp[Handicap],1))</f>
        <v/>
      </c>
      <c r="K2368" t="str">
        <f>IFERROR(+_xlfn.RANK.EQ(dHdcp[[#This Row],[Ranking]],dHdcp[Ranking],1),"")</f>
        <v/>
      </c>
      <c r="M2368" t="str">
        <f>+dHdcp[[#This Row],[Fecha]]&amp;":"&amp;dHdcp[[#This Row],[Nombre]]</f>
        <v>45668:Alfonso Hidalgo</v>
      </c>
      <c r="N2368">
        <f>+COUNTIF(dHdcp[Columna1],dHdcp[[#This Row],[Columna1]])</f>
        <v>1</v>
      </c>
    </row>
    <row r="2369" spans="1:14">
      <c r="A2369" s="98">
        <v>45668</v>
      </c>
      <c r="B2369" s="46" t="s">
        <v>229</v>
      </c>
      <c r="C2369" s="104">
        <v>15</v>
      </c>
      <c r="D2369" s="46">
        <f>+VLOOKUP(dHdcp[[#This Row],[Handicap]],'Categoría Hdcap'!$B$2:$E$7,4)</f>
        <v>3</v>
      </c>
      <c r="E2369" s="46" t="s">
        <v>74</v>
      </c>
      <c r="F2369" s="92"/>
      <c r="G2369">
        <f>+IF(dHdcp[[#This Row],[Fecha]]=MAX(dHdcp[Fecha]),1,0)</f>
        <v>0</v>
      </c>
      <c r="H2369" t="str">
        <f>+dHdcp[[#This Row],[Maximo]]&amp;":"&amp;dHdcp[[#This Row],[Nombre]]</f>
        <v>0:Alfonso Zorrilla</v>
      </c>
      <c r="I2369" t="str">
        <f>+dHdcp[[#This Row],[Maximo]]&amp;":"&amp;_xlfn.XLOOKUP(dHdcp[[#This Row],[Nombre]],dJugador[Nombre],dJugador[Mote],"",0)</f>
        <v>0:A Zorrilla</v>
      </c>
      <c r="J2369" t="str">
        <f>+IF(dHdcp[[#This Row],[Maximo]]=0,"",_xlfn.RANK.EQ(dHdcp[[#This Row],[Handicap]],dHdcp[Handicap],1))</f>
        <v/>
      </c>
      <c r="K2369" t="str">
        <f>IFERROR(+_xlfn.RANK.EQ(dHdcp[[#This Row],[Ranking]],dHdcp[Ranking],1),"")</f>
        <v/>
      </c>
      <c r="M2369" t="str">
        <f>+dHdcp[[#This Row],[Fecha]]&amp;":"&amp;dHdcp[[#This Row],[Nombre]]</f>
        <v>45668:Alfonso Zorrilla</v>
      </c>
      <c r="N2369">
        <f>+COUNTIF(dHdcp[Columna1],dHdcp[[#This Row],[Columna1]])</f>
        <v>1</v>
      </c>
    </row>
    <row r="2370" spans="1:14">
      <c r="A2370" s="98">
        <v>45668</v>
      </c>
      <c r="B2370" s="46" t="s">
        <v>15</v>
      </c>
      <c r="C2370" s="104">
        <v>6</v>
      </c>
      <c r="D2370" s="46">
        <f>+VLOOKUP(dHdcp[[#This Row],[Handicap]],'Categoría Hdcap'!$B$2:$E$7,4)</f>
        <v>2</v>
      </c>
      <c r="E2370" s="46" t="s">
        <v>74</v>
      </c>
      <c r="F2370" s="92"/>
      <c r="G2370">
        <f>+IF(dHdcp[[#This Row],[Fecha]]=MAX(dHdcp[Fecha]),1,0)</f>
        <v>0</v>
      </c>
      <c r="H2370" t="str">
        <f>+dHdcp[[#This Row],[Maximo]]&amp;":"&amp;dHdcp[[#This Row],[Nombre]]</f>
        <v>0:Alvaro Aguirre</v>
      </c>
      <c r="I2370" t="str">
        <f>+dHdcp[[#This Row],[Maximo]]&amp;":"&amp;_xlfn.XLOOKUP(dHdcp[[#This Row],[Nombre]],dJugador[Nombre],dJugador[Mote],"",0)</f>
        <v>0:Gifu</v>
      </c>
      <c r="J2370" t="str">
        <f>+IF(dHdcp[[#This Row],[Maximo]]=0,"",_xlfn.RANK.EQ(dHdcp[[#This Row],[Handicap]],dHdcp[Handicap],1))</f>
        <v/>
      </c>
      <c r="K2370" t="str">
        <f>IFERROR(+_xlfn.RANK.EQ(dHdcp[[#This Row],[Ranking]],dHdcp[Ranking],1),"")</f>
        <v/>
      </c>
      <c r="M2370" t="str">
        <f>+dHdcp[[#This Row],[Fecha]]&amp;":"&amp;dHdcp[[#This Row],[Nombre]]</f>
        <v>45668:Alvaro Aguirre</v>
      </c>
      <c r="N2370">
        <f>+COUNTIF(dHdcp[Columna1],dHdcp[[#This Row],[Columna1]])</f>
        <v>1</v>
      </c>
    </row>
    <row r="2371" spans="1:14">
      <c r="A2371" s="98">
        <v>45668</v>
      </c>
      <c r="B2371" s="46" t="s">
        <v>201</v>
      </c>
      <c r="C2371" s="104">
        <v>8.8000000000000007</v>
      </c>
      <c r="D2371" s="46">
        <f>+VLOOKUP(dHdcp[[#This Row],[Handicap]],'Categoría Hdcap'!$B$2:$E$7,4)</f>
        <v>2</v>
      </c>
      <c r="E2371" s="46" t="s">
        <v>74</v>
      </c>
      <c r="F2371" s="92"/>
      <c r="G2371">
        <f>+IF(dHdcp[[#This Row],[Fecha]]=MAX(dHdcp[Fecha]),1,0)</f>
        <v>0</v>
      </c>
      <c r="H2371" t="str">
        <f>+dHdcp[[#This Row],[Maximo]]&amp;":"&amp;dHdcp[[#This Row],[Nombre]]</f>
        <v>0:Alvaro Montoya</v>
      </c>
      <c r="I2371" t="str">
        <f>+dHdcp[[#This Row],[Maximo]]&amp;":"&amp;_xlfn.XLOOKUP(dHdcp[[#This Row],[Nombre]],dJugador[Nombre],dJugador[Mote],"",0)</f>
        <v>0:Monti</v>
      </c>
      <c r="J2371" t="str">
        <f>+IF(dHdcp[[#This Row],[Maximo]]=0,"",_xlfn.RANK.EQ(dHdcp[[#This Row],[Handicap]],dHdcp[Handicap],1))</f>
        <v/>
      </c>
      <c r="K2371" t="str">
        <f>IFERROR(+_xlfn.RANK.EQ(dHdcp[[#This Row],[Ranking]],dHdcp[Ranking],1),"")</f>
        <v/>
      </c>
      <c r="M2371" t="str">
        <f>+dHdcp[[#This Row],[Fecha]]&amp;":"&amp;dHdcp[[#This Row],[Nombre]]</f>
        <v>45668:Alvaro Montoya</v>
      </c>
      <c r="N2371">
        <f>+COUNTIF(dHdcp[Columna1],dHdcp[[#This Row],[Columna1]])</f>
        <v>1</v>
      </c>
    </row>
    <row r="2372" spans="1:14">
      <c r="A2372" s="98">
        <v>45668</v>
      </c>
      <c r="B2372" s="46" t="s">
        <v>25</v>
      </c>
      <c r="C2372" s="104">
        <v>15.2</v>
      </c>
      <c r="D2372" s="46">
        <f>+VLOOKUP(dHdcp[[#This Row],[Handicap]],'Categoría Hdcap'!$B$2:$E$7,4)</f>
        <v>3</v>
      </c>
      <c r="E2372" s="46" t="s">
        <v>74</v>
      </c>
      <c r="F2372" s="92"/>
      <c r="G2372">
        <f>+IF(dHdcp[[#This Row],[Fecha]]=MAX(dHdcp[Fecha]),1,0)</f>
        <v>0</v>
      </c>
      <c r="H2372" t="str">
        <f>+dHdcp[[#This Row],[Maximo]]&amp;":"&amp;dHdcp[[#This Row],[Nombre]]</f>
        <v>0:Alvaro Nieto</v>
      </c>
      <c r="I2372" t="str">
        <f>+dHdcp[[#This Row],[Maximo]]&amp;":"&amp;_xlfn.XLOOKUP(dHdcp[[#This Row],[Nombre]],dJugador[Nombre],dJugador[Mote],"",0)</f>
        <v>0:Alvaro</v>
      </c>
      <c r="J2372" t="str">
        <f>+IF(dHdcp[[#This Row],[Maximo]]=0,"",_xlfn.RANK.EQ(dHdcp[[#This Row],[Handicap]],dHdcp[Handicap],1))</f>
        <v/>
      </c>
      <c r="K2372" t="str">
        <f>IFERROR(+_xlfn.RANK.EQ(dHdcp[[#This Row],[Ranking]],dHdcp[Ranking],1),"")</f>
        <v/>
      </c>
      <c r="M2372" t="str">
        <f>+dHdcp[[#This Row],[Fecha]]&amp;":"&amp;dHdcp[[#This Row],[Nombre]]</f>
        <v>45668:Alvaro Nieto</v>
      </c>
      <c r="N2372">
        <f>+COUNTIF(dHdcp[Columna1],dHdcp[[#This Row],[Columna1]])</f>
        <v>1</v>
      </c>
    </row>
    <row r="2373" spans="1:14">
      <c r="A2373" s="98">
        <v>45668</v>
      </c>
      <c r="B2373" s="46" t="s">
        <v>33</v>
      </c>
      <c r="C2373" s="104">
        <v>8.6999999999999993</v>
      </c>
      <c r="D2373" s="46">
        <f>+VLOOKUP(dHdcp[[#This Row],[Handicap]],'Categoría Hdcap'!$B$2:$E$7,4)</f>
        <v>2</v>
      </c>
      <c r="E2373" s="46" t="s">
        <v>74</v>
      </c>
      <c r="F2373" s="92"/>
      <c r="G2373">
        <f>+IF(dHdcp[[#This Row],[Fecha]]=MAX(dHdcp[Fecha]),1,0)</f>
        <v>0</v>
      </c>
      <c r="H2373" t="str">
        <f>+dHdcp[[#This Row],[Maximo]]&amp;":"&amp;dHdcp[[#This Row],[Nombre]]</f>
        <v>0:Angel Hernandez</v>
      </c>
      <c r="I2373" t="str">
        <f>+dHdcp[[#This Row],[Maximo]]&amp;":"&amp;_xlfn.XLOOKUP(dHdcp[[#This Row],[Nombre]],dJugador[Nombre],dJugador[Mote],"",0)</f>
        <v>0:Angel</v>
      </c>
      <c r="J2373" t="str">
        <f>+IF(dHdcp[[#This Row],[Maximo]]=0,"",_xlfn.RANK.EQ(dHdcp[[#This Row],[Handicap]],dHdcp[Handicap],1))</f>
        <v/>
      </c>
      <c r="K2373" t="str">
        <f>IFERROR(+_xlfn.RANK.EQ(dHdcp[[#This Row],[Ranking]],dHdcp[Ranking],1),"")</f>
        <v/>
      </c>
      <c r="M2373" t="str">
        <f>+dHdcp[[#This Row],[Fecha]]&amp;":"&amp;dHdcp[[#This Row],[Nombre]]</f>
        <v>45668:Angel Hernandez</v>
      </c>
      <c r="N2373">
        <f>+COUNTIF(dHdcp[Columna1],dHdcp[[#This Row],[Columna1]])</f>
        <v>1</v>
      </c>
    </row>
    <row r="2374" spans="1:14">
      <c r="A2374" s="98">
        <v>45668</v>
      </c>
      <c r="B2374" s="46" t="s">
        <v>2469</v>
      </c>
      <c r="C2374" s="104">
        <v>6.3</v>
      </c>
      <c r="D2374" s="46">
        <f>+VLOOKUP(dHdcp[[#This Row],[Handicap]],'Categoría Hdcap'!$B$2:$E$7,4)</f>
        <v>2</v>
      </c>
      <c r="E2374" s="46" t="s">
        <v>74</v>
      </c>
      <c r="F2374" s="92"/>
      <c r="G2374">
        <f>+IF(dHdcp[[#This Row],[Fecha]]=MAX(dHdcp[Fecha]),1,0)</f>
        <v>0</v>
      </c>
      <c r="H2374" t="str">
        <f>+dHdcp[[#This Row],[Maximo]]&amp;":"&amp;dHdcp[[#This Row],[Nombre]]</f>
        <v>0:Angel Santana</v>
      </c>
      <c r="I2374" t="str">
        <f>+dHdcp[[#This Row],[Maximo]]&amp;":"&amp;_xlfn.XLOOKUP(dHdcp[[#This Row],[Nombre]],dJugador[Nombre],dJugador[Mote],"",0)</f>
        <v>0:A.Santana</v>
      </c>
      <c r="J2374" t="str">
        <f>+IF(dHdcp[[#This Row],[Maximo]]=0,"",_xlfn.RANK.EQ(dHdcp[[#This Row],[Handicap]],dHdcp[Handicap],1))</f>
        <v/>
      </c>
      <c r="K2374" t="str">
        <f>IFERROR(+_xlfn.RANK.EQ(dHdcp[[#This Row],[Ranking]],dHdcp[Ranking],1),"")</f>
        <v/>
      </c>
      <c r="M2374" t="str">
        <f>+dHdcp[[#This Row],[Fecha]]&amp;":"&amp;dHdcp[[#This Row],[Nombre]]</f>
        <v>45668:Angel Santana</v>
      </c>
      <c r="N2374">
        <f>+COUNTIF(dHdcp[Columna1],dHdcp[[#This Row],[Columna1]])</f>
        <v>1</v>
      </c>
    </row>
    <row r="2375" spans="1:14">
      <c r="A2375" s="98">
        <v>45668</v>
      </c>
      <c r="B2375" s="46" t="s">
        <v>264</v>
      </c>
      <c r="C2375" s="104">
        <v>18.899999999999999</v>
      </c>
      <c r="D2375" s="46">
        <f>+VLOOKUP(dHdcp[[#This Row],[Handicap]],'Categoría Hdcap'!$B$2:$E$7,4)</f>
        <v>4</v>
      </c>
      <c r="E2375" s="46" t="s">
        <v>74</v>
      </c>
      <c r="F2375" s="92"/>
      <c r="G2375">
        <f>+IF(dHdcp[[#This Row],[Fecha]]=MAX(dHdcp[Fecha]),1,0)</f>
        <v>0</v>
      </c>
      <c r="H2375" t="str">
        <f>+dHdcp[[#This Row],[Maximo]]&amp;":"&amp;dHdcp[[#This Row],[Nombre]]</f>
        <v>0:Antonio Carmona</v>
      </c>
      <c r="I2375" t="str">
        <f>+dHdcp[[#This Row],[Maximo]]&amp;":"&amp;_xlfn.XLOOKUP(dHdcp[[#This Row],[Nombre]],dJugador[Nombre],dJugador[Mote],"",0)</f>
        <v>0:Antonio</v>
      </c>
      <c r="J2375" t="str">
        <f>+IF(dHdcp[[#This Row],[Maximo]]=0,"",_xlfn.RANK.EQ(dHdcp[[#This Row],[Handicap]],dHdcp[Handicap],1))</f>
        <v/>
      </c>
      <c r="K2375" t="str">
        <f>IFERROR(+_xlfn.RANK.EQ(dHdcp[[#This Row],[Ranking]],dHdcp[Ranking],1),"")</f>
        <v/>
      </c>
      <c r="M2375" t="str">
        <f>+dHdcp[[#This Row],[Fecha]]&amp;":"&amp;dHdcp[[#This Row],[Nombre]]</f>
        <v>45668:Antonio Carmona</v>
      </c>
      <c r="N2375">
        <f>+COUNTIF(dHdcp[Columna1],dHdcp[[#This Row],[Columna1]])</f>
        <v>1</v>
      </c>
    </row>
    <row r="2376" spans="1:14">
      <c r="A2376" s="98">
        <v>45668</v>
      </c>
      <c r="B2376" s="46" t="s">
        <v>291</v>
      </c>
      <c r="C2376" s="104">
        <v>1.3</v>
      </c>
      <c r="D2376" s="46">
        <f>+VLOOKUP(dHdcp[[#This Row],[Handicap]],'Categoría Hdcap'!$B$2:$E$7,4)</f>
        <v>1</v>
      </c>
      <c r="E2376" s="46" t="s">
        <v>74</v>
      </c>
      <c r="F2376" s="92"/>
      <c r="G2376">
        <f>+IF(dHdcp[[#This Row],[Fecha]]=MAX(dHdcp[Fecha]),1,0)</f>
        <v>0</v>
      </c>
      <c r="H2376" t="str">
        <f>+dHdcp[[#This Row],[Maximo]]&amp;":"&amp;dHdcp[[#This Row],[Nombre]]</f>
        <v>0:Carlos Maestro</v>
      </c>
      <c r="I2376" t="str">
        <f>+dHdcp[[#This Row],[Maximo]]&amp;":"&amp;_xlfn.XLOOKUP(dHdcp[[#This Row],[Nombre]],dJugador[Nombre],dJugador[Mote],"",0)</f>
        <v>0:Carlitos</v>
      </c>
      <c r="J2376" t="str">
        <f>+IF(dHdcp[[#This Row],[Maximo]]=0,"",_xlfn.RANK.EQ(dHdcp[[#This Row],[Handicap]],dHdcp[Handicap],1))</f>
        <v/>
      </c>
      <c r="K2376" t="str">
        <f>IFERROR(+_xlfn.RANK.EQ(dHdcp[[#This Row],[Ranking]],dHdcp[Ranking],1),"")</f>
        <v/>
      </c>
      <c r="M2376" t="str">
        <f>+dHdcp[[#This Row],[Fecha]]&amp;":"&amp;dHdcp[[#This Row],[Nombre]]</f>
        <v>45668:Carlos Maestro</v>
      </c>
      <c r="N2376">
        <f>+COUNTIF(dHdcp[Columna1],dHdcp[[#This Row],[Columna1]])</f>
        <v>1</v>
      </c>
    </row>
    <row r="2377" spans="1:14">
      <c r="A2377" s="98">
        <v>45668</v>
      </c>
      <c r="B2377" s="46" t="s">
        <v>30</v>
      </c>
      <c r="C2377" s="104">
        <v>14.3</v>
      </c>
      <c r="D2377" s="46">
        <f>+VLOOKUP(dHdcp[[#This Row],[Handicap]],'Categoría Hdcap'!$B$2:$E$7,4)</f>
        <v>3</v>
      </c>
      <c r="E2377" s="46" t="s">
        <v>74</v>
      </c>
      <c r="F2377" s="92"/>
      <c r="G2377">
        <f>+IF(dHdcp[[#This Row],[Fecha]]=MAX(dHdcp[Fecha]),1,0)</f>
        <v>0</v>
      </c>
      <c r="H2377" t="str">
        <f>+dHdcp[[#This Row],[Maximo]]&amp;":"&amp;dHdcp[[#This Row],[Nombre]]</f>
        <v>0:David Sequera</v>
      </c>
      <c r="I2377" t="str">
        <f>+dHdcp[[#This Row],[Maximo]]&amp;":"&amp;_xlfn.XLOOKUP(dHdcp[[#This Row],[Nombre]],dJugador[Nombre],dJugador[Mote],"",0)</f>
        <v>0:David</v>
      </c>
      <c r="J2377" t="str">
        <f>+IF(dHdcp[[#This Row],[Maximo]]=0,"",_xlfn.RANK.EQ(dHdcp[[#This Row],[Handicap]],dHdcp[Handicap],1))</f>
        <v/>
      </c>
      <c r="K2377" t="str">
        <f>IFERROR(+_xlfn.RANK.EQ(dHdcp[[#This Row],[Ranking]],dHdcp[Ranking],1),"")</f>
        <v/>
      </c>
      <c r="M2377" t="str">
        <f>+dHdcp[[#This Row],[Fecha]]&amp;":"&amp;dHdcp[[#This Row],[Nombre]]</f>
        <v>45668:David Sequera</v>
      </c>
      <c r="N2377">
        <f>+COUNTIF(dHdcp[Columna1],dHdcp[[#This Row],[Columna1]])</f>
        <v>1</v>
      </c>
    </row>
    <row r="2378" spans="1:14">
      <c r="A2378" s="98">
        <v>45668</v>
      </c>
      <c r="B2378" s="46" t="s">
        <v>326</v>
      </c>
      <c r="C2378" s="104">
        <v>8.8000000000000007</v>
      </c>
      <c r="D2378" s="46">
        <f>+VLOOKUP(dHdcp[[#This Row],[Handicap]],'Categoría Hdcap'!$B$2:$E$7,4)</f>
        <v>2</v>
      </c>
      <c r="E2378" s="46" t="s">
        <v>74</v>
      </c>
      <c r="F2378" s="92"/>
      <c r="G2378">
        <f>+IF(dHdcp[[#This Row],[Fecha]]=MAX(dHdcp[Fecha]),1,0)</f>
        <v>0</v>
      </c>
      <c r="H2378" t="str">
        <f>+dHdcp[[#This Row],[Maximo]]&amp;":"&amp;dHdcp[[#This Row],[Nombre]]</f>
        <v>0:Eduardo Buendía</v>
      </c>
      <c r="I2378" t="str">
        <f>+dHdcp[[#This Row],[Maximo]]&amp;":"&amp;_xlfn.XLOOKUP(dHdcp[[#This Row],[Nombre]],dJugador[Nombre],dJugador[Mote],"",0)</f>
        <v>0:Eduardo</v>
      </c>
      <c r="J2378" t="str">
        <f>+IF(dHdcp[[#This Row],[Maximo]]=0,"",_xlfn.RANK.EQ(dHdcp[[#This Row],[Handicap]],dHdcp[Handicap],1))</f>
        <v/>
      </c>
      <c r="K2378" t="str">
        <f>IFERROR(+_xlfn.RANK.EQ(dHdcp[[#This Row],[Ranking]],dHdcp[Ranking],1),"")</f>
        <v/>
      </c>
      <c r="M2378" t="str">
        <f>+dHdcp[[#This Row],[Fecha]]&amp;":"&amp;dHdcp[[#This Row],[Nombre]]</f>
        <v>45668:Eduardo Buendía</v>
      </c>
      <c r="N2378">
        <f>+COUNTIF(dHdcp[Columna1],dHdcp[[#This Row],[Columna1]])</f>
        <v>1</v>
      </c>
    </row>
    <row r="2379" spans="1:14">
      <c r="A2379" s="98">
        <v>45668</v>
      </c>
      <c r="B2379" s="46" t="s">
        <v>248</v>
      </c>
      <c r="C2379" s="104">
        <v>13.5</v>
      </c>
      <c r="D2379" s="46">
        <f>+VLOOKUP(dHdcp[[#This Row],[Handicap]],'Categoría Hdcap'!$B$2:$E$7,4)</f>
        <v>3</v>
      </c>
      <c r="E2379" s="46" t="s">
        <v>74</v>
      </c>
      <c r="F2379" s="92"/>
      <c r="G2379">
        <f>+IF(dHdcp[[#This Row],[Fecha]]=MAX(dHdcp[Fecha]),1,0)</f>
        <v>0</v>
      </c>
      <c r="H2379" t="str">
        <f>+dHdcp[[#This Row],[Maximo]]&amp;":"&amp;dHdcp[[#This Row],[Nombre]]</f>
        <v>0:Enrique Gonzalez R</v>
      </c>
      <c r="I2379" t="str">
        <f>+dHdcp[[#This Row],[Maximo]]&amp;":"&amp;_xlfn.XLOOKUP(dHdcp[[#This Row],[Nombre]],dJugador[Nombre],dJugador[Mote],"",0)</f>
        <v>0:Enrique</v>
      </c>
      <c r="J2379" t="str">
        <f>+IF(dHdcp[[#This Row],[Maximo]]=0,"",_xlfn.RANK.EQ(dHdcp[[#This Row],[Handicap]],dHdcp[Handicap],1))</f>
        <v/>
      </c>
      <c r="K2379" t="str">
        <f>IFERROR(+_xlfn.RANK.EQ(dHdcp[[#This Row],[Ranking]],dHdcp[Ranking],1),"")</f>
        <v/>
      </c>
      <c r="M2379" t="str">
        <f>+dHdcp[[#This Row],[Fecha]]&amp;":"&amp;dHdcp[[#This Row],[Nombre]]</f>
        <v>45668:Enrique Gonzalez R</v>
      </c>
      <c r="N2379">
        <f>+COUNTIF(dHdcp[Columna1],dHdcp[[#This Row],[Columna1]])</f>
        <v>1</v>
      </c>
    </row>
    <row r="2380" spans="1:14">
      <c r="A2380" s="98">
        <v>45668</v>
      </c>
      <c r="B2380" s="46" t="s">
        <v>12</v>
      </c>
      <c r="C2380" s="104">
        <v>15.7</v>
      </c>
      <c r="D2380" s="46">
        <f>+VLOOKUP(dHdcp[[#This Row],[Handicap]],'Categoría Hdcap'!$B$2:$E$7,4)</f>
        <v>3</v>
      </c>
      <c r="E2380" s="46" t="s">
        <v>74</v>
      </c>
      <c r="F2380" s="92"/>
      <c r="G2380">
        <f>+IF(dHdcp[[#This Row],[Fecha]]=MAX(dHdcp[Fecha]),1,0)</f>
        <v>0</v>
      </c>
      <c r="H2380" t="str">
        <f>+dHdcp[[#This Row],[Maximo]]&amp;":"&amp;dHdcp[[#This Row],[Nombre]]</f>
        <v>0:Francisco Alvarez</v>
      </c>
      <c r="I2380" t="str">
        <f>+dHdcp[[#This Row],[Maximo]]&amp;":"&amp;_xlfn.XLOOKUP(dHdcp[[#This Row],[Nombre]],dJugador[Nombre],dJugador[Mote],"",0)</f>
        <v>0:Paco</v>
      </c>
      <c r="J2380" t="str">
        <f>+IF(dHdcp[[#This Row],[Maximo]]=0,"",_xlfn.RANK.EQ(dHdcp[[#This Row],[Handicap]],dHdcp[Handicap],1))</f>
        <v/>
      </c>
      <c r="K2380" t="str">
        <f>IFERROR(+_xlfn.RANK.EQ(dHdcp[[#This Row],[Ranking]],dHdcp[Ranking],1),"")</f>
        <v/>
      </c>
      <c r="M2380" t="str">
        <f>+dHdcp[[#This Row],[Fecha]]&amp;":"&amp;dHdcp[[#This Row],[Nombre]]</f>
        <v>45668:Francisco Alvarez</v>
      </c>
      <c r="N2380">
        <f>+COUNTIF(dHdcp[Columna1],dHdcp[[#This Row],[Columna1]])</f>
        <v>1</v>
      </c>
    </row>
    <row r="2381" spans="1:14">
      <c r="A2381" s="98">
        <v>45668</v>
      </c>
      <c r="B2381" s="46" t="s">
        <v>49</v>
      </c>
      <c r="C2381" s="104">
        <v>14.3</v>
      </c>
      <c r="D2381" s="46">
        <f>+VLOOKUP(dHdcp[[#This Row],[Handicap]],'Categoría Hdcap'!$B$2:$E$7,4)</f>
        <v>3</v>
      </c>
      <c r="E2381" s="46" t="s">
        <v>74</v>
      </c>
      <c r="F2381" s="92"/>
      <c r="G2381">
        <f>+IF(dHdcp[[#This Row],[Fecha]]=MAX(dHdcp[Fecha]),1,0)</f>
        <v>0</v>
      </c>
      <c r="H2381" t="str">
        <f>+dHdcp[[#This Row],[Maximo]]&amp;":"&amp;dHdcp[[#This Row],[Nombre]]</f>
        <v>0:Francisco Hidalgo</v>
      </c>
      <c r="I2381" t="str">
        <f>+dHdcp[[#This Row],[Maximo]]&amp;":"&amp;_xlfn.XLOOKUP(dHdcp[[#This Row],[Nombre]],dJugador[Nombre],dJugador[Mote],"",0)</f>
        <v>0:Fran</v>
      </c>
      <c r="J2381" t="str">
        <f>+IF(dHdcp[[#This Row],[Maximo]]=0,"",_xlfn.RANK.EQ(dHdcp[[#This Row],[Handicap]],dHdcp[Handicap],1))</f>
        <v/>
      </c>
      <c r="K2381" t="str">
        <f>IFERROR(+_xlfn.RANK.EQ(dHdcp[[#This Row],[Ranking]],dHdcp[Ranking],1),"")</f>
        <v/>
      </c>
      <c r="M2381" t="str">
        <f>+dHdcp[[#This Row],[Fecha]]&amp;":"&amp;dHdcp[[#This Row],[Nombre]]</f>
        <v>45668:Francisco Hidalgo</v>
      </c>
      <c r="N2381">
        <f>+COUNTIF(dHdcp[Columna1],dHdcp[[#This Row],[Columna1]])</f>
        <v>1</v>
      </c>
    </row>
    <row r="2382" spans="1:14">
      <c r="A2382" s="98">
        <v>45668</v>
      </c>
      <c r="B2382" s="46" t="s">
        <v>207</v>
      </c>
      <c r="C2382" s="104">
        <v>15</v>
      </c>
      <c r="D2382" s="46">
        <f>+VLOOKUP(dHdcp[[#This Row],[Handicap]],'Categoría Hdcap'!$B$2:$E$7,4)</f>
        <v>3</v>
      </c>
      <c r="E2382" s="46" t="s">
        <v>74</v>
      </c>
      <c r="F2382" s="92"/>
      <c r="G2382">
        <f>+IF(dHdcp[[#This Row],[Fecha]]=MAX(dHdcp[Fecha]),1,0)</f>
        <v>0</v>
      </c>
      <c r="H2382" t="str">
        <f>+dHdcp[[#This Row],[Maximo]]&amp;":"&amp;dHdcp[[#This Row],[Nombre]]</f>
        <v>0:Franck Benouniche</v>
      </c>
      <c r="I2382" t="str">
        <f>+dHdcp[[#This Row],[Maximo]]&amp;":"&amp;_xlfn.XLOOKUP(dHdcp[[#This Row],[Nombre]],dJugador[Nombre],dJugador[Mote],"",0)</f>
        <v>0:Franck</v>
      </c>
      <c r="J2382" t="str">
        <f>+IF(dHdcp[[#This Row],[Maximo]]=0,"",_xlfn.RANK.EQ(dHdcp[[#This Row],[Handicap]],dHdcp[Handicap],1))</f>
        <v/>
      </c>
      <c r="K2382" t="str">
        <f>IFERROR(+_xlfn.RANK.EQ(dHdcp[[#This Row],[Ranking]],dHdcp[Ranking],1),"")</f>
        <v/>
      </c>
      <c r="M2382" t="str">
        <f>+dHdcp[[#This Row],[Fecha]]&amp;":"&amp;dHdcp[[#This Row],[Nombre]]</f>
        <v>45668:Franck Benouniche</v>
      </c>
      <c r="N2382">
        <f>+COUNTIF(dHdcp[Columna1],dHdcp[[#This Row],[Columna1]])</f>
        <v>1</v>
      </c>
    </row>
    <row r="2383" spans="1:14">
      <c r="A2383" s="98">
        <v>45668</v>
      </c>
      <c r="B2383" s="46" t="s">
        <v>35</v>
      </c>
      <c r="C2383" s="104">
        <v>19.399999999999999</v>
      </c>
      <c r="D2383" s="46">
        <f>+VLOOKUP(dHdcp[[#This Row],[Handicap]],'Categoría Hdcap'!$B$2:$E$7,4)</f>
        <v>4</v>
      </c>
      <c r="E2383" s="46" t="s">
        <v>74</v>
      </c>
      <c r="F2383" s="92"/>
      <c r="G2383">
        <f>+IF(dHdcp[[#This Row],[Fecha]]=MAX(dHdcp[Fecha]),1,0)</f>
        <v>0</v>
      </c>
      <c r="H2383" t="str">
        <f>+dHdcp[[#This Row],[Maximo]]&amp;":"&amp;dHdcp[[#This Row],[Nombre]]</f>
        <v>0:GLEZ JUAN JOSÉ</v>
      </c>
      <c r="I2383" t="str">
        <f>+dHdcp[[#This Row],[Maximo]]&amp;":"&amp;_xlfn.XLOOKUP(dHdcp[[#This Row],[Nombre]],dJugador[Nombre],dJugador[Mote],"",0)</f>
        <v>0:Juanjo</v>
      </c>
      <c r="J2383" t="str">
        <f>+IF(dHdcp[[#This Row],[Maximo]]=0,"",_xlfn.RANK.EQ(dHdcp[[#This Row],[Handicap]],dHdcp[Handicap],1))</f>
        <v/>
      </c>
      <c r="K2383" t="str">
        <f>IFERROR(+_xlfn.RANK.EQ(dHdcp[[#This Row],[Ranking]],dHdcp[Ranking],1),"")</f>
        <v/>
      </c>
      <c r="M2383" t="str">
        <f>+dHdcp[[#This Row],[Fecha]]&amp;":"&amp;dHdcp[[#This Row],[Nombre]]</f>
        <v>45668:GLEZ JUAN JOSÉ</v>
      </c>
      <c r="N2383">
        <f>+COUNTIF(dHdcp[Columna1],dHdcp[[#This Row],[Columna1]])</f>
        <v>1</v>
      </c>
    </row>
    <row r="2384" spans="1:14">
      <c r="A2384" s="98">
        <v>45668</v>
      </c>
      <c r="B2384" s="46" t="s">
        <v>6</v>
      </c>
      <c r="C2384" s="104">
        <v>6.8</v>
      </c>
      <c r="D2384" s="46">
        <f>+VLOOKUP(dHdcp[[#This Row],[Handicap]],'Categoría Hdcap'!$B$2:$E$7,4)</f>
        <v>2</v>
      </c>
      <c r="E2384" s="46" t="s">
        <v>74</v>
      </c>
      <c r="F2384" s="92"/>
      <c r="G2384">
        <f>+IF(dHdcp[[#This Row],[Fecha]]=MAX(dHdcp[Fecha]),1,0)</f>
        <v>0</v>
      </c>
      <c r="H2384" t="str">
        <f>+dHdcp[[#This Row],[Maximo]]&amp;":"&amp;dHdcp[[#This Row],[Nombre]]</f>
        <v>0:Ignacio Cadarso</v>
      </c>
      <c r="I2384" t="str">
        <f>+dHdcp[[#This Row],[Maximo]]&amp;":"&amp;_xlfn.XLOOKUP(dHdcp[[#This Row],[Nombre]],dJugador[Nombre],dJugador[Mote],"",0)</f>
        <v>0:Ignacio</v>
      </c>
      <c r="J2384" t="str">
        <f>+IF(dHdcp[[#This Row],[Maximo]]=0,"",_xlfn.RANK.EQ(dHdcp[[#This Row],[Handicap]],dHdcp[Handicap],1))</f>
        <v/>
      </c>
      <c r="K2384" t="str">
        <f>IFERROR(+_xlfn.RANK.EQ(dHdcp[[#This Row],[Ranking]],dHdcp[Ranking],1),"")</f>
        <v/>
      </c>
      <c r="M2384" t="str">
        <f>+dHdcp[[#This Row],[Fecha]]&amp;":"&amp;dHdcp[[#This Row],[Nombre]]</f>
        <v>45668:Ignacio Cadarso</v>
      </c>
      <c r="N2384">
        <f>+COUNTIF(dHdcp[Columna1],dHdcp[[#This Row],[Columna1]])</f>
        <v>1</v>
      </c>
    </row>
    <row r="2385" spans="1:14">
      <c r="A2385" s="98">
        <v>45668</v>
      </c>
      <c r="B2385" s="46" t="s">
        <v>298</v>
      </c>
      <c r="C2385" s="104">
        <v>23.7</v>
      </c>
      <c r="D2385" s="46">
        <f>+VLOOKUP(dHdcp[[#This Row],[Handicap]],'Categoría Hdcap'!$B$2:$E$7,4)</f>
        <v>4</v>
      </c>
      <c r="E2385" s="46" t="s">
        <v>74</v>
      </c>
      <c r="F2385" s="92"/>
      <c r="G2385">
        <f>+IF(dHdcp[[#This Row],[Fecha]]=MAX(dHdcp[Fecha]),1,0)</f>
        <v>0</v>
      </c>
      <c r="H2385" t="str">
        <f>+dHdcp[[#This Row],[Maximo]]&amp;":"&amp;dHdcp[[#This Row],[Nombre]]</f>
        <v>0:Ignacio Gracia Charlez</v>
      </c>
      <c r="I2385" t="str">
        <f>+dHdcp[[#This Row],[Maximo]]&amp;":"&amp;_xlfn.XLOOKUP(dHdcp[[#This Row],[Nombre]],dJugador[Nombre],dJugador[Mote],"",0)</f>
        <v>0:I Gracia</v>
      </c>
      <c r="J2385" t="str">
        <f>+IF(dHdcp[[#This Row],[Maximo]]=0,"",_xlfn.RANK.EQ(dHdcp[[#This Row],[Handicap]],dHdcp[Handicap],1))</f>
        <v/>
      </c>
      <c r="K2385" t="str">
        <f>IFERROR(+_xlfn.RANK.EQ(dHdcp[[#This Row],[Ranking]],dHdcp[Ranking],1),"")</f>
        <v/>
      </c>
      <c r="M2385" t="str">
        <f>+dHdcp[[#This Row],[Fecha]]&amp;":"&amp;dHdcp[[#This Row],[Nombre]]</f>
        <v>45668:Ignacio Gracia Charlez</v>
      </c>
      <c r="N2385">
        <f>+COUNTIF(dHdcp[Columna1],dHdcp[[#This Row],[Columna1]])</f>
        <v>1</v>
      </c>
    </row>
    <row r="2386" spans="1:14">
      <c r="A2386" s="98">
        <v>45668</v>
      </c>
      <c r="B2386" s="46" t="s">
        <v>23</v>
      </c>
      <c r="C2386" s="104">
        <v>19.600000000000001</v>
      </c>
      <c r="D2386" s="46">
        <f>+VLOOKUP(dHdcp[[#This Row],[Handicap]],'Categoría Hdcap'!$B$2:$E$7,4)</f>
        <v>4</v>
      </c>
      <c r="E2386" s="46" t="s">
        <v>74</v>
      </c>
      <c r="F2386" s="92"/>
      <c r="G2386">
        <f>+IF(dHdcp[[#This Row],[Fecha]]=MAX(dHdcp[Fecha]),1,0)</f>
        <v>0</v>
      </c>
      <c r="H2386" t="str">
        <f>+dHdcp[[#This Row],[Maximo]]&amp;":"&amp;dHdcp[[#This Row],[Nombre]]</f>
        <v>0:J. Enrique Gonzalez</v>
      </c>
      <c r="I2386" t="str">
        <f>+dHdcp[[#This Row],[Maximo]]&amp;":"&amp;_xlfn.XLOOKUP(dHdcp[[#This Row],[Nombre]],dJugador[Nombre],dJugador[Mote],"",0)</f>
        <v>0:Kike</v>
      </c>
      <c r="J2386" t="str">
        <f>+IF(dHdcp[[#This Row],[Maximo]]=0,"",_xlfn.RANK.EQ(dHdcp[[#This Row],[Handicap]],dHdcp[Handicap],1))</f>
        <v/>
      </c>
      <c r="K2386" t="str">
        <f>IFERROR(+_xlfn.RANK.EQ(dHdcp[[#This Row],[Ranking]],dHdcp[Ranking],1),"")</f>
        <v/>
      </c>
      <c r="M2386" t="str">
        <f>+dHdcp[[#This Row],[Fecha]]&amp;":"&amp;dHdcp[[#This Row],[Nombre]]</f>
        <v>45668:J. Enrique Gonzalez</v>
      </c>
      <c r="N2386">
        <f>+COUNTIF(dHdcp[Columna1],dHdcp[[#This Row],[Columna1]])</f>
        <v>1</v>
      </c>
    </row>
    <row r="2387" spans="1:14">
      <c r="A2387" s="98">
        <v>45668</v>
      </c>
      <c r="B2387" s="46" t="s">
        <v>289</v>
      </c>
      <c r="C2387" s="104">
        <v>8</v>
      </c>
      <c r="D2387" s="46">
        <f>+VLOOKUP(dHdcp[[#This Row],[Handicap]],'Categoría Hdcap'!$B$2:$E$7,4)</f>
        <v>2</v>
      </c>
      <c r="E2387" s="46" t="s">
        <v>74</v>
      </c>
      <c r="F2387" s="92"/>
      <c r="G2387">
        <f>+IF(dHdcp[[#This Row],[Fecha]]=MAX(dHdcp[Fecha]),1,0)</f>
        <v>0</v>
      </c>
      <c r="H2387" t="str">
        <f>+dHdcp[[#This Row],[Maximo]]&amp;":"&amp;dHdcp[[#This Row],[Nombre]]</f>
        <v>0:Jaime Villanueva</v>
      </c>
      <c r="I2387" t="str">
        <f>+dHdcp[[#This Row],[Maximo]]&amp;":"&amp;_xlfn.XLOOKUP(dHdcp[[#This Row],[Nombre]],dJugador[Nombre],dJugador[Mote],"",0)</f>
        <v>0:Villanueva</v>
      </c>
      <c r="J2387" t="str">
        <f>+IF(dHdcp[[#This Row],[Maximo]]=0,"",_xlfn.RANK.EQ(dHdcp[[#This Row],[Handicap]],dHdcp[Handicap],1))</f>
        <v/>
      </c>
      <c r="K2387" t="str">
        <f>IFERROR(+_xlfn.RANK.EQ(dHdcp[[#This Row],[Ranking]],dHdcp[Ranking],1),"")</f>
        <v/>
      </c>
      <c r="M2387" t="str">
        <f>+dHdcp[[#This Row],[Fecha]]&amp;":"&amp;dHdcp[[#This Row],[Nombre]]</f>
        <v>45668:Jaime Villanueva</v>
      </c>
      <c r="N2387">
        <f>+COUNTIF(dHdcp[Columna1],dHdcp[[#This Row],[Columna1]])</f>
        <v>1</v>
      </c>
    </row>
    <row r="2388" spans="1:14">
      <c r="A2388" s="98">
        <v>45668</v>
      </c>
      <c r="B2388" s="46" t="s">
        <v>328</v>
      </c>
      <c r="C2388" s="104">
        <v>10.1</v>
      </c>
      <c r="D2388" s="46">
        <f>+VLOOKUP(dHdcp[[#This Row],[Handicap]],'Categoría Hdcap'!$B$2:$E$7,4)</f>
        <v>2</v>
      </c>
      <c r="E2388" s="46" t="s">
        <v>74</v>
      </c>
      <c r="F2388" s="92"/>
      <c r="G2388">
        <f>+IF(dHdcp[[#This Row],[Fecha]]=MAX(dHdcp[Fecha]),1,0)</f>
        <v>0</v>
      </c>
      <c r="H2388" t="str">
        <f>+dHdcp[[#This Row],[Maximo]]&amp;":"&amp;dHdcp[[#This Row],[Nombre]]</f>
        <v>0:Javier Arcos</v>
      </c>
      <c r="I2388" t="str">
        <f>+dHdcp[[#This Row],[Maximo]]&amp;":"&amp;_xlfn.XLOOKUP(dHdcp[[#This Row],[Nombre]],dJugador[Nombre],dJugador[Mote],"",0)</f>
        <v>0:J.Arcos</v>
      </c>
      <c r="J2388" t="str">
        <f>+IF(dHdcp[[#This Row],[Maximo]]=0,"",_xlfn.RANK.EQ(dHdcp[[#This Row],[Handicap]],dHdcp[Handicap],1))</f>
        <v/>
      </c>
      <c r="K2388" t="str">
        <f>IFERROR(+_xlfn.RANK.EQ(dHdcp[[#This Row],[Ranking]],dHdcp[Ranking],1),"")</f>
        <v/>
      </c>
      <c r="M2388" t="str">
        <f>+dHdcp[[#This Row],[Fecha]]&amp;":"&amp;dHdcp[[#This Row],[Nombre]]</f>
        <v>45668:Javier Arcos</v>
      </c>
      <c r="N2388">
        <f>+COUNTIF(dHdcp[Columna1],dHdcp[[#This Row],[Columna1]])</f>
        <v>1</v>
      </c>
    </row>
    <row r="2389" spans="1:14">
      <c r="A2389" s="98">
        <v>45668</v>
      </c>
      <c r="B2389" s="46" t="s">
        <v>378</v>
      </c>
      <c r="C2389" s="104">
        <v>11.199999999999992</v>
      </c>
      <c r="D2389" s="46">
        <f>+VLOOKUP(dHdcp[[#This Row],[Handicap]],'Categoría Hdcap'!$B$2:$E$7,4)</f>
        <v>2</v>
      </c>
      <c r="E2389" s="46" t="s">
        <v>74</v>
      </c>
      <c r="F2389" s="92"/>
      <c r="G2389">
        <f>+IF(dHdcp[[#This Row],[Fecha]]=MAX(dHdcp[Fecha]),1,0)</f>
        <v>0</v>
      </c>
      <c r="H2389" t="str">
        <f>+dHdcp[[#This Row],[Maximo]]&amp;":"&amp;dHdcp[[#This Row],[Nombre]]</f>
        <v>0:Javier Campo</v>
      </c>
      <c r="I2389" t="str">
        <f>+dHdcp[[#This Row],[Maximo]]&amp;":"&amp;_xlfn.XLOOKUP(dHdcp[[#This Row],[Nombre]],dJugador[Nombre],dJugador[Mote],"",0)</f>
        <v>0:Campo</v>
      </c>
      <c r="J2389" t="str">
        <f>+IF(dHdcp[[#This Row],[Maximo]]=0,"",_xlfn.RANK.EQ(dHdcp[[#This Row],[Handicap]],dHdcp[Handicap],1))</f>
        <v/>
      </c>
      <c r="K2389" t="str">
        <f>IFERROR(+_xlfn.RANK.EQ(dHdcp[[#This Row],[Ranking]],dHdcp[Ranking],1),"")</f>
        <v/>
      </c>
      <c r="M2389" t="str">
        <f>+dHdcp[[#This Row],[Fecha]]&amp;":"&amp;dHdcp[[#This Row],[Nombre]]</f>
        <v>45668:Javier Campo</v>
      </c>
      <c r="N2389">
        <f>+COUNTIF(dHdcp[Columna1],dHdcp[[#This Row],[Columna1]])</f>
        <v>1</v>
      </c>
    </row>
    <row r="2390" spans="1:14">
      <c r="A2390" s="98">
        <v>45668</v>
      </c>
      <c r="B2390" s="46" t="s">
        <v>46</v>
      </c>
      <c r="C2390" s="104">
        <v>18.399999999999999</v>
      </c>
      <c r="D2390" s="46">
        <f>+VLOOKUP(dHdcp[[#This Row],[Handicap]],'Categoría Hdcap'!$B$2:$E$7,4)</f>
        <v>3</v>
      </c>
      <c r="E2390" s="46" t="s">
        <v>74</v>
      </c>
      <c r="F2390" s="92"/>
      <c r="G2390">
        <f>+IF(dHdcp[[#This Row],[Fecha]]=MAX(dHdcp[Fecha]),1,0)</f>
        <v>0</v>
      </c>
      <c r="H2390" t="str">
        <f>+dHdcp[[#This Row],[Maximo]]&amp;":"&amp;dHdcp[[#This Row],[Nombre]]</f>
        <v>0:Javier Cervera</v>
      </c>
      <c r="I2390" t="str">
        <f>+dHdcp[[#This Row],[Maximo]]&amp;":"&amp;_xlfn.XLOOKUP(dHdcp[[#This Row],[Nombre]],dJugador[Nombre],dJugador[Mote],"",0)</f>
        <v>0:Virus</v>
      </c>
      <c r="J2390" t="str">
        <f>+IF(dHdcp[[#This Row],[Maximo]]=0,"",_xlfn.RANK.EQ(dHdcp[[#This Row],[Handicap]],dHdcp[Handicap],1))</f>
        <v/>
      </c>
      <c r="K2390" t="str">
        <f>IFERROR(+_xlfn.RANK.EQ(dHdcp[[#This Row],[Ranking]],dHdcp[Ranking],1),"")</f>
        <v/>
      </c>
      <c r="M2390" t="str">
        <f>+dHdcp[[#This Row],[Fecha]]&amp;":"&amp;dHdcp[[#This Row],[Nombre]]</f>
        <v>45668:Javier Cervera</v>
      </c>
      <c r="N2390">
        <f>+COUNTIF(dHdcp[Columna1],dHdcp[[#This Row],[Columna1]])</f>
        <v>1</v>
      </c>
    </row>
    <row r="2391" spans="1:14">
      <c r="A2391" s="98">
        <v>45668</v>
      </c>
      <c r="B2391" s="46" t="s">
        <v>225</v>
      </c>
      <c r="C2391" s="104">
        <v>10.6</v>
      </c>
      <c r="D2391" s="46">
        <f>+VLOOKUP(dHdcp[[#This Row],[Handicap]],'Categoría Hdcap'!$B$2:$E$7,4)</f>
        <v>2</v>
      </c>
      <c r="E2391" s="46" t="s">
        <v>74</v>
      </c>
      <c r="F2391" s="92"/>
      <c r="G2391">
        <f>+IF(dHdcp[[#This Row],[Fecha]]=MAX(dHdcp[Fecha]),1,0)</f>
        <v>0</v>
      </c>
      <c r="H2391" t="str">
        <f>+dHdcp[[#This Row],[Maximo]]&amp;":"&amp;dHdcp[[#This Row],[Nombre]]</f>
        <v>0:Javier Chiralt</v>
      </c>
      <c r="I2391" t="str">
        <f>+dHdcp[[#This Row],[Maximo]]&amp;":"&amp;_xlfn.XLOOKUP(dHdcp[[#This Row],[Nombre]],dJugador[Nombre],dJugador[Mote],"",0)</f>
        <v>0:Chiralt</v>
      </c>
      <c r="J2391" t="str">
        <f>+IF(dHdcp[[#This Row],[Maximo]]=0,"",_xlfn.RANK.EQ(dHdcp[[#This Row],[Handicap]],dHdcp[Handicap],1))</f>
        <v/>
      </c>
      <c r="K2391" t="str">
        <f>IFERROR(+_xlfn.RANK.EQ(dHdcp[[#This Row],[Ranking]],dHdcp[Ranking],1),"")</f>
        <v/>
      </c>
      <c r="M2391" t="str">
        <f>+dHdcp[[#This Row],[Fecha]]&amp;":"&amp;dHdcp[[#This Row],[Nombre]]</f>
        <v>45668:Javier Chiralt</v>
      </c>
      <c r="N2391">
        <f>+COUNTIF(dHdcp[Columna1],dHdcp[[#This Row],[Columna1]])</f>
        <v>1</v>
      </c>
    </row>
    <row r="2392" spans="1:14">
      <c r="A2392" s="98">
        <v>45668</v>
      </c>
      <c r="B2392" s="46" t="s">
        <v>2466</v>
      </c>
      <c r="C2392" s="104">
        <v>17.5</v>
      </c>
      <c r="D2392" s="46">
        <f>+VLOOKUP(dHdcp[[#This Row],[Handicap]],'Categoría Hdcap'!$B$2:$E$7,4)</f>
        <v>3</v>
      </c>
      <c r="E2392" s="46" t="s">
        <v>74</v>
      </c>
      <c r="F2392" s="92"/>
      <c r="G2392">
        <f>+IF(dHdcp[[#This Row],[Fecha]]=MAX(dHdcp[Fecha]),1,0)</f>
        <v>0</v>
      </c>
      <c r="H2392" t="str">
        <f>+dHdcp[[#This Row],[Maximo]]&amp;":"&amp;dHdcp[[#This Row],[Nombre]]</f>
        <v>0:Javier Dodero de Solano</v>
      </c>
      <c r="I2392" t="str">
        <f>+dHdcp[[#This Row],[Maximo]]&amp;":"&amp;_xlfn.XLOOKUP(dHdcp[[#This Row],[Nombre]],dJugador[Nombre],dJugador[Mote],"",0)</f>
        <v>0:Dodero</v>
      </c>
      <c r="J2392" t="str">
        <f>+IF(dHdcp[[#This Row],[Maximo]]=0,"",_xlfn.RANK.EQ(dHdcp[[#This Row],[Handicap]],dHdcp[Handicap],1))</f>
        <v/>
      </c>
      <c r="K2392" t="str">
        <f>IFERROR(+_xlfn.RANK.EQ(dHdcp[[#This Row],[Ranking]],dHdcp[Ranking],1),"")</f>
        <v/>
      </c>
      <c r="M2392" t="str">
        <f>+dHdcp[[#This Row],[Fecha]]&amp;":"&amp;dHdcp[[#This Row],[Nombre]]</f>
        <v>45668:Javier Dodero de Solano</v>
      </c>
      <c r="N2392">
        <f>+COUNTIF(dHdcp[Columna1],dHdcp[[#This Row],[Columna1]])</f>
        <v>1</v>
      </c>
    </row>
    <row r="2393" spans="1:14">
      <c r="A2393" s="98">
        <v>45668</v>
      </c>
      <c r="B2393" s="46" t="s">
        <v>20</v>
      </c>
      <c r="C2393" s="104">
        <v>19.3</v>
      </c>
      <c r="D2393" s="46">
        <f>+VLOOKUP(dHdcp[[#This Row],[Handicap]],'Categoría Hdcap'!$B$2:$E$7,4)</f>
        <v>4</v>
      </c>
      <c r="E2393" s="46" t="s">
        <v>74</v>
      </c>
      <c r="F2393" s="92"/>
      <c r="G2393">
        <f>+IF(dHdcp[[#This Row],[Fecha]]=MAX(dHdcp[Fecha]),1,0)</f>
        <v>0</v>
      </c>
      <c r="H2393" t="str">
        <f>+dHdcp[[#This Row],[Maximo]]&amp;":"&amp;dHdcp[[#This Row],[Nombre]]</f>
        <v>0:Javier Gonzalez Salvador</v>
      </c>
      <c r="I2393" t="str">
        <f>+dHdcp[[#This Row],[Maximo]]&amp;":"&amp;_xlfn.XLOOKUP(dHdcp[[#This Row],[Nombre]],dJugador[Nombre],dJugador[Mote],"",0)</f>
        <v>0:Javi</v>
      </c>
      <c r="J2393" t="str">
        <f>+IF(dHdcp[[#This Row],[Maximo]]=0,"",_xlfn.RANK.EQ(dHdcp[[#This Row],[Handicap]],dHdcp[Handicap],1))</f>
        <v/>
      </c>
      <c r="K2393" t="str">
        <f>IFERROR(+_xlfn.RANK.EQ(dHdcp[[#This Row],[Ranking]],dHdcp[Ranking],1),"")</f>
        <v/>
      </c>
      <c r="M2393" t="str">
        <f>+dHdcp[[#This Row],[Fecha]]&amp;":"&amp;dHdcp[[#This Row],[Nombre]]</f>
        <v>45668:Javier Gonzalez Salvador</v>
      </c>
      <c r="N2393">
        <f>+COUNTIF(dHdcp[Columna1],dHdcp[[#This Row],[Columna1]])</f>
        <v>1</v>
      </c>
    </row>
    <row r="2394" spans="1:14">
      <c r="A2394" s="98">
        <v>45668</v>
      </c>
      <c r="B2394" s="46" t="s">
        <v>217</v>
      </c>
      <c r="C2394" s="104">
        <v>20.9</v>
      </c>
      <c r="D2394" s="46">
        <f>+VLOOKUP(dHdcp[[#This Row],[Handicap]],'Categoría Hdcap'!$B$2:$E$7,4)</f>
        <v>4</v>
      </c>
      <c r="E2394" s="46" t="s">
        <v>74</v>
      </c>
      <c r="F2394" s="92"/>
      <c r="G2394">
        <f>+IF(dHdcp[[#This Row],[Fecha]]=MAX(dHdcp[Fecha]),1,0)</f>
        <v>0</v>
      </c>
      <c r="H2394" t="str">
        <f>+dHdcp[[#This Row],[Maximo]]&amp;":"&amp;dHdcp[[#This Row],[Nombre]]</f>
        <v>0:Javier Lopez Gullón</v>
      </c>
      <c r="I2394" t="str">
        <f>+dHdcp[[#This Row],[Maximo]]&amp;":"&amp;_xlfn.XLOOKUP(dHdcp[[#This Row],[Nombre]],dJugador[Nombre],dJugador[Mote],"",0)</f>
        <v>0:Cuñao</v>
      </c>
      <c r="J2394" t="str">
        <f>+IF(dHdcp[[#This Row],[Maximo]]=0,"",_xlfn.RANK.EQ(dHdcp[[#This Row],[Handicap]],dHdcp[Handicap],1))</f>
        <v/>
      </c>
      <c r="K2394" t="str">
        <f>IFERROR(+_xlfn.RANK.EQ(dHdcp[[#This Row],[Ranking]],dHdcp[Ranking],1),"")</f>
        <v/>
      </c>
      <c r="M2394" t="str">
        <f>+dHdcp[[#This Row],[Fecha]]&amp;":"&amp;dHdcp[[#This Row],[Nombre]]</f>
        <v>45668:Javier Lopez Gullón</v>
      </c>
      <c r="N2394">
        <f>+COUNTIF(dHdcp[Columna1],dHdcp[[#This Row],[Columna1]])</f>
        <v>1</v>
      </c>
    </row>
    <row r="2395" spans="1:14">
      <c r="A2395" s="98">
        <v>45668</v>
      </c>
      <c r="B2395" t="s">
        <v>2560</v>
      </c>
      <c r="C2395" s="51">
        <v>12.9</v>
      </c>
      <c r="D2395" s="46">
        <f>+VLOOKUP(dHdcp[[#This Row],[Handicap]],'Categoría Hdcap'!$B$2:$E$7,4)</f>
        <v>3</v>
      </c>
      <c r="E2395" t="s">
        <v>74</v>
      </c>
      <c r="F2395" s="92"/>
      <c r="G2395">
        <f>+IF(dHdcp[[#This Row],[Fecha]]=MAX(dHdcp[Fecha]),1,0)</f>
        <v>0</v>
      </c>
      <c r="H2395" t="str">
        <f>+dHdcp[[#This Row],[Maximo]]&amp;":"&amp;dHdcp[[#This Row],[Nombre]]</f>
        <v>0:Jesús Otero</v>
      </c>
      <c r="I2395" t="str">
        <f>+dHdcp[[#This Row],[Maximo]]&amp;":"&amp;_xlfn.XLOOKUP(dHdcp[[#This Row],[Nombre]],dJugador[Nombre],dJugador[Mote],"",0)</f>
        <v>0:Otero</v>
      </c>
      <c r="J2395" t="str">
        <f>+IF(dHdcp[[#This Row],[Maximo]]=0,"",_xlfn.RANK.EQ(dHdcp[[#This Row],[Handicap]],dHdcp[Handicap],1))</f>
        <v/>
      </c>
      <c r="K2395" t="str">
        <f>IFERROR(+_xlfn.RANK.EQ(dHdcp[[#This Row],[Ranking]],dHdcp[Ranking],1),"")</f>
        <v/>
      </c>
      <c r="M2395" t="str">
        <f>+dHdcp[[#This Row],[Fecha]]&amp;":"&amp;dHdcp[[#This Row],[Nombre]]</f>
        <v>45668:Jesús Otero</v>
      </c>
      <c r="N2395">
        <f>+COUNTIF(dHdcp[Columna1],dHdcp[[#This Row],[Columna1]])</f>
        <v>1</v>
      </c>
    </row>
    <row r="2396" spans="1:14">
      <c r="A2396" s="98">
        <v>45668</v>
      </c>
      <c r="B2396" s="46" t="s">
        <v>41</v>
      </c>
      <c r="C2396" s="104">
        <v>21.9</v>
      </c>
      <c r="D2396" s="46">
        <f>+VLOOKUP(dHdcp[[#This Row],[Handicap]],'Categoría Hdcap'!$B$2:$E$7,4)</f>
        <v>4</v>
      </c>
      <c r="E2396" s="46" t="s">
        <v>74</v>
      </c>
      <c r="F2396" s="92"/>
      <c r="G2396">
        <f>+IF(dHdcp[[#This Row],[Fecha]]=MAX(dHdcp[Fecha]),1,0)</f>
        <v>0</v>
      </c>
      <c r="H2396" t="str">
        <f>+dHdcp[[#This Row],[Maximo]]&amp;":"&amp;dHdcp[[#This Row],[Nombre]]</f>
        <v>0:Jesus Touceda</v>
      </c>
      <c r="I2396" t="str">
        <f>+dHdcp[[#This Row],[Maximo]]&amp;":"&amp;_xlfn.XLOOKUP(dHdcp[[#This Row],[Nombre]],dJugador[Nombre],dJugador[Mote],"",0)</f>
        <v>0:Jesús</v>
      </c>
      <c r="J2396" t="str">
        <f>+IF(dHdcp[[#This Row],[Maximo]]=0,"",_xlfn.RANK.EQ(dHdcp[[#This Row],[Handicap]],dHdcp[Handicap],1))</f>
        <v/>
      </c>
      <c r="K2396" t="str">
        <f>IFERROR(+_xlfn.RANK.EQ(dHdcp[[#This Row],[Ranking]],dHdcp[Ranking],1),"")</f>
        <v/>
      </c>
      <c r="M2396" t="str">
        <f>+dHdcp[[#This Row],[Fecha]]&amp;":"&amp;dHdcp[[#This Row],[Nombre]]</f>
        <v>45668:Jesus Touceda</v>
      </c>
      <c r="N2396">
        <f>+COUNTIF(dHdcp[Columna1],dHdcp[[#This Row],[Columna1]])</f>
        <v>1</v>
      </c>
    </row>
    <row r="2397" spans="1:14">
      <c r="A2397" s="98">
        <v>45668</v>
      </c>
      <c r="B2397" s="46" t="s">
        <v>2561</v>
      </c>
      <c r="C2397" s="104">
        <v>20.2</v>
      </c>
      <c r="D2397" s="46">
        <f>+VLOOKUP(dHdcp[[#This Row],[Handicap]],'Categoría Hdcap'!$B$2:$E$7,4)</f>
        <v>4</v>
      </c>
      <c r="E2397" s="46" t="s">
        <v>74</v>
      </c>
      <c r="F2397" s="92"/>
      <c r="G2397">
        <f>+IF(dHdcp[[#This Row],[Fecha]]=MAX(dHdcp[Fecha]),1,0)</f>
        <v>0</v>
      </c>
      <c r="H2397" t="str">
        <f>+dHdcp[[#This Row],[Maximo]]&amp;":"&amp;dHdcp[[#This Row],[Nombre]]</f>
        <v>0:Joaquín Sánchez</v>
      </c>
      <c r="I2397" t="str">
        <f>+dHdcp[[#This Row],[Maximo]]&amp;":"&amp;_xlfn.XLOOKUP(dHdcp[[#This Row],[Nombre]],dJugador[Nombre],dJugador[Mote],"",0)</f>
        <v>0:Joaco</v>
      </c>
      <c r="J2397" t="str">
        <f>+IF(dHdcp[[#This Row],[Maximo]]=0,"",_xlfn.RANK.EQ(dHdcp[[#This Row],[Handicap]],dHdcp[Handicap],1))</f>
        <v/>
      </c>
      <c r="K2397" t="str">
        <f>IFERROR(+_xlfn.RANK.EQ(dHdcp[[#This Row],[Ranking]],dHdcp[Ranking],1),"")</f>
        <v/>
      </c>
      <c r="M2397" t="str">
        <f>+dHdcp[[#This Row],[Fecha]]&amp;":"&amp;dHdcp[[#This Row],[Nombre]]</f>
        <v>45668:Joaquín Sánchez</v>
      </c>
      <c r="N2397">
        <f>+COUNTIF(dHdcp[Columna1],dHdcp[[#This Row],[Columna1]])</f>
        <v>1</v>
      </c>
    </row>
    <row r="2398" spans="1:14">
      <c r="A2398" s="98">
        <v>45668</v>
      </c>
      <c r="B2398" s="46" t="s">
        <v>297</v>
      </c>
      <c r="C2398" s="104">
        <v>18.600000000000001</v>
      </c>
      <c r="D2398" s="46">
        <f>+VLOOKUP(dHdcp[[#This Row],[Handicap]],'Categoría Hdcap'!$B$2:$E$7,4)</f>
        <v>4</v>
      </c>
      <c r="E2398" s="46" t="s">
        <v>74</v>
      </c>
      <c r="F2398" s="92"/>
      <c r="G2398">
        <f>+IF(dHdcp[[#This Row],[Fecha]]=MAX(dHdcp[Fecha]),1,0)</f>
        <v>0</v>
      </c>
      <c r="H2398" t="str">
        <f>+dHdcp[[#This Row],[Maximo]]&amp;":"&amp;dHdcp[[#This Row],[Nombre]]</f>
        <v>0:Jorge Alberto Martínez Sánchez</v>
      </c>
      <c r="I2398" t="str">
        <f>+dHdcp[[#This Row],[Maximo]]&amp;":"&amp;_xlfn.XLOOKUP(dHdcp[[#This Row],[Nombre]],dJugador[Nombre],dJugador[Mote],"",0)</f>
        <v>0:Jorge</v>
      </c>
      <c r="J2398" t="str">
        <f>+IF(dHdcp[[#This Row],[Maximo]]=0,"",_xlfn.RANK.EQ(dHdcp[[#This Row],[Handicap]],dHdcp[Handicap],1))</f>
        <v/>
      </c>
      <c r="K2398" t="str">
        <f>IFERROR(+_xlfn.RANK.EQ(dHdcp[[#This Row],[Ranking]],dHdcp[Ranking],1),"")</f>
        <v/>
      </c>
      <c r="M2398" t="str">
        <f>+dHdcp[[#This Row],[Fecha]]&amp;":"&amp;dHdcp[[#This Row],[Nombre]]</f>
        <v>45668:Jorge Alberto Martínez Sánchez</v>
      </c>
      <c r="N2398">
        <f>+COUNTIF(dHdcp[Columna1],dHdcp[[#This Row],[Columna1]])</f>
        <v>1</v>
      </c>
    </row>
    <row r="2399" spans="1:14">
      <c r="A2399" s="98">
        <v>45668</v>
      </c>
      <c r="B2399" s="46" t="s">
        <v>2540</v>
      </c>
      <c r="C2399" s="104">
        <v>18.399999999999999</v>
      </c>
      <c r="D2399" s="46">
        <f>+VLOOKUP(dHdcp[[#This Row],[Handicap]],'Categoría Hdcap'!$B$2:$E$7,4)</f>
        <v>3</v>
      </c>
      <c r="E2399" s="46" t="s">
        <v>74</v>
      </c>
      <c r="F2399" s="92"/>
      <c r="G2399">
        <f>+IF(dHdcp[[#This Row],[Fecha]]=MAX(dHdcp[Fecha]),1,0)</f>
        <v>0</v>
      </c>
      <c r="H2399" t="str">
        <f>+dHdcp[[#This Row],[Maximo]]&amp;":"&amp;dHdcp[[#This Row],[Nombre]]</f>
        <v>0:Jorge Maestro Aguilera</v>
      </c>
      <c r="I2399" t="str">
        <f>+dHdcp[[#This Row],[Maximo]]&amp;":"&amp;_xlfn.XLOOKUP(dHdcp[[#This Row],[Nombre]],dJugador[Nombre],dJugador[Mote],"",0)</f>
        <v>0:JMaestro</v>
      </c>
      <c r="J2399" t="str">
        <f>+IF(dHdcp[[#This Row],[Maximo]]=0,"",_xlfn.RANK.EQ(dHdcp[[#This Row],[Handicap]],dHdcp[Handicap],1))</f>
        <v/>
      </c>
      <c r="K2399" t="str">
        <f>IFERROR(+_xlfn.RANK.EQ(dHdcp[[#This Row],[Ranking]],dHdcp[Ranking],1),"")</f>
        <v/>
      </c>
      <c r="M2399" t="str">
        <f>+dHdcp[[#This Row],[Fecha]]&amp;":"&amp;dHdcp[[#This Row],[Nombre]]</f>
        <v>45668:Jorge Maestro Aguilera</v>
      </c>
      <c r="N2399">
        <f>+COUNTIF(dHdcp[Columna1],dHdcp[[#This Row],[Columna1]])</f>
        <v>1</v>
      </c>
    </row>
    <row r="2400" spans="1:14">
      <c r="A2400" s="98">
        <v>45668</v>
      </c>
      <c r="B2400" s="46" t="s">
        <v>388</v>
      </c>
      <c r="C2400" s="104">
        <v>25.5</v>
      </c>
      <c r="D2400" s="46">
        <f>+VLOOKUP(dHdcp[[#This Row],[Handicap]],'Categoría Hdcap'!$B$2:$E$7,4)</f>
        <v>4</v>
      </c>
      <c r="E2400" s="46" t="s">
        <v>74</v>
      </c>
      <c r="F2400" s="92"/>
      <c r="G2400">
        <f>+IF(dHdcp[[#This Row],[Fecha]]=MAX(dHdcp[Fecha]),1,0)</f>
        <v>0</v>
      </c>
      <c r="H2400" t="str">
        <f>+dHdcp[[#This Row],[Maximo]]&amp;":"&amp;dHdcp[[#This Row],[Nombre]]</f>
        <v>0:Jose Antonio Santana</v>
      </c>
      <c r="I2400" t="str">
        <f>+dHdcp[[#This Row],[Maximo]]&amp;":"&amp;_xlfn.XLOOKUP(dHdcp[[#This Row],[Nombre]],dJugador[Nombre],dJugador[Mote],"",0)</f>
        <v>0:J Antonio</v>
      </c>
      <c r="J2400" t="str">
        <f>+IF(dHdcp[[#This Row],[Maximo]]=0,"",_xlfn.RANK.EQ(dHdcp[[#This Row],[Handicap]],dHdcp[Handicap],1))</f>
        <v/>
      </c>
      <c r="K2400" t="str">
        <f>IFERROR(+_xlfn.RANK.EQ(dHdcp[[#This Row],[Ranking]],dHdcp[Ranking],1),"")</f>
        <v/>
      </c>
      <c r="M2400" t="str">
        <f>+dHdcp[[#This Row],[Fecha]]&amp;":"&amp;dHdcp[[#This Row],[Nombre]]</f>
        <v>45668:Jose Antonio Santana</v>
      </c>
      <c r="N2400">
        <f>+COUNTIF(dHdcp[Columna1],dHdcp[[#This Row],[Columna1]])</f>
        <v>1</v>
      </c>
    </row>
    <row r="2401" spans="1:14">
      <c r="A2401" s="98">
        <v>45668</v>
      </c>
      <c r="B2401" s="46" t="s">
        <v>18</v>
      </c>
      <c r="C2401" s="104">
        <v>7</v>
      </c>
      <c r="D2401" s="46">
        <f>+VLOOKUP(dHdcp[[#This Row],[Handicap]],'Categoría Hdcap'!$B$2:$E$7,4)</f>
        <v>2</v>
      </c>
      <c r="E2401" s="46" t="s">
        <v>74</v>
      </c>
      <c r="F2401" s="92"/>
      <c r="G2401">
        <f>+IF(dHdcp[[#This Row],[Fecha]]=MAX(dHdcp[Fecha]),1,0)</f>
        <v>0</v>
      </c>
      <c r="H2401" t="str">
        <f>+dHdcp[[#This Row],[Maximo]]&amp;":"&amp;dHdcp[[#This Row],[Nombre]]</f>
        <v>0:José Pablo Guil</v>
      </c>
      <c r="I2401" t="str">
        <f>+dHdcp[[#This Row],[Maximo]]&amp;":"&amp;_xlfn.XLOOKUP(dHdcp[[#This Row],[Nombre]],dJugador[Nombre],dJugador[Mote],"",0)</f>
        <v>0:JP</v>
      </c>
      <c r="J2401" t="str">
        <f>+IF(dHdcp[[#This Row],[Maximo]]=0,"",_xlfn.RANK.EQ(dHdcp[[#This Row],[Handicap]],dHdcp[Handicap],1))</f>
        <v/>
      </c>
      <c r="K2401" t="str">
        <f>IFERROR(+_xlfn.RANK.EQ(dHdcp[[#This Row],[Ranking]],dHdcp[Ranking],1),"")</f>
        <v/>
      </c>
      <c r="M2401" t="str">
        <f>+dHdcp[[#This Row],[Fecha]]&amp;":"&amp;dHdcp[[#This Row],[Nombre]]</f>
        <v>45668:José Pablo Guil</v>
      </c>
      <c r="N2401">
        <f>+COUNTIF(dHdcp[Columna1],dHdcp[[#This Row],[Columna1]])</f>
        <v>1</v>
      </c>
    </row>
    <row r="2402" spans="1:14">
      <c r="A2402" s="98">
        <v>45668</v>
      </c>
      <c r="B2402" s="46" t="s">
        <v>293</v>
      </c>
      <c r="C2402" s="104">
        <v>15.1</v>
      </c>
      <c r="D2402" s="46">
        <f>+VLOOKUP(dHdcp[[#This Row],[Handicap]],'Categoría Hdcap'!$B$2:$E$7,4)</f>
        <v>3</v>
      </c>
      <c r="E2402" s="46" t="s">
        <v>74</v>
      </c>
      <c r="F2402" s="92"/>
      <c r="G2402">
        <f>+IF(dHdcp[[#This Row],[Fecha]]=MAX(dHdcp[Fecha]),1,0)</f>
        <v>0</v>
      </c>
      <c r="H2402" t="str">
        <f>+dHdcp[[#This Row],[Maximo]]&amp;":"&amp;dHdcp[[#This Row],[Nombre]]</f>
        <v>0:Juan Jose Aguado</v>
      </c>
      <c r="I2402" t="str">
        <f>+dHdcp[[#This Row],[Maximo]]&amp;":"&amp;_xlfn.XLOOKUP(dHdcp[[#This Row],[Nombre]],dJugador[Nombre],dJugador[Mote],"",0)</f>
        <v>0:Juancho</v>
      </c>
      <c r="J2402" t="str">
        <f>+IF(dHdcp[[#This Row],[Maximo]]=0,"",_xlfn.RANK.EQ(dHdcp[[#This Row],[Handicap]],dHdcp[Handicap],1))</f>
        <v/>
      </c>
      <c r="K2402" t="str">
        <f>IFERROR(+_xlfn.RANK.EQ(dHdcp[[#This Row],[Ranking]],dHdcp[Ranking],1),"")</f>
        <v/>
      </c>
      <c r="M2402" t="str">
        <f>+dHdcp[[#This Row],[Fecha]]&amp;":"&amp;dHdcp[[#This Row],[Nombre]]</f>
        <v>45668:Juan Jose Aguado</v>
      </c>
      <c r="N2402">
        <f>+COUNTIF(dHdcp[Columna1],dHdcp[[#This Row],[Columna1]])</f>
        <v>1</v>
      </c>
    </row>
    <row r="2403" spans="1:14">
      <c r="A2403" s="98">
        <v>45668</v>
      </c>
      <c r="B2403" s="46" t="s">
        <v>2516</v>
      </c>
      <c r="C2403" s="104">
        <v>16.600000000000001</v>
      </c>
      <c r="D2403" s="46">
        <f>+VLOOKUP(dHdcp[[#This Row],[Handicap]],'Categoría Hdcap'!$B$2:$E$7,4)</f>
        <v>3</v>
      </c>
      <c r="E2403" s="46" t="s">
        <v>74</v>
      </c>
      <c r="F2403" s="92"/>
      <c r="G2403">
        <f>+IF(dHdcp[[#This Row],[Fecha]]=MAX(dHdcp[Fecha]),1,0)</f>
        <v>0</v>
      </c>
      <c r="H2403" t="str">
        <f>+dHdcp[[#This Row],[Maximo]]&amp;":"&amp;dHdcp[[#This Row],[Nombre]]</f>
        <v>0:Juan Sanz</v>
      </c>
      <c r="I2403" t="str">
        <f>+dHdcp[[#This Row],[Maximo]]&amp;":"&amp;_xlfn.XLOOKUP(dHdcp[[#This Row],[Nombre]],dJugador[Nombre],dJugador[Mote],"",0)</f>
        <v>0:JuanSanz</v>
      </c>
      <c r="J2403" t="str">
        <f>+IF(dHdcp[[#This Row],[Maximo]]=0,"",_xlfn.RANK.EQ(dHdcp[[#This Row],[Handicap]],dHdcp[Handicap],1))</f>
        <v/>
      </c>
      <c r="K2403" t="str">
        <f>IFERROR(+_xlfn.RANK.EQ(dHdcp[[#This Row],[Ranking]],dHdcp[Ranking],1),"")</f>
        <v/>
      </c>
      <c r="M2403" t="str">
        <f>+dHdcp[[#This Row],[Fecha]]&amp;":"&amp;dHdcp[[#This Row],[Nombre]]</f>
        <v>45668:Juan Sanz</v>
      </c>
      <c r="N2403">
        <f>+COUNTIF(dHdcp[Columna1],dHdcp[[#This Row],[Columna1]])</f>
        <v>1</v>
      </c>
    </row>
    <row r="2404" spans="1:14">
      <c r="A2404" s="98">
        <v>45668</v>
      </c>
      <c r="B2404" s="46" t="s">
        <v>375</v>
      </c>
      <c r="C2404" s="104">
        <v>10.199999999999999</v>
      </c>
      <c r="D2404" s="46">
        <f>+VLOOKUP(dHdcp[[#This Row],[Handicap]],'Categoría Hdcap'!$B$2:$E$7,4)</f>
        <v>2</v>
      </c>
      <c r="E2404" s="46" t="s">
        <v>74</v>
      </c>
      <c r="F2404" s="92"/>
      <c r="G2404">
        <f>+IF(dHdcp[[#This Row],[Fecha]]=MAX(dHdcp[Fecha]),1,0)</f>
        <v>0</v>
      </c>
      <c r="H2404" t="str">
        <f>+dHdcp[[#This Row],[Maximo]]&amp;":"&amp;dHdcp[[#This Row],[Nombre]]</f>
        <v>0:Luis Fernandez</v>
      </c>
      <c r="I2404" t="str">
        <f>+dHdcp[[#This Row],[Maximo]]&amp;":"&amp;_xlfn.XLOOKUP(dHdcp[[#This Row],[Nombre]],dJugador[Nombre],dJugador[Mote],"",0)</f>
        <v>0:Luis</v>
      </c>
      <c r="J2404" t="str">
        <f>+IF(dHdcp[[#This Row],[Maximo]]=0,"",_xlfn.RANK.EQ(dHdcp[[#This Row],[Handicap]],dHdcp[Handicap],1))</f>
        <v/>
      </c>
      <c r="K2404" t="str">
        <f>IFERROR(+_xlfn.RANK.EQ(dHdcp[[#This Row],[Ranking]],dHdcp[Ranking],1),"")</f>
        <v/>
      </c>
      <c r="M2404" t="str">
        <f>+dHdcp[[#This Row],[Fecha]]&amp;":"&amp;dHdcp[[#This Row],[Nombre]]</f>
        <v>45668:Luis Fernandez</v>
      </c>
      <c r="N2404">
        <f>+COUNTIF(dHdcp[Columna1],dHdcp[[#This Row],[Columna1]])</f>
        <v>1</v>
      </c>
    </row>
    <row r="2405" spans="1:14">
      <c r="A2405" s="98">
        <v>45668</v>
      </c>
      <c r="B2405" s="46" t="s">
        <v>135</v>
      </c>
      <c r="C2405" s="104">
        <v>18.399999999999999</v>
      </c>
      <c r="D2405" s="46">
        <f>+VLOOKUP(dHdcp[[#This Row],[Handicap]],'Categoría Hdcap'!$B$2:$E$7,4)</f>
        <v>3</v>
      </c>
      <c r="E2405" s="46" t="s">
        <v>74</v>
      </c>
      <c r="F2405" s="92"/>
      <c r="G2405">
        <f>+IF(dHdcp[[#This Row],[Fecha]]=MAX(dHdcp[Fecha]),1,0)</f>
        <v>0</v>
      </c>
      <c r="H2405" t="str">
        <f>+dHdcp[[#This Row],[Maximo]]&amp;":"&amp;dHdcp[[#This Row],[Nombre]]</f>
        <v>0:Miche Lopez</v>
      </c>
      <c r="I2405" t="str">
        <f>+dHdcp[[#This Row],[Maximo]]&amp;":"&amp;_xlfn.XLOOKUP(dHdcp[[#This Row],[Nombre]],dJugador[Nombre],dJugador[Mote],"",0)</f>
        <v>0:Miche</v>
      </c>
      <c r="J2405" t="str">
        <f>+IF(dHdcp[[#This Row],[Maximo]]=0,"",_xlfn.RANK.EQ(dHdcp[[#This Row],[Handicap]],dHdcp[Handicap],1))</f>
        <v/>
      </c>
      <c r="K2405" t="str">
        <f>IFERROR(+_xlfn.RANK.EQ(dHdcp[[#This Row],[Ranking]],dHdcp[Ranking],1),"")</f>
        <v/>
      </c>
      <c r="M2405" t="str">
        <f>+dHdcp[[#This Row],[Fecha]]&amp;":"&amp;dHdcp[[#This Row],[Nombre]]</f>
        <v>45668:Miche Lopez</v>
      </c>
      <c r="N2405">
        <f>+COUNTIF(dHdcp[Columna1],dHdcp[[#This Row],[Columna1]])</f>
        <v>1</v>
      </c>
    </row>
    <row r="2406" spans="1:14">
      <c r="A2406" s="98">
        <v>45668</v>
      </c>
      <c r="B2406" s="46" t="s">
        <v>205</v>
      </c>
      <c r="C2406" s="104">
        <v>5.2</v>
      </c>
      <c r="D2406" s="46">
        <f>+VLOOKUP(dHdcp[[#This Row],[Handicap]],'Categoría Hdcap'!$B$2:$E$7,4)</f>
        <v>2</v>
      </c>
      <c r="E2406" s="46" t="s">
        <v>74</v>
      </c>
      <c r="F2406" s="92"/>
      <c r="G2406">
        <f>+IF(dHdcp[[#This Row],[Fecha]]=MAX(dHdcp[Fecha]),1,0)</f>
        <v>0</v>
      </c>
      <c r="H2406" t="str">
        <f>+dHdcp[[#This Row],[Maximo]]&amp;":"&amp;dHdcp[[#This Row],[Nombre]]</f>
        <v>0:Nacho Casas</v>
      </c>
      <c r="I2406" t="str">
        <f>+dHdcp[[#This Row],[Maximo]]&amp;":"&amp;_xlfn.XLOOKUP(dHdcp[[#This Row],[Nombre]],dJugador[Nombre],dJugador[Mote],"",0)</f>
        <v>0:Nachete</v>
      </c>
      <c r="J2406" t="str">
        <f>+IF(dHdcp[[#This Row],[Maximo]]=0,"",_xlfn.RANK.EQ(dHdcp[[#This Row],[Handicap]],dHdcp[Handicap],1))</f>
        <v/>
      </c>
      <c r="K2406" t="str">
        <f>IFERROR(+_xlfn.RANK.EQ(dHdcp[[#This Row],[Ranking]],dHdcp[Ranking],1),"")</f>
        <v/>
      </c>
      <c r="M2406" t="str">
        <f>+dHdcp[[#This Row],[Fecha]]&amp;":"&amp;dHdcp[[#This Row],[Nombre]]</f>
        <v>45668:Nacho Casas</v>
      </c>
      <c r="N2406">
        <f>+COUNTIF(dHdcp[Columna1],dHdcp[[#This Row],[Columna1]])</f>
        <v>1</v>
      </c>
    </row>
    <row r="2407" spans="1:14">
      <c r="A2407" s="98">
        <v>45668</v>
      </c>
      <c r="B2407" s="46" t="s">
        <v>3</v>
      </c>
      <c r="C2407" s="104">
        <v>4.7</v>
      </c>
      <c r="D2407" s="46">
        <f>+VLOOKUP(dHdcp[[#This Row],[Handicap]],'Categoría Hdcap'!$B$2:$E$7,4)</f>
        <v>2</v>
      </c>
      <c r="E2407" s="46" t="s">
        <v>74</v>
      </c>
      <c r="F2407" s="92"/>
      <c r="G2407">
        <f>+IF(dHdcp[[#This Row],[Fecha]]=MAX(dHdcp[Fecha]),1,0)</f>
        <v>0</v>
      </c>
      <c r="H2407" t="str">
        <f>+dHdcp[[#This Row],[Maximo]]&amp;":"&amp;dHdcp[[#This Row],[Nombre]]</f>
        <v>0:Nacho Gonzalez</v>
      </c>
      <c r="I2407" t="str">
        <f>+dHdcp[[#This Row],[Maximo]]&amp;":"&amp;_xlfn.XLOOKUP(dHdcp[[#This Row],[Nombre]],dJugador[Nombre],dJugador[Mote],"",0)</f>
        <v>0:Nacho</v>
      </c>
      <c r="J2407" t="str">
        <f>+IF(dHdcp[[#This Row],[Maximo]]=0,"",_xlfn.RANK.EQ(dHdcp[[#This Row],[Handicap]],dHdcp[Handicap],1))</f>
        <v/>
      </c>
      <c r="K2407" t="str">
        <f>IFERROR(+_xlfn.RANK.EQ(dHdcp[[#This Row],[Ranking]],dHdcp[Ranking],1),"")</f>
        <v/>
      </c>
      <c r="M2407" t="str">
        <f>+dHdcp[[#This Row],[Fecha]]&amp;":"&amp;dHdcp[[#This Row],[Nombre]]</f>
        <v>45668:Nacho Gonzalez</v>
      </c>
      <c r="N2407">
        <f>+COUNTIF(dHdcp[Columna1],dHdcp[[#This Row],[Columna1]])</f>
        <v>1</v>
      </c>
    </row>
    <row r="2408" spans="1:14">
      <c r="A2408" s="98">
        <v>45668</v>
      </c>
      <c r="B2408" s="46" t="s">
        <v>203</v>
      </c>
      <c r="C2408" s="104">
        <v>17.8</v>
      </c>
      <c r="D2408" s="46">
        <f>+VLOOKUP(dHdcp[[#This Row],[Handicap]],'Categoría Hdcap'!$B$2:$E$7,4)</f>
        <v>3</v>
      </c>
      <c r="E2408" s="46" t="s">
        <v>74</v>
      </c>
      <c r="F2408" s="92"/>
      <c r="G2408">
        <f>+IF(dHdcp[[#This Row],[Fecha]]=MAX(dHdcp[Fecha]),1,0)</f>
        <v>0</v>
      </c>
      <c r="H2408" t="str">
        <f>+dHdcp[[#This Row],[Maximo]]&amp;":"&amp;dHdcp[[#This Row],[Nombre]]</f>
        <v>0:Ruslan Kochman</v>
      </c>
      <c r="I2408" t="str">
        <f>+dHdcp[[#This Row],[Maximo]]&amp;":"&amp;_xlfn.XLOOKUP(dHdcp[[#This Row],[Nombre]],dJugador[Nombre],dJugador[Mote],"",0)</f>
        <v>0:Rus</v>
      </c>
      <c r="J2408" t="str">
        <f>+IF(dHdcp[[#This Row],[Maximo]]=0,"",_xlfn.RANK.EQ(dHdcp[[#This Row],[Handicap]],dHdcp[Handicap],1))</f>
        <v/>
      </c>
      <c r="K2408" t="str">
        <f>IFERROR(+_xlfn.RANK.EQ(dHdcp[[#This Row],[Ranking]],dHdcp[Ranking],1),"")</f>
        <v/>
      </c>
      <c r="M2408" t="str">
        <f>+dHdcp[[#This Row],[Fecha]]&amp;":"&amp;dHdcp[[#This Row],[Nombre]]</f>
        <v>45668:Ruslan Kochman</v>
      </c>
      <c r="N2408">
        <f>+COUNTIF(dHdcp[Columna1],dHdcp[[#This Row],[Columna1]])</f>
        <v>1</v>
      </c>
    </row>
    <row r="2409" spans="1:14">
      <c r="A2409" s="98">
        <v>45668</v>
      </c>
      <c r="B2409" s="46" t="s">
        <v>271</v>
      </c>
      <c r="C2409" s="104">
        <v>16.399999999999999</v>
      </c>
      <c r="D2409" s="46">
        <f>+VLOOKUP(dHdcp[[#This Row],[Handicap]],'Categoría Hdcap'!$B$2:$E$7,4)</f>
        <v>3</v>
      </c>
      <c r="E2409" s="46" t="s">
        <v>74</v>
      </c>
      <c r="F2409" s="92"/>
      <c r="G2409">
        <f>+IF(dHdcp[[#This Row],[Fecha]]=MAX(dHdcp[Fecha]),1,0)</f>
        <v>0</v>
      </c>
      <c r="H2409" t="str">
        <f>+dHdcp[[#This Row],[Maximo]]&amp;":"&amp;dHdcp[[#This Row],[Nombre]]</f>
        <v>0:Santi Diaz</v>
      </c>
      <c r="I2409" t="str">
        <f>+dHdcp[[#This Row],[Maximo]]&amp;":"&amp;_xlfn.XLOOKUP(dHdcp[[#This Row],[Nombre]],dJugador[Nombre],dJugador[Mote],"",0)</f>
        <v>0:Santi</v>
      </c>
      <c r="J2409" t="str">
        <f>+IF(dHdcp[[#This Row],[Maximo]]=0,"",_xlfn.RANK.EQ(dHdcp[[#This Row],[Handicap]],dHdcp[Handicap],1))</f>
        <v/>
      </c>
      <c r="K2409" t="str">
        <f>IFERROR(+_xlfn.RANK.EQ(dHdcp[[#This Row],[Ranking]],dHdcp[Ranking],1),"")</f>
        <v/>
      </c>
      <c r="M2409" t="str">
        <f>+dHdcp[[#This Row],[Fecha]]&amp;":"&amp;dHdcp[[#This Row],[Nombre]]</f>
        <v>45668:Santi Diaz</v>
      </c>
      <c r="N2409">
        <f>+COUNTIF(dHdcp[Columna1],dHdcp[[#This Row],[Columna1]])</f>
        <v>1</v>
      </c>
    </row>
    <row r="2410" spans="1:14">
      <c r="A2410" s="98">
        <v>45668</v>
      </c>
      <c r="B2410" s="46" t="s">
        <v>2473</v>
      </c>
      <c r="C2410" s="104">
        <v>13.9</v>
      </c>
      <c r="D2410" s="46">
        <f>+VLOOKUP(dHdcp[[#This Row],[Handicap]],'Categoría Hdcap'!$B$2:$E$7,4)</f>
        <v>3</v>
      </c>
      <c r="E2410" s="46" t="s">
        <v>74</v>
      </c>
      <c r="F2410" s="92"/>
      <c r="G2410">
        <f>+IF(dHdcp[[#This Row],[Fecha]]=MAX(dHdcp[Fecha]),1,0)</f>
        <v>0</v>
      </c>
      <c r="H2410" t="str">
        <f>+dHdcp[[#This Row],[Maximo]]&amp;":"&amp;dHdcp[[#This Row],[Nombre]]</f>
        <v>0:Thomas Dauterman</v>
      </c>
      <c r="I2410" t="str">
        <f>+dHdcp[[#This Row],[Maximo]]&amp;":"&amp;_xlfn.XLOOKUP(dHdcp[[#This Row],[Nombre]],dJugador[Nombre],dJugador[Mote],"",0)</f>
        <v>0:Tom</v>
      </c>
      <c r="J2410" t="str">
        <f>+IF(dHdcp[[#This Row],[Maximo]]=0,"",_xlfn.RANK.EQ(dHdcp[[#This Row],[Handicap]],dHdcp[Handicap],1))</f>
        <v/>
      </c>
      <c r="K2410" t="str">
        <f>IFERROR(+_xlfn.RANK.EQ(dHdcp[[#This Row],[Ranking]],dHdcp[Ranking],1),"")</f>
        <v/>
      </c>
      <c r="M2410" t="str">
        <f>+dHdcp[[#This Row],[Fecha]]&amp;":"&amp;dHdcp[[#This Row],[Nombre]]</f>
        <v>45668:Thomas Dauterman</v>
      </c>
      <c r="N2410">
        <f>+COUNTIF(dHdcp[Columna1],dHdcp[[#This Row],[Columna1]])</f>
        <v>1</v>
      </c>
    </row>
    <row r="2411" spans="1:14">
      <c r="A2411" s="91">
        <v>45703</v>
      </c>
      <c r="B2411" t="s">
        <v>259</v>
      </c>
      <c r="C2411" s="51">
        <v>1.2</v>
      </c>
      <c r="D2411" s="46">
        <f>+VLOOKUP(dHdcp[[#This Row],[Handicap]],'Categoría Hdcap'!$B$2:$E$7,4)</f>
        <v>1</v>
      </c>
      <c r="E2411" t="s">
        <v>74</v>
      </c>
      <c r="F2411" s="92"/>
      <c r="G2411">
        <f>+IF(dHdcp[[#This Row],[Fecha]]=MAX(dHdcp[Fecha]),1,0)</f>
        <v>0</v>
      </c>
      <c r="H2411" t="str">
        <f>+dHdcp[[#This Row],[Maximo]]&amp;":"&amp;dHdcp[[#This Row],[Nombre]]</f>
        <v>0:Alejandro Arcos</v>
      </c>
      <c r="I2411" t="str">
        <f>+dHdcp[[#This Row],[Maximo]]&amp;":"&amp;_xlfn.XLOOKUP(dHdcp[[#This Row],[Nombre]],dJugador[Nombre],dJugador[Mote],"",0)</f>
        <v>0:Alex</v>
      </c>
      <c r="J2411" t="str">
        <f>+IF(dHdcp[[#This Row],[Maximo]]=0,"",_xlfn.RANK.EQ(dHdcp[[#This Row],[Handicap]],dHdcp[Handicap],1))</f>
        <v/>
      </c>
      <c r="K2411" t="str">
        <f>IFERROR(+_xlfn.RANK.EQ(dHdcp[[#This Row],[Ranking]],dHdcp[Ranking],1),"")</f>
        <v/>
      </c>
      <c r="M2411" t="str">
        <f>+dHdcp[[#This Row],[Fecha]]&amp;":"&amp;dHdcp[[#This Row],[Nombre]]</f>
        <v>45703:Alejandro Arcos</v>
      </c>
      <c r="N2411">
        <f>+COUNTIF(dHdcp[Columna1],dHdcp[[#This Row],[Columna1]])</f>
        <v>1</v>
      </c>
    </row>
    <row r="2412" spans="1:14">
      <c r="A2412" s="91">
        <v>45703</v>
      </c>
      <c r="B2412" t="s">
        <v>9</v>
      </c>
      <c r="C2412" s="51">
        <v>12.3</v>
      </c>
      <c r="D2412" s="46">
        <f>+VLOOKUP(dHdcp[[#This Row],[Handicap]],'Categoría Hdcap'!$B$2:$E$7,4)</f>
        <v>3</v>
      </c>
      <c r="E2412" t="s">
        <v>74</v>
      </c>
      <c r="F2412" s="92"/>
      <c r="G2412">
        <f>+IF(dHdcp[[#This Row],[Fecha]]=MAX(dHdcp[Fecha]),1,0)</f>
        <v>0</v>
      </c>
      <c r="H2412" t="str">
        <f>+dHdcp[[#This Row],[Maximo]]&amp;":"&amp;dHdcp[[#This Row],[Nombre]]</f>
        <v>0:Alfonso Hidalgo</v>
      </c>
      <c r="I2412" t="str">
        <f>+dHdcp[[#This Row],[Maximo]]&amp;":"&amp;_xlfn.XLOOKUP(dHdcp[[#This Row],[Nombre]],dJugador[Nombre],dJugador[Mote],"",0)</f>
        <v>0:Alfonso</v>
      </c>
      <c r="J2412" t="str">
        <f>+IF(dHdcp[[#This Row],[Maximo]]=0,"",_xlfn.RANK.EQ(dHdcp[[#This Row],[Handicap]],dHdcp[Handicap],1))</f>
        <v/>
      </c>
      <c r="K2412" t="str">
        <f>IFERROR(+_xlfn.RANK.EQ(dHdcp[[#This Row],[Ranking]],dHdcp[Ranking],1),"")</f>
        <v/>
      </c>
      <c r="M2412" t="str">
        <f>+dHdcp[[#This Row],[Fecha]]&amp;":"&amp;dHdcp[[#This Row],[Nombre]]</f>
        <v>45703:Alfonso Hidalgo</v>
      </c>
      <c r="N2412">
        <f>+COUNTIF(dHdcp[Columna1],dHdcp[[#This Row],[Columna1]])</f>
        <v>1</v>
      </c>
    </row>
    <row r="2413" spans="1:14">
      <c r="A2413" s="91">
        <v>45703</v>
      </c>
      <c r="B2413" t="s">
        <v>15</v>
      </c>
      <c r="C2413" s="51">
        <v>6</v>
      </c>
      <c r="D2413" s="46">
        <f>+VLOOKUP(dHdcp[[#This Row],[Handicap]],'Categoría Hdcap'!$B$2:$E$7,4)</f>
        <v>2</v>
      </c>
      <c r="E2413" t="s">
        <v>74</v>
      </c>
      <c r="F2413" s="92"/>
      <c r="G2413">
        <f>+IF(dHdcp[[#This Row],[Fecha]]=MAX(dHdcp[Fecha]),1,0)</f>
        <v>0</v>
      </c>
      <c r="H2413" t="str">
        <f>+dHdcp[[#This Row],[Maximo]]&amp;":"&amp;dHdcp[[#This Row],[Nombre]]</f>
        <v>0:Alvaro Aguirre</v>
      </c>
      <c r="I2413" t="str">
        <f>+dHdcp[[#This Row],[Maximo]]&amp;":"&amp;_xlfn.XLOOKUP(dHdcp[[#This Row],[Nombre]],dJugador[Nombre],dJugador[Mote],"",0)</f>
        <v>0:Gifu</v>
      </c>
      <c r="J2413" t="str">
        <f>+IF(dHdcp[[#This Row],[Maximo]]=0,"",_xlfn.RANK.EQ(dHdcp[[#This Row],[Handicap]],dHdcp[Handicap],1))</f>
        <v/>
      </c>
      <c r="K2413" t="str">
        <f>IFERROR(+_xlfn.RANK.EQ(dHdcp[[#This Row],[Ranking]],dHdcp[Ranking],1),"")</f>
        <v/>
      </c>
      <c r="M2413" t="str">
        <f>+dHdcp[[#This Row],[Fecha]]&amp;":"&amp;dHdcp[[#This Row],[Nombre]]</f>
        <v>45703:Alvaro Aguirre</v>
      </c>
      <c r="N2413">
        <f>+COUNTIF(dHdcp[Columna1],dHdcp[[#This Row],[Columna1]])</f>
        <v>1</v>
      </c>
    </row>
    <row r="2414" spans="1:14">
      <c r="A2414" s="91">
        <v>45703</v>
      </c>
      <c r="B2414" t="s">
        <v>201</v>
      </c>
      <c r="C2414" s="51">
        <v>8.8000000000000007</v>
      </c>
      <c r="D2414" s="46">
        <f>+VLOOKUP(dHdcp[[#This Row],[Handicap]],'Categoría Hdcap'!$B$2:$E$7,4)</f>
        <v>2</v>
      </c>
      <c r="E2414" t="s">
        <v>74</v>
      </c>
      <c r="F2414" s="92"/>
      <c r="G2414">
        <f>+IF(dHdcp[[#This Row],[Fecha]]=MAX(dHdcp[Fecha]),1,0)</f>
        <v>0</v>
      </c>
      <c r="H2414" t="str">
        <f>+dHdcp[[#This Row],[Maximo]]&amp;":"&amp;dHdcp[[#This Row],[Nombre]]</f>
        <v>0:Alvaro Montoya</v>
      </c>
      <c r="I2414" t="str">
        <f>+dHdcp[[#This Row],[Maximo]]&amp;":"&amp;_xlfn.XLOOKUP(dHdcp[[#This Row],[Nombre]],dJugador[Nombre],dJugador[Mote],"",0)</f>
        <v>0:Monti</v>
      </c>
      <c r="J2414" t="str">
        <f>+IF(dHdcp[[#This Row],[Maximo]]=0,"",_xlfn.RANK.EQ(dHdcp[[#This Row],[Handicap]],dHdcp[Handicap],1))</f>
        <v/>
      </c>
      <c r="K2414" t="str">
        <f>IFERROR(+_xlfn.RANK.EQ(dHdcp[[#This Row],[Ranking]],dHdcp[Ranking],1),"")</f>
        <v/>
      </c>
      <c r="M2414" t="str">
        <f>+dHdcp[[#This Row],[Fecha]]&amp;":"&amp;dHdcp[[#This Row],[Nombre]]</f>
        <v>45703:Alvaro Montoya</v>
      </c>
      <c r="N2414">
        <f>+COUNTIF(dHdcp[Columna1],dHdcp[[#This Row],[Columna1]])</f>
        <v>1</v>
      </c>
    </row>
    <row r="2415" spans="1:14">
      <c r="A2415" s="91">
        <v>45703</v>
      </c>
      <c r="B2415" t="s">
        <v>25</v>
      </c>
      <c r="C2415" s="51">
        <v>15.2</v>
      </c>
      <c r="D2415" s="46">
        <f>+VLOOKUP(dHdcp[[#This Row],[Handicap]],'Categoría Hdcap'!$B$2:$E$7,4)</f>
        <v>3</v>
      </c>
      <c r="E2415" t="s">
        <v>74</v>
      </c>
      <c r="F2415" s="92"/>
      <c r="G2415">
        <f>+IF(dHdcp[[#This Row],[Fecha]]=MAX(dHdcp[Fecha]),1,0)</f>
        <v>0</v>
      </c>
      <c r="H2415" t="str">
        <f>+dHdcp[[#This Row],[Maximo]]&amp;":"&amp;dHdcp[[#This Row],[Nombre]]</f>
        <v>0:Alvaro Nieto</v>
      </c>
      <c r="I2415" t="str">
        <f>+dHdcp[[#This Row],[Maximo]]&amp;":"&amp;_xlfn.XLOOKUP(dHdcp[[#This Row],[Nombre]],dJugador[Nombre],dJugador[Mote],"",0)</f>
        <v>0:Alvaro</v>
      </c>
      <c r="J2415" t="str">
        <f>+IF(dHdcp[[#This Row],[Maximo]]=0,"",_xlfn.RANK.EQ(dHdcp[[#This Row],[Handicap]],dHdcp[Handicap],1))</f>
        <v/>
      </c>
      <c r="K2415" t="str">
        <f>IFERROR(+_xlfn.RANK.EQ(dHdcp[[#This Row],[Ranking]],dHdcp[Ranking],1),"")</f>
        <v/>
      </c>
      <c r="M2415" t="str">
        <f>+dHdcp[[#This Row],[Fecha]]&amp;":"&amp;dHdcp[[#This Row],[Nombre]]</f>
        <v>45703:Alvaro Nieto</v>
      </c>
      <c r="N2415">
        <f>+COUNTIF(dHdcp[Columna1],dHdcp[[#This Row],[Columna1]])</f>
        <v>1</v>
      </c>
    </row>
    <row r="2416" spans="1:14">
      <c r="A2416" s="91">
        <v>45703</v>
      </c>
      <c r="B2416" t="s">
        <v>33</v>
      </c>
      <c r="C2416" s="51">
        <v>8.6999999999999993</v>
      </c>
      <c r="D2416" s="46">
        <f>+VLOOKUP(dHdcp[[#This Row],[Handicap]],'Categoría Hdcap'!$B$2:$E$7,4)</f>
        <v>2</v>
      </c>
      <c r="E2416" t="s">
        <v>74</v>
      </c>
      <c r="F2416" s="92"/>
      <c r="G2416">
        <f>+IF(dHdcp[[#This Row],[Fecha]]=MAX(dHdcp[Fecha]),1,0)</f>
        <v>0</v>
      </c>
      <c r="H2416" t="str">
        <f>+dHdcp[[#This Row],[Maximo]]&amp;":"&amp;dHdcp[[#This Row],[Nombre]]</f>
        <v>0:Angel Hernandez</v>
      </c>
      <c r="I2416" t="str">
        <f>+dHdcp[[#This Row],[Maximo]]&amp;":"&amp;_xlfn.XLOOKUP(dHdcp[[#This Row],[Nombre]],dJugador[Nombre],dJugador[Mote],"",0)</f>
        <v>0:Angel</v>
      </c>
      <c r="J2416" t="str">
        <f>+IF(dHdcp[[#This Row],[Maximo]]=0,"",_xlfn.RANK.EQ(dHdcp[[#This Row],[Handicap]],dHdcp[Handicap],1))</f>
        <v/>
      </c>
      <c r="K2416" t="str">
        <f>IFERROR(+_xlfn.RANK.EQ(dHdcp[[#This Row],[Ranking]],dHdcp[Ranking],1),"")</f>
        <v/>
      </c>
      <c r="M2416" t="str">
        <f>+dHdcp[[#This Row],[Fecha]]&amp;":"&amp;dHdcp[[#This Row],[Nombre]]</f>
        <v>45703:Angel Hernandez</v>
      </c>
      <c r="N2416">
        <f>+COUNTIF(dHdcp[Columna1],dHdcp[[#This Row],[Columna1]])</f>
        <v>1</v>
      </c>
    </row>
    <row r="2417" spans="1:14">
      <c r="A2417" s="91">
        <v>45703</v>
      </c>
      <c r="B2417" t="s">
        <v>2469</v>
      </c>
      <c r="C2417" s="51">
        <v>6.5</v>
      </c>
      <c r="D2417" s="46">
        <f>+VLOOKUP(dHdcp[[#This Row],[Handicap]],'Categoría Hdcap'!$B$2:$E$7,4)</f>
        <v>2</v>
      </c>
      <c r="E2417" t="s">
        <v>74</v>
      </c>
      <c r="F2417" s="92"/>
      <c r="G2417">
        <f>+IF(dHdcp[[#This Row],[Fecha]]=MAX(dHdcp[Fecha]),1,0)</f>
        <v>0</v>
      </c>
      <c r="H2417" t="str">
        <f>+dHdcp[[#This Row],[Maximo]]&amp;":"&amp;dHdcp[[#This Row],[Nombre]]</f>
        <v>0:Angel Santana</v>
      </c>
      <c r="I2417" t="str">
        <f>+dHdcp[[#This Row],[Maximo]]&amp;":"&amp;_xlfn.XLOOKUP(dHdcp[[#This Row],[Nombre]],dJugador[Nombre],dJugador[Mote],"",0)</f>
        <v>0:A.Santana</v>
      </c>
      <c r="J2417" t="str">
        <f>+IF(dHdcp[[#This Row],[Maximo]]=0,"",_xlfn.RANK.EQ(dHdcp[[#This Row],[Handicap]],dHdcp[Handicap],1))</f>
        <v/>
      </c>
      <c r="K2417" t="str">
        <f>IFERROR(+_xlfn.RANK.EQ(dHdcp[[#This Row],[Ranking]],dHdcp[Ranking],1),"")</f>
        <v/>
      </c>
      <c r="M2417" t="str">
        <f>+dHdcp[[#This Row],[Fecha]]&amp;":"&amp;dHdcp[[#This Row],[Nombre]]</f>
        <v>45703:Angel Santana</v>
      </c>
      <c r="N2417">
        <f>+COUNTIF(dHdcp[Columna1],dHdcp[[#This Row],[Columna1]])</f>
        <v>1</v>
      </c>
    </row>
    <row r="2418" spans="1:14">
      <c r="A2418" s="91">
        <v>45703</v>
      </c>
      <c r="B2418" t="s">
        <v>264</v>
      </c>
      <c r="C2418" s="51">
        <v>18.899999999999999</v>
      </c>
      <c r="D2418" s="46">
        <f>+VLOOKUP(dHdcp[[#This Row],[Handicap]],'Categoría Hdcap'!$B$2:$E$7,4)</f>
        <v>4</v>
      </c>
      <c r="E2418" t="s">
        <v>74</v>
      </c>
      <c r="F2418" s="92"/>
      <c r="G2418">
        <f>+IF(dHdcp[[#This Row],[Fecha]]=MAX(dHdcp[Fecha]),1,0)</f>
        <v>0</v>
      </c>
      <c r="H2418" t="str">
        <f>+dHdcp[[#This Row],[Maximo]]&amp;":"&amp;dHdcp[[#This Row],[Nombre]]</f>
        <v>0:Antonio Carmona</v>
      </c>
      <c r="I2418" t="str">
        <f>+dHdcp[[#This Row],[Maximo]]&amp;":"&amp;_xlfn.XLOOKUP(dHdcp[[#This Row],[Nombre]],dJugador[Nombre],dJugador[Mote],"",0)</f>
        <v>0:Antonio</v>
      </c>
      <c r="J2418" t="str">
        <f>+IF(dHdcp[[#This Row],[Maximo]]=0,"",_xlfn.RANK.EQ(dHdcp[[#This Row],[Handicap]],dHdcp[Handicap],1))</f>
        <v/>
      </c>
      <c r="K2418" t="str">
        <f>IFERROR(+_xlfn.RANK.EQ(dHdcp[[#This Row],[Ranking]],dHdcp[Ranking],1),"")</f>
        <v/>
      </c>
      <c r="M2418" t="str">
        <f>+dHdcp[[#This Row],[Fecha]]&amp;":"&amp;dHdcp[[#This Row],[Nombre]]</f>
        <v>45703:Antonio Carmona</v>
      </c>
      <c r="N2418">
        <f>+COUNTIF(dHdcp[Columna1],dHdcp[[#This Row],[Columna1]])</f>
        <v>1</v>
      </c>
    </row>
    <row r="2419" spans="1:14">
      <c r="A2419" s="91">
        <v>45703</v>
      </c>
      <c r="B2419" t="s">
        <v>291</v>
      </c>
      <c r="C2419" s="51">
        <v>1.3</v>
      </c>
      <c r="D2419" s="46">
        <f>+VLOOKUP(dHdcp[[#This Row],[Handicap]],'Categoría Hdcap'!$B$2:$E$7,4)</f>
        <v>1</v>
      </c>
      <c r="E2419" t="s">
        <v>74</v>
      </c>
      <c r="F2419" s="92"/>
      <c r="G2419">
        <f>+IF(dHdcp[[#This Row],[Fecha]]=MAX(dHdcp[Fecha]),1,0)</f>
        <v>0</v>
      </c>
      <c r="H2419" t="str">
        <f>+dHdcp[[#This Row],[Maximo]]&amp;":"&amp;dHdcp[[#This Row],[Nombre]]</f>
        <v>0:Carlos Maestro</v>
      </c>
      <c r="I2419" t="str">
        <f>+dHdcp[[#This Row],[Maximo]]&amp;":"&amp;_xlfn.XLOOKUP(dHdcp[[#This Row],[Nombre]],dJugador[Nombre],dJugador[Mote],"",0)</f>
        <v>0:Carlitos</v>
      </c>
      <c r="J2419" t="str">
        <f>+IF(dHdcp[[#This Row],[Maximo]]=0,"",_xlfn.RANK.EQ(dHdcp[[#This Row],[Handicap]],dHdcp[Handicap],1))</f>
        <v/>
      </c>
      <c r="K2419" t="str">
        <f>IFERROR(+_xlfn.RANK.EQ(dHdcp[[#This Row],[Ranking]],dHdcp[Ranking],1),"")</f>
        <v/>
      </c>
      <c r="M2419" t="str">
        <f>+dHdcp[[#This Row],[Fecha]]&amp;":"&amp;dHdcp[[#This Row],[Nombre]]</f>
        <v>45703:Carlos Maestro</v>
      </c>
      <c r="N2419">
        <f>+COUNTIF(dHdcp[Columna1],dHdcp[[#This Row],[Columna1]])</f>
        <v>1</v>
      </c>
    </row>
    <row r="2420" spans="1:14">
      <c r="A2420" s="91">
        <v>45703</v>
      </c>
      <c r="B2420" t="s">
        <v>30</v>
      </c>
      <c r="C2420" s="51">
        <v>14.3</v>
      </c>
      <c r="D2420" s="46">
        <f>+VLOOKUP(dHdcp[[#This Row],[Handicap]],'Categoría Hdcap'!$B$2:$E$7,4)</f>
        <v>3</v>
      </c>
      <c r="E2420" t="s">
        <v>74</v>
      </c>
      <c r="F2420" s="92"/>
      <c r="G2420">
        <f>+IF(dHdcp[[#This Row],[Fecha]]=MAX(dHdcp[Fecha]),1,0)</f>
        <v>0</v>
      </c>
      <c r="H2420" t="str">
        <f>+dHdcp[[#This Row],[Maximo]]&amp;":"&amp;dHdcp[[#This Row],[Nombre]]</f>
        <v>0:David Sequera</v>
      </c>
      <c r="I2420" t="str">
        <f>+dHdcp[[#This Row],[Maximo]]&amp;":"&amp;_xlfn.XLOOKUP(dHdcp[[#This Row],[Nombre]],dJugador[Nombre],dJugador[Mote],"",0)</f>
        <v>0:David</v>
      </c>
      <c r="J2420" t="str">
        <f>+IF(dHdcp[[#This Row],[Maximo]]=0,"",_xlfn.RANK.EQ(dHdcp[[#This Row],[Handicap]],dHdcp[Handicap],1))</f>
        <v/>
      </c>
      <c r="K2420" t="str">
        <f>IFERROR(+_xlfn.RANK.EQ(dHdcp[[#This Row],[Ranking]],dHdcp[Ranking],1),"")</f>
        <v/>
      </c>
      <c r="M2420" t="str">
        <f>+dHdcp[[#This Row],[Fecha]]&amp;":"&amp;dHdcp[[#This Row],[Nombre]]</f>
        <v>45703:David Sequera</v>
      </c>
      <c r="N2420">
        <f>+COUNTIF(dHdcp[Columna1],dHdcp[[#This Row],[Columna1]])</f>
        <v>1</v>
      </c>
    </row>
    <row r="2421" spans="1:14">
      <c r="A2421" s="91">
        <v>45703</v>
      </c>
      <c r="B2421" t="s">
        <v>326</v>
      </c>
      <c r="C2421" s="51">
        <v>8.8000000000000007</v>
      </c>
      <c r="D2421" s="46">
        <f>+VLOOKUP(dHdcp[[#This Row],[Handicap]],'Categoría Hdcap'!$B$2:$E$7,4)</f>
        <v>2</v>
      </c>
      <c r="E2421" t="s">
        <v>74</v>
      </c>
      <c r="F2421" s="92"/>
      <c r="G2421">
        <f>+IF(dHdcp[[#This Row],[Fecha]]=MAX(dHdcp[Fecha]),1,0)</f>
        <v>0</v>
      </c>
      <c r="H2421" t="str">
        <f>+dHdcp[[#This Row],[Maximo]]&amp;":"&amp;dHdcp[[#This Row],[Nombre]]</f>
        <v>0:Eduardo Buendía</v>
      </c>
      <c r="I2421" t="str">
        <f>+dHdcp[[#This Row],[Maximo]]&amp;":"&amp;_xlfn.XLOOKUP(dHdcp[[#This Row],[Nombre]],dJugador[Nombre],dJugador[Mote],"",0)</f>
        <v>0:Eduardo</v>
      </c>
      <c r="J2421" t="str">
        <f>+IF(dHdcp[[#This Row],[Maximo]]=0,"",_xlfn.RANK.EQ(dHdcp[[#This Row],[Handicap]],dHdcp[Handicap],1))</f>
        <v/>
      </c>
      <c r="K2421" t="str">
        <f>IFERROR(+_xlfn.RANK.EQ(dHdcp[[#This Row],[Ranking]],dHdcp[Ranking],1),"")</f>
        <v/>
      </c>
      <c r="M2421" t="str">
        <f>+dHdcp[[#This Row],[Fecha]]&amp;":"&amp;dHdcp[[#This Row],[Nombre]]</f>
        <v>45703:Eduardo Buendía</v>
      </c>
      <c r="N2421">
        <f>+COUNTIF(dHdcp[Columna1],dHdcp[[#This Row],[Columna1]])</f>
        <v>1</v>
      </c>
    </row>
    <row r="2422" spans="1:14">
      <c r="A2422" s="91">
        <v>45703</v>
      </c>
      <c r="B2422" t="s">
        <v>248</v>
      </c>
      <c r="C2422" s="51">
        <v>13.1</v>
      </c>
      <c r="D2422" s="46">
        <f>+VLOOKUP(dHdcp[[#This Row],[Handicap]],'Categoría Hdcap'!$B$2:$E$7,4)</f>
        <v>3</v>
      </c>
      <c r="E2422" t="s">
        <v>74</v>
      </c>
      <c r="F2422" s="92"/>
      <c r="G2422">
        <f>+IF(dHdcp[[#This Row],[Fecha]]=MAX(dHdcp[Fecha]),1,0)</f>
        <v>0</v>
      </c>
      <c r="H2422" t="str">
        <f>+dHdcp[[#This Row],[Maximo]]&amp;":"&amp;dHdcp[[#This Row],[Nombre]]</f>
        <v>0:Enrique Gonzalez R</v>
      </c>
      <c r="I2422" t="str">
        <f>+dHdcp[[#This Row],[Maximo]]&amp;":"&amp;_xlfn.XLOOKUP(dHdcp[[#This Row],[Nombre]],dJugador[Nombre],dJugador[Mote],"",0)</f>
        <v>0:Enrique</v>
      </c>
      <c r="J2422" t="str">
        <f>+IF(dHdcp[[#This Row],[Maximo]]=0,"",_xlfn.RANK.EQ(dHdcp[[#This Row],[Handicap]],dHdcp[Handicap],1))</f>
        <v/>
      </c>
      <c r="K2422" t="str">
        <f>IFERROR(+_xlfn.RANK.EQ(dHdcp[[#This Row],[Ranking]],dHdcp[Ranking],1),"")</f>
        <v/>
      </c>
      <c r="M2422" t="str">
        <f>+dHdcp[[#This Row],[Fecha]]&amp;":"&amp;dHdcp[[#This Row],[Nombre]]</f>
        <v>45703:Enrique Gonzalez R</v>
      </c>
      <c r="N2422">
        <f>+COUNTIF(dHdcp[Columna1],dHdcp[[#This Row],[Columna1]])</f>
        <v>1</v>
      </c>
    </row>
    <row r="2423" spans="1:14">
      <c r="A2423" s="91">
        <v>45703</v>
      </c>
      <c r="B2423" t="s">
        <v>12</v>
      </c>
      <c r="C2423" s="51">
        <v>15.7</v>
      </c>
      <c r="D2423" s="46">
        <f>+VLOOKUP(dHdcp[[#This Row],[Handicap]],'Categoría Hdcap'!$B$2:$E$7,4)</f>
        <v>3</v>
      </c>
      <c r="E2423" t="s">
        <v>74</v>
      </c>
      <c r="F2423" s="92"/>
      <c r="G2423">
        <f>+IF(dHdcp[[#This Row],[Fecha]]=MAX(dHdcp[Fecha]),1,0)</f>
        <v>0</v>
      </c>
      <c r="H2423" t="str">
        <f>+dHdcp[[#This Row],[Maximo]]&amp;":"&amp;dHdcp[[#This Row],[Nombre]]</f>
        <v>0:Francisco Alvarez</v>
      </c>
      <c r="I2423" t="str">
        <f>+dHdcp[[#This Row],[Maximo]]&amp;":"&amp;_xlfn.XLOOKUP(dHdcp[[#This Row],[Nombre]],dJugador[Nombre],dJugador[Mote],"",0)</f>
        <v>0:Paco</v>
      </c>
      <c r="J2423" t="str">
        <f>+IF(dHdcp[[#This Row],[Maximo]]=0,"",_xlfn.RANK.EQ(dHdcp[[#This Row],[Handicap]],dHdcp[Handicap],1))</f>
        <v/>
      </c>
      <c r="K2423" t="str">
        <f>IFERROR(+_xlfn.RANK.EQ(dHdcp[[#This Row],[Ranking]],dHdcp[Ranking],1),"")</f>
        <v/>
      </c>
      <c r="M2423" t="str">
        <f>+dHdcp[[#This Row],[Fecha]]&amp;":"&amp;dHdcp[[#This Row],[Nombre]]</f>
        <v>45703:Francisco Alvarez</v>
      </c>
      <c r="N2423">
        <f>+COUNTIF(dHdcp[Columna1],dHdcp[[#This Row],[Columna1]])</f>
        <v>1</v>
      </c>
    </row>
    <row r="2424" spans="1:14">
      <c r="A2424" s="91">
        <v>45703</v>
      </c>
      <c r="B2424" t="s">
        <v>49</v>
      </c>
      <c r="C2424" s="51">
        <v>14.3</v>
      </c>
      <c r="D2424" s="46">
        <f>+VLOOKUP(dHdcp[[#This Row],[Handicap]],'Categoría Hdcap'!$B$2:$E$7,4)</f>
        <v>3</v>
      </c>
      <c r="E2424" t="s">
        <v>74</v>
      </c>
      <c r="F2424" s="92"/>
      <c r="G2424">
        <f>+IF(dHdcp[[#This Row],[Fecha]]=MAX(dHdcp[Fecha]),1,0)</f>
        <v>0</v>
      </c>
      <c r="H2424" t="str">
        <f>+dHdcp[[#This Row],[Maximo]]&amp;":"&amp;dHdcp[[#This Row],[Nombre]]</f>
        <v>0:Francisco Hidalgo</v>
      </c>
      <c r="I2424" t="str">
        <f>+dHdcp[[#This Row],[Maximo]]&amp;":"&amp;_xlfn.XLOOKUP(dHdcp[[#This Row],[Nombre]],dJugador[Nombre],dJugador[Mote],"",0)</f>
        <v>0:Fran</v>
      </c>
      <c r="J2424" t="str">
        <f>+IF(dHdcp[[#This Row],[Maximo]]=0,"",_xlfn.RANK.EQ(dHdcp[[#This Row],[Handicap]],dHdcp[Handicap],1))</f>
        <v/>
      </c>
      <c r="K2424" t="str">
        <f>IFERROR(+_xlfn.RANK.EQ(dHdcp[[#This Row],[Ranking]],dHdcp[Ranking],1),"")</f>
        <v/>
      </c>
      <c r="M2424" t="str">
        <f>+dHdcp[[#This Row],[Fecha]]&amp;":"&amp;dHdcp[[#This Row],[Nombre]]</f>
        <v>45703:Francisco Hidalgo</v>
      </c>
      <c r="N2424">
        <f>+COUNTIF(dHdcp[Columna1],dHdcp[[#This Row],[Columna1]])</f>
        <v>1</v>
      </c>
    </row>
    <row r="2425" spans="1:14">
      <c r="A2425" s="91">
        <v>45703</v>
      </c>
      <c r="B2425" t="s">
        <v>207</v>
      </c>
      <c r="C2425" s="51">
        <v>15</v>
      </c>
      <c r="D2425" s="46">
        <f>+VLOOKUP(dHdcp[[#This Row],[Handicap]],'Categoría Hdcap'!$B$2:$E$7,4)</f>
        <v>3</v>
      </c>
      <c r="E2425" t="s">
        <v>74</v>
      </c>
      <c r="F2425" s="92"/>
      <c r="G2425">
        <f>+IF(dHdcp[[#This Row],[Fecha]]=MAX(dHdcp[Fecha]),1,0)</f>
        <v>0</v>
      </c>
      <c r="H2425" t="str">
        <f>+dHdcp[[#This Row],[Maximo]]&amp;":"&amp;dHdcp[[#This Row],[Nombre]]</f>
        <v>0:Franck Benouniche</v>
      </c>
      <c r="I2425" t="str">
        <f>+dHdcp[[#This Row],[Maximo]]&amp;":"&amp;_xlfn.XLOOKUP(dHdcp[[#This Row],[Nombre]],dJugador[Nombre],dJugador[Mote],"",0)</f>
        <v>0:Franck</v>
      </c>
      <c r="J2425" t="str">
        <f>+IF(dHdcp[[#This Row],[Maximo]]=0,"",_xlfn.RANK.EQ(dHdcp[[#This Row],[Handicap]],dHdcp[Handicap],1))</f>
        <v/>
      </c>
      <c r="K2425" t="str">
        <f>IFERROR(+_xlfn.RANK.EQ(dHdcp[[#This Row],[Ranking]],dHdcp[Ranking],1),"")</f>
        <v/>
      </c>
      <c r="M2425" t="str">
        <f>+dHdcp[[#This Row],[Fecha]]&amp;":"&amp;dHdcp[[#This Row],[Nombre]]</f>
        <v>45703:Franck Benouniche</v>
      </c>
      <c r="N2425">
        <f>+COUNTIF(dHdcp[Columna1],dHdcp[[#This Row],[Columna1]])</f>
        <v>1</v>
      </c>
    </row>
    <row r="2426" spans="1:14">
      <c r="A2426" s="91">
        <v>45703</v>
      </c>
      <c r="B2426" t="s">
        <v>35</v>
      </c>
      <c r="C2426" s="51">
        <v>19.399999999999999</v>
      </c>
      <c r="D2426" s="46">
        <f>+VLOOKUP(dHdcp[[#This Row],[Handicap]],'Categoría Hdcap'!$B$2:$E$7,4)</f>
        <v>4</v>
      </c>
      <c r="E2426" t="s">
        <v>74</v>
      </c>
      <c r="F2426" s="92"/>
      <c r="G2426">
        <f>+IF(dHdcp[[#This Row],[Fecha]]=MAX(dHdcp[Fecha]),1,0)</f>
        <v>0</v>
      </c>
      <c r="H2426" t="str">
        <f>+dHdcp[[#This Row],[Maximo]]&amp;":"&amp;dHdcp[[#This Row],[Nombre]]</f>
        <v>0:GLEZ JUAN JOSÉ</v>
      </c>
      <c r="I2426" t="str">
        <f>+dHdcp[[#This Row],[Maximo]]&amp;":"&amp;_xlfn.XLOOKUP(dHdcp[[#This Row],[Nombre]],dJugador[Nombre],dJugador[Mote],"",0)</f>
        <v>0:Juanjo</v>
      </c>
      <c r="J2426" t="str">
        <f>+IF(dHdcp[[#This Row],[Maximo]]=0,"",_xlfn.RANK.EQ(dHdcp[[#This Row],[Handicap]],dHdcp[Handicap],1))</f>
        <v/>
      </c>
      <c r="K2426" t="str">
        <f>IFERROR(+_xlfn.RANK.EQ(dHdcp[[#This Row],[Ranking]],dHdcp[Ranking],1),"")</f>
        <v/>
      </c>
      <c r="M2426" t="str">
        <f>+dHdcp[[#This Row],[Fecha]]&amp;":"&amp;dHdcp[[#This Row],[Nombre]]</f>
        <v>45703:GLEZ JUAN JOSÉ</v>
      </c>
      <c r="N2426">
        <f>+COUNTIF(dHdcp[Columna1],dHdcp[[#This Row],[Columna1]])</f>
        <v>1</v>
      </c>
    </row>
    <row r="2427" spans="1:14">
      <c r="A2427" s="91">
        <v>45703</v>
      </c>
      <c r="B2427" t="s">
        <v>6</v>
      </c>
      <c r="C2427" s="51">
        <v>6.8</v>
      </c>
      <c r="D2427" s="46">
        <f>+VLOOKUP(dHdcp[[#This Row],[Handicap]],'Categoría Hdcap'!$B$2:$E$7,4)</f>
        <v>2</v>
      </c>
      <c r="E2427" t="s">
        <v>74</v>
      </c>
      <c r="F2427" s="92"/>
      <c r="G2427">
        <f>+IF(dHdcp[[#This Row],[Fecha]]=MAX(dHdcp[Fecha]),1,0)</f>
        <v>0</v>
      </c>
      <c r="H2427" t="str">
        <f>+dHdcp[[#This Row],[Maximo]]&amp;":"&amp;dHdcp[[#This Row],[Nombre]]</f>
        <v>0:Ignacio Cadarso</v>
      </c>
      <c r="I2427" t="str">
        <f>+dHdcp[[#This Row],[Maximo]]&amp;":"&amp;_xlfn.XLOOKUP(dHdcp[[#This Row],[Nombre]],dJugador[Nombre],dJugador[Mote],"",0)</f>
        <v>0:Ignacio</v>
      </c>
      <c r="J2427" t="str">
        <f>+IF(dHdcp[[#This Row],[Maximo]]=0,"",_xlfn.RANK.EQ(dHdcp[[#This Row],[Handicap]],dHdcp[Handicap],1))</f>
        <v/>
      </c>
      <c r="K2427" t="str">
        <f>IFERROR(+_xlfn.RANK.EQ(dHdcp[[#This Row],[Ranking]],dHdcp[Ranking],1),"")</f>
        <v/>
      </c>
      <c r="M2427" t="str">
        <f>+dHdcp[[#This Row],[Fecha]]&amp;":"&amp;dHdcp[[#This Row],[Nombre]]</f>
        <v>45703:Ignacio Cadarso</v>
      </c>
      <c r="N2427">
        <f>+COUNTIF(dHdcp[Columna1],dHdcp[[#This Row],[Columna1]])</f>
        <v>1</v>
      </c>
    </row>
    <row r="2428" spans="1:14">
      <c r="A2428" s="91">
        <v>45703</v>
      </c>
      <c r="B2428" t="s">
        <v>23</v>
      </c>
      <c r="C2428" s="51">
        <v>19.600000000000001</v>
      </c>
      <c r="D2428" s="46">
        <f>+VLOOKUP(dHdcp[[#This Row],[Handicap]],'Categoría Hdcap'!$B$2:$E$7,4)</f>
        <v>4</v>
      </c>
      <c r="E2428" t="s">
        <v>74</v>
      </c>
      <c r="F2428" s="92"/>
      <c r="G2428">
        <f>+IF(dHdcp[[#This Row],[Fecha]]=MAX(dHdcp[Fecha]),1,0)</f>
        <v>0</v>
      </c>
      <c r="H2428" t="str">
        <f>+dHdcp[[#This Row],[Maximo]]&amp;":"&amp;dHdcp[[#This Row],[Nombre]]</f>
        <v>0:J. Enrique Gonzalez</v>
      </c>
      <c r="I2428" t="str">
        <f>+dHdcp[[#This Row],[Maximo]]&amp;":"&amp;_xlfn.XLOOKUP(dHdcp[[#This Row],[Nombre]],dJugador[Nombre],dJugador[Mote],"",0)</f>
        <v>0:Kike</v>
      </c>
      <c r="J2428" t="str">
        <f>+IF(dHdcp[[#This Row],[Maximo]]=0,"",_xlfn.RANK.EQ(dHdcp[[#This Row],[Handicap]],dHdcp[Handicap],1))</f>
        <v/>
      </c>
      <c r="K2428" t="str">
        <f>IFERROR(+_xlfn.RANK.EQ(dHdcp[[#This Row],[Ranking]],dHdcp[Ranking],1),"")</f>
        <v/>
      </c>
      <c r="M2428" t="str">
        <f>+dHdcp[[#This Row],[Fecha]]&amp;":"&amp;dHdcp[[#This Row],[Nombre]]</f>
        <v>45703:J. Enrique Gonzalez</v>
      </c>
      <c r="N2428">
        <f>+COUNTIF(dHdcp[Columna1],dHdcp[[#This Row],[Columna1]])</f>
        <v>1</v>
      </c>
    </row>
    <row r="2429" spans="1:14">
      <c r="A2429" s="91">
        <v>45703</v>
      </c>
      <c r="B2429" t="s">
        <v>2606</v>
      </c>
      <c r="C2429" s="51">
        <v>11.2</v>
      </c>
      <c r="D2429" s="46">
        <f>+VLOOKUP(dHdcp[[#This Row],[Handicap]],'Categoría Hdcap'!$B$2:$E$7,4)</f>
        <v>2</v>
      </c>
      <c r="E2429" t="s">
        <v>74</v>
      </c>
      <c r="F2429" s="92"/>
      <c r="G2429">
        <f>+IF(dHdcp[[#This Row],[Fecha]]=MAX(dHdcp[Fecha]),1,0)</f>
        <v>0</v>
      </c>
      <c r="H2429" t="str">
        <f>+dHdcp[[#This Row],[Maximo]]&amp;":"&amp;dHdcp[[#This Row],[Nombre]]</f>
        <v>0:Jaime de la Cal</v>
      </c>
      <c r="I2429" t="str">
        <f>+dHdcp[[#This Row],[Maximo]]&amp;":"&amp;_xlfn.XLOOKUP(dHdcp[[#This Row],[Nombre]],dJugador[Nombre],dJugador[Mote],"",0)</f>
        <v>0:Jaime</v>
      </c>
      <c r="J2429" t="str">
        <f>+IF(dHdcp[[#This Row],[Maximo]]=0,"",_xlfn.RANK.EQ(dHdcp[[#This Row],[Handicap]],dHdcp[Handicap],1))</f>
        <v/>
      </c>
      <c r="K2429" t="str">
        <f>IFERROR(+_xlfn.RANK.EQ(dHdcp[[#This Row],[Ranking]],dHdcp[Ranking],1),"")</f>
        <v/>
      </c>
      <c r="M2429" t="str">
        <f>+dHdcp[[#This Row],[Fecha]]&amp;":"&amp;dHdcp[[#This Row],[Nombre]]</f>
        <v>45703:Jaime de la Cal</v>
      </c>
      <c r="N2429">
        <f>+COUNTIF(dHdcp[Columna1],dHdcp[[#This Row],[Columna1]])</f>
        <v>1</v>
      </c>
    </row>
    <row r="2430" spans="1:14">
      <c r="A2430" s="91">
        <v>45703</v>
      </c>
      <c r="B2430" t="s">
        <v>328</v>
      </c>
      <c r="C2430" s="51">
        <v>10.1</v>
      </c>
      <c r="D2430" s="46">
        <f>+VLOOKUP(dHdcp[[#This Row],[Handicap]],'Categoría Hdcap'!$B$2:$E$7,4)</f>
        <v>2</v>
      </c>
      <c r="E2430" t="s">
        <v>74</v>
      </c>
      <c r="F2430" s="92"/>
      <c r="G2430">
        <f>+IF(dHdcp[[#This Row],[Fecha]]=MAX(dHdcp[Fecha]),1,0)</f>
        <v>0</v>
      </c>
      <c r="H2430" t="str">
        <f>+dHdcp[[#This Row],[Maximo]]&amp;":"&amp;dHdcp[[#This Row],[Nombre]]</f>
        <v>0:Javier Arcos</v>
      </c>
      <c r="I2430" t="str">
        <f>+dHdcp[[#This Row],[Maximo]]&amp;":"&amp;_xlfn.XLOOKUP(dHdcp[[#This Row],[Nombre]],dJugador[Nombre],dJugador[Mote],"",0)</f>
        <v>0:J.Arcos</v>
      </c>
      <c r="J2430" t="str">
        <f>+IF(dHdcp[[#This Row],[Maximo]]=0,"",_xlfn.RANK.EQ(dHdcp[[#This Row],[Handicap]],dHdcp[Handicap],1))</f>
        <v/>
      </c>
      <c r="K2430" t="str">
        <f>IFERROR(+_xlfn.RANK.EQ(dHdcp[[#This Row],[Ranking]],dHdcp[Ranking],1),"")</f>
        <v/>
      </c>
      <c r="M2430" t="str">
        <f>+dHdcp[[#This Row],[Fecha]]&amp;":"&amp;dHdcp[[#This Row],[Nombre]]</f>
        <v>45703:Javier Arcos</v>
      </c>
      <c r="N2430">
        <f>+COUNTIF(dHdcp[Columna1],dHdcp[[#This Row],[Columna1]])</f>
        <v>1</v>
      </c>
    </row>
    <row r="2431" spans="1:14">
      <c r="A2431" s="91">
        <v>45703</v>
      </c>
      <c r="B2431" t="s">
        <v>46</v>
      </c>
      <c r="C2431" s="51">
        <v>18.399999999999999</v>
      </c>
      <c r="D2431" s="46">
        <f>+VLOOKUP(dHdcp[[#This Row],[Handicap]],'Categoría Hdcap'!$B$2:$E$7,4)</f>
        <v>3</v>
      </c>
      <c r="E2431" t="s">
        <v>74</v>
      </c>
      <c r="F2431" s="92"/>
      <c r="G2431">
        <f>+IF(dHdcp[[#This Row],[Fecha]]=MAX(dHdcp[Fecha]),1,0)</f>
        <v>0</v>
      </c>
      <c r="H2431" t="str">
        <f>+dHdcp[[#This Row],[Maximo]]&amp;":"&amp;dHdcp[[#This Row],[Nombre]]</f>
        <v>0:Javier Cervera</v>
      </c>
      <c r="I2431" t="str">
        <f>+dHdcp[[#This Row],[Maximo]]&amp;":"&amp;_xlfn.XLOOKUP(dHdcp[[#This Row],[Nombre]],dJugador[Nombre],dJugador[Mote],"",0)</f>
        <v>0:Virus</v>
      </c>
      <c r="J2431" t="str">
        <f>+IF(dHdcp[[#This Row],[Maximo]]=0,"",_xlfn.RANK.EQ(dHdcp[[#This Row],[Handicap]],dHdcp[Handicap],1))</f>
        <v/>
      </c>
      <c r="K2431" t="str">
        <f>IFERROR(+_xlfn.RANK.EQ(dHdcp[[#This Row],[Ranking]],dHdcp[Ranking],1),"")</f>
        <v/>
      </c>
      <c r="M2431" t="str">
        <f>+dHdcp[[#This Row],[Fecha]]&amp;":"&amp;dHdcp[[#This Row],[Nombre]]</f>
        <v>45703:Javier Cervera</v>
      </c>
      <c r="N2431">
        <f>+COUNTIF(dHdcp[Columna1],dHdcp[[#This Row],[Columna1]])</f>
        <v>1</v>
      </c>
    </row>
    <row r="2432" spans="1:14">
      <c r="A2432" s="91">
        <v>45703</v>
      </c>
      <c r="B2432" t="s">
        <v>225</v>
      </c>
      <c r="C2432" s="51">
        <v>10.6</v>
      </c>
      <c r="D2432" s="46">
        <f>+VLOOKUP(dHdcp[[#This Row],[Handicap]],'Categoría Hdcap'!$B$2:$E$7,4)</f>
        <v>2</v>
      </c>
      <c r="E2432" t="s">
        <v>74</v>
      </c>
      <c r="F2432" s="92"/>
      <c r="G2432">
        <f>+IF(dHdcp[[#This Row],[Fecha]]=MAX(dHdcp[Fecha]),1,0)</f>
        <v>0</v>
      </c>
      <c r="H2432" t="str">
        <f>+dHdcp[[#This Row],[Maximo]]&amp;":"&amp;dHdcp[[#This Row],[Nombre]]</f>
        <v>0:Javier Chiralt</v>
      </c>
      <c r="I2432" t="str">
        <f>+dHdcp[[#This Row],[Maximo]]&amp;":"&amp;_xlfn.XLOOKUP(dHdcp[[#This Row],[Nombre]],dJugador[Nombre],dJugador[Mote],"",0)</f>
        <v>0:Chiralt</v>
      </c>
      <c r="J2432" t="str">
        <f>+IF(dHdcp[[#This Row],[Maximo]]=0,"",_xlfn.RANK.EQ(dHdcp[[#This Row],[Handicap]],dHdcp[Handicap],1))</f>
        <v/>
      </c>
      <c r="K2432" t="str">
        <f>IFERROR(+_xlfn.RANK.EQ(dHdcp[[#This Row],[Ranking]],dHdcp[Ranking],1),"")</f>
        <v/>
      </c>
      <c r="M2432" t="str">
        <f>+dHdcp[[#This Row],[Fecha]]&amp;":"&amp;dHdcp[[#This Row],[Nombre]]</f>
        <v>45703:Javier Chiralt</v>
      </c>
      <c r="N2432">
        <f>+COUNTIF(dHdcp[Columna1],dHdcp[[#This Row],[Columna1]])</f>
        <v>1</v>
      </c>
    </row>
    <row r="2433" spans="1:14">
      <c r="A2433" s="91">
        <v>45703</v>
      </c>
      <c r="B2433" t="s">
        <v>20</v>
      </c>
      <c r="C2433" s="51">
        <v>19.3</v>
      </c>
      <c r="D2433" s="46">
        <f>+VLOOKUP(dHdcp[[#This Row],[Handicap]],'Categoría Hdcap'!$B$2:$E$7,4)</f>
        <v>4</v>
      </c>
      <c r="E2433" t="s">
        <v>74</v>
      </c>
      <c r="F2433" s="92"/>
      <c r="G2433">
        <f>+IF(dHdcp[[#This Row],[Fecha]]=MAX(dHdcp[Fecha]),1,0)</f>
        <v>0</v>
      </c>
      <c r="H2433" t="str">
        <f>+dHdcp[[#This Row],[Maximo]]&amp;":"&amp;dHdcp[[#This Row],[Nombre]]</f>
        <v>0:Javier Gonzalez Salvador</v>
      </c>
      <c r="I2433" t="str">
        <f>+dHdcp[[#This Row],[Maximo]]&amp;":"&amp;_xlfn.XLOOKUP(dHdcp[[#This Row],[Nombre]],dJugador[Nombre],dJugador[Mote],"",0)</f>
        <v>0:Javi</v>
      </c>
      <c r="J2433" t="str">
        <f>+IF(dHdcp[[#This Row],[Maximo]]=0,"",_xlfn.RANK.EQ(dHdcp[[#This Row],[Handicap]],dHdcp[Handicap],1))</f>
        <v/>
      </c>
      <c r="K2433" t="str">
        <f>IFERROR(+_xlfn.RANK.EQ(dHdcp[[#This Row],[Ranking]],dHdcp[Ranking],1),"")</f>
        <v/>
      </c>
      <c r="M2433" t="str">
        <f>+dHdcp[[#This Row],[Fecha]]&amp;":"&amp;dHdcp[[#This Row],[Nombre]]</f>
        <v>45703:Javier Gonzalez Salvador</v>
      </c>
      <c r="N2433">
        <f>+COUNTIF(dHdcp[Columna1],dHdcp[[#This Row],[Columna1]])</f>
        <v>1</v>
      </c>
    </row>
    <row r="2434" spans="1:14">
      <c r="A2434" s="91">
        <v>45703</v>
      </c>
      <c r="B2434" t="s">
        <v>217</v>
      </c>
      <c r="C2434" s="51">
        <v>20.9</v>
      </c>
      <c r="D2434" s="46">
        <f>+VLOOKUP(dHdcp[[#This Row],[Handicap]],'Categoría Hdcap'!$B$2:$E$7,4)</f>
        <v>4</v>
      </c>
      <c r="E2434" t="s">
        <v>74</v>
      </c>
      <c r="F2434" s="92"/>
      <c r="G2434">
        <f>+IF(dHdcp[[#This Row],[Fecha]]=MAX(dHdcp[Fecha]),1,0)</f>
        <v>0</v>
      </c>
      <c r="H2434" t="str">
        <f>+dHdcp[[#This Row],[Maximo]]&amp;":"&amp;dHdcp[[#This Row],[Nombre]]</f>
        <v>0:Javier Lopez Gullón</v>
      </c>
      <c r="I2434" t="str">
        <f>+dHdcp[[#This Row],[Maximo]]&amp;":"&amp;_xlfn.XLOOKUP(dHdcp[[#This Row],[Nombre]],dJugador[Nombre],dJugador[Mote],"",0)</f>
        <v>0:Cuñao</v>
      </c>
      <c r="J2434" t="str">
        <f>+IF(dHdcp[[#This Row],[Maximo]]=0,"",_xlfn.RANK.EQ(dHdcp[[#This Row],[Handicap]],dHdcp[Handicap],1))</f>
        <v/>
      </c>
      <c r="K2434" t="str">
        <f>IFERROR(+_xlfn.RANK.EQ(dHdcp[[#This Row],[Ranking]],dHdcp[Ranking],1),"")</f>
        <v/>
      </c>
      <c r="M2434" t="str">
        <f>+dHdcp[[#This Row],[Fecha]]&amp;":"&amp;dHdcp[[#This Row],[Nombre]]</f>
        <v>45703:Javier Lopez Gullón</v>
      </c>
      <c r="N2434">
        <f>+COUNTIF(dHdcp[Columna1],dHdcp[[#This Row],[Columna1]])</f>
        <v>1</v>
      </c>
    </row>
    <row r="2435" spans="1:14">
      <c r="A2435" s="91">
        <v>45703</v>
      </c>
      <c r="B2435" t="s">
        <v>41</v>
      </c>
      <c r="C2435" s="51">
        <v>21.9</v>
      </c>
      <c r="D2435" s="46">
        <f>+VLOOKUP(dHdcp[[#This Row],[Handicap]],'Categoría Hdcap'!$B$2:$E$7,4)</f>
        <v>4</v>
      </c>
      <c r="E2435" t="s">
        <v>74</v>
      </c>
      <c r="F2435" s="92"/>
      <c r="G2435">
        <f>+IF(dHdcp[[#This Row],[Fecha]]=MAX(dHdcp[Fecha]),1,0)</f>
        <v>0</v>
      </c>
      <c r="H2435" t="str">
        <f>+dHdcp[[#This Row],[Maximo]]&amp;":"&amp;dHdcp[[#This Row],[Nombre]]</f>
        <v>0:Jesus Touceda</v>
      </c>
      <c r="I2435" t="str">
        <f>+dHdcp[[#This Row],[Maximo]]&amp;":"&amp;_xlfn.XLOOKUP(dHdcp[[#This Row],[Nombre]],dJugador[Nombre],dJugador[Mote],"",0)</f>
        <v>0:Jesús</v>
      </c>
      <c r="J2435" t="str">
        <f>+IF(dHdcp[[#This Row],[Maximo]]=0,"",_xlfn.RANK.EQ(dHdcp[[#This Row],[Handicap]],dHdcp[Handicap],1))</f>
        <v/>
      </c>
      <c r="K2435" t="str">
        <f>IFERROR(+_xlfn.RANK.EQ(dHdcp[[#This Row],[Ranking]],dHdcp[Ranking],1),"")</f>
        <v/>
      </c>
      <c r="M2435" t="str">
        <f>+dHdcp[[#This Row],[Fecha]]&amp;":"&amp;dHdcp[[#This Row],[Nombre]]</f>
        <v>45703:Jesus Touceda</v>
      </c>
      <c r="N2435">
        <f>+COUNTIF(dHdcp[Columna1],dHdcp[[#This Row],[Columna1]])</f>
        <v>1</v>
      </c>
    </row>
    <row r="2436" spans="1:14">
      <c r="A2436" s="91">
        <v>45703</v>
      </c>
      <c r="B2436" t="s">
        <v>2561</v>
      </c>
      <c r="C2436" s="51">
        <v>20.2</v>
      </c>
      <c r="D2436" s="46">
        <f>+VLOOKUP(dHdcp[[#This Row],[Handicap]],'Categoría Hdcap'!$B$2:$E$7,4)</f>
        <v>4</v>
      </c>
      <c r="E2436" t="s">
        <v>74</v>
      </c>
      <c r="F2436" s="92"/>
      <c r="G2436">
        <f>+IF(dHdcp[[#This Row],[Fecha]]=MAX(dHdcp[Fecha]),1,0)</f>
        <v>0</v>
      </c>
      <c r="H2436" t="str">
        <f>+dHdcp[[#This Row],[Maximo]]&amp;":"&amp;dHdcp[[#This Row],[Nombre]]</f>
        <v>0:Joaquín Sánchez</v>
      </c>
      <c r="I2436" t="str">
        <f>+dHdcp[[#This Row],[Maximo]]&amp;":"&amp;_xlfn.XLOOKUP(dHdcp[[#This Row],[Nombre]],dJugador[Nombre],dJugador[Mote],"",0)</f>
        <v>0:Joaco</v>
      </c>
      <c r="J2436" t="str">
        <f>+IF(dHdcp[[#This Row],[Maximo]]=0,"",_xlfn.RANK.EQ(dHdcp[[#This Row],[Handicap]],dHdcp[Handicap],1))</f>
        <v/>
      </c>
      <c r="K2436" t="str">
        <f>IFERROR(+_xlfn.RANK.EQ(dHdcp[[#This Row],[Ranking]],dHdcp[Ranking],1),"")</f>
        <v/>
      </c>
      <c r="M2436" t="str">
        <f>+dHdcp[[#This Row],[Fecha]]&amp;":"&amp;dHdcp[[#This Row],[Nombre]]</f>
        <v>45703:Joaquín Sánchez</v>
      </c>
      <c r="N2436">
        <f>+COUNTIF(dHdcp[Columna1],dHdcp[[#This Row],[Columna1]])</f>
        <v>1</v>
      </c>
    </row>
    <row r="2437" spans="1:14">
      <c r="A2437" s="91">
        <v>45703</v>
      </c>
      <c r="B2437" t="s">
        <v>297</v>
      </c>
      <c r="C2437" s="51">
        <v>18.600000000000001</v>
      </c>
      <c r="D2437" s="46">
        <f>+VLOOKUP(dHdcp[[#This Row],[Handicap]],'Categoría Hdcap'!$B$2:$E$7,4)</f>
        <v>4</v>
      </c>
      <c r="E2437" t="s">
        <v>74</v>
      </c>
      <c r="F2437" s="92"/>
      <c r="G2437">
        <f>+IF(dHdcp[[#This Row],[Fecha]]=MAX(dHdcp[Fecha]),1,0)</f>
        <v>0</v>
      </c>
      <c r="H2437" t="str">
        <f>+dHdcp[[#This Row],[Maximo]]&amp;":"&amp;dHdcp[[#This Row],[Nombre]]</f>
        <v>0:Jorge Alberto Martínez Sánchez</v>
      </c>
      <c r="I2437" t="str">
        <f>+dHdcp[[#This Row],[Maximo]]&amp;":"&amp;_xlfn.XLOOKUP(dHdcp[[#This Row],[Nombre]],dJugador[Nombre],dJugador[Mote],"",0)</f>
        <v>0:Jorge</v>
      </c>
      <c r="J2437" t="str">
        <f>+IF(dHdcp[[#This Row],[Maximo]]=0,"",_xlfn.RANK.EQ(dHdcp[[#This Row],[Handicap]],dHdcp[Handicap],1))</f>
        <v/>
      </c>
      <c r="K2437" t="str">
        <f>IFERROR(+_xlfn.RANK.EQ(dHdcp[[#This Row],[Ranking]],dHdcp[Ranking],1),"")</f>
        <v/>
      </c>
      <c r="M2437" t="str">
        <f>+dHdcp[[#This Row],[Fecha]]&amp;":"&amp;dHdcp[[#This Row],[Nombre]]</f>
        <v>45703:Jorge Alberto Martínez Sánchez</v>
      </c>
      <c r="N2437">
        <f>+COUNTIF(dHdcp[Columna1],dHdcp[[#This Row],[Columna1]])</f>
        <v>1</v>
      </c>
    </row>
    <row r="2438" spans="1:14">
      <c r="A2438" s="91">
        <v>45703</v>
      </c>
      <c r="B2438" t="s">
        <v>388</v>
      </c>
      <c r="C2438" s="51">
        <v>25.5</v>
      </c>
      <c r="D2438" s="46">
        <f>+VLOOKUP(dHdcp[[#This Row],[Handicap]],'Categoría Hdcap'!$B$2:$E$7,4)</f>
        <v>4</v>
      </c>
      <c r="E2438" t="s">
        <v>74</v>
      </c>
      <c r="F2438" s="92"/>
      <c r="G2438">
        <f>+IF(dHdcp[[#This Row],[Fecha]]=MAX(dHdcp[Fecha]),1,0)</f>
        <v>0</v>
      </c>
      <c r="H2438" t="str">
        <f>+dHdcp[[#This Row],[Maximo]]&amp;":"&amp;dHdcp[[#This Row],[Nombre]]</f>
        <v>0:Jose Antonio Santana</v>
      </c>
      <c r="I2438" t="str">
        <f>+dHdcp[[#This Row],[Maximo]]&amp;":"&amp;_xlfn.XLOOKUP(dHdcp[[#This Row],[Nombre]],dJugador[Nombre],dJugador[Mote],"",0)</f>
        <v>0:J Antonio</v>
      </c>
      <c r="J2438" t="str">
        <f>+IF(dHdcp[[#This Row],[Maximo]]=0,"",_xlfn.RANK.EQ(dHdcp[[#This Row],[Handicap]],dHdcp[Handicap],1))</f>
        <v/>
      </c>
      <c r="K2438" t="str">
        <f>IFERROR(+_xlfn.RANK.EQ(dHdcp[[#This Row],[Ranking]],dHdcp[Ranking],1),"")</f>
        <v/>
      </c>
      <c r="M2438" t="str">
        <f>+dHdcp[[#This Row],[Fecha]]&amp;":"&amp;dHdcp[[#This Row],[Nombre]]</f>
        <v>45703:Jose Antonio Santana</v>
      </c>
      <c r="N2438">
        <f>+COUNTIF(dHdcp[Columna1],dHdcp[[#This Row],[Columna1]])</f>
        <v>1</v>
      </c>
    </row>
    <row r="2439" spans="1:14">
      <c r="A2439" s="91">
        <v>45703</v>
      </c>
      <c r="B2439" t="s">
        <v>18</v>
      </c>
      <c r="C2439" s="51">
        <v>7</v>
      </c>
      <c r="D2439" s="46">
        <f>+VLOOKUP(dHdcp[[#This Row],[Handicap]],'Categoría Hdcap'!$B$2:$E$7,4)</f>
        <v>2</v>
      </c>
      <c r="E2439" t="s">
        <v>74</v>
      </c>
      <c r="F2439" s="92"/>
      <c r="G2439">
        <f>+IF(dHdcp[[#This Row],[Fecha]]=MAX(dHdcp[Fecha]),1,0)</f>
        <v>0</v>
      </c>
      <c r="H2439" t="str">
        <f>+dHdcp[[#This Row],[Maximo]]&amp;":"&amp;dHdcp[[#This Row],[Nombre]]</f>
        <v>0:José Pablo Guil</v>
      </c>
      <c r="I2439" t="str">
        <f>+dHdcp[[#This Row],[Maximo]]&amp;":"&amp;_xlfn.XLOOKUP(dHdcp[[#This Row],[Nombre]],dJugador[Nombre],dJugador[Mote],"",0)</f>
        <v>0:JP</v>
      </c>
      <c r="J2439" t="str">
        <f>+IF(dHdcp[[#This Row],[Maximo]]=0,"",_xlfn.RANK.EQ(dHdcp[[#This Row],[Handicap]],dHdcp[Handicap],1))</f>
        <v/>
      </c>
      <c r="K2439" t="str">
        <f>IFERROR(+_xlfn.RANK.EQ(dHdcp[[#This Row],[Ranking]],dHdcp[Ranking],1),"")</f>
        <v/>
      </c>
      <c r="M2439" t="str">
        <f>+dHdcp[[#This Row],[Fecha]]&amp;":"&amp;dHdcp[[#This Row],[Nombre]]</f>
        <v>45703:José Pablo Guil</v>
      </c>
      <c r="N2439">
        <f>+COUNTIF(dHdcp[Columna1],dHdcp[[#This Row],[Columna1]])</f>
        <v>1</v>
      </c>
    </row>
    <row r="2440" spans="1:14">
      <c r="A2440" s="91">
        <v>45703</v>
      </c>
      <c r="B2440" t="s">
        <v>293</v>
      </c>
      <c r="C2440" s="51">
        <v>15.1</v>
      </c>
      <c r="D2440" s="46">
        <f>+VLOOKUP(dHdcp[[#This Row],[Handicap]],'Categoría Hdcap'!$B$2:$E$7,4)</f>
        <v>3</v>
      </c>
      <c r="E2440" t="s">
        <v>74</v>
      </c>
      <c r="F2440" s="92"/>
      <c r="G2440">
        <f>+IF(dHdcp[[#This Row],[Fecha]]=MAX(dHdcp[Fecha]),1,0)</f>
        <v>0</v>
      </c>
      <c r="H2440" t="str">
        <f>+dHdcp[[#This Row],[Maximo]]&amp;":"&amp;dHdcp[[#This Row],[Nombre]]</f>
        <v>0:Juan Jose Aguado</v>
      </c>
      <c r="I2440" t="str">
        <f>+dHdcp[[#This Row],[Maximo]]&amp;":"&amp;_xlfn.XLOOKUP(dHdcp[[#This Row],[Nombre]],dJugador[Nombre],dJugador[Mote],"",0)</f>
        <v>0:Juancho</v>
      </c>
      <c r="J2440" t="str">
        <f>+IF(dHdcp[[#This Row],[Maximo]]=0,"",_xlfn.RANK.EQ(dHdcp[[#This Row],[Handicap]],dHdcp[Handicap],1))</f>
        <v/>
      </c>
      <c r="K2440" t="str">
        <f>IFERROR(+_xlfn.RANK.EQ(dHdcp[[#This Row],[Ranking]],dHdcp[Ranking],1),"")</f>
        <v/>
      </c>
      <c r="M2440" t="str">
        <f>+dHdcp[[#This Row],[Fecha]]&amp;":"&amp;dHdcp[[#This Row],[Nombre]]</f>
        <v>45703:Juan Jose Aguado</v>
      </c>
      <c r="N2440">
        <f>+COUNTIF(dHdcp[Columna1],dHdcp[[#This Row],[Columna1]])</f>
        <v>1</v>
      </c>
    </row>
    <row r="2441" spans="1:14">
      <c r="A2441" s="91">
        <v>45703</v>
      </c>
      <c r="B2441" t="s">
        <v>2516</v>
      </c>
      <c r="C2441" s="51">
        <v>16.600000000000001</v>
      </c>
      <c r="D2441" s="46">
        <f>+VLOOKUP(dHdcp[[#This Row],[Handicap]],'Categoría Hdcap'!$B$2:$E$7,4)</f>
        <v>3</v>
      </c>
      <c r="E2441" t="s">
        <v>74</v>
      </c>
      <c r="F2441" s="92"/>
      <c r="G2441">
        <f>+IF(dHdcp[[#This Row],[Fecha]]=MAX(dHdcp[Fecha]),1,0)</f>
        <v>0</v>
      </c>
      <c r="H2441" t="str">
        <f>+dHdcp[[#This Row],[Maximo]]&amp;":"&amp;dHdcp[[#This Row],[Nombre]]</f>
        <v>0:Juan Sanz</v>
      </c>
      <c r="I2441" t="str">
        <f>+dHdcp[[#This Row],[Maximo]]&amp;":"&amp;_xlfn.XLOOKUP(dHdcp[[#This Row],[Nombre]],dJugador[Nombre],dJugador[Mote],"",0)</f>
        <v>0:JuanSanz</v>
      </c>
      <c r="J2441" t="str">
        <f>+IF(dHdcp[[#This Row],[Maximo]]=0,"",_xlfn.RANK.EQ(dHdcp[[#This Row],[Handicap]],dHdcp[Handicap],1))</f>
        <v/>
      </c>
      <c r="K2441" t="str">
        <f>IFERROR(+_xlfn.RANK.EQ(dHdcp[[#This Row],[Ranking]],dHdcp[Ranking],1),"")</f>
        <v/>
      </c>
      <c r="M2441" t="str">
        <f>+dHdcp[[#This Row],[Fecha]]&amp;":"&amp;dHdcp[[#This Row],[Nombre]]</f>
        <v>45703:Juan Sanz</v>
      </c>
      <c r="N2441">
        <f>+COUNTIF(dHdcp[Columna1],dHdcp[[#This Row],[Columna1]])</f>
        <v>1</v>
      </c>
    </row>
    <row r="2442" spans="1:14">
      <c r="A2442" s="91">
        <v>45703</v>
      </c>
      <c r="B2442" t="s">
        <v>375</v>
      </c>
      <c r="C2442" s="51">
        <v>10.199999999999999</v>
      </c>
      <c r="D2442" s="46">
        <f>+VLOOKUP(dHdcp[[#This Row],[Handicap]],'Categoría Hdcap'!$B$2:$E$7,4)</f>
        <v>2</v>
      </c>
      <c r="E2442" t="s">
        <v>74</v>
      </c>
      <c r="F2442" s="92"/>
      <c r="G2442">
        <f>+IF(dHdcp[[#This Row],[Fecha]]=MAX(dHdcp[Fecha]),1,0)</f>
        <v>0</v>
      </c>
      <c r="H2442" t="str">
        <f>+dHdcp[[#This Row],[Maximo]]&amp;":"&amp;dHdcp[[#This Row],[Nombre]]</f>
        <v>0:Luis Fernandez</v>
      </c>
      <c r="I2442" t="str">
        <f>+dHdcp[[#This Row],[Maximo]]&amp;":"&amp;_xlfn.XLOOKUP(dHdcp[[#This Row],[Nombre]],dJugador[Nombre],dJugador[Mote],"",0)</f>
        <v>0:Luis</v>
      </c>
      <c r="J2442" t="str">
        <f>+IF(dHdcp[[#This Row],[Maximo]]=0,"",_xlfn.RANK.EQ(dHdcp[[#This Row],[Handicap]],dHdcp[Handicap],1))</f>
        <v/>
      </c>
      <c r="K2442" t="str">
        <f>IFERROR(+_xlfn.RANK.EQ(dHdcp[[#This Row],[Ranking]],dHdcp[Ranking],1),"")</f>
        <v/>
      </c>
      <c r="M2442" t="str">
        <f>+dHdcp[[#This Row],[Fecha]]&amp;":"&amp;dHdcp[[#This Row],[Nombre]]</f>
        <v>45703:Luis Fernandez</v>
      </c>
      <c r="N2442">
        <f>+COUNTIF(dHdcp[Columna1],dHdcp[[#This Row],[Columna1]])</f>
        <v>1</v>
      </c>
    </row>
    <row r="2443" spans="1:14">
      <c r="A2443" s="91">
        <v>45703</v>
      </c>
      <c r="B2443" t="s">
        <v>135</v>
      </c>
      <c r="C2443" s="51">
        <v>18.5</v>
      </c>
      <c r="D2443" s="46">
        <f>+VLOOKUP(dHdcp[[#This Row],[Handicap]],'Categoría Hdcap'!$B$2:$E$7,4)</f>
        <v>4</v>
      </c>
      <c r="E2443" t="s">
        <v>74</v>
      </c>
      <c r="F2443" s="92"/>
      <c r="G2443">
        <f>+IF(dHdcp[[#This Row],[Fecha]]=MAX(dHdcp[Fecha]),1,0)</f>
        <v>0</v>
      </c>
      <c r="H2443" t="str">
        <f>+dHdcp[[#This Row],[Maximo]]&amp;":"&amp;dHdcp[[#This Row],[Nombre]]</f>
        <v>0:Miche Lopez</v>
      </c>
      <c r="I2443" t="str">
        <f>+dHdcp[[#This Row],[Maximo]]&amp;":"&amp;_xlfn.XLOOKUP(dHdcp[[#This Row],[Nombre]],dJugador[Nombre],dJugador[Mote],"",0)</f>
        <v>0:Miche</v>
      </c>
      <c r="J2443" t="str">
        <f>+IF(dHdcp[[#This Row],[Maximo]]=0,"",_xlfn.RANK.EQ(dHdcp[[#This Row],[Handicap]],dHdcp[Handicap],1))</f>
        <v/>
      </c>
      <c r="K2443" t="str">
        <f>IFERROR(+_xlfn.RANK.EQ(dHdcp[[#This Row],[Ranking]],dHdcp[Ranking],1),"")</f>
        <v/>
      </c>
      <c r="M2443" t="str">
        <f>+dHdcp[[#This Row],[Fecha]]&amp;":"&amp;dHdcp[[#This Row],[Nombre]]</f>
        <v>45703:Miche Lopez</v>
      </c>
      <c r="N2443">
        <f>+COUNTIF(dHdcp[Columna1],dHdcp[[#This Row],[Columna1]])</f>
        <v>1</v>
      </c>
    </row>
    <row r="2444" spans="1:14">
      <c r="A2444" s="91">
        <v>45703</v>
      </c>
      <c r="B2444" t="s">
        <v>2603</v>
      </c>
      <c r="C2444" s="51">
        <v>7.3</v>
      </c>
      <c r="D2444" s="46">
        <f>+VLOOKUP(dHdcp[[#This Row],[Handicap]],'Categoría Hdcap'!$B$2:$E$7,4)</f>
        <v>2</v>
      </c>
      <c r="E2444" t="s">
        <v>74</v>
      </c>
      <c r="F2444" s="92"/>
      <c r="G2444">
        <f>+IF(dHdcp[[#This Row],[Fecha]]=MAX(dHdcp[Fecha]),1,0)</f>
        <v>0</v>
      </c>
      <c r="H2444" t="str">
        <f>+dHdcp[[#This Row],[Maximo]]&amp;":"&amp;dHdcp[[#This Row],[Nombre]]</f>
        <v>0:Miguel Angel Aguilera</v>
      </c>
      <c r="I2444" t="str">
        <f>+dHdcp[[#This Row],[Maximo]]&amp;":"&amp;_xlfn.XLOOKUP(dHdcp[[#This Row],[Nombre]],dJugador[Nombre],dJugador[Mote],"",0)</f>
        <v>0:M Angel</v>
      </c>
      <c r="J2444" t="str">
        <f>+IF(dHdcp[[#This Row],[Maximo]]=0,"",_xlfn.RANK.EQ(dHdcp[[#This Row],[Handicap]],dHdcp[Handicap],1))</f>
        <v/>
      </c>
      <c r="K2444" t="str">
        <f>IFERROR(+_xlfn.RANK.EQ(dHdcp[[#This Row],[Ranking]],dHdcp[Ranking],1),"")</f>
        <v/>
      </c>
      <c r="M2444" t="str">
        <f>+dHdcp[[#This Row],[Fecha]]&amp;":"&amp;dHdcp[[#This Row],[Nombre]]</f>
        <v>45703:Miguel Angel Aguilera</v>
      </c>
      <c r="N2444">
        <f>+COUNTIF(dHdcp[Columna1],dHdcp[[#This Row],[Columna1]])</f>
        <v>1</v>
      </c>
    </row>
    <row r="2445" spans="1:14">
      <c r="A2445" s="91">
        <v>45703</v>
      </c>
      <c r="B2445" t="s">
        <v>205</v>
      </c>
      <c r="C2445" s="51">
        <v>5.2</v>
      </c>
      <c r="D2445" s="46">
        <f>+VLOOKUP(dHdcp[[#This Row],[Handicap]],'Categoría Hdcap'!$B$2:$E$7,4)</f>
        <v>2</v>
      </c>
      <c r="E2445" t="s">
        <v>74</v>
      </c>
      <c r="F2445" s="92"/>
      <c r="G2445">
        <f>+IF(dHdcp[[#This Row],[Fecha]]=MAX(dHdcp[Fecha]),1,0)</f>
        <v>0</v>
      </c>
      <c r="H2445" t="str">
        <f>+dHdcp[[#This Row],[Maximo]]&amp;":"&amp;dHdcp[[#This Row],[Nombre]]</f>
        <v>0:Nacho Casas</v>
      </c>
      <c r="I2445" t="str">
        <f>+dHdcp[[#This Row],[Maximo]]&amp;":"&amp;_xlfn.XLOOKUP(dHdcp[[#This Row],[Nombre]],dJugador[Nombre],dJugador[Mote],"",0)</f>
        <v>0:Nachete</v>
      </c>
      <c r="J2445" t="str">
        <f>+IF(dHdcp[[#This Row],[Maximo]]=0,"",_xlfn.RANK.EQ(dHdcp[[#This Row],[Handicap]],dHdcp[Handicap],1))</f>
        <v/>
      </c>
      <c r="K2445" t="str">
        <f>IFERROR(+_xlfn.RANK.EQ(dHdcp[[#This Row],[Ranking]],dHdcp[Ranking],1),"")</f>
        <v/>
      </c>
      <c r="M2445" t="str">
        <f>+dHdcp[[#This Row],[Fecha]]&amp;":"&amp;dHdcp[[#This Row],[Nombre]]</f>
        <v>45703:Nacho Casas</v>
      </c>
      <c r="N2445">
        <f>+COUNTIF(dHdcp[Columna1],dHdcp[[#This Row],[Columna1]])</f>
        <v>1</v>
      </c>
    </row>
    <row r="2446" spans="1:14">
      <c r="A2446" s="91">
        <v>45703</v>
      </c>
      <c r="B2446" t="s">
        <v>3</v>
      </c>
      <c r="C2446" s="51">
        <v>4.7</v>
      </c>
      <c r="D2446" s="46">
        <f>+VLOOKUP(dHdcp[[#This Row],[Handicap]],'Categoría Hdcap'!$B$2:$E$7,4)</f>
        <v>2</v>
      </c>
      <c r="E2446" t="s">
        <v>74</v>
      </c>
      <c r="F2446" s="92"/>
      <c r="G2446">
        <f>+IF(dHdcp[[#This Row],[Fecha]]=MAX(dHdcp[Fecha]),1,0)</f>
        <v>0</v>
      </c>
      <c r="H2446" t="str">
        <f>+dHdcp[[#This Row],[Maximo]]&amp;":"&amp;dHdcp[[#This Row],[Nombre]]</f>
        <v>0:Nacho Gonzalez</v>
      </c>
      <c r="I2446" t="str">
        <f>+dHdcp[[#This Row],[Maximo]]&amp;":"&amp;_xlfn.XLOOKUP(dHdcp[[#This Row],[Nombre]],dJugador[Nombre],dJugador[Mote],"",0)</f>
        <v>0:Nacho</v>
      </c>
      <c r="J2446" t="str">
        <f>+IF(dHdcp[[#This Row],[Maximo]]=0,"",_xlfn.RANK.EQ(dHdcp[[#This Row],[Handicap]],dHdcp[Handicap],1))</f>
        <v/>
      </c>
      <c r="K2446" t="str">
        <f>IFERROR(+_xlfn.RANK.EQ(dHdcp[[#This Row],[Ranking]],dHdcp[Ranking],1),"")</f>
        <v/>
      </c>
      <c r="M2446" t="str">
        <f>+dHdcp[[#This Row],[Fecha]]&amp;":"&amp;dHdcp[[#This Row],[Nombre]]</f>
        <v>45703:Nacho Gonzalez</v>
      </c>
      <c r="N2446">
        <f>+COUNTIF(dHdcp[Columna1],dHdcp[[#This Row],[Columna1]])</f>
        <v>1</v>
      </c>
    </row>
    <row r="2447" spans="1:14">
      <c r="A2447" s="91">
        <v>45703</v>
      </c>
      <c r="B2447" t="s">
        <v>203</v>
      </c>
      <c r="C2447" s="51">
        <v>17.8</v>
      </c>
      <c r="D2447" s="46">
        <f>+VLOOKUP(dHdcp[[#This Row],[Handicap]],'Categoría Hdcap'!$B$2:$E$7,4)</f>
        <v>3</v>
      </c>
      <c r="E2447" t="s">
        <v>74</v>
      </c>
      <c r="F2447" s="92"/>
      <c r="G2447">
        <f>+IF(dHdcp[[#This Row],[Fecha]]=MAX(dHdcp[Fecha]),1,0)</f>
        <v>0</v>
      </c>
      <c r="H2447" t="str">
        <f>+dHdcp[[#This Row],[Maximo]]&amp;":"&amp;dHdcp[[#This Row],[Nombre]]</f>
        <v>0:Ruslan Kochman</v>
      </c>
      <c r="I2447" t="str">
        <f>+dHdcp[[#This Row],[Maximo]]&amp;":"&amp;_xlfn.XLOOKUP(dHdcp[[#This Row],[Nombre]],dJugador[Nombre],dJugador[Mote],"",0)</f>
        <v>0:Rus</v>
      </c>
      <c r="J2447" t="str">
        <f>+IF(dHdcp[[#This Row],[Maximo]]=0,"",_xlfn.RANK.EQ(dHdcp[[#This Row],[Handicap]],dHdcp[Handicap],1))</f>
        <v/>
      </c>
      <c r="K2447" t="str">
        <f>IFERROR(+_xlfn.RANK.EQ(dHdcp[[#This Row],[Ranking]],dHdcp[Ranking],1),"")</f>
        <v/>
      </c>
      <c r="M2447" t="str">
        <f>+dHdcp[[#This Row],[Fecha]]&amp;":"&amp;dHdcp[[#This Row],[Nombre]]</f>
        <v>45703:Ruslan Kochman</v>
      </c>
      <c r="N2447">
        <f>+COUNTIF(dHdcp[Columna1],dHdcp[[#This Row],[Columna1]])</f>
        <v>1</v>
      </c>
    </row>
    <row r="2448" spans="1:14">
      <c r="A2448" s="91">
        <v>45703</v>
      </c>
      <c r="B2448" t="s">
        <v>271</v>
      </c>
      <c r="C2448" s="51">
        <v>16.399999999999999</v>
      </c>
      <c r="D2448" s="46">
        <f>+VLOOKUP(dHdcp[[#This Row],[Handicap]],'Categoría Hdcap'!$B$2:$E$7,4)</f>
        <v>3</v>
      </c>
      <c r="E2448" t="s">
        <v>74</v>
      </c>
      <c r="F2448" s="92"/>
      <c r="G2448">
        <f>+IF(dHdcp[[#This Row],[Fecha]]=MAX(dHdcp[Fecha]),1,0)</f>
        <v>0</v>
      </c>
      <c r="H2448" t="str">
        <f>+dHdcp[[#This Row],[Maximo]]&amp;":"&amp;dHdcp[[#This Row],[Nombre]]</f>
        <v>0:Santi Diaz</v>
      </c>
      <c r="I2448" t="str">
        <f>+dHdcp[[#This Row],[Maximo]]&amp;":"&amp;_xlfn.XLOOKUP(dHdcp[[#This Row],[Nombre]],dJugador[Nombre],dJugador[Mote],"",0)</f>
        <v>0:Santi</v>
      </c>
      <c r="J2448" t="str">
        <f>+IF(dHdcp[[#This Row],[Maximo]]=0,"",_xlfn.RANK.EQ(dHdcp[[#This Row],[Handicap]],dHdcp[Handicap],1))</f>
        <v/>
      </c>
      <c r="K2448" t="str">
        <f>IFERROR(+_xlfn.RANK.EQ(dHdcp[[#This Row],[Ranking]],dHdcp[Ranking],1),"")</f>
        <v/>
      </c>
      <c r="M2448" t="str">
        <f>+dHdcp[[#This Row],[Fecha]]&amp;":"&amp;dHdcp[[#This Row],[Nombre]]</f>
        <v>45703:Santi Diaz</v>
      </c>
      <c r="N2448">
        <f>+COUNTIF(dHdcp[Columna1],dHdcp[[#This Row],[Columna1]])</f>
        <v>1</v>
      </c>
    </row>
    <row r="2449" spans="1:14">
      <c r="A2449" s="91">
        <v>45703</v>
      </c>
      <c r="B2449" t="s">
        <v>2473</v>
      </c>
      <c r="C2449" s="51">
        <v>13.9</v>
      </c>
      <c r="D2449" s="46">
        <f>+VLOOKUP(dHdcp[[#This Row],[Handicap]],'Categoría Hdcap'!$B$2:$E$7,4)</f>
        <v>3</v>
      </c>
      <c r="E2449" t="s">
        <v>74</v>
      </c>
      <c r="F2449" s="92"/>
      <c r="G2449">
        <f>+IF(dHdcp[[#This Row],[Fecha]]=MAX(dHdcp[Fecha]),1,0)</f>
        <v>0</v>
      </c>
      <c r="H2449" t="str">
        <f>+dHdcp[[#This Row],[Maximo]]&amp;":"&amp;dHdcp[[#This Row],[Nombre]]</f>
        <v>0:Thomas Dauterman</v>
      </c>
      <c r="I2449" t="str">
        <f>+dHdcp[[#This Row],[Maximo]]&amp;":"&amp;_xlfn.XLOOKUP(dHdcp[[#This Row],[Nombre]],dJugador[Nombre],dJugador[Mote],"",0)</f>
        <v>0:Tom</v>
      </c>
      <c r="J2449" t="str">
        <f>+IF(dHdcp[[#This Row],[Maximo]]=0,"",_xlfn.RANK.EQ(dHdcp[[#This Row],[Handicap]],dHdcp[Handicap],1))</f>
        <v/>
      </c>
      <c r="K2449" t="str">
        <f>IFERROR(+_xlfn.RANK.EQ(dHdcp[[#This Row],[Ranking]],dHdcp[Ranking],1),"")</f>
        <v/>
      </c>
      <c r="M2449" t="str">
        <f>+dHdcp[[#This Row],[Fecha]]&amp;":"&amp;dHdcp[[#This Row],[Nombre]]</f>
        <v>45703:Thomas Dauterman</v>
      </c>
      <c r="N2449">
        <f>+COUNTIF(dHdcp[Columna1],dHdcp[[#This Row],[Columna1]])</f>
        <v>1</v>
      </c>
    </row>
    <row r="2450" spans="1:14">
      <c r="A2450" s="2">
        <v>45738</v>
      </c>
      <c r="B2450" t="s">
        <v>259</v>
      </c>
      <c r="C2450" s="51">
        <v>0.9</v>
      </c>
      <c r="D2450" s="46">
        <f>+VLOOKUP(dHdcp[[#This Row],[Handicap]],'Categoría Hdcap'!$B$2:$E$7,4)</f>
        <v>1</v>
      </c>
      <c r="E2450" t="s">
        <v>74</v>
      </c>
      <c r="F2450" s="92"/>
      <c r="G2450">
        <f>+IF(dHdcp[[#This Row],[Fecha]]=MAX(dHdcp[Fecha]),1,0)</f>
        <v>0</v>
      </c>
      <c r="H2450" t="str">
        <f>+dHdcp[[#This Row],[Maximo]]&amp;":"&amp;dHdcp[[#This Row],[Nombre]]</f>
        <v>0:Alejandro Arcos</v>
      </c>
      <c r="I2450" t="str">
        <f>+dHdcp[[#This Row],[Maximo]]&amp;":"&amp;_xlfn.XLOOKUP(dHdcp[[#This Row],[Nombre]],dJugador[Nombre],dJugador[Mote],"",0)</f>
        <v>0:Alex</v>
      </c>
      <c r="J2450" t="str">
        <f>+IF(dHdcp[[#This Row],[Maximo]]=0,"",_xlfn.RANK.EQ(dHdcp[[#This Row],[Handicap]],dHdcp[Handicap],1))</f>
        <v/>
      </c>
      <c r="K2450" t="str">
        <f>IFERROR(+_xlfn.RANK.EQ(dHdcp[[#This Row],[Ranking]],dHdcp[Ranking],1),"")</f>
        <v/>
      </c>
      <c r="M2450" t="str">
        <f>+dHdcp[[#This Row],[Fecha]]&amp;":"&amp;dHdcp[[#This Row],[Nombre]]</f>
        <v>45738:Alejandro Arcos</v>
      </c>
      <c r="N2450">
        <f>+COUNTIF(dHdcp[Columna1],dHdcp[[#This Row],[Columna1]])</f>
        <v>1</v>
      </c>
    </row>
    <row r="2451" spans="1:14">
      <c r="A2451" s="2">
        <v>45738</v>
      </c>
      <c r="B2451" t="s">
        <v>9</v>
      </c>
      <c r="C2451" s="51">
        <v>12.3</v>
      </c>
      <c r="D2451" s="46">
        <f>+VLOOKUP(dHdcp[[#This Row],[Handicap]],'Categoría Hdcap'!$B$2:$E$7,4)</f>
        <v>3</v>
      </c>
      <c r="E2451" t="s">
        <v>74</v>
      </c>
      <c r="F2451" s="92"/>
      <c r="G2451">
        <f>+IF(dHdcp[[#This Row],[Fecha]]=MAX(dHdcp[Fecha]),1,0)</f>
        <v>0</v>
      </c>
      <c r="H2451" t="str">
        <f>+dHdcp[[#This Row],[Maximo]]&amp;":"&amp;dHdcp[[#This Row],[Nombre]]</f>
        <v>0:Alfonso Hidalgo</v>
      </c>
      <c r="I2451" t="str">
        <f>+dHdcp[[#This Row],[Maximo]]&amp;":"&amp;_xlfn.XLOOKUP(dHdcp[[#This Row],[Nombre]],dJugador[Nombre],dJugador[Mote],"",0)</f>
        <v>0:Alfonso</v>
      </c>
      <c r="J2451" t="str">
        <f>+IF(dHdcp[[#This Row],[Maximo]]=0,"",_xlfn.RANK.EQ(dHdcp[[#This Row],[Handicap]],dHdcp[Handicap],1))</f>
        <v/>
      </c>
      <c r="K2451" t="str">
        <f>IFERROR(+_xlfn.RANK.EQ(dHdcp[[#This Row],[Ranking]],dHdcp[Ranking],1),"")</f>
        <v/>
      </c>
      <c r="M2451" t="str">
        <f>+dHdcp[[#This Row],[Fecha]]&amp;":"&amp;dHdcp[[#This Row],[Nombre]]</f>
        <v>45738:Alfonso Hidalgo</v>
      </c>
      <c r="N2451">
        <f>+COUNTIF(dHdcp[Columna1],dHdcp[[#This Row],[Columna1]])</f>
        <v>1</v>
      </c>
    </row>
    <row r="2452" spans="1:14">
      <c r="A2452" s="2">
        <v>45738</v>
      </c>
      <c r="B2452" t="s">
        <v>15</v>
      </c>
      <c r="C2452" s="51">
        <v>6.4</v>
      </c>
      <c r="D2452" s="46">
        <f>+VLOOKUP(dHdcp[[#This Row],[Handicap]],'Categoría Hdcap'!$B$2:$E$7,4)</f>
        <v>2</v>
      </c>
      <c r="E2452" t="s">
        <v>74</v>
      </c>
      <c r="F2452" s="92"/>
      <c r="G2452">
        <f>+IF(dHdcp[[#This Row],[Fecha]]=MAX(dHdcp[Fecha]),1,0)</f>
        <v>0</v>
      </c>
      <c r="H2452" t="str">
        <f>+dHdcp[[#This Row],[Maximo]]&amp;":"&amp;dHdcp[[#This Row],[Nombre]]</f>
        <v>0:Alvaro Aguirre</v>
      </c>
      <c r="I2452" t="str">
        <f>+dHdcp[[#This Row],[Maximo]]&amp;":"&amp;_xlfn.XLOOKUP(dHdcp[[#This Row],[Nombre]],dJugador[Nombre],dJugador[Mote],"",0)</f>
        <v>0:Gifu</v>
      </c>
      <c r="J2452" t="str">
        <f>+IF(dHdcp[[#This Row],[Maximo]]=0,"",_xlfn.RANK.EQ(dHdcp[[#This Row],[Handicap]],dHdcp[Handicap],1))</f>
        <v/>
      </c>
      <c r="K2452" t="str">
        <f>IFERROR(+_xlfn.RANK.EQ(dHdcp[[#This Row],[Ranking]],dHdcp[Ranking],1),"")</f>
        <v/>
      </c>
      <c r="M2452" t="str">
        <f>+dHdcp[[#This Row],[Fecha]]&amp;":"&amp;dHdcp[[#This Row],[Nombre]]</f>
        <v>45738:Alvaro Aguirre</v>
      </c>
      <c r="N2452">
        <f>+COUNTIF(dHdcp[Columna1],dHdcp[[#This Row],[Columna1]])</f>
        <v>1</v>
      </c>
    </row>
    <row r="2453" spans="1:14">
      <c r="A2453" s="2">
        <v>45738</v>
      </c>
      <c r="B2453" t="s">
        <v>201</v>
      </c>
      <c r="C2453" s="51">
        <v>8.8000000000000007</v>
      </c>
      <c r="D2453" s="46">
        <f>+VLOOKUP(dHdcp[[#This Row],[Handicap]],'Categoría Hdcap'!$B$2:$E$7,4)</f>
        <v>2</v>
      </c>
      <c r="E2453" t="s">
        <v>74</v>
      </c>
      <c r="F2453" s="92"/>
      <c r="G2453">
        <f>+IF(dHdcp[[#This Row],[Fecha]]=MAX(dHdcp[Fecha]),1,0)</f>
        <v>0</v>
      </c>
      <c r="H2453" t="str">
        <f>+dHdcp[[#This Row],[Maximo]]&amp;":"&amp;dHdcp[[#This Row],[Nombre]]</f>
        <v>0:Alvaro Montoya</v>
      </c>
      <c r="I2453" t="str">
        <f>+dHdcp[[#This Row],[Maximo]]&amp;":"&amp;_xlfn.XLOOKUP(dHdcp[[#This Row],[Nombre]],dJugador[Nombre],dJugador[Mote],"",0)</f>
        <v>0:Monti</v>
      </c>
      <c r="J2453" t="str">
        <f>+IF(dHdcp[[#This Row],[Maximo]]=0,"",_xlfn.RANK.EQ(dHdcp[[#This Row],[Handicap]],dHdcp[Handicap],1))</f>
        <v/>
      </c>
      <c r="K2453" t="str">
        <f>IFERROR(+_xlfn.RANK.EQ(dHdcp[[#This Row],[Ranking]],dHdcp[Ranking],1),"")</f>
        <v/>
      </c>
      <c r="M2453" t="str">
        <f>+dHdcp[[#This Row],[Fecha]]&amp;":"&amp;dHdcp[[#This Row],[Nombre]]</f>
        <v>45738:Alvaro Montoya</v>
      </c>
      <c r="N2453">
        <f>+COUNTIF(dHdcp[Columna1],dHdcp[[#This Row],[Columna1]])</f>
        <v>1</v>
      </c>
    </row>
    <row r="2454" spans="1:14">
      <c r="A2454" s="2">
        <v>45738</v>
      </c>
      <c r="B2454" t="s">
        <v>25</v>
      </c>
      <c r="C2454" s="51">
        <v>15.2</v>
      </c>
      <c r="D2454" s="46">
        <f>+VLOOKUP(dHdcp[[#This Row],[Handicap]],'Categoría Hdcap'!$B$2:$E$7,4)</f>
        <v>3</v>
      </c>
      <c r="E2454" t="s">
        <v>74</v>
      </c>
      <c r="F2454" s="92"/>
      <c r="G2454">
        <f>+IF(dHdcp[[#This Row],[Fecha]]=MAX(dHdcp[Fecha]),1,0)</f>
        <v>0</v>
      </c>
      <c r="H2454" t="str">
        <f>+dHdcp[[#This Row],[Maximo]]&amp;":"&amp;dHdcp[[#This Row],[Nombre]]</f>
        <v>0:Alvaro Nieto</v>
      </c>
      <c r="I2454" t="str">
        <f>+dHdcp[[#This Row],[Maximo]]&amp;":"&amp;_xlfn.XLOOKUP(dHdcp[[#This Row],[Nombre]],dJugador[Nombre],dJugador[Mote],"",0)</f>
        <v>0:Alvaro</v>
      </c>
      <c r="J2454" t="str">
        <f>+IF(dHdcp[[#This Row],[Maximo]]=0,"",_xlfn.RANK.EQ(dHdcp[[#This Row],[Handicap]],dHdcp[Handicap],1))</f>
        <v/>
      </c>
      <c r="K2454" t="str">
        <f>IFERROR(+_xlfn.RANK.EQ(dHdcp[[#This Row],[Ranking]],dHdcp[Ranking],1),"")</f>
        <v/>
      </c>
      <c r="M2454" t="str">
        <f>+dHdcp[[#This Row],[Fecha]]&amp;":"&amp;dHdcp[[#This Row],[Nombre]]</f>
        <v>45738:Alvaro Nieto</v>
      </c>
      <c r="N2454">
        <f>+COUNTIF(dHdcp[Columna1],dHdcp[[#This Row],[Columna1]])</f>
        <v>1</v>
      </c>
    </row>
    <row r="2455" spans="1:14">
      <c r="A2455" s="2">
        <v>45738</v>
      </c>
      <c r="B2455" t="s">
        <v>33</v>
      </c>
      <c r="C2455" s="51">
        <v>8.5</v>
      </c>
      <c r="D2455" s="46">
        <f>+VLOOKUP(dHdcp[[#This Row],[Handicap]],'Categoría Hdcap'!$B$2:$E$7,4)</f>
        <v>2</v>
      </c>
      <c r="E2455" t="s">
        <v>74</v>
      </c>
      <c r="F2455" s="92"/>
      <c r="G2455">
        <f>+IF(dHdcp[[#This Row],[Fecha]]=MAX(dHdcp[Fecha]),1,0)</f>
        <v>0</v>
      </c>
      <c r="H2455" t="str">
        <f>+dHdcp[[#This Row],[Maximo]]&amp;":"&amp;dHdcp[[#This Row],[Nombre]]</f>
        <v>0:Angel Hernandez</v>
      </c>
      <c r="I2455" t="str">
        <f>+dHdcp[[#This Row],[Maximo]]&amp;":"&amp;_xlfn.XLOOKUP(dHdcp[[#This Row],[Nombre]],dJugador[Nombre],dJugador[Mote],"",0)</f>
        <v>0:Angel</v>
      </c>
      <c r="J2455" t="str">
        <f>+IF(dHdcp[[#This Row],[Maximo]]=0,"",_xlfn.RANK.EQ(dHdcp[[#This Row],[Handicap]],dHdcp[Handicap],1))</f>
        <v/>
      </c>
      <c r="K2455" t="str">
        <f>IFERROR(+_xlfn.RANK.EQ(dHdcp[[#This Row],[Ranking]],dHdcp[Ranking],1),"")</f>
        <v/>
      </c>
      <c r="M2455" t="str">
        <f>+dHdcp[[#This Row],[Fecha]]&amp;":"&amp;dHdcp[[#This Row],[Nombre]]</f>
        <v>45738:Angel Hernandez</v>
      </c>
      <c r="N2455">
        <f>+COUNTIF(dHdcp[Columna1],dHdcp[[#This Row],[Columna1]])</f>
        <v>1</v>
      </c>
    </row>
    <row r="2456" spans="1:14">
      <c r="A2456" s="2">
        <v>45738</v>
      </c>
      <c r="B2456" t="s">
        <v>2469</v>
      </c>
      <c r="C2456" s="51">
        <v>6.3</v>
      </c>
      <c r="D2456" s="46">
        <f>+VLOOKUP(dHdcp[[#This Row],[Handicap]],'Categoría Hdcap'!$B$2:$E$7,4)</f>
        <v>2</v>
      </c>
      <c r="E2456" t="s">
        <v>74</v>
      </c>
      <c r="F2456" s="92"/>
      <c r="G2456">
        <f>+IF(dHdcp[[#This Row],[Fecha]]=MAX(dHdcp[Fecha]),1,0)</f>
        <v>0</v>
      </c>
      <c r="H2456" t="str">
        <f>+dHdcp[[#This Row],[Maximo]]&amp;":"&amp;dHdcp[[#This Row],[Nombre]]</f>
        <v>0:Angel Santana</v>
      </c>
      <c r="I2456" t="str">
        <f>+dHdcp[[#This Row],[Maximo]]&amp;":"&amp;_xlfn.XLOOKUP(dHdcp[[#This Row],[Nombre]],dJugador[Nombre],dJugador[Mote],"",0)</f>
        <v>0:A.Santana</v>
      </c>
      <c r="J2456" t="str">
        <f>+IF(dHdcp[[#This Row],[Maximo]]=0,"",_xlfn.RANK.EQ(dHdcp[[#This Row],[Handicap]],dHdcp[Handicap],1))</f>
        <v/>
      </c>
      <c r="K2456" t="str">
        <f>IFERROR(+_xlfn.RANK.EQ(dHdcp[[#This Row],[Ranking]],dHdcp[Ranking],1),"")</f>
        <v/>
      </c>
      <c r="M2456" t="str">
        <f>+dHdcp[[#This Row],[Fecha]]&amp;":"&amp;dHdcp[[#This Row],[Nombre]]</f>
        <v>45738:Angel Santana</v>
      </c>
      <c r="N2456">
        <f>+COUNTIF(dHdcp[Columna1],dHdcp[[#This Row],[Columna1]])</f>
        <v>1</v>
      </c>
    </row>
    <row r="2457" spans="1:14">
      <c r="A2457" s="2">
        <v>45738</v>
      </c>
      <c r="B2457" t="s">
        <v>264</v>
      </c>
      <c r="C2457" s="51">
        <v>18.899999999999999</v>
      </c>
      <c r="D2457" s="46">
        <f>+VLOOKUP(dHdcp[[#This Row],[Handicap]],'Categoría Hdcap'!$B$2:$E$7,4)</f>
        <v>4</v>
      </c>
      <c r="E2457" t="s">
        <v>74</v>
      </c>
      <c r="F2457" s="92"/>
      <c r="G2457">
        <f>+IF(dHdcp[[#This Row],[Fecha]]=MAX(dHdcp[Fecha]),1,0)</f>
        <v>0</v>
      </c>
      <c r="H2457" t="str">
        <f>+dHdcp[[#This Row],[Maximo]]&amp;":"&amp;dHdcp[[#This Row],[Nombre]]</f>
        <v>0:Antonio Carmona</v>
      </c>
      <c r="I2457" t="str">
        <f>+dHdcp[[#This Row],[Maximo]]&amp;":"&amp;_xlfn.XLOOKUP(dHdcp[[#This Row],[Nombre]],dJugador[Nombre],dJugador[Mote],"",0)</f>
        <v>0:Antonio</v>
      </c>
      <c r="J2457" t="str">
        <f>+IF(dHdcp[[#This Row],[Maximo]]=0,"",_xlfn.RANK.EQ(dHdcp[[#This Row],[Handicap]],dHdcp[Handicap],1))</f>
        <v/>
      </c>
      <c r="K2457" t="str">
        <f>IFERROR(+_xlfn.RANK.EQ(dHdcp[[#This Row],[Ranking]],dHdcp[Ranking],1),"")</f>
        <v/>
      </c>
      <c r="M2457" t="str">
        <f>+dHdcp[[#This Row],[Fecha]]&amp;":"&amp;dHdcp[[#This Row],[Nombre]]</f>
        <v>45738:Antonio Carmona</v>
      </c>
      <c r="N2457">
        <f>+COUNTIF(dHdcp[Columna1],dHdcp[[#This Row],[Columna1]])</f>
        <v>1</v>
      </c>
    </row>
    <row r="2458" spans="1:14">
      <c r="A2458" s="2">
        <v>45738</v>
      </c>
      <c r="B2458" t="s">
        <v>291</v>
      </c>
      <c r="C2458" s="51">
        <v>1.5</v>
      </c>
      <c r="D2458" s="46">
        <f>+VLOOKUP(dHdcp[[#This Row],[Handicap]],'Categoría Hdcap'!$B$2:$E$7,4)</f>
        <v>1</v>
      </c>
      <c r="E2458" t="s">
        <v>74</v>
      </c>
      <c r="F2458" s="92"/>
      <c r="G2458">
        <f>+IF(dHdcp[[#This Row],[Fecha]]=MAX(dHdcp[Fecha]),1,0)</f>
        <v>0</v>
      </c>
      <c r="H2458" t="str">
        <f>+dHdcp[[#This Row],[Maximo]]&amp;":"&amp;dHdcp[[#This Row],[Nombre]]</f>
        <v>0:Carlos Maestro</v>
      </c>
      <c r="I2458" t="str">
        <f>+dHdcp[[#This Row],[Maximo]]&amp;":"&amp;_xlfn.XLOOKUP(dHdcp[[#This Row],[Nombre]],dJugador[Nombre],dJugador[Mote],"",0)</f>
        <v>0:Carlitos</v>
      </c>
      <c r="J2458" t="str">
        <f>+IF(dHdcp[[#This Row],[Maximo]]=0,"",_xlfn.RANK.EQ(dHdcp[[#This Row],[Handicap]],dHdcp[Handicap],1))</f>
        <v/>
      </c>
      <c r="K2458" t="str">
        <f>IFERROR(+_xlfn.RANK.EQ(dHdcp[[#This Row],[Ranking]],dHdcp[Ranking],1),"")</f>
        <v/>
      </c>
      <c r="M2458" t="str">
        <f>+dHdcp[[#This Row],[Fecha]]&amp;":"&amp;dHdcp[[#This Row],[Nombre]]</f>
        <v>45738:Carlos Maestro</v>
      </c>
      <c r="N2458">
        <f>+COUNTIF(dHdcp[Columna1],dHdcp[[#This Row],[Columna1]])</f>
        <v>1</v>
      </c>
    </row>
    <row r="2459" spans="1:14">
      <c r="A2459" s="2">
        <v>45738</v>
      </c>
      <c r="B2459" t="s">
        <v>30</v>
      </c>
      <c r="C2459" s="51">
        <v>14.3</v>
      </c>
      <c r="D2459" s="46">
        <f>+VLOOKUP(dHdcp[[#This Row],[Handicap]],'Categoría Hdcap'!$B$2:$E$7,4)</f>
        <v>3</v>
      </c>
      <c r="E2459" t="s">
        <v>74</v>
      </c>
      <c r="F2459" s="92"/>
      <c r="G2459">
        <f>+IF(dHdcp[[#This Row],[Fecha]]=MAX(dHdcp[Fecha]),1,0)</f>
        <v>0</v>
      </c>
      <c r="H2459" t="str">
        <f>+dHdcp[[#This Row],[Maximo]]&amp;":"&amp;dHdcp[[#This Row],[Nombre]]</f>
        <v>0:David Sequera</v>
      </c>
      <c r="I2459" t="str">
        <f>+dHdcp[[#This Row],[Maximo]]&amp;":"&amp;_xlfn.XLOOKUP(dHdcp[[#This Row],[Nombre]],dJugador[Nombre],dJugador[Mote],"",0)</f>
        <v>0:David</v>
      </c>
      <c r="J2459" t="str">
        <f>+IF(dHdcp[[#This Row],[Maximo]]=0,"",_xlfn.RANK.EQ(dHdcp[[#This Row],[Handicap]],dHdcp[Handicap],1))</f>
        <v/>
      </c>
      <c r="K2459" t="str">
        <f>IFERROR(+_xlfn.RANK.EQ(dHdcp[[#This Row],[Ranking]],dHdcp[Ranking],1),"")</f>
        <v/>
      </c>
      <c r="M2459" t="str">
        <f>+dHdcp[[#This Row],[Fecha]]&amp;":"&amp;dHdcp[[#This Row],[Nombre]]</f>
        <v>45738:David Sequera</v>
      </c>
      <c r="N2459">
        <f>+COUNTIF(dHdcp[Columna1],dHdcp[[#This Row],[Columna1]])</f>
        <v>1</v>
      </c>
    </row>
    <row r="2460" spans="1:14">
      <c r="A2460" s="2">
        <v>45738</v>
      </c>
      <c r="B2460" t="s">
        <v>326</v>
      </c>
      <c r="C2460" s="51">
        <v>8.8000000000000007</v>
      </c>
      <c r="D2460" s="46">
        <f>+VLOOKUP(dHdcp[[#This Row],[Handicap]],'Categoría Hdcap'!$B$2:$E$7,4)</f>
        <v>2</v>
      </c>
      <c r="E2460" t="s">
        <v>74</v>
      </c>
      <c r="F2460" s="92"/>
      <c r="G2460">
        <f>+IF(dHdcp[[#This Row],[Fecha]]=MAX(dHdcp[Fecha]),1,0)</f>
        <v>0</v>
      </c>
      <c r="H2460" t="str">
        <f>+dHdcp[[#This Row],[Maximo]]&amp;":"&amp;dHdcp[[#This Row],[Nombre]]</f>
        <v>0:Eduardo Buendía</v>
      </c>
      <c r="I2460" t="str">
        <f>+dHdcp[[#This Row],[Maximo]]&amp;":"&amp;_xlfn.XLOOKUP(dHdcp[[#This Row],[Nombre]],dJugador[Nombre],dJugador[Mote],"",0)</f>
        <v>0:Eduardo</v>
      </c>
      <c r="J2460" t="str">
        <f>+IF(dHdcp[[#This Row],[Maximo]]=0,"",_xlfn.RANK.EQ(dHdcp[[#This Row],[Handicap]],dHdcp[Handicap],1))</f>
        <v/>
      </c>
      <c r="K2460" t="str">
        <f>IFERROR(+_xlfn.RANK.EQ(dHdcp[[#This Row],[Ranking]],dHdcp[Ranking],1),"")</f>
        <v/>
      </c>
      <c r="M2460" t="str">
        <f>+dHdcp[[#This Row],[Fecha]]&amp;":"&amp;dHdcp[[#This Row],[Nombre]]</f>
        <v>45738:Eduardo Buendía</v>
      </c>
      <c r="N2460">
        <f>+COUNTIF(dHdcp[Columna1],dHdcp[[#This Row],[Columna1]])</f>
        <v>1</v>
      </c>
    </row>
    <row r="2461" spans="1:14">
      <c r="A2461" s="2">
        <v>45738</v>
      </c>
      <c r="B2461" t="s">
        <v>248</v>
      </c>
      <c r="C2461" s="51">
        <v>13.8</v>
      </c>
      <c r="D2461" s="46">
        <f>+VLOOKUP(dHdcp[[#This Row],[Handicap]],'Categoría Hdcap'!$B$2:$E$7,4)</f>
        <v>3</v>
      </c>
      <c r="E2461" t="s">
        <v>74</v>
      </c>
      <c r="F2461" s="92"/>
      <c r="G2461">
        <f>+IF(dHdcp[[#This Row],[Fecha]]=MAX(dHdcp[Fecha]),1,0)</f>
        <v>0</v>
      </c>
      <c r="H2461" t="str">
        <f>+dHdcp[[#This Row],[Maximo]]&amp;":"&amp;dHdcp[[#This Row],[Nombre]]</f>
        <v>0:Enrique Gonzalez R</v>
      </c>
      <c r="I2461" t="str">
        <f>+dHdcp[[#This Row],[Maximo]]&amp;":"&amp;_xlfn.XLOOKUP(dHdcp[[#This Row],[Nombre]],dJugador[Nombre],dJugador[Mote],"",0)</f>
        <v>0:Enrique</v>
      </c>
      <c r="J2461" t="str">
        <f>+IF(dHdcp[[#This Row],[Maximo]]=0,"",_xlfn.RANK.EQ(dHdcp[[#This Row],[Handicap]],dHdcp[Handicap],1))</f>
        <v/>
      </c>
      <c r="K2461" t="str">
        <f>IFERROR(+_xlfn.RANK.EQ(dHdcp[[#This Row],[Ranking]],dHdcp[Ranking],1),"")</f>
        <v/>
      </c>
      <c r="M2461" t="str">
        <f>+dHdcp[[#This Row],[Fecha]]&amp;":"&amp;dHdcp[[#This Row],[Nombre]]</f>
        <v>45738:Enrique Gonzalez R</v>
      </c>
      <c r="N2461">
        <f>+COUNTIF(dHdcp[Columna1],dHdcp[[#This Row],[Columna1]])</f>
        <v>1</v>
      </c>
    </row>
    <row r="2462" spans="1:14">
      <c r="A2462" s="2">
        <v>45738</v>
      </c>
      <c r="B2462" t="s">
        <v>12</v>
      </c>
      <c r="C2462" s="51">
        <v>15.9</v>
      </c>
      <c r="D2462" s="46">
        <f>+VLOOKUP(dHdcp[[#This Row],[Handicap]],'Categoría Hdcap'!$B$2:$E$7,4)</f>
        <v>3</v>
      </c>
      <c r="E2462" t="s">
        <v>74</v>
      </c>
      <c r="F2462" s="92"/>
      <c r="G2462">
        <f>+IF(dHdcp[[#This Row],[Fecha]]=MAX(dHdcp[Fecha]),1,0)</f>
        <v>0</v>
      </c>
      <c r="H2462" t="str">
        <f>+dHdcp[[#This Row],[Maximo]]&amp;":"&amp;dHdcp[[#This Row],[Nombre]]</f>
        <v>0:Francisco Alvarez</v>
      </c>
      <c r="I2462" t="str">
        <f>+dHdcp[[#This Row],[Maximo]]&amp;":"&amp;_xlfn.XLOOKUP(dHdcp[[#This Row],[Nombre]],dJugador[Nombre],dJugador[Mote],"",0)</f>
        <v>0:Paco</v>
      </c>
      <c r="J2462" t="str">
        <f>+IF(dHdcp[[#This Row],[Maximo]]=0,"",_xlfn.RANK.EQ(dHdcp[[#This Row],[Handicap]],dHdcp[Handicap],1))</f>
        <v/>
      </c>
      <c r="K2462" t="str">
        <f>IFERROR(+_xlfn.RANK.EQ(dHdcp[[#This Row],[Ranking]],dHdcp[Ranking],1),"")</f>
        <v/>
      </c>
      <c r="M2462" t="str">
        <f>+dHdcp[[#This Row],[Fecha]]&amp;":"&amp;dHdcp[[#This Row],[Nombre]]</f>
        <v>45738:Francisco Alvarez</v>
      </c>
      <c r="N2462">
        <f>+COUNTIF(dHdcp[Columna1],dHdcp[[#This Row],[Columna1]])</f>
        <v>1</v>
      </c>
    </row>
    <row r="2463" spans="1:14">
      <c r="A2463" s="2">
        <v>45738</v>
      </c>
      <c r="B2463" t="s">
        <v>49</v>
      </c>
      <c r="C2463" s="51">
        <v>14.3</v>
      </c>
      <c r="D2463" s="46">
        <f>+VLOOKUP(dHdcp[[#This Row],[Handicap]],'Categoría Hdcap'!$B$2:$E$7,4)</f>
        <v>3</v>
      </c>
      <c r="E2463" t="s">
        <v>74</v>
      </c>
      <c r="F2463" s="92"/>
      <c r="G2463">
        <f>+IF(dHdcp[[#This Row],[Fecha]]=MAX(dHdcp[Fecha]),1,0)</f>
        <v>0</v>
      </c>
      <c r="H2463" t="str">
        <f>+dHdcp[[#This Row],[Maximo]]&amp;":"&amp;dHdcp[[#This Row],[Nombre]]</f>
        <v>0:Francisco Hidalgo</v>
      </c>
      <c r="I2463" t="str">
        <f>+dHdcp[[#This Row],[Maximo]]&amp;":"&amp;_xlfn.XLOOKUP(dHdcp[[#This Row],[Nombre]],dJugador[Nombre],dJugador[Mote],"",0)</f>
        <v>0:Fran</v>
      </c>
      <c r="J2463" t="str">
        <f>+IF(dHdcp[[#This Row],[Maximo]]=0,"",_xlfn.RANK.EQ(dHdcp[[#This Row],[Handicap]],dHdcp[Handicap],1))</f>
        <v/>
      </c>
      <c r="K2463" t="str">
        <f>IFERROR(+_xlfn.RANK.EQ(dHdcp[[#This Row],[Ranking]],dHdcp[Ranking],1),"")</f>
        <v/>
      </c>
      <c r="M2463" t="str">
        <f>+dHdcp[[#This Row],[Fecha]]&amp;":"&amp;dHdcp[[#This Row],[Nombre]]</f>
        <v>45738:Francisco Hidalgo</v>
      </c>
      <c r="N2463">
        <f>+COUNTIF(dHdcp[Columna1],dHdcp[[#This Row],[Columna1]])</f>
        <v>1</v>
      </c>
    </row>
    <row r="2464" spans="1:14">
      <c r="A2464" s="2">
        <v>45738</v>
      </c>
      <c r="B2464" t="s">
        <v>207</v>
      </c>
      <c r="C2464" s="51">
        <v>15</v>
      </c>
      <c r="D2464" s="46">
        <f>+VLOOKUP(dHdcp[[#This Row],[Handicap]],'Categoría Hdcap'!$B$2:$E$7,4)</f>
        <v>3</v>
      </c>
      <c r="E2464" t="s">
        <v>74</v>
      </c>
      <c r="F2464" s="92"/>
      <c r="G2464">
        <f>+IF(dHdcp[[#This Row],[Fecha]]=MAX(dHdcp[Fecha]),1,0)</f>
        <v>0</v>
      </c>
      <c r="H2464" t="str">
        <f>+dHdcp[[#This Row],[Maximo]]&amp;":"&amp;dHdcp[[#This Row],[Nombre]]</f>
        <v>0:Franck Benouniche</v>
      </c>
      <c r="I2464" t="str">
        <f>+dHdcp[[#This Row],[Maximo]]&amp;":"&amp;_xlfn.XLOOKUP(dHdcp[[#This Row],[Nombre]],dJugador[Nombre],dJugador[Mote],"",0)</f>
        <v>0:Franck</v>
      </c>
      <c r="J2464" t="str">
        <f>+IF(dHdcp[[#This Row],[Maximo]]=0,"",_xlfn.RANK.EQ(dHdcp[[#This Row],[Handicap]],dHdcp[Handicap],1))</f>
        <v/>
      </c>
      <c r="K2464" t="str">
        <f>IFERROR(+_xlfn.RANK.EQ(dHdcp[[#This Row],[Ranking]],dHdcp[Ranking],1),"")</f>
        <v/>
      </c>
      <c r="M2464" t="str">
        <f>+dHdcp[[#This Row],[Fecha]]&amp;":"&amp;dHdcp[[#This Row],[Nombre]]</f>
        <v>45738:Franck Benouniche</v>
      </c>
      <c r="N2464">
        <f>+COUNTIF(dHdcp[Columna1],dHdcp[[#This Row],[Columna1]])</f>
        <v>1</v>
      </c>
    </row>
    <row r="2465" spans="1:14">
      <c r="A2465" s="2">
        <v>45738</v>
      </c>
      <c r="B2465" t="s">
        <v>35</v>
      </c>
      <c r="C2465" s="51">
        <v>19.399999999999999</v>
      </c>
      <c r="D2465" s="46">
        <f>+VLOOKUP(dHdcp[[#This Row],[Handicap]],'Categoría Hdcap'!$B$2:$E$7,4)</f>
        <v>4</v>
      </c>
      <c r="E2465" t="s">
        <v>74</v>
      </c>
      <c r="F2465" s="92"/>
      <c r="G2465">
        <f>+IF(dHdcp[[#This Row],[Fecha]]=MAX(dHdcp[Fecha]),1,0)</f>
        <v>0</v>
      </c>
      <c r="H2465" t="str">
        <f>+dHdcp[[#This Row],[Maximo]]&amp;":"&amp;dHdcp[[#This Row],[Nombre]]</f>
        <v>0:GLEZ JUAN JOSÉ</v>
      </c>
      <c r="I2465" t="str">
        <f>+dHdcp[[#This Row],[Maximo]]&amp;":"&amp;_xlfn.XLOOKUP(dHdcp[[#This Row],[Nombre]],dJugador[Nombre],dJugador[Mote],"",0)</f>
        <v>0:Juanjo</v>
      </c>
      <c r="J2465" t="str">
        <f>+IF(dHdcp[[#This Row],[Maximo]]=0,"",_xlfn.RANK.EQ(dHdcp[[#This Row],[Handicap]],dHdcp[Handicap],1))</f>
        <v/>
      </c>
      <c r="K2465" t="str">
        <f>IFERROR(+_xlfn.RANK.EQ(dHdcp[[#This Row],[Ranking]],dHdcp[Ranking],1),"")</f>
        <v/>
      </c>
      <c r="M2465" t="str">
        <f>+dHdcp[[#This Row],[Fecha]]&amp;":"&amp;dHdcp[[#This Row],[Nombre]]</f>
        <v>45738:GLEZ JUAN JOSÉ</v>
      </c>
      <c r="N2465">
        <f>+COUNTIF(dHdcp[Columna1],dHdcp[[#This Row],[Columna1]])</f>
        <v>1</v>
      </c>
    </row>
    <row r="2466" spans="1:14">
      <c r="A2466" s="2">
        <v>45738</v>
      </c>
      <c r="B2466" t="s">
        <v>6</v>
      </c>
      <c r="C2466" s="51">
        <v>6.8</v>
      </c>
      <c r="D2466" s="46">
        <f>+VLOOKUP(dHdcp[[#This Row],[Handicap]],'Categoría Hdcap'!$B$2:$E$7,4)</f>
        <v>2</v>
      </c>
      <c r="E2466" t="s">
        <v>74</v>
      </c>
      <c r="F2466" s="92"/>
      <c r="G2466">
        <f>+IF(dHdcp[[#This Row],[Fecha]]=MAX(dHdcp[Fecha]),1,0)</f>
        <v>0</v>
      </c>
      <c r="H2466" t="str">
        <f>+dHdcp[[#This Row],[Maximo]]&amp;":"&amp;dHdcp[[#This Row],[Nombre]]</f>
        <v>0:Ignacio Cadarso</v>
      </c>
      <c r="I2466" t="str">
        <f>+dHdcp[[#This Row],[Maximo]]&amp;":"&amp;_xlfn.XLOOKUP(dHdcp[[#This Row],[Nombre]],dJugador[Nombre],dJugador[Mote],"",0)</f>
        <v>0:Ignacio</v>
      </c>
      <c r="J2466" t="str">
        <f>+IF(dHdcp[[#This Row],[Maximo]]=0,"",_xlfn.RANK.EQ(dHdcp[[#This Row],[Handicap]],dHdcp[Handicap],1))</f>
        <v/>
      </c>
      <c r="K2466" t="str">
        <f>IFERROR(+_xlfn.RANK.EQ(dHdcp[[#This Row],[Ranking]],dHdcp[Ranking],1),"")</f>
        <v/>
      </c>
      <c r="M2466" t="str">
        <f>+dHdcp[[#This Row],[Fecha]]&amp;":"&amp;dHdcp[[#This Row],[Nombre]]</f>
        <v>45738:Ignacio Cadarso</v>
      </c>
      <c r="N2466">
        <f>+COUNTIF(dHdcp[Columna1],dHdcp[[#This Row],[Columna1]])</f>
        <v>1</v>
      </c>
    </row>
    <row r="2467" spans="1:14">
      <c r="A2467" s="2">
        <v>45738</v>
      </c>
      <c r="B2467" t="s">
        <v>23</v>
      </c>
      <c r="C2467" s="51">
        <v>19.5</v>
      </c>
      <c r="D2467" s="46">
        <f>+VLOOKUP(dHdcp[[#This Row],[Handicap]],'Categoría Hdcap'!$B$2:$E$7,4)</f>
        <v>4</v>
      </c>
      <c r="E2467" t="s">
        <v>74</v>
      </c>
      <c r="F2467" s="92"/>
      <c r="G2467">
        <f>+IF(dHdcp[[#This Row],[Fecha]]=MAX(dHdcp[Fecha]),1,0)</f>
        <v>0</v>
      </c>
      <c r="H2467" t="str">
        <f>+dHdcp[[#This Row],[Maximo]]&amp;":"&amp;dHdcp[[#This Row],[Nombre]]</f>
        <v>0:J. Enrique Gonzalez</v>
      </c>
      <c r="I2467" t="str">
        <f>+dHdcp[[#This Row],[Maximo]]&amp;":"&amp;_xlfn.XLOOKUP(dHdcp[[#This Row],[Nombre]],dJugador[Nombre],dJugador[Mote],"",0)</f>
        <v>0:Kike</v>
      </c>
      <c r="J2467" t="str">
        <f>+IF(dHdcp[[#This Row],[Maximo]]=0,"",_xlfn.RANK.EQ(dHdcp[[#This Row],[Handicap]],dHdcp[Handicap],1))</f>
        <v/>
      </c>
      <c r="K2467" t="str">
        <f>IFERROR(+_xlfn.RANK.EQ(dHdcp[[#This Row],[Ranking]],dHdcp[Ranking],1),"")</f>
        <v/>
      </c>
      <c r="M2467" t="str">
        <f>+dHdcp[[#This Row],[Fecha]]&amp;":"&amp;dHdcp[[#This Row],[Nombre]]</f>
        <v>45738:J. Enrique Gonzalez</v>
      </c>
      <c r="N2467">
        <f>+COUNTIF(dHdcp[Columna1],dHdcp[[#This Row],[Columna1]])</f>
        <v>1</v>
      </c>
    </row>
    <row r="2468" spans="1:14">
      <c r="A2468" s="2">
        <v>45738</v>
      </c>
      <c r="B2468" t="s">
        <v>2606</v>
      </c>
      <c r="C2468" s="51">
        <v>8.8000000000000007</v>
      </c>
      <c r="D2468" s="46">
        <f>+VLOOKUP(dHdcp[[#This Row],[Handicap]],'Categoría Hdcap'!$B$2:$E$7,4)</f>
        <v>2</v>
      </c>
      <c r="E2468" t="s">
        <v>74</v>
      </c>
      <c r="F2468" s="92"/>
      <c r="G2468">
        <f>+IF(dHdcp[[#This Row],[Fecha]]=MAX(dHdcp[Fecha]),1,0)</f>
        <v>0</v>
      </c>
      <c r="H2468" t="str">
        <f>+dHdcp[[#This Row],[Maximo]]&amp;":"&amp;dHdcp[[#This Row],[Nombre]]</f>
        <v>0:Jaime de la Cal</v>
      </c>
      <c r="I2468" t="str">
        <f>+dHdcp[[#This Row],[Maximo]]&amp;":"&amp;_xlfn.XLOOKUP(dHdcp[[#This Row],[Nombre]],dJugador[Nombre],dJugador[Mote],"",0)</f>
        <v>0:Jaime</v>
      </c>
      <c r="J2468" t="str">
        <f>+IF(dHdcp[[#This Row],[Maximo]]=0,"",_xlfn.RANK.EQ(dHdcp[[#This Row],[Handicap]],dHdcp[Handicap],1))</f>
        <v/>
      </c>
      <c r="K2468" t="str">
        <f>IFERROR(+_xlfn.RANK.EQ(dHdcp[[#This Row],[Ranking]],dHdcp[Ranking],1),"")</f>
        <v/>
      </c>
      <c r="M2468" t="str">
        <f>+dHdcp[[#This Row],[Fecha]]&amp;":"&amp;dHdcp[[#This Row],[Nombre]]</f>
        <v>45738:Jaime de la Cal</v>
      </c>
      <c r="N2468">
        <f>+COUNTIF(dHdcp[Columna1],dHdcp[[#This Row],[Columna1]])</f>
        <v>1</v>
      </c>
    </row>
    <row r="2469" spans="1:14">
      <c r="A2469" s="2">
        <v>45738</v>
      </c>
      <c r="B2469" t="s">
        <v>328</v>
      </c>
      <c r="C2469" s="51">
        <v>10.5</v>
      </c>
      <c r="D2469" s="46">
        <f>+VLOOKUP(dHdcp[[#This Row],[Handicap]],'Categoría Hdcap'!$B$2:$E$7,4)</f>
        <v>2</v>
      </c>
      <c r="E2469" t="s">
        <v>74</v>
      </c>
      <c r="F2469" s="92"/>
      <c r="G2469">
        <f>+IF(dHdcp[[#This Row],[Fecha]]=MAX(dHdcp[Fecha]),1,0)</f>
        <v>0</v>
      </c>
      <c r="H2469" t="str">
        <f>+dHdcp[[#This Row],[Maximo]]&amp;":"&amp;dHdcp[[#This Row],[Nombre]]</f>
        <v>0:Javier Arcos</v>
      </c>
      <c r="I2469" t="str">
        <f>+dHdcp[[#This Row],[Maximo]]&amp;":"&amp;_xlfn.XLOOKUP(dHdcp[[#This Row],[Nombre]],dJugador[Nombre],dJugador[Mote],"",0)</f>
        <v>0:J.Arcos</v>
      </c>
      <c r="J2469" t="str">
        <f>+IF(dHdcp[[#This Row],[Maximo]]=0,"",_xlfn.RANK.EQ(dHdcp[[#This Row],[Handicap]],dHdcp[Handicap],1))</f>
        <v/>
      </c>
      <c r="K2469" t="str">
        <f>IFERROR(+_xlfn.RANK.EQ(dHdcp[[#This Row],[Ranking]],dHdcp[Ranking],1),"")</f>
        <v/>
      </c>
      <c r="M2469" t="str">
        <f>+dHdcp[[#This Row],[Fecha]]&amp;":"&amp;dHdcp[[#This Row],[Nombre]]</f>
        <v>45738:Javier Arcos</v>
      </c>
      <c r="N2469">
        <f>+COUNTIF(dHdcp[Columna1],dHdcp[[#This Row],[Columna1]])</f>
        <v>1</v>
      </c>
    </row>
    <row r="2470" spans="1:14">
      <c r="A2470" s="2">
        <v>45738</v>
      </c>
      <c r="B2470" t="s">
        <v>46</v>
      </c>
      <c r="C2470" s="51">
        <v>18.2</v>
      </c>
      <c r="D2470" s="46">
        <f>+VLOOKUP(dHdcp[[#This Row],[Handicap]],'Categoría Hdcap'!$B$2:$E$7,4)</f>
        <v>3</v>
      </c>
      <c r="E2470" t="s">
        <v>74</v>
      </c>
      <c r="F2470" s="92"/>
      <c r="G2470">
        <f>+IF(dHdcp[[#This Row],[Fecha]]=MAX(dHdcp[Fecha]),1,0)</f>
        <v>0</v>
      </c>
      <c r="H2470" t="str">
        <f>+dHdcp[[#This Row],[Maximo]]&amp;":"&amp;dHdcp[[#This Row],[Nombre]]</f>
        <v>0:Javier Cervera</v>
      </c>
      <c r="I2470" t="str">
        <f>+dHdcp[[#This Row],[Maximo]]&amp;":"&amp;_xlfn.XLOOKUP(dHdcp[[#This Row],[Nombre]],dJugador[Nombre],dJugador[Mote],"",0)</f>
        <v>0:Virus</v>
      </c>
      <c r="J2470" t="str">
        <f>+IF(dHdcp[[#This Row],[Maximo]]=0,"",_xlfn.RANK.EQ(dHdcp[[#This Row],[Handicap]],dHdcp[Handicap],1))</f>
        <v/>
      </c>
      <c r="K2470" t="str">
        <f>IFERROR(+_xlfn.RANK.EQ(dHdcp[[#This Row],[Ranking]],dHdcp[Ranking],1),"")</f>
        <v/>
      </c>
      <c r="M2470" t="str">
        <f>+dHdcp[[#This Row],[Fecha]]&amp;":"&amp;dHdcp[[#This Row],[Nombre]]</f>
        <v>45738:Javier Cervera</v>
      </c>
      <c r="N2470">
        <f>+COUNTIF(dHdcp[Columna1],dHdcp[[#This Row],[Columna1]])</f>
        <v>1</v>
      </c>
    </row>
    <row r="2471" spans="1:14">
      <c r="A2471" s="2">
        <v>45738</v>
      </c>
      <c r="B2471" t="s">
        <v>225</v>
      </c>
      <c r="C2471" s="51">
        <v>10.6</v>
      </c>
      <c r="D2471" s="46">
        <f>+VLOOKUP(dHdcp[[#This Row],[Handicap]],'Categoría Hdcap'!$B$2:$E$7,4)</f>
        <v>2</v>
      </c>
      <c r="E2471" t="s">
        <v>74</v>
      </c>
      <c r="F2471" s="92"/>
      <c r="G2471">
        <f>+IF(dHdcp[[#This Row],[Fecha]]=MAX(dHdcp[Fecha]),1,0)</f>
        <v>0</v>
      </c>
      <c r="H2471" t="str">
        <f>+dHdcp[[#This Row],[Maximo]]&amp;":"&amp;dHdcp[[#This Row],[Nombre]]</f>
        <v>0:Javier Chiralt</v>
      </c>
      <c r="I2471" t="str">
        <f>+dHdcp[[#This Row],[Maximo]]&amp;":"&amp;_xlfn.XLOOKUP(dHdcp[[#This Row],[Nombre]],dJugador[Nombre],dJugador[Mote],"",0)</f>
        <v>0:Chiralt</v>
      </c>
      <c r="J2471" t="str">
        <f>+IF(dHdcp[[#This Row],[Maximo]]=0,"",_xlfn.RANK.EQ(dHdcp[[#This Row],[Handicap]],dHdcp[Handicap],1))</f>
        <v/>
      </c>
      <c r="K2471" t="str">
        <f>IFERROR(+_xlfn.RANK.EQ(dHdcp[[#This Row],[Ranking]],dHdcp[Ranking],1),"")</f>
        <v/>
      </c>
      <c r="M2471" t="str">
        <f>+dHdcp[[#This Row],[Fecha]]&amp;":"&amp;dHdcp[[#This Row],[Nombre]]</f>
        <v>45738:Javier Chiralt</v>
      </c>
      <c r="N2471">
        <f>+COUNTIF(dHdcp[Columna1],dHdcp[[#This Row],[Columna1]])</f>
        <v>1</v>
      </c>
    </row>
    <row r="2472" spans="1:14">
      <c r="A2472" s="2">
        <v>45738</v>
      </c>
      <c r="B2472" t="s">
        <v>20</v>
      </c>
      <c r="C2472" s="51">
        <v>19.600000000000001</v>
      </c>
      <c r="D2472" s="46">
        <f>+VLOOKUP(dHdcp[[#This Row],[Handicap]],'Categoría Hdcap'!$B$2:$E$7,4)</f>
        <v>4</v>
      </c>
      <c r="E2472" t="s">
        <v>74</v>
      </c>
      <c r="F2472" s="92"/>
      <c r="G2472">
        <f>+IF(dHdcp[[#This Row],[Fecha]]=MAX(dHdcp[Fecha]),1,0)</f>
        <v>0</v>
      </c>
      <c r="H2472" t="str">
        <f>+dHdcp[[#This Row],[Maximo]]&amp;":"&amp;dHdcp[[#This Row],[Nombre]]</f>
        <v>0:Javier Gonzalez Salvador</v>
      </c>
      <c r="I2472" t="str">
        <f>+dHdcp[[#This Row],[Maximo]]&amp;":"&amp;_xlfn.XLOOKUP(dHdcp[[#This Row],[Nombre]],dJugador[Nombre],dJugador[Mote],"",0)</f>
        <v>0:Javi</v>
      </c>
      <c r="J2472" t="str">
        <f>+IF(dHdcp[[#This Row],[Maximo]]=0,"",_xlfn.RANK.EQ(dHdcp[[#This Row],[Handicap]],dHdcp[Handicap],1))</f>
        <v/>
      </c>
      <c r="K2472" t="str">
        <f>IFERROR(+_xlfn.RANK.EQ(dHdcp[[#This Row],[Ranking]],dHdcp[Ranking],1),"")</f>
        <v/>
      </c>
      <c r="M2472" t="str">
        <f>+dHdcp[[#This Row],[Fecha]]&amp;":"&amp;dHdcp[[#This Row],[Nombre]]</f>
        <v>45738:Javier Gonzalez Salvador</v>
      </c>
      <c r="N2472">
        <f>+COUNTIF(dHdcp[Columna1],dHdcp[[#This Row],[Columna1]])</f>
        <v>1</v>
      </c>
    </row>
    <row r="2473" spans="1:14">
      <c r="A2473" s="2">
        <v>45738</v>
      </c>
      <c r="B2473" t="s">
        <v>217</v>
      </c>
      <c r="C2473" s="51">
        <v>20.9</v>
      </c>
      <c r="D2473" s="46">
        <f>+VLOOKUP(dHdcp[[#This Row],[Handicap]],'Categoría Hdcap'!$B$2:$E$7,4)</f>
        <v>4</v>
      </c>
      <c r="E2473" t="s">
        <v>74</v>
      </c>
      <c r="F2473" s="92"/>
      <c r="G2473">
        <f>+IF(dHdcp[[#This Row],[Fecha]]=MAX(dHdcp[Fecha]),1,0)</f>
        <v>0</v>
      </c>
      <c r="H2473" t="str">
        <f>+dHdcp[[#This Row],[Maximo]]&amp;":"&amp;dHdcp[[#This Row],[Nombre]]</f>
        <v>0:Javier Lopez Gullón</v>
      </c>
      <c r="I2473" t="str">
        <f>+dHdcp[[#This Row],[Maximo]]&amp;":"&amp;_xlfn.XLOOKUP(dHdcp[[#This Row],[Nombre]],dJugador[Nombre],dJugador[Mote],"",0)</f>
        <v>0:Cuñao</v>
      </c>
      <c r="J2473" t="str">
        <f>+IF(dHdcp[[#This Row],[Maximo]]=0,"",_xlfn.RANK.EQ(dHdcp[[#This Row],[Handicap]],dHdcp[Handicap],1))</f>
        <v/>
      </c>
      <c r="K2473" t="str">
        <f>IFERROR(+_xlfn.RANK.EQ(dHdcp[[#This Row],[Ranking]],dHdcp[Ranking],1),"")</f>
        <v/>
      </c>
      <c r="M2473" t="str">
        <f>+dHdcp[[#This Row],[Fecha]]&amp;":"&amp;dHdcp[[#This Row],[Nombre]]</f>
        <v>45738:Javier Lopez Gullón</v>
      </c>
      <c r="N2473">
        <f>+COUNTIF(dHdcp[Columna1],dHdcp[[#This Row],[Columna1]])</f>
        <v>1</v>
      </c>
    </row>
    <row r="2474" spans="1:14">
      <c r="A2474" s="2">
        <v>45738</v>
      </c>
      <c r="B2474" t="s">
        <v>41</v>
      </c>
      <c r="C2474" s="51">
        <v>21.8</v>
      </c>
      <c r="D2474" s="46">
        <f>+VLOOKUP(dHdcp[[#This Row],[Handicap]],'Categoría Hdcap'!$B$2:$E$7,4)</f>
        <v>4</v>
      </c>
      <c r="E2474" t="s">
        <v>74</v>
      </c>
      <c r="F2474" s="92"/>
      <c r="G2474">
        <f>+IF(dHdcp[[#This Row],[Fecha]]=MAX(dHdcp[Fecha]),1,0)</f>
        <v>0</v>
      </c>
      <c r="H2474" t="str">
        <f>+dHdcp[[#This Row],[Maximo]]&amp;":"&amp;dHdcp[[#This Row],[Nombre]]</f>
        <v>0:Jesus Touceda</v>
      </c>
      <c r="I2474" t="str">
        <f>+dHdcp[[#This Row],[Maximo]]&amp;":"&amp;_xlfn.XLOOKUP(dHdcp[[#This Row],[Nombre]],dJugador[Nombre],dJugador[Mote],"",0)</f>
        <v>0:Jesús</v>
      </c>
      <c r="J2474" t="str">
        <f>+IF(dHdcp[[#This Row],[Maximo]]=0,"",_xlfn.RANK.EQ(dHdcp[[#This Row],[Handicap]],dHdcp[Handicap],1))</f>
        <v/>
      </c>
      <c r="K2474" t="str">
        <f>IFERROR(+_xlfn.RANK.EQ(dHdcp[[#This Row],[Ranking]],dHdcp[Ranking],1),"")</f>
        <v/>
      </c>
      <c r="M2474" t="str">
        <f>+dHdcp[[#This Row],[Fecha]]&amp;":"&amp;dHdcp[[#This Row],[Nombre]]</f>
        <v>45738:Jesus Touceda</v>
      </c>
      <c r="N2474">
        <f>+COUNTIF(dHdcp[Columna1],dHdcp[[#This Row],[Columna1]])</f>
        <v>1</v>
      </c>
    </row>
    <row r="2475" spans="1:14">
      <c r="A2475" s="2">
        <v>45738</v>
      </c>
      <c r="B2475" t="s">
        <v>2561</v>
      </c>
      <c r="C2475" s="51">
        <v>20.6</v>
      </c>
      <c r="D2475" s="46">
        <f>+VLOOKUP(dHdcp[[#This Row],[Handicap]],'Categoría Hdcap'!$B$2:$E$7,4)</f>
        <v>4</v>
      </c>
      <c r="E2475" t="s">
        <v>74</v>
      </c>
      <c r="F2475" s="92"/>
      <c r="G2475">
        <f>+IF(dHdcp[[#This Row],[Fecha]]=MAX(dHdcp[Fecha]),1,0)</f>
        <v>0</v>
      </c>
      <c r="H2475" t="str">
        <f>+dHdcp[[#This Row],[Maximo]]&amp;":"&amp;dHdcp[[#This Row],[Nombre]]</f>
        <v>0:Joaquín Sánchez</v>
      </c>
      <c r="I2475" t="str">
        <f>+dHdcp[[#This Row],[Maximo]]&amp;":"&amp;_xlfn.XLOOKUP(dHdcp[[#This Row],[Nombre]],dJugador[Nombre],dJugador[Mote],"",0)</f>
        <v>0:Joaco</v>
      </c>
      <c r="J2475" t="str">
        <f>+IF(dHdcp[[#This Row],[Maximo]]=0,"",_xlfn.RANK.EQ(dHdcp[[#This Row],[Handicap]],dHdcp[Handicap],1))</f>
        <v/>
      </c>
      <c r="K2475" t="str">
        <f>IFERROR(+_xlfn.RANK.EQ(dHdcp[[#This Row],[Ranking]],dHdcp[Ranking],1),"")</f>
        <v/>
      </c>
      <c r="M2475" t="str">
        <f>+dHdcp[[#This Row],[Fecha]]&amp;":"&amp;dHdcp[[#This Row],[Nombre]]</f>
        <v>45738:Joaquín Sánchez</v>
      </c>
      <c r="N2475">
        <f>+COUNTIF(dHdcp[Columna1],dHdcp[[#This Row],[Columna1]])</f>
        <v>1</v>
      </c>
    </row>
    <row r="2476" spans="1:14">
      <c r="A2476" s="2">
        <v>45738</v>
      </c>
      <c r="B2476" t="s">
        <v>297</v>
      </c>
      <c r="C2476" s="51">
        <v>19.2</v>
      </c>
      <c r="D2476" s="46">
        <f>+VLOOKUP(dHdcp[[#This Row],[Handicap]],'Categoría Hdcap'!$B$2:$E$7,4)</f>
        <v>4</v>
      </c>
      <c r="E2476" t="s">
        <v>74</v>
      </c>
      <c r="F2476" s="92"/>
      <c r="G2476">
        <f>+IF(dHdcp[[#This Row],[Fecha]]=MAX(dHdcp[Fecha]),1,0)</f>
        <v>0</v>
      </c>
      <c r="H2476" t="str">
        <f>+dHdcp[[#This Row],[Maximo]]&amp;":"&amp;dHdcp[[#This Row],[Nombre]]</f>
        <v>0:Jorge Alberto Martínez Sánchez</v>
      </c>
      <c r="I2476" t="str">
        <f>+dHdcp[[#This Row],[Maximo]]&amp;":"&amp;_xlfn.XLOOKUP(dHdcp[[#This Row],[Nombre]],dJugador[Nombre],dJugador[Mote],"",0)</f>
        <v>0:Jorge</v>
      </c>
      <c r="J2476" t="str">
        <f>+IF(dHdcp[[#This Row],[Maximo]]=0,"",_xlfn.RANK.EQ(dHdcp[[#This Row],[Handicap]],dHdcp[Handicap],1))</f>
        <v/>
      </c>
      <c r="K2476" t="str">
        <f>IFERROR(+_xlfn.RANK.EQ(dHdcp[[#This Row],[Ranking]],dHdcp[Ranking],1),"")</f>
        <v/>
      </c>
      <c r="M2476" t="str">
        <f>+dHdcp[[#This Row],[Fecha]]&amp;":"&amp;dHdcp[[#This Row],[Nombre]]</f>
        <v>45738:Jorge Alberto Martínez Sánchez</v>
      </c>
      <c r="N2476">
        <f>+COUNTIF(dHdcp[Columna1],dHdcp[[#This Row],[Columna1]])</f>
        <v>1</v>
      </c>
    </row>
    <row r="2477" spans="1:14">
      <c r="A2477" s="2">
        <v>45738</v>
      </c>
      <c r="B2477" t="s">
        <v>388</v>
      </c>
      <c r="C2477" s="51">
        <v>25.7</v>
      </c>
      <c r="D2477" s="46">
        <f>+VLOOKUP(dHdcp[[#This Row],[Handicap]],'Categoría Hdcap'!$B$2:$E$7,4)</f>
        <v>4</v>
      </c>
      <c r="E2477" t="s">
        <v>74</v>
      </c>
      <c r="F2477" s="92"/>
      <c r="G2477">
        <f>+IF(dHdcp[[#This Row],[Fecha]]=MAX(dHdcp[Fecha]),1,0)</f>
        <v>0</v>
      </c>
      <c r="H2477" t="str">
        <f>+dHdcp[[#This Row],[Maximo]]&amp;":"&amp;dHdcp[[#This Row],[Nombre]]</f>
        <v>0:Jose Antonio Santana</v>
      </c>
      <c r="I2477" t="str">
        <f>+dHdcp[[#This Row],[Maximo]]&amp;":"&amp;_xlfn.XLOOKUP(dHdcp[[#This Row],[Nombre]],dJugador[Nombre],dJugador[Mote],"",0)</f>
        <v>0:J Antonio</v>
      </c>
      <c r="J2477" t="str">
        <f>+IF(dHdcp[[#This Row],[Maximo]]=0,"",_xlfn.RANK.EQ(dHdcp[[#This Row],[Handicap]],dHdcp[Handicap],1))</f>
        <v/>
      </c>
      <c r="K2477" t="str">
        <f>IFERROR(+_xlfn.RANK.EQ(dHdcp[[#This Row],[Ranking]],dHdcp[Ranking],1),"")</f>
        <v/>
      </c>
      <c r="M2477" t="str">
        <f>+dHdcp[[#This Row],[Fecha]]&amp;":"&amp;dHdcp[[#This Row],[Nombre]]</f>
        <v>45738:Jose Antonio Santana</v>
      </c>
      <c r="N2477">
        <f>+COUNTIF(dHdcp[Columna1],dHdcp[[#This Row],[Columna1]])</f>
        <v>1</v>
      </c>
    </row>
    <row r="2478" spans="1:14">
      <c r="A2478" s="2">
        <v>45738</v>
      </c>
      <c r="B2478" t="s">
        <v>18</v>
      </c>
      <c r="C2478" s="51">
        <v>6.8</v>
      </c>
      <c r="D2478" s="46">
        <f>+VLOOKUP(dHdcp[[#This Row],[Handicap]],'Categoría Hdcap'!$B$2:$E$7,4)</f>
        <v>2</v>
      </c>
      <c r="E2478" t="s">
        <v>74</v>
      </c>
      <c r="F2478" s="92"/>
      <c r="G2478">
        <f>+IF(dHdcp[[#This Row],[Fecha]]=MAX(dHdcp[Fecha]),1,0)</f>
        <v>0</v>
      </c>
      <c r="H2478" t="str">
        <f>+dHdcp[[#This Row],[Maximo]]&amp;":"&amp;dHdcp[[#This Row],[Nombre]]</f>
        <v>0:José Pablo Guil</v>
      </c>
      <c r="I2478" t="str">
        <f>+dHdcp[[#This Row],[Maximo]]&amp;":"&amp;_xlfn.XLOOKUP(dHdcp[[#This Row],[Nombre]],dJugador[Nombre],dJugador[Mote],"",0)</f>
        <v>0:JP</v>
      </c>
      <c r="J2478" t="str">
        <f>+IF(dHdcp[[#This Row],[Maximo]]=0,"",_xlfn.RANK.EQ(dHdcp[[#This Row],[Handicap]],dHdcp[Handicap],1))</f>
        <v/>
      </c>
      <c r="K2478" t="str">
        <f>IFERROR(+_xlfn.RANK.EQ(dHdcp[[#This Row],[Ranking]],dHdcp[Ranking],1),"")</f>
        <v/>
      </c>
      <c r="M2478" t="str">
        <f>+dHdcp[[#This Row],[Fecha]]&amp;":"&amp;dHdcp[[#This Row],[Nombre]]</f>
        <v>45738:José Pablo Guil</v>
      </c>
      <c r="N2478">
        <f>+COUNTIF(dHdcp[Columna1],dHdcp[[#This Row],[Columna1]])</f>
        <v>1</v>
      </c>
    </row>
    <row r="2479" spans="1:14">
      <c r="A2479" s="2">
        <v>45738</v>
      </c>
      <c r="B2479" t="s">
        <v>293</v>
      </c>
      <c r="C2479" s="51">
        <v>15.1</v>
      </c>
      <c r="D2479" s="46">
        <f>+VLOOKUP(dHdcp[[#This Row],[Handicap]],'Categoría Hdcap'!$B$2:$E$7,4)</f>
        <v>3</v>
      </c>
      <c r="E2479" t="s">
        <v>74</v>
      </c>
      <c r="F2479" s="92"/>
      <c r="G2479">
        <f>+IF(dHdcp[[#This Row],[Fecha]]=MAX(dHdcp[Fecha]),1,0)</f>
        <v>0</v>
      </c>
      <c r="H2479" t="str">
        <f>+dHdcp[[#This Row],[Maximo]]&amp;":"&amp;dHdcp[[#This Row],[Nombre]]</f>
        <v>0:Juan Jose Aguado</v>
      </c>
      <c r="I2479" t="str">
        <f>+dHdcp[[#This Row],[Maximo]]&amp;":"&amp;_xlfn.XLOOKUP(dHdcp[[#This Row],[Nombre]],dJugador[Nombre],dJugador[Mote],"",0)</f>
        <v>0:Juancho</v>
      </c>
      <c r="J2479" t="str">
        <f>+IF(dHdcp[[#This Row],[Maximo]]=0,"",_xlfn.RANK.EQ(dHdcp[[#This Row],[Handicap]],dHdcp[Handicap],1))</f>
        <v/>
      </c>
      <c r="K2479" t="str">
        <f>IFERROR(+_xlfn.RANK.EQ(dHdcp[[#This Row],[Ranking]],dHdcp[Ranking],1),"")</f>
        <v/>
      </c>
      <c r="M2479" t="str">
        <f>+dHdcp[[#This Row],[Fecha]]&amp;":"&amp;dHdcp[[#This Row],[Nombre]]</f>
        <v>45738:Juan Jose Aguado</v>
      </c>
      <c r="N2479">
        <f>+COUNTIF(dHdcp[Columna1],dHdcp[[#This Row],[Columna1]])</f>
        <v>1</v>
      </c>
    </row>
    <row r="2480" spans="1:14">
      <c r="A2480" s="2">
        <v>45738</v>
      </c>
      <c r="B2480" t="s">
        <v>2516</v>
      </c>
      <c r="C2480" s="51">
        <v>16.5</v>
      </c>
      <c r="D2480" s="46">
        <f>+VLOOKUP(dHdcp[[#This Row],[Handicap]],'Categoría Hdcap'!$B$2:$E$7,4)</f>
        <v>3</v>
      </c>
      <c r="E2480" t="s">
        <v>74</v>
      </c>
      <c r="F2480" s="92"/>
      <c r="G2480">
        <f>+IF(dHdcp[[#This Row],[Fecha]]=MAX(dHdcp[Fecha]),1,0)</f>
        <v>0</v>
      </c>
      <c r="H2480" t="str">
        <f>+dHdcp[[#This Row],[Maximo]]&amp;":"&amp;dHdcp[[#This Row],[Nombre]]</f>
        <v>0:Juan Sanz</v>
      </c>
      <c r="I2480" t="str">
        <f>+dHdcp[[#This Row],[Maximo]]&amp;":"&amp;_xlfn.XLOOKUP(dHdcp[[#This Row],[Nombre]],dJugador[Nombre],dJugador[Mote],"",0)</f>
        <v>0:JuanSanz</v>
      </c>
      <c r="J2480" t="str">
        <f>+IF(dHdcp[[#This Row],[Maximo]]=0,"",_xlfn.RANK.EQ(dHdcp[[#This Row],[Handicap]],dHdcp[Handicap],1))</f>
        <v/>
      </c>
      <c r="K2480" t="str">
        <f>IFERROR(+_xlfn.RANK.EQ(dHdcp[[#This Row],[Ranking]],dHdcp[Ranking],1),"")</f>
        <v/>
      </c>
      <c r="M2480" t="str">
        <f>+dHdcp[[#This Row],[Fecha]]&amp;":"&amp;dHdcp[[#This Row],[Nombre]]</f>
        <v>45738:Juan Sanz</v>
      </c>
      <c r="N2480">
        <f>+COUNTIF(dHdcp[Columna1],dHdcp[[#This Row],[Columna1]])</f>
        <v>1</v>
      </c>
    </row>
    <row r="2481" spans="1:14">
      <c r="A2481" s="2">
        <v>45738</v>
      </c>
      <c r="B2481" t="s">
        <v>375</v>
      </c>
      <c r="C2481" s="51">
        <v>11</v>
      </c>
      <c r="D2481" s="46">
        <f>+VLOOKUP(dHdcp[[#This Row],[Handicap]],'Categoría Hdcap'!$B$2:$E$7,4)</f>
        <v>2</v>
      </c>
      <c r="E2481" t="s">
        <v>74</v>
      </c>
      <c r="F2481" s="92"/>
      <c r="G2481">
        <f>+IF(dHdcp[[#This Row],[Fecha]]=MAX(dHdcp[Fecha]),1,0)</f>
        <v>0</v>
      </c>
      <c r="H2481" t="str">
        <f>+dHdcp[[#This Row],[Maximo]]&amp;":"&amp;dHdcp[[#This Row],[Nombre]]</f>
        <v>0:Luis Fernandez</v>
      </c>
      <c r="I2481" t="str">
        <f>+dHdcp[[#This Row],[Maximo]]&amp;":"&amp;_xlfn.XLOOKUP(dHdcp[[#This Row],[Nombre]],dJugador[Nombre],dJugador[Mote],"",0)</f>
        <v>0:Luis</v>
      </c>
      <c r="J2481" t="str">
        <f>+IF(dHdcp[[#This Row],[Maximo]]=0,"",_xlfn.RANK.EQ(dHdcp[[#This Row],[Handicap]],dHdcp[Handicap],1))</f>
        <v/>
      </c>
      <c r="K2481" t="str">
        <f>IFERROR(+_xlfn.RANK.EQ(dHdcp[[#This Row],[Ranking]],dHdcp[Ranking],1),"")</f>
        <v/>
      </c>
      <c r="M2481" t="str">
        <f>+dHdcp[[#This Row],[Fecha]]&amp;":"&amp;dHdcp[[#This Row],[Nombre]]</f>
        <v>45738:Luis Fernandez</v>
      </c>
      <c r="N2481">
        <f>+COUNTIF(dHdcp[Columna1],dHdcp[[#This Row],[Columna1]])</f>
        <v>1</v>
      </c>
    </row>
    <row r="2482" spans="1:14">
      <c r="A2482" s="2">
        <v>45738</v>
      </c>
      <c r="B2482" t="s">
        <v>135</v>
      </c>
      <c r="C2482" s="51">
        <v>18.5</v>
      </c>
      <c r="D2482" s="46">
        <f>+VLOOKUP(dHdcp[[#This Row],[Handicap]],'Categoría Hdcap'!$B$2:$E$7,4)</f>
        <v>4</v>
      </c>
      <c r="E2482" t="s">
        <v>74</v>
      </c>
      <c r="F2482" s="92"/>
      <c r="G2482">
        <f>+IF(dHdcp[[#This Row],[Fecha]]=MAX(dHdcp[Fecha]),1,0)</f>
        <v>0</v>
      </c>
      <c r="H2482" t="str">
        <f>+dHdcp[[#This Row],[Maximo]]&amp;":"&amp;dHdcp[[#This Row],[Nombre]]</f>
        <v>0:Miche Lopez</v>
      </c>
      <c r="I2482" t="str">
        <f>+dHdcp[[#This Row],[Maximo]]&amp;":"&amp;_xlfn.XLOOKUP(dHdcp[[#This Row],[Nombre]],dJugador[Nombre],dJugador[Mote],"",0)</f>
        <v>0:Miche</v>
      </c>
      <c r="J2482" t="str">
        <f>+IF(dHdcp[[#This Row],[Maximo]]=0,"",_xlfn.RANK.EQ(dHdcp[[#This Row],[Handicap]],dHdcp[Handicap],1))</f>
        <v/>
      </c>
      <c r="K2482" t="str">
        <f>IFERROR(+_xlfn.RANK.EQ(dHdcp[[#This Row],[Ranking]],dHdcp[Ranking],1),"")</f>
        <v/>
      </c>
      <c r="M2482" t="str">
        <f>+dHdcp[[#This Row],[Fecha]]&amp;":"&amp;dHdcp[[#This Row],[Nombre]]</f>
        <v>45738:Miche Lopez</v>
      </c>
      <c r="N2482">
        <f>+COUNTIF(dHdcp[Columna1],dHdcp[[#This Row],[Columna1]])</f>
        <v>1</v>
      </c>
    </row>
    <row r="2483" spans="1:14">
      <c r="A2483" s="2">
        <v>45738</v>
      </c>
      <c r="B2483" t="s">
        <v>2603</v>
      </c>
      <c r="C2483" s="51">
        <v>7.2</v>
      </c>
      <c r="D2483" s="46">
        <f>+VLOOKUP(dHdcp[[#This Row],[Handicap]],'Categoría Hdcap'!$B$2:$E$7,4)</f>
        <v>2</v>
      </c>
      <c r="E2483" t="s">
        <v>74</v>
      </c>
      <c r="F2483" s="92"/>
      <c r="G2483">
        <f>+IF(dHdcp[[#This Row],[Fecha]]=MAX(dHdcp[Fecha]),1,0)</f>
        <v>0</v>
      </c>
      <c r="H2483" t="str">
        <f>+dHdcp[[#This Row],[Maximo]]&amp;":"&amp;dHdcp[[#This Row],[Nombre]]</f>
        <v>0:Miguel Angel Aguilera</v>
      </c>
      <c r="I2483" t="str">
        <f>+dHdcp[[#This Row],[Maximo]]&amp;":"&amp;_xlfn.XLOOKUP(dHdcp[[#This Row],[Nombre]],dJugador[Nombre],dJugador[Mote],"",0)</f>
        <v>0:M Angel</v>
      </c>
      <c r="J2483" t="str">
        <f>+IF(dHdcp[[#This Row],[Maximo]]=0,"",_xlfn.RANK.EQ(dHdcp[[#This Row],[Handicap]],dHdcp[Handicap],1))</f>
        <v/>
      </c>
      <c r="K2483" t="str">
        <f>IFERROR(+_xlfn.RANK.EQ(dHdcp[[#This Row],[Ranking]],dHdcp[Ranking],1),"")</f>
        <v/>
      </c>
      <c r="M2483" t="str">
        <f>+dHdcp[[#This Row],[Fecha]]&amp;":"&amp;dHdcp[[#This Row],[Nombre]]</f>
        <v>45738:Miguel Angel Aguilera</v>
      </c>
      <c r="N2483">
        <f>+COUNTIF(dHdcp[Columna1],dHdcp[[#This Row],[Columna1]])</f>
        <v>1</v>
      </c>
    </row>
    <row r="2484" spans="1:14">
      <c r="A2484" s="2">
        <v>45738</v>
      </c>
      <c r="B2484" t="s">
        <v>205</v>
      </c>
      <c r="C2484" s="51">
        <v>5.2</v>
      </c>
      <c r="D2484" s="46">
        <f>+VLOOKUP(dHdcp[[#This Row],[Handicap]],'Categoría Hdcap'!$B$2:$E$7,4)</f>
        <v>2</v>
      </c>
      <c r="E2484" t="s">
        <v>74</v>
      </c>
      <c r="F2484" s="92"/>
      <c r="G2484">
        <f>+IF(dHdcp[[#This Row],[Fecha]]=MAX(dHdcp[Fecha]),1,0)</f>
        <v>0</v>
      </c>
      <c r="H2484" t="str">
        <f>+dHdcp[[#This Row],[Maximo]]&amp;":"&amp;dHdcp[[#This Row],[Nombre]]</f>
        <v>0:Nacho Casas</v>
      </c>
      <c r="I2484" t="str">
        <f>+dHdcp[[#This Row],[Maximo]]&amp;":"&amp;_xlfn.XLOOKUP(dHdcp[[#This Row],[Nombre]],dJugador[Nombre],dJugador[Mote],"",0)</f>
        <v>0:Nachete</v>
      </c>
      <c r="J2484" t="str">
        <f>+IF(dHdcp[[#This Row],[Maximo]]=0,"",_xlfn.RANK.EQ(dHdcp[[#This Row],[Handicap]],dHdcp[Handicap],1))</f>
        <v/>
      </c>
      <c r="K2484" t="str">
        <f>IFERROR(+_xlfn.RANK.EQ(dHdcp[[#This Row],[Ranking]],dHdcp[Ranking],1),"")</f>
        <v/>
      </c>
      <c r="M2484" t="str">
        <f>+dHdcp[[#This Row],[Fecha]]&amp;":"&amp;dHdcp[[#This Row],[Nombre]]</f>
        <v>45738:Nacho Casas</v>
      </c>
      <c r="N2484">
        <f>+COUNTIF(dHdcp[Columna1],dHdcp[[#This Row],[Columna1]])</f>
        <v>1</v>
      </c>
    </row>
    <row r="2485" spans="1:14">
      <c r="A2485" s="2">
        <v>45738</v>
      </c>
      <c r="B2485" t="s">
        <v>3</v>
      </c>
      <c r="C2485" s="51">
        <v>4.7</v>
      </c>
      <c r="D2485" s="46">
        <f>+VLOOKUP(dHdcp[[#This Row],[Handicap]],'Categoría Hdcap'!$B$2:$E$7,4)</f>
        <v>2</v>
      </c>
      <c r="E2485" t="s">
        <v>74</v>
      </c>
      <c r="F2485" s="92"/>
      <c r="G2485">
        <f>+IF(dHdcp[[#This Row],[Fecha]]=MAX(dHdcp[Fecha]),1,0)</f>
        <v>0</v>
      </c>
      <c r="H2485" t="str">
        <f>+dHdcp[[#This Row],[Maximo]]&amp;":"&amp;dHdcp[[#This Row],[Nombre]]</f>
        <v>0:Nacho Gonzalez</v>
      </c>
      <c r="I2485" t="str">
        <f>+dHdcp[[#This Row],[Maximo]]&amp;":"&amp;_xlfn.XLOOKUP(dHdcp[[#This Row],[Nombre]],dJugador[Nombre],dJugador[Mote],"",0)</f>
        <v>0:Nacho</v>
      </c>
      <c r="J2485" t="str">
        <f>+IF(dHdcp[[#This Row],[Maximo]]=0,"",_xlfn.RANK.EQ(dHdcp[[#This Row],[Handicap]],dHdcp[Handicap],1))</f>
        <v/>
      </c>
      <c r="K2485" t="str">
        <f>IFERROR(+_xlfn.RANK.EQ(dHdcp[[#This Row],[Ranking]],dHdcp[Ranking],1),"")</f>
        <v/>
      </c>
      <c r="M2485" t="str">
        <f>+dHdcp[[#This Row],[Fecha]]&amp;":"&amp;dHdcp[[#This Row],[Nombre]]</f>
        <v>45738:Nacho Gonzalez</v>
      </c>
      <c r="N2485">
        <f>+COUNTIF(dHdcp[Columna1],dHdcp[[#This Row],[Columna1]])</f>
        <v>1</v>
      </c>
    </row>
    <row r="2486" spans="1:14">
      <c r="A2486" s="2">
        <v>45738</v>
      </c>
      <c r="B2486" t="s">
        <v>203</v>
      </c>
      <c r="C2486" s="51">
        <v>17.8</v>
      </c>
      <c r="D2486" s="46">
        <f>+VLOOKUP(dHdcp[[#This Row],[Handicap]],'Categoría Hdcap'!$B$2:$E$7,4)</f>
        <v>3</v>
      </c>
      <c r="E2486" t="s">
        <v>74</v>
      </c>
      <c r="F2486" s="92"/>
      <c r="G2486">
        <f>+IF(dHdcp[[#This Row],[Fecha]]=MAX(dHdcp[Fecha]),1,0)</f>
        <v>0</v>
      </c>
      <c r="H2486" t="str">
        <f>+dHdcp[[#This Row],[Maximo]]&amp;":"&amp;dHdcp[[#This Row],[Nombre]]</f>
        <v>0:Ruslan Kochman</v>
      </c>
      <c r="I2486" t="str">
        <f>+dHdcp[[#This Row],[Maximo]]&amp;":"&amp;_xlfn.XLOOKUP(dHdcp[[#This Row],[Nombre]],dJugador[Nombre],dJugador[Mote],"",0)</f>
        <v>0:Rus</v>
      </c>
      <c r="J2486" t="str">
        <f>+IF(dHdcp[[#This Row],[Maximo]]=0,"",_xlfn.RANK.EQ(dHdcp[[#This Row],[Handicap]],dHdcp[Handicap],1))</f>
        <v/>
      </c>
      <c r="K2486" t="str">
        <f>IFERROR(+_xlfn.RANK.EQ(dHdcp[[#This Row],[Ranking]],dHdcp[Ranking],1),"")</f>
        <v/>
      </c>
      <c r="M2486" t="str">
        <f>+dHdcp[[#This Row],[Fecha]]&amp;":"&amp;dHdcp[[#This Row],[Nombre]]</f>
        <v>45738:Ruslan Kochman</v>
      </c>
      <c r="N2486">
        <f>+COUNTIF(dHdcp[Columna1],dHdcp[[#This Row],[Columna1]])</f>
        <v>1</v>
      </c>
    </row>
    <row r="2487" spans="1:14">
      <c r="A2487" s="2">
        <v>45738</v>
      </c>
      <c r="B2487" t="s">
        <v>271</v>
      </c>
      <c r="C2487" s="51">
        <v>16.399999999999999</v>
      </c>
      <c r="D2487" s="46">
        <f>+VLOOKUP(dHdcp[[#This Row],[Handicap]],'Categoría Hdcap'!$B$2:$E$7,4)</f>
        <v>3</v>
      </c>
      <c r="E2487" t="s">
        <v>74</v>
      </c>
      <c r="F2487" s="92"/>
      <c r="G2487">
        <f>+IF(dHdcp[[#This Row],[Fecha]]=MAX(dHdcp[Fecha]),1,0)</f>
        <v>0</v>
      </c>
      <c r="H2487" t="str">
        <f>+dHdcp[[#This Row],[Maximo]]&amp;":"&amp;dHdcp[[#This Row],[Nombre]]</f>
        <v>0:Santi Diaz</v>
      </c>
      <c r="I2487" t="str">
        <f>+dHdcp[[#This Row],[Maximo]]&amp;":"&amp;_xlfn.XLOOKUP(dHdcp[[#This Row],[Nombre]],dJugador[Nombre],dJugador[Mote],"",0)</f>
        <v>0:Santi</v>
      </c>
      <c r="J2487" t="str">
        <f>+IF(dHdcp[[#This Row],[Maximo]]=0,"",_xlfn.RANK.EQ(dHdcp[[#This Row],[Handicap]],dHdcp[Handicap],1))</f>
        <v/>
      </c>
      <c r="K2487" t="str">
        <f>IFERROR(+_xlfn.RANK.EQ(dHdcp[[#This Row],[Ranking]],dHdcp[Ranking],1),"")</f>
        <v/>
      </c>
      <c r="M2487" t="str">
        <f>+dHdcp[[#This Row],[Fecha]]&amp;":"&amp;dHdcp[[#This Row],[Nombre]]</f>
        <v>45738:Santi Diaz</v>
      </c>
      <c r="N2487">
        <f>+COUNTIF(dHdcp[Columna1],dHdcp[[#This Row],[Columna1]])</f>
        <v>1</v>
      </c>
    </row>
    <row r="2488" spans="1:14">
      <c r="A2488" s="2">
        <v>45738</v>
      </c>
      <c r="B2488" t="s">
        <v>2473</v>
      </c>
      <c r="C2488" s="51">
        <v>13.9</v>
      </c>
      <c r="D2488" s="46">
        <f>+VLOOKUP(dHdcp[[#This Row],[Handicap]],'Categoría Hdcap'!$B$2:$E$7,4)</f>
        <v>3</v>
      </c>
      <c r="E2488" t="s">
        <v>74</v>
      </c>
      <c r="F2488" s="92"/>
      <c r="G2488">
        <f>+IF(dHdcp[[#This Row],[Fecha]]=MAX(dHdcp[Fecha]),1,0)</f>
        <v>0</v>
      </c>
      <c r="H2488" t="str">
        <f>+dHdcp[[#This Row],[Maximo]]&amp;":"&amp;dHdcp[[#This Row],[Nombre]]</f>
        <v>0:Thomas Dauterman</v>
      </c>
      <c r="I2488" t="str">
        <f>+dHdcp[[#This Row],[Maximo]]&amp;":"&amp;_xlfn.XLOOKUP(dHdcp[[#This Row],[Nombre]],dJugador[Nombre],dJugador[Mote],"",0)</f>
        <v>0:Tom</v>
      </c>
      <c r="J2488" t="str">
        <f>+IF(dHdcp[[#This Row],[Maximo]]=0,"",_xlfn.RANK.EQ(dHdcp[[#This Row],[Handicap]],dHdcp[Handicap],1))</f>
        <v/>
      </c>
      <c r="K2488" t="str">
        <f>IFERROR(+_xlfn.RANK.EQ(dHdcp[[#This Row],[Ranking]],dHdcp[Ranking],1),"")</f>
        <v/>
      </c>
      <c r="M2488" t="str">
        <f>+dHdcp[[#This Row],[Fecha]]&amp;":"&amp;dHdcp[[#This Row],[Nombre]]</f>
        <v>45738:Thomas Dauterman</v>
      </c>
      <c r="N2488">
        <f>+COUNTIF(dHdcp[Columna1],dHdcp[[#This Row],[Columna1]])</f>
        <v>1</v>
      </c>
    </row>
    <row r="2489" spans="1:14">
      <c r="A2489" s="2">
        <v>45774</v>
      </c>
      <c r="B2489" t="s">
        <v>259</v>
      </c>
      <c r="C2489" s="51">
        <v>0.9</v>
      </c>
      <c r="D2489" s="46">
        <f>+VLOOKUP(dHdcp[[#This Row],[Handicap]],'Categoría Hdcap'!$B$2:$E$7,4)</f>
        <v>1</v>
      </c>
      <c r="E2489" t="s">
        <v>74</v>
      </c>
      <c r="F2489" s="92"/>
      <c r="G2489">
        <f>+IF(dHdcp[[#This Row],[Fecha]]=MAX(dHdcp[Fecha]),1,0)</f>
        <v>0</v>
      </c>
      <c r="H2489" t="str">
        <f>+dHdcp[[#This Row],[Maximo]]&amp;":"&amp;dHdcp[[#This Row],[Nombre]]</f>
        <v>0:Alejandro Arcos</v>
      </c>
      <c r="I2489" t="str">
        <f>+dHdcp[[#This Row],[Maximo]]&amp;":"&amp;_xlfn.XLOOKUP(dHdcp[[#This Row],[Nombre]],dJugador[Nombre],dJugador[Mote],"",0)</f>
        <v>0:Alex</v>
      </c>
      <c r="J2489" t="str">
        <f>+IF(dHdcp[[#This Row],[Maximo]]=0,"",_xlfn.RANK.EQ(dHdcp[[#This Row],[Handicap]],dHdcp[Handicap],1))</f>
        <v/>
      </c>
      <c r="K2489" t="str">
        <f>IFERROR(+_xlfn.RANK.EQ(dHdcp[[#This Row],[Ranking]],dHdcp[Ranking],1),"")</f>
        <v/>
      </c>
      <c r="M2489" t="str">
        <f>+dHdcp[[#This Row],[Fecha]]&amp;":"&amp;dHdcp[[#This Row],[Nombre]]</f>
        <v>45774:Alejandro Arcos</v>
      </c>
      <c r="N2489">
        <f>+COUNTIF(dHdcp[Columna1],dHdcp[[#This Row],[Columna1]])</f>
        <v>1</v>
      </c>
    </row>
    <row r="2490" spans="1:14">
      <c r="A2490" s="2">
        <v>45774</v>
      </c>
      <c r="B2490" t="s">
        <v>9</v>
      </c>
      <c r="C2490" s="51">
        <v>11.6</v>
      </c>
      <c r="D2490" s="46">
        <f>+VLOOKUP(dHdcp[[#This Row],[Handicap]],'Categoría Hdcap'!$B$2:$E$7,4)</f>
        <v>3</v>
      </c>
      <c r="E2490" t="s">
        <v>74</v>
      </c>
      <c r="F2490" s="92"/>
      <c r="G2490">
        <f>+IF(dHdcp[[#This Row],[Fecha]]=MAX(dHdcp[Fecha]),1,0)</f>
        <v>0</v>
      </c>
      <c r="H2490" t="str">
        <f>+dHdcp[[#This Row],[Maximo]]&amp;":"&amp;dHdcp[[#This Row],[Nombre]]</f>
        <v>0:Alfonso Hidalgo</v>
      </c>
      <c r="I2490" t="str">
        <f>+dHdcp[[#This Row],[Maximo]]&amp;":"&amp;_xlfn.XLOOKUP(dHdcp[[#This Row],[Nombre]],dJugador[Nombre],dJugador[Mote],"",0)</f>
        <v>0:Alfonso</v>
      </c>
      <c r="J2490" t="str">
        <f>+IF(dHdcp[[#This Row],[Maximo]]=0,"",_xlfn.RANK.EQ(dHdcp[[#This Row],[Handicap]],dHdcp[Handicap],1))</f>
        <v/>
      </c>
      <c r="K2490" t="str">
        <f>IFERROR(+_xlfn.RANK.EQ(dHdcp[[#This Row],[Ranking]],dHdcp[Ranking],1),"")</f>
        <v/>
      </c>
      <c r="M2490" t="str">
        <f>+dHdcp[[#This Row],[Fecha]]&amp;":"&amp;dHdcp[[#This Row],[Nombre]]</f>
        <v>45774:Alfonso Hidalgo</v>
      </c>
      <c r="N2490">
        <f>+COUNTIF(dHdcp[Columna1],dHdcp[[#This Row],[Columna1]])</f>
        <v>1</v>
      </c>
    </row>
    <row r="2491" spans="1:14">
      <c r="A2491" s="2">
        <v>45774</v>
      </c>
      <c r="B2491" t="s">
        <v>15</v>
      </c>
      <c r="C2491" s="51">
        <v>6.4</v>
      </c>
      <c r="D2491" s="46">
        <f>+VLOOKUP(dHdcp[[#This Row],[Handicap]],'Categoría Hdcap'!$B$2:$E$7,4)</f>
        <v>2</v>
      </c>
      <c r="E2491" t="s">
        <v>74</v>
      </c>
      <c r="F2491" s="92"/>
      <c r="G2491">
        <f>+IF(dHdcp[[#This Row],[Fecha]]=MAX(dHdcp[Fecha]),1,0)</f>
        <v>0</v>
      </c>
      <c r="H2491" t="str">
        <f>+dHdcp[[#This Row],[Maximo]]&amp;":"&amp;dHdcp[[#This Row],[Nombre]]</f>
        <v>0:Alvaro Aguirre</v>
      </c>
      <c r="I2491" t="str">
        <f>+dHdcp[[#This Row],[Maximo]]&amp;":"&amp;_xlfn.XLOOKUP(dHdcp[[#This Row],[Nombre]],dJugador[Nombre],dJugador[Mote],"",0)</f>
        <v>0:Gifu</v>
      </c>
      <c r="J2491" t="str">
        <f>+IF(dHdcp[[#This Row],[Maximo]]=0,"",_xlfn.RANK.EQ(dHdcp[[#This Row],[Handicap]],dHdcp[Handicap],1))</f>
        <v/>
      </c>
      <c r="K2491" t="str">
        <f>IFERROR(+_xlfn.RANK.EQ(dHdcp[[#This Row],[Ranking]],dHdcp[Ranking],1),"")</f>
        <v/>
      </c>
      <c r="M2491" t="str">
        <f>+dHdcp[[#This Row],[Fecha]]&amp;":"&amp;dHdcp[[#This Row],[Nombre]]</f>
        <v>45774:Alvaro Aguirre</v>
      </c>
      <c r="N2491">
        <f>+COUNTIF(dHdcp[Columna1],dHdcp[[#This Row],[Columna1]])</f>
        <v>1</v>
      </c>
    </row>
    <row r="2492" spans="1:14">
      <c r="A2492" s="2">
        <v>45774</v>
      </c>
      <c r="B2492" t="s">
        <v>201</v>
      </c>
      <c r="C2492" s="51">
        <v>9</v>
      </c>
      <c r="D2492" s="46">
        <f>+VLOOKUP(dHdcp[[#This Row],[Handicap]],'Categoría Hdcap'!$B$2:$E$7,4)</f>
        <v>2</v>
      </c>
      <c r="E2492" t="s">
        <v>74</v>
      </c>
      <c r="F2492" s="92"/>
      <c r="G2492">
        <f>+IF(dHdcp[[#This Row],[Fecha]]=MAX(dHdcp[Fecha]),1,0)</f>
        <v>0</v>
      </c>
      <c r="H2492" t="str">
        <f>+dHdcp[[#This Row],[Maximo]]&amp;":"&amp;dHdcp[[#This Row],[Nombre]]</f>
        <v>0:Alvaro Montoya</v>
      </c>
      <c r="I2492" t="str">
        <f>+dHdcp[[#This Row],[Maximo]]&amp;":"&amp;_xlfn.XLOOKUP(dHdcp[[#This Row],[Nombre]],dJugador[Nombre],dJugador[Mote],"",0)</f>
        <v>0:Monti</v>
      </c>
      <c r="J2492" t="str">
        <f>+IF(dHdcp[[#This Row],[Maximo]]=0,"",_xlfn.RANK.EQ(dHdcp[[#This Row],[Handicap]],dHdcp[Handicap],1))</f>
        <v/>
      </c>
      <c r="K2492" t="str">
        <f>IFERROR(+_xlfn.RANK.EQ(dHdcp[[#This Row],[Ranking]],dHdcp[Ranking],1),"")</f>
        <v/>
      </c>
      <c r="M2492" t="str">
        <f>+dHdcp[[#This Row],[Fecha]]&amp;":"&amp;dHdcp[[#This Row],[Nombre]]</f>
        <v>45774:Alvaro Montoya</v>
      </c>
      <c r="N2492">
        <f>+COUNTIF(dHdcp[Columna1],dHdcp[[#This Row],[Columna1]])</f>
        <v>1</v>
      </c>
    </row>
    <row r="2493" spans="1:14">
      <c r="A2493" s="2">
        <v>45774</v>
      </c>
      <c r="B2493" t="s">
        <v>25</v>
      </c>
      <c r="C2493" s="51">
        <v>15.2</v>
      </c>
      <c r="D2493" s="46">
        <f>+VLOOKUP(dHdcp[[#This Row],[Handicap]],'Categoría Hdcap'!$B$2:$E$7,4)</f>
        <v>3</v>
      </c>
      <c r="E2493" t="s">
        <v>74</v>
      </c>
      <c r="F2493" s="92"/>
      <c r="G2493">
        <f>+IF(dHdcp[[#This Row],[Fecha]]=MAX(dHdcp[Fecha]),1,0)</f>
        <v>0</v>
      </c>
      <c r="H2493" t="str">
        <f>+dHdcp[[#This Row],[Maximo]]&amp;":"&amp;dHdcp[[#This Row],[Nombre]]</f>
        <v>0:Alvaro Nieto</v>
      </c>
      <c r="I2493" t="str">
        <f>+dHdcp[[#This Row],[Maximo]]&amp;":"&amp;_xlfn.XLOOKUP(dHdcp[[#This Row],[Nombre]],dJugador[Nombre],dJugador[Mote],"",0)</f>
        <v>0:Alvaro</v>
      </c>
      <c r="J2493" t="str">
        <f>+IF(dHdcp[[#This Row],[Maximo]]=0,"",_xlfn.RANK.EQ(dHdcp[[#This Row],[Handicap]],dHdcp[Handicap],1))</f>
        <v/>
      </c>
      <c r="K2493" t="str">
        <f>IFERROR(+_xlfn.RANK.EQ(dHdcp[[#This Row],[Ranking]],dHdcp[Ranking],1),"")</f>
        <v/>
      </c>
      <c r="M2493" t="str">
        <f>+dHdcp[[#This Row],[Fecha]]&amp;":"&amp;dHdcp[[#This Row],[Nombre]]</f>
        <v>45774:Alvaro Nieto</v>
      </c>
      <c r="N2493">
        <f>+COUNTIF(dHdcp[Columna1],dHdcp[[#This Row],[Columna1]])</f>
        <v>1</v>
      </c>
    </row>
    <row r="2494" spans="1:14">
      <c r="A2494" s="2">
        <v>45774</v>
      </c>
      <c r="B2494" t="s">
        <v>33</v>
      </c>
      <c r="C2494" s="51">
        <v>8.8000000000000007</v>
      </c>
      <c r="D2494" s="46">
        <f>+VLOOKUP(dHdcp[[#This Row],[Handicap]],'Categoría Hdcap'!$B$2:$E$7,4)</f>
        <v>2</v>
      </c>
      <c r="E2494" t="s">
        <v>74</v>
      </c>
      <c r="F2494" s="92"/>
      <c r="G2494">
        <f>+IF(dHdcp[[#This Row],[Fecha]]=MAX(dHdcp[Fecha]),1,0)</f>
        <v>0</v>
      </c>
      <c r="H2494" t="str">
        <f>+dHdcp[[#This Row],[Maximo]]&amp;":"&amp;dHdcp[[#This Row],[Nombre]]</f>
        <v>0:Angel Hernandez</v>
      </c>
      <c r="I2494" t="str">
        <f>+dHdcp[[#This Row],[Maximo]]&amp;":"&amp;_xlfn.XLOOKUP(dHdcp[[#This Row],[Nombre]],dJugador[Nombre],dJugador[Mote],"",0)</f>
        <v>0:Angel</v>
      </c>
      <c r="J2494" t="str">
        <f>+IF(dHdcp[[#This Row],[Maximo]]=0,"",_xlfn.RANK.EQ(dHdcp[[#This Row],[Handicap]],dHdcp[Handicap],1))</f>
        <v/>
      </c>
      <c r="K2494" t="str">
        <f>IFERROR(+_xlfn.RANK.EQ(dHdcp[[#This Row],[Ranking]],dHdcp[Ranking],1),"")</f>
        <v/>
      </c>
      <c r="M2494" t="str">
        <f>+dHdcp[[#This Row],[Fecha]]&amp;":"&amp;dHdcp[[#This Row],[Nombre]]</f>
        <v>45774:Angel Hernandez</v>
      </c>
      <c r="N2494">
        <f>+COUNTIF(dHdcp[Columna1],dHdcp[[#This Row],[Columna1]])</f>
        <v>1</v>
      </c>
    </row>
    <row r="2495" spans="1:14">
      <c r="A2495" s="2">
        <v>45774</v>
      </c>
      <c r="B2495" t="s">
        <v>2469</v>
      </c>
      <c r="C2495" s="51">
        <v>6.1</v>
      </c>
      <c r="D2495" s="46">
        <f>+VLOOKUP(dHdcp[[#This Row],[Handicap]],'Categoría Hdcap'!$B$2:$E$7,4)</f>
        <v>2</v>
      </c>
      <c r="E2495" t="s">
        <v>74</v>
      </c>
      <c r="F2495" s="92"/>
      <c r="G2495">
        <f>+IF(dHdcp[[#This Row],[Fecha]]=MAX(dHdcp[Fecha]),1,0)</f>
        <v>0</v>
      </c>
      <c r="H2495" t="str">
        <f>+dHdcp[[#This Row],[Maximo]]&amp;":"&amp;dHdcp[[#This Row],[Nombre]]</f>
        <v>0:Angel Santana</v>
      </c>
      <c r="I2495" t="str">
        <f>+dHdcp[[#This Row],[Maximo]]&amp;":"&amp;_xlfn.XLOOKUP(dHdcp[[#This Row],[Nombre]],dJugador[Nombre],dJugador[Mote],"",0)</f>
        <v>0:A.Santana</v>
      </c>
      <c r="J2495" t="str">
        <f>+IF(dHdcp[[#This Row],[Maximo]]=0,"",_xlfn.RANK.EQ(dHdcp[[#This Row],[Handicap]],dHdcp[Handicap],1))</f>
        <v/>
      </c>
      <c r="K2495" t="str">
        <f>IFERROR(+_xlfn.RANK.EQ(dHdcp[[#This Row],[Ranking]],dHdcp[Ranking],1),"")</f>
        <v/>
      </c>
      <c r="M2495" t="str">
        <f>+dHdcp[[#This Row],[Fecha]]&amp;":"&amp;dHdcp[[#This Row],[Nombre]]</f>
        <v>45774:Angel Santana</v>
      </c>
      <c r="N2495">
        <f>+COUNTIF(dHdcp[Columna1],dHdcp[[#This Row],[Columna1]])</f>
        <v>1</v>
      </c>
    </row>
    <row r="2496" spans="1:14">
      <c r="A2496" s="2">
        <v>45774</v>
      </c>
      <c r="B2496" t="s">
        <v>264</v>
      </c>
      <c r="C2496" s="51">
        <v>19.2</v>
      </c>
      <c r="D2496" s="46">
        <f>+VLOOKUP(dHdcp[[#This Row],[Handicap]],'Categoría Hdcap'!$B$2:$E$7,4)</f>
        <v>4</v>
      </c>
      <c r="E2496" t="s">
        <v>74</v>
      </c>
      <c r="F2496" s="92"/>
      <c r="G2496">
        <f>+IF(dHdcp[[#This Row],[Fecha]]=MAX(dHdcp[Fecha]),1,0)</f>
        <v>0</v>
      </c>
      <c r="H2496" t="str">
        <f>+dHdcp[[#This Row],[Maximo]]&amp;":"&amp;dHdcp[[#This Row],[Nombre]]</f>
        <v>0:Antonio Carmona</v>
      </c>
      <c r="I2496" t="str">
        <f>+dHdcp[[#This Row],[Maximo]]&amp;":"&amp;_xlfn.XLOOKUP(dHdcp[[#This Row],[Nombre]],dJugador[Nombre],dJugador[Mote],"",0)</f>
        <v>0:Antonio</v>
      </c>
      <c r="J2496" t="str">
        <f>+IF(dHdcp[[#This Row],[Maximo]]=0,"",_xlfn.RANK.EQ(dHdcp[[#This Row],[Handicap]],dHdcp[Handicap],1))</f>
        <v/>
      </c>
      <c r="K2496" t="str">
        <f>IFERROR(+_xlfn.RANK.EQ(dHdcp[[#This Row],[Ranking]],dHdcp[Ranking],1),"")</f>
        <v/>
      </c>
      <c r="M2496" t="str">
        <f>+dHdcp[[#This Row],[Fecha]]&amp;":"&amp;dHdcp[[#This Row],[Nombre]]</f>
        <v>45774:Antonio Carmona</v>
      </c>
      <c r="N2496">
        <f>+COUNTIF(dHdcp[Columna1],dHdcp[[#This Row],[Columna1]])</f>
        <v>1</v>
      </c>
    </row>
    <row r="2497" spans="1:14">
      <c r="A2497" s="2">
        <v>45774</v>
      </c>
      <c r="B2497" t="s">
        <v>291</v>
      </c>
      <c r="C2497" s="51">
        <v>1.5</v>
      </c>
      <c r="D2497" s="46">
        <f>+VLOOKUP(dHdcp[[#This Row],[Handicap]],'Categoría Hdcap'!$B$2:$E$7,4)</f>
        <v>1</v>
      </c>
      <c r="E2497" t="s">
        <v>74</v>
      </c>
      <c r="F2497" s="92"/>
      <c r="G2497">
        <f>+IF(dHdcp[[#This Row],[Fecha]]=MAX(dHdcp[Fecha]),1,0)</f>
        <v>0</v>
      </c>
      <c r="H2497" t="str">
        <f>+dHdcp[[#This Row],[Maximo]]&amp;":"&amp;dHdcp[[#This Row],[Nombre]]</f>
        <v>0:Carlos Maestro</v>
      </c>
      <c r="I2497" t="str">
        <f>+dHdcp[[#This Row],[Maximo]]&amp;":"&amp;_xlfn.XLOOKUP(dHdcp[[#This Row],[Nombre]],dJugador[Nombre],dJugador[Mote],"",0)</f>
        <v>0:Carlitos</v>
      </c>
      <c r="J2497" t="str">
        <f>+IF(dHdcp[[#This Row],[Maximo]]=0,"",_xlfn.RANK.EQ(dHdcp[[#This Row],[Handicap]],dHdcp[Handicap],1))</f>
        <v/>
      </c>
      <c r="K2497" t="str">
        <f>IFERROR(+_xlfn.RANK.EQ(dHdcp[[#This Row],[Ranking]],dHdcp[Ranking],1),"")</f>
        <v/>
      </c>
      <c r="M2497" t="str">
        <f>+dHdcp[[#This Row],[Fecha]]&amp;":"&amp;dHdcp[[#This Row],[Nombre]]</f>
        <v>45774:Carlos Maestro</v>
      </c>
      <c r="N2497">
        <f>+COUNTIF(dHdcp[Columna1],dHdcp[[#This Row],[Columna1]])</f>
        <v>1</v>
      </c>
    </row>
    <row r="2498" spans="1:14">
      <c r="A2498" s="2">
        <v>45774</v>
      </c>
      <c r="B2498" t="s">
        <v>30</v>
      </c>
      <c r="C2498" s="51">
        <v>14.3</v>
      </c>
      <c r="D2498" s="46">
        <f>+VLOOKUP(dHdcp[[#This Row],[Handicap]],'Categoría Hdcap'!$B$2:$E$7,4)</f>
        <v>3</v>
      </c>
      <c r="E2498" t="s">
        <v>74</v>
      </c>
      <c r="F2498" s="92"/>
      <c r="G2498">
        <f>+IF(dHdcp[[#This Row],[Fecha]]=MAX(dHdcp[Fecha]),1,0)</f>
        <v>0</v>
      </c>
      <c r="H2498" t="str">
        <f>+dHdcp[[#This Row],[Maximo]]&amp;":"&amp;dHdcp[[#This Row],[Nombre]]</f>
        <v>0:David Sequera</v>
      </c>
      <c r="I2498" t="str">
        <f>+dHdcp[[#This Row],[Maximo]]&amp;":"&amp;_xlfn.XLOOKUP(dHdcp[[#This Row],[Nombre]],dJugador[Nombre],dJugador[Mote],"",0)</f>
        <v>0:David</v>
      </c>
      <c r="J2498" t="str">
        <f>+IF(dHdcp[[#This Row],[Maximo]]=0,"",_xlfn.RANK.EQ(dHdcp[[#This Row],[Handicap]],dHdcp[Handicap],1))</f>
        <v/>
      </c>
      <c r="K2498" t="str">
        <f>IFERROR(+_xlfn.RANK.EQ(dHdcp[[#This Row],[Ranking]],dHdcp[Ranking],1),"")</f>
        <v/>
      </c>
      <c r="M2498" t="str">
        <f>+dHdcp[[#This Row],[Fecha]]&amp;":"&amp;dHdcp[[#This Row],[Nombre]]</f>
        <v>45774:David Sequera</v>
      </c>
      <c r="N2498">
        <f>+COUNTIF(dHdcp[Columna1],dHdcp[[#This Row],[Columna1]])</f>
        <v>1</v>
      </c>
    </row>
    <row r="2499" spans="1:14">
      <c r="A2499" s="2">
        <v>45774</v>
      </c>
      <c r="B2499" t="s">
        <v>326</v>
      </c>
      <c r="C2499" s="51">
        <v>8.1999999999999993</v>
      </c>
      <c r="D2499" s="46">
        <f>+VLOOKUP(dHdcp[[#This Row],[Handicap]],'Categoría Hdcap'!$B$2:$E$7,4)</f>
        <v>2</v>
      </c>
      <c r="E2499" t="s">
        <v>74</v>
      </c>
      <c r="F2499" s="92"/>
      <c r="G2499">
        <f>+IF(dHdcp[[#This Row],[Fecha]]=MAX(dHdcp[Fecha]),1,0)</f>
        <v>0</v>
      </c>
      <c r="H2499" t="str">
        <f>+dHdcp[[#This Row],[Maximo]]&amp;":"&amp;dHdcp[[#This Row],[Nombre]]</f>
        <v>0:Eduardo Buendía</v>
      </c>
      <c r="I2499" t="str">
        <f>+dHdcp[[#This Row],[Maximo]]&amp;":"&amp;_xlfn.XLOOKUP(dHdcp[[#This Row],[Nombre]],dJugador[Nombre],dJugador[Mote],"",0)</f>
        <v>0:Eduardo</v>
      </c>
      <c r="J2499" t="str">
        <f>+IF(dHdcp[[#This Row],[Maximo]]=0,"",_xlfn.RANK.EQ(dHdcp[[#This Row],[Handicap]],dHdcp[Handicap],1))</f>
        <v/>
      </c>
      <c r="K2499" t="str">
        <f>IFERROR(+_xlfn.RANK.EQ(dHdcp[[#This Row],[Ranking]],dHdcp[Ranking],1),"")</f>
        <v/>
      </c>
      <c r="M2499" t="str">
        <f>+dHdcp[[#This Row],[Fecha]]&amp;":"&amp;dHdcp[[#This Row],[Nombre]]</f>
        <v>45774:Eduardo Buendía</v>
      </c>
      <c r="N2499">
        <f>+COUNTIF(dHdcp[Columna1],dHdcp[[#This Row],[Columna1]])</f>
        <v>1</v>
      </c>
    </row>
    <row r="2500" spans="1:14">
      <c r="A2500" s="2">
        <v>45774</v>
      </c>
      <c r="B2500" t="s">
        <v>248</v>
      </c>
      <c r="C2500" s="51">
        <v>13.4</v>
      </c>
      <c r="D2500" s="46">
        <f>+VLOOKUP(dHdcp[[#This Row],[Handicap]],'Categoría Hdcap'!$B$2:$E$7,4)</f>
        <v>3</v>
      </c>
      <c r="E2500" t="s">
        <v>74</v>
      </c>
      <c r="F2500" s="92"/>
      <c r="G2500">
        <f>+IF(dHdcp[[#This Row],[Fecha]]=MAX(dHdcp[Fecha]),1,0)</f>
        <v>0</v>
      </c>
      <c r="H2500" t="str">
        <f>+dHdcp[[#This Row],[Maximo]]&amp;":"&amp;dHdcp[[#This Row],[Nombre]]</f>
        <v>0:Enrique Gonzalez R</v>
      </c>
      <c r="I2500" t="str">
        <f>+dHdcp[[#This Row],[Maximo]]&amp;":"&amp;_xlfn.XLOOKUP(dHdcp[[#This Row],[Nombre]],dJugador[Nombre],dJugador[Mote],"",0)</f>
        <v>0:Enrique</v>
      </c>
      <c r="J2500" t="str">
        <f>+IF(dHdcp[[#This Row],[Maximo]]=0,"",_xlfn.RANK.EQ(dHdcp[[#This Row],[Handicap]],dHdcp[Handicap],1))</f>
        <v/>
      </c>
      <c r="K2500" t="str">
        <f>IFERROR(+_xlfn.RANK.EQ(dHdcp[[#This Row],[Ranking]],dHdcp[Ranking],1),"")</f>
        <v/>
      </c>
      <c r="M2500" t="str">
        <f>+dHdcp[[#This Row],[Fecha]]&amp;":"&amp;dHdcp[[#This Row],[Nombre]]</f>
        <v>45774:Enrique Gonzalez R</v>
      </c>
      <c r="N2500">
        <f>+COUNTIF(dHdcp[Columna1],dHdcp[[#This Row],[Columna1]])</f>
        <v>1</v>
      </c>
    </row>
    <row r="2501" spans="1:14">
      <c r="A2501" s="2">
        <v>45774</v>
      </c>
      <c r="B2501" t="s">
        <v>12</v>
      </c>
      <c r="C2501" s="51">
        <v>15.9</v>
      </c>
      <c r="D2501" s="46">
        <f>+VLOOKUP(dHdcp[[#This Row],[Handicap]],'Categoría Hdcap'!$B$2:$E$7,4)</f>
        <v>3</v>
      </c>
      <c r="E2501" t="s">
        <v>74</v>
      </c>
      <c r="F2501" s="92"/>
      <c r="G2501">
        <f>+IF(dHdcp[[#This Row],[Fecha]]=MAX(dHdcp[Fecha]),1,0)</f>
        <v>0</v>
      </c>
      <c r="H2501" t="str">
        <f>+dHdcp[[#This Row],[Maximo]]&amp;":"&amp;dHdcp[[#This Row],[Nombre]]</f>
        <v>0:Francisco Alvarez</v>
      </c>
      <c r="I2501" t="str">
        <f>+dHdcp[[#This Row],[Maximo]]&amp;":"&amp;_xlfn.XLOOKUP(dHdcp[[#This Row],[Nombre]],dJugador[Nombre],dJugador[Mote],"",0)</f>
        <v>0:Paco</v>
      </c>
      <c r="J2501" t="str">
        <f>+IF(dHdcp[[#This Row],[Maximo]]=0,"",_xlfn.RANK.EQ(dHdcp[[#This Row],[Handicap]],dHdcp[Handicap],1))</f>
        <v/>
      </c>
      <c r="K2501" t="str">
        <f>IFERROR(+_xlfn.RANK.EQ(dHdcp[[#This Row],[Ranking]],dHdcp[Ranking],1),"")</f>
        <v/>
      </c>
      <c r="M2501" t="str">
        <f>+dHdcp[[#This Row],[Fecha]]&amp;":"&amp;dHdcp[[#This Row],[Nombre]]</f>
        <v>45774:Francisco Alvarez</v>
      </c>
      <c r="N2501">
        <f>+COUNTIF(dHdcp[Columna1],dHdcp[[#This Row],[Columna1]])</f>
        <v>1</v>
      </c>
    </row>
    <row r="2502" spans="1:14">
      <c r="A2502" s="2">
        <v>45774</v>
      </c>
      <c r="B2502" t="s">
        <v>49</v>
      </c>
      <c r="C2502" s="51">
        <v>14.4</v>
      </c>
      <c r="D2502" s="46">
        <f>+VLOOKUP(dHdcp[[#This Row],[Handicap]],'Categoría Hdcap'!$B$2:$E$7,4)</f>
        <v>3</v>
      </c>
      <c r="E2502" t="s">
        <v>74</v>
      </c>
      <c r="F2502" s="92"/>
      <c r="G2502">
        <f>+IF(dHdcp[[#This Row],[Fecha]]=MAX(dHdcp[Fecha]),1,0)</f>
        <v>0</v>
      </c>
      <c r="H2502" t="str">
        <f>+dHdcp[[#This Row],[Maximo]]&amp;":"&amp;dHdcp[[#This Row],[Nombre]]</f>
        <v>0:Francisco Hidalgo</v>
      </c>
      <c r="I2502" t="str">
        <f>+dHdcp[[#This Row],[Maximo]]&amp;":"&amp;_xlfn.XLOOKUP(dHdcp[[#This Row],[Nombre]],dJugador[Nombre],dJugador[Mote],"",0)</f>
        <v>0:Fran</v>
      </c>
      <c r="J2502" t="str">
        <f>+IF(dHdcp[[#This Row],[Maximo]]=0,"",_xlfn.RANK.EQ(dHdcp[[#This Row],[Handicap]],dHdcp[Handicap],1))</f>
        <v/>
      </c>
      <c r="K2502" t="str">
        <f>IFERROR(+_xlfn.RANK.EQ(dHdcp[[#This Row],[Ranking]],dHdcp[Ranking],1),"")</f>
        <v/>
      </c>
      <c r="M2502" t="str">
        <f>+dHdcp[[#This Row],[Fecha]]&amp;":"&amp;dHdcp[[#This Row],[Nombre]]</f>
        <v>45774:Francisco Hidalgo</v>
      </c>
      <c r="N2502">
        <f>+COUNTIF(dHdcp[Columna1],dHdcp[[#This Row],[Columna1]])</f>
        <v>1</v>
      </c>
    </row>
    <row r="2503" spans="1:14">
      <c r="A2503" s="2">
        <v>45774</v>
      </c>
      <c r="B2503" t="s">
        <v>207</v>
      </c>
      <c r="C2503" s="51">
        <v>15</v>
      </c>
      <c r="D2503" s="46">
        <f>+VLOOKUP(dHdcp[[#This Row],[Handicap]],'Categoría Hdcap'!$B$2:$E$7,4)</f>
        <v>3</v>
      </c>
      <c r="E2503" t="s">
        <v>74</v>
      </c>
      <c r="F2503" s="92"/>
      <c r="G2503">
        <f>+IF(dHdcp[[#This Row],[Fecha]]=MAX(dHdcp[Fecha]),1,0)</f>
        <v>0</v>
      </c>
      <c r="H2503" t="str">
        <f>+dHdcp[[#This Row],[Maximo]]&amp;":"&amp;dHdcp[[#This Row],[Nombre]]</f>
        <v>0:Franck Benouniche</v>
      </c>
      <c r="I2503" t="str">
        <f>+dHdcp[[#This Row],[Maximo]]&amp;":"&amp;_xlfn.XLOOKUP(dHdcp[[#This Row],[Nombre]],dJugador[Nombre],dJugador[Mote],"",0)</f>
        <v>0:Franck</v>
      </c>
      <c r="J2503" t="str">
        <f>+IF(dHdcp[[#This Row],[Maximo]]=0,"",_xlfn.RANK.EQ(dHdcp[[#This Row],[Handicap]],dHdcp[Handicap],1))</f>
        <v/>
      </c>
      <c r="K2503" t="str">
        <f>IFERROR(+_xlfn.RANK.EQ(dHdcp[[#This Row],[Ranking]],dHdcp[Ranking],1),"")</f>
        <v/>
      </c>
      <c r="M2503" t="str">
        <f>+dHdcp[[#This Row],[Fecha]]&amp;":"&amp;dHdcp[[#This Row],[Nombre]]</f>
        <v>45774:Franck Benouniche</v>
      </c>
      <c r="N2503">
        <f>+COUNTIF(dHdcp[Columna1],dHdcp[[#This Row],[Columna1]])</f>
        <v>1</v>
      </c>
    </row>
    <row r="2504" spans="1:14">
      <c r="A2504" s="2">
        <v>45774</v>
      </c>
      <c r="B2504" t="s">
        <v>35</v>
      </c>
      <c r="C2504" s="51">
        <v>20.5</v>
      </c>
      <c r="D2504" s="46">
        <f>+VLOOKUP(dHdcp[[#This Row],[Handicap]],'Categoría Hdcap'!$B$2:$E$7,4)</f>
        <v>4</v>
      </c>
      <c r="E2504" t="s">
        <v>74</v>
      </c>
      <c r="F2504" s="92"/>
      <c r="G2504">
        <f>+IF(dHdcp[[#This Row],[Fecha]]=MAX(dHdcp[Fecha]),1,0)</f>
        <v>0</v>
      </c>
      <c r="H2504" t="str">
        <f>+dHdcp[[#This Row],[Maximo]]&amp;":"&amp;dHdcp[[#This Row],[Nombre]]</f>
        <v>0:GLEZ JUAN JOSÉ</v>
      </c>
      <c r="I2504" t="str">
        <f>+dHdcp[[#This Row],[Maximo]]&amp;":"&amp;_xlfn.XLOOKUP(dHdcp[[#This Row],[Nombre]],dJugador[Nombre],dJugador[Mote],"",0)</f>
        <v>0:Juanjo</v>
      </c>
      <c r="J2504" t="str">
        <f>+IF(dHdcp[[#This Row],[Maximo]]=0,"",_xlfn.RANK.EQ(dHdcp[[#This Row],[Handicap]],dHdcp[Handicap],1))</f>
        <v/>
      </c>
      <c r="K2504" t="str">
        <f>IFERROR(+_xlfn.RANK.EQ(dHdcp[[#This Row],[Ranking]],dHdcp[Ranking],1),"")</f>
        <v/>
      </c>
      <c r="M2504" t="str">
        <f>+dHdcp[[#This Row],[Fecha]]&amp;":"&amp;dHdcp[[#This Row],[Nombre]]</f>
        <v>45774:GLEZ JUAN JOSÉ</v>
      </c>
      <c r="N2504">
        <f>+COUNTIF(dHdcp[Columna1],dHdcp[[#This Row],[Columna1]])</f>
        <v>1</v>
      </c>
    </row>
    <row r="2505" spans="1:14">
      <c r="A2505" s="2">
        <v>45774</v>
      </c>
      <c r="B2505" t="s">
        <v>6</v>
      </c>
      <c r="C2505" s="51">
        <v>6.8</v>
      </c>
      <c r="D2505" s="46">
        <f>+VLOOKUP(dHdcp[[#This Row],[Handicap]],'Categoría Hdcap'!$B$2:$E$7,4)</f>
        <v>2</v>
      </c>
      <c r="E2505" t="s">
        <v>74</v>
      </c>
      <c r="F2505" s="92"/>
      <c r="G2505">
        <f>+IF(dHdcp[[#This Row],[Fecha]]=MAX(dHdcp[Fecha]),1,0)</f>
        <v>0</v>
      </c>
      <c r="H2505" t="str">
        <f>+dHdcp[[#This Row],[Maximo]]&amp;":"&amp;dHdcp[[#This Row],[Nombre]]</f>
        <v>0:Ignacio Cadarso</v>
      </c>
      <c r="I2505" t="str">
        <f>+dHdcp[[#This Row],[Maximo]]&amp;":"&amp;_xlfn.XLOOKUP(dHdcp[[#This Row],[Nombre]],dJugador[Nombre],dJugador[Mote],"",0)</f>
        <v>0:Ignacio</v>
      </c>
      <c r="J2505" t="str">
        <f>+IF(dHdcp[[#This Row],[Maximo]]=0,"",_xlfn.RANK.EQ(dHdcp[[#This Row],[Handicap]],dHdcp[Handicap],1))</f>
        <v/>
      </c>
      <c r="K2505" t="str">
        <f>IFERROR(+_xlfn.RANK.EQ(dHdcp[[#This Row],[Ranking]],dHdcp[Ranking],1),"")</f>
        <v/>
      </c>
      <c r="M2505" t="str">
        <f>+dHdcp[[#This Row],[Fecha]]&amp;":"&amp;dHdcp[[#This Row],[Nombre]]</f>
        <v>45774:Ignacio Cadarso</v>
      </c>
      <c r="N2505">
        <f>+COUNTIF(dHdcp[Columna1],dHdcp[[#This Row],[Columna1]])</f>
        <v>1</v>
      </c>
    </row>
    <row r="2506" spans="1:14">
      <c r="A2506" s="2">
        <v>45774</v>
      </c>
      <c r="B2506" t="s">
        <v>23</v>
      </c>
      <c r="C2506" s="51">
        <v>19.5</v>
      </c>
      <c r="D2506" s="46">
        <f>+VLOOKUP(dHdcp[[#This Row],[Handicap]],'Categoría Hdcap'!$B$2:$E$7,4)</f>
        <v>4</v>
      </c>
      <c r="E2506" t="s">
        <v>74</v>
      </c>
      <c r="F2506" s="92"/>
      <c r="G2506">
        <f>+IF(dHdcp[[#This Row],[Fecha]]=MAX(dHdcp[Fecha]),1,0)</f>
        <v>0</v>
      </c>
      <c r="H2506" t="str">
        <f>+dHdcp[[#This Row],[Maximo]]&amp;":"&amp;dHdcp[[#This Row],[Nombre]]</f>
        <v>0:J. Enrique Gonzalez</v>
      </c>
      <c r="I2506" t="str">
        <f>+dHdcp[[#This Row],[Maximo]]&amp;":"&amp;_xlfn.XLOOKUP(dHdcp[[#This Row],[Nombre]],dJugador[Nombre],dJugador[Mote],"",0)</f>
        <v>0:Kike</v>
      </c>
      <c r="J2506" t="str">
        <f>+IF(dHdcp[[#This Row],[Maximo]]=0,"",_xlfn.RANK.EQ(dHdcp[[#This Row],[Handicap]],dHdcp[Handicap],1))</f>
        <v/>
      </c>
      <c r="K2506" t="str">
        <f>IFERROR(+_xlfn.RANK.EQ(dHdcp[[#This Row],[Ranking]],dHdcp[Ranking],1),"")</f>
        <v/>
      </c>
      <c r="M2506" t="str">
        <f>+dHdcp[[#This Row],[Fecha]]&amp;":"&amp;dHdcp[[#This Row],[Nombre]]</f>
        <v>45774:J. Enrique Gonzalez</v>
      </c>
      <c r="N2506">
        <f>+COUNTIF(dHdcp[Columna1],dHdcp[[#This Row],[Columna1]])</f>
        <v>1</v>
      </c>
    </row>
    <row r="2507" spans="1:14">
      <c r="A2507" s="2">
        <v>45774</v>
      </c>
      <c r="B2507" t="s">
        <v>2606</v>
      </c>
      <c r="C2507" s="51">
        <v>9.8000000000000007</v>
      </c>
      <c r="D2507" s="46">
        <f>+VLOOKUP(dHdcp[[#This Row],[Handicap]],'Categoría Hdcap'!$B$2:$E$7,4)</f>
        <v>2</v>
      </c>
      <c r="E2507" t="s">
        <v>74</v>
      </c>
      <c r="F2507" s="92"/>
      <c r="G2507">
        <f>+IF(dHdcp[[#This Row],[Fecha]]=MAX(dHdcp[Fecha]),1,0)</f>
        <v>0</v>
      </c>
      <c r="H2507" t="str">
        <f>+dHdcp[[#This Row],[Maximo]]&amp;":"&amp;dHdcp[[#This Row],[Nombre]]</f>
        <v>0:Jaime de la Cal</v>
      </c>
      <c r="I2507" t="str">
        <f>+dHdcp[[#This Row],[Maximo]]&amp;":"&amp;_xlfn.XLOOKUP(dHdcp[[#This Row],[Nombre]],dJugador[Nombre],dJugador[Mote],"",0)</f>
        <v>0:Jaime</v>
      </c>
      <c r="J2507" t="str">
        <f>+IF(dHdcp[[#This Row],[Maximo]]=0,"",_xlfn.RANK.EQ(dHdcp[[#This Row],[Handicap]],dHdcp[Handicap],1))</f>
        <v/>
      </c>
      <c r="K2507" t="str">
        <f>IFERROR(+_xlfn.RANK.EQ(dHdcp[[#This Row],[Ranking]],dHdcp[Ranking],1),"")</f>
        <v/>
      </c>
      <c r="M2507" t="str">
        <f>+dHdcp[[#This Row],[Fecha]]&amp;":"&amp;dHdcp[[#This Row],[Nombre]]</f>
        <v>45774:Jaime de la Cal</v>
      </c>
      <c r="N2507">
        <f>+COUNTIF(dHdcp[Columna1],dHdcp[[#This Row],[Columna1]])</f>
        <v>1</v>
      </c>
    </row>
    <row r="2508" spans="1:14">
      <c r="A2508" s="2">
        <v>45774</v>
      </c>
      <c r="B2508" t="s">
        <v>2631</v>
      </c>
      <c r="C2508" s="51">
        <v>2.6</v>
      </c>
      <c r="D2508" s="46">
        <f>+VLOOKUP(dHdcp[[#This Row],[Handicap]],'Categoría Hdcap'!$B$2:$E$7,4)</f>
        <v>1</v>
      </c>
      <c r="E2508" t="s">
        <v>74</v>
      </c>
      <c r="F2508" s="92"/>
      <c r="G2508">
        <f>+IF(dHdcp[[#This Row],[Fecha]]=MAX(dHdcp[Fecha]),1,0)</f>
        <v>0</v>
      </c>
      <c r="H2508" t="str">
        <f>+dHdcp[[#This Row],[Maximo]]&amp;":"&amp;dHdcp[[#This Row],[Nombre]]</f>
        <v>0:Jaime Orlando Larregui</v>
      </c>
      <c r="I2508" t="str">
        <f>+dHdcp[[#This Row],[Maximo]]&amp;":"&amp;_xlfn.XLOOKUP(dHdcp[[#This Row],[Nombre]],dJugador[Nombre],dJugador[Mote],"",0)</f>
        <v>0:Orlando</v>
      </c>
      <c r="J2508" t="str">
        <f>+IF(dHdcp[[#This Row],[Maximo]]=0,"",_xlfn.RANK.EQ(dHdcp[[#This Row],[Handicap]],dHdcp[Handicap],1))</f>
        <v/>
      </c>
      <c r="K2508" t="str">
        <f>IFERROR(+_xlfn.RANK.EQ(dHdcp[[#This Row],[Ranking]],dHdcp[Ranking],1),"")</f>
        <v/>
      </c>
      <c r="M2508" t="str">
        <f>+dHdcp[[#This Row],[Fecha]]&amp;":"&amp;dHdcp[[#This Row],[Nombre]]</f>
        <v>45774:Jaime Orlando Larregui</v>
      </c>
      <c r="N2508">
        <f>+COUNTIF(dHdcp[Columna1],dHdcp[[#This Row],[Columna1]])</f>
        <v>1</v>
      </c>
    </row>
    <row r="2509" spans="1:14">
      <c r="A2509" s="2">
        <v>45774</v>
      </c>
      <c r="B2509" t="s">
        <v>328</v>
      </c>
      <c r="C2509" s="51">
        <v>10.5</v>
      </c>
      <c r="D2509" s="46">
        <f>+VLOOKUP(dHdcp[[#This Row],[Handicap]],'Categoría Hdcap'!$B$2:$E$7,4)</f>
        <v>2</v>
      </c>
      <c r="E2509" t="s">
        <v>74</v>
      </c>
      <c r="F2509" s="92"/>
      <c r="G2509">
        <f>+IF(dHdcp[[#This Row],[Fecha]]=MAX(dHdcp[Fecha]),1,0)</f>
        <v>0</v>
      </c>
      <c r="H2509" t="str">
        <f>+dHdcp[[#This Row],[Maximo]]&amp;":"&amp;dHdcp[[#This Row],[Nombre]]</f>
        <v>0:Javier Arcos</v>
      </c>
      <c r="I2509" t="str">
        <f>+dHdcp[[#This Row],[Maximo]]&amp;":"&amp;_xlfn.XLOOKUP(dHdcp[[#This Row],[Nombre]],dJugador[Nombre],dJugador[Mote],"",0)</f>
        <v>0:J.Arcos</v>
      </c>
      <c r="J2509" t="str">
        <f>+IF(dHdcp[[#This Row],[Maximo]]=0,"",_xlfn.RANK.EQ(dHdcp[[#This Row],[Handicap]],dHdcp[Handicap],1))</f>
        <v/>
      </c>
      <c r="K2509" t="str">
        <f>IFERROR(+_xlfn.RANK.EQ(dHdcp[[#This Row],[Ranking]],dHdcp[Ranking],1),"")</f>
        <v/>
      </c>
      <c r="M2509" t="str">
        <f>+dHdcp[[#This Row],[Fecha]]&amp;":"&amp;dHdcp[[#This Row],[Nombre]]</f>
        <v>45774:Javier Arcos</v>
      </c>
      <c r="N2509">
        <f>+COUNTIF(dHdcp[Columna1],dHdcp[[#This Row],[Columna1]])</f>
        <v>1</v>
      </c>
    </row>
    <row r="2510" spans="1:14">
      <c r="A2510" s="2">
        <v>45774</v>
      </c>
      <c r="B2510" t="s">
        <v>46</v>
      </c>
      <c r="C2510" s="51">
        <v>18.2</v>
      </c>
      <c r="D2510" s="46">
        <f>+VLOOKUP(dHdcp[[#This Row],[Handicap]],'Categoría Hdcap'!$B$2:$E$7,4)</f>
        <v>3</v>
      </c>
      <c r="E2510" t="s">
        <v>74</v>
      </c>
      <c r="F2510" s="92"/>
      <c r="G2510">
        <f>+IF(dHdcp[[#This Row],[Fecha]]=MAX(dHdcp[Fecha]),1,0)</f>
        <v>0</v>
      </c>
      <c r="H2510" t="str">
        <f>+dHdcp[[#This Row],[Maximo]]&amp;":"&amp;dHdcp[[#This Row],[Nombre]]</f>
        <v>0:Javier Cervera</v>
      </c>
      <c r="I2510" t="str">
        <f>+dHdcp[[#This Row],[Maximo]]&amp;":"&amp;_xlfn.XLOOKUP(dHdcp[[#This Row],[Nombre]],dJugador[Nombre],dJugador[Mote],"",0)</f>
        <v>0:Virus</v>
      </c>
      <c r="J2510" t="str">
        <f>+IF(dHdcp[[#This Row],[Maximo]]=0,"",_xlfn.RANK.EQ(dHdcp[[#This Row],[Handicap]],dHdcp[Handicap],1))</f>
        <v/>
      </c>
      <c r="K2510" t="str">
        <f>IFERROR(+_xlfn.RANK.EQ(dHdcp[[#This Row],[Ranking]],dHdcp[Ranking],1),"")</f>
        <v/>
      </c>
      <c r="M2510" t="str">
        <f>+dHdcp[[#This Row],[Fecha]]&amp;":"&amp;dHdcp[[#This Row],[Nombre]]</f>
        <v>45774:Javier Cervera</v>
      </c>
      <c r="N2510">
        <f>+COUNTIF(dHdcp[Columna1],dHdcp[[#This Row],[Columna1]])</f>
        <v>1</v>
      </c>
    </row>
    <row r="2511" spans="1:14">
      <c r="A2511" s="2">
        <v>45774</v>
      </c>
      <c r="B2511" t="s">
        <v>225</v>
      </c>
      <c r="C2511" s="51">
        <v>10.6</v>
      </c>
      <c r="D2511" s="46">
        <f>+VLOOKUP(dHdcp[[#This Row],[Handicap]],'Categoría Hdcap'!$B$2:$E$7,4)</f>
        <v>2</v>
      </c>
      <c r="E2511" t="s">
        <v>74</v>
      </c>
      <c r="F2511" s="92"/>
      <c r="G2511">
        <f>+IF(dHdcp[[#This Row],[Fecha]]=MAX(dHdcp[Fecha]),1,0)</f>
        <v>0</v>
      </c>
      <c r="H2511" t="str">
        <f>+dHdcp[[#This Row],[Maximo]]&amp;":"&amp;dHdcp[[#This Row],[Nombre]]</f>
        <v>0:Javier Chiralt</v>
      </c>
      <c r="I2511" t="str">
        <f>+dHdcp[[#This Row],[Maximo]]&amp;":"&amp;_xlfn.XLOOKUP(dHdcp[[#This Row],[Nombre]],dJugador[Nombre],dJugador[Mote],"",0)</f>
        <v>0:Chiralt</v>
      </c>
      <c r="J2511" t="str">
        <f>+IF(dHdcp[[#This Row],[Maximo]]=0,"",_xlfn.RANK.EQ(dHdcp[[#This Row],[Handicap]],dHdcp[Handicap],1))</f>
        <v/>
      </c>
      <c r="K2511" t="str">
        <f>IFERROR(+_xlfn.RANK.EQ(dHdcp[[#This Row],[Ranking]],dHdcp[Ranking],1),"")</f>
        <v/>
      </c>
      <c r="M2511" t="str">
        <f>+dHdcp[[#This Row],[Fecha]]&amp;":"&amp;dHdcp[[#This Row],[Nombre]]</f>
        <v>45774:Javier Chiralt</v>
      </c>
      <c r="N2511">
        <f>+COUNTIF(dHdcp[Columna1],dHdcp[[#This Row],[Columna1]])</f>
        <v>1</v>
      </c>
    </row>
    <row r="2512" spans="1:14">
      <c r="A2512" s="2">
        <v>45774</v>
      </c>
      <c r="B2512" t="s">
        <v>20</v>
      </c>
      <c r="C2512" s="51">
        <v>20.100000000000001</v>
      </c>
      <c r="D2512" s="46">
        <f>+VLOOKUP(dHdcp[[#This Row],[Handicap]],'Categoría Hdcap'!$B$2:$E$7,4)</f>
        <v>4</v>
      </c>
      <c r="E2512" t="s">
        <v>74</v>
      </c>
      <c r="F2512" s="92"/>
      <c r="G2512">
        <f>+IF(dHdcp[[#This Row],[Fecha]]=MAX(dHdcp[Fecha]),1,0)</f>
        <v>0</v>
      </c>
      <c r="H2512" t="str">
        <f>+dHdcp[[#This Row],[Maximo]]&amp;":"&amp;dHdcp[[#This Row],[Nombre]]</f>
        <v>0:Javier Gonzalez Salvador</v>
      </c>
      <c r="I2512" t="str">
        <f>+dHdcp[[#This Row],[Maximo]]&amp;":"&amp;_xlfn.XLOOKUP(dHdcp[[#This Row],[Nombre]],dJugador[Nombre],dJugador[Mote],"",0)</f>
        <v>0:Javi</v>
      </c>
      <c r="J2512" t="str">
        <f>+IF(dHdcp[[#This Row],[Maximo]]=0,"",_xlfn.RANK.EQ(dHdcp[[#This Row],[Handicap]],dHdcp[Handicap],1))</f>
        <v/>
      </c>
      <c r="K2512" t="str">
        <f>IFERROR(+_xlfn.RANK.EQ(dHdcp[[#This Row],[Ranking]],dHdcp[Ranking],1),"")</f>
        <v/>
      </c>
      <c r="M2512" t="str">
        <f>+dHdcp[[#This Row],[Fecha]]&amp;":"&amp;dHdcp[[#This Row],[Nombre]]</f>
        <v>45774:Javier Gonzalez Salvador</v>
      </c>
      <c r="N2512">
        <f>+COUNTIF(dHdcp[Columna1],dHdcp[[#This Row],[Columna1]])</f>
        <v>1</v>
      </c>
    </row>
    <row r="2513" spans="1:14">
      <c r="A2513" s="2">
        <v>45774</v>
      </c>
      <c r="B2513" t="s">
        <v>217</v>
      </c>
      <c r="C2513" s="51">
        <v>20.9</v>
      </c>
      <c r="D2513" s="46">
        <f>+VLOOKUP(dHdcp[[#This Row],[Handicap]],'Categoría Hdcap'!$B$2:$E$7,4)</f>
        <v>4</v>
      </c>
      <c r="E2513" t="s">
        <v>74</v>
      </c>
      <c r="F2513" s="92"/>
      <c r="G2513">
        <f>+IF(dHdcp[[#This Row],[Fecha]]=MAX(dHdcp[Fecha]),1,0)</f>
        <v>0</v>
      </c>
      <c r="H2513" t="str">
        <f>+dHdcp[[#This Row],[Maximo]]&amp;":"&amp;dHdcp[[#This Row],[Nombre]]</f>
        <v>0:Javier Lopez Gullón</v>
      </c>
      <c r="I2513" t="str">
        <f>+dHdcp[[#This Row],[Maximo]]&amp;":"&amp;_xlfn.XLOOKUP(dHdcp[[#This Row],[Nombre]],dJugador[Nombre],dJugador[Mote],"",0)</f>
        <v>0:Cuñao</v>
      </c>
      <c r="J2513" t="str">
        <f>+IF(dHdcp[[#This Row],[Maximo]]=0,"",_xlfn.RANK.EQ(dHdcp[[#This Row],[Handicap]],dHdcp[Handicap],1))</f>
        <v/>
      </c>
      <c r="K2513" t="str">
        <f>IFERROR(+_xlfn.RANK.EQ(dHdcp[[#This Row],[Ranking]],dHdcp[Ranking],1),"")</f>
        <v/>
      </c>
      <c r="M2513" t="str">
        <f>+dHdcp[[#This Row],[Fecha]]&amp;":"&amp;dHdcp[[#This Row],[Nombre]]</f>
        <v>45774:Javier Lopez Gullón</v>
      </c>
      <c r="N2513">
        <f>+COUNTIF(dHdcp[Columna1],dHdcp[[#This Row],[Columna1]])</f>
        <v>1</v>
      </c>
    </row>
    <row r="2514" spans="1:14">
      <c r="A2514" s="2">
        <v>45774</v>
      </c>
      <c r="B2514" t="s">
        <v>41</v>
      </c>
      <c r="C2514" s="51">
        <v>21.9</v>
      </c>
      <c r="D2514" s="46">
        <f>+VLOOKUP(dHdcp[[#This Row],[Handicap]],'Categoría Hdcap'!$B$2:$E$7,4)</f>
        <v>4</v>
      </c>
      <c r="E2514" t="s">
        <v>74</v>
      </c>
      <c r="F2514" s="92"/>
      <c r="G2514">
        <f>+IF(dHdcp[[#This Row],[Fecha]]=MAX(dHdcp[Fecha]),1,0)</f>
        <v>0</v>
      </c>
      <c r="H2514" t="str">
        <f>+dHdcp[[#This Row],[Maximo]]&amp;":"&amp;dHdcp[[#This Row],[Nombre]]</f>
        <v>0:Jesus Touceda</v>
      </c>
      <c r="I2514" t="str">
        <f>+dHdcp[[#This Row],[Maximo]]&amp;":"&amp;_xlfn.XLOOKUP(dHdcp[[#This Row],[Nombre]],dJugador[Nombre],dJugador[Mote],"",0)</f>
        <v>0:Jesús</v>
      </c>
      <c r="J2514" t="str">
        <f>+IF(dHdcp[[#This Row],[Maximo]]=0,"",_xlfn.RANK.EQ(dHdcp[[#This Row],[Handicap]],dHdcp[Handicap],1))</f>
        <v/>
      </c>
      <c r="K2514" t="str">
        <f>IFERROR(+_xlfn.RANK.EQ(dHdcp[[#This Row],[Ranking]],dHdcp[Ranking],1),"")</f>
        <v/>
      </c>
      <c r="M2514" t="str">
        <f>+dHdcp[[#This Row],[Fecha]]&amp;":"&amp;dHdcp[[#This Row],[Nombre]]</f>
        <v>45774:Jesus Touceda</v>
      </c>
      <c r="N2514">
        <f>+COUNTIF(dHdcp[Columna1],dHdcp[[#This Row],[Columna1]])</f>
        <v>1</v>
      </c>
    </row>
    <row r="2515" spans="1:14">
      <c r="A2515" s="2">
        <v>45774</v>
      </c>
      <c r="B2515" t="s">
        <v>2561</v>
      </c>
      <c r="C2515" s="51">
        <v>20.6</v>
      </c>
      <c r="D2515" s="46">
        <f>+VLOOKUP(dHdcp[[#This Row],[Handicap]],'Categoría Hdcap'!$B$2:$E$7,4)</f>
        <v>4</v>
      </c>
      <c r="E2515" t="s">
        <v>74</v>
      </c>
      <c r="F2515" s="92"/>
      <c r="G2515">
        <f>+IF(dHdcp[[#This Row],[Fecha]]=MAX(dHdcp[Fecha]),1,0)</f>
        <v>0</v>
      </c>
      <c r="H2515" t="str">
        <f>+dHdcp[[#This Row],[Maximo]]&amp;":"&amp;dHdcp[[#This Row],[Nombre]]</f>
        <v>0:Joaquín Sánchez</v>
      </c>
      <c r="I2515" t="str">
        <f>+dHdcp[[#This Row],[Maximo]]&amp;":"&amp;_xlfn.XLOOKUP(dHdcp[[#This Row],[Nombre]],dJugador[Nombre],dJugador[Mote],"",0)</f>
        <v>0:Joaco</v>
      </c>
      <c r="J2515" t="str">
        <f>+IF(dHdcp[[#This Row],[Maximo]]=0,"",_xlfn.RANK.EQ(dHdcp[[#This Row],[Handicap]],dHdcp[Handicap],1))</f>
        <v/>
      </c>
      <c r="K2515" t="str">
        <f>IFERROR(+_xlfn.RANK.EQ(dHdcp[[#This Row],[Ranking]],dHdcp[Ranking],1),"")</f>
        <v/>
      </c>
      <c r="M2515" t="str">
        <f>+dHdcp[[#This Row],[Fecha]]&amp;":"&amp;dHdcp[[#This Row],[Nombre]]</f>
        <v>45774:Joaquín Sánchez</v>
      </c>
      <c r="N2515">
        <f>+COUNTIF(dHdcp[Columna1],dHdcp[[#This Row],[Columna1]])</f>
        <v>1</v>
      </c>
    </row>
    <row r="2516" spans="1:14">
      <c r="A2516" s="2">
        <v>45774</v>
      </c>
      <c r="B2516" t="s">
        <v>297</v>
      </c>
      <c r="C2516" s="51">
        <v>18.5</v>
      </c>
      <c r="D2516" s="46">
        <f>+VLOOKUP(dHdcp[[#This Row],[Handicap]],'Categoría Hdcap'!$B$2:$E$7,4)</f>
        <v>4</v>
      </c>
      <c r="E2516" t="s">
        <v>74</v>
      </c>
      <c r="F2516" s="92"/>
      <c r="G2516">
        <f>+IF(dHdcp[[#This Row],[Fecha]]=MAX(dHdcp[Fecha]),1,0)</f>
        <v>0</v>
      </c>
      <c r="H2516" t="str">
        <f>+dHdcp[[#This Row],[Maximo]]&amp;":"&amp;dHdcp[[#This Row],[Nombre]]</f>
        <v>0:Jorge Alberto Martínez Sánchez</v>
      </c>
      <c r="I2516" t="str">
        <f>+dHdcp[[#This Row],[Maximo]]&amp;":"&amp;_xlfn.XLOOKUP(dHdcp[[#This Row],[Nombre]],dJugador[Nombre],dJugador[Mote],"",0)</f>
        <v>0:Jorge</v>
      </c>
      <c r="J2516" t="str">
        <f>+IF(dHdcp[[#This Row],[Maximo]]=0,"",_xlfn.RANK.EQ(dHdcp[[#This Row],[Handicap]],dHdcp[Handicap],1))</f>
        <v/>
      </c>
      <c r="K2516" t="str">
        <f>IFERROR(+_xlfn.RANK.EQ(dHdcp[[#This Row],[Ranking]],dHdcp[Ranking],1),"")</f>
        <v/>
      </c>
      <c r="M2516" t="str">
        <f>+dHdcp[[#This Row],[Fecha]]&amp;":"&amp;dHdcp[[#This Row],[Nombre]]</f>
        <v>45774:Jorge Alberto Martínez Sánchez</v>
      </c>
      <c r="N2516">
        <f>+COUNTIF(dHdcp[Columna1],dHdcp[[#This Row],[Columna1]])</f>
        <v>1</v>
      </c>
    </row>
    <row r="2517" spans="1:14">
      <c r="A2517" s="2">
        <v>45774</v>
      </c>
      <c r="B2517" t="s">
        <v>388</v>
      </c>
      <c r="C2517" s="51">
        <v>25.7</v>
      </c>
      <c r="D2517" s="46">
        <f>+VLOOKUP(dHdcp[[#This Row],[Handicap]],'Categoría Hdcap'!$B$2:$E$7,4)</f>
        <v>4</v>
      </c>
      <c r="E2517" t="s">
        <v>74</v>
      </c>
      <c r="F2517" s="92"/>
      <c r="G2517">
        <f>+IF(dHdcp[[#This Row],[Fecha]]=MAX(dHdcp[Fecha]),1,0)</f>
        <v>0</v>
      </c>
      <c r="H2517" t="str">
        <f>+dHdcp[[#This Row],[Maximo]]&amp;":"&amp;dHdcp[[#This Row],[Nombre]]</f>
        <v>0:Jose Antonio Santana</v>
      </c>
      <c r="I2517" t="str">
        <f>+dHdcp[[#This Row],[Maximo]]&amp;":"&amp;_xlfn.XLOOKUP(dHdcp[[#This Row],[Nombre]],dJugador[Nombre],dJugador[Mote],"",0)</f>
        <v>0:J Antonio</v>
      </c>
      <c r="J2517" t="str">
        <f>+IF(dHdcp[[#This Row],[Maximo]]=0,"",_xlfn.RANK.EQ(dHdcp[[#This Row],[Handicap]],dHdcp[Handicap],1))</f>
        <v/>
      </c>
      <c r="K2517" t="str">
        <f>IFERROR(+_xlfn.RANK.EQ(dHdcp[[#This Row],[Ranking]],dHdcp[Ranking],1),"")</f>
        <v/>
      </c>
      <c r="M2517" t="str">
        <f>+dHdcp[[#This Row],[Fecha]]&amp;":"&amp;dHdcp[[#This Row],[Nombre]]</f>
        <v>45774:Jose Antonio Santana</v>
      </c>
      <c r="N2517">
        <f>+COUNTIF(dHdcp[Columna1],dHdcp[[#This Row],[Columna1]])</f>
        <v>1</v>
      </c>
    </row>
    <row r="2518" spans="1:14">
      <c r="A2518" s="2">
        <v>45774</v>
      </c>
      <c r="B2518" t="s">
        <v>18</v>
      </c>
      <c r="C2518" s="51">
        <v>6.8</v>
      </c>
      <c r="D2518" s="46">
        <f>+VLOOKUP(dHdcp[[#This Row],[Handicap]],'Categoría Hdcap'!$B$2:$E$7,4)</f>
        <v>2</v>
      </c>
      <c r="E2518" t="s">
        <v>74</v>
      </c>
      <c r="F2518" s="92"/>
      <c r="G2518">
        <f>+IF(dHdcp[[#This Row],[Fecha]]=MAX(dHdcp[Fecha]),1,0)</f>
        <v>0</v>
      </c>
      <c r="H2518" t="str">
        <f>+dHdcp[[#This Row],[Maximo]]&amp;":"&amp;dHdcp[[#This Row],[Nombre]]</f>
        <v>0:José Pablo Guil</v>
      </c>
      <c r="I2518" t="str">
        <f>+dHdcp[[#This Row],[Maximo]]&amp;":"&amp;_xlfn.XLOOKUP(dHdcp[[#This Row],[Nombre]],dJugador[Nombre],dJugador[Mote],"",0)</f>
        <v>0:JP</v>
      </c>
      <c r="J2518" t="str">
        <f>+IF(dHdcp[[#This Row],[Maximo]]=0,"",_xlfn.RANK.EQ(dHdcp[[#This Row],[Handicap]],dHdcp[Handicap],1))</f>
        <v/>
      </c>
      <c r="K2518" t="str">
        <f>IFERROR(+_xlfn.RANK.EQ(dHdcp[[#This Row],[Ranking]],dHdcp[Ranking],1),"")</f>
        <v/>
      </c>
      <c r="M2518" t="str">
        <f>+dHdcp[[#This Row],[Fecha]]&amp;":"&amp;dHdcp[[#This Row],[Nombre]]</f>
        <v>45774:José Pablo Guil</v>
      </c>
      <c r="N2518">
        <f>+COUNTIF(dHdcp[Columna1],dHdcp[[#This Row],[Columna1]])</f>
        <v>1</v>
      </c>
    </row>
    <row r="2519" spans="1:14">
      <c r="A2519" s="2">
        <v>45774</v>
      </c>
      <c r="B2519" t="s">
        <v>293</v>
      </c>
      <c r="C2519" s="51">
        <v>15.1</v>
      </c>
      <c r="D2519" s="46">
        <f>+VLOOKUP(dHdcp[[#This Row],[Handicap]],'Categoría Hdcap'!$B$2:$E$7,4)</f>
        <v>3</v>
      </c>
      <c r="E2519" t="s">
        <v>74</v>
      </c>
      <c r="F2519" s="92"/>
      <c r="G2519">
        <f>+IF(dHdcp[[#This Row],[Fecha]]=MAX(dHdcp[Fecha]),1,0)</f>
        <v>0</v>
      </c>
      <c r="H2519" t="str">
        <f>+dHdcp[[#This Row],[Maximo]]&amp;":"&amp;dHdcp[[#This Row],[Nombre]]</f>
        <v>0:Juan Jose Aguado</v>
      </c>
      <c r="I2519" t="str">
        <f>+dHdcp[[#This Row],[Maximo]]&amp;":"&amp;_xlfn.XLOOKUP(dHdcp[[#This Row],[Nombre]],dJugador[Nombre],dJugador[Mote],"",0)</f>
        <v>0:Juancho</v>
      </c>
      <c r="J2519" t="str">
        <f>+IF(dHdcp[[#This Row],[Maximo]]=0,"",_xlfn.RANK.EQ(dHdcp[[#This Row],[Handicap]],dHdcp[Handicap],1))</f>
        <v/>
      </c>
      <c r="K2519" t="str">
        <f>IFERROR(+_xlfn.RANK.EQ(dHdcp[[#This Row],[Ranking]],dHdcp[Ranking],1),"")</f>
        <v/>
      </c>
      <c r="M2519" t="str">
        <f>+dHdcp[[#This Row],[Fecha]]&amp;":"&amp;dHdcp[[#This Row],[Nombre]]</f>
        <v>45774:Juan Jose Aguado</v>
      </c>
      <c r="N2519">
        <f>+COUNTIF(dHdcp[Columna1],dHdcp[[#This Row],[Columna1]])</f>
        <v>1</v>
      </c>
    </row>
    <row r="2520" spans="1:14">
      <c r="A2520" s="2">
        <v>45774</v>
      </c>
      <c r="B2520" t="s">
        <v>2516</v>
      </c>
      <c r="C2520" s="51">
        <v>16.3</v>
      </c>
      <c r="D2520" s="46">
        <f>+VLOOKUP(dHdcp[[#This Row],[Handicap]],'Categoría Hdcap'!$B$2:$E$7,4)</f>
        <v>3</v>
      </c>
      <c r="E2520" t="s">
        <v>74</v>
      </c>
      <c r="F2520" s="92"/>
      <c r="G2520">
        <f>+IF(dHdcp[[#This Row],[Fecha]]=MAX(dHdcp[Fecha]),1,0)</f>
        <v>0</v>
      </c>
      <c r="H2520" t="str">
        <f>+dHdcp[[#This Row],[Maximo]]&amp;":"&amp;dHdcp[[#This Row],[Nombre]]</f>
        <v>0:Juan Sanz</v>
      </c>
      <c r="I2520" t="str">
        <f>+dHdcp[[#This Row],[Maximo]]&amp;":"&amp;_xlfn.XLOOKUP(dHdcp[[#This Row],[Nombre]],dJugador[Nombre],dJugador[Mote],"",0)</f>
        <v>0:JuanSanz</v>
      </c>
      <c r="J2520" t="str">
        <f>+IF(dHdcp[[#This Row],[Maximo]]=0,"",_xlfn.RANK.EQ(dHdcp[[#This Row],[Handicap]],dHdcp[Handicap],1))</f>
        <v/>
      </c>
      <c r="K2520" t="str">
        <f>IFERROR(+_xlfn.RANK.EQ(dHdcp[[#This Row],[Ranking]],dHdcp[Ranking],1),"")</f>
        <v/>
      </c>
      <c r="M2520" t="str">
        <f>+dHdcp[[#This Row],[Fecha]]&amp;":"&amp;dHdcp[[#This Row],[Nombre]]</f>
        <v>45774:Juan Sanz</v>
      </c>
      <c r="N2520">
        <f>+COUNTIF(dHdcp[Columna1],dHdcp[[#This Row],[Columna1]])</f>
        <v>1</v>
      </c>
    </row>
    <row r="2521" spans="1:14">
      <c r="A2521" s="2">
        <v>45774</v>
      </c>
      <c r="B2521" t="s">
        <v>375</v>
      </c>
      <c r="C2521" s="51">
        <v>12</v>
      </c>
      <c r="D2521" s="46">
        <f>+VLOOKUP(dHdcp[[#This Row],[Handicap]],'Categoría Hdcap'!$B$2:$E$7,4)</f>
        <v>3</v>
      </c>
      <c r="E2521" t="s">
        <v>74</v>
      </c>
      <c r="F2521" s="92"/>
      <c r="G2521">
        <f>+IF(dHdcp[[#This Row],[Fecha]]=MAX(dHdcp[Fecha]),1,0)</f>
        <v>0</v>
      </c>
      <c r="H2521" t="str">
        <f>+dHdcp[[#This Row],[Maximo]]&amp;":"&amp;dHdcp[[#This Row],[Nombre]]</f>
        <v>0:Luis Fernandez</v>
      </c>
      <c r="I2521" t="str">
        <f>+dHdcp[[#This Row],[Maximo]]&amp;":"&amp;_xlfn.XLOOKUP(dHdcp[[#This Row],[Nombre]],dJugador[Nombre],dJugador[Mote],"",0)</f>
        <v>0:Luis</v>
      </c>
      <c r="J2521" t="str">
        <f>+IF(dHdcp[[#This Row],[Maximo]]=0,"",_xlfn.RANK.EQ(dHdcp[[#This Row],[Handicap]],dHdcp[Handicap],1))</f>
        <v/>
      </c>
      <c r="K2521" t="str">
        <f>IFERROR(+_xlfn.RANK.EQ(dHdcp[[#This Row],[Ranking]],dHdcp[Ranking],1),"")</f>
        <v/>
      </c>
      <c r="M2521" t="str">
        <f>+dHdcp[[#This Row],[Fecha]]&amp;":"&amp;dHdcp[[#This Row],[Nombre]]</f>
        <v>45774:Luis Fernandez</v>
      </c>
      <c r="N2521">
        <f>+COUNTIF(dHdcp[Columna1],dHdcp[[#This Row],[Columna1]])</f>
        <v>1</v>
      </c>
    </row>
    <row r="2522" spans="1:14">
      <c r="A2522" s="2">
        <v>45774</v>
      </c>
      <c r="B2522" t="s">
        <v>135</v>
      </c>
      <c r="C2522" s="51">
        <v>19.100000000000001</v>
      </c>
      <c r="D2522" s="46">
        <f>+VLOOKUP(dHdcp[[#This Row],[Handicap]],'Categoría Hdcap'!$B$2:$E$7,4)</f>
        <v>4</v>
      </c>
      <c r="E2522" t="s">
        <v>74</v>
      </c>
      <c r="F2522" s="92"/>
      <c r="G2522">
        <f>+IF(dHdcp[[#This Row],[Fecha]]=MAX(dHdcp[Fecha]),1,0)</f>
        <v>0</v>
      </c>
      <c r="H2522" t="str">
        <f>+dHdcp[[#This Row],[Maximo]]&amp;":"&amp;dHdcp[[#This Row],[Nombre]]</f>
        <v>0:Miche Lopez</v>
      </c>
      <c r="I2522" t="str">
        <f>+dHdcp[[#This Row],[Maximo]]&amp;":"&amp;_xlfn.XLOOKUP(dHdcp[[#This Row],[Nombre]],dJugador[Nombre],dJugador[Mote],"",0)</f>
        <v>0:Miche</v>
      </c>
      <c r="J2522" t="str">
        <f>+IF(dHdcp[[#This Row],[Maximo]]=0,"",_xlfn.RANK.EQ(dHdcp[[#This Row],[Handicap]],dHdcp[Handicap],1))</f>
        <v/>
      </c>
      <c r="K2522" t="str">
        <f>IFERROR(+_xlfn.RANK.EQ(dHdcp[[#This Row],[Ranking]],dHdcp[Ranking],1),"")</f>
        <v/>
      </c>
      <c r="M2522" t="str">
        <f>+dHdcp[[#This Row],[Fecha]]&amp;":"&amp;dHdcp[[#This Row],[Nombre]]</f>
        <v>45774:Miche Lopez</v>
      </c>
      <c r="N2522">
        <f>+COUNTIF(dHdcp[Columna1],dHdcp[[#This Row],[Columna1]])</f>
        <v>1</v>
      </c>
    </row>
    <row r="2523" spans="1:14">
      <c r="A2523" s="2">
        <v>45774</v>
      </c>
      <c r="B2523" t="s">
        <v>2603</v>
      </c>
      <c r="C2523" s="51">
        <v>7.8</v>
      </c>
      <c r="D2523" s="46">
        <f>+VLOOKUP(dHdcp[[#This Row],[Handicap]],'Categoría Hdcap'!$B$2:$E$7,4)</f>
        <v>2</v>
      </c>
      <c r="E2523" t="s">
        <v>74</v>
      </c>
      <c r="F2523" s="92"/>
      <c r="G2523">
        <f>+IF(dHdcp[[#This Row],[Fecha]]=MAX(dHdcp[Fecha]),1,0)</f>
        <v>0</v>
      </c>
      <c r="H2523" t="str">
        <f>+dHdcp[[#This Row],[Maximo]]&amp;":"&amp;dHdcp[[#This Row],[Nombre]]</f>
        <v>0:Miguel Angel Aguilera</v>
      </c>
      <c r="I2523" t="str">
        <f>+dHdcp[[#This Row],[Maximo]]&amp;":"&amp;_xlfn.XLOOKUP(dHdcp[[#This Row],[Nombre]],dJugador[Nombre],dJugador[Mote],"",0)</f>
        <v>0:M Angel</v>
      </c>
      <c r="J2523" t="str">
        <f>+IF(dHdcp[[#This Row],[Maximo]]=0,"",_xlfn.RANK.EQ(dHdcp[[#This Row],[Handicap]],dHdcp[Handicap],1))</f>
        <v/>
      </c>
      <c r="K2523" t="str">
        <f>IFERROR(+_xlfn.RANK.EQ(dHdcp[[#This Row],[Ranking]],dHdcp[Ranking],1),"")</f>
        <v/>
      </c>
      <c r="M2523" t="str">
        <f>+dHdcp[[#This Row],[Fecha]]&amp;":"&amp;dHdcp[[#This Row],[Nombre]]</f>
        <v>45774:Miguel Angel Aguilera</v>
      </c>
      <c r="N2523">
        <f>+COUNTIF(dHdcp[Columna1],dHdcp[[#This Row],[Columna1]])</f>
        <v>1</v>
      </c>
    </row>
    <row r="2524" spans="1:14">
      <c r="A2524" s="2">
        <v>45774</v>
      </c>
      <c r="B2524" t="s">
        <v>205</v>
      </c>
      <c r="C2524" s="51">
        <v>5.2</v>
      </c>
      <c r="D2524" s="46">
        <f>+VLOOKUP(dHdcp[[#This Row],[Handicap]],'Categoría Hdcap'!$B$2:$E$7,4)</f>
        <v>2</v>
      </c>
      <c r="E2524" t="s">
        <v>74</v>
      </c>
      <c r="F2524" s="92"/>
      <c r="G2524">
        <f>+IF(dHdcp[[#This Row],[Fecha]]=MAX(dHdcp[Fecha]),1,0)</f>
        <v>0</v>
      </c>
      <c r="H2524" t="str">
        <f>+dHdcp[[#This Row],[Maximo]]&amp;":"&amp;dHdcp[[#This Row],[Nombre]]</f>
        <v>0:Nacho Casas</v>
      </c>
      <c r="I2524" t="str">
        <f>+dHdcp[[#This Row],[Maximo]]&amp;":"&amp;_xlfn.XLOOKUP(dHdcp[[#This Row],[Nombre]],dJugador[Nombre],dJugador[Mote],"",0)</f>
        <v>0:Nachete</v>
      </c>
      <c r="J2524" t="str">
        <f>+IF(dHdcp[[#This Row],[Maximo]]=0,"",_xlfn.RANK.EQ(dHdcp[[#This Row],[Handicap]],dHdcp[Handicap],1))</f>
        <v/>
      </c>
      <c r="K2524" t="str">
        <f>IFERROR(+_xlfn.RANK.EQ(dHdcp[[#This Row],[Ranking]],dHdcp[Ranking],1),"")</f>
        <v/>
      </c>
      <c r="M2524" t="str">
        <f>+dHdcp[[#This Row],[Fecha]]&amp;":"&amp;dHdcp[[#This Row],[Nombre]]</f>
        <v>45774:Nacho Casas</v>
      </c>
      <c r="N2524">
        <f>+COUNTIF(dHdcp[Columna1],dHdcp[[#This Row],[Columna1]])</f>
        <v>1</v>
      </c>
    </row>
    <row r="2525" spans="1:14">
      <c r="A2525" s="2">
        <v>45774</v>
      </c>
      <c r="B2525" t="s">
        <v>3</v>
      </c>
      <c r="C2525" s="51">
        <v>4.7</v>
      </c>
      <c r="D2525" s="46">
        <f>+VLOOKUP(dHdcp[[#This Row],[Handicap]],'Categoría Hdcap'!$B$2:$E$7,4)</f>
        <v>2</v>
      </c>
      <c r="E2525" t="s">
        <v>74</v>
      </c>
      <c r="F2525" s="92"/>
      <c r="G2525">
        <f>+IF(dHdcp[[#This Row],[Fecha]]=MAX(dHdcp[Fecha]),1,0)</f>
        <v>0</v>
      </c>
      <c r="H2525" t="str">
        <f>+dHdcp[[#This Row],[Maximo]]&amp;":"&amp;dHdcp[[#This Row],[Nombre]]</f>
        <v>0:Nacho Gonzalez</v>
      </c>
      <c r="I2525" t="str">
        <f>+dHdcp[[#This Row],[Maximo]]&amp;":"&amp;_xlfn.XLOOKUP(dHdcp[[#This Row],[Nombre]],dJugador[Nombre],dJugador[Mote],"",0)</f>
        <v>0:Nacho</v>
      </c>
      <c r="J2525" t="str">
        <f>+IF(dHdcp[[#This Row],[Maximo]]=0,"",_xlfn.RANK.EQ(dHdcp[[#This Row],[Handicap]],dHdcp[Handicap],1))</f>
        <v/>
      </c>
      <c r="K2525" t="str">
        <f>IFERROR(+_xlfn.RANK.EQ(dHdcp[[#This Row],[Ranking]],dHdcp[Ranking],1),"")</f>
        <v/>
      </c>
      <c r="M2525" t="str">
        <f>+dHdcp[[#This Row],[Fecha]]&amp;":"&amp;dHdcp[[#This Row],[Nombre]]</f>
        <v>45774:Nacho Gonzalez</v>
      </c>
      <c r="N2525">
        <f>+COUNTIF(dHdcp[Columna1],dHdcp[[#This Row],[Columna1]])</f>
        <v>1</v>
      </c>
    </row>
    <row r="2526" spans="1:14">
      <c r="A2526" s="2">
        <v>45774</v>
      </c>
      <c r="B2526" t="s">
        <v>203</v>
      </c>
      <c r="C2526" s="51">
        <v>17.899999999999999</v>
      </c>
      <c r="D2526" s="46">
        <f>+VLOOKUP(dHdcp[[#This Row],[Handicap]],'Categoría Hdcap'!$B$2:$E$7,4)</f>
        <v>3</v>
      </c>
      <c r="E2526" t="s">
        <v>74</v>
      </c>
      <c r="F2526" s="92"/>
      <c r="G2526">
        <f>+IF(dHdcp[[#This Row],[Fecha]]=MAX(dHdcp[Fecha]),1,0)</f>
        <v>0</v>
      </c>
      <c r="H2526" t="str">
        <f>+dHdcp[[#This Row],[Maximo]]&amp;":"&amp;dHdcp[[#This Row],[Nombre]]</f>
        <v>0:Ruslan Kochman</v>
      </c>
      <c r="I2526" t="str">
        <f>+dHdcp[[#This Row],[Maximo]]&amp;":"&amp;_xlfn.XLOOKUP(dHdcp[[#This Row],[Nombre]],dJugador[Nombre],dJugador[Mote],"",0)</f>
        <v>0:Rus</v>
      </c>
      <c r="J2526" t="str">
        <f>+IF(dHdcp[[#This Row],[Maximo]]=0,"",_xlfn.RANK.EQ(dHdcp[[#This Row],[Handicap]],dHdcp[Handicap],1))</f>
        <v/>
      </c>
      <c r="K2526" t="str">
        <f>IFERROR(+_xlfn.RANK.EQ(dHdcp[[#This Row],[Ranking]],dHdcp[Ranking],1),"")</f>
        <v/>
      </c>
      <c r="M2526" t="str">
        <f>+dHdcp[[#This Row],[Fecha]]&amp;":"&amp;dHdcp[[#This Row],[Nombre]]</f>
        <v>45774:Ruslan Kochman</v>
      </c>
      <c r="N2526">
        <f>+COUNTIF(dHdcp[Columna1],dHdcp[[#This Row],[Columna1]])</f>
        <v>1</v>
      </c>
    </row>
    <row r="2527" spans="1:14">
      <c r="A2527" s="2">
        <v>45774</v>
      </c>
      <c r="B2527" t="s">
        <v>271</v>
      </c>
      <c r="C2527" s="51">
        <v>16.399999999999999</v>
      </c>
      <c r="D2527" s="46">
        <f>+VLOOKUP(dHdcp[[#This Row],[Handicap]],'Categoría Hdcap'!$B$2:$E$7,4)</f>
        <v>3</v>
      </c>
      <c r="E2527" t="s">
        <v>74</v>
      </c>
      <c r="F2527" s="92"/>
      <c r="G2527">
        <f>+IF(dHdcp[[#This Row],[Fecha]]=MAX(dHdcp[Fecha]),1,0)</f>
        <v>0</v>
      </c>
      <c r="H2527" t="str">
        <f>+dHdcp[[#This Row],[Maximo]]&amp;":"&amp;dHdcp[[#This Row],[Nombre]]</f>
        <v>0:Santi Diaz</v>
      </c>
      <c r="I2527" t="str">
        <f>+dHdcp[[#This Row],[Maximo]]&amp;":"&amp;_xlfn.XLOOKUP(dHdcp[[#This Row],[Nombre]],dJugador[Nombre],dJugador[Mote],"",0)</f>
        <v>0:Santi</v>
      </c>
      <c r="J2527" t="str">
        <f>+IF(dHdcp[[#This Row],[Maximo]]=0,"",_xlfn.RANK.EQ(dHdcp[[#This Row],[Handicap]],dHdcp[Handicap],1))</f>
        <v/>
      </c>
      <c r="K2527" t="str">
        <f>IFERROR(+_xlfn.RANK.EQ(dHdcp[[#This Row],[Ranking]],dHdcp[Ranking],1),"")</f>
        <v/>
      </c>
      <c r="M2527" t="str">
        <f>+dHdcp[[#This Row],[Fecha]]&amp;":"&amp;dHdcp[[#This Row],[Nombre]]</f>
        <v>45774:Santi Diaz</v>
      </c>
      <c r="N2527">
        <f>+COUNTIF(dHdcp[Columna1],dHdcp[[#This Row],[Columna1]])</f>
        <v>1</v>
      </c>
    </row>
    <row r="2528" spans="1:14">
      <c r="A2528" s="2">
        <v>45774</v>
      </c>
      <c r="B2528" t="s">
        <v>2473</v>
      </c>
      <c r="C2528" s="51">
        <v>14.2</v>
      </c>
      <c r="D2528" s="46">
        <f>+VLOOKUP(dHdcp[[#This Row],[Handicap]],'Categoría Hdcap'!$B$2:$E$7,4)</f>
        <v>3</v>
      </c>
      <c r="E2528" t="s">
        <v>74</v>
      </c>
      <c r="F2528" s="92"/>
      <c r="G2528">
        <f>+IF(dHdcp[[#This Row],[Fecha]]=MAX(dHdcp[Fecha]),1,0)</f>
        <v>0</v>
      </c>
      <c r="H2528" t="str">
        <f>+dHdcp[[#This Row],[Maximo]]&amp;":"&amp;dHdcp[[#This Row],[Nombre]]</f>
        <v>0:Thomas Dauterman</v>
      </c>
      <c r="I2528" t="str">
        <f>+dHdcp[[#This Row],[Maximo]]&amp;":"&amp;_xlfn.XLOOKUP(dHdcp[[#This Row],[Nombre]],dJugador[Nombre],dJugador[Mote],"",0)</f>
        <v>0:Tom</v>
      </c>
      <c r="J2528" t="str">
        <f>+IF(dHdcp[[#This Row],[Maximo]]=0,"",_xlfn.RANK.EQ(dHdcp[[#This Row],[Handicap]],dHdcp[Handicap],1))</f>
        <v/>
      </c>
      <c r="K2528" t="str">
        <f>IFERROR(+_xlfn.RANK.EQ(dHdcp[[#This Row],[Ranking]],dHdcp[Ranking],1),"")</f>
        <v/>
      </c>
      <c r="M2528" t="str">
        <f>+dHdcp[[#This Row],[Fecha]]&amp;":"&amp;dHdcp[[#This Row],[Nombre]]</f>
        <v>45774:Thomas Dauterman</v>
      </c>
      <c r="N2528">
        <f>+COUNTIF(dHdcp[Columna1],dHdcp[[#This Row],[Columna1]])</f>
        <v>1</v>
      </c>
    </row>
    <row r="2529" spans="1:14">
      <c r="A2529" s="2">
        <v>45774</v>
      </c>
      <c r="B2529" t="s">
        <v>2625</v>
      </c>
      <c r="C2529" s="51">
        <v>18.600000000000001</v>
      </c>
      <c r="D2529" s="46">
        <f>+VLOOKUP(dHdcp[[#This Row],[Handicap]],'Categoría Hdcap'!$B$2:$E$7,4)</f>
        <v>4</v>
      </c>
      <c r="E2529" t="s">
        <v>74</v>
      </c>
      <c r="F2529" s="92"/>
      <c r="G2529">
        <f>+IF(dHdcp[[#This Row],[Fecha]]=MAX(dHdcp[Fecha]),1,0)</f>
        <v>0</v>
      </c>
      <c r="H2529" t="str">
        <f>+dHdcp[[#This Row],[Maximo]]&amp;":"&amp;dHdcp[[#This Row],[Nombre]]</f>
        <v>0:Victor Morillo</v>
      </c>
      <c r="I2529" t="str">
        <f>+dHdcp[[#This Row],[Maximo]]&amp;":"&amp;_xlfn.XLOOKUP(dHdcp[[#This Row],[Nombre]],dJugador[Nombre],dJugador[Mote],"",0)</f>
        <v>0:Victor</v>
      </c>
      <c r="J2529" t="str">
        <f>+IF(dHdcp[[#This Row],[Maximo]]=0,"",_xlfn.RANK.EQ(dHdcp[[#This Row],[Handicap]],dHdcp[Handicap],1))</f>
        <v/>
      </c>
      <c r="K2529" t="str">
        <f>IFERROR(+_xlfn.RANK.EQ(dHdcp[[#This Row],[Ranking]],dHdcp[Ranking],1),"")</f>
        <v/>
      </c>
      <c r="M2529" t="str">
        <f>+dHdcp[[#This Row],[Fecha]]&amp;":"&amp;dHdcp[[#This Row],[Nombre]]</f>
        <v>45774:Victor Morillo</v>
      </c>
      <c r="N2529">
        <f>+COUNTIF(dHdcp[Columna1],dHdcp[[#This Row],[Columna1]])</f>
        <v>1</v>
      </c>
    </row>
    <row r="2530" spans="1:14">
      <c r="A2530" s="2">
        <v>45794</v>
      </c>
      <c r="B2530" t="s">
        <v>259</v>
      </c>
      <c r="C2530" s="51">
        <v>0.6</v>
      </c>
      <c r="D2530" s="46">
        <f>+VLOOKUP(dHdcp[[#This Row],[Handicap]],'Categoría Hdcap'!$B$2:$E$7,4)</f>
        <v>1</v>
      </c>
      <c r="E2530" t="s">
        <v>74</v>
      </c>
      <c r="F2530" s="92"/>
      <c r="G2530">
        <f>+IF(dHdcp[[#This Row],[Fecha]]=MAX(dHdcp[Fecha]),1,0)</f>
        <v>0</v>
      </c>
      <c r="H2530" t="str">
        <f>+dHdcp[[#This Row],[Maximo]]&amp;":"&amp;dHdcp[[#This Row],[Nombre]]</f>
        <v>0:Alejandro Arcos</v>
      </c>
      <c r="I2530" t="str">
        <f>+dHdcp[[#This Row],[Maximo]]&amp;":"&amp;_xlfn.XLOOKUP(dHdcp[[#This Row],[Nombre]],dJugador[Nombre],dJugador[Mote],"",0)</f>
        <v>0:Alex</v>
      </c>
      <c r="J2530" t="str">
        <f>+IF(dHdcp[[#This Row],[Maximo]]=0,"",_xlfn.RANK.EQ(dHdcp[[#This Row],[Handicap]],dHdcp[Handicap],1))</f>
        <v/>
      </c>
      <c r="K2530" t="str">
        <f>IFERROR(+_xlfn.RANK.EQ(dHdcp[[#This Row],[Ranking]],dHdcp[Ranking],1),"")</f>
        <v/>
      </c>
      <c r="M2530" t="str">
        <f>+dHdcp[[#This Row],[Fecha]]&amp;":"&amp;dHdcp[[#This Row],[Nombre]]</f>
        <v>45794:Alejandro Arcos</v>
      </c>
      <c r="N2530">
        <f>+COUNTIF(dHdcp[Columna1],dHdcp[[#This Row],[Columna1]])</f>
        <v>1</v>
      </c>
    </row>
    <row r="2531" spans="1:14">
      <c r="A2531" s="2">
        <v>45794</v>
      </c>
      <c r="B2531" t="s">
        <v>9</v>
      </c>
      <c r="C2531" s="51">
        <v>11.6</v>
      </c>
      <c r="D2531" s="46">
        <f>+VLOOKUP(dHdcp[[#This Row],[Handicap]],'Categoría Hdcap'!$B$2:$E$7,4)</f>
        <v>3</v>
      </c>
      <c r="E2531" t="s">
        <v>74</v>
      </c>
      <c r="F2531" s="92"/>
      <c r="G2531">
        <f>+IF(dHdcp[[#This Row],[Fecha]]=MAX(dHdcp[Fecha]),1,0)</f>
        <v>0</v>
      </c>
      <c r="H2531" t="str">
        <f>+dHdcp[[#This Row],[Maximo]]&amp;":"&amp;dHdcp[[#This Row],[Nombre]]</f>
        <v>0:Alfonso Hidalgo</v>
      </c>
      <c r="I2531" t="str">
        <f>+dHdcp[[#This Row],[Maximo]]&amp;":"&amp;_xlfn.XLOOKUP(dHdcp[[#This Row],[Nombre]],dJugador[Nombre],dJugador[Mote],"",0)</f>
        <v>0:Alfonso</v>
      </c>
      <c r="J2531" t="str">
        <f>+IF(dHdcp[[#This Row],[Maximo]]=0,"",_xlfn.RANK.EQ(dHdcp[[#This Row],[Handicap]],dHdcp[Handicap],1))</f>
        <v/>
      </c>
      <c r="K2531" t="str">
        <f>IFERROR(+_xlfn.RANK.EQ(dHdcp[[#This Row],[Ranking]],dHdcp[Ranking],1),"")</f>
        <v/>
      </c>
      <c r="M2531" t="str">
        <f>+dHdcp[[#This Row],[Fecha]]&amp;":"&amp;dHdcp[[#This Row],[Nombre]]</f>
        <v>45794:Alfonso Hidalgo</v>
      </c>
      <c r="N2531">
        <f>+COUNTIF(dHdcp[Columna1],dHdcp[[#This Row],[Columna1]])</f>
        <v>1</v>
      </c>
    </row>
    <row r="2532" spans="1:14">
      <c r="A2532" s="2">
        <v>45794</v>
      </c>
      <c r="B2532" t="s">
        <v>15</v>
      </c>
      <c r="C2532" s="51">
        <v>6.4</v>
      </c>
      <c r="D2532" s="46">
        <f>+VLOOKUP(dHdcp[[#This Row],[Handicap]],'Categoría Hdcap'!$B$2:$E$7,4)</f>
        <v>2</v>
      </c>
      <c r="E2532" t="s">
        <v>74</v>
      </c>
      <c r="F2532" s="92"/>
      <c r="G2532">
        <f>+IF(dHdcp[[#This Row],[Fecha]]=MAX(dHdcp[Fecha]),1,0)</f>
        <v>0</v>
      </c>
      <c r="H2532" t="str">
        <f>+dHdcp[[#This Row],[Maximo]]&amp;":"&amp;dHdcp[[#This Row],[Nombre]]</f>
        <v>0:Alvaro Aguirre</v>
      </c>
      <c r="I2532" t="str">
        <f>+dHdcp[[#This Row],[Maximo]]&amp;":"&amp;_xlfn.XLOOKUP(dHdcp[[#This Row],[Nombre]],dJugador[Nombre],dJugador[Mote],"",0)</f>
        <v>0:Gifu</v>
      </c>
      <c r="J2532" t="str">
        <f>+IF(dHdcp[[#This Row],[Maximo]]=0,"",_xlfn.RANK.EQ(dHdcp[[#This Row],[Handicap]],dHdcp[Handicap],1))</f>
        <v/>
      </c>
      <c r="K2532" t="str">
        <f>IFERROR(+_xlfn.RANK.EQ(dHdcp[[#This Row],[Ranking]],dHdcp[Ranking],1),"")</f>
        <v/>
      </c>
      <c r="M2532" t="str">
        <f>+dHdcp[[#This Row],[Fecha]]&amp;":"&amp;dHdcp[[#This Row],[Nombre]]</f>
        <v>45794:Alvaro Aguirre</v>
      </c>
      <c r="N2532">
        <f>+COUNTIF(dHdcp[Columna1],dHdcp[[#This Row],[Columna1]])</f>
        <v>1</v>
      </c>
    </row>
    <row r="2533" spans="1:14">
      <c r="A2533" s="2">
        <v>45794</v>
      </c>
      <c r="B2533" t="s">
        <v>201</v>
      </c>
      <c r="C2533" s="51">
        <v>8.6</v>
      </c>
      <c r="D2533" s="46">
        <f>+VLOOKUP(dHdcp[[#This Row],[Handicap]],'Categoría Hdcap'!$B$2:$E$7,4)</f>
        <v>2</v>
      </c>
      <c r="E2533" t="s">
        <v>74</v>
      </c>
      <c r="F2533" s="92"/>
      <c r="G2533">
        <f>+IF(dHdcp[[#This Row],[Fecha]]=MAX(dHdcp[Fecha]),1,0)</f>
        <v>0</v>
      </c>
      <c r="H2533" t="str">
        <f>+dHdcp[[#This Row],[Maximo]]&amp;":"&amp;dHdcp[[#This Row],[Nombre]]</f>
        <v>0:Alvaro Montoya</v>
      </c>
      <c r="I2533" t="str">
        <f>+dHdcp[[#This Row],[Maximo]]&amp;":"&amp;_xlfn.XLOOKUP(dHdcp[[#This Row],[Nombre]],dJugador[Nombre],dJugador[Mote],"",0)</f>
        <v>0:Monti</v>
      </c>
      <c r="J2533" t="str">
        <f>+IF(dHdcp[[#This Row],[Maximo]]=0,"",_xlfn.RANK.EQ(dHdcp[[#This Row],[Handicap]],dHdcp[Handicap],1))</f>
        <v/>
      </c>
      <c r="K2533" t="str">
        <f>IFERROR(+_xlfn.RANK.EQ(dHdcp[[#This Row],[Ranking]],dHdcp[Ranking],1),"")</f>
        <v/>
      </c>
      <c r="M2533" t="str">
        <f>+dHdcp[[#This Row],[Fecha]]&amp;":"&amp;dHdcp[[#This Row],[Nombre]]</f>
        <v>45794:Alvaro Montoya</v>
      </c>
      <c r="N2533">
        <f>+COUNTIF(dHdcp[Columna1],dHdcp[[#This Row],[Columna1]])</f>
        <v>1</v>
      </c>
    </row>
    <row r="2534" spans="1:14">
      <c r="A2534" s="2">
        <v>45794</v>
      </c>
      <c r="B2534" t="s">
        <v>25</v>
      </c>
      <c r="C2534" s="51">
        <v>15.2</v>
      </c>
      <c r="D2534" s="46">
        <f>+VLOOKUP(dHdcp[[#This Row],[Handicap]],'Categoría Hdcap'!$B$2:$E$7,4)</f>
        <v>3</v>
      </c>
      <c r="E2534" t="s">
        <v>74</v>
      </c>
      <c r="F2534" s="92"/>
      <c r="G2534">
        <f>+IF(dHdcp[[#This Row],[Fecha]]=MAX(dHdcp[Fecha]),1,0)</f>
        <v>0</v>
      </c>
      <c r="H2534" t="str">
        <f>+dHdcp[[#This Row],[Maximo]]&amp;":"&amp;dHdcp[[#This Row],[Nombre]]</f>
        <v>0:Alvaro Nieto</v>
      </c>
      <c r="I2534" t="str">
        <f>+dHdcp[[#This Row],[Maximo]]&amp;":"&amp;_xlfn.XLOOKUP(dHdcp[[#This Row],[Nombre]],dJugador[Nombre],dJugador[Mote],"",0)</f>
        <v>0:Alvaro</v>
      </c>
      <c r="J2534" t="str">
        <f>+IF(dHdcp[[#This Row],[Maximo]]=0,"",_xlfn.RANK.EQ(dHdcp[[#This Row],[Handicap]],dHdcp[Handicap],1))</f>
        <v/>
      </c>
      <c r="K2534" t="str">
        <f>IFERROR(+_xlfn.RANK.EQ(dHdcp[[#This Row],[Ranking]],dHdcp[Ranking],1),"")</f>
        <v/>
      </c>
      <c r="M2534" t="str">
        <f>+dHdcp[[#This Row],[Fecha]]&amp;":"&amp;dHdcp[[#This Row],[Nombre]]</f>
        <v>45794:Alvaro Nieto</v>
      </c>
      <c r="N2534">
        <f>+COUNTIF(dHdcp[Columna1],dHdcp[[#This Row],[Columna1]])</f>
        <v>1</v>
      </c>
    </row>
    <row r="2535" spans="1:14">
      <c r="A2535" s="2">
        <v>45794</v>
      </c>
      <c r="B2535" t="s">
        <v>33</v>
      </c>
      <c r="C2535" s="51">
        <v>8.1999999999999993</v>
      </c>
      <c r="D2535" s="46">
        <f>+VLOOKUP(dHdcp[[#This Row],[Handicap]],'Categoría Hdcap'!$B$2:$E$7,4)</f>
        <v>2</v>
      </c>
      <c r="E2535" t="s">
        <v>74</v>
      </c>
      <c r="F2535" s="92"/>
      <c r="G2535">
        <f>+IF(dHdcp[[#This Row],[Fecha]]=MAX(dHdcp[Fecha]),1,0)</f>
        <v>0</v>
      </c>
      <c r="H2535" t="str">
        <f>+dHdcp[[#This Row],[Maximo]]&amp;":"&amp;dHdcp[[#This Row],[Nombre]]</f>
        <v>0:Angel Hernandez</v>
      </c>
      <c r="I2535" t="str">
        <f>+dHdcp[[#This Row],[Maximo]]&amp;":"&amp;_xlfn.XLOOKUP(dHdcp[[#This Row],[Nombre]],dJugador[Nombre],dJugador[Mote],"",0)</f>
        <v>0:Angel</v>
      </c>
      <c r="J2535" t="str">
        <f>+IF(dHdcp[[#This Row],[Maximo]]=0,"",_xlfn.RANK.EQ(dHdcp[[#This Row],[Handicap]],dHdcp[Handicap],1))</f>
        <v/>
      </c>
      <c r="K2535" t="str">
        <f>IFERROR(+_xlfn.RANK.EQ(dHdcp[[#This Row],[Ranking]],dHdcp[Ranking],1),"")</f>
        <v/>
      </c>
      <c r="M2535" t="str">
        <f>+dHdcp[[#This Row],[Fecha]]&amp;":"&amp;dHdcp[[#This Row],[Nombre]]</f>
        <v>45794:Angel Hernandez</v>
      </c>
      <c r="N2535">
        <f>+COUNTIF(dHdcp[Columna1],dHdcp[[#This Row],[Columna1]])</f>
        <v>1</v>
      </c>
    </row>
    <row r="2536" spans="1:14">
      <c r="A2536" s="2">
        <v>45794</v>
      </c>
      <c r="B2536" t="s">
        <v>2469</v>
      </c>
      <c r="C2536" s="51">
        <v>6.1</v>
      </c>
      <c r="D2536" s="46">
        <f>+VLOOKUP(dHdcp[[#This Row],[Handicap]],'Categoría Hdcap'!$B$2:$E$7,4)</f>
        <v>2</v>
      </c>
      <c r="E2536" t="s">
        <v>74</v>
      </c>
      <c r="F2536" s="92"/>
      <c r="G2536">
        <f>+IF(dHdcp[[#This Row],[Fecha]]=MAX(dHdcp[Fecha]),1,0)</f>
        <v>0</v>
      </c>
      <c r="H2536" t="str">
        <f>+dHdcp[[#This Row],[Maximo]]&amp;":"&amp;dHdcp[[#This Row],[Nombre]]</f>
        <v>0:Angel Santana</v>
      </c>
      <c r="I2536" t="str">
        <f>+dHdcp[[#This Row],[Maximo]]&amp;":"&amp;_xlfn.XLOOKUP(dHdcp[[#This Row],[Nombre]],dJugador[Nombre],dJugador[Mote],"",0)</f>
        <v>0:A.Santana</v>
      </c>
      <c r="J2536" t="str">
        <f>+IF(dHdcp[[#This Row],[Maximo]]=0,"",_xlfn.RANK.EQ(dHdcp[[#This Row],[Handicap]],dHdcp[Handicap],1))</f>
        <v/>
      </c>
      <c r="K2536" t="str">
        <f>IFERROR(+_xlfn.RANK.EQ(dHdcp[[#This Row],[Ranking]],dHdcp[Ranking],1),"")</f>
        <v/>
      </c>
      <c r="M2536" t="str">
        <f>+dHdcp[[#This Row],[Fecha]]&amp;":"&amp;dHdcp[[#This Row],[Nombre]]</f>
        <v>45794:Angel Santana</v>
      </c>
      <c r="N2536">
        <f>+COUNTIF(dHdcp[Columna1],dHdcp[[#This Row],[Columna1]])</f>
        <v>1</v>
      </c>
    </row>
    <row r="2537" spans="1:14">
      <c r="A2537" s="2">
        <v>45794</v>
      </c>
      <c r="B2537" t="s">
        <v>264</v>
      </c>
      <c r="C2537" s="51">
        <v>18.899999999999999</v>
      </c>
      <c r="D2537" s="46">
        <f>+VLOOKUP(dHdcp[[#This Row],[Handicap]],'Categoría Hdcap'!$B$2:$E$7,4)</f>
        <v>4</v>
      </c>
      <c r="E2537" t="s">
        <v>74</v>
      </c>
      <c r="F2537" s="92"/>
      <c r="G2537">
        <f>+IF(dHdcp[[#This Row],[Fecha]]=MAX(dHdcp[Fecha]),1,0)</f>
        <v>0</v>
      </c>
      <c r="H2537" t="str">
        <f>+dHdcp[[#This Row],[Maximo]]&amp;":"&amp;dHdcp[[#This Row],[Nombre]]</f>
        <v>0:Antonio Carmona</v>
      </c>
      <c r="I2537" t="str">
        <f>+dHdcp[[#This Row],[Maximo]]&amp;":"&amp;_xlfn.XLOOKUP(dHdcp[[#This Row],[Nombre]],dJugador[Nombre],dJugador[Mote],"",0)</f>
        <v>0:Antonio</v>
      </c>
      <c r="J2537" t="str">
        <f>+IF(dHdcp[[#This Row],[Maximo]]=0,"",_xlfn.RANK.EQ(dHdcp[[#This Row],[Handicap]],dHdcp[Handicap],1))</f>
        <v/>
      </c>
      <c r="K2537" t="str">
        <f>IFERROR(+_xlfn.RANK.EQ(dHdcp[[#This Row],[Ranking]],dHdcp[Ranking],1),"")</f>
        <v/>
      </c>
      <c r="M2537" t="str">
        <f>+dHdcp[[#This Row],[Fecha]]&amp;":"&amp;dHdcp[[#This Row],[Nombre]]</f>
        <v>45794:Antonio Carmona</v>
      </c>
      <c r="N2537">
        <f>+COUNTIF(dHdcp[Columna1],dHdcp[[#This Row],[Columna1]])</f>
        <v>1</v>
      </c>
    </row>
    <row r="2538" spans="1:14">
      <c r="A2538" s="2">
        <v>45794</v>
      </c>
      <c r="B2538" t="s">
        <v>291</v>
      </c>
      <c r="C2538" s="51">
        <v>1.6</v>
      </c>
      <c r="D2538" s="46">
        <f>+VLOOKUP(dHdcp[[#This Row],[Handicap]],'Categoría Hdcap'!$B$2:$E$7,4)</f>
        <v>1</v>
      </c>
      <c r="E2538" t="s">
        <v>74</v>
      </c>
      <c r="F2538" s="92"/>
      <c r="G2538">
        <f>+IF(dHdcp[[#This Row],[Fecha]]=MAX(dHdcp[Fecha]),1,0)</f>
        <v>0</v>
      </c>
      <c r="H2538" t="str">
        <f>+dHdcp[[#This Row],[Maximo]]&amp;":"&amp;dHdcp[[#This Row],[Nombre]]</f>
        <v>0:Carlos Maestro</v>
      </c>
      <c r="I2538" t="str">
        <f>+dHdcp[[#This Row],[Maximo]]&amp;":"&amp;_xlfn.XLOOKUP(dHdcp[[#This Row],[Nombre]],dJugador[Nombre],dJugador[Mote],"",0)</f>
        <v>0:Carlitos</v>
      </c>
      <c r="J2538" t="str">
        <f>+IF(dHdcp[[#This Row],[Maximo]]=0,"",_xlfn.RANK.EQ(dHdcp[[#This Row],[Handicap]],dHdcp[Handicap],1))</f>
        <v/>
      </c>
      <c r="K2538" t="str">
        <f>IFERROR(+_xlfn.RANK.EQ(dHdcp[[#This Row],[Ranking]],dHdcp[Ranking],1),"")</f>
        <v/>
      </c>
      <c r="M2538" t="str">
        <f>+dHdcp[[#This Row],[Fecha]]&amp;":"&amp;dHdcp[[#This Row],[Nombre]]</f>
        <v>45794:Carlos Maestro</v>
      </c>
      <c r="N2538">
        <f>+COUNTIF(dHdcp[Columna1],dHdcp[[#This Row],[Columna1]])</f>
        <v>1</v>
      </c>
    </row>
    <row r="2539" spans="1:14">
      <c r="A2539" s="2">
        <v>45794</v>
      </c>
      <c r="B2539" t="s">
        <v>30</v>
      </c>
      <c r="C2539" s="51">
        <v>14.2</v>
      </c>
      <c r="D2539" s="46">
        <f>+VLOOKUP(dHdcp[[#This Row],[Handicap]],'Categoría Hdcap'!$B$2:$E$7,4)</f>
        <v>3</v>
      </c>
      <c r="E2539" t="s">
        <v>74</v>
      </c>
      <c r="F2539" s="92"/>
      <c r="G2539">
        <f>+IF(dHdcp[[#This Row],[Fecha]]=MAX(dHdcp[Fecha]),1,0)</f>
        <v>0</v>
      </c>
      <c r="H2539" t="str">
        <f>+dHdcp[[#This Row],[Maximo]]&amp;":"&amp;dHdcp[[#This Row],[Nombre]]</f>
        <v>0:David Sequera</v>
      </c>
      <c r="I2539" t="str">
        <f>+dHdcp[[#This Row],[Maximo]]&amp;":"&amp;_xlfn.XLOOKUP(dHdcp[[#This Row],[Nombre]],dJugador[Nombre],dJugador[Mote],"",0)</f>
        <v>0:David</v>
      </c>
      <c r="J2539" t="str">
        <f>+IF(dHdcp[[#This Row],[Maximo]]=0,"",_xlfn.RANK.EQ(dHdcp[[#This Row],[Handicap]],dHdcp[Handicap],1))</f>
        <v/>
      </c>
      <c r="K2539" t="str">
        <f>IFERROR(+_xlfn.RANK.EQ(dHdcp[[#This Row],[Ranking]],dHdcp[Ranking],1),"")</f>
        <v/>
      </c>
      <c r="M2539" t="str">
        <f>+dHdcp[[#This Row],[Fecha]]&amp;":"&amp;dHdcp[[#This Row],[Nombre]]</f>
        <v>45794:David Sequera</v>
      </c>
      <c r="N2539">
        <f>+COUNTIF(dHdcp[Columna1],dHdcp[[#This Row],[Columna1]])</f>
        <v>1</v>
      </c>
    </row>
    <row r="2540" spans="1:14">
      <c r="A2540" s="2">
        <v>45794</v>
      </c>
      <c r="B2540" t="s">
        <v>326</v>
      </c>
      <c r="C2540" s="51">
        <v>8.4</v>
      </c>
      <c r="D2540" s="46">
        <f>+VLOOKUP(dHdcp[[#This Row],[Handicap]],'Categoría Hdcap'!$B$2:$E$7,4)</f>
        <v>2</v>
      </c>
      <c r="E2540" t="s">
        <v>74</v>
      </c>
      <c r="F2540" s="92"/>
      <c r="G2540">
        <f>+IF(dHdcp[[#This Row],[Fecha]]=MAX(dHdcp[Fecha]),1,0)</f>
        <v>0</v>
      </c>
      <c r="H2540" t="str">
        <f>+dHdcp[[#This Row],[Maximo]]&amp;":"&amp;dHdcp[[#This Row],[Nombre]]</f>
        <v>0:Eduardo Buendía</v>
      </c>
      <c r="I2540" t="str">
        <f>+dHdcp[[#This Row],[Maximo]]&amp;":"&amp;_xlfn.XLOOKUP(dHdcp[[#This Row],[Nombre]],dJugador[Nombre],dJugador[Mote],"",0)</f>
        <v>0:Eduardo</v>
      </c>
      <c r="J2540" t="str">
        <f>+IF(dHdcp[[#This Row],[Maximo]]=0,"",_xlfn.RANK.EQ(dHdcp[[#This Row],[Handicap]],dHdcp[Handicap],1))</f>
        <v/>
      </c>
      <c r="K2540" t="str">
        <f>IFERROR(+_xlfn.RANK.EQ(dHdcp[[#This Row],[Ranking]],dHdcp[Ranking],1),"")</f>
        <v/>
      </c>
      <c r="M2540" t="str">
        <f>+dHdcp[[#This Row],[Fecha]]&amp;":"&amp;dHdcp[[#This Row],[Nombre]]</f>
        <v>45794:Eduardo Buendía</v>
      </c>
      <c r="N2540">
        <f>+COUNTIF(dHdcp[Columna1],dHdcp[[#This Row],[Columna1]])</f>
        <v>1</v>
      </c>
    </row>
    <row r="2541" spans="1:14">
      <c r="A2541" s="2">
        <v>45794</v>
      </c>
      <c r="B2541" t="s">
        <v>248</v>
      </c>
      <c r="C2541" s="51">
        <v>13.4</v>
      </c>
      <c r="D2541" s="46">
        <f>+VLOOKUP(dHdcp[[#This Row],[Handicap]],'Categoría Hdcap'!$B$2:$E$7,4)</f>
        <v>3</v>
      </c>
      <c r="E2541" t="s">
        <v>74</v>
      </c>
      <c r="F2541" s="92"/>
      <c r="G2541">
        <f>+IF(dHdcp[[#This Row],[Fecha]]=MAX(dHdcp[Fecha]),1,0)</f>
        <v>0</v>
      </c>
      <c r="H2541" t="str">
        <f>+dHdcp[[#This Row],[Maximo]]&amp;":"&amp;dHdcp[[#This Row],[Nombre]]</f>
        <v>0:Enrique Gonzalez R</v>
      </c>
      <c r="I2541" t="str">
        <f>+dHdcp[[#This Row],[Maximo]]&amp;":"&amp;_xlfn.XLOOKUP(dHdcp[[#This Row],[Nombre]],dJugador[Nombre],dJugador[Mote],"",0)</f>
        <v>0:Enrique</v>
      </c>
      <c r="J2541" t="str">
        <f>+IF(dHdcp[[#This Row],[Maximo]]=0,"",_xlfn.RANK.EQ(dHdcp[[#This Row],[Handicap]],dHdcp[Handicap],1))</f>
        <v/>
      </c>
      <c r="K2541" t="str">
        <f>IFERROR(+_xlfn.RANK.EQ(dHdcp[[#This Row],[Ranking]],dHdcp[Ranking],1),"")</f>
        <v/>
      </c>
      <c r="M2541" t="str">
        <f>+dHdcp[[#This Row],[Fecha]]&amp;":"&amp;dHdcp[[#This Row],[Nombre]]</f>
        <v>45794:Enrique Gonzalez R</v>
      </c>
      <c r="N2541">
        <f>+COUNTIF(dHdcp[Columna1],dHdcp[[#This Row],[Columna1]])</f>
        <v>1</v>
      </c>
    </row>
    <row r="2542" spans="1:14">
      <c r="A2542" s="2">
        <v>45794</v>
      </c>
      <c r="B2542" t="s">
        <v>12</v>
      </c>
      <c r="C2542" s="51">
        <v>15.9</v>
      </c>
      <c r="D2542" s="46">
        <f>+VLOOKUP(dHdcp[[#This Row],[Handicap]],'Categoría Hdcap'!$B$2:$E$7,4)</f>
        <v>3</v>
      </c>
      <c r="E2542" t="s">
        <v>74</v>
      </c>
      <c r="F2542" s="92"/>
      <c r="G2542">
        <f>+IF(dHdcp[[#This Row],[Fecha]]=MAX(dHdcp[Fecha]),1,0)</f>
        <v>0</v>
      </c>
      <c r="H2542" t="str">
        <f>+dHdcp[[#This Row],[Maximo]]&amp;":"&amp;dHdcp[[#This Row],[Nombre]]</f>
        <v>0:Francisco Alvarez</v>
      </c>
      <c r="I2542" t="str">
        <f>+dHdcp[[#This Row],[Maximo]]&amp;":"&amp;_xlfn.XLOOKUP(dHdcp[[#This Row],[Nombre]],dJugador[Nombre],dJugador[Mote],"",0)</f>
        <v>0:Paco</v>
      </c>
      <c r="J2542" t="str">
        <f>+IF(dHdcp[[#This Row],[Maximo]]=0,"",_xlfn.RANK.EQ(dHdcp[[#This Row],[Handicap]],dHdcp[Handicap],1))</f>
        <v/>
      </c>
      <c r="K2542" t="str">
        <f>IFERROR(+_xlfn.RANK.EQ(dHdcp[[#This Row],[Ranking]],dHdcp[Ranking],1),"")</f>
        <v/>
      </c>
      <c r="M2542" t="str">
        <f>+dHdcp[[#This Row],[Fecha]]&amp;":"&amp;dHdcp[[#This Row],[Nombre]]</f>
        <v>45794:Francisco Alvarez</v>
      </c>
      <c r="N2542">
        <f>+COUNTIF(dHdcp[Columna1],dHdcp[[#This Row],[Columna1]])</f>
        <v>1</v>
      </c>
    </row>
    <row r="2543" spans="1:14">
      <c r="A2543" s="2">
        <v>45794</v>
      </c>
      <c r="B2543" t="s">
        <v>49</v>
      </c>
      <c r="C2543" s="51">
        <v>14.4</v>
      </c>
      <c r="D2543" s="46">
        <f>+VLOOKUP(dHdcp[[#This Row],[Handicap]],'Categoría Hdcap'!$B$2:$E$7,4)</f>
        <v>3</v>
      </c>
      <c r="E2543" t="s">
        <v>74</v>
      </c>
      <c r="F2543" s="92"/>
      <c r="G2543">
        <f>+IF(dHdcp[[#This Row],[Fecha]]=MAX(dHdcp[Fecha]),1,0)</f>
        <v>0</v>
      </c>
      <c r="H2543" t="str">
        <f>+dHdcp[[#This Row],[Maximo]]&amp;":"&amp;dHdcp[[#This Row],[Nombre]]</f>
        <v>0:Francisco Hidalgo</v>
      </c>
      <c r="I2543" t="str">
        <f>+dHdcp[[#This Row],[Maximo]]&amp;":"&amp;_xlfn.XLOOKUP(dHdcp[[#This Row],[Nombre]],dJugador[Nombre],dJugador[Mote],"",0)</f>
        <v>0:Fran</v>
      </c>
      <c r="J2543" t="str">
        <f>+IF(dHdcp[[#This Row],[Maximo]]=0,"",_xlfn.RANK.EQ(dHdcp[[#This Row],[Handicap]],dHdcp[Handicap],1))</f>
        <v/>
      </c>
      <c r="K2543" t="str">
        <f>IFERROR(+_xlfn.RANK.EQ(dHdcp[[#This Row],[Ranking]],dHdcp[Ranking],1),"")</f>
        <v/>
      </c>
      <c r="M2543" t="str">
        <f>+dHdcp[[#This Row],[Fecha]]&amp;":"&amp;dHdcp[[#This Row],[Nombre]]</f>
        <v>45794:Francisco Hidalgo</v>
      </c>
      <c r="N2543">
        <f>+COUNTIF(dHdcp[Columna1],dHdcp[[#This Row],[Columna1]])</f>
        <v>1</v>
      </c>
    </row>
    <row r="2544" spans="1:14">
      <c r="A2544" s="2">
        <v>45794</v>
      </c>
      <c r="B2544" t="s">
        <v>207</v>
      </c>
      <c r="C2544" s="51">
        <v>15</v>
      </c>
      <c r="D2544" s="46">
        <f>+VLOOKUP(dHdcp[[#This Row],[Handicap]],'Categoría Hdcap'!$B$2:$E$7,4)</f>
        <v>3</v>
      </c>
      <c r="E2544" t="s">
        <v>74</v>
      </c>
      <c r="F2544" s="92"/>
      <c r="G2544">
        <f>+IF(dHdcp[[#This Row],[Fecha]]=MAX(dHdcp[Fecha]),1,0)</f>
        <v>0</v>
      </c>
      <c r="H2544" t="str">
        <f>+dHdcp[[#This Row],[Maximo]]&amp;":"&amp;dHdcp[[#This Row],[Nombre]]</f>
        <v>0:Franck Benouniche</v>
      </c>
      <c r="I2544" t="str">
        <f>+dHdcp[[#This Row],[Maximo]]&amp;":"&amp;_xlfn.XLOOKUP(dHdcp[[#This Row],[Nombre]],dJugador[Nombre],dJugador[Mote],"",0)</f>
        <v>0:Franck</v>
      </c>
      <c r="J2544" t="str">
        <f>+IF(dHdcp[[#This Row],[Maximo]]=0,"",_xlfn.RANK.EQ(dHdcp[[#This Row],[Handicap]],dHdcp[Handicap],1))</f>
        <v/>
      </c>
      <c r="K2544" t="str">
        <f>IFERROR(+_xlfn.RANK.EQ(dHdcp[[#This Row],[Ranking]],dHdcp[Ranking],1),"")</f>
        <v/>
      </c>
      <c r="M2544" t="str">
        <f>+dHdcp[[#This Row],[Fecha]]&amp;":"&amp;dHdcp[[#This Row],[Nombre]]</f>
        <v>45794:Franck Benouniche</v>
      </c>
      <c r="N2544">
        <f>+COUNTIF(dHdcp[Columna1],dHdcp[[#This Row],[Columna1]])</f>
        <v>1</v>
      </c>
    </row>
    <row r="2545" spans="1:14">
      <c r="A2545" s="2">
        <v>45794</v>
      </c>
      <c r="B2545" t="s">
        <v>35</v>
      </c>
      <c r="C2545" s="51">
        <v>20.6</v>
      </c>
      <c r="D2545" s="46">
        <f>+VLOOKUP(dHdcp[[#This Row],[Handicap]],'Categoría Hdcap'!$B$2:$E$7,4)</f>
        <v>4</v>
      </c>
      <c r="E2545" t="s">
        <v>74</v>
      </c>
      <c r="F2545" s="92"/>
      <c r="G2545">
        <f>+IF(dHdcp[[#This Row],[Fecha]]=MAX(dHdcp[Fecha]),1,0)</f>
        <v>0</v>
      </c>
      <c r="H2545" t="str">
        <f>+dHdcp[[#This Row],[Maximo]]&amp;":"&amp;dHdcp[[#This Row],[Nombre]]</f>
        <v>0:GLEZ JUAN JOSÉ</v>
      </c>
      <c r="I2545" t="str">
        <f>+dHdcp[[#This Row],[Maximo]]&amp;":"&amp;_xlfn.XLOOKUP(dHdcp[[#This Row],[Nombre]],dJugador[Nombre],dJugador[Mote],"",0)</f>
        <v>0:Juanjo</v>
      </c>
      <c r="J2545" t="str">
        <f>+IF(dHdcp[[#This Row],[Maximo]]=0,"",_xlfn.RANK.EQ(dHdcp[[#This Row],[Handicap]],dHdcp[Handicap],1))</f>
        <v/>
      </c>
      <c r="K2545" t="str">
        <f>IFERROR(+_xlfn.RANK.EQ(dHdcp[[#This Row],[Ranking]],dHdcp[Ranking],1),"")</f>
        <v/>
      </c>
      <c r="M2545" t="str">
        <f>+dHdcp[[#This Row],[Fecha]]&amp;":"&amp;dHdcp[[#This Row],[Nombre]]</f>
        <v>45794:GLEZ JUAN JOSÉ</v>
      </c>
      <c r="N2545">
        <f>+COUNTIF(dHdcp[Columna1],dHdcp[[#This Row],[Columna1]])</f>
        <v>1</v>
      </c>
    </row>
    <row r="2546" spans="1:14">
      <c r="A2546" s="2">
        <v>45794</v>
      </c>
      <c r="B2546" t="s">
        <v>6</v>
      </c>
      <c r="C2546" s="51">
        <v>7</v>
      </c>
      <c r="D2546" s="46">
        <f>+VLOOKUP(dHdcp[[#This Row],[Handicap]],'Categoría Hdcap'!$B$2:$E$7,4)</f>
        <v>2</v>
      </c>
      <c r="E2546" t="s">
        <v>74</v>
      </c>
      <c r="F2546" s="92"/>
      <c r="G2546">
        <f>+IF(dHdcp[[#This Row],[Fecha]]=MAX(dHdcp[Fecha]),1,0)</f>
        <v>0</v>
      </c>
      <c r="H2546" t="str">
        <f>+dHdcp[[#This Row],[Maximo]]&amp;":"&amp;dHdcp[[#This Row],[Nombre]]</f>
        <v>0:Ignacio Cadarso</v>
      </c>
      <c r="I2546" t="str">
        <f>+dHdcp[[#This Row],[Maximo]]&amp;":"&amp;_xlfn.XLOOKUP(dHdcp[[#This Row],[Nombre]],dJugador[Nombre],dJugador[Mote],"",0)</f>
        <v>0:Ignacio</v>
      </c>
      <c r="J2546" t="str">
        <f>+IF(dHdcp[[#This Row],[Maximo]]=0,"",_xlfn.RANK.EQ(dHdcp[[#This Row],[Handicap]],dHdcp[Handicap],1))</f>
        <v/>
      </c>
      <c r="K2546" t="str">
        <f>IFERROR(+_xlfn.RANK.EQ(dHdcp[[#This Row],[Ranking]],dHdcp[Ranking],1),"")</f>
        <v/>
      </c>
      <c r="M2546" t="str">
        <f>+dHdcp[[#This Row],[Fecha]]&amp;":"&amp;dHdcp[[#This Row],[Nombre]]</f>
        <v>45794:Ignacio Cadarso</v>
      </c>
      <c r="N2546">
        <f>+COUNTIF(dHdcp[Columna1],dHdcp[[#This Row],[Columna1]])</f>
        <v>1</v>
      </c>
    </row>
    <row r="2547" spans="1:14">
      <c r="A2547" s="2">
        <v>45794</v>
      </c>
      <c r="B2547" t="s">
        <v>23</v>
      </c>
      <c r="C2547" s="51">
        <v>19.7</v>
      </c>
      <c r="D2547" s="46">
        <f>+VLOOKUP(dHdcp[[#This Row],[Handicap]],'Categoría Hdcap'!$B$2:$E$7,4)</f>
        <v>4</v>
      </c>
      <c r="E2547" t="s">
        <v>74</v>
      </c>
      <c r="F2547" s="92"/>
      <c r="G2547">
        <f>+IF(dHdcp[[#This Row],[Fecha]]=MAX(dHdcp[Fecha]),1,0)</f>
        <v>0</v>
      </c>
      <c r="H2547" t="str">
        <f>+dHdcp[[#This Row],[Maximo]]&amp;":"&amp;dHdcp[[#This Row],[Nombre]]</f>
        <v>0:J. Enrique Gonzalez</v>
      </c>
      <c r="I2547" t="str">
        <f>+dHdcp[[#This Row],[Maximo]]&amp;":"&amp;_xlfn.XLOOKUP(dHdcp[[#This Row],[Nombre]],dJugador[Nombre],dJugador[Mote],"",0)</f>
        <v>0:Kike</v>
      </c>
      <c r="J2547" t="str">
        <f>+IF(dHdcp[[#This Row],[Maximo]]=0,"",_xlfn.RANK.EQ(dHdcp[[#This Row],[Handicap]],dHdcp[Handicap],1))</f>
        <v/>
      </c>
      <c r="K2547" t="str">
        <f>IFERROR(+_xlfn.RANK.EQ(dHdcp[[#This Row],[Ranking]],dHdcp[Ranking],1),"")</f>
        <v/>
      </c>
      <c r="M2547" t="str">
        <f>+dHdcp[[#This Row],[Fecha]]&amp;":"&amp;dHdcp[[#This Row],[Nombre]]</f>
        <v>45794:J. Enrique Gonzalez</v>
      </c>
      <c r="N2547">
        <f>+COUNTIF(dHdcp[Columna1],dHdcp[[#This Row],[Columna1]])</f>
        <v>1</v>
      </c>
    </row>
    <row r="2548" spans="1:14">
      <c r="A2548" s="2">
        <v>45794</v>
      </c>
      <c r="B2548" t="s">
        <v>2606</v>
      </c>
      <c r="C2548" s="51">
        <v>10.8</v>
      </c>
      <c r="D2548" s="46">
        <f>+VLOOKUP(dHdcp[[#This Row],[Handicap]],'Categoría Hdcap'!$B$2:$E$7,4)</f>
        <v>2</v>
      </c>
      <c r="E2548" t="s">
        <v>74</v>
      </c>
      <c r="F2548" s="92"/>
      <c r="G2548">
        <f>+IF(dHdcp[[#This Row],[Fecha]]=MAX(dHdcp[Fecha]),1,0)</f>
        <v>0</v>
      </c>
      <c r="H2548" t="str">
        <f>+dHdcp[[#This Row],[Maximo]]&amp;":"&amp;dHdcp[[#This Row],[Nombre]]</f>
        <v>0:Jaime de la Cal</v>
      </c>
      <c r="I2548" t="str">
        <f>+dHdcp[[#This Row],[Maximo]]&amp;":"&amp;_xlfn.XLOOKUP(dHdcp[[#This Row],[Nombre]],dJugador[Nombre],dJugador[Mote],"",0)</f>
        <v>0:Jaime</v>
      </c>
      <c r="J2548" t="str">
        <f>+IF(dHdcp[[#This Row],[Maximo]]=0,"",_xlfn.RANK.EQ(dHdcp[[#This Row],[Handicap]],dHdcp[Handicap],1))</f>
        <v/>
      </c>
      <c r="K2548" t="str">
        <f>IFERROR(+_xlfn.RANK.EQ(dHdcp[[#This Row],[Ranking]],dHdcp[Ranking],1),"")</f>
        <v/>
      </c>
      <c r="M2548" t="str">
        <f>+dHdcp[[#This Row],[Fecha]]&amp;":"&amp;dHdcp[[#This Row],[Nombre]]</f>
        <v>45794:Jaime de la Cal</v>
      </c>
      <c r="N2548">
        <f>+COUNTIF(dHdcp[Columna1],dHdcp[[#This Row],[Columna1]])</f>
        <v>1</v>
      </c>
    </row>
    <row r="2549" spans="1:14">
      <c r="A2549" s="2">
        <v>45794</v>
      </c>
      <c r="B2549" t="s">
        <v>328</v>
      </c>
      <c r="C2549" s="51">
        <v>10.5</v>
      </c>
      <c r="D2549" s="46">
        <f>+VLOOKUP(dHdcp[[#This Row],[Handicap]],'Categoría Hdcap'!$B$2:$E$7,4)</f>
        <v>2</v>
      </c>
      <c r="E2549" t="s">
        <v>74</v>
      </c>
      <c r="F2549" s="92"/>
      <c r="G2549">
        <f>+IF(dHdcp[[#This Row],[Fecha]]=MAX(dHdcp[Fecha]),1,0)</f>
        <v>0</v>
      </c>
      <c r="H2549" t="str">
        <f>+dHdcp[[#This Row],[Maximo]]&amp;":"&amp;dHdcp[[#This Row],[Nombre]]</f>
        <v>0:Javier Arcos</v>
      </c>
      <c r="I2549" t="str">
        <f>+dHdcp[[#This Row],[Maximo]]&amp;":"&amp;_xlfn.XLOOKUP(dHdcp[[#This Row],[Nombre]],dJugador[Nombre],dJugador[Mote],"",0)</f>
        <v>0:J.Arcos</v>
      </c>
      <c r="J2549" t="str">
        <f>+IF(dHdcp[[#This Row],[Maximo]]=0,"",_xlfn.RANK.EQ(dHdcp[[#This Row],[Handicap]],dHdcp[Handicap],1))</f>
        <v/>
      </c>
      <c r="K2549" t="str">
        <f>IFERROR(+_xlfn.RANK.EQ(dHdcp[[#This Row],[Ranking]],dHdcp[Ranking],1),"")</f>
        <v/>
      </c>
      <c r="M2549" t="str">
        <f>+dHdcp[[#This Row],[Fecha]]&amp;":"&amp;dHdcp[[#This Row],[Nombre]]</f>
        <v>45794:Javier Arcos</v>
      </c>
      <c r="N2549">
        <f>+COUNTIF(dHdcp[Columna1],dHdcp[[#This Row],[Columna1]])</f>
        <v>1</v>
      </c>
    </row>
    <row r="2550" spans="1:14">
      <c r="A2550" s="2">
        <v>45794</v>
      </c>
      <c r="B2550" t="s">
        <v>46</v>
      </c>
      <c r="C2550" s="51">
        <v>18.2</v>
      </c>
      <c r="D2550" s="46">
        <f>+VLOOKUP(dHdcp[[#This Row],[Handicap]],'Categoría Hdcap'!$B$2:$E$7,4)</f>
        <v>3</v>
      </c>
      <c r="E2550" t="s">
        <v>74</v>
      </c>
      <c r="F2550" s="92"/>
      <c r="G2550">
        <f>+IF(dHdcp[[#This Row],[Fecha]]=MAX(dHdcp[Fecha]),1,0)</f>
        <v>0</v>
      </c>
      <c r="H2550" t="str">
        <f>+dHdcp[[#This Row],[Maximo]]&amp;":"&amp;dHdcp[[#This Row],[Nombre]]</f>
        <v>0:Javier Cervera</v>
      </c>
      <c r="I2550" t="str">
        <f>+dHdcp[[#This Row],[Maximo]]&amp;":"&amp;_xlfn.XLOOKUP(dHdcp[[#This Row],[Nombre]],dJugador[Nombre],dJugador[Mote],"",0)</f>
        <v>0:Virus</v>
      </c>
      <c r="J2550" t="str">
        <f>+IF(dHdcp[[#This Row],[Maximo]]=0,"",_xlfn.RANK.EQ(dHdcp[[#This Row],[Handicap]],dHdcp[Handicap],1))</f>
        <v/>
      </c>
      <c r="K2550" t="str">
        <f>IFERROR(+_xlfn.RANK.EQ(dHdcp[[#This Row],[Ranking]],dHdcp[Ranking],1),"")</f>
        <v/>
      </c>
      <c r="M2550" t="str">
        <f>+dHdcp[[#This Row],[Fecha]]&amp;":"&amp;dHdcp[[#This Row],[Nombre]]</f>
        <v>45794:Javier Cervera</v>
      </c>
      <c r="N2550">
        <f>+COUNTIF(dHdcp[Columna1],dHdcp[[#This Row],[Columna1]])</f>
        <v>1</v>
      </c>
    </row>
    <row r="2551" spans="1:14">
      <c r="A2551" s="2">
        <v>45794</v>
      </c>
      <c r="B2551" t="s">
        <v>225</v>
      </c>
      <c r="C2551" s="51">
        <v>10.6</v>
      </c>
      <c r="D2551" s="46">
        <f>+VLOOKUP(dHdcp[[#This Row],[Handicap]],'Categoría Hdcap'!$B$2:$E$7,4)</f>
        <v>2</v>
      </c>
      <c r="E2551" t="s">
        <v>74</v>
      </c>
      <c r="F2551" s="92"/>
      <c r="G2551">
        <f>+IF(dHdcp[[#This Row],[Fecha]]=MAX(dHdcp[Fecha]),1,0)</f>
        <v>0</v>
      </c>
      <c r="H2551" t="str">
        <f>+dHdcp[[#This Row],[Maximo]]&amp;":"&amp;dHdcp[[#This Row],[Nombre]]</f>
        <v>0:Javier Chiralt</v>
      </c>
      <c r="I2551" t="str">
        <f>+dHdcp[[#This Row],[Maximo]]&amp;":"&amp;_xlfn.XLOOKUP(dHdcp[[#This Row],[Nombre]],dJugador[Nombre],dJugador[Mote],"",0)</f>
        <v>0:Chiralt</v>
      </c>
      <c r="J2551" t="str">
        <f>+IF(dHdcp[[#This Row],[Maximo]]=0,"",_xlfn.RANK.EQ(dHdcp[[#This Row],[Handicap]],dHdcp[Handicap],1))</f>
        <v/>
      </c>
      <c r="K2551" t="str">
        <f>IFERROR(+_xlfn.RANK.EQ(dHdcp[[#This Row],[Ranking]],dHdcp[Ranking],1),"")</f>
        <v/>
      </c>
      <c r="M2551" t="str">
        <f>+dHdcp[[#This Row],[Fecha]]&amp;":"&amp;dHdcp[[#This Row],[Nombre]]</f>
        <v>45794:Javier Chiralt</v>
      </c>
      <c r="N2551">
        <f>+COUNTIF(dHdcp[Columna1],dHdcp[[#This Row],[Columna1]])</f>
        <v>1</v>
      </c>
    </row>
    <row r="2552" spans="1:14">
      <c r="A2552" s="2">
        <v>45794</v>
      </c>
      <c r="B2552" t="s">
        <v>20</v>
      </c>
      <c r="C2552" s="51">
        <v>20.100000000000001</v>
      </c>
      <c r="D2552" s="46">
        <f>+VLOOKUP(dHdcp[[#This Row],[Handicap]],'Categoría Hdcap'!$B$2:$E$7,4)</f>
        <v>4</v>
      </c>
      <c r="E2552" t="s">
        <v>74</v>
      </c>
      <c r="F2552" s="92"/>
      <c r="G2552">
        <f>+IF(dHdcp[[#This Row],[Fecha]]=MAX(dHdcp[Fecha]),1,0)</f>
        <v>0</v>
      </c>
      <c r="H2552" t="str">
        <f>+dHdcp[[#This Row],[Maximo]]&amp;":"&amp;dHdcp[[#This Row],[Nombre]]</f>
        <v>0:Javier Gonzalez Salvador</v>
      </c>
      <c r="I2552" t="str">
        <f>+dHdcp[[#This Row],[Maximo]]&amp;":"&amp;_xlfn.XLOOKUP(dHdcp[[#This Row],[Nombre]],dJugador[Nombre],dJugador[Mote],"",0)</f>
        <v>0:Javi</v>
      </c>
      <c r="J2552" t="str">
        <f>+IF(dHdcp[[#This Row],[Maximo]]=0,"",_xlfn.RANK.EQ(dHdcp[[#This Row],[Handicap]],dHdcp[Handicap],1))</f>
        <v/>
      </c>
      <c r="K2552" t="str">
        <f>IFERROR(+_xlfn.RANK.EQ(dHdcp[[#This Row],[Ranking]],dHdcp[Ranking],1),"")</f>
        <v/>
      </c>
      <c r="M2552" t="str">
        <f>+dHdcp[[#This Row],[Fecha]]&amp;":"&amp;dHdcp[[#This Row],[Nombre]]</f>
        <v>45794:Javier Gonzalez Salvador</v>
      </c>
      <c r="N2552">
        <f>+COUNTIF(dHdcp[Columna1],dHdcp[[#This Row],[Columna1]])</f>
        <v>1</v>
      </c>
    </row>
    <row r="2553" spans="1:14">
      <c r="A2553" s="2">
        <v>45794</v>
      </c>
      <c r="B2553" t="s">
        <v>217</v>
      </c>
      <c r="C2553" s="51">
        <v>21.9</v>
      </c>
      <c r="D2553" s="46">
        <f>+VLOOKUP(dHdcp[[#This Row],[Handicap]],'Categoría Hdcap'!$B$2:$E$7,4)</f>
        <v>4</v>
      </c>
      <c r="E2553" t="s">
        <v>74</v>
      </c>
      <c r="F2553" s="92"/>
      <c r="G2553">
        <f>+IF(dHdcp[[#This Row],[Fecha]]=MAX(dHdcp[Fecha]),1,0)</f>
        <v>0</v>
      </c>
      <c r="H2553" t="str">
        <f>+dHdcp[[#This Row],[Maximo]]&amp;":"&amp;dHdcp[[#This Row],[Nombre]]</f>
        <v>0:Javier Lopez Gullón</v>
      </c>
      <c r="I2553" t="str">
        <f>+dHdcp[[#This Row],[Maximo]]&amp;":"&amp;_xlfn.XLOOKUP(dHdcp[[#This Row],[Nombre]],dJugador[Nombre],dJugador[Mote],"",0)</f>
        <v>0:Cuñao</v>
      </c>
      <c r="J2553" t="str">
        <f>+IF(dHdcp[[#This Row],[Maximo]]=0,"",_xlfn.RANK.EQ(dHdcp[[#This Row],[Handicap]],dHdcp[Handicap],1))</f>
        <v/>
      </c>
      <c r="K2553" t="str">
        <f>IFERROR(+_xlfn.RANK.EQ(dHdcp[[#This Row],[Ranking]],dHdcp[Ranking],1),"")</f>
        <v/>
      </c>
      <c r="M2553" t="str">
        <f>+dHdcp[[#This Row],[Fecha]]&amp;":"&amp;dHdcp[[#This Row],[Nombre]]</f>
        <v>45794:Javier Lopez Gullón</v>
      </c>
      <c r="N2553">
        <f>+COUNTIF(dHdcp[Columna1],dHdcp[[#This Row],[Columna1]])</f>
        <v>1</v>
      </c>
    </row>
    <row r="2554" spans="1:14">
      <c r="A2554" s="2">
        <v>45794</v>
      </c>
      <c r="B2554" t="s">
        <v>41</v>
      </c>
      <c r="C2554" s="51">
        <v>21.9</v>
      </c>
      <c r="D2554" s="46">
        <f>+VLOOKUP(dHdcp[[#This Row],[Handicap]],'Categoría Hdcap'!$B$2:$E$7,4)</f>
        <v>4</v>
      </c>
      <c r="E2554" t="s">
        <v>74</v>
      </c>
      <c r="F2554" s="92"/>
      <c r="G2554">
        <f>+IF(dHdcp[[#This Row],[Fecha]]=MAX(dHdcp[Fecha]),1,0)</f>
        <v>0</v>
      </c>
      <c r="H2554" t="str">
        <f>+dHdcp[[#This Row],[Maximo]]&amp;":"&amp;dHdcp[[#This Row],[Nombre]]</f>
        <v>0:Jesus Touceda</v>
      </c>
      <c r="I2554" t="str">
        <f>+dHdcp[[#This Row],[Maximo]]&amp;":"&amp;_xlfn.XLOOKUP(dHdcp[[#This Row],[Nombre]],dJugador[Nombre],dJugador[Mote],"",0)</f>
        <v>0:Jesús</v>
      </c>
      <c r="J2554" t="str">
        <f>+IF(dHdcp[[#This Row],[Maximo]]=0,"",_xlfn.RANK.EQ(dHdcp[[#This Row],[Handicap]],dHdcp[Handicap],1))</f>
        <v/>
      </c>
      <c r="K2554" t="str">
        <f>IFERROR(+_xlfn.RANK.EQ(dHdcp[[#This Row],[Ranking]],dHdcp[Ranking],1),"")</f>
        <v/>
      </c>
      <c r="M2554" t="str">
        <f>+dHdcp[[#This Row],[Fecha]]&amp;":"&amp;dHdcp[[#This Row],[Nombre]]</f>
        <v>45794:Jesus Touceda</v>
      </c>
      <c r="N2554">
        <f>+COUNTIF(dHdcp[Columna1],dHdcp[[#This Row],[Columna1]])</f>
        <v>1</v>
      </c>
    </row>
    <row r="2555" spans="1:14">
      <c r="A2555" s="2">
        <v>45794</v>
      </c>
      <c r="B2555" t="s">
        <v>2561</v>
      </c>
      <c r="C2555" s="51">
        <v>20.6</v>
      </c>
      <c r="D2555" s="46">
        <f>+VLOOKUP(dHdcp[[#This Row],[Handicap]],'Categoría Hdcap'!$B$2:$E$7,4)</f>
        <v>4</v>
      </c>
      <c r="E2555" t="s">
        <v>74</v>
      </c>
      <c r="F2555" s="92"/>
      <c r="G2555">
        <f>+IF(dHdcp[[#This Row],[Fecha]]=MAX(dHdcp[Fecha]),1,0)</f>
        <v>0</v>
      </c>
      <c r="H2555" t="str">
        <f>+dHdcp[[#This Row],[Maximo]]&amp;":"&amp;dHdcp[[#This Row],[Nombre]]</f>
        <v>0:Joaquín Sánchez</v>
      </c>
      <c r="I2555" t="str">
        <f>+dHdcp[[#This Row],[Maximo]]&amp;":"&amp;_xlfn.XLOOKUP(dHdcp[[#This Row],[Nombre]],dJugador[Nombre],dJugador[Mote],"",0)</f>
        <v>0:Joaco</v>
      </c>
      <c r="J2555" t="str">
        <f>+IF(dHdcp[[#This Row],[Maximo]]=0,"",_xlfn.RANK.EQ(dHdcp[[#This Row],[Handicap]],dHdcp[Handicap],1))</f>
        <v/>
      </c>
      <c r="K2555" t="str">
        <f>IFERROR(+_xlfn.RANK.EQ(dHdcp[[#This Row],[Ranking]],dHdcp[Ranking],1),"")</f>
        <v/>
      </c>
      <c r="M2555" t="str">
        <f>+dHdcp[[#This Row],[Fecha]]&amp;":"&amp;dHdcp[[#This Row],[Nombre]]</f>
        <v>45794:Joaquín Sánchez</v>
      </c>
      <c r="N2555">
        <f>+COUNTIF(dHdcp[Columna1],dHdcp[[#This Row],[Columna1]])</f>
        <v>1</v>
      </c>
    </row>
    <row r="2556" spans="1:14">
      <c r="A2556" s="2">
        <v>45794</v>
      </c>
      <c r="B2556" t="s">
        <v>297</v>
      </c>
      <c r="C2556" s="51">
        <v>18.3</v>
      </c>
      <c r="D2556" s="46">
        <f>+VLOOKUP(dHdcp[[#This Row],[Handicap]],'Categoría Hdcap'!$B$2:$E$7,4)</f>
        <v>3</v>
      </c>
      <c r="E2556" t="s">
        <v>74</v>
      </c>
      <c r="F2556" s="92"/>
      <c r="G2556">
        <f>+IF(dHdcp[[#This Row],[Fecha]]=MAX(dHdcp[Fecha]),1,0)</f>
        <v>0</v>
      </c>
      <c r="H2556" t="str">
        <f>+dHdcp[[#This Row],[Maximo]]&amp;":"&amp;dHdcp[[#This Row],[Nombre]]</f>
        <v>0:Jorge Alberto Martínez Sánchez</v>
      </c>
      <c r="I2556" t="str">
        <f>+dHdcp[[#This Row],[Maximo]]&amp;":"&amp;_xlfn.XLOOKUP(dHdcp[[#This Row],[Nombre]],dJugador[Nombre],dJugador[Mote],"",0)</f>
        <v>0:Jorge</v>
      </c>
      <c r="J2556" t="str">
        <f>+IF(dHdcp[[#This Row],[Maximo]]=0,"",_xlfn.RANK.EQ(dHdcp[[#This Row],[Handicap]],dHdcp[Handicap],1))</f>
        <v/>
      </c>
      <c r="K2556" t="str">
        <f>IFERROR(+_xlfn.RANK.EQ(dHdcp[[#This Row],[Ranking]],dHdcp[Ranking],1),"")</f>
        <v/>
      </c>
      <c r="M2556" t="str">
        <f>+dHdcp[[#This Row],[Fecha]]&amp;":"&amp;dHdcp[[#This Row],[Nombre]]</f>
        <v>45794:Jorge Alberto Martínez Sánchez</v>
      </c>
      <c r="N2556">
        <f>+COUNTIF(dHdcp[Columna1],dHdcp[[#This Row],[Columna1]])</f>
        <v>1</v>
      </c>
    </row>
    <row r="2557" spans="1:14">
      <c r="A2557" s="2">
        <v>45794</v>
      </c>
      <c r="B2557" t="s">
        <v>388</v>
      </c>
      <c r="C2557" s="51">
        <v>25.7</v>
      </c>
      <c r="D2557" s="46">
        <f>+VLOOKUP(dHdcp[[#This Row],[Handicap]],'Categoría Hdcap'!$B$2:$E$7,4)</f>
        <v>4</v>
      </c>
      <c r="E2557" t="s">
        <v>74</v>
      </c>
      <c r="F2557" s="92"/>
      <c r="G2557">
        <f>+IF(dHdcp[[#This Row],[Fecha]]=MAX(dHdcp[Fecha]),1,0)</f>
        <v>0</v>
      </c>
      <c r="H2557" t="str">
        <f>+dHdcp[[#This Row],[Maximo]]&amp;":"&amp;dHdcp[[#This Row],[Nombre]]</f>
        <v>0:Jose Antonio Santana</v>
      </c>
      <c r="I2557" t="str">
        <f>+dHdcp[[#This Row],[Maximo]]&amp;":"&amp;_xlfn.XLOOKUP(dHdcp[[#This Row],[Nombre]],dJugador[Nombre],dJugador[Mote],"",0)</f>
        <v>0:J Antonio</v>
      </c>
      <c r="J2557" t="str">
        <f>+IF(dHdcp[[#This Row],[Maximo]]=0,"",_xlfn.RANK.EQ(dHdcp[[#This Row],[Handicap]],dHdcp[Handicap],1))</f>
        <v/>
      </c>
      <c r="K2557" t="str">
        <f>IFERROR(+_xlfn.RANK.EQ(dHdcp[[#This Row],[Ranking]],dHdcp[Ranking],1),"")</f>
        <v/>
      </c>
      <c r="M2557" t="str">
        <f>+dHdcp[[#This Row],[Fecha]]&amp;":"&amp;dHdcp[[#This Row],[Nombre]]</f>
        <v>45794:Jose Antonio Santana</v>
      </c>
      <c r="N2557">
        <f>+COUNTIF(dHdcp[Columna1],dHdcp[[#This Row],[Columna1]])</f>
        <v>1</v>
      </c>
    </row>
    <row r="2558" spans="1:14">
      <c r="A2558" s="2">
        <v>45794</v>
      </c>
      <c r="B2558" t="s">
        <v>18</v>
      </c>
      <c r="C2558" s="51">
        <v>7.2</v>
      </c>
      <c r="D2558" s="46">
        <f>+VLOOKUP(dHdcp[[#This Row],[Handicap]],'Categoría Hdcap'!$B$2:$E$7,4)</f>
        <v>2</v>
      </c>
      <c r="E2558" t="s">
        <v>74</v>
      </c>
      <c r="F2558" s="92"/>
      <c r="G2558">
        <f>+IF(dHdcp[[#This Row],[Fecha]]=MAX(dHdcp[Fecha]),1,0)</f>
        <v>0</v>
      </c>
      <c r="H2558" t="str">
        <f>+dHdcp[[#This Row],[Maximo]]&amp;":"&amp;dHdcp[[#This Row],[Nombre]]</f>
        <v>0:José Pablo Guil</v>
      </c>
      <c r="I2558" t="str">
        <f>+dHdcp[[#This Row],[Maximo]]&amp;":"&amp;_xlfn.XLOOKUP(dHdcp[[#This Row],[Nombre]],dJugador[Nombre],dJugador[Mote],"",0)</f>
        <v>0:JP</v>
      </c>
      <c r="J2558" t="str">
        <f>+IF(dHdcp[[#This Row],[Maximo]]=0,"",_xlfn.RANK.EQ(dHdcp[[#This Row],[Handicap]],dHdcp[Handicap],1))</f>
        <v/>
      </c>
      <c r="K2558" t="str">
        <f>IFERROR(+_xlfn.RANK.EQ(dHdcp[[#This Row],[Ranking]],dHdcp[Ranking],1),"")</f>
        <v/>
      </c>
      <c r="M2558" t="str">
        <f>+dHdcp[[#This Row],[Fecha]]&amp;":"&amp;dHdcp[[#This Row],[Nombre]]</f>
        <v>45794:José Pablo Guil</v>
      </c>
      <c r="N2558">
        <f>+COUNTIF(dHdcp[Columna1],dHdcp[[#This Row],[Columna1]])</f>
        <v>1</v>
      </c>
    </row>
    <row r="2559" spans="1:14">
      <c r="A2559" s="2">
        <v>45794</v>
      </c>
      <c r="B2559" t="s">
        <v>293</v>
      </c>
      <c r="C2559" s="51">
        <v>15.1</v>
      </c>
      <c r="D2559" s="46">
        <f>+VLOOKUP(dHdcp[[#This Row],[Handicap]],'Categoría Hdcap'!$B$2:$E$7,4)</f>
        <v>3</v>
      </c>
      <c r="E2559" t="s">
        <v>74</v>
      </c>
      <c r="F2559" s="92"/>
      <c r="G2559">
        <f>+IF(dHdcp[[#This Row],[Fecha]]=MAX(dHdcp[Fecha]),1,0)</f>
        <v>0</v>
      </c>
      <c r="H2559" t="str">
        <f>+dHdcp[[#This Row],[Maximo]]&amp;":"&amp;dHdcp[[#This Row],[Nombre]]</f>
        <v>0:Juan Jose Aguado</v>
      </c>
      <c r="I2559" t="str">
        <f>+dHdcp[[#This Row],[Maximo]]&amp;":"&amp;_xlfn.XLOOKUP(dHdcp[[#This Row],[Nombre]],dJugador[Nombre],dJugador[Mote],"",0)</f>
        <v>0:Juancho</v>
      </c>
      <c r="J2559" t="str">
        <f>+IF(dHdcp[[#This Row],[Maximo]]=0,"",_xlfn.RANK.EQ(dHdcp[[#This Row],[Handicap]],dHdcp[Handicap],1))</f>
        <v/>
      </c>
      <c r="K2559" t="str">
        <f>IFERROR(+_xlfn.RANK.EQ(dHdcp[[#This Row],[Ranking]],dHdcp[Ranking],1),"")</f>
        <v/>
      </c>
      <c r="M2559" t="str">
        <f>+dHdcp[[#This Row],[Fecha]]&amp;":"&amp;dHdcp[[#This Row],[Nombre]]</f>
        <v>45794:Juan Jose Aguado</v>
      </c>
      <c r="N2559">
        <f>+COUNTIF(dHdcp[Columna1],dHdcp[[#This Row],[Columna1]])</f>
        <v>1</v>
      </c>
    </row>
    <row r="2560" spans="1:14">
      <c r="A2560" s="2">
        <v>45794</v>
      </c>
      <c r="B2560" t="s">
        <v>2516</v>
      </c>
      <c r="C2560" s="51">
        <v>17.100000000000001</v>
      </c>
      <c r="D2560" s="46">
        <f>+VLOOKUP(dHdcp[[#This Row],[Handicap]],'Categoría Hdcap'!$B$2:$E$7,4)</f>
        <v>3</v>
      </c>
      <c r="E2560" t="s">
        <v>74</v>
      </c>
      <c r="F2560" s="92"/>
      <c r="G2560">
        <f>+IF(dHdcp[[#This Row],[Fecha]]=MAX(dHdcp[Fecha]),1,0)</f>
        <v>0</v>
      </c>
      <c r="H2560" t="str">
        <f>+dHdcp[[#This Row],[Maximo]]&amp;":"&amp;dHdcp[[#This Row],[Nombre]]</f>
        <v>0:Juan Sanz</v>
      </c>
      <c r="I2560" t="str">
        <f>+dHdcp[[#This Row],[Maximo]]&amp;":"&amp;_xlfn.XLOOKUP(dHdcp[[#This Row],[Nombre]],dJugador[Nombre],dJugador[Mote],"",0)</f>
        <v>0:JuanSanz</v>
      </c>
      <c r="J2560" t="str">
        <f>+IF(dHdcp[[#This Row],[Maximo]]=0,"",_xlfn.RANK.EQ(dHdcp[[#This Row],[Handicap]],dHdcp[Handicap],1))</f>
        <v/>
      </c>
      <c r="K2560" t="str">
        <f>IFERROR(+_xlfn.RANK.EQ(dHdcp[[#This Row],[Ranking]],dHdcp[Ranking],1),"")</f>
        <v/>
      </c>
      <c r="M2560" t="str">
        <f>+dHdcp[[#This Row],[Fecha]]&amp;":"&amp;dHdcp[[#This Row],[Nombre]]</f>
        <v>45794:Juan Sanz</v>
      </c>
      <c r="N2560">
        <f>+COUNTIF(dHdcp[Columna1],dHdcp[[#This Row],[Columna1]])</f>
        <v>1</v>
      </c>
    </row>
    <row r="2561" spans="1:14">
      <c r="A2561" s="2">
        <v>45794</v>
      </c>
      <c r="B2561" t="s">
        <v>375</v>
      </c>
      <c r="C2561" s="51">
        <v>12</v>
      </c>
      <c r="D2561" s="46">
        <f>+VLOOKUP(dHdcp[[#This Row],[Handicap]],'Categoría Hdcap'!$B$2:$E$7,4)</f>
        <v>3</v>
      </c>
      <c r="E2561" t="s">
        <v>74</v>
      </c>
      <c r="F2561" s="92"/>
      <c r="G2561">
        <f>+IF(dHdcp[[#This Row],[Fecha]]=MAX(dHdcp[Fecha]),1,0)</f>
        <v>0</v>
      </c>
      <c r="H2561" t="str">
        <f>+dHdcp[[#This Row],[Maximo]]&amp;":"&amp;dHdcp[[#This Row],[Nombre]]</f>
        <v>0:Luis Fernandez</v>
      </c>
      <c r="I2561" t="str">
        <f>+dHdcp[[#This Row],[Maximo]]&amp;":"&amp;_xlfn.XLOOKUP(dHdcp[[#This Row],[Nombre]],dJugador[Nombre],dJugador[Mote],"",0)</f>
        <v>0:Luis</v>
      </c>
      <c r="J2561" t="str">
        <f>+IF(dHdcp[[#This Row],[Maximo]]=0,"",_xlfn.RANK.EQ(dHdcp[[#This Row],[Handicap]],dHdcp[Handicap],1))</f>
        <v/>
      </c>
      <c r="K2561" t="str">
        <f>IFERROR(+_xlfn.RANK.EQ(dHdcp[[#This Row],[Ranking]],dHdcp[Ranking],1),"")</f>
        <v/>
      </c>
      <c r="M2561" t="str">
        <f>+dHdcp[[#This Row],[Fecha]]&amp;":"&amp;dHdcp[[#This Row],[Nombre]]</f>
        <v>45794:Luis Fernandez</v>
      </c>
      <c r="N2561">
        <f>+COUNTIF(dHdcp[Columna1],dHdcp[[#This Row],[Columna1]])</f>
        <v>1</v>
      </c>
    </row>
    <row r="2562" spans="1:14">
      <c r="A2562" s="2">
        <v>45794</v>
      </c>
      <c r="B2562" t="s">
        <v>135</v>
      </c>
      <c r="C2562" s="51">
        <v>20.100000000000001</v>
      </c>
      <c r="D2562" s="46">
        <f>+VLOOKUP(dHdcp[[#This Row],[Handicap]],'Categoría Hdcap'!$B$2:$E$7,4)</f>
        <v>4</v>
      </c>
      <c r="E2562" t="s">
        <v>74</v>
      </c>
      <c r="F2562" s="92"/>
      <c r="G2562">
        <f>+IF(dHdcp[[#This Row],[Fecha]]=MAX(dHdcp[Fecha]),1,0)</f>
        <v>0</v>
      </c>
      <c r="H2562" t="str">
        <f>+dHdcp[[#This Row],[Maximo]]&amp;":"&amp;dHdcp[[#This Row],[Nombre]]</f>
        <v>0:Miche Lopez</v>
      </c>
      <c r="I2562" t="str">
        <f>+dHdcp[[#This Row],[Maximo]]&amp;":"&amp;_xlfn.XLOOKUP(dHdcp[[#This Row],[Nombre]],dJugador[Nombre],dJugador[Mote],"",0)</f>
        <v>0:Miche</v>
      </c>
      <c r="J2562" t="str">
        <f>+IF(dHdcp[[#This Row],[Maximo]]=0,"",_xlfn.RANK.EQ(dHdcp[[#This Row],[Handicap]],dHdcp[Handicap],1))</f>
        <v/>
      </c>
      <c r="K2562" t="str">
        <f>IFERROR(+_xlfn.RANK.EQ(dHdcp[[#This Row],[Ranking]],dHdcp[Ranking],1),"")</f>
        <v/>
      </c>
      <c r="M2562" t="str">
        <f>+dHdcp[[#This Row],[Fecha]]&amp;":"&amp;dHdcp[[#This Row],[Nombre]]</f>
        <v>45794:Miche Lopez</v>
      </c>
      <c r="N2562">
        <f>+COUNTIF(dHdcp[Columna1],dHdcp[[#This Row],[Columna1]])</f>
        <v>1</v>
      </c>
    </row>
    <row r="2563" spans="1:14">
      <c r="A2563" s="2">
        <v>45794</v>
      </c>
      <c r="B2563" t="s">
        <v>2603</v>
      </c>
      <c r="C2563" s="51">
        <v>7.8</v>
      </c>
      <c r="D2563" s="46">
        <f>+VLOOKUP(dHdcp[[#This Row],[Handicap]],'Categoría Hdcap'!$B$2:$E$7,4)</f>
        <v>2</v>
      </c>
      <c r="E2563" t="s">
        <v>74</v>
      </c>
      <c r="F2563" s="92"/>
      <c r="G2563">
        <f>+IF(dHdcp[[#This Row],[Fecha]]=MAX(dHdcp[Fecha]),1,0)</f>
        <v>0</v>
      </c>
      <c r="H2563" t="str">
        <f>+dHdcp[[#This Row],[Maximo]]&amp;":"&amp;dHdcp[[#This Row],[Nombre]]</f>
        <v>0:Miguel Angel Aguilera</v>
      </c>
      <c r="I2563" t="str">
        <f>+dHdcp[[#This Row],[Maximo]]&amp;":"&amp;_xlfn.XLOOKUP(dHdcp[[#This Row],[Nombre]],dJugador[Nombre],dJugador[Mote],"",0)</f>
        <v>0:M Angel</v>
      </c>
      <c r="J2563" t="str">
        <f>+IF(dHdcp[[#This Row],[Maximo]]=0,"",_xlfn.RANK.EQ(dHdcp[[#This Row],[Handicap]],dHdcp[Handicap],1))</f>
        <v/>
      </c>
      <c r="K2563" t="str">
        <f>IFERROR(+_xlfn.RANK.EQ(dHdcp[[#This Row],[Ranking]],dHdcp[Ranking],1),"")</f>
        <v/>
      </c>
      <c r="M2563" t="str">
        <f>+dHdcp[[#This Row],[Fecha]]&amp;":"&amp;dHdcp[[#This Row],[Nombre]]</f>
        <v>45794:Miguel Angel Aguilera</v>
      </c>
      <c r="N2563">
        <f>+COUNTIF(dHdcp[Columna1],dHdcp[[#This Row],[Columna1]])</f>
        <v>1</v>
      </c>
    </row>
    <row r="2564" spans="1:14">
      <c r="A2564" s="2">
        <v>45794</v>
      </c>
      <c r="B2564" t="s">
        <v>205</v>
      </c>
      <c r="C2564" s="51">
        <v>5.2</v>
      </c>
      <c r="D2564" s="46">
        <f>+VLOOKUP(dHdcp[[#This Row],[Handicap]],'Categoría Hdcap'!$B$2:$E$7,4)</f>
        <v>2</v>
      </c>
      <c r="E2564" t="s">
        <v>74</v>
      </c>
      <c r="F2564" s="92"/>
      <c r="G2564">
        <f>+IF(dHdcp[[#This Row],[Fecha]]=MAX(dHdcp[Fecha]),1,0)</f>
        <v>0</v>
      </c>
      <c r="H2564" t="str">
        <f>+dHdcp[[#This Row],[Maximo]]&amp;":"&amp;dHdcp[[#This Row],[Nombre]]</f>
        <v>0:Nacho Casas</v>
      </c>
      <c r="I2564" t="str">
        <f>+dHdcp[[#This Row],[Maximo]]&amp;":"&amp;_xlfn.XLOOKUP(dHdcp[[#This Row],[Nombre]],dJugador[Nombre],dJugador[Mote],"",0)</f>
        <v>0:Nachete</v>
      </c>
      <c r="J2564" t="str">
        <f>+IF(dHdcp[[#This Row],[Maximo]]=0,"",_xlfn.RANK.EQ(dHdcp[[#This Row],[Handicap]],dHdcp[Handicap],1))</f>
        <v/>
      </c>
      <c r="K2564" t="str">
        <f>IFERROR(+_xlfn.RANK.EQ(dHdcp[[#This Row],[Ranking]],dHdcp[Ranking],1),"")</f>
        <v/>
      </c>
      <c r="M2564" t="str">
        <f>+dHdcp[[#This Row],[Fecha]]&amp;":"&amp;dHdcp[[#This Row],[Nombre]]</f>
        <v>45794:Nacho Casas</v>
      </c>
      <c r="N2564">
        <f>+COUNTIF(dHdcp[Columna1],dHdcp[[#This Row],[Columna1]])</f>
        <v>1</v>
      </c>
    </row>
    <row r="2565" spans="1:14">
      <c r="A2565" s="2">
        <v>45794</v>
      </c>
      <c r="B2565" t="s">
        <v>3</v>
      </c>
      <c r="C2565" s="51">
        <v>4.7</v>
      </c>
      <c r="D2565" s="46">
        <f>+VLOOKUP(dHdcp[[#This Row],[Handicap]],'Categoría Hdcap'!$B$2:$E$7,4)</f>
        <v>2</v>
      </c>
      <c r="E2565" t="s">
        <v>74</v>
      </c>
      <c r="F2565" s="92"/>
      <c r="G2565">
        <f>+IF(dHdcp[[#This Row],[Fecha]]=MAX(dHdcp[Fecha]),1,0)</f>
        <v>0</v>
      </c>
      <c r="H2565" t="str">
        <f>+dHdcp[[#This Row],[Maximo]]&amp;":"&amp;dHdcp[[#This Row],[Nombre]]</f>
        <v>0:Nacho Gonzalez</v>
      </c>
      <c r="I2565" t="str">
        <f>+dHdcp[[#This Row],[Maximo]]&amp;":"&amp;_xlfn.XLOOKUP(dHdcp[[#This Row],[Nombre]],dJugador[Nombre],dJugador[Mote],"",0)</f>
        <v>0:Nacho</v>
      </c>
      <c r="J2565" t="str">
        <f>+IF(dHdcp[[#This Row],[Maximo]]=0,"",_xlfn.RANK.EQ(dHdcp[[#This Row],[Handicap]],dHdcp[Handicap],1))</f>
        <v/>
      </c>
      <c r="K2565" t="str">
        <f>IFERROR(+_xlfn.RANK.EQ(dHdcp[[#This Row],[Ranking]],dHdcp[Ranking],1),"")</f>
        <v/>
      </c>
      <c r="M2565" t="str">
        <f>+dHdcp[[#This Row],[Fecha]]&amp;":"&amp;dHdcp[[#This Row],[Nombre]]</f>
        <v>45794:Nacho Gonzalez</v>
      </c>
      <c r="N2565">
        <f>+COUNTIF(dHdcp[Columna1],dHdcp[[#This Row],[Columna1]])</f>
        <v>1</v>
      </c>
    </row>
    <row r="2566" spans="1:14">
      <c r="A2566" s="2">
        <v>45794</v>
      </c>
      <c r="B2566" t="s">
        <v>203</v>
      </c>
      <c r="C2566" s="51">
        <v>17.899999999999999</v>
      </c>
      <c r="D2566" s="46">
        <f>+VLOOKUP(dHdcp[[#This Row],[Handicap]],'Categoría Hdcap'!$B$2:$E$7,4)</f>
        <v>3</v>
      </c>
      <c r="E2566" t="s">
        <v>74</v>
      </c>
      <c r="F2566" s="92"/>
      <c r="G2566">
        <f>+IF(dHdcp[[#This Row],[Fecha]]=MAX(dHdcp[Fecha]),1,0)</f>
        <v>0</v>
      </c>
      <c r="H2566" t="str">
        <f>+dHdcp[[#This Row],[Maximo]]&amp;":"&amp;dHdcp[[#This Row],[Nombre]]</f>
        <v>0:Ruslan Kochman</v>
      </c>
      <c r="I2566" t="str">
        <f>+dHdcp[[#This Row],[Maximo]]&amp;":"&amp;_xlfn.XLOOKUP(dHdcp[[#This Row],[Nombre]],dJugador[Nombre],dJugador[Mote],"",0)</f>
        <v>0:Rus</v>
      </c>
      <c r="J2566" t="str">
        <f>+IF(dHdcp[[#This Row],[Maximo]]=0,"",_xlfn.RANK.EQ(dHdcp[[#This Row],[Handicap]],dHdcp[Handicap],1))</f>
        <v/>
      </c>
      <c r="K2566" t="str">
        <f>IFERROR(+_xlfn.RANK.EQ(dHdcp[[#This Row],[Ranking]],dHdcp[Ranking],1),"")</f>
        <v/>
      </c>
      <c r="M2566" t="str">
        <f>+dHdcp[[#This Row],[Fecha]]&amp;":"&amp;dHdcp[[#This Row],[Nombre]]</f>
        <v>45794:Ruslan Kochman</v>
      </c>
      <c r="N2566">
        <f>+COUNTIF(dHdcp[Columna1],dHdcp[[#This Row],[Columna1]])</f>
        <v>1</v>
      </c>
    </row>
    <row r="2567" spans="1:14">
      <c r="A2567" s="2">
        <v>45794</v>
      </c>
      <c r="B2567" t="s">
        <v>271</v>
      </c>
      <c r="C2567" s="51">
        <v>16.399999999999999</v>
      </c>
      <c r="D2567" s="46">
        <f>+VLOOKUP(dHdcp[[#This Row],[Handicap]],'Categoría Hdcap'!$B$2:$E$7,4)</f>
        <v>3</v>
      </c>
      <c r="E2567" t="s">
        <v>74</v>
      </c>
      <c r="F2567" s="92"/>
      <c r="G2567">
        <f>+IF(dHdcp[[#This Row],[Fecha]]=MAX(dHdcp[Fecha]),1,0)</f>
        <v>0</v>
      </c>
      <c r="H2567" t="str">
        <f>+dHdcp[[#This Row],[Maximo]]&amp;":"&amp;dHdcp[[#This Row],[Nombre]]</f>
        <v>0:Santi Diaz</v>
      </c>
      <c r="I2567" t="str">
        <f>+dHdcp[[#This Row],[Maximo]]&amp;":"&amp;_xlfn.XLOOKUP(dHdcp[[#This Row],[Nombre]],dJugador[Nombre],dJugador[Mote],"",0)</f>
        <v>0:Santi</v>
      </c>
      <c r="J2567" t="str">
        <f>+IF(dHdcp[[#This Row],[Maximo]]=0,"",_xlfn.RANK.EQ(dHdcp[[#This Row],[Handicap]],dHdcp[Handicap],1))</f>
        <v/>
      </c>
      <c r="K2567" t="str">
        <f>IFERROR(+_xlfn.RANK.EQ(dHdcp[[#This Row],[Ranking]],dHdcp[Ranking],1),"")</f>
        <v/>
      </c>
      <c r="M2567" t="str">
        <f>+dHdcp[[#This Row],[Fecha]]&amp;":"&amp;dHdcp[[#This Row],[Nombre]]</f>
        <v>45794:Santi Diaz</v>
      </c>
      <c r="N2567">
        <f>+COUNTIF(dHdcp[Columna1],dHdcp[[#This Row],[Columna1]])</f>
        <v>1</v>
      </c>
    </row>
    <row r="2568" spans="1:14">
      <c r="A2568" s="2">
        <v>45794</v>
      </c>
      <c r="B2568" t="s">
        <v>2473</v>
      </c>
      <c r="C2568" s="51">
        <v>14.2</v>
      </c>
      <c r="D2568" s="46">
        <f>+VLOOKUP(dHdcp[[#This Row],[Handicap]],'Categoría Hdcap'!$B$2:$E$7,4)</f>
        <v>3</v>
      </c>
      <c r="E2568" t="s">
        <v>74</v>
      </c>
      <c r="F2568" s="92"/>
      <c r="G2568">
        <f>+IF(dHdcp[[#This Row],[Fecha]]=MAX(dHdcp[Fecha]),1,0)</f>
        <v>0</v>
      </c>
      <c r="H2568" t="str">
        <f>+dHdcp[[#This Row],[Maximo]]&amp;":"&amp;dHdcp[[#This Row],[Nombre]]</f>
        <v>0:Thomas Dauterman</v>
      </c>
      <c r="I2568" t="str">
        <f>+dHdcp[[#This Row],[Maximo]]&amp;":"&amp;_xlfn.XLOOKUP(dHdcp[[#This Row],[Nombre]],dJugador[Nombre],dJugador[Mote],"",0)</f>
        <v>0:Tom</v>
      </c>
      <c r="J2568" t="str">
        <f>+IF(dHdcp[[#This Row],[Maximo]]=0,"",_xlfn.RANK.EQ(dHdcp[[#This Row],[Handicap]],dHdcp[Handicap],1))</f>
        <v/>
      </c>
      <c r="K2568" t="str">
        <f>IFERROR(+_xlfn.RANK.EQ(dHdcp[[#This Row],[Ranking]],dHdcp[Ranking],1),"")</f>
        <v/>
      </c>
      <c r="M2568" t="str">
        <f>+dHdcp[[#This Row],[Fecha]]&amp;":"&amp;dHdcp[[#This Row],[Nombre]]</f>
        <v>45794:Thomas Dauterman</v>
      </c>
      <c r="N2568">
        <f>+COUNTIF(dHdcp[Columna1],dHdcp[[#This Row],[Columna1]])</f>
        <v>1</v>
      </c>
    </row>
    <row r="2569" spans="1:14">
      <c r="A2569" s="2">
        <v>45795</v>
      </c>
      <c r="B2569" t="s">
        <v>259</v>
      </c>
      <c r="C2569" s="51">
        <v>0.6</v>
      </c>
      <c r="D2569" s="46">
        <f>+VLOOKUP(dHdcp[[#This Row],[Handicap]],'Categoría Hdcap'!$B$2:$E$7,4)</f>
        <v>1</v>
      </c>
      <c r="E2569" t="s">
        <v>74</v>
      </c>
      <c r="F2569" s="92"/>
      <c r="G2569">
        <f>+IF(dHdcp[[#This Row],[Fecha]]=MAX(dHdcp[Fecha]),1,0)</f>
        <v>0</v>
      </c>
      <c r="H2569" t="str">
        <f>+dHdcp[[#This Row],[Maximo]]&amp;":"&amp;dHdcp[[#This Row],[Nombre]]</f>
        <v>0:Alejandro Arcos</v>
      </c>
      <c r="I2569" t="str">
        <f>+dHdcp[[#This Row],[Maximo]]&amp;":"&amp;_xlfn.XLOOKUP(dHdcp[[#This Row],[Nombre]],dJugador[Nombre],dJugador[Mote],"",0)</f>
        <v>0:Alex</v>
      </c>
      <c r="J2569" t="str">
        <f>+IF(dHdcp[[#This Row],[Maximo]]=0,"",_xlfn.RANK.EQ(dHdcp[[#This Row],[Handicap]],dHdcp[Handicap],1))</f>
        <v/>
      </c>
      <c r="K2569" t="str">
        <f>IFERROR(+_xlfn.RANK.EQ(dHdcp[[#This Row],[Ranking]],dHdcp[Ranking],1),"")</f>
        <v/>
      </c>
      <c r="M2569" t="str">
        <f>+dHdcp[[#This Row],[Fecha]]&amp;":"&amp;dHdcp[[#This Row],[Nombre]]</f>
        <v>45795:Alejandro Arcos</v>
      </c>
      <c r="N2569">
        <f>+COUNTIF(dHdcp[Columna1],dHdcp[[#This Row],[Columna1]])</f>
        <v>1</v>
      </c>
    </row>
    <row r="2570" spans="1:14">
      <c r="A2570" s="2">
        <v>45795</v>
      </c>
      <c r="B2570" t="s">
        <v>9</v>
      </c>
      <c r="C2570" s="51">
        <v>11.6</v>
      </c>
      <c r="D2570" s="46">
        <f>+VLOOKUP(dHdcp[[#This Row],[Handicap]],'Categoría Hdcap'!$B$2:$E$7,4)</f>
        <v>3</v>
      </c>
      <c r="E2570" t="s">
        <v>74</v>
      </c>
      <c r="F2570" s="92"/>
      <c r="G2570">
        <f>+IF(dHdcp[[#This Row],[Fecha]]=MAX(dHdcp[Fecha]),1,0)</f>
        <v>0</v>
      </c>
      <c r="H2570" t="str">
        <f>+dHdcp[[#This Row],[Maximo]]&amp;":"&amp;dHdcp[[#This Row],[Nombre]]</f>
        <v>0:Alfonso Hidalgo</v>
      </c>
      <c r="I2570" t="str">
        <f>+dHdcp[[#This Row],[Maximo]]&amp;":"&amp;_xlfn.XLOOKUP(dHdcp[[#This Row],[Nombre]],dJugador[Nombre],dJugador[Mote],"",0)</f>
        <v>0:Alfonso</v>
      </c>
      <c r="J2570" t="str">
        <f>+IF(dHdcp[[#This Row],[Maximo]]=0,"",_xlfn.RANK.EQ(dHdcp[[#This Row],[Handicap]],dHdcp[Handicap],1))</f>
        <v/>
      </c>
      <c r="K2570" t="str">
        <f>IFERROR(+_xlfn.RANK.EQ(dHdcp[[#This Row],[Ranking]],dHdcp[Ranking],1),"")</f>
        <v/>
      </c>
      <c r="M2570" t="str">
        <f>+dHdcp[[#This Row],[Fecha]]&amp;":"&amp;dHdcp[[#This Row],[Nombre]]</f>
        <v>45795:Alfonso Hidalgo</v>
      </c>
      <c r="N2570">
        <f>+COUNTIF(dHdcp[Columna1],dHdcp[[#This Row],[Columna1]])</f>
        <v>1</v>
      </c>
    </row>
    <row r="2571" spans="1:14">
      <c r="A2571" s="2">
        <v>45795</v>
      </c>
      <c r="B2571" t="s">
        <v>15</v>
      </c>
      <c r="C2571" s="51">
        <v>6.4</v>
      </c>
      <c r="D2571" s="46">
        <f>+VLOOKUP(dHdcp[[#This Row],[Handicap]],'Categoría Hdcap'!$B$2:$E$7,4)</f>
        <v>2</v>
      </c>
      <c r="E2571" t="s">
        <v>74</v>
      </c>
      <c r="F2571" s="92"/>
      <c r="G2571">
        <f>+IF(dHdcp[[#This Row],[Fecha]]=MAX(dHdcp[Fecha]),1,0)</f>
        <v>0</v>
      </c>
      <c r="H2571" t="str">
        <f>+dHdcp[[#This Row],[Maximo]]&amp;":"&amp;dHdcp[[#This Row],[Nombre]]</f>
        <v>0:Alvaro Aguirre</v>
      </c>
      <c r="I2571" t="str">
        <f>+dHdcp[[#This Row],[Maximo]]&amp;":"&amp;_xlfn.XLOOKUP(dHdcp[[#This Row],[Nombre]],dJugador[Nombre],dJugador[Mote],"",0)</f>
        <v>0:Gifu</v>
      </c>
      <c r="J2571" t="str">
        <f>+IF(dHdcp[[#This Row],[Maximo]]=0,"",_xlfn.RANK.EQ(dHdcp[[#This Row],[Handicap]],dHdcp[Handicap],1))</f>
        <v/>
      </c>
      <c r="K2571" t="str">
        <f>IFERROR(+_xlfn.RANK.EQ(dHdcp[[#This Row],[Ranking]],dHdcp[Ranking],1),"")</f>
        <v/>
      </c>
      <c r="M2571" t="str">
        <f>+dHdcp[[#This Row],[Fecha]]&amp;":"&amp;dHdcp[[#This Row],[Nombre]]</f>
        <v>45795:Alvaro Aguirre</v>
      </c>
      <c r="N2571">
        <f>+COUNTIF(dHdcp[Columna1],dHdcp[[#This Row],[Columna1]])</f>
        <v>1</v>
      </c>
    </row>
    <row r="2572" spans="1:14">
      <c r="A2572" s="2">
        <v>45795</v>
      </c>
      <c r="B2572" t="s">
        <v>201</v>
      </c>
      <c r="C2572" s="53">
        <v>7.8</v>
      </c>
      <c r="D2572" s="46">
        <f>+VLOOKUP(dHdcp[[#This Row],[Handicap]],'Categoría Hdcap'!$B$2:$E$7,4)</f>
        <v>2</v>
      </c>
      <c r="E2572" t="s">
        <v>74</v>
      </c>
      <c r="F2572" s="92"/>
      <c r="G2572">
        <f>+IF(dHdcp[[#This Row],[Fecha]]=MAX(dHdcp[Fecha]),1,0)</f>
        <v>0</v>
      </c>
      <c r="H2572" t="str">
        <f>+dHdcp[[#This Row],[Maximo]]&amp;":"&amp;dHdcp[[#This Row],[Nombre]]</f>
        <v>0:Alvaro Montoya</v>
      </c>
      <c r="I2572" t="str">
        <f>+dHdcp[[#This Row],[Maximo]]&amp;":"&amp;_xlfn.XLOOKUP(dHdcp[[#This Row],[Nombre]],dJugador[Nombre],dJugador[Mote],"",0)</f>
        <v>0:Monti</v>
      </c>
      <c r="J2572" t="str">
        <f>+IF(dHdcp[[#This Row],[Maximo]]=0,"",_xlfn.RANK.EQ(dHdcp[[#This Row],[Handicap]],dHdcp[Handicap],1))</f>
        <v/>
      </c>
      <c r="K2572" t="str">
        <f>IFERROR(+_xlfn.RANK.EQ(dHdcp[[#This Row],[Ranking]],dHdcp[Ranking],1),"")</f>
        <v/>
      </c>
      <c r="M2572" t="str">
        <f>+dHdcp[[#This Row],[Fecha]]&amp;":"&amp;dHdcp[[#This Row],[Nombre]]</f>
        <v>45795:Alvaro Montoya</v>
      </c>
      <c r="N2572">
        <f>+COUNTIF(dHdcp[Columna1],dHdcp[[#This Row],[Columna1]])</f>
        <v>1</v>
      </c>
    </row>
    <row r="2573" spans="1:14">
      <c r="A2573" s="2">
        <v>45795</v>
      </c>
      <c r="B2573" t="s">
        <v>25</v>
      </c>
      <c r="C2573" s="51">
        <v>15.2</v>
      </c>
      <c r="D2573" s="46">
        <f>+VLOOKUP(dHdcp[[#This Row],[Handicap]],'Categoría Hdcap'!$B$2:$E$7,4)</f>
        <v>3</v>
      </c>
      <c r="E2573" t="s">
        <v>74</v>
      </c>
      <c r="F2573" s="92"/>
      <c r="G2573">
        <f>+IF(dHdcp[[#This Row],[Fecha]]=MAX(dHdcp[Fecha]),1,0)</f>
        <v>0</v>
      </c>
      <c r="H2573" t="str">
        <f>+dHdcp[[#This Row],[Maximo]]&amp;":"&amp;dHdcp[[#This Row],[Nombre]]</f>
        <v>0:Alvaro Nieto</v>
      </c>
      <c r="I2573" t="str">
        <f>+dHdcp[[#This Row],[Maximo]]&amp;":"&amp;_xlfn.XLOOKUP(dHdcp[[#This Row],[Nombre]],dJugador[Nombre],dJugador[Mote],"",0)</f>
        <v>0:Alvaro</v>
      </c>
      <c r="J2573" t="str">
        <f>+IF(dHdcp[[#This Row],[Maximo]]=0,"",_xlfn.RANK.EQ(dHdcp[[#This Row],[Handicap]],dHdcp[Handicap],1))</f>
        <v/>
      </c>
      <c r="K2573" t="str">
        <f>IFERROR(+_xlfn.RANK.EQ(dHdcp[[#This Row],[Ranking]],dHdcp[Ranking],1),"")</f>
        <v/>
      </c>
      <c r="M2573" t="str">
        <f>+dHdcp[[#This Row],[Fecha]]&amp;":"&amp;dHdcp[[#This Row],[Nombre]]</f>
        <v>45795:Alvaro Nieto</v>
      </c>
      <c r="N2573">
        <f>+COUNTIF(dHdcp[Columna1],dHdcp[[#This Row],[Columna1]])</f>
        <v>1</v>
      </c>
    </row>
    <row r="2574" spans="1:14">
      <c r="A2574" s="2">
        <v>45795</v>
      </c>
      <c r="B2574" t="s">
        <v>33</v>
      </c>
      <c r="C2574" s="53">
        <v>8</v>
      </c>
      <c r="D2574" s="46">
        <f>+VLOOKUP(dHdcp[[#This Row],[Handicap]],'Categoría Hdcap'!$B$2:$E$7,4)</f>
        <v>2</v>
      </c>
      <c r="E2574" t="s">
        <v>74</v>
      </c>
      <c r="F2574" s="92"/>
      <c r="G2574">
        <f>+IF(dHdcp[[#This Row],[Fecha]]=MAX(dHdcp[Fecha]),1,0)</f>
        <v>0</v>
      </c>
      <c r="H2574" t="str">
        <f>+dHdcp[[#This Row],[Maximo]]&amp;":"&amp;dHdcp[[#This Row],[Nombre]]</f>
        <v>0:Angel Hernandez</v>
      </c>
      <c r="I2574" t="str">
        <f>+dHdcp[[#This Row],[Maximo]]&amp;":"&amp;_xlfn.XLOOKUP(dHdcp[[#This Row],[Nombre]],dJugador[Nombre],dJugador[Mote],"",0)</f>
        <v>0:Angel</v>
      </c>
      <c r="J2574" t="str">
        <f>+IF(dHdcp[[#This Row],[Maximo]]=0,"",_xlfn.RANK.EQ(dHdcp[[#This Row],[Handicap]],dHdcp[Handicap],1))</f>
        <v/>
      </c>
      <c r="K2574" t="str">
        <f>IFERROR(+_xlfn.RANK.EQ(dHdcp[[#This Row],[Ranking]],dHdcp[Ranking],1),"")</f>
        <v/>
      </c>
      <c r="M2574" t="str">
        <f>+dHdcp[[#This Row],[Fecha]]&amp;":"&amp;dHdcp[[#This Row],[Nombre]]</f>
        <v>45795:Angel Hernandez</v>
      </c>
      <c r="N2574">
        <f>+COUNTIF(dHdcp[Columna1],dHdcp[[#This Row],[Columna1]])</f>
        <v>1</v>
      </c>
    </row>
    <row r="2575" spans="1:14">
      <c r="A2575" s="2">
        <v>45795</v>
      </c>
      <c r="B2575" t="s">
        <v>2469</v>
      </c>
      <c r="C2575" s="51">
        <v>6.1</v>
      </c>
      <c r="D2575" s="46">
        <f>+VLOOKUP(dHdcp[[#This Row],[Handicap]],'Categoría Hdcap'!$B$2:$E$7,4)</f>
        <v>2</v>
      </c>
      <c r="E2575" t="s">
        <v>74</v>
      </c>
      <c r="F2575" s="92"/>
      <c r="G2575">
        <f>+IF(dHdcp[[#This Row],[Fecha]]=MAX(dHdcp[Fecha]),1,0)</f>
        <v>0</v>
      </c>
      <c r="H2575" t="str">
        <f>+dHdcp[[#This Row],[Maximo]]&amp;":"&amp;dHdcp[[#This Row],[Nombre]]</f>
        <v>0:Angel Santana</v>
      </c>
      <c r="I2575" t="str">
        <f>+dHdcp[[#This Row],[Maximo]]&amp;":"&amp;_xlfn.XLOOKUP(dHdcp[[#This Row],[Nombre]],dJugador[Nombre],dJugador[Mote],"",0)</f>
        <v>0:A.Santana</v>
      </c>
      <c r="J2575" t="str">
        <f>+IF(dHdcp[[#This Row],[Maximo]]=0,"",_xlfn.RANK.EQ(dHdcp[[#This Row],[Handicap]],dHdcp[Handicap],1))</f>
        <v/>
      </c>
      <c r="K2575" t="str">
        <f>IFERROR(+_xlfn.RANK.EQ(dHdcp[[#This Row],[Ranking]],dHdcp[Ranking],1),"")</f>
        <v/>
      </c>
      <c r="M2575" t="str">
        <f>+dHdcp[[#This Row],[Fecha]]&amp;":"&amp;dHdcp[[#This Row],[Nombre]]</f>
        <v>45795:Angel Santana</v>
      </c>
      <c r="N2575">
        <f>+COUNTIF(dHdcp[Columna1],dHdcp[[#This Row],[Columna1]])</f>
        <v>1</v>
      </c>
    </row>
    <row r="2576" spans="1:14">
      <c r="A2576" s="2">
        <v>45795</v>
      </c>
      <c r="B2576" t="s">
        <v>264</v>
      </c>
      <c r="C2576" s="51">
        <v>18.899999999999999</v>
      </c>
      <c r="D2576" s="46">
        <f>+VLOOKUP(dHdcp[[#This Row],[Handicap]],'Categoría Hdcap'!$B$2:$E$7,4)</f>
        <v>4</v>
      </c>
      <c r="E2576" t="s">
        <v>74</v>
      </c>
      <c r="F2576" s="92"/>
      <c r="G2576">
        <f>+IF(dHdcp[[#This Row],[Fecha]]=MAX(dHdcp[Fecha]),1,0)</f>
        <v>0</v>
      </c>
      <c r="H2576" t="str">
        <f>+dHdcp[[#This Row],[Maximo]]&amp;":"&amp;dHdcp[[#This Row],[Nombre]]</f>
        <v>0:Antonio Carmona</v>
      </c>
      <c r="I2576" t="str">
        <f>+dHdcp[[#This Row],[Maximo]]&amp;":"&amp;_xlfn.XLOOKUP(dHdcp[[#This Row],[Nombre]],dJugador[Nombre],dJugador[Mote],"",0)</f>
        <v>0:Antonio</v>
      </c>
      <c r="J2576" t="str">
        <f>+IF(dHdcp[[#This Row],[Maximo]]=0,"",_xlfn.RANK.EQ(dHdcp[[#This Row],[Handicap]],dHdcp[Handicap],1))</f>
        <v/>
      </c>
      <c r="K2576" t="str">
        <f>IFERROR(+_xlfn.RANK.EQ(dHdcp[[#This Row],[Ranking]],dHdcp[Ranking],1),"")</f>
        <v/>
      </c>
      <c r="M2576" t="str">
        <f>+dHdcp[[#This Row],[Fecha]]&amp;":"&amp;dHdcp[[#This Row],[Nombre]]</f>
        <v>45795:Antonio Carmona</v>
      </c>
      <c r="N2576">
        <f>+COUNTIF(dHdcp[Columna1],dHdcp[[#This Row],[Columna1]])</f>
        <v>1</v>
      </c>
    </row>
    <row r="2577" spans="1:14">
      <c r="A2577" s="2">
        <v>45795</v>
      </c>
      <c r="B2577" t="s">
        <v>291</v>
      </c>
      <c r="C2577" s="51">
        <v>1.6</v>
      </c>
      <c r="D2577" s="46">
        <f>+VLOOKUP(dHdcp[[#This Row],[Handicap]],'Categoría Hdcap'!$B$2:$E$7,4)</f>
        <v>1</v>
      </c>
      <c r="E2577" t="s">
        <v>74</v>
      </c>
      <c r="F2577" s="92"/>
      <c r="G2577">
        <f>+IF(dHdcp[[#This Row],[Fecha]]=MAX(dHdcp[Fecha]),1,0)</f>
        <v>0</v>
      </c>
      <c r="H2577" t="str">
        <f>+dHdcp[[#This Row],[Maximo]]&amp;":"&amp;dHdcp[[#This Row],[Nombre]]</f>
        <v>0:Carlos Maestro</v>
      </c>
      <c r="I2577" t="str">
        <f>+dHdcp[[#This Row],[Maximo]]&amp;":"&amp;_xlfn.XLOOKUP(dHdcp[[#This Row],[Nombre]],dJugador[Nombre],dJugador[Mote],"",0)</f>
        <v>0:Carlitos</v>
      </c>
      <c r="J2577" t="str">
        <f>+IF(dHdcp[[#This Row],[Maximo]]=0,"",_xlfn.RANK.EQ(dHdcp[[#This Row],[Handicap]],dHdcp[Handicap],1))</f>
        <v/>
      </c>
      <c r="K2577" t="str">
        <f>IFERROR(+_xlfn.RANK.EQ(dHdcp[[#This Row],[Ranking]],dHdcp[Ranking],1),"")</f>
        <v/>
      </c>
      <c r="M2577" t="str">
        <f>+dHdcp[[#This Row],[Fecha]]&amp;":"&amp;dHdcp[[#This Row],[Nombre]]</f>
        <v>45795:Carlos Maestro</v>
      </c>
      <c r="N2577">
        <f>+COUNTIF(dHdcp[Columna1],dHdcp[[#This Row],[Columna1]])</f>
        <v>1</v>
      </c>
    </row>
    <row r="2578" spans="1:14">
      <c r="A2578" s="2">
        <v>45795</v>
      </c>
      <c r="B2578" t="s">
        <v>30</v>
      </c>
      <c r="C2578" s="51">
        <v>14.2</v>
      </c>
      <c r="D2578" s="46">
        <f>+VLOOKUP(dHdcp[[#This Row],[Handicap]],'Categoría Hdcap'!$B$2:$E$7,4)</f>
        <v>3</v>
      </c>
      <c r="E2578" t="s">
        <v>74</v>
      </c>
      <c r="F2578" s="92"/>
      <c r="G2578">
        <f>+IF(dHdcp[[#This Row],[Fecha]]=MAX(dHdcp[Fecha]),1,0)</f>
        <v>0</v>
      </c>
      <c r="H2578" t="str">
        <f>+dHdcp[[#This Row],[Maximo]]&amp;":"&amp;dHdcp[[#This Row],[Nombre]]</f>
        <v>0:David Sequera</v>
      </c>
      <c r="I2578" t="str">
        <f>+dHdcp[[#This Row],[Maximo]]&amp;":"&amp;_xlfn.XLOOKUP(dHdcp[[#This Row],[Nombre]],dJugador[Nombre],dJugador[Mote],"",0)</f>
        <v>0:David</v>
      </c>
      <c r="J2578" t="str">
        <f>+IF(dHdcp[[#This Row],[Maximo]]=0,"",_xlfn.RANK.EQ(dHdcp[[#This Row],[Handicap]],dHdcp[Handicap],1))</f>
        <v/>
      </c>
      <c r="K2578" t="str">
        <f>IFERROR(+_xlfn.RANK.EQ(dHdcp[[#This Row],[Ranking]],dHdcp[Ranking],1),"")</f>
        <v/>
      </c>
      <c r="M2578" t="str">
        <f>+dHdcp[[#This Row],[Fecha]]&amp;":"&amp;dHdcp[[#This Row],[Nombre]]</f>
        <v>45795:David Sequera</v>
      </c>
      <c r="N2578">
        <f>+COUNTIF(dHdcp[Columna1],dHdcp[[#This Row],[Columna1]])</f>
        <v>1</v>
      </c>
    </row>
    <row r="2579" spans="1:14">
      <c r="A2579" s="2">
        <v>45795</v>
      </c>
      <c r="B2579" t="s">
        <v>326</v>
      </c>
      <c r="C2579" s="53">
        <v>8.4</v>
      </c>
      <c r="D2579" s="46">
        <f>+VLOOKUP(dHdcp[[#This Row],[Handicap]],'Categoría Hdcap'!$B$2:$E$7,4)</f>
        <v>2</v>
      </c>
      <c r="E2579" t="s">
        <v>74</v>
      </c>
      <c r="F2579" s="92"/>
      <c r="G2579">
        <f>+IF(dHdcp[[#This Row],[Fecha]]=MAX(dHdcp[Fecha]),1,0)</f>
        <v>0</v>
      </c>
      <c r="H2579" t="str">
        <f>+dHdcp[[#This Row],[Maximo]]&amp;":"&amp;dHdcp[[#This Row],[Nombre]]</f>
        <v>0:Eduardo Buendía</v>
      </c>
      <c r="I2579" t="str">
        <f>+dHdcp[[#This Row],[Maximo]]&amp;":"&amp;_xlfn.XLOOKUP(dHdcp[[#This Row],[Nombre]],dJugador[Nombre],dJugador[Mote],"",0)</f>
        <v>0:Eduardo</v>
      </c>
      <c r="J2579" t="str">
        <f>+IF(dHdcp[[#This Row],[Maximo]]=0,"",_xlfn.RANK.EQ(dHdcp[[#This Row],[Handicap]],dHdcp[Handicap],1))</f>
        <v/>
      </c>
      <c r="K2579" t="str">
        <f>IFERROR(+_xlfn.RANK.EQ(dHdcp[[#This Row],[Ranking]],dHdcp[Ranking],1),"")</f>
        <v/>
      </c>
      <c r="M2579" t="str">
        <f>+dHdcp[[#This Row],[Fecha]]&amp;":"&amp;dHdcp[[#This Row],[Nombre]]</f>
        <v>45795:Eduardo Buendía</v>
      </c>
      <c r="N2579">
        <f>+COUNTIF(dHdcp[Columna1],dHdcp[[#This Row],[Columna1]])</f>
        <v>1</v>
      </c>
    </row>
    <row r="2580" spans="1:14">
      <c r="A2580" s="2">
        <v>45795</v>
      </c>
      <c r="B2580" t="s">
        <v>248</v>
      </c>
      <c r="C2580" s="51">
        <v>13.4</v>
      </c>
      <c r="D2580" s="46">
        <f>+VLOOKUP(dHdcp[[#This Row],[Handicap]],'Categoría Hdcap'!$B$2:$E$7,4)</f>
        <v>3</v>
      </c>
      <c r="E2580" t="s">
        <v>74</v>
      </c>
      <c r="F2580" s="92"/>
      <c r="G2580">
        <f>+IF(dHdcp[[#This Row],[Fecha]]=MAX(dHdcp[Fecha]),1,0)</f>
        <v>0</v>
      </c>
      <c r="H2580" t="str">
        <f>+dHdcp[[#This Row],[Maximo]]&amp;":"&amp;dHdcp[[#This Row],[Nombre]]</f>
        <v>0:Enrique Gonzalez R</v>
      </c>
      <c r="I2580" t="str">
        <f>+dHdcp[[#This Row],[Maximo]]&amp;":"&amp;_xlfn.XLOOKUP(dHdcp[[#This Row],[Nombre]],dJugador[Nombre],dJugador[Mote],"",0)</f>
        <v>0:Enrique</v>
      </c>
      <c r="J2580" t="str">
        <f>+IF(dHdcp[[#This Row],[Maximo]]=0,"",_xlfn.RANK.EQ(dHdcp[[#This Row],[Handicap]],dHdcp[Handicap],1))</f>
        <v/>
      </c>
      <c r="K2580" t="str">
        <f>IFERROR(+_xlfn.RANK.EQ(dHdcp[[#This Row],[Ranking]],dHdcp[Ranking],1),"")</f>
        <v/>
      </c>
      <c r="M2580" t="str">
        <f>+dHdcp[[#This Row],[Fecha]]&amp;":"&amp;dHdcp[[#This Row],[Nombre]]</f>
        <v>45795:Enrique Gonzalez R</v>
      </c>
      <c r="N2580">
        <f>+COUNTIF(dHdcp[Columna1],dHdcp[[#This Row],[Columna1]])</f>
        <v>1</v>
      </c>
    </row>
    <row r="2581" spans="1:14">
      <c r="A2581" s="2">
        <v>45795</v>
      </c>
      <c r="B2581" t="s">
        <v>12</v>
      </c>
      <c r="C2581" s="51">
        <v>15.9</v>
      </c>
      <c r="D2581" s="46">
        <f>+VLOOKUP(dHdcp[[#This Row],[Handicap]],'Categoría Hdcap'!$B$2:$E$7,4)</f>
        <v>3</v>
      </c>
      <c r="E2581" t="s">
        <v>74</v>
      </c>
      <c r="F2581" s="92"/>
      <c r="G2581">
        <f>+IF(dHdcp[[#This Row],[Fecha]]=MAX(dHdcp[Fecha]),1,0)</f>
        <v>0</v>
      </c>
      <c r="H2581" t="str">
        <f>+dHdcp[[#This Row],[Maximo]]&amp;":"&amp;dHdcp[[#This Row],[Nombre]]</f>
        <v>0:Francisco Alvarez</v>
      </c>
      <c r="I2581" t="str">
        <f>+dHdcp[[#This Row],[Maximo]]&amp;":"&amp;_xlfn.XLOOKUP(dHdcp[[#This Row],[Nombre]],dJugador[Nombre],dJugador[Mote],"",0)</f>
        <v>0:Paco</v>
      </c>
      <c r="J2581" t="str">
        <f>+IF(dHdcp[[#This Row],[Maximo]]=0,"",_xlfn.RANK.EQ(dHdcp[[#This Row],[Handicap]],dHdcp[Handicap],1))</f>
        <v/>
      </c>
      <c r="K2581" t="str">
        <f>IFERROR(+_xlfn.RANK.EQ(dHdcp[[#This Row],[Ranking]],dHdcp[Ranking],1),"")</f>
        <v/>
      </c>
      <c r="M2581" t="str">
        <f>+dHdcp[[#This Row],[Fecha]]&amp;":"&amp;dHdcp[[#This Row],[Nombre]]</f>
        <v>45795:Francisco Alvarez</v>
      </c>
      <c r="N2581">
        <f>+COUNTIF(dHdcp[Columna1],dHdcp[[#This Row],[Columna1]])</f>
        <v>1</v>
      </c>
    </row>
    <row r="2582" spans="1:14">
      <c r="A2582" s="2">
        <v>45795</v>
      </c>
      <c r="B2582" t="s">
        <v>49</v>
      </c>
      <c r="C2582" s="51">
        <v>14.4</v>
      </c>
      <c r="D2582" s="46">
        <f>+VLOOKUP(dHdcp[[#This Row],[Handicap]],'Categoría Hdcap'!$B$2:$E$7,4)</f>
        <v>3</v>
      </c>
      <c r="E2582" t="s">
        <v>74</v>
      </c>
      <c r="F2582" s="92"/>
      <c r="G2582">
        <f>+IF(dHdcp[[#This Row],[Fecha]]=MAX(dHdcp[Fecha]),1,0)</f>
        <v>0</v>
      </c>
      <c r="H2582" t="str">
        <f>+dHdcp[[#This Row],[Maximo]]&amp;":"&amp;dHdcp[[#This Row],[Nombre]]</f>
        <v>0:Francisco Hidalgo</v>
      </c>
      <c r="I2582" t="str">
        <f>+dHdcp[[#This Row],[Maximo]]&amp;":"&amp;_xlfn.XLOOKUP(dHdcp[[#This Row],[Nombre]],dJugador[Nombre],dJugador[Mote],"",0)</f>
        <v>0:Fran</v>
      </c>
      <c r="J2582" t="str">
        <f>+IF(dHdcp[[#This Row],[Maximo]]=0,"",_xlfn.RANK.EQ(dHdcp[[#This Row],[Handicap]],dHdcp[Handicap],1))</f>
        <v/>
      </c>
      <c r="K2582" t="str">
        <f>IFERROR(+_xlfn.RANK.EQ(dHdcp[[#This Row],[Ranking]],dHdcp[Ranking],1),"")</f>
        <v/>
      </c>
      <c r="M2582" t="str">
        <f>+dHdcp[[#This Row],[Fecha]]&amp;":"&amp;dHdcp[[#This Row],[Nombre]]</f>
        <v>45795:Francisco Hidalgo</v>
      </c>
      <c r="N2582">
        <f>+COUNTIF(dHdcp[Columna1],dHdcp[[#This Row],[Columna1]])</f>
        <v>1</v>
      </c>
    </row>
    <row r="2583" spans="1:14">
      <c r="A2583" s="2">
        <v>45795</v>
      </c>
      <c r="B2583" t="s">
        <v>207</v>
      </c>
      <c r="C2583" s="51">
        <v>15</v>
      </c>
      <c r="D2583" s="46">
        <f>+VLOOKUP(dHdcp[[#This Row],[Handicap]],'Categoría Hdcap'!$B$2:$E$7,4)</f>
        <v>3</v>
      </c>
      <c r="E2583" t="s">
        <v>74</v>
      </c>
      <c r="F2583" s="92"/>
      <c r="G2583">
        <f>+IF(dHdcp[[#This Row],[Fecha]]=MAX(dHdcp[Fecha]),1,0)</f>
        <v>0</v>
      </c>
      <c r="H2583" t="str">
        <f>+dHdcp[[#This Row],[Maximo]]&amp;":"&amp;dHdcp[[#This Row],[Nombre]]</f>
        <v>0:Franck Benouniche</v>
      </c>
      <c r="I2583" t="str">
        <f>+dHdcp[[#This Row],[Maximo]]&amp;":"&amp;_xlfn.XLOOKUP(dHdcp[[#This Row],[Nombre]],dJugador[Nombre],dJugador[Mote],"",0)</f>
        <v>0:Franck</v>
      </c>
      <c r="J2583" t="str">
        <f>+IF(dHdcp[[#This Row],[Maximo]]=0,"",_xlfn.RANK.EQ(dHdcp[[#This Row],[Handicap]],dHdcp[Handicap],1))</f>
        <v/>
      </c>
      <c r="K2583" t="str">
        <f>IFERROR(+_xlfn.RANK.EQ(dHdcp[[#This Row],[Ranking]],dHdcp[Ranking],1),"")</f>
        <v/>
      </c>
      <c r="M2583" t="str">
        <f>+dHdcp[[#This Row],[Fecha]]&amp;":"&amp;dHdcp[[#This Row],[Nombre]]</f>
        <v>45795:Franck Benouniche</v>
      </c>
      <c r="N2583">
        <f>+COUNTIF(dHdcp[Columna1],dHdcp[[#This Row],[Columna1]])</f>
        <v>1</v>
      </c>
    </row>
    <row r="2584" spans="1:14">
      <c r="A2584" s="2">
        <v>45795</v>
      </c>
      <c r="B2584" t="s">
        <v>35</v>
      </c>
      <c r="C2584" s="51">
        <v>20.6</v>
      </c>
      <c r="D2584" s="46">
        <f>+VLOOKUP(dHdcp[[#This Row],[Handicap]],'Categoría Hdcap'!$B$2:$E$7,4)</f>
        <v>4</v>
      </c>
      <c r="E2584" t="s">
        <v>74</v>
      </c>
      <c r="F2584" s="92"/>
      <c r="G2584">
        <f>+IF(dHdcp[[#This Row],[Fecha]]=MAX(dHdcp[Fecha]),1,0)</f>
        <v>0</v>
      </c>
      <c r="H2584" t="str">
        <f>+dHdcp[[#This Row],[Maximo]]&amp;":"&amp;dHdcp[[#This Row],[Nombre]]</f>
        <v>0:GLEZ JUAN JOSÉ</v>
      </c>
      <c r="I2584" t="str">
        <f>+dHdcp[[#This Row],[Maximo]]&amp;":"&amp;_xlfn.XLOOKUP(dHdcp[[#This Row],[Nombre]],dJugador[Nombre],dJugador[Mote],"",0)</f>
        <v>0:Juanjo</v>
      </c>
      <c r="J2584" t="str">
        <f>+IF(dHdcp[[#This Row],[Maximo]]=0,"",_xlfn.RANK.EQ(dHdcp[[#This Row],[Handicap]],dHdcp[Handicap],1))</f>
        <v/>
      </c>
      <c r="K2584" t="str">
        <f>IFERROR(+_xlfn.RANK.EQ(dHdcp[[#This Row],[Ranking]],dHdcp[Ranking],1),"")</f>
        <v/>
      </c>
      <c r="M2584" t="str">
        <f>+dHdcp[[#This Row],[Fecha]]&amp;":"&amp;dHdcp[[#This Row],[Nombre]]</f>
        <v>45795:GLEZ JUAN JOSÉ</v>
      </c>
      <c r="N2584">
        <f>+COUNTIF(dHdcp[Columna1],dHdcp[[#This Row],[Columna1]])</f>
        <v>1</v>
      </c>
    </row>
    <row r="2585" spans="1:14">
      <c r="A2585" s="2">
        <v>45795</v>
      </c>
      <c r="B2585" t="s">
        <v>6</v>
      </c>
      <c r="C2585" s="51">
        <v>7</v>
      </c>
      <c r="D2585" s="46">
        <f>+VLOOKUP(dHdcp[[#This Row],[Handicap]],'Categoría Hdcap'!$B$2:$E$7,4)</f>
        <v>2</v>
      </c>
      <c r="E2585" t="s">
        <v>74</v>
      </c>
      <c r="F2585" s="92"/>
      <c r="G2585">
        <f>+IF(dHdcp[[#This Row],[Fecha]]=MAX(dHdcp[Fecha]),1,0)</f>
        <v>0</v>
      </c>
      <c r="H2585" t="str">
        <f>+dHdcp[[#This Row],[Maximo]]&amp;":"&amp;dHdcp[[#This Row],[Nombre]]</f>
        <v>0:Ignacio Cadarso</v>
      </c>
      <c r="I2585" t="str">
        <f>+dHdcp[[#This Row],[Maximo]]&amp;":"&amp;_xlfn.XLOOKUP(dHdcp[[#This Row],[Nombre]],dJugador[Nombre],dJugador[Mote],"",0)</f>
        <v>0:Ignacio</v>
      </c>
      <c r="J2585" t="str">
        <f>+IF(dHdcp[[#This Row],[Maximo]]=0,"",_xlfn.RANK.EQ(dHdcp[[#This Row],[Handicap]],dHdcp[Handicap],1))</f>
        <v/>
      </c>
      <c r="K2585" t="str">
        <f>IFERROR(+_xlfn.RANK.EQ(dHdcp[[#This Row],[Ranking]],dHdcp[Ranking],1),"")</f>
        <v/>
      </c>
      <c r="M2585" t="str">
        <f>+dHdcp[[#This Row],[Fecha]]&amp;":"&amp;dHdcp[[#This Row],[Nombre]]</f>
        <v>45795:Ignacio Cadarso</v>
      </c>
      <c r="N2585">
        <f>+COUNTIF(dHdcp[Columna1],dHdcp[[#This Row],[Columna1]])</f>
        <v>1</v>
      </c>
    </row>
    <row r="2586" spans="1:14">
      <c r="A2586" s="2">
        <v>45795</v>
      </c>
      <c r="B2586" t="s">
        <v>23</v>
      </c>
      <c r="C2586" s="51">
        <v>19.7</v>
      </c>
      <c r="D2586" s="46">
        <f>+VLOOKUP(dHdcp[[#This Row],[Handicap]],'Categoría Hdcap'!$B$2:$E$7,4)</f>
        <v>4</v>
      </c>
      <c r="E2586" t="s">
        <v>74</v>
      </c>
      <c r="F2586" s="92"/>
      <c r="G2586">
        <f>+IF(dHdcp[[#This Row],[Fecha]]=MAX(dHdcp[Fecha]),1,0)</f>
        <v>0</v>
      </c>
      <c r="H2586" t="str">
        <f>+dHdcp[[#This Row],[Maximo]]&amp;":"&amp;dHdcp[[#This Row],[Nombre]]</f>
        <v>0:J. Enrique Gonzalez</v>
      </c>
      <c r="I2586" t="str">
        <f>+dHdcp[[#This Row],[Maximo]]&amp;":"&amp;_xlfn.XLOOKUP(dHdcp[[#This Row],[Nombre]],dJugador[Nombre],dJugador[Mote],"",0)</f>
        <v>0:Kike</v>
      </c>
      <c r="J2586" t="str">
        <f>+IF(dHdcp[[#This Row],[Maximo]]=0,"",_xlfn.RANK.EQ(dHdcp[[#This Row],[Handicap]],dHdcp[Handicap],1))</f>
        <v/>
      </c>
      <c r="K2586" t="str">
        <f>IFERROR(+_xlfn.RANK.EQ(dHdcp[[#This Row],[Ranking]],dHdcp[Ranking],1),"")</f>
        <v/>
      </c>
      <c r="M2586" t="str">
        <f>+dHdcp[[#This Row],[Fecha]]&amp;":"&amp;dHdcp[[#This Row],[Nombre]]</f>
        <v>45795:J. Enrique Gonzalez</v>
      </c>
      <c r="N2586">
        <f>+COUNTIF(dHdcp[Columna1],dHdcp[[#This Row],[Columna1]])</f>
        <v>1</v>
      </c>
    </row>
    <row r="2587" spans="1:14">
      <c r="A2587" s="2">
        <v>45795</v>
      </c>
      <c r="B2587" t="s">
        <v>2606</v>
      </c>
      <c r="C2587" s="51">
        <v>10.8</v>
      </c>
      <c r="D2587" s="46">
        <f>+VLOOKUP(dHdcp[[#This Row],[Handicap]],'Categoría Hdcap'!$B$2:$E$7,4)</f>
        <v>2</v>
      </c>
      <c r="E2587" t="s">
        <v>74</v>
      </c>
      <c r="F2587" s="92"/>
      <c r="G2587">
        <f>+IF(dHdcp[[#This Row],[Fecha]]=MAX(dHdcp[Fecha]),1,0)</f>
        <v>0</v>
      </c>
      <c r="H2587" t="str">
        <f>+dHdcp[[#This Row],[Maximo]]&amp;":"&amp;dHdcp[[#This Row],[Nombre]]</f>
        <v>0:Jaime de la Cal</v>
      </c>
      <c r="I2587" t="str">
        <f>+dHdcp[[#This Row],[Maximo]]&amp;":"&amp;_xlfn.XLOOKUP(dHdcp[[#This Row],[Nombre]],dJugador[Nombre],dJugador[Mote],"",0)</f>
        <v>0:Jaime</v>
      </c>
      <c r="J2587" t="str">
        <f>+IF(dHdcp[[#This Row],[Maximo]]=0,"",_xlfn.RANK.EQ(dHdcp[[#This Row],[Handicap]],dHdcp[Handicap],1))</f>
        <v/>
      </c>
      <c r="K2587" t="str">
        <f>IFERROR(+_xlfn.RANK.EQ(dHdcp[[#This Row],[Ranking]],dHdcp[Ranking],1),"")</f>
        <v/>
      </c>
      <c r="M2587" t="str">
        <f>+dHdcp[[#This Row],[Fecha]]&amp;":"&amp;dHdcp[[#This Row],[Nombre]]</f>
        <v>45795:Jaime de la Cal</v>
      </c>
      <c r="N2587">
        <f>+COUNTIF(dHdcp[Columna1],dHdcp[[#This Row],[Columna1]])</f>
        <v>1</v>
      </c>
    </row>
    <row r="2588" spans="1:14">
      <c r="A2588" s="2">
        <v>45795</v>
      </c>
      <c r="B2588" t="s">
        <v>328</v>
      </c>
      <c r="C2588" s="51">
        <v>10.5</v>
      </c>
      <c r="D2588" s="46">
        <f>+VLOOKUP(dHdcp[[#This Row],[Handicap]],'Categoría Hdcap'!$B$2:$E$7,4)</f>
        <v>2</v>
      </c>
      <c r="E2588" t="s">
        <v>74</v>
      </c>
      <c r="F2588" s="92"/>
      <c r="G2588">
        <f>+IF(dHdcp[[#This Row],[Fecha]]=MAX(dHdcp[Fecha]),1,0)</f>
        <v>0</v>
      </c>
      <c r="H2588" t="str">
        <f>+dHdcp[[#This Row],[Maximo]]&amp;":"&amp;dHdcp[[#This Row],[Nombre]]</f>
        <v>0:Javier Arcos</v>
      </c>
      <c r="I2588" t="str">
        <f>+dHdcp[[#This Row],[Maximo]]&amp;":"&amp;_xlfn.XLOOKUP(dHdcp[[#This Row],[Nombre]],dJugador[Nombre],dJugador[Mote],"",0)</f>
        <v>0:J.Arcos</v>
      </c>
      <c r="J2588" t="str">
        <f>+IF(dHdcp[[#This Row],[Maximo]]=0,"",_xlfn.RANK.EQ(dHdcp[[#This Row],[Handicap]],dHdcp[Handicap],1))</f>
        <v/>
      </c>
      <c r="K2588" t="str">
        <f>IFERROR(+_xlfn.RANK.EQ(dHdcp[[#This Row],[Ranking]],dHdcp[Ranking],1),"")</f>
        <v/>
      </c>
      <c r="M2588" t="str">
        <f>+dHdcp[[#This Row],[Fecha]]&amp;":"&amp;dHdcp[[#This Row],[Nombre]]</f>
        <v>45795:Javier Arcos</v>
      </c>
      <c r="N2588">
        <f>+COUNTIF(dHdcp[Columna1],dHdcp[[#This Row],[Columna1]])</f>
        <v>1</v>
      </c>
    </row>
    <row r="2589" spans="1:14">
      <c r="A2589" s="2">
        <v>45795</v>
      </c>
      <c r="B2589" t="s">
        <v>46</v>
      </c>
      <c r="C2589" s="51">
        <v>18.8</v>
      </c>
      <c r="D2589" s="46">
        <f>+VLOOKUP(dHdcp[[#This Row],[Handicap]],'Categoría Hdcap'!$B$2:$E$7,4)</f>
        <v>4</v>
      </c>
      <c r="E2589" t="s">
        <v>74</v>
      </c>
      <c r="F2589" s="92"/>
      <c r="G2589">
        <f>+IF(dHdcp[[#This Row],[Fecha]]=MAX(dHdcp[Fecha]),1,0)</f>
        <v>0</v>
      </c>
      <c r="H2589" t="str">
        <f>+dHdcp[[#This Row],[Maximo]]&amp;":"&amp;dHdcp[[#This Row],[Nombre]]</f>
        <v>0:Javier Cervera</v>
      </c>
      <c r="I2589" t="str">
        <f>+dHdcp[[#This Row],[Maximo]]&amp;":"&amp;_xlfn.XLOOKUP(dHdcp[[#This Row],[Nombre]],dJugador[Nombre],dJugador[Mote],"",0)</f>
        <v>0:Virus</v>
      </c>
      <c r="J2589" t="str">
        <f>+IF(dHdcp[[#This Row],[Maximo]]=0,"",_xlfn.RANK.EQ(dHdcp[[#This Row],[Handicap]],dHdcp[Handicap],1))</f>
        <v/>
      </c>
      <c r="K2589" t="str">
        <f>IFERROR(+_xlfn.RANK.EQ(dHdcp[[#This Row],[Ranking]],dHdcp[Ranking],1),"")</f>
        <v/>
      </c>
      <c r="M2589" t="str">
        <f>+dHdcp[[#This Row],[Fecha]]&amp;":"&amp;dHdcp[[#This Row],[Nombre]]</f>
        <v>45795:Javier Cervera</v>
      </c>
      <c r="N2589">
        <f>+COUNTIF(dHdcp[Columna1],dHdcp[[#This Row],[Columna1]])</f>
        <v>1</v>
      </c>
    </row>
    <row r="2590" spans="1:14">
      <c r="A2590" s="2">
        <v>45795</v>
      </c>
      <c r="B2590" t="s">
        <v>225</v>
      </c>
      <c r="C2590" s="51">
        <v>10.5</v>
      </c>
      <c r="D2590" s="46">
        <f>+VLOOKUP(dHdcp[[#This Row],[Handicap]],'Categoría Hdcap'!$B$2:$E$7,4)</f>
        <v>2</v>
      </c>
      <c r="E2590" t="s">
        <v>74</v>
      </c>
      <c r="F2590" s="92"/>
      <c r="G2590">
        <f>+IF(dHdcp[[#This Row],[Fecha]]=MAX(dHdcp[Fecha]),1,0)</f>
        <v>0</v>
      </c>
      <c r="H2590" t="str">
        <f>+dHdcp[[#This Row],[Maximo]]&amp;":"&amp;dHdcp[[#This Row],[Nombre]]</f>
        <v>0:Javier Chiralt</v>
      </c>
      <c r="I2590" t="str">
        <f>+dHdcp[[#This Row],[Maximo]]&amp;":"&amp;_xlfn.XLOOKUP(dHdcp[[#This Row],[Nombre]],dJugador[Nombre],dJugador[Mote],"",0)</f>
        <v>0:Chiralt</v>
      </c>
      <c r="J2590" t="str">
        <f>+IF(dHdcp[[#This Row],[Maximo]]=0,"",_xlfn.RANK.EQ(dHdcp[[#This Row],[Handicap]],dHdcp[Handicap],1))</f>
        <v/>
      </c>
      <c r="K2590" t="str">
        <f>IFERROR(+_xlfn.RANK.EQ(dHdcp[[#This Row],[Ranking]],dHdcp[Ranking],1),"")</f>
        <v/>
      </c>
      <c r="M2590" t="str">
        <f>+dHdcp[[#This Row],[Fecha]]&amp;":"&amp;dHdcp[[#This Row],[Nombre]]</f>
        <v>45795:Javier Chiralt</v>
      </c>
      <c r="N2590">
        <f>+COUNTIF(dHdcp[Columna1],dHdcp[[#This Row],[Columna1]])</f>
        <v>1</v>
      </c>
    </row>
    <row r="2591" spans="1:14">
      <c r="A2591" s="2">
        <v>45795</v>
      </c>
      <c r="B2591" t="s">
        <v>20</v>
      </c>
      <c r="C2591" s="51">
        <v>20.100000000000001</v>
      </c>
      <c r="D2591" s="46">
        <f>+VLOOKUP(dHdcp[[#This Row],[Handicap]],'Categoría Hdcap'!$B$2:$E$7,4)</f>
        <v>4</v>
      </c>
      <c r="E2591" t="s">
        <v>74</v>
      </c>
      <c r="F2591" s="92"/>
      <c r="G2591">
        <f>+IF(dHdcp[[#This Row],[Fecha]]=MAX(dHdcp[Fecha]),1,0)</f>
        <v>0</v>
      </c>
      <c r="H2591" t="str">
        <f>+dHdcp[[#This Row],[Maximo]]&amp;":"&amp;dHdcp[[#This Row],[Nombre]]</f>
        <v>0:Javier Gonzalez Salvador</v>
      </c>
      <c r="I2591" t="str">
        <f>+dHdcp[[#This Row],[Maximo]]&amp;":"&amp;_xlfn.XLOOKUP(dHdcp[[#This Row],[Nombre]],dJugador[Nombre],dJugador[Mote],"",0)</f>
        <v>0:Javi</v>
      </c>
      <c r="J2591" t="str">
        <f>+IF(dHdcp[[#This Row],[Maximo]]=0,"",_xlfn.RANK.EQ(dHdcp[[#This Row],[Handicap]],dHdcp[Handicap],1))</f>
        <v/>
      </c>
      <c r="K2591" t="str">
        <f>IFERROR(+_xlfn.RANK.EQ(dHdcp[[#This Row],[Ranking]],dHdcp[Ranking],1),"")</f>
        <v/>
      </c>
      <c r="M2591" t="str">
        <f>+dHdcp[[#This Row],[Fecha]]&amp;":"&amp;dHdcp[[#This Row],[Nombre]]</f>
        <v>45795:Javier Gonzalez Salvador</v>
      </c>
      <c r="N2591">
        <f>+COUNTIF(dHdcp[Columna1],dHdcp[[#This Row],[Columna1]])</f>
        <v>1</v>
      </c>
    </row>
    <row r="2592" spans="1:14">
      <c r="A2592" s="2">
        <v>45795</v>
      </c>
      <c r="B2592" t="s">
        <v>217</v>
      </c>
      <c r="C2592" s="51">
        <v>22.2</v>
      </c>
      <c r="D2592" s="46">
        <f>+VLOOKUP(dHdcp[[#This Row],[Handicap]],'Categoría Hdcap'!$B$2:$E$7,4)</f>
        <v>4</v>
      </c>
      <c r="E2592" t="s">
        <v>74</v>
      </c>
      <c r="F2592" s="92"/>
      <c r="G2592">
        <f>+IF(dHdcp[[#This Row],[Fecha]]=MAX(dHdcp[Fecha]),1,0)</f>
        <v>0</v>
      </c>
      <c r="H2592" t="str">
        <f>+dHdcp[[#This Row],[Maximo]]&amp;":"&amp;dHdcp[[#This Row],[Nombre]]</f>
        <v>0:Javier Lopez Gullón</v>
      </c>
      <c r="I2592" t="str">
        <f>+dHdcp[[#This Row],[Maximo]]&amp;":"&amp;_xlfn.XLOOKUP(dHdcp[[#This Row],[Nombre]],dJugador[Nombre],dJugador[Mote],"",0)</f>
        <v>0:Cuñao</v>
      </c>
      <c r="J2592" t="str">
        <f>+IF(dHdcp[[#This Row],[Maximo]]=0,"",_xlfn.RANK.EQ(dHdcp[[#This Row],[Handicap]],dHdcp[Handicap],1))</f>
        <v/>
      </c>
      <c r="K2592" t="str">
        <f>IFERROR(+_xlfn.RANK.EQ(dHdcp[[#This Row],[Ranking]],dHdcp[Ranking],1),"")</f>
        <v/>
      </c>
      <c r="M2592" t="str">
        <f>+dHdcp[[#This Row],[Fecha]]&amp;":"&amp;dHdcp[[#This Row],[Nombre]]</f>
        <v>45795:Javier Lopez Gullón</v>
      </c>
      <c r="N2592">
        <f>+COUNTIF(dHdcp[Columna1],dHdcp[[#This Row],[Columna1]])</f>
        <v>1</v>
      </c>
    </row>
    <row r="2593" spans="1:14">
      <c r="A2593" s="2">
        <v>45795</v>
      </c>
      <c r="B2593" t="s">
        <v>41</v>
      </c>
      <c r="C2593" s="51">
        <v>22.1</v>
      </c>
      <c r="D2593" s="46">
        <f>+VLOOKUP(dHdcp[[#This Row],[Handicap]],'Categoría Hdcap'!$B$2:$E$7,4)</f>
        <v>4</v>
      </c>
      <c r="E2593" t="s">
        <v>74</v>
      </c>
      <c r="F2593" s="92"/>
      <c r="G2593">
        <f>+IF(dHdcp[[#This Row],[Fecha]]=MAX(dHdcp[Fecha]),1,0)</f>
        <v>0</v>
      </c>
      <c r="H2593" t="str">
        <f>+dHdcp[[#This Row],[Maximo]]&amp;":"&amp;dHdcp[[#This Row],[Nombre]]</f>
        <v>0:Jesus Touceda</v>
      </c>
      <c r="I2593" t="str">
        <f>+dHdcp[[#This Row],[Maximo]]&amp;":"&amp;_xlfn.XLOOKUP(dHdcp[[#This Row],[Nombre]],dJugador[Nombre],dJugador[Mote],"",0)</f>
        <v>0:Jesús</v>
      </c>
      <c r="J2593" t="str">
        <f>+IF(dHdcp[[#This Row],[Maximo]]=0,"",_xlfn.RANK.EQ(dHdcp[[#This Row],[Handicap]],dHdcp[Handicap],1))</f>
        <v/>
      </c>
      <c r="K2593" t="str">
        <f>IFERROR(+_xlfn.RANK.EQ(dHdcp[[#This Row],[Ranking]],dHdcp[Ranking],1),"")</f>
        <v/>
      </c>
      <c r="M2593" t="str">
        <f>+dHdcp[[#This Row],[Fecha]]&amp;":"&amp;dHdcp[[#This Row],[Nombre]]</f>
        <v>45795:Jesus Touceda</v>
      </c>
      <c r="N2593">
        <f>+COUNTIF(dHdcp[Columna1],dHdcp[[#This Row],[Columna1]])</f>
        <v>1</v>
      </c>
    </row>
    <row r="2594" spans="1:14">
      <c r="A2594" s="2">
        <v>45795</v>
      </c>
      <c r="B2594" t="s">
        <v>2561</v>
      </c>
      <c r="C2594" s="51">
        <v>20.6</v>
      </c>
      <c r="D2594" s="46">
        <f>+VLOOKUP(dHdcp[[#This Row],[Handicap]],'Categoría Hdcap'!$B$2:$E$7,4)</f>
        <v>4</v>
      </c>
      <c r="E2594" t="s">
        <v>74</v>
      </c>
      <c r="F2594" s="92"/>
      <c r="G2594">
        <f>+IF(dHdcp[[#This Row],[Fecha]]=MAX(dHdcp[Fecha]),1,0)</f>
        <v>0</v>
      </c>
      <c r="H2594" t="str">
        <f>+dHdcp[[#This Row],[Maximo]]&amp;":"&amp;dHdcp[[#This Row],[Nombre]]</f>
        <v>0:Joaquín Sánchez</v>
      </c>
      <c r="I2594" t="str">
        <f>+dHdcp[[#This Row],[Maximo]]&amp;":"&amp;_xlfn.XLOOKUP(dHdcp[[#This Row],[Nombre]],dJugador[Nombre],dJugador[Mote],"",0)</f>
        <v>0:Joaco</v>
      </c>
      <c r="J2594" t="str">
        <f>+IF(dHdcp[[#This Row],[Maximo]]=0,"",_xlfn.RANK.EQ(dHdcp[[#This Row],[Handicap]],dHdcp[Handicap],1))</f>
        <v/>
      </c>
      <c r="K2594" t="str">
        <f>IFERROR(+_xlfn.RANK.EQ(dHdcp[[#This Row],[Ranking]],dHdcp[Ranking],1),"")</f>
        <v/>
      </c>
      <c r="M2594" t="str">
        <f>+dHdcp[[#This Row],[Fecha]]&amp;":"&amp;dHdcp[[#This Row],[Nombre]]</f>
        <v>45795:Joaquín Sánchez</v>
      </c>
      <c r="N2594">
        <f>+COUNTIF(dHdcp[Columna1],dHdcp[[#This Row],[Columna1]])</f>
        <v>1</v>
      </c>
    </row>
    <row r="2595" spans="1:14">
      <c r="A2595" s="2">
        <v>45795</v>
      </c>
      <c r="B2595" t="s">
        <v>297</v>
      </c>
      <c r="C2595" s="51">
        <v>18.3</v>
      </c>
      <c r="D2595" s="46">
        <f>+VLOOKUP(dHdcp[[#This Row],[Handicap]],'Categoría Hdcap'!$B$2:$E$7,4)</f>
        <v>3</v>
      </c>
      <c r="E2595" t="s">
        <v>74</v>
      </c>
      <c r="F2595" s="92"/>
      <c r="G2595">
        <f>+IF(dHdcp[[#This Row],[Fecha]]=MAX(dHdcp[Fecha]),1,0)</f>
        <v>0</v>
      </c>
      <c r="H2595" t="str">
        <f>+dHdcp[[#This Row],[Maximo]]&amp;":"&amp;dHdcp[[#This Row],[Nombre]]</f>
        <v>0:Jorge Alberto Martínez Sánchez</v>
      </c>
      <c r="I2595" t="str">
        <f>+dHdcp[[#This Row],[Maximo]]&amp;":"&amp;_xlfn.XLOOKUP(dHdcp[[#This Row],[Nombre]],dJugador[Nombre],dJugador[Mote],"",0)</f>
        <v>0:Jorge</v>
      </c>
      <c r="J2595" t="str">
        <f>+IF(dHdcp[[#This Row],[Maximo]]=0,"",_xlfn.RANK.EQ(dHdcp[[#This Row],[Handicap]],dHdcp[Handicap],1))</f>
        <v/>
      </c>
      <c r="K2595" t="str">
        <f>IFERROR(+_xlfn.RANK.EQ(dHdcp[[#This Row],[Ranking]],dHdcp[Ranking],1),"")</f>
        <v/>
      </c>
      <c r="M2595" t="str">
        <f>+dHdcp[[#This Row],[Fecha]]&amp;":"&amp;dHdcp[[#This Row],[Nombre]]</f>
        <v>45795:Jorge Alberto Martínez Sánchez</v>
      </c>
      <c r="N2595">
        <f>+COUNTIF(dHdcp[Columna1],dHdcp[[#This Row],[Columna1]])</f>
        <v>1</v>
      </c>
    </row>
    <row r="2596" spans="1:14">
      <c r="A2596" s="2">
        <v>45795</v>
      </c>
      <c r="B2596" t="s">
        <v>388</v>
      </c>
      <c r="C2596" s="51">
        <v>25.7</v>
      </c>
      <c r="D2596" s="46">
        <f>+VLOOKUP(dHdcp[[#This Row],[Handicap]],'Categoría Hdcap'!$B$2:$E$7,4)</f>
        <v>4</v>
      </c>
      <c r="E2596" t="s">
        <v>74</v>
      </c>
      <c r="F2596" s="92"/>
      <c r="G2596">
        <f>+IF(dHdcp[[#This Row],[Fecha]]=MAX(dHdcp[Fecha]),1,0)</f>
        <v>0</v>
      </c>
      <c r="H2596" t="str">
        <f>+dHdcp[[#This Row],[Maximo]]&amp;":"&amp;dHdcp[[#This Row],[Nombre]]</f>
        <v>0:Jose Antonio Santana</v>
      </c>
      <c r="I2596" t="str">
        <f>+dHdcp[[#This Row],[Maximo]]&amp;":"&amp;_xlfn.XLOOKUP(dHdcp[[#This Row],[Nombre]],dJugador[Nombre],dJugador[Mote],"",0)</f>
        <v>0:J Antonio</v>
      </c>
      <c r="J2596" t="str">
        <f>+IF(dHdcp[[#This Row],[Maximo]]=0,"",_xlfn.RANK.EQ(dHdcp[[#This Row],[Handicap]],dHdcp[Handicap],1))</f>
        <v/>
      </c>
      <c r="K2596" t="str">
        <f>IFERROR(+_xlfn.RANK.EQ(dHdcp[[#This Row],[Ranking]],dHdcp[Ranking],1),"")</f>
        <v/>
      </c>
      <c r="M2596" t="str">
        <f>+dHdcp[[#This Row],[Fecha]]&amp;":"&amp;dHdcp[[#This Row],[Nombre]]</f>
        <v>45795:Jose Antonio Santana</v>
      </c>
      <c r="N2596">
        <f>+COUNTIF(dHdcp[Columna1],dHdcp[[#This Row],[Columna1]])</f>
        <v>1</v>
      </c>
    </row>
    <row r="2597" spans="1:14">
      <c r="A2597" s="2">
        <v>45795</v>
      </c>
      <c r="B2597" t="s">
        <v>18</v>
      </c>
      <c r="C2597" s="51">
        <v>7.2</v>
      </c>
      <c r="D2597" s="46">
        <f>+VLOOKUP(dHdcp[[#This Row],[Handicap]],'Categoría Hdcap'!$B$2:$E$7,4)</f>
        <v>2</v>
      </c>
      <c r="E2597" t="s">
        <v>74</v>
      </c>
      <c r="F2597" s="92"/>
      <c r="G2597">
        <f>+IF(dHdcp[[#This Row],[Fecha]]=MAX(dHdcp[Fecha]),1,0)</f>
        <v>0</v>
      </c>
      <c r="H2597" t="str">
        <f>+dHdcp[[#This Row],[Maximo]]&amp;":"&amp;dHdcp[[#This Row],[Nombre]]</f>
        <v>0:José Pablo Guil</v>
      </c>
      <c r="I2597" t="str">
        <f>+dHdcp[[#This Row],[Maximo]]&amp;":"&amp;_xlfn.XLOOKUP(dHdcp[[#This Row],[Nombre]],dJugador[Nombre],dJugador[Mote],"",0)</f>
        <v>0:JP</v>
      </c>
      <c r="J2597" t="str">
        <f>+IF(dHdcp[[#This Row],[Maximo]]=0,"",_xlfn.RANK.EQ(dHdcp[[#This Row],[Handicap]],dHdcp[Handicap],1))</f>
        <v/>
      </c>
      <c r="K2597" t="str">
        <f>IFERROR(+_xlfn.RANK.EQ(dHdcp[[#This Row],[Ranking]],dHdcp[Ranking],1),"")</f>
        <v/>
      </c>
      <c r="M2597" t="str">
        <f>+dHdcp[[#This Row],[Fecha]]&amp;":"&amp;dHdcp[[#This Row],[Nombre]]</f>
        <v>45795:José Pablo Guil</v>
      </c>
      <c r="N2597">
        <f>+COUNTIF(dHdcp[Columna1],dHdcp[[#This Row],[Columna1]])</f>
        <v>1</v>
      </c>
    </row>
    <row r="2598" spans="1:14">
      <c r="A2598" s="2">
        <v>45795</v>
      </c>
      <c r="B2598" t="s">
        <v>293</v>
      </c>
      <c r="C2598" s="51">
        <v>15.1</v>
      </c>
      <c r="D2598" s="46">
        <f>+VLOOKUP(dHdcp[[#This Row],[Handicap]],'Categoría Hdcap'!$B$2:$E$7,4)</f>
        <v>3</v>
      </c>
      <c r="E2598" t="s">
        <v>74</v>
      </c>
      <c r="F2598" s="92"/>
      <c r="G2598">
        <f>+IF(dHdcp[[#This Row],[Fecha]]=MAX(dHdcp[Fecha]),1,0)</f>
        <v>0</v>
      </c>
      <c r="H2598" t="str">
        <f>+dHdcp[[#This Row],[Maximo]]&amp;":"&amp;dHdcp[[#This Row],[Nombre]]</f>
        <v>0:Juan Jose Aguado</v>
      </c>
      <c r="I2598" t="str">
        <f>+dHdcp[[#This Row],[Maximo]]&amp;":"&amp;_xlfn.XLOOKUP(dHdcp[[#This Row],[Nombre]],dJugador[Nombre],dJugador[Mote],"",0)</f>
        <v>0:Juancho</v>
      </c>
      <c r="J2598" t="str">
        <f>+IF(dHdcp[[#This Row],[Maximo]]=0,"",_xlfn.RANK.EQ(dHdcp[[#This Row],[Handicap]],dHdcp[Handicap],1))</f>
        <v/>
      </c>
      <c r="K2598" t="str">
        <f>IFERROR(+_xlfn.RANK.EQ(dHdcp[[#This Row],[Ranking]],dHdcp[Ranking],1),"")</f>
        <v/>
      </c>
      <c r="M2598" t="str">
        <f>+dHdcp[[#This Row],[Fecha]]&amp;":"&amp;dHdcp[[#This Row],[Nombre]]</f>
        <v>45795:Juan Jose Aguado</v>
      </c>
      <c r="N2598">
        <f>+COUNTIF(dHdcp[Columna1],dHdcp[[#This Row],[Columna1]])</f>
        <v>1</v>
      </c>
    </row>
    <row r="2599" spans="1:14">
      <c r="A2599" s="2">
        <v>45795</v>
      </c>
      <c r="B2599" t="s">
        <v>2516</v>
      </c>
      <c r="C2599" s="51">
        <v>17.100000000000001</v>
      </c>
      <c r="D2599" s="46">
        <f>+VLOOKUP(dHdcp[[#This Row],[Handicap]],'Categoría Hdcap'!$B$2:$E$7,4)</f>
        <v>3</v>
      </c>
      <c r="E2599" t="s">
        <v>74</v>
      </c>
      <c r="F2599" s="92"/>
      <c r="G2599">
        <f>+IF(dHdcp[[#This Row],[Fecha]]=MAX(dHdcp[Fecha]),1,0)</f>
        <v>0</v>
      </c>
      <c r="H2599" t="str">
        <f>+dHdcp[[#This Row],[Maximo]]&amp;":"&amp;dHdcp[[#This Row],[Nombre]]</f>
        <v>0:Juan Sanz</v>
      </c>
      <c r="I2599" t="str">
        <f>+dHdcp[[#This Row],[Maximo]]&amp;":"&amp;_xlfn.XLOOKUP(dHdcp[[#This Row],[Nombre]],dJugador[Nombre],dJugador[Mote],"",0)</f>
        <v>0:JuanSanz</v>
      </c>
      <c r="J2599" t="str">
        <f>+IF(dHdcp[[#This Row],[Maximo]]=0,"",_xlfn.RANK.EQ(dHdcp[[#This Row],[Handicap]],dHdcp[Handicap],1))</f>
        <v/>
      </c>
      <c r="K2599" t="str">
        <f>IFERROR(+_xlfn.RANK.EQ(dHdcp[[#This Row],[Ranking]],dHdcp[Ranking],1),"")</f>
        <v/>
      </c>
      <c r="M2599" t="str">
        <f>+dHdcp[[#This Row],[Fecha]]&amp;":"&amp;dHdcp[[#This Row],[Nombre]]</f>
        <v>45795:Juan Sanz</v>
      </c>
      <c r="N2599">
        <f>+COUNTIF(dHdcp[Columna1],dHdcp[[#This Row],[Columna1]])</f>
        <v>1</v>
      </c>
    </row>
    <row r="2600" spans="1:14">
      <c r="A2600" s="2">
        <v>45795</v>
      </c>
      <c r="B2600" t="s">
        <v>375</v>
      </c>
      <c r="C2600" s="51">
        <v>12.2</v>
      </c>
      <c r="D2600" s="46">
        <f>+VLOOKUP(dHdcp[[#This Row],[Handicap]],'Categoría Hdcap'!$B$2:$E$7,4)</f>
        <v>3</v>
      </c>
      <c r="E2600" t="s">
        <v>74</v>
      </c>
      <c r="F2600" s="92"/>
      <c r="G2600">
        <f>+IF(dHdcp[[#This Row],[Fecha]]=MAX(dHdcp[Fecha]),1,0)</f>
        <v>0</v>
      </c>
      <c r="H2600" t="str">
        <f>+dHdcp[[#This Row],[Maximo]]&amp;":"&amp;dHdcp[[#This Row],[Nombre]]</f>
        <v>0:Luis Fernandez</v>
      </c>
      <c r="I2600" t="str">
        <f>+dHdcp[[#This Row],[Maximo]]&amp;":"&amp;_xlfn.XLOOKUP(dHdcp[[#This Row],[Nombre]],dJugador[Nombre],dJugador[Mote],"",0)</f>
        <v>0:Luis</v>
      </c>
      <c r="J2600" t="str">
        <f>+IF(dHdcp[[#This Row],[Maximo]]=0,"",_xlfn.RANK.EQ(dHdcp[[#This Row],[Handicap]],dHdcp[Handicap],1))</f>
        <v/>
      </c>
      <c r="K2600" t="str">
        <f>IFERROR(+_xlfn.RANK.EQ(dHdcp[[#This Row],[Ranking]],dHdcp[Ranking],1),"")</f>
        <v/>
      </c>
      <c r="M2600" t="str">
        <f>+dHdcp[[#This Row],[Fecha]]&amp;":"&amp;dHdcp[[#This Row],[Nombre]]</f>
        <v>45795:Luis Fernandez</v>
      </c>
      <c r="N2600">
        <f>+COUNTIF(dHdcp[Columna1],dHdcp[[#This Row],[Columna1]])</f>
        <v>1</v>
      </c>
    </row>
    <row r="2601" spans="1:14">
      <c r="A2601" s="2">
        <v>45795</v>
      </c>
      <c r="B2601" t="s">
        <v>135</v>
      </c>
      <c r="C2601" s="51">
        <v>20.100000000000001</v>
      </c>
      <c r="D2601" s="46">
        <f>+VLOOKUP(dHdcp[[#This Row],[Handicap]],'Categoría Hdcap'!$B$2:$E$7,4)</f>
        <v>4</v>
      </c>
      <c r="E2601" t="s">
        <v>74</v>
      </c>
      <c r="F2601" s="92"/>
      <c r="G2601">
        <f>+IF(dHdcp[[#This Row],[Fecha]]=MAX(dHdcp[Fecha]),1,0)</f>
        <v>0</v>
      </c>
      <c r="H2601" t="str">
        <f>+dHdcp[[#This Row],[Maximo]]&amp;":"&amp;dHdcp[[#This Row],[Nombre]]</f>
        <v>0:Miche Lopez</v>
      </c>
      <c r="I2601" t="str">
        <f>+dHdcp[[#This Row],[Maximo]]&amp;":"&amp;_xlfn.XLOOKUP(dHdcp[[#This Row],[Nombre]],dJugador[Nombre],dJugador[Mote],"",0)</f>
        <v>0:Miche</v>
      </c>
      <c r="J2601" t="str">
        <f>+IF(dHdcp[[#This Row],[Maximo]]=0,"",_xlfn.RANK.EQ(dHdcp[[#This Row],[Handicap]],dHdcp[Handicap],1))</f>
        <v/>
      </c>
      <c r="K2601" t="str">
        <f>IFERROR(+_xlfn.RANK.EQ(dHdcp[[#This Row],[Ranking]],dHdcp[Ranking],1),"")</f>
        <v/>
      </c>
      <c r="M2601" t="str">
        <f>+dHdcp[[#This Row],[Fecha]]&amp;":"&amp;dHdcp[[#This Row],[Nombre]]</f>
        <v>45795:Miche Lopez</v>
      </c>
      <c r="N2601">
        <f>+COUNTIF(dHdcp[Columna1],dHdcp[[#This Row],[Columna1]])</f>
        <v>1</v>
      </c>
    </row>
    <row r="2602" spans="1:14">
      <c r="A2602" s="2">
        <v>45795</v>
      </c>
      <c r="B2602" t="s">
        <v>2603</v>
      </c>
      <c r="C2602" s="51">
        <v>7.8</v>
      </c>
      <c r="D2602" s="46">
        <f>+VLOOKUP(dHdcp[[#This Row],[Handicap]],'Categoría Hdcap'!$B$2:$E$7,4)</f>
        <v>2</v>
      </c>
      <c r="E2602" t="s">
        <v>74</v>
      </c>
      <c r="F2602" s="92"/>
      <c r="G2602">
        <f>+IF(dHdcp[[#This Row],[Fecha]]=MAX(dHdcp[Fecha]),1,0)</f>
        <v>0</v>
      </c>
      <c r="H2602" t="str">
        <f>+dHdcp[[#This Row],[Maximo]]&amp;":"&amp;dHdcp[[#This Row],[Nombre]]</f>
        <v>0:Miguel Angel Aguilera</v>
      </c>
      <c r="I2602" t="str">
        <f>+dHdcp[[#This Row],[Maximo]]&amp;":"&amp;_xlfn.XLOOKUP(dHdcp[[#This Row],[Nombre]],dJugador[Nombre],dJugador[Mote],"",0)</f>
        <v>0:M Angel</v>
      </c>
      <c r="J2602" t="str">
        <f>+IF(dHdcp[[#This Row],[Maximo]]=0,"",_xlfn.RANK.EQ(dHdcp[[#This Row],[Handicap]],dHdcp[Handicap],1))</f>
        <v/>
      </c>
      <c r="K2602" t="str">
        <f>IFERROR(+_xlfn.RANK.EQ(dHdcp[[#This Row],[Ranking]],dHdcp[Ranking],1),"")</f>
        <v/>
      </c>
      <c r="M2602" t="str">
        <f>+dHdcp[[#This Row],[Fecha]]&amp;":"&amp;dHdcp[[#This Row],[Nombre]]</f>
        <v>45795:Miguel Angel Aguilera</v>
      </c>
      <c r="N2602">
        <f>+COUNTIF(dHdcp[Columna1],dHdcp[[#This Row],[Columna1]])</f>
        <v>1</v>
      </c>
    </row>
    <row r="2603" spans="1:14">
      <c r="A2603" s="2">
        <v>45795</v>
      </c>
      <c r="B2603" t="s">
        <v>205</v>
      </c>
      <c r="C2603" s="51">
        <v>5.2</v>
      </c>
      <c r="D2603" s="46">
        <f>+VLOOKUP(dHdcp[[#This Row],[Handicap]],'Categoría Hdcap'!$B$2:$E$7,4)</f>
        <v>2</v>
      </c>
      <c r="E2603" t="s">
        <v>74</v>
      </c>
      <c r="F2603" s="92"/>
      <c r="G2603">
        <f>+IF(dHdcp[[#This Row],[Fecha]]=MAX(dHdcp[Fecha]),1,0)</f>
        <v>0</v>
      </c>
      <c r="H2603" t="str">
        <f>+dHdcp[[#This Row],[Maximo]]&amp;":"&amp;dHdcp[[#This Row],[Nombre]]</f>
        <v>0:Nacho Casas</v>
      </c>
      <c r="I2603" t="str">
        <f>+dHdcp[[#This Row],[Maximo]]&amp;":"&amp;_xlfn.XLOOKUP(dHdcp[[#This Row],[Nombre]],dJugador[Nombre],dJugador[Mote],"",0)</f>
        <v>0:Nachete</v>
      </c>
      <c r="J2603" t="str">
        <f>+IF(dHdcp[[#This Row],[Maximo]]=0,"",_xlfn.RANK.EQ(dHdcp[[#This Row],[Handicap]],dHdcp[Handicap],1))</f>
        <v/>
      </c>
      <c r="K2603" t="str">
        <f>IFERROR(+_xlfn.RANK.EQ(dHdcp[[#This Row],[Ranking]],dHdcp[Ranking],1),"")</f>
        <v/>
      </c>
      <c r="M2603" t="str">
        <f>+dHdcp[[#This Row],[Fecha]]&amp;":"&amp;dHdcp[[#This Row],[Nombre]]</f>
        <v>45795:Nacho Casas</v>
      </c>
      <c r="N2603">
        <f>+COUNTIF(dHdcp[Columna1],dHdcp[[#This Row],[Columna1]])</f>
        <v>1</v>
      </c>
    </row>
    <row r="2604" spans="1:14">
      <c r="A2604" s="2">
        <v>45795</v>
      </c>
      <c r="B2604" t="s">
        <v>3</v>
      </c>
      <c r="C2604" s="51">
        <v>4.7</v>
      </c>
      <c r="D2604" s="46">
        <f>+VLOOKUP(dHdcp[[#This Row],[Handicap]],'Categoría Hdcap'!$B$2:$E$7,4)</f>
        <v>2</v>
      </c>
      <c r="E2604" t="s">
        <v>74</v>
      </c>
      <c r="F2604" s="92"/>
      <c r="G2604">
        <f>+IF(dHdcp[[#This Row],[Fecha]]=MAX(dHdcp[Fecha]),1,0)</f>
        <v>0</v>
      </c>
      <c r="H2604" t="str">
        <f>+dHdcp[[#This Row],[Maximo]]&amp;":"&amp;dHdcp[[#This Row],[Nombre]]</f>
        <v>0:Nacho Gonzalez</v>
      </c>
      <c r="I2604" t="str">
        <f>+dHdcp[[#This Row],[Maximo]]&amp;":"&amp;_xlfn.XLOOKUP(dHdcp[[#This Row],[Nombre]],dJugador[Nombre],dJugador[Mote],"",0)</f>
        <v>0:Nacho</v>
      </c>
      <c r="J2604" t="str">
        <f>+IF(dHdcp[[#This Row],[Maximo]]=0,"",_xlfn.RANK.EQ(dHdcp[[#This Row],[Handicap]],dHdcp[Handicap],1))</f>
        <v/>
      </c>
      <c r="K2604" t="str">
        <f>IFERROR(+_xlfn.RANK.EQ(dHdcp[[#This Row],[Ranking]],dHdcp[Ranking],1),"")</f>
        <v/>
      </c>
      <c r="M2604" t="str">
        <f>+dHdcp[[#This Row],[Fecha]]&amp;":"&amp;dHdcp[[#This Row],[Nombre]]</f>
        <v>45795:Nacho Gonzalez</v>
      </c>
      <c r="N2604">
        <f>+COUNTIF(dHdcp[Columna1],dHdcp[[#This Row],[Columna1]])</f>
        <v>1</v>
      </c>
    </row>
    <row r="2605" spans="1:14">
      <c r="A2605" s="2">
        <v>45795</v>
      </c>
      <c r="B2605" t="s">
        <v>203</v>
      </c>
      <c r="C2605" s="51">
        <v>17.899999999999999</v>
      </c>
      <c r="D2605" s="46">
        <f>+VLOOKUP(dHdcp[[#This Row],[Handicap]],'Categoría Hdcap'!$B$2:$E$7,4)</f>
        <v>3</v>
      </c>
      <c r="E2605" t="s">
        <v>74</v>
      </c>
      <c r="F2605" s="92"/>
      <c r="G2605">
        <f>+IF(dHdcp[[#This Row],[Fecha]]=MAX(dHdcp[Fecha]),1,0)</f>
        <v>0</v>
      </c>
      <c r="H2605" t="str">
        <f>+dHdcp[[#This Row],[Maximo]]&amp;":"&amp;dHdcp[[#This Row],[Nombre]]</f>
        <v>0:Ruslan Kochman</v>
      </c>
      <c r="I2605" t="str">
        <f>+dHdcp[[#This Row],[Maximo]]&amp;":"&amp;_xlfn.XLOOKUP(dHdcp[[#This Row],[Nombre]],dJugador[Nombre],dJugador[Mote],"",0)</f>
        <v>0:Rus</v>
      </c>
      <c r="J2605" t="str">
        <f>+IF(dHdcp[[#This Row],[Maximo]]=0,"",_xlfn.RANK.EQ(dHdcp[[#This Row],[Handicap]],dHdcp[Handicap],1))</f>
        <v/>
      </c>
      <c r="K2605" t="str">
        <f>IFERROR(+_xlfn.RANK.EQ(dHdcp[[#This Row],[Ranking]],dHdcp[Ranking],1),"")</f>
        <v/>
      </c>
      <c r="M2605" t="str">
        <f>+dHdcp[[#This Row],[Fecha]]&amp;":"&amp;dHdcp[[#This Row],[Nombre]]</f>
        <v>45795:Ruslan Kochman</v>
      </c>
      <c r="N2605">
        <f>+COUNTIF(dHdcp[Columna1],dHdcp[[#This Row],[Columna1]])</f>
        <v>1</v>
      </c>
    </row>
    <row r="2606" spans="1:14">
      <c r="A2606" s="2">
        <v>45795</v>
      </c>
      <c r="B2606" t="s">
        <v>271</v>
      </c>
      <c r="C2606" s="51">
        <v>16.399999999999999</v>
      </c>
      <c r="D2606" s="46">
        <f>+VLOOKUP(dHdcp[[#This Row],[Handicap]],'Categoría Hdcap'!$B$2:$E$7,4)</f>
        <v>3</v>
      </c>
      <c r="E2606" t="s">
        <v>74</v>
      </c>
      <c r="F2606" s="92"/>
      <c r="G2606">
        <f>+IF(dHdcp[[#This Row],[Fecha]]=MAX(dHdcp[Fecha]),1,0)</f>
        <v>0</v>
      </c>
      <c r="H2606" t="str">
        <f>+dHdcp[[#This Row],[Maximo]]&amp;":"&amp;dHdcp[[#This Row],[Nombre]]</f>
        <v>0:Santi Diaz</v>
      </c>
      <c r="I2606" t="str">
        <f>+dHdcp[[#This Row],[Maximo]]&amp;":"&amp;_xlfn.XLOOKUP(dHdcp[[#This Row],[Nombre]],dJugador[Nombre],dJugador[Mote],"",0)</f>
        <v>0:Santi</v>
      </c>
      <c r="J2606" t="str">
        <f>+IF(dHdcp[[#This Row],[Maximo]]=0,"",_xlfn.RANK.EQ(dHdcp[[#This Row],[Handicap]],dHdcp[Handicap],1))</f>
        <v/>
      </c>
      <c r="K2606" t="str">
        <f>IFERROR(+_xlfn.RANK.EQ(dHdcp[[#This Row],[Ranking]],dHdcp[Ranking],1),"")</f>
        <v/>
      </c>
      <c r="M2606" t="str">
        <f>+dHdcp[[#This Row],[Fecha]]&amp;":"&amp;dHdcp[[#This Row],[Nombre]]</f>
        <v>45795:Santi Diaz</v>
      </c>
      <c r="N2606">
        <f>+COUNTIF(dHdcp[Columna1],dHdcp[[#This Row],[Columna1]])</f>
        <v>1</v>
      </c>
    </row>
    <row r="2607" spans="1:14">
      <c r="A2607" s="2">
        <v>45795</v>
      </c>
      <c r="B2607" t="s">
        <v>2473</v>
      </c>
      <c r="C2607" s="51">
        <v>14.2</v>
      </c>
      <c r="D2607" s="46">
        <f>+VLOOKUP(dHdcp[[#This Row],[Handicap]],'Categoría Hdcap'!$B$2:$E$7,4)</f>
        <v>3</v>
      </c>
      <c r="E2607" t="s">
        <v>74</v>
      </c>
      <c r="F2607" s="92"/>
      <c r="G2607">
        <f>+IF(dHdcp[[#This Row],[Fecha]]=MAX(dHdcp[Fecha]),1,0)</f>
        <v>0</v>
      </c>
      <c r="H2607" t="str">
        <f>+dHdcp[[#This Row],[Maximo]]&amp;":"&amp;dHdcp[[#This Row],[Nombre]]</f>
        <v>0:Thomas Dauterman</v>
      </c>
      <c r="I2607" t="str">
        <f>+dHdcp[[#This Row],[Maximo]]&amp;":"&amp;_xlfn.XLOOKUP(dHdcp[[#This Row],[Nombre]],dJugador[Nombre],dJugador[Mote],"",0)</f>
        <v>0:Tom</v>
      </c>
      <c r="J2607" t="str">
        <f>+IF(dHdcp[[#This Row],[Maximo]]=0,"",_xlfn.RANK.EQ(dHdcp[[#This Row],[Handicap]],dHdcp[Handicap],1))</f>
        <v/>
      </c>
      <c r="K2607" t="str">
        <f>IFERROR(+_xlfn.RANK.EQ(dHdcp[[#This Row],[Ranking]],dHdcp[Ranking],1),"")</f>
        <v/>
      </c>
      <c r="M2607" t="str">
        <f>+dHdcp[[#This Row],[Fecha]]&amp;":"&amp;dHdcp[[#This Row],[Nombre]]</f>
        <v>45795:Thomas Dauterman</v>
      </c>
      <c r="N2607">
        <f>+COUNTIF(dHdcp[Columna1],dHdcp[[#This Row],[Columna1]])</f>
        <v>1</v>
      </c>
    </row>
    <row r="2608" spans="1:14">
      <c r="A2608" s="2">
        <v>45829</v>
      </c>
      <c r="B2608" t="s">
        <v>3</v>
      </c>
      <c r="C2608" s="51">
        <v>5</v>
      </c>
      <c r="D2608" s="46">
        <f>+VLOOKUP(dHdcp[[#This Row],[Handicap]],'Categoría Hdcap'!$B$2:$E$7,4)</f>
        <v>2</v>
      </c>
      <c r="E2608" t="s">
        <v>74</v>
      </c>
      <c r="F2608" s="92"/>
      <c r="G2608">
        <f>+IF(dHdcp[[#This Row],[Fecha]]=MAX(dHdcp[Fecha]),1,0)</f>
        <v>0</v>
      </c>
      <c r="H2608" t="str">
        <f>+dHdcp[[#This Row],[Maximo]]&amp;":"&amp;dHdcp[[#This Row],[Nombre]]</f>
        <v>0:Nacho Gonzalez</v>
      </c>
      <c r="I2608" t="str">
        <f>+dHdcp[[#This Row],[Maximo]]&amp;":"&amp;_xlfn.XLOOKUP(dHdcp[[#This Row],[Nombre]],dJugador[Nombre],dJugador[Mote],"",0)</f>
        <v>0:Nacho</v>
      </c>
      <c r="J2608" t="str">
        <f>+IF(dHdcp[[#This Row],[Maximo]]=0,"",_xlfn.RANK.EQ(dHdcp[[#This Row],[Handicap]],dHdcp[Handicap],1))</f>
        <v/>
      </c>
      <c r="K2608" t="str">
        <f>IFERROR(+_xlfn.RANK.EQ(dHdcp[[#This Row],[Ranking]],dHdcp[Ranking],1),"")</f>
        <v/>
      </c>
      <c r="M2608" t="str">
        <f>+dHdcp[[#This Row],[Fecha]]&amp;":"&amp;dHdcp[[#This Row],[Nombre]]</f>
        <v>45829:Nacho Gonzalez</v>
      </c>
      <c r="N2608">
        <f>+COUNTIF(dHdcp[Columna1],dHdcp[[#This Row],[Columna1]])</f>
        <v>1</v>
      </c>
    </row>
    <row r="2609" spans="1:14">
      <c r="A2609" s="2">
        <v>45829</v>
      </c>
      <c r="B2609" t="s">
        <v>6</v>
      </c>
      <c r="C2609" s="51">
        <v>6.9</v>
      </c>
      <c r="D2609" s="46">
        <f>+VLOOKUP(dHdcp[[#This Row],[Handicap]],'Categoría Hdcap'!$B$2:$E$7,4)</f>
        <v>2</v>
      </c>
      <c r="E2609" t="s">
        <v>74</v>
      </c>
      <c r="F2609" s="92"/>
      <c r="G2609">
        <f>+IF(dHdcp[[#This Row],[Fecha]]=MAX(dHdcp[Fecha]),1,0)</f>
        <v>0</v>
      </c>
      <c r="H2609" t="str">
        <f>+dHdcp[[#This Row],[Maximo]]&amp;":"&amp;dHdcp[[#This Row],[Nombre]]</f>
        <v>0:Ignacio Cadarso</v>
      </c>
      <c r="I2609" t="str">
        <f>+dHdcp[[#This Row],[Maximo]]&amp;":"&amp;_xlfn.XLOOKUP(dHdcp[[#This Row],[Nombre]],dJugador[Nombre],dJugador[Mote],"",0)</f>
        <v>0:Ignacio</v>
      </c>
      <c r="J2609" t="str">
        <f>+IF(dHdcp[[#This Row],[Maximo]]=0,"",_xlfn.RANK.EQ(dHdcp[[#This Row],[Handicap]],dHdcp[Handicap],1))</f>
        <v/>
      </c>
      <c r="K2609" t="str">
        <f>IFERROR(+_xlfn.RANK.EQ(dHdcp[[#This Row],[Ranking]],dHdcp[Ranking],1),"")</f>
        <v/>
      </c>
      <c r="M2609" t="str">
        <f>+dHdcp[[#This Row],[Fecha]]&amp;":"&amp;dHdcp[[#This Row],[Nombre]]</f>
        <v>45829:Ignacio Cadarso</v>
      </c>
      <c r="N2609">
        <f>+COUNTIF(dHdcp[Columna1],dHdcp[[#This Row],[Columna1]])</f>
        <v>1</v>
      </c>
    </row>
    <row r="2610" spans="1:14">
      <c r="A2610" s="2">
        <v>45829</v>
      </c>
      <c r="B2610" t="s">
        <v>9</v>
      </c>
      <c r="C2610" s="51">
        <v>11.5</v>
      </c>
      <c r="D2610" s="46">
        <f>+VLOOKUP(dHdcp[[#This Row],[Handicap]],'Categoría Hdcap'!$B$2:$E$7,4)</f>
        <v>3</v>
      </c>
      <c r="E2610" t="s">
        <v>74</v>
      </c>
      <c r="F2610" s="92"/>
      <c r="G2610">
        <f>+IF(dHdcp[[#This Row],[Fecha]]=MAX(dHdcp[Fecha]),1,0)</f>
        <v>0</v>
      </c>
      <c r="H2610" t="str">
        <f>+dHdcp[[#This Row],[Maximo]]&amp;":"&amp;dHdcp[[#This Row],[Nombre]]</f>
        <v>0:Alfonso Hidalgo</v>
      </c>
      <c r="I2610" t="str">
        <f>+dHdcp[[#This Row],[Maximo]]&amp;":"&amp;_xlfn.XLOOKUP(dHdcp[[#This Row],[Nombre]],dJugador[Nombre],dJugador[Mote],"",0)</f>
        <v>0:Alfonso</v>
      </c>
      <c r="J2610" t="str">
        <f>+IF(dHdcp[[#This Row],[Maximo]]=0,"",_xlfn.RANK.EQ(dHdcp[[#This Row],[Handicap]],dHdcp[Handicap],1))</f>
        <v/>
      </c>
      <c r="K2610" t="str">
        <f>IFERROR(+_xlfn.RANK.EQ(dHdcp[[#This Row],[Ranking]],dHdcp[Ranking],1),"")</f>
        <v/>
      </c>
      <c r="M2610" t="str">
        <f>+dHdcp[[#This Row],[Fecha]]&amp;":"&amp;dHdcp[[#This Row],[Nombre]]</f>
        <v>45829:Alfonso Hidalgo</v>
      </c>
      <c r="N2610">
        <f>+COUNTIF(dHdcp[Columna1],dHdcp[[#This Row],[Columna1]])</f>
        <v>1</v>
      </c>
    </row>
    <row r="2611" spans="1:14">
      <c r="A2611" s="2">
        <v>45829</v>
      </c>
      <c r="B2611" t="s">
        <v>12</v>
      </c>
      <c r="C2611" s="51">
        <v>15.2</v>
      </c>
      <c r="D2611" s="46">
        <f>+VLOOKUP(dHdcp[[#This Row],[Handicap]],'Categoría Hdcap'!$B$2:$E$7,4)</f>
        <v>3</v>
      </c>
      <c r="E2611" t="s">
        <v>74</v>
      </c>
      <c r="F2611" s="92"/>
      <c r="G2611">
        <f>+IF(dHdcp[[#This Row],[Fecha]]=MAX(dHdcp[Fecha]),1,0)</f>
        <v>0</v>
      </c>
      <c r="H2611" t="str">
        <f>+dHdcp[[#This Row],[Maximo]]&amp;":"&amp;dHdcp[[#This Row],[Nombre]]</f>
        <v>0:Francisco Alvarez</v>
      </c>
      <c r="I2611" t="str">
        <f>+dHdcp[[#This Row],[Maximo]]&amp;":"&amp;_xlfn.XLOOKUP(dHdcp[[#This Row],[Nombre]],dJugador[Nombre],dJugador[Mote],"",0)</f>
        <v>0:Paco</v>
      </c>
      <c r="J2611" t="str">
        <f>+IF(dHdcp[[#This Row],[Maximo]]=0,"",_xlfn.RANK.EQ(dHdcp[[#This Row],[Handicap]],dHdcp[Handicap],1))</f>
        <v/>
      </c>
      <c r="K2611" t="str">
        <f>IFERROR(+_xlfn.RANK.EQ(dHdcp[[#This Row],[Ranking]],dHdcp[Ranking],1),"")</f>
        <v/>
      </c>
      <c r="M2611" t="str">
        <f>+dHdcp[[#This Row],[Fecha]]&amp;":"&amp;dHdcp[[#This Row],[Nombre]]</f>
        <v>45829:Francisco Alvarez</v>
      </c>
      <c r="N2611">
        <f>+COUNTIF(dHdcp[Columna1],dHdcp[[#This Row],[Columna1]])</f>
        <v>1</v>
      </c>
    </row>
    <row r="2612" spans="1:14">
      <c r="A2612" s="2">
        <v>45829</v>
      </c>
      <c r="B2612" t="s">
        <v>15</v>
      </c>
      <c r="C2612" s="51">
        <v>6.7</v>
      </c>
      <c r="D2612" s="46">
        <f>+VLOOKUP(dHdcp[[#This Row],[Handicap]],'Categoría Hdcap'!$B$2:$E$7,4)</f>
        <v>2</v>
      </c>
      <c r="E2612" t="s">
        <v>74</v>
      </c>
      <c r="F2612" s="92"/>
      <c r="G2612">
        <f>+IF(dHdcp[[#This Row],[Fecha]]=MAX(dHdcp[Fecha]),1,0)</f>
        <v>0</v>
      </c>
      <c r="H2612" t="str">
        <f>+dHdcp[[#This Row],[Maximo]]&amp;":"&amp;dHdcp[[#This Row],[Nombre]]</f>
        <v>0:Alvaro Aguirre</v>
      </c>
      <c r="I2612" t="str">
        <f>+dHdcp[[#This Row],[Maximo]]&amp;":"&amp;_xlfn.XLOOKUP(dHdcp[[#This Row],[Nombre]],dJugador[Nombre],dJugador[Mote],"",0)</f>
        <v>0:Gifu</v>
      </c>
      <c r="J2612" t="str">
        <f>+IF(dHdcp[[#This Row],[Maximo]]=0,"",_xlfn.RANK.EQ(dHdcp[[#This Row],[Handicap]],dHdcp[Handicap],1))</f>
        <v/>
      </c>
      <c r="K2612" t="str">
        <f>IFERROR(+_xlfn.RANK.EQ(dHdcp[[#This Row],[Ranking]],dHdcp[Ranking],1),"")</f>
        <v/>
      </c>
      <c r="M2612" t="str">
        <f>+dHdcp[[#This Row],[Fecha]]&amp;":"&amp;dHdcp[[#This Row],[Nombre]]</f>
        <v>45829:Alvaro Aguirre</v>
      </c>
      <c r="N2612">
        <f>+COUNTIF(dHdcp[Columna1],dHdcp[[#This Row],[Columna1]])</f>
        <v>1</v>
      </c>
    </row>
    <row r="2613" spans="1:14">
      <c r="A2613" s="2">
        <v>45829</v>
      </c>
      <c r="B2613" t="s">
        <v>18</v>
      </c>
      <c r="C2613" s="51">
        <v>7</v>
      </c>
      <c r="D2613" s="46">
        <f>+VLOOKUP(dHdcp[[#This Row],[Handicap]],'Categoría Hdcap'!$B$2:$E$7,4)</f>
        <v>2</v>
      </c>
      <c r="E2613" t="s">
        <v>74</v>
      </c>
      <c r="F2613" s="92"/>
      <c r="G2613">
        <f>+IF(dHdcp[[#This Row],[Fecha]]=MAX(dHdcp[Fecha]),1,0)</f>
        <v>0</v>
      </c>
      <c r="H2613" t="str">
        <f>+dHdcp[[#This Row],[Maximo]]&amp;":"&amp;dHdcp[[#This Row],[Nombre]]</f>
        <v>0:José Pablo Guil</v>
      </c>
      <c r="I2613" t="str">
        <f>+dHdcp[[#This Row],[Maximo]]&amp;":"&amp;_xlfn.XLOOKUP(dHdcp[[#This Row],[Nombre]],dJugador[Nombre],dJugador[Mote],"",0)</f>
        <v>0:JP</v>
      </c>
      <c r="J2613" t="str">
        <f>+IF(dHdcp[[#This Row],[Maximo]]=0,"",_xlfn.RANK.EQ(dHdcp[[#This Row],[Handicap]],dHdcp[Handicap],1))</f>
        <v/>
      </c>
      <c r="K2613" t="str">
        <f>IFERROR(+_xlfn.RANK.EQ(dHdcp[[#This Row],[Ranking]],dHdcp[Ranking],1),"")</f>
        <v/>
      </c>
      <c r="M2613" t="str">
        <f>+dHdcp[[#This Row],[Fecha]]&amp;":"&amp;dHdcp[[#This Row],[Nombre]]</f>
        <v>45829:José Pablo Guil</v>
      </c>
      <c r="N2613">
        <f>+COUNTIF(dHdcp[Columna1],dHdcp[[#This Row],[Columna1]])</f>
        <v>1</v>
      </c>
    </row>
    <row r="2614" spans="1:14">
      <c r="A2614" s="2">
        <v>45829</v>
      </c>
      <c r="B2614" t="s">
        <v>20</v>
      </c>
      <c r="C2614" s="51">
        <v>20.2</v>
      </c>
      <c r="D2614" s="46">
        <f>+VLOOKUP(dHdcp[[#This Row],[Handicap]],'Categoría Hdcap'!$B$2:$E$7,4)</f>
        <v>4</v>
      </c>
      <c r="E2614" t="s">
        <v>74</v>
      </c>
      <c r="F2614" s="92"/>
      <c r="G2614">
        <f>+IF(dHdcp[[#This Row],[Fecha]]=MAX(dHdcp[Fecha]),1,0)</f>
        <v>0</v>
      </c>
      <c r="H2614" t="str">
        <f>+dHdcp[[#This Row],[Maximo]]&amp;":"&amp;dHdcp[[#This Row],[Nombre]]</f>
        <v>0:Javier Gonzalez Salvador</v>
      </c>
      <c r="I2614" t="str">
        <f>+dHdcp[[#This Row],[Maximo]]&amp;":"&amp;_xlfn.XLOOKUP(dHdcp[[#This Row],[Nombre]],dJugador[Nombre],dJugador[Mote],"",0)</f>
        <v>0:Javi</v>
      </c>
      <c r="J2614" t="str">
        <f>+IF(dHdcp[[#This Row],[Maximo]]=0,"",_xlfn.RANK.EQ(dHdcp[[#This Row],[Handicap]],dHdcp[Handicap],1))</f>
        <v/>
      </c>
      <c r="K2614" t="str">
        <f>IFERROR(+_xlfn.RANK.EQ(dHdcp[[#This Row],[Ranking]],dHdcp[Ranking],1),"")</f>
        <v/>
      </c>
      <c r="M2614" t="str">
        <f>+dHdcp[[#This Row],[Fecha]]&amp;":"&amp;dHdcp[[#This Row],[Nombre]]</f>
        <v>45829:Javier Gonzalez Salvador</v>
      </c>
      <c r="N2614">
        <f>+COUNTIF(dHdcp[Columna1],dHdcp[[#This Row],[Columna1]])</f>
        <v>1</v>
      </c>
    </row>
    <row r="2615" spans="1:14">
      <c r="A2615" s="2">
        <v>45829</v>
      </c>
      <c r="B2615" t="s">
        <v>23</v>
      </c>
      <c r="C2615" s="51">
        <v>19.7</v>
      </c>
      <c r="D2615" s="46">
        <f>+VLOOKUP(dHdcp[[#This Row],[Handicap]],'Categoría Hdcap'!$B$2:$E$7,4)</f>
        <v>4</v>
      </c>
      <c r="E2615" t="s">
        <v>74</v>
      </c>
      <c r="F2615" s="92"/>
      <c r="G2615">
        <f>+IF(dHdcp[[#This Row],[Fecha]]=MAX(dHdcp[Fecha]),1,0)</f>
        <v>0</v>
      </c>
      <c r="H2615" t="str">
        <f>+dHdcp[[#This Row],[Maximo]]&amp;":"&amp;dHdcp[[#This Row],[Nombre]]</f>
        <v>0:J. Enrique Gonzalez</v>
      </c>
      <c r="I2615" t="str">
        <f>+dHdcp[[#This Row],[Maximo]]&amp;":"&amp;_xlfn.XLOOKUP(dHdcp[[#This Row],[Nombre]],dJugador[Nombre],dJugador[Mote],"",0)</f>
        <v>0:Kike</v>
      </c>
      <c r="J2615" t="str">
        <f>+IF(dHdcp[[#This Row],[Maximo]]=0,"",_xlfn.RANK.EQ(dHdcp[[#This Row],[Handicap]],dHdcp[Handicap],1))</f>
        <v/>
      </c>
      <c r="K2615" t="str">
        <f>IFERROR(+_xlfn.RANK.EQ(dHdcp[[#This Row],[Ranking]],dHdcp[Ranking],1),"")</f>
        <v/>
      </c>
      <c r="M2615" t="str">
        <f>+dHdcp[[#This Row],[Fecha]]&amp;":"&amp;dHdcp[[#This Row],[Nombre]]</f>
        <v>45829:J. Enrique Gonzalez</v>
      </c>
      <c r="N2615">
        <f>+COUNTIF(dHdcp[Columna1],dHdcp[[#This Row],[Columna1]])</f>
        <v>1</v>
      </c>
    </row>
    <row r="2616" spans="1:14">
      <c r="A2616" s="2">
        <v>45829</v>
      </c>
      <c r="B2616" t="s">
        <v>25</v>
      </c>
      <c r="C2616" s="51">
        <v>15.1</v>
      </c>
      <c r="D2616" s="46">
        <f>+VLOOKUP(dHdcp[[#This Row],[Handicap]],'Categoría Hdcap'!$B$2:$E$7,4)</f>
        <v>3</v>
      </c>
      <c r="E2616" t="s">
        <v>74</v>
      </c>
      <c r="F2616" s="92"/>
      <c r="G2616">
        <f>+IF(dHdcp[[#This Row],[Fecha]]=MAX(dHdcp[Fecha]),1,0)</f>
        <v>0</v>
      </c>
      <c r="H2616" t="str">
        <f>+dHdcp[[#This Row],[Maximo]]&amp;":"&amp;dHdcp[[#This Row],[Nombre]]</f>
        <v>0:Alvaro Nieto</v>
      </c>
      <c r="I2616" t="str">
        <f>+dHdcp[[#This Row],[Maximo]]&amp;":"&amp;_xlfn.XLOOKUP(dHdcp[[#This Row],[Nombre]],dJugador[Nombre],dJugador[Mote],"",0)</f>
        <v>0:Alvaro</v>
      </c>
      <c r="J2616" t="str">
        <f>+IF(dHdcp[[#This Row],[Maximo]]=0,"",_xlfn.RANK.EQ(dHdcp[[#This Row],[Handicap]],dHdcp[Handicap],1))</f>
        <v/>
      </c>
      <c r="K2616" t="str">
        <f>IFERROR(+_xlfn.RANK.EQ(dHdcp[[#This Row],[Ranking]],dHdcp[Ranking],1),"")</f>
        <v/>
      </c>
      <c r="M2616" t="str">
        <f>+dHdcp[[#This Row],[Fecha]]&amp;":"&amp;dHdcp[[#This Row],[Nombre]]</f>
        <v>45829:Alvaro Nieto</v>
      </c>
      <c r="N2616">
        <f>+COUNTIF(dHdcp[Columna1],dHdcp[[#This Row],[Columna1]])</f>
        <v>1</v>
      </c>
    </row>
    <row r="2617" spans="1:14">
      <c r="A2617" s="2">
        <v>45829</v>
      </c>
      <c r="B2617" t="s">
        <v>30</v>
      </c>
      <c r="C2617" s="51">
        <v>14.2</v>
      </c>
      <c r="D2617" s="46">
        <f>+VLOOKUP(dHdcp[[#This Row],[Handicap]],'Categoría Hdcap'!$B$2:$E$7,4)</f>
        <v>3</v>
      </c>
      <c r="E2617" t="s">
        <v>74</v>
      </c>
      <c r="F2617" s="92"/>
      <c r="G2617">
        <f>+IF(dHdcp[[#This Row],[Fecha]]=MAX(dHdcp[Fecha]),1,0)</f>
        <v>0</v>
      </c>
      <c r="H2617" t="str">
        <f>+dHdcp[[#This Row],[Maximo]]&amp;":"&amp;dHdcp[[#This Row],[Nombre]]</f>
        <v>0:David Sequera</v>
      </c>
      <c r="I2617" t="str">
        <f>+dHdcp[[#This Row],[Maximo]]&amp;":"&amp;_xlfn.XLOOKUP(dHdcp[[#This Row],[Nombre]],dJugador[Nombre],dJugador[Mote],"",0)</f>
        <v>0:David</v>
      </c>
      <c r="J2617" t="str">
        <f>+IF(dHdcp[[#This Row],[Maximo]]=0,"",_xlfn.RANK.EQ(dHdcp[[#This Row],[Handicap]],dHdcp[Handicap],1))</f>
        <v/>
      </c>
      <c r="K2617" t="str">
        <f>IFERROR(+_xlfn.RANK.EQ(dHdcp[[#This Row],[Ranking]],dHdcp[Ranking],1),"")</f>
        <v/>
      </c>
      <c r="M2617" t="str">
        <f>+dHdcp[[#This Row],[Fecha]]&amp;":"&amp;dHdcp[[#This Row],[Nombre]]</f>
        <v>45829:David Sequera</v>
      </c>
      <c r="N2617">
        <f>+COUNTIF(dHdcp[Columna1],dHdcp[[#This Row],[Columna1]])</f>
        <v>1</v>
      </c>
    </row>
    <row r="2618" spans="1:14">
      <c r="A2618" s="2">
        <v>45829</v>
      </c>
      <c r="B2618" t="s">
        <v>33</v>
      </c>
      <c r="C2618" s="51">
        <v>7</v>
      </c>
      <c r="D2618" s="46">
        <f>+VLOOKUP(dHdcp[[#This Row],[Handicap]],'Categoría Hdcap'!$B$2:$E$7,4)</f>
        <v>2</v>
      </c>
      <c r="E2618" t="s">
        <v>74</v>
      </c>
      <c r="F2618" s="92"/>
      <c r="G2618">
        <f>+IF(dHdcp[[#This Row],[Fecha]]=MAX(dHdcp[Fecha]),1,0)</f>
        <v>0</v>
      </c>
      <c r="H2618" t="str">
        <f>+dHdcp[[#This Row],[Maximo]]&amp;":"&amp;dHdcp[[#This Row],[Nombre]]</f>
        <v>0:Angel Hernandez</v>
      </c>
      <c r="I2618" t="str">
        <f>+dHdcp[[#This Row],[Maximo]]&amp;":"&amp;_xlfn.XLOOKUP(dHdcp[[#This Row],[Nombre]],dJugador[Nombre],dJugador[Mote],"",0)</f>
        <v>0:Angel</v>
      </c>
      <c r="J2618" t="str">
        <f>+IF(dHdcp[[#This Row],[Maximo]]=0,"",_xlfn.RANK.EQ(dHdcp[[#This Row],[Handicap]],dHdcp[Handicap],1))</f>
        <v/>
      </c>
      <c r="K2618" t="str">
        <f>IFERROR(+_xlfn.RANK.EQ(dHdcp[[#This Row],[Ranking]],dHdcp[Ranking],1),"")</f>
        <v/>
      </c>
      <c r="M2618" t="str">
        <f>+dHdcp[[#This Row],[Fecha]]&amp;":"&amp;dHdcp[[#This Row],[Nombre]]</f>
        <v>45829:Angel Hernandez</v>
      </c>
      <c r="N2618">
        <f>+COUNTIF(dHdcp[Columna1],dHdcp[[#This Row],[Columna1]])</f>
        <v>1</v>
      </c>
    </row>
    <row r="2619" spans="1:14">
      <c r="A2619" s="2">
        <v>45829</v>
      </c>
      <c r="B2619" t="s">
        <v>35</v>
      </c>
      <c r="C2619" s="51">
        <v>20.9</v>
      </c>
      <c r="D2619" s="46">
        <f>+VLOOKUP(dHdcp[[#This Row],[Handicap]],'Categoría Hdcap'!$B$2:$E$7,4)</f>
        <v>4</v>
      </c>
      <c r="E2619" t="s">
        <v>74</v>
      </c>
      <c r="F2619" s="92"/>
      <c r="G2619">
        <f>+IF(dHdcp[[#This Row],[Fecha]]=MAX(dHdcp[Fecha]),1,0)</f>
        <v>0</v>
      </c>
      <c r="H2619" t="str">
        <f>+dHdcp[[#This Row],[Maximo]]&amp;":"&amp;dHdcp[[#This Row],[Nombre]]</f>
        <v>0:GLEZ JUAN JOSÉ</v>
      </c>
      <c r="I2619" t="str">
        <f>+dHdcp[[#This Row],[Maximo]]&amp;":"&amp;_xlfn.XLOOKUP(dHdcp[[#This Row],[Nombre]],dJugador[Nombre],dJugador[Mote],"",0)</f>
        <v>0:Juanjo</v>
      </c>
      <c r="J2619" t="str">
        <f>+IF(dHdcp[[#This Row],[Maximo]]=0,"",_xlfn.RANK.EQ(dHdcp[[#This Row],[Handicap]],dHdcp[Handicap],1))</f>
        <v/>
      </c>
      <c r="K2619" t="str">
        <f>IFERROR(+_xlfn.RANK.EQ(dHdcp[[#This Row],[Ranking]],dHdcp[Ranking],1),"")</f>
        <v/>
      </c>
      <c r="M2619" t="str">
        <f>+dHdcp[[#This Row],[Fecha]]&amp;":"&amp;dHdcp[[#This Row],[Nombre]]</f>
        <v>45829:GLEZ JUAN JOSÉ</v>
      </c>
      <c r="N2619">
        <f>+COUNTIF(dHdcp[Columna1],dHdcp[[#This Row],[Columna1]])</f>
        <v>1</v>
      </c>
    </row>
    <row r="2620" spans="1:14">
      <c r="A2620" s="2">
        <v>45829</v>
      </c>
      <c r="B2620" t="s">
        <v>41</v>
      </c>
      <c r="C2620" s="51">
        <v>22.6</v>
      </c>
      <c r="D2620" s="46">
        <f>+VLOOKUP(dHdcp[[#This Row],[Handicap]],'Categoría Hdcap'!$B$2:$E$7,4)</f>
        <v>4</v>
      </c>
      <c r="E2620" t="s">
        <v>74</v>
      </c>
      <c r="F2620" s="92"/>
      <c r="G2620">
        <f>+IF(dHdcp[[#This Row],[Fecha]]=MAX(dHdcp[Fecha]),1,0)</f>
        <v>0</v>
      </c>
      <c r="H2620" t="str">
        <f>+dHdcp[[#This Row],[Maximo]]&amp;":"&amp;dHdcp[[#This Row],[Nombre]]</f>
        <v>0:Jesus Touceda</v>
      </c>
      <c r="I2620" t="str">
        <f>+dHdcp[[#This Row],[Maximo]]&amp;":"&amp;_xlfn.XLOOKUP(dHdcp[[#This Row],[Nombre]],dJugador[Nombre],dJugador[Mote],"",0)</f>
        <v>0:Jesús</v>
      </c>
      <c r="J2620" t="str">
        <f>+IF(dHdcp[[#This Row],[Maximo]]=0,"",_xlfn.RANK.EQ(dHdcp[[#This Row],[Handicap]],dHdcp[Handicap],1))</f>
        <v/>
      </c>
      <c r="K2620" t="str">
        <f>IFERROR(+_xlfn.RANK.EQ(dHdcp[[#This Row],[Ranking]],dHdcp[Ranking],1),"")</f>
        <v/>
      </c>
      <c r="M2620" t="str">
        <f>+dHdcp[[#This Row],[Fecha]]&amp;":"&amp;dHdcp[[#This Row],[Nombre]]</f>
        <v>45829:Jesus Touceda</v>
      </c>
      <c r="N2620">
        <f>+COUNTIF(dHdcp[Columna1],dHdcp[[#This Row],[Columna1]])</f>
        <v>1</v>
      </c>
    </row>
    <row r="2621" spans="1:14">
      <c r="A2621" s="2">
        <v>45829</v>
      </c>
      <c r="B2621" t="s">
        <v>46</v>
      </c>
      <c r="C2621" s="51">
        <v>18.8</v>
      </c>
      <c r="D2621" s="46">
        <f>+VLOOKUP(dHdcp[[#This Row],[Handicap]],'Categoría Hdcap'!$B$2:$E$7,4)</f>
        <v>4</v>
      </c>
      <c r="E2621" t="s">
        <v>74</v>
      </c>
      <c r="F2621" s="92"/>
      <c r="G2621">
        <f>+IF(dHdcp[[#This Row],[Fecha]]=MAX(dHdcp[Fecha]),1,0)</f>
        <v>0</v>
      </c>
      <c r="H2621" t="str">
        <f>+dHdcp[[#This Row],[Maximo]]&amp;":"&amp;dHdcp[[#This Row],[Nombre]]</f>
        <v>0:Javier Cervera</v>
      </c>
      <c r="I2621" t="str">
        <f>+dHdcp[[#This Row],[Maximo]]&amp;":"&amp;_xlfn.XLOOKUP(dHdcp[[#This Row],[Nombre]],dJugador[Nombre],dJugador[Mote],"",0)</f>
        <v>0:Virus</v>
      </c>
      <c r="J2621" t="str">
        <f>+IF(dHdcp[[#This Row],[Maximo]]=0,"",_xlfn.RANK.EQ(dHdcp[[#This Row],[Handicap]],dHdcp[Handicap],1))</f>
        <v/>
      </c>
      <c r="K2621" t="str">
        <f>IFERROR(+_xlfn.RANK.EQ(dHdcp[[#This Row],[Ranking]],dHdcp[Ranking],1),"")</f>
        <v/>
      </c>
      <c r="M2621" t="str">
        <f>+dHdcp[[#This Row],[Fecha]]&amp;":"&amp;dHdcp[[#This Row],[Nombre]]</f>
        <v>45829:Javier Cervera</v>
      </c>
      <c r="N2621">
        <f>+COUNTIF(dHdcp[Columna1],dHdcp[[#This Row],[Columna1]])</f>
        <v>1</v>
      </c>
    </row>
    <row r="2622" spans="1:14">
      <c r="A2622" s="2">
        <v>45829</v>
      </c>
      <c r="B2622" t="s">
        <v>49</v>
      </c>
      <c r="C2622" s="51">
        <v>14.6</v>
      </c>
      <c r="D2622" s="46">
        <f>+VLOOKUP(dHdcp[[#This Row],[Handicap]],'Categoría Hdcap'!$B$2:$E$7,4)</f>
        <v>3</v>
      </c>
      <c r="E2622" t="s">
        <v>74</v>
      </c>
      <c r="F2622" s="92"/>
      <c r="G2622">
        <f>+IF(dHdcp[[#This Row],[Fecha]]=MAX(dHdcp[Fecha]),1,0)</f>
        <v>0</v>
      </c>
      <c r="H2622" t="str">
        <f>+dHdcp[[#This Row],[Maximo]]&amp;":"&amp;dHdcp[[#This Row],[Nombre]]</f>
        <v>0:Francisco Hidalgo</v>
      </c>
      <c r="I2622" t="str">
        <f>+dHdcp[[#This Row],[Maximo]]&amp;":"&amp;_xlfn.XLOOKUP(dHdcp[[#This Row],[Nombre]],dJugador[Nombre],dJugador[Mote],"",0)</f>
        <v>0:Fran</v>
      </c>
      <c r="J2622" t="str">
        <f>+IF(dHdcp[[#This Row],[Maximo]]=0,"",_xlfn.RANK.EQ(dHdcp[[#This Row],[Handicap]],dHdcp[Handicap],1))</f>
        <v/>
      </c>
      <c r="K2622" t="str">
        <f>IFERROR(+_xlfn.RANK.EQ(dHdcp[[#This Row],[Ranking]],dHdcp[Ranking],1),"")</f>
        <v/>
      </c>
      <c r="M2622" t="str">
        <f>+dHdcp[[#This Row],[Fecha]]&amp;":"&amp;dHdcp[[#This Row],[Nombre]]</f>
        <v>45829:Francisco Hidalgo</v>
      </c>
      <c r="N2622">
        <f>+COUNTIF(dHdcp[Columna1],dHdcp[[#This Row],[Columna1]])</f>
        <v>1</v>
      </c>
    </row>
    <row r="2623" spans="1:14">
      <c r="A2623" s="2">
        <v>45829</v>
      </c>
      <c r="B2623" t="s">
        <v>135</v>
      </c>
      <c r="C2623" s="51">
        <v>19.5</v>
      </c>
      <c r="D2623" s="46">
        <f>+VLOOKUP(dHdcp[[#This Row],[Handicap]],'Categoría Hdcap'!$B$2:$E$7,4)</f>
        <v>4</v>
      </c>
      <c r="E2623" t="s">
        <v>74</v>
      </c>
      <c r="F2623" s="92"/>
      <c r="G2623">
        <f>+IF(dHdcp[[#This Row],[Fecha]]=MAX(dHdcp[Fecha]),1,0)</f>
        <v>0</v>
      </c>
      <c r="H2623" t="str">
        <f>+dHdcp[[#This Row],[Maximo]]&amp;":"&amp;dHdcp[[#This Row],[Nombre]]</f>
        <v>0:Miche Lopez</v>
      </c>
      <c r="I2623" t="str">
        <f>+dHdcp[[#This Row],[Maximo]]&amp;":"&amp;_xlfn.XLOOKUP(dHdcp[[#This Row],[Nombre]],dJugador[Nombre],dJugador[Mote],"",0)</f>
        <v>0:Miche</v>
      </c>
      <c r="J2623" t="str">
        <f>+IF(dHdcp[[#This Row],[Maximo]]=0,"",_xlfn.RANK.EQ(dHdcp[[#This Row],[Handicap]],dHdcp[Handicap],1))</f>
        <v/>
      </c>
      <c r="K2623" t="str">
        <f>IFERROR(+_xlfn.RANK.EQ(dHdcp[[#This Row],[Ranking]],dHdcp[Ranking],1),"")</f>
        <v/>
      </c>
      <c r="M2623" t="str">
        <f>+dHdcp[[#This Row],[Fecha]]&amp;":"&amp;dHdcp[[#This Row],[Nombre]]</f>
        <v>45829:Miche Lopez</v>
      </c>
      <c r="N2623">
        <f>+COUNTIF(dHdcp[Columna1],dHdcp[[#This Row],[Columna1]])</f>
        <v>1</v>
      </c>
    </row>
    <row r="2624" spans="1:14">
      <c r="A2624" s="2">
        <v>45829</v>
      </c>
      <c r="B2624" t="s">
        <v>201</v>
      </c>
      <c r="C2624" s="51">
        <v>7.5</v>
      </c>
      <c r="D2624" s="46">
        <f>+VLOOKUP(dHdcp[[#This Row],[Handicap]],'Categoría Hdcap'!$B$2:$E$7,4)</f>
        <v>2</v>
      </c>
      <c r="E2624" t="s">
        <v>74</v>
      </c>
      <c r="F2624" s="92"/>
      <c r="G2624">
        <f>+IF(dHdcp[[#This Row],[Fecha]]=MAX(dHdcp[Fecha]),1,0)</f>
        <v>0</v>
      </c>
      <c r="H2624" t="str">
        <f>+dHdcp[[#This Row],[Maximo]]&amp;":"&amp;dHdcp[[#This Row],[Nombre]]</f>
        <v>0:Alvaro Montoya</v>
      </c>
      <c r="I2624" t="str">
        <f>+dHdcp[[#This Row],[Maximo]]&amp;":"&amp;_xlfn.XLOOKUP(dHdcp[[#This Row],[Nombre]],dJugador[Nombre],dJugador[Mote],"",0)</f>
        <v>0:Monti</v>
      </c>
      <c r="J2624" t="str">
        <f>+IF(dHdcp[[#This Row],[Maximo]]=0,"",_xlfn.RANK.EQ(dHdcp[[#This Row],[Handicap]],dHdcp[Handicap],1))</f>
        <v/>
      </c>
      <c r="K2624" t="str">
        <f>IFERROR(+_xlfn.RANK.EQ(dHdcp[[#This Row],[Ranking]],dHdcp[Ranking],1),"")</f>
        <v/>
      </c>
      <c r="M2624" t="str">
        <f>+dHdcp[[#This Row],[Fecha]]&amp;":"&amp;dHdcp[[#This Row],[Nombre]]</f>
        <v>45829:Alvaro Montoya</v>
      </c>
      <c r="N2624">
        <f>+COUNTIF(dHdcp[Columna1],dHdcp[[#This Row],[Columna1]])</f>
        <v>1</v>
      </c>
    </row>
    <row r="2625" spans="1:14">
      <c r="A2625" s="2">
        <v>45829</v>
      </c>
      <c r="B2625" t="s">
        <v>203</v>
      </c>
      <c r="C2625" s="51">
        <v>17.2</v>
      </c>
      <c r="D2625" s="46">
        <f>+VLOOKUP(dHdcp[[#This Row],[Handicap]],'Categoría Hdcap'!$B$2:$E$7,4)</f>
        <v>3</v>
      </c>
      <c r="E2625" t="s">
        <v>74</v>
      </c>
      <c r="F2625" s="92"/>
      <c r="G2625">
        <f>+IF(dHdcp[[#This Row],[Fecha]]=MAX(dHdcp[Fecha]),1,0)</f>
        <v>0</v>
      </c>
      <c r="H2625" t="str">
        <f>+dHdcp[[#This Row],[Maximo]]&amp;":"&amp;dHdcp[[#This Row],[Nombre]]</f>
        <v>0:Ruslan Kochman</v>
      </c>
      <c r="I2625" t="str">
        <f>+dHdcp[[#This Row],[Maximo]]&amp;":"&amp;_xlfn.XLOOKUP(dHdcp[[#This Row],[Nombre]],dJugador[Nombre],dJugador[Mote],"",0)</f>
        <v>0:Rus</v>
      </c>
      <c r="J2625" t="str">
        <f>+IF(dHdcp[[#This Row],[Maximo]]=0,"",_xlfn.RANK.EQ(dHdcp[[#This Row],[Handicap]],dHdcp[Handicap],1))</f>
        <v/>
      </c>
      <c r="K2625" t="str">
        <f>IFERROR(+_xlfn.RANK.EQ(dHdcp[[#This Row],[Ranking]],dHdcp[Ranking],1),"")</f>
        <v/>
      </c>
      <c r="M2625" t="str">
        <f>+dHdcp[[#This Row],[Fecha]]&amp;":"&amp;dHdcp[[#This Row],[Nombre]]</f>
        <v>45829:Ruslan Kochman</v>
      </c>
      <c r="N2625">
        <f>+COUNTIF(dHdcp[Columna1],dHdcp[[#This Row],[Columna1]])</f>
        <v>1</v>
      </c>
    </row>
    <row r="2626" spans="1:14">
      <c r="A2626" s="2">
        <v>45829</v>
      </c>
      <c r="B2626" t="s">
        <v>205</v>
      </c>
      <c r="C2626" s="51">
        <v>5.2</v>
      </c>
      <c r="D2626" s="46">
        <f>+VLOOKUP(dHdcp[[#This Row],[Handicap]],'Categoría Hdcap'!$B$2:$E$7,4)</f>
        <v>2</v>
      </c>
      <c r="E2626" t="s">
        <v>74</v>
      </c>
      <c r="F2626" s="92"/>
      <c r="G2626">
        <f>+IF(dHdcp[[#This Row],[Fecha]]=MAX(dHdcp[Fecha]),1,0)</f>
        <v>0</v>
      </c>
      <c r="H2626" t="str">
        <f>+dHdcp[[#This Row],[Maximo]]&amp;":"&amp;dHdcp[[#This Row],[Nombre]]</f>
        <v>0:Nacho Casas</v>
      </c>
      <c r="I2626" t="str">
        <f>+dHdcp[[#This Row],[Maximo]]&amp;":"&amp;_xlfn.XLOOKUP(dHdcp[[#This Row],[Nombre]],dJugador[Nombre],dJugador[Mote],"",0)</f>
        <v>0:Nachete</v>
      </c>
      <c r="J2626" t="str">
        <f>+IF(dHdcp[[#This Row],[Maximo]]=0,"",_xlfn.RANK.EQ(dHdcp[[#This Row],[Handicap]],dHdcp[Handicap],1))</f>
        <v/>
      </c>
      <c r="K2626" t="str">
        <f>IFERROR(+_xlfn.RANK.EQ(dHdcp[[#This Row],[Ranking]],dHdcp[Ranking],1),"")</f>
        <v/>
      </c>
      <c r="M2626" t="str">
        <f>+dHdcp[[#This Row],[Fecha]]&amp;":"&amp;dHdcp[[#This Row],[Nombre]]</f>
        <v>45829:Nacho Casas</v>
      </c>
      <c r="N2626">
        <f>+COUNTIF(dHdcp[Columna1],dHdcp[[#This Row],[Columna1]])</f>
        <v>1</v>
      </c>
    </row>
    <row r="2627" spans="1:14">
      <c r="A2627" s="2">
        <v>45829</v>
      </c>
      <c r="B2627" t="s">
        <v>207</v>
      </c>
      <c r="C2627" s="51">
        <v>15</v>
      </c>
      <c r="D2627" s="46">
        <f>+VLOOKUP(dHdcp[[#This Row],[Handicap]],'Categoría Hdcap'!$B$2:$E$7,4)</f>
        <v>3</v>
      </c>
      <c r="E2627" t="s">
        <v>74</v>
      </c>
      <c r="F2627" s="92"/>
      <c r="G2627">
        <f>+IF(dHdcp[[#This Row],[Fecha]]=MAX(dHdcp[Fecha]),1,0)</f>
        <v>0</v>
      </c>
      <c r="H2627" t="str">
        <f>+dHdcp[[#This Row],[Maximo]]&amp;":"&amp;dHdcp[[#This Row],[Nombre]]</f>
        <v>0:Franck Benouniche</v>
      </c>
      <c r="I2627" t="str">
        <f>+dHdcp[[#This Row],[Maximo]]&amp;":"&amp;_xlfn.XLOOKUP(dHdcp[[#This Row],[Nombre]],dJugador[Nombre],dJugador[Mote],"",0)</f>
        <v>0:Franck</v>
      </c>
      <c r="J2627" t="str">
        <f>+IF(dHdcp[[#This Row],[Maximo]]=0,"",_xlfn.RANK.EQ(dHdcp[[#This Row],[Handicap]],dHdcp[Handicap],1))</f>
        <v/>
      </c>
      <c r="K2627" t="str">
        <f>IFERROR(+_xlfn.RANK.EQ(dHdcp[[#This Row],[Ranking]],dHdcp[Ranking],1),"")</f>
        <v/>
      </c>
      <c r="M2627" t="str">
        <f>+dHdcp[[#This Row],[Fecha]]&amp;":"&amp;dHdcp[[#This Row],[Nombre]]</f>
        <v>45829:Franck Benouniche</v>
      </c>
      <c r="N2627">
        <f>+COUNTIF(dHdcp[Columna1],dHdcp[[#This Row],[Columna1]])</f>
        <v>1</v>
      </c>
    </row>
    <row r="2628" spans="1:14">
      <c r="A2628" s="2">
        <v>45829</v>
      </c>
      <c r="B2628" t="s">
        <v>217</v>
      </c>
      <c r="C2628" s="51">
        <v>22.2</v>
      </c>
      <c r="D2628" s="46">
        <f>+VLOOKUP(dHdcp[[#This Row],[Handicap]],'Categoría Hdcap'!$B$2:$E$7,4)</f>
        <v>4</v>
      </c>
      <c r="E2628" t="s">
        <v>74</v>
      </c>
      <c r="F2628" s="92"/>
      <c r="G2628">
        <f>+IF(dHdcp[[#This Row],[Fecha]]=MAX(dHdcp[Fecha]),1,0)</f>
        <v>0</v>
      </c>
      <c r="H2628" t="str">
        <f>+dHdcp[[#This Row],[Maximo]]&amp;":"&amp;dHdcp[[#This Row],[Nombre]]</f>
        <v>0:Javier Lopez Gullón</v>
      </c>
      <c r="I2628" t="str">
        <f>+dHdcp[[#This Row],[Maximo]]&amp;":"&amp;_xlfn.XLOOKUP(dHdcp[[#This Row],[Nombre]],dJugador[Nombre],dJugador[Mote],"",0)</f>
        <v>0:Cuñao</v>
      </c>
      <c r="J2628" t="str">
        <f>+IF(dHdcp[[#This Row],[Maximo]]=0,"",_xlfn.RANK.EQ(dHdcp[[#This Row],[Handicap]],dHdcp[Handicap],1))</f>
        <v/>
      </c>
      <c r="K2628" t="str">
        <f>IFERROR(+_xlfn.RANK.EQ(dHdcp[[#This Row],[Ranking]],dHdcp[Ranking],1),"")</f>
        <v/>
      </c>
      <c r="M2628" t="str">
        <f>+dHdcp[[#This Row],[Fecha]]&amp;":"&amp;dHdcp[[#This Row],[Nombre]]</f>
        <v>45829:Javier Lopez Gullón</v>
      </c>
      <c r="N2628">
        <f>+COUNTIF(dHdcp[Columna1],dHdcp[[#This Row],[Columna1]])</f>
        <v>1</v>
      </c>
    </row>
    <row r="2629" spans="1:14">
      <c r="A2629" s="2">
        <v>45829</v>
      </c>
      <c r="B2629" t="s">
        <v>225</v>
      </c>
      <c r="C2629" s="51">
        <v>10.5</v>
      </c>
      <c r="D2629" s="46">
        <f>+VLOOKUP(dHdcp[[#This Row],[Handicap]],'Categoría Hdcap'!$B$2:$E$7,4)</f>
        <v>2</v>
      </c>
      <c r="E2629" t="s">
        <v>74</v>
      </c>
      <c r="F2629" s="92"/>
      <c r="G2629">
        <f>+IF(dHdcp[[#This Row],[Fecha]]=MAX(dHdcp[Fecha]),1,0)</f>
        <v>0</v>
      </c>
      <c r="H2629" t="str">
        <f>+dHdcp[[#This Row],[Maximo]]&amp;":"&amp;dHdcp[[#This Row],[Nombre]]</f>
        <v>0:Javier Chiralt</v>
      </c>
      <c r="I2629" t="str">
        <f>+dHdcp[[#This Row],[Maximo]]&amp;":"&amp;_xlfn.XLOOKUP(dHdcp[[#This Row],[Nombre]],dJugador[Nombre],dJugador[Mote],"",0)</f>
        <v>0:Chiralt</v>
      </c>
      <c r="J2629" t="str">
        <f>+IF(dHdcp[[#This Row],[Maximo]]=0,"",_xlfn.RANK.EQ(dHdcp[[#This Row],[Handicap]],dHdcp[Handicap],1))</f>
        <v/>
      </c>
      <c r="K2629" t="str">
        <f>IFERROR(+_xlfn.RANK.EQ(dHdcp[[#This Row],[Ranking]],dHdcp[Ranking],1),"")</f>
        <v/>
      </c>
      <c r="M2629" t="str">
        <f>+dHdcp[[#This Row],[Fecha]]&amp;":"&amp;dHdcp[[#This Row],[Nombre]]</f>
        <v>45829:Javier Chiralt</v>
      </c>
      <c r="N2629">
        <f>+COUNTIF(dHdcp[Columna1],dHdcp[[#This Row],[Columna1]])</f>
        <v>1</v>
      </c>
    </row>
    <row r="2630" spans="1:14">
      <c r="A2630" s="2">
        <v>45829</v>
      </c>
      <c r="B2630" t="s">
        <v>248</v>
      </c>
      <c r="C2630" s="51">
        <v>12.7</v>
      </c>
      <c r="D2630" s="46">
        <f>+VLOOKUP(dHdcp[[#This Row],[Handicap]],'Categoría Hdcap'!$B$2:$E$7,4)</f>
        <v>3</v>
      </c>
      <c r="E2630" t="s">
        <v>74</v>
      </c>
      <c r="F2630" s="92"/>
      <c r="G2630">
        <f>+IF(dHdcp[[#This Row],[Fecha]]=MAX(dHdcp[Fecha]),1,0)</f>
        <v>0</v>
      </c>
      <c r="H2630" t="str">
        <f>+dHdcp[[#This Row],[Maximo]]&amp;":"&amp;dHdcp[[#This Row],[Nombre]]</f>
        <v>0:Enrique Gonzalez R</v>
      </c>
      <c r="I2630" t="str">
        <f>+dHdcp[[#This Row],[Maximo]]&amp;":"&amp;_xlfn.XLOOKUP(dHdcp[[#This Row],[Nombre]],dJugador[Nombre],dJugador[Mote],"",0)</f>
        <v>0:Enrique</v>
      </c>
      <c r="J2630" t="str">
        <f>+IF(dHdcp[[#This Row],[Maximo]]=0,"",_xlfn.RANK.EQ(dHdcp[[#This Row],[Handicap]],dHdcp[Handicap],1))</f>
        <v/>
      </c>
      <c r="K2630" t="str">
        <f>IFERROR(+_xlfn.RANK.EQ(dHdcp[[#This Row],[Ranking]],dHdcp[Ranking],1),"")</f>
        <v/>
      </c>
      <c r="M2630" t="str">
        <f>+dHdcp[[#This Row],[Fecha]]&amp;":"&amp;dHdcp[[#This Row],[Nombre]]</f>
        <v>45829:Enrique Gonzalez R</v>
      </c>
      <c r="N2630">
        <f>+COUNTIF(dHdcp[Columna1],dHdcp[[#This Row],[Columna1]])</f>
        <v>1</v>
      </c>
    </row>
    <row r="2631" spans="1:14">
      <c r="A2631" s="2">
        <v>45829</v>
      </c>
      <c r="B2631" t="s">
        <v>259</v>
      </c>
      <c r="C2631" s="51">
        <v>1</v>
      </c>
      <c r="D2631" s="46">
        <f>+VLOOKUP(dHdcp[[#This Row],[Handicap]],'Categoría Hdcap'!$B$2:$E$7,4)</f>
        <v>1</v>
      </c>
      <c r="E2631" t="s">
        <v>74</v>
      </c>
      <c r="F2631" s="92"/>
      <c r="G2631">
        <f>+IF(dHdcp[[#This Row],[Fecha]]=MAX(dHdcp[Fecha]),1,0)</f>
        <v>0</v>
      </c>
      <c r="H2631" t="str">
        <f>+dHdcp[[#This Row],[Maximo]]&amp;":"&amp;dHdcp[[#This Row],[Nombre]]</f>
        <v>0:Alejandro Arcos</v>
      </c>
      <c r="I2631" t="str">
        <f>+dHdcp[[#This Row],[Maximo]]&amp;":"&amp;_xlfn.XLOOKUP(dHdcp[[#This Row],[Nombre]],dJugador[Nombre],dJugador[Mote],"",0)</f>
        <v>0:Alex</v>
      </c>
      <c r="J2631" t="str">
        <f>+IF(dHdcp[[#This Row],[Maximo]]=0,"",_xlfn.RANK.EQ(dHdcp[[#This Row],[Handicap]],dHdcp[Handicap],1))</f>
        <v/>
      </c>
      <c r="K2631" t="str">
        <f>IFERROR(+_xlfn.RANK.EQ(dHdcp[[#This Row],[Ranking]],dHdcp[Ranking],1),"")</f>
        <v/>
      </c>
      <c r="M2631" t="str">
        <f>+dHdcp[[#This Row],[Fecha]]&amp;":"&amp;dHdcp[[#This Row],[Nombre]]</f>
        <v>45829:Alejandro Arcos</v>
      </c>
      <c r="N2631">
        <f>+COUNTIF(dHdcp[Columna1],dHdcp[[#This Row],[Columna1]])</f>
        <v>1</v>
      </c>
    </row>
    <row r="2632" spans="1:14">
      <c r="A2632" s="2">
        <v>45829</v>
      </c>
      <c r="B2632" t="s">
        <v>264</v>
      </c>
      <c r="C2632" s="51">
        <v>19.600000000000001</v>
      </c>
      <c r="D2632" s="46">
        <f>+VLOOKUP(dHdcp[[#This Row],[Handicap]],'Categoría Hdcap'!$B$2:$E$7,4)</f>
        <v>4</v>
      </c>
      <c r="E2632" t="s">
        <v>74</v>
      </c>
      <c r="F2632" s="92"/>
      <c r="G2632">
        <f>+IF(dHdcp[[#This Row],[Fecha]]=MAX(dHdcp[Fecha]),1,0)</f>
        <v>0</v>
      </c>
      <c r="H2632" t="str">
        <f>+dHdcp[[#This Row],[Maximo]]&amp;":"&amp;dHdcp[[#This Row],[Nombre]]</f>
        <v>0:Antonio Carmona</v>
      </c>
      <c r="I2632" t="str">
        <f>+dHdcp[[#This Row],[Maximo]]&amp;":"&amp;_xlfn.XLOOKUP(dHdcp[[#This Row],[Nombre]],dJugador[Nombre],dJugador[Mote],"",0)</f>
        <v>0:Antonio</v>
      </c>
      <c r="J2632" t="str">
        <f>+IF(dHdcp[[#This Row],[Maximo]]=0,"",_xlfn.RANK.EQ(dHdcp[[#This Row],[Handicap]],dHdcp[Handicap],1))</f>
        <v/>
      </c>
      <c r="K2632" t="str">
        <f>IFERROR(+_xlfn.RANK.EQ(dHdcp[[#This Row],[Ranking]],dHdcp[Ranking],1),"")</f>
        <v/>
      </c>
      <c r="M2632" t="str">
        <f>+dHdcp[[#This Row],[Fecha]]&amp;":"&amp;dHdcp[[#This Row],[Nombre]]</f>
        <v>45829:Antonio Carmona</v>
      </c>
      <c r="N2632">
        <f>+COUNTIF(dHdcp[Columna1],dHdcp[[#This Row],[Columna1]])</f>
        <v>1</v>
      </c>
    </row>
    <row r="2633" spans="1:14">
      <c r="A2633" s="2">
        <v>45829</v>
      </c>
      <c r="B2633" t="s">
        <v>271</v>
      </c>
      <c r="C2633" s="51">
        <v>16.399999999999999</v>
      </c>
      <c r="D2633" s="46">
        <f>+VLOOKUP(dHdcp[[#This Row],[Handicap]],'Categoría Hdcap'!$B$2:$E$7,4)</f>
        <v>3</v>
      </c>
      <c r="E2633" t="s">
        <v>74</v>
      </c>
      <c r="F2633" s="92"/>
      <c r="G2633">
        <f>+IF(dHdcp[[#This Row],[Fecha]]=MAX(dHdcp[Fecha]),1,0)</f>
        <v>0</v>
      </c>
      <c r="H2633" t="str">
        <f>+dHdcp[[#This Row],[Maximo]]&amp;":"&amp;dHdcp[[#This Row],[Nombre]]</f>
        <v>0:Santi Diaz</v>
      </c>
      <c r="I2633" t="str">
        <f>+dHdcp[[#This Row],[Maximo]]&amp;":"&amp;_xlfn.XLOOKUP(dHdcp[[#This Row],[Nombre]],dJugador[Nombre],dJugador[Mote],"",0)</f>
        <v>0:Santi</v>
      </c>
      <c r="J2633" t="str">
        <f>+IF(dHdcp[[#This Row],[Maximo]]=0,"",_xlfn.RANK.EQ(dHdcp[[#This Row],[Handicap]],dHdcp[Handicap],1))</f>
        <v/>
      </c>
      <c r="K2633" t="str">
        <f>IFERROR(+_xlfn.RANK.EQ(dHdcp[[#This Row],[Ranking]],dHdcp[Ranking],1),"")</f>
        <v/>
      </c>
      <c r="M2633" t="str">
        <f>+dHdcp[[#This Row],[Fecha]]&amp;":"&amp;dHdcp[[#This Row],[Nombre]]</f>
        <v>45829:Santi Diaz</v>
      </c>
      <c r="N2633">
        <f>+COUNTIF(dHdcp[Columna1],dHdcp[[#This Row],[Columna1]])</f>
        <v>1</v>
      </c>
    </row>
    <row r="2634" spans="1:14">
      <c r="A2634" s="2">
        <v>45829</v>
      </c>
      <c r="B2634" t="s">
        <v>293</v>
      </c>
      <c r="C2634" s="51">
        <v>15.1</v>
      </c>
      <c r="D2634" s="46">
        <f>+VLOOKUP(dHdcp[[#This Row],[Handicap]],'Categoría Hdcap'!$B$2:$E$7,4)</f>
        <v>3</v>
      </c>
      <c r="E2634" t="s">
        <v>74</v>
      </c>
      <c r="F2634" s="92"/>
      <c r="G2634">
        <f>+IF(dHdcp[[#This Row],[Fecha]]=MAX(dHdcp[Fecha]),1,0)</f>
        <v>0</v>
      </c>
      <c r="H2634" t="str">
        <f>+dHdcp[[#This Row],[Maximo]]&amp;":"&amp;dHdcp[[#This Row],[Nombre]]</f>
        <v>0:Juan Jose Aguado</v>
      </c>
      <c r="I2634" t="str">
        <f>+dHdcp[[#This Row],[Maximo]]&amp;":"&amp;_xlfn.XLOOKUP(dHdcp[[#This Row],[Nombre]],dJugador[Nombre],dJugador[Mote],"",0)</f>
        <v>0:Juancho</v>
      </c>
      <c r="J2634" t="str">
        <f>+IF(dHdcp[[#This Row],[Maximo]]=0,"",_xlfn.RANK.EQ(dHdcp[[#This Row],[Handicap]],dHdcp[Handicap],1))</f>
        <v/>
      </c>
      <c r="K2634" t="str">
        <f>IFERROR(+_xlfn.RANK.EQ(dHdcp[[#This Row],[Ranking]],dHdcp[Ranking],1),"")</f>
        <v/>
      </c>
      <c r="M2634" t="str">
        <f>+dHdcp[[#This Row],[Fecha]]&amp;":"&amp;dHdcp[[#This Row],[Nombre]]</f>
        <v>45829:Juan Jose Aguado</v>
      </c>
      <c r="N2634">
        <f>+COUNTIF(dHdcp[Columna1],dHdcp[[#This Row],[Columna1]])</f>
        <v>1</v>
      </c>
    </row>
    <row r="2635" spans="1:14">
      <c r="A2635" s="2">
        <v>45829</v>
      </c>
      <c r="B2635" t="s">
        <v>291</v>
      </c>
      <c r="C2635" s="51">
        <v>2.2000000000000002</v>
      </c>
      <c r="D2635" s="46">
        <f>+VLOOKUP(dHdcp[[#This Row],[Handicap]],'Categoría Hdcap'!$B$2:$E$7,4)</f>
        <v>1</v>
      </c>
      <c r="E2635" t="s">
        <v>74</v>
      </c>
      <c r="F2635" s="92"/>
      <c r="G2635">
        <f>+IF(dHdcp[[#This Row],[Fecha]]=MAX(dHdcp[Fecha]),1,0)</f>
        <v>0</v>
      </c>
      <c r="H2635" t="str">
        <f>+dHdcp[[#This Row],[Maximo]]&amp;":"&amp;dHdcp[[#This Row],[Nombre]]</f>
        <v>0:Carlos Maestro</v>
      </c>
      <c r="I2635" t="str">
        <f>+dHdcp[[#This Row],[Maximo]]&amp;":"&amp;_xlfn.XLOOKUP(dHdcp[[#This Row],[Nombre]],dJugador[Nombre],dJugador[Mote],"",0)</f>
        <v>0:Carlitos</v>
      </c>
      <c r="J2635" t="str">
        <f>+IF(dHdcp[[#This Row],[Maximo]]=0,"",_xlfn.RANK.EQ(dHdcp[[#This Row],[Handicap]],dHdcp[Handicap],1))</f>
        <v/>
      </c>
      <c r="K2635" t="str">
        <f>IFERROR(+_xlfn.RANK.EQ(dHdcp[[#This Row],[Ranking]],dHdcp[Ranking],1),"")</f>
        <v/>
      </c>
      <c r="M2635" t="str">
        <f>+dHdcp[[#This Row],[Fecha]]&amp;":"&amp;dHdcp[[#This Row],[Nombre]]</f>
        <v>45829:Carlos Maestro</v>
      </c>
      <c r="N2635">
        <f>+COUNTIF(dHdcp[Columna1],dHdcp[[#This Row],[Columna1]])</f>
        <v>1</v>
      </c>
    </row>
    <row r="2636" spans="1:14">
      <c r="A2636" s="2">
        <v>45829</v>
      </c>
      <c r="B2636" t="s">
        <v>297</v>
      </c>
      <c r="C2636" s="51">
        <v>18.3</v>
      </c>
      <c r="D2636" s="46">
        <f>+VLOOKUP(dHdcp[[#This Row],[Handicap]],'Categoría Hdcap'!$B$2:$E$7,4)</f>
        <v>3</v>
      </c>
      <c r="E2636" t="s">
        <v>74</v>
      </c>
      <c r="F2636" s="92"/>
      <c r="G2636">
        <f>+IF(dHdcp[[#This Row],[Fecha]]=MAX(dHdcp[Fecha]),1,0)</f>
        <v>0</v>
      </c>
      <c r="H2636" t="str">
        <f>+dHdcp[[#This Row],[Maximo]]&amp;":"&amp;dHdcp[[#This Row],[Nombre]]</f>
        <v>0:Jorge Alberto Martínez Sánchez</v>
      </c>
      <c r="I2636" t="str">
        <f>+dHdcp[[#This Row],[Maximo]]&amp;":"&amp;_xlfn.XLOOKUP(dHdcp[[#This Row],[Nombre]],dJugador[Nombre],dJugador[Mote],"",0)</f>
        <v>0:Jorge</v>
      </c>
      <c r="J2636" t="str">
        <f>+IF(dHdcp[[#This Row],[Maximo]]=0,"",_xlfn.RANK.EQ(dHdcp[[#This Row],[Handicap]],dHdcp[Handicap],1))</f>
        <v/>
      </c>
      <c r="K2636" t="str">
        <f>IFERROR(+_xlfn.RANK.EQ(dHdcp[[#This Row],[Ranking]],dHdcp[Ranking],1),"")</f>
        <v/>
      </c>
      <c r="M2636" t="str">
        <f>+dHdcp[[#This Row],[Fecha]]&amp;":"&amp;dHdcp[[#This Row],[Nombre]]</f>
        <v>45829:Jorge Alberto Martínez Sánchez</v>
      </c>
      <c r="N2636">
        <f>+COUNTIF(dHdcp[Columna1],dHdcp[[#This Row],[Columna1]])</f>
        <v>1</v>
      </c>
    </row>
    <row r="2637" spans="1:14">
      <c r="A2637" s="2">
        <v>45829</v>
      </c>
      <c r="B2637" t="s">
        <v>326</v>
      </c>
      <c r="C2637" s="51">
        <v>7.9</v>
      </c>
      <c r="D2637" s="46">
        <f>+VLOOKUP(dHdcp[[#This Row],[Handicap]],'Categoría Hdcap'!$B$2:$E$7,4)</f>
        <v>2</v>
      </c>
      <c r="E2637" t="s">
        <v>74</v>
      </c>
      <c r="F2637" s="92"/>
      <c r="G2637">
        <f>+IF(dHdcp[[#This Row],[Fecha]]=MAX(dHdcp[Fecha]),1,0)</f>
        <v>0</v>
      </c>
      <c r="H2637" t="str">
        <f>+dHdcp[[#This Row],[Maximo]]&amp;":"&amp;dHdcp[[#This Row],[Nombre]]</f>
        <v>0:Eduardo Buendía</v>
      </c>
      <c r="I2637" t="str">
        <f>+dHdcp[[#This Row],[Maximo]]&amp;":"&amp;_xlfn.XLOOKUP(dHdcp[[#This Row],[Nombre]],dJugador[Nombre],dJugador[Mote],"",0)</f>
        <v>0:Eduardo</v>
      </c>
      <c r="J2637" t="str">
        <f>+IF(dHdcp[[#This Row],[Maximo]]=0,"",_xlfn.RANK.EQ(dHdcp[[#This Row],[Handicap]],dHdcp[Handicap],1))</f>
        <v/>
      </c>
      <c r="K2637" t="str">
        <f>IFERROR(+_xlfn.RANK.EQ(dHdcp[[#This Row],[Ranking]],dHdcp[Ranking],1),"")</f>
        <v/>
      </c>
      <c r="M2637" t="str">
        <f>+dHdcp[[#This Row],[Fecha]]&amp;":"&amp;dHdcp[[#This Row],[Nombre]]</f>
        <v>45829:Eduardo Buendía</v>
      </c>
      <c r="N2637">
        <f>+COUNTIF(dHdcp[Columna1],dHdcp[[#This Row],[Columna1]])</f>
        <v>1</v>
      </c>
    </row>
    <row r="2638" spans="1:14">
      <c r="A2638" s="2">
        <v>45829</v>
      </c>
      <c r="B2638" t="s">
        <v>328</v>
      </c>
      <c r="C2638" s="51">
        <v>11.1</v>
      </c>
      <c r="D2638" s="46">
        <f>+VLOOKUP(dHdcp[[#This Row],[Handicap]],'Categoría Hdcap'!$B$2:$E$7,4)</f>
        <v>2</v>
      </c>
      <c r="E2638" t="s">
        <v>74</v>
      </c>
      <c r="F2638" s="92"/>
      <c r="G2638">
        <f>+IF(dHdcp[[#This Row],[Fecha]]=MAX(dHdcp[Fecha]),1,0)</f>
        <v>0</v>
      </c>
      <c r="H2638" t="str">
        <f>+dHdcp[[#This Row],[Maximo]]&amp;":"&amp;dHdcp[[#This Row],[Nombre]]</f>
        <v>0:Javier Arcos</v>
      </c>
      <c r="I2638" t="str">
        <f>+dHdcp[[#This Row],[Maximo]]&amp;":"&amp;_xlfn.XLOOKUP(dHdcp[[#This Row],[Nombre]],dJugador[Nombre],dJugador[Mote],"",0)</f>
        <v>0:J.Arcos</v>
      </c>
      <c r="J2638" t="str">
        <f>+IF(dHdcp[[#This Row],[Maximo]]=0,"",_xlfn.RANK.EQ(dHdcp[[#This Row],[Handicap]],dHdcp[Handicap],1))</f>
        <v/>
      </c>
      <c r="K2638" t="str">
        <f>IFERROR(+_xlfn.RANK.EQ(dHdcp[[#This Row],[Ranking]],dHdcp[Ranking],1),"")</f>
        <v/>
      </c>
      <c r="M2638" t="str">
        <f>+dHdcp[[#This Row],[Fecha]]&amp;":"&amp;dHdcp[[#This Row],[Nombre]]</f>
        <v>45829:Javier Arcos</v>
      </c>
      <c r="N2638">
        <f>+COUNTIF(dHdcp[Columna1],dHdcp[[#This Row],[Columna1]])</f>
        <v>1</v>
      </c>
    </row>
    <row r="2639" spans="1:14">
      <c r="A2639" s="2">
        <v>45829</v>
      </c>
      <c r="B2639" t="s">
        <v>375</v>
      </c>
      <c r="C2639" s="51">
        <v>11.8</v>
      </c>
      <c r="D2639" s="46">
        <f>+VLOOKUP(dHdcp[[#This Row],[Handicap]],'Categoría Hdcap'!$B$2:$E$7,4)</f>
        <v>3</v>
      </c>
      <c r="E2639" t="s">
        <v>74</v>
      </c>
      <c r="F2639" s="92"/>
      <c r="G2639">
        <f>+IF(dHdcp[[#This Row],[Fecha]]=MAX(dHdcp[Fecha]),1,0)</f>
        <v>0</v>
      </c>
      <c r="H2639" t="str">
        <f>+dHdcp[[#This Row],[Maximo]]&amp;":"&amp;dHdcp[[#This Row],[Nombre]]</f>
        <v>0:Luis Fernandez</v>
      </c>
      <c r="I2639" t="str">
        <f>+dHdcp[[#This Row],[Maximo]]&amp;":"&amp;_xlfn.XLOOKUP(dHdcp[[#This Row],[Nombre]],dJugador[Nombre],dJugador[Mote],"",0)</f>
        <v>0:Luis</v>
      </c>
      <c r="J2639" t="str">
        <f>+IF(dHdcp[[#This Row],[Maximo]]=0,"",_xlfn.RANK.EQ(dHdcp[[#This Row],[Handicap]],dHdcp[Handicap],1))</f>
        <v/>
      </c>
      <c r="K2639" t="str">
        <f>IFERROR(+_xlfn.RANK.EQ(dHdcp[[#This Row],[Ranking]],dHdcp[Ranking],1),"")</f>
        <v/>
      </c>
      <c r="M2639" t="str">
        <f>+dHdcp[[#This Row],[Fecha]]&amp;":"&amp;dHdcp[[#This Row],[Nombre]]</f>
        <v>45829:Luis Fernandez</v>
      </c>
      <c r="N2639">
        <f>+COUNTIF(dHdcp[Columna1],dHdcp[[#This Row],[Columna1]])</f>
        <v>1</v>
      </c>
    </row>
    <row r="2640" spans="1:14">
      <c r="A2640" s="2">
        <v>45829</v>
      </c>
      <c r="B2640" t="s">
        <v>388</v>
      </c>
      <c r="C2640" s="51">
        <v>25.9</v>
      </c>
      <c r="D2640" s="46">
        <f>+VLOOKUP(dHdcp[[#This Row],[Handicap]],'Categoría Hdcap'!$B$2:$E$7,4)</f>
        <v>4</v>
      </c>
      <c r="E2640" t="s">
        <v>74</v>
      </c>
      <c r="F2640" s="92"/>
      <c r="G2640">
        <f>+IF(dHdcp[[#This Row],[Fecha]]=MAX(dHdcp[Fecha]),1,0)</f>
        <v>0</v>
      </c>
      <c r="H2640" t="str">
        <f>+dHdcp[[#This Row],[Maximo]]&amp;":"&amp;dHdcp[[#This Row],[Nombre]]</f>
        <v>0:Jose Antonio Santana</v>
      </c>
      <c r="I2640" t="str">
        <f>+dHdcp[[#This Row],[Maximo]]&amp;":"&amp;_xlfn.XLOOKUP(dHdcp[[#This Row],[Nombre]],dJugador[Nombre],dJugador[Mote],"",0)</f>
        <v>0:J Antonio</v>
      </c>
      <c r="J2640" t="str">
        <f>+IF(dHdcp[[#This Row],[Maximo]]=0,"",_xlfn.RANK.EQ(dHdcp[[#This Row],[Handicap]],dHdcp[Handicap],1))</f>
        <v/>
      </c>
      <c r="K2640" t="str">
        <f>IFERROR(+_xlfn.RANK.EQ(dHdcp[[#This Row],[Ranking]],dHdcp[Ranking],1),"")</f>
        <v/>
      </c>
      <c r="M2640" t="str">
        <f>+dHdcp[[#This Row],[Fecha]]&amp;":"&amp;dHdcp[[#This Row],[Nombre]]</f>
        <v>45829:Jose Antonio Santana</v>
      </c>
      <c r="N2640">
        <f>+COUNTIF(dHdcp[Columna1],dHdcp[[#This Row],[Columna1]])</f>
        <v>1</v>
      </c>
    </row>
    <row r="2641" spans="1:14">
      <c r="A2641" s="2">
        <v>45829</v>
      </c>
      <c r="B2641" t="s">
        <v>2469</v>
      </c>
      <c r="C2641" s="51">
        <v>5.8</v>
      </c>
      <c r="D2641" s="46">
        <f>+VLOOKUP(dHdcp[[#This Row],[Handicap]],'Categoría Hdcap'!$B$2:$E$7,4)</f>
        <v>2</v>
      </c>
      <c r="E2641" t="s">
        <v>74</v>
      </c>
      <c r="F2641" s="92"/>
      <c r="G2641">
        <f>+IF(dHdcp[[#This Row],[Fecha]]=MAX(dHdcp[Fecha]),1,0)</f>
        <v>0</v>
      </c>
      <c r="H2641" t="str">
        <f>+dHdcp[[#This Row],[Maximo]]&amp;":"&amp;dHdcp[[#This Row],[Nombre]]</f>
        <v>0:Angel Santana</v>
      </c>
      <c r="I2641" t="str">
        <f>+dHdcp[[#This Row],[Maximo]]&amp;":"&amp;_xlfn.XLOOKUP(dHdcp[[#This Row],[Nombre]],dJugador[Nombre],dJugador[Mote],"",0)</f>
        <v>0:A.Santana</v>
      </c>
      <c r="J2641" t="str">
        <f>+IF(dHdcp[[#This Row],[Maximo]]=0,"",_xlfn.RANK.EQ(dHdcp[[#This Row],[Handicap]],dHdcp[Handicap],1))</f>
        <v/>
      </c>
      <c r="K2641" t="str">
        <f>IFERROR(+_xlfn.RANK.EQ(dHdcp[[#This Row],[Ranking]],dHdcp[Ranking],1),"")</f>
        <v/>
      </c>
      <c r="M2641" t="str">
        <f>+dHdcp[[#This Row],[Fecha]]&amp;":"&amp;dHdcp[[#This Row],[Nombre]]</f>
        <v>45829:Angel Santana</v>
      </c>
      <c r="N2641">
        <f>+COUNTIF(dHdcp[Columna1],dHdcp[[#This Row],[Columna1]])</f>
        <v>1</v>
      </c>
    </row>
    <row r="2642" spans="1:14">
      <c r="A2642" s="2">
        <v>45829</v>
      </c>
      <c r="B2642" t="s">
        <v>2473</v>
      </c>
      <c r="C2642" s="51">
        <v>16.100000000000001</v>
      </c>
      <c r="D2642" s="46">
        <f>+VLOOKUP(dHdcp[[#This Row],[Handicap]],'Categoría Hdcap'!$B$2:$E$7,4)</f>
        <v>3</v>
      </c>
      <c r="E2642" t="s">
        <v>74</v>
      </c>
      <c r="F2642" s="92"/>
      <c r="G2642">
        <f>+IF(dHdcp[[#This Row],[Fecha]]=MAX(dHdcp[Fecha]),1,0)</f>
        <v>0</v>
      </c>
      <c r="H2642" t="str">
        <f>+dHdcp[[#This Row],[Maximo]]&amp;":"&amp;dHdcp[[#This Row],[Nombre]]</f>
        <v>0:Thomas Dauterman</v>
      </c>
      <c r="I2642" t="str">
        <f>+dHdcp[[#This Row],[Maximo]]&amp;":"&amp;_xlfn.XLOOKUP(dHdcp[[#This Row],[Nombre]],dJugador[Nombre],dJugador[Mote],"",0)</f>
        <v>0:Tom</v>
      </c>
      <c r="J2642" t="str">
        <f>+IF(dHdcp[[#This Row],[Maximo]]=0,"",_xlfn.RANK.EQ(dHdcp[[#This Row],[Handicap]],dHdcp[Handicap],1))</f>
        <v/>
      </c>
      <c r="K2642" t="str">
        <f>IFERROR(+_xlfn.RANK.EQ(dHdcp[[#This Row],[Ranking]],dHdcp[Ranking],1),"")</f>
        <v/>
      </c>
      <c r="M2642" t="str">
        <f>+dHdcp[[#This Row],[Fecha]]&amp;":"&amp;dHdcp[[#This Row],[Nombre]]</f>
        <v>45829:Thomas Dauterman</v>
      </c>
      <c r="N2642">
        <f>+COUNTIF(dHdcp[Columna1],dHdcp[[#This Row],[Columna1]])</f>
        <v>1</v>
      </c>
    </row>
    <row r="2643" spans="1:14">
      <c r="A2643" s="2">
        <v>45829</v>
      </c>
      <c r="B2643" t="s">
        <v>2516</v>
      </c>
      <c r="C2643" s="51">
        <v>17.8</v>
      </c>
      <c r="D2643" s="46">
        <f>+VLOOKUP(dHdcp[[#This Row],[Handicap]],'Categoría Hdcap'!$B$2:$E$7,4)</f>
        <v>3</v>
      </c>
      <c r="E2643" t="s">
        <v>74</v>
      </c>
      <c r="F2643" s="92"/>
      <c r="G2643">
        <f>+IF(dHdcp[[#This Row],[Fecha]]=MAX(dHdcp[Fecha]),1,0)</f>
        <v>0</v>
      </c>
      <c r="H2643" t="str">
        <f>+dHdcp[[#This Row],[Maximo]]&amp;":"&amp;dHdcp[[#This Row],[Nombre]]</f>
        <v>0:Juan Sanz</v>
      </c>
      <c r="I2643" t="str">
        <f>+dHdcp[[#This Row],[Maximo]]&amp;":"&amp;_xlfn.XLOOKUP(dHdcp[[#This Row],[Nombre]],dJugador[Nombre],dJugador[Mote],"",0)</f>
        <v>0:JuanSanz</v>
      </c>
      <c r="J2643" t="str">
        <f>+IF(dHdcp[[#This Row],[Maximo]]=0,"",_xlfn.RANK.EQ(dHdcp[[#This Row],[Handicap]],dHdcp[Handicap],1))</f>
        <v/>
      </c>
      <c r="K2643" t="str">
        <f>IFERROR(+_xlfn.RANK.EQ(dHdcp[[#This Row],[Ranking]],dHdcp[Ranking],1),"")</f>
        <v/>
      </c>
      <c r="M2643" t="str">
        <f>+dHdcp[[#This Row],[Fecha]]&amp;":"&amp;dHdcp[[#This Row],[Nombre]]</f>
        <v>45829:Juan Sanz</v>
      </c>
      <c r="N2643">
        <f>+COUNTIF(dHdcp[Columna1],dHdcp[[#This Row],[Columna1]])</f>
        <v>1</v>
      </c>
    </row>
    <row r="2644" spans="1:14">
      <c r="A2644" s="2">
        <v>45829</v>
      </c>
      <c r="B2644" t="s">
        <v>2561</v>
      </c>
      <c r="C2644" s="51">
        <v>20.7</v>
      </c>
      <c r="D2644" s="46">
        <f>+VLOOKUP(dHdcp[[#This Row],[Handicap]],'Categoría Hdcap'!$B$2:$E$7,4)</f>
        <v>4</v>
      </c>
      <c r="E2644" t="s">
        <v>74</v>
      </c>
      <c r="F2644" s="92"/>
      <c r="G2644">
        <f>+IF(dHdcp[[#This Row],[Fecha]]=MAX(dHdcp[Fecha]),1,0)</f>
        <v>0</v>
      </c>
      <c r="H2644" t="str">
        <f>+dHdcp[[#This Row],[Maximo]]&amp;":"&amp;dHdcp[[#This Row],[Nombre]]</f>
        <v>0:Joaquín Sánchez</v>
      </c>
      <c r="I2644" t="str">
        <f>+dHdcp[[#This Row],[Maximo]]&amp;":"&amp;_xlfn.XLOOKUP(dHdcp[[#This Row],[Nombre]],dJugador[Nombre],dJugador[Mote],"",0)</f>
        <v>0:Joaco</v>
      </c>
      <c r="J2644" t="str">
        <f>+IF(dHdcp[[#This Row],[Maximo]]=0,"",_xlfn.RANK.EQ(dHdcp[[#This Row],[Handicap]],dHdcp[Handicap],1))</f>
        <v/>
      </c>
      <c r="K2644" t="str">
        <f>IFERROR(+_xlfn.RANK.EQ(dHdcp[[#This Row],[Ranking]],dHdcp[Ranking],1),"")</f>
        <v/>
      </c>
      <c r="M2644" t="str">
        <f>+dHdcp[[#This Row],[Fecha]]&amp;":"&amp;dHdcp[[#This Row],[Nombre]]</f>
        <v>45829:Joaquín Sánchez</v>
      </c>
      <c r="N2644">
        <f>+COUNTIF(dHdcp[Columna1],dHdcp[[#This Row],[Columna1]])</f>
        <v>1</v>
      </c>
    </row>
    <row r="2645" spans="1:14">
      <c r="A2645" s="2">
        <v>45829</v>
      </c>
      <c r="B2645" t="s">
        <v>2603</v>
      </c>
      <c r="C2645" s="51">
        <v>7.8</v>
      </c>
      <c r="D2645" s="46">
        <f>+VLOOKUP(dHdcp[[#This Row],[Handicap]],'Categoría Hdcap'!$B$2:$E$7,4)</f>
        <v>2</v>
      </c>
      <c r="E2645" t="s">
        <v>74</v>
      </c>
      <c r="F2645" s="92"/>
      <c r="G2645">
        <f>+IF(dHdcp[[#This Row],[Fecha]]=MAX(dHdcp[Fecha]),1,0)</f>
        <v>0</v>
      </c>
      <c r="H2645" t="str">
        <f>+dHdcp[[#This Row],[Maximo]]&amp;":"&amp;dHdcp[[#This Row],[Nombre]]</f>
        <v>0:Miguel Angel Aguilera</v>
      </c>
      <c r="I2645" t="str">
        <f>+dHdcp[[#This Row],[Maximo]]&amp;":"&amp;_xlfn.XLOOKUP(dHdcp[[#This Row],[Nombre]],dJugador[Nombre],dJugador[Mote],"",0)</f>
        <v>0:M Angel</v>
      </c>
      <c r="J2645" t="str">
        <f>+IF(dHdcp[[#This Row],[Maximo]]=0,"",_xlfn.RANK.EQ(dHdcp[[#This Row],[Handicap]],dHdcp[Handicap],1))</f>
        <v/>
      </c>
      <c r="K2645" t="str">
        <f>IFERROR(+_xlfn.RANK.EQ(dHdcp[[#This Row],[Ranking]],dHdcp[Ranking],1),"")</f>
        <v/>
      </c>
      <c r="M2645" t="str">
        <f>+dHdcp[[#This Row],[Fecha]]&amp;":"&amp;dHdcp[[#This Row],[Nombre]]</f>
        <v>45829:Miguel Angel Aguilera</v>
      </c>
      <c r="N2645">
        <f>+COUNTIF(dHdcp[Columna1],dHdcp[[#This Row],[Columna1]])</f>
        <v>1</v>
      </c>
    </row>
    <row r="2646" spans="1:14">
      <c r="A2646" s="2">
        <v>45829</v>
      </c>
      <c r="B2646" t="s">
        <v>2606</v>
      </c>
      <c r="C2646" s="51">
        <v>9.8000000000000007</v>
      </c>
      <c r="D2646" s="46">
        <f>+VLOOKUP(dHdcp[[#This Row],[Handicap]],'Categoría Hdcap'!$B$2:$E$7,4)</f>
        <v>2</v>
      </c>
      <c r="E2646" t="s">
        <v>74</v>
      </c>
      <c r="F2646" s="92"/>
      <c r="G2646">
        <f>+IF(dHdcp[[#This Row],[Fecha]]=MAX(dHdcp[Fecha]),1,0)</f>
        <v>0</v>
      </c>
      <c r="H2646" t="str">
        <f>+dHdcp[[#This Row],[Maximo]]&amp;":"&amp;dHdcp[[#This Row],[Nombre]]</f>
        <v>0:Jaime de la Cal</v>
      </c>
      <c r="I2646" t="str">
        <f>+dHdcp[[#This Row],[Maximo]]&amp;":"&amp;_xlfn.XLOOKUP(dHdcp[[#This Row],[Nombre]],dJugador[Nombre],dJugador[Mote],"",0)</f>
        <v>0:Jaime</v>
      </c>
      <c r="J2646" t="str">
        <f>+IF(dHdcp[[#This Row],[Maximo]]=0,"",_xlfn.RANK.EQ(dHdcp[[#This Row],[Handicap]],dHdcp[Handicap],1))</f>
        <v/>
      </c>
      <c r="K2646" t="str">
        <f>IFERROR(+_xlfn.RANK.EQ(dHdcp[[#This Row],[Ranking]],dHdcp[Ranking],1),"")</f>
        <v/>
      </c>
      <c r="M2646" t="str">
        <f>+dHdcp[[#This Row],[Fecha]]&amp;":"&amp;dHdcp[[#This Row],[Nombre]]</f>
        <v>45829:Jaime de la Cal</v>
      </c>
      <c r="N2646">
        <f>+COUNTIF(dHdcp[Columna1],dHdcp[[#This Row],[Columna1]])</f>
        <v>1</v>
      </c>
    </row>
    <row r="2647" spans="1:14">
      <c r="A2647" s="2">
        <v>45851</v>
      </c>
      <c r="B2647" t="s">
        <v>3</v>
      </c>
      <c r="C2647" s="51">
        <v>5</v>
      </c>
      <c r="D2647" s="46">
        <f>+VLOOKUP(dHdcp[[#This Row],[Handicap]],'Categoría Hdcap'!$B$2:$E$7,4)</f>
        <v>2</v>
      </c>
      <c r="E2647" t="s">
        <v>74</v>
      </c>
      <c r="F2647" s="92"/>
      <c r="G2647">
        <f>+IF(dHdcp[[#This Row],[Fecha]]=MAX(dHdcp[Fecha]),1,0)</f>
        <v>0</v>
      </c>
      <c r="H2647" t="str">
        <f>+dHdcp[[#This Row],[Maximo]]&amp;":"&amp;dHdcp[[#This Row],[Nombre]]</f>
        <v>0:Nacho Gonzalez</v>
      </c>
      <c r="I2647" t="str">
        <f>+dHdcp[[#This Row],[Maximo]]&amp;":"&amp;_xlfn.XLOOKUP(dHdcp[[#This Row],[Nombre]],dJugador[Nombre],dJugador[Mote],"",0)</f>
        <v>0:Nacho</v>
      </c>
      <c r="J2647" t="str">
        <f>+IF(dHdcp[[#This Row],[Maximo]]=0,"",_xlfn.RANK.EQ(dHdcp[[#This Row],[Handicap]],dHdcp[Handicap],1))</f>
        <v/>
      </c>
      <c r="K2647" t="str">
        <f>IFERROR(+_xlfn.RANK.EQ(dHdcp[[#This Row],[Ranking]],dHdcp[Ranking],1),"")</f>
        <v/>
      </c>
      <c r="M2647" t="str">
        <f>+dHdcp[[#This Row],[Fecha]]&amp;":"&amp;dHdcp[[#This Row],[Nombre]]</f>
        <v>45851:Nacho Gonzalez</v>
      </c>
      <c r="N2647">
        <f>+COUNTIF(dHdcp[Columna1],dHdcp[[#This Row],[Columna1]])</f>
        <v>1</v>
      </c>
    </row>
    <row r="2648" spans="1:14">
      <c r="A2648" s="2">
        <v>45851</v>
      </c>
      <c r="B2648" t="s">
        <v>6</v>
      </c>
      <c r="C2648" s="51">
        <v>6.9</v>
      </c>
      <c r="D2648" s="46">
        <f>+VLOOKUP(dHdcp[[#This Row],[Handicap]],'Categoría Hdcap'!$B$2:$E$7,4)</f>
        <v>2</v>
      </c>
      <c r="E2648" t="s">
        <v>74</v>
      </c>
      <c r="F2648" s="92"/>
      <c r="G2648">
        <f>+IF(dHdcp[[#This Row],[Fecha]]=MAX(dHdcp[Fecha]),1,0)</f>
        <v>0</v>
      </c>
      <c r="H2648" t="str">
        <f>+dHdcp[[#This Row],[Maximo]]&amp;":"&amp;dHdcp[[#This Row],[Nombre]]</f>
        <v>0:Ignacio Cadarso</v>
      </c>
      <c r="I2648" t="str">
        <f>+dHdcp[[#This Row],[Maximo]]&amp;":"&amp;_xlfn.XLOOKUP(dHdcp[[#This Row],[Nombre]],dJugador[Nombre],dJugador[Mote],"",0)</f>
        <v>0:Ignacio</v>
      </c>
      <c r="J2648" t="str">
        <f>+IF(dHdcp[[#This Row],[Maximo]]=0,"",_xlfn.RANK.EQ(dHdcp[[#This Row],[Handicap]],dHdcp[Handicap],1))</f>
        <v/>
      </c>
      <c r="K2648" t="str">
        <f>IFERROR(+_xlfn.RANK.EQ(dHdcp[[#This Row],[Ranking]],dHdcp[Ranking],1),"")</f>
        <v/>
      </c>
      <c r="M2648" t="str">
        <f>+dHdcp[[#This Row],[Fecha]]&amp;":"&amp;dHdcp[[#This Row],[Nombre]]</f>
        <v>45851:Ignacio Cadarso</v>
      </c>
      <c r="N2648">
        <f>+COUNTIF(dHdcp[Columna1],dHdcp[[#This Row],[Columna1]])</f>
        <v>1</v>
      </c>
    </row>
    <row r="2649" spans="1:14">
      <c r="A2649" s="2">
        <v>45851</v>
      </c>
      <c r="B2649" t="s">
        <v>9</v>
      </c>
      <c r="C2649" s="51">
        <v>11.5</v>
      </c>
      <c r="D2649" s="46">
        <f>+VLOOKUP(dHdcp[[#This Row],[Handicap]],'Categoría Hdcap'!$B$2:$E$7,4)</f>
        <v>3</v>
      </c>
      <c r="E2649" t="s">
        <v>74</v>
      </c>
      <c r="F2649" s="92"/>
      <c r="G2649">
        <f>+IF(dHdcp[[#This Row],[Fecha]]=MAX(dHdcp[Fecha]),1,0)</f>
        <v>0</v>
      </c>
      <c r="H2649" t="str">
        <f>+dHdcp[[#This Row],[Maximo]]&amp;":"&amp;dHdcp[[#This Row],[Nombre]]</f>
        <v>0:Alfonso Hidalgo</v>
      </c>
      <c r="I2649" t="str">
        <f>+dHdcp[[#This Row],[Maximo]]&amp;":"&amp;_xlfn.XLOOKUP(dHdcp[[#This Row],[Nombre]],dJugador[Nombre],dJugador[Mote],"",0)</f>
        <v>0:Alfonso</v>
      </c>
      <c r="J2649" t="str">
        <f>+IF(dHdcp[[#This Row],[Maximo]]=0,"",_xlfn.RANK.EQ(dHdcp[[#This Row],[Handicap]],dHdcp[Handicap],1))</f>
        <v/>
      </c>
      <c r="K2649" t="str">
        <f>IFERROR(+_xlfn.RANK.EQ(dHdcp[[#This Row],[Ranking]],dHdcp[Ranking],1),"")</f>
        <v/>
      </c>
      <c r="M2649" t="str">
        <f>+dHdcp[[#This Row],[Fecha]]&amp;":"&amp;dHdcp[[#This Row],[Nombre]]</f>
        <v>45851:Alfonso Hidalgo</v>
      </c>
      <c r="N2649">
        <f>+COUNTIF(dHdcp[Columna1],dHdcp[[#This Row],[Columna1]])</f>
        <v>1</v>
      </c>
    </row>
    <row r="2650" spans="1:14">
      <c r="A2650" s="2">
        <v>45851</v>
      </c>
      <c r="B2650" t="s">
        <v>12</v>
      </c>
      <c r="C2650" s="51">
        <v>14.7</v>
      </c>
      <c r="D2650" s="46">
        <f>+VLOOKUP(dHdcp[[#This Row],[Handicap]],'Categoría Hdcap'!$B$2:$E$7,4)</f>
        <v>3</v>
      </c>
      <c r="E2650" t="s">
        <v>74</v>
      </c>
      <c r="F2650" s="92"/>
      <c r="G2650">
        <f>+IF(dHdcp[[#This Row],[Fecha]]=MAX(dHdcp[Fecha]),1,0)</f>
        <v>0</v>
      </c>
      <c r="H2650" t="str">
        <f>+dHdcp[[#This Row],[Maximo]]&amp;":"&amp;dHdcp[[#This Row],[Nombre]]</f>
        <v>0:Francisco Alvarez</v>
      </c>
      <c r="I2650" t="str">
        <f>+dHdcp[[#This Row],[Maximo]]&amp;":"&amp;_xlfn.XLOOKUP(dHdcp[[#This Row],[Nombre]],dJugador[Nombre],dJugador[Mote],"",0)</f>
        <v>0:Paco</v>
      </c>
      <c r="J2650" t="str">
        <f>+IF(dHdcp[[#This Row],[Maximo]]=0,"",_xlfn.RANK.EQ(dHdcp[[#This Row],[Handicap]],dHdcp[Handicap],1))</f>
        <v/>
      </c>
      <c r="K2650" t="str">
        <f>IFERROR(+_xlfn.RANK.EQ(dHdcp[[#This Row],[Ranking]],dHdcp[Ranking],1),"")</f>
        <v/>
      </c>
      <c r="M2650" t="str">
        <f>+dHdcp[[#This Row],[Fecha]]&amp;":"&amp;dHdcp[[#This Row],[Nombre]]</f>
        <v>45851:Francisco Alvarez</v>
      </c>
      <c r="N2650">
        <f>+COUNTIF(dHdcp[Columna1],dHdcp[[#This Row],[Columna1]])</f>
        <v>1</v>
      </c>
    </row>
    <row r="2651" spans="1:14">
      <c r="A2651" s="2">
        <v>45851</v>
      </c>
      <c r="B2651" t="s">
        <v>15</v>
      </c>
      <c r="C2651" s="51">
        <v>6.1</v>
      </c>
      <c r="D2651" s="46">
        <f>+VLOOKUP(dHdcp[[#This Row],[Handicap]],'Categoría Hdcap'!$B$2:$E$7,4)</f>
        <v>2</v>
      </c>
      <c r="E2651" t="s">
        <v>74</v>
      </c>
      <c r="F2651" s="92"/>
      <c r="G2651">
        <f>+IF(dHdcp[[#This Row],[Fecha]]=MAX(dHdcp[Fecha]),1,0)</f>
        <v>0</v>
      </c>
      <c r="H2651" t="str">
        <f>+dHdcp[[#This Row],[Maximo]]&amp;":"&amp;dHdcp[[#This Row],[Nombre]]</f>
        <v>0:Alvaro Aguirre</v>
      </c>
      <c r="I2651" t="str">
        <f>+dHdcp[[#This Row],[Maximo]]&amp;":"&amp;_xlfn.XLOOKUP(dHdcp[[#This Row],[Nombre]],dJugador[Nombre],dJugador[Mote],"",0)</f>
        <v>0:Gifu</v>
      </c>
      <c r="J2651" t="str">
        <f>+IF(dHdcp[[#This Row],[Maximo]]=0,"",_xlfn.RANK.EQ(dHdcp[[#This Row],[Handicap]],dHdcp[Handicap],1))</f>
        <v/>
      </c>
      <c r="K2651" t="str">
        <f>IFERROR(+_xlfn.RANK.EQ(dHdcp[[#This Row],[Ranking]],dHdcp[Ranking],1),"")</f>
        <v/>
      </c>
      <c r="M2651" t="str">
        <f>+dHdcp[[#This Row],[Fecha]]&amp;":"&amp;dHdcp[[#This Row],[Nombre]]</f>
        <v>45851:Alvaro Aguirre</v>
      </c>
      <c r="N2651">
        <f>+COUNTIF(dHdcp[Columna1],dHdcp[[#This Row],[Columna1]])</f>
        <v>1</v>
      </c>
    </row>
    <row r="2652" spans="1:14">
      <c r="A2652" s="2">
        <v>45851</v>
      </c>
      <c r="B2652" t="s">
        <v>18</v>
      </c>
      <c r="C2652" s="51">
        <v>7</v>
      </c>
      <c r="D2652" s="46">
        <f>+VLOOKUP(dHdcp[[#This Row],[Handicap]],'Categoría Hdcap'!$B$2:$E$7,4)</f>
        <v>2</v>
      </c>
      <c r="E2652" t="s">
        <v>74</v>
      </c>
      <c r="F2652" s="92"/>
      <c r="G2652">
        <f>+IF(dHdcp[[#This Row],[Fecha]]=MAX(dHdcp[Fecha]),1,0)</f>
        <v>0</v>
      </c>
      <c r="H2652" t="str">
        <f>+dHdcp[[#This Row],[Maximo]]&amp;":"&amp;dHdcp[[#This Row],[Nombre]]</f>
        <v>0:José Pablo Guil</v>
      </c>
      <c r="I2652" t="str">
        <f>+dHdcp[[#This Row],[Maximo]]&amp;":"&amp;_xlfn.XLOOKUP(dHdcp[[#This Row],[Nombre]],dJugador[Nombre],dJugador[Mote],"",0)</f>
        <v>0:JP</v>
      </c>
      <c r="J2652" t="str">
        <f>+IF(dHdcp[[#This Row],[Maximo]]=0,"",_xlfn.RANK.EQ(dHdcp[[#This Row],[Handicap]],dHdcp[Handicap],1))</f>
        <v/>
      </c>
      <c r="K2652" t="str">
        <f>IFERROR(+_xlfn.RANK.EQ(dHdcp[[#This Row],[Ranking]],dHdcp[Ranking],1),"")</f>
        <v/>
      </c>
      <c r="M2652" t="str">
        <f>+dHdcp[[#This Row],[Fecha]]&amp;":"&amp;dHdcp[[#This Row],[Nombre]]</f>
        <v>45851:José Pablo Guil</v>
      </c>
      <c r="N2652">
        <f>+COUNTIF(dHdcp[Columna1],dHdcp[[#This Row],[Columna1]])</f>
        <v>1</v>
      </c>
    </row>
    <row r="2653" spans="1:14">
      <c r="A2653" s="2">
        <v>45851</v>
      </c>
      <c r="B2653" t="s">
        <v>20</v>
      </c>
      <c r="C2653" s="51">
        <v>19.600000000000001</v>
      </c>
      <c r="D2653" s="46">
        <f>+VLOOKUP(dHdcp[[#This Row],[Handicap]],'Categoría Hdcap'!$B$2:$E$7,4)</f>
        <v>4</v>
      </c>
      <c r="E2653" t="s">
        <v>74</v>
      </c>
      <c r="F2653" s="92"/>
      <c r="G2653">
        <f>+IF(dHdcp[[#This Row],[Fecha]]=MAX(dHdcp[Fecha]),1,0)</f>
        <v>0</v>
      </c>
      <c r="H2653" t="str">
        <f>+dHdcp[[#This Row],[Maximo]]&amp;":"&amp;dHdcp[[#This Row],[Nombre]]</f>
        <v>0:Javier Gonzalez Salvador</v>
      </c>
      <c r="I2653" t="str">
        <f>+dHdcp[[#This Row],[Maximo]]&amp;":"&amp;_xlfn.XLOOKUP(dHdcp[[#This Row],[Nombre]],dJugador[Nombre],dJugador[Mote],"",0)</f>
        <v>0:Javi</v>
      </c>
      <c r="J2653" t="str">
        <f>+IF(dHdcp[[#This Row],[Maximo]]=0,"",_xlfn.RANK.EQ(dHdcp[[#This Row],[Handicap]],dHdcp[Handicap],1))</f>
        <v/>
      </c>
      <c r="K2653" t="str">
        <f>IFERROR(+_xlfn.RANK.EQ(dHdcp[[#This Row],[Ranking]],dHdcp[Ranking],1),"")</f>
        <v/>
      </c>
      <c r="M2653" t="str">
        <f>+dHdcp[[#This Row],[Fecha]]&amp;":"&amp;dHdcp[[#This Row],[Nombre]]</f>
        <v>45851:Javier Gonzalez Salvador</v>
      </c>
      <c r="N2653">
        <f>+COUNTIF(dHdcp[Columna1],dHdcp[[#This Row],[Columna1]])</f>
        <v>1</v>
      </c>
    </row>
    <row r="2654" spans="1:14">
      <c r="A2654" s="2">
        <v>45851</v>
      </c>
      <c r="B2654" t="s">
        <v>23</v>
      </c>
      <c r="C2654" s="51">
        <v>19.399999999999999</v>
      </c>
      <c r="D2654" s="46">
        <f>+VLOOKUP(dHdcp[[#This Row],[Handicap]],'Categoría Hdcap'!$B$2:$E$7,4)</f>
        <v>4</v>
      </c>
      <c r="E2654" t="s">
        <v>74</v>
      </c>
      <c r="F2654" s="92"/>
      <c r="G2654">
        <f>+IF(dHdcp[[#This Row],[Fecha]]=MAX(dHdcp[Fecha]),1,0)</f>
        <v>0</v>
      </c>
      <c r="H2654" t="str">
        <f>+dHdcp[[#This Row],[Maximo]]&amp;":"&amp;dHdcp[[#This Row],[Nombre]]</f>
        <v>0:J. Enrique Gonzalez</v>
      </c>
      <c r="I2654" t="str">
        <f>+dHdcp[[#This Row],[Maximo]]&amp;":"&amp;_xlfn.XLOOKUP(dHdcp[[#This Row],[Nombre]],dJugador[Nombre],dJugador[Mote],"",0)</f>
        <v>0:Kike</v>
      </c>
      <c r="J2654" t="str">
        <f>+IF(dHdcp[[#This Row],[Maximo]]=0,"",_xlfn.RANK.EQ(dHdcp[[#This Row],[Handicap]],dHdcp[Handicap],1))</f>
        <v/>
      </c>
      <c r="K2654" t="str">
        <f>IFERROR(+_xlfn.RANK.EQ(dHdcp[[#This Row],[Ranking]],dHdcp[Ranking],1),"")</f>
        <v/>
      </c>
      <c r="M2654" t="str">
        <f>+dHdcp[[#This Row],[Fecha]]&amp;":"&amp;dHdcp[[#This Row],[Nombre]]</f>
        <v>45851:J. Enrique Gonzalez</v>
      </c>
      <c r="N2654">
        <f>+COUNTIF(dHdcp[Columna1],dHdcp[[#This Row],[Columna1]])</f>
        <v>1</v>
      </c>
    </row>
    <row r="2655" spans="1:14">
      <c r="A2655" s="2">
        <v>45851</v>
      </c>
      <c r="B2655" t="s">
        <v>25</v>
      </c>
      <c r="C2655" s="51">
        <v>15.1</v>
      </c>
      <c r="D2655" s="46">
        <f>+VLOOKUP(dHdcp[[#This Row],[Handicap]],'Categoría Hdcap'!$B$2:$E$7,4)</f>
        <v>3</v>
      </c>
      <c r="E2655" t="s">
        <v>74</v>
      </c>
      <c r="F2655" s="92"/>
      <c r="G2655">
        <f>+IF(dHdcp[[#This Row],[Fecha]]=MAX(dHdcp[Fecha]),1,0)</f>
        <v>0</v>
      </c>
      <c r="H2655" t="str">
        <f>+dHdcp[[#This Row],[Maximo]]&amp;":"&amp;dHdcp[[#This Row],[Nombre]]</f>
        <v>0:Alvaro Nieto</v>
      </c>
      <c r="I2655" t="str">
        <f>+dHdcp[[#This Row],[Maximo]]&amp;":"&amp;_xlfn.XLOOKUP(dHdcp[[#This Row],[Nombre]],dJugador[Nombre],dJugador[Mote],"",0)</f>
        <v>0:Alvaro</v>
      </c>
      <c r="J2655" t="str">
        <f>+IF(dHdcp[[#This Row],[Maximo]]=0,"",_xlfn.RANK.EQ(dHdcp[[#This Row],[Handicap]],dHdcp[Handicap],1))</f>
        <v/>
      </c>
      <c r="K2655" t="str">
        <f>IFERROR(+_xlfn.RANK.EQ(dHdcp[[#This Row],[Ranking]],dHdcp[Ranking],1),"")</f>
        <v/>
      </c>
      <c r="M2655" t="str">
        <f>+dHdcp[[#This Row],[Fecha]]&amp;":"&amp;dHdcp[[#This Row],[Nombre]]</f>
        <v>45851:Alvaro Nieto</v>
      </c>
      <c r="N2655">
        <f>+COUNTIF(dHdcp[Columna1],dHdcp[[#This Row],[Columna1]])</f>
        <v>1</v>
      </c>
    </row>
    <row r="2656" spans="1:14">
      <c r="A2656" s="2">
        <v>45851</v>
      </c>
      <c r="B2656" t="s">
        <v>30</v>
      </c>
      <c r="C2656" s="51">
        <v>14.2</v>
      </c>
      <c r="D2656" s="46">
        <f>+VLOOKUP(dHdcp[[#This Row],[Handicap]],'Categoría Hdcap'!$B$2:$E$7,4)</f>
        <v>3</v>
      </c>
      <c r="E2656" t="s">
        <v>74</v>
      </c>
      <c r="F2656" s="92"/>
      <c r="G2656">
        <f>+IF(dHdcp[[#This Row],[Fecha]]=MAX(dHdcp[Fecha]),1,0)</f>
        <v>0</v>
      </c>
      <c r="H2656" t="str">
        <f>+dHdcp[[#This Row],[Maximo]]&amp;":"&amp;dHdcp[[#This Row],[Nombre]]</f>
        <v>0:David Sequera</v>
      </c>
      <c r="I2656" t="str">
        <f>+dHdcp[[#This Row],[Maximo]]&amp;":"&amp;_xlfn.XLOOKUP(dHdcp[[#This Row],[Nombre]],dJugador[Nombre],dJugador[Mote],"",0)</f>
        <v>0:David</v>
      </c>
      <c r="J2656" t="str">
        <f>+IF(dHdcp[[#This Row],[Maximo]]=0,"",_xlfn.RANK.EQ(dHdcp[[#This Row],[Handicap]],dHdcp[Handicap],1))</f>
        <v/>
      </c>
      <c r="K2656" t="str">
        <f>IFERROR(+_xlfn.RANK.EQ(dHdcp[[#This Row],[Ranking]],dHdcp[Ranking],1),"")</f>
        <v/>
      </c>
      <c r="M2656" t="str">
        <f>+dHdcp[[#This Row],[Fecha]]&amp;":"&amp;dHdcp[[#This Row],[Nombre]]</f>
        <v>45851:David Sequera</v>
      </c>
      <c r="N2656">
        <f>+COUNTIF(dHdcp[Columna1],dHdcp[[#This Row],[Columna1]])</f>
        <v>1</v>
      </c>
    </row>
    <row r="2657" spans="1:14">
      <c r="A2657" s="2">
        <v>45851</v>
      </c>
      <c r="B2657" t="s">
        <v>33</v>
      </c>
      <c r="C2657" s="51">
        <v>7</v>
      </c>
      <c r="D2657" s="46">
        <f>+VLOOKUP(dHdcp[[#This Row],[Handicap]],'Categoría Hdcap'!$B$2:$E$7,4)</f>
        <v>2</v>
      </c>
      <c r="E2657" t="s">
        <v>74</v>
      </c>
      <c r="F2657" s="92"/>
      <c r="G2657">
        <f>+IF(dHdcp[[#This Row],[Fecha]]=MAX(dHdcp[Fecha]),1,0)</f>
        <v>0</v>
      </c>
      <c r="H2657" t="str">
        <f>+dHdcp[[#This Row],[Maximo]]&amp;":"&amp;dHdcp[[#This Row],[Nombre]]</f>
        <v>0:Angel Hernandez</v>
      </c>
      <c r="I2657" t="str">
        <f>+dHdcp[[#This Row],[Maximo]]&amp;":"&amp;_xlfn.XLOOKUP(dHdcp[[#This Row],[Nombre]],dJugador[Nombre],dJugador[Mote],"",0)</f>
        <v>0:Angel</v>
      </c>
      <c r="J2657" t="str">
        <f>+IF(dHdcp[[#This Row],[Maximo]]=0,"",_xlfn.RANK.EQ(dHdcp[[#This Row],[Handicap]],dHdcp[Handicap],1))</f>
        <v/>
      </c>
      <c r="K2657" t="str">
        <f>IFERROR(+_xlfn.RANK.EQ(dHdcp[[#This Row],[Ranking]],dHdcp[Ranking],1),"")</f>
        <v/>
      </c>
      <c r="M2657" t="str">
        <f>+dHdcp[[#This Row],[Fecha]]&amp;":"&amp;dHdcp[[#This Row],[Nombre]]</f>
        <v>45851:Angel Hernandez</v>
      </c>
      <c r="N2657">
        <f>+COUNTIF(dHdcp[Columna1],dHdcp[[#This Row],[Columna1]])</f>
        <v>1</v>
      </c>
    </row>
    <row r="2658" spans="1:14">
      <c r="A2658" s="2">
        <v>45851</v>
      </c>
      <c r="B2658" t="s">
        <v>35</v>
      </c>
      <c r="C2658" s="51">
        <v>20.9</v>
      </c>
      <c r="D2658" s="46">
        <f>+VLOOKUP(dHdcp[[#This Row],[Handicap]],'Categoría Hdcap'!$B$2:$E$7,4)</f>
        <v>4</v>
      </c>
      <c r="E2658" t="s">
        <v>74</v>
      </c>
      <c r="F2658" s="92"/>
      <c r="G2658">
        <f>+IF(dHdcp[[#This Row],[Fecha]]=MAX(dHdcp[Fecha]),1,0)</f>
        <v>0</v>
      </c>
      <c r="H2658" t="str">
        <f>+dHdcp[[#This Row],[Maximo]]&amp;":"&amp;dHdcp[[#This Row],[Nombre]]</f>
        <v>0:GLEZ JUAN JOSÉ</v>
      </c>
      <c r="I2658" t="str">
        <f>+dHdcp[[#This Row],[Maximo]]&amp;":"&amp;_xlfn.XLOOKUP(dHdcp[[#This Row],[Nombre]],dJugador[Nombre],dJugador[Mote],"",0)</f>
        <v>0:Juanjo</v>
      </c>
      <c r="J2658" t="str">
        <f>+IF(dHdcp[[#This Row],[Maximo]]=0,"",_xlfn.RANK.EQ(dHdcp[[#This Row],[Handicap]],dHdcp[Handicap],1))</f>
        <v/>
      </c>
      <c r="K2658" t="str">
        <f>IFERROR(+_xlfn.RANK.EQ(dHdcp[[#This Row],[Ranking]],dHdcp[Ranking],1),"")</f>
        <v/>
      </c>
      <c r="M2658" t="str">
        <f>+dHdcp[[#This Row],[Fecha]]&amp;":"&amp;dHdcp[[#This Row],[Nombre]]</f>
        <v>45851:GLEZ JUAN JOSÉ</v>
      </c>
      <c r="N2658">
        <f>+COUNTIF(dHdcp[Columna1],dHdcp[[#This Row],[Columna1]])</f>
        <v>1</v>
      </c>
    </row>
    <row r="2659" spans="1:14">
      <c r="A2659" s="2">
        <v>45851</v>
      </c>
      <c r="B2659" t="s">
        <v>41</v>
      </c>
      <c r="C2659" s="51">
        <v>22.6</v>
      </c>
      <c r="D2659" s="46">
        <f>+VLOOKUP(dHdcp[[#This Row],[Handicap]],'Categoría Hdcap'!$B$2:$E$7,4)</f>
        <v>4</v>
      </c>
      <c r="E2659" t="s">
        <v>74</v>
      </c>
      <c r="F2659" s="92"/>
      <c r="G2659">
        <f>+IF(dHdcp[[#This Row],[Fecha]]=MAX(dHdcp[Fecha]),1,0)</f>
        <v>0</v>
      </c>
      <c r="H2659" t="str">
        <f>+dHdcp[[#This Row],[Maximo]]&amp;":"&amp;dHdcp[[#This Row],[Nombre]]</f>
        <v>0:Jesus Touceda</v>
      </c>
      <c r="I2659" t="str">
        <f>+dHdcp[[#This Row],[Maximo]]&amp;":"&amp;_xlfn.XLOOKUP(dHdcp[[#This Row],[Nombre]],dJugador[Nombre],dJugador[Mote],"",0)</f>
        <v>0:Jesús</v>
      </c>
      <c r="J2659" t="str">
        <f>+IF(dHdcp[[#This Row],[Maximo]]=0,"",_xlfn.RANK.EQ(dHdcp[[#This Row],[Handicap]],dHdcp[Handicap],1))</f>
        <v/>
      </c>
      <c r="K2659" t="str">
        <f>IFERROR(+_xlfn.RANK.EQ(dHdcp[[#This Row],[Ranking]],dHdcp[Ranking],1),"")</f>
        <v/>
      </c>
      <c r="M2659" t="str">
        <f>+dHdcp[[#This Row],[Fecha]]&amp;":"&amp;dHdcp[[#This Row],[Nombre]]</f>
        <v>45851:Jesus Touceda</v>
      </c>
      <c r="N2659">
        <f>+COUNTIF(dHdcp[Columna1],dHdcp[[#This Row],[Columna1]])</f>
        <v>1</v>
      </c>
    </row>
    <row r="2660" spans="1:14">
      <c r="A2660" s="2">
        <v>45851</v>
      </c>
      <c r="B2660" t="s">
        <v>46</v>
      </c>
      <c r="C2660" s="51">
        <v>18.8</v>
      </c>
      <c r="D2660" s="46">
        <f>+VLOOKUP(dHdcp[[#This Row],[Handicap]],'Categoría Hdcap'!$B$2:$E$7,4)</f>
        <v>4</v>
      </c>
      <c r="E2660" t="s">
        <v>74</v>
      </c>
      <c r="F2660" s="92"/>
      <c r="G2660">
        <f>+IF(dHdcp[[#This Row],[Fecha]]=MAX(dHdcp[Fecha]),1,0)</f>
        <v>0</v>
      </c>
      <c r="H2660" t="str">
        <f>+dHdcp[[#This Row],[Maximo]]&amp;":"&amp;dHdcp[[#This Row],[Nombre]]</f>
        <v>0:Javier Cervera</v>
      </c>
      <c r="I2660" t="str">
        <f>+dHdcp[[#This Row],[Maximo]]&amp;":"&amp;_xlfn.XLOOKUP(dHdcp[[#This Row],[Nombre]],dJugador[Nombre],dJugador[Mote],"",0)</f>
        <v>0:Virus</v>
      </c>
      <c r="J2660" t="str">
        <f>+IF(dHdcp[[#This Row],[Maximo]]=0,"",_xlfn.RANK.EQ(dHdcp[[#This Row],[Handicap]],dHdcp[Handicap],1))</f>
        <v/>
      </c>
      <c r="K2660" t="str">
        <f>IFERROR(+_xlfn.RANK.EQ(dHdcp[[#This Row],[Ranking]],dHdcp[Ranking],1),"")</f>
        <v/>
      </c>
      <c r="M2660" t="str">
        <f>+dHdcp[[#This Row],[Fecha]]&amp;":"&amp;dHdcp[[#This Row],[Nombre]]</f>
        <v>45851:Javier Cervera</v>
      </c>
      <c r="N2660">
        <f>+COUNTIF(dHdcp[Columna1],dHdcp[[#This Row],[Columna1]])</f>
        <v>1</v>
      </c>
    </row>
    <row r="2661" spans="1:14">
      <c r="A2661" s="2">
        <v>45851</v>
      </c>
      <c r="B2661" t="s">
        <v>49</v>
      </c>
      <c r="C2661" s="51">
        <v>14.6</v>
      </c>
      <c r="D2661" s="46">
        <f>+VLOOKUP(dHdcp[[#This Row],[Handicap]],'Categoría Hdcap'!$B$2:$E$7,4)</f>
        <v>3</v>
      </c>
      <c r="E2661" t="s">
        <v>74</v>
      </c>
      <c r="F2661" s="92"/>
      <c r="G2661">
        <f>+IF(dHdcp[[#This Row],[Fecha]]=MAX(dHdcp[Fecha]),1,0)</f>
        <v>0</v>
      </c>
      <c r="H2661" t="str">
        <f>+dHdcp[[#This Row],[Maximo]]&amp;":"&amp;dHdcp[[#This Row],[Nombre]]</f>
        <v>0:Francisco Hidalgo</v>
      </c>
      <c r="I2661" t="str">
        <f>+dHdcp[[#This Row],[Maximo]]&amp;":"&amp;_xlfn.XLOOKUP(dHdcp[[#This Row],[Nombre]],dJugador[Nombre],dJugador[Mote],"",0)</f>
        <v>0:Fran</v>
      </c>
      <c r="J2661" t="str">
        <f>+IF(dHdcp[[#This Row],[Maximo]]=0,"",_xlfn.RANK.EQ(dHdcp[[#This Row],[Handicap]],dHdcp[Handicap],1))</f>
        <v/>
      </c>
      <c r="K2661" t="str">
        <f>IFERROR(+_xlfn.RANK.EQ(dHdcp[[#This Row],[Ranking]],dHdcp[Ranking],1),"")</f>
        <v/>
      </c>
      <c r="M2661" t="str">
        <f>+dHdcp[[#This Row],[Fecha]]&amp;":"&amp;dHdcp[[#This Row],[Nombre]]</f>
        <v>45851:Francisco Hidalgo</v>
      </c>
      <c r="N2661">
        <f>+COUNTIF(dHdcp[Columna1],dHdcp[[#This Row],[Columna1]])</f>
        <v>1</v>
      </c>
    </row>
    <row r="2662" spans="1:14">
      <c r="A2662" s="2">
        <v>45851</v>
      </c>
      <c r="B2662" t="s">
        <v>135</v>
      </c>
      <c r="C2662" s="51">
        <v>19.5</v>
      </c>
      <c r="D2662" s="46">
        <f>+VLOOKUP(dHdcp[[#This Row],[Handicap]],'Categoría Hdcap'!$B$2:$E$7,4)</f>
        <v>4</v>
      </c>
      <c r="E2662" t="s">
        <v>74</v>
      </c>
      <c r="F2662" s="92"/>
      <c r="G2662">
        <f>+IF(dHdcp[[#This Row],[Fecha]]=MAX(dHdcp[Fecha]),1,0)</f>
        <v>0</v>
      </c>
      <c r="H2662" t="str">
        <f>+dHdcp[[#This Row],[Maximo]]&amp;":"&amp;dHdcp[[#This Row],[Nombre]]</f>
        <v>0:Miche Lopez</v>
      </c>
      <c r="I2662" t="str">
        <f>+dHdcp[[#This Row],[Maximo]]&amp;":"&amp;_xlfn.XLOOKUP(dHdcp[[#This Row],[Nombre]],dJugador[Nombre],dJugador[Mote],"",0)</f>
        <v>0:Miche</v>
      </c>
      <c r="J2662" t="str">
        <f>+IF(dHdcp[[#This Row],[Maximo]]=0,"",_xlfn.RANK.EQ(dHdcp[[#This Row],[Handicap]],dHdcp[Handicap],1))</f>
        <v/>
      </c>
      <c r="K2662" t="str">
        <f>IFERROR(+_xlfn.RANK.EQ(dHdcp[[#This Row],[Ranking]],dHdcp[Ranking],1),"")</f>
        <v/>
      </c>
      <c r="M2662" t="str">
        <f>+dHdcp[[#This Row],[Fecha]]&amp;":"&amp;dHdcp[[#This Row],[Nombre]]</f>
        <v>45851:Miche Lopez</v>
      </c>
      <c r="N2662">
        <f>+COUNTIF(dHdcp[Columna1],dHdcp[[#This Row],[Columna1]])</f>
        <v>1</v>
      </c>
    </row>
    <row r="2663" spans="1:14">
      <c r="A2663" s="2">
        <v>45851</v>
      </c>
      <c r="B2663" t="s">
        <v>201</v>
      </c>
      <c r="C2663" s="51">
        <v>7.5</v>
      </c>
      <c r="D2663" s="46">
        <f>+VLOOKUP(dHdcp[[#This Row],[Handicap]],'Categoría Hdcap'!$B$2:$E$7,4)</f>
        <v>2</v>
      </c>
      <c r="E2663" t="s">
        <v>74</v>
      </c>
      <c r="F2663" s="92"/>
      <c r="G2663">
        <f>+IF(dHdcp[[#This Row],[Fecha]]=MAX(dHdcp[Fecha]),1,0)</f>
        <v>0</v>
      </c>
      <c r="H2663" t="str">
        <f>+dHdcp[[#This Row],[Maximo]]&amp;":"&amp;dHdcp[[#This Row],[Nombre]]</f>
        <v>0:Alvaro Montoya</v>
      </c>
      <c r="I2663" t="str">
        <f>+dHdcp[[#This Row],[Maximo]]&amp;":"&amp;_xlfn.XLOOKUP(dHdcp[[#This Row],[Nombre]],dJugador[Nombre],dJugador[Mote],"",0)</f>
        <v>0:Monti</v>
      </c>
      <c r="J2663" t="str">
        <f>+IF(dHdcp[[#This Row],[Maximo]]=0,"",_xlfn.RANK.EQ(dHdcp[[#This Row],[Handicap]],dHdcp[Handicap],1))</f>
        <v/>
      </c>
      <c r="K2663" t="str">
        <f>IFERROR(+_xlfn.RANK.EQ(dHdcp[[#This Row],[Ranking]],dHdcp[Ranking],1),"")</f>
        <v/>
      </c>
      <c r="M2663" t="str">
        <f>+dHdcp[[#This Row],[Fecha]]&amp;":"&amp;dHdcp[[#This Row],[Nombre]]</f>
        <v>45851:Alvaro Montoya</v>
      </c>
      <c r="N2663">
        <f>+COUNTIF(dHdcp[Columna1],dHdcp[[#This Row],[Columna1]])</f>
        <v>1</v>
      </c>
    </row>
    <row r="2664" spans="1:14">
      <c r="A2664" s="2">
        <v>45851</v>
      </c>
      <c r="B2664" t="s">
        <v>203</v>
      </c>
      <c r="C2664" s="51">
        <v>17.2</v>
      </c>
      <c r="D2664" s="46">
        <f>+VLOOKUP(dHdcp[[#This Row],[Handicap]],'Categoría Hdcap'!$B$2:$E$7,4)</f>
        <v>3</v>
      </c>
      <c r="E2664" t="s">
        <v>74</v>
      </c>
      <c r="F2664" s="92"/>
      <c r="G2664">
        <f>+IF(dHdcp[[#This Row],[Fecha]]=MAX(dHdcp[Fecha]),1,0)</f>
        <v>0</v>
      </c>
      <c r="H2664" t="str">
        <f>+dHdcp[[#This Row],[Maximo]]&amp;":"&amp;dHdcp[[#This Row],[Nombre]]</f>
        <v>0:Ruslan Kochman</v>
      </c>
      <c r="I2664" t="str">
        <f>+dHdcp[[#This Row],[Maximo]]&amp;":"&amp;_xlfn.XLOOKUP(dHdcp[[#This Row],[Nombre]],dJugador[Nombre],dJugador[Mote],"",0)</f>
        <v>0:Rus</v>
      </c>
      <c r="J2664" t="str">
        <f>+IF(dHdcp[[#This Row],[Maximo]]=0,"",_xlfn.RANK.EQ(dHdcp[[#This Row],[Handicap]],dHdcp[Handicap],1))</f>
        <v/>
      </c>
      <c r="K2664" t="str">
        <f>IFERROR(+_xlfn.RANK.EQ(dHdcp[[#This Row],[Ranking]],dHdcp[Ranking],1),"")</f>
        <v/>
      </c>
      <c r="M2664" t="str">
        <f>+dHdcp[[#This Row],[Fecha]]&amp;":"&amp;dHdcp[[#This Row],[Nombre]]</f>
        <v>45851:Ruslan Kochman</v>
      </c>
      <c r="N2664">
        <f>+COUNTIF(dHdcp[Columna1],dHdcp[[#This Row],[Columna1]])</f>
        <v>1</v>
      </c>
    </row>
    <row r="2665" spans="1:14">
      <c r="A2665" s="2">
        <v>45851</v>
      </c>
      <c r="B2665" t="s">
        <v>205</v>
      </c>
      <c r="C2665" s="51">
        <v>5.2</v>
      </c>
      <c r="D2665" s="46">
        <f>+VLOOKUP(dHdcp[[#This Row],[Handicap]],'Categoría Hdcap'!$B$2:$E$7,4)</f>
        <v>2</v>
      </c>
      <c r="E2665" t="s">
        <v>74</v>
      </c>
      <c r="F2665" s="92"/>
      <c r="G2665">
        <f>+IF(dHdcp[[#This Row],[Fecha]]=MAX(dHdcp[Fecha]),1,0)</f>
        <v>0</v>
      </c>
      <c r="H2665" t="str">
        <f>+dHdcp[[#This Row],[Maximo]]&amp;":"&amp;dHdcp[[#This Row],[Nombre]]</f>
        <v>0:Nacho Casas</v>
      </c>
      <c r="I2665" t="str">
        <f>+dHdcp[[#This Row],[Maximo]]&amp;":"&amp;_xlfn.XLOOKUP(dHdcp[[#This Row],[Nombre]],dJugador[Nombre],dJugador[Mote],"",0)</f>
        <v>0:Nachete</v>
      </c>
      <c r="J2665" t="str">
        <f>+IF(dHdcp[[#This Row],[Maximo]]=0,"",_xlfn.RANK.EQ(dHdcp[[#This Row],[Handicap]],dHdcp[Handicap],1))</f>
        <v/>
      </c>
      <c r="K2665" t="str">
        <f>IFERROR(+_xlfn.RANK.EQ(dHdcp[[#This Row],[Ranking]],dHdcp[Ranking],1),"")</f>
        <v/>
      </c>
      <c r="M2665" t="str">
        <f>+dHdcp[[#This Row],[Fecha]]&amp;":"&amp;dHdcp[[#This Row],[Nombre]]</f>
        <v>45851:Nacho Casas</v>
      </c>
      <c r="N2665">
        <f>+COUNTIF(dHdcp[Columna1],dHdcp[[#This Row],[Columna1]])</f>
        <v>1</v>
      </c>
    </row>
    <row r="2666" spans="1:14">
      <c r="A2666" s="2">
        <v>45851</v>
      </c>
      <c r="B2666" t="s">
        <v>207</v>
      </c>
      <c r="C2666" s="51">
        <v>15</v>
      </c>
      <c r="D2666" s="46">
        <f>+VLOOKUP(dHdcp[[#This Row],[Handicap]],'Categoría Hdcap'!$B$2:$E$7,4)</f>
        <v>3</v>
      </c>
      <c r="E2666" t="s">
        <v>74</v>
      </c>
      <c r="F2666" s="92"/>
      <c r="G2666">
        <f>+IF(dHdcp[[#This Row],[Fecha]]=MAX(dHdcp[Fecha]),1,0)</f>
        <v>0</v>
      </c>
      <c r="H2666" t="str">
        <f>+dHdcp[[#This Row],[Maximo]]&amp;":"&amp;dHdcp[[#This Row],[Nombre]]</f>
        <v>0:Franck Benouniche</v>
      </c>
      <c r="I2666" t="str">
        <f>+dHdcp[[#This Row],[Maximo]]&amp;":"&amp;_xlfn.XLOOKUP(dHdcp[[#This Row],[Nombre]],dJugador[Nombre],dJugador[Mote],"",0)</f>
        <v>0:Franck</v>
      </c>
      <c r="J2666" t="str">
        <f>+IF(dHdcp[[#This Row],[Maximo]]=0,"",_xlfn.RANK.EQ(dHdcp[[#This Row],[Handicap]],dHdcp[Handicap],1))</f>
        <v/>
      </c>
      <c r="K2666" t="str">
        <f>IFERROR(+_xlfn.RANK.EQ(dHdcp[[#This Row],[Ranking]],dHdcp[Ranking],1),"")</f>
        <v/>
      </c>
      <c r="M2666" t="str">
        <f>+dHdcp[[#This Row],[Fecha]]&amp;":"&amp;dHdcp[[#This Row],[Nombre]]</f>
        <v>45851:Franck Benouniche</v>
      </c>
      <c r="N2666">
        <f>+COUNTIF(dHdcp[Columna1],dHdcp[[#This Row],[Columna1]])</f>
        <v>1</v>
      </c>
    </row>
    <row r="2667" spans="1:14">
      <c r="A2667" s="2">
        <v>45851</v>
      </c>
      <c r="B2667" t="s">
        <v>217</v>
      </c>
      <c r="C2667" s="51">
        <v>22.2</v>
      </c>
      <c r="D2667" s="46">
        <f>+VLOOKUP(dHdcp[[#This Row],[Handicap]],'Categoría Hdcap'!$B$2:$E$7,4)</f>
        <v>4</v>
      </c>
      <c r="E2667" t="s">
        <v>74</v>
      </c>
      <c r="F2667" s="92"/>
      <c r="G2667">
        <f>+IF(dHdcp[[#This Row],[Fecha]]=MAX(dHdcp[Fecha]),1,0)</f>
        <v>0</v>
      </c>
      <c r="H2667" t="str">
        <f>+dHdcp[[#This Row],[Maximo]]&amp;":"&amp;dHdcp[[#This Row],[Nombre]]</f>
        <v>0:Javier Lopez Gullón</v>
      </c>
      <c r="I2667" t="str">
        <f>+dHdcp[[#This Row],[Maximo]]&amp;":"&amp;_xlfn.XLOOKUP(dHdcp[[#This Row],[Nombre]],dJugador[Nombre],dJugador[Mote],"",0)</f>
        <v>0:Cuñao</v>
      </c>
      <c r="J2667" t="str">
        <f>+IF(dHdcp[[#This Row],[Maximo]]=0,"",_xlfn.RANK.EQ(dHdcp[[#This Row],[Handicap]],dHdcp[Handicap],1))</f>
        <v/>
      </c>
      <c r="K2667" t="str">
        <f>IFERROR(+_xlfn.RANK.EQ(dHdcp[[#This Row],[Ranking]],dHdcp[Ranking],1),"")</f>
        <v/>
      </c>
      <c r="M2667" t="str">
        <f>+dHdcp[[#This Row],[Fecha]]&amp;":"&amp;dHdcp[[#This Row],[Nombre]]</f>
        <v>45851:Javier Lopez Gullón</v>
      </c>
      <c r="N2667">
        <f>+COUNTIF(dHdcp[Columna1],dHdcp[[#This Row],[Columna1]])</f>
        <v>1</v>
      </c>
    </row>
    <row r="2668" spans="1:14">
      <c r="A2668" s="2">
        <v>45851</v>
      </c>
      <c r="B2668" t="s">
        <v>225</v>
      </c>
      <c r="C2668" s="51">
        <v>10.5</v>
      </c>
      <c r="D2668" s="46">
        <f>+VLOOKUP(dHdcp[[#This Row],[Handicap]],'Categoría Hdcap'!$B$2:$E$7,4)</f>
        <v>2</v>
      </c>
      <c r="E2668" t="s">
        <v>74</v>
      </c>
      <c r="F2668" s="92"/>
      <c r="G2668">
        <f>+IF(dHdcp[[#This Row],[Fecha]]=MAX(dHdcp[Fecha]),1,0)</f>
        <v>0</v>
      </c>
      <c r="H2668" t="str">
        <f>+dHdcp[[#This Row],[Maximo]]&amp;":"&amp;dHdcp[[#This Row],[Nombre]]</f>
        <v>0:Javier Chiralt</v>
      </c>
      <c r="I2668" t="str">
        <f>+dHdcp[[#This Row],[Maximo]]&amp;":"&amp;_xlfn.XLOOKUP(dHdcp[[#This Row],[Nombre]],dJugador[Nombre],dJugador[Mote],"",0)</f>
        <v>0:Chiralt</v>
      </c>
      <c r="J2668" t="str">
        <f>+IF(dHdcp[[#This Row],[Maximo]]=0,"",_xlfn.RANK.EQ(dHdcp[[#This Row],[Handicap]],dHdcp[Handicap],1))</f>
        <v/>
      </c>
      <c r="K2668" t="str">
        <f>IFERROR(+_xlfn.RANK.EQ(dHdcp[[#This Row],[Ranking]],dHdcp[Ranking],1),"")</f>
        <v/>
      </c>
      <c r="M2668" t="str">
        <f>+dHdcp[[#This Row],[Fecha]]&amp;":"&amp;dHdcp[[#This Row],[Nombre]]</f>
        <v>45851:Javier Chiralt</v>
      </c>
      <c r="N2668">
        <f>+COUNTIF(dHdcp[Columna1],dHdcp[[#This Row],[Columna1]])</f>
        <v>1</v>
      </c>
    </row>
    <row r="2669" spans="1:14">
      <c r="A2669" s="2">
        <v>45851</v>
      </c>
      <c r="B2669" t="s">
        <v>248</v>
      </c>
      <c r="C2669" s="51">
        <v>12.7</v>
      </c>
      <c r="D2669" s="46">
        <f>+VLOOKUP(dHdcp[[#This Row],[Handicap]],'Categoría Hdcap'!$B$2:$E$7,4)</f>
        <v>3</v>
      </c>
      <c r="E2669" t="s">
        <v>74</v>
      </c>
      <c r="F2669" s="92"/>
      <c r="G2669">
        <f>+IF(dHdcp[[#This Row],[Fecha]]=MAX(dHdcp[Fecha]),1,0)</f>
        <v>0</v>
      </c>
      <c r="H2669" t="str">
        <f>+dHdcp[[#This Row],[Maximo]]&amp;":"&amp;dHdcp[[#This Row],[Nombre]]</f>
        <v>0:Enrique Gonzalez R</v>
      </c>
      <c r="I2669" t="str">
        <f>+dHdcp[[#This Row],[Maximo]]&amp;":"&amp;_xlfn.XLOOKUP(dHdcp[[#This Row],[Nombre]],dJugador[Nombre],dJugador[Mote],"",0)</f>
        <v>0:Enrique</v>
      </c>
      <c r="J2669" t="str">
        <f>+IF(dHdcp[[#This Row],[Maximo]]=0,"",_xlfn.RANK.EQ(dHdcp[[#This Row],[Handicap]],dHdcp[Handicap],1))</f>
        <v/>
      </c>
      <c r="K2669" t="str">
        <f>IFERROR(+_xlfn.RANK.EQ(dHdcp[[#This Row],[Ranking]],dHdcp[Ranking],1),"")</f>
        <v/>
      </c>
      <c r="M2669" t="str">
        <f>+dHdcp[[#This Row],[Fecha]]&amp;":"&amp;dHdcp[[#This Row],[Nombre]]</f>
        <v>45851:Enrique Gonzalez R</v>
      </c>
      <c r="N2669">
        <f>+COUNTIF(dHdcp[Columna1],dHdcp[[#This Row],[Columna1]])</f>
        <v>1</v>
      </c>
    </row>
    <row r="2670" spans="1:14">
      <c r="A2670" s="2">
        <v>45851</v>
      </c>
      <c r="B2670" t="s">
        <v>259</v>
      </c>
      <c r="C2670" s="51">
        <v>1.7</v>
      </c>
      <c r="D2670" s="46">
        <f>+VLOOKUP(dHdcp[[#This Row],[Handicap]],'Categoría Hdcap'!$B$2:$E$7,4)</f>
        <v>1</v>
      </c>
      <c r="E2670" t="s">
        <v>74</v>
      </c>
      <c r="F2670" s="92"/>
      <c r="G2670">
        <f>+IF(dHdcp[[#This Row],[Fecha]]=MAX(dHdcp[Fecha]),1,0)</f>
        <v>0</v>
      </c>
      <c r="H2670" t="str">
        <f>+dHdcp[[#This Row],[Maximo]]&amp;":"&amp;dHdcp[[#This Row],[Nombre]]</f>
        <v>0:Alejandro Arcos</v>
      </c>
      <c r="I2670" t="str">
        <f>+dHdcp[[#This Row],[Maximo]]&amp;":"&amp;_xlfn.XLOOKUP(dHdcp[[#This Row],[Nombre]],dJugador[Nombre],dJugador[Mote],"",0)</f>
        <v>0:Alex</v>
      </c>
      <c r="J2670" t="str">
        <f>+IF(dHdcp[[#This Row],[Maximo]]=0,"",_xlfn.RANK.EQ(dHdcp[[#This Row],[Handicap]],dHdcp[Handicap],1))</f>
        <v/>
      </c>
      <c r="K2670" t="str">
        <f>IFERROR(+_xlfn.RANK.EQ(dHdcp[[#This Row],[Ranking]],dHdcp[Ranking],1),"")</f>
        <v/>
      </c>
      <c r="M2670" t="str">
        <f>+dHdcp[[#This Row],[Fecha]]&amp;":"&amp;dHdcp[[#This Row],[Nombre]]</f>
        <v>45851:Alejandro Arcos</v>
      </c>
      <c r="N2670">
        <f>+COUNTIF(dHdcp[Columna1],dHdcp[[#This Row],[Columna1]])</f>
        <v>1</v>
      </c>
    </row>
    <row r="2671" spans="1:14">
      <c r="A2671" s="2">
        <v>45851</v>
      </c>
      <c r="B2671" t="s">
        <v>264</v>
      </c>
      <c r="C2671" s="51">
        <v>19.899999999999999</v>
      </c>
      <c r="D2671" s="46">
        <f>+VLOOKUP(dHdcp[[#This Row],[Handicap]],'Categoría Hdcap'!$B$2:$E$7,4)</f>
        <v>4</v>
      </c>
      <c r="E2671" t="s">
        <v>74</v>
      </c>
      <c r="F2671" s="92"/>
      <c r="G2671">
        <f>+IF(dHdcp[[#This Row],[Fecha]]=MAX(dHdcp[Fecha]),1,0)</f>
        <v>0</v>
      </c>
      <c r="H2671" t="str">
        <f>+dHdcp[[#This Row],[Maximo]]&amp;":"&amp;dHdcp[[#This Row],[Nombre]]</f>
        <v>0:Antonio Carmona</v>
      </c>
      <c r="I2671" t="str">
        <f>+dHdcp[[#This Row],[Maximo]]&amp;":"&amp;_xlfn.XLOOKUP(dHdcp[[#This Row],[Nombre]],dJugador[Nombre],dJugador[Mote],"",0)</f>
        <v>0:Antonio</v>
      </c>
      <c r="J2671" t="str">
        <f>+IF(dHdcp[[#This Row],[Maximo]]=0,"",_xlfn.RANK.EQ(dHdcp[[#This Row],[Handicap]],dHdcp[Handicap],1))</f>
        <v/>
      </c>
      <c r="K2671" t="str">
        <f>IFERROR(+_xlfn.RANK.EQ(dHdcp[[#This Row],[Ranking]],dHdcp[Ranking],1),"")</f>
        <v/>
      </c>
      <c r="M2671" t="str">
        <f>+dHdcp[[#This Row],[Fecha]]&amp;":"&amp;dHdcp[[#This Row],[Nombre]]</f>
        <v>45851:Antonio Carmona</v>
      </c>
      <c r="N2671">
        <f>+COUNTIF(dHdcp[Columna1],dHdcp[[#This Row],[Columna1]])</f>
        <v>1</v>
      </c>
    </row>
    <row r="2672" spans="1:14">
      <c r="A2672" s="2">
        <v>45851</v>
      </c>
      <c r="B2672" t="s">
        <v>271</v>
      </c>
      <c r="C2672" s="51">
        <v>16.399999999999999</v>
      </c>
      <c r="D2672" s="46">
        <f>+VLOOKUP(dHdcp[[#This Row],[Handicap]],'Categoría Hdcap'!$B$2:$E$7,4)</f>
        <v>3</v>
      </c>
      <c r="E2672" t="s">
        <v>74</v>
      </c>
      <c r="F2672" s="92"/>
      <c r="G2672">
        <f>+IF(dHdcp[[#This Row],[Fecha]]=MAX(dHdcp[Fecha]),1,0)</f>
        <v>0</v>
      </c>
      <c r="H2672" t="str">
        <f>+dHdcp[[#This Row],[Maximo]]&amp;":"&amp;dHdcp[[#This Row],[Nombre]]</f>
        <v>0:Santi Diaz</v>
      </c>
      <c r="I2672" t="str">
        <f>+dHdcp[[#This Row],[Maximo]]&amp;":"&amp;_xlfn.XLOOKUP(dHdcp[[#This Row],[Nombre]],dJugador[Nombre],dJugador[Mote],"",0)</f>
        <v>0:Santi</v>
      </c>
      <c r="J2672" t="str">
        <f>+IF(dHdcp[[#This Row],[Maximo]]=0,"",_xlfn.RANK.EQ(dHdcp[[#This Row],[Handicap]],dHdcp[Handicap],1))</f>
        <v/>
      </c>
      <c r="K2672" t="str">
        <f>IFERROR(+_xlfn.RANK.EQ(dHdcp[[#This Row],[Ranking]],dHdcp[Ranking],1),"")</f>
        <v/>
      </c>
      <c r="M2672" t="str">
        <f>+dHdcp[[#This Row],[Fecha]]&amp;":"&amp;dHdcp[[#This Row],[Nombre]]</f>
        <v>45851:Santi Diaz</v>
      </c>
      <c r="N2672">
        <f>+COUNTIF(dHdcp[Columna1],dHdcp[[#This Row],[Columna1]])</f>
        <v>1</v>
      </c>
    </row>
    <row r="2673" spans="1:14">
      <c r="A2673" s="2">
        <v>45851</v>
      </c>
      <c r="B2673" t="s">
        <v>293</v>
      </c>
      <c r="C2673" s="51">
        <v>15.1</v>
      </c>
      <c r="D2673" s="46">
        <f>+VLOOKUP(dHdcp[[#This Row],[Handicap]],'Categoría Hdcap'!$B$2:$E$7,4)</f>
        <v>3</v>
      </c>
      <c r="E2673" t="s">
        <v>74</v>
      </c>
      <c r="F2673" s="92"/>
      <c r="G2673">
        <f>+IF(dHdcp[[#This Row],[Fecha]]=MAX(dHdcp[Fecha]),1,0)</f>
        <v>0</v>
      </c>
      <c r="H2673" t="str">
        <f>+dHdcp[[#This Row],[Maximo]]&amp;":"&amp;dHdcp[[#This Row],[Nombre]]</f>
        <v>0:Juan Jose Aguado</v>
      </c>
      <c r="I2673" t="str">
        <f>+dHdcp[[#This Row],[Maximo]]&amp;":"&amp;_xlfn.XLOOKUP(dHdcp[[#This Row],[Nombre]],dJugador[Nombre],dJugador[Mote],"",0)</f>
        <v>0:Juancho</v>
      </c>
      <c r="J2673" t="str">
        <f>+IF(dHdcp[[#This Row],[Maximo]]=0,"",_xlfn.RANK.EQ(dHdcp[[#This Row],[Handicap]],dHdcp[Handicap],1))</f>
        <v/>
      </c>
      <c r="K2673" t="str">
        <f>IFERROR(+_xlfn.RANK.EQ(dHdcp[[#This Row],[Ranking]],dHdcp[Ranking],1),"")</f>
        <v/>
      </c>
      <c r="M2673" t="str">
        <f>+dHdcp[[#This Row],[Fecha]]&amp;":"&amp;dHdcp[[#This Row],[Nombre]]</f>
        <v>45851:Juan Jose Aguado</v>
      </c>
      <c r="N2673">
        <f>+COUNTIF(dHdcp[Columna1],dHdcp[[#This Row],[Columna1]])</f>
        <v>1</v>
      </c>
    </row>
    <row r="2674" spans="1:14">
      <c r="A2674" s="2">
        <v>45851</v>
      </c>
      <c r="B2674" t="s">
        <v>291</v>
      </c>
      <c r="C2674" s="51">
        <v>2.2000000000000002</v>
      </c>
      <c r="D2674" s="46">
        <f>+VLOOKUP(dHdcp[[#This Row],[Handicap]],'Categoría Hdcap'!$B$2:$E$7,4)</f>
        <v>1</v>
      </c>
      <c r="E2674" t="s">
        <v>74</v>
      </c>
      <c r="F2674" s="92"/>
      <c r="G2674">
        <f>+IF(dHdcp[[#This Row],[Fecha]]=MAX(dHdcp[Fecha]),1,0)</f>
        <v>0</v>
      </c>
      <c r="H2674" t="str">
        <f>+dHdcp[[#This Row],[Maximo]]&amp;":"&amp;dHdcp[[#This Row],[Nombre]]</f>
        <v>0:Carlos Maestro</v>
      </c>
      <c r="I2674" t="str">
        <f>+dHdcp[[#This Row],[Maximo]]&amp;":"&amp;_xlfn.XLOOKUP(dHdcp[[#This Row],[Nombre]],dJugador[Nombre],dJugador[Mote],"",0)</f>
        <v>0:Carlitos</v>
      </c>
      <c r="J2674" t="str">
        <f>+IF(dHdcp[[#This Row],[Maximo]]=0,"",_xlfn.RANK.EQ(dHdcp[[#This Row],[Handicap]],dHdcp[Handicap],1))</f>
        <v/>
      </c>
      <c r="K2674" t="str">
        <f>IFERROR(+_xlfn.RANK.EQ(dHdcp[[#This Row],[Ranking]],dHdcp[Ranking],1),"")</f>
        <v/>
      </c>
      <c r="M2674" t="str">
        <f>+dHdcp[[#This Row],[Fecha]]&amp;":"&amp;dHdcp[[#This Row],[Nombre]]</f>
        <v>45851:Carlos Maestro</v>
      </c>
      <c r="N2674">
        <f>+COUNTIF(dHdcp[Columna1],dHdcp[[#This Row],[Columna1]])</f>
        <v>1</v>
      </c>
    </row>
    <row r="2675" spans="1:14">
      <c r="A2675" s="2">
        <v>45851</v>
      </c>
      <c r="B2675" t="s">
        <v>297</v>
      </c>
      <c r="C2675" s="51">
        <v>17.5</v>
      </c>
      <c r="D2675" s="46">
        <f>+VLOOKUP(dHdcp[[#This Row],[Handicap]],'Categoría Hdcap'!$B$2:$E$7,4)</f>
        <v>3</v>
      </c>
      <c r="E2675" t="s">
        <v>74</v>
      </c>
      <c r="F2675" s="92"/>
      <c r="G2675">
        <f>+IF(dHdcp[[#This Row],[Fecha]]=MAX(dHdcp[Fecha]),1,0)</f>
        <v>0</v>
      </c>
      <c r="H2675" t="str">
        <f>+dHdcp[[#This Row],[Maximo]]&amp;":"&amp;dHdcp[[#This Row],[Nombre]]</f>
        <v>0:Jorge Alberto Martínez Sánchez</v>
      </c>
      <c r="I2675" t="str">
        <f>+dHdcp[[#This Row],[Maximo]]&amp;":"&amp;_xlfn.XLOOKUP(dHdcp[[#This Row],[Nombre]],dJugador[Nombre],dJugador[Mote],"",0)</f>
        <v>0:Jorge</v>
      </c>
      <c r="J2675" t="str">
        <f>+IF(dHdcp[[#This Row],[Maximo]]=0,"",_xlfn.RANK.EQ(dHdcp[[#This Row],[Handicap]],dHdcp[Handicap],1))</f>
        <v/>
      </c>
      <c r="K2675" t="str">
        <f>IFERROR(+_xlfn.RANK.EQ(dHdcp[[#This Row],[Ranking]],dHdcp[Ranking],1),"")</f>
        <v/>
      </c>
      <c r="M2675" t="str">
        <f>+dHdcp[[#This Row],[Fecha]]&amp;":"&amp;dHdcp[[#This Row],[Nombre]]</f>
        <v>45851:Jorge Alberto Martínez Sánchez</v>
      </c>
      <c r="N2675">
        <f>+COUNTIF(dHdcp[Columna1],dHdcp[[#This Row],[Columna1]])</f>
        <v>1</v>
      </c>
    </row>
    <row r="2676" spans="1:14">
      <c r="A2676" s="2">
        <v>45851</v>
      </c>
      <c r="B2676" t="s">
        <v>326</v>
      </c>
      <c r="C2676" s="51">
        <v>7.9</v>
      </c>
      <c r="D2676" s="46">
        <f>+VLOOKUP(dHdcp[[#This Row],[Handicap]],'Categoría Hdcap'!$B$2:$E$7,4)</f>
        <v>2</v>
      </c>
      <c r="E2676" t="s">
        <v>74</v>
      </c>
      <c r="F2676" s="92"/>
      <c r="G2676">
        <f>+IF(dHdcp[[#This Row],[Fecha]]=MAX(dHdcp[Fecha]),1,0)</f>
        <v>0</v>
      </c>
      <c r="H2676" t="str">
        <f>+dHdcp[[#This Row],[Maximo]]&amp;":"&amp;dHdcp[[#This Row],[Nombre]]</f>
        <v>0:Eduardo Buendía</v>
      </c>
      <c r="I2676" t="str">
        <f>+dHdcp[[#This Row],[Maximo]]&amp;":"&amp;_xlfn.XLOOKUP(dHdcp[[#This Row],[Nombre]],dJugador[Nombre],dJugador[Mote],"",0)</f>
        <v>0:Eduardo</v>
      </c>
      <c r="J2676" t="str">
        <f>+IF(dHdcp[[#This Row],[Maximo]]=0,"",_xlfn.RANK.EQ(dHdcp[[#This Row],[Handicap]],dHdcp[Handicap],1))</f>
        <v/>
      </c>
      <c r="K2676" t="str">
        <f>IFERROR(+_xlfn.RANK.EQ(dHdcp[[#This Row],[Ranking]],dHdcp[Ranking],1),"")</f>
        <v/>
      </c>
      <c r="M2676" t="str">
        <f>+dHdcp[[#This Row],[Fecha]]&amp;":"&amp;dHdcp[[#This Row],[Nombre]]</f>
        <v>45851:Eduardo Buendía</v>
      </c>
      <c r="N2676">
        <f>+COUNTIF(dHdcp[Columna1],dHdcp[[#This Row],[Columna1]])</f>
        <v>1</v>
      </c>
    </row>
    <row r="2677" spans="1:14">
      <c r="A2677" s="2">
        <v>45851</v>
      </c>
      <c r="B2677" t="s">
        <v>328</v>
      </c>
      <c r="C2677" s="51">
        <v>11.1</v>
      </c>
      <c r="D2677" s="46">
        <f>+VLOOKUP(dHdcp[[#This Row],[Handicap]],'Categoría Hdcap'!$B$2:$E$7,4)</f>
        <v>2</v>
      </c>
      <c r="E2677" t="s">
        <v>74</v>
      </c>
      <c r="F2677" s="92"/>
      <c r="G2677">
        <f>+IF(dHdcp[[#This Row],[Fecha]]=MAX(dHdcp[Fecha]),1,0)</f>
        <v>0</v>
      </c>
      <c r="H2677" t="str">
        <f>+dHdcp[[#This Row],[Maximo]]&amp;":"&amp;dHdcp[[#This Row],[Nombre]]</f>
        <v>0:Javier Arcos</v>
      </c>
      <c r="I2677" t="str">
        <f>+dHdcp[[#This Row],[Maximo]]&amp;":"&amp;_xlfn.XLOOKUP(dHdcp[[#This Row],[Nombre]],dJugador[Nombre],dJugador[Mote],"",0)</f>
        <v>0:J.Arcos</v>
      </c>
      <c r="J2677" t="str">
        <f>+IF(dHdcp[[#This Row],[Maximo]]=0,"",_xlfn.RANK.EQ(dHdcp[[#This Row],[Handicap]],dHdcp[Handicap],1))</f>
        <v/>
      </c>
      <c r="K2677" t="str">
        <f>IFERROR(+_xlfn.RANK.EQ(dHdcp[[#This Row],[Ranking]],dHdcp[Ranking],1),"")</f>
        <v/>
      </c>
      <c r="M2677" t="str">
        <f>+dHdcp[[#This Row],[Fecha]]&amp;":"&amp;dHdcp[[#This Row],[Nombre]]</f>
        <v>45851:Javier Arcos</v>
      </c>
      <c r="N2677">
        <f>+COUNTIF(dHdcp[Columna1],dHdcp[[#This Row],[Columna1]])</f>
        <v>1</v>
      </c>
    </row>
    <row r="2678" spans="1:14">
      <c r="A2678" s="2">
        <v>45851</v>
      </c>
      <c r="B2678" t="s">
        <v>375</v>
      </c>
      <c r="C2678" s="51">
        <v>11.8</v>
      </c>
      <c r="D2678" s="46">
        <f>+VLOOKUP(dHdcp[[#This Row],[Handicap]],'Categoría Hdcap'!$B$2:$E$7,4)</f>
        <v>3</v>
      </c>
      <c r="E2678" t="s">
        <v>74</v>
      </c>
      <c r="F2678" s="92"/>
      <c r="G2678">
        <f>+IF(dHdcp[[#This Row],[Fecha]]=MAX(dHdcp[Fecha]),1,0)</f>
        <v>0</v>
      </c>
      <c r="H2678" t="str">
        <f>+dHdcp[[#This Row],[Maximo]]&amp;":"&amp;dHdcp[[#This Row],[Nombre]]</f>
        <v>0:Luis Fernandez</v>
      </c>
      <c r="I2678" t="str">
        <f>+dHdcp[[#This Row],[Maximo]]&amp;":"&amp;_xlfn.XLOOKUP(dHdcp[[#This Row],[Nombre]],dJugador[Nombre],dJugador[Mote],"",0)</f>
        <v>0:Luis</v>
      </c>
      <c r="J2678" t="str">
        <f>+IF(dHdcp[[#This Row],[Maximo]]=0,"",_xlfn.RANK.EQ(dHdcp[[#This Row],[Handicap]],dHdcp[Handicap],1))</f>
        <v/>
      </c>
      <c r="K2678" t="str">
        <f>IFERROR(+_xlfn.RANK.EQ(dHdcp[[#This Row],[Ranking]],dHdcp[Ranking],1),"")</f>
        <v/>
      </c>
      <c r="M2678" t="str">
        <f>+dHdcp[[#This Row],[Fecha]]&amp;":"&amp;dHdcp[[#This Row],[Nombre]]</f>
        <v>45851:Luis Fernandez</v>
      </c>
      <c r="N2678">
        <f>+COUNTIF(dHdcp[Columna1],dHdcp[[#This Row],[Columna1]])</f>
        <v>1</v>
      </c>
    </row>
    <row r="2679" spans="1:14">
      <c r="A2679" s="2">
        <v>45851</v>
      </c>
      <c r="B2679" t="s">
        <v>388</v>
      </c>
      <c r="C2679" s="51">
        <v>24.4</v>
      </c>
      <c r="D2679" s="46">
        <f>+VLOOKUP(dHdcp[[#This Row],[Handicap]],'Categoría Hdcap'!$B$2:$E$7,4)</f>
        <v>4</v>
      </c>
      <c r="E2679" t="s">
        <v>74</v>
      </c>
      <c r="F2679" s="92"/>
      <c r="G2679">
        <f>+IF(dHdcp[[#This Row],[Fecha]]=MAX(dHdcp[Fecha]),1,0)</f>
        <v>0</v>
      </c>
      <c r="H2679" t="str">
        <f>+dHdcp[[#This Row],[Maximo]]&amp;":"&amp;dHdcp[[#This Row],[Nombre]]</f>
        <v>0:Jose Antonio Santana</v>
      </c>
      <c r="I2679" t="str">
        <f>+dHdcp[[#This Row],[Maximo]]&amp;":"&amp;_xlfn.XLOOKUP(dHdcp[[#This Row],[Nombre]],dJugador[Nombre],dJugador[Mote],"",0)</f>
        <v>0:J Antonio</v>
      </c>
      <c r="J2679" t="str">
        <f>+IF(dHdcp[[#This Row],[Maximo]]=0,"",_xlfn.RANK.EQ(dHdcp[[#This Row],[Handicap]],dHdcp[Handicap],1))</f>
        <v/>
      </c>
      <c r="K2679" t="str">
        <f>IFERROR(+_xlfn.RANK.EQ(dHdcp[[#This Row],[Ranking]],dHdcp[Ranking],1),"")</f>
        <v/>
      </c>
      <c r="M2679" t="str">
        <f>+dHdcp[[#This Row],[Fecha]]&amp;":"&amp;dHdcp[[#This Row],[Nombre]]</f>
        <v>45851:Jose Antonio Santana</v>
      </c>
      <c r="N2679">
        <f>+COUNTIF(dHdcp[Columna1],dHdcp[[#This Row],[Columna1]])</f>
        <v>1</v>
      </c>
    </row>
    <row r="2680" spans="1:14">
      <c r="A2680" s="2">
        <v>45851</v>
      </c>
      <c r="B2680" t="s">
        <v>2469</v>
      </c>
      <c r="C2680" s="51">
        <v>4.2</v>
      </c>
      <c r="D2680" s="46">
        <f>+VLOOKUP(dHdcp[[#This Row],[Handicap]],'Categoría Hdcap'!$B$2:$E$7,4)</f>
        <v>1</v>
      </c>
      <c r="E2680" t="s">
        <v>74</v>
      </c>
      <c r="F2680" s="92"/>
      <c r="G2680">
        <f>+IF(dHdcp[[#This Row],[Fecha]]=MAX(dHdcp[Fecha]),1,0)</f>
        <v>0</v>
      </c>
      <c r="H2680" t="str">
        <f>+dHdcp[[#This Row],[Maximo]]&amp;":"&amp;dHdcp[[#This Row],[Nombre]]</f>
        <v>0:Angel Santana</v>
      </c>
      <c r="I2680" t="str">
        <f>+dHdcp[[#This Row],[Maximo]]&amp;":"&amp;_xlfn.XLOOKUP(dHdcp[[#This Row],[Nombre]],dJugador[Nombre],dJugador[Mote],"",0)</f>
        <v>0:A.Santana</v>
      </c>
      <c r="J2680" t="str">
        <f>+IF(dHdcp[[#This Row],[Maximo]]=0,"",_xlfn.RANK.EQ(dHdcp[[#This Row],[Handicap]],dHdcp[Handicap],1))</f>
        <v/>
      </c>
      <c r="K2680" t="str">
        <f>IFERROR(+_xlfn.RANK.EQ(dHdcp[[#This Row],[Ranking]],dHdcp[Ranking],1),"")</f>
        <v/>
      </c>
      <c r="M2680" t="str">
        <f>+dHdcp[[#This Row],[Fecha]]&amp;":"&amp;dHdcp[[#This Row],[Nombre]]</f>
        <v>45851:Angel Santana</v>
      </c>
      <c r="N2680">
        <f>+COUNTIF(dHdcp[Columna1],dHdcp[[#This Row],[Columna1]])</f>
        <v>1</v>
      </c>
    </row>
    <row r="2681" spans="1:14">
      <c r="A2681" s="2">
        <v>45851</v>
      </c>
      <c r="B2681" t="s">
        <v>2473</v>
      </c>
      <c r="C2681" s="51">
        <v>16.2</v>
      </c>
      <c r="D2681" s="46">
        <f>+VLOOKUP(dHdcp[[#This Row],[Handicap]],'Categoría Hdcap'!$B$2:$E$7,4)</f>
        <v>3</v>
      </c>
      <c r="E2681" t="s">
        <v>74</v>
      </c>
      <c r="F2681" s="92"/>
      <c r="G2681">
        <f>+IF(dHdcp[[#This Row],[Fecha]]=MAX(dHdcp[Fecha]),1,0)</f>
        <v>0</v>
      </c>
      <c r="H2681" t="str">
        <f>+dHdcp[[#This Row],[Maximo]]&amp;":"&amp;dHdcp[[#This Row],[Nombre]]</f>
        <v>0:Thomas Dauterman</v>
      </c>
      <c r="I2681" t="str">
        <f>+dHdcp[[#This Row],[Maximo]]&amp;":"&amp;_xlfn.XLOOKUP(dHdcp[[#This Row],[Nombre]],dJugador[Nombre],dJugador[Mote],"",0)</f>
        <v>0:Tom</v>
      </c>
      <c r="J2681" t="str">
        <f>+IF(dHdcp[[#This Row],[Maximo]]=0,"",_xlfn.RANK.EQ(dHdcp[[#This Row],[Handicap]],dHdcp[Handicap],1))</f>
        <v/>
      </c>
      <c r="K2681" t="str">
        <f>IFERROR(+_xlfn.RANK.EQ(dHdcp[[#This Row],[Ranking]],dHdcp[Ranking],1),"")</f>
        <v/>
      </c>
      <c r="M2681" t="str">
        <f>+dHdcp[[#This Row],[Fecha]]&amp;":"&amp;dHdcp[[#This Row],[Nombre]]</f>
        <v>45851:Thomas Dauterman</v>
      </c>
      <c r="N2681">
        <f>+COUNTIF(dHdcp[Columna1],dHdcp[[#This Row],[Columna1]])</f>
        <v>1</v>
      </c>
    </row>
    <row r="2682" spans="1:14">
      <c r="A2682" s="2">
        <v>45851</v>
      </c>
      <c r="B2682" t="s">
        <v>2516</v>
      </c>
      <c r="C2682" s="51">
        <v>17.8</v>
      </c>
      <c r="D2682" s="46">
        <f>+VLOOKUP(dHdcp[[#This Row],[Handicap]],'Categoría Hdcap'!$B$2:$E$7,4)</f>
        <v>3</v>
      </c>
      <c r="E2682" t="s">
        <v>74</v>
      </c>
      <c r="F2682" s="92"/>
      <c r="G2682">
        <f>+IF(dHdcp[[#This Row],[Fecha]]=MAX(dHdcp[Fecha]),1,0)</f>
        <v>0</v>
      </c>
      <c r="H2682" t="str">
        <f>+dHdcp[[#This Row],[Maximo]]&amp;":"&amp;dHdcp[[#This Row],[Nombre]]</f>
        <v>0:Juan Sanz</v>
      </c>
      <c r="I2682" t="str">
        <f>+dHdcp[[#This Row],[Maximo]]&amp;":"&amp;_xlfn.XLOOKUP(dHdcp[[#This Row],[Nombre]],dJugador[Nombre],dJugador[Mote],"",0)</f>
        <v>0:JuanSanz</v>
      </c>
      <c r="J2682" t="str">
        <f>+IF(dHdcp[[#This Row],[Maximo]]=0,"",_xlfn.RANK.EQ(dHdcp[[#This Row],[Handicap]],dHdcp[Handicap],1))</f>
        <v/>
      </c>
      <c r="K2682" t="str">
        <f>IFERROR(+_xlfn.RANK.EQ(dHdcp[[#This Row],[Ranking]],dHdcp[Ranking],1),"")</f>
        <v/>
      </c>
      <c r="M2682" t="str">
        <f>+dHdcp[[#This Row],[Fecha]]&amp;":"&amp;dHdcp[[#This Row],[Nombre]]</f>
        <v>45851:Juan Sanz</v>
      </c>
      <c r="N2682">
        <f>+COUNTIF(dHdcp[Columna1],dHdcp[[#This Row],[Columna1]])</f>
        <v>1</v>
      </c>
    </row>
    <row r="2683" spans="1:14">
      <c r="A2683" s="2">
        <v>45851</v>
      </c>
      <c r="B2683" t="s">
        <v>2561</v>
      </c>
      <c r="C2683" s="51">
        <v>20.7</v>
      </c>
      <c r="D2683" s="46">
        <f>+VLOOKUP(dHdcp[[#This Row],[Handicap]],'Categoría Hdcap'!$B$2:$E$7,4)</f>
        <v>4</v>
      </c>
      <c r="E2683" t="s">
        <v>74</v>
      </c>
      <c r="F2683" s="92"/>
      <c r="G2683">
        <f>+IF(dHdcp[[#This Row],[Fecha]]=MAX(dHdcp[Fecha]),1,0)</f>
        <v>0</v>
      </c>
      <c r="H2683" t="str">
        <f>+dHdcp[[#This Row],[Maximo]]&amp;":"&amp;dHdcp[[#This Row],[Nombre]]</f>
        <v>0:Joaquín Sánchez</v>
      </c>
      <c r="I2683" t="str">
        <f>+dHdcp[[#This Row],[Maximo]]&amp;":"&amp;_xlfn.XLOOKUP(dHdcp[[#This Row],[Nombre]],dJugador[Nombre],dJugador[Mote],"",0)</f>
        <v>0:Joaco</v>
      </c>
      <c r="J2683" t="str">
        <f>+IF(dHdcp[[#This Row],[Maximo]]=0,"",_xlfn.RANK.EQ(dHdcp[[#This Row],[Handicap]],dHdcp[Handicap],1))</f>
        <v/>
      </c>
      <c r="K2683" t="str">
        <f>IFERROR(+_xlfn.RANK.EQ(dHdcp[[#This Row],[Ranking]],dHdcp[Ranking],1),"")</f>
        <v/>
      </c>
      <c r="M2683" t="str">
        <f>+dHdcp[[#This Row],[Fecha]]&amp;":"&amp;dHdcp[[#This Row],[Nombre]]</f>
        <v>45851:Joaquín Sánchez</v>
      </c>
      <c r="N2683">
        <f>+COUNTIF(dHdcp[Columna1],dHdcp[[#This Row],[Columna1]])</f>
        <v>1</v>
      </c>
    </row>
    <row r="2684" spans="1:14">
      <c r="A2684" s="2">
        <v>45851</v>
      </c>
      <c r="B2684" t="s">
        <v>2603</v>
      </c>
      <c r="C2684" s="51">
        <v>8</v>
      </c>
      <c r="D2684" s="46">
        <f>+VLOOKUP(dHdcp[[#This Row],[Handicap]],'Categoría Hdcap'!$B$2:$E$7,4)</f>
        <v>2</v>
      </c>
      <c r="E2684" t="s">
        <v>74</v>
      </c>
      <c r="F2684" s="92"/>
      <c r="G2684">
        <f>+IF(dHdcp[[#This Row],[Fecha]]=MAX(dHdcp[Fecha]),1,0)</f>
        <v>0</v>
      </c>
      <c r="H2684" t="str">
        <f>+dHdcp[[#This Row],[Maximo]]&amp;":"&amp;dHdcp[[#This Row],[Nombre]]</f>
        <v>0:Miguel Angel Aguilera</v>
      </c>
      <c r="I2684" t="str">
        <f>+dHdcp[[#This Row],[Maximo]]&amp;":"&amp;_xlfn.XLOOKUP(dHdcp[[#This Row],[Nombre]],dJugador[Nombre],dJugador[Mote],"",0)</f>
        <v>0:M Angel</v>
      </c>
      <c r="J2684" t="str">
        <f>+IF(dHdcp[[#This Row],[Maximo]]=0,"",_xlfn.RANK.EQ(dHdcp[[#This Row],[Handicap]],dHdcp[Handicap],1))</f>
        <v/>
      </c>
      <c r="K2684" t="str">
        <f>IFERROR(+_xlfn.RANK.EQ(dHdcp[[#This Row],[Ranking]],dHdcp[Ranking],1),"")</f>
        <v/>
      </c>
      <c r="M2684" t="str">
        <f>+dHdcp[[#This Row],[Fecha]]&amp;":"&amp;dHdcp[[#This Row],[Nombre]]</f>
        <v>45851:Miguel Angel Aguilera</v>
      </c>
      <c r="N2684">
        <f>+COUNTIF(dHdcp[Columna1],dHdcp[[#This Row],[Columna1]])</f>
        <v>1</v>
      </c>
    </row>
    <row r="2685" spans="1:14">
      <c r="A2685" s="2">
        <v>45851</v>
      </c>
      <c r="B2685" t="s">
        <v>2606</v>
      </c>
      <c r="C2685" s="51">
        <v>9.8000000000000007</v>
      </c>
      <c r="D2685" s="46">
        <f>+VLOOKUP(dHdcp[[#This Row],[Handicap]],'Categoría Hdcap'!$B$2:$E$7,4)</f>
        <v>2</v>
      </c>
      <c r="E2685" t="s">
        <v>74</v>
      </c>
      <c r="F2685" s="92"/>
      <c r="G2685">
        <f>+IF(dHdcp[[#This Row],[Fecha]]=MAX(dHdcp[Fecha]),1,0)</f>
        <v>0</v>
      </c>
      <c r="H2685" t="str">
        <f>+dHdcp[[#This Row],[Maximo]]&amp;":"&amp;dHdcp[[#This Row],[Nombre]]</f>
        <v>0:Jaime de la Cal</v>
      </c>
      <c r="I2685" t="str">
        <f>+dHdcp[[#This Row],[Maximo]]&amp;":"&amp;_xlfn.XLOOKUP(dHdcp[[#This Row],[Nombre]],dJugador[Nombre],dJugador[Mote],"",0)</f>
        <v>0:Jaime</v>
      </c>
      <c r="J2685" t="str">
        <f>+IF(dHdcp[[#This Row],[Maximo]]=0,"",_xlfn.RANK.EQ(dHdcp[[#This Row],[Handicap]],dHdcp[Handicap],1))</f>
        <v/>
      </c>
      <c r="K2685" t="str">
        <f>IFERROR(+_xlfn.RANK.EQ(dHdcp[[#This Row],[Ranking]],dHdcp[Ranking],1),"")</f>
        <v/>
      </c>
      <c r="M2685" t="str">
        <f>+dHdcp[[#This Row],[Fecha]]&amp;":"&amp;dHdcp[[#This Row],[Nombre]]</f>
        <v>45851:Jaime de la Cal</v>
      </c>
      <c r="N2685">
        <f>+COUNTIF(dHdcp[Columna1],dHdcp[[#This Row],[Columna1]])</f>
        <v>1</v>
      </c>
    </row>
    <row r="2686" spans="1:14">
      <c r="A2686" s="2">
        <v>45920</v>
      </c>
      <c r="B2686" t="s">
        <v>3</v>
      </c>
      <c r="C2686" s="51">
        <v>5</v>
      </c>
      <c r="D2686" s="46">
        <f>+VLOOKUP(dHdcp[[#This Row],[Handicap]],'Categoría Hdcap'!$B$2:$E$7,4)</f>
        <v>2</v>
      </c>
      <c r="E2686" t="s">
        <v>74</v>
      </c>
      <c r="F2686" s="92"/>
      <c r="G2686">
        <f>+IF(dHdcp[[#This Row],[Fecha]]=MAX(dHdcp[Fecha]),1,0)</f>
        <v>0</v>
      </c>
      <c r="H2686" t="str">
        <f>+dHdcp[[#This Row],[Maximo]]&amp;":"&amp;dHdcp[[#This Row],[Nombre]]</f>
        <v>0:Nacho Gonzalez</v>
      </c>
      <c r="I2686" t="str">
        <f>+dHdcp[[#This Row],[Maximo]]&amp;":"&amp;_xlfn.XLOOKUP(dHdcp[[#This Row],[Nombre]],dJugador[Nombre],dJugador[Mote],"",0)</f>
        <v>0:Nacho</v>
      </c>
      <c r="J2686" t="str">
        <f>+IF(dHdcp[[#This Row],[Maximo]]=0,"",_xlfn.RANK.EQ(dHdcp[[#This Row],[Handicap]],dHdcp[Handicap],1))</f>
        <v/>
      </c>
      <c r="K2686" t="str">
        <f>IFERROR(+_xlfn.RANK.EQ(dHdcp[[#This Row],[Ranking]],dHdcp[Ranking],1),"")</f>
        <v/>
      </c>
      <c r="M2686" t="str">
        <f>+dHdcp[[#This Row],[Fecha]]&amp;":"&amp;dHdcp[[#This Row],[Nombre]]</f>
        <v>45920:Nacho Gonzalez</v>
      </c>
      <c r="N2686">
        <f>+COUNTIF(dHdcp[Columna1],dHdcp[[#This Row],[Columna1]])</f>
        <v>1</v>
      </c>
    </row>
    <row r="2687" spans="1:14">
      <c r="A2687" s="2">
        <v>45920</v>
      </c>
      <c r="B2687" t="s">
        <v>6</v>
      </c>
      <c r="C2687" s="51">
        <v>6.4</v>
      </c>
      <c r="D2687" s="46">
        <f>+VLOOKUP(dHdcp[[#This Row],[Handicap]],'Categoría Hdcap'!$B$2:$E$7,4)</f>
        <v>2</v>
      </c>
      <c r="E2687" t="s">
        <v>74</v>
      </c>
      <c r="F2687" s="92"/>
      <c r="G2687">
        <f>+IF(dHdcp[[#This Row],[Fecha]]=MAX(dHdcp[Fecha]),1,0)</f>
        <v>0</v>
      </c>
      <c r="H2687" t="str">
        <f>+dHdcp[[#This Row],[Maximo]]&amp;":"&amp;dHdcp[[#This Row],[Nombre]]</f>
        <v>0:Ignacio Cadarso</v>
      </c>
      <c r="I2687" t="str">
        <f>+dHdcp[[#This Row],[Maximo]]&amp;":"&amp;_xlfn.XLOOKUP(dHdcp[[#This Row],[Nombre]],dJugador[Nombre],dJugador[Mote],"",0)</f>
        <v>0:Ignacio</v>
      </c>
      <c r="J2687" t="str">
        <f>+IF(dHdcp[[#This Row],[Maximo]]=0,"",_xlfn.RANK.EQ(dHdcp[[#This Row],[Handicap]],dHdcp[Handicap],1))</f>
        <v/>
      </c>
      <c r="K2687" t="str">
        <f>IFERROR(+_xlfn.RANK.EQ(dHdcp[[#This Row],[Ranking]],dHdcp[Ranking],1),"")</f>
        <v/>
      </c>
      <c r="M2687" t="str">
        <f>+dHdcp[[#This Row],[Fecha]]&amp;":"&amp;dHdcp[[#This Row],[Nombre]]</f>
        <v>45920:Ignacio Cadarso</v>
      </c>
      <c r="N2687">
        <f>+COUNTIF(dHdcp[Columna1],dHdcp[[#This Row],[Columna1]])</f>
        <v>1</v>
      </c>
    </row>
    <row r="2688" spans="1:14">
      <c r="A2688" s="2">
        <v>45920</v>
      </c>
      <c r="B2688" t="s">
        <v>9</v>
      </c>
      <c r="C2688" s="51">
        <v>11.3</v>
      </c>
      <c r="D2688" s="46">
        <f>+VLOOKUP(dHdcp[[#This Row],[Handicap]],'Categoría Hdcap'!$B$2:$E$7,4)</f>
        <v>2</v>
      </c>
      <c r="E2688" t="s">
        <v>74</v>
      </c>
      <c r="F2688" s="92"/>
      <c r="G2688">
        <f>+IF(dHdcp[[#This Row],[Fecha]]=MAX(dHdcp[Fecha]),1,0)</f>
        <v>0</v>
      </c>
      <c r="H2688" t="str">
        <f>+dHdcp[[#This Row],[Maximo]]&amp;":"&amp;dHdcp[[#This Row],[Nombre]]</f>
        <v>0:Alfonso Hidalgo</v>
      </c>
      <c r="I2688" t="str">
        <f>+dHdcp[[#This Row],[Maximo]]&amp;":"&amp;_xlfn.XLOOKUP(dHdcp[[#This Row],[Nombre]],dJugador[Nombre],dJugador[Mote],"",0)</f>
        <v>0:Alfonso</v>
      </c>
      <c r="J2688" t="str">
        <f>+IF(dHdcp[[#This Row],[Maximo]]=0,"",_xlfn.RANK.EQ(dHdcp[[#This Row],[Handicap]],dHdcp[Handicap],1))</f>
        <v/>
      </c>
      <c r="K2688" t="str">
        <f>IFERROR(+_xlfn.RANK.EQ(dHdcp[[#This Row],[Ranking]],dHdcp[Ranking],1),"")</f>
        <v/>
      </c>
      <c r="M2688" t="str">
        <f>+dHdcp[[#This Row],[Fecha]]&amp;":"&amp;dHdcp[[#This Row],[Nombre]]</f>
        <v>45920:Alfonso Hidalgo</v>
      </c>
      <c r="N2688">
        <f>+COUNTIF(dHdcp[Columna1],dHdcp[[#This Row],[Columna1]])</f>
        <v>1</v>
      </c>
    </row>
    <row r="2689" spans="1:14">
      <c r="A2689" s="2">
        <v>45920</v>
      </c>
      <c r="B2689" t="s">
        <v>12</v>
      </c>
      <c r="C2689" s="51">
        <v>14.8</v>
      </c>
      <c r="D2689" s="46">
        <f>+VLOOKUP(dHdcp[[#This Row],[Handicap]],'Categoría Hdcap'!$B$2:$E$7,4)</f>
        <v>3</v>
      </c>
      <c r="E2689" t="s">
        <v>74</v>
      </c>
      <c r="F2689" s="92"/>
      <c r="G2689">
        <f>+IF(dHdcp[[#This Row],[Fecha]]=MAX(dHdcp[Fecha]),1,0)</f>
        <v>0</v>
      </c>
      <c r="H2689" t="str">
        <f>+dHdcp[[#This Row],[Maximo]]&amp;":"&amp;dHdcp[[#This Row],[Nombre]]</f>
        <v>0:Francisco Alvarez</v>
      </c>
      <c r="I2689" t="str">
        <f>+dHdcp[[#This Row],[Maximo]]&amp;":"&amp;_xlfn.XLOOKUP(dHdcp[[#This Row],[Nombre]],dJugador[Nombre],dJugador[Mote],"",0)</f>
        <v>0:Paco</v>
      </c>
      <c r="J2689" t="str">
        <f>+IF(dHdcp[[#This Row],[Maximo]]=0,"",_xlfn.RANK.EQ(dHdcp[[#This Row],[Handicap]],dHdcp[Handicap],1))</f>
        <v/>
      </c>
      <c r="K2689" t="str">
        <f>IFERROR(+_xlfn.RANK.EQ(dHdcp[[#This Row],[Ranking]],dHdcp[Ranking],1),"")</f>
        <v/>
      </c>
      <c r="M2689" t="str">
        <f>+dHdcp[[#This Row],[Fecha]]&amp;":"&amp;dHdcp[[#This Row],[Nombre]]</f>
        <v>45920:Francisco Alvarez</v>
      </c>
      <c r="N2689">
        <f>+COUNTIF(dHdcp[Columna1],dHdcp[[#This Row],[Columna1]])</f>
        <v>1</v>
      </c>
    </row>
    <row r="2690" spans="1:14">
      <c r="A2690" s="2">
        <v>45920</v>
      </c>
      <c r="B2690" t="s">
        <v>15</v>
      </c>
      <c r="C2690" s="51">
        <v>6.5</v>
      </c>
      <c r="D2690" s="46">
        <f>+VLOOKUP(dHdcp[[#This Row],[Handicap]],'Categoría Hdcap'!$B$2:$E$7,4)</f>
        <v>2</v>
      </c>
      <c r="E2690" t="s">
        <v>74</v>
      </c>
      <c r="F2690" s="92"/>
      <c r="G2690">
        <f>+IF(dHdcp[[#This Row],[Fecha]]=MAX(dHdcp[Fecha]),1,0)</f>
        <v>0</v>
      </c>
      <c r="H2690" t="str">
        <f>+dHdcp[[#This Row],[Maximo]]&amp;":"&amp;dHdcp[[#This Row],[Nombre]]</f>
        <v>0:Alvaro Aguirre</v>
      </c>
      <c r="I2690" t="str">
        <f>+dHdcp[[#This Row],[Maximo]]&amp;":"&amp;_xlfn.XLOOKUP(dHdcp[[#This Row],[Nombre]],dJugador[Nombre],dJugador[Mote],"",0)</f>
        <v>0:Gifu</v>
      </c>
      <c r="J2690" t="str">
        <f>+IF(dHdcp[[#This Row],[Maximo]]=0,"",_xlfn.RANK.EQ(dHdcp[[#This Row],[Handicap]],dHdcp[Handicap],1))</f>
        <v/>
      </c>
      <c r="K2690" t="str">
        <f>IFERROR(+_xlfn.RANK.EQ(dHdcp[[#This Row],[Ranking]],dHdcp[Ranking],1),"")</f>
        <v/>
      </c>
      <c r="M2690" t="str">
        <f>+dHdcp[[#This Row],[Fecha]]&amp;":"&amp;dHdcp[[#This Row],[Nombre]]</f>
        <v>45920:Alvaro Aguirre</v>
      </c>
      <c r="N2690">
        <f>+COUNTIF(dHdcp[Columna1],dHdcp[[#This Row],[Columna1]])</f>
        <v>1</v>
      </c>
    </row>
    <row r="2691" spans="1:14">
      <c r="A2691" s="2">
        <v>45920</v>
      </c>
      <c r="B2691" t="s">
        <v>18</v>
      </c>
      <c r="C2691" s="51">
        <v>7.2</v>
      </c>
      <c r="D2691" s="46">
        <f>+VLOOKUP(dHdcp[[#This Row],[Handicap]],'Categoría Hdcap'!$B$2:$E$7,4)</f>
        <v>2</v>
      </c>
      <c r="E2691" t="s">
        <v>74</v>
      </c>
      <c r="F2691" s="92"/>
      <c r="G2691">
        <f>+IF(dHdcp[[#This Row],[Fecha]]=MAX(dHdcp[Fecha]),1,0)</f>
        <v>0</v>
      </c>
      <c r="H2691" t="str">
        <f>+dHdcp[[#This Row],[Maximo]]&amp;":"&amp;dHdcp[[#This Row],[Nombre]]</f>
        <v>0:José Pablo Guil</v>
      </c>
      <c r="I2691" t="str">
        <f>+dHdcp[[#This Row],[Maximo]]&amp;":"&amp;_xlfn.XLOOKUP(dHdcp[[#This Row],[Nombre]],dJugador[Nombre],dJugador[Mote],"",0)</f>
        <v>0:JP</v>
      </c>
      <c r="J2691" t="str">
        <f>+IF(dHdcp[[#This Row],[Maximo]]=0,"",_xlfn.RANK.EQ(dHdcp[[#This Row],[Handicap]],dHdcp[Handicap],1))</f>
        <v/>
      </c>
      <c r="K2691" t="str">
        <f>IFERROR(+_xlfn.RANK.EQ(dHdcp[[#This Row],[Ranking]],dHdcp[Ranking],1),"")</f>
        <v/>
      </c>
      <c r="M2691" t="str">
        <f>+dHdcp[[#This Row],[Fecha]]&amp;":"&amp;dHdcp[[#This Row],[Nombre]]</f>
        <v>45920:José Pablo Guil</v>
      </c>
      <c r="N2691">
        <f>+COUNTIF(dHdcp[Columna1],dHdcp[[#This Row],[Columna1]])</f>
        <v>1</v>
      </c>
    </row>
    <row r="2692" spans="1:14">
      <c r="A2692" s="2">
        <v>45920</v>
      </c>
      <c r="B2692" t="s">
        <v>20</v>
      </c>
      <c r="C2692" s="51">
        <v>19.3</v>
      </c>
      <c r="D2692" s="46">
        <f>+VLOOKUP(dHdcp[[#This Row],[Handicap]],'Categoría Hdcap'!$B$2:$E$7,4)</f>
        <v>4</v>
      </c>
      <c r="E2692" t="s">
        <v>74</v>
      </c>
      <c r="F2692" s="92"/>
      <c r="G2692">
        <f>+IF(dHdcp[[#This Row],[Fecha]]=MAX(dHdcp[Fecha]),1,0)</f>
        <v>0</v>
      </c>
      <c r="H2692" t="str">
        <f>+dHdcp[[#This Row],[Maximo]]&amp;":"&amp;dHdcp[[#This Row],[Nombre]]</f>
        <v>0:Javier Gonzalez Salvador</v>
      </c>
      <c r="I2692" t="str">
        <f>+dHdcp[[#This Row],[Maximo]]&amp;":"&amp;_xlfn.XLOOKUP(dHdcp[[#This Row],[Nombre]],dJugador[Nombre],dJugador[Mote],"",0)</f>
        <v>0:Javi</v>
      </c>
      <c r="J2692" t="str">
        <f>+IF(dHdcp[[#This Row],[Maximo]]=0,"",_xlfn.RANK.EQ(dHdcp[[#This Row],[Handicap]],dHdcp[Handicap],1))</f>
        <v/>
      </c>
      <c r="K2692" t="str">
        <f>IFERROR(+_xlfn.RANK.EQ(dHdcp[[#This Row],[Ranking]],dHdcp[Ranking],1),"")</f>
        <v/>
      </c>
      <c r="M2692" t="str">
        <f>+dHdcp[[#This Row],[Fecha]]&amp;":"&amp;dHdcp[[#This Row],[Nombre]]</f>
        <v>45920:Javier Gonzalez Salvador</v>
      </c>
      <c r="N2692">
        <f>+COUNTIF(dHdcp[Columna1],dHdcp[[#This Row],[Columna1]])</f>
        <v>1</v>
      </c>
    </row>
    <row r="2693" spans="1:14">
      <c r="A2693" s="2">
        <v>45920</v>
      </c>
      <c r="B2693" t="s">
        <v>23</v>
      </c>
      <c r="C2693" s="51">
        <v>18.8</v>
      </c>
      <c r="D2693" s="46">
        <f>+VLOOKUP(dHdcp[[#This Row],[Handicap]],'Categoría Hdcap'!$B$2:$E$7,4)</f>
        <v>4</v>
      </c>
      <c r="E2693" t="s">
        <v>74</v>
      </c>
      <c r="F2693" s="92"/>
      <c r="G2693">
        <f>+IF(dHdcp[[#This Row],[Fecha]]=MAX(dHdcp[Fecha]),1,0)</f>
        <v>0</v>
      </c>
      <c r="H2693" t="str">
        <f>+dHdcp[[#This Row],[Maximo]]&amp;":"&amp;dHdcp[[#This Row],[Nombre]]</f>
        <v>0:J. Enrique Gonzalez</v>
      </c>
      <c r="I2693" t="str">
        <f>+dHdcp[[#This Row],[Maximo]]&amp;":"&amp;_xlfn.XLOOKUP(dHdcp[[#This Row],[Nombre]],dJugador[Nombre],dJugador[Mote],"",0)</f>
        <v>0:Kike</v>
      </c>
      <c r="J2693" t="str">
        <f>+IF(dHdcp[[#This Row],[Maximo]]=0,"",_xlfn.RANK.EQ(dHdcp[[#This Row],[Handicap]],dHdcp[Handicap],1))</f>
        <v/>
      </c>
      <c r="K2693" t="str">
        <f>IFERROR(+_xlfn.RANK.EQ(dHdcp[[#This Row],[Ranking]],dHdcp[Ranking],1),"")</f>
        <v/>
      </c>
      <c r="M2693" t="str">
        <f>+dHdcp[[#This Row],[Fecha]]&amp;":"&amp;dHdcp[[#This Row],[Nombre]]</f>
        <v>45920:J. Enrique Gonzalez</v>
      </c>
      <c r="N2693">
        <f>+COUNTIF(dHdcp[Columna1],dHdcp[[#This Row],[Columna1]])</f>
        <v>1</v>
      </c>
    </row>
    <row r="2694" spans="1:14">
      <c r="A2694" s="2">
        <v>45920</v>
      </c>
      <c r="B2694" t="s">
        <v>25</v>
      </c>
      <c r="C2694" s="51">
        <v>15.1</v>
      </c>
      <c r="D2694" s="46">
        <f>+VLOOKUP(dHdcp[[#This Row],[Handicap]],'Categoría Hdcap'!$B$2:$E$7,4)</f>
        <v>3</v>
      </c>
      <c r="E2694" t="s">
        <v>74</v>
      </c>
      <c r="F2694" s="92"/>
      <c r="G2694">
        <f>+IF(dHdcp[[#This Row],[Fecha]]=MAX(dHdcp[Fecha]),1,0)</f>
        <v>0</v>
      </c>
      <c r="H2694" t="str">
        <f>+dHdcp[[#This Row],[Maximo]]&amp;":"&amp;dHdcp[[#This Row],[Nombre]]</f>
        <v>0:Alvaro Nieto</v>
      </c>
      <c r="I2694" t="str">
        <f>+dHdcp[[#This Row],[Maximo]]&amp;":"&amp;_xlfn.XLOOKUP(dHdcp[[#This Row],[Nombre]],dJugador[Nombre],dJugador[Mote],"",0)</f>
        <v>0:Alvaro</v>
      </c>
      <c r="J2694" t="str">
        <f>+IF(dHdcp[[#This Row],[Maximo]]=0,"",_xlfn.RANK.EQ(dHdcp[[#This Row],[Handicap]],dHdcp[Handicap],1))</f>
        <v/>
      </c>
      <c r="K2694" t="str">
        <f>IFERROR(+_xlfn.RANK.EQ(dHdcp[[#This Row],[Ranking]],dHdcp[Ranking],1),"")</f>
        <v/>
      </c>
      <c r="M2694" t="str">
        <f>+dHdcp[[#This Row],[Fecha]]&amp;":"&amp;dHdcp[[#This Row],[Nombre]]</f>
        <v>45920:Alvaro Nieto</v>
      </c>
      <c r="N2694">
        <f>+COUNTIF(dHdcp[Columna1],dHdcp[[#This Row],[Columna1]])</f>
        <v>1</v>
      </c>
    </row>
    <row r="2695" spans="1:14">
      <c r="A2695" s="2">
        <v>45920</v>
      </c>
      <c r="B2695" t="s">
        <v>30</v>
      </c>
      <c r="C2695" s="51">
        <v>13.5</v>
      </c>
      <c r="D2695" s="46">
        <f>+VLOOKUP(dHdcp[[#This Row],[Handicap]],'Categoría Hdcap'!$B$2:$E$7,4)</f>
        <v>3</v>
      </c>
      <c r="E2695" t="s">
        <v>74</v>
      </c>
      <c r="F2695" s="92"/>
      <c r="G2695">
        <f>+IF(dHdcp[[#This Row],[Fecha]]=MAX(dHdcp[Fecha]),1,0)</f>
        <v>0</v>
      </c>
      <c r="H2695" t="str">
        <f>+dHdcp[[#This Row],[Maximo]]&amp;":"&amp;dHdcp[[#This Row],[Nombre]]</f>
        <v>0:David Sequera</v>
      </c>
      <c r="I2695" t="str">
        <f>+dHdcp[[#This Row],[Maximo]]&amp;":"&amp;_xlfn.XLOOKUP(dHdcp[[#This Row],[Nombre]],dJugador[Nombre],dJugador[Mote],"",0)</f>
        <v>0:David</v>
      </c>
      <c r="J2695" t="str">
        <f>+IF(dHdcp[[#This Row],[Maximo]]=0,"",_xlfn.RANK.EQ(dHdcp[[#This Row],[Handicap]],dHdcp[Handicap],1))</f>
        <v/>
      </c>
      <c r="K2695" t="str">
        <f>IFERROR(+_xlfn.RANK.EQ(dHdcp[[#This Row],[Ranking]],dHdcp[Ranking],1),"")</f>
        <v/>
      </c>
      <c r="M2695" t="str">
        <f>+dHdcp[[#This Row],[Fecha]]&amp;":"&amp;dHdcp[[#This Row],[Nombre]]</f>
        <v>45920:David Sequera</v>
      </c>
      <c r="N2695">
        <f>+COUNTIF(dHdcp[Columna1],dHdcp[[#This Row],[Columna1]])</f>
        <v>1</v>
      </c>
    </row>
    <row r="2696" spans="1:14">
      <c r="A2696" s="2">
        <v>45920</v>
      </c>
      <c r="B2696" t="s">
        <v>33</v>
      </c>
      <c r="C2696" s="51">
        <v>6.7</v>
      </c>
      <c r="D2696" s="46">
        <f>+VLOOKUP(dHdcp[[#This Row],[Handicap]],'Categoría Hdcap'!$B$2:$E$7,4)</f>
        <v>2</v>
      </c>
      <c r="E2696" t="s">
        <v>74</v>
      </c>
      <c r="F2696" s="92"/>
      <c r="G2696">
        <f>+IF(dHdcp[[#This Row],[Fecha]]=MAX(dHdcp[Fecha]),1,0)</f>
        <v>0</v>
      </c>
      <c r="H2696" t="str">
        <f>+dHdcp[[#This Row],[Maximo]]&amp;":"&amp;dHdcp[[#This Row],[Nombre]]</f>
        <v>0:Angel Hernandez</v>
      </c>
      <c r="I2696" t="str">
        <f>+dHdcp[[#This Row],[Maximo]]&amp;":"&amp;_xlfn.XLOOKUP(dHdcp[[#This Row],[Nombre]],dJugador[Nombre],dJugador[Mote],"",0)</f>
        <v>0:Angel</v>
      </c>
      <c r="J2696" t="str">
        <f>+IF(dHdcp[[#This Row],[Maximo]]=0,"",_xlfn.RANK.EQ(dHdcp[[#This Row],[Handicap]],dHdcp[Handicap],1))</f>
        <v/>
      </c>
      <c r="K2696" t="str">
        <f>IFERROR(+_xlfn.RANK.EQ(dHdcp[[#This Row],[Ranking]],dHdcp[Ranking],1),"")</f>
        <v/>
      </c>
      <c r="M2696" t="str">
        <f>+dHdcp[[#This Row],[Fecha]]&amp;":"&amp;dHdcp[[#This Row],[Nombre]]</f>
        <v>45920:Angel Hernandez</v>
      </c>
      <c r="N2696">
        <f>+COUNTIF(dHdcp[Columna1],dHdcp[[#This Row],[Columna1]])</f>
        <v>1</v>
      </c>
    </row>
    <row r="2697" spans="1:14">
      <c r="A2697" s="2">
        <v>45920</v>
      </c>
      <c r="B2697" t="s">
        <v>35</v>
      </c>
      <c r="C2697" s="51">
        <v>20.5</v>
      </c>
      <c r="D2697" s="46">
        <f>+VLOOKUP(dHdcp[[#This Row],[Handicap]],'Categoría Hdcap'!$B$2:$E$7,4)</f>
        <v>4</v>
      </c>
      <c r="E2697" t="s">
        <v>74</v>
      </c>
      <c r="F2697" s="92"/>
      <c r="G2697">
        <f>+IF(dHdcp[[#This Row],[Fecha]]=MAX(dHdcp[Fecha]),1,0)</f>
        <v>0</v>
      </c>
      <c r="H2697" t="str">
        <f>+dHdcp[[#This Row],[Maximo]]&amp;":"&amp;dHdcp[[#This Row],[Nombre]]</f>
        <v>0:GLEZ JUAN JOSÉ</v>
      </c>
      <c r="I2697" t="str">
        <f>+dHdcp[[#This Row],[Maximo]]&amp;":"&amp;_xlfn.XLOOKUP(dHdcp[[#This Row],[Nombre]],dJugador[Nombre],dJugador[Mote],"",0)</f>
        <v>0:Juanjo</v>
      </c>
      <c r="J2697" t="str">
        <f>+IF(dHdcp[[#This Row],[Maximo]]=0,"",_xlfn.RANK.EQ(dHdcp[[#This Row],[Handicap]],dHdcp[Handicap],1))</f>
        <v/>
      </c>
      <c r="K2697" t="str">
        <f>IFERROR(+_xlfn.RANK.EQ(dHdcp[[#This Row],[Ranking]],dHdcp[Ranking],1),"")</f>
        <v/>
      </c>
      <c r="M2697" t="str">
        <f>+dHdcp[[#This Row],[Fecha]]&amp;":"&amp;dHdcp[[#This Row],[Nombre]]</f>
        <v>45920:GLEZ JUAN JOSÉ</v>
      </c>
      <c r="N2697">
        <f>+COUNTIF(dHdcp[Columna1],dHdcp[[#This Row],[Columna1]])</f>
        <v>1</v>
      </c>
    </row>
    <row r="2698" spans="1:14">
      <c r="A2698" s="2">
        <v>45920</v>
      </c>
      <c r="B2698" t="s">
        <v>41</v>
      </c>
      <c r="C2698" s="51">
        <v>22.1</v>
      </c>
      <c r="D2698" s="46">
        <f>+VLOOKUP(dHdcp[[#This Row],[Handicap]],'Categoría Hdcap'!$B$2:$E$7,4)</f>
        <v>4</v>
      </c>
      <c r="E2698" t="s">
        <v>74</v>
      </c>
      <c r="F2698" s="92"/>
      <c r="G2698">
        <f>+IF(dHdcp[[#This Row],[Fecha]]=MAX(dHdcp[Fecha]),1,0)</f>
        <v>0</v>
      </c>
      <c r="H2698" t="str">
        <f>+dHdcp[[#This Row],[Maximo]]&amp;":"&amp;dHdcp[[#This Row],[Nombre]]</f>
        <v>0:Jesus Touceda</v>
      </c>
      <c r="I2698" t="str">
        <f>+dHdcp[[#This Row],[Maximo]]&amp;":"&amp;_xlfn.XLOOKUP(dHdcp[[#This Row],[Nombre]],dJugador[Nombre],dJugador[Mote],"",0)</f>
        <v>0:Jesús</v>
      </c>
      <c r="J2698" t="str">
        <f>+IF(dHdcp[[#This Row],[Maximo]]=0,"",_xlfn.RANK.EQ(dHdcp[[#This Row],[Handicap]],dHdcp[Handicap],1))</f>
        <v/>
      </c>
      <c r="K2698" t="str">
        <f>IFERROR(+_xlfn.RANK.EQ(dHdcp[[#This Row],[Ranking]],dHdcp[Ranking],1),"")</f>
        <v/>
      </c>
      <c r="M2698" t="str">
        <f>+dHdcp[[#This Row],[Fecha]]&amp;":"&amp;dHdcp[[#This Row],[Nombre]]</f>
        <v>45920:Jesus Touceda</v>
      </c>
      <c r="N2698">
        <f>+COUNTIF(dHdcp[Columna1],dHdcp[[#This Row],[Columna1]])</f>
        <v>1</v>
      </c>
    </row>
    <row r="2699" spans="1:14">
      <c r="A2699" s="2">
        <v>45920</v>
      </c>
      <c r="B2699" t="s">
        <v>46</v>
      </c>
      <c r="C2699" s="51">
        <v>18.8</v>
      </c>
      <c r="D2699" s="46">
        <f>+VLOOKUP(dHdcp[[#This Row],[Handicap]],'Categoría Hdcap'!$B$2:$E$7,4)</f>
        <v>4</v>
      </c>
      <c r="E2699" t="s">
        <v>74</v>
      </c>
      <c r="F2699" s="92"/>
      <c r="G2699">
        <f>+IF(dHdcp[[#This Row],[Fecha]]=MAX(dHdcp[Fecha]),1,0)</f>
        <v>0</v>
      </c>
      <c r="H2699" t="str">
        <f>+dHdcp[[#This Row],[Maximo]]&amp;":"&amp;dHdcp[[#This Row],[Nombre]]</f>
        <v>0:Javier Cervera</v>
      </c>
      <c r="I2699" t="str">
        <f>+dHdcp[[#This Row],[Maximo]]&amp;":"&amp;_xlfn.XLOOKUP(dHdcp[[#This Row],[Nombre]],dJugador[Nombre],dJugador[Mote],"",0)</f>
        <v>0:Virus</v>
      </c>
      <c r="J2699" t="str">
        <f>+IF(dHdcp[[#This Row],[Maximo]]=0,"",_xlfn.RANK.EQ(dHdcp[[#This Row],[Handicap]],dHdcp[Handicap],1))</f>
        <v/>
      </c>
      <c r="K2699" t="str">
        <f>IFERROR(+_xlfn.RANK.EQ(dHdcp[[#This Row],[Ranking]],dHdcp[Ranking],1),"")</f>
        <v/>
      </c>
      <c r="M2699" t="str">
        <f>+dHdcp[[#This Row],[Fecha]]&amp;":"&amp;dHdcp[[#This Row],[Nombre]]</f>
        <v>45920:Javier Cervera</v>
      </c>
      <c r="N2699">
        <f>+COUNTIF(dHdcp[Columna1],dHdcp[[#This Row],[Columna1]])</f>
        <v>1</v>
      </c>
    </row>
    <row r="2700" spans="1:14">
      <c r="A2700" s="2">
        <v>45920</v>
      </c>
      <c r="B2700" t="s">
        <v>49</v>
      </c>
      <c r="C2700" s="51">
        <v>14.6</v>
      </c>
      <c r="D2700" s="46">
        <f>+VLOOKUP(dHdcp[[#This Row],[Handicap]],'Categoría Hdcap'!$B$2:$E$7,4)</f>
        <v>3</v>
      </c>
      <c r="E2700" t="s">
        <v>74</v>
      </c>
      <c r="F2700" s="92"/>
      <c r="G2700">
        <f>+IF(dHdcp[[#This Row],[Fecha]]=MAX(dHdcp[Fecha]),1,0)</f>
        <v>0</v>
      </c>
      <c r="H2700" t="str">
        <f>+dHdcp[[#This Row],[Maximo]]&amp;":"&amp;dHdcp[[#This Row],[Nombre]]</f>
        <v>0:Francisco Hidalgo</v>
      </c>
      <c r="I2700" t="str">
        <f>+dHdcp[[#This Row],[Maximo]]&amp;":"&amp;_xlfn.XLOOKUP(dHdcp[[#This Row],[Nombre]],dJugador[Nombre],dJugador[Mote],"",0)</f>
        <v>0:Fran</v>
      </c>
      <c r="J2700" t="str">
        <f>+IF(dHdcp[[#This Row],[Maximo]]=0,"",_xlfn.RANK.EQ(dHdcp[[#This Row],[Handicap]],dHdcp[Handicap],1))</f>
        <v/>
      </c>
      <c r="K2700" t="str">
        <f>IFERROR(+_xlfn.RANK.EQ(dHdcp[[#This Row],[Ranking]],dHdcp[Ranking],1),"")</f>
        <v/>
      </c>
      <c r="M2700" t="str">
        <f>+dHdcp[[#This Row],[Fecha]]&amp;":"&amp;dHdcp[[#This Row],[Nombre]]</f>
        <v>45920:Francisco Hidalgo</v>
      </c>
      <c r="N2700">
        <f>+COUNTIF(dHdcp[Columna1],dHdcp[[#This Row],[Columna1]])</f>
        <v>1</v>
      </c>
    </row>
    <row r="2701" spans="1:14">
      <c r="A2701" s="2">
        <v>45920</v>
      </c>
      <c r="B2701" t="s">
        <v>135</v>
      </c>
      <c r="C2701" s="51">
        <v>19.600000000000001</v>
      </c>
      <c r="D2701" s="46">
        <f>+VLOOKUP(dHdcp[[#This Row],[Handicap]],'Categoría Hdcap'!$B$2:$E$7,4)</f>
        <v>4</v>
      </c>
      <c r="E2701" t="s">
        <v>74</v>
      </c>
      <c r="F2701" s="92"/>
      <c r="G2701">
        <f>+IF(dHdcp[[#This Row],[Fecha]]=MAX(dHdcp[Fecha]),1,0)</f>
        <v>0</v>
      </c>
      <c r="H2701" t="str">
        <f>+dHdcp[[#This Row],[Maximo]]&amp;":"&amp;dHdcp[[#This Row],[Nombre]]</f>
        <v>0:Miche Lopez</v>
      </c>
      <c r="I2701" t="str">
        <f>+dHdcp[[#This Row],[Maximo]]&amp;":"&amp;_xlfn.XLOOKUP(dHdcp[[#This Row],[Nombre]],dJugador[Nombre],dJugador[Mote],"",0)</f>
        <v>0:Miche</v>
      </c>
      <c r="J2701" t="str">
        <f>+IF(dHdcp[[#This Row],[Maximo]]=0,"",_xlfn.RANK.EQ(dHdcp[[#This Row],[Handicap]],dHdcp[Handicap],1))</f>
        <v/>
      </c>
      <c r="K2701" t="str">
        <f>IFERROR(+_xlfn.RANK.EQ(dHdcp[[#This Row],[Ranking]],dHdcp[Ranking],1),"")</f>
        <v/>
      </c>
      <c r="M2701" t="str">
        <f>+dHdcp[[#This Row],[Fecha]]&amp;":"&amp;dHdcp[[#This Row],[Nombre]]</f>
        <v>45920:Miche Lopez</v>
      </c>
      <c r="N2701">
        <f>+COUNTIF(dHdcp[Columna1],dHdcp[[#This Row],[Columna1]])</f>
        <v>1</v>
      </c>
    </row>
    <row r="2702" spans="1:14">
      <c r="A2702" s="2">
        <v>45920</v>
      </c>
      <c r="B2702" t="s">
        <v>201</v>
      </c>
      <c r="C2702" s="51">
        <v>6.1</v>
      </c>
      <c r="D2702" s="46">
        <f>+VLOOKUP(dHdcp[[#This Row],[Handicap]],'Categoría Hdcap'!$B$2:$E$7,4)</f>
        <v>2</v>
      </c>
      <c r="E2702" t="s">
        <v>74</v>
      </c>
      <c r="F2702" s="92"/>
      <c r="G2702">
        <f>+IF(dHdcp[[#This Row],[Fecha]]=MAX(dHdcp[Fecha]),1,0)</f>
        <v>0</v>
      </c>
      <c r="H2702" t="str">
        <f>+dHdcp[[#This Row],[Maximo]]&amp;":"&amp;dHdcp[[#This Row],[Nombre]]</f>
        <v>0:Alvaro Montoya</v>
      </c>
      <c r="I2702" t="str">
        <f>+dHdcp[[#This Row],[Maximo]]&amp;":"&amp;_xlfn.XLOOKUP(dHdcp[[#This Row],[Nombre]],dJugador[Nombre],dJugador[Mote],"",0)</f>
        <v>0:Monti</v>
      </c>
      <c r="J2702" t="str">
        <f>+IF(dHdcp[[#This Row],[Maximo]]=0,"",_xlfn.RANK.EQ(dHdcp[[#This Row],[Handicap]],dHdcp[Handicap],1))</f>
        <v/>
      </c>
      <c r="K2702" t="str">
        <f>IFERROR(+_xlfn.RANK.EQ(dHdcp[[#This Row],[Ranking]],dHdcp[Ranking],1),"")</f>
        <v/>
      </c>
      <c r="M2702" t="str">
        <f>+dHdcp[[#This Row],[Fecha]]&amp;":"&amp;dHdcp[[#This Row],[Nombre]]</f>
        <v>45920:Alvaro Montoya</v>
      </c>
      <c r="N2702">
        <f>+COUNTIF(dHdcp[Columna1],dHdcp[[#This Row],[Columna1]])</f>
        <v>1</v>
      </c>
    </row>
    <row r="2703" spans="1:14">
      <c r="A2703" s="2">
        <v>45920</v>
      </c>
      <c r="B2703" t="s">
        <v>203</v>
      </c>
      <c r="C2703" s="51">
        <v>17.2</v>
      </c>
      <c r="D2703" s="46">
        <f>+VLOOKUP(dHdcp[[#This Row],[Handicap]],'Categoría Hdcap'!$B$2:$E$7,4)</f>
        <v>3</v>
      </c>
      <c r="E2703" t="s">
        <v>74</v>
      </c>
      <c r="F2703" s="92"/>
      <c r="G2703">
        <f>+IF(dHdcp[[#This Row],[Fecha]]=MAX(dHdcp[Fecha]),1,0)</f>
        <v>0</v>
      </c>
      <c r="H2703" t="str">
        <f>+dHdcp[[#This Row],[Maximo]]&amp;":"&amp;dHdcp[[#This Row],[Nombre]]</f>
        <v>0:Ruslan Kochman</v>
      </c>
      <c r="I2703" t="str">
        <f>+dHdcp[[#This Row],[Maximo]]&amp;":"&amp;_xlfn.XLOOKUP(dHdcp[[#This Row],[Nombre]],dJugador[Nombre],dJugador[Mote],"",0)</f>
        <v>0:Rus</v>
      </c>
      <c r="J2703" t="str">
        <f>+IF(dHdcp[[#This Row],[Maximo]]=0,"",_xlfn.RANK.EQ(dHdcp[[#This Row],[Handicap]],dHdcp[Handicap],1))</f>
        <v/>
      </c>
      <c r="K2703" t="str">
        <f>IFERROR(+_xlfn.RANK.EQ(dHdcp[[#This Row],[Ranking]],dHdcp[Ranking],1),"")</f>
        <v/>
      </c>
      <c r="M2703" t="str">
        <f>+dHdcp[[#This Row],[Fecha]]&amp;":"&amp;dHdcp[[#This Row],[Nombre]]</f>
        <v>45920:Ruslan Kochman</v>
      </c>
      <c r="N2703">
        <f>+COUNTIF(dHdcp[Columna1],dHdcp[[#This Row],[Columna1]])</f>
        <v>1</v>
      </c>
    </row>
    <row r="2704" spans="1:14">
      <c r="A2704" s="2">
        <v>45920</v>
      </c>
      <c r="B2704" t="s">
        <v>205</v>
      </c>
      <c r="C2704" s="51">
        <v>5.2</v>
      </c>
      <c r="D2704" s="46">
        <f>+VLOOKUP(dHdcp[[#This Row],[Handicap]],'Categoría Hdcap'!$B$2:$E$7,4)</f>
        <v>2</v>
      </c>
      <c r="E2704" t="s">
        <v>74</v>
      </c>
      <c r="F2704" s="92"/>
      <c r="G2704">
        <f>+IF(dHdcp[[#This Row],[Fecha]]=MAX(dHdcp[Fecha]),1,0)</f>
        <v>0</v>
      </c>
      <c r="H2704" t="str">
        <f>+dHdcp[[#This Row],[Maximo]]&amp;":"&amp;dHdcp[[#This Row],[Nombre]]</f>
        <v>0:Nacho Casas</v>
      </c>
      <c r="I2704" t="str">
        <f>+dHdcp[[#This Row],[Maximo]]&amp;":"&amp;_xlfn.XLOOKUP(dHdcp[[#This Row],[Nombre]],dJugador[Nombre],dJugador[Mote],"",0)</f>
        <v>0:Nachete</v>
      </c>
      <c r="J2704" t="str">
        <f>+IF(dHdcp[[#This Row],[Maximo]]=0,"",_xlfn.RANK.EQ(dHdcp[[#This Row],[Handicap]],dHdcp[Handicap],1))</f>
        <v/>
      </c>
      <c r="K2704" t="str">
        <f>IFERROR(+_xlfn.RANK.EQ(dHdcp[[#This Row],[Ranking]],dHdcp[Ranking],1),"")</f>
        <v/>
      </c>
      <c r="M2704" t="str">
        <f>+dHdcp[[#This Row],[Fecha]]&amp;":"&amp;dHdcp[[#This Row],[Nombre]]</f>
        <v>45920:Nacho Casas</v>
      </c>
      <c r="N2704">
        <f>+COUNTIF(dHdcp[Columna1],dHdcp[[#This Row],[Columna1]])</f>
        <v>1</v>
      </c>
    </row>
    <row r="2705" spans="1:14">
      <c r="A2705" s="2">
        <v>45920</v>
      </c>
      <c r="B2705" t="s">
        <v>207</v>
      </c>
      <c r="C2705" s="51">
        <v>15</v>
      </c>
      <c r="D2705" s="46">
        <f>+VLOOKUP(dHdcp[[#This Row],[Handicap]],'Categoría Hdcap'!$B$2:$E$7,4)</f>
        <v>3</v>
      </c>
      <c r="E2705" t="s">
        <v>74</v>
      </c>
      <c r="F2705" s="92"/>
      <c r="G2705">
        <f>+IF(dHdcp[[#This Row],[Fecha]]=MAX(dHdcp[Fecha]),1,0)</f>
        <v>0</v>
      </c>
      <c r="H2705" t="str">
        <f>+dHdcp[[#This Row],[Maximo]]&amp;":"&amp;dHdcp[[#This Row],[Nombre]]</f>
        <v>0:Franck Benouniche</v>
      </c>
      <c r="I2705" t="str">
        <f>+dHdcp[[#This Row],[Maximo]]&amp;":"&amp;_xlfn.XLOOKUP(dHdcp[[#This Row],[Nombre]],dJugador[Nombre],dJugador[Mote],"",0)</f>
        <v>0:Franck</v>
      </c>
      <c r="J2705" t="str">
        <f>+IF(dHdcp[[#This Row],[Maximo]]=0,"",_xlfn.RANK.EQ(dHdcp[[#This Row],[Handicap]],dHdcp[Handicap],1))</f>
        <v/>
      </c>
      <c r="K2705" t="str">
        <f>IFERROR(+_xlfn.RANK.EQ(dHdcp[[#This Row],[Ranking]],dHdcp[Ranking],1),"")</f>
        <v/>
      </c>
      <c r="M2705" t="str">
        <f>+dHdcp[[#This Row],[Fecha]]&amp;":"&amp;dHdcp[[#This Row],[Nombre]]</f>
        <v>45920:Franck Benouniche</v>
      </c>
      <c r="N2705">
        <f>+COUNTIF(dHdcp[Columna1],dHdcp[[#This Row],[Columna1]])</f>
        <v>1</v>
      </c>
    </row>
    <row r="2706" spans="1:14">
      <c r="A2706" s="2">
        <v>45920</v>
      </c>
      <c r="B2706" t="s">
        <v>217</v>
      </c>
      <c r="C2706" s="51">
        <v>21.5</v>
      </c>
      <c r="D2706" s="46">
        <f>+VLOOKUP(dHdcp[[#This Row],[Handicap]],'Categoría Hdcap'!$B$2:$E$7,4)</f>
        <v>4</v>
      </c>
      <c r="E2706" t="s">
        <v>74</v>
      </c>
      <c r="F2706" s="92"/>
      <c r="G2706">
        <f>+IF(dHdcp[[#This Row],[Fecha]]=MAX(dHdcp[Fecha]),1,0)</f>
        <v>0</v>
      </c>
      <c r="H2706" t="str">
        <f>+dHdcp[[#This Row],[Maximo]]&amp;":"&amp;dHdcp[[#This Row],[Nombre]]</f>
        <v>0:Javier Lopez Gullón</v>
      </c>
      <c r="I2706" t="str">
        <f>+dHdcp[[#This Row],[Maximo]]&amp;":"&amp;_xlfn.XLOOKUP(dHdcp[[#This Row],[Nombre]],dJugador[Nombre],dJugador[Mote],"",0)</f>
        <v>0:Cuñao</v>
      </c>
      <c r="J2706" t="str">
        <f>+IF(dHdcp[[#This Row],[Maximo]]=0,"",_xlfn.RANK.EQ(dHdcp[[#This Row],[Handicap]],dHdcp[Handicap],1))</f>
        <v/>
      </c>
      <c r="K2706" t="str">
        <f>IFERROR(+_xlfn.RANK.EQ(dHdcp[[#This Row],[Ranking]],dHdcp[Ranking],1),"")</f>
        <v/>
      </c>
      <c r="M2706" t="str">
        <f>+dHdcp[[#This Row],[Fecha]]&amp;":"&amp;dHdcp[[#This Row],[Nombre]]</f>
        <v>45920:Javier Lopez Gullón</v>
      </c>
      <c r="N2706">
        <f>+COUNTIF(dHdcp[Columna1],dHdcp[[#This Row],[Columna1]])</f>
        <v>1</v>
      </c>
    </row>
    <row r="2707" spans="1:14">
      <c r="A2707" s="2">
        <v>45920</v>
      </c>
      <c r="B2707" t="s">
        <v>225</v>
      </c>
      <c r="C2707" s="51">
        <v>10.5</v>
      </c>
      <c r="D2707" s="46">
        <f>+VLOOKUP(dHdcp[[#This Row],[Handicap]],'Categoría Hdcap'!$B$2:$E$7,4)</f>
        <v>2</v>
      </c>
      <c r="E2707" t="s">
        <v>74</v>
      </c>
      <c r="F2707" s="92"/>
      <c r="G2707">
        <f>+IF(dHdcp[[#This Row],[Fecha]]=MAX(dHdcp[Fecha]),1,0)</f>
        <v>0</v>
      </c>
      <c r="H2707" t="str">
        <f>+dHdcp[[#This Row],[Maximo]]&amp;":"&amp;dHdcp[[#This Row],[Nombre]]</f>
        <v>0:Javier Chiralt</v>
      </c>
      <c r="I2707" t="str">
        <f>+dHdcp[[#This Row],[Maximo]]&amp;":"&amp;_xlfn.XLOOKUP(dHdcp[[#This Row],[Nombre]],dJugador[Nombre],dJugador[Mote],"",0)</f>
        <v>0:Chiralt</v>
      </c>
      <c r="J2707" t="str">
        <f>+IF(dHdcp[[#This Row],[Maximo]]=0,"",_xlfn.RANK.EQ(dHdcp[[#This Row],[Handicap]],dHdcp[Handicap],1))</f>
        <v/>
      </c>
      <c r="K2707" t="str">
        <f>IFERROR(+_xlfn.RANK.EQ(dHdcp[[#This Row],[Ranking]],dHdcp[Ranking],1),"")</f>
        <v/>
      </c>
      <c r="M2707" t="str">
        <f>+dHdcp[[#This Row],[Fecha]]&amp;":"&amp;dHdcp[[#This Row],[Nombre]]</f>
        <v>45920:Javier Chiralt</v>
      </c>
      <c r="N2707">
        <f>+COUNTIF(dHdcp[Columna1],dHdcp[[#This Row],[Columna1]])</f>
        <v>1</v>
      </c>
    </row>
    <row r="2708" spans="1:14">
      <c r="A2708" s="2">
        <v>45920</v>
      </c>
      <c r="B2708" t="s">
        <v>248</v>
      </c>
      <c r="C2708" s="51">
        <v>12.7</v>
      </c>
      <c r="D2708" s="46">
        <f>+VLOOKUP(dHdcp[[#This Row],[Handicap]],'Categoría Hdcap'!$B$2:$E$7,4)</f>
        <v>3</v>
      </c>
      <c r="E2708" t="s">
        <v>74</v>
      </c>
      <c r="F2708" s="92"/>
      <c r="G2708">
        <f>+IF(dHdcp[[#This Row],[Fecha]]=MAX(dHdcp[Fecha]),1,0)</f>
        <v>0</v>
      </c>
      <c r="H2708" t="str">
        <f>+dHdcp[[#This Row],[Maximo]]&amp;":"&amp;dHdcp[[#This Row],[Nombre]]</f>
        <v>0:Enrique Gonzalez R</v>
      </c>
      <c r="I2708" t="str">
        <f>+dHdcp[[#This Row],[Maximo]]&amp;":"&amp;_xlfn.XLOOKUP(dHdcp[[#This Row],[Nombre]],dJugador[Nombre],dJugador[Mote],"",0)</f>
        <v>0:Enrique</v>
      </c>
      <c r="J2708" t="str">
        <f>+IF(dHdcp[[#This Row],[Maximo]]=0,"",_xlfn.RANK.EQ(dHdcp[[#This Row],[Handicap]],dHdcp[Handicap],1))</f>
        <v/>
      </c>
      <c r="K2708" t="str">
        <f>IFERROR(+_xlfn.RANK.EQ(dHdcp[[#This Row],[Ranking]],dHdcp[Ranking],1),"")</f>
        <v/>
      </c>
      <c r="M2708" t="str">
        <f>+dHdcp[[#This Row],[Fecha]]&amp;":"&amp;dHdcp[[#This Row],[Nombre]]</f>
        <v>45920:Enrique Gonzalez R</v>
      </c>
      <c r="N2708">
        <f>+COUNTIF(dHdcp[Columna1],dHdcp[[#This Row],[Columna1]])</f>
        <v>1</v>
      </c>
    </row>
    <row r="2709" spans="1:14">
      <c r="A2709" s="2">
        <v>45920</v>
      </c>
      <c r="B2709" t="s">
        <v>259</v>
      </c>
      <c r="C2709" s="51">
        <v>2.1</v>
      </c>
      <c r="D2709" s="46">
        <f>+VLOOKUP(dHdcp[[#This Row],[Handicap]],'Categoría Hdcap'!$B$2:$E$7,4)</f>
        <v>1</v>
      </c>
      <c r="E2709" t="s">
        <v>74</v>
      </c>
      <c r="F2709" s="92"/>
      <c r="G2709">
        <f>+IF(dHdcp[[#This Row],[Fecha]]=MAX(dHdcp[Fecha]),1,0)</f>
        <v>0</v>
      </c>
      <c r="H2709" t="str">
        <f>+dHdcp[[#This Row],[Maximo]]&amp;":"&amp;dHdcp[[#This Row],[Nombre]]</f>
        <v>0:Alejandro Arcos</v>
      </c>
      <c r="I2709" t="str">
        <f>+dHdcp[[#This Row],[Maximo]]&amp;":"&amp;_xlfn.XLOOKUP(dHdcp[[#This Row],[Nombre]],dJugador[Nombre],dJugador[Mote],"",0)</f>
        <v>0:Alex</v>
      </c>
      <c r="J2709" t="str">
        <f>+IF(dHdcp[[#This Row],[Maximo]]=0,"",_xlfn.RANK.EQ(dHdcp[[#This Row],[Handicap]],dHdcp[Handicap],1))</f>
        <v/>
      </c>
      <c r="K2709" t="str">
        <f>IFERROR(+_xlfn.RANK.EQ(dHdcp[[#This Row],[Ranking]],dHdcp[Ranking],1),"")</f>
        <v/>
      </c>
      <c r="M2709" t="str">
        <f>+dHdcp[[#This Row],[Fecha]]&amp;":"&amp;dHdcp[[#This Row],[Nombre]]</f>
        <v>45920:Alejandro Arcos</v>
      </c>
      <c r="N2709">
        <f>+COUNTIF(dHdcp[Columna1],dHdcp[[#This Row],[Columna1]])</f>
        <v>1</v>
      </c>
    </row>
    <row r="2710" spans="1:14">
      <c r="A2710" s="2">
        <v>45920</v>
      </c>
      <c r="B2710" t="s">
        <v>264</v>
      </c>
      <c r="C2710" s="51">
        <v>20</v>
      </c>
      <c r="D2710" s="46">
        <f>+VLOOKUP(dHdcp[[#This Row],[Handicap]],'Categoría Hdcap'!$B$2:$E$7,4)</f>
        <v>4</v>
      </c>
      <c r="E2710" t="s">
        <v>74</v>
      </c>
      <c r="F2710" s="92"/>
      <c r="G2710">
        <f>+IF(dHdcp[[#This Row],[Fecha]]=MAX(dHdcp[Fecha]),1,0)</f>
        <v>0</v>
      </c>
      <c r="H2710" t="str">
        <f>+dHdcp[[#This Row],[Maximo]]&amp;":"&amp;dHdcp[[#This Row],[Nombre]]</f>
        <v>0:Antonio Carmona</v>
      </c>
      <c r="I2710" t="str">
        <f>+dHdcp[[#This Row],[Maximo]]&amp;":"&amp;_xlfn.XLOOKUP(dHdcp[[#This Row],[Nombre]],dJugador[Nombre],dJugador[Mote],"",0)</f>
        <v>0:Antonio</v>
      </c>
      <c r="J2710" t="str">
        <f>+IF(dHdcp[[#This Row],[Maximo]]=0,"",_xlfn.RANK.EQ(dHdcp[[#This Row],[Handicap]],dHdcp[Handicap],1))</f>
        <v/>
      </c>
      <c r="K2710" t="str">
        <f>IFERROR(+_xlfn.RANK.EQ(dHdcp[[#This Row],[Ranking]],dHdcp[Ranking],1),"")</f>
        <v/>
      </c>
      <c r="M2710" t="str">
        <f>+dHdcp[[#This Row],[Fecha]]&amp;":"&amp;dHdcp[[#This Row],[Nombre]]</f>
        <v>45920:Antonio Carmona</v>
      </c>
      <c r="N2710">
        <f>+COUNTIF(dHdcp[Columna1],dHdcp[[#This Row],[Columna1]])</f>
        <v>1</v>
      </c>
    </row>
    <row r="2711" spans="1:14">
      <c r="A2711" s="2">
        <v>45920</v>
      </c>
      <c r="B2711" t="s">
        <v>271</v>
      </c>
      <c r="C2711" s="51">
        <v>16.100000000000001</v>
      </c>
      <c r="D2711" s="46">
        <f>+VLOOKUP(dHdcp[[#This Row],[Handicap]],'Categoría Hdcap'!$B$2:$E$7,4)</f>
        <v>3</v>
      </c>
      <c r="E2711" t="s">
        <v>74</v>
      </c>
      <c r="F2711" s="92"/>
      <c r="G2711">
        <f>+IF(dHdcp[[#This Row],[Fecha]]=MAX(dHdcp[Fecha]),1,0)</f>
        <v>0</v>
      </c>
      <c r="H2711" t="str">
        <f>+dHdcp[[#This Row],[Maximo]]&amp;":"&amp;dHdcp[[#This Row],[Nombre]]</f>
        <v>0:Santi Diaz</v>
      </c>
      <c r="I2711" t="str">
        <f>+dHdcp[[#This Row],[Maximo]]&amp;":"&amp;_xlfn.XLOOKUP(dHdcp[[#This Row],[Nombre]],dJugador[Nombre],dJugador[Mote],"",0)</f>
        <v>0:Santi</v>
      </c>
      <c r="J2711" t="str">
        <f>+IF(dHdcp[[#This Row],[Maximo]]=0,"",_xlfn.RANK.EQ(dHdcp[[#This Row],[Handicap]],dHdcp[Handicap],1))</f>
        <v/>
      </c>
      <c r="K2711" t="str">
        <f>IFERROR(+_xlfn.RANK.EQ(dHdcp[[#This Row],[Ranking]],dHdcp[Ranking],1),"")</f>
        <v/>
      </c>
      <c r="M2711" t="str">
        <f>+dHdcp[[#This Row],[Fecha]]&amp;":"&amp;dHdcp[[#This Row],[Nombre]]</f>
        <v>45920:Santi Diaz</v>
      </c>
      <c r="N2711">
        <f>+COUNTIF(dHdcp[Columna1],dHdcp[[#This Row],[Columna1]])</f>
        <v>1</v>
      </c>
    </row>
    <row r="2712" spans="1:14">
      <c r="A2712" s="2">
        <v>45920</v>
      </c>
      <c r="B2712" t="s">
        <v>293</v>
      </c>
      <c r="C2712" s="51">
        <v>15.1</v>
      </c>
      <c r="D2712" s="46">
        <f>+VLOOKUP(dHdcp[[#This Row],[Handicap]],'Categoría Hdcap'!$B$2:$E$7,4)</f>
        <v>3</v>
      </c>
      <c r="E2712" t="s">
        <v>74</v>
      </c>
      <c r="F2712" s="92"/>
      <c r="G2712">
        <f>+IF(dHdcp[[#This Row],[Fecha]]=MAX(dHdcp[Fecha]),1,0)</f>
        <v>0</v>
      </c>
      <c r="H2712" t="str">
        <f>+dHdcp[[#This Row],[Maximo]]&amp;":"&amp;dHdcp[[#This Row],[Nombre]]</f>
        <v>0:Juan Jose Aguado</v>
      </c>
      <c r="I2712" t="str">
        <f>+dHdcp[[#This Row],[Maximo]]&amp;":"&amp;_xlfn.XLOOKUP(dHdcp[[#This Row],[Nombre]],dJugador[Nombre],dJugador[Mote],"",0)</f>
        <v>0:Juancho</v>
      </c>
      <c r="J2712" t="str">
        <f>+IF(dHdcp[[#This Row],[Maximo]]=0,"",_xlfn.RANK.EQ(dHdcp[[#This Row],[Handicap]],dHdcp[Handicap],1))</f>
        <v/>
      </c>
      <c r="K2712" t="str">
        <f>IFERROR(+_xlfn.RANK.EQ(dHdcp[[#This Row],[Ranking]],dHdcp[Ranking],1),"")</f>
        <v/>
      </c>
      <c r="M2712" t="str">
        <f>+dHdcp[[#This Row],[Fecha]]&amp;":"&amp;dHdcp[[#This Row],[Nombre]]</f>
        <v>45920:Juan Jose Aguado</v>
      </c>
      <c r="N2712">
        <f>+COUNTIF(dHdcp[Columna1],dHdcp[[#This Row],[Columna1]])</f>
        <v>1</v>
      </c>
    </row>
    <row r="2713" spans="1:14">
      <c r="A2713" s="2">
        <v>45920</v>
      </c>
      <c r="B2713" t="s">
        <v>291</v>
      </c>
      <c r="C2713" s="51">
        <v>1.7</v>
      </c>
      <c r="D2713" s="46">
        <f>+VLOOKUP(dHdcp[[#This Row],[Handicap]],'Categoría Hdcap'!$B$2:$E$7,4)</f>
        <v>1</v>
      </c>
      <c r="E2713" t="s">
        <v>74</v>
      </c>
      <c r="F2713" s="92"/>
      <c r="G2713">
        <f>+IF(dHdcp[[#This Row],[Fecha]]=MAX(dHdcp[Fecha]),1,0)</f>
        <v>0</v>
      </c>
      <c r="H2713" t="str">
        <f>+dHdcp[[#This Row],[Maximo]]&amp;":"&amp;dHdcp[[#This Row],[Nombre]]</f>
        <v>0:Carlos Maestro</v>
      </c>
      <c r="I2713" t="str">
        <f>+dHdcp[[#This Row],[Maximo]]&amp;":"&amp;_xlfn.XLOOKUP(dHdcp[[#This Row],[Nombre]],dJugador[Nombre],dJugador[Mote],"",0)</f>
        <v>0:Carlitos</v>
      </c>
      <c r="J2713" t="str">
        <f>+IF(dHdcp[[#This Row],[Maximo]]=0,"",_xlfn.RANK.EQ(dHdcp[[#This Row],[Handicap]],dHdcp[Handicap],1))</f>
        <v/>
      </c>
      <c r="K2713" t="str">
        <f>IFERROR(+_xlfn.RANK.EQ(dHdcp[[#This Row],[Ranking]],dHdcp[Ranking],1),"")</f>
        <v/>
      </c>
      <c r="M2713" t="str">
        <f>+dHdcp[[#This Row],[Fecha]]&amp;":"&amp;dHdcp[[#This Row],[Nombre]]</f>
        <v>45920:Carlos Maestro</v>
      </c>
      <c r="N2713">
        <f>+COUNTIF(dHdcp[Columna1],dHdcp[[#This Row],[Columna1]])</f>
        <v>1</v>
      </c>
    </row>
    <row r="2714" spans="1:14">
      <c r="A2714" s="2">
        <v>45920</v>
      </c>
      <c r="B2714" t="s">
        <v>297</v>
      </c>
      <c r="C2714" s="51">
        <v>17.5</v>
      </c>
      <c r="D2714" s="46">
        <f>+VLOOKUP(dHdcp[[#This Row],[Handicap]],'Categoría Hdcap'!$B$2:$E$7,4)</f>
        <v>3</v>
      </c>
      <c r="E2714" t="s">
        <v>74</v>
      </c>
      <c r="F2714" s="92"/>
      <c r="G2714">
        <f>+IF(dHdcp[[#This Row],[Fecha]]=MAX(dHdcp[Fecha]),1,0)</f>
        <v>0</v>
      </c>
      <c r="H2714" t="str">
        <f>+dHdcp[[#This Row],[Maximo]]&amp;":"&amp;dHdcp[[#This Row],[Nombre]]</f>
        <v>0:Jorge Alberto Martínez Sánchez</v>
      </c>
      <c r="I2714" t="str">
        <f>+dHdcp[[#This Row],[Maximo]]&amp;":"&amp;_xlfn.XLOOKUP(dHdcp[[#This Row],[Nombre]],dJugador[Nombre],dJugador[Mote],"",0)</f>
        <v>0:Jorge</v>
      </c>
      <c r="J2714" t="str">
        <f>+IF(dHdcp[[#This Row],[Maximo]]=0,"",_xlfn.RANK.EQ(dHdcp[[#This Row],[Handicap]],dHdcp[Handicap],1))</f>
        <v/>
      </c>
      <c r="K2714" t="str">
        <f>IFERROR(+_xlfn.RANK.EQ(dHdcp[[#This Row],[Ranking]],dHdcp[Ranking],1),"")</f>
        <v/>
      </c>
      <c r="M2714" t="str">
        <f>+dHdcp[[#This Row],[Fecha]]&amp;":"&amp;dHdcp[[#This Row],[Nombre]]</f>
        <v>45920:Jorge Alberto Martínez Sánchez</v>
      </c>
      <c r="N2714">
        <f>+COUNTIF(dHdcp[Columna1],dHdcp[[#This Row],[Columna1]])</f>
        <v>1</v>
      </c>
    </row>
    <row r="2715" spans="1:14">
      <c r="A2715" s="2">
        <v>45920</v>
      </c>
      <c r="B2715" t="s">
        <v>326</v>
      </c>
      <c r="C2715" s="51">
        <v>7.9</v>
      </c>
      <c r="D2715" s="46">
        <f>+VLOOKUP(dHdcp[[#This Row],[Handicap]],'Categoría Hdcap'!$B$2:$E$7,4)</f>
        <v>2</v>
      </c>
      <c r="E2715" t="s">
        <v>74</v>
      </c>
      <c r="F2715" s="92"/>
      <c r="G2715">
        <f>+IF(dHdcp[[#This Row],[Fecha]]=MAX(dHdcp[Fecha]),1,0)</f>
        <v>0</v>
      </c>
      <c r="H2715" t="str">
        <f>+dHdcp[[#This Row],[Maximo]]&amp;":"&amp;dHdcp[[#This Row],[Nombre]]</f>
        <v>0:Eduardo Buendía</v>
      </c>
      <c r="I2715" t="str">
        <f>+dHdcp[[#This Row],[Maximo]]&amp;":"&amp;_xlfn.XLOOKUP(dHdcp[[#This Row],[Nombre]],dJugador[Nombre],dJugador[Mote],"",0)</f>
        <v>0:Eduardo</v>
      </c>
      <c r="J2715" t="str">
        <f>+IF(dHdcp[[#This Row],[Maximo]]=0,"",_xlfn.RANK.EQ(dHdcp[[#This Row],[Handicap]],dHdcp[Handicap],1))</f>
        <v/>
      </c>
      <c r="K2715" t="str">
        <f>IFERROR(+_xlfn.RANK.EQ(dHdcp[[#This Row],[Ranking]],dHdcp[Ranking],1),"")</f>
        <v/>
      </c>
      <c r="M2715" t="str">
        <f>+dHdcp[[#This Row],[Fecha]]&amp;":"&amp;dHdcp[[#This Row],[Nombre]]</f>
        <v>45920:Eduardo Buendía</v>
      </c>
      <c r="N2715">
        <f>+COUNTIF(dHdcp[Columna1],dHdcp[[#This Row],[Columna1]])</f>
        <v>1</v>
      </c>
    </row>
    <row r="2716" spans="1:14">
      <c r="A2716" s="2">
        <v>45920</v>
      </c>
      <c r="B2716" t="s">
        <v>328</v>
      </c>
      <c r="C2716" s="51">
        <v>10.6</v>
      </c>
      <c r="D2716" s="46">
        <f>+VLOOKUP(dHdcp[[#This Row],[Handicap]],'Categoría Hdcap'!$B$2:$E$7,4)</f>
        <v>2</v>
      </c>
      <c r="E2716" t="s">
        <v>74</v>
      </c>
      <c r="F2716" s="92"/>
      <c r="G2716">
        <f>+IF(dHdcp[[#This Row],[Fecha]]=MAX(dHdcp[Fecha]),1,0)</f>
        <v>0</v>
      </c>
      <c r="H2716" t="str">
        <f>+dHdcp[[#This Row],[Maximo]]&amp;":"&amp;dHdcp[[#This Row],[Nombre]]</f>
        <v>0:Javier Arcos</v>
      </c>
      <c r="I2716" t="str">
        <f>+dHdcp[[#This Row],[Maximo]]&amp;":"&amp;_xlfn.XLOOKUP(dHdcp[[#This Row],[Nombre]],dJugador[Nombre],dJugador[Mote],"",0)</f>
        <v>0:J.Arcos</v>
      </c>
      <c r="J2716" t="str">
        <f>+IF(dHdcp[[#This Row],[Maximo]]=0,"",_xlfn.RANK.EQ(dHdcp[[#This Row],[Handicap]],dHdcp[Handicap],1))</f>
        <v/>
      </c>
      <c r="K2716" t="str">
        <f>IFERROR(+_xlfn.RANK.EQ(dHdcp[[#This Row],[Ranking]],dHdcp[Ranking],1),"")</f>
        <v/>
      </c>
      <c r="M2716" t="str">
        <f>+dHdcp[[#This Row],[Fecha]]&amp;":"&amp;dHdcp[[#This Row],[Nombre]]</f>
        <v>45920:Javier Arcos</v>
      </c>
      <c r="N2716">
        <f>+COUNTIF(dHdcp[Columna1],dHdcp[[#This Row],[Columna1]])</f>
        <v>1</v>
      </c>
    </row>
    <row r="2717" spans="1:14">
      <c r="A2717" s="2">
        <v>45920</v>
      </c>
      <c r="B2717" t="s">
        <v>375</v>
      </c>
      <c r="C2717" s="51">
        <v>11.8</v>
      </c>
      <c r="D2717" s="46">
        <f>+VLOOKUP(dHdcp[[#This Row],[Handicap]],'Categoría Hdcap'!$B$2:$E$7,4)</f>
        <v>3</v>
      </c>
      <c r="E2717" t="s">
        <v>74</v>
      </c>
      <c r="F2717" s="92"/>
      <c r="G2717">
        <f>+IF(dHdcp[[#This Row],[Fecha]]=MAX(dHdcp[Fecha]),1,0)</f>
        <v>0</v>
      </c>
      <c r="H2717" t="str">
        <f>+dHdcp[[#This Row],[Maximo]]&amp;":"&amp;dHdcp[[#This Row],[Nombre]]</f>
        <v>0:Luis Fernandez</v>
      </c>
      <c r="I2717" t="str">
        <f>+dHdcp[[#This Row],[Maximo]]&amp;":"&amp;_xlfn.XLOOKUP(dHdcp[[#This Row],[Nombre]],dJugador[Nombre],dJugador[Mote],"",0)</f>
        <v>0:Luis</v>
      </c>
      <c r="J2717" t="str">
        <f>+IF(dHdcp[[#This Row],[Maximo]]=0,"",_xlfn.RANK.EQ(dHdcp[[#This Row],[Handicap]],dHdcp[Handicap],1))</f>
        <v/>
      </c>
      <c r="K2717" t="str">
        <f>IFERROR(+_xlfn.RANK.EQ(dHdcp[[#This Row],[Ranking]],dHdcp[Ranking],1),"")</f>
        <v/>
      </c>
      <c r="M2717" t="str">
        <f>+dHdcp[[#This Row],[Fecha]]&amp;":"&amp;dHdcp[[#This Row],[Nombre]]</f>
        <v>45920:Luis Fernandez</v>
      </c>
      <c r="N2717">
        <f>+COUNTIF(dHdcp[Columna1],dHdcp[[#This Row],[Columna1]])</f>
        <v>1</v>
      </c>
    </row>
    <row r="2718" spans="1:14">
      <c r="A2718" s="2">
        <v>45920</v>
      </c>
      <c r="B2718" t="s">
        <v>388</v>
      </c>
      <c r="C2718" s="51">
        <v>24.4</v>
      </c>
      <c r="D2718" s="46">
        <f>+VLOOKUP(dHdcp[[#This Row],[Handicap]],'Categoría Hdcap'!$B$2:$E$7,4)</f>
        <v>4</v>
      </c>
      <c r="E2718" t="s">
        <v>74</v>
      </c>
      <c r="F2718" s="92"/>
      <c r="G2718">
        <f>+IF(dHdcp[[#This Row],[Fecha]]=MAX(dHdcp[Fecha]),1,0)</f>
        <v>0</v>
      </c>
      <c r="H2718" t="str">
        <f>+dHdcp[[#This Row],[Maximo]]&amp;":"&amp;dHdcp[[#This Row],[Nombre]]</f>
        <v>0:Jose Antonio Santana</v>
      </c>
      <c r="I2718" t="str">
        <f>+dHdcp[[#This Row],[Maximo]]&amp;":"&amp;_xlfn.XLOOKUP(dHdcp[[#This Row],[Nombre]],dJugador[Nombre],dJugador[Mote],"",0)</f>
        <v>0:J Antonio</v>
      </c>
      <c r="J2718" t="str">
        <f>+IF(dHdcp[[#This Row],[Maximo]]=0,"",_xlfn.RANK.EQ(dHdcp[[#This Row],[Handicap]],dHdcp[Handicap],1))</f>
        <v/>
      </c>
      <c r="K2718" t="str">
        <f>IFERROR(+_xlfn.RANK.EQ(dHdcp[[#This Row],[Ranking]],dHdcp[Ranking],1),"")</f>
        <v/>
      </c>
      <c r="M2718" t="str">
        <f>+dHdcp[[#This Row],[Fecha]]&amp;":"&amp;dHdcp[[#This Row],[Nombre]]</f>
        <v>45920:Jose Antonio Santana</v>
      </c>
      <c r="N2718">
        <f>+COUNTIF(dHdcp[Columna1],dHdcp[[#This Row],[Columna1]])</f>
        <v>1</v>
      </c>
    </row>
    <row r="2719" spans="1:14">
      <c r="A2719" s="2">
        <v>45920</v>
      </c>
      <c r="B2719" t="s">
        <v>2469</v>
      </c>
      <c r="C2719" s="51">
        <v>4</v>
      </c>
      <c r="D2719" s="46">
        <f>+VLOOKUP(dHdcp[[#This Row],[Handicap]],'Categoría Hdcap'!$B$2:$E$7,4)</f>
        <v>1</v>
      </c>
      <c r="E2719" t="s">
        <v>74</v>
      </c>
      <c r="F2719" s="92"/>
      <c r="G2719">
        <f>+IF(dHdcp[[#This Row],[Fecha]]=MAX(dHdcp[Fecha]),1,0)</f>
        <v>0</v>
      </c>
      <c r="H2719" t="str">
        <f>+dHdcp[[#This Row],[Maximo]]&amp;":"&amp;dHdcp[[#This Row],[Nombre]]</f>
        <v>0:Angel Santana</v>
      </c>
      <c r="I2719" t="str">
        <f>+dHdcp[[#This Row],[Maximo]]&amp;":"&amp;_xlfn.XLOOKUP(dHdcp[[#This Row],[Nombre]],dJugador[Nombre],dJugador[Mote],"",0)</f>
        <v>0:A.Santana</v>
      </c>
      <c r="J2719" t="str">
        <f>+IF(dHdcp[[#This Row],[Maximo]]=0,"",_xlfn.RANK.EQ(dHdcp[[#This Row],[Handicap]],dHdcp[Handicap],1))</f>
        <v/>
      </c>
      <c r="K2719" t="str">
        <f>IFERROR(+_xlfn.RANK.EQ(dHdcp[[#This Row],[Ranking]],dHdcp[Ranking],1),"")</f>
        <v/>
      </c>
      <c r="M2719" t="str">
        <f>+dHdcp[[#This Row],[Fecha]]&amp;":"&amp;dHdcp[[#This Row],[Nombre]]</f>
        <v>45920:Angel Santana</v>
      </c>
      <c r="N2719">
        <f>+COUNTIF(dHdcp[Columna1],dHdcp[[#This Row],[Columna1]])</f>
        <v>1</v>
      </c>
    </row>
    <row r="2720" spans="1:14">
      <c r="A2720" s="2">
        <v>45920</v>
      </c>
      <c r="B2720" t="s">
        <v>2473</v>
      </c>
      <c r="C2720" s="51">
        <v>16</v>
      </c>
      <c r="D2720" s="46">
        <f>+VLOOKUP(dHdcp[[#This Row],[Handicap]],'Categoría Hdcap'!$B$2:$E$7,4)</f>
        <v>3</v>
      </c>
      <c r="E2720" t="s">
        <v>74</v>
      </c>
      <c r="F2720" s="92"/>
      <c r="G2720">
        <f>+IF(dHdcp[[#This Row],[Fecha]]=MAX(dHdcp[Fecha]),1,0)</f>
        <v>0</v>
      </c>
      <c r="H2720" t="str">
        <f>+dHdcp[[#This Row],[Maximo]]&amp;":"&amp;dHdcp[[#This Row],[Nombre]]</f>
        <v>0:Thomas Dauterman</v>
      </c>
      <c r="I2720" t="str">
        <f>+dHdcp[[#This Row],[Maximo]]&amp;":"&amp;_xlfn.XLOOKUP(dHdcp[[#This Row],[Nombre]],dJugador[Nombre],dJugador[Mote],"",0)</f>
        <v>0:Tom</v>
      </c>
      <c r="J2720" t="str">
        <f>+IF(dHdcp[[#This Row],[Maximo]]=0,"",_xlfn.RANK.EQ(dHdcp[[#This Row],[Handicap]],dHdcp[Handicap],1))</f>
        <v/>
      </c>
      <c r="K2720" t="str">
        <f>IFERROR(+_xlfn.RANK.EQ(dHdcp[[#This Row],[Ranking]],dHdcp[Ranking],1),"")</f>
        <v/>
      </c>
      <c r="M2720" t="str">
        <f>+dHdcp[[#This Row],[Fecha]]&amp;":"&amp;dHdcp[[#This Row],[Nombre]]</f>
        <v>45920:Thomas Dauterman</v>
      </c>
      <c r="N2720">
        <f>+COUNTIF(dHdcp[Columna1],dHdcp[[#This Row],[Columna1]])</f>
        <v>1</v>
      </c>
    </row>
    <row r="2721" spans="1:14">
      <c r="A2721" s="2">
        <v>45920</v>
      </c>
      <c r="B2721" t="s">
        <v>2516</v>
      </c>
      <c r="C2721" s="51">
        <v>17.8</v>
      </c>
      <c r="D2721" s="46">
        <f>+VLOOKUP(dHdcp[[#This Row],[Handicap]],'Categoría Hdcap'!$B$2:$E$7,4)</f>
        <v>3</v>
      </c>
      <c r="E2721" t="s">
        <v>74</v>
      </c>
      <c r="F2721" s="92"/>
      <c r="G2721">
        <f>+IF(dHdcp[[#This Row],[Fecha]]=MAX(dHdcp[Fecha]),1,0)</f>
        <v>0</v>
      </c>
      <c r="H2721" t="str">
        <f>+dHdcp[[#This Row],[Maximo]]&amp;":"&amp;dHdcp[[#This Row],[Nombre]]</f>
        <v>0:Juan Sanz</v>
      </c>
      <c r="I2721" t="str">
        <f>+dHdcp[[#This Row],[Maximo]]&amp;":"&amp;_xlfn.XLOOKUP(dHdcp[[#This Row],[Nombre]],dJugador[Nombre],dJugador[Mote],"",0)</f>
        <v>0:JuanSanz</v>
      </c>
      <c r="J2721" t="str">
        <f>+IF(dHdcp[[#This Row],[Maximo]]=0,"",_xlfn.RANK.EQ(dHdcp[[#This Row],[Handicap]],dHdcp[Handicap],1))</f>
        <v/>
      </c>
      <c r="K2721" t="str">
        <f>IFERROR(+_xlfn.RANK.EQ(dHdcp[[#This Row],[Ranking]],dHdcp[Ranking],1),"")</f>
        <v/>
      </c>
      <c r="M2721" t="str">
        <f>+dHdcp[[#This Row],[Fecha]]&amp;":"&amp;dHdcp[[#This Row],[Nombre]]</f>
        <v>45920:Juan Sanz</v>
      </c>
      <c r="N2721">
        <f>+COUNTIF(dHdcp[Columna1],dHdcp[[#This Row],[Columna1]])</f>
        <v>1</v>
      </c>
    </row>
    <row r="2722" spans="1:14">
      <c r="A2722" s="2">
        <v>45920</v>
      </c>
      <c r="B2722" t="s">
        <v>2561</v>
      </c>
      <c r="C2722" s="51">
        <v>20.7</v>
      </c>
      <c r="D2722" s="46">
        <f>+VLOOKUP(dHdcp[[#This Row],[Handicap]],'Categoría Hdcap'!$B$2:$E$7,4)</f>
        <v>4</v>
      </c>
      <c r="E2722" t="s">
        <v>74</v>
      </c>
      <c r="F2722" s="92"/>
      <c r="G2722">
        <f>+IF(dHdcp[[#This Row],[Fecha]]=MAX(dHdcp[Fecha]),1,0)</f>
        <v>0</v>
      </c>
      <c r="H2722" t="str">
        <f>+dHdcp[[#This Row],[Maximo]]&amp;":"&amp;dHdcp[[#This Row],[Nombre]]</f>
        <v>0:Joaquín Sánchez</v>
      </c>
      <c r="I2722" t="str">
        <f>+dHdcp[[#This Row],[Maximo]]&amp;":"&amp;_xlfn.XLOOKUP(dHdcp[[#This Row],[Nombre]],dJugador[Nombre],dJugador[Mote],"",0)</f>
        <v>0:Joaco</v>
      </c>
      <c r="J2722" t="str">
        <f>+IF(dHdcp[[#This Row],[Maximo]]=0,"",_xlfn.RANK.EQ(dHdcp[[#This Row],[Handicap]],dHdcp[Handicap],1))</f>
        <v/>
      </c>
      <c r="K2722" t="str">
        <f>IFERROR(+_xlfn.RANK.EQ(dHdcp[[#This Row],[Ranking]],dHdcp[Ranking],1),"")</f>
        <v/>
      </c>
      <c r="M2722" t="str">
        <f>+dHdcp[[#This Row],[Fecha]]&amp;":"&amp;dHdcp[[#This Row],[Nombre]]</f>
        <v>45920:Joaquín Sánchez</v>
      </c>
      <c r="N2722">
        <f>+COUNTIF(dHdcp[Columna1],dHdcp[[#This Row],[Columna1]])</f>
        <v>1</v>
      </c>
    </row>
    <row r="2723" spans="1:14">
      <c r="A2723" s="2">
        <v>45920</v>
      </c>
      <c r="B2723" t="s">
        <v>2603</v>
      </c>
      <c r="C2723" s="51">
        <v>8</v>
      </c>
      <c r="D2723" s="46">
        <f>+VLOOKUP(dHdcp[[#This Row],[Handicap]],'Categoría Hdcap'!$B$2:$E$7,4)</f>
        <v>2</v>
      </c>
      <c r="E2723" t="s">
        <v>74</v>
      </c>
      <c r="F2723" s="92"/>
      <c r="G2723">
        <f>+IF(dHdcp[[#This Row],[Fecha]]=MAX(dHdcp[Fecha]),1,0)</f>
        <v>0</v>
      </c>
      <c r="H2723" t="str">
        <f>+dHdcp[[#This Row],[Maximo]]&amp;":"&amp;dHdcp[[#This Row],[Nombre]]</f>
        <v>0:Miguel Angel Aguilera</v>
      </c>
      <c r="I2723" t="str">
        <f>+dHdcp[[#This Row],[Maximo]]&amp;":"&amp;_xlfn.XLOOKUP(dHdcp[[#This Row],[Nombre]],dJugador[Nombre],dJugador[Mote],"",0)</f>
        <v>0:M Angel</v>
      </c>
      <c r="J2723" t="str">
        <f>+IF(dHdcp[[#This Row],[Maximo]]=0,"",_xlfn.RANK.EQ(dHdcp[[#This Row],[Handicap]],dHdcp[Handicap],1))</f>
        <v/>
      </c>
      <c r="K2723" t="str">
        <f>IFERROR(+_xlfn.RANK.EQ(dHdcp[[#This Row],[Ranking]],dHdcp[Ranking],1),"")</f>
        <v/>
      </c>
      <c r="M2723" t="str">
        <f>+dHdcp[[#This Row],[Fecha]]&amp;":"&amp;dHdcp[[#This Row],[Nombre]]</f>
        <v>45920:Miguel Angel Aguilera</v>
      </c>
      <c r="N2723">
        <f>+COUNTIF(dHdcp[Columna1],dHdcp[[#This Row],[Columna1]])</f>
        <v>1</v>
      </c>
    </row>
    <row r="2724" spans="1:14">
      <c r="A2724" s="2">
        <v>45920</v>
      </c>
      <c r="B2724" t="s">
        <v>2606</v>
      </c>
      <c r="C2724" s="51">
        <v>9.8000000000000007</v>
      </c>
      <c r="D2724" s="46">
        <f>+VLOOKUP(dHdcp[[#This Row],[Handicap]],'Categoría Hdcap'!$B$2:$E$7,4)</f>
        <v>2</v>
      </c>
      <c r="E2724" t="s">
        <v>74</v>
      </c>
      <c r="F2724" s="92"/>
      <c r="G2724">
        <f>+IF(dHdcp[[#This Row],[Fecha]]=MAX(dHdcp[Fecha]),1,0)</f>
        <v>0</v>
      </c>
      <c r="H2724" t="str">
        <f>+dHdcp[[#This Row],[Maximo]]&amp;":"&amp;dHdcp[[#This Row],[Nombre]]</f>
        <v>0:Jaime de la Cal</v>
      </c>
      <c r="I2724" t="str">
        <f>+dHdcp[[#This Row],[Maximo]]&amp;":"&amp;_xlfn.XLOOKUP(dHdcp[[#This Row],[Nombre]],dJugador[Nombre],dJugador[Mote],"",0)</f>
        <v>0:Jaime</v>
      </c>
      <c r="J2724" t="str">
        <f>+IF(dHdcp[[#This Row],[Maximo]]=0,"",_xlfn.RANK.EQ(dHdcp[[#This Row],[Handicap]],dHdcp[Handicap],1))</f>
        <v/>
      </c>
      <c r="K2724" t="str">
        <f>IFERROR(+_xlfn.RANK.EQ(dHdcp[[#This Row],[Ranking]],dHdcp[Ranking],1),"")</f>
        <v/>
      </c>
      <c r="M2724" t="str">
        <f>+dHdcp[[#This Row],[Fecha]]&amp;":"&amp;dHdcp[[#This Row],[Nombre]]</f>
        <v>45920:Jaime de la Cal</v>
      </c>
      <c r="N2724">
        <f>+COUNTIF(dHdcp[Columna1],dHdcp[[#This Row],[Columna1]])</f>
        <v>1</v>
      </c>
    </row>
    <row r="2725" spans="1:14">
      <c r="A2725" s="2">
        <v>45948</v>
      </c>
      <c r="B2725" t="s">
        <v>3</v>
      </c>
      <c r="C2725" s="51">
        <v>5.0999999999999996</v>
      </c>
      <c r="D2725" s="46">
        <f>+VLOOKUP(dHdcp[[#This Row],[Handicap]],'Categoría Hdcap'!$B$2:$E$7,4)</f>
        <v>2</v>
      </c>
      <c r="E2725" t="s">
        <v>74</v>
      </c>
      <c r="F2725" s="92"/>
      <c r="G2725">
        <f>+IF(dHdcp[[#This Row],[Fecha]]=MAX(dHdcp[Fecha]),1,0)</f>
        <v>0</v>
      </c>
      <c r="H2725" t="str">
        <f>+dHdcp[[#This Row],[Maximo]]&amp;":"&amp;dHdcp[[#This Row],[Nombre]]</f>
        <v>0:Nacho Gonzalez</v>
      </c>
      <c r="I2725" t="str">
        <f>+dHdcp[[#This Row],[Maximo]]&amp;":"&amp;_xlfn.XLOOKUP(dHdcp[[#This Row],[Nombre]],dJugador[Nombre],dJugador[Mote],"",0)</f>
        <v>0:Nacho</v>
      </c>
      <c r="J2725" t="str">
        <f>+IF(dHdcp[[#This Row],[Maximo]]=0,"",_xlfn.RANK.EQ(dHdcp[[#This Row],[Handicap]],dHdcp[Handicap],1))</f>
        <v/>
      </c>
      <c r="K2725" t="str">
        <f>IFERROR(+_xlfn.RANK.EQ(dHdcp[[#This Row],[Ranking]],dHdcp[Ranking],1),"")</f>
        <v/>
      </c>
      <c r="M2725" t="str">
        <f>+dHdcp[[#This Row],[Fecha]]&amp;":"&amp;dHdcp[[#This Row],[Nombre]]</f>
        <v>45948:Nacho Gonzalez</v>
      </c>
      <c r="N2725">
        <f>+COUNTIF(dHdcp[Columna1],dHdcp[[#This Row],[Columna1]])</f>
        <v>1</v>
      </c>
    </row>
    <row r="2726" spans="1:14">
      <c r="A2726" s="2">
        <v>45948</v>
      </c>
      <c r="B2726" t="s">
        <v>6</v>
      </c>
      <c r="C2726" s="51">
        <v>6.2</v>
      </c>
      <c r="D2726" s="46">
        <f>+VLOOKUP(dHdcp[[#This Row],[Handicap]],'Categoría Hdcap'!$B$2:$E$7,4)</f>
        <v>2</v>
      </c>
      <c r="E2726" t="s">
        <v>74</v>
      </c>
      <c r="F2726" s="92"/>
      <c r="G2726">
        <f>+IF(dHdcp[[#This Row],[Fecha]]=MAX(dHdcp[Fecha]),1,0)</f>
        <v>0</v>
      </c>
      <c r="H2726" t="str">
        <f>+dHdcp[[#This Row],[Maximo]]&amp;":"&amp;dHdcp[[#This Row],[Nombre]]</f>
        <v>0:Ignacio Cadarso</v>
      </c>
      <c r="I2726" t="str">
        <f>+dHdcp[[#This Row],[Maximo]]&amp;":"&amp;_xlfn.XLOOKUP(dHdcp[[#This Row],[Nombre]],dJugador[Nombre],dJugador[Mote],"",0)</f>
        <v>0:Ignacio</v>
      </c>
      <c r="J2726" t="str">
        <f>+IF(dHdcp[[#This Row],[Maximo]]=0,"",_xlfn.RANK.EQ(dHdcp[[#This Row],[Handicap]],dHdcp[Handicap],1))</f>
        <v/>
      </c>
      <c r="K2726" t="str">
        <f>IFERROR(+_xlfn.RANK.EQ(dHdcp[[#This Row],[Ranking]],dHdcp[Ranking],1),"")</f>
        <v/>
      </c>
      <c r="M2726" t="str">
        <f>+dHdcp[[#This Row],[Fecha]]&amp;":"&amp;dHdcp[[#This Row],[Nombre]]</f>
        <v>45948:Ignacio Cadarso</v>
      </c>
      <c r="N2726">
        <f>+COUNTIF(dHdcp[Columna1],dHdcp[[#This Row],[Columna1]])</f>
        <v>1</v>
      </c>
    </row>
    <row r="2727" spans="1:14">
      <c r="A2727" s="2">
        <v>45948</v>
      </c>
      <c r="B2727" t="s">
        <v>9</v>
      </c>
      <c r="C2727" s="51">
        <v>11.5</v>
      </c>
      <c r="D2727" s="46">
        <f>+VLOOKUP(dHdcp[[#This Row],[Handicap]],'Categoría Hdcap'!$B$2:$E$7,4)</f>
        <v>3</v>
      </c>
      <c r="E2727" t="s">
        <v>74</v>
      </c>
      <c r="F2727" s="92"/>
      <c r="G2727">
        <f>+IF(dHdcp[[#This Row],[Fecha]]=MAX(dHdcp[Fecha]),1,0)</f>
        <v>0</v>
      </c>
      <c r="H2727" t="str">
        <f>+dHdcp[[#This Row],[Maximo]]&amp;":"&amp;dHdcp[[#This Row],[Nombre]]</f>
        <v>0:Alfonso Hidalgo</v>
      </c>
      <c r="I2727" t="str">
        <f>+dHdcp[[#This Row],[Maximo]]&amp;":"&amp;_xlfn.XLOOKUP(dHdcp[[#This Row],[Nombre]],dJugador[Nombre],dJugador[Mote],"",0)</f>
        <v>0:Alfonso</v>
      </c>
      <c r="J2727" t="str">
        <f>+IF(dHdcp[[#This Row],[Maximo]]=0,"",_xlfn.RANK.EQ(dHdcp[[#This Row],[Handicap]],dHdcp[Handicap],1))</f>
        <v/>
      </c>
      <c r="K2727" t="str">
        <f>IFERROR(+_xlfn.RANK.EQ(dHdcp[[#This Row],[Ranking]],dHdcp[Ranking],1),"")</f>
        <v/>
      </c>
      <c r="M2727" t="str">
        <f>+dHdcp[[#This Row],[Fecha]]&amp;":"&amp;dHdcp[[#This Row],[Nombre]]</f>
        <v>45948:Alfonso Hidalgo</v>
      </c>
      <c r="N2727">
        <f>+COUNTIF(dHdcp[Columna1],dHdcp[[#This Row],[Columna1]])</f>
        <v>1</v>
      </c>
    </row>
    <row r="2728" spans="1:14">
      <c r="A2728" s="2">
        <v>45948</v>
      </c>
      <c r="B2728" t="s">
        <v>12</v>
      </c>
      <c r="C2728" s="51">
        <v>14.8</v>
      </c>
      <c r="D2728" s="46">
        <f>+VLOOKUP(dHdcp[[#This Row],[Handicap]],'Categoría Hdcap'!$B$2:$E$7,4)</f>
        <v>3</v>
      </c>
      <c r="E2728" t="s">
        <v>74</v>
      </c>
      <c r="F2728" s="92"/>
      <c r="G2728">
        <f>+IF(dHdcp[[#This Row],[Fecha]]=MAX(dHdcp[Fecha]),1,0)</f>
        <v>0</v>
      </c>
      <c r="H2728" t="str">
        <f>+dHdcp[[#This Row],[Maximo]]&amp;":"&amp;dHdcp[[#This Row],[Nombre]]</f>
        <v>0:Francisco Alvarez</v>
      </c>
      <c r="I2728" t="str">
        <f>+dHdcp[[#This Row],[Maximo]]&amp;":"&amp;_xlfn.XLOOKUP(dHdcp[[#This Row],[Nombre]],dJugador[Nombre],dJugador[Mote],"",0)</f>
        <v>0:Paco</v>
      </c>
      <c r="J2728" t="str">
        <f>+IF(dHdcp[[#This Row],[Maximo]]=0,"",_xlfn.RANK.EQ(dHdcp[[#This Row],[Handicap]],dHdcp[Handicap],1))</f>
        <v/>
      </c>
      <c r="K2728" t="str">
        <f>IFERROR(+_xlfn.RANK.EQ(dHdcp[[#This Row],[Ranking]],dHdcp[Ranking],1),"")</f>
        <v/>
      </c>
      <c r="M2728" t="str">
        <f>+dHdcp[[#This Row],[Fecha]]&amp;":"&amp;dHdcp[[#This Row],[Nombre]]</f>
        <v>45948:Francisco Alvarez</v>
      </c>
      <c r="N2728">
        <f>+COUNTIF(dHdcp[Columna1],dHdcp[[#This Row],[Columna1]])</f>
        <v>1</v>
      </c>
    </row>
    <row r="2729" spans="1:14">
      <c r="A2729" s="2">
        <v>45948</v>
      </c>
      <c r="B2729" t="s">
        <v>15</v>
      </c>
      <c r="C2729" s="51">
        <v>6.5</v>
      </c>
      <c r="D2729" s="46">
        <f>+VLOOKUP(dHdcp[[#This Row],[Handicap]],'Categoría Hdcap'!$B$2:$E$7,4)</f>
        <v>2</v>
      </c>
      <c r="E2729" t="s">
        <v>74</v>
      </c>
      <c r="F2729" s="92"/>
      <c r="G2729">
        <f>+IF(dHdcp[[#This Row],[Fecha]]=MAX(dHdcp[Fecha]),1,0)</f>
        <v>0</v>
      </c>
      <c r="H2729" t="str">
        <f>+dHdcp[[#This Row],[Maximo]]&amp;":"&amp;dHdcp[[#This Row],[Nombre]]</f>
        <v>0:Alvaro Aguirre</v>
      </c>
      <c r="I2729" t="str">
        <f>+dHdcp[[#This Row],[Maximo]]&amp;":"&amp;_xlfn.XLOOKUP(dHdcp[[#This Row],[Nombre]],dJugador[Nombre],dJugador[Mote],"",0)</f>
        <v>0:Gifu</v>
      </c>
      <c r="J2729" t="str">
        <f>+IF(dHdcp[[#This Row],[Maximo]]=0,"",_xlfn.RANK.EQ(dHdcp[[#This Row],[Handicap]],dHdcp[Handicap],1))</f>
        <v/>
      </c>
      <c r="K2729" t="str">
        <f>IFERROR(+_xlfn.RANK.EQ(dHdcp[[#This Row],[Ranking]],dHdcp[Ranking],1),"")</f>
        <v/>
      </c>
      <c r="M2729" t="str">
        <f>+dHdcp[[#This Row],[Fecha]]&amp;":"&amp;dHdcp[[#This Row],[Nombre]]</f>
        <v>45948:Alvaro Aguirre</v>
      </c>
      <c r="N2729">
        <f>+COUNTIF(dHdcp[Columna1],dHdcp[[#This Row],[Columna1]])</f>
        <v>1</v>
      </c>
    </row>
    <row r="2730" spans="1:14">
      <c r="A2730" s="2">
        <v>45948</v>
      </c>
      <c r="B2730" t="s">
        <v>18</v>
      </c>
      <c r="C2730" s="51">
        <v>7.4</v>
      </c>
      <c r="D2730" s="46">
        <f>+VLOOKUP(dHdcp[[#This Row],[Handicap]],'Categoría Hdcap'!$B$2:$E$7,4)</f>
        <v>2</v>
      </c>
      <c r="E2730" t="s">
        <v>74</v>
      </c>
      <c r="F2730" s="92"/>
      <c r="G2730">
        <f>+IF(dHdcp[[#This Row],[Fecha]]=MAX(dHdcp[Fecha]),1,0)</f>
        <v>0</v>
      </c>
      <c r="H2730" t="str">
        <f>+dHdcp[[#This Row],[Maximo]]&amp;":"&amp;dHdcp[[#This Row],[Nombre]]</f>
        <v>0:José Pablo Guil</v>
      </c>
      <c r="I2730" t="str">
        <f>+dHdcp[[#This Row],[Maximo]]&amp;":"&amp;_xlfn.XLOOKUP(dHdcp[[#This Row],[Nombre]],dJugador[Nombre],dJugador[Mote],"",0)</f>
        <v>0:JP</v>
      </c>
      <c r="J2730" t="str">
        <f>+IF(dHdcp[[#This Row],[Maximo]]=0,"",_xlfn.RANK.EQ(dHdcp[[#This Row],[Handicap]],dHdcp[Handicap],1))</f>
        <v/>
      </c>
      <c r="K2730" t="str">
        <f>IFERROR(+_xlfn.RANK.EQ(dHdcp[[#This Row],[Ranking]],dHdcp[Ranking],1),"")</f>
        <v/>
      </c>
      <c r="M2730" t="str">
        <f>+dHdcp[[#This Row],[Fecha]]&amp;":"&amp;dHdcp[[#This Row],[Nombre]]</f>
        <v>45948:José Pablo Guil</v>
      </c>
      <c r="N2730">
        <f>+COUNTIF(dHdcp[Columna1],dHdcp[[#This Row],[Columna1]])</f>
        <v>1</v>
      </c>
    </row>
    <row r="2731" spans="1:14">
      <c r="A2731" s="2">
        <v>45948</v>
      </c>
      <c r="B2731" t="s">
        <v>20</v>
      </c>
      <c r="C2731" s="51">
        <v>19.3</v>
      </c>
      <c r="D2731" s="46">
        <f>+VLOOKUP(dHdcp[[#This Row],[Handicap]],'Categoría Hdcap'!$B$2:$E$7,4)</f>
        <v>4</v>
      </c>
      <c r="E2731" t="s">
        <v>74</v>
      </c>
      <c r="F2731" s="92"/>
      <c r="G2731">
        <f>+IF(dHdcp[[#This Row],[Fecha]]=MAX(dHdcp[Fecha]),1,0)</f>
        <v>0</v>
      </c>
      <c r="H2731" t="str">
        <f>+dHdcp[[#This Row],[Maximo]]&amp;":"&amp;dHdcp[[#This Row],[Nombre]]</f>
        <v>0:Javier Gonzalez Salvador</v>
      </c>
      <c r="I2731" t="str">
        <f>+dHdcp[[#This Row],[Maximo]]&amp;":"&amp;_xlfn.XLOOKUP(dHdcp[[#This Row],[Nombre]],dJugador[Nombre],dJugador[Mote],"",0)</f>
        <v>0:Javi</v>
      </c>
      <c r="J2731" t="str">
        <f>+IF(dHdcp[[#This Row],[Maximo]]=0,"",_xlfn.RANK.EQ(dHdcp[[#This Row],[Handicap]],dHdcp[Handicap],1))</f>
        <v/>
      </c>
      <c r="K2731" t="str">
        <f>IFERROR(+_xlfn.RANK.EQ(dHdcp[[#This Row],[Ranking]],dHdcp[Ranking],1),"")</f>
        <v/>
      </c>
      <c r="M2731" t="str">
        <f>+dHdcp[[#This Row],[Fecha]]&amp;":"&amp;dHdcp[[#This Row],[Nombre]]</f>
        <v>45948:Javier Gonzalez Salvador</v>
      </c>
      <c r="N2731">
        <f>+COUNTIF(dHdcp[Columna1],dHdcp[[#This Row],[Columna1]])</f>
        <v>1</v>
      </c>
    </row>
    <row r="2732" spans="1:14">
      <c r="A2732" s="2">
        <v>45948</v>
      </c>
      <c r="B2732" t="s">
        <v>23</v>
      </c>
      <c r="C2732" s="51">
        <v>18.8</v>
      </c>
      <c r="D2732" s="46">
        <f>+VLOOKUP(dHdcp[[#This Row],[Handicap]],'Categoría Hdcap'!$B$2:$E$7,4)</f>
        <v>4</v>
      </c>
      <c r="E2732" t="s">
        <v>74</v>
      </c>
      <c r="F2732" s="92"/>
      <c r="G2732">
        <f>+IF(dHdcp[[#This Row],[Fecha]]=MAX(dHdcp[Fecha]),1,0)</f>
        <v>0</v>
      </c>
      <c r="H2732" t="str">
        <f>+dHdcp[[#This Row],[Maximo]]&amp;":"&amp;dHdcp[[#This Row],[Nombre]]</f>
        <v>0:J. Enrique Gonzalez</v>
      </c>
      <c r="I2732" t="str">
        <f>+dHdcp[[#This Row],[Maximo]]&amp;":"&amp;_xlfn.XLOOKUP(dHdcp[[#This Row],[Nombre]],dJugador[Nombre],dJugador[Mote],"",0)</f>
        <v>0:Kike</v>
      </c>
      <c r="J2732" t="str">
        <f>+IF(dHdcp[[#This Row],[Maximo]]=0,"",_xlfn.RANK.EQ(dHdcp[[#This Row],[Handicap]],dHdcp[Handicap],1))</f>
        <v/>
      </c>
      <c r="K2732" t="str">
        <f>IFERROR(+_xlfn.RANK.EQ(dHdcp[[#This Row],[Ranking]],dHdcp[Ranking],1),"")</f>
        <v/>
      </c>
      <c r="M2732" t="str">
        <f>+dHdcp[[#This Row],[Fecha]]&amp;":"&amp;dHdcp[[#This Row],[Nombre]]</f>
        <v>45948:J. Enrique Gonzalez</v>
      </c>
      <c r="N2732">
        <f>+COUNTIF(dHdcp[Columna1],dHdcp[[#This Row],[Columna1]])</f>
        <v>1</v>
      </c>
    </row>
    <row r="2733" spans="1:14">
      <c r="A2733" s="2">
        <v>45948</v>
      </c>
      <c r="B2733" t="s">
        <v>25</v>
      </c>
      <c r="C2733" s="51">
        <v>15.5</v>
      </c>
      <c r="D2733" s="46">
        <f>+VLOOKUP(dHdcp[[#This Row],[Handicap]],'Categoría Hdcap'!$B$2:$E$7,4)</f>
        <v>3</v>
      </c>
      <c r="E2733" t="s">
        <v>74</v>
      </c>
      <c r="F2733" s="92"/>
      <c r="G2733">
        <f>+IF(dHdcp[[#This Row],[Fecha]]=MAX(dHdcp[Fecha]),1,0)</f>
        <v>0</v>
      </c>
      <c r="H2733" t="str">
        <f>+dHdcp[[#This Row],[Maximo]]&amp;":"&amp;dHdcp[[#This Row],[Nombre]]</f>
        <v>0:Alvaro Nieto</v>
      </c>
      <c r="I2733" t="str">
        <f>+dHdcp[[#This Row],[Maximo]]&amp;":"&amp;_xlfn.XLOOKUP(dHdcp[[#This Row],[Nombre]],dJugador[Nombre],dJugador[Mote],"",0)</f>
        <v>0:Alvaro</v>
      </c>
      <c r="J2733" t="str">
        <f>+IF(dHdcp[[#This Row],[Maximo]]=0,"",_xlfn.RANK.EQ(dHdcp[[#This Row],[Handicap]],dHdcp[Handicap],1))</f>
        <v/>
      </c>
      <c r="K2733" t="str">
        <f>IFERROR(+_xlfn.RANK.EQ(dHdcp[[#This Row],[Ranking]],dHdcp[Ranking],1),"")</f>
        <v/>
      </c>
      <c r="M2733" t="str">
        <f>+dHdcp[[#This Row],[Fecha]]&amp;":"&amp;dHdcp[[#This Row],[Nombre]]</f>
        <v>45948:Alvaro Nieto</v>
      </c>
      <c r="N2733">
        <f>+COUNTIF(dHdcp[Columna1],dHdcp[[#This Row],[Columna1]])</f>
        <v>1</v>
      </c>
    </row>
    <row r="2734" spans="1:14">
      <c r="A2734" s="2">
        <v>45948</v>
      </c>
      <c r="B2734" t="s">
        <v>30</v>
      </c>
      <c r="C2734" s="51">
        <v>11.4</v>
      </c>
      <c r="D2734" s="46">
        <f>+VLOOKUP(dHdcp[[#This Row],[Handicap]],'Categoría Hdcap'!$B$2:$E$7,4)</f>
        <v>2</v>
      </c>
      <c r="E2734" t="s">
        <v>74</v>
      </c>
      <c r="F2734" s="92"/>
      <c r="G2734">
        <f>+IF(dHdcp[[#This Row],[Fecha]]=MAX(dHdcp[Fecha]),1,0)</f>
        <v>0</v>
      </c>
      <c r="H2734" t="str">
        <f>+dHdcp[[#This Row],[Maximo]]&amp;":"&amp;dHdcp[[#This Row],[Nombre]]</f>
        <v>0:David Sequera</v>
      </c>
      <c r="I2734" t="str">
        <f>+dHdcp[[#This Row],[Maximo]]&amp;":"&amp;_xlfn.XLOOKUP(dHdcp[[#This Row],[Nombre]],dJugador[Nombre],dJugador[Mote],"",0)</f>
        <v>0:David</v>
      </c>
      <c r="J2734" t="str">
        <f>+IF(dHdcp[[#This Row],[Maximo]]=0,"",_xlfn.RANK.EQ(dHdcp[[#This Row],[Handicap]],dHdcp[Handicap],1))</f>
        <v/>
      </c>
      <c r="K2734" t="str">
        <f>IFERROR(+_xlfn.RANK.EQ(dHdcp[[#This Row],[Ranking]],dHdcp[Ranking],1),"")</f>
        <v/>
      </c>
      <c r="M2734" t="str">
        <f>+dHdcp[[#This Row],[Fecha]]&amp;":"&amp;dHdcp[[#This Row],[Nombre]]</f>
        <v>45948:David Sequera</v>
      </c>
      <c r="N2734">
        <f>+COUNTIF(dHdcp[Columna1],dHdcp[[#This Row],[Columna1]])</f>
        <v>1</v>
      </c>
    </row>
    <row r="2735" spans="1:14">
      <c r="A2735" s="2">
        <v>45948</v>
      </c>
      <c r="B2735" t="s">
        <v>33</v>
      </c>
      <c r="C2735" s="51">
        <v>7</v>
      </c>
      <c r="D2735" s="46">
        <f>+VLOOKUP(dHdcp[[#This Row],[Handicap]],'Categoría Hdcap'!$B$2:$E$7,4)</f>
        <v>2</v>
      </c>
      <c r="E2735" t="s">
        <v>74</v>
      </c>
      <c r="F2735" s="92"/>
      <c r="G2735">
        <f>+IF(dHdcp[[#This Row],[Fecha]]=MAX(dHdcp[Fecha]),1,0)</f>
        <v>0</v>
      </c>
      <c r="H2735" t="str">
        <f>+dHdcp[[#This Row],[Maximo]]&amp;":"&amp;dHdcp[[#This Row],[Nombre]]</f>
        <v>0:Angel Hernandez</v>
      </c>
      <c r="I2735" t="str">
        <f>+dHdcp[[#This Row],[Maximo]]&amp;":"&amp;_xlfn.XLOOKUP(dHdcp[[#This Row],[Nombre]],dJugador[Nombre],dJugador[Mote],"",0)</f>
        <v>0:Angel</v>
      </c>
      <c r="J2735" t="str">
        <f>+IF(dHdcp[[#This Row],[Maximo]]=0,"",_xlfn.RANK.EQ(dHdcp[[#This Row],[Handicap]],dHdcp[Handicap],1))</f>
        <v/>
      </c>
      <c r="K2735" t="str">
        <f>IFERROR(+_xlfn.RANK.EQ(dHdcp[[#This Row],[Ranking]],dHdcp[Ranking],1),"")</f>
        <v/>
      </c>
      <c r="M2735" t="str">
        <f>+dHdcp[[#This Row],[Fecha]]&amp;":"&amp;dHdcp[[#This Row],[Nombre]]</f>
        <v>45948:Angel Hernandez</v>
      </c>
      <c r="N2735">
        <f>+COUNTIF(dHdcp[Columna1],dHdcp[[#This Row],[Columna1]])</f>
        <v>1</v>
      </c>
    </row>
    <row r="2736" spans="1:14">
      <c r="A2736" s="2">
        <v>45948</v>
      </c>
      <c r="B2736" t="s">
        <v>35</v>
      </c>
      <c r="C2736" s="51">
        <v>20.9</v>
      </c>
      <c r="D2736" s="46">
        <f>+VLOOKUP(dHdcp[[#This Row],[Handicap]],'Categoría Hdcap'!$B$2:$E$7,4)</f>
        <v>4</v>
      </c>
      <c r="E2736" t="s">
        <v>74</v>
      </c>
      <c r="F2736" s="92"/>
      <c r="G2736">
        <f>+IF(dHdcp[[#This Row],[Fecha]]=MAX(dHdcp[Fecha]),1,0)</f>
        <v>0</v>
      </c>
      <c r="H2736" t="str">
        <f>+dHdcp[[#This Row],[Maximo]]&amp;":"&amp;dHdcp[[#This Row],[Nombre]]</f>
        <v>0:GLEZ JUAN JOSÉ</v>
      </c>
      <c r="I2736" t="str">
        <f>+dHdcp[[#This Row],[Maximo]]&amp;":"&amp;_xlfn.XLOOKUP(dHdcp[[#This Row],[Nombre]],dJugador[Nombre],dJugador[Mote],"",0)</f>
        <v>0:Juanjo</v>
      </c>
      <c r="J2736" t="str">
        <f>+IF(dHdcp[[#This Row],[Maximo]]=0,"",_xlfn.RANK.EQ(dHdcp[[#This Row],[Handicap]],dHdcp[Handicap],1))</f>
        <v/>
      </c>
      <c r="K2736" t="str">
        <f>IFERROR(+_xlfn.RANK.EQ(dHdcp[[#This Row],[Ranking]],dHdcp[Ranking],1),"")</f>
        <v/>
      </c>
      <c r="M2736" t="str">
        <f>+dHdcp[[#This Row],[Fecha]]&amp;":"&amp;dHdcp[[#This Row],[Nombre]]</f>
        <v>45948:GLEZ JUAN JOSÉ</v>
      </c>
      <c r="N2736">
        <f>+COUNTIF(dHdcp[Columna1],dHdcp[[#This Row],[Columna1]])</f>
        <v>1</v>
      </c>
    </row>
    <row r="2737" spans="1:14">
      <c r="A2737" s="2">
        <v>45948</v>
      </c>
      <c r="B2737" t="s">
        <v>41</v>
      </c>
      <c r="C2737" s="51">
        <v>22.4</v>
      </c>
      <c r="D2737" s="46">
        <f>+VLOOKUP(dHdcp[[#This Row],[Handicap]],'Categoría Hdcap'!$B$2:$E$7,4)</f>
        <v>4</v>
      </c>
      <c r="E2737" t="s">
        <v>74</v>
      </c>
      <c r="F2737" s="92"/>
      <c r="G2737">
        <f>+IF(dHdcp[[#This Row],[Fecha]]=MAX(dHdcp[Fecha]),1,0)</f>
        <v>0</v>
      </c>
      <c r="H2737" t="str">
        <f>+dHdcp[[#This Row],[Maximo]]&amp;":"&amp;dHdcp[[#This Row],[Nombre]]</f>
        <v>0:Jesus Touceda</v>
      </c>
      <c r="I2737" t="str">
        <f>+dHdcp[[#This Row],[Maximo]]&amp;":"&amp;_xlfn.XLOOKUP(dHdcp[[#This Row],[Nombre]],dJugador[Nombre],dJugador[Mote],"",0)</f>
        <v>0:Jesús</v>
      </c>
      <c r="J2737" t="str">
        <f>+IF(dHdcp[[#This Row],[Maximo]]=0,"",_xlfn.RANK.EQ(dHdcp[[#This Row],[Handicap]],dHdcp[Handicap],1))</f>
        <v/>
      </c>
      <c r="K2737" t="str">
        <f>IFERROR(+_xlfn.RANK.EQ(dHdcp[[#This Row],[Ranking]],dHdcp[Ranking],1),"")</f>
        <v/>
      </c>
      <c r="M2737" t="str">
        <f>+dHdcp[[#This Row],[Fecha]]&amp;":"&amp;dHdcp[[#This Row],[Nombre]]</f>
        <v>45948:Jesus Touceda</v>
      </c>
      <c r="N2737">
        <f>+COUNTIF(dHdcp[Columna1],dHdcp[[#This Row],[Columna1]])</f>
        <v>1</v>
      </c>
    </row>
    <row r="2738" spans="1:14">
      <c r="A2738" s="2">
        <v>45948</v>
      </c>
      <c r="B2738" t="s">
        <v>46</v>
      </c>
      <c r="C2738" s="51">
        <v>19</v>
      </c>
      <c r="D2738" s="46">
        <f>+VLOOKUP(dHdcp[[#This Row],[Handicap]],'Categoría Hdcap'!$B$2:$E$7,4)</f>
        <v>4</v>
      </c>
      <c r="E2738" t="s">
        <v>74</v>
      </c>
      <c r="F2738" s="92"/>
      <c r="G2738">
        <f>+IF(dHdcp[[#This Row],[Fecha]]=MAX(dHdcp[Fecha]),1,0)</f>
        <v>0</v>
      </c>
      <c r="H2738" t="str">
        <f>+dHdcp[[#This Row],[Maximo]]&amp;":"&amp;dHdcp[[#This Row],[Nombre]]</f>
        <v>0:Javier Cervera</v>
      </c>
      <c r="I2738" t="str">
        <f>+dHdcp[[#This Row],[Maximo]]&amp;":"&amp;_xlfn.XLOOKUP(dHdcp[[#This Row],[Nombre]],dJugador[Nombre],dJugador[Mote],"",0)</f>
        <v>0:Virus</v>
      </c>
      <c r="J2738" t="str">
        <f>+IF(dHdcp[[#This Row],[Maximo]]=0,"",_xlfn.RANK.EQ(dHdcp[[#This Row],[Handicap]],dHdcp[Handicap],1))</f>
        <v/>
      </c>
      <c r="K2738" t="str">
        <f>IFERROR(+_xlfn.RANK.EQ(dHdcp[[#This Row],[Ranking]],dHdcp[Ranking],1),"")</f>
        <v/>
      </c>
      <c r="M2738" t="str">
        <f>+dHdcp[[#This Row],[Fecha]]&amp;":"&amp;dHdcp[[#This Row],[Nombre]]</f>
        <v>45948:Javier Cervera</v>
      </c>
      <c r="N2738">
        <f>+COUNTIF(dHdcp[Columna1],dHdcp[[#This Row],[Columna1]])</f>
        <v>1</v>
      </c>
    </row>
    <row r="2739" spans="1:14">
      <c r="A2739" s="2">
        <v>45948</v>
      </c>
      <c r="B2739" t="s">
        <v>49</v>
      </c>
      <c r="C2739" s="51">
        <v>15.3</v>
      </c>
      <c r="D2739" s="46">
        <f>+VLOOKUP(dHdcp[[#This Row],[Handicap]],'Categoría Hdcap'!$B$2:$E$7,4)</f>
        <v>3</v>
      </c>
      <c r="E2739" t="s">
        <v>74</v>
      </c>
      <c r="F2739" s="92"/>
      <c r="G2739">
        <f>+IF(dHdcp[[#This Row],[Fecha]]=MAX(dHdcp[Fecha]),1,0)</f>
        <v>0</v>
      </c>
      <c r="H2739" t="str">
        <f>+dHdcp[[#This Row],[Maximo]]&amp;":"&amp;dHdcp[[#This Row],[Nombre]]</f>
        <v>0:Francisco Hidalgo</v>
      </c>
      <c r="I2739" t="str">
        <f>+dHdcp[[#This Row],[Maximo]]&amp;":"&amp;_xlfn.XLOOKUP(dHdcp[[#This Row],[Nombre]],dJugador[Nombre],dJugador[Mote],"",0)</f>
        <v>0:Fran</v>
      </c>
      <c r="J2739" t="str">
        <f>+IF(dHdcp[[#This Row],[Maximo]]=0,"",_xlfn.RANK.EQ(dHdcp[[#This Row],[Handicap]],dHdcp[Handicap],1))</f>
        <v/>
      </c>
      <c r="K2739" t="str">
        <f>IFERROR(+_xlfn.RANK.EQ(dHdcp[[#This Row],[Ranking]],dHdcp[Ranking],1),"")</f>
        <v/>
      </c>
      <c r="M2739" t="str">
        <f>+dHdcp[[#This Row],[Fecha]]&amp;":"&amp;dHdcp[[#This Row],[Nombre]]</f>
        <v>45948:Francisco Hidalgo</v>
      </c>
      <c r="N2739">
        <f>+COUNTIF(dHdcp[Columna1],dHdcp[[#This Row],[Columna1]])</f>
        <v>1</v>
      </c>
    </row>
    <row r="2740" spans="1:14">
      <c r="A2740" s="2">
        <v>45948</v>
      </c>
      <c r="B2740" t="s">
        <v>135</v>
      </c>
      <c r="C2740" s="51">
        <v>19.899999999999999</v>
      </c>
      <c r="D2740" s="46">
        <f>+VLOOKUP(dHdcp[[#This Row],[Handicap]],'Categoría Hdcap'!$B$2:$E$7,4)</f>
        <v>4</v>
      </c>
      <c r="E2740" t="s">
        <v>74</v>
      </c>
      <c r="F2740" s="92"/>
      <c r="G2740">
        <f>+IF(dHdcp[[#This Row],[Fecha]]=MAX(dHdcp[Fecha]),1,0)</f>
        <v>0</v>
      </c>
      <c r="H2740" t="str">
        <f>+dHdcp[[#This Row],[Maximo]]&amp;":"&amp;dHdcp[[#This Row],[Nombre]]</f>
        <v>0:Miche Lopez</v>
      </c>
      <c r="I2740" t="str">
        <f>+dHdcp[[#This Row],[Maximo]]&amp;":"&amp;_xlfn.XLOOKUP(dHdcp[[#This Row],[Nombre]],dJugador[Nombre],dJugador[Mote],"",0)</f>
        <v>0:Miche</v>
      </c>
      <c r="J2740" t="str">
        <f>+IF(dHdcp[[#This Row],[Maximo]]=0,"",_xlfn.RANK.EQ(dHdcp[[#This Row],[Handicap]],dHdcp[Handicap],1))</f>
        <v/>
      </c>
      <c r="K2740" t="str">
        <f>IFERROR(+_xlfn.RANK.EQ(dHdcp[[#This Row],[Ranking]],dHdcp[Ranking],1),"")</f>
        <v/>
      </c>
      <c r="M2740" t="str">
        <f>+dHdcp[[#This Row],[Fecha]]&amp;":"&amp;dHdcp[[#This Row],[Nombre]]</f>
        <v>45948:Miche Lopez</v>
      </c>
      <c r="N2740">
        <f>+COUNTIF(dHdcp[Columna1],dHdcp[[#This Row],[Columna1]])</f>
        <v>1</v>
      </c>
    </row>
    <row r="2741" spans="1:14">
      <c r="A2741" s="2">
        <v>45948</v>
      </c>
      <c r="B2741" t="s">
        <v>201</v>
      </c>
      <c r="C2741" s="51">
        <v>5.6</v>
      </c>
      <c r="D2741" s="46">
        <f>+VLOOKUP(dHdcp[[#This Row],[Handicap]],'Categoría Hdcap'!$B$2:$E$7,4)</f>
        <v>2</v>
      </c>
      <c r="E2741" t="s">
        <v>74</v>
      </c>
      <c r="F2741" s="92"/>
      <c r="G2741">
        <f>+IF(dHdcp[[#This Row],[Fecha]]=MAX(dHdcp[Fecha]),1,0)</f>
        <v>0</v>
      </c>
      <c r="H2741" t="str">
        <f>+dHdcp[[#This Row],[Maximo]]&amp;":"&amp;dHdcp[[#This Row],[Nombre]]</f>
        <v>0:Alvaro Montoya</v>
      </c>
      <c r="I2741" t="str">
        <f>+dHdcp[[#This Row],[Maximo]]&amp;":"&amp;_xlfn.XLOOKUP(dHdcp[[#This Row],[Nombre]],dJugador[Nombre],dJugador[Mote],"",0)</f>
        <v>0:Monti</v>
      </c>
      <c r="J2741" t="str">
        <f>+IF(dHdcp[[#This Row],[Maximo]]=0,"",_xlfn.RANK.EQ(dHdcp[[#This Row],[Handicap]],dHdcp[Handicap],1))</f>
        <v/>
      </c>
      <c r="K2741" t="str">
        <f>IFERROR(+_xlfn.RANK.EQ(dHdcp[[#This Row],[Ranking]],dHdcp[Ranking],1),"")</f>
        <v/>
      </c>
      <c r="M2741" t="str">
        <f>+dHdcp[[#This Row],[Fecha]]&amp;":"&amp;dHdcp[[#This Row],[Nombre]]</f>
        <v>45948:Alvaro Montoya</v>
      </c>
      <c r="N2741">
        <f>+COUNTIF(dHdcp[Columna1],dHdcp[[#This Row],[Columna1]])</f>
        <v>1</v>
      </c>
    </row>
    <row r="2742" spans="1:14">
      <c r="A2742" s="2">
        <v>45948</v>
      </c>
      <c r="B2742" t="s">
        <v>203</v>
      </c>
      <c r="C2742" s="51">
        <v>17.600000000000001</v>
      </c>
      <c r="D2742" s="46">
        <f>+VLOOKUP(dHdcp[[#This Row],[Handicap]],'Categoría Hdcap'!$B$2:$E$7,4)</f>
        <v>3</v>
      </c>
      <c r="E2742" t="s">
        <v>74</v>
      </c>
      <c r="F2742" s="92"/>
      <c r="G2742">
        <f>+IF(dHdcp[[#This Row],[Fecha]]=MAX(dHdcp[Fecha]),1,0)</f>
        <v>0</v>
      </c>
      <c r="H2742" t="str">
        <f>+dHdcp[[#This Row],[Maximo]]&amp;":"&amp;dHdcp[[#This Row],[Nombre]]</f>
        <v>0:Ruslan Kochman</v>
      </c>
      <c r="I2742" t="str">
        <f>+dHdcp[[#This Row],[Maximo]]&amp;":"&amp;_xlfn.XLOOKUP(dHdcp[[#This Row],[Nombre]],dJugador[Nombre],dJugador[Mote],"",0)</f>
        <v>0:Rus</v>
      </c>
      <c r="J2742" t="str">
        <f>+IF(dHdcp[[#This Row],[Maximo]]=0,"",_xlfn.RANK.EQ(dHdcp[[#This Row],[Handicap]],dHdcp[Handicap],1))</f>
        <v/>
      </c>
      <c r="K2742" t="str">
        <f>IFERROR(+_xlfn.RANK.EQ(dHdcp[[#This Row],[Ranking]],dHdcp[Ranking],1),"")</f>
        <v/>
      </c>
      <c r="M2742" t="str">
        <f>+dHdcp[[#This Row],[Fecha]]&amp;":"&amp;dHdcp[[#This Row],[Nombre]]</f>
        <v>45948:Ruslan Kochman</v>
      </c>
      <c r="N2742">
        <f>+COUNTIF(dHdcp[Columna1],dHdcp[[#This Row],[Columna1]])</f>
        <v>1</v>
      </c>
    </row>
    <row r="2743" spans="1:14">
      <c r="A2743" s="2">
        <v>45948</v>
      </c>
      <c r="B2743" t="s">
        <v>205</v>
      </c>
      <c r="C2743" s="51">
        <v>5.2</v>
      </c>
      <c r="D2743" s="46">
        <f>+VLOOKUP(dHdcp[[#This Row],[Handicap]],'Categoría Hdcap'!$B$2:$E$7,4)</f>
        <v>2</v>
      </c>
      <c r="E2743" t="s">
        <v>74</v>
      </c>
      <c r="F2743" s="92"/>
      <c r="G2743">
        <f>+IF(dHdcp[[#This Row],[Fecha]]=MAX(dHdcp[Fecha]),1,0)</f>
        <v>0</v>
      </c>
      <c r="H2743" t="str">
        <f>+dHdcp[[#This Row],[Maximo]]&amp;":"&amp;dHdcp[[#This Row],[Nombre]]</f>
        <v>0:Nacho Casas</v>
      </c>
      <c r="I2743" t="str">
        <f>+dHdcp[[#This Row],[Maximo]]&amp;":"&amp;_xlfn.XLOOKUP(dHdcp[[#This Row],[Nombre]],dJugador[Nombre],dJugador[Mote],"",0)</f>
        <v>0:Nachete</v>
      </c>
      <c r="J2743" t="str">
        <f>+IF(dHdcp[[#This Row],[Maximo]]=0,"",_xlfn.RANK.EQ(dHdcp[[#This Row],[Handicap]],dHdcp[Handicap],1))</f>
        <v/>
      </c>
      <c r="K2743" t="str">
        <f>IFERROR(+_xlfn.RANK.EQ(dHdcp[[#This Row],[Ranking]],dHdcp[Ranking],1),"")</f>
        <v/>
      </c>
      <c r="M2743" t="str">
        <f>+dHdcp[[#This Row],[Fecha]]&amp;":"&amp;dHdcp[[#This Row],[Nombre]]</f>
        <v>45948:Nacho Casas</v>
      </c>
      <c r="N2743">
        <f>+COUNTIF(dHdcp[Columna1],dHdcp[[#This Row],[Columna1]])</f>
        <v>1</v>
      </c>
    </row>
    <row r="2744" spans="1:14">
      <c r="A2744" s="2">
        <v>45948</v>
      </c>
      <c r="B2744" t="s">
        <v>207</v>
      </c>
      <c r="C2744" s="51">
        <v>15</v>
      </c>
      <c r="D2744" s="46">
        <f>+VLOOKUP(dHdcp[[#This Row],[Handicap]],'Categoría Hdcap'!$B$2:$E$7,4)</f>
        <v>3</v>
      </c>
      <c r="E2744" t="s">
        <v>74</v>
      </c>
      <c r="F2744" s="92"/>
      <c r="G2744">
        <f>+IF(dHdcp[[#This Row],[Fecha]]=MAX(dHdcp[Fecha]),1,0)</f>
        <v>0</v>
      </c>
      <c r="H2744" t="str">
        <f>+dHdcp[[#This Row],[Maximo]]&amp;":"&amp;dHdcp[[#This Row],[Nombre]]</f>
        <v>0:Franck Benouniche</v>
      </c>
      <c r="I2744" t="str">
        <f>+dHdcp[[#This Row],[Maximo]]&amp;":"&amp;_xlfn.XLOOKUP(dHdcp[[#This Row],[Nombre]],dJugador[Nombre],dJugador[Mote],"",0)</f>
        <v>0:Franck</v>
      </c>
      <c r="J2744" t="str">
        <f>+IF(dHdcp[[#This Row],[Maximo]]=0,"",_xlfn.RANK.EQ(dHdcp[[#This Row],[Handicap]],dHdcp[Handicap],1))</f>
        <v/>
      </c>
      <c r="K2744" t="str">
        <f>IFERROR(+_xlfn.RANK.EQ(dHdcp[[#This Row],[Ranking]],dHdcp[Ranking],1),"")</f>
        <v/>
      </c>
      <c r="M2744" t="str">
        <f>+dHdcp[[#This Row],[Fecha]]&amp;":"&amp;dHdcp[[#This Row],[Nombre]]</f>
        <v>45948:Franck Benouniche</v>
      </c>
      <c r="N2744">
        <f>+COUNTIF(dHdcp[Columna1],dHdcp[[#This Row],[Columna1]])</f>
        <v>1</v>
      </c>
    </row>
    <row r="2745" spans="1:14">
      <c r="A2745" s="2">
        <v>45948</v>
      </c>
      <c r="B2745" t="s">
        <v>217</v>
      </c>
      <c r="C2745" s="51">
        <v>21.5</v>
      </c>
      <c r="D2745" s="46">
        <f>+VLOOKUP(dHdcp[[#This Row],[Handicap]],'Categoría Hdcap'!$B$2:$E$7,4)</f>
        <v>4</v>
      </c>
      <c r="E2745" t="s">
        <v>74</v>
      </c>
      <c r="F2745" s="92"/>
      <c r="G2745">
        <f>+IF(dHdcp[[#This Row],[Fecha]]=MAX(dHdcp[Fecha]),1,0)</f>
        <v>0</v>
      </c>
      <c r="H2745" t="str">
        <f>+dHdcp[[#This Row],[Maximo]]&amp;":"&amp;dHdcp[[#This Row],[Nombre]]</f>
        <v>0:Javier Lopez Gullón</v>
      </c>
      <c r="I2745" t="str">
        <f>+dHdcp[[#This Row],[Maximo]]&amp;":"&amp;_xlfn.XLOOKUP(dHdcp[[#This Row],[Nombre]],dJugador[Nombre],dJugador[Mote],"",0)</f>
        <v>0:Cuñao</v>
      </c>
      <c r="J2745" t="str">
        <f>+IF(dHdcp[[#This Row],[Maximo]]=0,"",_xlfn.RANK.EQ(dHdcp[[#This Row],[Handicap]],dHdcp[Handicap],1))</f>
        <v/>
      </c>
      <c r="K2745" t="str">
        <f>IFERROR(+_xlfn.RANK.EQ(dHdcp[[#This Row],[Ranking]],dHdcp[Ranking],1),"")</f>
        <v/>
      </c>
      <c r="M2745" t="str">
        <f>+dHdcp[[#This Row],[Fecha]]&amp;":"&amp;dHdcp[[#This Row],[Nombre]]</f>
        <v>45948:Javier Lopez Gullón</v>
      </c>
      <c r="N2745">
        <f>+COUNTIF(dHdcp[Columna1],dHdcp[[#This Row],[Columna1]])</f>
        <v>1</v>
      </c>
    </row>
    <row r="2746" spans="1:14">
      <c r="A2746" s="2">
        <v>45948</v>
      </c>
      <c r="B2746" t="s">
        <v>225</v>
      </c>
      <c r="C2746" s="51">
        <v>10.3</v>
      </c>
      <c r="D2746" s="46">
        <f>+VLOOKUP(dHdcp[[#This Row],[Handicap]],'Categoría Hdcap'!$B$2:$E$7,4)</f>
        <v>2</v>
      </c>
      <c r="E2746" t="s">
        <v>74</v>
      </c>
      <c r="F2746" s="92"/>
      <c r="G2746">
        <f>+IF(dHdcp[[#This Row],[Fecha]]=MAX(dHdcp[Fecha]),1,0)</f>
        <v>0</v>
      </c>
      <c r="H2746" t="str">
        <f>+dHdcp[[#This Row],[Maximo]]&amp;":"&amp;dHdcp[[#This Row],[Nombre]]</f>
        <v>0:Javier Chiralt</v>
      </c>
      <c r="I2746" t="str">
        <f>+dHdcp[[#This Row],[Maximo]]&amp;":"&amp;_xlfn.XLOOKUP(dHdcp[[#This Row],[Nombre]],dJugador[Nombre],dJugador[Mote],"",0)</f>
        <v>0:Chiralt</v>
      </c>
      <c r="J2746" t="str">
        <f>+IF(dHdcp[[#This Row],[Maximo]]=0,"",_xlfn.RANK.EQ(dHdcp[[#This Row],[Handicap]],dHdcp[Handicap],1))</f>
        <v/>
      </c>
      <c r="K2746" t="str">
        <f>IFERROR(+_xlfn.RANK.EQ(dHdcp[[#This Row],[Ranking]],dHdcp[Ranking],1),"")</f>
        <v/>
      </c>
      <c r="M2746" t="str">
        <f>+dHdcp[[#This Row],[Fecha]]&amp;":"&amp;dHdcp[[#This Row],[Nombre]]</f>
        <v>45948:Javier Chiralt</v>
      </c>
      <c r="N2746">
        <f>+COUNTIF(dHdcp[Columna1],dHdcp[[#This Row],[Columna1]])</f>
        <v>1</v>
      </c>
    </row>
    <row r="2747" spans="1:14">
      <c r="A2747" s="2">
        <v>45948</v>
      </c>
      <c r="B2747" t="s">
        <v>248</v>
      </c>
      <c r="C2747" s="51">
        <v>11.8</v>
      </c>
      <c r="D2747" s="46">
        <f>+VLOOKUP(dHdcp[[#This Row],[Handicap]],'Categoría Hdcap'!$B$2:$E$7,4)</f>
        <v>3</v>
      </c>
      <c r="E2747" t="s">
        <v>74</v>
      </c>
      <c r="F2747" s="92"/>
      <c r="G2747">
        <f>+IF(dHdcp[[#This Row],[Fecha]]=MAX(dHdcp[Fecha]),1,0)</f>
        <v>0</v>
      </c>
      <c r="H2747" t="str">
        <f>+dHdcp[[#This Row],[Maximo]]&amp;":"&amp;dHdcp[[#This Row],[Nombre]]</f>
        <v>0:Enrique Gonzalez R</v>
      </c>
      <c r="I2747" t="str">
        <f>+dHdcp[[#This Row],[Maximo]]&amp;":"&amp;_xlfn.XLOOKUP(dHdcp[[#This Row],[Nombre]],dJugador[Nombre],dJugador[Mote],"",0)</f>
        <v>0:Enrique</v>
      </c>
      <c r="J2747" t="str">
        <f>+IF(dHdcp[[#This Row],[Maximo]]=0,"",_xlfn.RANK.EQ(dHdcp[[#This Row],[Handicap]],dHdcp[Handicap],1))</f>
        <v/>
      </c>
      <c r="K2747" t="str">
        <f>IFERROR(+_xlfn.RANK.EQ(dHdcp[[#This Row],[Ranking]],dHdcp[Ranking],1),"")</f>
        <v/>
      </c>
      <c r="M2747" t="str">
        <f>+dHdcp[[#This Row],[Fecha]]&amp;":"&amp;dHdcp[[#This Row],[Nombre]]</f>
        <v>45948:Enrique Gonzalez R</v>
      </c>
      <c r="N2747">
        <f>+COUNTIF(dHdcp[Columna1],dHdcp[[#This Row],[Columna1]])</f>
        <v>1</v>
      </c>
    </row>
    <row r="2748" spans="1:14">
      <c r="A2748" s="2">
        <v>45948</v>
      </c>
      <c r="B2748" t="s">
        <v>259</v>
      </c>
      <c r="C2748" s="51">
        <v>2.1</v>
      </c>
      <c r="D2748" s="46">
        <f>+VLOOKUP(dHdcp[[#This Row],[Handicap]],'Categoría Hdcap'!$B$2:$E$7,4)</f>
        <v>1</v>
      </c>
      <c r="E2748" t="s">
        <v>74</v>
      </c>
      <c r="F2748" s="92"/>
      <c r="G2748">
        <f>+IF(dHdcp[[#This Row],[Fecha]]=MAX(dHdcp[Fecha]),1,0)</f>
        <v>0</v>
      </c>
      <c r="H2748" t="str">
        <f>+dHdcp[[#This Row],[Maximo]]&amp;":"&amp;dHdcp[[#This Row],[Nombre]]</f>
        <v>0:Alejandro Arcos</v>
      </c>
      <c r="I2748" t="str">
        <f>+dHdcp[[#This Row],[Maximo]]&amp;":"&amp;_xlfn.XLOOKUP(dHdcp[[#This Row],[Nombre]],dJugador[Nombre],dJugador[Mote],"",0)</f>
        <v>0:Alex</v>
      </c>
      <c r="J2748" t="str">
        <f>+IF(dHdcp[[#This Row],[Maximo]]=0,"",_xlfn.RANK.EQ(dHdcp[[#This Row],[Handicap]],dHdcp[Handicap],1))</f>
        <v/>
      </c>
      <c r="K2748" t="str">
        <f>IFERROR(+_xlfn.RANK.EQ(dHdcp[[#This Row],[Ranking]],dHdcp[Ranking],1),"")</f>
        <v/>
      </c>
      <c r="M2748" t="str">
        <f>+dHdcp[[#This Row],[Fecha]]&amp;":"&amp;dHdcp[[#This Row],[Nombre]]</f>
        <v>45948:Alejandro Arcos</v>
      </c>
      <c r="N2748">
        <f>+COUNTIF(dHdcp[Columna1],dHdcp[[#This Row],[Columna1]])</f>
        <v>1</v>
      </c>
    </row>
    <row r="2749" spans="1:14">
      <c r="A2749" s="2">
        <v>45948</v>
      </c>
      <c r="B2749" t="s">
        <v>264</v>
      </c>
      <c r="C2749" s="51">
        <v>21.2</v>
      </c>
      <c r="D2749" s="46">
        <f>+VLOOKUP(dHdcp[[#This Row],[Handicap]],'Categoría Hdcap'!$B$2:$E$7,4)</f>
        <v>4</v>
      </c>
      <c r="E2749" t="s">
        <v>74</v>
      </c>
      <c r="F2749" s="92"/>
      <c r="G2749">
        <f>+IF(dHdcp[[#This Row],[Fecha]]=MAX(dHdcp[Fecha]),1,0)</f>
        <v>0</v>
      </c>
      <c r="H2749" t="str">
        <f>+dHdcp[[#This Row],[Maximo]]&amp;":"&amp;dHdcp[[#This Row],[Nombre]]</f>
        <v>0:Antonio Carmona</v>
      </c>
      <c r="I2749" t="str">
        <f>+dHdcp[[#This Row],[Maximo]]&amp;":"&amp;_xlfn.XLOOKUP(dHdcp[[#This Row],[Nombre]],dJugador[Nombre],dJugador[Mote],"",0)</f>
        <v>0:Antonio</v>
      </c>
      <c r="J2749" t="str">
        <f>+IF(dHdcp[[#This Row],[Maximo]]=0,"",_xlfn.RANK.EQ(dHdcp[[#This Row],[Handicap]],dHdcp[Handicap],1))</f>
        <v/>
      </c>
      <c r="K2749" t="str">
        <f>IFERROR(+_xlfn.RANK.EQ(dHdcp[[#This Row],[Ranking]],dHdcp[Ranking],1),"")</f>
        <v/>
      </c>
      <c r="M2749" t="str">
        <f>+dHdcp[[#This Row],[Fecha]]&amp;":"&amp;dHdcp[[#This Row],[Nombre]]</f>
        <v>45948:Antonio Carmona</v>
      </c>
      <c r="N2749">
        <f>+COUNTIF(dHdcp[Columna1],dHdcp[[#This Row],[Columna1]])</f>
        <v>1</v>
      </c>
    </row>
    <row r="2750" spans="1:14">
      <c r="A2750" s="2">
        <v>45948</v>
      </c>
      <c r="B2750" t="s">
        <v>271</v>
      </c>
      <c r="C2750" s="51">
        <v>15.6</v>
      </c>
      <c r="D2750" s="46">
        <f>+VLOOKUP(dHdcp[[#This Row],[Handicap]],'Categoría Hdcap'!$B$2:$E$7,4)</f>
        <v>3</v>
      </c>
      <c r="E2750" t="s">
        <v>74</v>
      </c>
      <c r="F2750" s="92"/>
      <c r="G2750">
        <f>+IF(dHdcp[[#This Row],[Fecha]]=MAX(dHdcp[Fecha]),1,0)</f>
        <v>0</v>
      </c>
      <c r="H2750" t="str">
        <f>+dHdcp[[#This Row],[Maximo]]&amp;":"&amp;dHdcp[[#This Row],[Nombre]]</f>
        <v>0:Santi Diaz</v>
      </c>
      <c r="I2750" t="str">
        <f>+dHdcp[[#This Row],[Maximo]]&amp;":"&amp;_xlfn.XLOOKUP(dHdcp[[#This Row],[Nombre]],dJugador[Nombre],dJugador[Mote],"",0)</f>
        <v>0:Santi</v>
      </c>
      <c r="J2750" t="str">
        <f>+IF(dHdcp[[#This Row],[Maximo]]=0,"",_xlfn.RANK.EQ(dHdcp[[#This Row],[Handicap]],dHdcp[Handicap],1))</f>
        <v/>
      </c>
      <c r="K2750" t="str">
        <f>IFERROR(+_xlfn.RANK.EQ(dHdcp[[#This Row],[Ranking]],dHdcp[Ranking],1),"")</f>
        <v/>
      </c>
      <c r="M2750" t="str">
        <f>+dHdcp[[#This Row],[Fecha]]&amp;":"&amp;dHdcp[[#This Row],[Nombre]]</f>
        <v>45948:Santi Diaz</v>
      </c>
      <c r="N2750">
        <f>+COUNTIF(dHdcp[Columna1],dHdcp[[#This Row],[Columna1]])</f>
        <v>1</v>
      </c>
    </row>
    <row r="2751" spans="1:14">
      <c r="A2751" s="2">
        <v>45948</v>
      </c>
      <c r="B2751" t="s">
        <v>293</v>
      </c>
      <c r="C2751" s="51">
        <v>15.1</v>
      </c>
      <c r="D2751" s="46">
        <f>+VLOOKUP(dHdcp[[#This Row],[Handicap]],'Categoría Hdcap'!$B$2:$E$7,4)</f>
        <v>3</v>
      </c>
      <c r="E2751" t="s">
        <v>74</v>
      </c>
      <c r="F2751" s="92"/>
      <c r="G2751">
        <f>+IF(dHdcp[[#This Row],[Fecha]]=MAX(dHdcp[Fecha]),1,0)</f>
        <v>0</v>
      </c>
      <c r="H2751" t="str">
        <f>+dHdcp[[#This Row],[Maximo]]&amp;":"&amp;dHdcp[[#This Row],[Nombre]]</f>
        <v>0:Juan Jose Aguado</v>
      </c>
      <c r="I2751" t="str">
        <f>+dHdcp[[#This Row],[Maximo]]&amp;":"&amp;_xlfn.XLOOKUP(dHdcp[[#This Row],[Nombre]],dJugador[Nombre],dJugador[Mote],"",0)</f>
        <v>0:Juancho</v>
      </c>
      <c r="J2751" t="str">
        <f>+IF(dHdcp[[#This Row],[Maximo]]=0,"",_xlfn.RANK.EQ(dHdcp[[#This Row],[Handicap]],dHdcp[Handicap],1))</f>
        <v/>
      </c>
      <c r="K2751" t="str">
        <f>IFERROR(+_xlfn.RANK.EQ(dHdcp[[#This Row],[Ranking]],dHdcp[Ranking],1),"")</f>
        <v/>
      </c>
      <c r="M2751" t="str">
        <f>+dHdcp[[#This Row],[Fecha]]&amp;":"&amp;dHdcp[[#This Row],[Nombre]]</f>
        <v>45948:Juan Jose Aguado</v>
      </c>
      <c r="N2751">
        <f>+COUNTIF(dHdcp[Columna1],dHdcp[[#This Row],[Columna1]])</f>
        <v>1</v>
      </c>
    </row>
    <row r="2752" spans="1:14">
      <c r="A2752" s="2">
        <v>45948</v>
      </c>
      <c r="B2752" t="s">
        <v>291</v>
      </c>
      <c r="C2752" s="51">
        <v>1.4</v>
      </c>
      <c r="D2752" s="46">
        <f>+VLOOKUP(dHdcp[[#This Row],[Handicap]],'Categoría Hdcap'!$B$2:$E$7,4)</f>
        <v>1</v>
      </c>
      <c r="E2752" t="s">
        <v>74</v>
      </c>
      <c r="F2752" s="92"/>
      <c r="G2752">
        <f>+IF(dHdcp[[#This Row],[Fecha]]=MAX(dHdcp[Fecha]),1,0)</f>
        <v>0</v>
      </c>
      <c r="H2752" t="str">
        <f>+dHdcp[[#This Row],[Maximo]]&amp;":"&amp;dHdcp[[#This Row],[Nombre]]</f>
        <v>0:Carlos Maestro</v>
      </c>
      <c r="I2752" t="str">
        <f>+dHdcp[[#This Row],[Maximo]]&amp;":"&amp;_xlfn.XLOOKUP(dHdcp[[#This Row],[Nombre]],dJugador[Nombre],dJugador[Mote],"",0)</f>
        <v>0:Carlitos</v>
      </c>
      <c r="J2752" t="str">
        <f>+IF(dHdcp[[#This Row],[Maximo]]=0,"",_xlfn.RANK.EQ(dHdcp[[#This Row],[Handicap]],dHdcp[Handicap],1))</f>
        <v/>
      </c>
      <c r="K2752" t="str">
        <f>IFERROR(+_xlfn.RANK.EQ(dHdcp[[#This Row],[Ranking]],dHdcp[Ranking],1),"")</f>
        <v/>
      </c>
      <c r="M2752" t="str">
        <f>+dHdcp[[#This Row],[Fecha]]&amp;":"&amp;dHdcp[[#This Row],[Nombre]]</f>
        <v>45948:Carlos Maestro</v>
      </c>
      <c r="N2752">
        <f>+COUNTIF(dHdcp[Columna1],dHdcp[[#This Row],[Columna1]])</f>
        <v>1</v>
      </c>
    </row>
    <row r="2753" spans="1:14">
      <c r="A2753" s="2">
        <v>45948</v>
      </c>
      <c r="B2753" t="s">
        <v>297</v>
      </c>
      <c r="C2753" s="51">
        <v>15.8</v>
      </c>
      <c r="D2753" s="46">
        <f>+VLOOKUP(dHdcp[[#This Row],[Handicap]],'Categoría Hdcap'!$B$2:$E$7,4)</f>
        <v>3</v>
      </c>
      <c r="E2753" t="s">
        <v>74</v>
      </c>
      <c r="F2753" s="92"/>
      <c r="G2753">
        <f>+IF(dHdcp[[#This Row],[Fecha]]=MAX(dHdcp[Fecha]),1,0)</f>
        <v>0</v>
      </c>
      <c r="H2753" t="str">
        <f>+dHdcp[[#This Row],[Maximo]]&amp;":"&amp;dHdcp[[#This Row],[Nombre]]</f>
        <v>0:Jorge Alberto Martínez Sánchez</v>
      </c>
      <c r="I2753" t="str">
        <f>+dHdcp[[#This Row],[Maximo]]&amp;":"&amp;_xlfn.XLOOKUP(dHdcp[[#This Row],[Nombre]],dJugador[Nombre],dJugador[Mote],"",0)</f>
        <v>0:Jorge</v>
      </c>
      <c r="J2753" t="str">
        <f>+IF(dHdcp[[#This Row],[Maximo]]=0,"",_xlfn.RANK.EQ(dHdcp[[#This Row],[Handicap]],dHdcp[Handicap],1))</f>
        <v/>
      </c>
      <c r="K2753" t="str">
        <f>IFERROR(+_xlfn.RANK.EQ(dHdcp[[#This Row],[Ranking]],dHdcp[Ranking],1),"")</f>
        <v/>
      </c>
      <c r="M2753" t="str">
        <f>+dHdcp[[#This Row],[Fecha]]&amp;":"&amp;dHdcp[[#This Row],[Nombre]]</f>
        <v>45948:Jorge Alberto Martínez Sánchez</v>
      </c>
      <c r="N2753">
        <f>+COUNTIF(dHdcp[Columna1],dHdcp[[#This Row],[Columna1]])</f>
        <v>1</v>
      </c>
    </row>
    <row r="2754" spans="1:14">
      <c r="A2754" s="2">
        <v>45948</v>
      </c>
      <c r="B2754" t="s">
        <v>326</v>
      </c>
      <c r="C2754" s="51">
        <v>7.9</v>
      </c>
      <c r="D2754" s="46">
        <f>+VLOOKUP(dHdcp[[#This Row],[Handicap]],'Categoría Hdcap'!$B$2:$E$7,4)</f>
        <v>2</v>
      </c>
      <c r="E2754" t="s">
        <v>74</v>
      </c>
      <c r="F2754" s="92"/>
      <c r="G2754">
        <f>+IF(dHdcp[[#This Row],[Fecha]]=MAX(dHdcp[Fecha]),1,0)</f>
        <v>0</v>
      </c>
      <c r="H2754" t="str">
        <f>+dHdcp[[#This Row],[Maximo]]&amp;":"&amp;dHdcp[[#This Row],[Nombre]]</f>
        <v>0:Eduardo Buendía</v>
      </c>
      <c r="I2754" t="str">
        <f>+dHdcp[[#This Row],[Maximo]]&amp;":"&amp;_xlfn.XLOOKUP(dHdcp[[#This Row],[Nombre]],dJugador[Nombre],dJugador[Mote],"",0)</f>
        <v>0:Eduardo</v>
      </c>
      <c r="J2754" t="str">
        <f>+IF(dHdcp[[#This Row],[Maximo]]=0,"",_xlfn.RANK.EQ(dHdcp[[#This Row],[Handicap]],dHdcp[Handicap],1))</f>
        <v/>
      </c>
      <c r="K2754" t="str">
        <f>IFERROR(+_xlfn.RANK.EQ(dHdcp[[#This Row],[Ranking]],dHdcp[Ranking],1),"")</f>
        <v/>
      </c>
      <c r="M2754" t="str">
        <f>+dHdcp[[#This Row],[Fecha]]&amp;":"&amp;dHdcp[[#This Row],[Nombre]]</f>
        <v>45948:Eduardo Buendía</v>
      </c>
      <c r="N2754">
        <f>+COUNTIF(dHdcp[Columna1],dHdcp[[#This Row],[Columna1]])</f>
        <v>1</v>
      </c>
    </row>
    <row r="2755" spans="1:14">
      <c r="A2755" s="2">
        <v>45948</v>
      </c>
      <c r="B2755" t="s">
        <v>328</v>
      </c>
      <c r="C2755" s="51">
        <v>10.7</v>
      </c>
      <c r="D2755" s="46">
        <f>+VLOOKUP(dHdcp[[#This Row],[Handicap]],'Categoría Hdcap'!$B$2:$E$7,4)</f>
        <v>2</v>
      </c>
      <c r="E2755" t="s">
        <v>74</v>
      </c>
      <c r="F2755" s="92"/>
      <c r="G2755">
        <f>+IF(dHdcp[[#This Row],[Fecha]]=MAX(dHdcp[Fecha]),1,0)</f>
        <v>0</v>
      </c>
      <c r="H2755" t="str">
        <f>+dHdcp[[#This Row],[Maximo]]&amp;":"&amp;dHdcp[[#This Row],[Nombre]]</f>
        <v>0:Javier Arcos</v>
      </c>
      <c r="I2755" t="str">
        <f>+dHdcp[[#This Row],[Maximo]]&amp;":"&amp;_xlfn.XLOOKUP(dHdcp[[#This Row],[Nombre]],dJugador[Nombre],dJugador[Mote],"",0)</f>
        <v>0:J.Arcos</v>
      </c>
      <c r="J2755" t="str">
        <f>+IF(dHdcp[[#This Row],[Maximo]]=0,"",_xlfn.RANK.EQ(dHdcp[[#This Row],[Handicap]],dHdcp[Handicap],1))</f>
        <v/>
      </c>
      <c r="K2755" t="str">
        <f>IFERROR(+_xlfn.RANK.EQ(dHdcp[[#This Row],[Ranking]],dHdcp[Ranking],1),"")</f>
        <v/>
      </c>
      <c r="M2755" t="str">
        <f>+dHdcp[[#This Row],[Fecha]]&amp;":"&amp;dHdcp[[#This Row],[Nombre]]</f>
        <v>45948:Javier Arcos</v>
      </c>
      <c r="N2755">
        <f>+COUNTIF(dHdcp[Columna1],dHdcp[[#This Row],[Columna1]])</f>
        <v>1</v>
      </c>
    </row>
    <row r="2756" spans="1:14">
      <c r="A2756" s="2">
        <v>45948</v>
      </c>
      <c r="B2756" t="s">
        <v>375</v>
      </c>
      <c r="C2756" s="51">
        <v>11.8</v>
      </c>
      <c r="D2756" s="46">
        <f>+VLOOKUP(dHdcp[[#This Row],[Handicap]],'Categoría Hdcap'!$B$2:$E$7,4)</f>
        <v>3</v>
      </c>
      <c r="E2756" t="s">
        <v>74</v>
      </c>
      <c r="F2756" s="92"/>
      <c r="G2756">
        <f>+IF(dHdcp[[#This Row],[Fecha]]=MAX(dHdcp[Fecha]),1,0)</f>
        <v>0</v>
      </c>
      <c r="H2756" t="str">
        <f>+dHdcp[[#This Row],[Maximo]]&amp;":"&amp;dHdcp[[#This Row],[Nombre]]</f>
        <v>0:Luis Fernandez</v>
      </c>
      <c r="I2756" t="str">
        <f>+dHdcp[[#This Row],[Maximo]]&amp;":"&amp;_xlfn.XLOOKUP(dHdcp[[#This Row],[Nombre]],dJugador[Nombre],dJugador[Mote],"",0)</f>
        <v>0:Luis</v>
      </c>
      <c r="J2756" t="str">
        <f>+IF(dHdcp[[#This Row],[Maximo]]=0,"",_xlfn.RANK.EQ(dHdcp[[#This Row],[Handicap]],dHdcp[Handicap],1))</f>
        <v/>
      </c>
      <c r="K2756" t="str">
        <f>IFERROR(+_xlfn.RANK.EQ(dHdcp[[#This Row],[Ranking]],dHdcp[Ranking],1),"")</f>
        <v/>
      </c>
      <c r="M2756" t="str">
        <f>+dHdcp[[#This Row],[Fecha]]&amp;":"&amp;dHdcp[[#This Row],[Nombre]]</f>
        <v>45948:Luis Fernandez</v>
      </c>
      <c r="N2756">
        <f>+COUNTIF(dHdcp[Columna1],dHdcp[[#This Row],[Columna1]])</f>
        <v>1</v>
      </c>
    </row>
    <row r="2757" spans="1:14">
      <c r="A2757" s="2">
        <v>45948</v>
      </c>
      <c r="B2757" t="s">
        <v>388</v>
      </c>
      <c r="C2757" s="51">
        <v>24.4</v>
      </c>
      <c r="D2757" s="46">
        <f>+VLOOKUP(dHdcp[[#This Row],[Handicap]],'Categoría Hdcap'!$B$2:$E$7,4)</f>
        <v>4</v>
      </c>
      <c r="E2757" t="s">
        <v>74</v>
      </c>
      <c r="F2757" s="92"/>
      <c r="G2757">
        <f>+IF(dHdcp[[#This Row],[Fecha]]=MAX(dHdcp[Fecha]),1,0)</f>
        <v>0</v>
      </c>
      <c r="H2757" t="str">
        <f>+dHdcp[[#This Row],[Maximo]]&amp;":"&amp;dHdcp[[#This Row],[Nombre]]</f>
        <v>0:Jose Antonio Santana</v>
      </c>
      <c r="I2757" t="str">
        <f>+dHdcp[[#This Row],[Maximo]]&amp;":"&amp;_xlfn.XLOOKUP(dHdcp[[#This Row],[Nombre]],dJugador[Nombre],dJugador[Mote],"",0)</f>
        <v>0:J Antonio</v>
      </c>
      <c r="J2757" t="str">
        <f>+IF(dHdcp[[#This Row],[Maximo]]=0,"",_xlfn.RANK.EQ(dHdcp[[#This Row],[Handicap]],dHdcp[Handicap],1))</f>
        <v/>
      </c>
      <c r="K2757" t="str">
        <f>IFERROR(+_xlfn.RANK.EQ(dHdcp[[#This Row],[Ranking]],dHdcp[Ranking],1),"")</f>
        <v/>
      </c>
      <c r="M2757" t="str">
        <f>+dHdcp[[#This Row],[Fecha]]&amp;":"&amp;dHdcp[[#This Row],[Nombre]]</f>
        <v>45948:Jose Antonio Santana</v>
      </c>
      <c r="N2757">
        <f>+COUNTIF(dHdcp[Columna1],dHdcp[[#This Row],[Columna1]])</f>
        <v>1</v>
      </c>
    </row>
    <row r="2758" spans="1:14">
      <c r="A2758" s="2">
        <v>45948</v>
      </c>
      <c r="B2758" t="s">
        <v>2469</v>
      </c>
      <c r="C2758" s="51">
        <v>3.1</v>
      </c>
      <c r="D2758" s="46">
        <f>+VLOOKUP(dHdcp[[#This Row],[Handicap]],'Categoría Hdcap'!$B$2:$E$7,4)</f>
        <v>1</v>
      </c>
      <c r="E2758" t="s">
        <v>74</v>
      </c>
      <c r="F2758" s="92"/>
      <c r="G2758">
        <f>+IF(dHdcp[[#This Row],[Fecha]]=MAX(dHdcp[Fecha]),1,0)</f>
        <v>0</v>
      </c>
      <c r="H2758" t="str">
        <f>+dHdcp[[#This Row],[Maximo]]&amp;":"&amp;dHdcp[[#This Row],[Nombre]]</f>
        <v>0:Angel Santana</v>
      </c>
      <c r="I2758" t="str">
        <f>+dHdcp[[#This Row],[Maximo]]&amp;":"&amp;_xlfn.XLOOKUP(dHdcp[[#This Row],[Nombre]],dJugador[Nombre],dJugador[Mote],"",0)</f>
        <v>0:A.Santana</v>
      </c>
      <c r="J2758" t="str">
        <f>+IF(dHdcp[[#This Row],[Maximo]]=0,"",_xlfn.RANK.EQ(dHdcp[[#This Row],[Handicap]],dHdcp[Handicap],1))</f>
        <v/>
      </c>
      <c r="K2758" t="str">
        <f>IFERROR(+_xlfn.RANK.EQ(dHdcp[[#This Row],[Ranking]],dHdcp[Ranking],1),"")</f>
        <v/>
      </c>
      <c r="M2758" t="str">
        <f>+dHdcp[[#This Row],[Fecha]]&amp;":"&amp;dHdcp[[#This Row],[Nombre]]</f>
        <v>45948:Angel Santana</v>
      </c>
      <c r="N2758">
        <f>+COUNTIF(dHdcp[Columna1],dHdcp[[#This Row],[Columna1]])</f>
        <v>1</v>
      </c>
    </row>
    <row r="2759" spans="1:14">
      <c r="A2759" s="2">
        <v>45948</v>
      </c>
      <c r="B2759" t="s">
        <v>2473</v>
      </c>
      <c r="C2759" s="51">
        <v>16</v>
      </c>
      <c r="D2759" s="46">
        <f>+VLOOKUP(dHdcp[[#This Row],[Handicap]],'Categoría Hdcap'!$B$2:$E$7,4)</f>
        <v>3</v>
      </c>
      <c r="E2759" t="s">
        <v>74</v>
      </c>
      <c r="F2759" s="92"/>
      <c r="G2759">
        <f>+IF(dHdcp[[#This Row],[Fecha]]=MAX(dHdcp[Fecha]),1,0)</f>
        <v>0</v>
      </c>
      <c r="H2759" t="str">
        <f>+dHdcp[[#This Row],[Maximo]]&amp;":"&amp;dHdcp[[#This Row],[Nombre]]</f>
        <v>0:Thomas Dauterman</v>
      </c>
      <c r="I2759" t="str">
        <f>+dHdcp[[#This Row],[Maximo]]&amp;":"&amp;_xlfn.XLOOKUP(dHdcp[[#This Row],[Nombre]],dJugador[Nombre],dJugador[Mote],"",0)</f>
        <v>0:Tom</v>
      </c>
      <c r="J2759" t="str">
        <f>+IF(dHdcp[[#This Row],[Maximo]]=0,"",_xlfn.RANK.EQ(dHdcp[[#This Row],[Handicap]],dHdcp[Handicap],1))</f>
        <v/>
      </c>
      <c r="K2759" t="str">
        <f>IFERROR(+_xlfn.RANK.EQ(dHdcp[[#This Row],[Ranking]],dHdcp[Ranking],1),"")</f>
        <v/>
      </c>
      <c r="M2759" t="str">
        <f>+dHdcp[[#This Row],[Fecha]]&amp;":"&amp;dHdcp[[#This Row],[Nombre]]</f>
        <v>45948:Thomas Dauterman</v>
      </c>
      <c r="N2759">
        <f>+COUNTIF(dHdcp[Columna1],dHdcp[[#This Row],[Columna1]])</f>
        <v>1</v>
      </c>
    </row>
    <row r="2760" spans="1:14">
      <c r="A2760" s="2">
        <v>45948</v>
      </c>
      <c r="B2760" t="s">
        <v>2516</v>
      </c>
      <c r="C2760" s="51">
        <v>17.8</v>
      </c>
      <c r="D2760" s="46">
        <f>+VLOOKUP(dHdcp[[#This Row],[Handicap]],'Categoría Hdcap'!$B$2:$E$7,4)</f>
        <v>3</v>
      </c>
      <c r="E2760" t="s">
        <v>74</v>
      </c>
      <c r="F2760" s="92"/>
      <c r="G2760">
        <f>+IF(dHdcp[[#This Row],[Fecha]]=MAX(dHdcp[Fecha]),1,0)</f>
        <v>0</v>
      </c>
      <c r="H2760" t="str">
        <f>+dHdcp[[#This Row],[Maximo]]&amp;":"&amp;dHdcp[[#This Row],[Nombre]]</f>
        <v>0:Juan Sanz</v>
      </c>
      <c r="I2760" t="str">
        <f>+dHdcp[[#This Row],[Maximo]]&amp;":"&amp;_xlfn.XLOOKUP(dHdcp[[#This Row],[Nombre]],dJugador[Nombre],dJugador[Mote],"",0)</f>
        <v>0:JuanSanz</v>
      </c>
      <c r="J2760" t="str">
        <f>+IF(dHdcp[[#This Row],[Maximo]]=0,"",_xlfn.RANK.EQ(dHdcp[[#This Row],[Handicap]],dHdcp[Handicap],1))</f>
        <v/>
      </c>
      <c r="K2760" t="str">
        <f>IFERROR(+_xlfn.RANK.EQ(dHdcp[[#This Row],[Ranking]],dHdcp[Ranking],1),"")</f>
        <v/>
      </c>
      <c r="M2760" t="str">
        <f>+dHdcp[[#This Row],[Fecha]]&amp;":"&amp;dHdcp[[#This Row],[Nombre]]</f>
        <v>45948:Juan Sanz</v>
      </c>
      <c r="N2760">
        <f>+COUNTIF(dHdcp[Columna1],dHdcp[[#This Row],[Columna1]])</f>
        <v>1</v>
      </c>
    </row>
    <row r="2761" spans="1:14">
      <c r="A2761" s="2">
        <v>45948</v>
      </c>
      <c r="B2761" t="s">
        <v>2561</v>
      </c>
      <c r="C2761" s="51">
        <v>21.3</v>
      </c>
      <c r="D2761" s="46">
        <f>+VLOOKUP(dHdcp[[#This Row],[Handicap]],'Categoría Hdcap'!$B$2:$E$7,4)</f>
        <v>4</v>
      </c>
      <c r="E2761" t="s">
        <v>74</v>
      </c>
      <c r="F2761" s="92"/>
      <c r="G2761">
        <f>+IF(dHdcp[[#This Row],[Fecha]]=MAX(dHdcp[Fecha]),1,0)</f>
        <v>0</v>
      </c>
      <c r="H2761" t="str">
        <f>+dHdcp[[#This Row],[Maximo]]&amp;":"&amp;dHdcp[[#This Row],[Nombre]]</f>
        <v>0:Joaquín Sánchez</v>
      </c>
      <c r="I2761" t="str">
        <f>+dHdcp[[#This Row],[Maximo]]&amp;":"&amp;_xlfn.XLOOKUP(dHdcp[[#This Row],[Nombre]],dJugador[Nombre],dJugador[Mote],"",0)</f>
        <v>0:Joaco</v>
      </c>
      <c r="J2761" t="str">
        <f>+IF(dHdcp[[#This Row],[Maximo]]=0,"",_xlfn.RANK.EQ(dHdcp[[#This Row],[Handicap]],dHdcp[Handicap],1))</f>
        <v/>
      </c>
      <c r="K2761" t="str">
        <f>IFERROR(+_xlfn.RANK.EQ(dHdcp[[#This Row],[Ranking]],dHdcp[Ranking],1),"")</f>
        <v/>
      </c>
      <c r="M2761" t="str">
        <f>+dHdcp[[#This Row],[Fecha]]&amp;":"&amp;dHdcp[[#This Row],[Nombre]]</f>
        <v>45948:Joaquín Sánchez</v>
      </c>
      <c r="N2761">
        <f>+COUNTIF(dHdcp[Columna1],dHdcp[[#This Row],[Columna1]])</f>
        <v>1</v>
      </c>
    </row>
    <row r="2762" spans="1:14">
      <c r="A2762" s="2">
        <v>45948</v>
      </c>
      <c r="B2762" t="s">
        <v>2603</v>
      </c>
      <c r="C2762" s="51">
        <v>8.1999999999999993</v>
      </c>
      <c r="D2762" s="46">
        <f>+VLOOKUP(dHdcp[[#This Row],[Handicap]],'Categoría Hdcap'!$B$2:$E$7,4)</f>
        <v>2</v>
      </c>
      <c r="E2762" t="s">
        <v>74</v>
      </c>
      <c r="F2762" s="92"/>
      <c r="G2762">
        <f>+IF(dHdcp[[#This Row],[Fecha]]=MAX(dHdcp[Fecha]),1,0)</f>
        <v>0</v>
      </c>
      <c r="H2762" t="str">
        <f>+dHdcp[[#This Row],[Maximo]]&amp;":"&amp;dHdcp[[#This Row],[Nombre]]</f>
        <v>0:Miguel Angel Aguilera</v>
      </c>
      <c r="I2762" t="str">
        <f>+dHdcp[[#This Row],[Maximo]]&amp;":"&amp;_xlfn.XLOOKUP(dHdcp[[#This Row],[Nombre]],dJugador[Nombre],dJugador[Mote],"",0)</f>
        <v>0:M Angel</v>
      </c>
      <c r="J2762" t="str">
        <f>+IF(dHdcp[[#This Row],[Maximo]]=0,"",_xlfn.RANK.EQ(dHdcp[[#This Row],[Handicap]],dHdcp[Handicap],1))</f>
        <v/>
      </c>
      <c r="K2762" t="str">
        <f>IFERROR(+_xlfn.RANK.EQ(dHdcp[[#This Row],[Ranking]],dHdcp[Ranking],1),"")</f>
        <v/>
      </c>
      <c r="M2762" t="str">
        <f>+dHdcp[[#This Row],[Fecha]]&amp;":"&amp;dHdcp[[#This Row],[Nombre]]</f>
        <v>45948:Miguel Angel Aguilera</v>
      </c>
      <c r="N2762">
        <f>+COUNTIF(dHdcp[Columna1],dHdcp[[#This Row],[Columna1]])</f>
        <v>1</v>
      </c>
    </row>
    <row r="2763" spans="1:14">
      <c r="A2763" s="2">
        <v>45948</v>
      </c>
      <c r="B2763" t="s">
        <v>2606</v>
      </c>
      <c r="C2763" s="51">
        <v>9.8000000000000007</v>
      </c>
      <c r="D2763" s="46">
        <f>+VLOOKUP(dHdcp[[#This Row],[Handicap]],'Categoría Hdcap'!$B$2:$E$7,4)</f>
        <v>2</v>
      </c>
      <c r="E2763" t="s">
        <v>74</v>
      </c>
      <c r="F2763" s="92"/>
      <c r="G2763">
        <f>+IF(dHdcp[[#This Row],[Fecha]]=MAX(dHdcp[Fecha]),1,0)</f>
        <v>0</v>
      </c>
      <c r="H2763" t="str">
        <f>+dHdcp[[#This Row],[Maximo]]&amp;":"&amp;dHdcp[[#This Row],[Nombre]]</f>
        <v>0:Jaime de la Cal</v>
      </c>
      <c r="I2763" t="str">
        <f>+dHdcp[[#This Row],[Maximo]]&amp;":"&amp;_xlfn.XLOOKUP(dHdcp[[#This Row],[Nombre]],dJugador[Nombre],dJugador[Mote],"",0)</f>
        <v>0:Jaime</v>
      </c>
      <c r="J2763" t="str">
        <f>+IF(dHdcp[[#This Row],[Maximo]]=0,"",_xlfn.RANK.EQ(dHdcp[[#This Row],[Handicap]],dHdcp[Handicap],1))</f>
        <v/>
      </c>
      <c r="K2763" t="str">
        <f>IFERROR(+_xlfn.RANK.EQ(dHdcp[[#This Row],[Ranking]],dHdcp[Ranking],1),"")</f>
        <v/>
      </c>
      <c r="M2763" t="str">
        <f>+dHdcp[[#This Row],[Fecha]]&amp;":"&amp;dHdcp[[#This Row],[Nombre]]</f>
        <v>45948:Jaime de la Cal</v>
      </c>
      <c r="N2763">
        <f>+COUNTIF(dHdcp[Columna1],dHdcp[[#This Row],[Columna1]])</f>
        <v>1</v>
      </c>
    </row>
    <row r="2764" spans="1:14">
      <c r="A2764" s="2">
        <v>45948</v>
      </c>
      <c r="B2764" t="s">
        <v>2631</v>
      </c>
      <c r="C2764" s="51">
        <v>3.8</v>
      </c>
      <c r="D2764" s="46">
        <f>+VLOOKUP(dHdcp[[#This Row],[Handicap]],'Categoría Hdcap'!$B$2:$E$7,4)</f>
        <v>1</v>
      </c>
      <c r="E2764" t="s">
        <v>74</v>
      </c>
      <c r="F2764" s="92"/>
      <c r="G2764">
        <f>+IF(dHdcp[[#This Row],[Fecha]]=MAX(dHdcp[Fecha]),1,0)</f>
        <v>0</v>
      </c>
      <c r="H2764" t="str">
        <f>+dHdcp[[#This Row],[Maximo]]&amp;":"&amp;dHdcp[[#This Row],[Nombre]]</f>
        <v>0:Jaime Orlando Larregui</v>
      </c>
      <c r="I2764" t="str">
        <f>+dHdcp[[#This Row],[Maximo]]&amp;":"&amp;_xlfn.XLOOKUP(dHdcp[[#This Row],[Nombre]],dJugador[Nombre],dJugador[Mote],"",0)</f>
        <v>0:Orlando</v>
      </c>
      <c r="J2764" t="str">
        <f>+IF(dHdcp[[#This Row],[Maximo]]=0,"",_xlfn.RANK.EQ(dHdcp[[#This Row],[Handicap]],dHdcp[Handicap],1))</f>
        <v/>
      </c>
      <c r="K2764" t="str">
        <f>IFERROR(+_xlfn.RANK.EQ(dHdcp[[#This Row],[Ranking]],dHdcp[Ranking],1),"")</f>
        <v/>
      </c>
      <c r="M2764" t="str">
        <f>+dHdcp[[#This Row],[Fecha]]&amp;":"&amp;dHdcp[[#This Row],[Nombre]]</f>
        <v>45948:Jaime Orlando Larregui</v>
      </c>
      <c r="N2764">
        <f>+COUNTIF(dHdcp[Columna1],dHdcp[[#This Row],[Columna1]])</f>
        <v>1</v>
      </c>
    </row>
    <row r="2765" spans="1:14">
      <c r="A2765" s="2">
        <v>45983</v>
      </c>
      <c r="B2765" t="s">
        <v>3</v>
      </c>
      <c r="C2765" s="51">
        <v>5.0999999999999996</v>
      </c>
      <c r="D2765" s="46">
        <f>+VLOOKUP(dHdcp[[#This Row],[Handicap]],'Categoría Hdcap'!$B$2:$E$7,4)</f>
        <v>2</v>
      </c>
      <c r="E2765" t="s">
        <v>74</v>
      </c>
      <c r="F2765" s="92"/>
      <c r="G2765">
        <f>+IF(dHdcp[[#This Row],[Fecha]]=MAX(dHdcp[Fecha]),1,0)</f>
        <v>1</v>
      </c>
      <c r="H2765" t="str">
        <f>+dHdcp[[#This Row],[Maximo]]&amp;":"&amp;dHdcp[[#This Row],[Nombre]]</f>
        <v>1:Nacho Gonzalez</v>
      </c>
      <c r="I2765" t="str">
        <f>+dHdcp[[#This Row],[Maximo]]&amp;":"&amp;_xlfn.XLOOKUP(dHdcp[[#This Row],[Nombre]],dJugador[Nombre],dJugador[Mote],"",0)</f>
        <v>1:Nacho</v>
      </c>
      <c r="J2765">
        <f>+IF(dHdcp[[#This Row],[Maximo]]=0,"",_xlfn.RANK.EQ(dHdcp[[#This Row],[Handicap]],dHdcp[Handicap],1))</f>
        <v>190</v>
      </c>
      <c r="K2765">
        <f>IFERROR(+_xlfn.RANK.EQ(dHdcp[[#This Row],[Ranking]],dHdcp[Ranking],1),"")</f>
        <v>4</v>
      </c>
      <c r="M2765" t="str">
        <f>+dHdcp[[#This Row],[Fecha]]&amp;":"&amp;dHdcp[[#This Row],[Nombre]]</f>
        <v>45983:Nacho Gonzalez</v>
      </c>
      <c r="N2765">
        <f>+COUNTIF(dHdcp[Columna1],dHdcp[[#This Row],[Columna1]])</f>
        <v>1</v>
      </c>
    </row>
    <row r="2766" spans="1:14">
      <c r="A2766" s="2">
        <v>45983</v>
      </c>
      <c r="B2766" t="s">
        <v>6</v>
      </c>
      <c r="C2766" s="51">
        <v>6.1</v>
      </c>
      <c r="D2766" s="46">
        <f>+VLOOKUP(dHdcp[[#This Row],[Handicap]],'Categoría Hdcap'!$B$2:$E$7,4)</f>
        <v>2</v>
      </c>
      <c r="E2766" t="s">
        <v>74</v>
      </c>
      <c r="F2766" s="92"/>
      <c r="G2766">
        <f>+IF(dHdcp[[#This Row],[Fecha]]=MAX(dHdcp[Fecha]),1,0)</f>
        <v>1</v>
      </c>
      <c r="H2766" t="str">
        <f>+dHdcp[[#This Row],[Maximo]]&amp;":"&amp;dHdcp[[#This Row],[Nombre]]</f>
        <v>1:Ignacio Cadarso</v>
      </c>
      <c r="I2766" t="str">
        <f>+dHdcp[[#This Row],[Maximo]]&amp;":"&amp;_xlfn.XLOOKUP(dHdcp[[#This Row],[Nombre]],dJugador[Nombre],dJugador[Mote],"",0)</f>
        <v>1:Ignacio</v>
      </c>
      <c r="J2766">
        <f>+IF(dHdcp[[#This Row],[Maximo]]=0,"",_xlfn.RANK.EQ(dHdcp[[#This Row],[Handicap]],dHdcp[Handicap],1))</f>
        <v>316</v>
      </c>
      <c r="K2766">
        <f>IFERROR(+_xlfn.RANK.EQ(dHdcp[[#This Row],[Ranking]],dHdcp[Ranking],1),"")</f>
        <v>7</v>
      </c>
      <c r="M2766" t="str">
        <f>+dHdcp[[#This Row],[Fecha]]&amp;":"&amp;dHdcp[[#This Row],[Nombre]]</f>
        <v>45983:Ignacio Cadarso</v>
      </c>
      <c r="N2766">
        <f>+COUNTIF(dHdcp[Columna1],dHdcp[[#This Row],[Columna1]])</f>
        <v>1</v>
      </c>
    </row>
    <row r="2767" spans="1:14">
      <c r="A2767" s="2">
        <v>45983</v>
      </c>
      <c r="B2767" t="s">
        <v>9</v>
      </c>
      <c r="C2767" s="51">
        <v>12.2</v>
      </c>
      <c r="D2767" s="46">
        <f>+VLOOKUP(dHdcp[[#This Row],[Handicap]],'Categoría Hdcap'!$B$2:$E$7,4)</f>
        <v>3</v>
      </c>
      <c r="E2767" t="s">
        <v>74</v>
      </c>
      <c r="F2767" s="92"/>
      <c r="G2767">
        <f>+IF(dHdcp[[#This Row],[Fecha]]=MAX(dHdcp[Fecha]),1,0)</f>
        <v>1</v>
      </c>
      <c r="H2767" t="str">
        <f>+dHdcp[[#This Row],[Maximo]]&amp;":"&amp;dHdcp[[#This Row],[Nombre]]</f>
        <v>1:Alfonso Hidalgo</v>
      </c>
      <c r="I2767" t="str">
        <f>+dHdcp[[#This Row],[Maximo]]&amp;":"&amp;_xlfn.XLOOKUP(dHdcp[[#This Row],[Nombre]],dJugador[Nombre],dJugador[Mote],"",0)</f>
        <v>1:Alfonso</v>
      </c>
      <c r="J2767">
        <f>+IF(dHdcp[[#This Row],[Maximo]]=0,"",_xlfn.RANK.EQ(dHdcp[[#This Row],[Handicap]],dHdcp[Handicap],1))</f>
        <v>1188</v>
      </c>
      <c r="K2767">
        <f>IFERROR(+_xlfn.RANK.EQ(dHdcp[[#This Row],[Ranking]],dHdcp[Ranking],1),"")</f>
        <v>18</v>
      </c>
      <c r="M2767" t="str">
        <f>+dHdcp[[#This Row],[Fecha]]&amp;":"&amp;dHdcp[[#This Row],[Nombre]]</f>
        <v>45983:Alfonso Hidalgo</v>
      </c>
      <c r="N2767">
        <f>+COUNTIF(dHdcp[Columna1],dHdcp[[#This Row],[Columna1]])</f>
        <v>1</v>
      </c>
    </row>
    <row r="2768" spans="1:14">
      <c r="A2768" s="2">
        <v>45983</v>
      </c>
      <c r="B2768" t="s">
        <v>12</v>
      </c>
      <c r="C2768" s="51">
        <v>13.9</v>
      </c>
      <c r="D2768" s="46">
        <f>+VLOOKUP(dHdcp[[#This Row],[Handicap]],'Categoría Hdcap'!$B$2:$E$7,4)</f>
        <v>3</v>
      </c>
      <c r="E2768" t="s">
        <v>74</v>
      </c>
      <c r="F2768" s="92"/>
      <c r="G2768">
        <f>+IF(dHdcp[[#This Row],[Fecha]]=MAX(dHdcp[Fecha]),1,0)</f>
        <v>1</v>
      </c>
      <c r="H2768" t="str">
        <f>+dHdcp[[#This Row],[Maximo]]&amp;":"&amp;dHdcp[[#This Row],[Nombre]]</f>
        <v>1:Francisco Alvarez</v>
      </c>
      <c r="I2768" t="str">
        <f>+dHdcp[[#This Row],[Maximo]]&amp;":"&amp;_xlfn.XLOOKUP(dHdcp[[#This Row],[Nombre]],dJugador[Nombre],dJugador[Mote],"",0)</f>
        <v>1:Paco</v>
      </c>
      <c r="J2768">
        <f>+IF(dHdcp[[#This Row],[Maximo]]=0,"",_xlfn.RANK.EQ(dHdcp[[#This Row],[Handicap]],dHdcp[Handicap],1))</f>
        <v>1519</v>
      </c>
      <c r="K2768">
        <f>IFERROR(+_xlfn.RANK.EQ(dHdcp[[#This Row],[Ranking]],dHdcp[Ranking],1),"")</f>
        <v>20</v>
      </c>
      <c r="M2768" t="str">
        <f>+dHdcp[[#This Row],[Fecha]]&amp;":"&amp;dHdcp[[#This Row],[Nombre]]</f>
        <v>45983:Francisco Alvarez</v>
      </c>
      <c r="N2768">
        <f>+COUNTIF(dHdcp[Columna1],dHdcp[[#This Row],[Columna1]])</f>
        <v>1</v>
      </c>
    </row>
    <row r="2769" spans="1:14">
      <c r="A2769" s="2">
        <v>45983</v>
      </c>
      <c r="B2769" t="s">
        <v>15</v>
      </c>
      <c r="C2769" s="51">
        <v>6.6</v>
      </c>
      <c r="D2769" s="46">
        <f>+VLOOKUP(dHdcp[[#This Row],[Handicap]],'Categoría Hdcap'!$B$2:$E$7,4)</f>
        <v>2</v>
      </c>
      <c r="E2769" t="s">
        <v>74</v>
      </c>
      <c r="F2769" s="92"/>
      <c r="G2769">
        <f>+IF(dHdcp[[#This Row],[Fecha]]=MAX(dHdcp[Fecha]),1,0)</f>
        <v>1</v>
      </c>
      <c r="H2769" t="str">
        <f>+dHdcp[[#This Row],[Maximo]]&amp;":"&amp;dHdcp[[#This Row],[Nombre]]</f>
        <v>1:Alvaro Aguirre</v>
      </c>
      <c r="I2769" t="str">
        <f>+dHdcp[[#This Row],[Maximo]]&amp;":"&amp;_xlfn.XLOOKUP(dHdcp[[#This Row],[Nombre]],dJugador[Nombre],dJugador[Mote],"",0)</f>
        <v>1:Gifu</v>
      </c>
      <c r="J2769">
        <f>+IF(dHdcp[[#This Row],[Maximo]]=0,"",_xlfn.RANK.EQ(dHdcp[[#This Row],[Handicap]],dHdcp[Handicap],1))</f>
        <v>408</v>
      </c>
      <c r="K2769">
        <f>IFERROR(+_xlfn.RANK.EQ(dHdcp[[#This Row],[Ranking]],dHdcp[Ranking],1),"")</f>
        <v>9</v>
      </c>
      <c r="M2769" t="str">
        <f>+dHdcp[[#This Row],[Fecha]]&amp;":"&amp;dHdcp[[#This Row],[Nombre]]</f>
        <v>45983:Alvaro Aguirre</v>
      </c>
      <c r="N2769">
        <f>+COUNTIF(dHdcp[Columna1],dHdcp[[#This Row],[Columna1]])</f>
        <v>1</v>
      </c>
    </row>
    <row r="2770" spans="1:14">
      <c r="A2770" s="2">
        <v>45983</v>
      </c>
      <c r="B2770" t="s">
        <v>18</v>
      </c>
      <c r="C2770" s="51">
        <v>7.4</v>
      </c>
      <c r="D2770" s="46">
        <f>+VLOOKUP(dHdcp[[#This Row],[Handicap]],'Categoría Hdcap'!$B$2:$E$7,4)</f>
        <v>2</v>
      </c>
      <c r="E2770" t="s">
        <v>74</v>
      </c>
      <c r="F2770" s="92"/>
      <c r="G2770">
        <f>+IF(dHdcp[[#This Row],[Fecha]]=MAX(dHdcp[Fecha]),1,0)</f>
        <v>1</v>
      </c>
      <c r="H2770" t="str">
        <f>+dHdcp[[#This Row],[Maximo]]&amp;":"&amp;dHdcp[[#This Row],[Nombre]]</f>
        <v>1:José Pablo Guil</v>
      </c>
      <c r="I2770" t="str">
        <f>+dHdcp[[#This Row],[Maximo]]&amp;":"&amp;_xlfn.XLOOKUP(dHdcp[[#This Row],[Nombre]],dJugador[Nombre],dJugador[Mote],"",0)</f>
        <v>1:JP</v>
      </c>
      <c r="J2770">
        <f>+IF(dHdcp[[#This Row],[Maximo]]=0,"",_xlfn.RANK.EQ(dHdcp[[#This Row],[Handicap]],dHdcp[Handicap],1))</f>
        <v>579</v>
      </c>
      <c r="K2770">
        <f>IFERROR(+_xlfn.RANK.EQ(dHdcp[[#This Row],[Ranking]],dHdcp[Ranking],1),"")</f>
        <v>10</v>
      </c>
      <c r="M2770" t="str">
        <f>+dHdcp[[#This Row],[Fecha]]&amp;":"&amp;dHdcp[[#This Row],[Nombre]]</f>
        <v>45983:José Pablo Guil</v>
      </c>
      <c r="N2770">
        <f>+COUNTIF(dHdcp[Columna1],dHdcp[[#This Row],[Columna1]])</f>
        <v>1</v>
      </c>
    </row>
    <row r="2771" spans="1:14">
      <c r="A2771" s="2">
        <v>45983</v>
      </c>
      <c r="B2771" t="s">
        <v>20</v>
      </c>
      <c r="C2771" s="51">
        <v>19.7</v>
      </c>
      <c r="D2771" s="46">
        <f>+VLOOKUP(dHdcp[[#This Row],[Handicap]],'Categoría Hdcap'!$B$2:$E$7,4)</f>
        <v>4</v>
      </c>
      <c r="E2771" t="s">
        <v>74</v>
      </c>
      <c r="F2771" s="92"/>
      <c r="G2771">
        <f>+IF(dHdcp[[#This Row],[Fecha]]=MAX(dHdcp[Fecha]),1,0)</f>
        <v>1</v>
      </c>
      <c r="H2771" t="str">
        <f>+dHdcp[[#This Row],[Maximo]]&amp;":"&amp;dHdcp[[#This Row],[Nombre]]</f>
        <v>1:Javier Gonzalez Salvador</v>
      </c>
      <c r="I2771" t="str">
        <f>+dHdcp[[#This Row],[Maximo]]&amp;":"&amp;_xlfn.XLOOKUP(dHdcp[[#This Row],[Nombre]],dJugador[Nombre],dJugador[Mote],"",0)</f>
        <v>1:Javi</v>
      </c>
      <c r="J2771">
        <f>+IF(dHdcp[[#This Row],[Maximo]]=0,"",_xlfn.RANK.EQ(dHdcp[[#This Row],[Handicap]],dHdcp[Handicap],1))</f>
        <v>2438</v>
      </c>
      <c r="K2771">
        <f>IFERROR(+_xlfn.RANK.EQ(dHdcp[[#This Row],[Ranking]],dHdcp[Ranking],1),"")</f>
        <v>32</v>
      </c>
      <c r="M2771" t="str">
        <f>+dHdcp[[#This Row],[Fecha]]&amp;":"&amp;dHdcp[[#This Row],[Nombre]]</f>
        <v>45983:Javier Gonzalez Salvador</v>
      </c>
      <c r="N2771">
        <f>+COUNTIF(dHdcp[Columna1],dHdcp[[#This Row],[Columna1]])</f>
        <v>1</v>
      </c>
    </row>
    <row r="2772" spans="1:14">
      <c r="A2772" s="2">
        <v>45983</v>
      </c>
      <c r="B2772" t="s">
        <v>23</v>
      </c>
      <c r="C2772" s="51">
        <v>18.8</v>
      </c>
      <c r="D2772" s="46">
        <f>+VLOOKUP(dHdcp[[#This Row],[Handicap]],'Categoría Hdcap'!$B$2:$E$7,4)</f>
        <v>4</v>
      </c>
      <c r="E2772" t="s">
        <v>74</v>
      </c>
      <c r="F2772" s="92"/>
      <c r="G2772">
        <f>+IF(dHdcp[[#This Row],[Fecha]]=MAX(dHdcp[Fecha]),1,0)</f>
        <v>1</v>
      </c>
      <c r="H2772" t="str">
        <f>+dHdcp[[#This Row],[Maximo]]&amp;":"&amp;dHdcp[[#This Row],[Nombre]]</f>
        <v>1:J. Enrique Gonzalez</v>
      </c>
      <c r="I2772" t="str">
        <f>+dHdcp[[#This Row],[Maximo]]&amp;":"&amp;_xlfn.XLOOKUP(dHdcp[[#This Row],[Nombre]],dJugador[Nombre],dJugador[Mote],"",0)</f>
        <v>1:Kike</v>
      </c>
      <c r="J2772">
        <f>+IF(dHdcp[[#This Row],[Maximo]]=0,"",_xlfn.RANK.EQ(dHdcp[[#This Row],[Handicap]],dHdcp[Handicap],1))</f>
        <v>2303</v>
      </c>
      <c r="K2772">
        <f>IFERROR(+_xlfn.RANK.EQ(dHdcp[[#This Row],[Ranking]],dHdcp[Ranking],1),"")</f>
        <v>30</v>
      </c>
      <c r="M2772" t="str">
        <f>+dHdcp[[#This Row],[Fecha]]&amp;":"&amp;dHdcp[[#This Row],[Nombre]]</f>
        <v>45983:J. Enrique Gonzalez</v>
      </c>
      <c r="N2772">
        <f>+COUNTIF(dHdcp[Columna1],dHdcp[[#This Row],[Columna1]])</f>
        <v>1</v>
      </c>
    </row>
    <row r="2773" spans="1:14">
      <c r="A2773" s="2">
        <v>45983</v>
      </c>
      <c r="B2773" t="s">
        <v>25</v>
      </c>
      <c r="C2773" s="51">
        <v>15.5</v>
      </c>
      <c r="D2773" s="46">
        <f>+VLOOKUP(dHdcp[[#This Row],[Handicap]],'Categoría Hdcap'!$B$2:$E$7,4)</f>
        <v>3</v>
      </c>
      <c r="E2773" t="s">
        <v>74</v>
      </c>
      <c r="F2773" s="92"/>
      <c r="G2773">
        <f>+IF(dHdcp[[#This Row],[Fecha]]=MAX(dHdcp[Fecha]),1,0)</f>
        <v>1</v>
      </c>
      <c r="H2773" t="str">
        <f>+dHdcp[[#This Row],[Maximo]]&amp;":"&amp;dHdcp[[#This Row],[Nombre]]</f>
        <v>1:Alvaro Nieto</v>
      </c>
      <c r="I2773" t="str">
        <f>+dHdcp[[#This Row],[Maximo]]&amp;":"&amp;_xlfn.XLOOKUP(dHdcp[[#This Row],[Nombre]],dJugador[Nombre],dJugador[Mote],"",0)</f>
        <v>1:Alvaro</v>
      </c>
      <c r="J2773">
        <f>+IF(dHdcp[[#This Row],[Maximo]]=0,"",_xlfn.RANK.EQ(dHdcp[[#This Row],[Handicap]],dHdcp[Handicap],1))</f>
        <v>1812</v>
      </c>
      <c r="K2773">
        <f>IFERROR(+_xlfn.RANK.EQ(dHdcp[[#This Row],[Ranking]],dHdcp[Ranking],1),"")</f>
        <v>25</v>
      </c>
      <c r="M2773" t="str">
        <f>+dHdcp[[#This Row],[Fecha]]&amp;":"&amp;dHdcp[[#This Row],[Nombre]]</f>
        <v>45983:Alvaro Nieto</v>
      </c>
      <c r="N2773">
        <f>+COUNTIF(dHdcp[Columna1],dHdcp[[#This Row],[Columna1]])</f>
        <v>1</v>
      </c>
    </row>
    <row r="2774" spans="1:14">
      <c r="A2774" s="2">
        <v>45983</v>
      </c>
      <c r="B2774" t="s">
        <v>30</v>
      </c>
      <c r="C2774" s="51">
        <v>12.4</v>
      </c>
      <c r="D2774" s="46">
        <f>+VLOOKUP(dHdcp[[#This Row],[Handicap]],'Categoría Hdcap'!$B$2:$E$7,4)</f>
        <v>3</v>
      </c>
      <c r="E2774" t="s">
        <v>74</v>
      </c>
      <c r="F2774" s="92"/>
      <c r="G2774">
        <f>+IF(dHdcp[[#This Row],[Fecha]]=MAX(dHdcp[Fecha]),1,0)</f>
        <v>1</v>
      </c>
      <c r="H2774" t="str">
        <f>+dHdcp[[#This Row],[Maximo]]&amp;":"&amp;dHdcp[[#This Row],[Nombre]]</f>
        <v>1:David Sequera</v>
      </c>
      <c r="I2774" t="str">
        <f>+dHdcp[[#This Row],[Maximo]]&amp;":"&amp;_xlfn.XLOOKUP(dHdcp[[#This Row],[Nombre]],dJugador[Nombre],dJugador[Mote],"",0)</f>
        <v>1:David</v>
      </c>
      <c r="J2774">
        <f>+IF(dHdcp[[#This Row],[Maximo]]=0,"",_xlfn.RANK.EQ(dHdcp[[#This Row],[Handicap]],dHdcp[Handicap],1))</f>
        <v>1224</v>
      </c>
      <c r="K2774">
        <f>IFERROR(+_xlfn.RANK.EQ(dHdcp[[#This Row],[Ranking]],dHdcp[Ranking],1),"")</f>
        <v>19</v>
      </c>
      <c r="M2774" t="str">
        <f>+dHdcp[[#This Row],[Fecha]]&amp;":"&amp;dHdcp[[#This Row],[Nombre]]</f>
        <v>45983:David Sequera</v>
      </c>
      <c r="N2774">
        <f>+COUNTIF(dHdcp[Columna1],dHdcp[[#This Row],[Columna1]])</f>
        <v>1</v>
      </c>
    </row>
    <row r="2775" spans="1:14">
      <c r="A2775" s="2">
        <v>45983</v>
      </c>
      <c r="B2775" t="s">
        <v>33</v>
      </c>
      <c r="C2775" s="51">
        <v>6.4</v>
      </c>
      <c r="D2775" s="46">
        <f>+VLOOKUP(dHdcp[[#This Row],[Handicap]],'Categoría Hdcap'!$B$2:$E$7,4)</f>
        <v>2</v>
      </c>
      <c r="E2775" t="s">
        <v>74</v>
      </c>
      <c r="F2775" s="92"/>
      <c r="G2775">
        <f>+IF(dHdcp[[#This Row],[Fecha]]=MAX(dHdcp[Fecha]),1,0)</f>
        <v>1</v>
      </c>
      <c r="H2775" t="str">
        <f>+dHdcp[[#This Row],[Maximo]]&amp;":"&amp;dHdcp[[#This Row],[Nombre]]</f>
        <v>1:Angel Hernandez</v>
      </c>
      <c r="I2775" t="str">
        <f>+dHdcp[[#This Row],[Maximo]]&amp;":"&amp;_xlfn.XLOOKUP(dHdcp[[#This Row],[Nombre]],dJugador[Nombre],dJugador[Mote],"",0)</f>
        <v>1:Angel</v>
      </c>
      <c r="J2775">
        <f>+IF(dHdcp[[#This Row],[Maximo]]=0,"",_xlfn.RANK.EQ(dHdcp[[#This Row],[Handicap]],dHdcp[Handicap],1))</f>
        <v>370</v>
      </c>
      <c r="K2775">
        <f>IFERROR(+_xlfn.RANK.EQ(dHdcp[[#This Row],[Ranking]],dHdcp[Ranking],1),"")</f>
        <v>8</v>
      </c>
      <c r="M2775" t="str">
        <f>+dHdcp[[#This Row],[Fecha]]&amp;":"&amp;dHdcp[[#This Row],[Nombre]]</f>
        <v>45983:Angel Hernandez</v>
      </c>
      <c r="N2775">
        <f>+COUNTIF(dHdcp[Columna1],dHdcp[[#This Row],[Columna1]])</f>
        <v>1</v>
      </c>
    </row>
    <row r="2776" spans="1:14">
      <c r="A2776" s="2">
        <v>45983</v>
      </c>
      <c r="B2776" t="s">
        <v>35</v>
      </c>
      <c r="C2776" s="51">
        <v>20.5</v>
      </c>
      <c r="D2776" s="46">
        <f>+VLOOKUP(dHdcp[[#This Row],[Handicap]],'Categoría Hdcap'!$B$2:$E$7,4)</f>
        <v>4</v>
      </c>
      <c r="E2776" t="s">
        <v>74</v>
      </c>
      <c r="F2776" s="92"/>
      <c r="G2776">
        <f>+IF(dHdcp[[#This Row],[Fecha]]=MAX(dHdcp[Fecha]),1,0)</f>
        <v>1</v>
      </c>
      <c r="H2776" t="str">
        <f>+dHdcp[[#This Row],[Maximo]]&amp;":"&amp;dHdcp[[#This Row],[Nombre]]</f>
        <v>1:GLEZ JUAN JOSÉ</v>
      </c>
      <c r="I2776" t="str">
        <f>+dHdcp[[#This Row],[Maximo]]&amp;":"&amp;_xlfn.XLOOKUP(dHdcp[[#This Row],[Nombre]],dJugador[Nombre],dJugador[Mote],"",0)</f>
        <v>1:Juanjo</v>
      </c>
      <c r="J2776">
        <f>+IF(dHdcp[[#This Row],[Maximo]]=0,"",_xlfn.RANK.EQ(dHdcp[[#This Row],[Handicap]],dHdcp[Handicap],1))</f>
        <v>2482</v>
      </c>
      <c r="K2776">
        <f>IFERROR(+_xlfn.RANK.EQ(dHdcp[[#This Row],[Ranking]],dHdcp[Ranking],1),"")</f>
        <v>34</v>
      </c>
      <c r="M2776" t="str">
        <f>+dHdcp[[#This Row],[Fecha]]&amp;":"&amp;dHdcp[[#This Row],[Nombre]]</f>
        <v>45983:GLEZ JUAN JOSÉ</v>
      </c>
      <c r="N2776">
        <f>+COUNTIF(dHdcp[Columna1],dHdcp[[#This Row],[Columna1]])</f>
        <v>1</v>
      </c>
    </row>
    <row r="2777" spans="1:14">
      <c r="A2777" s="2">
        <v>45983</v>
      </c>
      <c r="B2777" t="s">
        <v>41</v>
      </c>
      <c r="C2777" s="51">
        <v>22.4</v>
      </c>
      <c r="D2777" s="46">
        <f>+VLOOKUP(dHdcp[[#This Row],[Handicap]],'Categoría Hdcap'!$B$2:$E$7,4)</f>
        <v>4</v>
      </c>
      <c r="E2777" t="s">
        <v>74</v>
      </c>
      <c r="F2777" s="92"/>
      <c r="G2777">
        <f>+IF(dHdcp[[#This Row],[Fecha]]=MAX(dHdcp[Fecha]),1,0)</f>
        <v>1</v>
      </c>
      <c r="H2777" t="str">
        <f>+dHdcp[[#This Row],[Maximo]]&amp;":"&amp;dHdcp[[#This Row],[Nombre]]</f>
        <v>1:Jesus Touceda</v>
      </c>
      <c r="I2777" t="str">
        <f>+dHdcp[[#This Row],[Maximo]]&amp;":"&amp;_xlfn.XLOOKUP(dHdcp[[#This Row],[Nombre]],dJugador[Nombre],dJugador[Mote],"",0)</f>
        <v>1:Jesús</v>
      </c>
      <c r="J2777">
        <f>+IF(dHdcp[[#This Row],[Maximo]]=0,"",_xlfn.RANK.EQ(dHdcp[[#This Row],[Handicap]],dHdcp[Handicap],1))</f>
        <v>2649</v>
      </c>
      <c r="K2777">
        <f>IFERROR(+_xlfn.RANK.EQ(dHdcp[[#This Row],[Ranking]],dHdcp[Ranking],1),"")</f>
        <v>38</v>
      </c>
      <c r="M2777" t="str">
        <f>+dHdcp[[#This Row],[Fecha]]&amp;":"&amp;dHdcp[[#This Row],[Nombre]]</f>
        <v>45983:Jesus Touceda</v>
      </c>
      <c r="N2777">
        <f>+COUNTIF(dHdcp[Columna1],dHdcp[[#This Row],[Columna1]])</f>
        <v>1</v>
      </c>
    </row>
    <row r="2778" spans="1:14">
      <c r="A2778" s="2">
        <v>45983</v>
      </c>
      <c r="B2778" t="s">
        <v>46</v>
      </c>
      <c r="C2778" s="51">
        <v>19</v>
      </c>
      <c r="D2778" s="46">
        <f>+VLOOKUP(dHdcp[[#This Row],[Handicap]],'Categoría Hdcap'!$B$2:$E$7,4)</f>
        <v>4</v>
      </c>
      <c r="E2778" t="s">
        <v>74</v>
      </c>
      <c r="F2778" s="92"/>
      <c r="G2778">
        <f>+IF(dHdcp[[#This Row],[Fecha]]=MAX(dHdcp[Fecha]),1,0)</f>
        <v>1</v>
      </c>
      <c r="H2778" t="str">
        <f>+dHdcp[[#This Row],[Maximo]]&amp;":"&amp;dHdcp[[#This Row],[Nombre]]</f>
        <v>1:Javier Cervera</v>
      </c>
      <c r="I2778" t="str">
        <f>+dHdcp[[#This Row],[Maximo]]&amp;":"&amp;_xlfn.XLOOKUP(dHdcp[[#This Row],[Nombre]],dJugador[Nombre],dJugador[Mote],"",0)</f>
        <v>1:Virus</v>
      </c>
      <c r="J2778">
        <f>+IF(dHdcp[[#This Row],[Maximo]]=0,"",_xlfn.RANK.EQ(dHdcp[[#This Row],[Handicap]],dHdcp[Handicap],1))</f>
        <v>2340</v>
      </c>
      <c r="K2778">
        <f>IFERROR(+_xlfn.RANK.EQ(dHdcp[[#This Row],[Ranking]],dHdcp[Ranking],1),"")</f>
        <v>31</v>
      </c>
      <c r="M2778" t="str">
        <f>+dHdcp[[#This Row],[Fecha]]&amp;":"&amp;dHdcp[[#This Row],[Nombre]]</f>
        <v>45983:Javier Cervera</v>
      </c>
      <c r="N2778">
        <f>+COUNTIF(dHdcp[Columna1],dHdcp[[#This Row],[Columna1]])</f>
        <v>1</v>
      </c>
    </row>
    <row r="2779" spans="1:14">
      <c r="A2779" s="2">
        <v>45983</v>
      </c>
      <c r="B2779" t="s">
        <v>49</v>
      </c>
      <c r="C2779" s="51">
        <v>15.3</v>
      </c>
      <c r="D2779" s="46">
        <f>+VLOOKUP(dHdcp[[#This Row],[Handicap]],'Categoría Hdcap'!$B$2:$E$7,4)</f>
        <v>3</v>
      </c>
      <c r="E2779" t="s">
        <v>74</v>
      </c>
      <c r="F2779" s="92"/>
      <c r="G2779">
        <f>+IF(dHdcp[[#This Row],[Fecha]]=MAX(dHdcp[Fecha]),1,0)</f>
        <v>1</v>
      </c>
      <c r="H2779" t="str">
        <f>+dHdcp[[#This Row],[Maximo]]&amp;":"&amp;dHdcp[[#This Row],[Nombre]]</f>
        <v>1:Francisco Hidalgo</v>
      </c>
      <c r="I2779" t="str">
        <f>+dHdcp[[#This Row],[Maximo]]&amp;":"&amp;_xlfn.XLOOKUP(dHdcp[[#This Row],[Nombre]],dJugador[Nombre],dJugador[Mote],"",0)</f>
        <v>1:Fran</v>
      </c>
      <c r="J2779">
        <f>+IF(dHdcp[[#This Row],[Maximo]]=0,"",_xlfn.RANK.EQ(dHdcp[[#This Row],[Handicap]],dHdcp[Handicap],1))</f>
        <v>1788</v>
      </c>
      <c r="K2779">
        <f>IFERROR(+_xlfn.RANK.EQ(dHdcp[[#This Row],[Ranking]],dHdcp[Ranking],1),"")</f>
        <v>24</v>
      </c>
      <c r="M2779" t="str">
        <f>+dHdcp[[#This Row],[Fecha]]&amp;":"&amp;dHdcp[[#This Row],[Nombre]]</f>
        <v>45983:Francisco Hidalgo</v>
      </c>
      <c r="N2779">
        <f>+COUNTIF(dHdcp[Columna1],dHdcp[[#This Row],[Columna1]])</f>
        <v>1</v>
      </c>
    </row>
    <row r="2780" spans="1:14">
      <c r="A2780" s="2">
        <v>45983</v>
      </c>
      <c r="B2780" t="s">
        <v>135</v>
      </c>
      <c r="C2780" s="51">
        <v>19.899999999999999</v>
      </c>
      <c r="D2780" s="46">
        <f>+VLOOKUP(dHdcp[[#This Row],[Handicap]],'Categoría Hdcap'!$B$2:$E$7,4)</f>
        <v>4</v>
      </c>
      <c r="E2780" t="s">
        <v>74</v>
      </c>
      <c r="F2780" s="92"/>
      <c r="G2780">
        <f>+IF(dHdcp[[#This Row],[Fecha]]=MAX(dHdcp[Fecha]),1,0)</f>
        <v>1</v>
      </c>
      <c r="H2780" t="str">
        <f>+dHdcp[[#This Row],[Maximo]]&amp;":"&amp;dHdcp[[#This Row],[Nombre]]</f>
        <v>1:Miche Lopez</v>
      </c>
      <c r="I2780" t="str">
        <f>+dHdcp[[#This Row],[Maximo]]&amp;":"&amp;_xlfn.XLOOKUP(dHdcp[[#This Row],[Nombre]],dJugador[Nombre],dJugador[Mote],"",0)</f>
        <v>1:Miche</v>
      </c>
      <c r="J2780">
        <f>+IF(dHdcp[[#This Row],[Maximo]]=0,"",_xlfn.RANK.EQ(dHdcp[[#This Row],[Handicap]],dHdcp[Handicap],1))</f>
        <v>2450</v>
      </c>
      <c r="K2780">
        <f>IFERROR(+_xlfn.RANK.EQ(dHdcp[[#This Row],[Ranking]],dHdcp[Ranking],1),"")</f>
        <v>33</v>
      </c>
      <c r="M2780" t="str">
        <f>+dHdcp[[#This Row],[Fecha]]&amp;":"&amp;dHdcp[[#This Row],[Nombre]]</f>
        <v>45983:Miche Lopez</v>
      </c>
      <c r="N2780">
        <f>+COUNTIF(dHdcp[Columna1],dHdcp[[#This Row],[Columna1]])</f>
        <v>1</v>
      </c>
    </row>
    <row r="2781" spans="1:14">
      <c r="A2781" s="2">
        <v>45983</v>
      </c>
      <c r="B2781" t="s">
        <v>201</v>
      </c>
      <c r="C2781" s="51">
        <v>5.6</v>
      </c>
      <c r="D2781" s="46">
        <f>+VLOOKUP(dHdcp[[#This Row],[Handicap]],'Categoría Hdcap'!$B$2:$E$7,4)</f>
        <v>2</v>
      </c>
      <c r="E2781" t="s">
        <v>74</v>
      </c>
      <c r="F2781" s="92"/>
      <c r="G2781">
        <f>+IF(dHdcp[[#This Row],[Fecha]]=MAX(dHdcp[Fecha]),1,0)</f>
        <v>1</v>
      </c>
      <c r="H2781" t="str">
        <f>+dHdcp[[#This Row],[Maximo]]&amp;":"&amp;dHdcp[[#This Row],[Nombre]]</f>
        <v>1:Alvaro Montoya</v>
      </c>
      <c r="I2781" t="str">
        <f>+dHdcp[[#This Row],[Maximo]]&amp;":"&amp;_xlfn.XLOOKUP(dHdcp[[#This Row],[Nombre]],dJugador[Nombre],dJugador[Mote],"",0)</f>
        <v>1:Monti</v>
      </c>
      <c r="J2781">
        <f>+IF(dHdcp[[#This Row],[Maximo]]=0,"",_xlfn.RANK.EQ(dHdcp[[#This Row],[Handicap]],dHdcp[Handicap],1))</f>
        <v>248</v>
      </c>
      <c r="K2781">
        <f>IFERROR(+_xlfn.RANK.EQ(dHdcp[[#This Row],[Ranking]],dHdcp[Ranking],1),"")</f>
        <v>6</v>
      </c>
      <c r="M2781" t="str">
        <f>+dHdcp[[#This Row],[Fecha]]&amp;":"&amp;dHdcp[[#This Row],[Nombre]]</f>
        <v>45983:Alvaro Montoya</v>
      </c>
      <c r="N2781">
        <f>+COUNTIF(dHdcp[Columna1],dHdcp[[#This Row],[Columna1]])</f>
        <v>1</v>
      </c>
    </row>
    <row r="2782" spans="1:14">
      <c r="A2782" s="2">
        <v>45983</v>
      </c>
      <c r="B2782" t="s">
        <v>203</v>
      </c>
      <c r="C2782" s="51">
        <v>17.600000000000001</v>
      </c>
      <c r="D2782" s="46">
        <f>+VLOOKUP(dHdcp[[#This Row],[Handicap]],'Categoría Hdcap'!$B$2:$E$7,4)</f>
        <v>3</v>
      </c>
      <c r="E2782" t="s">
        <v>74</v>
      </c>
      <c r="F2782" s="92"/>
      <c r="G2782">
        <f>+IF(dHdcp[[#This Row],[Fecha]]=MAX(dHdcp[Fecha]),1,0)</f>
        <v>1</v>
      </c>
      <c r="H2782" t="str">
        <f>+dHdcp[[#This Row],[Maximo]]&amp;":"&amp;dHdcp[[#This Row],[Nombre]]</f>
        <v>1:Ruslan Kochman</v>
      </c>
      <c r="I2782" t="str">
        <f>+dHdcp[[#This Row],[Maximo]]&amp;":"&amp;_xlfn.XLOOKUP(dHdcp[[#This Row],[Nombre]],dJugador[Nombre],dJugador[Mote],"",0)</f>
        <v>1:Rus</v>
      </c>
      <c r="J2782">
        <f>+IF(dHdcp[[#This Row],[Maximo]]=0,"",_xlfn.RANK.EQ(dHdcp[[#This Row],[Handicap]],dHdcp[Handicap],1))</f>
        <v>2124</v>
      </c>
      <c r="K2782">
        <f>IFERROR(+_xlfn.RANK.EQ(dHdcp[[#This Row],[Ranking]],dHdcp[Ranking],1),"")</f>
        <v>28</v>
      </c>
      <c r="M2782" t="str">
        <f>+dHdcp[[#This Row],[Fecha]]&amp;":"&amp;dHdcp[[#This Row],[Nombre]]</f>
        <v>45983:Ruslan Kochman</v>
      </c>
      <c r="N2782">
        <f>+COUNTIF(dHdcp[Columna1],dHdcp[[#This Row],[Columna1]])</f>
        <v>1</v>
      </c>
    </row>
    <row r="2783" spans="1:14">
      <c r="A2783" s="2">
        <v>45983</v>
      </c>
      <c r="B2783" t="s">
        <v>205</v>
      </c>
      <c r="C2783" s="51">
        <v>5.2</v>
      </c>
      <c r="D2783" s="46">
        <f>+VLOOKUP(dHdcp[[#This Row],[Handicap]],'Categoría Hdcap'!$B$2:$E$7,4)</f>
        <v>2</v>
      </c>
      <c r="E2783" t="s">
        <v>74</v>
      </c>
      <c r="F2783" s="92"/>
      <c r="G2783">
        <f>+IF(dHdcp[[#This Row],[Fecha]]=MAX(dHdcp[Fecha]),1,0)</f>
        <v>1</v>
      </c>
      <c r="H2783" t="str">
        <f>+dHdcp[[#This Row],[Maximo]]&amp;":"&amp;dHdcp[[#This Row],[Nombre]]</f>
        <v>1:Nacho Casas</v>
      </c>
      <c r="I2783" t="str">
        <f>+dHdcp[[#This Row],[Maximo]]&amp;":"&amp;_xlfn.XLOOKUP(dHdcp[[#This Row],[Nombre]],dJugador[Nombre],dJugador[Mote],"",0)</f>
        <v>1:Nachete</v>
      </c>
      <c r="J2783">
        <f>+IF(dHdcp[[#This Row],[Maximo]]=0,"",_xlfn.RANK.EQ(dHdcp[[#This Row],[Handicap]],dHdcp[Handicap],1))</f>
        <v>199</v>
      </c>
      <c r="K2783">
        <f>IFERROR(+_xlfn.RANK.EQ(dHdcp[[#This Row],[Ranking]],dHdcp[Ranking],1),"")</f>
        <v>5</v>
      </c>
      <c r="M2783" t="str">
        <f>+dHdcp[[#This Row],[Fecha]]&amp;":"&amp;dHdcp[[#This Row],[Nombre]]</f>
        <v>45983:Nacho Casas</v>
      </c>
      <c r="N2783">
        <f>+COUNTIF(dHdcp[Columna1],dHdcp[[#This Row],[Columna1]])</f>
        <v>1</v>
      </c>
    </row>
    <row r="2784" spans="1:14">
      <c r="A2784" s="2">
        <v>45983</v>
      </c>
      <c r="B2784" t="s">
        <v>207</v>
      </c>
      <c r="C2784" s="51">
        <v>15</v>
      </c>
      <c r="D2784" s="46">
        <f>+VLOOKUP(dHdcp[[#This Row],[Handicap]],'Categoría Hdcap'!$B$2:$E$7,4)</f>
        <v>3</v>
      </c>
      <c r="E2784" t="s">
        <v>74</v>
      </c>
      <c r="F2784" s="92"/>
      <c r="G2784">
        <f>+IF(dHdcp[[#This Row],[Fecha]]=MAX(dHdcp[Fecha]),1,0)</f>
        <v>1</v>
      </c>
      <c r="H2784" t="str">
        <f>+dHdcp[[#This Row],[Maximo]]&amp;":"&amp;dHdcp[[#This Row],[Nombre]]</f>
        <v>1:Franck Benouniche</v>
      </c>
      <c r="I2784" t="str">
        <f>+dHdcp[[#This Row],[Maximo]]&amp;":"&amp;_xlfn.XLOOKUP(dHdcp[[#This Row],[Nombre]],dJugador[Nombre],dJugador[Mote],"",0)</f>
        <v>1:Franck</v>
      </c>
      <c r="J2784">
        <f>+IF(dHdcp[[#This Row],[Maximo]]=0,"",_xlfn.RANK.EQ(dHdcp[[#This Row],[Handicap]],dHdcp[Handicap],1))</f>
        <v>1698</v>
      </c>
      <c r="K2784">
        <f>IFERROR(+_xlfn.RANK.EQ(dHdcp[[#This Row],[Ranking]],dHdcp[Ranking],1),"")</f>
        <v>22</v>
      </c>
      <c r="M2784" t="str">
        <f>+dHdcp[[#This Row],[Fecha]]&amp;":"&amp;dHdcp[[#This Row],[Nombre]]</f>
        <v>45983:Franck Benouniche</v>
      </c>
      <c r="N2784">
        <f>+COUNTIF(dHdcp[Columna1],dHdcp[[#This Row],[Columna1]])</f>
        <v>1</v>
      </c>
    </row>
    <row r="2785" spans="1:14">
      <c r="A2785" s="2">
        <v>45983</v>
      </c>
      <c r="B2785" t="s">
        <v>217</v>
      </c>
      <c r="C2785" s="51">
        <v>21.5</v>
      </c>
      <c r="D2785" s="46">
        <f>+VLOOKUP(dHdcp[[#This Row],[Handicap]],'Categoría Hdcap'!$B$2:$E$7,4)</f>
        <v>4</v>
      </c>
      <c r="E2785" t="s">
        <v>74</v>
      </c>
      <c r="F2785" s="92"/>
      <c r="G2785">
        <f>+IF(dHdcp[[#This Row],[Fecha]]=MAX(dHdcp[Fecha]),1,0)</f>
        <v>1</v>
      </c>
      <c r="H2785" t="str">
        <f>+dHdcp[[#This Row],[Maximo]]&amp;":"&amp;dHdcp[[#This Row],[Nombre]]</f>
        <v>1:Javier Lopez Gullón</v>
      </c>
      <c r="I2785" t="str">
        <f>+dHdcp[[#This Row],[Maximo]]&amp;":"&amp;_xlfn.XLOOKUP(dHdcp[[#This Row],[Nombre]],dJugador[Nombre],dJugador[Mote],"",0)</f>
        <v>1:Cuñao</v>
      </c>
      <c r="J2785">
        <f>+IF(dHdcp[[#This Row],[Maximo]]=0,"",_xlfn.RANK.EQ(dHdcp[[#This Row],[Handicap]],dHdcp[Handicap],1))</f>
        <v>2598</v>
      </c>
      <c r="K2785">
        <f>IFERROR(+_xlfn.RANK.EQ(dHdcp[[#This Row],[Ranking]],dHdcp[Ranking],1),"")</f>
        <v>35</v>
      </c>
      <c r="M2785" t="str">
        <f>+dHdcp[[#This Row],[Fecha]]&amp;":"&amp;dHdcp[[#This Row],[Nombre]]</f>
        <v>45983:Javier Lopez Gullón</v>
      </c>
      <c r="N2785">
        <f>+COUNTIF(dHdcp[Columna1],dHdcp[[#This Row],[Columna1]])</f>
        <v>1</v>
      </c>
    </row>
    <row r="2786" spans="1:14">
      <c r="A2786" s="2">
        <v>45983</v>
      </c>
      <c r="B2786" t="s">
        <v>225</v>
      </c>
      <c r="C2786" s="51">
        <v>10.3</v>
      </c>
      <c r="D2786" s="46">
        <f>+VLOOKUP(dHdcp[[#This Row],[Handicap]],'Categoría Hdcap'!$B$2:$E$7,4)</f>
        <v>2</v>
      </c>
      <c r="E2786" t="s">
        <v>74</v>
      </c>
      <c r="F2786" s="92"/>
      <c r="G2786">
        <f>+IF(dHdcp[[#This Row],[Fecha]]=MAX(dHdcp[Fecha]),1,0)</f>
        <v>1</v>
      </c>
      <c r="H2786" t="str">
        <f>+dHdcp[[#This Row],[Maximo]]&amp;":"&amp;dHdcp[[#This Row],[Nombre]]</f>
        <v>1:Javier Chiralt</v>
      </c>
      <c r="I2786" t="str">
        <f>+dHdcp[[#This Row],[Maximo]]&amp;":"&amp;_xlfn.XLOOKUP(dHdcp[[#This Row],[Nombre]],dJugador[Nombre],dJugador[Mote],"",0)</f>
        <v>1:Chiralt</v>
      </c>
      <c r="J2786">
        <f>+IF(dHdcp[[#This Row],[Maximo]]=0,"",_xlfn.RANK.EQ(dHdcp[[#This Row],[Handicap]],dHdcp[Handicap],1))</f>
        <v>932</v>
      </c>
      <c r="K2786">
        <f>IFERROR(+_xlfn.RANK.EQ(dHdcp[[#This Row],[Ranking]],dHdcp[Ranking],1),"")</f>
        <v>14</v>
      </c>
      <c r="M2786" t="str">
        <f>+dHdcp[[#This Row],[Fecha]]&amp;":"&amp;dHdcp[[#This Row],[Nombre]]</f>
        <v>45983:Javier Chiralt</v>
      </c>
      <c r="N2786">
        <f>+COUNTIF(dHdcp[Columna1],dHdcp[[#This Row],[Columna1]])</f>
        <v>1</v>
      </c>
    </row>
    <row r="2787" spans="1:14">
      <c r="A2787" s="2">
        <v>45983</v>
      </c>
      <c r="B2787" t="s">
        <v>248</v>
      </c>
      <c r="C2787" s="51">
        <v>11.8</v>
      </c>
      <c r="D2787" s="46">
        <f>+VLOOKUP(dHdcp[[#This Row],[Handicap]],'Categoría Hdcap'!$B$2:$E$7,4)</f>
        <v>3</v>
      </c>
      <c r="E2787" t="s">
        <v>74</v>
      </c>
      <c r="F2787" s="92"/>
      <c r="G2787">
        <f>+IF(dHdcp[[#This Row],[Fecha]]=MAX(dHdcp[Fecha]),1,0)</f>
        <v>1</v>
      </c>
      <c r="H2787" t="str">
        <f>+dHdcp[[#This Row],[Maximo]]&amp;":"&amp;dHdcp[[#This Row],[Nombre]]</f>
        <v>1:Enrique Gonzalez R</v>
      </c>
      <c r="I2787" t="str">
        <f>+dHdcp[[#This Row],[Maximo]]&amp;":"&amp;_xlfn.XLOOKUP(dHdcp[[#This Row],[Nombre]],dJugador[Nombre],dJugador[Mote],"",0)</f>
        <v>1:Enrique</v>
      </c>
      <c r="J2787">
        <f>+IF(dHdcp[[#This Row],[Maximo]]=0,"",_xlfn.RANK.EQ(dHdcp[[#This Row],[Handicap]],dHdcp[Handicap],1))</f>
        <v>1138</v>
      </c>
      <c r="K2787">
        <f>IFERROR(+_xlfn.RANK.EQ(dHdcp[[#This Row],[Ranking]],dHdcp[Ranking],1),"")</f>
        <v>16</v>
      </c>
      <c r="M2787" t="str">
        <f>+dHdcp[[#This Row],[Fecha]]&amp;":"&amp;dHdcp[[#This Row],[Nombre]]</f>
        <v>45983:Enrique Gonzalez R</v>
      </c>
      <c r="N2787">
        <f>+COUNTIF(dHdcp[Columna1],dHdcp[[#This Row],[Columna1]])</f>
        <v>1</v>
      </c>
    </row>
    <row r="2788" spans="1:14">
      <c r="A2788" s="2">
        <v>45983</v>
      </c>
      <c r="B2788" t="s">
        <v>259</v>
      </c>
      <c r="C2788" s="51">
        <v>2.1</v>
      </c>
      <c r="D2788" s="46">
        <f>+VLOOKUP(dHdcp[[#This Row],[Handicap]],'Categoría Hdcap'!$B$2:$E$7,4)</f>
        <v>1</v>
      </c>
      <c r="E2788" t="s">
        <v>74</v>
      </c>
      <c r="F2788" s="92"/>
      <c r="G2788">
        <f>+IF(dHdcp[[#This Row],[Fecha]]=MAX(dHdcp[Fecha]),1,0)</f>
        <v>1</v>
      </c>
      <c r="H2788" t="str">
        <f>+dHdcp[[#This Row],[Maximo]]&amp;":"&amp;dHdcp[[#This Row],[Nombre]]</f>
        <v>1:Alejandro Arcos</v>
      </c>
      <c r="I2788" t="str">
        <f>+dHdcp[[#This Row],[Maximo]]&amp;":"&amp;_xlfn.XLOOKUP(dHdcp[[#This Row],[Nombre]],dJugador[Nombre],dJugador[Mote],"",0)</f>
        <v>1:Alex</v>
      </c>
      <c r="J2788">
        <f>+IF(dHdcp[[#This Row],[Maximo]]=0,"",_xlfn.RANK.EQ(dHdcp[[#This Row],[Handicap]],dHdcp[Handicap],1))</f>
        <v>107</v>
      </c>
      <c r="K2788">
        <f>IFERROR(+_xlfn.RANK.EQ(dHdcp[[#This Row],[Ranking]],dHdcp[Ranking],1),"")</f>
        <v>2</v>
      </c>
      <c r="M2788" t="str">
        <f>+dHdcp[[#This Row],[Fecha]]&amp;":"&amp;dHdcp[[#This Row],[Nombre]]</f>
        <v>45983:Alejandro Arcos</v>
      </c>
      <c r="N2788">
        <f>+COUNTIF(dHdcp[Columna1],dHdcp[[#This Row],[Columna1]])</f>
        <v>1</v>
      </c>
    </row>
    <row r="2789" spans="1:14">
      <c r="A2789" s="2">
        <v>45983</v>
      </c>
      <c r="B2789" t="s">
        <v>264</v>
      </c>
      <c r="C2789" s="51">
        <v>21.9</v>
      </c>
      <c r="D2789" s="46">
        <f>+VLOOKUP(dHdcp[[#This Row],[Handicap]],'Categoría Hdcap'!$B$2:$E$7,4)</f>
        <v>4</v>
      </c>
      <c r="E2789" t="s">
        <v>74</v>
      </c>
      <c r="F2789" s="92"/>
      <c r="G2789">
        <f>+IF(dHdcp[[#This Row],[Fecha]]=MAX(dHdcp[Fecha]),1,0)</f>
        <v>1</v>
      </c>
      <c r="H2789" t="str">
        <f>+dHdcp[[#This Row],[Maximo]]&amp;":"&amp;dHdcp[[#This Row],[Nombre]]</f>
        <v>1:Antonio Carmona</v>
      </c>
      <c r="I2789" t="str">
        <f>+dHdcp[[#This Row],[Maximo]]&amp;":"&amp;_xlfn.XLOOKUP(dHdcp[[#This Row],[Nombre]],dJugador[Nombre],dJugador[Mote],"",0)</f>
        <v>1:Antonio</v>
      </c>
      <c r="J2789">
        <f>+IF(dHdcp[[#This Row],[Maximo]]=0,"",_xlfn.RANK.EQ(dHdcp[[#This Row],[Handicap]],dHdcp[Handicap],1))</f>
        <v>2614</v>
      </c>
      <c r="K2789">
        <f>IFERROR(+_xlfn.RANK.EQ(dHdcp[[#This Row],[Ranking]],dHdcp[Ranking],1),"")</f>
        <v>37</v>
      </c>
      <c r="M2789" t="str">
        <f>+dHdcp[[#This Row],[Fecha]]&amp;":"&amp;dHdcp[[#This Row],[Nombre]]</f>
        <v>45983:Antonio Carmona</v>
      </c>
      <c r="N2789">
        <f>+COUNTIF(dHdcp[Columna1],dHdcp[[#This Row],[Columna1]])</f>
        <v>1</v>
      </c>
    </row>
    <row r="2790" spans="1:14">
      <c r="A2790" s="2">
        <v>45983</v>
      </c>
      <c r="B2790" t="s">
        <v>271</v>
      </c>
      <c r="C2790" s="51">
        <v>14.9</v>
      </c>
      <c r="D2790" s="46">
        <f>+VLOOKUP(dHdcp[[#This Row],[Handicap]],'Categoría Hdcap'!$B$2:$E$7,4)</f>
        <v>3</v>
      </c>
      <c r="E2790" t="s">
        <v>74</v>
      </c>
      <c r="F2790" s="92"/>
      <c r="G2790">
        <f>+IF(dHdcp[[#This Row],[Fecha]]=MAX(dHdcp[Fecha]),1,0)</f>
        <v>1</v>
      </c>
      <c r="H2790" t="str">
        <f>+dHdcp[[#This Row],[Maximo]]&amp;":"&amp;dHdcp[[#This Row],[Nombre]]</f>
        <v>1:Santi Diaz</v>
      </c>
      <c r="I2790" t="str">
        <f>+dHdcp[[#This Row],[Maximo]]&amp;":"&amp;_xlfn.XLOOKUP(dHdcp[[#This Row],[Nombre]],dJugador[Nombre],dJugador[Mote],"",0)</f>
        <v>1:Santi</v>
      </c>
      <c r="J2790">
        <f>+IF(dHdcp[[#This Row],[Maximo]]=0,"",_xlfn.RANK.EQ(dHdcp[[#This Row],[Handicap]],dHdcp[Handicap],1))</f>
        <v>1697</v>
      </c>
      <c r="K2790">
        <f>IFERROR(+_xlfn.RANK.EQ(dHdcp[[#This Row],[Ranking]],dHdcp[Ranking],1),"")</f>
        <v>21</v>
      </c>
      <c r="M2790" t="str">
        <f>+dHdcp[[#This Row],[Fecha]]&amp;":"&amp;dHdcp[[#This Row],[Nombre]]</f>
        <v>45983:Santi Diaz</v>
      </c>
      <c r="N2790">
        <f>+COUNTIF(dHdcp[Columna1],dHdcp[[#This Row],[Columna1]])</f>
        <v>1</v>
      </c>
    </row>
    <row r="2791" spans="1:14">
      <c r="A2791" s="2">
        <v>45983</v>
      </c>
      <c r="B2791" t="s">
        <v>293</v>
      </c>
      <c r="C2791" s="51">
        <v>15.1</v>
      </c>
      <c r="D2791" s="46">
        <f>+VLOOKUP(dHdcp[[#This Row],[Handicap]],'Categoría Hdcap'!$B$2:$E$7,4)</f>
        <v>3</v>
      </c>
      <c r="E2791" t="s">
        <v>74</v>
      </c>
      <c r="F2791" s="92"/>
      <c r="G2791">
        <f>+IF(dHdcp[[#This Row],[Fecha]]=MAX(dHdcp[Fecha]),1,0)</f>
        <v>1</v>
      </c>
      <c r="H2791" t="str">
        <f>+dHdcp[[#This Row],[Maximo]]&amp;":"&amp;dHdcp[[#This Row],[Nombre]]</f>
        <v>1:Juan Jose Aguado</v>
      </c>
      <c r="I2791" t="str">
        <f>+dHdcp[[#This Row],[Maximo]]&amp;":"&amp;_xlfn.XLOOKUP(dHdcp[[#This Row],[Nombre]],dJugador[Nombre],dJugador[Mote],"",0)</f>
        <v>1:Juancho</v>
      </c>
      <c r="J2791">
        <f>+IF(dHdcp[[#This Row],[Maximo]]=0,"",_xlfn.RANK.EQ(dHdcp[[#This Row],[Handicap]],dHdcp[Handicap],1))</f>
        <v>1735</v>
      </c>
      <c r="K2791">
        <f>IFERROR(+_xlfn.RANK.EQ(dHdcp[[#This Row],[Ranking]],dHdcp[Ranking],1),"")</f>
        <v>23</v>
      </c>
      <c r="M2791" t="str">
        <f>+dHdcp[[#This Row],[Fecha]]&amp;":"&amp;dHdcp[[#This Row],[Nombre]]</f>
        <v>45983:Juan Jose Aguado</v>
      </c>
      <c r="N2791">
        <f>+COUNTIF(dHdcp[Columna1],dHdcp[[#This Row],[Columna1]])</f>
        <v>1</v>
      </c>
    </row>
    <row r="2792" spans="1:14">
      <c r="A2792" s="2">
        <v>45983</v>
      </c>
      <c r="B2792" t="s">
        <v>291</v>
      </c>
      <c r="C2792" s="51">
        <v>1.2</v>
      </c>
      <c r="D2792" s="46">
        <f>+VLOOKUP(dHdcp[[#This Row],[Handicap]],'Categoría Hdcap'!$B$2:$E$7,4)</f>
        <v>1</v>
      </c>
      <c r="E2792" t="s">
        <v>74</v>
      </c>
      <c r="F2792" s="92"/>
      <c r="G2792">
        <f>+IF(dHdcp[[#This Row],[Fecha]]=MAX(dHdcp[Fecha]),1,0)</f>
        <v>1</v>
      </c>
      <c r="H2792" t="str">
        <f>+dHdcp[[#This Row],[Maximo]]&amp;":"&amp;dHdcp[[#This Row],[Nombre]]</f>
        <v>1:Carlos Maestro</v>
      </c>
      <c r="I2792" t="str">
        <f>+dHdcp[[#This Row],[Maximo]]&amp;":"&amp;_xlfn.XLOOKUP(dHdcp[[#This Row],[Nombre]],dJugador[Nombre],dJugador[Mote],"",0)</f>
        <v>1:Carlitos</v>
      </c>
      <c r="J2792">
        <f>+IF(dHdcp[[#This Row],[Maximo]]=0,"",_xlfn.RANK.EQ(dHdcp[[#This Row],[Handicap]],dHdcp[Handicap],1))</f>
        <v>51</v>
      </c>
      <c r="K2792">
        <f>IFERROR(+_xlfn.RANK.EQ(dHdcp[[#This Row],[Ranking]],dHdcp[Ranking],1),"")</f>
        <v>1</v>
      </c>
      <c r="M2792" t="str">
        <f>+dHdcp[[#This Row],[Fecha]]&amp;":"&amp;dHdcp[[#This Row],[Nombre]]</f>
        <v>45983:Carlos Maestro</v>
      </c>
      <c r="N2792">
        <f>+COUNTIF(dHdcp[Columna1],dHdcp[[#This Row],[Columna1]])</f>
        <v>1</v>
      </c>
    </row>
    <row r="2793" spans="1:14">
      <c r="A2793" s="2">
        <v>45983</v>
      </c>
      <c r="B2793" t="s">
        <v>297</v>
      </c>
      <c r="C2793" s="51">
        <v>15.9</v>
      </c>
      <c r="D2793" s="46">
        <f>+VLOOKUP(dHdcp[[#This Row],[Handicap]],'Categoría Hdcap'!$B$2:$E$7,4)</f>
        <v>3</v>
      </c>
      <c r="E2793" t="s">
        <v>74</v>
      </c>
      <c r="F2793" s="92"/>
      <c r="G2793">
        <f>+IF(dHdcp[[#This Row],[Fecha]]=MAX(dHdcp[Fecha]),1,0)</f>
        <v>1</v>
      </c>
      <c r="H2793" t="str">
        <f>+dHdcp[[#This Row],[Maximo]]&amp;":"&amp;dHdcp[[#This Row],[Nombre]]</f>
        <v>1:Jorge Alberto Martínez Sánchez</v>
      </c>
      <c r="I2793" t="str">
        <f>+dHdcp[[#This Row],[Maximo]]&amp;":"&amp;_xlfn.XLOOKUP(dHdcp[[#This Row],[Nombre]],dJugador[Nombre],dJugador[Mote],"",0)</f>
        <v>1:Jorge</v>
      </c>
      <c r="J2793">
        <f>+IF(dHdcp[[#This Row],[Maximo]]=0,"",_xlfn.RANK.EQ(dHdcp[[#This Row],[Handicap]],dHdcp[Handicap],1))</f>
        <v>1837</v>
      </c>
      <c r="K2793">
        <f>IFERROR(+_xlfn.RANK.EQ(dHdcp[[#This Row],[Ranking]],dHdcp[Ranking],1),"")</f>
        <v>26</v>
      </c>
      <c r="M2793" t="str">
        <f>+dHdcp[[#This Row],[Fecha]]&amp;":"&amp;dHdcp[[#This Row],[Nombre]]</f>
        <v>45983:Jorge Alberto Martínez Sánchez</v>
      </c>
      <c r="N2793">
        <f>+COUNTIF(dHdcp[Columna1],dHdcp[[#This Row],[Columna1]])</f>
        <v>1</v>
      </c>
    </row>
    <row r="2794" spans="1:14">
      <c r="A2794" s="2">
        <v>45983</v>
      </c>
      <c r="B2794" t="s">
        <v>326</v>
      </c>
      <c r="C2794" s="51">
        <v>7.9</v>
      </c>
      <c r="D2794" s="46">
        <f>+VLOOKUP(dHdcp[[#This Row],[Handicap]],'Categoría Hdcap'!$B$2:$E$7,4)</f>
        <v>2</v>
      </c>
      <c r="E2794" t="s">
        <v>74</v>
      </c>
      <c r="F2794" s="92"/>
      <c r="G2794">
        <f>+IF(dHdcp[[#This Row],[Fecha]]=MAX(dHdcp[Fecha]),1,0)</f>
        <v>1</v>
      </c>
      <c r="H2794" t="str">
        <f>+dHdcp[[#This Row],[Maximo]]&amp;":"&amp;dHdcp[[#This Row],[Nombre]]</f>
        <v>1:Eduardo Buendía</v>
      </c>
      <c r="I2794" t="str">
        <f>+dHdcp[[#This Row],[Maximo]]&amp;":"&amp;_xlfn.XLOOKUP(dHdcp[[#This Row],[Nombre]],dJugador[Nombre],dJugador[Mote],"",0)</f>
        <v>1:Eduardo</v>
      </c>
      <c r="J2794">
        <f>+IF(dHdcp[[#This Row],[Maximo]]=0,"",_xlfn.RANK.EQ(dHdcp[[#This Row],[Handicap]],dHdcp[Handicap],1))</f>
        <v>658</v>
      </c>
      <c r="K2794">
        <f>IFERROR(+_xlfn.RANK.EQ(dHdcp[[#This Row],[Ranking]],dHdcp[Ranking],1),"")</f>
        <v>12</v>
      </c>
      <c r="M2794" t="str">
        <f>+dHdcp[[#This Row],[Fecha]]&amp;":"&amp;dHdcp[[#This Row],[Nombre]]</f>
        <v>45983:Eduardo Buendía</v>
      </c>
      <c r="N2794">
        <f>+COUNTIF(dHdcp[Columna1],dHdcp[[#This Row],[Columna1]])</f>
        <v>1</v>
      </c>
    </row>
    <row r="2795" spans="1:14">
      <c r="A2795" s="2">
        <v>45983</v>
      </c>
      <c r="B2795" t="s">
        <v>328</v>
      </c>
      <c r="C2795" s="51">
        <v>10.6</v>
      </c>
      <c r="D2795" s="46">
        <f>+VLOOKUP(dHdcp[[#This Row],[Handicap]],'Categoría Hdcap'!$B$2:$E$7,4)</f>
        <v>2</v>
      </c>
      <c r="E2795" t="s">
        <v>74</v>
      </c>
      <c r="F2795" s="92"/>
      <c r="G2795">
        <f>+IF(dHdcp[[#This Row],[Fecha]]=MAX(dHdcp[Fecha]),1,0)</f>
        <v>1</v>
      </c>
      <c r="H2795" t="str">
        <f>+dHdcp[[#This Row],[Maximo]]&amp;":"&amp;dHdcp[[#This Row],[Nombre]]</f>
        <v>1:Javier Arcos</v>
      </c>
      <c r="I2795" t="str">
        <f>+dHdcp[[#This Row],[Maximo]]&amp;":"&amp;_xlfn.XLOOKUP(dHdcp[[#This Row],[Nombre]],dJugador[Nombre],dJugador[Mote],"",0)</f>
        <v>1:J.Arcos</v>
      </c>
      <c r="J2795">
        <f>+IF(dHdcp[[#This Row],[Maximo]]=0,"",_xlfn.RANK.EQ(dHdcp[[#This Row],[Handicap]],dHdcp[Handicap],1))</f>
        <v>974</v>
      </c>
      <c r="K2795">
        <f>IFERROR(+_xlfn.RANK.EQ(dHdcp[[#This Row],[Ranking]],dHdcp[Ranking],1),"")</f>
        <v>15</v>
      </c>
      <c r="M2795" t="str">
        <f>+dHdcp[[#This Row],[Fecha]]&amp;":"&amp;dHdcp[[#This Row],[Nombre]]</f>
        <v>45983:Javier Arcos</v>
      </c>
      <c r="N2795">
        <f>+COUNTIF(dHdcp[Columna1],dHdcp[[#This Row],[Columna1]])</f>
        <v>1</v>
      </c>
    </row>
    <row r="2796" spans="1:14">
      <c r="A2796" s="2">
        <v>45983</v>
      </c>
      <c r="B2796" t="s">
        <v>375</v>
      </c>
      <c r="C2796" s="51">
        <v>11.8</v>
      </c>
      <c r="D2796" s="46">
        <f>+VLOOKUP(dHdcp[[#This Row],[Handicap]],'Categoría Hdcap'!$B$2:$E$7,4)</f>
        <v>3</v>
      </c>
      <c r="E2796" t="s">
        <v>74</v>
      </c>
      <c r="F2796" s="92"/>
      <c r="G2796">
        <f>+IF(dHdcp[[#This Row],[Fecha]]=MAX(dHdcp[Fecha]),1,0)</f>
        <v>1</v>
      </c>
      <c r="H2796" t="str">
        <f>+dHdcp[[#This Row],[Maximo]]&amp;":"&amp;dHdcp[[#This Row],[Nombre]]</f>
        <v>1:Luis Fernandez</v>
      </c>
      <c r="I2796" t="str">
        <f>+dHdcp[[#This Row],[Maximo]]&amp;":"&amp;_xlfn.XLOOKUP(dHdcp[[#This Row],[Nombre]],dJugador[Nombre],dJugador[Mote],"",0)</f>
        <v>1:Luis</v>
      </c>
      <c r="J2796">
        <f>+IF(dHdcp[[#This Row],[Maximo]]=0,"",_xlfn.RANK.EQ(dHdcp[[#This Row],[Handicap]],dHdcp[Handicap],1))</f>
        <v>1138</v>
      </c>
      <c r="K2796">
        <f>IFERROR(+_xlfn.RANK.EQ(dHdcp[[#This Row],[Ranking]],dHdcp[Ranking],1),"")</f>
        <v>16</v>
      </c>
      <c r="M2796" t="str">
        <f>+dHdcp[[#This Row],[Fecha]]&amp;":"&amp;dHdcp[[#This Row],[Nombre]]</f>
        <v>45983:Luis Fernandez</v>
      </c>
      <c r="N2796">
        <f>+COUNTIF(dHdcp[Columna1],dHdcp[[#This Row],[Columna1]])</f>
        <v>1</v>
      </c>
    </row>
    <row r="2797" spans="1:14">
      <c r="A2797" s="2">
        <v>45983</v>
      </c>
      <c r="B2797" t="s">
        <v>388</v>
      </c>
      <c r="C2797" s="51">
        <v>23.7</v>
      </c>
      <c r="D2797" s="46">
        <f>+VLOOKUP(dHdcp[[#This Row],[Handicap]],'Categoría Hdcap'!$B$2:$E$7,4)</f>
        <v>4</v>
      </c>
      <c r="E2797" t="s">
        <v>74</v>
      </c>
      <c r="F2797" s="92"/>
      <c r="G2797">
        <f>+IF(dHdcp[[#This Row],[Fecha]]=MAX(dHdcp[Fecha]),1,0)</f>
        <v>1</v>
      </c>
      <c r="H2797" t="str">
        <f>+dHdcp[[#This Row],[Maximo]]&amp;":"&amp;dHdcp[[#This Row],[Nombre]]</f>
        <v>1:Jose Antonio Santana</v>
      </c>
      <c r="I2797" t="str">
        <f>+dHdcp[[#This Row],[Maximo]]&amp;":"&amp;_xlfn.XLOOKUP(dHdcp[[#This Row],[Nombre]],dJugador[Nombre],dJugador[Mote],"",0)</f>
        <v>1:J Antonio</v>
      </c>
      <c r="J2797">
        <f>+IF(dHdcp[[#This Row],[Maximo]]=0,"",_xlfn.RANK.EQ(dHdcp[[#This Row],[Handicap]],dHdcp[Handicap],1))</f>
        <v>2700</v>
      </c>
      <c r="K2797">
        <f>IFERROR(+_xlfn.RANK.EQ(dHdcp[[#This Row],[Ranking]],dHdcp[Ranking],1),"")</f>
        <v>39</v>
      </c>
      <c r="M2797" t="str">
        <f>+dHdcp[[#This Row],[Fecha]]&amp;":"&amp;dHdcp[[#This Row],[Nombre]]</f>
        <v>45983:Jose Antonio Santana</v>
      </c>
      <c r="N2797">
        <f>+COUNTIF(dHdcp[Columna1],dHdcp[[#This Row],[Columna1]])</f>
        <v>1</v>
      </c>
    </row>
    <row r="2798" spans="1:14">
      <c r="A2798" s="2">
        <v>45983</v>
      </c>
      <c r="B2798" t="s">
        <v>2469</v>
      </c>
      <c r="C2798" s="51">
        <v>2.9</v>
      </c>
      <c r="D2798" s="46">
        <f>+VLOOKUP(dHdcp[[#This Row],[Handicap]],'Categoría Hdcap'!$B$2:$E$7,4)</f>
        <v>1</v>
      </c>
      <c r="E2798" t="s">
        <v>74</v>
      </c>
      <c r="F2798" s="92"/>
      <c r="G2798">
        <f>+IF(dHdcp[[#This Row],[Fecha]]=MAX(dHdcp[Fecha]),1,0)</f>
        <v>1</v>
      </c>
      <c r="H2798" t="str">
        <f>+dHdcp[[#This Row],[Maximo]]&amp;":"&amp;dHdcp[[#This Row],[Nombre]]</f>
        <v>1:Angel Santana</v>
      </c>
      <c r="I2798" t="str">
        <f>+dHdcp[[#This Row],[Maximo]]&amp;":"&amp;_xlfn.XLOOKUP(dHdcp[[#This Row],[Nombre]],dJugador[Nombre],dJugador[Mote],"",0)</f>
        <v>1:A.Santana</v>
      </c>
      <c r="J2798">
        <f>+IF(dHdcp[[#This Row],[Maximo]]=0,"",_xlfn.RANK.EQ(dHdcp[[#This Row],[Handicap]],dHdcp[Handicap],1))</f>
        <v>116</v>
      </c>
      <c r="K2798">
        <f>IFERROR(+_xlfn.RANK.EQ(dHdcp[[#This Row],[Ranking]],dHdcp[Ranking],1),"")</f>
        <v>3</v>
      </c>
      <c r="M2798" t="str">
        <f>+dHdcp[[#This Row],[Fecha]]&amp;":"&amp;dHdcp[[#This Row],[Nombre]]</f>
        <v>45983:Angel Santana</v>
      </c>
      <c r="N2798">
        <f>+COUNTIF(dHdcp[Columna1],dHdcp[[#This Row],[Columna1]])</f>
        <v>1</v>
      </c>
    </row>
    <row r="2799" spans="1:14">
      <c r="A2799" s="2">
        <v>45983</v>
      </c>
      <c r="B2799" t="s">
        <v>2473</v>
      </c>
      <c r="C2799" s="51">
        <v>16</v>
      </c>
      <c r="D2799" s="46">
        <f>+VLOOKUP(dHdcp[[#This Row],[Handicap]],'Categoría Hdcap'!$B$2:$E$7,4)</f>
        <v>3</v>
      </c>
      <c r="E2799" t="s">
        <v>74</v>
      </c>
      <c r="F2799" s="92"/>
      <c r="G2799">
        <f>+IF(dHdcp[[#This Row],[Fecha]]=MAX(dHdcp[Fecha]),1,0)</f>
        <v>1</v>
      </c>
      <c r="H2799" t="str">
        <f>+dHdcp[[#This Row],[Maximo]]&amp;":"&amp;dHdcp[[#This Row],[Nombre]]</f>
        <v>1:Thomas Dauterman</v>
      </c>
      <c r="I2799" t="str">
        <f>+dHdcp[[#This Row],[Maximo]]&amp;":"&amp;_xlfn.XLOOKUP(dHdcp[[#This Row],[Nombre]],dJugador[Nombre],dJugador[Mote],"",0)</f>
        <v>1:Tom</v>
      </c>
      <c r="J2799">
        <f>+IF(dHdcp[[#This Row],[Maximo]]=0,"",_xlfn.RANK.EQ(dHdcp[[#This Row],[Handicap]],dHdcp[Handicap],1))</f>
        <v>1843</v>
      </c>
      <c r="K2799">
        <f>IFERROR(+_xlfn.RANK.EQ(dHdcp[[#This Row],[Ranking]],dHdcp[Ranking],1),"")</f>
        <v>27</v>
      </c>
      <c r="M2799" t="str">
        <f>+dHdcp[[#This Row],[Fecha]]&amp;":"&amp;dHdcp[[#This Row],[Nombre]]</f>
        <v>45983:Thomas Dauterman</v>
      </c>
      <c r="N2799">
        <f>+COUNTIF(dHdcp[Columna1],dHdcp[[#This Row],[Columna1]])</f>
        <v>1</v>
      </c>
    </row>
    <row r="2800" spans="1:14">
      <c r="A2800" s="2">
        <v>45983</v>
      </c>
      <c r="B2800" t="s">
        <v>2516</v>
      </c>
      <c r="C2800" s="51">
        <v>17.8</v>
      </c>
      <c r="D2800" s="46">
        <f>+VLOOKUP(dHdcp[[#This Row],[Handicap]],'Categoría Hdcap'!$B$2:$E$7,4)</f>
        <v>3</v>
      </c>
      <c r="E2800" t="s">
        <v>74</v>
      </c>
      <c r="F2800" s="92"/>
      <c r="G2800">
        <f>+IF(dHdcp[[#This Row],[Fecha]]=MAX(dHdcp[Fecha]),1,0)</f>
        <v>1</v>
      </c>
      <c r="H2800" t="str">
        <f>+dHdcp[[#This Row],[Maximo]]&amp;":"&amp;dHdcp[[#This Row],[Nombre]]</f>
        <v>1:Juan Sanz</v>
      </c>
      <c r="I2800" t="str">
        <f>+dHdcp[[#This Row],[Maximo]]&amp;":"&amp;_xlfn.XLOOKUP(dHdcp[[#This Row],[Nombre]],dJugador[Nombre],dJugador[Mote],"",0)</f>
        <v>1:JuanSanz</v>
      </c>
      <c r="J2800">
        <f>+IF(dHdcp[[#This Row],[Maximo]]=0,"",_xlfn.RANK.EQ(dHdcp[[#This Row],[Handicap]],dHdcp[Handicap],1))</f>
        <v>2147</v>
      </c>
      <c r="K2800">
        <f>IFERROR(+_xlfn.RANK.EQ(dHdcp[[#This Row],[Ranking]],dHdcp[Ranking],1),"")</f>
        <v>29</v>
      </c>
      <c r="M2800" t="str">
        <f>+dHdcp[[#This Row],[Fecha]]&amp;":"&amp;dHdcp[[#This Row],[Nombre]]</f>
        <v>45983:Juan Sanz</v>
      </c>
      <c r="N2800">
        <f>+COUNTIF(dHdcp[Columna1],dHdcp[[#This Row],[Columna1]])</f>
        <v>1</v>
      </c>
    </row>
    <row r="2801" spans="1:14">
      <c r="A2801" s="2">
        <v>45983</v>
      </c>
      <c r="B2801" t="s">
        <v>2561</v>
      </c>
      <c r="C2801" s="51">
        <v>21.6</v>
      </c>
      <c r="D2801" s="46">
        <f>+VLOOKUP(dHdcp[[#This Row],[Handicap]],'Categoría Hdcap'!$B$2:$E$7,4)</f>
        <v>4</v>
      </c>
      <c r="E2801" t="s">
        <v>74</v>
      </c>
      <c r="F2801" s="92"/>
      <c r="G2801">
        <f>+IF(dHdcp[[#This Row],[Fecha]]=MAX(dHdcp[Fecha]),1,0)</f>
        <v>1</v>
      </c>
      <c r="H2801" t="str">
        <f>+dHdcp[[#This Row],[Maximo]]&amp;":"&amp;dHdcp[[#This Row],[Nombre]]</f>
        <v>1:Joaquín Sánchez</v>
      </c>
      <c r="I2801" t="str">
        <f>+dHdcp[[#This Row],[Maximo]]&amp;":"&amp;_xlfn.XLOOKUP(dHdcp[[#This Row],[Nombre]],dJugador[Nombre],dJugador[Mote],"",0)</f>
        <v>1:Joaco</v>
      </c>
      <c r="J2801">
        <f>+IF(dHdcp[[#This Row],[Maximo]]=0,"",_xlfn.RANK.EQ(dHdcp[[#This Row],[Handicap]],dHdcp[Handicap],1))</f>
        <v>2605</v>
      </c>
      <c r="K2801">
        <f>IFERROR(+_xlfn.RANK.EQ(dHdcp[[#This Row],[Ranking]],dHdcp[Ranking],1),"")</f>
        <v>36</v>
      </c>
      <c r="M2801" t="str">
        <f>+dHdcp[[#This Row],[Fecha]]&amp;":"&amp;dHdcp[[#This Row],[Nombre]]</f>
        <v>45983:Joaquín Sánchez</v>
      </c>
      <c r="N2801">
        <f>+COUNTIF(dHdcp[Columna1],dHdcp[[#This Row],[Columna1]])</f>
        <v>1</v>
      </c>
    </row>
    <row r="2802" spans="1:14">
      <c r="A2802" s="2">
        <v>45983</v>
      </c>
      <c r="B2802" t="s">
        <v>2603</v>
      </c>
      <c r="C2802" s="51">
        <v>7.8</v>
      </c>
      <c r="D2802" s="46">
        <f>+VLOOKUP(dHdcp[[#This Row],[Handicap]],'Categoría Hdcap'!$B$2:$E$7,4)</f>
        <v>2</v>
      </c>
      <c r="E2802" t="s">
        <v>74</v>
      </c>
      <c r="F2802" s="92"/>
      <c r="G2802">
        <f>+IF(dHdcp[[#This Row],[Fecha]]=MAX(dHdcp[Fecha]),1,0)</f>
        <v>1</v>
      </c>
      <c r="H2802" t="str">
        <f>+dHdcp[[#This Row],[Maximo]]&amp;":"&amp;dHdcp[[#This Row],[Nombre]]</f>
        <v>1:Miguel Angel Aguilera</v>
      </c>
      <c r="I2802" t="str">
        <f>+dHdcp[[#This Row],[Maximo]]&amp;":"&amp;_xlfn.XLOOKUP(dHdcp[[#This Row],[Nombre]],dJugador[Nombre],dJugador[Mote],"",0)</f>
        <v>1:M Angel</v>
      </c>
      <c r="J2802">
        <f>+IF(dHdcp[[#This Row],[Maximo]]=0,"",_xlfn.RANK.EQ(dHdcp[[#This Row],[Handicap]],dHdcp[Handicap],1))</f>
        <v>647</v>
      </c>
      <c r="K2802">
        <f>IFERROR(+_xlfn.RANK.EQ(dHdcp[[#This Row],[Ranking]],dHdcp[Ranking],1),"")</f>
        <v>11</v>
      </c>
      <c r="M2802" t="str">
        <f>+dHdcp[[#This Row],[Fecha]]&amp;":"&amp;dHdcp[[#This Row],[Nombre]]</f>
        <v>45983:Miguel Angel Aguilera</v>
      </c>
      <c r="N2802">
        <f>+COUNTIF(dHdcp[Columna1],dHdcp[[#This Row],[Columna1]])</f>
        <v>1</v>
      </c>
    </row>
    <row r="2803" spans="1:14">
      <c r="A2803" s="2">
        <v>45983</v>
      </c>
      <c r="B2803" t="s">
        <v>2606</v>
      </c>
      <c r="C2803" s="51">
        <v>9.8000000000000007</v>
      </c>
      <c r="D2803" s="46">
        <f>+VLOOKUP(dHdcp[[#This Row],[Handicap]],'Categoría Hdcap'!$B$2:$E$7,4)</f>
        <v>2</v>
      </c>
      <c r="E2803" t="s">
        <v>74</v>
      </c>
      <c r="F2803" s="92"/>
      <c r="G2803">
        <f>+IF(dHdcp[[#This Row],[Fecha]]=MAX(dHdcp[Fecha]),1,0)</f>
        <v>1</v>
      </c>
      <c r="H2803" t="str">
        <f>+dHdcp[[#This Row],[Maximo]]&amp;":"&amp;dHdcp[[#This Row],[Nombre]]</f>
        <v>1:Jaime de la Cal</v>
      </c>
      <c r="I2803" t="str">
        <f>+dHdcp[[#This Row],[Maximo]]&amp;":"&amp;_xlfn.XLOOKUP(dHdcp[[#This Row],[Nombre]],dJugador[Nombre],dJugador[Mote],"",0)</f>
        <v>1:Jaime</v>
      </c>
      <c r="J2803">
        <f>+IF(dHdcp[[#This Row],[Maximo]]=0,"",_xlfn.RANK.EQ(dHdcp[[#This Row],[Handicap]],dHdcp[Handicap],1))</f>
        <v>860</v>
      </c>
      <c r="K2803">
        <f>IFERROR(+_xlfn.RANK.EQ(dHdcp[[#This Row],[Ranking]],dHdcp[Ranking],1),"")</f>
        <v>13</v>
      </c>
      <c r="M2803" t="str">
        <f>+dHdcp[[#This Row],[Fecha]]&amp;":"&amp;dHdcp[[#This Row],[Nombre]]</f>
        <v>45983:Jaime de la Cal</v>
      </c>
      <c r="N2803">
        <f>+COUNTIF(dHdcp[Columna1],dHdcp[[#This Row],[Columna1]])</f>
        <v>1</v>
      </c>
    </row>
  </sheetData>
  <sortState xmlns:xlrd2="http://schemas.microsoft.com/office/spreadsheetml/2017/richdata2" ref="V1292:W1324">
    <sortCondition ref="V1292:V1324"/>
  </sortState>
  <phoneticPr fontId="25" type="noConversion"/>
  <pageMargins left="0.7" right="0.7" top="0.75" bottom="0.75" header="0.3" footer="0.3"/>
  <pageSetup paperSize="9" orientation="portrait" horizontalDpi="1200" verticalDpi="1200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C25C7-C142-40FB-9F5C-811D3F09B07D}">
  <dimension ref="A1:E26"/>
  <sheetViews>
    <sheetView topLeftCell="A9" workbookViewId="0">
      <selection activeCell="B26" sqref="B26"/>
    </sheetView>
  </sheetViews>
  <sheetFormatPr baseColWidth="10" defaultColWidth="10.75" defaultRowHeight="15.75"/>
  <cols>
    <col min="1" max="1" width="12.25" bestFit="1" customWidth="1"/>
    <col min="2" max="2" width="10.25" bestFit="1" customWidth="1"/>
    <col min="3" max="3" width="16.375" bestFit="1" customWidth="1"/>
  </cols>
  <sheetData>
    <row r="1" spans="1:5">
      <c r="A1" t="s">
        <v>138</v>
      </c>
      <c r="B1" t="s">
        <v>463</v>
      </c>
      <c r="C1" t="s">
        <v>464</v>
      </c>
      <c r="D1" t="s">
        <v>2568</v>
      </c>
      <c r="E1" t="s">
        <v>2440</v>
      </c>
    </row>
    <row r="2" spans="1:5">
      <c r="A2">
        <v>2024</v>
      </c>
      <c r="B2">
        <v>1</v>
      </c>
      <c r="C2" t="s">
        <v>2450</v>
      </c>
      <c r="D2" t="str">
        <f>+dEquipos[[#This Row],[Temporada]]&amp;":"&amp;dEquipos[[#This Row],[NEquipo]]</f>
        <v>2024:1</v>
      </c>
      <c r="E2" s="96"/>
    </row>
    <row r="3" spans="1:5">
      <c r="A3">
        <v>2024</v>
      </c>
      <c r="B3">
        <v>2</v>
      </c>
      <c r="C3" t="s">
        <v>2436</v>
      </c>
      <c r="D3" t="str">
        <f>+dEquipos[[#This Row],[Temporada]]&amp;":"&amp;dEquipos[[#This Row],[NEquipo]]</f>
        <v>2024:2</v>
      </c>
      <c r="E3" s="96" t="s">
        <v>2446</v>
      </c>
    </row>
    <row r="4" spans="1:5">
      <c r="A4">
        <v>2024</v>
      </c>
      <c r="B4">
        <v>3</v>
      </c>
      <c r="C4" t="s">
        <v>2438</v>
      </c>
      <c r="D4" t="str">
        <f>+dEquipos[[#This Row],[Temporada]]&amp;":"&amp;dEquipos[[#This Row],[NEquipo]]</f>
        <v>2024:3</v>
      </c>
      <c r="E4" s="96" t="s">
        <v>2444</v>
      </c>
    </row>
    <row r="5" spans="1:5">
      <c r="A5">
        <v>2024</v>
      </c>
      <c r="B5">
        <v>4</v>
      </c>
      <c r="C5" t="s">
        <v>2441</v>
      </c>
      <c r="D5" t="str">
        <f>+dEquipos[[#This Row],[Temporada]]&amp;":"&amp;dEquipos[[#This Row],[NEquipo]]</f>
        <v>2024:4</v>
      </c>
      <c r="E5" s="96" t="s">
        <v>2448</v>
      </c>
    </row>
    <row r="6" spans="1:5">
      <c r="A6">
        <v>2024</v>
      </c>
      <c r="B6">
        <v>5</v>
      </c>
      <c r="C6" t="s">
        <v>2442</v>
      </c>
      <c r="D6" t="str">
        <f>+dEquipos[[#This Row],[Temporada]]&amp;":"&amp;dEquipos[[#This Row],[NEquipo]]</f>
        <v>2024:5</v>
      </c>
      <c r="E6" s="96" t="s">
        <v>2447</v>
      </c>
    </row>
    <row r="7" spans="1:5">
      <c r="A7">
        <v>2024</v>
      </c>
      <c r="B7">
        <v>6</v>
      </c>
      <c r="C7" t="s">
        <v>2439</v>
      </c>
      <c r="D7" t="str">
        <f>+dEquipos[[#This Row],[Temporada]]&amp;":"&amp;dEquipos[[#This Row],[NEquipo]]</f>
        <v>2024:6</v>
      </c>
      <c r="E7" s="96" t="s">
        <v>2449</v>
      </c>
    </row>
    <row r="8" spans="1:5">
      <c r="A8">
        <v>2024</v>
      </c>
      <c r="B8">
        <v>7</v>
      </c>
      <c r="C8" t="s">
        <v>2437</v>
      </c>
      <c r="D8" t="str">
        <f>+dEquipos[[#This Row],[Temporada]]&amp;":"&amp;dEquipos[[#This Row],[NEquipo]]</f>
        <v>2024:7</v>
      </c>
      <c r="E8" s="97" t="s">
        <v>2445</v>
      </c>
    </row>
    <row r="9" spans="1:5">
      <c r="A9">
        <v>2024</v>
      </c>
      <c r="B9">
        <v>8</v>
      </c>
      <c r="C9" t="s">
        <v>2524</v>
      </c>
      <c r="D9" t="str">
        <f>+dEquipos[[#This Row],[Temporada]]&amp;":"&amp;dEquipos[[#This Row],[NEquipo]]</f>
        <v>2024:8</v>
      </c>
      <c r="E9" s="96" t="s">
        <v>2449</v>
      </c>
    </row>
    <row r="10" spans="1:5">
      <c r="A10">
        <v>2024</v>
      </c>
      <c r="B10">
        <v>9</v>
      </c>
      <c r="C10" t="s">
        <v>2547</v>
      </c>
      <c r="D10" t="str">
        <f>+dEquipos[[#This Row],[Temporada]]&amp;":"&amp;dEquipos[[#This Row],[NEquipo]]</f>
        <v>2024:9</v>
      </c>
      <c r="E10" s="108"/>
    </row>
    <row r="11" spans="1:5">
      <c r="A11">
        <v>2025</v>
      </c>
      <c r="B11">
        <v>6</v>
      </c>
      <c r="C11" t="s">
        <v>2450</v>
      </c>
      <c r="D11" t="str">
        <f>+dEquipos[[#This Row],[Temporada]]&amp;":"&amp;dEquipos[[#This Row],[NEquipo]]</f>
        <v>2025:6</v>
      </c>
      <c r="E11" s="96"/>
    </row>
    <row r="12" spans="1:5">
      <c r="A12">
        <v>2025</v>
      </c>
      <c r="B12">
        <v>8</v>
      </c>
      <c r="C12" t="s">
        <v>2436</v>
      </c>
      <c r="D12" t="str">
        <f>+dEquipos[[#This Row],[Temporada]]&amp;":"&amp;dEquipos[[#This Row],[NEquipo]]</f>
        <v>2025:8</v>
      </c>
      <c r="E12" s="96" t="s">
        <v>2446</v>
      </c>
    </row>
    <row r="13" spans="1:5">
      <c r="A13">
        <v>2025</v>
      </c>
      <c r="B13">
        <v>9</v>
      </c>
      <c r="C13" t="s">
        <v>2438</v>
      </c>
      <c r="D13" t="str">
        <f>+dEquipos[[#This Row],[Temporada]]&amp;":"&amp;dEquipos[[#This Row],[NEquipo]]</f>
        <v>2025:9</v>
      </c>
      <c r="E13" s="96" t="s">
        <v>2444</v>
      </c>
    </row>
    <row r="14" spans="1:5">
      <c r="A14">
        <v>2025</v>
      </c>
      <c r="B14">
        <v>3</v>
      </c>
      <c r="C14" t="s">
        <v>2441</v>
      </c>
      <c r="D14" t="str">
        <f>+dEquipos[[#This Row],[Temporada]]&amp;":"&amp;dEquipos[[#This Row],[NEquipo]]</f>
        <v>2025:3</v>
      </c>
      <c r="E14" s="96" t="s">
        <v>2448</v>
      </c>
    </row>
    <row r="15" spans="1:5">
      <c r="A15">
        <v>2025</v>
      </c>
      <c r="B15">
        <v>1</v>
      </c>
      <c r="C15" t="s">
        <v>2442</v>
      </c>
      <c r="D15" t="str">
        <f>+dEquipos[[#This Row],[Temporada]]&amp;":"&amp;dEquipos[[#This Row],[NEquipo]]</f>
        <v>2025:1</v>
      </c>
      <c r="E15" s="96" t="s">
        <v>2447</v>
      </c>
    </row>
    <row r="16" spans="1:5">
      <c r="A16">
        <v>2025</v>
      </c>
      <c r="B16">
        <v>7</v>
      </c>
      <c r="C16" t="s">
        <v>2439</v>
      </c>
      <c r="D16" t="str">
        <f>+dEquipos[[#This Row],[Temporada]]&amp;":"&amp;dEquipos[[#This Row],[NEquipo]]</f>
        <v>2025:7</v>
      </c>
      <c r="E16" s="96" t="s">
        <v>2449</v>
      </c>
    </row>
    <row r="17" spans="1:5">
      <c r="A17">
        <v>2025</v>
      </c>
      <c r="B17">
        <v>5</v>
      </c>
      <c r="C17" t="s">
        <v>2437</v>
      </c>
      <c r="D17" t="str">
        <f>+dEquipos[[#This Row],[Temporada]]&amp;":"&amp;dEquipos[[#This Row],[NEquipo]]</f>
        <v>2025:5</v>
      </c>
      <c r="E17" s="96" t="s">
        <v>2445</v>
      </c>
    </row>
    <row r="18" spans="1:5">
      <c r="A18">
        <v>2025</v>
      </c>
      <c r="B18">
        <v>2</v>
      </c>
      <c r="C18" t="s">
        <v>2524</v>
      </c>
      <c r="D18" t="str">
        <f>+dEquipos[[#This Row],[Temporada]]&amp;":"&amp;dEquipos[[#This Row],[NEquipo]]</f>
        <v>2025:2</v>
      </c>
      <c r="E18" s="96" t="s">
        <v>2449</v>
      </c>
    </row>
    <row r="19" spans="1:5">
      <c r="A19">
        <v>2025</v>
      </c>
      <c r="B19">
        <v>4</v>
      </c>
      <c r="C19" t="s">
        <v>2547</v>
      </c>
      <c r="D19" t="str">
        <f>+dEquipos[[#This Row],[Temporada]]&amp;":"&amp;dEquipos[[#This Row],[NEquipo]]</f>
        <v>2025:4</v>
      </c>
      <c r="E19" s="108"/>
    </row>
    <row r="20" spans="1:5">
      <c r="A20">
        <v>2026</v>
      </c>
      <c r="B20">
        <v>1</v>
      </c>
      <c r="C20" t="s">
        <v>3307</v>
      </c>
      <c r="D20" t="str">
        <f>+dEquipos[[#This Row],[Temporada]]&amp;":"&amp;dEquipos[[#This Row],[NEquipo]]</f>
        <v>2026:1</v>
      </c>
      <c r="E20" s="108"/>
    </row>
    <row r="21" spans="1:5">
      <c r="A21">
        <v>2026</v>
      </c>
      <c r="B21">
        <v>2</v>
      </c>
      <c r="C21" t="s">
        <v>3308</v>
      </c>
      <c r="D21" t="str">
        <f>+dEquipos[[#This Row],[Temporada]]&amp;":"&amp;dEquipos[[#This Row],[NEquipo]]</f>
        <v>2026:2</v>
      </c>
      <c r="E21" s="108"/>
    </row>
    <row r="22" spans="1:5">
      <c r="A22">
        <v>2026</v>
      </c>
      <c r="B22">
        <v>3</v>
      </c>
      <c r="C22" t="s">
        <v>3309</v>
      </c>
      <c r="D22" t="str">
        <f>+dEquipos[[#This Row],[Temporada]]&amp;":"&amp;dEquipos[[#This Row],[NEquipo]]</f>
        <v>2026:3</v>
      </c>
      <c r="E22" s="108"/>
    </row>
    <row r="23" spans="1:5">
      <c r="A23">
        <v>2026</v>
      </c>
      <c r="B23">
        <v>4</v>
      </c>
      <c r="C23" t="s">
        <v>3311</v>
      </c>
      <c r="D23" t="str">
        <f>+dEquipos[[#This Row],[Temporada]]&amp;":"&amp;dEquipos[[#This Row],[NEquipo]]</f>
        <v>2026:4</v>
      </c>
      <c r="E23" s="108"/>
    </row>
    <row r="24" spans="1:5">
      <c r="A24">
        <v>2026</v>
      </c>
      <c r="B24">
        <v>5</v>
      </c>
      <c r="C24" t="s">
        <v>3310</v>
      </c>
      <c r="D24" t="str">
        <f>+dEquipos[[#This Row],[Temporada]]&amp;":"&amp;dEquipos[[#This Row],[NEquipo]]</f>
        <v>2026:5</v>
      </c>
      <c r="E24" s="108"/>
    </row>
    <row r="25" spans="1:5">
      <c r="A25">
        <v>2026</v>
      </c>
      <c r="B25">
        <v>7</v>
      </c>
      <c r="C25" t="s">
        <v>3315</v>
      </c>
      <c r="D25" t="str">
        <f>+dEquipos[[#This Row],[Temporada]]&amp;":"&amp;dEquipos[[#This Row],[NEquipo]]</f>
        <v>2026:7</v>
      </c>
      <c r="E25" s="108"/>
    </row>
    <row r="26" spans="1:5">
      <c r="A26">
        <v>2026</v>
      </c>
      <c r="B26">
        <v>6</v>
      </c>
      <c r="C26" t="s">
        <v>3316</v>
      </c>
      <c r="D26" t="str">
        <f>+dEquipos[[#This Row],[Temporada]]&amp;":"&amp;dEquipos[[#This Row],[NEquipo]]</f>
        <v>2026:6</v>
      </c>
      <c r="E26" s="108"/>
    </row>
  </sheetData>
  <phoneticPr fontId="25" type="noConversion"/>
  <hyperlinks>
    <hyperlink ref="E8" r:id="rId1" xr:uid="{455D080A-FA61-474A-9656-F29BDE0B47D0}"/>
    <hyperlink ref="E4" r:id="rId2" xr:uid="{67099829-51F9-433F-9922-FC17AB67FFC1}"/>
    <hyperlink ref="E3" r:id="rId3" xr:uid="{556BDAEC-A98B-4FCB-ACF8-AC14C525E752}"/>
    <hyperlink ref="E6" r:id="rId4" xr:uid="{CB41EFBC-6C72-40B1-8933-8DC2B021C9D7}"/>
    <hyperlink ref="E5" r:id="rId5" xr:uid="{ED0454E0-8529-45E7-AA77-1E9AB8733500}"/>
    <hyperlink ref="E7" r:id="rId6" location="/media/Archivo:Bandera_de_Espa%C3%B1a.svg" xr:uid="{D86F3D76-E360-4528-B6BE-571115146BAD}"/>
    <hyperlink ref="E9" r:id="rId7" location="/media/Archivo:Bandera_de_Espa%C3%B1a.svg" xr:uid="{11706005-539F-4499-BF7F-1A648BCDF457}"/>
    <hyperlink ref="E17" r:id="rId8" xr:uid="{83DAF76F-C96A-4333-88F7-76243F53B6C9}"/>
    <hyperlink ref="E13" r:id="rId9" xr:uid="{CCDECF6F-8CEE-4FB9-AC69-4EBB92F5522F}"/>
    <hyperlink ref="E12" r:id="rId10" xr:uid="{91625D9B-5130-45F8-8878-E0776933241C}"/>
    <hyperlink ref="E15" r:id="rId11" xr:uid="{4669DB06-2C07-45C5-8CE9-051ED23EEF06}"/>
    <hyperlink ref="E14" r:id="rId12" xr:uid="{6A12B09E-B4B7-47A0-8F04-E3CA5D8FDB70}"/>
    <hyperlink ref="E16" r:id="rId13" location="/media/Archivo:Bandera_de_Espa%C3%B1a.svg" xr:uid="{60FAEACA-1A9C-4637-9713-03770AD73310}"/>
    <hyperlink ref="E18" r:id="rId14" location="/media/Archivo:Bandera_de_Espa%C3%B1a.svg" xr:uid="{29B549AE-C1D1-4077-B41A-C90C432DD836}"/>
  </hyperlinks>
  <pageMargins left="0.7" right="0.7" top="0.75" bottom="0.75" header="0.3" footer="0.3"/>
  <pageSetup paperSize="9" orientation="portrait" horizontalDpi="1200" verticalDpi="1200" r:id="rId15"/>
  <tableParts count="1">
    <tablePart r:id="rId16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D28E2-AB82-4CE1-92CA-3E1348C6CE6C}">
  <dimension ref="A1:H116"/>
  <sheetViews>
    <sheetView workbookViewId="0">
      <selection activeCell="D77" sqref="D77"/>
    </sheetView>
  </sheetViews>
  <sheetFormatPr baseColWidth="10" defaultColWidth="10.75" defaultRowHeight="15.75"/>
  <cols>
    <col min="1" max="1" width="12.25" bestFit="1" customWidth="1"/>
    <col min="2" max="2" width="26.5" bestFit="1" customWidth="1"/>
    <col min="4" max="4" width="8.875" bestFit="1" customWidth="1"/>
    <col min="6" max="6" width="32" customWidth="1"/>
    <col min="7" max="7" width="12.25" bestFit="1" customWidth="1"/>
  </cols>
  <sheetData>
    <row r="1" spans="1:8">
      <c r="A1" t="s">
        <v>138</v>
      </c>
      <c r="B1" t="s">
        <v>181</v>
      </c>
      <c r="C1" t="s">
        <v>465</v>
      </c>
      <c r="D1" t="s">
        <v>466</v>
      </c>
      <c r="E1" t="s">
        <v>1</v>
      </c>
      <c r="F1" t="s">
        <v>2425</v>
      </c>
      <c r="G1" t="s">
        <v>2568</v>
      </c>
      <c r="H1" t="s">
        <v>349</v>
      </c>
    </row>
    <row r="2" spans="1:8">
      <c r="A2">
        <v>2024</v>
      </c>
      <c r="B2" t="s">
        <v>291</v>
      </c>
      <c r="C2">
        <v>1</v>
      </c>
      <c r="D2">
        <v>1</v>
      </c>
      <c r="E2" t="str">
        <f>+_xlfn.XLOOKUP(dJugadorEquipo[[#This Row],[Jugador]],dJugador[Nombre],dJugador[Mote],"",0)</f>
        <v>Carlitos</v>
      </c>
      <c r="F2" t="str">
        <f>+_xlfn.XLOOKUP(dJugadorEquipo[[#This Row],[Equipo:Temp]],dEquipos[Equipo:Temp],dEquipos[Nombre Equipo],"",0)</f>
        <v>KOBRA KAI</v>
      </c>
      <c r="G2" t="str">
        <f>+dJugadorEquipo[[#This Row],[Temporada]]&amp;":"&amp;dJugadorEquipo[[#This Row],[Equipo]]</f>
        <v>2024:1</v>
      </c>
      <c r="H2" t="str">
        <f>+_xlfn.XLOOKUP(dJugadorEquipo[[#This Row],[Equipo:Temp]],dEquipos[Equipo:Temp],dEquipos[Nombre Equipo],"",0)</f>
        <v>KOBRA KAI</v>
      </c>
    </row>
    <row r="3" spans="1:8">
      <c r="A3">
        <v>2024</v>
      </c>
      <c r="B3" t="s">
        <v>9</v>
      </c>
      <c r="C3">
        <v>4</v>
      </c>
      <c r="D3">
        <v>1</v>
      </c>
      <c r="E3" t="str">
        <f>+_xlfn.XLOOKUP(dJugadorEquipo[[#This Row],[Jugador]],dJugador[Nombre],dJugador[Mote],"",0)</f>
        <v>Alfonso</v>
      </c>
      <c r="F3" t="str">
        <f>+_xlfn.XLOOKUP(dJugadorEquipo[[#This Row],[Equipo:Temp]],dEquipos[Equipo:Temp],dEquipos[Nombre Equipo],"",0)</f>
        <v>KOBRA KAI</v>
      </c>
      <c r="G3" t="str">
        <f>+dJugadorEquipo[[#This Row],[Temporada]]&amp;":"&amp;dJugadorEquipo[[#This Row],[Equipo]]</f>
        <v>2024:1</v>
      </c>
      <c r="H3" t="str">
        <f>+_xlfn.XLOOKUP(dJugadorEquipo[[#This Row],[Equipo:Temp]],dEquipos[Equipo:Temp],dEquipos[Nombre Equipo],"",0)</f>
        <v>KOBRA KAI</v>
      </c>
    </row>
    <row r="4" spans="1:8">
      <c r="A4">
        <v>2024</v>
      </c>
      <c r="B4" t="s">
        <v>46</v>
      </c>
      <c r="C4">
        <v>6</v>
      </c>
      <c r="D4">
        <v>1</v>
      </c>
      <c r="E4" t="str">
        <f>+_xlfn.XLOOKUP(dJugadorEquipo[[#This Row],[Jugador]],dJugador[Nombre],dJugador[Mote],"",0)</f>
        <v>Virus</v>
      </c>
      <c r="F4" t="str">
        <f>+_xlfn.XLOOKUP(dJugadorEquipo[[#This Row],[Equipo:Temp]],dEquipos[Equipo:Temp],dEquipos[Nombre Equipo],"",0)</f>
        <v>KOBRA KAI</v>
      </c>
      <c r="G4" t="str">
        <f>+dJugadorEquipo[[#This Row],[Temporada]]&amp;":"&amp;dJugadorEquipo[[#This Row],[Equipo]]</f>
        <v>2024:1</v>
      </c>
      <c r="H4" t="str">
        <f>+_xlfn.XLOOKUP(dJugadorEquipo[[#This Row],[Equipo:Temp]],dEquipos[Equipo:Temp],dEquipos[Nombre Equipo],"",0)</f>
        <v>KOBRA KAI</v>
      </c>
    </row>
    <row r="5" spans="1:8">
      <c r="A5">
        <v>2024</v>
      </c>
      <c r="B5" t="s">
        <v>388</v>
      </c>
      <c r="C5">
        <v>8</v>
      </c>
      <c r="D5">
        <v>1</v>
      </c>
      <c r="E5" t="str">
        <f>+_xlfn.XLOOKUP(dJugadorEquipo[[#This Row],[Jugador]],dJugador[Nombre],dJugador[Mote],"",0)</f>
        <v>J Antonio</v>
      </c>
      <c r="F5" t="str">
        <f>+_xlfn.XLOOKUP(dJugadorEquipo[[#This Row],[Equipo:Temp]],dEquipos[Equipo:Temp],dEquipos[Nombre Equipo],"",0)</f>
        <v>KOBRA KAI</v>
      </c>
      <c r="G5" t="str">
        <f>+dJugadorEquipo[[#This Row],[Temporada]]&amp;":"&amp;dJugadorEquipo[[#This Row],[Equipo]]</f>
        <v>2024:1</v>
      </c>
      <c r="H5" t="str">
        <f>+_xlfn.XLOOKUP(dJugadorEquipo[[#This Row],[Equipo:Temp]],dEquipos[Equipo:Temp],dEquipos[Nombre Equipo],"",0)</f>
        <v>KOBRA KAI</v>
      </c>
    </row>
    <row r="6" spans="1:8">
      <c r="A6">
        <v>2024</v>
      </c>
      <c r="B6" t="s">
        <v>205</v>
      </c>
      <c r="C6">
        <v>5</v>
      </c>
      <c r="D6">
        <v>2</v>
      </c>
      <c r="E6" t="str">
        <f>+_xlfn.XLOOKUP(dJugadorEquipo[[#This Row],[Jugador]],dJugador[Nombre],dJugador[Mote],"",0)</f>
        <v>Nachete</v>
      </c>
      <c r="F6" t="str">
        <f>+_xlfn.XLOOKUP(dJugadorEquipo[[#This Row],[Equipo:Temp]],dEquipos[Equipo:Temp],dEquipos[Nombre Equipo],"",0)</f>
        <v>RED RHINO</v>
      </c>
      <c r="G6" t="str">
        <f>+dJugadorEquipo[[#This Row],[Temporada]]&amp;":"&amp;dJugadorEquipo[[#This Row],[Equipo]]</f>
        <v>2024:2</v>
      </c>
      <c r="H6" t="str">
        <f>+_xlfn.XLOOKUP(dJugadorEquipo[[#This Row],[Equipo:Temp]],dEquipos[Equipo:Temp],dEquipos[Nombre Equipo],"",0)</f>
        <v>RED RHINO</v>
      </c>
    </row>
    <row r="7" spans="1:8">
      <c r="A7">
        <v>2024</v>
      </c>
      <c r="B7" t="s">
        <v>375</v>
      </c>
      <c r="C7">
        <v>2</v>
      </c>
      <c r="D7">
        <v>2</v>
      </c>
      <c r="E7" t="str">
        <f>+_xlfn.XLOOKUP(dJugadorEquipo[[#This Row],[Jugador]],dJugador[Nombre],dJugador[Mote],"",0)</f>
        <v>Luis</v>
      </c>
      <c r="F7" t="str">
        <f>+_xlfn.XLOOKUP(dJugadorEquipo[[#This Row],[Equipo:Temp]],dEquipos[Equipo:Temp],dEquipos[Nombre Equipo],"",0)</f>
        <v>RED RHINO</v>
      </c>
      <c r="G7" t="str">
        <f>+dJugadorEquipo[[#This Row],[Temporada]]&amp;":"&amp;dJugadorEquipo[[#This Row],[Equipo]]</f>
        <v>2024:2</v>
      </c>
      <c r="H7" t="str">
        <f>+_xlfn.XLOOKUP(dJugadorEquipo[[#This Row],[Equipo:Temp]],dEquipos[Equipo:Temp],dEquipos[Nombre Equipo],"",0)</f>
        <v>RED RHINO</v>
      </c>
    </row>
    <row r="8" spans="1:8">
      <c r="A8">
        <v>2024</v>
      </c>
      <c r="B8" t="s">
        <v>203</v>
      </c>
      <c r="C8">
        <v>5</v>
      </c>
      <c r="D8">
        <v>2</v>
      </c>
      <c r="E8" t="str">
        <f>+_xlfn.XLOOKUP(dJugadorEquipo[[#This Row],[Jugador]],dJugador[Nombre],dJugador[Mote],"",0)</f>
        <v>Rus</v>
      </c>
      <c r="F8" t="str">
        <f>+_xlfn.XLOOKUP(dJugadorEquipo[[#This Row],[Equipo:Temp]],dEquipos[Equipo:Temp],dEquipos[Nombre Equipo],"",0)</f>
        <v>RED RHINO</v>
      </c>
      <c r="G8" t="str">
        <f>+dJugadorEquipo[[#This Row],[Temporada]]&amp;":"&amp;dJugadorEquipo[[#This Row],[Equipo]]</f>
        <v>2024:2</v>
      </c>
      <c r="H8" t="str">
        <f>+_xlfn.XLOOKUP(dJugadorEquipo[[#This Row],[Equipo:Temp]],dEquipos[Equipo:Temp],dEquipos[Nombre Equipo],"",0)</f>
        <v>RED RHINO</v>
      </c>
    </row>
    <row r="9" spans="1:8">
      <c r="A9">
        <v>2024</v>
      </c>
      <c r="B9" t="s">
        <v>293</v>
      </c>
      <c r="C9">
        <v>4</v>
      </c>
      <c r="D9">
        <v>2</v>
      </c>
      <c r="E9" t="str">
        <f>+_xlfn.XLOOKUP(dJugadorEquipo[[#This Row],[Jugador]],dJugador[Nombre],dJugador[Mote],"",0)</f>
        <v>Juancho</v>
      </c>
      <c r="F9" t="str">
        <f>+_xlfn.XLOOKUP(dJugadorEquipo[[#This Row],[Equipo:Temp]],dEquipos[Equipo:Temp],dEquipos[Nombre Equipo],"",0)</f>
        <v>RED RHINO</v>
      </c>
      <c r="G9" t="str">
        <f>+dJugadorEquipo[[#This Row],[Temporada]]&amp;":"&amp;dJugadorEquipo[[#This Row],[Equipo]]</f>
        <v>2024:2</v>
      </c>
      <c r="H9" t="str">
        <f>+_xlfn.XLOOKUP(dJugadorEquipo[[#This Row],[Equipo:Temp]],dEquipos[Equipo:Temp],dEquipos[Nombre Equipo],"",0)</f>
        <v>RED RHINO</v>
      </c>
    </row>
    <row r="10" spans="1:8">
      <c r="A10">
        <v>2024</v>
      </c>
      <c r="B10" t="s">
        <v>259</v>
      </c>
      <c r="C10">
        <v>2</v>
      </c>
      <c r="D10">
        <v>3</v>
      </c>
      <c r="E10" t="str">
        <f>+_xlfn.XLOOKUP(dJugadorEquipo[[#This Row],[Jugador]],dJugador[Nombre],dJugador[Mote],"",0)</f>
        <v>Alex</v>
      </c>
      <c r="F10" t="str">
        <f>+_xlfn.XLOOKUP(dJugadorEquipo[[#This Row],[Equipo:Temp]],dEquipos[Equipo:Temp],dEquipos[Nombre Equipo],"",0)</f>
        <v>THE ARCHERS</v>
      </c>
      <c r="G10" t="str">
        <f>+dJugadorEquipo[[#This Row],[Temporada]]&amp;":"&amp;dJugadorEquipo[[#This Row],[Equipo]]</f>
        <v>2024:3</v>
      </c>
      <c r="H10" t="str">
        <f>+_xlfn.XLOOKUP(dJugadorEquipo[[#This Row],[Equipo:Temp]],dEquipos[Equipo:Temp],dEquipos[Nombre Equipo],"",0)</f>
        <v>THE ARCHERS</v>
      </c>
    </row>
    <row r="11" spans="1:8">
      <c r="A11">
        <v>2024</v>
      </c>
      <c r="B11" t="s">
        <v>328</v>
      </c>
      <c r="C11">
        <v>6</v>
      </c>
      <c r="D11">
        <v>3</v>
      </c>
      <c r="E11" t="str">
        <f>+_xlfn.XLOOKUP(dJugadorEquipo[[#This Row],[Jugador]],dJugador[Nombre],dJugador[Mote],"",0)</f>
        <v>J.Arcos</v>
      </c>
      <c r="F11" t="str">
        <f>+_xlfn.XLOOKUP(dJugadorEquipo[[#This Row],[Equipo:Temp]],dEquipos[Equipo:Temp],dEquipos[Nombre Equipo],"",0)</f>
        <v>THE ARCHERS</v>
      </c>
      <c r="G11" t="str">
        <f>+dJugadorEquipo[[#This Row],[Temporada]]&amp;":"&amp;dJugadorEquipo[[#This Row],[Equipo]]</f>
        <v>2024:3</v>
      </c>
      <c r="H11" t="str">
        <f>+_xlfn.XLOOKUP(dJugadorEquipo[[#This Row],[Equipo:Temp]],dEquipos[Equipo:Temp],dEquipos[Nombre Equipo],"",0)</f>
        <v>THE ARCHERS</v>
      </c>
    </row>
    <row r="12" spans="1:8">
      <c r="A12">
        <v>2024</v>
      </c>
      <c r="B12" t="s">
        <v>25</v>
      </c>
      <c r="C12">
        <v>1</v>
      </c>
      <c r="D12">
        <v>3</v>
      </c>
      <c r="E12" t="str">
        <f>+_xlfn.XLOOKUP(dJugadorEquipo[[#This Row],[Jugador]],dJugador[Nombre],dJugador[Mote],"",0)</f>
        <v>Alvaro</v>
      </c>
      <c r="F12" t="str">
        <f>+_xlfn.XLOOKUP(dJugadorEquipo[[#This Row],[Equipo:Temp]],dEquipos[Equipo:Temp],dEquipos[Nombre Equipo],"",0)</f>
        <v>THE ARCHERS</v>
      </c>
      <c r="G12" t="str">
        <f>+dJugadorEquipo[[#This Row],[Temporada]]&amp;":"&amp;dJugadorEquipo[[#This Row],[Equipo]]</f>
        <v>2024:3</v>
      </c>
      <c r="H12" t="str">
        <f>+_xlfn.XLOOKUP(dJugadorEquipo[[#This Row],[Equipo:Temp]],dEquipos[Equipo:Temp],dEquipos[Nombre Equipo],"",0)</f>
        <v>THE ARCHERS</v>
      </c>
    </row>
    <row r="13" spans="1:8">
      <c r="A13">
        <v>2024</v>
      </c>
      <c r="B13" t="s">
        <v>41</v>
      </c>
      <c r="C13">
        <v>7</v>
      </c>
      <c r="D13">
        <v>3</v>
      </c>
      <c r="E13" t="str">
        <f>+_xlfn.XLOOKUP(dJugadorEquipo[[#This Row],[Jugador]],dJugador[Nombre],dJugador[Mote],"",0)</f>
        <v>Jesús</v>
      </c>
      <c r="F13" t="str">
        <f>+_xlfn.XLOOKUP(dJugadorEquipo[[#This Row],[Equipo:Temp]],dEquipos[Equipo:Temp],dEquipos[Nombre Equipo],"",0)</f>
        <v>THE ARCHERS</v>
      </c>
      <c r="G13" t="str">
        <f>+dJugadorEquipo[[#This Row],[Temporada]]&amp;":"&amp;dJugadorEquipo[[#This Row],[Equipo]]</f>
        <v>2024:3</v>
      </c>
      <c r="H13" t="str">
        <f>+_xlfn.XLOOKUP(dJugadorEquipo[[#This Row],[Equipo:Temp]],dEquipos[Equipo:Temp],dEquipos[Nombre Equipo],"",0)</f>
        <v>THE ARCHERS</v>
      </c>
    </row>
    <row r="14" spans="1:8">
      <c r="A14">
        <v>2024</v>
      </c>
      <c r="B14" t="s">
        <v>33</v>
      </c>
      <c r="C14">
        <v>6</v>
      </c>
      <c r="D14">
        <v>4</v>
      </c>
      <c r="E14" t="str">
        <f>+_xlfn.XLOOKUP(dJugadorEquipo[[#This Row],[Jugador]],dJugador[Nombre],dJugador[Mote],"",0)</f>
        <v>Angel</v>
      </c>
      <c r="F14" t="str">
        <f>+_xlfn.XLOOKUP(dJugadorEquipo[[#This Row],[Equipo:Temp]],dEquipos[Equipo:Temp],dEquipos[Nombre Equipo],"",0)</f>
        <v>CONDOR GC</v>
      </c>
      <c r="G14" t="str">
        <f>+dJugadorEquipo[[#This Row],[Temporada]]&amp;":"&amp;dJugadorEquipo[[#This Row],[Equipo]]</f>
        <v>2024:4</v>
      </c>
      <c r="H14" t="str">
        <f>+_xlfn.XLOOKUP(dJugadorEquipo[[#This Row],[Equipo:Temp]],dEquipos[Equipo:Temp],dEquipos[Nombre Equipo],"",0)</f>
        <v>CONDOR GC</v>
      </c>
    </row>
    <row r="15" spans="1:8">
      <c r="A15">
        <v>2024</v>
      </c>
      <c r="B15" t="s">
        <v>201</v>
      </c>
      <c r="C15">
        <v>1</v>
      </c>
      <c r="D15">
        <v>4</v>
      </c>
      <c r="E15" t="str">
        <f>+_xlfn.XLOOKUP(dJugadorEquipo[[#This Row],[Jugador]],dJugador[Nombre],dJugador[Mote],"",0)</f>
        <v>Monti</v>
      </c>
      <c r="F15" t="str">
        <f>+_xlfn.XLOOKUP(dJugadorEquipo[[#This Row],[Equipo:Temp]],dEquipos[Equipo:Temp],dEquipos[Nombre Equipo],"",0)</f>
        <v>CONDOR GC</v>
      </c>
      <c r="G15" t="str">
        <f>+dJugadorEquipo[[#This Row],[Temporada]]&amp;":"&amp;dJugadorEquipo[[#This Row],[Equipo]]</f>
        <v>2024:4</v>
      </c>
      <c r="H15" t="str">
        <f>+_xlfn.XLOOKUP(dJugadorEquipo[[#This Row],[Equipo:Temp]],dEquipos[Equipo:Temp],dEquipos[Nombre Equipo],"",0)</f>
        <v>CONDOR GC</v>
      </c>
    </row>
    <row r="16" spans="1:8">
      <c r="A16">
        <v>2024</v>
      </c>
      <c r="B16" t="s">
        <v>326</v>
      </c>
      <c r="C16">
        <v>2</v>
      </c>
      <c r="D16">
        <v>4</v>
      </c>
      <c r="E16" t="str">
        <f>+_xlfn.XLOOKUP(dJugadorEquipo[[#This Row],[Jugador]],dJugador[Nombre],dJugador[Mote],"",0)</f>
        <v>Eduardo</v>
      </c>
      <c r="F16" t="str">
        <f>+_xlfn.XLOOKUP(dJugadorEquipo[[#This Row],[Equipo:Temp]],dEquipos[Equipo:Temp],dEquipos[Nombre Equipo],"",0)</f>
        <v>CONDOR GC</v>
      </c>
      <c r="G16" t="str">
        <f>+dJugadorEquipo[[#This Row],[Temporada]]&amp;":"&amp;dJugadorEquipo[[#This Row],[Equipo]]</f>
        <v>2024:4</v>
      </c>
      <c r="H16" t="str">
        <f>+_xlfn.XLOOKUP(dJugadorEquipo[[#This Row],[Equipo:Temp]],dEquipos[Equipo:Temp],dEquipos[Nombre Equipo],"",0)</f>
        <v>CONDOR GC</v>
      </c>
    </row>
    <row r="17" spans="1:8">
      <c r="A17">
        <v>2024</v>
      </c>
      <c r="B17" t="s">
        <v>297</v>
      </c>
      <c r="C17">
        <v>6</v>
      </c>
      <c r="D17">
        <v>4</v>
      </c>
      <c r="E17" t="str">
        <f>+_xlfn.XLOOKUP(dJugadorEquipo[[#This Row],[Jugador]],dJugador[Nombre],dJugador[Mote],"",0)</f>
        <v>Jorge</v>
      </c>
      <c r="F17" t="str">
        <f>+_xlfn.XLOOKUP(dJugadorEquipo[[#This Row],[Equipo:Temp]],dEquipos[Equipo:Temp],dEquipos[Nombre Equipo],"",0)</f>
        <v>CONDOR GC</v>
      </c>
      <c r="G17" t="str">
        <f>+dJugadorEquipo[[#This Row],[Temporada]]&amp;":"&amp;dJugadorEquipo[[#This Row],[Equipo]]</f>
        <v>2024:4</v>
      </c>
      <c r="H17" t="str">
        <f>+_xlfn.XLOOKUP(dJugadorEquipo[[#This Row],[Equipo:Temp]],dEquipos[Equipo:Temp],dEquipos[Nombre Equipo],"",0)</f>
        <v>CONDOR GC</v>
      </c>
    </row>
    <row r="18" spans="1:8">
      <c r="A18">
        <v>2024</v>
      </c>
      <c r="B18" t="s">
        <v>18</v>
      </c>
      <c r="C18">
        <v>8</v>
      </c>
      <c r="D18">
        <v>5</v>
      </c>
      <c r="E18" t="str">
        <f>+_xlfn.XLOOKUP(dJugadorEquipo[[#This Row],[Jugador]],dJugador[Nombre],dJugador[Mote],"",0)</f>
        <v>JP</v>
      </c>
      <c r="F18" t="str">
        <f>+_xlfn.XLOOKUP(dJugadorEquipo[[#This Row],[Equipo:Temp]],dEquipos[Equipo:Temp],dEquipos[Nombre Equipo],"",0)</f>
        <v>ANGRYPIG</v>
      </c>
      <c r="G18" t="str">
        <f>+dJugadorEquipo[[#This Row],[Temporada]]&amp;":"&amp;dJugadorEquipo[[#This Row],[Equipo]]</f>
        <v>2024:5</v>
      </c>
      <c r="H18" t="str">
        <f>+_xlfn.XLOOKUP(dJugadorEquipo[[#This Row],[Equipo:Temp]],dEquipos[Equipo:Temp],dEquipos[Nombre Equipo],"",0)</f>
        <v>ANGRYPIG</v>
      </c>
    </row>
    <row r="19" spans="1:8">
      <c r="A19">
        <v>2024</v>
      </c>
      <c r="B19" t="s">
        <v>30</v>
      </c>
      <c r="C19">
        <v>5</v>
      </c>
      <c r="D19">
        <v>5</v>
      </c>
      <c r="E19" t="str">
        <f>+_xlfn.XLOOKUP(dJugadorEquipo[[#This Row],[Jugador]],dJugador[Nombre],dJugador[Mote],"",0)</f>
        <v>David</v>
      </c>
      <c r="F19" t="str">
        <f>+_xlfn.XLOOKUP(dJugadorEquipo[[#This Row],[Equipo:Temp]],dEquipos[Equipo:Temp],dEquipos[Nombre Equipo],"",0)</f>
        <v>ANGRYPIG</v>
      </c>
      <c r="G19" t="str">
        <f>+dJugadorEquipo[[#This Row],[Temporada]]&amp;":"&amp;dJugadorEquipo[[#This Row],[Equipo]]</f>
        <v>2024:5</v>
      </c>
      <c r="H19" t="str">
        <f>+_xlfn.XLOOKUP(dJugadorEquipo[[#This Row],[Equipo:Temp]],dEquipos[Equipo:Temp],dEquipos[Nombre Equipo],"",0)</f>
        <v>ANGRYPIG</v>
      </c>
    </row>
    <row r="20" spans="1:8">
      <c r="A20">
        <v>2024</v>
      </c>
      <c r="B20" t="s">
        <v>20</v>
      </c>
      <c r="C20">
        <v>7</v>
      </c>
      <c r="D20">
        <v>5</v>
      </c>
      <c r="E20" t="str">
        <f>+_xlfn.XLOOKUP(dJugadorEquipo[[#This Row],[Jugador]],dJugador[Nombre],dJugador[Mote],"",0)</f>
        <v>Javi</v>
      </c>
      <c r="F20" t="str">
        <f>+_xlfn.XLOOKUP(dJugadorEquipo[[#This Row],[Equipo:Temp]],dEquipos[Equipo:Temp],dEquipos[Nombre Equipo],"",0)</f>
        <v>ANGRYPIG</v>
      </c>
      <c r="G20" t="str">
        <f>+dJugadorEquipo[[#This Row],[Temporada]]&amp;":"&amp;dJugadorEquipo[[#This Row],[Equipo]]</f>
        <v>2024:5</v>
      </c>
      <c r="H20" t="str">
        <f>+_xlfn.XLOOKUP(dJugadorEquipo[[#This Row],[Equipo:Temp]],dEquipos[Equipo:Temp],dEquipos[Nombre Equipo],"",0)</f>
        <v>ANGRYPIG</v>
      </c>
    </row>
    <row r="21" spans="1:8">
      <c r="A21">
        <v>2024</v>
      </c>
      <c r="B21" t="s">
        <v>135</v>
      </c>
      <c r="C21">
        <v>1</v>
      </c>
      <c r="D21">
        <v>5</v>
      </c>
      <c r="E21" t="str">
        <f>+_xlfn.XLOOKUP(dJugadorEquipo[[#This Row],[Jugador]],dJugador[Nombre],dJugador[Mote],"",0)</f>
        <v>Miche</v>
      </c>
      <c r="F21" t="str">
        <f>+_xlfn.XLOOKUP(dJugadorEquipo[[#This Row],[Equipo:Temp]],dEquipos[Equipo:Temp],dEquipos[Nombre Equipo],"",0)</f>
        <v>ANGRYPIG</v>
      </c>
      <c r="G21" t="str">
        <f>+dJugadorEquipo[[#This Row],[Temporada]]&amp;":"&amp;dJugadorEquipo[[#This Row],[Equipo]]</f>
        <v>2024:5</v>
      </c>
      <c r="H21" t="str">
        <f>+_xlfn.XLOOKUP(dJugadorEquipo[[#This Row],[Equipo:Temp]],dEquipos[Equipo:Temp],dEquipos[Nombre Equipo],"",0)</f>
        <v>ANGRYPIG</v>
      </c>
    </row>
    <row r="22" spans="1:8">
      <c r="A22">
        <v>2024</v>
      </c>
      <c r="B22" t="s">
        <v>6</v>
      </c>
      <c r="C22">
        <v>7</v>
      </c>
      <c r="D22">
        <v>6</v>
      </c>
      <c r="E22" t="str">
        <f>+_xlfn.XLOOKUP(dJugadorEquipo[[#This Row],[Jugador]],dJugador[Nombre],dJugador[Mote],"",0)</f>
        <v>Ignacio</v>
      </c>
      <c r="F22" t="str">
        <f>+_xlfn.XLOOKUP(dJugadorEquipo[[#This Row],[Equipo:Temp]],dEquipos[Equipo:Temp],dEquipos[Nombre Equipo],"",0)</f>
        <v>LOS FICJ6</v>
      </c>
      <c r="G22" t="str">
        <f>+dJugadorEquipo[[#This Row],[Temporada]]&amp;":"&amp;dJugadorEquipo[[#This Row],[Equipo]]</f>
        <v>2024:6</v>
      </c>
      <c r="H22" t="str">
        <f>+_xlfn.XLOOKUP(dJugadorEquipo[[#This Row],[Equipo:Temp]],dEquipos[Equipo:Temp],dEquipos[Nombre Equipo],"",0)</f>
        <v>LOS FICJ6</v>
      </c>
    </row>
    <row r="23" spans="1:8">
      <c r="A23">
        <v>2024</v>
      </c>
      <c r="B23" t="s">
        <v>225</v>
      </c>
      <c r="C23">
        <v>3</v>
      </c>
      <c r="D23">
        <v>6</v>
      </c>
      <c r="E23" t="str">
        <f>+_xlfn.XLOOKUP(dJugadorEquipo[[#This Row],[Jugador]],dJugador[Nombre],dJugador[Mote],"",0)</f>
        <v>Chiralt</v>
      </c>
      <c r="F23" t="str">
        <f>+_xlfn.XLOOKUP(dJugadorEquipo[[#This Row],[Equipo:Temp]],dEquipos[Equipo:Temp],dEquipos[Nombre Equipo],"",0)</f>
        <v>LOS FICJ6</v>
      </c>
      <c r="G23" t="str">
        <f>+dJugadorEquipo[[#This Row],[Temporada]]&amp;":"&amp;dJugadorEquipo[[#This Row],[Equipo]]</f>
        <v>2024:6</v>
      </c>
      <c r="H23" t="str">
        <f>+_xlfn.XLOOKUP(dJugadorEquipo[[#This Row],[Equipo:Temp]],dEquipos[Equipo:Temp],dEquipos[Nombre Equipo],"",0)</f>
        <v>LOS FICJ6</v>
      </c>
    </row>
    <row r="24" spans="1:8">
      <c r="A24">
        <v>2024</v>
      </c>
      <c r="B24" t="s">
        <v>207</v>
      </c>
      <c r="C24">
        <v>3</v>
      </c>
      <c r="D24">
        <v>6</v>
      </c>
      <c r="E24" t="str">
        <f>+_xlfn.XLOOKUP(dJugadorEquipo[[#This Row],[Jugador]],dJugador[Nombre],dJugador[Mote],"",0)</f>
        <v>Franck</v>
      </c>
      <c r="F24" t="str">
        <f>+_xlfn.XLOOKUP(dJugadorEquipo[[#This Row],[Equipo:Temp]],dEquipos[Equipo:Temp],dEquipos[Nombre Equipo],"",0)</f>
        <v>LOS FICJ6</v>
      </c>
      <c r="G24" t="str">
        <f>+dJugadorEquipo[[#This Row],[Temporada]]&amp;":"&amp;dJugadorEquipo[[#This Row],[Equipo]]</f>
        <v>2024:6</v>
      </c>
      <c r="H24" t="str">
        <f>+_xlfn.XLOOKUP(dJugadorEquipo[[#This Row],[Equipo:Temp]],dEquipos[Equipo:Temp],dEquipos[Nombre Equipo],"",0)</f>
        <v>LOS FICJ6</v>
      </c>
    </row>
    <row r="25" spans="1:8">
      <c r="A25">
        <v>2024</v>
      </c>
      <c r="B25" t="s">
        <v>35</v>
      </c>
      <c r="C25">
        <v>3</v>
      </c>
      <c r="D25">
        <v>6</v>
      </c>
      <c r="E25" t="str">
        <f>+_xlfn.XLOOKUP(dJugadorEquipo[[#This Row],[Jugador]],dJugador[Nombre],dJugador[Mote],"",0)</f>
        <v>Juanjo</v>
      </c>
      <c r="F25" t="str">
        <f>+_xlfn.XLOOKUP(dJugadorEquipo[[#This Row],[Equipo:Temp]],dEquipos[Equipo:Temp],dEquipos[Nombre Equipo],"",0)</f>
        <v>LOS FICJ6</v>
      </c>
      <c r="G25" t="str">
        <f>+dJugadorEquipo[[#This Row],[Temporada]]&amp;":"&amp;dJugadorEquipo[[#This Row],[Equipo]]</f>
        <v>2024:6</v>
      </c>
      <c r="H25" t="str">
        <f>+_xlfn.XLOOKUP(dJugadorEquipo[[#This Row],[Equipo:Temp]],dEquipos[Equipo:Temp],dEquipos[Nombre Equipo],"",0)</f>
        <v>LOS FICJ6</v>
      </c>
    </row>
    <row r="26" spans="1:8">
      <c r="A26">
        <v>2024</v>
      </c>
      <c r="B26" t="s">
        <v>15</v>
      </c>
      <c r="C26">
        <v>3</v>
      </c>
      <c r="D26">
        <v>7</v>
      </c>
      <c r="E26" t="str">
        <f>+_xlfn.XLOOKUP(dJugadorEquipo[[#This Row],[Jugador]],dJugador[Nombre],dJugador[Mote],"",0)</f>
        <v>Gifu</v>
      </c>
      <c r="F26" t="str">
        <f>+_xlfn.XLOOKUP(dJugadorEquipo[[#This Row],[Equipo:Temp]],dEquipos[Equipo:Temp],dEquipos[Nombre Equipo],"",0)</f>
        <v>EAGLE MIND</v>
      </c>
      <c r="G26" t="str">
        <f>+dJugadorEquipo[[#This Row],[Temporada]]&amp;":"&amp;dJugadorEquipo[[#This Row],[Equipo]]</f>
        <v>2024:7</v>
      </c>
      <c r="H26" t="str">
        <f>+_xlfn.XLOOKUP(dJugadorEquipo[[#This Row],[Equipo:Temp]],dEquipos[Equipo:Temp],dEquipos[Nombre Equipo],"",0)</f>
        <v>EAGLE MIND</v>
      </c>
    </row>
    <row r="27" spans="1:8">
      <c r="A27">
        <v>2024</v>
      </c>
      <c r="B27" t="s">
        <v>49</v>
      </c>
      <c r="C27">
        <v>7</v>
      </c>
      <c r="D27">
        <v>7</v>
      </c>
      <c r="E27" t="str">
        <f>+_xlfn.XLOOKUP(dJugadorEquipo[[#This Row],[Jugador]],dJugador[Nombre],dJugador[Mote],"",0)</f>
        <v>Fran</v>
      </c>
      <c r="F27" t="str">
        <f>+_xlfn.XLOOKUP(dJugadorEquipo[[#This Row],[Equipo:Temp]],dEquipos[Equipo:Temp],dEquipos[Nombre Equipo],"",0)</f>
        <v>EAGLE MIND</v>
      </c>
      <c r="G27" t="str">
        <f>+dJugadorEquipo[[#This Row],[Temporada]]&amp;":"&amp;dJugadorEquipo[[#This Row],[Equipo]]</f>
        <v>2024:7</v>
      </c>
      <c r="H27" t="str">
        <f>+_xlfn.XLOOKUP(dJugadorEquipo[[#This Row],[Equipo:Temp]],dEquipos[Equipo:Temp],dEquipos[Nombre Equipo],"",0)</f>
        <v>EAGLE MIND</v>
      </c>
    </row>
    <row r="28" spans="1:8">
      <c r="A28">
        <v>2024</v>
      </c>
      <c r="B28" t="s">
        <v>12</v>
      </c>
      <c r="C28">
        <v>4</v>
      </c>
      <c r="D28">
        <v>7</v>
      </c>
      <c r="E28" t="str">
        <f>+_xlfn.XLOOKUP(dJugadorEquipo[[#This Row],[Jugador]],dJugador[Nombre],dJugador[Mote],"",0)</f>
        <v>Paco</v>
      </c>
      <c r="F28" t="str">
        <f>+_xlfn.XLOOKUP(dJugadorEquipo[[#This Row],[Equipo:Temp]],dEquipos[Equipo:Temp],dEquipos[Nombre Equipo],"",0)</f>
        <v>EAGLE MIND</v>
      </c>
      <c r="G28" t="str">
        <f>+dJugadorEquipo[[#This Row],[Temporada]]&amp;":"&amp;dJugadorEquipo[[#This Row],[Equipo]]</f>
        <v>2024:7</v>
      </c>
      <c r="H28" t="str">
        <f>+_xlfn.XLOOKUP(dJugadorEquipo[[#This Row],[Equipo:Temp]],dEquipos[Equipo:Temp],dEquipos[Nombre Equipo],"",0)</f>
        <v>EAGLE MIND</v>
      </c>
    </row>
    <row r="29" spans="1:8">
      <c r="A29">
        <v>2024</v>
      </c>
      <c r="B29" t="s">
        <v>264</v>
      </c>
      <c r="C29">
        <v>2</v>
      </c>
      <c r="D29">
        <v>7</v>
      </c>
      <c r="E29" t="str">
        <f>+_xlfn.XLOOKUP(dJugadorEquipo[[#This Row],[Jugador]],dJugador[Nombre],dJugador[Mote],"",0)</f>
        <v>Antonio</v>
      </c>
      <c r="F29" t="str">
        <f>+_xlfn.XLOOKUP(dJugadorEquipo[[#This Row],[Equipo:Temp]],dEquipos[Equipo:Temp],dEquipos[Nombre Equipo],"",0)</f>
        <v>EAGLE MIND</v>
      </c>
      <c r="G29" t="str">
        <f>+dJugadorEquipo[[#This Row],[Temporada]]&amp;":"&amp;dJugadorEquipo[[#This Row],[Equipo]]</f>
        <v>2024:7</v>
      </c>
      <c r="H29" t="str">
        <f>+_xlfn.XLOOKUP(dJugadorEquipo[[#This Row],[Equipo:Temp]],dEquipos[Equipo:Temp],dEquipos[Nombre Equipo],"",0)</f>
        <v>EAGLE MIND</v>
      </c>
    </row>
    <row r="30" spans="1:8">
      <c r="A30">
        <v>2024</v>
      </c>
      <c r="B30" t="s">
        <v>3</v>
      </c>
      <c r="C30">
        <v>4</v>
      </c>
      <c r="D30">
        <v>8</v>
      </c>
      <c r="E30" t="str">
        <f>+_xlfn.XLOOKUP(dJugadorEquipo[[#This Row],[Jugador]],dJugador[Nombre],dJugador[Mote],"",0)</f>
        <v>Nacho</v>
      </c>
      <c r="F30" t="str">
        <f>+_xlfn.XLOOKUP(dJugadorEquipo[[#This Row],[Equipo:Temp]],dEquipos[Equipo:Temp],dEquipos[Nombre Equipo],"",0)</f>
        <v>AVE FENIX</v>
      </c>
      <c r="G30" t="str">
        <f>+dJugadorEquipo[[#This Row],[Temporada]]&amp;":"&amp;dJugadorEquipo[[#This Row],[Equipo]]</f>
        <v>2024:8</v>
      </c>
      <c r="H30" t="str">
        <f>+_xlfn.XLOOKUP(dJugadorEquipo[[#This Row],[Equipo:Temp]],dEquipos[Equipo:Temp],dEquipos[Nombre Equipo],"",0)</f>
        <v>AVE FENIX</v>
      </c>
    </row>
    <row r="31" spans="1:8">
      <c r="A31">
        <v>2024</v>
      </c>
      <c r="B31" t="s">
        <v>248</v>
      </c>
      <c r="C31">
        <v>8</v>
      </c>
      <c r="D31">
        <v>8</v>
      </c>
      <c r="E31" t="str">
        <f>+_xlfn.XLOOKUP(dJugadorEquipo[[#This Row],[Jugador]],dJugador[Nombre],dJugador[Mote],"",0)</f>
        <v>Enrique</v>
      </c>
      <c r="F31" t="str">
        <f>+_xlfn.XLOOKUP(dJugadorEquipo[[#This Row],[Equipo:Temp]],dEquipos[Equipo:Temp],dEquipos[Nombre Equipo],"",0)</f>
        <v>AVE FENIX</v>
      </c>
      <c r="G31" t="str">
        <f>+dJugadorEquipo[[#This Row],[Temporada]]&amp;":"&amp;dJugadorEquipo[[#This Row],[Equipo]]</f>
        <v>2024:8</v>
      </c>
      <c r="H31" t="str">
        <f>+_xlfn.XLOOKUP(dJugadorEquipo[[#This Row],[Equipo:Temp]],dEquipos[Equipo:Temp],dEquipos[Nombre Equipo],"",0)</f>
        <v>AVE FENIX</v>
      </c>
    </row>
    <row r="32" spans="1:8">
      <c r="A32">
        <v>2024</v>
      </c>
      <c r="B32" t="s">
        <v>23</v>
      </c>
      <c r="C32">
        <v>8</v>
      </c>
      <c r="D32">
        <v>8</v>
      </c>
      <c r="E32" t="str">
        <f>+_xlfn.XLOOKUP(dJugadorEquipo[[#This Row],[Jugador]],dJugador[Nombre],dJugador[Mote],"",0)</f>
        <v>Kike</v>
      </c>
      <c r="F32" t="str">
        <f>+_xlfn.XLOOKUP(dJugadorEquipo[[#This Row],[Equipo:Temp]],dEquipos[Equipo:Temp],dEquipos[Nombre Equipo],"",0)</f>
        <v>AVE FENIX</v>
      </c>
      <c r="G32" t="str">
        <f>+dJugadorEquipo[[#This Row],[Temporada]]&amp;":"&amp;dJugadorEquipo[[#This Row],[Equipo]]</f>
        <v>2024:8</v>
      </c>
      <c r="H32" t="str">
        <f>+_xlfn.XLOOKUP(dJugadorEquipo[[#This Row],[Equipo:Temp]],dEquipos[Equipo:Temp],dEquipos[Nombre Equipo],"",0)</f>
        <v>AVE FENIX</v>
      </c>
    </row>
    <row r="33" spans="1:8">
      <c r="A33">
        <v>2024</v>
      </c>
      <c r="B33" t="s">
        <v>217</v>
      </c>
      <c r="C33">
        <v>5</v>
      </c>
      <c r="D33">
        <v>8</v>
      </c>
      <c r="E33" t="str">
        <f>+_xlfn.XLOOKUP(dJugadorEquipo[[#This Row],[Jugador]],dJugador[Nombre],dJugador[Mote],"",0)</f>
        <v>Cuñao</v>
      </c>
      <c r="F33" t="str">
        <f>+_xlfn.XLOOKUP(dJugadorEquipo[[#This Row],[Equipo:Temp]],dEquipos[Equipo:Temp],dEquipos[Nombre Equipo],"",0)</f>
        <v>AVE FENIX</v>
      </c>
      <c r="G33" t="str">
        <f>+dJugadorEquipo[[#This Row],[Temporada]]&amp;":"&amp;dJugadorEquipo[[#This Row],[Equipo]]</f>
        <v>2024:8</v>
      </c>
      <c r="H33" t="str">
        <f>+_xlfn.XLOOKUP(dJugadorEquipo[[#This Row],[Equipo:Temp]],dEquipos[Equipo:Temp],dEquipos[Nombre Equipo],"",0)</f>
        <v>AVE FENIX</v>
      </c>
    </row>
    <row r="34" spans="1:8">
      <c r="A34">
        <v>2024</v>
      </c>
      <c r="B34" t="s">
        <v>2469</v>
      </c>
      <c r="C34">
        <v>1</v>
      </c>
      <c r="D34">
        <v>9</v>
      </c>
      <c r="E34" t="str">
        <f>+_xlfn.XLOOKUP(dJugadorEquipo[[#This Row],[Jugador]],dJugador[Nombre],dJugador[Mote],"",0)</f>
        <v>A.Santana</v>
      </c>
      <c r="F34" t="str">
        <f>+_xlfn.XLOOKUP(dJugadorEquipo[[#This Row],[Equipo:Temp]],dEquipos[Equipo:Temp],dEquipos[Nombre Equipo],"",0)</f>
        <v>CUATREROS GC</v>
      </c>
      <c r="G34" t="str">
        <f>+dJugadorEquipo[[#This Row],[Temporada]]&amp;":"&amp;dJugadorEquipo[[#This Row],[Equipo]]</f>
        <v>2024:9</v>
      </c>
      <c r="H34" t="str">
        <f>+_xlfn.XLOOKUP(dJugadorEquipo[[#This Row],[Equipo:Temp]],dEquipos[Equipo:Temp],dEquipos[Nombre Equipo],"",0)</f>
        <v>CUATREROS GC</v>
      </c>
    </row>
    <row r="35" spans="1:8">
      <c r="A35">
        <v>2024</v>
      </c>
      <c r="B35" t="s">
        <v>2516</v>
      </c>
      <c r="C35">
        <v>2</v>
      </c>
      <c r="D35">
        <v>9</v>
      </c>
      <c r="E35" t="str">
        <f>+_xlfn.XLOOKUP(dJugadorEquipo[[#This Row],[Jugador]],dJugador[Nombre],dJugador[Mote],"",0)</f>
        <v>JuanSanz</v>
      </c>
      <c r="F35" t="str">
        <f>+_xlfn.XLOOKUP(dJugadorEquipo[[#This Row],[Equipo:Temp]],dEquipos[Equipo:Temp],dEquipos[Nombre Equipo],"",0)</f>
        <v>CUATREROS GC</v>
      </c>
      <c r="G35" t="str">
        <f>+dJugadorEquipo[[#This Row],[Temporada]]&amp;":"&amp;dJugadorEquipo[[#This Row],[Equipo]]</f>
        <v>2024:9</v>
      </c>
      <c r="H35" t="str">
        <f>+_xlfn.XLOOKUP(dJugadorEquipo[[#This Row],[Equipo:Temp]],dEquipos[Equipo:Temp],dEquipos[Nombre Equipo],"",0)</f>
        <v>CUATREROS GC</v>
      </c>
    </row>
    <row r="36" spans="1:8">
      <c r="A36" s="92">
        <v>2025</v>
      </c>
      <c r="B36" s="92" t="s">
        <v>291</v>
      </c>
      <c r="C36" s="92"/>
      <c r="D36" s="92">
        <v>1</v>
      </c>
      <c r="E36" s="92" t="str">
        <f>+_xlfn.XLOOKUP(dJugadorEquipo[[#This Row],[Jugador]],dJugador[Nombre],dJugador[Mote],"",0)</f>
        <v>Carlitos</v>
      </c>
      <c r="F36" s="92" t="str">
        <f>+_xlfn.XLOOKUP(dJugadorEquipo[[#This Row],[Equipo:Temp]],dEquipos[Equipo:Temp],dEquipos[Nombre Equipo],"",0)</f>
        <v>ANGRYPIG</v>
      </c>
      <c r="G36" s="92" t="str">
        <f>+dJugadorEquipo[[#This Row],[Temporada]]&amp;":"&amp;dJugadorEquipo[[#This Row],[Equipo]]</f>
        <v>2025:1</v>
      </c>
      <c r="H36" t="str">
        <f>+_xlfn.XLOOKUP(dJugadorEquipo[[#This Row],[Equipo:Temp]],dEquipos[Equipo:Temp],dEquipos[Nombre Equipo],"",0)</f>
        <v>ANGRYPIG</v>
      </c>
    </row>
    <row r="37" spans="1:8">
      <c r="A37" s="92">
        <v>2025</v>
      </c>
      <c r="B37" s="92" t="s">
        <v>18</v>
      </c>
      <c r="C37" s="92"/>
      <c r="D37" s="92">
        <v>1</v>
      </c>
      <c r="E37" s="92" t="str">
        <f>+_xlfn.XLOOKUP(dJugadorEquipo[[#This Row],[Jugador]],dJugador[Nombre],dJugador[Mote],"",0)</f>
        <v>JP</v>
      </c>
      <c r="F37" s="92" t="str">
        <f>+_xlfn.XLOOKUP(dJugadorEquipo[[#This Row],[Equipo:Temp]],dEquipos[Equipo:Temp],dEquipos[Nombre Equipo],"",0)</f>
        <v>ANGRYPIG</v>
      </c>
      <c r="G37" s="92" t="str">
        <f>+dJugadorEquipo[[#This Row],[Temporada]]&amp;":"&amp;dJugadorEquipo[[#This Row],[Equipo]]</f>
        <v>2025:1</v>
      </c>
      <c r="H37" t="str">
        <f>+_xlfn.XLOOKUP(dJugadorEquipo[[#This Row],[Equipo:Temp]],dEquipos[Equipo:Temp],dEquipos[Nombre Equipo],"",0)</f>
        <v>ANGRYPIG</v>
      </c>
    </row>
    <row r="38" spans="1:8">
      <c r="A38" s="92">
        <v>2025</v>
      </c>
      <c r="B38" s="92" t="s">
        <v>20</v>
      </c>
      <c r="C38" s="92"/>
      <c r="D38" s="92">
        <v>1</v>
      </c>
      <c r="E38" s="92" t="str">
        <f>+_xlfn.XLOOKUP(dJugadorEquipo[[#This Row],[Jugador]],dJugador[Nombre],dJugador[Mote],"",0)</f>
        <v>Javi</v>
      </c>
      <c r="F38" s="92" t="str">
        <f>+_xlfn.XLOOKUP(dJugadorEquipo[[#This Row],[Equipo:Temp]],dEquipos[Equipo:Temp],dEquipos[Nombre Equipo],"",0)</f>
        <v>ANGRYPIG</v>
      </c>
      <c r="G38" s="92" t="str">
        <f>+dJugadorEquipo[[#This Row],[Temporada]]&amp;":"&amp;dJugadorEquipo[[#This Row],[Equipo]]</f>
        <v>2025:1</v>
      </c>
      <c r="H38" t="str">
        <f>+_xlfn.XLOOKUP(dJugadorEquipo[[#This Row],[Equipo:Temp]],dEquipos[Equipo:Temp],dEquipos[Nombre Equipo],"",0)</f>
        <v>ANGRYPIG</v>
      </c>
    </row>
    <row r="39" spans="1:8">
      <c r="A39" s="92">
        <v>2025</v>
      </c>
      <c r="B39" s="92" t="s">
        <v>135</v>
      </c>
      <c r="C39" s="92"/>
      <c r="D39" s="92">
        <v>1</v>
      </c>
      <c r="E39" s="92" t="str">
        <f>+_xlfn.XLOOKUP(dJugadorEquipo[[#This Row],[Jugador]],dJugador[Nombre],dJugador[Mote],"",0)</f>
        <v>Miche</v>
      </c>
      <c r="F39" s="92" t="str">
        <f>+_xlfn.XLOOKUP(dJugadorEquipo[[#This Row],[Equipo:Temp]],dEquipos[Equipo:Temp],dEquipos[Nombre Equipo],"",0)</f>
        <v>ANGRYPIG</v>
      </c>
      <c r="G39" s="92" t="str">
        <f>+dJugadorEquipo[[#This Row],[Temporada]]&amp;":"&amp;dJugadorEquipo[[#This Row],[Equipo]]</f>
        <v>2025:1</v>
      </c>
      <c r="H39" t="str">
        <f>+_xlfn.XLOOKUP(dJugadorEquipo[[#This Row],[Equipo:Temp]],dEquipos[Equipo:Temp],dEquipos[Nombre Equipo],"",0)</f>
        <v>ANGRYPIG</v>
      </c>
    </row>
    <row r="40" spans="1:8">
      <c r="A40" s="92">
        <v>2025</v>
      </c>
      <c r="B40" s="92" t="s">
        <v>259</v>
      </c>
      <c r="C40" s="92"/>
      <c r="D40" s="92">
        <v>2</v>
      </c>
      <c r="E40" s="92" t="str">
        <f>+_xlfn.XLOOKUP(dJugadorEquipo[[#This Row],[Jugador]],dJugador[Nombre],dJugador[Mote],"",0)</f>
        <v>Alex</v>
      </c>
      <c r="F40" s="92" t="str">
        <f>+_xlfn.XLOOKUP(dJugadorEquipo[[#This Row],[Equipo:Temp]],dEquipos[Equipo:Temp],dEquipos[Nombre Equipo],"",0)</f>
        <v>AVE FENIX</v>
      </c>
      <c r="G40" s="92" t="str">
        <f>+dJugadorEquipo[[#This Row],[Temporada]]&amp;":"&amp;dJugadorEquipo[[#This Row],[Equipo]]</f>
        <v>2025:2</v>
      </c>
      <c r="H40" t="str">
        <f>+_xlfn.XLOOKUP(dJugadorEquipo[[#This Row],[Equipo:Temp]],dEquipos[Equipo:Temp],dEquipos[Nombre Equipo],"",0)</f>
        <v>AVE FENIX</v>
      </c>
    </row>
    <row r="41" spans="1:8">
      <c r="A41" s="92">
        <v>2025</v>
      </c>
      <c r="B41" s="92" t="s">
        <v>248</v>
      </c>
      <c r="C41" s="92"/>
      <c r="D41" s="92">
        <v>2</v>
      </c>
      <c r="E41" s="92" t="str">
        <f>+_xlfn.XLOOKUP(dJugadorEquipo[[#This Row],[Jugador]],dJugador[Nombre],dJugador[Mote],"",0)</f>
        <v>Enrique</v>
      </c>
      <c r="F41" s="92" t="str">
        <f>+_xlfn.XLOOKUP(dJugadorEquipo[[#This Row],[Equipo:Temp]],dEquipos[Equipo:Temp],dEquipos[Nombre Equipo],"",0)</f>
        <v>AVE FENIX</v>
      </c>
      <c r="G41" s="92" t="str">
        <f>+dJugadorEquipo[[#This Row],[Temporada]]&amp;":"&amp;dJugadorEquipo[[#This Row],[Equipo]]</f>
        <v>2025:2</v>
      </c>
      <c r="H41" t="str">
        <f>+_xlfn.XLOOKUP(dJugadorEquipo[[#This Row],[Equipo:Temp]],dEquipos[Equipo:Temp],dEquipos[Nombre Equipo],"",0)</f>
        <v>AVE FENIX</v>
      </c>
    </row>
    <row r="42" spans="1:8">
      <c r="A42" s="92">
        <v>2025</v>
      </c>
      <c r="B42" s="92" t="s">
        <v>207</v>
      </c>
      <c r="C42" s="92"/>
      <c r="D42" s="92">
        <v>2</v>
      </c>
      <c r="E42" s="92" t="str">
        <f>+_xlfn.XLOOKUP(dJugadorEquipo[[#This Row],[Jugador]],dJugador[Nombre],dJugador[Mote],"",0)</f>
        <v>Franck</v>
      </c>
      <c r="F42" s="92" t="str">
        <f>+_xlfn.XLOOKUP(dJugadorEquipo[[#This Row],[Equipo:Temp]],dEquipos[Equipo:Temp],dEquipos[Nombre Equipo],"",0)</f>
        <v>AVE FENIX</v>
      </c>
      <c r="G42" s="92" t="str">
        <f>+dJugadorEquipo[[#This Row],[Temporada]]&amp;":"&amp;dJugadorEquipo[[#This Row],[Equipo]]</f>
        <v>2025:2</v>
      </c>
      <c r="H42" t="str">
        <f>+_xlfn.XLOOKUP(dJugadorEquipo[[#This Row],[Equipo:Temp]],dEquipos[Equipo:Temp],dEquipos[Nombre Equipo],"",0)</f>
        <v>AVE FENIX</v>
      </c>
    </row>
    <row r="43" spans="1:8">
      <c r="A43" s="92">
        <v>2025</v>
      </c>
      <c r="B43" s="92" t="s">
        <v>23</v>
      </c>
      <c r="C43" s="92"/>
      <c r="D43" s="92">
        <v>2</v>
      </c>
      <c r="E43" s="92" t="str">
        <f>+_xlfn.XLOOKUP(dJugadorEquipo[[#This Row],[Jugador]],dJugador[Nombre],dJugador[Mote],"",0)</f>
        <v>Kike</v>
      </c>
      <c r="F43" s="92" t="str">
        <f>+_xlfn.XLOOKUP(dJugadorEquipo[[#This Row],[Equipo:Temp]],dEquipos[Equipo:Temp],dEquipos[Nombre Equipo],"",0)</f>
        <v>AVE FENIX</v>
      </c>
      <c r="G43" s="92" t="str">
        <f>+dJugadorEquipo[[#This Row],[Temporada]]&amp;":"&amp;dJugadorEquipo[[#This Row],[Equipo]]</f>
        <v>2025:2</v>
      </c>
      <c r="H43" t="str">
        <f>+_xlfn.XLOOKUP(dJugadorEquipo[[#This Row],[Equipo:Temp]],dEquipos[Equipo:Temp],dEquipos[Nombre Equipo],"",0)</f>
        <v>AVE FENIX</v>
      </c>
    </row>
    <row r="44" spans="1:8">
      <c r="A44" s="92">
        <v>2025</v>
      </c>
      <c r="B44" s="92" t="s">
        <v>217</v>
      </c>
      <c r="C44" s="92"/>
      <c r="D44" s="92">
        <v>2</v>
      </c>
      <c r="E44" s="92" t="str">
        <f>+_xlfn.XLOOKUP(dJugadorEquipo[[#This Row],[Jugador]],dJugador[Nombre],dJugador[Mote],"",0)</f>
        <v>Cuñao</v>
      </c>
      <c r="F44" s="92" t="str">
        <f>+_xlfn.XLOOKUP(dJugadorEquipo[[#This Row],[Equipo:Temp]],dEquipos[Equipo:Temp],dEquipos[Nombre Equipo],"",0)</f>
        <v>AVE FENIX</v>
      </c>
      <c r="G44" s="92" t="str">
        <f>+dJugadorEquipo[[#This Row],[Temporada]]&amp;":"&amp;dJugadorEquipo[[#This Row],[Equipo]]</f>
        <v>2025:2</v>
      </c>
      <c r="H44" t="str">
        <f>+_xlfn.XLOOKUP(dJugadorEquipo[[#This Row],[Equipo:Temp]],dEquipos[Equipo:Temp],dEquipos[Nombre Equipo],"",0)</f>
        <v>AVE FENIX</v>
      </c>
    </row>
    <row r="45" spans="1:8">
      <c r="A45" s="92">
        <v>2025</v>
      </c>
      <c r="B45" s="92" t="s">
        <v>33</v>
      </c>
      <c r="C45" s="92"/>
      <c r="D45" s="92">
        <v>3</v>
      </c>
      <c r="E45" s="92" t="str">
        <f>+_xlfn.XLOOKUP(dJugadorEquipo[[#This Row],[Jugador]],dJugador[Nombre],dJugador[Mote],"",0)</f>
        <v>Angel</v>
      </c>
      <c r="F45" s="92" t="str">
        <f>+_xlfn.XLOOKUP(dJugadorEquipo[[#This Row],[Equipo:Temp]],dEquipos[Equipo:Temp],dEquipos[Nombre Equipo],"",0)</f>
        <v>CONDOR GC</v>
      </c>
      <c r="G45" s="92" t="str">
        <f>+dJugadorEquipo[[#This Row],[Temporada]]&amp;":"&amp;dJugadorEquipo[[#This Row],[Equipo]]</f>
        <v>2025:3</v>
      </c>
      <c r="H45" t="str">
        <f>+_xlfn.XLOOKUP(dJugadorEquipo[[#This Row],[Equipo:Temp]],dEquipos[Equipo:Temp],dEquipos[Nombre Equipo],"",0)</f>
        <v>CONDOR GC</v>
      </c>
    </row>
    <row r="46" spans="1:8">
      <c r="A46" s="92">
        <v>2025</v>
      </c>
      <c r="B46" s="92" t="s">
        <v>49</v>
      </c>
      <c r="C46" s="92"/>
      <c r="D46" s="92">
        <v>3</v>
      </c>
      <c r="E46" s="92" t="str">
        <f>+_xlfn.XLOOKUP(dJugadorEquipo[[#This Row],[Jugador]],dJugador[Nombre],dJugador[Mote],"",0)</f>
        <v>Fran</v>
      </c>
      <c r="F46" s="92" t="str">
        <f>+_xlfn.XLOOKUP(dJugadorEquipo[[#This Row],[Equipo:Temp]],dEquipos[Equipo:Temp],dEquipos[Nombre Equipo],"",0)</f>
        <v>CONDOR GC</v>
      </c>
      <c r="G46" s="92" t="str">
        <f>+dJugadorEquipo[[#This Row],[Temporada]]&amp;":"&amp;dJugadorEquipo[[#This Row],[Equipo]]</f>
        <v>2025:3</v>
      </c>
      <c r="H46" t="str">
        <f>+_xlfn.XLOOKUP(dJugadorEquipo[[#This Row],[Equipo:Temp]],dEquipos[Equipo:Temp],dEquipos[Nombre Equipo],"",0)</f>
        <v>CONDOR GC</v>
      </c>
    </row>
    <row r="47" spans="1:8">
      <c r="A47" s="92">
        <v>2025</v>
      </c>
      <c r="B47" s="92" t="s">
        <v>326</v>
      </c>
      <c r="C47" s="92"/>
      <c r="D47" s="92">
        <v>3</v>
      </c>
      <c r="E47" s="92" t="str">
        <f>+_xlfn.XLOOKUP(dJugadorEquipo[[#This Row],[Jugador]],dJugador[Nombre],dJugador[Mote],"",0)</f>
        <v>Eduardo</v>
      </c>
      <c r="F47" s="92" t="str">
        <f>+_xlfn.XLOOKUP(dJugadorEquipo[[#This Row],[Equipo:Temp]],dEquipos[Equipo:Temp],dEquipos[Nombre Equipo],"",0)</f>
        <v>CONDOR GC</v>
      </c>
      <c r="G47" s="92" t="str">
        <f>+dJugadorEquipo[[#This Row],[Temporada]]&amp;":"&amp;dJugadorEquipo[[#This Row],[Equipo]]</f>
        <v>2025:3</v>
      </c>
      <c r="H47" t="str">
        <f>+_xlfn.XLOOKUP(dJugadorEquipo[[#This Row],[Equipo:Temp]],dEquipos[Equipo:Temp],dEquipos[Nombre Equipo],"",0)</f>
        <v>CONDOR GC</v>
      </c>
    </row>
    <row r="48" spans="1:8">
      <c r="A48" s="92">
        <v>2025</v>
      </c>
      <c r="B48" s="92" t="s">
        <v>297</v>
      </c>
      <c r="C48" s="92"/>
      <c r="D48" s="92">
        <v>3</v>
      </c>
      <c r="E48" s="92" t="str">
        <f>+_xlfn.XLOOKUP(dJugadorEquipo[[#This Row],[Jugador]],dJugador[Nombre],dJugador[Mote],"",0)</f>
        <v>Jorge</v>
      </c>
      <c r="F48" s="92" t="str">
        <f>+_xlfn.XLOOKUP(dJugadorEquipo[[#This Row],[Equipo:Temp]],dEquipos[Equipo:Temp],dEquipos[Nombre Equipo],"",0)</f>
        <v>CONDOR GC</v>
      </c>
      <c r="G48" s="92" t="str">
        <f>+dJugadorEquipo[[#This Row],[Temporada]]&amp;":"&amp;dJugadorEquipo[[#This Row],[Equipo]]</f>
        <v>2025:3</v>
      </c>
      <c r="H48" t="str">
        <f>+_xlfn.XLOOKUP(dJugadorEquipo[[#This Row],[Equipo:Temp]],dEquipos[Equipo:Temp],dEquipos[Nombre Equipo],"",0)</f>
        <v>CONDOR GC</v>
      </c>
    </row>
    <row r="49" spans="1:8">
      <c r="A49" s="92">
        <v>2025</v>
      </c>
      <c r="B49" s="92" t="s">
        <v>25</v>
      </c>
      <c r="C49" s="92"/>
      <c r="D49" s="92">
        <v>4</v>
      </c>
      <c r="E49" s="92" t="str">
        <f>+_xlfn.XLOOKUP(dJugadorEquipo[[#This Row],[Jugador]],dJugador[Nombre],dJugador[Mote],"",0)</f>
        <v>Alvaro</v>
      </c>
      <c r="F49" s="92" t="str">
        <f>+_xlfn.XLOOKUP(dJugadorEquipo[[#This Row],[Equipo:Temp]],dEquipos[Equipo:Temp],dEquipos[Nombre Equipo],"",0)</f>
        <v>CUATREROS GC</v>
      </c>
      <c r="G49" s="92" t="str">
        <f>+dJugadorEquipo[[#This Row],[Temporada]]&amp;":"&amp;dJugadorEquipo[[#This Row],[Equipo]]</f>
        <v>2025:4</v>
      </c>
      <c r="H49" t="str">
        <f>+_xlfn.XLOOKUP(dJugadorEquipo[[#This Row],[Equipo:Temp]],dEquipos[Equipo:Temp],dEquipos[Nombre Equipo],"",0)</f>
        <v>CUATREROS GC</v>
      </c>
    </row>
    <row r="50" spans="1:8">
      <c r="A50" s="92">
        <v>2025</v>
      </c>
      <c r="B50" s="92" t="s">
        <v>2469</v>
      </c>
      <c r="C50" s="92"/>
      <c r="D50" s="92">
        <v>4</v>
      </c>
      <c r="E50" s="92" t="str">
        <f>+_xlfn.XLOOKUP(dJugadorEquipo[[#This Row],[Jugador]],dJugador[Nombre],dJugador[Mote],"",0)</f>
        <v>A.Santana</v>
      </c>
      <c r="F50" s="92" t="str">
        <f>+_xlfn.XLOOKUP(dJugadorEquipo[[#This Row],[Equipo:Temp]],dEquipos[Equipo:Temp],dEquipos[Nombre Equipo],"",0)</f>
        <v>CUATREROS GC</v>
      </c>
      <c r="G50" s="92" t="str">
        <f>+dJugadorEquipo[[#This Row],[Temporada]]&amp;":"&amp;dJugadorEquipo[[#This Row],[Equipo]]</f>
        <v>2025:4</v>
      </c>
      <c r="H50" t="str">
        <f>+_xlfn.XLOOKUP(dJugadorEquipo[[#This Row],[Equipo:Temp]],dEquipos[Equipo:Temp],dEquipos[Nombre Equipo],"",0)</f>
        <v>CUATREROS GC</v>
      </c>
    </row>
    <row r="51" spans="1:8">
      <c r="A51" s="92">
        <v>2025</v>
      </c>
      <c r="B51" s="92" t="s">
        <v>2516</v>
      </c>
      <c r="C51" s="92"/>
      <c r="D51" s="92">
        <v>4</v>
      </c>
      <c r="E51" s="92" t="str">
        <f>+_xlfn.XLOOKUP(dJugadorEquipo[[#This Row],[Jugador]],dJugador[Nombre],dJugador[Mote],"",0)</f>
        <v>JuanSanz</v>
      </c>
      <c r="F51" s="92" t="str">
        <f>+_xlfn.XLOOKUP(dJugadorEquipo[[#This Row],[Equipo:Temp]],dEquipos[Equipo:Temp],dEquipos[Nombre Equipo],"",0)</f>
        <v>CUATREROS GC</v>
      </c>
      <c r="G51" s="92" t="str">
        <f>+dJugadorEquipo[[#This Row],[Temporada]]&amp;":"&amp;dJugadorEquipo[[#This Row],[Equipo]]</f>
        <v>2025:4</v>
      </c>
      <c r="H51" t="str">
        <f>+_xlfn.XLOOKUP(dJugadorEquipo[[#This Row],[Equipo:Temp]],dEquipos[Equipo:Temp],dEquipos[Nombre Equipo],"",0)</f>
        <v>CUATREROS GC</v>
      </c>
    </row>
    <row r="52" spans="1:8">
      <c r="A52" s="92">
        <v>2025</v>
      </c>
      <c r="B52" s="92" t="s">
        <v>2473</v>
      </c>
      <c r="C52" s="92"/>
      <c r="D52" s="92">
        <v>4</v>
      </c>
      <c r="E52" s="92" t="str">
        <f>+_xlfn.XLOOKUP(dJugadorEquipo[[#This Row],[Jugador]],dJugador[Nombre],dJugador[Mote],"",0)</f>
        <v>Tom</v>
      </c>
      <c r="F52" s="92" t="str">
        <f>+_xlfn.XLOOKUP(dJugadorEquipo[[#This Row],[Equipo:Temp]],dEquipos[Equipo:Temp],dEquipos[Nombre Equipo],"",0)</f>
        <v>CUATREROS GC</v>
      </c>
      <c r="G52" s="92" t="str">
        <f>+dJugadorEquipo[[#This Row],[Temporada]]&amp;":"&amp;dJugadorEquipo[[#This Row],[Equipo]]</f>
        <v>2025:4</v>
      </c>
      <c r="H52" t="str">
        <f>+_xlfn.XLOOKUP(dJugadorEquipo[[#This Row],[Equipo:Temp]],dEquipos[Equipo:Temp],dEquipos[Nombre Equipo],"",0)</f>
        <v>CUATREROS GC</v>
      </c>
    </row>
    <row r="53" spans="1:8">
      <c r="A53" s="92">
        <v>2025</v>
      </c>
      <c r="B53" s="92" t="s">
        <v>15</v>
      </c>
      <c r="C53" s="92"/>
      <c r="D53" s="92">
        <v>5</v>
      </c>
      <c r="E53" s="92" t="str">
        <f>+_xlfn.XLOOKUP(dJugadorEquipo[[#This Row],[Jugador]],dJugador[Nombre],dJugador[Mote],"",0)</f>
        <v>Gifu</v>
      </c>
      <c r="F53" s="92" t="str">
        <f>+_xlfn.XLOOKUP(dJugadorEquipo[[#This Row],[Equipo:Temp]],dEquipos[Equipo:Temp],dEquipos[Nombre Equipo],"",0)</f>
        <v>EAGLE MIND</v>
      </c>
      <c r="G53" s="92" t="str">
        <f>+dJugadorEquipo[[#This Row],[Temporada]]&amp;":"&amp;dJugadorEquipo[[#This Row],[Equipo]]</f>
        <v>2025:5</v>
      </c>
      <c r="H53" t="str">
        <f>+_xlfn.XLOOKUP(dJugadorEquipo[[#This Row],[Equipo:Temp]],dEquipos[Equipo:Temp],dEquipos[Nombre Equipo],"",0)</f>
        <v>EAGLE MIND</v>
      </c>
    </row>
    <row r="54" spans="1:8">
      <c r="A54" s="92">
        <v>2025</v>
      </c>
      <c r="B54" s="92" t="s">
        <v>201</v>
      </c>
      <c r="C54" s="92"/>
      <c r="D54" s="92">
        <v>5</v>
      </c>
      <c r="E54" s="92" t="str">
        <f>+_xlfn.XLOOKUP(dJugadorEquipo[[#This Row],[Jugador]],dJugador[Nombre],dJugador[Mote],"",0)</f>
        <v>Monti</v>
      </c>
      <c r="F54" s="92" t="str">
        <f>+_xlfn.XLOOKUP(dJugadorEquipo[[#This Row],[Equipo:Temp]],dEquipos[Equipo:Temp],dEquipos[Nombre Equipo],"",0)</f>
        <v>EAGLE MIND</v>
      </c>
      <c r="G54" s="92" t="str">
        <f>+dJugadorEquipo[[#This Row],[Temporada]]&amp;":"&amp;dJugadorEquipo[[#This Row],[Equipo]]</f>
        <v>2025:5</v>
      </c>
      <c r="H54" t="str">
        <f>+_xlfn.XLOOKUP(dJugadorEquipo[[#This Row],[Equipo:Temp]],dEquipos[Equipo:Temp],dEquipos[Nombre Equipo],"",0)</f>
        <v>EAGLE MIND</v>
      </c>
    </row>
    <row r="55" spans="1:8">
      <c r="A55" s="92">
        <v>2025</v>
      </c>
      <c r="B55" s="92" t="s">
        <v>225</v>
      </c>
      <c r="C55" s="92"/>
      <c r="D55" s="92">
        <v>5</v>
      </c>
      <c r="E55" s="92" t="str">
        <f>+_xlfn.XLOOKUP(dJugadorEquipo[[#This Row],[Jugador]],dJugador[Nombre],dJugador[Mote],"",0)</f>
        <v>Chiralt</v>
      </c>
      <c r="F55" s="92" t="str">
        <f>+_xlfn.XLOOKUP(dJugadorEquipo[[#This Row],[Equipo:Temp]],dEquipos[Equipo:Temp],dEquipos[Nombre Equipo],"",0)</f>
        <v>EAGLE MIND</v>
      </c>
      <c r="G55" s="92" t="str">
        <f>+dJugadorEquipo[[#This Row],[Temporada]]&amp;":"&amp;dJugadorEquipo[[#This Row],[Equipo]]</f>
        <v>2025:5</v>
      </c>
      <c r="H55" t="str">
        <f>+_xlfn.XLOOKUP(dJugadorEquipo[[#This Row],[Equipo:Temp]],dEquipos[Equipo:Temp],dEquipos[Nombre Equipo],"",0)</f>
        <v>EAGLE MIND</v>
      </c>
    </row>
    <row r="56" spans="1:8">
      <c r="A56" s="92">
        <v>2025</v>
      </c>
      <c r="B56" s="92" t="s">
        <v>264</v>
      </c>
      <c r="C56" s="92"/>
      <c r="D56" s="92">
        <v>5</v>
      </c>
      <c r="E56" s="92" t="str">
        <f>+_xlfn.XLOOKUP(dJugadorEquipo[[#This Row],[Jugador]],dJugador[Nombre],dJugador[Mote],"",0)</f>
        <v>Antonio</v>
      </c>
      <c r="F56" s="92" t="str">
        <f>+_xlfn.XLOOKUP(dJugadorEquipo[[#This Row],[Equipo:Temp]],dEquipos[Equipo:Temp],dEquipos[Nombre Equipo],"",0)</f>
        <v>EAGLE MIND</v>
      </c>
      <c r="G56" s="92" t="str">
        <f>+dJugadorEquipo[[#This Row],[Temporada]]&amp;":"&amp;dJugadorEquipo[[#This Row],[Equipo]]</f>
        <v>2025:5</v>
      </c>
      <c r="H56" t="str">
        <f>+_xlfn.XLOOKUP(dJugadorEquipo[[#This Row],[Equipo:Temp]],dEquipos[Equipo:Temp],dEquipos[Nombre Equipo],"",0)</f>
        <v>EAGLE MIND</v>
      </c>
    </row>
    <row r="57" spans="1:8">
      <c r="A57" s="92">
        <v>2025</v>
      </c>
      <c r="B57" s="92" t="s">
        <v>2606</v>
      </c>
      <c r="C57" s="92"/>
      <c r="D57" s="92">
        <v>5</v>
      </c>
      <c r="E57" s="92" t="str">
        <f>+_xlfn.XLOOKUP(dJugadorEquipo[[#This Row],[Jugador]],dJugador[Nombre],dJugador[Mote],"",0)</f>
        <v>Jaime</v>
      </c>
      <c r="F57" s="92" t="str">
        <f>+_xlfn.XLOOKUP(dJugadorEquipo[[#This Row],[Equipo:Temp]],dEquipos[Equipo:Temp],dEquipos[Nombre Equipo],"",0)</f>
        <v>EAGLE MIND</v>
      </c>
      <c r="G57" s="92" t="str">
        <f>+dJugadorEquipo[[#This Row],[Temporada]]&amp;":"&amp;dJugadorEquipo[[#This Row],[Equipo]]</f>
        <v>2025:5</v>
      </c>
      <c r="H57" t="str">
        <f>+_xlfn.XLOOKUP(dJugadorEquipo[[#This Row],[Equipo:Temp]],dEquipos[Equipo:Temp],dEquipos[Nombre Equipo],"",0)</f>
        <v>EAGLE MIND</v>
      </c>
    </row>
    <row r="58" spans="1:8">
      <c r="A58" s="92">
        <v>2025</v>
      </c>
      <c r="B58" s="92" t="s">
        <v>3</v>
      </c>
      <c r="C58" s="92"/>
      <c r="D58" s="92">
        <v>6</v>
      </c>
      <c r="E58" s="92" t="str">
        <f>+_xlfn.XLOOKUP(dJugadorEquipo[[#This Row],[Jugador]],dJugador[Nombre],dJugador[Mote],"",0)</f>
        <v>Nacho</v>
      </c>
      <c r="F58" s="92" t="str">
        <f>+_xlfn.XLOOKUP(dJugadorEquipo[[#This Row],[Equipo:Temp]],dEquipos[Equipo:Temp],dEquipos[Nombre Equipo],"",0)</f>
        <v>KOBRA KAI</v>
      </c>
      <c r="G58" s="92" t="str">
        <f>+dJugadorEquipo[[#This Row],[Temporada]]&amp;":"&amp;dJugadorEquipo[[#This Row],[Equipo]]</f>
        <v>2025:6</v>
      </c>
      <c r="H58" t="str">
        <f>+_xlfn.XLOOKUP(dJugadorEquipo[[#This Row],[Equipo:Temp]],dEquipos[Equipo:Temp],dEquipos[Nombre Equipo],"",0)</f>
        <v>KOBRA KAI</v>
      </c>
    </row>
    <row r="59" spans="1:8">
      <c r="A59" s="92">
        <v>2025</v>
      </c>
      <c r="B59" s="92" t="s">
        <v>375</v>
      </c>
      <c r="C59" s="92"/>
      <c r="D59" s="92">
        <v>6</v>
      </c>
      <c r="E59" s="92" t="str">
        <f>+_xlfn.XLOOKUP(dJugadorEquipo[[#This Row],[Jugador]],dJugador[Nombre],dJugador[Mote],"",0)</f>
        <v>Luis</v>
      </c>
      <c r="F59" s="92" t="str">
        <f>+_xlfn.XLOOKUP(dJugadorEquipo[[#This Row],[Equipo:Temp]],dEquipos[Equipo:Temp],dEquipos[Nombre Equipo],"",0)</f>
        <v>KOBRA KAI</v>
      </c>
      <c r="G59" s="92" t="str">
        <f>+dJugadorEquipo[[#This Row],[Temporada]]&amp;":"&amp;dJugadorEquipo[[#This Row],[Equipo]]</f>
        <v>2025:6</v>
      </c>
      <c r="H59" t="str">
        <f>+_xlfn.XLOOKUP(dJugadorEquipo[[#This Row],[Equipo:Temp]],dEquipos[Equipo:Temp],dEquipos[Nombre Equipo],"",0)</f>
        <v>KOBRA KAI</v>
      </c>
    </row>
    <row r="60" spans="1:8">
      <c r="A60" s="92">
        <v>2025</v>
      </c>
      <c r="B60" s="92" t="s">
        <v>9</v>
      </c>
      <c r="C60" s="92"/>
      <c r="D60" s="92">
        <v>6</v>
      </c>
      <c r="E60" s="92" t="str">
        <f>+_xlfn.XLOOKUP(dJugadorEquipo[[#This Row],[Jugador]],dJugador[Nombre],dJugador[Mote],"",0)</f>
        <v>Alfonso</v>
      </c>
      <c r="F60" s="92" t="str">
        <f>+_xlfn.XLOOKUP(dJugadorEquipo[[#This Row],[Equipo:Temp]],dEquipos[Equipo:Temp],dEquipos[Nombre Equipo],"",0)</f>
        <v>KOBRA KAI</v>
      </c>
      <c r="G60" s="92" t="str">
        <f>+dJugadorEquipo[[#This Row],[Temporada]]&amp;":"&amp;dJugadorEquipo[[#This Row],[Equipo]]</f>
        <v>2025:6</v>
      </c>
      <c r="H60" t="str">
        <f>+_xlfn.XLOOKUP(dJugadorEquipo[[#This Row],[Equipo:Temp]],dEquipos[Equipo:Temp],dEquipos[Nombre Equipo],"",0)</f>
        <v>KOBRA KAI</v>
      </c>
    </row>
    <row r="61" spans="1:8">
      <c r="A61" s="92">
        <v>2025</v>
      </c>
      <c r="B61" s="92" t="s">
        <v>388</v>
      </c>
      <c r="C61" s="92"/>
      <c r="D61" s="92">
        <v>6</v>
      </c>
      <c r="E61" s="92" t="str">
        <f>+_xlfn.XLOOKUP(dJugadorEquipo[[#This Row],[Jugador]],dJugador[Nombre],dJugador[Mote],"",0)</f>
        <v>J Antonio</v>
      </c>
      <c r="F61" s="92" t="str">
        <f>+_xlfn.XLOOKUP(dJugadorEquipo[[#This Row],[Equipo:Temp]],dEquipos[Equipo:Temp],dEquipos[Nombre Equipo],"",0)</f>
        <v>KOBRA KAI</v>
      </c>
      <c r="G61" s="92" t="str">
        <f>+dJugadorEquipo[[#This Row],[Temporada]]&amp;":"&amp;dJugadorEquipo[[#This Row],[Equipo]]</f>
        <v>2025:6</v>
      </c>
      <c r="H61" t="str">
        <f>+_xlfn.XLOOKUP(dJugadorEquipo[[#This Row],[Equipo:Temp]],dEquipos[Equipo:Temp],dEquipos[Nombre Equipo],"",0)</f>
        <v>KOBRA KAI</v>
      </c>
    </row>
    <row r="62" spans="1:8">
      <c r="A62" s="92">
        <v>2025</v>
      </c>
      <c r="B62" s="92" t="s">
        <v>6</v>
      </c>
      <c r="C62" s="92"/>
      <c r="D62" s="92">
        <v>7</v>
      </c>
      <c r="E62" s="92" t="str">
        <f>+_xlfn.XLOOKUP(dJugadorEquipo[[#This Row],[Jugador]],dJugador[Nombre],dJugador[Mote],"",0)</f>
        <v>Ignacio</v>
      </c>
      <c r="F62" s="92" t="str">
        <f>+_xlfn.XLOOKUP(dJugadorEquipo[[#This Row],[Equipo:Temp]],dEquipos[Equipo:Temp],dEquipos[Nombre Equipo],"",0)</f>
        <v>LOS FICJ6</v>
      </c>
      <c r="G62" s="92" t="str">
        <f>+dJugadorEquipo[[#This Row],[Temporada]]&amp;":"&amp;dJugadorEquipo[[#This Row],[Equipo]]</f>
        <v>2025:7</v>
      </c>
      <c r="H62" t="str">
        <f>+_xlfn.XLOOKUP(dJugadorEquipo[[#This Row],[Equipo:Temp]],dEquipos[Equipo:Temp],dEquipos[Nombre Equipo],"",0)</f>
        <v>LOS FICJ6</v>
      </c>
    </row>
    <row r="63" spans="1:8">
      <c r="A63" s="92">
        <v>2025</v>
      </c>
      <c r="B63" s="92" t="s">
        <v>12</v>
      </c>
      <c r="C63" s="92"/>
      <c r="D63" s="92">
        <v>7</v>
      </c>
      <c r="E63" s="92" t="str">
        <f>+_xlfn.XLOOKUP(dJugadorEquipo[[#This Row],[Jugador]],dJugador[Nombre],dJugador[Mote],"",0)</f>
        <v>Paco</v>
      </c>
      <c r="F63" s="92" t="str">
        <f>+_xlfn.XLOOKUP(dJugadorEquipo[[#This Row],[Equipo:Temp]],dEquipos[Equipo:Temp],dEquipos[Nombre Equipo],"",0)</f>
        <v>LOS FICJ6</v>
      </c>
      <c r="G63" s="92" t="str">
        <f>+dJugadorEquipo[[#This Row],[Temporada]]&amp;":"&amp;dJugadorEquipo[[#This Row],[Equipo]]</f>
        <v>2025:7</v>
      </c>
      <c r="H63" t="str">
        <f>+_xlfn.XLOOKUP(dJugadorEquipo[[#This Row],[Equipo:Temp]],dEquipos[Equipo:Temp],dEquipos[Nombre Equipo],"",0)</f>
        <v>LOS FICJ6</v>
      </c>
    </row>
    <row r="64" spans="1:8">
      <c r="A64" s="92">
        <v>2025</v>
      </c>
      <c r="B64" s="92" t="s">
        <v>46</v>
      </c>
      <c r="C64" s="92"/>
      <c r="D64" s="92">
        <v>7</v>
      </c>
      <c r="E64" s="92" t="str">
        <f>+_xlfn.XLOOKUP(dJugadorEquipo[[#This Row],[Jugador]],dJugador[Nombre],dJugador[Mote],"",0)</f>
        <v>Virus</v>
      </c>
      <c r="F64" s="92" t="str">
        <f>+_xlfn.XLOOKUP(dJugadorEquipo[[#This Row],[Equipo:Temp]],dEquipos[Equipo:Temp],dEquipos[Nombre Equipo],"",0)</f>
        <v>LOS FICJ6</v>
      </c>
      <c r="G64" s="92" t="str">
        <f>+dJugadorEquipo[[#This Row],[Temporada]]&amp;":"&amp;dJugadorEquipo[[#This Row],[Equipo]]</f>
        <v>2025:7</v>
      </c>
      <c r="H64" t="str">
        <f>+_xlfn.XLOOKUP(dJugadorEquipo[[#This Row],[Equipo:Temp]],dEquipos[Equipo:Temp],dEquipos[Nombre Equipo],"",0)</f>
        <v>LOS FICJ6</v>
      </c>
    </row>
    <row r="65" spans="1:8">
      <c r="A65" s="92">
        <v>2025</v>
      </c>
      <c r="B65" s="92" t="s">
        <v>35</v>
      </c>
      <c r="C65" s="92"/>
      <c r="D65" s="92">
        <v>7</v>
      </c>
      <c r="E65" s="92" t="str">
        <f>+_xlfn.XLOOKUP(dJugadorEquipo[[#This Row],[Jugador]],dJugador[Nombre],dJugador[Mote],"",0)</f>
        <v>Juanjo</v>
      </c>
      <c r="F65" s="92" t="str">
        <f>+_xlfn.XLOOKUP(dJugadorEquipo[[#This Row],[Equipo:Temp]],dEquipos[Equipo:Temp],dEquipos[Nombre Equipo],"",0)</f>
        <v>LOS FICJ6</v>
      </c>
      <c r="G65" s="92" t="str">
        <f>+dJugadorEquipo[[#This Row],[Temporada]]&amp;":"&amp;dJugadorEquipo[[#This Row],[Equipo]]</f>
        <v>2025:7</v>
      </c>
      <c r="H65" t="str">
        <f>+_xlfn.XLOOKUP(dJugadorEquipo[[#This Row],[Equipo:Temp]],dEquipos[Equipo:Temp],dEquipos[Nombre Equipo],"",0)</f>
        <v>LOS FICJ6</v>
      </c>
    </row>
    <row r="66" spans="1:8">
      <c r="A66" s="92">
        <v>2025</v>
      </c>
      <c r="B66" s="92" t="s">
        <v>205</v>
      </c>
      <c r="C66" s="92"/>
      <c r="D66" s="92">
        <v>8</v>
      </c>
      <c r="E66" s="92" t="str">
        <f>+_xlfn.XLOOKUP(dJugadorEquipo[[#This Row],[Jugador]],dJugador[Nombre],dJugador[Mote],"",0)</f>
        <v>Nachete</v>
      </c>
      <c r="F66" s="92" t="str">
        <f>+_xlfn.XLOOKUP(dJugadorEquipo[[#This Row],[Equipo:Temp]],dEquipos[Equipo:Temp],dEquipos[Nombre Equipo],"",0)</f>
        <v>RED RHINO</v>
      </c>
      <c r="G66" s="92" t="str">
        <f>+dJugadorEquipo[[#This Row],[Temporada]]&amp;":"&amp;dJugadorEquipo[[#This Row],[Equipo]]</f>
        <v>2025:8</v>
      </c>
      <c r="H66" t="str">
        <f>+_xlfn.XLOOKUP(dJugadorEquipo[[#This Row],[Equipo:Temp]],dEquipos[Equipo:Temp],dEquipos[Nombre Equipo],"",0)</f>
        <v>RED RHINO</v>
      </c>
    </row>
    <row r="67" spans="1:8">
      <c r="A67" s="92">
        <v>2025</v>
      </c>
      <c r="B67" s="92" t="s">
        <v>203</v>
      </c>
      <c r="C67" s="92"/>
      <c r="D67" s="92">
        <v>8</v>
      </c>
      <c r="E67" s="92" t="str">
        <f>+_xlfn.XLOOKUP(dJugadorEquipo[[#This Row],[Jugador]],dJugador[Nombre],dJugador[Mote],"",0)</f>
        <v>Rus</v>
      </c>
      <c r="F67" s="92" t="str">
        <f>+_xlfn.XLOOKUP(dJugadorEquipo[[#This Row],[Equipo:Temp]],dEquipos[Equipo:Temp],dEquipos[Nombre Equipo],"",0)</f>
        <v>RED RHINO</v>
      </c>
      <c r="G67" s="92" t="str">
        <f>+dJugadorEquipo[[#This Row],[Temporada]]&amp;":"&amp;dJugadorEquipo[[#This Row],[Equipo]]</f>
        <v>2025:8</v>
      </c>
      <c r="H67" t="str">
        <f>+_xlfn.XLOOKUP(dJugadorEquipo[[#This Row],[Equipo:Temp]],dEquipos[Equipo:Temp],dEquipos[Nombre Equipo],"",0)</f>
        <v>RED RHINO</v>
      </c>
    </row>
    <row r="68" spans="1:8">
      <c r="A68" s="92">
        <v>2025</v>
      </c>
      <c r="B68" s="92" t="s">
        <v>293</v>
      </c>
      <c r="C68" s="92"/>
      <c r="D68" s="92">
        <v>8</v>
      </c>
      <c r="E68" s="92" t="str">
        <f>+_xlfn.XLOOKUP(dJugadorEquipo[[#This Row],[Jugador]],dJugador[Nombre],dJugador[Mote],"",0)</f>
        <v>Juancho</v>
      </c>
      <c r="F68" s="92" t="str">
        <f>+_xlfn.XLOOKUP(dJugadorEquipo[[#This Row],[Equipo:Temp]],dEquipos[Equipo:Temp],dEquipos[Nombre Equipo],"",0)</f>
        <v>RED RHINO</v>
      </c>
      <c r="G68" s="92" t="str">
        <f>+dJugadorEquipo[[#This Row],[Temporada]]&amp;":"&amp;dJugadorEquipo[[#This Row],[Equipo]]</f>
        <v>2025:8</v>
      </c>
      <c r="H68" t="str">
        <f>+_xlfn.XLOOKUP(dJugadorEquipo[[#This Row],[Equipo:Temp]],dEquipos[Equipo:Temp],dEquipos[Nombre Equipo],"",0)</f>
        <v>RED RHINO</v>
      </c>
    </row>
    <row r="69" spans="1:8">
      <c r="A69" s="92">
        <v>2025</v>
      </c>
      <c r="B69" s="92" t="s">
        <v>2561</v>
      </c>
      <c r="C69" s="92"/>
      <c r="D69" s="92">
        <v>8</v>
      </c>
      <c r="E69" s="92" t="str">
        <f>+_xlfn.XLOOKUP(dJugadorEquipo[[#This Row],[Jugador]],dJugador[Nombre],dJugador[Mote],"",0)</f>
        <v>Joaco</v>
      </c>
      <c r="F69" s="92" t="str">
        <f>+_xlfn.XLOOKUP(dJugadorEquipo[[#This Row],[Equipo:Temp]],dEquipos[Equipo:Temp],dEquipos[Nombre Equipo],"",0)</f>
        <v>RED RHINO</v>
      </c>
      <c r="G69" s="92" t="str">
        <f>+dJugadorEquipo[[#This Row],[Temporada]]&amp;":"&amp;dJugadorEquipo[[#This Row],[Equipo]]</f>
        <v>2025:8</v>
      </c>
      <c r="H69" t="str">
        <f>+_xlfn.XLOOKUP(dJugadorEquipo[[#This Row],[Equipo:Temp]],dEquipos[Equipo:Temp],dEquipos[Nombre Equipo],"",0)</f>
        <v>RED RHINO</v>
      </c>
    </row>
    <row r="70" spans="1:8">
      <c r="A70" s="92">
        <v>2025</v>
      </c>
      <c r="B70" s="92" t="s">
        <v>30</v>
      </c>
      <c r="C70" s="92"/>
      <c r="D70" s="92">
        <v>9</v>
      </c>
      <c r="E70" s="92" t="str">
        <f>+_xlfn.XLOOKUP(dJugadorEquipo[[#This Row],[Jugador]],dJugador[Nombre],dJugador[Mote],"",0)</f>
        <v>David</v>
      </c>
      <c r="F70" s="92" t="str">
        <f>+_xlfn.XLOOKUP(dJugadorEquipo[[#This Row],[Equipo:Temp]],dEquipos[Equipo:Temp],dEquipos[Nombre Equipo],"",0)</f>
        <v>THE ARCHERS</v>
      </c>
      <c r="G70" s="92" t="str">
        <f>+dJugadorEquipo[[#This Row],[Temporada]]&amp;":"&amp;dJugadorEquipo[[#This Row],[Equipo]]</f>
        <v>2025:9</v>
      </c>
      <c r="H70" t="str">
        <f>+_xlfn.XLOOKUP(dJugadorEquipo[[#This Row],[Equipo:Temp]],dEquipos[Equipo:Temp],dEquipos[Nombre Equipo],"",0)</f>
        <v>THE ARCHERS</v>
      </c>
    </row>
    <row r="71" spans="1:8">
      <c r="A71" s="92">
        <v>2025</v>
      </c>
      <c r="B71" s="92" t="s">
        <v>328</v>
      </c>
      <c r="C71" s="92"/>
      <c r="D71" s="92">
        <v>9</v>
      </c>
      <c r="E71" s="92" t="str">
        <f>+_xlfn.XLOOKUP(dJugadorEquipo[[#This Row],[Jugador]],dJugador[Nombre],dJugador[Mote],"",0)</f>
        <v>J.Arcos</v>
      </c>
      <c r="F71" s="92" t="str">
        <f>+_xlfn.XLOOKUP(dJugadorEquipo[[#This Row],[Equipo:Temp]],dEquipos[Equipo:Temp],dEquipos[Nombre Equipo],"",0)</f>
        <v>THE ARCHERS</v>
      </c>
      <c r="G71" s="92" t="str">
        <f>+dJugadorEquipo[[#This Row],[Temporada]]&amp;":"&amp;dJugadorEquipo[[#This Row],[Equipo]]</f>
        <v>2025:9</v>
      </c>
      <c r="H71" t="str">
        <f>+_xlfn.XLOOKUP(dJugadorEquipo[[#This Row],[Equipo:Temp]],dEquipos[Equipo:Temp],dEquipos[Nombre Equipo],"",0)</f>
        <v>THE ARCHERS</v>
      </c>
    </row>
    <row r="72" spans="1:8">
      <c r="A72" s="92">
        <v>2025</v>
      </c>
      <c r="B72" s="92" t="s">
        <v>41</v>
      </c>
      <c r="C72" s="92"/>
      <c r="D72" s="92">
        <v>9</v>
      </c>
      <c r="E72" s="92" t="str">
        <f>+_xlfn.XLOOKUP(dJugadorEquipo[[#This Row],[Jugador]],dJugador[Nombre],dJugador[Mote],"",0)</f>
        <v>Jesús</v>
      </c>
      <c r="F72" s="92" t="str">
        <f>+_xlfn.XLOOKUP(dJugadorEquipo[[#This Row],[Equipo:Temp]],dEquipos[Equipo:Temp],dEquipos[Nombre Equipo],"",0)</f>
        <v>THE ARCHERS</v>
      </c>
      <c r="G72" s="92" t="str">
        <f>+dJugadorEquipo[[#This Row],[Temporada]]&amp;":"&amp;dJugadorEquipo[[#This Row],[Equipo]]</f>
        <v>2025:9</v>
      </c>
      <c r="H72" t="str">
        <f>+_xlfn.XLOOKUP(dJugadorEquipo[[#This Row],[Equipo:Temp]],dEquipos[Equipo:Temp],dEquipos[Nombre Equipo],"",0)</f>
        <v>THE ARCHERS</v>
      </c>
    </row>
    <row r="73" spans="1:8">
      <c r="A73" s="92">
        <v>2025</v>
      </c>
      <c r="B73" s="92" t="s">
        <v>271</v>
      </c>
      <c r="C73" s="92"/>
      <c r="D73" s="92">
        <v>9</v>
      </c>
      <c r="E73" s="92" t="str">
        <f>+_xlfn.XLOOKUP(dJugadorEquipo[[#This Row],[Jugador]],dJugador[Nombre],dJugador[Mote],"",0)</f>
        <v>Santi</v>
      </c>
      <c r="F73" s="92" t="str">
        <f>+_xlfn.XLOOKUP(dJugadorEquipo[[#This Row],[Equipo:Temp]],dEquipos[Equipo:Temp],dEquipos[Nombre Equipo],"",0)</f>
        <v>THE ARCHERS</v>
      </c>
      <c r="G73" s="92" t="str">
        <f>+dJugadorEquipo[[#This Row],[Temporada]]&amp;":"&amp;dJugadorEquipo[[#This Row],[Equipo]]</f>
        <v>2025:9</v>
      </c>
      <c r="H73" t="str">
        <f>+_xlfn.XLOOKUP(dJugadorEquipo[[#This Row],[Equipo:Temp]],dEquipos[Equipo:Temp],dEquipos[Nombre Equipo],"",0)</f>
        <v>THE ARCHERS</v>
      </c>
    </row>
    <row r="74" spans="1:8">
      <c r="A74">
        <v>2026</v>
      </c>
      <c r="B74" s="92" t="s">
        <v>207</v>
      </c>
      <c r="E74" t="str">
        <f>+_xlfn.XLOOKUP(dJugadorEquipo[[#This Row],[Jugador]],dJugador[Nombre],dJugador[Mote],"",0)</f>
        <v>Franck</v>
      </c>
      <c r="F74" t="str">
        <f>+_xlfn.XLOOKUP(dJugadorEquipo[[#This Row],[Equipo:Temp]],dEquipos[Equipo:Temp],dEquipos[Nombre Equipo],"",0)</f>
        <v/>
      </c>
      <c r="G74" t="str">
        <f>+dJugadorEquipo[[#This Row],[Temporada]]&amp;":"&amp;dJugadorEquipo[[#This Row],[Equipo]]</f>
        <v>2026:</v>
      </c>
      <c r="H74" t="str">
        <f>+_xlfn.XLOOKUP(dJugadorEquipo[[#This Row],[Equipo:Temp]],dEquipos[Equipo:Temp],dEquipos[Nombre Equipo],"",0)</f>
        <v/>
      </c>
    </row>
    <row r="75" spans="1:8">
      <c r="A75">
        <v>2026</v>
      </c>
      <c r="B75" s="92" t="s">
        <v>2516</v>
      </c>
      <c r="E75" t="str">
        <f>+_xlfn.XLOOKUP(dJugadorEquipo[[#This Row],[Jugador]],dJugador[Nombre],dJugador[Mote],"",0)</f>
        <v>JuanSanz</v>
      </c>
      <c r="F75" t="str">
        <f>+_xlfn.XLOOKUP(dJugadorEquipo[[#This Row],[Equipo:Temp]],dEquipos[Equipo:Temp],dEquipos[Nombre Equipo],"",0)</f>
        <v/>
      </c>
      <c r="G75" t="str">
        <f>+dJugadorEquipo[[#This Row],[Temporada]]&amp;":"&amp;dJugadorEquipo[[#This Row],[Equipo]]</f>
        <v>2026:</v>
      </c>
      <c r="H75" t="str">
        <f>+_xlfn.XLOOKUP(dJugadorEquipo[[#This Row],[Equipo:Temp]],dEquipos[Equipo:Temp],dEquipos[Nombre Equipo],"",0)</f>
        <v/>
      </c>
    </row>
    <row r="76" spans="1:8">
      <c r="A76">
        <v>2026</v>
      </c>
      <c r="B76" s="92" t="s">
        <v>2606</v>
      </c>
      <c r="E76" t="str">
        <f>+_xlfn.XLOOKUP(dJugadorEquipo[[#This Row],[Jugador]],dJugador[Nombre],dJugador[Mote],"",0)</f>
        <v>Jaime</v>
      </c>
      <c r="F76" t="str">
        <f>+_xlfn.XLOOKUP(dJugadorEquipo[[#This Row],[Equipo:Temp]],dEquipos[Equipo:Temp],dEquipos[Nombre Equipo],"",0)</f>
        <v/>
      </c>
      <c r="G76" t="str">
        <f>+dJugadorEquipo[[#This Row],[Temporada]]&amp;":"&amp;dJugadorEquipo[[#This Row],[Equipo]]</f>
        <v>2026:</v>
      </c>
      <c r="H76" t="str">
        <f>+_xlfn.XLOOKUP(dJugadorEquipo[[#This Row],[Equipo:Temp]],dEquipos[Equipo:Temp],dEquipos[Nombre Equipo],"",0)</f>
        <v/>
      </c>
    </row>
    <row r="77" spans="1:8">
      <c r="A77">
        <v>2026</v>
      </c>
      <c r="B77" s="92" t="s">
        <v>259</v>
      </c>
      <c r="D77">
        <v>1</v>
      </c>
      <c r="E77" t="str">
        <f>+_xlfn.XLOOKUP(dJugadorEquipo[[#This Row],[Jugador]],dJugador[Nombre],dJugador[Mote],"",0)</f>
        <v>Alex</v>
      </c>
      <c r="F77" t="str">
        <f>+_xlfn.XLOOKUP(dJugadorEquipo[[#This Row],[Equipo:Temp]],dEquipos[Equipo:Temp],dEquipos[Nombre Equipo],"",0)</f>
        <v>CERDOS ARQUEROS</v>
      </c>
      <c r="G77" t="str">
        <f>+dJugadorEquipo[[#This Row],[Temporada]]&amp;":"&amp;dJugadorEquipo[[#This Row],[Equipo]]</f>
        <v>2026:1</v>
      </c>
      <c r="H77" t="str">
        <f>+_xlfn.XLOOKUP(dJugadorEquipo[[#This Row],[Equipo:Temp]],dEquipos[Equipo:Temp],dEquipos[Nombre Equipo],"",0)</f>
        <v>CERDOS ARQUEROS</v>
      </c>
    </row>
    <row r="78" spans="1:8">
      <c r="A78">
        <v>2026</v>
      </c>
      <c r="B78" s="92" t="s">
        <v>3</v>
      </c>
      <c r="D78">
        <v>1</v>
      </c>
      <c r="E78" t="str">
        <f>+_xlfn.XLOOKUP(dJugadorEquipo[[#This Row],[Jugador]],dJugador[Nombre],dJugador[Mote],"",0)</f>
        <v>Nacho</v>
      </c>
      <c r="F78" t="str">
        <f>+_xlfn.XLOOKUP(dJugadorEquipo[[#This Row],[Equipo:Temp]],dEquipos[Equipo:Temp],dEquipos[Nombre Equipo],"",0)</f>
        <v>CERDOS ARQUEROS</v>
      </c>
      <c r="G78" t="str">
        <f>+dJugadorEquipo[[#This Row],[Temporada]]&amp;":"&amp;dJugadorEquipo[[#This Row],[Equipo]]</f>
        <v>2026:1</v>
      </c>
      <c r="H78" t="str">
        <f>+_xlfn.XLOOKUP(dJugadorEquipo[[#This Row],[Equipo:Temp]],dEquipos[Equipo:Temp],dEquipos[Nombre Equipo],"",0)</f>
        <v>CERDOS ARQUEROS</v>
      </c>
    </row>
    <row r="79" spans="1:8">
      <c r="A79">
        <v>2026</v>
      </c>
      <c r="B79" s="92" t="s">
        <v>30</v>
      </c>
      <c r="D79">
        <v>1</v>
      </c>
      <c r="E79" t="str">
        <f>+_xlfn.XLOOKUP(dJugadorEquipo[[#This Row],[Jugador]],dJugador[Nombre],dJugador[Mote],"",0)</f>
        <v>David</v>
      </c>
      <c r="F79" t="str">
        <f>+_xlfn.XLOOKUP(dJugadorEquipo[[#This Row],[Equipo:Temp]],dEquipos[Equipo:Temp],dEquipos[Nombre Equipo],"",0)</f>
        <v>CERDOS ARQUEROS</v>
      </c>
      <c r="G79" t="str">
        <f>+dJugadorEquipo[[#This Row],[Temporada]]&amp;":"&amp;dJugadorEquipo[[#This Row],[Equipo]]</f>
        <v>2026:1</v>
      </c>
      <c r="H79" t="str">
        <f>+_xlfn.XLOOKUP(dJugadorEquipo[[#This Row],[Equipo:Temp]],dEquipos[Equipo:Temp],dEquipos[Nombre Equipo],"",0)</f>
        <v>CERDOS ARQUEROS</v>
      </c>
    </row>
    <row r="80" spans="1:8">
      <c r="A80">
        <v>2026</v>
      </c>
      <c r="B80" s="92" t="s">
        <v>328</v>
      </c>
      <c r="D80">
        <v>1</v>
      </c>
      <c r="E80" t="str">
        <f>+_xlfn.XLOOKUP(dJugadorEquipo[[#This Row],[Jugador]],dJugador[Nombre],dJugador[Mote],"",0)</f>
        <v>J.Arcos</v>
      </c>
      <c r="F80" t="str">
        <f>+_xlfn.XLOOKUP(dJugadorEquipo[[#This Row],[Equipo:Temp]],dEquipos[Equipo:Temp],dEquipos[Nombre Equipo],"",0)</f>
        <v>CERDOS ARQUEROS</v>
      </c>
      <c r="G80" t="str">
        <f>+dJugadorEquipo[[#This Row],[Temporada]]&amp;":"&amp;dJugadorEquipo[[#This Row],[Equipo]]</f>
        <v>2026:1</v>
      </c>
      <c r="H80" t="str">
        <f>+_xlfn.XLOOKUP(dJugadorEquipo[[#This Row],[Equipo:Temp]],dEquipos[Equipo:Temp],dEquipos[Nombre Equipo],"",0)</f>
        <v>CERDOS ARQUEROS</v>
      </c>
    </row>
    <row r="81" spans="1:8">
      <c r="A81">
        <v>2026</v>
      </c>
      <c r="B81" s="92" t="s">
        <v>326</v>
      </c>
      <c r="D81">
        <v>1</v>
      </c>
      <c r="E81" t="str">
        <f>+_xlfn.XLOOKUP(dJugadorEquipo[[#This Row],[Jugador]],dJugador[Nombre],dJugador[Mote],"",0)</f>
        <v>Eduardo</v>
      </c>
      <c r="F81" t="str">
        <f>+_xlfn.XLOOKUP(dJugadorEquipo[[#This Row],[Equipo:Temp]],dEquipos[Equipo:Temp],dEquipos[Nombre Equipo],"",0)</f>
        <v>CERDOS ARQUEROS</v>
      </c>
      <c r="G81" t="str">
        <f>+dJugadorEquipo[[#This Row],[Temporada]]&amp;":"&amp;dJugadorEquipo[[#This Row],[Equipo]]</f>
        <v>2026:1</v>
      </c>
      <c r="H81" t="str">
        <f>+_xlfn.XLOOKUP(dJugadorEquipo[[#This Row],[Equipo:Temp]],dEquipos[Equipo:Temp],dEquipos[Nombre Equipo],"",0)</f>
        <v>CERDOS ARQUEROS</v>
      </c>
    </row>
    <row r="82" spans="1:8">
      <c r="A82">
        <v>2026</v>
      </c>
      <c r="B82" s="92" t="s">
        <v>15</v>
      </c>
      <c r="D82">
        <v>2</v>
      </c>
      <c r="E82" t="str">
        <f>+_xlfn.XLOOKUP(dJugadorEquipo[[#This Row],[Jugador]],dJugador[Nombre],dJugador[Mote],"",0)</f>
        <v>Gifu</v>
      </c>
      <c r="F82" t="str">
        <f>+_xlfn.XLOOKUP(dJugadorEquipo[[#This Row],[Equipo:Temp]],dEquipos[Equipo:Temp],dEquipos[Nombre Equipo],"",0)</f>
        <v>LA ORDEN DEL SWING SAGRADO</v>
      </c>
      <c r="G82" t="str">
        <f>+dJugadorEquipo[[#This Row],[Temporada]]&amp;":"&amp;dJugadorEquipo[[#This Row],[Equipo]]</f>
        <v>2026:2</v>
      </c>
      <c r="H82" t="str">
        <f>+_xlfn.XLOOKUP(dJugadorEquipo[[#This Row],[Equipo:Temp]],dEquipos[Equipo:Temp],dEquipos[Nombre Equipo],"",0)</f>
        <v>LA ORDEN DEL SWING SAGRADO</v>
      </c>
    </row>
    <row r="83" spans="1:8">
      <c r="A83">
        <v>2026</v>
      </c>
      <c r="B83" s="92" t="s">
        <v>205</v>
      </c>
      <c r="D83">
        <v>2</v>
      </c>
      <c r="E83" t="str">
        <f>+_xlfn.XLOOKUP(dJugadorEquipo[[#This Row],[Jugador]],dJugador[Nombre],dJugador[Mote],"",0)</f>
        <v>Nachete</v>
      </c>
      <c r="F83" t="str">
        <f>+_xlfn.XLOOKUP(dJugadorEquipo[[#This Row],[Equipo:Temp]],dEquipos[Equipo:Temp],dEquipos[Nombre Equipo],"",0)</f>
        <v>LA ORDEN DEL SWING SAGRADO</v>
      </c>
      <c r="G83" t="str">
        <f>+dJugadorEquipo[[#This Row],[Temporada]]&amp;":"&amp;dJugadorEquipo[[#This Row],[Equipo]]</f>
        <v>2026:2</v>
      </c>
      <c r="H83" t="str">
        <f>+_xlfn.XLOOKUP(dJugadorEquipo[[#This Row],[Equipo:Temp]],dEquipos[Equipo:Temp],dEquipos[Nombre Equipo],"",0)</f>
        <v>LA ORDEN DEL SWING SAGRADO</v>
      </c>
    </row>
    <row r="84" spans="1:8">
      <c r="A84">
        <v>2026</v>
      </c>
      <c r="B84" s="92" t="s">
        <v>201</v>
      </c>
      <c r="D84">
        <v>2</v>
      </c>
      <c r="E84" t="str">
        <f>+_xlfn.XLOOKUP(dJugadorEquipo[[#This Row],[Jugador]],dJugador[Nombre],dJugador[Mote],"",0)</f>
        <v>Monti</v>
      </c>
      <c r="F84" t="str">
        <f>+_xlfn.XLOOKUP(dJugadorEquipo[[#This Row],[Equipo:Temp]],dEquipos[Equipo:Temp],dEquipos[Nombre Equipo],"",0)</f>
        <v>LA ORDEN DEL SWING SAGRADO</v>
      </c>
      <c r="G84" t="str">
        <f>+dJugadorEquipo[[#This Row],[Temporada]]&amp;":"&amp;dJugadorEquipo[[#This Row],[Equipo]]</f>
        <v>2026:2</v>
      </c>
      <c r="H84" t="str">
        <f>+_xlfn.XLOOKUP(dJugadorEquipo[[#This Row],[Equipo:Temp]],dEquipos[Equipo:Temp],dEquipos[Nombre Equipo],"",0)</f>
        <v>LA ORDEN DEL SWING SAGRADO</v>
      </c>
    </row>
    <row r="85" spans="1:8">
      <c r="A85">
        <v>2026</v>
      </c>
      <c r="B85" s="92" t="s">
        <v>225</v>
      </c>
      <c r="D85">
        <v>2</v>
      </c>
      <c r="E85" t="str">
        <f>+_xlfn.XLOOKUP(dJugadorEquipo[[#This Row],[Jugador]],dJugador[Nombre],dJugador[Mote],"",0)</f>
        <v>Chiralt</v>
      </c>
      <c r="F85" t="str">
        <f>+_xlfn.XLOOKUP(dJugadorEquipo[[#This Row],[Equipo:Temp]],dEquipos[Equipo:Temp],dEquipos[Nombre Equipo],"",0)</f>
        <v>LA ORDEN DEL SWING SAGRADO</v>
      </c>
      <c r="G85" t="str">
        <f>+dJugadorEquipo[[#This Row],[Temporada]]&amp;":"&amp;dJugadorEquipo[[#This Row],[Equipo]]</f>
        <v>2026:2</v>
      </c>
      <c r="H85" t="str">
        <f>+_xlfn.XLOOKUP(dJugadorEquipo[[#This Row],[Equipo:Temp]],dEquipos[Equipo:Temp],dEquipos[Nombre Equipo],"",0)</f>
        <v>LA ORDEN DEL SWING SAGRADO</v>
      </c>
    </row>
    <row r="86" spans="1:8">
      <c r="A86">
        <v>2026</v>
      </c>
      <c r="B86" s="92" t="s">
        <v>203</v>
      </c>
      <c r="D86">
        <v>2</v>
      </c>
      <c r="E86" t="str">
        <f>+_xlfn.XLOOKUP(dJugadorEquipo[[#This Row],[Jugador]],dJugador[Nombre],dJugador[Mote],"",0)</f>
        <v>Rus</v>
      </c>
      <c r="F86" t="str">
        <f>+_xlfn.XLOOKUP(dJugadorEquipo[[#This Row],[Equipo:Temp]],dEquipos[Equipo:Temp],dEquipos[Nombre Equipo],"",0)</f>
        <v>LA ORDEN DEL SWING SAGRADO</v>
      </c>
      <c r="G86" t="str">
        <f>+dJugadorEquipo[[#This Row],[Temporada]]&amp;":"&amp;dJugadorEquipo[[#This Row],[Equipo]]</f>
        <v>2026:2</v>
      </c>
      <c r="H86" t="str">
        <f>+_xlfn.XLOOKUP(dJugadorEquipo[[#This Row],[Equipo:Temp]],dEquipos[Equipo:Temp],dEquipos[Nombre Equipo],"",0)</f>
        <v>LA ORDEN DEL SWING SAGRADO</v>
      </c>
    </row>
    <row r="87" spans="1:8">
      <c r="A87">
        <v>2026</v>
      </c>
      <c r="B87" s="92" t="s">
        <v>264</v>
      </c>
      <c r="D87">
        <v>3</v>
      </c>
      <c r="E87" t="str">
        <f>+_xlfn.XLOOKUP(dJugadorEquipo[[#This Row],[Jugador]],dJugador[Nombre],dJugador[Mote],"",0)</f>
        <v>Antonio</v>
      </c>
      <c r="F87" t="str">
        <f>+_xlfn.XLOOKUP(dJugadorEquipo[[#This Row],[Equipo:Temp]],dEquipos[Equipo:Temp],dEquipos[Nombre Equipo],"",0)</f>
        <v>LOS GUARDIANES DEL DATÁFONO</v>
      </c>
      <c r="G87" t="str">
        <f>+dJugadorEquipo[[#This Row],[Temporada]]&amp;":"&amp;dJugadorEquipo[[#This Row],[Equipo]]</f>
        <v>2026:3</v>
      </c>
      <c r="H87" t="str">
        <f>+_xlfn.XLOOKUP(dJugadorEquipo[[#This Row],[Equipo:Temp]],dEquipos[Equipo:Temp],dEquipos[Nombre Equipo],"",0)</f>
        <v>LOS GUARDIANES DEL DATÁFONO</v>
      </c>
    </row>
    <row r="88" spans="1:8">
      <c r="A88">
        <v>2026</v>
      </c>
      <c r="B88" s="92" t="s">
        <v>35</v>
      </c>
      <c r="D88">
        <v>3</v>
      </c>
      <c r="E88" t="str">
        <f>+_xlfn.XLOOKUP(dJugadorEquipo[[#This Row],[Jugador]],dJugador[Nombre],dJugador[Mote],"",0)</f>
        <v>Juanjo</v>
      </c>
      <c r="F88" t="str">
        <f>+_xlfn.XLOOKUP(dJugadorEquipo[[#This Row],[Equipo:Temp]],dEquipos[Equipo:Temp],dEquipos[Nombre Equipo],"",0)</f>
        <v>LOS GUARDIANES DEL DATÁFONO</v>
      </c>
      <c r="G88" t="str">
        <f>+dJugadorEquipo[[#This Row],[Temporada]]&amp;":"&amp;dJugadorEquipo[[#This Row],[Equipo]]</f>
        <v>2026:3</v>
      </c>
      <c r="H88" t="str">
        <f>+_xlfn.XLOOKUP(dJugadorEquipo[[#This Row],[Equipo:Temp]],dEquipos[Equipo:Temp],dEquipos[Nombre Equipo],"",0)</f>
        <v>LOS GUARDIANES DEL DATÁFONO</v>
      </c>
    </row>
    <row r="89" spans="1:8">
      <c r="A89">
        <v>2026</v>
      </c>
      <c r="B89" s="92" t="s">
        <v>297</v>
      </c>
      <c r="D89">
        <v>3</v>
      </c>
      <c r="E89" t="str">
        <f>+_xlfn.XLOOKUP(dJugadorEquipo[[#This Row],[Jugador]],dJugador[Nombre],dJugador[Mote],"",0)</f>
        <v>Jorge</v>
      </c>
      <c r="F89" t="str">
        <f>+_xlfn.XLOOKUP(dJugadorEquipo[[#This Row],[Equipo:Temp]],dEquipos[Equipo:Temp],dEquipos[Nombre Equipo],"",0)</f>
        <v>LOS GUARDIANES DEL DATÁFONO</v>
      </c>
      <c r="G89" t="str">
        <f>+dJugadorEquipo[[#This Row],[Temporada]]&amp;":"&amp;dJugadorEquipo[[#This Row],[Equipo]]</f>
        <v>2026:3</v>
      </c>
      <c r="H89" t="str">
        <f>+_xlfn.XLOOKUP(dJugadorEquipo[[#This Row],[Equipo:Temp]],dEquipos[Equipo:Temp],dEquipos[Nombre Equipo],"",0)</f>
        <v>LOS GUARDIANES DEL DATÁFONO</v>
      </c>
    </row>
    <row r="90" spans="1:8">
      <c r="A90">
        <v>2026</v>
      </c>
      <c r="B90" s="92" t="s">
        <v>388</v>
      </c>
      <c r="D90">
        <v>3</v>
      </c>
      <c r="E90" t="str">
        <f>+_xlfn.XLOOKUP(dJugadorEquipo[[#This Row],[Jugador]],dJugador[Nombre],dJugador[Mote],"",0)</f>
        <v>J Antonio</v>
      </c>
      <c r="F90" t="str">
        <f>+_xlfn.XLOOKUP(dJugadorEquipo[[#This Row],[Equipo:Temp]],dEquipos[Equipo:Temp],dEquipos[Nombre Equipo],"",0)</f>
        <v>LOS GUARDIANES DEL DATÁFONO</v>
      </c>
      <c r="G90" t="str">
        <f>+dJugadorEquipo[[#This Row],[Temporada]]&amp;":"&amp;dJugadorEquipo[[#This Row],[Equipo]]</f>
        <v>2026:3</v>
      </c>
      <c r="H90" t="str">
        <f>+_xlfn.XLOOKUP(dJugadorEquipo[[#This Row],[Equipo:Temp]],dEquipos[Equipo:Temp],dEquipos[Nombre Equipo],"",0)</f>
        <v>LOS GUARDIANES DEL DATÁFONO</v>
      </c>
    </row>
    <row r="91" spans="1:8">
      <c r="A91">
        <v>2026</v>
      </c>
      <c r="B91" s="92" t="s">
        <v>2469</v>
      </c>
      <c r="D91">
        <v>3</v>
      </c>
      <c r="E91" t="str">
        <f>+_xlfn.XLOOKUP(dJugadorEquipo[[#This Row],[Jugador]],dJugador[Nombre],dJugador[Mote],"",0)</f>
        <v>A.Santana</v>
      </c>
      <c r="F91" t="str">
        <f>+_xlfn.XLOOKUP(dJugadorEquipo[[#This Row],[Equipo:Temp]],dEquipos[Equipo:Temp],dEquipos[Nombre Equipo],"",0)</f>
        <v>LOS GUARDIANES DEL DATÁFONO</v>
      </c>
      <c r="G91" t="str">
        <f>+dJugadorEquipo[[#This Row],[Temporada]]&amp;":"&amp;dJugadorEquipo[[#This Row],[Equipo]]</f>
        <v>2026:3</v>
      </c>
      <c r="H91" t="str">
        <f>+_xlfn.XLOOKUP(dJugadorEquipo[[#This Row],[Equipo:Temp]],dEquipos[Equipo:Temp],dEquipos[Nombre Equipo],"",0)</f>
        <v>LOS GUARDIANES DEL DATÁFONO</v>
      </c>
    </row>
    <row r="92" spans="1:8">
      <c r="A92">
        <v>2026</v>
      </c>
      <c r="B92" s="92" t="s">
        <v>33</v>
      </c>
      <c r="D92">
        <v>4</v>
      </c>
      <c r="E92" t="str">
        <f>+_xlfn.XLOOKUP(dJugadorEquipo[[#This Row],[Jugador]],dJugador[Nombre],dJugador[Mote],"",0)</f>
        <v>Angel</v>
      </c>
      <c r="F92" t="str">
        <f>+_xlfn.XLOOKUP(dJugadorEquipo[[#This Row],[Equipo:Temp]],dEquipos[Equipo:Temp],dEquipos[Nombre Equipo],"",0)</f>
        <v>ME ALIVIO GOLF CLUB</v>
      </c>
      <c r="G92" t="str">
        <f>+dJugadorEquipo[[#This Row],[Temporada]]&amp;":"&amp;dJugadorEquipo[[#This Row],[Equipo]]</f>
        <v>2026:4</v>
      </c>
      <c r="H92" t="str">
        <f>+_xlfn.XLOOKUP(dJugadorEquipo[[#This Row],[Equipo:Temp]],dEquipos[Equipo:Temp],dEquipos[Nombre Equipo],"",0)</f>
        <v>ME ALIVIO GOLF CLUB</v>
      </c>
    </row>
    <row r="93" spans="1:8">
      <c r="A93">
        <v>2026</v>
      </c>
      <c r="B93" s="92" t="s">
        <v>18</v>
      </c>
      <c r="D93">
        <v>4</v>
      </c>
      <c r="E93" t="str">
        <f>+_xlfn.XLOOKUP(dJugadorEquipo[[#This Row],[Jugador]],dJugador[Nombre],dJugador[Mote],"",0)</f>
        <v>JP</v>
      </c>
      <c r="F93" t="str">
        <f>+_xlfn.XLOOKUP(dJugadorEquipo[[#This Row],[Equipo:Temp]],dEquipos[Equipo:Temp],dEquipos[Nombre Equipo],"",0)</f>
        <v>ME ALIVIO GOLF CLUB</v>
      </c>
      <c r="G93" t="str">
        <f>+dJugadorEquipo[[#This Row],[Temporada]]&amp;":"&amp;dJugadorEquipo[[#This Row],[Equipo]]</f>
        <v>2026:4</v>
      </c>
      <c r="H93" t="str">
        <f>+_xlfn.XLOOKUP(dJugadorEquipo[[#This Row],[Equipo:Temp]],dEquipos[Equipo:Temp],dEquipos[Nombre Equipo],"",0)</f>
        <v>ME ALIVIO GOLF CLUB</v>
      </c>
    </row>
    <row r="94" spans="1:8">
      <c r="A94">
        <v>2026</v>
      </c>
      <c r="B94" s="92" t="s">
        <v>9</v>
      </c>
      <c r="D94">
        <v>4</v>
      </c>
      <c r="E94" t="str">
        <f>+_xlfn.XLOOKUP(dJugadorEquipo[[#This Row],[Jugador]],dJugador[Nombre],dJugador[Mote],"",0)</f>
        <v>Alfonso</v>
      </c>
      <c r="F94" t="str">
        <f>+_xlfn.XLOOKUP(dJugadorEquipo[[#This Row],[Equipo:Temp]],dEquipos[Equipo:Temp],dEquipos[Nombre Equipo],"",0)</f>
        <v>ME ALIVIO GOLF CLUB</v>
      </c>
      <c r="G94" t="str">
        <f>+dJugadorEquipo[[#This Row],[Temporada]]&amp;":"&amp;dJugadorEquipo[[#This Row],[Equipo]]</f>
        <v>2026:4</v>
      </c>
      <c r="H94" t="str">
        <f>+_xlfn.XLOOKUP(dJugadorEquipo[[#This Row],[Equipo:Temp]],dEquipos[Equipo:Temp],dEquipos[Nombre Equipo],"",0)</f>
        <v>ME ALIVIO GOLF CLUB</v>
      </c>
    </row>
    <row r="95" spans="1:8">
      <c r="A95">
        <v>2026</v>
      </c>
      <c r="B95" s="92" t="s">
        <v>49</v>
      </c>
      <c r="D95">
        <v>4</v>
      </c>
      <c r="E95" t="str">
        <f>+_xlfn.XLOOKUP(dJugadorEquipo[[#This Row],[Jugador]],dJugador[Nombre],dJugador[Mote],"",0)</f>
        <v>Fran</v>
      </c>
      <c r="F95" t="str">
        <f>+_xlfn.XLOOKUP(dJugadorEquipo[[#This Row],[Equipo:Temp]],dEquipos[Equipo:Temp],dEquipos[Nombre Equipo],"",0)</f>
        <v>ME ALIVIO GOLF CLUB</v>
      </c>
      <c r="G95" t="str">
        <f>+dJugadorEquipo[[#This Row],[Temporada]]&amp;":"&amp;dJugadorEquipo[[#This Row],[Equipo]]</f>
        <v>2026:4</v>
      </c>
      <c r="H95" t="str">
        <f>+_xlfn.XLOOKUP(dJugadorEquipo[[#This Row],[Equipo:Temp]],dEquipos[Equipo:Temp],dEquipos[Nombre Equipo],"",0)</f>
        <v>ME ALIVIO GOLF CLUB</v>
      </c>
    </row>
    <row r="96" spans="1:8">
      <c r="A96">
        <v>2026</v>
      </c>
      <c r="B96" s="92" t="s">
        <v>271</v>
      </c>
      <c r="D96">
        <v>4</v>
      </c>
      <c r="E96" t="str">
        <f>+_xlfn.XLOOKUP(dJugadorEquipo[[#This Row],[Jugador]],dJugador[Nombre],dJugador[Mote],"",0)</f>
        <v>Santi</v>
      </c>
      <c r="F96" t="str">
        <f>+_xlfn.XLOOKUP(dJugadorEquipo[[#This Row],[Equipo:Temp]],dEquipos[Equipo:Temp],dEquipos[Nombre Equipo],"",0)</f>
        <v>ME ALIVIO GOLF CLUB</v>
      </c>
      <c r="G96" t="str">
        <f>+dJugadorEquipo[[#This Row],[Temporada]]&amp;":"&amp;dJugadorEquipo[[#This Row],[Equipo]]</f>
        <v>2026:4</v>
      </c>
      <c r="H96" t="str">
        <f>+_xlfn.XLOOKUP(dJugadorEquipo[[#This Row],[Equipo:Temp]],dEquipos[Equipo:Temp],dEquipos[Nombre Equipo],"",0)</f>
        <v>ME ALIVIO GOLF CLUB</v>
      </c>
    </row>
    <row r="97" spans="1:8">
      <c r="A97">
        <v>2026</v>
      </c>
      <c r="B97" s="92" t="s">
        <v>6</v>
      </c>
      <c r="D97">
        <v>5</v>
      </c>
      <c r="E97" t="str">
        <f>+_xlfn.XLOOKUP(dJugadorEquipo[[#This Row],[Jugador]],dJugador[Nombre],dJugador[Mote],"",0)</f>
        <v>Ignacio</v>
      </c>
      <c r="F97" t="str">
        <f>+_xlfn.XLOOKUP(dJugadorEquipo[[#This Row],[Equipo:Temp]],dEquipos[Equipo:Temp],dEquipos[Nombre Equipo],"",0)</f>
        <v>NO TE LA LLEVES MAMADO</v>
      </c>
      <c r="G97" t="str">
        <f>+dJugadorEquipo[[#This Row],[Temporada]]&amp;":"&amp;dJugadorEquipo[[#This Row],[Equipo]]</f>
        <v>2026:5</v>
      </c>
      <c r="H97" t="str">
        <f>+_xlfn.XLOOKUP(dJugadorEquipo[[#This Row],[Equipo:Temp]],dEquipos[Equipo:Temp],dEquipos[Nombre Equipo],"",0)</f>
        <v>NO TE LA LLEVES MAMADO</v>
      </c>
    </row>
    <row r="98" spans="1:8">
      <c r="A98">
        <v>2026</v>
      </c>
      <c r="B98" s="92" t="s">
        <v>375</v>
      </c>
      <c r="D98">
        <v>5</v>
      </c>
      <c r="E98" t="str">
        <f>+_xlfn.XLOOKUP(dJugadorEquipo[[#This Row],[Jugador]],dJugador[Nombre],dJugador[Mote],"",0)</f>
        <v>Luis</v>
      </c>
      <c r="F98" t="str">
        <f>+_xlfn.XLOOKUP(dJugadorEquipo[[#This Row],[Equipo:Temp]],dEquipos[Equipo:Temp],dEquipos[Nombre Equipo],"",0)</f>
        <v>NO TE LA LLEVES MAMADO</v>
      </c>
      <c r="G98" t="str">
        <f>+dJugadorEquipo[[#This Row],[Temporada]]&amp;":"&amp;dJugadorEquipo[[#This Row],[Equipo]]</f>
        <v>2026:5</v>
      </c>
      <c r="H98" t="str">
        <f>+_xlfn.XLOOKUP(dJugadorEquipo[[#This Row],[Equipo:Temp]],dEquipos[Equipo:Temp],dEquipos[Nombre Equipo],"",0)</f>
        <v>NO TE LA LLEVES MAMADO</v>
      </c>
    </row>
    <row r="99" spans="1:8">
      <c r="A99">
        <v>2026</v>
      </c>
      <c r="B99" s="92" t="s">
        <v>248</v>
      </c>
      <c r="D99">
        <v>5</v>
      </c>
      <c r="E99" t="str">
        <f>+_xlfn.XLOOKUP(dJugadorEquipo[[#This Row],[Jugador]],dJugador[Nombre],dJugador[Mote],"",0)</f>
        <v>Enrique</v>
      </c>
      <c r="F99" t="str">
        <f>+_xlfn.XLOOKUP(dJugadorEquipo[[#This Row],[Equipo:Temp]],dEquipos[Equipo:Temp],dEquipos[Nombre Equipo],"",0)</f>
        <v>NO TE LA LLEVES MAMADO</v>
      </c>
      <c r="G99" t="str">
        <f>+dJugadorEquipo[[#This Row],[Temporada]]&amp;":"&amp;dJugadorEquipo[[#This Row],[Equipo]]</f>
        <v>2026:5</v>
      </c>
      <c r="H99" t="str">
        <f>+_xlfn.XLOOKUP(dJugadorEquipo[[#This Row],[Equipo:Temp]],dEquipos[Equipo:Temp],dEquipos[Nombre Equipo],"",0)</f>
        <v>NO TE LA LLEVES MAMADO</v>
      </c>
    </row>
    <row r="100" spans="1:8">
      <c r="A100">
        <v>2026</v>
      </c>
      <c r="B100" s="92" t="s">
        <v>46</v>
      </c>
      <c r="D100">
        <v>5</v>
      </c>
      <c r="E100" t="str">
        <f>+_xlfn.XLOOKUP(dJugadorEquipo[[#This Row],[Jugador]],dJugador[Nombre],dJugador[Mote],"",0)</f>
        <v>Virus</v>
      </c>
      <c r="F100" t="str">
        <f>+_xlfn.XLOOKUP(dJugadorEquipo[[#This Row],[Equipo:Temp]],dEquipos[Equipo:Temp],dEquipos[Nombre Equipo],"",0)</f>
        <v>NO TE LA LLEVES MAMADO</v>
      </c>
      <c r="G100" t="str">
        <f>+dJugadorEquipo[[#This Row],[Temporada]]&amp;":"&amp;dJugadorEquipo[[#This Row],[Equipo]]</f>
        <v>2026:5</v>
      </c>
      <c r="H100" t="str">
        <f>+_xlfn.XLOOKUP(dJugadorEquipo[[#This Row],[Equipo:Temp]],dEquipos[Equipo:Temp],dEquipos[Nombre Equipo],"",0)</f>
        <v>NO TE LA LLEVES MAMADO</v>
      </c>
    </row>
    <row r="101" spans="1:8">
      <c r="A101">
        <v>2026</v>
      </c>
      <c r="B101" s="92" t="s">
        <v>135</v>
      </c>
      <c r="D101">
        <v>5</v>
      </c>
      <c r="E101" t="str">
        <f>+_xlfn.XLOOKUP(dJugadorEquipo[[#This Row],[Jugador]],dJugador[Nombre],dJugador[Mote],"",0)</f>
        <v>Miche</v>
      </c>
      <c r="F101" t="str">
        <f>+_xlfn.XLOOKUP(dJugadorEquipo[[#This Row],[Equipo:Temp]],dEquipos[Equipo:Temp],dEquipos[Nombre Equipo],"",0)</f>
        <v>NO TE LA LLEVES MAMADO</v>
      </c>
      <c r="G101" t="str">
        <f>+dJugadorEquipo[[#This Row],[Temporada]]&amp;":"&amp;dJugadorEquipo[[#This Row],[Equipo]]</f>
        <v>2026:5</v>
      </c>
      <c r="H101" t="str">
        <f>+_xlfn.XLOOKUP(dJugadorEquipo[[#This Row],[Equipo:Temp]],dEquipos[Equipo:Temp],dEquipos[Nombre Equipo],"",0)</f>
        <v>NO TE LA LLEVES MAMADO</v>
      </c>
    </row>
    <row r="102" spans="1:8">
      <c r="A102">
        <v>2026</v>
      </c>
      <c r="B102" s="92" t="s">
        <v>217</v>
      </c>
      <c r="D102">
        <v>5</v>
      </c>
      <c r="E102" t="str">
        <f>+_xlfn.XLOOKUP(dJugadorEquipo[[#This Row],[Jugador]],dJugador[Nombre],dJugador[Mote],"",0)</f>
        <v>Cuñao</v>
      </c>
      <c r="F102" t="str">
        <f>+_xlfn.XLOOKUP(dJugadorEquipo[[#This Row],[Equipo:Temp]],dEquipos[Equipo:Temp],dEquipos[Nombre Equipo],"",0)</f>
        <v>NO TE LA LLEVES MAMADO</v>
      </c>
      <c r="G102" t="str">
        <f>+dJugadorEquipo[[#This Row],[Temporada]]&amp;":"&amp;dJugadorEquipo[[#This Row],[Equipo]]</f>
        <v>2026:5</v>
      </c>
      <c r="H102" t="str">
        <f>+_xlfn.XLOOKUP(dJugadorEquipo[[#This Row],[Equipo:Temp]],dEquipos[Equipo:Temp],dEquipos[Nombre Equipo],"",0)</f>
        <v>NO TE LA LLEVES MAMADO</v>
      </c>
    </row>
    <row r="103" spans="1:8">
      <c r="A103">
        <v>2026</v>
      </c>
      <c r="B103" s="92" t="s">
        <v>25</v>
      </c>
      <c r="D103">
        <v>6</v>
      </c>
      <c r="E103" t="str">
        <f>+_xlfn.XLOOKUP(dJugadorEquipo[[#This Row],[Jugador]],dJugador[Nombre],dJugador[Mote],"",0)</f>
        <v>Alvaro</v>
      </c>
      <c r="F103" t="str">
        <f>+_xlfn.XLOOKUP(dJugadorEquipo[[#This Row],[Equipo:Temp]],dEquipos[Equipo:Temp],dEquipos[Nombre Equipo],"",0)</f>
        <v>LA AMENAZA FANTASMA</v>
      </c>
      <c r="G103" t="str">
        <f>+dJugadorEquipo[[#This Row],[Temporada]]&amp;":"&amp;dJugadorEquipo[[#This Row],[Equipo]]</f>
        <v>2026:6</v>
      </c>
      <c r="H103" t="str">
        <f>+_xlfn.XLOOKUP(dJugadorEquipo[[#This Row],[Equipo:Temp]],dEquipos[Equipo:Temp],dEquipos[Nombre Equipo],"",0)</f>
        <v>LA AMENAZA FANTASMA</v>
      </c>
    </row>
    <row r="104" spans="1:8">
      <c r="A104">
        <v>2026</v>
      </c>
      <c r="B104" s="92" t="s">
        <v>12</v>
      </c>
      <c r="D104">
        <v>6</v>
      </c>
      <c r="E104" t="str">
        <f>+_xlfn.XLOOKUP(dJugadorEquipo[[#This Row],[Jugador]],dJugador[Nombre],dJugador[Mote],"",0)</f>
        <v>Paco</v>
      </c>
      <c r="F104" t="str">
        <f>+_xlfn.XLOOKUP(dJugadorEquipo[[#This Row],[Equipo:Temp]],dEquipos[Equipo:Temp],dEquipos[Nombre Equipo],"",0)</f>
        <v>LA AMENAZA FANTASMA</v>
      </c>
      <c r="G104" t="str">
        <f>+dJugadorEquipo[[#This Row],[Temporada]]&amp;":"&amp;dJugadorEquipo[[#This Row],[Equipo]]</f>
        <v>2026:6</v>
      </c>
      <c r="H104" t="str">
        <f>+_xlfn.XLOOKUP(dJugadorEquipo[[#This Row],[Equipo:Temp]],dEquipos[Equipo:Temp],dEquipos[Nombre Equipo],"",0)</f>
        <v>LA AMENAZA FANTASMA</v>
      </c>
    </row>
    <row r="105" spans="1:8">
      <c r="A105">
        <v>2026</v>
      </c>
      <c r="B105" s="92" t="s">
        <v>20</v>
      </c>
      <c r="D105">
        <v>6</v>
      </c>
      <c r="E105" t="str">
        <f>+_xlfn.XLOOKUP(dJugadorEquipo[[#This Row],[Jugador]],dJugador[Nombre],dJugador[Mote],"",0)</f>
        <v>Javi</v>
      </c>
      <c r="F105" t="str">
        <f>+_xlfn.XLOOKUP(dJugadorEquipo[[#This Row],[Equipo:Temp]],dEquipos[Equipo:Temp],dEquipos[Nombre Equipo],"",0)</f>
        <v>LA AMENAZA FANTASMA</v>
      </c>
      <c r="G105" t="str">
        <f>+dJugadorEquipo[[#This Row],[Temporada]]&amp;":"&amp;dJugadorEquipo[[#This Row],[Equipo]]</f>
        <v>2026:6</v>
      </c>
      <c r="H105" t="str">
        <f>+_xlfn.XLOOKUP(dJugadorEquipo[[#This Row],[Equipo:Temp]],dEquipos[Equipo:Temp],dEquipos[Nombre Equipo],"",0)</f>
        <v>LA AMENAZA FANTASMA</v>
      </c>
    </row>
    <row r="106" spans="1:8">
      <c r="A106">
        <v>2026</v>
      </c>
      <c r="B106" s="92" t="s">
        <v>23</v>
      </c>
      <c r="D106">
        <v>6</v>
      </c>
      <c r="E106" t="str">
        <f>+_xlfn.XLOOKUP(dJugadorEquipo[[#This Row],[Jugador]],dJugador[Nombre],dJugador[Mote],"",0)</f>
        <v>Kike</v>
      </c>
      <c r="F106" t="str">
        <f>+_xlfn.XLOOKUP(dJugadorEquipo[[#This Row],[Equipo:Temp]],dEquipos[Equipo:Temp],dEquipos[Nombre Equipo],"",0)</f>
        <v>LA AMENAZA FANTASMA</v>
      </c>
      <c r="G106" t="str">
        <f>+dJugadorEquipo[[#This Row],[Temporada]]&amp;":"&amp;dJugadorEquipo[[#This Row],[Equipo]]</f>
        <v>2026:6</v>
      </c>
      <c r="H106" t="str">
        <f>+_xlfn.XLOOKUP(dJugadorEquipo[[#This Row],[Equipo:Temp]],dEquipos[Equipo:Temp],dEquipos[Nombre Equipo],"",0)</f>
        <v>LA AMENAZA FANTASMA</v>
      </c>
    </row>
    <row r="107" spans="1:8">
      <c r="A107">
        <v>2026</v>
      </c>
      <c r="B107" s="92" t="s">
        <v>41</v>
      </c>
      <c r="D107">
        <v>6</v>
      </c>
      <c r="E107" t="str">
        <f>+_xlfn.XLOOKUP(dJugadorEquipo[[#This Row],[Jugador]],dJugador[Nombre],dJugador[Mote],"",0)</f>
        <v>Jesús</v>
      </c>
      <c r="F107" t="str">
        <f>+_xlfn.XLOOKUP(dJugadorEquipo[[#This Row],[Equipo:Temp]],dEquipos[Equipo:Temp],dEquipos[Nombre Equipo],"",0)</f>
        <v>LA AMENAZA FANTASMA</v>
      </c>
      <c r="G107" t="str">
        <f>+dJugadorEquipo[[#This Row],[Temporada]]&amp;":"&amp;dJugadorEquipo[[#This Row],[Equipo]]</f>
        <v>2026:6</v>
      </c>
      <c r="H107" t="str">
        <f>+_xlfn.XLOOKUP(dJugadorEquipo[[#This Row],[Equipo:Temp]],dEquipos[Equipo:Temp],dEquipos[Nombre Equipo],"",0)</f>
        <v>LA AMENAZA FANTASMA</v>
      </c>
    </row>
    <row r="108" spans="1:8">
      <c r="A108">
        <v>2026</v>
      </c>
      <c r="B108" s="92" t="s">
        <v>2561</v>
      </c>
      <c r="D108">
        <v>7</v>
      </c>
      <c r="E108" t="str">
        <f>+_xlfn.XLOOKUP(dJugadorEquipo[[#This Row],[Jugador]],dJugador[Nombre],dJugador[Mote],"",0)</f>
        <v>Joaco</v>
      </c>
      <c r="F108" t="str">
        <f>+_xlfn.XLOOKUP(dJugadorEquipo[[#This Row],[Equipo:Temp]],dEquipos[Equipo:Temp],dEquipos[Nombre Equipo],"",0)</f>
        <v>GIMBROS</v>
      </c>
      <c r="G108" t="str">
        <f>+dJugadorEquipo[[#This Row],[Temporada]]&amp;":"&amp;dJugadorEquipo[[#This Row],[Equipo]]</f>
        <v>2026:7</v>
      </c>
      <c r="H108" t="str">
        <f>+_xlfn.XLOOKUP(dJugadorEquipo[[#This Row],[Equipo:Temp]],dEquipos[Equipo:Temp],dEquipos[Nombre Equipo],"",0)</f>
        <v>GIMBROS</v>
      </c>
    </row>
    <row r="109" spans="1:8">
      <c r="A109">
        <v>2026</v>
      </c>
      <c r="B109" s="92" t="s">
        <v>291</v>
      </c>
      <c r="D109">
        <v>7</v>
      </c>
      <c r="E109" t="str">
        <f>+_xlfn.XLOOKUP(dJugadorEquipo[[#This Row],[Jugador]],dJugador[Nombre],dJugador[Mote],"",0)</f>
        <v>Carlitos</v>
      </c>
      <c r="F109" t="str">
        <f>+_xlfn.XLOOKUP(dJugadorEquipo[[#This Row],[Equipo:Temp]],dEquipos[Equipo:Temp],dEquipos[Nombre Equipo],"",0)</f>
        <v>GIMBROS</v>
      </c>
      <c r="G109" t="str">
        <f>+dJugadorEquipo[[#This Row],[Temporada]]&amp;":"&amp;dJugadorEquipo[[#This Row],[Equipo]]</f>
        <v>2026:7</v>
      </c>
      <c r="H109" t="str">
        <f>+_xlfn.XLOOKUP(dJugadorEquipo[[#This Row],[Equipo:Temp]],dEquipos[Equipo:Temp],dEquipos[Nombre Equipo],"",0)</f>
        <v>GIMBROS</v>
      </c>
    </row>
    <row r="110" spans="1:8">
      <c r="A110">
        <v>2026</v>
      </c>
      <c r="B110" s="92" t="s">
        <v>293</v>
      </c>
      <c r="D110">
        <v>7</v>
      </c>
      <c r="E110" t="str">
        <f>+_xlfn.XLOOKUP(dJugadorEquipo[[#This Row],[Jugador]],dJugador[Nombre],dJugador[Mote],"",0)</f>
        <v>Juancho</v>
      </c>
      <c r="F110" t="str">
        <f>+_xlfn.XLOOKUP(dJugadorEquipo[[#This Row],[Equipo:Temp]],dEquipos[Equipo:Temp],dEquipos[Nombre Equipo],"",0)</f>
        <v>GIMBROS</v>
      </c>
      <c r="G110" t="str">
        <f>+dJugadorEquipo[[#This Row],[Temporada]]&amp;":"&amp;dJugadorEquipo[[#This Row],[Equipo]]</f>
        <v>2026:7</v>
      </c>
      <c r="H110" t="str">
        <f>+_xlfn.XLOOKUP(dJugadorEquipo[[#This Row],[Equipo:Temp]],dEquipos[Equipo:Temp],dEquipos[Nombre Equipo],"",0)</f>
        <v>GIMBROS</v>
      </c>
    </row>
    <row r="111" spans="1:8">
      <c r="A111">
        <v>2026</v>
      </c>
      <c r="B111" s="92" t="s">
        <v>2473</v>
      </c>
      <c r="D111">
        <v>7</v>
      </c>
      <c r="E111" t="str">
        <f>+_xlfn.XLOOKUP(dJugadorEquipo[[#This Row],[Jugador]],dJugador[Nombre],dJugador[Mote],"",0)</f>
        <v>Tom</v>
      </c>
      <c r="F111" t="str">
        <f>+_xlfn.XLOOKUP(dJugadorEquipo[[#This Row],[Equipo:Temp]],dEquipos[Equipo:Temp],dEquipos[Nombre Equipo],"",0)</f>
        <v>GIMBROS</v>
      </c>
      <c r="G111" t="str">
        <f>+dJugadorEquipo[[#This Row],[Temporada]]&amp;":"&amp;dJugadorEquipo[[#This Row],[Equipo]]</f>
        <v>2026:7</v>
      </c>
      <c r="H111" t="str">
        <f>+_xlfn.XLOOKUP(dJugadorEquipo[[#This Row],[Equipo:Temp]],dEquipos[Equipo:Temp],dEquipos[Nombre Equipo],"",0)</f>
        <v>GIMBROS</v>
      </c>
    </row>
    <row r="112" spans="1:8">
      <c r="A112">
        <v>2026</v>
      </c>
      <c r="B112" t="s">
        <v>289</v>
      </c>
      <c r="D112">
        <v>7</v>
      </c>
      <c r="E112" t="str">
        <f>+_xlfn.XLOOKUP(dJugadorEquipo[[#This Row],[Jugador]],dJugador[Nombre],dJugador[Mote],"",0)</f>
        <v>Villanueva</v>
      </c>
      <c r="F112" t="str">
        <f>+_xlfn.XLOOKUP(dJugadorEquipo[[#This Row],[Equipo:Temp]],dEquipos[Equipo:Temp],dEquipos[Nombre Equipo],"",0)</f>
        <v>GIMBROS</v>
      </c>
      <c r="G112" t="str">
        <f>+dJugadorEquipo[[#This Row],[Temporada]]&amp;":"&amp;dJugadorEquipo[[#This Row],[Equipo]]</f>
        <v>2026:7</v>
      </c>
      <c r="H112" t="str">
        <f>+_xlfn.XLOOKUP(dJugadorEquipo[[#This Row],[Equipo:Temp]],dEquipos[Equipo:Temp],dEquipos[Nombre Equipo],"",0)</f>
        <v>GIMBROS</v>
      </c>
    </row>
    <row r="113" spans="1:8">
      <c r="A113">
        <v>2026</v>
      </c>
      <c r="B113" t="s">
        <v>2625</v>
      </c>
      <c r="D113">
        <v>7</v>
      </c>
      <c r="E113" t="str">
        <f>+_xlfn.XLOOKUP(dJugadorEquipo[[#This Row],[Jugador]],dJugador[Nombre],dJugador[Mote],"",0)</f>
        <v>Victor</v>
      </c>
      <c r="F113" t="str">
        <f>+_xlfn.XLOOKUP(dJugadorEquipo[[#This Row],[Equipo:Temp]],dEquipos[Equipo:Temp],dEquipos[Nombre Equipo],"",0)</f>
        <v>GIMBROS</v>
      </c>
      <c r="G113" t="str">
        <f>+dJugadorEquipo[[#This Row],[Temporada]]&amp;":"&amp;dJugadorEquipo[[#This Row],[Equipo]]</f>
        <v>2026:7</v>
      </c>
      <c r="H113" t="str">
        <f>+_xlfn.XLOOKUP(dJugadorEquipo[[#This Row],[Equipo:Temp]],dEquipos[Equipo:Temp],dEquipos[Nombre Equipo],"",0)</f>
        <v>GIMBROS</v>
      </c>
    </row>
    <row r="114" spans="1:8">
      <c r="A114">
        <v>2026</v>
      </c>
      <c r="B114" t="s">
        <v>3317</v>
      </c>
      <c r="D114">
        <v>7</v>
      </c>
      <c r="E114" t="str">
        <f>+_xlfn.XLOOKUP(dJugadorEquipo[[#This Row],[Jugador]],dJugador[Nombre],dJugador[Mote],"",0)</f>
        <v xml:space="preserve">Nachoiberico </v>
      </c>
      <c r="F114" t="str">
        <f>+_xlfn.XLOOKUP(dJugadorEquipo[[#This Row],[Equipo:Temp]],dEquipos[Equipo:Temp],dEquipos[Nombre Equipo],"",0)</f>
        <v>GIMBROS</v>
      </c>
      <c r="G114" t="str">
        <f>+dJugadorEquipo[[#This Row],[Temporada]]&amp;":"&amp;dJugadorEquipo[[#This Row],[Equipo]]</f>
        <v>2026:7</v>
      </c>
      <c r="H114" t="str">
        <f>+_xlfn.XLOOKUP(dJugadorEquipo[[#This Row],[Equipo:Temp]],dEquipos[Equipo:Temp],dEquipos[Nombre Equipo],"",0)</f>
        <v>GIMBROS</v>
      </c>
    </row>
    <row r="115" spans="1:8">
      <c r="A115">
        <v>2026</v>
      </c>
      <c r="B115" t="s">
        <v>3326</v>
      </c>
      <c r="D115">
        <v>1</v>
      </c>
      <c r="E115" t="str">
        <f>+_xlfn.XLOOKUP(dJugadorEquipo[[#This Row],[Jugador]],dJugador[Nombre],dJugador[Mote],"",0)</f>
        <v>Marcos</v>
      </c>
      <c r="F115" t="str">
        <f>+_xlfn.XLOOKUP(dJugadorEquipo[[#This Row],[Equipo:Temp]],dEquipos[Equipo:Temp],dEquipos[Nombre Equipo],"",0)</f>
        <v>CERDOS ARQUEROS</v>
      </c>
      <c r="G115" t="str">
        <f>+dJugadorEquipo[[#This Row],[Temporada]]&amp;":"&amp;dJugadorEquipo[[#This Row],[Equipo]]</f>
        <v>2026:1</v>
      </c>
      <c r="H115" t="str">
        <f>+_xlfn.XLOOKUP(dJugadorEquipo[[#This Row],[Equipo:Temp]],dEquipos[Equipo:Temp],dEquipos[Nombre Equipo],"",0)</f>
        <v>CERDOS ARQUEROS</v>
      </c>
    </row>
    <row r="116" spans="1:8">
      <c r="A116">
        <v>2026</v>
      </c>
      <c r="B116" t="s">
        <v>3331</v>
      </c>
      <c r="D116">
        <v>1</v>
      </c>
      <c r="E116" t="str">
        <f>+_xlfn.XLOOKUP(dJugadorEquipo[[#This Row],[Jugador]],dJugador[Nombre],dJugador[Mote],"",0)</f>
        <v>Nico</v>
      </c>
      <c r="F116" t="str">
        <f>+_xlfn.XLOOKUP(dJugadorEquipo[[#This Row],[Equipo:Temp]],dEquipos[Equipo:Temp],dEquipos[Nombre Equipo],"",0)</f>
        <v>CERDOS ARQUEROS</v>
      </c>
      <c r="G116" t="str">
        <f>+dJugadorEquipo[[#This Row],[Temporada]]&amp;":"&amp;dJugadorEquipo[[#This Row],[Equipo]]</f>
        <v>2026:1</v>
      </c>
      <c r="H116" t="str">
        <f>+_xlfn.XLOOKUP(dJugadorEquipo[[#This Row],[Equipo:Temp]],dEquipos[Equipo:Temp],dEquipos[Nombre Equipo],"",0)</f>
        <v>CERDOS ARQUEROS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FC61E-D6A2-48D3-831F-74C88CE92836}">
  <dimension ref="A1:F39"/>
  <sheetViews>
    <sheetView topLeftCell="A2" workbookViewId="0">
      <selection activeCell="B9" sqref="B9:D9"/>
    </sheetView>
  </sheetViews>
  <sheetFormatPr baseColWidth="10" defaultColWidth="10.875" defaultRowHeight="15.75"/>
  <cols>
    <col min="1" max="1" width="12.25" bestFit="1" customWidth="1"/>
    <col min="2" max="2" width="26.625" bestFit="1" customWidth="1"/>
    <col min="3" max="3" width="8.875" bestFit="1" customWidth="1"/>
    <col min="4" max="4" width="9.625" bestFit="1" customWidth="1"/>
    <col min="5" max="5" width="12.875" bestFit="1" customWidth="1"/>
    <col min="6" max="6" width="11.375" bestFit="1" customWidth="1"/>
  </cols>
  <sheetData>
    <row r="1" spans="1:6">
      <c r="A1" s="124" t="s">
        <v>138</v>
      </c>
      <c r="B1" s="125" t="s">
        <v>181</v>
      </c>
      <c r="C1" s="125" t="s">
        <v>1</v>
      </c>
      <c r="D1" s="125" t="s">
        <v>2613</v>
      </c>
      <c r="E1" s="125" t="s">
        <v>2614</v>
      </c>
      <c r="F1" s="126" t="s">
        <v>2615</v>
      </c>
    </row>
    <row r="2" spans="1:6">
      <c r="A2">
        <v>2025</v>
      </c>
      <c r="B2" t="s">
        <v>2469</v>
      </c>
      <c r="C2" t="s">
        <v>2470</v>
      </c>
      <c r="D2">
        <v>1</v>
      </c>
      <c r="E2" t="str">
        <f>+_xlfn.XLOOKUP(Tabla28[[#This Row],[Liga:Temp]],Tabla29[Temp:Código],Tabla29[Abreviado],"",0)</f>
        <v>FINDE</v>
      </c>
      <c r="F2" t="str">
        <f>+Tabla28[[#This Row],[Temporada]]&amp;":"&amp;Tabla28[[#This Row],[Liga CSC]]</f>
        <v>2025:1</v>
      </c>
    </row>
    <row r="3" spans="1:6">
      <c r="A3">
        <v>2025</v>
      </c>
      <c r="B3" t="s">
        <v>259</v>
      </c>
      <c r="C3" t="s">
        <v>262</v>
      </c>
      <c r="D3">
        <v>1</v>
      </c>
      <c r="E3" t="str">
        <f>+_xlfn.XLOOKUP(Tabla28[[#This Row],[Liga:Temp]],Tabla29[Temp:Código],Tabla29[Abreviado],"",0)</f>
        <v>FINDE</v>
      </c>
      <c r="F3" t="str">
        <f>+Tabla28[[#This Row],[Temporada]]&amp;":"&amp;Tabla28[[#This Row],[Liga CSC]]</f>
        <v>2025:1</v>
      </c>
    </row>
    <row r="4" spans="1:6">
      <c r="A4">
        <v>2025</v>
      </c>
      <c r="B4" t="s">
        <v>9</v>
      </c>
      <c r="C4" t="s">
        <v>10</v>
      </c>
      <c r="D4">
        <v>2</v>
      </c>
      <c r="E4" t="str">
        <f>+_xlfn.XLOOKUP(Tabla28[[#This Row],[Liga:Temp]],Tabla29[Temp:Código],Tabla29[Abreviado],"",0)</f>
        <v>LABOR</v>
      </c>
      <c r="F4" t="str">
        <f>+Tabla28[[#This Row],[Temporada]]&amp;":"&amp;Tabla28[[#This Row],[Liga CSC]]</f>
        <v>2025:2</v>
      </c>
    </row>
    <row r="5" spans="1:6">
      <c r="A5">
        <v>2025</v>
      </c>
      <c r="B5" t="s">
        <v>25</v>
      </c>
      <c r="C5" t="s">
        <v>26</v>
      </c>
      <c r="D5">
        <v>1</v>
      </c>
      <c r="E5" t="str">
        <f>+_xlfn.XLOOKUP(Tabla28[[#This Row],[Liga:Temp]],Tabla29[Temp:Código],Tabla29[Abreviado],"",0)</f>
        <v>FINDE</v>
      </c>
      <c r="F5" t="str">
        <f>+Tabla28[[#This Row],[Temporada]]&amp;":"&amp;Tabla28[[#This Row],[Liga CSC]]</f>
        <v>2025:1</v>
      </c>
    </row>
    <row r="6" spans="1:6">
      <c r="A6">
        <v>2025</v>
      </c>
      <c r="B6" t="s">
        <v>33</v>
      </c>
      <c r="C6" t="s">
        <v>34</v>
      </c>
      <c r="D6">
        <v>1</v>
      </c>
      <c r="E6" t="str">
        <f>+_xlfn.XLOOKUP(Tabla28[[#This Row],[Liga:Temp]],Tabla29[Temp:Código],Tabla29[Abreviado],"",0)</f>
        <v>FINDE</v>
      </c>
      <c r="F6" t="str">
        <f>+Tabla28[[#This Row],[Temporada]]&amp;":"&amp;Tabla28[[#This Row],[Liga CSC]]</f>
        <v>2025:1</v>
      </c>
    </row>
    <row r="7" spans="1:6">
      <c r="A7">
        <v>2025</v>
      </c>
      <c r="B7" t="s">
        <v>264</v>
      </c>
      <c r="C7" t="s">
        <v>265</v>
      </c>
      <c r="D7">
        <v>2</v>
      </c>
      <c r="E7" t="str">
        <f>+_xlfn.XLOOKUP(Tabla28[[#This Row],[Liga:Temp]],Tabla29[Temp:Código],Tabla29[Abreviado],"",0)</f>
        <v>LABOR</v>
      </c>
      <c r="F7" t="str">
        <f>+Tabla28[[#This Row],[Temporada]]&amp;":"&amp;Tabla28[[#This Row],[Liga CSC]]</f>
        <v>2025:2</v>
      </c>
    </row>
    <row r="8" spans="1:6">
      <c r="A8">
        <v>2025</v>
      </c>
      <c r="B8" t="s">
        <v>291</v>
      </c>
      <c r="C8" t="s">
        <v>431</v>
      </c>
      <c r="D8">
        <v>2</v>
      </c>
      <c r="E8" t="str">
        <f>+_xlfn.XLOOKUP(Tabla28[[#This Row],[Liga:Temp]],Tabla29[Temp:Código],Tabla29[Abreviado],"",0)</f>
        <v>LABOR</v>
      </c>
      <c r="F8" t="str">
        <f>+Tabla28[[#This Row],[Temporada]]&amp;":"&amp;Tabla28[[#This Row],[Liga CSC]]</f>
        <v>2025:2</v>
      </c>
    </row>
    <row r="9" spans="1:6">
      <c r="A9">
        <v>2025</v>
      </c>
      <c r="B9" s="99" t="s">
        <v>225</v>
      </c>
      <c r="C9" s="99" t="s">
        <v>226</v>
      </c>
      <c r="D9" s="99">
        <v>2</v>
      </c>
      <c r="E9" t="str">
        <f>+_xlfn.XLOOKUP(Tabla28[[#This Row],[Liga:Temp]],Tabla29[Temp:Código],Tabla29[Abreviado],"",0)</f>
        <v>LABOR</v>
      </c>
      <c r="F9" t="str">
        <f>+Tabla28[[#This Row],[Temporada]]&amp;":"&amp;Tabla28[[#This Row],[Liga CSC]]</f>
        <v>2025:2</v>
      </c>
    </row>
    <row r="10" spans="1:6">
      <c r="A10">
        <v>2025</v>
      </c>
      <c r="B10" t="s">
        <v>217</v>
      </c>
      <c r="C10" t="s">
        <v>218</v>
      </c>
      <c r="D10">
        <v>1</v>
      </c>
      <c r="E10" t="str">
        <f>+_xlfn.XLOOKUP(Tabla28[[#This Row],[Liga:Temp]],Tabla29[Temp:Código],Tabla29[Abreviado],"",0)</f>
        <v>FINDE</v>
      </c>
      <c r="F10" t="str">
        <f>+Tabla28[[#This Row],[Temporada]]&amp;":"&amp;Tabla28[[#This Row],[Liga CSC]]</f>
        <v>2025:1</v>
      </c>
    </row>
    <row r="11" spans="1:6">
      <c r="A11">
        <v>2025</v>
      </c>
      <c r="B11" t="s">
        <v>30</v>
      </c>
      <c r="C11" t="s">
        <v>31</v>
      </c>
      <c r="D11">
        <v>2</v>
      </c>
      <c r="E11" t="str">
        <f>+_xlfn.XLOOKUP(Tabla28[[#This Row],[Liga:Temp]],Tabla29[Temp:Código],Tabla29[Abreviado],"",0)</f>
        <v>LABOR</v>
      </c>
      <c r="F11" t="str">
        <f>+Tabla28[[#This Row],[Temporada]]&amp;":"&amp;Tabla28[[#This Row],[Liga CSC]]</f>
        <v>2025:2</v>
      </c>
    </row>
    <row r="12" spans="1:6">
      <c r="A12">
        <v>2025</v>
      </c>
      <c r="B12" t="s">
        <v>326</v>
      </c>
      <c r="C12" t="s">
        <v>327</v>
      </c>
      <c r="D12">
        <v>2</v>
      </c>
      <c r="E12" t="str">
        <f>+_xlfn.XLOOKUP(Tabla28[[#This Row],[Liga:Temp]],Tabla29[Temp:Código],Tabla29[Abreviado],"",0)</f>
        <v>LABOR</v>
      </c>
      <c r="F12" t="str">
        <f>+Tabla28[[#This Row],[Temporada]]&amp;":"&amp;Tabla28[[#This Row],[Liga CSC]]</f>
        <v>2025:2</v>
      </c>
    </row>
    <row r="13" spans="1:6">
      <c r="A13">
        <v>2025</v>
      </c>
      <c r="B13" t="s">
        <v>248</v>
      </c>
      <c r="C13" t="s">
        <v>249</v>
      </c>
      <c r="D13">
        <v>1</v>
      </c>
      <c r="E13" t="str">
        <f>+_xlfn.XLOOKUP(Tabla28[[#This Row],[Liga:Temp]],Tabla29[Temp:Código],Tabla29[Abreviado],"",0)</f>
        <v>FINDE</v>
      </c>
      <c r="F13" t="str">
        <f>+Tabla28[[#This Row],[Temporada]]&amp;":"&amp;Tabla28[[#This Row],[Liga CSC]]</f>
        <v>2025:1</v>
      </c>
    </row>
    <row r="14" spans="1:6">
      <c r="A14">
        <v>2025</v>
      </c>
      <c r="B14" t="s">
        <v>49</v>
      </c>
      <c r="C14" t="s">
        <v>50</v>
      </c>
      <c r="D14">
        <v>1</v>
      </c>
      <c r="E14" t="str">
        <f>+_xlfn.XLOOKUP(Tabla28[[#This Row],[Liga:Temp]],Tabla29[Temp:Código],Tabla29[Abreviado],"",0)</f>
        <v>FINDE</v>
      </c>
      <c r="F14" t="str">
        <f>+Tabla28[[#This Row],[Temporada]]&amp;":"&amp;Tabla28[[#This Row],[Liga CSC]]</f>
        <v>2025:1</v>
      </c>
    </row>
    <row r="15" spans="1:6">
      <c r="A15">
        <v>2025</v>
      </c>
      <c r="B15" t="s">
        <v>207</v>
      </c>
      <c r="C15" t="s">
        <v>208</v>
      </c>
      <c r="D15">
        <v>1</v>
      </c>
      <c r="E15" t="str">
        <f>+_xlfn.XLOOKUP(Tabla28[[#This Row],[Liga:Temp]],Tabla29[Temp:Código],Tabla29[Abreviado],"",0)</f>
        <v>FINDE</v>
      </c>
      <c r="F15" t="str">
        <f>+Tabla28[[#This Row],[Temporada]]&amp;":"&amp;Tabla28[[#This Row],[Liga CSC]]</f>
        <v>2025:1</v>
      </c>
    </row>
    <row r="16" spans="1:6">
      <c r="A16">
        <v>2025</v>
      </c>
      <c r="B16" t="s">
        <v>15</v>
      </c>
      <c r="C16" t="s">
        <v>16</v>
      </c>
      <c r="D16">
        <v>2</v>
      </c>
      <c r="E16" t="str">
        <f>+_xlfn.XLOOKUP(Tabla28[[#This Row],[Liga:Temp]],Tabla29[Temp:Código],Tabla29[Abreviado],"",0)</f>
        <v>LABOR</v>
      </c>
      <c r="F16" t="str">
        <f>+Tabla28[[#This Row],[Temporada]]&amp;":"&amp;Tabla28[[#This Row],[Liga CSC]]</f>
        <v>2025:2</v>
      </c>
    </row>
    <row r="17" spans="1:6">
      <c r="A17">
        <v>2025</v>
      </c>
      <c r="B17" t="s">
        <v>6</v>
      </c>
      <c r="C17" t="s">
        <v>7</v>
      </c>
      <c r="D17">
        <v>1</v>
      </c>
      <c r="E17" t="str">
        <f>+_xlfn.XLOOKUP(Tabla28[[#This Row],[Liga:Temp]],Tabla29[Temp:Código],Tabla29[Abreviado],"",0)</f>
        <v>FINDE</v>
      </c>
      <c r="F17" t="str">
        <f>+Tabla28[[#This Row],[Temporada]]&amp;":"&amp;Tabla28[[#This Row],[Liga CSC]]</f>
        <v>2025:1</v>
      </c>
    </row>
    <row r="18" spans="1:6">
      <c r="A18">
        <v>2025</v>
      </c>
      <c r="B18" t="s">
        <v>388</v>
      </c>
      <c r="C18" t="s">
        <v>391</v>
      </c>
      <c r="D18">
        <v>1</v>
      </c>
      <c r="E18" t="str">
        <f>+_xlfn.XLOOKUP(Tabla28[[#This Row],[Liga:Temp]],Tabla29[Temp:Código],Tabla29[Abreviado],"",0)</f>
        <v>FINDE</v>
      </c>
      <c r="F18" t="str">
        <f>+Tabla28[[#This Row],[Temporada]]&amp;":"&amp;Tabla28[[#This Row],[Liga CSC]]</f>
        <v>2025:1</v>
      </c>
    </row>
    <row r="19" spans="1:6">
      <c r="A19">
        <v>2025</v>
      </c>
      <c r="B19" t="s">
        <v>328</v>
      </c>
      <c r="C19" t="s">
        <v>329</v>
      </c>
      <c r="D19">
        <v>1</v>
      </c>
      <c r="E19" t="str">
        <f>+_xlfn.XLOOKUP(Tabla28[[#This Row],[Liga:Temp]],Tabla29[Temp:Código],Tabla29[Abreviado],"",0)</f>
        <v>FINDE</v>
      </c>
      <c r="F19" t="str">
        <f>+Tabla28[[#This Row],[Temporada]]&amp;":"&amp;Tabla28[[#This Row],[Liga CSC]]</f>
        <v>2025:1</v>
      </c>
    </row>
    <row r="20" spans="1:6">
      <c r="A20">
        <v>2025</v>
      </c>
      <c r="B20" t="s">
        <v>2606</v>
      </c>
      <c r="C20" t="s">
        <v>292</v>
      </c>
      <c r="D20">
        <v>1</v>
      </c>
      <c r="E20" t="str">
        <f>+_xlfn.XLOOKUP(Tabla28[[#This Row],[Liga:Temp]],Tabla29[Temp:Código],Tabla29[Abreviado],"",0)</f>
        <v>FINDE</v>
      </c>
      <c r="F20" t="str">
        <f>+Tabla28[[#This Row],[Temporada]]&amp;":"&amp;Tabla28[[#This Row],[Liga CSC]]</f>
        <v>2025:1</v>
      </c>
    </row>
    <row r="21" spans="1:6">
      <c r="A21">
        <v>2025</v>
      </c>
      <c r="B21" t="s">
        <v>20</v>
      </c>
      <c r="C21" t="s">
        <v>21</v>
      </c>
      <c r="D21">
        <v>1</v>
      </c>
      <c r="E21" t="str">
        <f>+_xlfn.XLOOKUP(Tabla28[[#This Row],[Liga:Temp]],Tabla29[Temp:Código],Tabla29[Abreviado],"",0)</f>
        <v>FINDE</v>
      </c>
      <c r="F21" t="str">
        <f>+Tabla28[[#This Row],[Temporada]]&amp;":"&amp;Tabla28[[#This Row],[Liga CSC]]</f>
        <v>2025:1</v>
      </c>
    </row>
    <row r="22" spans="1:6">
      <c r="A22">
        <v>2025</v>
      </c>
      <c r="B22" t="s">
        <v>41</v>
      </c>
      <c r="C22" t="s">
        <v>42</v>
      </c>
      <c r="D22">
        <v>2</v>
      </c>
      <c r="E22" t="str">
        <f>+_xlfn.XLOOKUP(Tabla28[[#This Row],[Liga:Temp]],Tabla29[Temp:Código],Tabla29[Abreviado],"",0)</f>
        <v>LABOR</v>
      </c>
      <c r="F22" t="str">
        <f>+Tabla28[[#This Row],[Temporada]]&amp;":"&amp;Tabla28[[#This Row],[Liga CSC]]</f>
        <v>2025:2</v>
      </c>
    </row>
    <row r="23" spans="1:6">
      <c r="A23">
        <v>2025</v>
      </c>
      <c r="B23" t="s">
        <v>2561</v>
      </c>
      <c r="C23" t="s">
        <v>2562</v>
      </c>
      <c r="D23">
        <v>1</v>
      </c>
      <c r="E23" t="str">
        <f>+_xlfn.XLOOKUP(Tabla28[[#This Row],[Liga:Temp]],Tabla29[Temp:Código],Tabla29[Abreviado],"",0)</f>
        <v>FINDE</v>
      </c>
      <c r="F23" t="str">
        <f>+Tabla28[[#This Row],[Temporada]]&amp;":"&amp;Tabla28[[#This Row],[Liga CSC]]</f>
        <v>2025:1</v>
      </c>
    </row>
    <row r="24" spans="1:6">
      <c r="A24">
        <v>2025</v>
      </c>
      <c r="B24" t="s">
        <v>297</v>
      </c>
      <c r="C24" t="s">
        <v>382</v>
      </c>
      <c r="D24">
        <v>1</v>
      </c>
      <c r="E24" t="str">
        <f>+_xlfn.XLOOKUP(Tabla28[[#This Row],[Liga:Temp]],Tabla29[Temp:Código],Tabla29[Abreviado],"",0)</f>
        <v>FINDE</v>
      </c>
      <c r="F24" t="str">
        <f>+Tabla28[[#This Row],[Temporada]]&amp;":"&amp;Tabla28[[#This Row],[Liga CSC]]</f>
        <v>2025:1</v>
      </c>
    </row>
    <row r="25" spans="1:6">
      <c r="A25">
        <v>2025</v>
      </c>
      <c r="B25" t="s">
        <v>18</v>
      </c>
      <c r="C25" t="s">
        <v>19</v>
      </c>
      <c r="D25">
        <v>1</v>
      </c>
      <c r="E25" t="str">
        <f>+_xlfn.XLOOKUP(Tabla28[[#This Row],[Liga:Temp]],Tabla29[Temp:Código],Tabla29[Abreviado],"",0)</f>
        <v>FINDE</v>
      </c>
      <c r="F25" t="str">
        <f>+Tabla28[[#This Row],[Temporada]]&amp;":"&amp;Tabla28[[#This Row],[Liga CSC]]</f>
        <v>2025:1</v>
      </c>
    </row>
    <row r="26" spans="1:6">
      <c r="A26">
        <v>2025</v>
      </c>
      <c r="B26" t="s">
        <v>293</v>
      </c>
      <c r="C26" t="s">
        <v>381</v>
      </c>
      <c r="D26">
        <v>1</v>
      </c>
      <c r="E26" t="str">
        <f>+_xlfn.XLOOKUP(Tabla28[[#This Row],[Liga:Temp]],Tabla29[Temp:Código],Tabla29[Abreviado],"",0)</f>
        <v>FINDE</v>
      </c>
      <c r="F26" t="str">
        <f>+Tabla28[[#This Row],[Temporada]]&amp;":"&amp;Tabla28[[#This Row],[Liga CSC]]</f>
        <v>2025:1</v>
      </c>
    </row>
    <row r="27" spans="1:6">
      <c r="A27">
        <v>2025</v>
      </c>
      <c r="B27" t="s">
        <v>35</v>
      </c>
      <c r="C27" t="s">
        <v>36</v>
      </c>
      <c r="D27">
        <v>2</v>
      </c>
      <c r="E27" t="str">
        <f>+_xlfn.XLOOKUP(Tabla28[[#This Row],[Liga:Temp]],Tabla29[Temp:Código],Tabla29[Abreviado],"",0)</f>
        <v>LABOR</v>
      </c>
      <c r="F27" t="str">
        <f>+Tabla28[[#This Row],[Temporada]]&amp;":"&amp;Tabla28[[#This Row],[Liga CSC]]</f>
        <v>2025:2</v>
      </c>
    </row>
    <row r="28" spans="1:6">
      <c r="A28">
        <v>2025</v>
      </c>
      <c r="B28" t="s">
        <v>2516</v>
      </c>
      <c r="C28" t="s">
        <v>2517</v>
      </c>
      <c r="D28">
        <v>2</v>
      </c>
      <c r="E28" t="str">
        <f>+_xlfn.XLOOKUP(Tabla28[[#This Row],[Liga:Temp]],Tabla29[Temp:Código],Tabla29[Abreviado],"",0)</f>
        <v>LABOR</v>
      </c>
      <c r="F28" t="str">
        <f>+Tabla28[[#This Row],[Temporada]]&amp;":"&amp;Tabla28[[#This Row],[Liga CSC]]</f>
        <v>2025:2</v>
      </c>
    </row>
    <row r="29" spans="1:6">
      <c r="A29">
        <v>2025</v>
      </c>
      <c r="B29" t="s">
        <v>23</v>
      </c>
      <c r="C29" t="s">
        <v>24</v>
      </c>
      <c r="D29">
        <v>1</v>
      </c>
      <c r="E29" t="str">
        <f>+_xlfn.XLOOKUP(Tabla28[[#This Row],[Liga:Temp]],Tabla29[Temp:Código],Tabla29[Abreviado],"",0)</f>
        <v>FINDE</v>
      </c>
      <c r="F29" t="str">
        <f>+Tabla28[[#This Row],[Temporada]]&amp;":"&amp;Tabla28[[#This Row],[Liga CSC]]</f>
        <v>2025:1</v>
      </c>
    </row>
    <row r="30" spans="1:6">
      <c r="A30">
        <v>2025</v>
      </c>
      <c r="B30" t="s">
        <v>375</v>
      </c>
      <c r="C30" t="s">
        <v>376</v>
      </c>
      <c r="D30">
        <v>1</v>
      </c>
      <c r="E30" t="str">
        <f>+_xlfn.XLOOKUP(Tabla28[[#This Row],[Liga:Temp]],Tabla29[Temp:Código],Tabla29[Abreviado],"",0)</f>
        <v>FINDE</v>
      </c>
      <c r="F30" t="str">
        <f>+Tabla28[[#This Row],[Temporada]]&amp;":"&amp;Tabla28[[#This Row],[Liga CSC]]</f>
        <v>2025:1</v>
      </c>
    </row>
    <row r="31" spans="1:6">
      <c r="A31">
        <v>2025</v>
      </c>
      <c r="B31" t="s">
        <v>135</v>
      </c>
      <c r="C31" t="s">
        <v>123</v>
      </c>
      <c r="D31">
        <v>1</v>
      </c>
      <c r="E31" t="str">
        <f>+_xlfn.XLOOKUP(Tabla28[[#This Row],[Liga:Temp]],Tabla29[Temp:Código],Tabla29[Abreviado],"",0)</f>
        <v>FINDE</v>
      </c>
      <c r="F31" t="str">
        <f>+Tabla28[[#This Row],[Temporada]]&amp;":"&amp;Tabla28[[#This Row],[Liga CSC]]</f>
        <v>2025:1</v>
      </c>
    </row>
    <row r="32" spans="1:6">
      <c r="A32">
        <v>2025</v>
      </c>
      <c r="B32" s="99" t="s">
        <v>201</v>
      </c>
      <c r="C32" s="99" t="s">
        <v>202</v>
      </c>
      <c r="D32" s="99">
        <v>2</v>
      </c>
      <c r="E32" t="str">
        <f>+_xlfn.XLOOKUP(Tabla28[[#This Row],[Liga:Temp]],Tabla29[Temp:Código],Tabla29[Abreviado],"",0)</f>
        <v>LABOR</v>
      </c>
      <c r="F32" t="str">
        <f>+Tabla28[[#This Row],[Temporada]]&amp;":"&amp;Tabla28[[#This Row],[Liga CSC]]</f>
        <v>2025:2</v>
      </c>
    </row>
    <row r="33" spans="1:6">
      <c r="A33">
        <v>2025</v>
      </c>
      <c r="B33" t="s">
        <v>205</v>
      </c>
      <c r="C33" t="s">
        <v>206</v>
      </c>
      <c r="D33">
        <v>1</v>
      </c>
      <c r="E33" t="str">
        <f>+_xlfn.XLOOKUP(Tabla28[[#This Row],[Liga:Temp]],Tabla29[Temp:Código],Tabla29[Abreviado],"",0)</f>
        <v>FINDE</v>
      </c>
      <c r="F33" t="str">
        <f>+Tabla28[[#This Row],[Temporada]]&amp;":"&amp;Tabla28[[#This Row],[Liga CSC]]</f>
        <v>2025:1</v>
      </c>
    </row>
    <row r="34" spans="1:6">
      <c r="A34">
        <v>2025</v>
      </c>
      <c r="B34" t="s">
        <v>3</v>
      </c>
      <c r="C34" t="s">
        <v>4</v>
      </c>
      <c r="D34">
        <v>2</v>
      </c>
      <c r="E34" t="str">
        <f>+_xlfn.XLOOKUP(Tabla28[[#This Row],[Liga:Temp]],Tabla29[Temp:Código],Tabla29[Abreviado],"",0)</f>
        <v>LABOR</v>
      </c>
      <c r="F34" t="str">
        <f>+Tabla28[[#This Row],[Temporada]]&amp;":"&amp;Tabla28[[#This Row],[Liga CSC]]</f>
        <v>2025:2</v>
      </c>
    </row>
    <row r="35" spans="1:6">
      <c r="A35">
        <v>2025</v>
      </c>
      <c r="B35" t="s">
        <v>12</v>
      </c>
      <c r="C35" t="s">
        <v>13</v>
      </c>
      <c r="D35">
        <v>1</v>
      </c>
      <c r="E35" t="str">
        <f>+_xlfn.XLOOKUP(Tabla28[[#This Row],[Liga:Temp]],Tabla29[Temp:Código],Tabla29[Abreviado],"",0)</f>
        <v>FINDE</v>
      </c>
      <c r="F35" t="str">
        <f>+Tabla28[[#This Row],[Temporada]]&amp;":"&amp;Tabla28[[#This Row],[Liga CSC]]</f>
        <v>2025:1</v>
      </c>
    </row>
    <row r="36" spans="1:6">
      <c r="A36">
        <v>2025</v>
      </c>
      <c r="B36" t="s">
        <v>203</v>
      </c>
      <c r="C36" t="s">
        <v>204</v>
      </c>
      <c r="D36">
        <v>1</v>
      </c>
      <c r="E36" t="str">
        <f>+_xlfn.XLOOKUP(Tabla28[[#This Row],[Liga:Temp]],Tabla29[Temp:Código],Tabla29[Abreviado],"",0)</f>
        <v>FINDE</v>
      </c>
      <c r="F36" t="str">
        <f>+Tabla28[[#This Row],[Temporada]]&amp;":"&amp;Tabla28[[#This Row],[Liga CSC]]</f>
        <v>2025:1</v>
      </c>
    </row>
    <row r="37" spans="1:6">
      <c r="A37">
        <v>2025</v>
      </c>
      <c r="B37" t="s">
        <v>271</v>
      </c>
      <c r="C37" t="s">
        <v>268</v>
      </c>
      <c r="D37">
        <v>1</v>
      </c>
      <c r="E37" t="str">
        <f>+_xlfn.XLOOKUP(Tabla28[[#This Row],[Liga:Temp]],Tabla29[Temp:Código],Tabla29[Abreviado],"",0)</f>
        <v>FINDE</v>
      </c>
      <c r="F37" t="str">
        <f>+Tabla28[[#This Row],[Temporada]]&amp;":"&amp;Tabla28[[#This Row],[Liga CSC]]</f>
        <v>2025:1</v>
      </c>
    </row>
    <row r="38" spans="1:6">
      <c r="A38">
        <v>2025</v>
      </c>
      <c r="B38" t="s">
        <v>2473</v>
      </c>
      <c r="C38" t="s">
        <v>2474</v>
      </c>
      <c r="D38">
        <v>1</v>
      </c>
      <c r="E38" t="str">
        <f>+_xlfn.XLOOKUP(Tabla28[[#This Row],[Liga:Temp]],Tabla29[Temp:Código],Tabla29[Abreviado],"",0)</f>
        <v>FINDE</v>
      </c>
      <c r="F38" t="str">
        <f>+Tabla28[[#This Row],[Temporada]]&amp;":"&amp;Tabla28[[#This Row],[Liga CSC]]</f>
        <v>2025:1</v>
      </c>
    </row>
    <row r="39" spans="1:6">
      <c r="A39">
        <v>2025</v>
      </c>
      <c r="B39" t="s">
        <v>46</v>
      </c>
      <c r="C39" t="s">
        <v>47</v>
      </c>
      <c r="D39">
        <v>1</v>
      </c>
      <c r="E39" t="str">
        <f>+_xlfn.XLOOKUP(Tabla28[[#This Row],[Liga:Temp]],Tabla29[Temp:Código],Tabla29[Abreviado],"",0)</f>
        <v>FINDE</v>
      </c>
      <c r="F39" t="str">
        <f>+Tabla28[[#This Row],[Temporada]]&amp;":"&amp;Tabla28[[#This Row],[Liga CSC]]</f>
        <v>2025:1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89856-4B1B-4012-9592-A39497C8C747}">
  <dimension ref="A1:E3"/>
  <sheetViews>
    <sheetView workbookViewId="0">
      <selection activeCell="A3" sqref="A3"/>
    </sheetView>
  </sheetViews>
  <sheetFormatPr baseColWidth="10" defaultColWidth="10.875" defaultRowHeight="15.75"/>
  <cols>
    <col min="1" max="1" width="12.25" bestFit="1" customWidth="1"/>
    <col min="2" max="2" width="8.375" bestFit="1" customWidth="1"/>
    <col min="3" max="3" width="16" bestFit="1" customWidth="1"/>
    <col min="4" max="4" width="13.75" bestFit="1" customWidth="1"/>
    <col min="5" max="5" width="11.25" bestFit="1" customWidth="1"/>
  </cols>
  <sheetData>
    <row r="1" spans="1:5">
      <c r="A1" t="s">
        <v>138</v>
      </c>
      <c r="B1" t="s">
        <v>2616</v>
      </c>
      <c r="C1" t="s">
        <v>0</v>
      </c>
      <c r="D1" t="s">
        <v>2617</v>
      </c>
      <c r="E1" t="s">
        <v>2619</v>
      </c>
    </row>
    <row r="2" spans="1:5">
      <c r="A2">
        <v>2025</v>
      </c>
      <c r="B2">
        <v>1</v>
      </c>
      <c r="C2" t="s">
        <v>2618</v>
      </c>
      <c r="D2" t="str">
        <f>+Tabla29[[#This Row],[Temporada]]&amp;":"&amp;Tabla29[[#This Row],[Código]]</f>
        <v>2025:1</v>
      </c>
      <c r="E2" t="s">
        <v>2620</v>
      </c>
    </row>
    <row r="3" spans="1:5">
      <c r="A3">
        <v>2025</v>
      </c>
      <c r="B3">
        <v>2</v>
      </c>
      <c r="C3" t="s">
        <v>2621</v>
      </c>
      <c r="D3" t="str">
        <f>+Tabla29[[#This Row],[Temporada]]&amp;":"&amp;Tabla29[[#This Row],[Código]]</f>
        <v>2025:2</v>
      </c>
      <c r="E3" t="s">
        <v>2622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C4758-45E3-4AA1-A2A7-D27EF3AE0B94}">
  <dimension ref="G1:AF42"/>
  <sheetViews>
    <sheetView showGridLines="0" zoomScaleNormal="100" workbookViewId="0">
      <pane xSplit="21" ySplit="2" topLeftCell="V3" activePane="bottomRight" state="frozen"/>
      <selection pane="topRight" activeCell="V1" sqref="V1"/>
      <selection pane="bottomLeft" activeCell="A3" sqref="A3"/>
      <selection pane="bottomRight" activeCell="Z34" sqref="Z34"/>
    </sheetView>
  </sheetViews>
  <sheetFormatPr baseColWidth="10" defaultColWidth="10.875" defaultRowHeight="15.75" outlineLevelCol="1"/>
  <cols>
    <col min="1" max="6" width="3.75" customWidth="1"/>
    <col min="7" max="7" width="11" hidden="1" customWidth="1" outlineLevel="1"/>
    <col min="8" max="8" width="13.75" hidden="1" customWidth="1" outlineLevel="1"/>
    <col min="9" max="9" width="10.875" hidden="1" customWidth="1" outlineLevel="1"/>
    <col min="10" max="10" width="11.125" hidden="1" customWidth="1" outlineLevel="1"/>
    <col min="11" max="11" width="10" hidden="1" customWidth="1" outlineLevel="1"/>
    <col min="12" max="12" width="7.25" hidden="1" customWidth="1" outlineLevel="1"/>
    <col min="13" max="13" width="8.625" hidden="1" customWidth="1" outlineLevel="1"/>
    <col min="14" max="14" width="7.625" hidden="1" customWidth="1" outlineLevel="1"/>
    <col min="15" max="15" width="3.75" customWidth="1" collapsed="1"/>
    <col min="16" max="16" width="2.625" customWidth="1"/>
    <col min="17" max="17" width="10.75" customWidth="1"/>
    <col min="18" max="18" width="5.625" customWidth="1"/>
    <col min="19" max="19" width="5" customWidth="1"/>
    <col min="20" max="20" width="6.5" bestFit="1" customWidth="1"/>
    <col min="21" max="21" width="3.75" bestFit="1" customWidth="1"/>
    <col min="22" max="22" width="3.875" customWidth="1"/>
    <col min="24" max="25" width="6.875" hidden="1" customWidth="1" outlineLevel="1"/>
    <col min="26" max="26" width="2.75" customWidth="1" collapsed="1"/>
    <col min="27" max="27" width="13.75" bestFit="1" customWidth="1"/>
  </cols>
  <sheetData>
    <row r="1" spans="7:32">
      <c r="G1" t="s">
        <v>2589</v>
      </c>
      <c r="H1" t="s">
        <v>466</v>
      </c>
      <c r="I1" t="s">
        <v>181</v>
      </c>
      <c r="J1" t="s">
        <v>2587</v>
      </c>
      <c r="K1" t="s">
        <v>2588</v>
      </c>
      <c r="L1" t="s">
        <v>242</v>
      </c>
      <c r="M1" t="s">
        <v>2586</v>
      </c>
      <c r="N1" t="s">
        <v>349</v>
      </c>
      <c r="X1">
        <f>+COUNT($S$3:$S$21)+1</f>
        <v>20</v>
      </c>
    </row>
    <row r="2" spans="7:32" ht="16.5" thickBot="1">
      <c r="G2">
        <v>1</v>
      </c>
      <c r="H2" t="s">
        <v>2442</v>
      </c>
      <c r="I2" t="s">
        <v>2569</v>
      </c>
      <c r="J2">
        <v>2</v>
      </c>
      <c r="K2">
        <v>7</v>
      </c>
      <c r="L2">
        <v>19.3</v>
      </c>
      <c r="M2" t="s">
        <v>2570</v>
      </c>
      <c r="N2" t="str">
        <f>+Tabla26[[#This Row],[NºEqu]]&amp;":"&amp;Tabla26[[#This Row],[RKEquipo]]</f>
        <v>1:2</v>
      </c>
      <c r="Q2" s="115" t="s">
        <v>181</v>
      </c>
      <c r="R2" s="115" t="s">
        <v>242</v>
      </c>
      <c r="S2" s="115" t="s">
        <v>2590</v>
      </c>
      <c r="T2" s="115" t="s">
        <v>466</v>
      </c>
      <c r="U2" s="115" t="s">
        <v>177</v>
      </c>
      <c r="W2" s="112" t="s">
        <v>2595</v>
      </c>
      <c r="X2" t="s">
        <v>2592</v>
      </c>
      <c r="Y2" t="s">
        <v>2593</v>
      </c>
      <c r="Z2" s="112" t="s">
        <v>2594</v>
      </c>
      <c r="AA2" s="112" t="s">
        <v>2591</v>
      </c>
      <c r="AB2" s="122">
        <v>1</v>
      </c>
      <c r="AC2" s="122">
        <v>2</v>
      </c>
      <c r="AD2" s="122">
        <v>3</v>
      </c>
      <c r="AE2" s="122">
        <v>4</v>
      </c>
      <c r="AF2" s="122">
        <v>5</v>
      </c>
    </row>
    <row r="3" spans="7:32">
      <c r="G3">
        <v>1</v>
      </c>
      <c r="H3" t="s">
        <v>2442</v>
      </c>
      <c r="I3" t="s">
        <v>195</v>
      </c>
      <c r="J3">
        <v>1</v>
      </c>
      <c r="K3">
        <v>8</v>
      </c>
      <c r="L3">
        <v>7</v>
      </c>
      <c r="M3" t="s">
        <v>2570</v>
      </c>
      <c r="N3" t="str">
        <f>+Tabla26[[#This Row],[NºEqu]]&amp;":"&amp;Tabla26[[#This Row],[RKEquipo]]</f>
        <v>1:1</v>
      </c>
      <c r="Q3" s="116" t="s">
        <v>2585</v>
      </c>
      <c r="R3" s="120">
        <v>1.2</v>
      </c>
      <c r="S3" s="117">
        <v>2</v>
      </c>
      <c r="T3" s="116" t="str">
        <f t="shared" ref="T3:T21" si="0">+_xlfn.XLOOKUP(S3,$Z$3:$Z$11,$AA$3:$AA$11,"",0)</f>
        <v>AVE FENIX</v>
      </c>
      <c r="U3" s="116">
        <f>IF(T3="","",+COUNTIF(T$2:T4,T3)+2)</f>
        <v>3</v>
      </c>
      <c r="X3">
        <v>7</v>
      </c>
      <c r="Y3">
        <v>12</v>
      </c>
      <c r="Z3" s="113">
        <v>1</v>
      </c>
      <c r="AA3" s="113" t="s">
        <v>2442</v>
      </c>
      <c r="AB3" s="114" t="str">
        <f>_xlfn.XLOOKUP(+$Z3&amp;":"&amp;AB$2,Tabla26[Columna1],Tabla26[Jugador],"",0)</f>
        <v>JP ✈️</v>
      </c>
      <c r="AC3" s="114" t="str">
        <f>_xlfn.XLOOKUP(+$Z3&amp;":"&amp;AC$2,Tabla26[Columna1],Tabla26[Jugador],"",0)</f>
        <v>Javi 🪱</v>
      </c>
      <c r="AD3" s="58" t="str">
        <f>_xlfn.XLOOKUP(+$Z3&amp;":"&amp;AD$2,Tabla26[Columna1],Tabla26[Jugador],"",0)</f>
        <v>Miche 🐲</v>
      </c>
      <c r="AE3" s="59" t="str">
        <f>_xlfn.XLOOKUP(+$Z3&amp;":"&amp;AE$2,Tabla26[Columna1],Tabla26[Jugador],"",0)</f>
        <v>Carlitos 🔥</v>
      </c>
      <c r="AF3" s="60" t="str">
        <f>_xlfn.XLOOKUP(+$Z3&amp;":"&amp;AF$2,Tabla26[Columna1],Tabla26[Jugador],"",0)</f>
        <v/>
      </c>
    </row>
    <row r="4" spans="7:32">
      <c r="G4">
        <v>2</v>
      </c>
      <c r="H4" t="s">
        <v>2524</v>
      </c>
      <c r="I4" t="s">
        <v>2571</v>
      </c>
      <c r="J4">
        <v>1</v>
      </c>
      <c r="K4">
        <v>9</v>
      </c>
      <c r="L4">
        <v>13.5</v>
      </c>
      <c r="M4" t="s">
        <v>2570</v>
      </c>
      <c r="N4" t="str">
        <f>+Tabla26[[#This Row],[NºEqu]]&amp;":"&amp;Tabla26[[#This Row],[RKEquipo]]</f>
        <v>2:1</v>
      </c>
      <c r="Q4" s="116" t="s">
        <v>2579</v>
      </c>
      <c r="R4" s="120">
        <v>8.6999999999999993</v>
      </c>
      <c r="S4" s="118">
        <v>3</v>
      </c>
      <c r="T4" s="116" t="str">
        <f t="shared" si="0"/>
        <v>CONDOR GC</v>
      </c>
      <c r="U4" s="116">
        <f>IF(T4="","",+COUNTIF(T$3:T4,T4)+2)</f>
        <v>3</v>
      </c>
      <c r="X4">
        <v>1</v>
      </c>
      <c r="Y4">
        <v>18</v>
      </c>
      <c r="Z4" s="113">
        <v>2</v>
      </c>
      <c r="AA4" s="113" t="s">
        <v>2524</v>
      </c>
      <c r="AB4" s="114" t="str">
        <f>_xlfn.XLOOKUP(+$Z4&amp;":"&amp;AB$2,Tabla26[Columna1],Tabla26[Jugador],"",0)</f>
        <v>Enrique 🚵‍♂</v>
      </c>
      <c r="AC4" s="114" t="str">
        <f>_xlfn.XLOOKUP(+$Z4&amp;":"&amp;AC$2,Tabla26[Columna1],Tabla26[Jugador],"",0)</f>
        <v>Kike 💀</v>
      </c>
      <c r="AD4" s="61" t="str">
        <f>_xlfn.XLOOKUP(+$Z4&amp;":"&amp;AD$2,Tabla26[Columna1],Tabla26[Jugador],"",0)</f>
        <v>Alex 🦐</v>
      </c>
      <c r="AE4" t="str">
        <f>_xlfn.XLOOKUP(+$Z4&amp;":"&amp;AE$2,Tabla26[Columna1],Tabla26[Jugador],"",0)</f>
        <v>Cuñao 👨🏻‍⚖️</v>
      </c>
      <c r="AF4" s="121" t="str">
        <f>_xlfn.XLOOKUP(+$Z4&amp;":"&amp;AF$2,Tabla26[Columna1],Tabla26[Jugador],"",0)</f>
        <v>Franck 🏹</v>
      </c>
    </row>
    <row r="5" spans="7:32">
      <c r="G5">
        <v>2</v>
      </c>
      <c r="H5" t="s">
        <v>2524</v>
      </c>
      <c r="I5" t="s">
        <v>188</v>
      </c>
      <c r="J5">
        <v>2</v>
      </c>
      <c r="K5">
        <v>5</v>
      </c>
      <c r="L5">
        <v>19.600000000000001</v>
      </c>
      <c r="M5" t="s">
        <v>2570</v>
      </c>
      <c r="N5" t="str">
        <f>+Tabla26[[#This Row],[NºEqu]]&amp;":"&amp;Tabla26[[#This Row],[RKEquipo]]</f>
        <v>2:2</v>
      </c>
      <c r="Q5" s="116" t="s">
        <v>182</v>
      </c>
      <c r="R5" s="120">
        <v>14.3</v>
      </c>
      <c r="S5" s="118">
        <v>9</v>
      </c>
      <c r="T5" s="116" t="str">
        <f t="shared" si="0"/>
        <v>THE ARCHERS</v>
      </c>
      <c r="U5" s="116">
        <f>IF(T5="","",+COUNTIF(T$3:T5,T5)+2)</f>
        <v>3</v>
      </c>
      <c r="X5">
        <v>9</v>
      </c>
      <c r="Y5">
        <v>10</v>
      </c>
      <c r="Z5" s="113">
        <v>3</v>
      </c>
      <c r="AA5" s="113" t="s">
        <v>2441</v>
      </c>
      <c r="AB5" s="114" t="str">
        <f>_xlfn.XLOOKUP(+$Z5&amp;":"&amp;AB$2,Tabla26[Columna1],Tabla26[Jugador],"",0)</f>
        <v>Eduardo 🐧</v>
      </c>
      <c r="AC5" s="114" t="str">
        <f>_xlfn.XLOOKUP(+$Z5&amp;":"&amp;AC$2,Tabla26[Columna1],Tabla26[Jugador],"",0)</f>
        <v xml:space="preserve">Jorge </v>
      </c>
      <c r="AD5" s="61" t="str">
        <f>_xlfn.XLOOKUP(+$Z5&amp;":"&amp;AD$2,Tabla26[Columna1],Tabla26[Jugador],"",0)</f>
        <v>Angel 🏆</v>
      </c>
      <c r="AE5" t="str">
        <f>_xlfn.XLOOKUP(+$Z5&amp;":"&amp;AE$2,Tabla26[Columna1],Tabla26[Jugador],"",0)</f>
        <v>Fran ⚓️</v>
      </c>
      <c r="AF5" s="62" t="str">
        <f>_xlfn.XLOOKUP(+$Z5&amp;":"&amp;AF$2,Tabla26[Columna1],Tabla26[Jugador],"",0)</f>
        <v/>
      </c>
    </row>
    <row r="6" spans="7:32">
      <c r="G6">
        <v>3</v>
      </c>
      <c r="H6" t="s">
        <v>2441</v>
      </c>
      <c r="I6" t="s">
        <v>2572</v>
      </c>
      <c r="J6">
        <v>1</v>
      </c>
      <c r="K6">
        <v>4</v>
      </c>
      <c r="L6">
        <v>8.8000000000000007</v>
      </c>
      <c r="M6" t="s">
        <v>2570</v>
      </c>
      <c r="N6" t="str">
        <f>+Tabla26[[#This Row],[NºEqu]]&amp;":"&amp;Tabla26[[#This Row],[RKEquipo]]</f>
        <v>3:1</v>
      </c>
      <c r="Q6" s="116" t="s">
        <v>196</v>
      </c>
      <c r="R6" s="120">
        <v>18.399999999999999</v>
      </c>
      <c r="S6" s="118">
        <v>1</v>
      </c>
      <c r="T6" s="116" t="str">
        <f t="shared" si="0"/>
        <v>ANGRYPIG</v>
      </c>
      <c r="U6" s="116">
        <f>IF(T6="","",+COUNTIF(T$3:T6,T6)+2)</f>
        <v>3</v>
      </c>
      <c r="X6">
        <v>5</v>
      </c>
      <c r="Y6">
        <v>14</v>
      </c>
      <c r="Z6" s="113">
        <v>4</v>
      </c>
      <c r="AA6" s="113" t="s">
        <v>2547</v>
      </c>
      <c r="AB6" s="114" t="str">
        <f>_xlfn.XLOOKUP(+$Z6&amp;":"&amp;AB$2,Tabla26[Columna1],Tabla26[Jugador],"",0)</f>
        <v xml:space="preserve">JuanSanz </v>
      </c>
      <c r="AC6" s="114" t="str">
        <f>_xlfn.XLOOKUP(+$Z6&amp;":"&amp;AC$2,Tabla26[Columna1],Tabla26[Jugador],"",0)</f>
        <v xml:space="preserve">A.Santana </v>
      </c>
      <c r="AD6" s="61" t="str">
        <f>_xlfn.XLOOKUP(+$Z6&amp;":"&amp;AD$2,Tabla26[Columna1],Tabla26[Jugador],"",0)</f>
        <v>Tom</v>
      </c>
      <c r="AE6" t="str">
        <f>_xlfn.XLOOKUP(+$Z6&amp;":"&amp;AE$2,Tabla26[Columna1],Tabla26[Jugador],"",0)</f>
        <v>Alvaro 🏊</v>
      </c>
      <c r="AF6" s="62" t="str">
        <f>_xlfn.XLOOKUP(+$Z6&amp;":"&amp;AF$2,Tabla26[Columna1],Tabla26[Jugador],"",0)</f>
        <v/>
      </c>
    </row>
    <row r="7" spans="7:32">
      <c r="G7">
        <v>3</v>
      </c>
      <c r="H7" t="s">
        <v>2441</v>
      </c>
      <c r="I7" t="s">
        <v>405</v>
      </c>
      <c r="J7">
        <v>2</v>
      </c>
      <c r="K7">
        <v>10</v>
      </c>
      <c r="L7">
        <v>18.600000000000001</v>
      </c>
      <c r="M7" t="s">
        <v>2570</v>
      </c>
      <c r="N7" t="str">
        <f>+Tabla26[[#This Row],[NºEqu]]&amp;":"&amp;Tabla26[[#This Row],[RKEquipo]]</f>
        <v>3:2</v>
      </c>
      <c r="Q7" s="116" t="s">
        <v>325</v>
      </c>
      <c r="R7" s="120">
        <v>8.8000000000000007</v>
      </c>
      <c r="S7" s="118">
        <v>5</v>
      </c>
      <c r="T7" s="116" t="str">
        <f t="shared" si="0"/>
        <v>EAGLE MIND</v>
      </c>
      <c r="U7" s="116">
        <f>IF(T7="","",+COUNTIF(T$3:T7,T7)+2)</f>
        <v>3</v>
      </c>
      <c r="X7">
        <v>2</v>
      </c>
      <c r="Y7">
        <v>17</v>
      </c>
      <c r="Z7" s="113">
        <v>5</v>
      </c>
      <c r="AA7" s="113" t="s">
        <v>2437</v>
      </c>
      <c r="AB7" s="114" t="str">
        <f>_xlfn.XLOOKUP(+$Z7&amp;":"&amp;AB$2,Tabla26[Columna1],Tabla26[Jugador],"",0)</f>
        <v>Gifu 🤓</v>
      </c>
      <c r="AC7" s="114" t="str">
        <f>_xlfn.XLOOKUP(+$Z7&amp;":"&amp;AC$2,Tabla26[Columna1],Tabla26[Jugador],"",0)</f>
        <v xml:space="preserve">Antonio </v>
      </c>
      <c r="AD7" s="61" t="str">
        <f>_xlfn.XLOOKUP(+$Z7&amp;":"&amp;AD$2,Tabla26[Columna1],Tabla26[Jugador],"",0)</f>
        <v>Monti ⛳</v>
      </c>
      <c r="AE7" t="str">
        <f>_xlfn.XLOOKUP(+$Z7&amp;":"&amp;AE$2,Tabla26[Columna1],Tabla26[Jugador],"",0)</f>
        <v>Chiralt 🍗</v>
      </c>
      <c r="AF7" s="62" t="str">
        <f>_xlfn.XLOOKUP(+$Z7&amp;":"&amp;AF$2,Tabla26[Columna1],Tabla26[Jugador],"",0)</f>
        <v/>
      </c>
    </row>
    <row r="8" spans="7:32">
      <c r="G8">
        <v>4</v>
      </c>
      <c r="H8" t="s">
        <v>2547</v>
      </c>
      <c r="I8" t="s">
        <v>2573</v>
      </c>
      <c r="J8">
        <v>2</v>
      </c>
      <c r="K8">
        <v>6</v>
      </c>
      <c r="L8">
        <v>6.3</v>
      </c>
      <c r="M8" t="s">
        <v>2570</v>
      </c>
      <c r="N8" t="str">
        <f>+Tabla26[[#This Row],[NºEqu]]&amp;":"&amp;Tabla26[[#This Row],[RKEquipo]]</f>
        <v>4:2</v>
      </c>
      <c r="Q8" s="116" t="s">
        <v>186</v>
      </c>
      <c r="R8" s="120">
        <v>4.7</v>
      </c>
      <c r="S8" s="118">
        <v>6</v>
      </c>
      <c r="T8" s="116" t="str">
        <f t="shared" si="0"/>
        <v>KOBRA KAI</v>
      </c>
      <c r="U8" s="116">
        <f>IF(T8="","",+COUNTIF(T$3:T8,T8)+2)</f>
        <v>3</v>
      </c>
      <c r="X8">
        <v>3</v>
      </c>
      <c r="Y8">
        <v>16</v>
      </c>
      <c r="Z8" s="113">
        <v>6</v>
      </c>
      <c r="AA8" s="113" t="s">
        <v>2450</v>
      </c>
      <c r="AB8" s="114" t="str">
        <f>_xlfn.XLOOKUP(+$Z8&amp;":"&amp;AB$2,Tabla26[Columna1],Tabla26[Jugador],"",0)</f>
        <v>Alfonso 🏌️‍♂️</v>
      </c>
      <c r="AC8" s="114" t="str">
        <f>_xlfn.XLOOKUP(+$Z8&amp;":"&amp;AC$2,Tabla26[Columna1],Tabla26[Jugador],"",0)</f>
        <v xml:space="preserve">J Antonio </v>
      </c>
      <c r="AD8" s="61" t="str">
        <f>_xlfn.XLOOKUP(+$Z8&amp;":"&amp;AD$2,Tabla26[Columna1],Tabla26[Jugador],"",0)</f>
        <v>Nacho 🖐🏻</v>
      </c>
      <c r="AE8" t="str">
        <f>_xlfn.XLOOKUP(+$Z8&amp;":"&amp;AE$2,Tabla26[Columna1],Tabla26[Jugador],"",0)</f>
        <v>Luis 🫥</v>
      </c>
      <c r="AF8" s="62" t="str">
        <f>_xlfn.XLOOKUP(+$Z8&amp;":"&amp;AF$2,Tabla26[Columna1],Tabla26[Jugador],"",0)</f>
        <v/>
      </c>
    </row>
    <row r="9" spans="7:32">
      <c r="G9">
        <v>4</v>
      </c>
      <c r="H9" t="s">
        <v>2547</v>
      </c>
      <c r="I9" t="s">
        <v>2574</v>
      </c>
      <c r="J9">
        <v>1</v>
      </c>
      <c r="K9">
        <v>6</v>
      </c>
      <c r="L9">
        <v>16.600000000000001</v>
      </c>
      <c r="M9" t="s">
        <v>2570</v>
      </c>
      <c r="N9" t="str">
        <f>+Tabla26[[#This Row],[NºEqu]]&amp;":"&amp;Tabla26[[#This Row],[RKEquipo]]</f>
        <v>4:1</v>
      </c>
      <c r="Q9" s="116" t="s">
        <v>2584</v>
      </c>
      <c r="R9" s="120">
        <v>17.8</v>
      </c>
      <c r="S9" s="118">
        <v>8</v>
      </c>
      <c r="T9" s="116" t="str">
        <f t="shared" si="0"/>
        <v>RED RHINO</v>
      </c>
      <c r="U9" s="116">
        <f>IF(T9="","",+COUNTIF(T$3:T9,T9)+2)</f>
        <v>3</v>
      </c>
      <c r="X9">
        <v>8</v>
      </c>
      <c r="Y9">
        <v>11</v>
      </c>
      <c r="Z9" s="113">
        <v>7</v>
      </c>
      <c r="AA9" s="113" t="s">
        <v>2439</v>
      </c>
      <c r="AB9" s="114" t="str">
        <f>_xlfn.XLOOKUP(+$Z9&amp;":"&amp;AB$2,Tabla26[Columna1],Tabla26[Jugador],"",0)</f>
        <v>Juanjo 🦍</v>
      </c>
      <c r="AC9" s="114" t="str">
        <f>_xlfn.XLOOKUP(+$Z9&amp;":"&amp;AC$2,Tabla26[Columna1],Tabla26[Jugador],"",0)</f>
        <v>Ignacio 😺</v>
      </c>
      <c r="AD9" s="61" t="str">
        <f>_xlfn.XLOOKUP(+$Z9&amp;":"&amp;AD$2,Tabla26[Columna1],Tabla26[Jugador],"",0)</f>
        <v>Virus 🦠</v>
      </c>
      <c r="AE9" t="str">
        <f>_xlfn.XLOOKUP(+$Z9&amp;":"&amp;AE$2,Tabla26[Columna1],Tabla26[Jugador],"",0)</f>
        <v>Paco 🎸</v>
      </c>
      <c r="AF9" s="62" t="str">
        <f>_xlfn.XLOOKUP(+$Z9&amp;":"&amp;AF$2,Tabla26[Columna1],Tabla26[Jugador],"",0)</f>
        <v/>
      </c>
    </row>
    <row r="10" spans="7:32">
      <c r="G10">
        <v>5</v>
      </c>
      <c r="H10" t="s">
        <v>2437</v>
      </c>
      <c r="I10" t="s">
        <v>418</v>
      </c>
      <c r="J10">
        <v>2</v>
      </c>
      <c r="K10">
        <v>9</v>
      </c>
      <c r="L10">
        <v>18.899999999999999</v>
      </c>
      <c r="M10" t="s">
        <v>2570</v>
      </c>
      <c r="N10" t="str">
        <f>+Tabla26[[#This Row],[NºEqu]]&amp;":"&amp;Tabla26[[#This Row],[RKEquipo]]</f>
        <v>5:2</v>
      </c>
      <c r="Q10" s="116" t="s">
        <v>2474</v>
      </c>
      <c r="R10" s="120">
        <v>13.9</v>
      </c>
      <c r="S10" s="118">
        <v>4</v>
      </c>
      <c r="T10" s="116" t="str">
        <f t="shared" si="0"/>
        <v>CUATREROS GC</v>
      </c>
      <c r="U10" s="116">
        <f>IF(T10="","",+COUNTIF(T$3:T10,T10)+2)</f>
        <v>3</v>
      </c>
      <c r="X10">
        <v>6</v>
      </c>
      <c r="Y10">
        <v>13</v>
      </c>
      <c r="Z10" s="113">
        <v>8</v>
      </c>
      <c r="AA10" s="113" t="s">
        <v>2436</v>
      </c>
      <c r="AB10" s="114" t="str">
        <f>_xlfn.XLOOKUP(+$Z10&amp;":"&amp;AB$2,Tabla26[Columna1],Tabla26[Jugador],"",0)</f>
        <v>Nachete 🐅</v>
      </c>
      <c r="AC10" s="114" t="str">
        <f>_xlfn.XLOOKUP(+$Z10&amp;":"&amp;AC$2,Tabla26[Columna1],Tabla26[Jugador],"",0)</f>
        <v>Juancho 🦎</v>
      </c>
      <c r="AD10" s="61" t="str">
        <f>_xlfn.XLOOKUP(+$Z10&amp;":"&amp;AD$2,Tabla26[Columna1],Tabla26[Jugador],"",0)</f>
        <v>Rus 🧸</v>
      </c>
      <c r="AE10" t="str">
        <f>_xlfn.XLOOKUP(+$Z10&amp;":"&amp;AE$2,Tabla26[Columna1],Tabla26[Jugador],"",0)</f>
        <v>Joaco</v>
      </c>
      <c r="AF10" s="62" t="str">
        <f>_xlfn.XLOOKUP(+$Z10&amp;":"&amp;AF$2,Tabla26[Columna1],Tabla26[Jugador],"",0)</f>
        <v/>
      </c>
    </row>
    <row r="11" spans="7:32" ht="16.5" thickBot="1">
      <c r="G11">
        <v>5</v>
      </c>
      <c r="H11" t="s">
        <v>2437</v>
      </c>
      <c r="I11" t="s">
        <v>184</v>
      </c>
      <c r="J11">
        <v>1</v>
      </c>
      <c r="K11">
        <v>8</v>
      </c>
      <c r="L11">
        <v>6</v>
      </c>
      <c r="M11" t="s">
        <v>2570</v>
      </c>
      <c r="N11" t="str">
        <f>+Tabla26[[#This Row],[NºEqu]]&amp;":"&amp;Tabla26[[#This Row],[RKEquipo]]</f>
        <v>5:1</v>
      </c>
      <c r="Q11" s="116" t="s">
        <v>194</v>
      </c>
      <c r="R11" s="120">
        <v>18.399999999999999</v>
      </c>
      <c r="S11" s="118">
        <v>7</v>
      </c>
      <c r="T11" s="116" t="str">
        <f t="shared" si="0"/>
        <v>LOS FICJ6</v>
      </c>
      <c r="U11" s="116">
        <f>IF(T11="","",+COUNTIF(T$3:T11,T11)+2)</f>
        <v>3</v>
      </c>
      <c r="X11">
        <v>4</v>
      </c>
      <c r="Y11">
        <v>15</v>
      </c>
      <c r="Z11" s="113">
        <v>9</v>
      </c>
      <c r="AA11" s="113" t="s">
        <v>2438</v>
      </c>
      <c r="AB11" s="114" t="str">
        <f>_xlfn.XLOOKUP(+$Z11&amp;":"&amp;AB$2,Tabla26[Columna1],Tabla26[Jugador],"",0)</f>
        <v>J.Arcos 🌵</v>
      </c>
      <c r="AC11" s="114" t="str">
        <f>_xlfn.XLOOKUP(+$Z11&amp;":"&amp;AC$2,Tabla26[Columna1],Tabla26[Jugador],"",0)</f>
        <v>Jesús 🍄</v>
      </c>
      <c r="AD11" s="63" t="str">
        <f>_xlfn.XLOOKUP(+$Z11&amp;":"&amp;AD$2,Tabla26[Columna1],Tabla26[Jugador],"",0)</f>
        <v>David 🐗</v>
      </c>
      <c r="AE11" s="64" t="str">
        <f>_xlfn.XLOOKUP(+$Z11&amp;":"&amp;AE$2,Tabla26[Columna1],Tabla26[Jugador],"",0)</f>
        <v>Santi</v>
      </c>
      <c r="AF11" s="65" t="str">
        <f>_xlfn.XLOOKUP(+$Z11&amp;":"&amp;AF$2,Tabla26[Columna1],Tabla26[Jugador],"",0)</f>
        <v/>
      </c>
    </row>
    <row r="12" spans="7:32">
      <c r="G12">
        <v>6</v>
      </c>
      <c r="H12" t="s">
        <v>2450</v>
      </c>
      <c r="I12" t="s">
        <v>192</v>
      </c>
      <c r="J12">
        <v>1</v>
      </c>
      <c r="K12">
        <v>10</v>
      </c>
      <c r="L12">
        <v>12.3</v>
      </c>
      <c r="M12" t="s">
        <v>2570</v>
      </c>
      <c r="N12" t="str">
        <f>+Tabla26[[#This Row],[NºEqu]]&amp;":"&amp;Tabla26[[#This Row],[RKEquipo]]</f>
        <v>6:1</v>
      </c>
      <c r="Q12" s="116" t="s">
        <v>191</v>
      </c>
      <c r="R12" s="120">
        <v>15.2</v>
      </c>
      <c r="S12" s="118">
        <v>4</v>
      </c>
      <c r="T12" s="116" t="str">
        <f t="shared" si="0"/>
        <v>CUATREROS GC</v>
      </c>
      <c r="U12" s="116">
        <f>IF(T12="","",+COUNTIF(T$3:T12,T12)+2)</f>
        <v>4</v>
      </c>
    </row>
    <row r="13" spans="7:32">
      <c r="G13">
        <v>6</v>
      </c>
      <c r="H13" t="s">
        <v>2450</v>
      </c>
      <c r="I13" t="s">
        <v>425</v>
      </c>
      <c r="J13">
        <v>2</v>
      </c>
      <c r="K13">
        <v>9</v>
      </c>
      <c r="L13">
        <v>25.5</v>
      </c>
      <c r="M13" t="s">
        <v>2570</v>
      </c>
      <c r="N13" t="str">
        <f>+Tabla26[[#This Row],[NºEqu]]&amp;":"&amp;Tabla26[[#This Row],[RKEquipo]]</f>
        <v>6:2</v>
      </c>
      <c r="Q13" s="116" t="s">
        <v>2580</v>
      </c>
      <c r="R13" s="120">
        <v>1.3</v>
      </c>
      <c r="S13" s="118">
        <v>1</v>
      </c>
      <c r="T13" s="116" t="str">
        <f t="shared" si="0"/>
        <v>ANGRYPIG</v>
      </c>
      <c r="U13" s="116">
        <f>IF(T13="","",+COUNTIF(T$3:T13,T13)+2)</f>
        <v>4</v>
      </c>
    </row>
    <row r="14" spans="7:32">
      <c r="G14">
        <v>7</v>
      </c>
      <c r="H14" t="s">
        <v>2439</v>
      </c>
      <c r="I14" t="s">
        <v>190</v>
      </c>
      <c r="J14">
        <v>2</v>
      </c>
      <c r="K14">
        <v>8</v>
      </c>
      <c r="L14">
        <v>6.8</v>
      </c>
      <c r="M14" t="s">
        <v>2570</v>
      </c>
      <c r="N14" t="str">
        <f>+Tabla26[[#This Row],[NºEqu]]&amp;":"&amp;Tabla26[[#This Row],[RKEquipo]]</f>
        <v>7:2</v>
      </c>
      <c r="Q14" s="116" t="s">
        <v>2581</v>
      </c>
      <c r="R14" s="120">
        <v>10.6</v>
      </c>
      <c r="S14" s="118">
        <v>5</v>
      </c>
      <c r="T14" s="116" t="str">
        <f t="shared" si="0"/>
        <v>EAGLE MIND</v>
      </c>
      <c r="U14" s="116">
        <f>IF(T14="","",+COUNTIF(T$3:T14,T14)+2)</f>
        <v>4</v>
      </c>
    </row>
    <row r="15" spans="7:32">
      <c r="G15">
        <v>7</v>
      </c>
      <c r="H15" t="s">
        <v>2439</v>
      </c>
      <c r="I15" t="s">
        <v>189</v>
      </c>
      <c r="J15">
        <v>1</v>
      </c>
      <c r="K15">
        <v>8</v>
      </c>
      <c r="L15">
        <v>19.399999999999999</v>
      </c>
      <c r="M15" t="s">
        <v>2570</v>
      </c>
      <c r="N15" t="str">
        <f>+Tabla26[[#This Row],[NºEqu]]&amp;":"&amp;Tabla26[[#This Row],[RKEquipo]]</f>
        <v>7:1</v>
      </c>
      <c r="Q15" s="116" t="s">
        <v>2578</v>
      </c>
      <c r="R15" s="120">
        <v>20.9</v>
      </c>
      <c r="S15" s="118">
        <v>2</v>
      </c>
      <c r="T15" s="116" t="str">
        <f t="shared" si="0"/>
        <v>AVE FENIX</v>
      </c>
      <c r="U15" s="116">
        <f>IF(T15="","",+COUNTIF(T$3:T15,T15)+2)</f>
        <v>4</v>
      </c>
      <c r="Z15" t="s">
        <v>2596</v>
      </c>
      <c r="AA15" t="s">
        <v>466</v>
      </c>
    </row>
    <row r="16" spans="7:32">
      <c r="G16">
        <v>8</v>
      </c>
      <c r="H16" t="s">
        <v>2436</v>
      </c>
      <c r="I16" t="s">
        <v>2575</v>
      </c>
      <c r="J16">
        <v>2</v>
      </c>
      <c r="K16">
        <v>7</v>
      </c>
      <c r="L16">
        <v>15.1</v>
      </c>
      <c r="M16" t="s">
        <v>2570</v>
      </c>
      <c r="N16" t="str">
        <f>+Tabla26[[#This Row],[NºEqu]]&amp;":"&amp;Tabla26[[#This Row],[RKEquipo]]</f>
        <v>8:2</v>
      </c>
      <c r="Q16" s="116" t="s">
        <v>185</v>
      </c>
      <c r="R16" s="120">
        <v>14.3</v>
      </c>
      <c r="S16" s="118">
        <v>3</v>
      </c>
      <c r="T16" s="116" t="str">
        <f t="shared" si="0"/>
        <v>CONDOR GC</v>
      </c>
      <c r="U16" s="116">
        <f>IF(T16="","",+COUNTIF(T$3:T16,T16)+2)</f>
        <v>4</v>
      </c>
      <c r="Z16">
        <v>1</v>
      </c>
      <c r="AA16" t="s">
        <v>2524</v>
      </c>
    </row>
    <row r="17" spans="7:27">
      <c r="G17">
        <v>8</v>
      </c>
      <c r="H17" t="s">
        <v>2436</v>
      </c>
      <c r="I17" t="s">
        <v>2576</v>
      </c>
      <c r="J17">
        <v>1</v>
      </c>
      <c r="K17">
        <v>7</v>
      </c>
      <c r="L17">
        <v>5.2</v>
      </c>
      <c r="M17" t="s">
        <v>2570</v>
      </c>
      <c r="N17" t="str">
        <f>+Tabla26[[#This Row],[NºEqu]]&amp;":"&amp;Tabla26[[#This Row],[RKEquipo]]</f>
        <v>8:1</v>
      </c>
      <c r="Q17" s="116" t="s">
        <v>2582</v>
      </c>
      <c r="R17" s="120">
        <v>15</v>
      </c>
      <c r="S17" s="118">
        <v>2</v>
      </c>
      <c r="T17" s="116" t="str">
        <f t="shared" si="0"/>
        <v>AVE FENIX</v>
      </c>
      <c r="U17" s="116">
        <f>IF(T17="","",+COUNTIF(T$3:T17,T17)+2)</f>
        <v>5</v>
      </c>
      <c r="Z17">
        <v>2</v>
      </c>
      <c r="AA17" t="s">
        <v>2437</v>
      </c>
    </row>
    <row r="18" spans="7:27">
      <c r="G18">
        <v>9</v>
      </c>
      <c r="H18" t="s">
        <v>2438</v>
      </c>
      <c r="I18" t="s">
        <v>2577</v>
      </c>
      <c r="J18">
        <v>1</v>
      </c>
      <c r="K18">
        <v>8</v>
      </c>
      <c r="L18">
        <v>10.1</v>
      </c>
      <c r="M18" t="s">
        <v>2570</v>
      </c>
      <c r="N18" t="str">
        <f>+Tabla26[[#This Row],[NºEqu]]&amp;":"&amp;Tabla26[[#This Row],[RKEquipo]]</f>
        <v>9:1</v>
      </c>
      <c r="Q18" s="116" t="s">
        <v>2562</v>
      </c>
      <c r="R18" s="120">
        <v>20.2</v>
      </c>
      <c r="S18" s="118">
        <v>8</v>
      </c>
      <c r="T18" s="116" t="str">
        <f t="shared" si="0"/>
        <v>RED RHINO</v>
      </c>
      <c r="U18" s="116">
        <f>IF(T18="","",+COUNTIF(T$3:T18,T18)+2)</f>
        <v>4</v>
      </c>
      <c r="Z18">
        <v>3</v>
      </c>
      <c r="AA18" t="s">
        <v>2450</v>
      </c>
    </row>
    <row r="19" spans="7:27">
      <c r="G19">
        <v>9</v>
      </c>
      <c r="H19" t="s">
        <v>2438</v>
      </c>
      <c r="I19" t="s">
        <v>193</v>
      </c>
      <c r="J19">
        <v>2</v>
      </c>
      <c r="K19">
        <v>8</v>
      </c>
      <c r="L19">
        <v>21.9</v>
      </c>
      <c r="M19" t="s">
        <v>2570</v>
      </c>
      <c r="N19" t="str">
        <f>+Tabla26[[#This Row],[NºEqu]]&amp;":"&amp;Tabla26[[#This Row],[RKEquipo]]</f>
        <v>9:2</v>
      </c>
      <c r="Q19" s="116" t="s">
        <v>2583</v>
      </c>
      <c r="R19" s="120">
        <v>10.199999999999999</v>
      </c>
      <c r="S19" s="118">
        <v>6</v>
      </c>
      <c r="T19" s="116" t="str">
        <f t="shared" si="0"/>
        <v>KOBRA KAI</v>
      </c>
      <c r="U19" s="116">
        <f>IF(T19="","",+COUNTIF(T$3:T19,T19)+2)</f>
        <v>4</v>
      </c>
      <c r="Z19">
        <v>4</v>
      </c>
      <c r="AA19" t="s">
        <v>2438</v>
      </c>
    </row>
    <row r="20" spans="7:27">
      <c r="G20">
        <f>+_xlfn.XLOOKUP(Tabla26[[#This Row],[Jugador]],$Q$3:$Q$21,$S$3:$S$21,"",0)</f>
        <v>9</v>
      </c>
      <c r="H20" t="str">
        <f>+_xlfn.XLOOKUP(Tabla26[[#This Row],[NºEqu]],$G$2:$G$19,$H$2:$H$19,"",0)</f>
        <v>THE ARCHERS</v>
      </c>
      <c r="I20" t="s">
        <v>182</v>
      </c>
      <c r="J20">
        <f>+_xlfn.XLOOKUP(Tabla26[[#This Row],[Jugador]],$Q$3:$Q$21,$U$3:$U$21,"",0)</f>
        <v>3</v>
      </c>
      <c r="K20">
        <v>9</v>
      </c>
      <c r="L20">
        <v>14.3</v>
      </c>
      <c r="M20" t="str">
        <f>+IF(Tabla26[[#This Row],[Equipo]]="","TR","ELEG")</f>
        <v>ELEG</v>
      </c>
      <c r="N20" t="str">
        <f>+Tabla26[[#This Row],[NºEqu]]&amp;":"&amp;Tabla26[[#This Row],[RKEquipo]]</f>
        <v>9:3</v>
      </c>
      <c r="Q20" s="116" t="s">
        <v>183</v>
      </c>
      <c r="R20" s="120">
        <v>15.7</v>
      </c>
      <c r="S20" s="118">
        <v>7</v>
      </c>
      <c r="T20" s="116" t="str">
        <f t="shared" si="0"/>
        <v>LOS FICJ6</v>
      </c>
      <c r="U20" s="116">
        <f>IF(T20="","",+COUNTIF(T$3:T20,T20)+2)</f>
        <v>4</v>
      </c>
      <c r="Z20">
        <v>5</v>
      </c>
      <c r="AA20" t="s">
        <v>2547</v>
      </c>
    </row>
    <row r="21" spans="7:27" ht="16.5" thickBot="1">
      <c r="G21">
        <f>+_xlfn.XLOOKUP(Tabla26[[#This Row],[Jugador]],$Q$3:$Q$21,$S$3:$S$21,"",0)</f>
        <v>1</v>
      </c>
      <c r="H21" t="str">
        <f>+_xlfn.XLOOKUP(Tabla26[[#This Row],[NºEqu]],$G$2:$G$19,$H$2:$H$19,"",0)</f>
        <v>ANGRYPIG</v>
      </c>
      <c r="I21" t="s">
        <v>196</v>
      </c>
      <c r="J21">
        <f>+_xlfn.XLOOKUP(Tabla26[[#This Row],[Jugador]],$Q$3:$Q$21,$U$3:$U$21,"",0)</f>
        <v>3</v>
      </c>
      <c r="K21">
        <v>6</v>
      </c>
      <c r="L21">
        <v>18.399999999999999</v>
      </c>
      <c r="M21" t="str">
        <f>+IF(Tabla26[[#This Row],[Equipo]]="","TR","ELEG")</f>
        <v>ELEG</v>
      </c>
      <c r="N21" t="str">
        <f>+Tabla26[[#This Row],[NºEqu]]&amp;":"&amp;Tabla26[[#This Row],[RKEquipo]]</f>
        <v>1:3</v>
      </c>
      <c r="Q21" s="116" t="s">
        <v>268</v>
      </c>
      <c r="R21" s="120">
        <v>16.399999999999999</v>
      </c>
      <c r="S21" s="119">
        <v>9</v>
      </c>
      <c r="T21" s="116" t="str">
        <f t="shared" si="0"/>
        <v>THE ARCHERS</v>
      </c>
      <c r="U21" s="116">
        <f>IF(T21="","",+COUNTIF(T$3:T21,T21)+2)</f>
        <v>4</v>
      </c>
      <c r="Z21">
        <v>6</v>
      </c>
      <c r="AA21" t="s">
        <v>2436</v>
      </c>
    </row>
    <row r="22" spans="7:27">
      <c r="G22">
        <f>+_xlfn.XLOOKUP(Tabla26[[#This Row],[Jugador]],$Q$3:$Q$21,$S$3:$S$21,"",0)</f>
        <v>2</v>
      </c>
      <c r="H22" t="str">
        <f>+_xlfn.XLOOKUP(Tabla26[[#This Row],[NºEqu]],$G$2:$G$19,$H$2:$H$19,"",0)</f>
        <v>AVE FENIX</v>
      </c>
      <c r="I22" t="s">
        <v>2578</v>
      </c>
      <c r="J22">
        <f>+_xlfn.XLOOKUP(Tabla26[[#This Row],[Jugador]],$Q$3:$Q$21,$U$3:$U$21,"",0)</f>
        <v>4</v>
      </c>
      <c r="K22">
        <v>1</v>
      </c>
      <c r="L22">
        <v>20.9</v>
      </c>
      <c r="M22" t="str">
        <f>+IF(Tabla26[[#This Row],[Equipo]]="","TR","ELEG")</f>
        <v>ELEG</v>
      </c>
      <c r="N22" t="str">
        <f>+Tabla26[[#This Row],[NºEqu]]&amp;":"&amp;Tabla26[[#This Row],[RKEquipo]]</f>
        <v>2:4</v>
      </c>
      <c r="Z22">
        <v>7</v>
      </c>
      <c r="AA22" t="s">
        <v>2442</v>
      </c>
    </row>
    <row r="23" spans="7:27">
      <c r="G23">
        <f>+_xlfn.XLOOKUP(Tabla26[[#This Row],[Jugador]],$Q$3:$Q$21,$S$3:$S$21,"",0)</f>
        <v>6</v>
      </c>
      <c r="H23" t="str">
        <f>+_xlfn.XLOOKUP(Tabla26[[#This Row],[NºEqu]],$G$2:$G$19,$H$2:$H$19,"",0)</f>
        <v>KOBRA KAI</v>
      </c>
      <c r="I23" t="s">
        <v>186</v>
      </c>
      <c r="J23">
        <f>+_xlfn.XLOOKUP(Tabla26[[#This Row],[Jugador]],$Q$3:$Q$21,$U$3:$U$21,"",0)</f>
        <v>3</v>
      </c>
      <c r="K23">
        <v>3</v>
      </c>
      <c r="L23">
        <v>4.7</v>
      </c>
      <c r="M23" t="str">
        <f>+IF(Tabla26[[#This Row],[Equipo]]="","TR","ELEG")</f>
        <v>ELEG</v>
      </c>
      <c r="N23" t="str">
        <f>+Tabla26[[#This Row],[NºEqu]]&amp;":"&amp;Tabla26[[#This Row],[RKEquipo]]</f>
        <v>6:3</v>
      </c>
      <c r="Z23">
        <v>8</v>
      </c>
      <c r="AA23" t="s">
        <v>2439</v>
      </c>
    </row>
    <row r="24" spans="7:27">
      <c r="G24">
        <f>+_xlfn.XLOOKUP(Tabla26[[#This Row],[Jugador]],$Q$3:$Q$21,$S$3:$S$21,"",0)</f>
        <v>3</v>
      </c>
      <c r="H24" t="str">
        <f>+_xlfn.XLOOKUP(Tabla26[[#This Row],[NºEqu]],$G$2:$G$19,$H$2:$H$19,"",0)</f>
        <v>CONDOR GC</v>
      </c>
      <c r="I24" t="s">
        <v>2579</v>
      </c>
      <c r="J24">
        <f>+_xlfn.XLOOKUP(Tabla26[[#This Row],[Jugador]],$Q$3:$Q$21,$U$3:$U$21,"",0)</f>
        <v>3</v>
      </c>
      <c r="K24">
        <v>8</v>
      </c>
      <c r="L24">
        <v>8.6999999999999993</v>
      </c>
      <c r="M24" t="str">
        <f>+IF(Tabla26[[#This Row],[Equipo]]="","TR","ELEG")</f>
        <v>ELEG</v>
      </c>
      <c r="N24" t="str">
        <f>+Tabla26[[#This Row],[NºEqu]]&amp;":"&amp;Tabla26[[#This Row],[RKEquipo]]</f>
        <v>3:3</v>
      </c>
      <c r="Z24">
        <v>9</v>
      </c>
      <c r="AA24" t="s">
        <v>2441</v>
      </c>
    </row>
    <row r="25" spans="7:27">
      <c r="G25">
        <f>+_xlfn.XLOOKUP(Tabla26[[#This Row],[Jugador]],$Q$3:$Q$21,$S$3:$S$21,"",0)</f>
        <v>5</v>
      </c>
      <c r="H25" t="str">
        <f>+_xlfn.XLOOKUP(Tabla26[[#This Row],[NºEqu]],$G$2:$G$19,$H$2:$H$19,"",0)</f>
        <v>EAGLE MIND</v>
      </c>
      <c r="I25" t="s">
        <v>325</v>
      </c>
      <c r="J25">
        <f>+_xlfn.XLOOKUP(Tabla26[[#This Row],[Jugador]],$Q$3:$Q$21,$U$3:$U$21,"",0)</f>
        <v>3</v>
      </c>
      <c r="K25">
        <v>7</v>
      </c>
      <c r="L25">
        <v>8.8000000000000007</v>
      </c>
      <c r="M25" t="str">
        <f>+IF(Tabla26[[#This Row],[Equipo]]="","TR","ELEG")</f>
        <v>ELEG</v>
      </c>
      <c r="N25" t="str">
        <f>+Tabla26[[#This Row],[NºEqu]]&amp;":"&amp;Tabla26[[#This Row],[RKEquipo]]</f>
        <v>5:3</v>
      </c>
      <c r="Z25">
        <v>10</v>
      </c>
      <c r="AA25" t="s">
        <v>2441</v>
      </c>
    </row>
    <row r="26" spans="7:27">
      <c r="G26">
        <f>+_xlfn.XLOOKUP(Tabla26[[#This Row],[Jugador]],$Q$3:$Q$21,$S$3:$S$21,"",0)</f>
        <v>3</v>
      </c>
      <c r="H26" t="str">
        <f>+_xlfn.XLOOKUP(Tabla26[[#This Row],[NºEqu]],$G$2:$G$19,$H$2:$H$19,"",0)</f>
        <v>CONDOR GC</v>
      </c>
      <c r="I26" t="s">
        <v>185</v>
      </c>
      <c r="J26">
        <f>+_xlfn.XLOOKUP(Tabla26[[#This Row],[Jugador]],$Q$3:$Q$21,$U$3:$U$21,"",0)</f>
        <v>4</v>
      </c>
      <c r="K26">
        <v>8</v>
      </c>
      <c r="L26">
        <v>14.3</v>
      </c>
      <c r="M26" t="str">
        <f>+IF(Tabla26[[#This Row],[Equipo]]="","TR","ELEG")</f>
        <v>ELEG</v>
      </c>
      <c r="N26" t="str">
        <f>+Tabla26[[#This Row],[NºEqu]]&amp;":"&amp;Tabla26[[#This Row],[RKEquipo]]</f>
        <v>3:4</v>
      </c>
      <c r="Z26">
        <v>11</v>
      </c>
      <c r="AA26" t="s">
        <v>2439</v>
      </c>
    </row>
    <row r="27" spans="7:27">
      <c r="G27">
        <f>+_xlfn.XLOOKUP(Tabla26[[#This Row],[Jugador]],$Q$3:$Q$21,$S$3:$S$21,"",0)</f>
        <v>7</v>
      </c>
      <c r="H27" t="str">
        <f>+_xlfn.XLOOKUP(Tabla26[[#This Row],[NºEqu]],$G$2:$G$19,$H$2:$H$19,"",0)</f>
        <v>LOS FICJ6</v>
      </c>
      <c r="I27" t="s">
        <v>183</v>
      </c>
      <c r="J27">
        <f>+_xlfn.XLOOKUP(Tabla26[[#This Row],[Jugador]],$Q$3:$Q$21,$U$3:$U$21,"",0)</f>
        <v>4</v>
      </c>
      <c r="K27">
        <v>5</v>
      </c>
      <c r="L27">
        <v>15.7</v>
      </c>
      <c r="M27" t="str">
        <f>+IF(Tabla26[[#This Row],[Equipo]]="","TR","ELEG")</f>
        <v>ELEG</v>
      </c>
      <c r="N27" t="str">
        <f>+Tabla26[[#This Row],[NºEqu]]&amp;":"&amp;Tabla26[[#This Row],[RKEquipo]]</f>
        <v>7:4</v>
      </c>
      <c r="Z27">
        <v>12</v>
      </c>
      <c r="AA27" t="s">
        <v>2442</v>
      </c>
    </row>
    <row r="28" spans="7:27">
      <c r="G28">
        <f>+_xlfn.XLOOKUP(Tabla26[[#This Row],[Jugador]],$Q$3:$Q$21,$S$3:$S$21,"",0)</f>
        <v>1</v>
      </c>
      <c r="H28" t="str">
        <f>+_xlfn.XLOOKUP(Tabla26[[#This Row],[NºEqu]],$G$2:$G$19,$H$2:$H$19,"",0)</f>
        <v>ANGRYPIG</v>
      </c>
      <c r="I28" t="s">
        <v>2580</v>
      </c>
      <c r="J28">
        <f>+_xlfn.XLOOKUP(Tabla26[[#This Row],[Jugador]],$Q$3:$Q$21,$U$3:$U$21,"",0)</f>
        <v>4</v>
      </c>
      <c r="K28">
        <v>3</v>
      </c>
      <c r="L28">
        <v>1.3</v>
      </c>
      <c r="M28" t="str">
        <f>+IF(Tabla26[[#This Row],[Equipo]]="","TR","ELEG")</f>
        <v>ELEG</v>
      </c>
      <c r="N28" t="str">
        <f>+Tabla26[[#This Row],[NºEqu]]&amp;":"&amp;Tabla26[[#This Row],[RKEquipo]]</f>
        <v>1:4</v>
      </c>
      <c r="Z28">
        <v>13</v>
      </c>
      <c r="AA28" t="s">
        <v>2436</v>
      </c>
    </row>
    <row r="29" spans="7:27">
      <c r="G29">
        <f>+_xlfn.XLOOKUP(Tabla26[[#This Row],[Jugador]],$Q$3:$Q$21,$S$3:$S$21,"",0)</f>
        <v>7</v>
      </c>
      <c r="H29" t="str">
        <f>+_xlfn.XLOOKUP(Tabla26[[#This Row],[NºEqu]],$G$2:$G$19,$H$2:$H$19,"",0)</f>
        <v>LOS FICJ6</v>
      </c>
      <c r="I29" t="s">
        <v>194</v>
      </c>
      <c r="J29">
        <f>+_xlfn.XLOOKUP(Tabla26[[#This Row],[Jugador]],$Q$3:$Q$21,$U$3:$U$21,"",0)</f>
        <v>3</v>
      </c>
      <c r="K29">
        <v>5</v>
      </c>
      <c r="L29">
        <v>18.399999999999999</v>
      </c>
      <c r="M29" t="str">
        <f>+IF(Tabla26[[#This Row],[Equipo]]="","TR","ELEG")</f>
        <v>ELEG</v>
      </c>
      <c r="N29" t="str">
        <f>+Tabla26[[#This Row],[NºEqu]]&amp;":"&amp;Tabla26[[#This Row],[RKEquipo]]</f>
        <v>7:3</v>
      </c>
      <c r="Z29">
        <v>14</v>
      </c>
      <c r="AA29" t="s">
        <v>2547</v>
      </c>
    </row>
    <row r="30" spans="7:27">
      <c r="G30">
        <f>+_xlfn.XLOOKUP(Tabla26[[#This Row],[Jugador]],$Q$3:$Q$21,$S$3:$S$21,"",0)</f>
        <v>5</v>
      </c>
      <c r="H30" t="str">
        <f>+_xlfn.XLOOKUP(Tabla26[[#This Row],[NºEqu]],$G$2:$G$19,$H$2:$H$19,"",0)</f>
        <v>EAGLE MIND</v>
      </c>
      <c r="I30" t="s">
        <v>2581</v>
      </c>
      <c r="J30">
        <f>+_xlfn.XLOOKUP(Tabla26[[#This Row],[Jugador]],$Q$3:$Q$21,$U$3:$U$21,"",0)</f>
        <v>4</v>
      </c>
      <c r="K30">
        <v>1</v>
      </c>
      <c r="L30">
        <v>10.6</v>
      </c>
      <c r="M30" t="str">
        <f>+IF(Tabla26[[#This Row],[Equipo]]="","TR","ELEG")</f>
        <v>ELEG</v>
      </c>
      <c r="N30" t="str">
        <f>+Tabla26[[#This Row],[NºEqu]]&amp;":"&amp;Tabla26[[#This Row],[RKEquipo]]</f>
        <v>5:4</v>
      </c>
      <c r="Z30">
        <v>15</v>
      </c>
      <c r="AA30" t="s">
        <v>2438</v>
      </c>
    </row>
    <row r="31" spans="7:27">
      <c r="G31">
        <f>+_xlfn.XLOOKUP(Tabla26[[#This Row],[Jugador]],$Q$3:$Q$21,$S$3:$S$21,"",0)</f>
        <v>2</v>
      </c>
      <c r="H31" t="str">
        <f>+_xlfn.XLOOKUP(Tabla26[[#This Row],[NºEqu]],$G$2:$G$19,$H$2:$H$19,"",0)</f>
        <v>AVE FENIX</v>
      </c>
      <c r="I31" t="s">
        <v>2582</v>
      </c>
      <c r="J31">
        <f>+_xlfn.XLOOKUP(Tabla26[[#This Row],[Jugador]],$Q$3:$Q$21,$U$3:$U$21,"",0)</f>
        <v>5</v>
      </c>
      <c r="K31">
        <v>1</v>
      </c>
      <c r="L31">
        <v>15</v>
      </c>
      <c r="M31" t="str">
        <f>+IF(Tabla26[[#This Row],[Equipo]]="","TR","ELEG")</f>
        <v>ELEG</v>
      </c>
      <c r="N31" t="str">
        <f>+Tabla26[[#This Row],[NºEqu]]&amp;":"&amp;Tabla26[[#This Row],[RKEquipo]]</f>
        <v>2:5</v>
      </c>
      <c r="Z31">
        <v>16</v>
      </c>
      <c r="AA31" t="s">
        <v>2450</v>
      </c>
    </row>
    <row r="32" spans="7:27">
      <c r="G32">
        <f>+_xlfn.XLOOKUP(Tabla26[[#This Row],[Jugador]],$Q$3:$Q$21,$S$3:$S$21,"",0)</f>
        <v>6</v>
      </c>
      <c r="H32" t="str">
        <f>+_xlfn.XLOOKUP(Tabla26[[#This Row],[NºEqu]],$G$2:$G$19,$H$2:$H$19,"",0)</f>
        <v>KOBRA KAI</v>
      </c>
      <c r="I32" t="s">
        <v>2583</v>
      </c>
      <c r="J32">
        <f>+_xlfn.XLOOKUP(Tabla26[[#This Row],[Jugador]],$Q$3:$Q$21,$U$3:$U$21,"",0)</f>
        <v>4</v>
      </c>
      <c r="K32">
        <v>6</v>
      </c>
      <c r="L32">
        <v>10.199999999999999</v>
      </c>
      <c r="M32" t="str">
        <f>+IF(Tabla26[[#This Row],[Equipo]]="","TR","ELEG")</f>
        <v>ELEG</v>
      </c>
      <c r="N32" t="str">
        <f>+Tabla26[[#This Row],[NºEqu]]&amp;":"&amp;Tabla26[[#This Row],[RKEquipo]]</f>
        <v>6:4</v>
      </c>
      <c r="Z32">
        <v>17</v>
      </c>
      <c r="AA32" t="s">
        <v>2437</v>
      </c>
    </row>
    <row r="33" spans="7:27">
      <c r="G33">
        <f>+_xlfn.XLOOKUP(Tabla26[[#This Row],[Jugador]],$Q$3:$Q$21,$S$3:$S$21,"",0)</f>
        <v>8</v>
      </c>
      <c r="H33" t="str">
        <f>+_xlfn.XLOOKUP(Tabla26[[#This Row],[NºEqu]],$G$2:$G$19,$H$2:$H$19,"",0)</f>
        <v>RED RHINO</v>
      </c>
      <c r="I33" t="s">
        <v>2584</v>
      </c>
      <c r="J33">
        <f>+_xlfn.XLOOKUP(Tabla26[[#This Row],[Jugador]],$Q$3:$Q$21,$U$3:$U$21,"",0)</f>
        <v>3</v>
      </c>
      <c r="K33">
        <v>6</v>
      </c>
      <c r="L33">
        <v>17.8</v>
      </c>
      <c r="M33" t="str">
        <f>+IF(Tabla26[[#This Row],[Equipo]]="","TR","ELEG")</f>
        <v>ELEG</v>
      </c>
      <c r="N33" t="str">
        <f>+Tabla26[[#This Row],[NºEqu]]&amp;":"&amp;Tabla26[[#This Row],[RKEquipo]]</f>
        <v>8:3</v>
      </c>
      <c r="Z33">
        <v>18</v>
      </c>
      <c r="AA33" t="s">
        <v>2524</v>
      </c>
    </row>
    <row r="34" spans="7:27">
      <c r="G34">
        <f>+_xlfn.XLOOKUP(Tabla26[[#This Row],[Jugador]],$Q$3:$Q$21,$S$3:$S$21,"",0)</f>
        <v>2</v>
      </c>
      <c r="H34" t="str">
        <f>+_xlfn.XLOOKUP(Tabla26[[#This Row],[NºEqu]],$G$2:$G$19,$H$2:$H$19,"",0)</f>
        <v>AVE FENIX</v>
      </c>
      <c r="I34" t="s">
        <v>2585</v>
      </c>
      <c r="J34">
        <f>+_xlfn.XLOOKUP(Tabla26[[#This Row],[Jugador]],$Q$3:$Q$21,$U$3:$U$21,"",0)</f>
        <v>3</v>
      </c>
      <c r="K34">
        <v>4</v>
      </c>
      <c r="L34">
        <v>1.2</v>
      </c>
      <c r="M34" t="str">
        <f>+IF(Tabla26[[#This Row],[Equipo]]="","TR","ELEG")</f>
        <v>ELEG</v>
      </c>
      <c r="N34" t="str">
        <f>+Tabla26[[#This Row],[NºEqu]]&amp;":"&amp;Tabla26[[#This Row],[RKEquipo]]</f>
        <v>2:3</v>
      </c>
      <c r="Z34" s="15">
        <v>19</v>
      </c>
      <c r="AA34" s="15" t="s">
        <v>2524</v>
      </c>
    </row>
    <row r="35" spans="7:27">
      <c r="G35">
        <f>+_xlfn.XLOOKUP(Tabla26[[#This Row],[Jugador]],$Q$3:$Q$21,$S$3:$S$21,"",0)</f>
        <v>4</v>
      </c>
      <c r="H35" t="str">
        <f>+_xlfn.XLOOKUP(Tabla26[[#This Row],[NºEqu]],$G$2:$G$19,$H$2:$H$19,"",0)</f>
        <v>CUATREROS GC</v>
      </c>
      <c r="I35" t="s">
        <v>191</v>
      </c>
      <c r="J35">
        <f>+_xlfn.XLOOKUP(Tabla26[[#This Row],[Jugador]],$Q$3:$Q$21,$U$3:$U$21,"",0)</f>
        <v>4</v>
      </c>
      <c r="K35">
        <v>4</v>
      </c>
      <c r="L35">
        <v>15.2</v>
      </c>
      <c r="M35" t="str">
        <f>+IF(Tabla26[[#This Row],[Equipo]]="","TR","ELEG")</f>
        <v>ELEG</v>
      </c>
      <c r="N35" t="str">
        <f>+Tabla26[[#This Row],[NºEqu]]&amp;":"&amp;Tabla26[[#This Row],[RKEquipo]]</f>
        <v>4:4</v>
      </c>
      <c r="Z35">
        <v>20</v>
      </c>
      <c r="AA35" t="s">
        <v>2437</v>
      </c>
    </row>
    <row r="36" spans="7:27">
      <c r="G36">
        <f>+_xlfn.XLOOKUP(Tabla26[[#This Row],[Jugador]],$Q$3:$Q$21,$S$3:$S$21,"",0)</f>
        <v>8</v>
      </c>
      <c r="H36" t="str">
        <f>+_xlfn.XLOOKUP(Tabla26[[#This Row],[NºEqu]],$G$2:$G$19,$H$2:$H$19,"",0)</f>
        <v>RED RHINO</v>
      </c>
      <c r="I36" t="s">
        <v>2562</v>
      </c>
      <c r="J36">
        <f>+_xlfn.XLOOKUP(Tabla26[[#This Row],[Jugador]],$Q$3:$Q$21,$U$3:$U$21,"",0)</f>
        <v>4</v>
      </c>
      <c r="L36">
        <v>20.2</v>
      </c>
      <c r="M36" t="str">
        <f>+IF(Tabla26[[#This Row],[Equipo]]="","TR","ELEG")</f>
        <v>ELEG</v>
      </c>
      <c r="N36" t="str">
        <f>+Tabla26[[#This Row],[NºEqu]]&amp;":"&amp;Tabla26[[#This Row],[RKEquipo]]</f>
        <v>8:4</v>
      </c>
      <c r="Z36">
        <v>21</v>
      </c>
      <c r="AA36" t="s">
        <v>2450</v>
      </c>
    </row>
    <row r="37" spans="7:27">
      <c r="G37">
        <f>+_xlfn.XLOOKUP(Tabla26[[#This Row],[Jugador]],$Q$3:$Q$21,$S$3:$S$21,"",0)</f>
        <v>9</v>
      </c>
      <c r="H37" t="str">
        <f>+_xlfn.XLOOKUP(Tabla26[[#This Row],[NºEqu]],$G$2:$G$19,$H$2:$H$19,"",0)</f>
        <v>THE ARCHERS</v>
      </c>
      <c r="I37" t="s">
        <v>268</v>
      </c>
      <c r="J37">
        <f>+_xlfn.XLOOKUP(Tabla26[[#This Row],[Jugador]],$Q$3:$Q$21,$U$3:$U$21,"",0)</f>
        <v>4</v>
      </c>
      <c r="L37">
        <v>16.399999999999999</v>
      </c>
      <c r="M37" t="str">
        <f>+IF(Tabla26[[#This Row],[Equipo]]="","TR","ELEG")</f>
        <v>ELEG</v>
      </c>
      <c r="N37" t="str">
        <f>+Tabla26[[#This Row],[NºEqu]]&amp;":"&amp;Tabla26[[#This Row],[RKEquipo]]</f>
        <v>9:4</v>
      </c>
      <c r="Z37">
        <v>22</v>
      </c>
      <c r="AA37" t="s">
        <v>2438</v>
      </c>
    </row>
    <row r="38" spans="7:27">
      <c r="G38">
        <f>+_xlfn.XLOOKUP(Tabla26[[#This Row],[Jugador]],$Q$3:$Q$21,$S$3:$S$21,"",0)</f>
        <v>4</v>
      </c>
      <c r="H38" t="str">
        <f>+_xlfn.XLOOKUP(Tabla26[[#This Row],[NºEqu]],$G$2:$G$19,$H$2:$H$19,"",0)</f>
        <v>CUATREROS GC</v>
      </c>
      <c r="I38" t="s">
        <v>2474</v>
      </c>
      <c r="J38">
        <f>+_xlfn.XLOOKUP(Tabla26[[#This Row],[Jugador]],$Q$3:$Q$21,$U$3:$U$21,"",0)</f>
        <v>3</v>
      </c>
      <c r="L38">
        <v>13.9</v>
      </c>
      <c r="M38" t="str">
        <f>+IF(Tabla26[[#This Row],[Equipo]]="","TR","ELEG")</f>
        <v>ELEG</v>
      </c>
      <c r="N38" t="str">
        <f>+Tabla26[[#This Row],[NºEqu]]&amp;":"&amp;Tabla26[[#This Row],[RKEquipo]]</f>
        <v>4:3</v>
      </c>
      <c r="Z38">
        <v>23</v>
      </c>
      <c r="AA38" t="s">
        <v>2547</v>
      </c>
    </row>
    <row r="39" spans="7:27">
      <c r="Z39">
        <v>24</v>
      </c>
      <c r="AA39" t="s">
        <v>2436</v>
      </c>
    </row>
    <row r="40" spans="7:27">
      <c r="Z40">
        <v>25</v>
      </c>
      <c r="AA40" t="s">
        <v>2442</v>
      </c>
    </row>
    <row r="41" spans="7:27">
      <c r="Z41">
        <v>26</v>
      </c>
      <c r="AA41" t="s">
        <v>2439</v>
      </c>
    </row>
    <row r="42" spans="7:27">
      <c r="Z42">
        <v>27</v>
      </c>
      <c r="AA42" t="s">
        <v>2441</v>
      </c>
    </row>
  </sheetData>
  <sortState xmlns:xlrd2="http://schemas.microsoft.com/office/spreadsheetml/2017/richdata2" ref="Q3:U21">
    <sortCondition ref="U3:U21"/>
  </sortState>
  <conditionalFormatting sqref="Q3:U21">
    <cfRule type="expression" dxfId="11" priority="5">
      <formula>$U3&lt;&gt;""</formula>
    </cfRule>
  </conditionalFormatting>
  <conditionalFormatting sqref="X3:AF11">
    <cfRule type="expression" dxfId="10" priority="4">
      <formula>$X3=$X$1</formula>
    </cfRule>
  </conditionalFormatting>
  <conditionalFormatting sqref="Y3:AF11">
    <cfRule type="expression" dxfId="9" priority="3">
      <formula>$Y3=$X$1</formula>
    </cfRule>
  </conditionalFormatting>
  <conditionalFormatting sqref="Z16:AA34">
    <cfRule type="expression" dxfId="8" priority="2">
      <formula>$Z16=$X$1</formula>
    </cfRule>
  </conditionalFormatting>
  <conditionalFormatting sqref="Z36:AA42">
    <cfRule type="expression" dxfId="7" priority="1">
      <formula>$Z36=$X$1</formula>
    </cfRule>
  </conditionalFormatting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BA997-4C96-A041-8DBD-B5DD03FEC247}">
  <dimension ref="A1:C9"/>
  <sheetViews>
    <sheetView workbookViewId="0">
      <selection activeCell="C6" sqref="C6"/>
    </sheetView>
  </sheetViews>
  <sheetFormatPr baseColWidth="10" defaultColWidth="10.75" defaultRowHeight="15.75"/>
  <cols>
    <col min="1" max="1" width="11" customWidth="1"/>
  </cols>
  <sheetData>
    <row r="1" spans="1:3">
      <c r="A1" t="s">
        <v>138</v>
      </c>
      <c r="B1" t="s">
        <v>88</v>
      </c>
      <c r="C1" t="s">
        <v>73</v>
      </c>
    </row>
    <row r="2" spans="1:3">
      <c r="A2">
        <v>2024</v>
      </c>
      <c r="B2">
        <v>1</v>
      </c>
      <c r="C2" t="s">
        <v>233</v>
      </c>
    </row>
    <row r="3" spans="1:3">
      <c r="A3">
        <v>2024</v>
      </c>
      <c r="B3">
        <v>2</v>
      </c>
      <c r="C3" t="s">
        <v>80</v>
      </c>
    </row>
    <row r="4" spans="1:3">
      <c r="A4">
        <v>2024</v>
      </c>
      <c r="B4">
        <v>3</v>
      </c>
      <c r="C4" t="s">
        <v>81</v>
      </c>
    </row>
    <row r="5" spans="1:3">
      <c r="A5">
        <v>2024</v>
      </c>
      <c r="B5">
        <v>4</v>
      </c>
      <c r="C5" t="s">
        <v>233</v>
      </c>
    </row>
    <row r="6" spans="1:3">
      <c r="A6">
        <v>2025</v>
      </c>
      <c r="B6">
        <v>1</v>
      </c>
      <c r="C6" t="s">
        <v>233</v>
      </c>
    </row>
    <row r="7" spans="1:3">
      <c r="A7">
        <v>2025</v>
      </c>
      <c r="B7">
        <v>2</v>
      </c>
      <c r="C7" t="s">
        <v>80</v>
      </c>
    </row>
    <row r="8" spans="1:3">
      <c r="A8">
        <v>2025</v>
      </c>
      <c r="B8">
        <v>3</v>
      </c>
      <c r="C8" t="s">
        <v>81</v>
      </c>
    </row>
    <row r="9" spans="1:3">
      <c r="A9">
        <v>2025</v>
      </c>
      <c r="B9">
        <v>4</v>
      </c>
      <c r="C9" t="s">
        <v>233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92D0F-6EAF-C844-AC74-24D2F6C5F4FA}">
  <dimension ref="A1:AC73"/>
  <sheetViews>
    <sheetView workbookViewId="0">
      <selection activeCell="B46" sqref="B46"/>
    </sheetView>
  </sheetViews>
  <sheetFormatPr baseColWidth="10" defaultColWidth="10.75" defaultRowHeight="15.75"/>
  <cols>
    <col min="1" max="1" width="12.25" bestFit="1" customWidth="1"/>
    <col min="2" max="2" width="5" bestFit="1" customWidth="1"/>
    <col min="3" max="3" width="5" customWidth="1"/>
    <col min="4" max="4" width="3.75" bestFit="1" customWidth="1"/>
    <col min="5" max="5" width="5.25" bestFit="1" customWidth="1"/>
    <col min="6" max="6" width="6.875" bestFit="1" customWidth="1"/>
    <col min="12" max="12" width="12.75" customWidth="1"/>
    <col min="13" max="13" width="8.375" customWidth="1"/>
    <col min="16" max="16" width="21.625" bestFit="1" customWidth="1"/>
    <col min="17" max="17" width="9.375" customWidth="1"/>
    <col min="21" max="21" width="4.25" bestFit="1" customWidth="1"/>
    <col min="22" max="22" width="16.5" bestFit="1" customWidth="1"/>
    <col min="23" max="28" width="3.25" customWidth="1"/>
    <col min="29" max="29" width="3.75" bestFit="1" customWidth="1"/>
    <col min="30" max="32" width="2.5" bestFit="1" customWidth="1"/>
    <col min="33" max="33" width="3.25" bestFit="1" customWidth="1"/>
    <col min="34" max="38" width="2.5" bestFit="1" customWidth="1"/>
  </cols>
  <sheetData>
    <row r="1" spans="1:29">
      <c r="A1" t="s">
        <v>138</v>
      </c>
      <c r="B1" t="s">
        <v>84</v>
      </c>
      <c r="C1" t="s">
        <v>89</v>
      </c>
      <c r="D1" t="s">
        <v>90</v>
      </c>
      <c r="E1" t="s">
        <v>91</v>
      </c>
      <c r="F1" t="s">
        <v>92</v>
      </c>
      <c r="L1" t="s">
        <v>321</v>
      </c>
      <c r="M1" t="s">
        <v>178</v>
      </c>
      <c r="N1" t="s">
        <v>334</v>
      </c>
      <c r="P1" t="s">
        <v>181</v>
      </c>
      <c r="Q1" t="s">
        <v>335</v>
      </c>
      <c r="R1" t="s">
        <v>338</v>
      </c>
      <c r="U1" s="58"/>
      <c r="V1" s="59" t="s">
        <v>139</v>
      </c>
      <c r="W1" s="59">
        <v>10</v>
      </c>
      <c r="X1" s="59">
        <v>11</v>
      </c>
      <c r="Y1" s="59">
        <v>12</v>
      </c>
      <c r="Z1" s="59">
        <v>13</v>
      </c>
      <c r="AA1" s="59">
        <v>14</v>
      </c>
      <c r="AB1" s="59">
        <v>15</v>
      </c>
      <c r="AC1" s="60"/>
    </row>
    <row r="2" spans="1:29" ht="16.5" thickBot="1">
      <c r="A2">
        <v>2024</v>
      </c>
      <c r="B2">
        <v>1</v>
      </c>
      <c r="C2">
        <v>0</v>
      </c>
      <c r="D2">
        <v>500</v>
      </c>
      <c r="E2">
        <v>600</v>
      </c>
      <c r="F2">
        <v>1800</v>
      </c>
      <c r="L2">
        <v>1</v>
      </c>
      <c r="M2">
        <v>-10</v>
      </c>
      <c r="N2">
        <f>+golpesTheFinal[[#This Row],[Golpes]]-$M$2</f>
        <v>0</v>
      </c>
      <c r="P2" t="s">
        <v>248</v>
      </c>
      <c r="Q2">
        <f>+golpesTheFinal[[#This Row],[vs Primero]]</f>
        <v>0</v>
      </c>
      <c r="R2">
        <f>+golpesTheFinal[[#This Row],[Golpes]]</f>
        <v>-10</v>
      </c>
      <c r="U2" s="63" t="s">
        <v>337</v>
      </c>
      <c r="V2" s="64" t="s">
        <v>317</v>
      </c>
      <c r="W2" s="64">
        <v>4</v>
      </c>
      <c r="X2" s="64">
        <v>3</v>
      </c>
      <c r="Y2" s="64">
        <v>5</v>
      </c>
      <c r="Z2" s="64">
        <v>3</v>
      </c>
      <c r="AA2" s="64">
        <v>4</v>
      </c>
      <c r="AB2" s="64">
        <v>4</v>
      </c>
      <c r="AC2" s="65" t="s">
        <v>336</v>
      </c>
    </row>
    <row r="3" spans="1:29">
      <c r="A3">
        <v>2024</v>
      </c>
      <c r="B3">
        <v>2</v>
      </c>
      <c r="C3">
        <v>0</v>
      </c>
      <c r="D3">
        <v>300</v>
      </c>
      <c r="E3">
        <v>330</v>
      </c>
      <c r="F3">
        <v>990</v>
      </c>
      <c r="H3">
        <f>+dPuntosTipoTorneo[[#This Row],[2]]-D2</f>
        <v>-200</v>
      </c>
      <c r="I3">
        <f>+dPuntosTipoTorneo[[#This Row],[3]]-E2</f>
        <v>-270</v>
      </c>
      <c r="L3">
        <v>2</v>
      </c>
      <c r="M3">
        <v>-8</v>
      </c>
      <c r="N3">
        <f>+golpesTheFinal[[#This Row],[Golpes]]-$M$2</f>
        <v>2</v>
      </c>
      <c r="P3" t="s">
        <v>9</v>
      </c>
      <c r="Q3">
        <f>+golpesTheFinal[[#This Row],[vs Primero]]</f>
        <v>2</v>
      </c>
      <c r="R3">
        <f>+golpesTheFinal[[#This Row],[Golpes]]</f>
        <v>-8</v>
      </c>
      <c r="U3" s="58">
        <f t="shared" ref="U3:U10" si="0">+M2</f>
        <v>-10</v>
      </c>
      <c r="V3" s="59" t="str">
        <f>+P2</f>
        <v>Enrique Gonzalez R</v>
      </c>
      <c r="W3" s="59">
        <f>+IF(W$2=4,-2,IF(W$2=5,-3,-1))</f>
        <v>-2</v>
      </c>
      <c r="X3" s="59">
        <f t="shared" ref="X3:AA5" si="1">+IF(X$2=4,-2,IF(X$2=5,-3,-1))</f>
        <v>-1</v>
      </c>
      <c r="Y3" s="59">
        <f t="shared" si="1"/>
        <v>-3</v>
      </c>
      <c r="Z3" s="59">
        <f t="shared" si="1"/>
        <v>-1</v>
      </c>
      <c r="AA3" s="59">
        <f t="shared" si="1"/>
        <v>-2</v>
      </c>
      <c r="AB3" s="59">
        <v>-1</v>
      </c>
      <c r="AC3" s="60">
        <f>+SUM(W3:AB3)</f>
        <v>-10</v>
      </c>
    </row>
    <row r="4" spans="1:29">
      <c r="A4">
        <v>2024</v>
      </c>
      <c r="B4">
        <v>3</v>
      </c>
      <c r="C4">
        <v>0</v>
      </c>
      <c r="D4">
        <v>190</v>
      </c>
      <c r="E4">
        <v>210</v>
      </c>
      <c r="F4">
        <v>630</v>
      </c>
      <c r="H4">
        <f>+dPuntosTipoTorneo[[#This Row],[2]]-D3</f>
        <v>-110</v>
      </c>
      <c r="I4">
        <f>+dPuntosTipoTorneo[[#This Row],[3]]-E3</f>
        <v>-120</v>
      </c>
      <c r="L4">
        <v>3</v>
      </c>
      <c r="M4">
        <v>-6</v>
      </c>
      <c r="N4">
        <f>+golpesTheFinal[[#This Row],[Golpes]]-$M$2</f>
        <v>4</v>
      </c>
      <c r="P4" t="s">
        <v>46</v>
      </c>
      <c r="Q4">
        <f>+golpesTheFinal[[#This Row],[vs Primero]]</f>
        <v>4</v>
      </c>
      <c r="R4">
        <f>+golpesTheFinal[[#This Row],[Golpes]]</f>
        <v>-6</v>
      </c>
      <c r="U4" s="61">
        <f t="shared" si="0"/>
        <v>-8</v>
      </c>
      <c r="V4" t="str">
        <f t="shared" ref="V4:V10" si="2">+P3</f>
        <v>Alfonso Hidalgo</v>
      </c>
      <c r="W4">
        <f t="shared" ref="W4:W9" si="3">+IF(W$2=4,-2,IF(W$2=5,-3,-1))</f>
        <v>-2</v>
      </c>
      <c r="X4">
        <f t="shared" si="1"/>
        <v>-1</v>
      </c>
      <c r="Y4">
        <f t="shared" si="1"/>
        <v>-3</v>
      </c>
      <c r="Z4">
        <v>-1</v>
      </c>
      <c r="AA4">
        <v>-1</v>
      </c>
      <c r="AC4" s="62">
        <f t="shared" ref="AC4:AC10" si="4">+SUM(W4:AA4)</f>
        <v>-8</v>
      </c>
    </row>
    <row r="5" spans="1:29">
      <c r="A5">
        <v>2024</v>
      </c>
      <c r="B5">
        <v>4</v>
      </c>
      <c r="C5">
        <v>0</v>
      </c>
      <c r="D5">
        <v>135</v>
      </c>
      <c r="E5">
        <v>150</v>
      </c>
      <c r="F5">
        <v>450</v>
      </c>
      <c r="H5">
        <f>+dPuntosTipoTorneo[[#This Row],[2]]-D4</f>
        <v>-55</v>
      </c>
      <c r="I5">
        <f>+dPuntosTipoTorneo[[#This Row],[3]]-E4</f>
        <v>-60</v>
      </c>
      <c r="L5">
        <v>4</v>
      </c>
      <c r="M5">
        <v>-5</v>
      </c>
      <c r="N5">
        <f>+golpesTheFinal[[#This Row],[Golpes]]-$M$2</f>
        <v>5</v>
      </c>
      <c r="P5" t="s">
        <v>30</v>
      </c>
      <c r="Q5">
        <f>+golpesTheFinal[[#This Row],[vs Primero]]</f>
        <v>5</v>
      </c>
      <c r="R5">
        <f>+golpesTheFinal[[#This Row],[Golpes]]</f>
        <v>-5</v>
      </c>
      <c r="U5" s="61">
        <f t="shared" si="0"/>
        <v>-6</v>
      </c>
      <c r="V5" t="str">
        <f t="shared" si="2"/>
        <v>Javier Cervera</v>
      </c>
      <c r="W5">
        <f t="shared" si="3"/>
        <v>-2</v>
      </c>
      <c r="X5">
        <f t="shared" si="1"/>
        <v>-1</v>
      </c>
      <c r="Y5">
        <v>-3</v>
      </c>
      <c r="AC5" s="62">
        <f t="shared" si="4"/>
        <v>-6</v>
      </c>
    </row>
    <row r="6" spans="1:29" ht="16.5" thickBot="1">
      <c r="A6">
        <v>2024</v>
      </c>
      <c r="B6">
        <v>5</v>
      </c>
      <c r="C6">
        <v>0</v>
      </c>
      <c r="D6">
        <v>110</v>
      </c>
      <c r="E6">
        <v>120</v>
      </c>
      <c r="F6">
        <v>360</v>
      </c>
      <c r="H6">
        <f>+dPuntosTipoTorneo[[#This Row],[2]]-D5</f>
        <v>-25</v>
      </c>
      <c r="I6">
        <f>+dPuntosTipoTorneo[[#This Row],[3]]-E5</f>
        <v>-30</v>
      </c>
      <c r="L6">
        <v>5</v>
      </c>
      <c r="M6">
        <v>-4</v>
      </c>
      <c r="N6">
        <f>+golpesTheFinal[[#This Row],[Golpes]]-$M$2</f>
        <v>6</v>
      </c>
      <c r="P6" t="s">
        <v>15</v>
      </c>
      <c r="Q6">
        <f>+golpesTheFinal[[#This Row],[vs Primero]]</f>
        <v>6</v>
      </c>
      <c r="R6">
        <f>+golpesTheFinal[[#This Row],[Golpes]]</f>
        <v>-4</v>
      </c>
      <c r="U6" s="63">
        <f t="shared" si="0"/>
        <v>-5</v>
      </c>
      <c r="V6" s="64" t="str">
        <f t="shared" si="2"/>
        <v>David Sequera</v>
      </c>
      <c r="W6" s="64">
        <f t="shared" si="3"/>
        <v>-2</v>
      </c>
      <c r="X6" s="64">
        <f>+IF(X$2=4,-2,IF(X$2=5,-3,-1))</f>
        <v>-1</v>
      </c>
      <c r="Y6" s="64">
        <v>-2</v>
      </c>
      <c r="Z6" s="64"/>
      <c r="AA6" s="64"/>
      <c r="AB6" s="64"/>
      <c r="AC6" s="65">
        <f t="shared" si="4"/>
        <v>-5</v>
      </c>
    </row>
    <row r="7" spans="1:29">
      <c r="A7">
        <v>2024</v>
      </c>
      <c r="B7">
        <v>6</v>
      </c>
      <c r="C7">
        <v>0</v>
      </c>
      <c r="D7">
        <v>100</v>
      </c>
      <c r="E7">
        <v>110</v>
      </c>
      <c r="F7">
        <v>330.01</v>
      </c>
      <c r="H7">
        <f>+dPuntosTipoTorneo[[#This Row],[2]]-D6</f>
        <v>-10</v>
      </c>
      <c r="I7">
        <f>+dPuntosTipoTorneo[[#This Row],[3]]-E6</f>
        <v>-10</v>
      </c>
      <c r="L7">
        <v>6</v>
      </c>
      <c r="M7">
        <v>-3</v>
      </c>
      <c r="N7">
        <f>+golpesTheFinal[[#This Row],[Golpes]]-$M$2</f>
        <v>7</v>
      </c>
      <c r="P7" t="s">
        <v>225</v>
      </c>
      <c r="Q7">
        <f>+golpesTheFinal[[#This Row],[vs Primero]]</f>
        <v>7</v>
      </c>
      <c r="R7">
        <f>+golpesTheFinal[[#This Row],[Golpes]]</f>
        <v>-3</v>
      </c>
      <c r="U7" s="58">
        <f t="shared" si="0"/>
        <v>-4</v>
      </c>
      <c r="V7" s="59" t="str">
        <f t="shared" si="2"/>
        <v>Alvaro Aguirre</v>
      </c>
      <c r="W7" s="59">
        <f t="shared" si="3"/>
        <v>-2</v>
      </c>
      <c r="X7" s="59">
        <v>-1</v>
      </c>
      <c r="Y7" s="59">
        <v>-1</v>
      </c>
      <c r="Z7" s="59"/>
      <c r="AA7" s="59"/>
      <c r="AB7" s="59"/>
      <c r="AC7" s="60">
        <f t="shared" si="4"/>
        <v>-4</v>
      </c>
    </row>
    <row r="8" spans="1:29">
      <c r="A8">
        <v>2024</v>
      </c>
      <c r="B8">
        <v>7</v>
      </c>
      <c r="C8">
        <v>0</v>
      </c>
      <c r="D8">
        <v>90</v>
      </c>
      <c r="E8">
        <v>100</v>
      </c>
      <c r="F8">
        <v>300.01</v>
      </c>
      <c r="H8">
        <f>+dPuntosTipoTorneo[[#This Row],[2]]-D7</f>
        <v>-10</v>
      </c>
      <c r="I8">
        <f>+dPuntosTipoTorneo[[#This Row],[3]]-E7</f>
        <v>-10</v>
      </c>
      <c r="L8">
        <v>7</v>
      </c>
      <c r="M8">
        <v>-2</v>
      </c>
      <c r="N8">
        <f>+golpesTheFinal[[#This Row],[Golpes]]-$M$2</f>
        <v>8</v>
      </c>
      <c r="P8" t="s">
        <v>33</v>
      </c>
      <c r="Q8">
        <f>+golpesTheFinal[[#This Row],[vs Primero]]</f>
        <v>8</v>
      </c>
      <c r="R8">
        <f>+golpesTheFinal[[#This Row],[Golpes]]</f>
        <v>-2</v>
      </c>
      <c r="U8" s="61">
        <f t="shared" si="0"/>
        <v>-3</v>
      </c>
      <c r="V8" t="str">
        <f t="shared" si="2"/>
        <v>Javier Chiralt</v>
      </c>
      <c r="W8">
        <f t="shared" si="3"/>
        <v>-2</v>
      </c>
      <c r="X8">
        <v>-1</v>
      </c>
      <c r="AC8" s="62">
        <f t="shared" si="4"/>
        <v>-3</v>
      </c>
    </row>
    <row r="9" spans="1:29">
      <c r="A9">
        <v>2024</v>
      </c>
      <c r="B9">
        <v>8</v>
      </c>
      <c r="C9">
        <v>0</v>
      </c>
      <c r="D9">
        <v>85</v>
      </c>
      <c r="E9">
        <v>94</v>
      </c>
      <c r="F9">
        <v>282</v>
      </c>
      <c r="H9">
        <f>+dPuntosTipoTorneo[[#This Row],[2]]-D8</f>
        <v>-5</v>
      </c>
      <c r="I9">
        <f>+dPuntosTipoTorneo[[#This Row],[3]]-E8</f>
        <v>-6</v>
      </c>
      <c r="L9">
        <v>8</v>
      </c>
      <c r="M9">
        <v>-1</v>
      </c>
      <c r="N9">
        <f>+golpesTheFinal[[#This Row],[Golpes]]-$M$2</f>
        <v>9</v>
      </c>
      <c r="P9" t="s">
        <v>3</v>
      </c>
      <c r="Q9">
        <f>+golpesTheFinal[[#This Row],[vs Primero]]</f>
        <v>9</v>
      </c>
      <c r="R9">
        <f>+golpesTheFinal[[#This Row],[Golpes]]</f>
        <v>-1</v>
      </c>
      <c r="U9" s="61">
        <f t="shared" si="0"/>
        <v>-2</v>
      </c>
      <c r="V9" t="str">
        <f t="shared" si="2"/>
        <v>Angel Hernandez</v>
      </c>
      <c r="W9">
        <f t="shared" si="3"/>
        <v>-2</v>
      </c>
      <c r="AC9" s="62">
        <f t="shared" si="4"/>
        <v>-2</v>
      </c>
    </row>
    <row r="10" spans="1:29" ht="16.5" thickBot="1">
      <c r="A10">
        <v>2024</v>
      </c>
      <c r="B10">
        <v>9</v>
      </c>
      <c r="C10">
        <v>0</v>
      </c>
      <c r="D10">
        <v>80</v>
      </c>
      <c r="E10">
        <v>88</v>
      </c>
      <c r="F10">
        <v>264</v>
      </c>
      <c r="H10">
        <f>+dPuntosTipoTorneo[[#This Row],[2]]-D9</f>
        <v>-5</v>
      </c>
      <c r="I10">
        <f>+dPuntosTipoTorneo[[#This Row],[3]]-E9</f>
        <v>-6</v>
      </c>
      <c r="L10">
        <v>9</v>
      </c>
      <c r="M10">
        <v>0</v>
      </c>
      <c r="N10">
        <f>+golpesTheFinal[[#This Row],[Golpes]]-$M$2</f>
        <v>10</v>
      </c>
      <c r="P10" t="s">
        <v>49</v>
      </c>
      <c r="Q10">
        <f>+golpesTheFinal[[#This Row],[vs Primero]]</f>
        <v>10</v>
      </c>
      <c r="R10">
        <f>+golpesTheFinal[[#This Row],[Golpes]]</f>
        <v>0</v>
      </c>
      <c r="U10" s="63">
        <f t="shared" si="0"/>
        <v>-1</v>
      </c>
      <c r="V10" s="64" t="str">
        <f t="shared" si="2"/>
        <v>Nacho Gonzalez</v>
      </c>
      <c r="W10" s="64">
        <v>-1</v>
      </c>
      <c r="X10" s="64"/>
      <c r="Y10" s="64"/>
      <c r="Z10" s="64"/>
      <c r="AA10" s="64"/>
      <c r="AB10" s="64"/>
      <c r="AC10" s="65">
        <f t="shared" si="4"/>
        <v>-1</v>
      </c>
    </row>
    <row r="11" spans="1:29">
      <c r="A11">
        <v>2024</v>
      </c>
      <c r="B11">
        <v>10</v>
      </c>
      <c r="C11">
        <v>0</v>
      </c>
      <c r="D11">
        <v>75</v>
      </c>
      <c r="E11">
        <v>82</v>
      </c>
      <c r="F11">
        <v>246</v>
      </c>
      <c r="H11">
        <f>+dPuntosTipoTorneo[[#This Row],[2]]-D10</f>
        <v>-5</v>
      </c>
      <c r="I11">
        <f>+dPuntosTipoTorneo[[#This Row],[3]]-E10</f>
        <v>-6</v>
      </c>
      <c r="L11">
        <v>10</v>
      </c>
      <c r="M11">
        <v>0</v>
      </c>
      <c r="N11">
        <f>+golpesTheFinal[[#This Row],[Golpes]]-$M$2</f>
        <v>10</v>
      </c>
      <c r="P11" t="s">
        <v>12</v>
      </c>
      <c r="Q11">
        <f>+golpesTheFinal[[#This Row],[vs Primero]]</f>
        <v>10</v>
      </c>
      <c r="R11">
        <f>+golpesTheFinal[[#This Row],[Golpes]]</f>
        <v>0</v>
      </c>
    </row>
    <row r="12" spans="1:29">
      <c r="A12">
        <v>2024</v>
      </c>
      <c r="B12">
        <v>11</v>
      </c>
      <c r="C12">
        <v>0</v>
      </c>
      <c r="D12">
        <v>70</v>
      </c>
      <c r="E12">
        <v>77</v>
      </c>
      <c r="F12">
        <v>231</v>
      </c>
      <c r="H12">
        <f>+dPuntosTipoTorneo[[#This Row],[2]]-D11</f>
        <v>-5</v>
      </c>
      <c r="I12">
        <f>+dPuntosTipoTorneo[[#This Row],[3]]-E11</f>
        <v>-5</v>
      </c>
      <c r="L12">
        <v>11</v>
      </c>
      <c r="M12">
        <v>0</v>
      </c>
      <c r="N12">
        <f>+golpesTheFinal[[#This Row],[Golpes]]-$M$2</f>
        <v>10</v>
      </c>
      <c r="P12" t="s">
        <v>205</v>
      </c>
      <c r="Q12">
        <f>+golpesTheFinal[[#This Row],[vs Primero]]</f>
        <v>10</v>
      </c>
      <c r="R12">
        <f>+golpesTheFinal[[#This Row],[Golpes]]</f>
        <v>0</v>
      </c>
    </row>
    <row r="13" spans="1:29">
      <c r="A13">
        <v>2024</v>
      </c>
      <c r="B13">
        <v>12</v>
      </c>
      <c r="C13">
        <v>0</v>
      </c>
      <c r="D13">
        <v>65</v>
      </c>
      <c r="E13">
        <v>72</v>
      </c>
      <c r="F13">
        <v>216</v>
      </c>
      <c r="H13">
        <f>+dPuntosTipoTorneo[[#This Row],[2]]-D12</f>
        <v>-5</v>
      </c>
      <c r="I13">
        <f>+dPuntosTipoTorneo[[#This Row],[3]]-E12</f>
        <v>-5</v>
      </c>
      <c r="L13">
        <v>12</v>
      </c>
      <c r="M13">
        <v>0</v>
      </c>
      <c r="N13">
        <f>+golpesTheFinal[[#This Row],[Golpes]]-$M$2</f>
        <v>10</v>
      </c>
      <c r="P13" t="s">
        <v>6</v>
      </c>
      <c r="Q13">
        <f>+golpesTheFinal[[#This Row],[vs Primero]]</f>
        <v>10</v>
      </c>
      <c r="R13">
        <f>+golpesTheFinal[[#This Row],[Golpes]]</f>
        <v>0</v>
      </c>
    </row>
    <row r="14" spans="1:29">
      <c r="A14">
        <v>2024</v>
      </c>
      <c r="B14">
        <v>13</v>
      </c>
      <c r="C14">
        <v>0</v>
      </c>
      <c r="D14">
        <v>60</v>
      </c>
      <c r="E14">
        <v>68</v>
      </c>
      <c r="F14">
        <v>204</v>
      </c>
      <c r="H14">
        <f>+dPuntosTipoTorneo[[#This Row],[2]]-D13</f>
        <v>-5</v>
      </c>
      <c r="I14">
        <f>+dPuntosTipoTorneo[[#This Row],[3]]-E13</f>
        <v>-4</v>
      </c>
      <c r="L14">
        <v>13</v>
      </c>
      <c r="M14">
        <v>0</v>
      </c>
      <c r="N14">
        <f>+golpesTheFinal[[#This Row],[Golpes]]-$M$2</f>
        <v>10</v>
      </c>
      <c r="P14" t="s">
        <v>23</v>
      </c>
      <c r="Q14">
        <f>+golpesTheFinal[[#This Row],[vs Primero]]</f>
        <v>10</v>
      </c>
      <c r="R14">
        <f>+golpesTheFinal[[#This Row],[Golpes]]</f>
        <v>0</v>
      </c>
    </row>
    <row r="15" spans="1:29">
      <c r="A15">
        <v>2024</v>
      </c>
      <c r="B15">
        <v>14</v>
      </c>
      <c r="C15">
        <v>0</v>
      </c>
      <c r="D15">
        <v>57</v>
      </c>
      <c r="E15">
        <v>64</v>
      </c>
      <c r="F15">
        <v>192</v>
      </c>
      <c r="H15">
        <f>+dPuntosTipoTorneo[[#This Row],[2]]-D14</f>
        <v>-3</v>
      </c>
      <c r="I15">
        <f>+dPuntosTipoTorneo[[#This Row],[3]]-E14</f>
        <v>-4</v>
      </c>
      <c r="L15">
        <v>14</v>
      </c>
      <c r="M15">
        <v>0</v>
      </c>
      <c r="N15">
        <f>+golpesTheFinal[[#This Row],[Golpes]]-$M$2</f>
        <v>10</v>
      </c>
      <c r="P15" t="s">
        <v>41</v>
      </c>
      <c r="Q15">
        <f>+golpesTheFinal[[#This Row],[vs Primero]]</f>
        <v>10</v>
      </c>
      <c r="R15">
        <f>+golpesTheFinal[[#This Row],[Golpes]]</f>
        <v>0</v>
      </c>
    </row>
    <row r="16" spans="1:29">
      <c r="A16">
        <v>2024</v>
      </c>
      <c r="B16">
        <v>15</v>
      </c>
      <c r="C16">
        <v>0</v>
      </c>
      <c r="D16">
        <v>55</v>
      </c>
      <c r="E16">
        <v>61</v>
      </c>
      <c r="F16">
        <v>183</v>
      </c>
      <c r="H16">
        <f>+dPuntosTipoTorneo[[#This Row],[2]]-D15</f>
        <v>-2</v>
      </c>
      <c r="I16">
        <f>+dPuntosTipoTorneo[[#This Row],[3]]-E15</f>
        <v>-3</v>
      </c>
      <c r="L16">
        <v>15</v>
      </c>
      <c r="M16">
        <v>0</v>
      </c>
      <c r="N16">
        <f>+golpesTheFinal[[#This Row],[Golpes]]-$M$2</f>
        <v>10</v>
      </c>
      <c r="P16" t="s">
        <v>203</v>
      </c>
      <c r="Q16">
        <f>+golpesTheFinal[[#This Row],[vs Primero]]</f>
        <v>10</v>
      </c>
      <c r="R16">
        <f>+golpesTheFinal[[#This Row],[Golpes]]</f>
        <v>0</v>
      </c>
    </row>
    <row r="17" spans="1:18">
      <c r="A17">
        <v>2024</v>
      </c>
      <c r="B17">
        <v>16</v>
      </c>
      <c r="C17">
        <v>0</v>
      </c>
      <c r="D17">
        <v>53</v>
      </c>
      <c r="E17">
        <v>59</v>
      </c>
      <c r="F17">
        <v>177</v>
      </c>
      <c r="H17">
        <f>+dPuntosTipoTorneo[[#This Row],[2]]-D16</f>
        <v>-2</v>
      </c>
      <c r="I17">
        <f>+dPuntosTipoTorneo[[#This Row],[3]]-E16</f>
        <v>-2</v>
      </c>
      <c r="L17">
        <v>16</v>
      </c>
      <c r="M17">
        <v>0</v>
      </c>
      <c r="N17">
        <f>+golpesTheFinal[[#This Row],[Golpes]]-$M$2</f>
        <v>10</v>
      </c>
      <c r="P17" t="s">
        <v>20</v>
      </c>
      <c r="Q17">
        <f>+golpesTheFinal[[#This Row],[vs Primero]]</f>
        <v>10</v>
      </c>
      <c r="R17">
        <f>+golpesTheFinal[[#This Row],[Golpes]]</f>
        <v>0</v>
      </c>
    </row>
    <row r="18" spans="1:18">
      <c r="A18">
        <v>2024</v>
      </c>
      <c r="B18">
        <v>17</v>
      </c>
      <c r="C18">
        <v>0</v>
      </c>
      <c r="D18">
        <v>51</v>
      </c>
      <c r="E18">
        <v>57</v>
      </c>
      <c r="F18">
        <v>171</v>
      </c>
      <c r="H18">
        <f>+dPuntosTipoTorneo[[#This Row],[2]]-D17</f>
        <v>-2</v>
      </c>
      <c r="I18">
        <f>+dPuntosTipoTorneo[[#This Row],[3]]-E17</f>
        <v>-2</v>
      </c>
      <c r="L18">
        <v>17</v>
      </c>
      <c r="M18">
        <v>0</v>
      </c>
      <c r="N18">
        <f>+golpesTheFinal[[#This Row],[Golpes]]-$M$2</f>
        <v>10</v>
      </c>
      <c r="P18" t="s">
        <v>201</v>
      </c>
      <c r="Q18">
        <f>+golpesTheFinal[[#This Row],[vs Primero]]</f>
        <v>10</v>
      </c>
      <c r="R18">
        <f>+golpesTheFinal[[#This Row],[Golpes]]</f>
        <v>0</v>
      </c>
    </row>
    <row r="19" spans="1:18">
      <c r="A19">
        <v>2024</v>
      </c>
      <c r="B19">
        <v>18</v>
      </c>
      <c r="C19">
        <v>0</v>
      </c>
      <c r="D19">
        <v>49</v>
      </c>
      <c r="E19">
        <v>55</v>
      </c>
      <c r="F19">
        <v>165</v>
      </c>
      <c r="H19">
        <f>+dPuntosTipoTorneo[[#This Row],[2]]-D18</f>
        <v>-2</v>
      </c>
      <c r="I19">
        <f>+dPuntosTipoTorneo[[#This Row],[3]]-E18</f>
        <v>-2</v>
      </c>
      <c r="L19">
        <v>18</v>
      </c>
      <c r="M19">
        <v>0</v>
      </c>
      <c r="N19">
        <f>+golpesTheFinal[[#This Row],[Golpes]]-$M$2</f>
        <v>10</v>
      </c>
      <c r="P19" t="s">
        <v>35</v>
      </c>
      <c r="Q19">
        <f>+golpesTheFinal[[#This Row],[vs Primero]]</f>
        <v>10</v>
      </c>
      <c r="R19">
        <f>+golpesTheFinal[[#This Row],[Golpes]]</f>
        <v>0</v>
      </c>
    </row>
    <row r="20" spans="1:18">
      <c r="A20">
        <v>2024</v>
      </c>
      <c r="B20">
        <v>19</v>
      </c>
      <c r="C20">
        <v>0</v>
      </c>
      <c r="D20">
        <v>47</v>
      </c>
      <c r="E20">
        <v>53</v>
      </c>
      <c r="F20">
        <v>159</v>
      </c>
      <c r="H20">
        <f>+dPuntosTipoTorneo[[#This Row],[2]]-D19</f>
        <v>-2</v>
      </c>
      <c r="I20">
        <f>+dPuntosTipoTorneo[[#This Row],[3]]-E19</f>
        <v>-2</v>
      </c>
      <c r="L20">
        <v>19</v>
      </c>
      <c r="M20">
        <v>0</v>
      </c>
      <c r="N20">
        <f>+golpesTheFinal[[#This Row],[Golpes]]-$M$2</f>
        <v>10</v>
      </c>
      <c r="P20" t="s">
        <v>135</v>
      </c>
      <c r="Q20">
        <f>+golpesTheFinal[[#This Row],[vs Primero]]</f>
        <v>10</v>
      </c>
      <c r="R20">
        <f>+golpesTheFinal[[#This Row],[Golpes]]</f>
        <v>0</v>
      </c>
    </row>
    <row r="21" spans="1:18">
      <c r="A21">
        <v>2024</v>
      </c>
      <c r="B21">
        <v>20</v>
      </c>
      <c r="C21">
        <v>0</v>
      </c>
      <c r="D21">
        <v>45</v>
      </c>
      <c r="E21">
        <v>51</v>
      </c>
      <c r="F21">
        <v>153</v>
      </c>
      <c r="H21">
        <f>+dPuntosTipoTorneo[[#This Row],[2]]-D20</f>
        <v>-2</v>
      </c>
      <c r="I21">
        <f>+dPuntosTipoTorneo[[#This Row],[3]]-E20</f>
        <v>-2</v>
      </c>
      <c r="L21">
        <v>20</v>
      </c>
      <c r="M21">
        <v>0</v>
      </c>
      <c r="N21">
        <f>+golpesTheFinal[[#This Row],[Golpes]]-$M$2</f>
        <v>10</v>
      </c>
      <c r="P21" t="s">
        <v>18</v>
      </c>
      <c r="Q21">
        <f>+golpesTheFinal[[#This Row],[vs Primero]]</f>
        <v>10</v>
      </c>
      <c r="R21">
        <f>+golpesTheFinal[[#This Row],[Golpes]]</f>
        <v>0</v>
      </c>
    </row>
    <row r="22" spans="1:18">
      <c r="A22">
        <v>2024</v>
      </c>
      <c r="B22">
        <v>21</v>
      </c>
      <c r="C22">
        <v>0</v>
      </c>
      <c r="D22">
        <v>44</v>
      </c>
      <c r="E22">
        <v>50</v>
      </c>
      <c r="F22">
        <v>150</v>
      </c>
      <c r="H22">
        <f>+dPuntosTipoTorneo[[#This Row],[2]]-D21</f>
        <v>-1</v>
      </c>
      <c r="I22">
        <f>+dPuntosTipoTorneo[[#This Row],[3]]-E21</f>
        <v>-1</v>
      </c>
      <c r="L22">
        <v>21</v>
      </c>
      <c r="M22">
        <v>0</v>
      </c>
      <c r="N22">
        <f>+golpesTheFinal[[#This Row],[Golpes]]-$M$2</f>
        <v>10</v>
      </c>
      <c r="P22" t="s">
        <v>25</v>
      </c>
      <c r="Q22">
        <f>+golpesTheFinal[[#This Row],[vs Primero]]</f>
        <v>10</v>
      </c>
      <c r="R22">
        <f>+golpesTheFinal[[#This Row],[Golpes]]</f>
        <v>0</v>
      </c>
    </row>
    <row r="23" spans="1:18">
      <c r="A23">
        <v>2024</v>
      </c>
      <c r="B23">
        <v>22</v>
      </c>
      <c r="C23">
        <v>0</v>
      </c>
      <c r="D23">
        <v>43</v>
      </c>
      <c r="E23">
        <v>49</v>
      </c>
      <c r="F23">
        <v>147</v>
      </c>
      <c r="H23">
        <f>+dPuntosTipoTorneo[[#This Row],[2]]-D22</f>
        <v>-1</v>
      </c>
      <c r="I23">
        <f>+dPuntosTipoTorneo[[#This Row],[3]]-E22</f>
        <v>-1</v>
      </c>
      <c r="L23">
        <v>22</v>
      </c>
      <c r="M23">
        <v>0</v>
      </c>
      <c r="N23">
        <f>+golpesTheFinal[[#This Row],[Golpes]]-$M$2</f>
        <v>10</v>
      </c>
      <c r="P23" t="s">
        <v>217</v>
      </c>
      <c r="Q23">
        <f>+golpesTheFinal[[#This Row],[vs Primero]]</f>
        <v>10</v>
      </c>
      <c r="R23">
        <f>+golpesTheFinal[[#This Row],[Golpes]]</f>
        <v>0</v>
      </c>
    </row>
    <row r="24" spans="1:18">
      <c r="A24">
        <v>2024</v>
      </c>
      <c r="B24">
        <v>23</v>
      </c>
      <c r="C24">
        <v>0</v>
      </c>
      <c r="D24">
        <v>42</v>
      </c>
      <c r="E24">
        <v>48</v>
      </c>
      <c r="F24">
        <v>144</v>
      </c>
      <c r="H24">
        <f>+dPuntosTipoTorneo[[#This Row],[2]]-D23</f>
        <v>-1</v>
      </c>
      <c r="I24">
        <f>+dPuntosTipoTorneo[[#This Row],[3]]-E23</f>
        <v>-1</v>
      </c>
      <c r="L24">
        <v>23</v>
      </c>
      <c r="M24">
        <v>0</v>
      </c>
      <c r="N24">
        <f>+golpesTheFinal[[#This Row],[Golpes]]-$M$2</f>
        <v>10</v>
      </c>
      <c r="P24" t="s">
        <v>207</v>
      </c>
      <c r="Q24">
        <f>+golpesTheFinal[[#This Row],[vs Primero]]</f>
        <v>10</v>
      </c>
      <c r="R24">
        <f>+golpesTheFinal[[#This Row],[Golpes]]</f>
        <v>0</v>
      </c>
    </row>
    <row r="25" spans="1:18">
      <c r="A25">
        <v>2024</v>
      </c>
      <c r="B25">
        <v>24</v>
      </c>
      <c r="C25">
        <v>0</v>
      </c>
      <c r="D25">
        <v>41</v>
      </c>
      <c r="E25">
        <v>47</v>
      </c>
      <c r="F25">
        <v>141</v>
      </c>
      <c r="H25">
        <f>+dPuntosTipoTorneo[[#This Row],[2]]-D24</f>
        <v>-1</v>
      </c>
      <c r="I25">
        <f>+dPuntosTipoTorneo[[#This Row],[3]]-E24</f>
        <v>-1</v>
      </c>
      <c r="L25">
        <v>24</v>
      </c>
      <c r="M25">
        <v>0</v>
      </c>
      <c r="N25">
        <f>+golpesTheFinal[[#This Row],[Golpes]]-$M$2</f>
        <v>10</v>
      </c>
    </row>
    <row r="26" spans="1:18">
      <c r="A26">
        <v>2024</v>
      </c>
      <c r="B26">
        <v>25</v>
      </c>
      <c r="C26">
        <v>0</v>
      </c>
      <c r="D26">
        <v>40</v>
      </c>
      <c r="E26">
        <v>46</v>
      </c>
      <c r="F26">
        <v>138</v>
      </c>
      <c r="H26">
        <f>+dPuntosTipoTorneo[[#This Row],[2]]-D25</f>
        <v>-1</v>
      </c>
      <c r="I26">
        <f>+dPuntosTipoTorneo[[#This Row],[3]]-E25</f>
        <v>-1</v>
      </c>
      <c r="L26">
        <v>25</v>
      </c>
      <c r="M26">
        <v>0</v>
      </c>
      <c r="N26">
        <f>+golpesTheFinal[[#This Row],[Golpes]]-$M$2</f>
        <v>10</v>
      </c>
    </row>
    <row r="27" spans="1:18">
      <c r="A27">
        <v>2024</v>
      </c>
      <c r="B27">
        <v>26</v>
      </c>
      <c r="C27">
        <v>0</v>
      </c>
      <c r="D27">
        <v>39</v>
      </c>
      <c r="E27">
        <v>45</v>
      </c>
      <c r="F27">
        <v>135</v>
      </c>
    </row>
    <row r="28" spans="1:18">
      <c r="A28">
        <v>2024</v>
      </c>
      <c r="B28">
        <v>27</v>
      </c>
      <c r="C28">
        <v>0</v>
      </c>
      <c r="D28">
        <v>38</v>
      </c>
      <c r="E28">
        <v>44</v>
      </c>
      <c r="F28">
        <v>132</v>
      </c>
    </row>
    <row r="29" spans="1:18">
      <c r="A29">
        <v>2024</v>
      </c>
      <c r="B29">
        <v>28</v>
      </c>
      <c r="C29">
        <v>0</v>
      </c>
      <c r="D29">
        <v>37</v>
      </c>
      <c r="E29">
        <v>43</v>
      </c>
      <c r="F29">
        <v>129</v>
      </c>
    </row>
    <row r="30" spans="1:18">
      <c r="A30">
        <v>2024</v>
      </c>
      <c r="B30">
        <v>29</v>
      </c>
      <c r="C30">
        <v>0</v>
      </c>
      <c r="D30">
        <v>36</v>
      </c>
      <c r="E30">
        <v>42</v>
      </c>
      <c r="F30">
        <v>126</v>
      </c>
    </row>
    <row r="31" spans="1:18">
      <c r="A31">
        <v>2024</v>
      </c>
      <c r="B31">
        <v>30</v>
      </c>
      <c r="C31">
        <v>0</v>
      </c>
      <c r="D31">
        <v>35</v>
      </c>
      <c r="E31">
        <v>41</v>
      </c>
      <c r="F31">
        <v>123</v>
      </c>
    </row>
    <row r="32" spans="1:18">
      <c r="A32">
        <v>2024</v>
      </c>
      <c r="B32">
        <v>31</v>
      </c>
      <c r="C32">
        <v>0</v>
      </c>
      <c r="D32">
        <v>34</v>
      </c>
      <c r="E32">
        <v>40</v>
      </c>
      <c r="F32">
        <v>120</v>
      </c>
    </row>
    <row r="33" spans="1:6">
      <c r="A33">
        <v>2024</v>
      </c>
      <c r="B33">
        <v>32</v>
      </c>
      <c r="C33">
        <v>0</v>
      </c>
      <c r="D33">
        <v>33</v>
      </c>
      <c r="E33">
        <v>39</v>
      </c>
      <c r="F33">
        <v>117</v>
      </c>
    </row>
    <row r="34" spans="1:6">
      <c r="A34">
        <v>2024</v>
      </c>
      <c r="B34">
        <v>33</v>
      </c>
      <c r="C34">
        <v>0</v>
      </c>
      <c r="D34">
        <v>32</v>
      </c>
      <c r="E34">
        <v>38</v>
      </c>
      <c r="F34">
        <v>114</v>
      </c>
    </row>
    <row r="35" spans="1:6">
      <c r="A35">
        <v>2024</v>
      </c>
      <c r="B35">
        <v>34</v>
      </c>
      <c r="C35">
        <v>0</v>
      </c>
      <c r="D35">
        <v>31</v>
      </c>
      <c r="E35">
        <v>37</v>
      </c>
      <c r="F35">
        <v>111</v>
      </c>
    </row>
    <row r="36" spans="1:6">
      <c r="A36">
        <v>2024</v>
      </c>
      <c r="B36">
        <v>35</v>
      </c>
      <c r="C36">
        <v>0</v>
      </c>
      <c r="D36">
        <v>30</v>
      </c>
      <c r="E36">
        <v>36</v>
      </c>
      <c r="F36">
        <v>108</v>
      </c>
    </row>
    <row r="37" spans="1:6">
      <c r="A37">
        <v>2024</v>
      </c>
      <c r="B37">
        <v>36</v>
      </c>
      <c r="C37">
        <v>0</v>
      </c>
      <c r="D37">
        <v>29</v>
      </c>
      <c r="E37">
        <v>35</v>
      </c>
      <c r="F37">
        <v>105</v>
      </c>
    </row>
    <row r="38" spans="1:6">
      <c r="A38">
        <v>2025</v>
      </c>
      <c r="B38">
        <v>1</v>
      </c>
      <c r="C38">
        <v>0</v>
      </c>
      <c r="D38">
        <v>500</v>
      </c>
      <c r="E38">
        <v>600</v>
      </c>
      <c r="F38">
        <v>1800</v>
      </c>
    </row>
    <row r="39" spans="1:6">
      <c r="A39">
        <v>2025</v>
      </c>
      <c r="B39">
        <v>2</v>
      </c>
      <c r="C39">
        <v>0</v>
      </c>
      <c r="D39">
        <v>300</v>
      </c>
      <c r="E39">
        <v>330</v>
      </c>
      <c r="F39">
        <v>990</v>
      </c>
    </row>
    <row r="40" spans="1:6">
      <c r="A40">
        <v>2025</v>
      </c>
      <c r="B40">
        <v>3</v>
      </c>
      <c r="C40">
        <v>0</v>
      </c>
      <c r="D40">
        <v>190</v>
      </c>
      <c r="E40">
        <v>210</v>
      </c>
      <c r="F40">
        <v>630</v>
      </c>
    </row>
    <row r="41" spans="1:6">
      <c r="A41">
        <v>2025</v>
      </c>
      <c r="B41">
        <v>4</v>
      </c>
      <c r="C41">
        <v>0</v>
      </c>
      <c r="D41">
        <v>135</v>
      </c>
      <c r="E41">
        <v>150</v>
      </c>
      <c r="F41">
        <v>450</v>
      </c>
    </row>
    <row r="42" spans="1:6">
      <c r="A42">
        <v>2025</v>
      </c>
      <c r="B42">
        <v>5</v>
      </c>
      <c r="C42">
        <v>0</v>
      </c>
      <c r="D42">
        <v>110</v>
      </c>
      <c r="E42">
        <v>120</v>
      </c>
      <c r="F42">
        <v>360</v>
      </c>
    </row>
    <row r="43" spans="1:6">
      <c r="A43">
        <v>2025</v>
      </c>
      <c r="B43">
        <v>6</v>
      </c>
      <c r="C43">
        <v>0</v>
      </c>
      <c r="D43">
        <v>100</v>
      </c>
      <c r="E43">
        <v>110</v>
      </c>
      <c r="F43">
        <v>330.01</v>
      </c>
    </row>
    <row r="44" spans="1:6">
      <c r="A44">
        <v>2025</v>
      </c>
      <c r="B44">
        <v>7</v>
      </c>
      <c r="C44">
        <v>0</v>
      </c>
      <c r="D44">
        <v>90</v>
      </c>
      <c r="E44">
        <v>100</v>
      </c>
      <c r="F44">
        <v>300.01</v>
      </c>
    </row>
    <row r="45" spans="1:6">
      <c r="A45">
        <v>2025</v>
      </c>
      <c r="B45">
        <v>8</v>
      </c>
      <c r="C45">
        <v>0</v>
      </c>
      <c r="D45">
        <v>85</v>
      </c>
      <c r="E45">
        <v>94</v>
      </c>
      <c r="F45">
        <v>282</v>
      </c>
    </row>
    <row r="46" spans="1:6">
      <c r="A46">
        <v>2025</v>
      </c>
      <c r="B46">
        <v>9</v>
      </c>
      <c r="C46">
        <v>0</v>
      </c>
      <c r="D46">
        <v>80</v>
      </c>
      <c r="E46">
        <v>88</v>
      </c>
      <c r="F46">
        <v>264</v>
      </c>
    </row>
    <row r="47" spans="1:6">
      <c r="A47">
        <v>2025</v>
      </c>
      <c r="B47">
        <v>10</v>
      </c>
      <c r="C47">
        <v>0</v>
      </c>
      <c r="D47">
        <v>75</v>
      </c>
      <c r="E47">
        <v>82</v>
      </c>
      <c r="F47">
        <v>246</v>
      </c>
    </row>
    <row r="48" spans="1:6">
      <c r="A48">
        <v>2025</v>
      </c>
      <c r="B48">
        <v>11</v>
      </c>
      <c r="C48">
        <v>0</v>
      </c>
      <c r="D48">
        <v>70</v>
      </c>
      <c r="E48">
        <v>77</v>
      </c>
      <c r="F48">
        <v>231</v>
      </c>
    </row>
    <row r="49" spans="1:6">
      <c r="A49">
        <v>2025</v>
      </c>
      <c r="B49">
        <v>12</v>
      </c>
      <c r="C49">
        <v>0</v>
      </c>
      <c r="D49">
        <v>65</v>
      </c>
      <c r="E49">
        <v>72</v>
      </c>
      <c r="F49">
        <v>216</v>
      </c>
    </row>
    <row r="50" spans="1:6">
      <c r="A50">
        <v>2025</v>
      </c>
      <c r="B50">
        <v>13</v>
      </c>
      <c r="C50">
        <v>0</v>
      </c>
      <c r="D50">
        <v>60</v>
      </c>
      <c r="E50">
        <v>68</v>
      </c>
      <c r="F50">
        <v>204</v>
      </c>
    </row>
    <row r="51" spans="1:6">
      <c r="A51">
        <v>2025</v>
      </c>
      <c r="B51">
        <v>14</v>
      </c>
      <c r="C51">
        <v>0</v>
      </c>
      <c r="D51">
        <v>57</v>
      </c>
      <c r="E51">
        <v>64</v>
      </c>
      <c r="F51">
        <v>192</v>
      </c>
    </row>
    <row r="52" spans="1:6">
      <c r="A52">
        <v>2025</v>
      </c>
      <c r="B52">
        <v>15</v>
      </c>
      <c r="C52">
        <v>0</v>
      </c>
      <c r="D52">
        <v>55</v>
      </c>
      <c r="E52">
        <v>61</v>
      </c>
      <c r="F52">
        <v>183</v>
      </c>
    </row>
    <row r="53" spans="1:6">
      <c r="A53">
        <v>2025</v>
      </c>
      <c r="B53">
        <v>16</v>
      </c>
      <c r="C53">
        <v>0</v>
      </c>
      <c r="D53">
        <v>53</v>
      </c>
      <c r="E53">
        <v>59</v>
      </c>
      <c r="F53">
        <v>177</v>
      </c>
    </row>
    <row r="54" spans="1:6">
      <c r="A54">
        <v>2025</v>
      </c>
      <c r="B54">
        <v>17</v>
      </c>
      <c r="C54">
        <v>0</v>
      </c>
      <c r="D54">
        <v>51</v>
      </c>
      <c r="E54">
        <v>57</v>
      </c>
      <c r="F54">
        <v>171</v>
      </c>
    </row>
    <row r="55" spans="1:6">
      <c r="A55">
        <v>2025</v>
      </c>
      <c r="B55">
        <v>18</v>
      </c>
      <c r="C55">
        <v>0</v>
      </c>
      <c r="D55">
        <v>49</v>
      </c>
      <c r="E55">
        <v>55</v>
      </c>
      <c r="F55">
        <v>165</v>
      </c>
    </row>
    <row r="56" spans="1:6">
      <c r="A56">
        <v>2025</v>
      </c>
      <c r="B56">
        <v>19</v>
      </c>
      <c r="C56">
        <v>0</v>
      </c>
      <c r="D56">
        <v>47</v>
      </c>
      <c r="E56">
        <v>53</v>
      </c>
      <c r="F56">
        <v>159</v>
      </c>
    </row>
    <row r="57" spans="1:6">
      <c r="A57">
        <v>2025</v>
      </c>
      <c r="B57">
        <v>20</v>
      </c>
      <c r="C57">
        <v>0</v>
      </c>
      <c r="D57">
        <v>45</v>
      </c>
      <c r="E57">
        <v>51</v>
      </c>
      <c r="F57">
        <v>153</v>
      </c>
    </row>
    <row r="58" spans="1:6">
      <c r="A58">
        <v>2025</v>
      </c>
      <c r="B58">
        <v>21</v>
      </c>
      <c r="C58">
        <v>0</v>
      </c>
      <c r="D58">
        <v>44</v>
      </c>
      <c r="E58">
        <v>50</v>
      </c>
      <c r="F58">
        <v>150</v>
      </c>
    </row>
    <row r="59" spans="1:6">
      <c r="A59">
        <v>2025</v>
      </c>
      <c r="B59">
        <v>22</v>
      </c>
      <c r="C59">
        <v>0</v>
      </c>
      <c r="D59">
        <v>43</v>
      </c>
      <c r="E59">
        <v>49</v>
      </c>
      <c r="F59">
        <v>147</v>
      </c>
    </row>
    <row r="60" spans="1:6">
      <c r="A60">
        <v>2025</v>
      </c>
      <c r="B60">
        <v>23</v>
      </c>
      <c r="C60">
        <v>0</v>
      </c>
      <c r="D60">
        <v>42</v>
      </c>
      <c r="E60">
        <v>48</v>
      </c>
      <c r="F60">
        <v>144</v>
      </c>
    </row>
    <row r="61" spans="1:6">
      <c r="A61">
        <v>2025</v>
      </c>
      <c r="B61">
        <v>24</v>
      </c>
      <c r="C61">
        <v>0</v>
      </c>
      <c r="D61">
        <v>41</v>
      </c>
      <c r="E61">
        <v>47</v>
      </c>
      <c r="F61">
        <v>141</v>
      </c>
    </row>
    <row r="62" spans="1:6">
      <c r="A62">
        <v>2025</v>
      </c>
      <c r="B62">
        <v>25</v>
      </c>
      <c r="C62">
        <v>0</v>
      </c>
      <c r="D62">
        <v>40</v>
      </c>
      <c r="E62">
        <v>46</v>
      </c>
      <c r="F62">
        <v>138</v>
      </c>
    </row>
    <row r="63" spans="1:6">
      <c r="A63">
        <v>2025</v>
      </c>
      <c r="B63">
        <v>26</v>
      </c>
      <c r="C63">
        <v>0</v>
      </c>
      <c r="D63">
        <v>39</v>
      </c>
      <c r="E63">
        <v>45</v>
      </c>
      <c r="F63">
        <v>135</v>
      </c>
    </row>
    <row r="64" spans="1:6">
      <c r="A64">
        <v>2025</v>
      </c>
      <c r="B64">
        <v>27</v>
      </c>
      <c r="C64">
        <v>0</v>
      </c>
      <c r="D64">
        <v>38</v>
      </c>
      <c r="E64">
        <v>44</v>
      </c>
      <c r="F64">
        <v>132</v>
      </c>
    </row>
    <row r="65" spans="1:6">
      <c r="A65">
        <v>2025</v>
      </c>
      <c r="B65">
        <v>28</v>
      </c>
      <c r="C65">
        <v>0</v>
      </c>
      <c r="D65">
        <v>37</v>
      </c>
      <c r="E65">
        <v>43</v>
      </c>
      <c r="F65">
        <v>129</v>
      </c>
    </row>
    <row r="66" spans="1:6">
      <c r="A66">
        <v>2025</v>
      </c>
      <c r="B66">
        <v>29</v>
      </c>
      <c r="C66">
        <v>0</v>
      </c>
      <c r="D66">
        <v>36</v>
      </c>
      <c r="E66">
        <v>42</v>
      </c>
      <c r="F66">
        <v>126</v>
      </c>
    </row>
    <row r="67" spans="1:6">
      <c r="A67">
        <v>2025</v>
      </c>
      <c r="B67">
        <v>30</v>
      </c>
      <c r="C67">
        <v>0</v>
      </c>
      <c r="D67">
        <v>35</v>
      </c>
      <c r="E67">
        <v>41</v>
      </c>
      <c r="F67">
        <v>123</v>
      </c>
    </row>
    <row r="68" spans="1:6">
      <c r="A68">
        <v>2025</v>
      </c>
      <c r="B68">
        <v>31</v>
      </c>
      <c r="C68">
        <v>0</v>
      </c>
      <c r="D68">
        <v>34</v>
      </c>
      <c r="E68">
        <v>40</v>
      </c>
      <c r="F68">
        <v>120</v>
      </c>
    </row>
    <row r="69" spans="1:6">
      <c r="A69">
        <v>2025</v>
      </c>
      <c r="B69">
        <v>32</v>
      </c>
      <c r="C69">
        <v>0</v>
      </c>
      <c r="D69">
        <v>33</v>
      </c>
      <c r="E69">
        <v>39</v>
      </c>
      <c r="F69">
        <v>117</v>
      </c>
    </row>
    <row r="70" spans="1:6">
      <c r="A70">
        <v>2025</v>
      </c>
      <c r="B70">
        <v>33</v>
      </c>
      <c r="C70">
        <v>0</v>
      </c>
      <c r="D70">
        <v>32</v>
      </c>
      <c r="E70">
        <v>38</v>
      </c>
      <c r="F70">
        <v>114</v>
      </c>
    </row>
    <row r="71" spans="1:6">
      <c r="A71">
        <v>2025</v>
      </c>
      <c r="B71">
        <v>34</v>
      </c>
      <c r="C71">
        <v>0</v>
      </c>
      <c r="D71">
        <v>31</v>
      </c>
      <c r="E71">
        <v>37</v>
      </c>
      <c r="F71">
        <v>111</v>
      </c>
    </row>
    <row r="72" spans="1:6">
      <c r="A72">
        <v>2025</v>
      </c>
      <c r="B72">
        <v>35</v>
      </c>
      <c r="C72">
        <v>0</v>
      </c>
      <c r="D72">
        <v>30</v>
      </c>
      <c r="E72">
        <v>36</v>
      </c>
      <c r="F72">
        <v>108</v>
      </c>
    </row>
    <row r="73" spans="1:6">
      <c r="A73">
        <v>2025</v>
      </c>
      <c r="B73">
        <v>36</v>
      </c>
      <c r="C73">
        <v>0</v>
      </c>
      <c r="D73">
        <v>29</v>
      </c>
      <c r="E73">
        <v>35</v>
      </c>
      <c r="F73">
        <v>105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FFC01-94CE-495D-8FB4-584F24E4D1D7}">
  <dimension ref="A1:B19"/>
  <sheetViews>
    <sheetView workbookViewId="0">
      <selection activeCell="E10" sqref="E10"/>
    </sheetView>
  </sheetViews>
  <sheetFormatPr baseColWidth="10" defaultColWidth="10.75" defaultRowHeight="15.75"/>
  <sheetData>
    <row r="1" spans="1:2">
      <c r="A1" t="s">
        <v>139</v>
      </c>
      <c r="B1" t="s">
        <v>140</v>
      </c>
    </row>
    <row r="2" spans="1:2">
      <c r="A2">
        <v>1</v>
      </c>
      <c r="B2">
        <v>1</v>
      </c>
    </row>
    <row r="3" spans="1:2">
      <c r="A3">
        <f>+A2+1</f>
        <v>2</v>
      </c>
      <c r="B3">
        <v>1</v>
      </c>
    </row>
    <row r="4" spans="1:2">
      <c r="A4">
        <f t="shared" ref="A4:A19" si="0">+A3+1</f>
        <v>3</v>
      </c>
      <c r="B4">
        <v>1</v>
      </c>
    </row>
    <row r="5" spans="1:2">
      <c r="A5">
        <f t="shared" si="0"/>
        <v>4</v>
      </c>
      <c r="B5">
        <v>1</v>
      </c>
    </row>
    <row r="6" spans="1:2">
      <c r="A6">
        <f t="shared" si="0"/>
        <v>5</v>
      </c>
      <c r="B6">
        <v>1</v>
      </c>
    </row>
    <row r="7" spans="1:2">
      <c r="A7">
        <f t="shared" si="0"/>
        <v>6</v>
      </c>
      <c r="B7">
        <v>1</v>
      </c>
    </row>
    <row r="8" spans="1:2">
      <c r="A8">
        <f t="shared" si="0"/>
        <v>7</v>
      </c>
      <c r="B8">
        <v>1</v>
      </c>
    </row>
    <row r="9" spans="1:2">
      <c r="A9">
        <f t="shared" si="0"/>
        <v>8</v>
      </c>
      <c r="B9">
        <v>1</v>
      </c>
    </row>
    <row r="10" spans="1:2">
      <c r="A10">
        <f t="shared" si="0"/>
        <v>9</v>
      </c>
      <c r="B10">
        <v>1</v>
      </c>
    </row>
    <row r="11" spans="1:2">
      <c r="A11">
        <f t="shared" si="0"/>
        <v>10</v>
      </c>
      <c r="B11">
        <v>2</v>
      </c>
    </row>
    <row r="12" spans="1:2">
      <c r="A12">
        <f t="shared" si="0"/>
        <v>11</v>
      </c>
      <c r="B12">
        <v>2</v>
      </c>
    </row>
    <row r="13" spans="1:2">
      <c r="A13">
        <f t="shared" si="0"/>
        <v>12</v>
      </c>
      <c r="B13">
        <v>2</v>
      </c>
    </row>
    <row r="14" spans="1:2">
      <c r="A14">
        <f t="shared" si="0"/>
        <v>13</v>
      </c>
      <c r="B14">
        <v>2</v>
      </c>
    </row>
    <row r="15" spans="1:2">
      <c r="A15">
        <f t="shared" si="0"/>
        <v>14</v>
      </c>
      <c r="B15">
        <v>2</v>
      </c>
    </row>
    <row r="16" spans="1:2">
      <c r="A16">
        <f t="shared" si="0"/>
        <v>15</v>
      </c>
      <c r="B16">
        <v>2</v>
      </c>
    </row>
    <row r="17" spans="1:2">
      <c r="A17">
        <f t="shared" si="0"/>
        <v>16</v>
      </c>
      <c r="B17">
        <v>2</v>
      </c>
    </row>
    <row r="18" spans="1:2">
      <c r="A18">
        <f t="shared" si="0"/>
        <v>17</v>
      </c>
      <c r="B18">
        <v>2</v>
      </c>
    </row>
    <row r="19" spans="1:2">
      <c r="A19">
        <f t="shared" si="0"/>
        <v>18</v>
      </c>
      <c r="B19">
        <v>2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51B1A-B25D-44BE-8EA2-7BD5F1DB0430}">
  <sheetPr>
    <tabColor theme="2" tint="-0.499984740745262"/>
  </sheetPr>
  <dimension ref="A1:AM290"/>
  <sheetViews>
    <sheetView topLeftCell="A263" zoomScale="85" zoomScaleNormal="85" workbookViewId="0">
      <selection activeCell="C290" sqref="C290"/>
    </sheetView>
  </sheetViews>
  <sheetFormatPr baseColWidth="10" defaultColWidth="10.75" defaultRowHeight="15.75"/>
  <cols>
    <col min="2" max="2" width="8.875" bestFit="1" customWidth="1"/>
    <col min="3" max="3" width="9.75" bestFit="1" customWidth="1"/>
    <col min="4" max="4" width="35.875" bestFit="1" customWidth="1"/>
    <col min="15" max="24" width="3.125" customWidth="1"/>
    <col min="25" max="32" width="3.125" bestFit="1" customWidth="1"/>
  </cols>
  <sheetData>
    <row r="1" spans="1:6">
      <c r="A1" s="89" t="s">
        <v>1</v>
      </c>
      <c r="B1" s="89" t="s">
        <v>166</v>
      </c>
      <c r="C1" s="89" t="s">
        <v>2476</v>
      </c>
      <c r="D1" s="89" t="s">
        <v>467</v>
      </c>
      <c r="E1" s="89" t="s">
        <v>2520</v>
      </c>
      <c r="F1" s="89" t="s">
        <v>349</v>
      </c>
    </row>
    <row r="2" spans="1:6">
      <c r="A2" t="s">
        <v>206</v>
      </c>
      <c r="B2" s="105">
        <v>800</v>
      </c>
      <c r="C2" s="45">
        <v>3</v>
      </c>
      <c r="D2" s="45" t="s">
        <v>2477</v>
      </c>
      <c r="E2" t="str">
        <f>+IF(PuntosRanking[[#This Row],[Torneos]]=MAX(PuntosRanking[Torneos]),1,"")</f>
        <v/>
      </c>
      <c r="F2" t="str">
        <f>+PuntosRanking[[#This Row],[Mote]]&amp;"_"&amp;PuntosRanking[[#This Row],[Máximo]]</f>
        <v>Nachete_</v>
      </c>
    </row>
    <row r="3" spans="1:6">
      <c r="A3" t="s">
        <v>36</v>
      </c>
      <c r="B3" s="105">
        <v>690</v>
      </c>
      <c r="C3" s="45">
        <v>3</v>
      </c>
      <c r="D3" s="45" t="s">
        <v>2478</v>
      </c>
      <c r="E3" t="str">
        <f>+IF(PuntosRanking[[#This Row],[Torneos]]=MAX(PuntosRanking[Torneos]),1,"")</f>
        <v/>
      </c>
      <c r="F3" t="str">
        <f>+PuntosRanking[[#This Row],[Mote]]&amp;"_"&amp;PuntosRanking[[#This Row],[Máximo]]</f>
        <v>Juanjo_</v>
      </c>
    </row>
    <row r="4" spans="1:6">
      <c r="A4" t="s">
        <v>381</v>
      </c>
      <c r="B4" s="105">
        <v>500</v>
      </c>
      <c r="C4" s="45">
        <v>3</v>
      </c>
      <c r="D4" s="45" t="s">
        <v>2479</v>
      </c>
      <c r="E4" t="str">
        <f>+IF(PuntosRanking[[#This Row],[Torneos]]=MAX(PuntosRanking[Torneos]),1,"")</f>
        <v/>
      </c>
      <c r="F4" t="str">
        <f>+PuntosRanking[[#This Row],[Mote]]&amp;"_"&amp;PuntosRanking[[#This Row],[Máximo]]</f>
        <v>Juancho_</v>
      </c>
    </row>
    <row r="5" spans="1:6">
      <c r="A5" t="s">
        <v>34</v>
      </c>
      <c r="B5" s="105">
        <v>300</v>
      </c>
      <c r="C5" s="45">
        <v>3</v>
      </c>
      <c r="D5" s="45" t="s">
        <v>2480</v>
      </c>
      <c r="E5" t="str">
        <f>+IF(PuntosRanking[[#This Row],[Torneos]]=MAX(PuntosRanking[Torneos]),1,"")</f>
        <v/>
      </c>
      <c r="F5" t="str">
        <f>+PuntosRanking[[#This Row],[Mote]]&amp;"_"&amp;PuntosRanking[[#This Row],[Máximo]]</f>
        <v>Angel_</v>
      </c>
    </row>
    <row r="6" spans="1:6">
      <c r="A6" t="s">
        <v>21</v>
      </c>
      <c r="B6" s="105">
        <v>280</v>
      </c>
      <c r="C6" s="45">
        <v>3</v>
      </c>
      <c r="D6" s="45" t="s">
        <v>2481</v>
      </c>
      <c r="E6" t="str">
        <f>+IF(PuntosRanking[[#This Row],[Torneos]]=MAX(PuntosRanking[Torneos]),1,"")</f>
        <v/>
      </c>
      <c r="F6" t="str">
        <f>+PuntosRanking[[#This Row],[Mote]]&amp;"_"&amp;PuntosRanking[[#This Row],[Máximo]]</f>
        <v>Javi_</v>
      </c>
    </row>
    <row r="7" spans="1:6">
      <c r="A7" t="s">
        <v>382</v>
      </c>
      <c r="B7" s="105">
        <v>270</v>
      </c>
      <c r="C7" s="45">
        <v>3</v>
      </c>
      <c r="D7" s="45" t="s">
        <v>2482</v>
      </c>
      <c r="E7" t="str">
        <f>+IF(PuntosRanking[[#This Row],[Torneos]]=MAX(PuntosRanking[Torneos]),1,"")</f>
        <v/>
      </c>
      <c r="F7" t="str">
        <f>+PuntosRanking[[#This Row],[Mote]]&amp;"_"&amp;PuntosRanking[[#This Row],[Máximo]]</f>
        <v>Jorge_</v>
      </c>
    </row>
    <row r="8" spans="1:6">
      <c r="A8" t="s">
        <v>42</v>
      </c>
      <c r="B8" s="105">
        <v>225</v>
      </c>
      <c r="C8" s="45">
        <v>3</v>
      </c>
      <c r="D8" s="45" t="s">
        <v>2483</v>
      </c>
      <c r="E8" t="str">
        <f>+IF(PuntosRanking[[#This Row],[Torneos]]=MAX(PuntosRanking[Torneos]),1,"")</f>
        <v/>
      </c>
      <c r="F8" t="str">
        <f>+PuntosRanking[[#This Row],[Mote]]&amp;"_"&amp;PuntosRanking[[#This Row],[Máximo]]</f>
        <v>Jesús_</v>
      </c>
    </row>
    <row r="9" spans="1:6">
      <c r="A9" t="s">
        <v>10</v>
      </c>
      <c r="B9" s="105">
        <v>200</v>
      </c>
      <c r="C9" s="45">
        <v>3</v>
      </c>
      <c r="D9" s="45" t="s">
        <v>2484</v>
      </c>
      <c r="E9" t="str">
        <f>+IF(PuntosRanking[[#This Row],[Torneos]]=MAX(PuntosRanking[Torneos]),1,"")</f>
        <v/>
      </c>
      <c r="F9" t="str">
        <f>+PuntosRanking[[#This Row],[Mote]]&amp;"_"&amp;PuntosRanking[[#This Row],[Máximo]]</f>
        <v>Alfonso_</v>
      </c>
    </row>
    <row r="10" spans="1:6">
      <c r="A10" t="s">
        <v>16</v>
      </c>
      <c r="B10" s="105">
        <v>180</v>
      </c>
      <c r="C10" s="45">
        <v>3</v>
      </c>
      <c r="D10" s="45" t="s">
        <v>2485</v>
      </c>
      <c r="E10" t="str">
        <f>+IF(PuntosRanking[[#This Row],[Torneos]]=MAX(PuntosRanking[Torneos]),1,"")</f>
        <v/>
      </c>
      <c r="F10" t="str">
        <f>+PuntosRanking[[#This Row],[Mote]]&amp;"_"&amp;PuntosRanking[[#This Row],[Máximo]]</f>
        <v>Gifu_</v>
      </c>
    </row>
    <row r="11" spans="1:6">
      <c r="A11" t="s">
        <v>391</v>
      </c>
      <c r="B11" s="105">
        <v>180</v>
      </c>
      <c r="C11" s="45">
        <v>3</v>
      </c>
      <c r="D11" s="45" t="s">
        <v>2486</v>
      </c>
      <c r="E11" t="str">
        <f>+IF(PuntosRanking[[#This Row],[Torneos]]=MAX(PuntosRanking[Torneos]),1,"")</f>
        <v/>
      </c>
      <c r="F11" t="str">
        <f>+PuntosRanking[[#This Row],[Mote]]&amp;"_"&amp;PuntosRanking[[#This Row],[Máximo]]</f>
        <v>J Antonio_</v>
      </c>
    </row>
    <row r="12" spans="1:6">
      <c r="A12" t="s">
        <v>31</v>
      </c>
      <c r="B12" s="105">
        <v>165</v>
      </c>
      <c r="C12" s="45">
        <v>3</v>
      </c>
      <c r="D12" s="45" t="s">
        <v>2487</v>
      </c>
      <c r="E12" t="str">
        <f>+IF(PuntosRanking[[#This Row],[Torneos]]=MAX(PuntosRanking[Torneos]),1,"")</f>
        <v/>
      </c>
      <c r="F12" t="str">
        <f>+PuntosRanking[[#This Row],[Mote]]&amp;"_"&amp;PuntosRanking[[#This Row],[Máximo]]</f>
        <v>David_</v>
      </c>
    </row>
    <row r="13" spans="1:6">
      <c r="A13" t="s">
        <v>202</v>
      </c>
      <c r="B13" s="105">
        <v>165</v>
      </c>
      <c r="C13" s="45">
        <v>3</v>
      </c>
      <c r="D13" s="45" t="s">
        <v>2488</v>
      </c>
      <c r="E13" t="str">
        <f>+IF(PuntosRanking[[#This Row],[Torneos]]=MAX(PuntosRanking[Torneos]),1,"")</f>
        <v/>
      </c>
      <c r="F13" t="str">
        <f>+PuntosRanking[[#This Row],[Mote]]&amp;"_"&amp;PuntosRanking[[#This Row],[Máximo]]</f>
        <v>Monti_</v>
      </c>
    </row>
    <row r="14" spans="1:6">
      <c r="A14" t="s">
        <v>329</v>
      </c>
      <c r="B14" s="105">
        <v>160</v>
      </c>
      <c r="C14" s="45">
        <v>3</v>
      </c>
      <c r="D14" s="45" t="s">
        <v>2489</v>
      </c>
      <c r="E14" t="str">
        <f>+IF(PuntosRanking[[#This Row],[Torneos]]=MAX(PuntosRanking[Torneos]),1,"")</f>
        <v/>
      </c>
      <c r="F14" t="str">
        <f>+PuntosRanking[[#This Row],[Mote]]&amp;"_"&amp;PuntosRanking[[#This Row],[Máximo]]</f>
        <v>J.Arcos_</v>
      </c>
    </row>
    <row r="15" spans="1:6">
      <c r="A15" t="s">
        <v>204</v>
      </c>
      <c r="B15" s="105">
        <v>155</v>
      </c>
      <c r="C15" s="45">
        <v>3</v>
      </c>
      <c r="D15" s="45" t="s">
        <v>2490</v>
      </c>
      <c r="E15" t="str">
        <f>+IF(PuntosRanking[[#This Row],[Torneos]]=MAX(PuntosRanking[Torneos]),1,"")</f>
        <v/>
      </c>
      <c r="F15" t="str">
        <f>+PuntosRanking[[#This Row],[Mote]]&amp;"_"&amp;PuntosRanking[[#This Row],[Máximo]]</f>
        <v>Rus_</v>
      </c>
    </row>
    <row r="16" spans="1:6">
      <c r="A16" t="s">
        <v>50</v>
      </c>
      <c r="B16" s="105">
        <v>135</v>
      </c>
      <c r="C16" s="45">
        <v>3</v>
      </c>
      <c r="D16" s="45" t="s">
        <v>2491</v>
      </c>
      <c r="E16" t="str">
        <f>+IF(PuntosRanking[[#This Row],[Torneos]]=MAX(PuntosRanking[Torneos]),1,"")</f>
        <v/>
      </c>
      <c r="F16" t="str">
        <f>+PuntosRanking[[#This Row],[Mote]]&amp;"_"&amp;PuntosRanking[[#This Row],[Máximo]]</f>
        <v>Fran_</v>
      </c>
    </row>
    <row r="17" spans="1:6">
      <c r="A17" t="s">
        <v>249</v>
      </c>
      <c r="B17" s="105">
        <v>118</v>
      </c>
      <c r="C17" s="45">
        <v>3</v>
      </c>
      <c r="D17" s="45" t="s">
        <v>2492</v>
      </c>
      <c r="E17" t="str">
        <f>+IF(PuntosRanking[[#This Row],[Torneos]]=MAX(PuntosRanking[Torneos]),1,"")</f>
        <v/>
      </c>
      <c r="F17" t="str">
        <f>+PuntosRanking[[#This Row],[Mote]]&amp;"_"&amp;PuntosRanking[[#This Row],[Máximo]]</f>
        <v>Enrique_</v>
      </c>
    </row>
    <row r="18" spans="1:6">
      <c r="A18" t="s">
        <v>265</v>
      </c>
      <c r="B18" s="105">
        <v>112</v>
      </c>
      <c r="C18" s="45">
        <v>3</v>
      </c>
      <c r="D18" s="45" t="s">
        <v>2493</v>
      </c>
      <c r="E18" t="str">
        <f>+IF(PuntosRanking[[#This Row],[Torneos]]=MAX(PuntosRanking[Torneos]),1,"")</f>
        <v/>
      </c>
      <c r="F18" t="str">
        <f>+PuntosRanking[[#This Row],[Mote]]&amp;"_"&amp;PuntosRanking[[#This Row],[Máximo]]</f>
        <v>Antonio_</v>
      </c>
    </row>
    <row r="19" spans="1:6">
      <c r="A19" t="s">
        <v>327</v>
      </c>
      <c r="B19" s="105">
        <v>110</v>
      </c>
      <c r="C19" s="45">
        <v>3</v>
      </c>
      <c r="D19" s="45" t="s">
        <v>2494</v>
      </c>
      <c r="E19" t="str">
        <f>+IF(PuntosRanking[[#This Row],[Torneos]]=MAX(PuntosRanking[Torneos]),1,"")</f>
        <v/>
      </c>
      <c r="F19" t="str">
        <f>+PuntosRanking[[#This Row],[Mote]]&amp;"_"&amp;PuntosRanking[[#This Row],[Máximo]]</f>
        <v>Eduardo_</v>
      </c>
    </row>
    <row r="20" spans="1:6">
      <c r="A20" t="s">
        <v>24</v>
      </c>
      <c r="B20" s="105">
        <v>101</v>
      </c>
      <c r="C20" s="45">
        <v>3</v>
      </c>
      <c r="D20" s="45" t="s">
        <v>2495</v>
      </c>
      <c r="E20" t="str">
        <f>+IF(PuntosRanking[[#This Row],[Torneos]]=MAX(PuntosRanking[Torneos]),1,"")</f>
        <v/>
      </c>
      <c r="F20" t="str">
        <f>+PuntosRanking[[#This Row],[Mote]]&amp;"_"&amp;PuntosRanking[[#This Row],[Máximo]]</f>
        <v>Kike_</v>
      </c>
    </row>
    <row r="21" spans="1:6">
      <c r="A21" t="s">
        <v>262</v>
      </c>
      <c r="B21" s="105">
        <v>100</v>
      </c>
      <c r="C21" s="45">
        <v>3</v>
      </c>
      <c r="D21" s="45" t="s">
        <v>2496</v>
      </c>
      <c r="E21" t="str">
        <f>+IF(PuntosRanking[[#This Row],[Torneos]]=MAX(PuntosRanking[Torneos]),1,"")</f>
        <v/>
      </c>
      <c r="F21" t="str">
        <f>+PuntosRanking[[#This Row],[Mote]]&amp;"_"&amp;PuntosRanking[[#This Row],[Máximo]]</f>
        <v>Alex_</v>
      </c>
    </row>
    <row r="22" spans="1:6">
      <c r="A22" t="s">
        <v>26</v>
      </c>
      <c r="B22" s="105">
        <v>80</v>
      </c>
      <c r="C22" s="45">
        <v>3</v>
      </c>
      <c r="D22" s="45" t="s">
        <v>2497</v>
      </c>
      <c r="E22" t="str">
        <f>+IF(PuntosRanking[[#This Row],[Torneos]]=MAX(PuntosRanking[Torneos]),1,"")</f>
        <v/>
      </c>
      <c r="F22" t="str">
        <f>+PuntosRanking[[#This Row],[Mote]]&amp;"_"&amp;PuntosRanking[[#This Row],[Máximo]]</f>
        <v>Alvaro_</v>
      </c>
    </row>
    <row r="23" spans="1:6">
      <c r="A23" t="s">
        <v>13</v>
      </c>
      <c r="B23" s="105">
        <v>70</v>
      </c>
      <c r="C23" s="45">
        <v>3</v>
      </c>
      <c r="D23" s="45" t="s">
        <v>2498</v>
      </c>
      <c r="E23" t="str">
        <f>+IF(PuntosRanking[[#This Row],[Torneos]]=MAX(PuntosRanking[Torneos]),1,"")</f>
        <v/>
      </c>
      <c r="F23" t="str">
        <f>+PuntosRanking[[#This Row],[Mote]]&amp;"_"&amp;PuntosRanking[[#This Row],[Máximo]]</f>
        <v>Paco_</v>
      </c>
    </row>
    <row r="24" spans="1:6">
      <c r="A24" t="s">
        <v>7</v>
      </c>
      <c r="B24" s="105">
        <v>65</v>
      </c>
      <c r="C24" s="45">
        <v>3</v>
      </c>
      <c r="D24" s="45" t="s">
        <v>2499</v>
      </c>
      <c r="E24" t="str">
        <f>+IF(PuntosRanking[[#This Row],[Torneos]]=MAX(PuntosRanking[Torneos]),1,"")</f>
        <v/>
      </c>
      <c r="F24" t="str">
        <f>+PuntosRanking[[#This Row],[Mote]]&amp;"_"&amp;PuntosRanking[[#This Row],[Máximo]]</f>
        <v>Ignacio_</v>
      </c>
    </row>
    <row r="25" spans="1:6">
      <c r="A25" t="s">
        <v>208</v>
      </c>
      <c r="B25" s="105">
        <v>55</v>
      </c>
      <c r="C25" s="45">
        <v>3</v>
      </c>
      <c r="D25" s="45" t="s">
        <v>2500</v>
      </c>
      <c r="E25" t="str">
        <f>+IF(PuntosRanking[[#This Row],[Torneos]]=MAX(PuntosRanking[Torneos]),1,"")</f>
        <v/>
      </c>
      <c r="F25" t="str">
        <f>+PuntosRanking[[#This Row],[Mote]]&amp;"_"&amp;PuntosRanking[[#This Row],[Máximo]]</f>
        <v>Franck_</v>
      </c>
    </row>
    <row r="26" spans="1:6">
      <c r="A26" t="s">
        <v>376</v>
      </c>
      <c r="B26" s="105">
        <v>51</v>
      </c>
      <c r="C26" s="45">
        <v>3</v>
      </c>
      <c r="D26" s="45" t="s">
        <v>2501</v>
      </c>
      <c r="E26" t="str">
        <f>+IF(PuntosRanking[[#This Row],[Torneos]]=MAX(PuntosRanking[Torneos]),1,"")</f>
        <v/>
      </c>
      <c r="F26" t="str">
        <f>+PuntosRanking[[#This Row],[Mote]]&amp;"_"&amp;PuntosRanking[[#This Row],[Máximo]]</f>
        <v>Luis_</v>
      </c>
    </row>
    <row r="27" spans="1:6">
      <c r="A27" t="s">
        <v>19</v>
      </c>
      <c r="B27" s="105">
        <v>47</v>
      </c>
      <c r="C27" s="45">
        <v>3</v>
      </c>
      <c r="D27" s="45" t="s">
        <v>2502</v>
      </c>
      <c r="E27" t="str">
        <f>+IF(PuntosRanking[[#This Row],[Torneos]]=MAX(PuntosRanking[Torneos]),1,"")</f>
        <v/>
      </c>
      <c r="F27" t="str">
        <f>+PuntosRanking[[#This Row],[Mote]]&amp;"_"&amp;PuntosRanking[[#This Row],[Máximo]]</f>
        <v>JP_</v>
      </c>
    </row>
    <row r="28" spans="1:6">
      <c r="A28" t="s">
        <v>230</v>
      </c>
      <c r="B28" s="105"/>
      <c r="C28" s="45">
        <v>3</v>
      </c>
      <c r="D28" s="45" t="s">
        <v>2503</v>
      </c>
      <c r="E28" t="str">
        <f>+IF(PuntosRanking[[#This Row],[Torneos]]=MAX(PuntosRanking[Torneos]),1,"")</f>
        <v/>
      </c>
      <c r="F28" t="str">
        <f>+PuntosRanking[[#This Row],[Mote]]&amp;"_"&amp;PuntosRanking[[#This Row],[Máximo]]</f>
        <v>A Zorrilla_</v>
      </c>
    </row>
    <row r="29" spans="1:6">
      <c r="A29" t="s">
        <v>78</v>
      </c>
      <c r="B29" s="105"/>
      <c r="C29" s="45">
        <v>3</v>
      </c>
      <c r="D29" s="45" t="s">
        <v>2504</v>
      </c>
      <c r="E29" t="str">
        <f>+IF(PuntosRanking[[#This Row],[Torneos]]=MAX(PuntosRanking[Torneos]),1,"")</f>
        <v/>
      </c>
      <c r="F29" t="str">
        <f>+PuntosRanking[[#This Row],[Mote]]&amp;"_"&amp;PuntosRanking[[#This Row],[Máximo]]</f>
        <v>Campo_</v>
      </c>
    </row>
    <row r="30" spans="1:6">
      <c r="A30" t="s">
        <v>431</v>
      </c>
      <c r="B30" s="105"/>
      <c r="C30" s="45">
        <v>3</v>
      </c>
      <c r="D30" s="45" t="s">
        <v>2505</v>
      </c>
      <c r="E30" t="str">
        <f>+IF(PuntosRanking[[#This Row],[Torneos]]=MAX(PuntosRanking[Torneos]),1,"")</f>
        <v/>
      </c>
      <c r="F30" t="str">
        <f>+PuntosRanking[[#This Row],[Mote]]&amp;"_"&amp;PuntosRanking[[#This Row],[Máximo]]</f>
        <v>Carlitos_</v>
      </c>
    </row>
    <row r="31" spans="1:6">
      <c r="A31" t="s">
        <v>226</v>
      </c>
      <c r="B31" s="105"/>
      <c r="C31" s="45">
        <v>3</v>
      </c>
      <c r="D31" s="45" t="s">
        <v>2506</v>
      </c>
      <c r="E31" t="str">
        <f>+IF(PuntosRanking[[#This Row],[Torneos]]=MAX(PuntosRanking[Torneos]),1,"")</f>
        <v/>
      </c>
      <c r="F31" t="str">
        <f>+PuntosRanking[[#This Row],[Mote]]&amp;"_"&amp;PuntosRanking[[#This Row],[Máximo]]</f>
        <v>Chiralt_</v>
      </c>
    </row>
    <row r="32" spans="1:6">
      <c r="A32" t="s">
        <v>218</v>
      </c>
      <c r="B32" s="105"/>
      <c r="C32" s="45">
        <v>3</v>
      </c>
      <c r="D32" s="45" t="s">
        <v>2507</v>
      </c>
      <c r="E32" t="str">
        <f>+IF(PuntosRanking[[#This Row],[Torneos]]=MAX(PuntosRanking[Torneos]),1,"")</f>
        <v/>
      </c>
      <c r="F32" t="str">
        <f>+PuntosRanking[[#This Row],[Mote]]&amp;"_"&amp;PuntosRanking[[#This Row],[Máximo]]</f>
        <v>Cuñao_</v>
      </c>
    </row>
    <row r="33" spans="1:6">
      <c r="A33" t="s">
        <v>339</v>
      </c>
      <c r="B33" s="105"/>
      <c r="C33" s="45">
        <v>3</v>
      </c>
      <c r="D33" s="45" t="s">
        <v>2508</v>
      </c>
      <c r="E33" t="str">
        <f>+IF(PuntosRanking[[#This Row],[Torneos]]=MAX(PuntosRanking[Torneos]),1,"")</f>
        <v/>
      </c>
      <c r="F33" t="str">
        <f>+PuntosRanking[[#This Row],[Mote]]&amp;"_"&amp;PuntosRanking[[#This Row],[Máximo]]</f>
        <v>Emi_</v>
      </c>
    </row>
    <row r="34" spans="1:6">
      <c r="A34" t="s">
        <v>299</v>
      </c>
      <c r="B34" s="105"/>
      <c r="C34" s="45">
        <v>3</v>
      </c>
      <c r="D34" s="45" t="s">
        <v>2509</v>
      </c>
      <c r="E34" t="str">
        <f>+IF(PuntosRanking[[#This Row],[Torneos]]=MAX(PuntosRanking[Torneos]),1,"")</f>
        <v/>
      </c>
      <c r="F34" t="str">
        <f>+PuntosRanking[[#This Row],[Mote]]&amp;"_"&amp;PuntosRanking[[#This Row],[Máximo]]</f>
        <v>I Gracia_</v>
      </c>
    </row>
    <row r="35" spans="1:6">
      <c r="A35" t="s">
        <v>292</v>
      </c>
      <c r="B35" s="105"/>
      <c r="C35" s="45">
        <v>3</v>
      </c>
      <c r="D35" s="45" t="s">
        <v>2510</v>
      </c>
      <c r="E35" t="str">
        <f>+IF(PuntosRanking[[#This Row],[Torneos]]=MAX(PuntosRanking[Torneos]),1,"")</f>
        <v/>
      </c>
      <c r="F35" t="str">
        <f>+PuntosRanking[[#This Row],[Mote]]&amp;"_"&amp;PuntosRanking[[#This Row],[Máximo]]</f>
        <v>Jaime_</v>
      </c>
    </row>
    <row r="36" spans="1:6">
      <c r="A36" t="s">
        <v>384</v>
      </c>
      <c r="B36" s="105"/>
      <c r="C36" s="45">
        <v>3</v>
      </c>
      <c r="D36" s="45" t="s">
        <v>2511</v>
      </c>
      <c r="E36" t="str">
        <f>+IF(PuntosRanking[[#This Row],[Torneos]]=MAX(PuntosRanking[Torneos]),1,"")</f>
        <v/>
      </c>
      <c r="F36" t="str">
        <f>+PuntosRanking[[#This Row],[Mote]]&amp;"_"&amp;PuntosRanking[[#This Row],[Máximo]]</f>
        <v>Juan Luis_</v>
      </c>
    </row>
    <row r="37" spans="1:6">
      <c r="A37" t="s">
        <v>123</v>
      </c>
      <c r="B37" s="105"/>
      <c r="C37" s="45">
        <v>3</v>
      </c>
      <c r="D37" s="45" t="s">
        <v>2512</v>
      </c>
      <c r="E37" t="str">
        <f>+IF(PuntosRanking[[#This Row],[Torneos]]=MAX(PuntosRanking[Torneos]),1,"")</f>
        <v/>
      </c>
      <c r="F37" t="str">
        <f>+PuntosRanking[[#This Row],[Mote]]&amp;"_"&amp;PuntosRanking[[#This Row],[Máximo]]</f>
        <v>Miche_</v>
      </c>
    </row>
    <row r="38" spans="1:6">
      <c r="A38" t="s">
        <v>4</v>
      </c>
      <c r="B38" s="105"/>
      <c r="C38" s="45">
        <v>3</v>
      </c>
      <c r="D38" s="45" t="s">
        <v>2513</v>
      </c>
      <c r="E38" t="str">
        <f>+IF(PuntosRanking[[#This Row],[Torneos]]=MAX(PuntosRanking[Torneos]),1,"")</f>
        <v/>
      </c>
      <c r="F38" t="str">
        <f>+PuntosRanking[[#This Row],[Mote]]&amp;"_"&amp;PuntosRanking[[#This Row],[Máximo]]</f>
        <v>Nacho_</v>
      </c>
    </row>
    <row r="39" spans="1:6">
      <c r="A39" t="s">
        <v>268</v>
      </c>
      <c r="B39" s="105"/>
      <c r="C39" s="45">
        <v>3</v>
      </c>
      <c r="D39" s="45" t="s">
        <v>2514</v>
      </c>
      <c r="E39" t="str">
        <f>+IF(PuntosRanking[[#This Row],[Torneos]]=MAX(PuntosRanking[Torneos]),1,"")</f>
        <v/>
      </c>
      <c r="F39" t="str">
        <f>+PuntosRanking[[#This Row],[Mote]]&amp;"_"&amp;PuntosRanking[[#This Row],[Máximo]]</f>
        <v>Santi_</v>
      </c>
    </row>
    <row r="40" spans="1:6">
      <c r="A40" t="s">
        <v>47</v>
      </c>
      <c r="B40" s="105"/>
      <c r="C40" s="45">
        <v>3</v>
      </c>
      <c r="D40" s="45" t="s">
        <v>2515</v>
      </c>
      <c r="E40" t="str">
        <f>+IF(PuntosRanking[[#This Row],[Torneos]]=MAX(PuntosRanking[Torneos]),1,"")</f>
        <v/>
      </c>
      <c r="F40" t="str">
        <f>+PuntosRanking[[#This Row],[Mote]]&amp;"_"&amp;PuntosRanking[[#This Row],[Máximo]]</f>
        <v>Virus_</v>
      </c>
    </row>
    <row r="41" spans="1:6">
      <c r="A41" t="s">
        <v>262</v>
      </c>
      <c r="B41" s="105">
        <v>165</v>
      </c>
      <c r="C41" s="45">
        <v>4</v>
      </c>
      <c r="D41" s="45"/>
      <c r="E41" t="str">
        <f>+IF(PuntosRanking[[#This Row],[Torneos]]=MAX(PuntosRanking[Torneos]),1,"")</f>
        <v/>
      </c>
      <c r="F41" t="str">
        <f>+PuntosRanking[[#This Row],[Mote]]&amp;"_"&amp;PuntosRanking[[#This Row],[Máximo]]</f>
        <v>Alex_</v>
      </c>
    </row>
    <row r="42" spans="1:6">
      <c r="A42" t="s">
        <v>10</v>
      </c>
      <c r="B42" s="105">
        <v>354</v>
      </c>
      <c r="C42" s="45">
        <v>4</v>
      </c>
      <c r="D42" s="45"/>
      <c r="E42" t="str">
        <f>+IF(PuntosRanking[[#This Row],[Torneos]]=MAX(PuntosRanking[Torneos]),1,"")</f>
        <v/>
      </c>
      <c r="F42" t="str">
        <f>+PuntosRanking[[#This Row],[Mote]]&amp;"_"&amp;PuntosRanking[[#This Row],[Máximo]]</f>
        <v>Alfonso_</v>
      </c>
    </row>
    <row r="43" spans="1:6">
      <c r="A43" t="s">
        <v>26</v>
      </c>
      <c r="B43" s="105">
        <v>80</v>
      </c>
      <c r="C43" s="45">
        <v>4</v>
      </c>
      <c r="D43" s="45"/>
      <c r="E43" t="str">
        <f>+IF(PuntosRanking[[#This Row],[Torneos]]=MAX(PuntosRanking[Torneos]),1,"")</f>
        <v/>
      </c>
      <c r="F43" t="str">
        <f>+PuntosRanking[[#This Row],[Mote]]&amp;"_"&amp;PuntosRanking[[#This Row],[Máximo]]</f>
        <v>Alvaro_</v>
      </c>
    </row>
    <row r="44" spans="1:6">
      <c r="A44" t="s">
        <v>34</v>
      </c>
      <c r="B44" s="105">
        <v>447</v>
      </c>
      <c r="C44" s="45">
        <v>4</v>
      </c>
      <c r="D44" s="45"/>
      <c r="E44" t="str">
        <f>+IF(PuntosRanking[[#This Row],[Torneos]]=MAX(PuntosRanking[Torneos]),1,"")</f>
        <v/>
      </c>
      <c r="F44" t="str">
        <f>+PuntosRanking[[#This Row],[Mote]]&amp;"_"&amp;PuntosRanking[[#This Row],[Máximo]]</f>
        <v>Angel_</v>
      </c>
    </row>
    <row r="45" spans="1:6">
      <c r="A45" t="s">
        <v>265</v>
      </c>
      <c r="B45" s="105">
        <v>214</v>
      </c>
      <c r="C45" s="45">
        <v>4</v>
      </c>
      <c r="D45" s="45"/>
      <c r="E45" t="str">
        <f>+IF(PuntosRanking[[#This Row],[Torneos]]=MAX(PuntosRanking[Torneos]),1,"")</f>
        <v/>
      </c>
      <c r="F45" t="str">
        <f>+PuntosRanking[[#This Row],[Mote]]&amp;"_"&amp;PuntosRanking[[#This Row],[Máximo]]</f>
        <v>Antonio_</v>
      </c>
    </row>
    <row r="46" spans="1:6">
      <c r="A46" t="s">
        <v>31</v>
      </c>
      <c r="B46" s="105">
        <v>313</v>
      </c>
      <c r="C46" s="45">
        <v>4</v>
      </c>
      <c r="D46" s="45"/>
      <c r="E46" t="str">
        <f>+IF(PuntosRanking[[#This Row],[Torneos]]=MAX(PuntosRanking[Torneos]),1,"")</f>
        <v/>
      </c>
      <c r="F46" t="str">
        <f>+PuntosRanking[[#This Row],[Mote]]&amp;"_"&amp;PuntosRanking[[#This Row],[Máximo]]</f>
        <v>David_</v>
      </c>
    </row>
    <row r="47" spans="1:6">
      <c r="A47" t="s">
        <v>327</v>
      </c>
      <c r="B47" s="105">
        <v>110</v>
      </c>
      <c r="C47" s="45">
        <v>4</v>
      </c>
      <c r="D47" s="45"/>
      <c r="E47" t="str">
        <f>+IF(PuntosRanking[[#This Row],[Torneos]]=MAX(PuntosRanking[Torneos]),1,"")</f>
        <v/>
      </c>
      <c r="F47" t="str">
        <f>+PuntosRanking[[#This Row],[Mote]]&amp;"_"&amp;PuntosRanking[[#This Row],[Máximo]]</f>
        <v>Eduardo_</v>
      </c>
    </row>
    <row r="48" spans="1:6">
      <c r="A48" t="s">
        <v>249</v>
      </c>
      <c r="B48" s="105">
        <v>323</v>
      </c>
      <c r="C48" s="45">
        <v>4</v>
      </c>
      <c r="D48" s="45"/>
      <c r="E48" t="str">
        <f>+IF(PuntosRanking[[#This Row],[Torneos]]=MAX(PuntosRanking[Torneos]),1,"")</f>
        <v/>
      </c>
      <c r="F48" t="str">
        <f>+PuntosRanking[[#This Row],[Mote]]&amp;"_"&amp;PuntosRanking[[#This Row],[Máximo]]</f>
        <v>Enrique_</v>
      </c>
    </row>
    <row r="49" spans="1:6">
      <c r="A49" t="s">
        <v>50</v>
      </c>
      <c r="B49" s="105">
        <v>259</v>
      </c>
      <c r="C49" s="45">
        <v>4</v>
      </c>
      <c r="D49" s="45"/>
      <c r="E49" t="str">
        <f>+IF(PuntosRanking[[#This Row],[Torneos]]=MAX(PuntosRanking[Torneos]),1,"")</f>
        <v/>
      </c>
      <c r="F49" t="str">
        <f>+PuntosRanking[[#This Row],[Mote]]&amp;"_"&amp;PuntosRanking[[#This Row],[Máximo]]</f>
        <v>Fran_</v>
      </c>
    </row>
    <row r="50" spans="1:6">
      <c r="A50" t="s">
        <v>208</v>
      </c>
      <c r="B50" s="105">
        <v>55</v>
      </c>
      <c r="C50" s="45">
        <v>4</v>
      </c>
      <c r="D50" s="45"/>
      <c r="E50" t="str">
        <f>+IF(PuntosRanking[[#This Row],[Torneos]]=MAX(PuntosRanking[Torneos]),1,"")</f>
        <v/>
      </c>
      <c r="F50" t="str">
        <f>+PuntosRanking[[#This Row],[Mote]]&amp;"_"&amp;PuntosRanking[[#This Row],[Máximo]]</f>
        <v>Franck_</v>
      </c>
    </row>
    <row r="51" spans="1:6">
      <c r="A51" t="s">
        <v>16</v>
      </c>
      <c r="B51" s="105">
        <v>559</v>
      </c>
      <c r="C51" s="45">
        <v>4</v>
      </c>
      <c r="D51" s="45"/>
      <c r="E51" t="str">
        <f>+IF(PuntosRanking[[#This Row],[Torneos]]=MAX(PuntosRanking[Torneos]),1,"")</f>
        <v/>
      </c>
      <c r="F51" t="str">
        <f>+PuntosRanking[[#This Row],[Mote]]&amp;"_"&amp;PuntosRanking[[#This Row],[Máximo]]</f>
        <v>Gifu_</v>
      </c>
    </row>
    <row r="52" spans="1:6">
      <c r="A52" t="s">
        <v>7</v>
      </c>
      <c r="B52" s="105">
        <v>200</v>
      </c>
      <c r="C52" s="45">
        <v>4</v>
      </c>
      <c r="D52" s="45"/>
      <c r="E52" t="str">
        <f>+IF(PuntosRanking[[#This Row],[Torneos]]=MAX(PuntosRanking[Torneos]),1,"")</f>
        <v/>
      </c>
      <c r="F52" t="str">
        <f>+PuntosRanking[[#This Row],[Mote]]&amp;"_"&amp;PuntosRanking[[#This Row],[Máximo]]</f>
        <v>Ignacio_</v>
      </c>
    </row>
    <row r="53" spans="1:6">
      <c r="A53" t="s">
        <v>391</v>
      </c>
      <c r="B53" s="105">
        <v>225</v>
      </c>
      <c r="C53" s="45">
        <v>4</v>
      </c>
      <c r="D53" s="45"/>
      <c r="E53" t="str">
        <f>+IF(PuntosRanking[[#This Row],[Torneos]]=MAX(PuntosRanking[Torneos]),1,"")</f>
        <v/>
      </c>
      <c r="F53" t="str">
        <f>+PuntosRanking[[#This Row],[Mote]]&amp;"_"&amp;PuntosRanking[[#This Row],[Máximo]]</f>
        <v>J Antonio_</v>
      </c>
    </row>
    <row r="54" spans="1:6">
      <c r="A54" t="s">
        <v>329</v>
      </c>
      <c r="B54" s="105">
        <v>725</v>
      </c>
      <c r="C54" s="45">
        <v>4</v>
      </c>
      <c r="D54" s="45"/>
      <c r="E54" t="str">
        <f>+IF(PuntosRanking[[#This Row],[Torneos]]=MAX(PuntosRanking[Torneos]),1,"")</f>
        <v/>
      </c>
      <c r="F54" t="str">
        <f>+PuntosRanking[[#This Row],[Mote]]&amp;"_"&amp;PuntosRanking[[#This Row],[Máximo]]</f>
        <v>J.Arcos_</v>
      </c>
    </row>
    <row r="55" spans="1:6">
      <c r="A55" t="s">
        <v>21</v>
      </c>
      <c r="B55" s="105">
        <v>635</v>
      </c>
      <c r="C55" s="45">
        <v>4</v>
      </c>
      <c r="D55" s="45"/>
      <c r="E55" t="str">
        <f>+IF(PuntosRanking[[#This Row],[Torneos]]=MAX(PuntosRanking[Torneos]),1,"")</f>
        <v/>
      </c>
      <c r="F55" t="str">
        <f>+PuntosRanking[[#This Row],[Mote]]&amp;"_"&amp;PuntosRanking[[#This Row],[Máximo]]</f>
        <v>Javi_</v>
      </c>
    </row>
    <row r="56" spans="1:6">
      <c r="A56" t="s">
        <v>42</v>
      </c>
      <c r="B56" s="105">
        <v>382</v>
      </c>
      <c r="C56" s="45">
        <v>4</v>
      </c>
      <c r="D56" s="45"/>
      <c r="E56" t="str">
        <f>+IF(PuntosRanking[[#This Row],[Torneos]]=MAX(PuntosRanking[Torneos]),1,"")</f>
        <v/>
      </c>
      <c r="F56" t="str">
        <f>+PuntosRanking[[#This Row],[Mote]]&amp;"_"&amp;PuntosRanking[[#This Row],[Máximo]]</f>
        <v>Jesús_</v>
      </c>
    </row>
    <row r="57" spans="1:6">
      <c r="A57" t="s">
        <v>382</v>
      </c>
      <c r="B57" s="105">
        <v>397</v>
      </c>
      <c r="C57" s="45">
        <v>4</v>
      </c>
      <c r="D57" s="45"/>
      <c r="E57" t="str">
        <f>+IF(PuntosRanking[[#This Row],[Torneos]]=MAX(PuntosRanking[Torneos]),1,"")</f>
        <v/>
      </c>
      <c r="F57" t="str">
        <f>+PuntosRanking[[#This Row],[Mote]]&amp;"_"&amp;PuntosRanking[[#This Row],[Máximo]]</f>
        <v>Jorge_</v>
      </c>
    </row>
    <row r="58" spans="1:6">
      <c r="A58" t="s">
        <v>19</v>
      </c>
      <c r="B58" s="105">
        <v>727</v>
      </c>
      <c r="C58" s="45">
        <v>4</v>
      </c>
      <c r="D58" s="45"/>
      <c r="E58" t="str">
        <f>+IF(PuntosRanking[[#This Row],[Torneos]]=MAX(PuntosRanking[Torneos]),1,"")</f>
        <v/>
      </c>
      <c r="F58" t="str">
        <f>+PuntosRanking[[#This Row],[Mote]]&amp;"_"&amp;PuntosRanking[[#This Row],[Máximo]]</f>
        <v>JP_</v>
      </c>
    </row>
    <row r="59" spans="1:6">
      <c r="A59" t="s">
        <v>381</v>
      </c>
      <c r="B59" s="105">
        <v>610</v>
      </c>
      <c r="C59" s="45">
        <v>4</v>
      </c>
      <c r="D59" s="45"/>
      <c r="E59" t="str">
        <f>+IF(PuntosRanking[[#This Row],[Torneos]]=MAX(PuntosRanking[Torneos]),1,"")</f>
        <v/>
      </c>
      <c r="F59" t="str">
        <f>+PuntosRanking[[#This Row],[Mote]]&amp;"_"&amp;PuntosRanking[[#This Row],[Máximo]]</f>
        <v>Juancho_</v>
      </c>
    </row>
    <row r="60" spans="1:6">
      <c r="A60" t="s">
        <v>36</v>
      </c>
      <c r="B60" s="105">
        <v>1070</v>
      </c>
      <c r="C60" s="45">
        <v>4</v>
      </c>
      <c r="D60" s="45"/>
      <c r="E60" t="str">
        <f>+IF(PuntosRanking[[#This Row],[Torneos]]=MAX(PuntosRanking[Torneos]),1,"")</f>
        <v/>
      </c>
      <c r="F60" t="str">
        <f>+PuntosRanking[[#This Row],[Mote]]&amp;"_"&amp;PuntosRanking[[#This Row],[Máximo]]</f>
        <v>Juanjo_</v>
      </c>
    </row>
    <row r="61" spans="1:6">
      <c r="A61" t="s">
        <v>24</v>
      </c>
      <c r="B61" s="105">
        <v>101</v>
      </c>
      <c r="C61" s="45">
        <v>4</v>
      </c>
      <c r="D61" s="45"/>
      <c r="E61" t="str">
        <f>+IF(PuntosRanking[[#This Row],[Torneos]]=MAX(PuntosRanking[Torneos]),1,"")</f>
        <v/>
      </c>
      <c r="F61" t="str">
        <f>+PuntosRanking[[#This Row],[Mote]]&amp;"_"&amp;PuntosRanking[[#This Row],[Máximo]]</f>
        <v>Kike_</v>
      </c>
    </row>
    <row r="62" spans="1:6">
      <c r="A62" t="s">
        <v>376</v>
      </c>
      <c r="B62" s="105">
        <v>221</v>
      </c>
      <c r="C62" s="45">
        <v>4</v>
      </c>
      <c r="D62" s="45"/>
      <c r="E62" t="str">
        <f>+IF(PuntosRanking[[#This Row],[Torneos]]=MAX(PuntosRanking[Torneos]),1,"")</f>
        <v/>
      </c>
      <c r="F62" t="str">
        <f>+PuntosRanking[[#This Row],[Mote]]&amp;"_"&amp;PuntosRanking[[#This Row],[Máximo]]</f>
        <v>Luis_</v>
      </c>
    </row>
    <row r="63" spans="1:6">
      <c r="A63" t="s">
        <v>123</v>
      </c>
      <c r="B63" s="105">
        <v>119</v>
      </c>
      <c r="C63" s="45">
        <v>4</v>
      </c>
      <c r="D63" s="45"/>
      <c r="E63" t="str">
        <f>+IF(PuntosRanking[[#This Row],[Torneos]]=MAX(PuntosRanking[Torneos]),1,"")</f>
        <v/>
      </c>
      <c r="F63" t="str">
        <f>+PuntosRanking[[#This Row],[Mote]]&amp;"_"&amp;PuntosRanking[[#This Row],[Máximo]]</f>
        <v>Miche_</v>
      </c>
    </row>
    <row r="64" spans="1:6">
      <c r="A64" t="s">
        <v>202</v>
      </c>
      <c r="B64" s="105">
        <v>510</v>
      </c>
      <c r="C64" s="45">
        <v>4</v>
      </c>
      <c r="D64" s="45"/>
      <c r="E64" t="str">
        <f>+IF(PuntosRanking[[#This Row],[Torneos]]=MAX(PuntosRanking[Torneos]),1,"")</f>
        <v/>
      </c>
      <c r="F64" t="str">
        <f>+PuntosRanking[[#This Row],[Mote]]&amp;"_"&amp;PuntosRanking[[#This Row],[Máximo]]</f>
        <v>Monti_</v>
      </c>
    </row>
    <row r="65" spans="1:6">
      <c r="A65" t="s">
        <v>206</v>
      </c>
      <c r="B65" s="105">
        <v>1161</v>
      </c>
      <c r="C65" s="45">
        <v>4</v>
      </c>
      <c r="D65" s="45"/>
      <c r="E65" t="str">
        <f>+IF(PuntosRanking[[#This Row],[Torneos]]=MAX(PuntosRanking[Torneos]),1,"")</f>
        <v/>
      </c>
      <c r="F65" t="str">
        <f>+PuntosRanking[[#This Row],[Mote]]&amp;"_"&amp;PuntosRanking[[#This Row],[Máximo]]</f>
        <v>Nachete_</v>
      </c>
    </row>
    <row r="66" spans="1:6">
      <c r="A66" t="s">
        <v>4</v>
      </c>
      <c r="B66" s="105">
        <v>149</v>
      </c>
      <c r="C66" s="45">
        <v>4</v>
      </c>
      <c r="D66" s="45"/>
      <c r="E66" t="str">
        <f>+IF(PuntosRanking[[#This Row],[Torneos]]=MAX(PuntosRanking[Torneos]),1,"")</f>
        <v/>
      </c>
      <c r="F66" t="str">
        <f>+PuntosRanking[[#This Row],[Mote]]&amp;"_"&amp;PuntosRanking[[#This Row],[Máximo]]</f>
        <v>Nacho_</v>
      </c>
    </row>
    <row r="67" spans="1:6">
      <c r="A67" t="s">
        <v>13</v>
      </c>
      <c r="B67" s="105">
        <v>220</v>
      </c>
      <c r="C67" s="45">
        <v>4</v>
      </c>
      <c r="D67" s="45"/>
      <c r="E67" t="str">
        <f>+IF(PuntosRanking[[#This Row],[Torneos]]=MAX(PuntosRanking[Torneos]),1,"")</f>
        <v/>
      </c>
      <c r="F67" t="str">
        <f>+PuntosRanking[[#This Row],[Mote]]&amp;"_"&amp;PuntosRanking[[#This Row],[Máximo]]</f>
        <v>Paco_</v>
      </c>
    </row>
    <row r="68" spans="1:6">
      <c r="A68" t="s">
        <v>204</v>
      </c>
      <c r="B68" s="105">
        <v>208</v>
      </c>
      <c r="C68" s="45">
        <v>4</v>
      </c>
      <c r="D68" s="45"/>
      <c r="E68" t="str">
        <f>+IF(PuntosRanking[[#This Row],[Torneos]]=MAX(PuntosRanking[Torneos]),1,"")</f>
        <v/>
      </c>
      <c r="F68" t="str">
        <f>+PuntosRanking[[#This Row],[Mote]]&amp;"_"&amp;PuntosRanking[[#This Row],[Máximo]]</f>
        <v>Rus_</v>
      </c>
    </row>
    <row r="69" spans="1:6">
      <c r="A69" t="s">
        <v>47</v>
      </c>
      <c r="B69" s="105">
        <v>113</v>
      </c>
      <c r="C69" s="45">
        <v>4</v>
      </c>
      <c r="D69" s="45"/>
      <c r="E69" t="str">
        <f>+IF(PuntosRanking[[#This Row],[Torneos]]=MAX(PuntosRanking[Torneos]),1,"")</f>
        <v/>
      </c>
      <c r="F69" t="str">
        <f>+PuntosRanking[[#This Row],[Mote]]&amp;"_"&amp;PuntosRanking[[#This Row],[Máximo]]</f>
        <v>Virus_</v>
      </c>
    </row>
    <row r="70" spans="1:6">
      <c r="A70" t="s">
        <v>2517</v>
      </c>
      <c r="B70" s="105">
        <v>557</v>
      </c>
      <c r="C70" s="45">
        <v>4</v>
      </c>
      <c r="D70" s="45"/>
      <c r="E70" t="str">
        <f>+IF(PuntosRanking[[#This Row],[Torneos]]=MAX(PuntosRanking[Torneos]),1,"")</f>
        <v/>
      </c>
      <c r="F70" t="str">
        <f>+PuntosRanking[[#This Row],[Mote]]&amp;"_"&amp;PuntosRanking[[#This Row],[Máximo]]</f>
        <v>JuanSanz_</v>
      </c>
    </row>
    <row r="71" spans="1:6">
      <c r="A71" t="s">
        <v>230</v>
      </c>
      <c r="B71" s="105"/>
      <c r="C71" s="45">
        <v>4</v>
      </c>
      <c r="D71" s="45"/>
      <c r="E71" t="str">
        <f>+IF(PuntosRanking[[#This Row],[Torneos]]=MAX(PuntosRanking[Torneos]),1,"")</f>
        <v/>
      </c>
      <c r="F71" t="str">
        <f>+PuntosRanking[[#This Row],[Mote]]&amp;"_"&amp;PuntosRanking[[#This Row],[Máximo]]</f>
        <v>A Zorrilla_</v>
      </c>
    </row>
    <row r="72" spans="1:6">
      <c r="A72" t="s">
        <v>78</v>
      </c>
      <c r="B72" s="105"/>
      <c r="C72" s="45">
        <v>4</v>
      </c>
      <c r="D72" s="45"/>
      <c r="E72" t="str">
        <f>+IF(PuntosRanking[[#This Row],[Torneos]]=MAX(PuntosRanking[Torneos]),1,"")</f>
        <v/>
      </c>
      <c r="F72" t="str">
        <f>+PuntosRanking[[#This Row],[Mote]]&amp;"_"&amp;PuntosRanking[[#This Row],[Máximo]]</f>
        <v>Campo_</v>
      </c>
    </row>
    <row r="73" spans="1:6">
      <c r="A73" t="s">
        <v>431</v>
      </c>
      <c r="B73" s="105"/>
      <c r="C73" s="45">
        <v>4</v>
      </c>
      <c r="D73" s="45"/>
      <c r="E73" t="str">
        <f>+IF(PuntosRanking[[#This Row],[Torneos]]=MAX(PuntosRanking[Torneos]),1,"")</f>
        <v/>
      </c>
      <c r="F73" t="str">
        <f>+PuntosRanking[[#This Row],[Mote]]&amp;"_"&amp;PuntosRanking[[#This Row],[Máximo]]</f>
        <v>Carlitos_</v>
      </c>
    </row>
    <row r="74" spans="1:6">
      <c r="A74" t="s">
        <v>226</v>
      </c>
      <c r="B74" s="105"/>
      <c r="C74" s="45">
        <v>4</v>
      </c>
      <c r="D74" s="45"/>
      <c r="E74" t="str">
        <f>+IF(PuntosRanking[[#This Row],[Torneos]]=MAX(PuntosRanking[Torneos]),1,"")</f>
        <v/>
      </c>
      <c r="F74" t="str">
        <f>+PuntosRanking[[#This Row],[Mote]]&amp;"_"&amp;PuntosRanking[[#This Row],[Máximo]]</f>
        <v>Chiralt_</v>
      </c>
    </row>
    <row r="75" spans="1:6">
      <c r="A75" t="s">
        <v>218</v>
      </c>
      <c r="B75" s="105"/>
      <c r="C75" s="45">
        <v>4</v>
      </c>
      <c r="D75" s="45"/>
      <c r="E75" t="str">
        <f>+IF(PuntosRanking[[#This Row],[Torneos]]=MAX(PuntosRanking[Torneos]),1,"")</f>
        <v/>
      </c>
      <c r="F75" t="str">
        <f>+PuntosRanking[[#This Row],[Mote]]&amp;"_"&amp;PuntosRanking[[#This Row],[Máximo]]</f>
        <v>Cuñao_</v>
      </c>
    </row>
    <row r="76" spans="1:6">
      <c r="A76" t="s">
        <v>339</v>
      </c>
      <c r="B76" s="105"/>
      <c r="C76" s="45">
        <v>4</v>
      </c>
      <c r="D76" s="45"/>
      <c r="E76" t="str">
        <f>+IF(PuntosRanking[[#This Row],[Torneos]]=MAX(PuntosRanking[Torneos]),1,"")</f>
        <v/>
      </c>
      <c r="F76" t="str">
        <f>+PuntosRanking[[#This Row],[Mote]]&amp;"_"&amp;PuntosRanking[[#This Row],[Máximo]]</f>
        <v>Emi_</v>
      </c>
    </row>
    <row r="77" spans="1:6">
      <c r="A77" t="s">
        <v>299</v>
      </c>
      <c r="B77" s="105"/>
      <c r="C77" s="45">
        <v>4</v>
      </c>
      <c r="D77" s="45"/>
      <c r="E77" t="str">
        <f>+IF(PuntosRanking[[#This Row],[Torneos]]=MAX(PuntosRanking[Torneos]),1,"")</f>
        <v/>
      </c>
      <c r="F77" t="str">
        <f>+PuntosRanking[[#This Row],[Mote]]&amp;"_"&amp;PuntosRanking[[#This Row],[Máximo]]</f>
        <v>I Gracia_</v>
      </c>
    </row>
    <row r="78" spans="1:6">
      <c r="A78" t="s">
        <v>292</v>
      </c>
      <c r="B78" s="105"/>
      <c r="C78" s="45">
        <v>4</v>
      </c>
      <c r="D78" s="45"/>
      <c r="E78" t="str">
        <f>+IF(PuntosRanking[[#This Row],[Torneos]]=MAX(PuntosRanking[Torneos]),1,"")</f>
        <v/>
      </c>
      <c r="F78" t="str">
        <f>+PuntosRanking[[#This Row],[Mote]]&amp;"_"&amp;PuntosRanking[[#This Row],[Máximo]]</f>
        <v>Jaime_</v>
      </c>
    </row>
    <row r="79" spans="1:6">
      <c r="A79" t="s">
        <v>384</v>
      </c>
      <c r="B79" s="105"/>
      <c r="C79" s="45">
        <v>4</v>
      </c>
      <c r="D79" s="45"/>
      <c r="E79" t="str">
        <f>+IF(PuntosRanking[[#This Row],[Torneos]]=MAX(PuntosRanking[Torneos]),1,"")</f>
        <v/>
      </c>
      <c r="F79" t="str">
        <f>+PuntosRanking[[#This Row],[Mote]]&amp;"_"&amp;PuntosRanking[[#This Row],[Máximo]]</f>
        <v>Juan Luis_</v>
      </c>
    </row>
    <row r="80" spans="1:6">
      <c r="A80" t="s">
        <v>268</v>
      </c>
      <c r="B80" s="105"/>
      <c r="C80" s="45">
        <v>4</v>
      </c>
      <c r="D80" s="45"/>
      <c r="E80" t="str">
        <f>+IF(PuntosRanking[[#This Row],[Torneos]]=MAX(PuntosRanking[Torneos]),1,"")</f>
        <v/>
      </c>
      <c r="F80" t="str">
        <f>+PuntosRanking[[#This Row],[Mote]]&amp;"_"&amp;PuntosRanking[[#This Row],[Máximo]]</f>
        <v>Santi_</v>
      </c>
    </row>
    <row r="81" spans="1:9">
      <c r="A81" t="s">
        <v>262</v>
      </c>
      <c r="B81" s="105">
        <v>165</v>
      </c>
      <c r="C81" s="45">
        <v>5</v>
      </c>
      <c r="D81" s="45"/>
      <c r="E81" t="str">
        <f>+IF(PuntosRanking[[#This Row],[Torneos]]=MAX(PuntosRanking[Torneos]),1,"")</f>
        <v/>
      </c>
      <c r="F81" t="str">
        <f>+PuntosRanking[[#This Row],[Mote]]&amp;"_"&amp;PuntosRanking[[#This Row],[Máximo]]</f>
        <v>Alex_</v>
      </c>
      <c r="H81" s="32" t="s">
        <v>262</v>
      </c>
      <c r="I81" t="str">
        <f>+VLOOKUP(H81&amp;"_1",PuntosRanking[Columna1],1,FALSE)</f>
        <v>Alex_1</v>
      </c>
    </row>
    <row r="82" spans="1:9">
      <c r="A82" t="s">
        <v>10</v>
      </c>
      <c r="B82" s="105">
        <v>404</v>
      </c>
      <c r="C82" s="45">
        <v>5</v>
      </c>
      <c r="D82" s="45"/>
      <c r="E82" t="str">
        <f>+IF(PuntosRanking[[#This Row],[Torneos]]=MAX(PuntosRanking[Torneos]),1,"")</f>
        <v/>
      </c>
      <c r="F82" t="str">
        <f>+PuntosRanking[[#This Row],[Mote]]&amp;"_"&amp;PuntosRanking[[#This Row],[Máximo]]</f>
        <v>Alfonso_</v>
      </c>
      <c r="H82" s="47" t="s">
        <v>10</v>
      </c>
      <c r="I82" t="str">
        <f>+VLOOKUP(H82&amp;"_1",PuntosRanking[Columna1],1,FALSE)</f>
        <v>Alfonso_1</v>
      </c>
    </row>
    <row r="83" spans="1:9">
      <c r="A83" t="s">
        <v>26</v>
      </c>
      <c r="B83" s="105">
        <v>144</v>
      </c>
      <c r="C83" s="45">
        <v>5</v>
      </c>
      <c r="D83" s="45"/>
      <c r="E83" t="str">
        <f>+IF(PuntosRanking[[#This Row],[Torneos]]=MAX(PuntosRanking[Torneos]),1,"")</f>
        <v/>
      </c>
      <c r="F83" t="str">
        <f>+PuntosRanking[[#This Row],[Mote]]&amp;"_"&amp;PuntosRanking[[#This Row],[Máximo]]</f>
        <v>Alvaro_</v>
      </c>
      <c r="H83" s="32" t="s">
        <v>26</v>
      </c>
      <c r="I83" t="str">
        <f>+VLOOKUP(H83&amp;"_1",PuntosRanking[Columna1],1,FALSE)</f>
        <v>Alvaro_1</v>
      </c>
    </row>
    <row r="84" spans="1:9">
      <c r="A84" t="s">
        <v>34</v>
      </c>
      <c r="B84" s="105">
        <v>567</v>
      </c>
      <c r="C84" s="45">
        <v>5</v>
      </c>
      <c r="D84" s="45"/>
      <c r="E84" t="str">
        <f>+IF(PuntosRanking[[#This Row],[Torneos]]=MAX(PuntosRanking[Torneos]),1,"")</f>
        <v/>
      </c>
      <c r="F84" t="str">
        <f>+PuntosRanking[[#This Row],[Mote]]&amp;"_"&amp;PuntosRanking[[#This Row],[Máximo]]</f>
        <v>Angel_</v>
      </c>
      <c r="H84" s="47" t="s">
        <v>34</v>
      </c>
      <c r="I84" t="str">
        <f>+VLOOKUP(H84&amp;"_1",PuntosRanking[Columna1],1,FALSE)</f>
        <v>Angel_1</v>
      </c>
    </row>
    <row r="85" spans="1:9">
      <c r="A85" t="s">
        <v>265</v>
      </c>
      <c r="B85" s="105">
        <v>226</v>
      </c>
      <c r="C85" s="45">
        <v>5</v>
      </c>
      <c r="D85" s="45"/>
      <c r="E85" t="str">
        <f>+IF(PuntosRanking[[#This Row],[Torneos]]=MAX(PuntosRanking[Torneos]),1,"")</f>
        <v/>
      </c>
      <c r="F85" t="str">
        <f>+PuntosRanking[[#This Row],[Mote]]&amp;"_"&amp;PuntosRanking[[#This Row],[Máximo]]</f>
        <v>Antonio_</v>
      </c>
      <c r="H85" s="32" t="s">
        <v>265</v>
      </c>
      <c r="I85" t="str">
        <f>+VLOOKUP(H85&amp;"_1",PuntosRanking[Columna1],1,FALSE)</f>
        <v>Antonio_1</v>
      </c>
    </row>
    <row r="86" spans="1:9">
      <c r="A86" t="s">
        <v>31</v>
      </c>
      <c r="B86" s="105">
        <v>313</v>
      </c>
      <c r="C86" s="45">
        <v>5</v>
      </c>
      <c r="D86" s="45"/>
      <c r="E86" t="str">
        <f>+IF(PuntosRanking[[#This Row],[Torneos]]=MAX(PuntosRanking[Torneos]),1,"")</f>
        <v/>
      </c>
      <c r="F86" t="str">
        <f>+PuntosRanking[[#This Row],[Mote]]&amp;"_"&amp;PuntosRanking[[#This Row],[Máximo]]</f>
        <v>David_</v>
      </c>
      <c r="H86" s="47" t="s">
        <v>31</v>
      </c>
      <c r="I86" t="str">
        <f>+VLOOKUP(H86&amp;"_1",PuntosRanking[Columna1],1,FALSE)</f>
        <v>David_1</v>
      </c>
    </row>
    <row r="87" spans="1:9">
      <c r="A87" t="s">
        <v>327</v>
      </c>
      <c r="B87" s="105">
        <v>110</v>
      </c>
      <c r="C87" s="45">
        <v>5</v>
      </c>
      <c r="D87" s="45"/>
      <c r="E87" t="str">
        <f>+IF(PuntosRanking[[#This Row],[Torneos]]=MAX(PuntosRanking[Torneos]),1,"")</f>
        <v/>
      </c>
      <c r="F87" t="str">
        <f>+PuntosRanking[[#This Row],[Mote]]&amp;"_"&amp;PuntosRanking[[#This Row],[Máximo]]</f>
        <v>Eduardo_</v>
      </c>
      <c r="H87" s="32" t="s">
        <v>327</v>
      </c>
      <c r="I87" t="str">
        <f>+VLOOKUP(H87&amp;"_1",PuntosRanking[Columna1],1,FALSE)</f>
        <v>Eduardo_1</v>
      </c>
    </row>
    <row r="88" spans="1:9">
      <c r="A88" t="s">
        <v>249</v>
      </c>
      <c r="B88" s="105">
        <v>323</v>
      </c>
      <c r="C88" s="45">
        <v>5</v>
      </c>
      <c r="D88" s="45"/>
      <c r="E88" t="str">
        <f>+IF(PuntosRanking[[#This Row],[Torneos]]=MAX(PuntosRanking[Torneos]),1,"")</f>
        <v/>
      </c>
      <c r="F88" t="str">
        <f>+PuntosRanking[[#This Row],[Mote]]&amp;"_"&amp;PuntosRanking[[#This Row],[Máximo]]</f>
        <v>Enrique_</v>
      </c>
      <c r="H88" s="47" t="s">
        <v>249</v>
      </c>
      <c r="I88" t="str">
        <f>+VLOOKUP(H88&amp;"_1",PuntosRanking[Columna1],1,FALSE)</f>
        <v>Enrique_1</v>
      </c>
    </row>
    <row r="89" spans="1:9">
      <c r="A89" t="s">
        <v>50</v>
      </c>
      <c r="B89" s="105">
        <v>294</v>
      </c>
      <c r="C89" s="45">
        <v>5</v>
      </c>
      <c r="D89" s="45"/>
      <c r="E89" t="str">
        <f>+IF(PuntosRanking[[#This Row],[Torneos]]=MAX(PuntosRanking[Torneos]),1,"")</f>
        <v/>
      </c>
      <c r="F89" t="str">
        <f>+PuntosRanking[[#This Row],[Mote]]&amp;"_"&amp;PuntosRanking[[#This Row],[Máximo]]</f>
        <v>Fran_</v>
      </c>
      <c r="H89" s="32" t="s">
        <v>50</v>
      </c>
      <c r="I89" t="str">
        <f>+VLOOKUP(H89&amp;"_1",PuntosRanking[Columna1],1,FALSE)</f>
        <v>Fran_1</v>
      </c>
    </row>
    <row r="90" spans="1:9">
      <c r="A90" t="s">
        <v>208</v>
      </c>
      <c r="B90" s="105">
        <v>55</v>
      </c>
      <c r="C90" s="45">
        <v>5</v>
      </c>
      <c r="D90" s="45"/>
      <c r="E90" t="str">
        <f>+IF(PuntosRanking[[#This Row],[Torneos]]=MAX(PuntosRanking[Torneos]),1,"")</f>
        <v/>
      </c>
      <c r="F90" t="str">
        <f>+PuntosRanking[[#This Row],[Mote]]&amp;"_"&amp;PuntosRanking[[#This Row],[Máximo]]</f>
        <v>Franck_</v>
      </c>
      <c r="H90" s="47" t="s">
        <v>208</v>
      </c>
      <c r="I90" t="str">
        <f>+VLOOKUP(H90&amp;"_1",PuntosRanking[Columna1],1,FALSE)</f>
        <v>Franck_1</v>
      </c>
    </row>
    <row r="91" spans="1:9">
      <c r="A91" t="s">
        <v>16</v>
      </c>
      <c r="B91" s="105">
        <v>559</v>
      </c>
      <c r="C91" s="45">
        <v>5</v>
      </c>
      <c r="D91" s="45"/>
      <c r="E91" t="str">
        <f>+IF(PuntosRanking[[#This Row],[Torneos]]=MAX(PuntosRanking[Torneos]),1,"")</f>
        <v/>
      </c>
      <c r="F91" t="str">
        <f>+PuntosRanking[[#This Row],[Mote]]&amp;"_"&amp;PuntosRanking[[#This Row],[Máximo]]</f>
        <v>Gifu_</v>
      </c>
      <c r="H91" s="32" t="s">
        <v>16</v>
      </c>
      <c r="I91" t="str">
        <f>+VLOOKUP(H91&amp;"_1",PuntosRanking[Columna1],1,FALSE)</f>
        <v>Gifu_1</v>
      </c>
    </row>
    <row r="92" spans="1:9">
      <c r="A92" t="s">
        <v>7</v>
      </c>
      <c r="B92" s="105">
        <v>200</v>
      </c>
      <c r="C92" s="45">
        <v>5</v>
      </c>
      <c r="D92" s="45"/>
      <c r="E92" t="str">
        <f>+IF(PuntosRanking[[#This Row],[Torneos]]=MAX(PuntosRanking[Torneos]),1,"")</f>
        <v/>
      </c>
      <c r="F92" t="str">
        <f>+PuntosRanking[[#This Row],[Mote]]&amp;"_"&amp;PuntosRanking[[#This Row],[Máximo]]</f>
        <v>Ignacio_</v>
      </c>
      <c r="H92" s="47" t="s">
        <v>7</v>
      </c>
      <c r="I92" t="str">
        <f>+VLOOKUP(H92&amp;"_1",PuntosRanking[Columna1],1,FALSE)</f>
        <v>Ignacio_1</v>
      </c>
    </row>
    <row r="93" spans="1:9">
      <c r="A93" t="s">
        <v>391</v>
      </c>
      <c r="B93" s="105">
        <v>297</v>
      </c>
      <c r="C93" s="45">
        <v>5</v>
      </c>
      <c r="D93" s="45"/>
      <c r="E93" t="str">
        <f>+IF(PuntosRanking[[#This Row],[Torneos]]=MAX(PuntosRanking[Torneos]),1,"")</f>
        <v/>
      </c>
      <c r="F93" t="str">
        <f>+PuntosRanking[[#This Row],[Mote]]&amp;"_"&amp;PuntosRanking[[#This Row],[Máximo]]</f>
        <v>J Antonio_</v>
      </c>
      <c r="H93" s="32" t="s">
        <v>391</v>
      </c>
      <c r="I93" t="str">
        <f>+VLOOKUP(H93&amp;"_1",PuntosRanking[Columna1],1,FALSE)</f>
        <v>J Antonio_1</v>
      </c>
    </row>
    <row r="94" spans="1:9">
      <c r="A94" t="s">
        <v>329</v>
      </c>
      <c r="B94" s="105">
        <v>725</v>
      </c>
      <c r="C94" s="45">
        <v>5</v>
      </c>
      <c r="D94" s="45"/>
      <c r="E94" t="str">
        <f>+IF(PuntosRanking[[#This Row],[Torneos]]=MAX(PuntosRanking[Torneos]),1,"")</f>
        <v/>
      </c>
      <c r="F94" t="str">
        <f>+PuntosRanking[[#This Row],[Mote]]&amp;"_"&amp;PuntosRanking[[#This Row],[Máximo]]</f>
        <v>J.Arcos_</v>
      </c>
      <c r="H94" s="47" t="s">
        <v>329</v>
      </c>
      <c r="I94" t="str">
        <f>+VLOOKUP(H94&amp;"_1",PuntosRanking[Columna1],1,FALSE)</f>
        <v>J.Arcos_1</v>
      </c>
    </row>
    <row r="95" spans="1:9">
      <c r="A95" t="s">
        <v>21</v>
      </c>
      <c r="B95" s="105">
        <v>680</v>
      </c>
      <c r="C95" s="45">
        <v>5</v>
      </c>
      <c r="D95" s="45"/>
      <c r="E95" t="str">
        <f>+IF(PuntosRanking[[#This Row],[Torneos]]=MAX(PuntosRanking[Torneos]),1,"")</f>
        <v/>
      </c>
      <c r="F95" t="str">
        <f>+PuntosRanking[[#This Row],[Mote]]&amp;"_"&amp;PuntosRanking[[#This Row],[Máximo]]</f>
        <v>Javi_</v>
      </c>
      <c r="H95" s="32" t="s">
        <v>21</v>
      </c>
      <c r="I95" t="str">
        <f>+VLOOKUP(H95&amp;"_1",PuntosRanking[Columna1],1,FALSE)</f>
        <v>Javi_1</v>
      </c>
    </row>
    <row r="96" spans="1:9">
      <c r="A96" t="s">
        <v>42</v>
      </c>
      <c r="B96" s="105">
        <v>419</v>
      </c>
      <c r="C96" s="45">
        <v>5</v>
      </c>
      <c r="D96" s="45"/>
      <c r="E96" t="str">
        <f>+IF(PuntosRanking[[#This Row],[Torneos]]=MAX(PuntosRanking[Torneos]),1,"")</f>
        <v/>
      </c>
      <c r="F96" t="str">
        <f>+PuntosRanking[[#This Row],[Mote]]&amp;"_"&amp;PuntosRanking[[#This Row],[Máximo]]</f>
        <v>Jesús_</v>
      </c>
      <c r="H96" s="47" t="s">
        <v>42</v>
      </c>
      <c r="I96" t="str">
        <f>+VLOOKUP(H96&amp;"_1",PuntosRanking[Columna1],1,FALSE)</f>
        <v>Jesús_1</v>
      </c>
    </row>
    <row r="97" spans="1:9">
      <c r="A97" t="s">
        <v>382</v>
      </c>
      <c r="B97" s="105">
        <v>490</v>
      </c>
      <c r="C97" s="45">
        <v>5</v>
      </c>
      <c r="D97" s="45"/>
      <c r="E97" t="str">
        <f>+IF(PuntosRanking[[#This Row],[Torneos]]=MAX(PuntosRanking[Torneos]),1,"")</f>
        <v/>
      </c>
      <c r="F97" t="str">
        <f>+PuntosRanking[[#This Row],[Mote]]&amp;"_"&amp;PuntosRanking[[#This Row],[Máximo]]</f>
        <v>Jorge_</v>
      </c>
      <c r="H97" s="32" t="s">
        <v>382</v>
      </c>
      <c r="I97" t="str">
        <f>+VLOOKUP(H97&amp;"_1",PuntosRanking[Columna1],1,FALSE)</f>
        <v>Jorge_1</v>
      </c>
    </row>
    <row r="98" spans="1:9">
      <c r="A98" t="s">
        <v>19</v>
      </c>
      <c r="B98" s="105">
        <v>727</v>
      </c>
      <c r="C98" s="45">
        <v>5</v>
      </c>
      <c r="D98" s="45"/>
      <c r="E98" t="str">
        <f>+IF(PuntosRanking[[#This Row],[Torneos]]=MAX(PuntosRanking[Torneos]),1,"")</f>
        <v/>
      </c>
      <c r="F98" t="str">
        <f>+PuntosRanking[[#This Row],[Mote]]&amp;"_"&amp;PuntosRanking[[#This Row],[Máximo]]</f>
        <v>JP_</v>
      </c>
      <c r="H98" s="47" t="s">
        <v>19</v>
      </c>
      <c r="I98" t="str">
        <f>+VLOOKUP(H98&amp;"_1",PuntosRanking[Columna1],1,FALSE)</f>
        <v>JP_1</v>
      </c>
    </row>
    <row r="99" spans="1:9">
      <c r="A99" t="s">
        <v>381</v>
      </c>
      <c r="B99" s="105">
        <v>610</v>
      </c>
      <c r="C99" s="45">
        <v>5</v>
      </c>
      <c r="D99" s="45"/>
      <c r="E99" t="str">
        <f>+IF(PuntosRanking[[#This Row],[Torneos]]=MAX(PuntosRanking[Torneos]),1,"")</f>
        <v/>
      </c>
      <c r="F99" t="str">
        <f>+PuntosRanking[[#This Row],[Mote]]&amp;"_"&amp;PuntosRanking[[#This Row],[Máximo]]</f>
        <v>Juancho_</v>
      </c>
      <c r="H99" s="32" t="s">
        <v>381</v>
      </c>
      <c r="I99" t="str">
        <f>+VLOOKUP(H99&amp;"_1",PuntosRanking[Columna1],1,FALSE)</f>
        <v>Juancho_1</v>
      </c>
    </row>
    <row r="100" spans="1:9">
      <c r="A100" t="s">
        <v>36</v>
      </c>
      <c r="B100" s="105">
        <v>1070</v>
      </c>
      <c r="C100" s="45">
        <v>5</v>
      </c>
      <c r="D100" s="45"/>
      <c r="E100" t="str">
        <f>+IF(PuntosRanking[[#This Row],[Torneos]]=MAX(PuntosRanking[Torneos]),1,"")</f>
        <v/>
      </c>
      <c r="F100" t="str">
        <f>+PuntosRanking[[#This Row],[Mote]]&amp;"_"&amp;PuntosRanking[[#This Row],[Máximo]]</f>
        <v>Juanjo_</v>
      </c>
      <c r="H100" s="47" t="s">
        <v>36</v>
      </c>
      <c r="I100" t="str">
        <f>+VLOOKUP(H100&amp;"_1",PuntosRanking[Columna1],1,FALSE)</f>
        <v>Juanjo_1</v>
      </c>
    </row>
    <row r="101" spans="1:9">
      <c r="A101" t="s">
        <v>2517</v>
      </c>
      <c r="B101" s="105">
        <v>1159</v>
      </c>
      <c r="C101" s="45">
        <v>5</v>
      </c>
      <c r="D101" s="45"/>
      <c r="E101" t="str">
        <f>+IF(PuntosRanking[[#This Row],[Torneos]]=MAX(PuntosRanking[Torneos]),1,"")</f>
        <v/>
      </c>
      <c r="F101" t="str">
        <f>+PuntosRanking[[#This Row],[Mote]]&amp;"_"&amp;PuntosRanking[[#This Row],[Máximo]]</f>
        <v>JuanSanz_</v>
      </c>
      <c r="H101" s="32" t="s">
        <v>24</v>
      </c>
      <c r="I101" t="str">
        <f>+VLOOKUP(H101&amp;"_1",PuntosRanking[Columna1],1,FALSE)</f>
        <v>Kike_1</v>
      </c>
    </row>
    <row r="102" spans="1:9">
      <c r="A102" t="s">
        <v>24</v>
      </c>
      <c r="B102" s="105">
        <v>178</v>
      </c>
      <c r="C102" s="45">
        <v>5</v>
      </c>
      <c r="D102" s="45"/>
      <c r="E102" t="str">
        <f>+IF(PuntosRanking[[#This Row],[Torneos]]=MAX(PuntosRanking[Torneos]),1,"")</f>
        <v/>
      </c>
      <c r="F102" t="str">
        <f>+PuntosRanking[[#This Row],[Mote]]&amp;"_"&amp;PuntosRanking[[#This Row],[Máximo]]</f>
        <v>Kike_</v>
      </c>
      <c r="H102" s="47" t="s">
        <v>376</v>
      </c>
      <c r="I102" t="str">
        <f>+VLOOKUP(H102&amp;"_1",PuntosRanking[Columna1],1,FALSE)</f>
        <v>Luis_1</v>
      </c>
    </row>
    <row r="103" spans="1:9">
      <c r="A103" t="s">
        <v>376</v>
      </c>
      <c r="B103" s="105">
        <v>221</v>
      </c>
      <c r="C103" s="45">
        <v>5</v>
      </c>
      <c r="D103" s="45"/>
      <c r="E103" t="str">
        <f>+IF(PuntosRanking[[#This Row],[Torneos]]=MAX(PuntosRanking[Torneos]),1,"")</f>
        <v/>
      </c>
      <c r="F103" t="str">
        <f>+PuntosRanking[[#This Row],[Mote]]&amp;"_"&amp;PuntosRanking[[#This Row],[Máximo]]</f>
        <v>Luis_</v>
      </c>
      <c r="H103" s="32" t="s">
        <v>123</v>
      </c>
      <c r="I103" t="str">
        <f>+VLOOKUP(H103&amp;"_1",PuntosRanking[Columna1],1,FALSE)</f>
        <v>Miche_1</v>
      </c>
    </row>
    <row r="104" spans="1:9">
      <c r="A104" t="s">
        <v>123</v>
      </c>
      <c r="B104" s="105">
        <v>187</v>
      </c>
      <c r="C104" s="45">
        <v>5</v>
      </c>
      <c r="D104" s="45"/>
      <c r="E104" t="str">
        <f>+IF(PuntosRanking[[#This Row],[Torneos]]=MAX(PuntosRanking[Torneos]),1,"")</f>
        <v/>
      </c>
      <c r="F104" t="str">
        <f>+PuntosRanking[[#This Row],[Mote]]&amp;"_"&amp;PuntosRanking[[#This Row],[Máximo]]</f>
        <v>Miche_</v>
      </c>
      <c r="H104" s="47" t="s">
        <v>202</v>
      </c>
      <c r="I104" t="str">
        <f>+VLOOKUP(H104&amp;"_1",PuntosRanking[Columna1],1,FALSE)</f>
        <v>Monti_1</v>
      </c>
    </row>
    <row r="105" spans="1:9">
      <c r="A105" t="s">
        <v>202</v>
      </c>
      <c r="B105" s="105">
        <v>510</v>
      </c>
      <c r="C105" s="45">
        <v>5</v>
      </c>
      <c r="D105" s="45"/>
      <c r="E105" t="str">
        <f>+IF(PuntosRanking[[#This Row],[Torneos]]=MAX(PuntosRanking[Torneos]),1,"")</f>
        <v/>
      </c>
      <c r="F105" t="str">
        <f>+PuntosRanking[[#This Row],[Mote]]&amp;"_"&amp;PuntosRanking[[#This Row],[Máximo]]</f>
        <v>Monti_</v>
      </c>
      <c r="H105" s="32" t="s">
        <v>206</v>
      </c>
      <c r="I105" t="str">
        <f>+VLOOKUP(H105&amp;"_1",PuntosRanking[Columna1],1,FALSE)</f>
        <v>Nachete_1</v>
      </c>
    </row>
    <row r="106" spans="1:9">
      <c r="A106" t="s">
        <v>206</v>
      </c>
      <c r="B106" s="105">
        <v>1430</v>
      </c>
      <c r="C106" s="45">
        <v>5</v>
      </c>
      <c r="D106" s="45"/>
      <c r="E106" t="str">
        <f>+IF(PuntosRanking[[#This Row],[Torneos]]=MAX(PuntosRanking[Torneos]),1,"")</f>
        <v/>
      </c>
      <c r="F106" t="str">
        <f>+PuntosRanking[[#This Row],[Mote]]&amp;"_"&amp;PuntosRanking[[#This Row],[Máximo]]</f>
        <v>Nachete_</v>
      </c>
      <c r="H106" s="47" t="s">
        <v>4</v>
      </c>
      <c r="I106" t="str">
        <f>+VLOOKUP(H106&amp;"_1",PuntosRanking[Columna1],1,FALSE)</f>
        <v>Nacho_1</v>
      </c>
    </row>
    <row r="107" spans="1:9">
      <c r="A107" t="s">
        <v>4</v>
      </c>
      <c r="B107" s="105">
        <v>149</v>
      </c>
      <c r="C107" s="45">
        <v>5</v>
      </c>
      <c r="D107" s="45"/>
      <c r="E107" t="str">
        <f>+IF(PuntosRanking[[#This Row],[Torneos]]=MAX(PuntosRanking[Torneos]),1,"")</f>
        <v/>
      </c>
      <c r="F107" t="str">
        <f>+PuntosRanking[[#This Row],[Mote]]&amp;"_"&amp;PuntosRanking[[#This Row],[Máximo]]</f>
        <v>Nacho_</v>
      </c>
      <c r="H107" s="32" t="s">
        <v>13</v>
      </c>
      <c r="I107" t="str">
        <f>+VLOOKUP(H107&amp;"_1",PuntosRanking[Columna1],1,FALSE)</f>
        <v>Paco_1</v>
      </c>
    </row>
    <row r="108" spans="1:9">
      <c r="A108" t="s">
        <v>13</v>
      </c>
      <c r="B108" s="105">
        <v>430</v>
      </c>
      <c r="C108" s="45">
        <v>5</v>
      </c>
      <c r="D108" s="45"/>
      <c r="E108" t="str">
        <f>+IF(PuntosRanking[[#This Row],[Torneos]]=MAX(PuntosRanking[Torneos]),1,"")</f>
        <v/>
      </c>
      <c r="F108" t="str">
        <f>+PuntosRanking[[#This Row],[Mote]]&amp;"_"&amp;PuntosRanking[[#This Row],[Máximo]]</f>
        <v>Paco_</v>
      </c>
      <c r="H108" s="47" t="s">
        <v>204</v>
      </c>
      <c r="I108" t="str">
        <f>+VLOOKUP(H108&amp;"_1",PuntosRanking[Columna1],1,FALSE)</f>
        <v>Rus_1</v>
      </c>
    </row>
    <row r="109" spans="1:9">
      <c r="A109" t="s">
        <v>204</v>
      </c>
      <c r="B109" s="105">
        <v>208</v>
      </c>
      <c r="C109" s="45">
        <v>5</v>
      </c>
      <c r="D109" s="45"/>
      <c r="E109" t="str">
        <f>+IF(PuntosRanking[[#This Row],[Torneos]]=MAX(PuntosRanking[Torneos]),1,"")</f>
        <v/>
      </c>
      <c r="F109" t="str">
        <f>+PuntosRanking[[#This Row],[Mote]]&amp;"_"&amp;PuntosRanking[[#This Row],[Máximo]]</f>
        <v>Rus_</v>
      </c>
      <c r="H109" s="32" t="s">
        <v>47</v>
      </c>
      <c r="I109" t="str">
        <f>+VLOOKUP(H109&amp;"_1",PuntosRanking[Columna1],1,FALSE)</f>
        <v>Virus_1</v>
      </c>
    </row>
    <row r="110" spans="1:9">
      <c r="A110" t="s">
        <v>47</v>
      </c>
      <c r="B110" s="105">
        <v>113</v>
      </c>
      <c r="C110" s="45">
        <v>5</v>
      </c>
      <c r="D110" s="45"/>
      <c r="E110" t="str">
        <f>+IF(PuntosRanking[[#This Row],[Torneos]]=MAX(PuntosRanking[Torneos]),1,"")</f>
        <v/>
      </c>
      <c r="F110" t="str">
        <f>+PuntosRanking[[#This Row],[Mote]]&amp;"_"&amp;PuntosRanking[[#This Row],[Máximo]]</f>
        <v>Virus_</v>
      </c>
      <c r="H110" s="47" t="s">
        <v>2517</v>
      </c>
      <c r="I110" t="str">
        <f>+VLOOKUP(H110&amp;"_1",PuntosRanking[Columna1],1,FALSE)</f>
        <v>JuanSanz_1</v>
      </c>
    </row>
    <row r="111" spans="1:9">
      <c r="A111" s="32" t="s">
        <v>230</v>
      </c>
      <c r="B111" s="105"/>
      <c r="C111" s="45">
        <v>5</v>
      </c>
      <c r="D111" s="45"/>
      <c r="E111" t="str">
        <f>+IF(PuntosRanking[[#This Row],[Torneos]]=MAX(PuntosRanking[Torneos]),1,"")</f>
        <v/>
      </c>
      <c r="F111" t="str">
        <f>+PuntosRanking[[#This Row],[Mote]]&amp;"_"&amp;PuntosRanking[[#This Row],[Máximo]]</f>
        <v>A Zorrilla_</v>
      </c>
      <c r="H111" s="32" t="s">
        <v>230</v>
      </c>
      <c r="I111" t="str">
        <f>+VLOOKUP(H111&amp;"_1",PuntosRanking[Columna1],1,FALSE)</f>
        <v>A Zorrilla_1</v>
      </c>
    </row>
    <row r="112" spans="1:9">
      <c r="A112" s="47" t="s">
        <v>78</v>
      </c>
      <c r="B112" s="105"/>
      <c r="C112" s="45">
        <v>5</v>
      </c>
      <c r="D112" s="45"/>
      <c r="E112" t="str">
        <f>+IF(PuntosRanking[[#This Row],[Torneos]]=MAX(PuntosRanking[Torneos]),1,"")</f>
        <v/>
      </c>
      <c r="F112" t="str">
        <f>+PuntosRanking[[#This Row],[Mote]]&amp;"_"&amp;PuntosRanking[[#This Row],[Máximo]]</f>
        <v>Campo_</v>
      </c>
      <c r="H112" s="47" t="s">
        <v>78</v>
      </c>
      <c r="I112" t="str">
        <f>+VLOOKUP(H112&amp;"_1",PuntosRanking[Columna1],1,FALSE)</f>
        <v>Campo_1</v>
      </c>
    </row>
    <row r="113" spans="1:9">
      <c r="A113" s="32" t="s">
        <v>431</v>
      </c>
      <c r="B113" s="105"/>
      <c r="C113" s="45">
        <v>5</v>
      </c>
      <c r="D113" s="45"/>
      <c r="E113" t="str">
        <f>+IF(PuntosRanking[[#This Row],[Torneos]]=MAX(PuntosRanking[Torneos]),1,"")</f>
        <v/>
      </c>
      <c r="F113" t="str">
        <f>+PuntosRanking[[#This Row],[Mote]]&amp;"_"&amp;PuntosRanking[[#This Row],[Máximo]]</f>
        <v>Carlitos_</v>
      </c>
      <c r="H113" s="32" t="s">
        <v>431</v>
      </c>
      <c r="I113" t="str">
        <f>+VLOOKUP(H113&amp;"_1",PuntosRanking[Columna1],1,FALSE)</f>
        <v>Carlitos_1</v>
      </c>
    </row>
    <row r="114" spans="1:9">
      <c r="A114" s="47" t="s">
        <v>226</v>
      </c>
      <c r="B114" s="105"/>
      <c r="C114" s="45">
        <v>5</v>
      </c>
      <c r="D114" s="45"/>
      <c r="E114" t="str">
        <f>+IF(PuntosRanking[[#This Row],[Torneos]]=MAX(PuntosRanking[Torneos]),1,"")</f>
        <v/>
      </c>
      <c r="F114" t="str">
        <f>+PuntosRanking[[#This Row],[Mote]]&amp;"_"&amp;PuntosRanking[[#This Row],[Máximo]]</f>
        <v>Chiralt_</v>
      </c>
      <c r="H114" s="47" t="s">
        <v>226</v>
      </c>
      <c r="I114" t="str">
        <f>+VLOOKUP(H114&amp;"_1",PuntosRanking[Columna1],1,FALSE)</f>
        <v>Chiralt_1</v>
      </c>
    </row>
    <row r="115" spans="1:9">
      <c r="A115" s="32" t="s">
        <v>218</v>
      </c>
      <c r="B115" s="105"/>
      <c r="C115" s="45">
        <v>5</v>
      </c>
      <c r="D115" s="45"/>
      <c r="E115" t="str">
        <f>+IF(PuntosRanking[[#This Row],[Torneos]]=MAX(PuntosRanking[Torneos]),1,"")</f>
        <v/>
      </c>
      <c r="F115" t="str">
        <f>+PuntosRanking[[#This Row],[Mote]]&amp;"_"&amp;PuntosRanking[[#This Row],[Máximo]]</f>
        <v>Cuñao_</v>
      </c>
      <c r="H115" s="32" t="s">
        <v>218</v>
      </c>
      <c r="I115" t="str">
        <f>+VLOOKUP(H115&amp;"_1",PuntosRanking[Columna1],1,FALSE)</f>
        <v>Cuñao_1</v>
      </c>
    </row>
    <row r="116" spans="1:9">
      <c r="A116" s="47" t="s">
        <v>339</v>
      </c>
      <c r="B116" s="105"/>
      <c r="C116" s="45">
        <v>5</v>
      </c>
      <c r="D116" s="45"/>
      <c r="E116" t="str">
        <f>+IF(PuntosRanking[[#This Row],[Torneos]]=MAX(PuntosRanking[Torneos]),1,"")</f>
        <v/>
      </c>
      <c r="F116" t="str">
        <f>+PuntosRanking[[#This Row],[Mote]]&amp;"_"&amp;PuntosRanking[[#This Row],[Máximo]]</f>
        <v>Emi_</v>
      </c>
      <c r="H116" s="47" t="s">
        <v>339</v>
      </c>
      <c r="I116" t="str">
        <f>+VLOOKUP(H116&amp;"_1",PuntosRanking[Columna1],1,FALSE)</f>
        <v>Emi_1</v>
      </c>
    </row>
    <row r="117" spans="1:9">
      <c r="A117" s="32" t="s">
        <v>299</v>
      </c>
      <c r="B117" s="105"/>
      <c r="C117" s="45">
        <v>5</v>
      </c>
      <c r="D117" s="45"/>
      <c r="E117" t="str">
        <f>+IF(PuntosRanking[[#This Row],[Torneos]]=MAX(PuntosRanking[Torneos]),1,"")</f>
        <v/>
      </c>
      <c r="F117" t="str">
        <f>+PuntosRanking[[#This Row],[Mote]]&amp;"_"&amp;PuntosRanking[[#This Row],[Máximo]]</f>
        <v>I Gracia_</v>
      </c>
      <c r="H117" s="32" t="s">
        <v>299</v>
      </c>
      <c r="I117" t="str">
        <f>+VLOOKUP(H117&amp;"_1",PuntosRanking[Columna1],1,FALSE)</f>
        <v>I Gracia_1</v>
      </c>
    </row>
    <row r="118" spans="1:9">
      <c r="A118" s="47" t="s">
        <v>292</v>
      </c>
      <c r="B118" s="105"/>
      <c r="C118" s="45">
        <v>5</v>
      </c>
      <c r="D118" s="45"/>
      <c r="E118" t="str">
        <f>+IF(PuntosRanking[[#This Row],[Torneos]]=MAX(PuntosRanking[Torneos]),1,"")</f>
        <v/>
      </c>
      <c r="F118" t="str">
        <f>+PuntosRanking[[#This Row],[Mote]]&amp;"_"&amp;PuntosRanking[[#This Row],[Máximo]]</f>
        <v>Jaime_</v>
      </c>
      <c r="H118" s="47" t="s">
        <v>292</v>
      </c>
      <c r="I118" t="str">
        <f>+VLOOKUP(H118&amp;"_1",PuntosRanking[Columna1],1,FALSE)</f>
        <v>Jaime_1</v>
      </c>
    </row>
    <row r="119" spans="1:9">
      <c r="A119" s="32" t="s">
        <v>384</v>
      </c>
      <c r="B119" s="105"/>
      <c r="C119" s="45">
        <v>5</v>
      </c>
      <c r="D119" s="45"/>
      <c r="E119" t="str">
        <f>+IF(PuntosRanking[[#This Row],[Torneos]]=MAX(PuntosRanking[Torneos]),1,"")</f>
        <v/>
      </c>
      <c r="F119" t="str">
        <f>+PuntosRanking[[#This Row],[Mote]]&amp;"_"&amp;PuntosRanking[[#This Row],[Máximo]]</f>
        <v>Juan Luis_</v>
      </c>
      <c r="H119" s="32" t="s">
        <v>384</v>
      </c>
      <c r="I119" t="str">
        <f>+VLOOKUP(H119&amp;"_1",PuntosRanking[Columna1],1,FALSE)</f>
        <v>Juan Luis_1</v>
      </c>
    </row>
    <row r="120" spans="1:9">
      <c r="A120" s="107" t="s">
        <v>268</v>
      </c>
      <c r="B120" s="105"/>
      <c r="C120" s="45">
        <v>5</v>
      </c>
      <c r="D120" s="45"/>
      <c r="E120" t="str">
        <f>+IF(PuntosRanking[[#This Row],[Torneos]]=MAX(PuntosRanking[Torneos]),1,"")</f>
        <v/>
      </c>
      <c r="F120" t="str">
        <f>+PuntosRanking[[#This Row],[Mote]]&amp;"_"&amp;PuntosRanking[[#This Row],[Máximo]]</f>
        <v>Santi_</v>
      </c>
      <c r="H120" s="47" t="s">
        <v>268</v>
      </c>
      <c r="I120" t="str">
        <f>+VLOOKUP(H120&amp;"_1",PuntosRanking[Columna1],1,FALSE)</f>
        <v>Santi_1</v>
      </c>
    </row>
    <row r="121" spans="1:9">
      <c r="A121" t="s">
        <v>2541</v>
      </c>
      <c r="B121" s="105"/>
      <c r="C121" s="45">
        <v>5</v>
      </c>
      <c r="D121" s="45"/>
      <c r="E121" t="str">
        <f>+IF(PuntosRanking[[#This Row],[Torneos]]=MAX(PuntosRanking[Torneos]),1,"")</f>
        <v/>
      </c>
      <c r="F121" t="str">
        <f>+PuntosRanking[[#This Row],[Mote]]&amp;"_"&amp;PuntosRanking[[#This Row],[Máximo]]</f>
        <v>JMaestro_</v>
      </c>
    </row>
    <row r="122" spans="1:9">
      <c r="A122" t="s">
        <v>206</v>
      </c>
      <c r="B122" s="105">
        <v>1491</v>
      </c>
      <c r="C122" s="45">
        <v>7</v>
      </c>
      <c r="D122" s="45"/>
      <c r="E122" t="str">
        <f>+IF(PuntosRanking[[#This Row],[Torneos]]=MAX(PuntosRanking[Torneos]),1,"")</f>
        <v/>
      </c>
      <c r="F122" t="str">
        <f>+PuntosRanking[[#This Row],[Mote]]&amp;"_"&amp;PuntosRanking[[#This Row],[Máximo]]</f>
        <v>Nachete_</v>
      </c>
    </row>
    <row r="123" spans="1:9">
      <c r="A123" t="s">
        <v>36</v>
      </c>
      <c r="B123" s="105">
        <v>1170</v>
      </c>
      <c r="C123" s="45">
        <v>7</v>
      </c>
      <c r="D123" s="45"/>
      <c r="E123" t="str">
        <f>+IF(PuntosRanking[[#This Row],[Torneos]]=MAX(PuntosRanking[Torneos]),1,"")</f>
        <v/>
      </c>
      <c r="F123" t="str">
        <f>+PuntosRanking[[#This Row],[Mote]]&amp;"_"&amp;PuntosRanking[[#This Row],[Máximo]]</f>
        <v>Juanjo_</v>
      </c>
    </row>
    <row r="124" spans="1:9">
      <c r="A124" t="s">
        <v>2517</v>
      </c>
      <c r="B124" s="105">
        <v>1159</v>
      </c>
      <c r="C124" s="45">
        <v>7</v>
      </c>
      <c r="D124" s="45"/>
      <c r="E124" t="str">
        <f>+IF(PuntosRanking[[#This Row],[Torneos]]=MAX(PuntosRanking[Torneos]),1,"")</f>
        <v/>
      </c>
      <c r="F124" t="str">
        <f>+PuntosRanking[[#This Row],[Mote]]&amp;"_"&amp;PuntosRanking[[#This Row],[Máximo]]</f>
        <v>JuanSanz_</v>
      </c>
    </row>
    <row r="125" spans="1:9">
      <c r="A125" t="s">
        <v>381</v>
      </c>
      <c r="B125" s="105">
        <v>940</v>
      </c>
      <c r="C125" s="45">
        <v>7</v>
      </c>
      <c r="D125" s="45"/>
      <c r="E125" t="str">
        <f>+IF(PuntosRanking[[#This Row],[Torneos]]=MAX(PuntosRanking[Torneos]),1,"")</f>
        <v/>
      </c>
      <c r="F125" t="str">
        <f>+PuntosRanking[[#This Row],[Mote]]&amp;"_"&amp;PuntosRanking[[#This Row],[Máximo]]</f>
        <v>Juancho_</v>
      </c>
    </row>
    <row r="126" spans="1:9">
      <c r="A126" t="s">
        <v>329</v>
      </c>
      <c r="B126" s="105">
        <v>830</v>
      </c>
      <c r="C126" s="45">
        <v>7</v>
      </c>
      <c r="D126" s="45"/>
      <c r="E126" t="str">
        <f>+IF(PuntosRanking[[#This Row],[Torneos]]=MAX(PuntosRanking[Torneos]),1,"")</f>
        <v/>
      </c>
      <c r="F126" t="str">
        <f>+PuntosRanking[[#This Row],[Mote]]&amp;"_"&amp;PuntosRanking[[#This Row],[Máximo]]</f>
        <v>J.Arcos_</v>
      </c>
    </row>
    <row r="127" spans="1:9">
      <c r="A127" t="s">
        <v>19</v>
      </c>
      <c r="B127" s="105">
        <v>788</v>
      </c>
      <c r="C127" s="45">
        <v>7</v>
      </c>
      <c r="D127" s="45"/>
      <c r="E127" t="str">
        <f>+IF(PuntosRanking[[#This Row],[Torneos]]=MAX(PuntosRanking[Torneos]),1,"")</f>
        <v/>
      </c>
      <c r="F127" t="str">
        <f>+PuntosRanking[[#This Row],[Mote]]&amp;"_"&amp;PuntosRanking[[#This Row],[Máximo]]</f>
        <v>JP_</v>
      </c>
    </row>
    <row r="128" spans="1:9">
      <c r="A128" t="s">
        <v>21</v>
      </c>
      <c r="B128" s="105">
        <v>735</v>
      </c>
      <c r="C128" s="45">
        <v>7</v>
      </c>
      <c r="D128" s="45"/>
      <c r="E128" t="str">
        <f>+IF(PuntosRanking[[#This Row],[Torneos]]=MAX(PuntosRanking[Torneos]),1,"")</f>
        <v/>
      </c>
      <c r="F128" t="str">
        <f>+PuntosRanking[[#This Row],[Mote]]&amp;"_"&amp;PuntosRanking[[#This Row],[Máximo]]</f>
        <v>Javi_</v>
      </c>
    </row>
    <row r="129" spans="1:6">
      <c r="A129" t="s">
        <v>327</v>
      </c>
      <c r="B129" s="105">
        <v>710</v>
      </c>
      <c r="C129" s="45">
        <v>7</v>
      </c>
      <c r="D129" s="45"/>
      <c r="E129" t="str">
        <f>+IF(PuntosRanking[[#This Row],[Torneos]]=MAX(PuntosRanking[Torneos]),1,"")</f>
        <v/>
      </c>
      <c r="F129" t="str">
        <f>+PuntosRanking[[#This Row],[Mote]]&amp;"_"&amp;PuntosRanking[[#This Row],[Máximo]]</f>
        <v>Eduardo_</v>
      </c>
    </row>
    <row r="130" spans="1:6">
      <c r="A130" t="s">
        <v>34</v>
      </c>
      <c r="B130" s="105">
        <v>624</v>
      </c>
      <c r="C130" s="45">
        <v>7</v>
      </c>
      <c r="D130" s="45"/>
      <c r="E130" t="str">
        <f>+IF(PuntosRanking[[#This Row],[Torneos]]=MAX(PuntosRanking[Torneos]),1,"")</f>
        <v/>
      </c>
      <c r="F130" t="str">
        <f>+PuntosRanking[[#This Row],[Mote]]&amp;"_"&amp;PuntosRanking[[#This Row],[Máximo]]</f>
        <v>Angel_</v>
      </c>
    </row>
    <row r="131" spans="1:6">
      <c r="A131" t="s">
        <v>382</v>
      </c>
      <c r="B131" s="105">
        <v>615</v>
      </c>
      <c r="C131" s="45">
        <v>7</v>
      </c>
      <c r="D131" s="45"/>
      <c r="E131" t="str">
        <f>+IF(PuntosRanking[[#This Row],[Torneos]]=MAX(PuntosRanking[Torneos]),1,"")</f>
        <v/>
      </c>
      <c r="F131" t="str">
        <f>+PuntosRanking[[#This Row],[Mote]]&amp;"_"&amp;PuntosRanking[[#This Row],[Máximo]]</f>
        <v>Jorge_</v>
      </c>
    </row>
    <row r="132" spans="1:6">
      <c r="A132" t="s">
        <v>16</v>
      </c>
      <c r="B132" s="105">
        <v>554</v>
      </c>
      <c r="C132" s="45">
        <v>7</v>
      </c>
      <c r="D132" s="45"/>
      <c r="E132" t="str">
        <f>+IF(PuntosRanking[[#This Row],[Torneos]]=MAX(PuntosRanking[Torneos]),1,"")</f>
        <v/>
      </c>
      <c r="F132" t="str">
        <f>+PuntosRanking[[#This Row],[Mote]]&amp;"_"&amp;PuntosRanking[[#This Row],[Máximo]]</f>
        <v>Gifu_</v>
      </c>
    </row>
    <row r="133" spans="1:6">
      <c r="A133" t="s">
        <v>202</v>
      </c>
      <c r="B133" s="105">
        <v>551</v>
      </c>
      <c r="C133" s="45">
        <v>7</v>
      </c>
      <c r="D133" s="45"/>
      <c r="E133" t="str">
        <f>+IF(PuntosRanking[[#This Row],[Torneos]]=MAX(PuntosRanking[Torneos]),1,"")</f>
        <v/>
      </c>
      <c r="F133" t="str">
        <f>+PuntosRanking[[#This Row],[Mote]]&amp;"_"&amp;PuntosRanking[[#This Row],[Máximo]]</f>
        <v>Monti_</v>
      </c>
    </row>
    <row r="134" spans="1:6">
      <c r="A134" t="s">
        <v>13</v>
      </c>
      <c r="B134" s="105">
        <v>480</v>
      </c>
      <c r="C134" s="45">
        <v>7</v>
      </c>
      <c r="D134" s="45"/>
      <c r="E134" t="str">
        <f>+IF(PuntosRanking[[#This Row],[Torneos]]=MAX(PuntosRanking[Torneos]),1,"")</f>
        <v/>
      </c>
      <c r="F134" t="str">
        <f>+PuntosRanking[[#This Row],[Mote]]&amp;"_"&amp;PuntosRanking[[#This Row],[Máximo]]</f>
        <v>Paco_</v>
      </c>
    </row>
    <row r="135" spans="1:6">
      <c r="A135" t="s">
        <v>42</v>
      </c>
      <c r="B135" s="105">
        <v>471</v>
      </c>
      <c r="C135" s="45">
        <v>7</v>
      </c>
      <c r="D135" s="45"/>
      <c r="E135" t="str">
        <f>+IF(PuntosRanking[[#This Row],[Torneos]]=MAX(PuntosRanking[Torneos]),1,"")</f>
        <v/>
      </c>
      <c r="F135" t="str">
        <f>+PuntosRanking[[#This Row],[Mote]]&amp;"_"&amp;PuntosRanking[[#This Row],[Máximo]]</f>
        <v>Jesús_</v>
      </c>
    </row>
    <row r="136" spans="1:6">
      <c r="A136" t="s">
        <v>10</v>
      </c>
      <c r="B136" s="105">
        <v>454</v>
      </c>
      <c r="C136" s="45">
        <v>7</v>
      </c>
      <c r="D136" s="45"/>
      <c r="E136" t="str">
        <f>+IF(PuntosRanking[[#This Row],[Torneos]]=MAX(PuntosRanking[Torneos]),1,"")</f>
        <v/>
      </c>
      <c r="F136" t="str">
        <f>+PuntosRanking[[#This Row],[Mote]]&amp;"_"&amp;PuntosRanking[[#This Row],[Máximo]]</f>
        <v>Alfonso_</v>
      </c>
    </row>
    <row r="137" spans="1:6">
      <c r="A137" t="s">
        <v>7</v>
      </c>
      <c r="B137" s="105">
        <v>410</v>
      </c>
      <c r="C137" s="45">
        <v>7</v>
      </c>
      <c r="D137" s="45"/>
      <c r="E137" t="str">
        <f>+IF(PuntosRanking[[#This Row],[Torneos]]=MAX(PuntosRanking[Torneos]),1,"")</f>
        <v/>
      </c>
      <c r="F137" t="str">
        <f>+PuntosRanking[[#This Row],[Mote]]&amp;"_"&amp;PuntosRanking[[#This Row],[Máximo]]</f>
        <v>Ignacio_</v>
      </c>
    </row>
    <row r="138" spans="1:6">
      <c r="A138" t="s">
        <v>31</v>
      </c>
      <c r="B138" s="105">
        <v>385</v>
      </c>
      <c r="C138" s="45">
        <v>7</v>
      </c>
      <c r="D138" s="45"/>
      <c r="E138" t="str">
        <f>+IF(PuntosRanking[[#This Row],[Torneos]]=MAX(PuntosRanking[Torneos]),1,"")</f>
        <v/>
      </c>
      <c r="F138" t="str">
        <f>+PuntosRanking[[#This Row],[Mote]]&amp;"_"&amp;PuntosRanking[[#This Row],[Máximo]]</f>
        <v>David_</v>
      </c>
    </row>
    <row r="139" spans="1:6">
      <c r="A139" t="s">
        <v>391</v>
      </c>
      <c r="B139" s="105">
        <v>380</v>
      </c>
      <c r="C139" s="45">
        <v>7</v>
      </c>
      <c r="D139" s="45"/>
      <c r="E139" t="str">
        <f>+IF(PuntosRanking[[#This Row],[Torneos]]=MAX(PuntosRanking[Torneos]),1,"")</f>
        <v/>
      </c>
      <c r="F139" t="str">
        <f>+PuntosRanking[[#This Row],[Mote]]&amp;"_"&amp;PuntosRanking[[#This Row],[Máximo]]</f>
        <v>J Antonio_</v>
      </c>
    </row>
    <row r="140" spans="1:6">
      <c r="A140" t="s">
        <v>249</v>
      </c>
      <c r="B140" s="105">
        <v>373</v>
      </c>
      <c r="C140" s="45">
        <v>7</v>
      </c>
      <c r="D140" s="45"/>
      <c r="E140" t="str">
        <f>+IF(PuntosRanking[[#This Row],[Torneos]]=MAX(PuntosRanking[Torneos]),1,"")</f>
        <v/>
      </c>
      <c r="F140" t="str">
        <f>+PuntosRanking[[#This Row],[Mote]]&amp;"_"&amp;PuntosRanking[[#This Row],[Máximo]]</f>
        <v>Enrique_</v>
      </c>
    </row>
    <row r="141" spans="1:6">
      <c r="A141" t="s">
        <v>265</v>
      </c>
      <c r="B141" s="105">
        <v>344</v>
      </c>
      <c r="C141" s="45">
        <v>7</v>
      </c>
      <c r="D141" s="45"/>
      <c r="E141" t="str">
        <f>+IF(PuntosRanking[[#This Row],[Torneos]]=MAX(PuntosRanking[Torneos]),1,"")</f>
        <v/>
      </c>
      <c r="F141" t="str">
        <f>+PuntosRanking[[#This Row],[Mote]]&amp;"_"&amp;PuntosRanking[[#This Row],[Máximo]]</f>
        <v>Antonio_</v>
      </c>
    </row>
    <row r="142" spans="1:6">
      <c r="A142" t="s">
        <v>50</v>
      </c>
      <c r="B142" s="105">
        <v>338</v>
      </c>
      <c r="C142" s="45">
        <v>7</v>
      </c>
      <c r="D142" s="45"/>
      <c r="E142" t="str">
        <f>+IF(PuntosRanking[[#This Row],[Torneos]]=MAX(PuntosRanking[Torneos]),1,"")</f>
        <v/>
      </c>
      <c r="F142" t="str">
        <f>+PuntosRanking[[#This Row],[Mote]]&amp;"_"&amp;PuntosRanking[[#This Row],[Máximo]]</f>
        <v>Fran_</v>
      </c>
    </row>
    <row r="143" spans="1:6">
      <c r="A143" t="s">
        <v>123</v>
      </c>
      <c r="B143" s="105">
        <v>287</v>
      </c>
      <c r="C143" s="45">
        <v>7</v>
      </c>
      <c r="D143" s="45"/>
      <c r="E143" t="str">
        <f>+IF(PuntosRanking[[#This Row],[Torneos]]=MAX(PuntosRanking[Torneos]),1,"")</f>
        <v/>
      </c>
      <c r="F143" t="str">
        <f>+PuntosRanking[[#This Row],[Mote]]&amp;"_"&amp;PuntosRanking[[#This Row],[Máximo]]</f>
        <v>Miche_</v>
      </c>
    </row>
    <row r="144" spans="1:6">
      <c r="A144" t="s">
        <v>24</v>
      </c>
      <c r="B144" s="105">
        <v>248</v>
      </c>
      <c r="C144" s="45">
        <v>7</v>
      </c>
      <c r="D144" s="45"/>
      <c r="E144" t="str">
        <f>+IF(PuntosRanking[[#This Row],[Torneos]]=MAX(PuntosRanking[Torneos]),1,"")</f>
        <v/>
      </c>
      <c r="F144" t="str">
        <f>+PuntosRanking[[#This Row],[Mote]]&amp;"_"&amp;PuntosRanking[[#This Row],[Máximo]]</f>
        <v>Kike_</v>
      </c>
    </row>
    <row r="145" spans="1:6">
      <c r="A145" t="s">
        <v>376</v>
      </c>
      <c r="B145" s="105">
        <v>221</v>
      </c>
      <c r="C145" s="45">
        <v>7</v>
      </c>
      <c r="D145" s="45"/>
      <c r="E145" t="str">
        <f>+IF(PuntosRanking[[#This Row],[Torneos]]=MAX(PuntosRanking[Torneos]),1,"")</f>
        <v/>
      </c>
      <c r="F145" t="str">
        <f>+PuntosRanking[[#This Row],[Mote]]&amp;"_"&amp;PuntosRanking[[#This Row],[Máximo]]</f>
        <v>Luis_</v>
      </c>
    </row>
    <row r="146" spans="1:6">
      <c r="A146" t="s">
        <v>2470</v>
      </c>
      <c r="B146" s="105">
        <v>217</v>
      </c>
      <c r="C146" s="45">
        <v>7</v>
      </c>
      <c r="D146" s="45"/>
      <c r="E146" t="str">
        <f>+IF(PuntosRanking[[#This Row],[Torneos]]=MAX(PuntosRanking[Torneos]),1,"")</f>
        <v/>
      </c>
      <c r="F146" t="str">
        <f>+PuntosRanking[[#This Row],[Mote]]&amp;"_"&amp;PuntosRanking[[#This Row],[Máximo]]</f>
        <v>A.Santana_</v>
      </c>
    </row>
    <row r="147" spans="1:6">
      <c r="A147" t="s">
        <v>4</v>
      </c>
      <c r="B147" s="105">
        <v>217</v>
      </c>
      <c r="C147" s="45">
        <v>7</v>
      </c>
      <c r="D147" s="45"/>
      <c r="E147" t="str">
        <f>+IF(PuntosRanking[[#This Row],[Torneos]]=MAX(PuntosRanking[Torneos]),1,"")</f>
        <v/>
      </c>
      <c r="F147" t="str">
        <f>+PuntosRanking[[#This Row],[Mote]]&amp;"_"&amp;PuntosRanking[[#This Row],[Máximo]]</f>
        <v>Nacho_</v>
      </c>
    </row>
    <row r="148" spans="1:6">
      <c r="A148" t="s">
        <v>26</v>
      </c>
      <c r="B148" s="105">
        <v>208</v>
      </c>
      <c r="C148" s="45">
        <v>7</v>
      </c>
      <c r="D148" s="45"/>
      <c r="E148" t="str">
        <f>+IF(PuntosRanking[[#This Row],[Torneos]]=MAX(PuntosRanking[Torneos]),1,"")</f>
        <v/>
      </c>
      <c r="F148" t="str">
        <f>+PuntosRanking[[#This Row],[Mote]]&amp;"_"&amp;PuntosRanking[[#This Row],[Máximo]]</f>
        <v>Alvaro_</v>
      </c>
    </row>
    <row r="149" spans="1:6">
      <c r="A149" t="s">
        <v>204</v>
      </c>
      <c r="B149" s="105">
        <v>208</v>
      </c>
      <c r="C149" s="45">
        <v>7</v>
      </c>
      <c r="D149" s="45"/>
      <c r="E149" t="str">
        <f>+IF(PuntosRanking[[#This Row],[Torneos]]=MAX(PuntosRanking[Torneos]),1,"")</f>
        <v/>
      </c>
      <c r="F149" t="str">
        <f>+PuntosRanking[[#This Row],[Mote]]&amp;"_"&amp;PuntosRanking[[#This Row],[Máximo]]</f>
        <v>Rus_</v>
      </c>
    </row>
    <row r="150" spans="1:6">
      <c r="A150" t="s">
        <v>47</v>
      </c>
      <c r="B150" s="105">
        <v>172</v>
      </c>
      <c r="C150" s="45">
        <v>7</v>
      </c>
      <c r="D150" s="45"/>
      <c r="E150" t="str">
        <f>+IF(PuntosRanking[[#This Row],[Torneos]]=MAX(PuntosRanking[Torneos]),1,"")</f>
        <v/>
      </c>
      <c r="F150" t="str">
        <f>+PuntosRanking[[#This Row],[Mote]]&amp;"_"&amp;PuntosRanking[[#This Row],[Máximo]]</f>
        <v>Virus_</v>
      </c>
    </row>
    <row r="151" spans="1:6">
      <c r="A151" t="s">
        <v>262</v>
      </c>
      <c r="B151" s="105">
        <v>165</v>
      </c>
      <c r="C151" s="45">
        <v>7</v>
      </c>
      <c r="D151" s="45"/>
      <c r="E151" t="str">
        <f>+IF(PuntosRanking[[#This Row],[Torneos]]=MAX(PuntosRanking[Torneos]),1,"")</f>
        <v/>
      </c>
      <c r="F151" t="str">
        <f>+PuntosRanking[[#This Row],[Mote]]&amp;"_"&amp;PuntosRanking[[#This Row],[Máximo]]</f>
        <v>Alex_</v>
      </c>
    </row>
    <row r="152" spans="1:6">
      <c r="A152" t="s">
        <v>431</v>
      </c>
      <c r="B152" s="105">
        <v>59</v>
      </c>
      <c r="C152" s="45">
        <v>7</v>
      </c>
      <c r="D152" s="45"/>
      <c r="E152" t="str">
        <f>+IF(PuntosRanking[[#This Row],[Torneos]]=MAX(PuntosRanking[Torneos]),1,"")</f>
        <v/>
      </c>
      <c r="F152" t="str">
        <f>+PuntosRanking[[#This Row],[Mote]]&amp;"_"&amp;PuntosRanking[[#This Row],[Máximo]]</f>
        <v>Carlitos_</v>
      </c>
    </row>
    <row r="153" spans="1:6">
      <c r="A153" t="s">
        <v>208</v>
      </c>
      <c r="B153" s="105">
        <v>55</v>
      </c>
      <c r="C153" s="45">
        <v>7</v>
      </c>
      <c r="D153" s="45"/>
      <c r="E153" t="str">
        <f>+IF(PuntosRanking[[#This Row],[Torneos]]=MAX(PuntosRanking[Torneos]),1,"")</f>
        <v/>
      </c>
      <c r="F153" t="str">
        <f>+PuntosRanking[[#This Row],[Mote]]&amp;"_"&amp;PuntosRanking[[#This Row],[Máximo]]</f>
        <v>Franck_</v>
      </c>
    </row>
    <row r="154" spans="1:6">
      <c r="A154" t="s">
        <v>230</v>
      </c>
      <c r="B154" s="105"/>
      <c r="C154" s="45">
        <v>7</v>
      </c>
      <c r="D154" s="45"/>
      <c r="E154" t="str">
        <f>+IF(PuntosRanking[[#This Row],[Torneos]]=MAX(PuntosRanking[Torneos]),1,"")</f>
        <v/>
      </c>
      <c r="F154" t="str">
        <f>+PuntosRanking[[#This Row],[Mote]]&amp;"_"&amp;PuntosRanking[[#This Row],[Máximo]]</f>
        <v>A Zorrilla_</v>
      </c>
    </row>
    <row r="155" spans="1:6">
      <c r="A155" t="s">
        <v>78</v>
      </c>
      <c r="B155" s="105"/>
      <c r="C155" s="45">
        <v>7</v>
      </c>
      <c r="D155" s="45"/>
      <c r="E155" t="str">
        <f>+IF(PuntosRanking[[#This Row],[Torneos]]=MAX(PuntosRanking[Torneos]),1,"")</f>
        <v/>
      </c>
      <c r="F155" t="str">
        <f>+PuntosRanking[[#This Row],[Mote]]&amp;"_"&amp;PuntosRanking[[#This Row],[Máximo]]</f>
        <v>Campo_</v>
      </c>
    </row>
    <row r="156" spans="1:6">
      <c r="A156" t="s">
        <v>226</v>
      </c>
      <c r="B156" s="105"/>
      <c r="C156" s="45">
        <v>7</v>
      </c>
      <c r="D156" s="45"/>
      <c r="E156" t="str">
        <f>+IF(PuntosRanking[[#This Row],[Torneos]]=MAX(PuntosRanking[Torneos]),1,"")</f>
        <v/>
      </c>
      <c r="F156" t="str">
        <f>+PuntosRanking[[#This Row],[Mote]]&amp;"_"&amp;PuntosRanking[[#This Row],[Máximo]]</f>
        <v>Chiralt_</v>
      </c>
    </row>
    <row r="157" spans="1:6">
      <c r="A157" t="s">
        <v>218</v>
      </c>
      <c r="B157" s="105"/>
      <c r="C157" s="45">
        <v>7</v>
      </c>
      <c r="D157" s="45"/>
      <c r="E157" t="str">
        <f>+IF(PuntosRanking[[#This Row],[Torneos]]=MAX(PuntosRanking[Torneos]),1,"")</f>
        <v/>
      </c>
      <c r="F157" t="str">
        <f>+PuntosRanking[[#This Row],[Mote]]&amp;"_"&amp;PuntosRanking[[#This Row],[Máximo]]</f>
        <v>Cuñao_</v>
      </c>
    </row>
    <row r="158" spans="1:6">
      <c r="A158" t="s">
        <v>2467</v>
      </c>
      <c r="B158" s="105"/>
      <c r="C158" s="45">
        <v>7</v>
      </c>
      <c r="D158" s="45"/>
      <c r="E158" t="str">
        <f>+IF(PuntosRanking[[#This Row],[Torneos]]=MAX(PuntosRanking[Torneos]),1,"")</f>
        <v/>
      </c>
      <c r="F158" t="str">
        <f>+PuntosRanking[[#This Row],[Mote]]&amp;"_"&amp;PuntosRanking[[#This Row],[Máximo]]</f>
        <v>Dodero_</v>
      </c>
    </row>
    <row r="159" spans="1:6">
      <c r="A159" t="s">
        <v>339</v>
      </c>
      <c r="B159" s="105"/>
      <c r="C159" s="45">
        <v>7</v>
      </c>
      <c r="D159" s="45"/>
      <c r="E159" t="str">
        <f>+IF(PuntosRanking[[#This Row],[Torneos]]=MAX(PuntosRanking[Torneos]),1,"")</f>
        <v/>
      </c>
      <c r="F159" t="str">
        <f>+PuntosRanking[[#This Row],[Mote]]&amp;"_"&amp;PuntosRanking[[#This Row],[Máximo]]</f>
        <v>Emi_</v>
      </c>
    </row>
    <row r="160" spans="1:6">
      <c r="A160" t="s">
        <v>299</v>
      </c>
      <c r="B160" s="105"/>
      <c r="C160" s="45">
        <v>7</v>
      </c>
      <c r="D160" s="45"/>
      <c r="E160" t="str">
        <f>+IF(PuntosRanking[[#This Row],[Torneos]]=MAX(PuntosRanking[Torneos]),1,"")</f>
        <v/>
      </c>
      <c r="F160" t="str">
        <f>+PuntosRanking[[#This Row],[Mote]]&amp;"_"&amp;PuntosRanking[[#This Row],[Máximo]]</f>
        <v>I Gracia_</v>
      </c>
    </row>
    <row r="161" spans="1:6">
      <c r="A161" t="s">
        <v>292</v>
      </c>
      <c r="B161" s="105"/>
      <c r="C161" s="45">
        <v>7</v>
      </c>
      <c r="D161" s="45"/>
      <c r="E161" t="str">
        <f>+IF(PuntosRanking[[#This Row],[Torneos]]=MAX(PuntosRanking[Torneos]),1,"")</f>
        <v/>
      </c>
      <c r="F161" t="str">
        <f>+PuntosRanking[[#This Row],[Mote]]&amp;"_"&amp;PuntosRanking[[#This Row],[Máximo]]</f>
        <v>Jaime_</v>
      </c>
    </row>
    <row r="162" spans="1:6">
      <c r="A162" t="s">
        <v>2541</v>
      </c>
      <c r="B162" s="105"/>
      <c r="C162" s="45">
        <v>7</v>
      </c>
      <c r="D162" s="45"/>
      <c r="E162" t="str">
        <f>+IF(PuntosRanking[[#This Row],[Torneos]]=MAX(PuntosRanking[Torneos]),1,"")</f>
        <v/>
      </c>
      <c r="F162" t="str">
        <f>+PuntosRanking[[#This Row],[Mote]]&amp;"_"&amp;PuntosRanking[[#This Row],[Máximo]]</f>
        <v>JMaestro_</v>
      </c>
    </row>
    <row r="163" spans="1:6">
      <c r="A163" t="s">
        <v>384</v>
      </c>
      <c r="B163" s="105"/>
      <c r="C163" s="45">
        <v>7</v>
      </c>
      <c r="D163" s="45"/>
      <c r="E163" t="str">
        <f>+IF(PuntosRanking[[#This Row],[Torneos]]=MAX(PuntosRanking[Torneos]),1,"")</f>
        <v/>
      </c>
      <c r="F163" t="str">
        <f>+PuntosRanking[[#This Row],[Mote]]&amp;"_"&amp;PuntosRanking[[#This Row],[Máximo]]</f>
        <v>Juan Luis_</v>
      </c>
    </row>
    <row r="164" spans="1:6">
      <c r="A164" t="s">
        <v>268</v>
      </c>
      <c r="B164" s="105"/>
      <c r="C164" s="45">
        <v>7</v>
      </c>
      <c r="D164" s="45"/>
      <c r="E164" t="str">
        <f>+IF(PuntosRanking[[#This Row],[Torneos]]=MAX(PuntosRanking[Torneos]),1,"")</f>
        <v/>
      </c>
      <c r="F164" t="str">
        <f>+PuntosRanking[[#This Row],[Mote]]&amp;"_"&amp;PuntosRanking[[#This Row],[Máximo]]</f>
        <v>Santi_</v>
      </c>
    </row>
    <row r="165" spans="1:6">
      <c r="A165" t="s">
        <v>2474</v>
      </c>
      <c r="B165" s="105"/>
      <c r="C165" s="45">
        <v>7</v>
      </c>
      <c r="D165" s="45"/>
      <c r="E165" t="str">
        <f>+IF(PuntosRanking[[#This Row],[Torneos]]=MAX(PuntosRanking[Torneos]),1,"")</f>
        <v/>
      </c>
      <c r="F165" t="str">
        <f>+PuntosRanking[[#This Row],[Mote]]&amp;"_"&amp;PuntosRanking[[#This Row],[Máximo]]</f>
        <v>Tom_</v>
      </c>
    </row>
    <row r="166" spans="1:6">
      <c r="A166" t="s">
        <v>206</v>
      </c>
      <c r="B166" s="105">
        <v>1530</v>
      </c>
      <c r="C166" s="45">
        <v>8</v>
      </c>
      <c r="D166" s="45"/>
      <c r="E166" t="str">
        <f>+IF(PuntosRanking[[#This Row],[Torneos]]=MAX(PuntosRanking[Torneos]),1,"")</f>
        <v/>
      </c>
      <c r="F166" t="str">
        <f>+PuntosRanking[[#This Row],[Mote]]&amp;"_"&amp;PuntosRanking[[#This Row],[Máximo]]</f>
        <v>Nachete_</v>
      </c>
    </row>
    <row r="167" spans="1:6">
      <c r="A167" t="s">
        <v>19</v>
      </c>
      <c r="B167" s="105">
        <v>1288</v>
      </c>
      <c r="C167" s="45">
        <v>8</v>
      </c>
      <c r="D167" s="45"/>
      <c r="E167" t="str">
        <f>+IF(PuntosRanking[[#This Row],[Torneos]]=MAX(PuntosRanking[Torneos]),1,"")</f>
        <v/>
      </c>
      <c r="F167" t="str">
        <f>+PuntosRanking[[#This Row],[Mote]]&amp;"_"&amp;PuntosRanking[[#This Row],[Máximo]]</f>
        <v>JP_</v>
      </c>
    </row>
    <row r="168" spans="1:6">
      <c r="A168" t="s">
        <v>2517</v>
      </c>
      <c r="B168" s="105">
        <v>1234</v>
      </c>
      <c r="C168" s="45">
        <v>8</v>
      </c>
      <c r="D168" s="45"/>
      <c r="E168" t="str">
        <f>+IF(PuntosRanking[[#This Row],[Torneos]]=MAX(PuntosRanking[Torneos]),1,"")</f>
        <v/>
      </c>
      <c r="F168" t="str">
        <f>+PuntosRanking[[#This Row],[Mote]]&amp;"_"&amp;PuntosRanking[[#This Row],[Máximo]]</f>
        <v>JuanSanz_</v>
      </c>
    </row>
    <row r="169" spans="1:6">
      <c r="A169" t="s">
        <v>36</v>
      </c>
      <c r="B169" s="105">
        <v>1170</v>
      </c>
      <c r="C169" s="45">
        <v>8</v>
      </c>
      <c r="D169" s="45"/>
      <c r="E169" t="str">
        <f>+IF(PuntosRanking[[#This Row],[Torneos]]=MAX(PuntosRanking[Torneos]),1,"")</f>
        <v/>
      </c>
      <c r="F169" t="str">
        <f>+PuntosRanking[[#This Row],[Mote]]&amp;"_"&amp;PuntosRanking[[#This Row],[Máximo]]</f>
        <v>Juanjo_</v>
      </c>
    </row>
    <row r="170" spans="1:6">
      <c r="A170" t="s">
        <v>381</v>
      </c>
      <c r="B170" s="105">
        <v>1025</v>
      </c>
      <c r="C170" s="45">
        <v>8</v>
      </c>
      <c r="D170" s="45"/>
      <c r="E170" t="str">
        <f>+IF(PuntosRanking[[#This Row],[Torneos]]=MAX(PuntosRanking[Torneos]),1,"")</f>
        <v/>
      </c>
      <c r="F170" t="str">
        <f>+PuntosRanking[[#This Row],[Mote]]&amp;"_"&amp;PuntosRanking[[#This Row],[Máximo]]</f>
        <v>Juancho_</v>
      </c>
    </row>
    <row r="171" spans="1:6">
      <c r="A171" t="s">
        <v>329</v>
      </c>
      <c r="B171" s="105">
        <v>830</v>
      </c>
      <c r="C171" s="45">
        <v>8</v>
      </c>
      <c r="D171" s="45"/>
      <c r="E171" t="str">
        <f>+IF(PuntosRanking[[#This Row],[Torneos]]=MAX(PuntosRanking[Torneos]),1,"")</f>
        <v/>
      </c>
      <c r="F171" t="str">
        <f>+PuntosRanking[[#This Row],[Mote]]&amp;"_"&amp;PuntosRanking[[#This Row],[Máximo]]</f>
        <v>J.Arcos_</v>
      </c>
    </row>
    <row r="172" spans="1:6">
      <c r="A172" t="s">
        <v>327</v>
      </c>
      <c r="B172" s="105">
        <v>767</v>
      </c>
      <c r="C172" s="45">
        <v>8</v>
      </c>
      <c r="D172" s="45"/>
      <c r="E172" t="str">
        <f>+IF(PuntosRanking[[#This Row],[Torneos]]=MAX(PuntosRanking[Torneos]),1,"")</f>
        <v/>
      </c>
      <c r="F172" t="str">
        <f>+PuntosRanking[[#This Row],[Mote]]&amp;"_"&amp;PuntosRanking[[#This Row],[Máximo]]</f>
        <v>Eduardo_</v>
      </c>
    </row>
    <row r="173" spans="1:6">
      <c r="A173" t="s">
        <v>21</v>
      </c>
      <c r="B173" s="105">
        <v>735</v>
      </c>
      <c r="C173" s="45">
        <v>8</v>
      </c>
      <c r="D173" s="45"/>
      <c r="E173" t="str">
        <f>+IF(PuntosRanking[[#This Row],[Torneos]]=MAX(PuntosRanking[Torneos]),1,"")</f>
        <v/>
      </c>
      <c r="F173" t="str">
        <f>+PuntosRanking[[#This Row],[Mote]]&amp;"_"&amp;PuntosRanking[[#This Row],[Máximo]]</f>
        <v>Javi_</v>
      </c>
    </row>
    <row r="174" spans="1:6">
      <c r="A174" t="s">
        <v>10</v>
      </c>
      <c r="B174" s="105">
        <v>694</v>
      </c>
      <c r="C174" s="45">
        <v>8</v>
      </c>
      <c r="D174" s="45"/>
      <c r="E174" t="str">
        <f>+IF(PuntosRanking[[#This Row],[Torneos]]=MAX(PuntosRanking[Torneos]),1,"")</f>
        <v/>
      </c>
      <c r="F174" t="str">
        <f>+PuntosRanking[[#This Row],[Mote]]&amp;"_"&amp;PuntosRanking[[#This Row],[Máximo]]</f>
        <v>Alfonso_</v>
      </c>
    </row>
    <row r="175" spans="1:6">
      <c r="A175" t="s">
        <v>382</v>
      </c>
      <c r="B175" s="105">
        <v>680</v>
      </c>
      <c r="C175" s="45">
        <v>8</v>
      </c>
      <c r="D175" s="45"/>
      <c r="E175" t="str">
        <f>+IF(PuntosRanking[[#This Row],[Torneos]]=MAX(PuntosRanking[Torneos]),1,"")</f>
        <v/>
      </c>
      <c r="F175" t="str">
        <f>+PuntosRanking[[#This Row],[Mote]]&amp;"_"&amp;PuntosRanking[[#This Row],[Máximo]]</f>
        <v>Jorge_</v>
      </c>
    </row>
    <row r="176" spans="1:6">
      <c r="A176" t="s">
        <v>16</v>
      </c>
      <c r="B176" s="105">
        <v>644</v>
      </c>
      <c r="C176" s="45">
        <v>8</v>
      </c>
      <c r="D176" s="45"/>
      <c r="E176" t="str">
        <f>+IF(PuntosRanking[[#This Row],[Torneos]]=MAX(PuntosRanking[Torneos]),1,"")</f>
        <v/>
      </c>
      <c r="F176" t="str">
        <f>+PuntosRanking[[#This Row],[Mote]]&amp;"_"&amp;PuntosRanking[[#This Row],[Máximo]]</f>
        <v>Gifu_</v>
      </c>
    </row>
    <row r="177" spans="1:6">
      <c r="A177" t="s">
        <v>34</v>
      </c>
      <c r="B177" s="105">
        <v>624</v>
      </c>
      <c r="C177" s="45">
        <v>8</v>
      </c>
      <c r="D177" s="45"/>
      <c r="E177" t="str">
        <f>+IF(PuntosRanking[[#This Row],[Torneos]]=MAX(PuntosRanking[Torneos]),1,"")</f>
        <v/>
      </c>
      <c r="F177" t="str">
        <f>+PuntosRanking[[#This Row],[Mote]]&amp;"_"&amp;PuntosRanking[[#This Row],[Máximo]]</f>
        <v>Angel_</v>
      </c>
    </row>
    <row r="178" spans="1:6">
      <c r="A178" t="s">
        <v>7</v>
      </c>
      <c r="B178" s="105">
        <v>600</v>
      </c>
      <c r="C178" s="45">
        <v>8</v>
      </c>
      <c r="D178" s="45"/>
      <c r="E178" t="str">
        <f>+IF(PuntosRanking[[#This Row],[Torneos]]=MAX(PuntosRanking[Torneos]),1,"")</f>
        <v/>
      </c>
      <c r="F178" t="str">
        <f>+PuntosRanking[[#This Row],[Mote]]&amp;"_"&amp;PuntosRanking[[#This Row],[Máximo]]</f>
        <v>Ignacio_</v>
      </c>
    </row>
    <row r="179" spans="1:6">
      <c r="A179" t="s">
        <v>202</v>
      </c>
      <c r="B179" s="105">
        <v>570</v>
      </c>
      <c r="C179" s="45">
        <v>8</v>
      </c>
      <c r="D179" s="45"/>
      <c r="E179" t="str">
        <f>+IF(PuntosRanking[[#This Row],[Torneos]]=MAX(PuntosRanking[Torneos]),1,"")</f>
        <v/>
      </c>
      <c r="F179" t="str">
        <f>+PuntosRanking[[#This Row],[Mote]]&amp;"_"&amp;PuntosRanking[[#This Row],[Máximo]]</f>
        <v>Monti_</v>
      </c>
    </row>
    <row r="180" spans="1:6">
      <c r="A180" t="s">
        <v>13</v>
      </c>
      <c r="B180" s="105">
        <v>480</v>
      </c>
      <c r="C180" s="45">
        <v>8</v>
      </c>
      <c r="D180" s="45"/>
      <c r="E180" t="str">
        <f>+IF(PuntosRanking[[#This Row],[Torneos]]=MAX(PuntosRanking[Torneos]),1,"")</f>
        <v/>
      </c>
      <c r="F180" t="str">
        <f>+PuntosRanking[[#This Row],[Mote]]&amp;"_"&amp;PuntosRanking[[#This Row],[Máximo]]</f>
        <v>Paco_</v>
      </c>
    </row>
    <row r="181" spans="1:6">
      <c r="A181" t="s">
        <v>42</v>
      </c>
      <c r="B181" s="105">
        <v>471</v>
      </c>
      <c r="C181" s="45">
        <v>8</v>
      </c>
      <c r="D181" s="45"/>
      <c r="E181" t="str">
        <f>+IF(PuntosRanking[[#This Row],[Torneos]]=MAX(PuntosRanking[Torneos]),1,"")</f>
        <v/>
      </c>
      <c r="F181" t="str">
        <f>+PuntosRanking[[#This Row],[Mote]]&amp;"_"&amp;PuntosRanking[[#This Row],[Máximo]]</f>
        <v>Jesús_</v>
      </c>
    </row>
    <row r="182" spans="1:6">
      <c r="A182" t="s">
        <v>249</v>
      </c>
      <c r="B182" s="105">
        <v>390</v>
      </c>
      <c r="C182" s="45">
        <v>8</v>
      </c>
      <c r="D182" s="45"/>
      <c r="E182" t="str">
        <f>+IF(PuntosRanking[[#This Row],[Torneos]]=MAX(PuntosRanking[Torneos]),1,"")</f>
        <v/>
      </c>
      <c r="F182" t="str">
        <f>+PuntosRanking[[#This Row],[Mote]]&amp;"_"&amp;PuntosRanking[[#This Row],[Máximo]]</f>
        <v>Enrique_</v>
      </c>
    </row>
    <row r="183" spans="1:6">
      <c r="A183" t="s">
        <v>31</v>
      </c>
      <c r="B183" s="105">
        <v>385</v>
      </c>
      <c r="C183" s="45">
        <v>8</v>
      </c>
      <c r="D183" s="45"/>
      <c r="E183" t="str">
        <f>+IF(PuntosRanking[[#This Row],[Torneos]]=MAX(PuntosRanking[Torneos]),1,"")</f>
        <v/>
      </c>
      <c r="F183" t="str">
        <f>+PuntosRanking[[#This Row],[Mote]]&amp;"_"&amp;PuntosRanking[[#This Row],[Máximo]]</f>
        <v>David_</v>
      </c>
    </row>
    <row r="184" spans="1:6">
      <c r="A184" t="s">
        <v>391</v>
      </c>
      <c r="B184" s="105">
        <v>382</v>
      </c>
      <c r="C184" s="45">
        <v>8</v>
      </c>
      <c r="D184" s="45"/>
      <c r="E184" t="str">
        <f>+IF(PuntosRanking[[#This Row],[Torneos]]=MAX(PuntosRanking[Torneos]),1,"")</f>
        <v/>
      </c>
      <c r="F184" t="str">
        <f>+PuntosRanking[[#This Row],[Mote]]&amp;"_"&amp;PuntosRanking[[#This Row],[Máximo]]</f>
        <v>J Antonio_</v>
      </c>
    </row>
    <row r="185" spans="1:6">
      <c r="A185" t="s">
        <v>265</v>
      </c>
      <c r="B185" s="105">
        <v>344</v>
      </c>
      <c r="C185" s="45">
        <v>8</v>
      </c>
      <c r="D185" s="45"/>
      <c r="E185" t="str">
        <f>+IF(PuntosRanking[[#This Row],[Torneos]]=MAX(PuntosRanking[Torneos]),1,"")</f>
        <v/>
      </c>
      <c r="F185" t="str">
        <f>+PuntosRanking[[#This Row],[Mote]]&amp;"_"&amp;PuntosRanking[[#This Row],[Máximo]]</f>
        <v>Antonio_</v>
      </c>
    </row>
    <row r="186" spans="1:6">
      <c r="A186" t="s">
        <v>50</v>
      </c>
      <c r="B186" s="105">
        <v>338</v>
      </c>
      <c r="C186" s="45">
        <v>8</v>
      </c>
      <c r="D186" s="45"/>
      <c r="E186" t="str">
        <f>+IF(PuntosRanking[[#This Row],[Torneos]]=MAX(PuntosRanking[Torneos]),1,"")</f>
        <v/>
      </c>
      <c r="F186" t="str">
        <f>+PuntosRanking[[#This Row],[Mote]]&amp;"_"&amp;PuntosRanking[[#This Row],[Máximo]]</f>
        <v>Fran_</v>
      </c>
    </row>
    <row r="187" spans="1:6">
      <c r="A187" t="s">
        <v>26</v>
      </c>
      <c r="B187" s="105">
        <v>318</v>
      </c>
      <c r="C187" s="45">
        <v>8</v>
      </c>
      <c r="D187" s="45"/>
      <c r="E187" t="str">
        <f>+IF(PuntosRanking[[#This Row],[Torneos]]=MAX(PuntosRanking[Torneos]),1,"")</f>
        <v/>
      </c>
      <c r="F187" t="str">
        <f>+PuntosRanking[[#This Row],[Mote]]&amp;"_"&amp;PuntosRanking[[#This Row],[Máximo]]</f>
        <v>Alvaro_</v>
      </c>
    </row>
    <row r="188" spans="1:6">
      <c r="A188" t="s">
        <v>2470</v>
      </c>
      <c r="B188" s="105">
        <v>297</v>
      </c>
      <c r="C188" s="45">
        <v>8</v>
      </c>
      <c r="D188" s="45"/>
      <c r="E188" t="str">
        <f>+IF(PuntosRanking[[#This Row],[Torneos]]=MAX(PuntosRanking[Torneos]),1,"")</f>
        <v/>
      </c>
      <c r="F188" t="str">
        <f>+PuntosRanking[[#This Row],[Mote]]&amp;"_"&amp;PuntosRanking[[#This Row],[Máximo]]</f>
        <v>A.Santana_</v>
      </c>
    </row>
    <row r="189" spans="1:6">
      <c r="A189" t="s">
        <v>123</v>
      </c>
      <c r="B189" s="105">
        <v>287</v>
      </c>
      <c r="C189" s="45">
        <v>8</v>
      </c>
      <c r="D189" s="45"/>
      <c r="E189" t="str">
        <f>+IF(PuntosRanking[[#This Row],[Torneos]]=MAX(PuntosRanking[Torneos]),1,"")</f>
        <v/>
      </c>
      <c r="F189" t="str">
        <f>+PuntosRanking[[#This Row],[Mote]]&amp;"_"&amp;PuntosRanking[[#This Row],[Máximo]]</f>
        <v>Miche_</v>
      </c>
    </row>
    <row r="190" spans="1:6">
      <c r="A190" t="s">
        <v>204</v>
      </c>
      <c r="B190" s="105">
        <v>273</v>
      </c>
      <c r="C190" s="45">
        <v>8</v>
      </c>
      <c r="D190" s="45"/>
      <c r="E190" t="str">
        <f>+IF(PuntosRanking[[#This Row],[Torneos]]=MAX(PuntosRanking[Torneos]),1,"")</f>
        <v/>
      </c>
      <c r="F190" t="str">
        <f>+PuntosRanking[[#This Row],[Mote]]&amp;"_"&amp;PuntosRanking[[#This Row],[Máximo]]</f>
        <v>Rus_</v>
      </c>
    </row>
    <row r="191" spans="1:6">
      <c r="A191" t="s">
        <v>376</v>
      </c>
      <c r="B191" s="105">
        <v>272</v>
      </c>
      <c r="C191" s="45">
        <v>8</v>
      </c>
      <c r="D191" s="45"/>
      <c r="E191" t="str">
        <f>+IF(PuntosRanking[[#This Row],[Torneos]]=MAX(PuntosRanking[Torneos]),1,"")</f>
        <v/>
      </c>
      <c r="F191" t="str">
        <f>+PuntosRanking[[#This Row],[Mote]]&amp;"_"&amp;PuntosRanking[[#This Row],[Máximo]]</f>
        <v>Luis_</v>
      </c>
    </row>
    <row r="192" spans="1:6">
      <c r="A192" t="s">
        <v>24</v>
      </c>
      <c r="B192" s="105">
        <v>248</v>
      </c>
      <c r="C192" s="45">
        <v>8</v>
      </c>
      <c r="D192" s="45"/>
      <c r="E192" t="str">
        <f>+IF(PuntosRanking[[#This Row],[Torneos]]=MAX(PuntosRanking[Torneos]),1,"")</f>
        <v/>
      </c>
      <c r="F192" t="str">
        <f>+PuntosRanking[[#This Row],[Mote]]&amp;"_"&amp;PuntosRanking[[#This Row],[Máximo]]</f>
        <v>Kike_</v>
      </c>
    </row>
    <row r="193" spans="1:6">
      <c r="A193" t="s">
        <v>262</v>
      </c>
      <c r="B193" s="105">
        <v>218</v>
      </c>
      <c r="C193" s="45">
        <v>8</v>
      </c>
      <c r="D193" s="45"/>
      <c r="E193" t="str">
        <f>+IF(PuntosRanking[[#This Row],[Torneos]]=MAX(PuntosRanking[Torneos]),1,"")</f>
        <v/>
      </c>
      <c r="F193" t="str">
        <f>+PuntosRanking[[#This Row],[Mote]]&amp;"_"&amp;PuntosRanking[[#This Row],[Máximo]]</f>
        <v>Alex_</v>
      </c>
    </row>
    <row r="194" spans="1:6">
      <c r="A194" t="s">
        <v>4</v>
      </c>
      <c r="B194" s="105">
        <v>217</v>
      </c>
      <c r="C194" s="45">
        <v>8</v>
      </c>
      <c r="D194" s="45"/>
      <c r="E194" t="str">
        <f>+IF(PuntosRanking[[#This Row],[Torneos]]=MAX(PuntosRanking[Torneos]),1,"")</f>
        <v/>
      </c>
      <c r="F194" t="str">
        <f>+PuntosRanking[[#This Row],[Mote]]&amp;"_"&amp;PuntosRanking[[#This Row],[Máximo]]</f>
        <v>Nacho_</v>
      </c>
    </row>
    <row r="195" spans="1:6">
      <c r="A195" t="s">
        <v>47</v>
      </c>
      <c r="B195" s="105">
        <v>172</v>
      </c>
      <c r="C195" s="45">
        <v>8</v>
      </c>
      <c r="D195" s="45"/>
      <c r="E195" t="str">
        <f>+IF(PuntosRanking[[#This Row],[Torneos]]=MAX(PuntosRanking[Torneos]),1,"")</f>
        <v/>
      </c>
      <c r="F195" t="str">
        <f>+PuntosRanking[[#This Row],[Mote]]&amp;"_"&amp;PuntosRanking[[#This Row],[Máximo]]</f>
        <v>Virus_</v>
      </c>
    </row>
    <row r="196" spans="1:6">
      <c r="A196" t="s">
        <v>431</v>
      </c>
      <c r="B196" s="105">
        <v>59</v>
      </c>
      <c r="C196" s="45">
        <v>8</v>
      </c>
      <c r="D196" s="45"/>
      <c r="E196" t="str">
        <f>+IF(PuntosRanking[[#This Row],[Torneos]]=MAX(PuntosRanking[Torneos]),1,"")</f>
        <v/>
      </c>
      <c r="F196" t="str">
        <f>+PuntosRanking[[#This Row],[Mote]]&amp;"_"&amp;PuntosRanking[[#This Row],[Máximo]]</f>
        <v>Carlitos_</v>
      </c>
    </row>
    <row r="197" spans="1:6">
      <c r="A197" t="s">
        <v>208</v>
      </c>
      <c r="B197" s="105">
        <v>55</v>
      </c>
      <c r="C197" s="45">
        <v>8</v>
      </c>
      <c r="D197" s="45"/>
      <c r="E197" t="str">
        <f>+IF(PuntosRanking[[#This Row],[Torneos]]=MAX(PuntosRanking[Torneos]),1,"")</f>
        <v/>
      </c>
      <c r="F197" t="str">
        <f>+PuntosRanking[[#This Row],[Mote]]&amp;"_"&amp;PuntosRanking[[#This Row],[Máximo]]</f>
        <v>Franck_</v>
      </c>
    </row>
    <row r="198" spans="1:6">
      <c r="A198" t="s">
        <v>230</v>
      </c>
      <c r="B198" s="105"/>
      <c r="C198" s="45">
        <v>8</v>
      </c>
      <c r="D198" s="45"/>
      <c r="E198" t="str">
        <f>+IF(PuntosRanking[[#This Row],[Torneos]]=MAX(PuntosRanking[Torneos]),1,"")</f>
        <v/>
      </c>
      <c r="F198" t="str">
        <f>+PuntosRanking[[#This Row],[Mote]]&amp;"_"&amp;PuntosRanking[[#This Row],[Máximo]]</f>
        <v>A Zorrilla_</v>
      </c>
    </row>
    <row r="199" spans="1:6">
      <c r="A199" t="s">
        <v>78</v>
      </c>
      <c r="B199" s="105"/>
      <c r="C199" s="45">
        <v>8</v>
      </c>
      <c r="D199" s="45"/>
      <c r="E199" t="str">
        <f>+IF(PuntosRanking[[#This Row],[Torneos]]=MAX(PuntosRanking[Torneos]),1,"")</f>
        <v/>
      </c>
      <c r="F199" t="str">
        <f>+PuntosRanking[[#This Row],[Mote]]&amp;"_"&amp;PuntosRanking[[#This Row],[Máximo]]</f>
        <v>Campo_</v>
      </c>
    </row>
    <row r="200" spans="1:6">
      <c r="A200" t="s">
        <v>226</v>
      </c>
      <c r="B200" s="105"/>
      <c r="C200" s="45">
        <v>8</v>
      </c>
      <c r="D200" s="45"/>
      <c r="E200" t="str">
        <f>+IF(PuntosRanking[[#This Row],[Torneos]]=MAX(PuntosRanking[Torneos]),1,"")</f>
        <v/>
      </c>
      <c r="F200" t="str">
        <f>+PuntosRanking[[#This Row],[Mote]]&amp;"_"&amp;PuntosRanking[[#This Row],[Máximo]]</f>
        <v>Chiralt_</v>
      </c>
    </row>
    <row r="201" spans="1:6">
      <c r="A201" t="s">
        <v>218</v>
      </c>
      <c r="B201" s="105"/>
      <c r="C201" s="45">
        <v>8</v>
      </c>
      <c r="D201" s="45"/>
      <c r="E201" t="str">
        <f>+IF(PuntosRanking[[#This Row],[Torneos]]=MAX(PuntosRanking[Torneos]),1,"")</f>
        <v/>
      </c>
      <c r="F201" t="str">
        <f>+PuntosRanking[[#This Row],[Mote]]&amp;"_"&amp;PuntosRanking[[#This Row],[Máximo]]</f>
        <v>Cuñao_</v>
      </c>
    </row>
    <row r="202" spans="1:6">
      <c r="A202" t="s">
        <v>339</v>
      </c>
      <c r="B202" s="105"/>
      <c r="C202" s="45">
        <v>8</v>
      </c>
      <c r="D202" s="45"/>
      <c r="E202" t="str">
        <f>+IF(PuntosRanking[[#This Row],[Torneos]]=MAX(PuntosRanking[Torneos]),1,"")</f>
        <v/>
      </c>
      <c r="F202" t="str">
        <f>+PuntosRanking[[#This Row],[Mote]]&amp;"_"&amp;PuntosRanking[[#This Row],[Máximo]]</f>
        <v>Emi_</v>
      </c>
    </row>
    <row r="203" spans="1:6">
      <c r="A203" t="s">
        <v>299</v>
      </c>
      <c r="B203" s="105"/>
      <c r="C203" s="45">
        <v>8</v>
      </c>
      <c r="D203" s="45"/>
      <c r="E203" t="str">
        <f>+IF(PuntosRanking[[#This Row],[Torneos]]=MAX(PuntosRanking[Torneos]),1,"")</f>
        <v/>
      </c>
      <c r="F203" t="str">
        <f>+PuntosRanking[[#This Row],[Mote]]&amp;"_"&amp;PuntosRanking[[#This Row],[Máximo]]</f>
        <v>I Gracia_</v>
      </c>
    </row>
    <row r="204" spans="1:6">
      <c r="A204" t="s">
        <v>292</v>
      </c>
      <c r="B204" s="105"/>
      <c r="C204" s="45">
        <v>8</v>
      </c>
      <c r="D204" s="45"/>
      <c r="E204" t="str">
        <f>+IF(PuntosRanking[[#This Row],[Torneos]]=MAX(PuntosRanking[Torneos]),1,"")</f>
        <v/>
      </c>
      <c r="F204" t="str">
        <f>+PuntosRanking[[#This Row],[Mote]]&amp;"_"&amp;PuntosRanking[[#This Row],[Máximo]]</f>
        <v>Jaime_</v>
      </c>
    </row>
    <row r="205" spans="1:6">
      <c r="A205" t="s">
        <v>384</v>
      </c>
      <c r="B205" s="105"/>
      <c r="C205" s="45">
        <v>8</v>
      </c>
      <c r="D205" s="45"/>
      <c r="E205" t="str">
        <f>+IF(PuntosRanking[[#This Row],[Torneos]]=MAX(PuntosRanking[Torneos]),1,"")</f>
        <v/>
      </c>
      <c r="F205" t="str">
        <f>+PuntosRanking[[#This Row],[Mote]]&amp;"_"&amp;PuntosRanking[[#This Row],[Máximo]]</f>
        <v>Juan Luis_</v>
      </c>
    </row>
    <row r="206" spans="1:6">
      <c r="A206" t="s">
        <v>268</v>
      </c>
      <c r="B206" s="105"/>
      <c r="C206" s="45">
        <v>8</v>
      </c>
      <c r="D206" s="45"/>
      <c r="E206" t="str">
        <f>+IF(PuntosRanking[[#This Row],[Torneos]]=MAX(PuntosRanking[Torneos]),1,"")</f>
        <v/>
      </c>
      <c r="F206" t="str">
        <f>+PuntosRanking[[#This Row],[Mote]]&amp;"_"&amp;PuntosRanking[[#This Row],[Máximo]]</f>
        <v>Santi_</v>
      </c>
    </row>
    <row r="207" spans="1:6">
      <c r="A207" t="s">
        <v>206</v>
      </c>
      <c r="B207" s="105">
        <v>1648</v>
      </c>
      <c r="C207" s="45">
        <v>9</v>
      </c>
      <c r="D207" s="45"/>
      <c r="E207" t="str">
        <f>+IF(PuntosRanking[[#This Row],[Torneos]]=MAX(PuntosRanking[Torneos]),1,"")</f>
        <v/>
      </c>
      <c r="F207" t="str">
        <f>+PuntosRanking[[#This Row],[Mote]]&amp;"_"&amp;PuntosRanking[[#This Row],[Máximo]]</f>
        <v>Nachete_</v>
      </c>
    </row>
    <row r="208" spans="1:6">
      <c r="A208" t="s">
        <v>19</v>
      </c>
      <c r="B208" s="105">
        <v>1478</v>
      </c>
      <c r="C208" s="45">
        <v>9</v>
      </c>
      <c r="D208" s="45"/>
      <c r="E208" t="str">
        <f>+IF(PuntosRanking[[#This Row],[Torneos]]=MAX(PuntosRanking[Torneos]),1,"")</f>
        <v/>
      </c>
      <c r="F208" t="str">
        <f>+PuntosRanking[[#This Row],[Mote]]&amp;"_"&amp;PuntosRanking[[#This Row],[Máximo]]</f>
        <v>JP_</v>
      </c>
    </row>
    <row r="209" spans="1:6">
      <c r="A209" t="s">
        <v>36</v>
      </c>
      <c r="B209" s="105">
        <v>1352</v>
      </c>
      <c r="C209" s="45">
        <v>9</v>
      </c>
      <c r="D209" s="45"/>
      <c r="E209" t="str">
        <f>+IF(PuntosRanking[[#This Row],[Torneos]]=MAX(PuntosRanking[Torneos]),1,"")</f>
        <v/>
      </c>
      <c r="F209" t="str">
        <f>+PuntosRanking[[#This Row],[Mote]]&amp;"_"&amp;PuntosRanking[[#This Row],[Máximo]]</f>
        <v>Juanjo_</v>
      </c>
    </row>
    <row r="210" spans="1:6">
      <c r="A210" t="s">
        <v>2517</v>
      </c>
      <c r="B210" s="105">
        <v>1294</v>
      </c>
      <c r="C210" s="45">
        <v>9</v>
      </c>
      <c r="D210" s="45"/>
      <c r="E210" t="str">
        <f>+IF(PuntosRanking[[#This Row],[Torneos]]=MAX(PuntosRanking[Torneos]),1,"")</f>
        <v/>
      </c>
      <c r="F210" t="str">
        <f>+PuntosRanking[[#This Row],[Mote]]&amp;"_"&amp;PuntosRanking[[#This Row],[Máximo]]</f>
        <v>JuanSanz_</v>
      </c>
    </row>
    <row r="211" spans="1:6">
      <c r="A211" t="s">
        <v>381</v>
      </c>
      <c r="B211" s="105">
        <v>1115</v>
      </c>
      <c r="C211" s="45">
        <v>9</v>
      </c>
      <c r="D211" s="45"/>
      <c r="E211" t="str">
        <f>+IF(PuntosRanking[[#This Row],[Torneos]]=MAX(PuntosRanking[Torneos]),1,"")</f>
        <v/>
      </c>
      <c r="F211" t="str">
        <f>+PuntosRanking[[#This Row],[Mote]]&amp;"_"&amp;PuntosRanking[[#This Row],[Máximo]]</f>
        <v>Juancho_</v>
      </c>
    </row>
    <row r="212" spans="1:6">
      <c r="A212" t="s">
        <v>7</v>
      </c>
      <c r="B212" s="105">
        <v>900</v>
      </c>
      <c r="C212" s="45">
        <v>9</v>
      </c>
      <c r="D212" s="45"/>
      <c r="E212" t="str">
        <f>+IF(PuntosRanking[[#This Row],[Torneos]]=MAX(PuntosRanking[Torneos]),1,"")</f>
        <v/>
      </c>
      <c r="F212" t="str">
        <f>+PuntosRanking[[#This Row],[Mote]]&amp;"_"&amp;PuntosRanking[[#This Row],[Máximo]]</f>
        <v>Ignacio_</v>
      </c>
    </row>
    <row r="213" spans="1:6">
      <c r="A213" t="s">
        <v>10</v>
      </c>
      <c r="B213" s="105">
        <v>889</v>
      </c>
      <c r="C213" s="45">
        <v>9</v>
      </c>
      <c r="D213" s="45"/>
      <c r="E213" t="str">
        <f>+IF(PuntosRanking[[#This Row],[Torneos]]=MAX(PuntosRanking[Torneos]),1,"")</f>
        <v/>
      </c>
      <c r="F213" t="str">
        <f>+PuntosRanking[[#This Row],[Mote]]&amp;"_"&amp;PuntosRanking[[#This Row],[Máximo]]</f>
        <v>Alfonso_</v>
      </c>
    </row>
    <row r="214" spans="1:6">
      <c r="A214" t="s">
        <v>329</v>
      </c>
      <c r="B214" s="105">
        <v>879</v>
      </c>
      <c r="C214" s="45">
        <v>9</v>
      </c>
      <c r="D214" s="45"/>
      <c r="E214" t="str">
        <f>+IF(PuntosRanking[[#This Row],[Torneos]]=MAX(PuntosRanking[Torneos]),1,"")</f>
        <v/>
      </c>
      <c r="F214" t="str">
        <f>+PuntosRanking[[#This Row],[Mote]]&amp;"_"&amp;PuntosRanking[[#This Row],[Máximo]]</f>
        <v>J.Arcos_</v>
      </c>
    </row>
    <row r="215" spans="1:6">
      <c r="A215" t="s">
        <v>382</v>
      </c>
      <c r="B215" s="105">
        <v>807</v>
      </c>
      <c r="C215" s="45">
        <v>9</v>
      </c>
      <c r="D215" s="45"/>
      <c r="E215" t="str">
        <f>+IF(PuntosRanking[[#This Row],[Torneos]]=MAX(PuntosRanking[Torneos]),1,"")</f>
        <v/>
      </c>
      <c r="F215" t="str">
        <f>+PuntosRanking[[#This Row],[Mote]]&amp;"_"&amp;PuntosRanking[[#This Row],[Máximo]]</f>
        <v>Jorge_</v>
      </c>
    </row>
    <row r="216" spans="1:6">
      <c r="A216" t="s">
        <v>2470</v>
      </c>
      <c r="B216" s="105">
        <v>797</v>
      </c>
      <c r="C216" s="45">
        <v>9</v>
      </c>
      <c r="D216" s="45"/>
      <c r="E216" t="str">
        <f>+IF(PuntosRanking[[#This Row],[Torneos]]=MAX(PuntosRanking[Torneos]),1,"")</f>
        <v/>
      </c>
      <c r="F216" t="str">
        <f>+PuntosRanking[[#This Row],[Mote]]&amp;"_"&amp;PuntosRanking[[#This Row],[Máximo]]</f>
        <v>A.Santana_</v>
      </c>
    </row>
    <row r="217" spans="1:6">
      <c r="A217" t="s">
        <v>21</v>
      </c>
      <c r="B217" s="105">
        <v>788</v>
      </c>
      <c r="C217" s="45">
        <v>9</v>
      </c>
      <c r="D217" s="45"/>
      <c r="E217" t="str">
        <f>+IF(PuntosRanking[[#This Row],[Torneos]]=MAX(PuntosRanking[Torneos]),1,"")</f>
        <v/>
      </c>
      <c r="F217" t="str">
        <f>+PuntosRanking[[#This Row],[Mote]]&amp;"_"&amp;PuntosRanking[[#This Row],[Máximo]]</f>
        <v>Javi_</v>
      </c>
    </row>
    <row r="218" spans="1:6">
      <c r="A218" t="s">
        <v>327</v>
      </c>
      <c r="B218" s="105">
        <v>767</v>
      </c>
      <c r="C218" s="45">
        <v>9</v>
      </c>
      <c r="D218" s="45"/>
      <c r="E218" t="str">
        <f>+IF(PuntosRanking[[#This Row],[Torneos]]=MAX(PuntosRanking[Torneos]),1,"")</f>
        <v/>
      </c>
      <c r="F218" t="str">
        <f>+PuntosRanking[[#This Row],[Mote]]&amp;"_"&amp;PuntosRanking[[#This Row],[Máximo]]</f>
        <v>Eduardo_</v>
      </c>
    </row>
    <row r="219" spans="1:6">
      <c r="A219" t="s">
        <v>16</v>
      </c>
      <c r="B219" s="105">
        <v>719</v>
      </c>
      <c r="C219" s="45">
        <v>9</v>
      </c>
      <c r="D219" s="45"/>
      <c r="E219" t="str">
        <f>+IF(PuntosRanking[[#This Row],[Torneos]]=MAX(PuntosRanking[Torneos]),1,"")</f>
        <v/>
      </c>
      <c r="F219" t="str">
        <f>+PuntosRanking[[#This Row],[Mote]]&amp;"_"&amp;PuntosRanking[[#This Row],[Máximo]]</f>
        <v>Gifu_</v>
      </c>
    </row>
    <row r="220" spans="1:6">
      <c r="A220" t="s">
        <v>34</v>
      </c>
      <c r="B220" s="105">
        <v>689</v>
      </c>
      <c r="C220" s="45">
        <v>9</v>
      </c>
      <c r="D220" s="45"/>
      <c r="E220" t="str">
        <f>+IF(PuntosRanking[[#This Row],[Torneos]]=MAX(PuntosRanking[Torneos]),1,"")</f>
        <v/>
      </c>
      <c r="F220" t="str">
        <f>+PuntosRanking[[#This Row],[Mote]]&amp;"_"&amp;PuntosRanking[[#This Row],[Máximo]]</f>
        <v>Angel_</v>
      </c>
    </row>
    <row r="221" spans="1:6">
      <c r="A221" t="s">
        <v>202</v>
      </c>
      <c r="B221" s="105">
        <v>621</v>
      </c>
      <c r="C221" s="45">
        <v>9</v>
      </c>
      <c r="D221" s="45"/>
      <c r="E221" t="str">
        <f>+IF(PuntosRanking[[#This Row],[Torneos]]=MAX(PuntosRanking[Torneos]),1,"")</f>
        <v/>
      </c>
      <c r="F221" t="str">
        <f>+PuntosRanking[[#This Row],[Mote]]&amp;"_"&amp;PuntosRanking[[#This Row],[Máximo]]</f>
        <v>Monti_</v>
      </c>
    </row>
    <row r="222" spans="1:6">
      <c r="A222" t="s">
        <v>31</v>
      </c>
      <c r="B222" s="105">
        <v>550</v>
      </c>
      <c r="C222" s="45">
        <v>9</v>
      </c>
      <c r="D222" s="45"/>
      <c r="E222" t="str">
        <f>+IF(PuntosRanking[[#This Row],[Torneos]]=MAX(PuntosRanking[Torneos]),1,"")</f>
        <v/>
      </c>
      <c r="F222" t="str">
        <f>+PuntosRanking[[#This Row],[Mote]]&amp;"_"&amp;PuntosRanking[[#This Row],[Máximo]]</f>
        <v>David_</v>
      </c>
    </row>
    <row r="223" spans="1:6">
      <c r="A223" t="s">
        <v>42</v>
      </c>
      <c r="B223" s="105">
        <v>528</v>
      </c>
      <c r="C223" s="45">
        <v>9</v>
      </c>
      <c r="D223" s="45"/>
      <c r="E223" t="str">
        <f>+IF(PuntosRanking[[#This Row],[Torneos]]=MAX(PuntosRanking[Torneos]),1,"")</f>
        <v/>
      </c>
      <c r="F223" t="str">
        <f>+PuntosRanking[[#This Row],[Mote]]&amp;"_"&amp;PuntosRanking[[#This Row],[Máximo]]</f>
        <v>Jesús_</v>
      </c>
    </row>
    <row r="224" spans="1:6">
      <c r="A224" t="s">
        <v>249</v>
      </c>
      <c r="B224" s="105">
        <v>503</v>
      </c>
      <c r="C224" s="45">
        <v>9</v>
      </c>
      <c r="D224" s="45"/>
      <c r="E224" t="str">
        <f>+IF(PuntosRanking[[#This Row],[Torneos]]=MAX(PuntosRanking[Torneos]),1,"")</f>
        <v/>
      </c>
      <c r="F224" t="str">
        <f>+PuntosRanking[[#This Row],[Mote]]&amp;"_"&amp;PuntosRanking[[#This Row],[Máximo]]</f>
        <v>Enrique_</v>
      </c>
    </row>
    <row r="225" spans="1:6">
      <c r="A225" t="s">
        <v>265</v>
      </c>
      <c r="B225" s="105">
        <v>493</v>
      </c>
      <c r="C225" s="45">
        <v>9</v>
      </c>
      <c r="D225" s="45"/>
      <c r="E225" t="str">
        <f>+IF(PuntosRanking[[#This Row],[Torneos]]=MAX(PuntosRanking[Torneos]),1,"")</f>
        <v/>
      </c>
      <c r="F225" t="str">
        <f>+PuntosRanking[[#This Row],[Mote]]&amp;"_"&amp;PuntosRanking[[#This Row],[Máximo]]</f>
        <v>Antonio_</v>
      </c>
    </row>
    <row r="226" spans="1:6">
      <c r="A226" t="s">
        <v>391</v>
      </c>
      <c r="B226" s="105">
        <v>482</v>
      </c>
      <c r="C226" s="45">
        <v>9</v>
      </c>
      <c r="D226" s="45"/>
      <c r="E226" t="str">
        <f>+IF(PuntosRanking[[#This Row],[Torneos]]=MAX(PuntosRanking[Torneos]),1,"")</f>
        <v/>
      </c>
      <c r="F226" t="str">
        <f>+PuntosRanking[[#This Row],[Mote]]&amp;"_"&amp;PuntosRanking[[#This Row],[Máximo]]</f>
        <v>J Antonio_</v>
      </c>
    </row>
    <row r="227" spans="1:6">
      <c r="A227" t="s">
        <v>13</v>
      </c>
      <c r="B227" s="105">
        <v>480</v>
      </c>
      <c r="C227" s="45">
        <v>9</v>
      </c>
      <c r="D227" s="45"/>
      <c r="E227" t="str">
        <f>+IF(PuntosRanking[[#This Row],[Torneos]]=MAX(PuntosRanking[Torneos]),1,"")</f>
        <v/>
      </c>
      <c r="F227" t="str">
        <f>+PuntosRanking[[#This Row],[Mote]]&amp;"_"&amp;PuntosRanking[[#This Row],[Máximo]]</f>
        <v>Paco_</v>
      </c>
    </row>
    <row r="228" spans="1:6">
      <c r="A228" t="s">
        <v>50</v>
      </c>
      <c r="B228" s="105">
        <v>418</v>
      </c>
      <c r="C228" s="45">
        <v>9</v>
      </c>
      <c r="D228" s="45"/>
      <c r="E228" t="str">
        <f>+IF(PuntosRanking[[#This Row],[Torneos]]=MAX(PuntosRanking[Torneos]),1,"")</f>
        <v/>
      </c>
      <c r="F228" t="str">
        <f>+PuntosRanking[[#This Row],[Mote]]&amp;"_"&amp;PuntosRanking[[#This Row],[Máximo]]</f>
        <v>Fran_</v>
      </c>
    </row>
    <row r="229" spans="1:6">
      <c r="A229" t="s">
        <v>24</v>
      </c>
      <c r="B229" s="105">
        <v>333</v>
      </c>
      <c r="C229" s="45">
        <v>9</v>
      </c>
      <c r="D229" s="45"/>
      <c r="E229" t="str">
        <f>+IF(PuntosRanking[[#This Row],[Torneos]]=MAX(PuntosRanking[Torneos]),1,"")</f>
        <v/>
      </c>
      <c r="F229" t="str">
        <f>+PuntosRanking[[#This Row],[Mote]]&amp;"_"&amp;PuntosRanking[[#This Row],[Máximo]]</f>
        <v>Kike_</v>
      </c>
    </row>
    <row r="230" spans="1:6">
      <c r="A230" t="s">
        <v>26</v>
      </c>
      <c r="B230" s="105">
        <v>318</v>
      </c>
      <c r="C230" s="45">
        <v>9</v>
      </c>
      <c r="D230" s="45"/>
      <c r="E230" t="str">
        <f>+IF(PuntosRanking[[#This Row],[Torneos]]=MAX(PuntosRanking[Torneos]),1,"")</f>
        <v/>
      </c>
      <c r="F230" t="str">
        <f>+PuntosRanking[[#This Row],[Mote]]&amp;"_"&amp;PuntosRanking[[#This Row],[Máximo]]</f>
        <v>Alvaro_</v>
      </c>
    </row>
    <row r="231" spans="1:6">
      <c r="A231" t="s">
        <v>123</v>
      </c>
      <c r="B231" s="105">
        <v>287</v>
      </c>
      <c r="C231" s="45">
        <v>9</v>
      </c>
      <c r="D231" s="45"/>
      <c r="E231" t="str">
        <f>+IF(PuntosRanking[[#This Row],[Torneos]]=MAX(PuntosRanking[Torneos]),1,"")</f>
        <v/>
      </c>
      <c r="F231" t="str">
        <f>+PuntosRanking[[#This Row],[Mote]]&amp;"_"&amp;PuntosRanking[[#This Row],[Máximo]]</f>
        <v>Miche_</v>
      </c>
    </row>
    <row r="232" spans="1:6">
      <c r="A232" t="s">
        <v>204</v>
      </c>
      <c r="B232" s="105">
        <v>273</v>
      </c>
      <c r="C232" s="45">
        <v>9</v>
      </c>
      <c r="D232" s="45"/>
      <c r="E232" t="str">
        <f>+IF(PuntosRanking[[#This Row],[Torneos]]=MAX(PuntosRanking[Torneos]),1,"")</f>
        <v/>
      </c>
      <c r="F232" t="str">
        <f>+PuntosRanking[[#This Row],[Mote]]&amp;"_"&amp;PuntosRanking[[#This Row],[Máximo]]</f>
        <v>Rus_</v>
      </c>
    </row>
    <row r="233" spans="1:6">
      <c r="A233" t="s">
        <v>376</v>
      </c>
      <c r="B233" s="105">
        <v>272</v>
      </c>
      <c r="C233" s="45">
        <v>9</v>
      </c>
      <c r="D233" s="45"/>
      <c r="E233" t="str">
        <f>+IF(PuntosRanking[[#This Row],[Torneos]]=MAX(PuntosRanking[Torneos]),1,"")</f>
        <v/>
      </c>
      <c r="F233" t="str">
        <f>+PuntosRanking[[#This Row],[Mote]]&amp;"_"&amp;PuntosRanking[[#This Row],[Máximo]]</f>
        <v>Luis_</v>
      </c>
    </row>
    <row r="234" spans="1:6">
      <c r="A234" t="s">
        <v>262</v>
      </c>
      <c r="B234" s="105">
        <v>218</v>
      </c>
      <c r="C234" s="45">
        <v>9</v>
      </c>
      <c r="D234" s="45"/>
      <c r="E234" t="str">
        <f>+IF(PuntosRanking[[#This Row],[Torneos]]=MAX(PuntosRanking[Torneos]),1,"")</f>
        <v/>
      </c>
      <c r="F234" t="str">
        <f>+PuntosRanking[[#This Row],[Mote]]&amp;"_"&amp;PuntosRanking[[#This Row],[Máximo]]</f>
        <v>Alex_</v>
      </c>
    </row>
    <row r="235" spans="1:6">
      <c r="A235" t="s">
        <v>4</v>
      </c>
      <c r="B235" s="105">
        <v>217</v>
      </c>
      <c r="C235" s="45">
        <v>9</v>
      </c>
      <c r="D235" s="45"/>
      <c r="E235" t="str">
        <f>+IF(PuntosRanking[[#This Row],[Torneos]]=MAX(PuntosRanking[Torneos]),1,"")</f>
        <v/>
      </c>
      <c r="F235" t="str">
        <f>+PuntosRanking[[#This Row],[Mote]]&amp;"_"&amp;PuntosRanking[[#This Row],[Máximo]]</f>
        <v>Nacho_</v>
      </c>
    </row>
    <row r="236" spans="1:6">
      <c r="A236" t="s">
        <v>47</v>
      </c>
      <c r="B236" s="105">
        <v>172</v>
      </c>
      <c r="C236" s="45">
        <v>9</v>
      </c>
      <c r="D236" s="45"/>
      <c r="E236" t="str">
        <f>+IF(PuntosRanking[[#This Row],[Torneos]]=MAX(PuntosRanking[Torneos]),1,"")</f>
        <v/>
      </c>
      <c r="F236" t="str">
        <f>+PuntosRanking[[#This Row],[Mote]]&amp;"_"&amp;PuntosRanking[[#This Row],[Máximo]]</f>
        <v>Virus_</v>
      </c>
    </row>
    <row r="237" spans="1:6">
      <c r="A237" t="s">
        <v>431</v>
      </c>
      <c r="B237" s="105">
        <v>59</v>
      </c>
      <c r="C237" s="45">
        <v>9</v>
      </c>
      <c r="D237" s="45"/>
      <c r="E237" t="str">
        <f>+IF(PuntosRanking[[#This Row],[Torneos]]=MAX(PuntosRanking[Torneos]),1,"")</f>
        <v/>
      </c>
      <c r="F237" t="str">
        <f>+PuntosRanking[[#This Row],[Mote]]&amp;"_"&amp;PuntosRanking[[#This Row],[Máximo]]</f>
        <v>Carlitos_</v>
      </c>
    </row>
    <row r="238" spans="1:6">
      <c r="A238" t="s">
        <v>208</v>
      </c>
      <c r="B238" s="105">
        <v>55</v>
      </c>
      <c r="C238" s="45">
        <v>9</v>
      </c>
      <c r="D238" s="45"/>
      <c r="E238" t="str">
        <f>+IF(PuntosRanking[[#This Row],[Torneos]]=MAX(PuntosRanking[Torneos]),1,"")</f>
        <v/>
      </c>
      <c r="F238" t="str">
        <f>+PuntosRanking[[#This Row],[Mote]]&amp;"_"&amp;PuntosRanking[[#This Row],[Máximo]]</f>
        <v>Franck_</v>
      </c>
    </row>
    <row r="239" spans="1:6">
      <c r="A239" s="32" t="s">
        <v>230</v>
      </c>
      <c r="B239" s="105"/>
      <c r="C239" s="45">
        <v>9</v>
      </c>
      <c r="D239" s="45"/>
      <c r="E239" t="str">
        <f>+IF(PuntosRanking[[#This Row],[Torneos]]=MAX(PuntosRanking[Torneos]),1,"")</f>
        <v/>
      </c>
      <c r="F239" t="str">
        <f>+PuntosRanking[[#This Row],[Mote]]&amp;"_"&amp;PuntosRanking[[#This Row],[Máximo]]</f>
        <v>A Zorrilla_</v>
      </c>
    </row>
    <row r="240" spans="1:6">
      <c r="A240" s="107" t="s">
        <v>78</v>
      </c>
      <c r="B240" s="105"/>
      <c r="C240" s="45">
        <v>9</v>
      </c>
      <c r="D240" s="45"/>
      <c r="E240" t="str">
        <f>+IF(PuntosRanking[[#This Row],[Torneos]]=MAX(PuntosRanking[Torneos]),1,"")</f>
        <v/>
      </c>
      <c r="F240" t="str">
        <f>+PuntosRanking[[#This Row],[Mote]]&amp;"_"&amp;PuntosRanking[[#This Row],[Máximo]]</f>
        <v>Campo_</v>
      </c>
    </row>
    <row r="241" spans="1:39">
      <c r="A241" s="47" t="s">
        <v>226</v>
      </c>
      <c r="B241" s="105"/>
      <c r="C241" s="45">
        <v>9</v>
      </c>
      <c r="D241" s="45"/>
      <c r="E241" t="str">
        <f>+IF(PuntosRanking[[#This Row],[Torneos]]=MAX(PuntosRanking[Torneos]),1,"")</f>
        <v/>
      </c>
      <c r="F241" t="str">
        <f>+PuntosRanking[[#This Row],[Mote]]&amp;"_"&amp;PuntosRanking[[#This Row],[Máximo]]</f>
        <v>Chiralt_</v>
      </c>
      <c r="J241" t="s">
        <v>2556</v>
      </c>
      <c r="K241" t="s">
        <v>2553</v>
      </c>
      <c r="L241" t="s">
        <v>2552</v>
      </c>
      <c r="M241" t="s">
        <v>317</v>
      </c>
    </row>
    <row r="242" spans="1:39">
      <c r="A242" s="32" t="s">
        <v>218</v>
      </c>
      <c r="B242" s="105"/>
      <c r="C242" s="45">
        <v>9</v>
      </c>
      <c r="D242" s="45"/>
      <c r="E242" t="str">
        <f>+IF(PuntosRanking[[#This Row],[Torneos]]=MAX(PuntosRanking[Torneos]),1,"")</f>
        <v/>
      </c>
      <c r="F242" t="str">
        <f>+PuntosRanking[[#This Row],[Mote]]&amp;"_"&amp;PuntosRanking[[#This Row],[Máximo]]</f>
        <v>Cuñao_</v>
      </c>
      <c r="J242" s="110">
        <v>0.95</v>
      </c>
      <c r="K242">
        <v>140</v>
      </c>
      <c r="L242">
        <v>71.3</v>
      </c>
      <c r="M242">
        <v>72</v>
      </c>
    </row>
    <row r="243" spans="1:39">
      <c r="A243" s="47" t="s">
        <v>339</v>
      </c>
      <c r="B243" s="105"/>
      <c r="C243" s="45">
        <v>9</v>
      </c>
      <c r="D243" s="45"/>
      <c r="E243" t="str">
        <f>+IF(PuntosRanking[[#This Row],[Torneos]]=MAX(PuntosRanking[Torneos]),1,"")</f>
        <v/>
      </c>
      <c r="F243" t="str">
        <f>+PuntosRanking[[#This Row],[Mote]]&amp;"_"&amp;PuntosRanking[[#This Row],[Máximo]]</f>
        <v>Emi_</v>
      </c>
    </row>
    <row r="244" spans="1:39">
      <c r="A244" s="32" t="s">
        <v>299</v>
      </c>
      <c r="B244" s="105"/>
      <c r="C244" s="45">
        <v>9</v>
      </c>
      <c r="D244" s="45"/>
      <c r="E244" t="str">
        <f>+IF(PuntosRanking[[#This Row],[Torneos]]=MAX(PuntosRanking[Torneos]),1,"")</f>
        <v/>
      </c>
      <c r="F244" t="str">
        <f>+PuntosRanking[[#This Row],[Mote]]&amp;"_"&amp;PuntosRanking[[#This Row],[Máximo]]</f>
        <v>I Gracia_</v>
      </c>
      <c r="N244" t="s">
        <v>317</v>
      </c>
      <c r="O244">
        <v>5</v>
      </c>
      <c r="P244">
        <v>4</v>
      </c>
      <c r="Q244">
        <v>3</v>
      </c>
      <c r="R244">
        <v>4</v>
      </c>
      <c r="S244">
        <v>5</v>
      </c>
      <c r="T244">
        <v>4</v>
      </c>
      <c r="U244">
        <v>3</v>
      </c>
      <c r="V244">
        <v>4</v>
      </c>
      <c r="W244">
        <v>4</v>
      </c>
      <c r="X244">
        <v>4</v>
      </c>
      <c r="Y244">
        <v>3</v>
      </c>
      <c r="Z244">
        <v>5</v>
      </c>
      <c r="AA244">
        <v>4</v>
      </c>
      <c r="AB244">
        <v>4</v>
      </c>
      <c r="AC244">
        <v>4</v>
      </c>
      <c r="AD244">
        <v>4</v>
      </c>
      <c r="AE244">
        <v>3</v>
      </c>
      <c r="AF244">
        <v>5</v>
      </c>
    </row>
    <row r="245" spans="1:39">
      <c r="A245" s="47" t="s">
        <v>292</v>
      </c>
      <c r="B245" s="105"/>
      <c r="C245" s="45">
        <v>9</v>
      </c>
      <c r="D245" s="45"/>
      <c r="E245" t="str">
        <f>+IF(PuntosRanking[[#This Row],[Torneos]]=MAX(PuntosRanking[Torneos]),1,"")</f>
        <v/>
      </c>
      <c r="F245" t="str">
        <f>+PuntosRanking[[#This Row],[Mote]]&amp;"_"&amp;PuntosRanking[[#This Row],[Máximo]]</f>
        <v>Jaime_</v>
      </c>
      <c r="N245" t="s">
        <v>71</v>
      </c>
      <c r="O245">
        <v>8</v>
      </c>
      <c r="P245">
        <v>4</v>
      </c>
      <c r="Q245">
        <v>18</v>
      </c>
      <c r="R245">
        <v>2</v>
      </c>
      <c r="S245">
        <v>6</v>
      </c>
      <c r="T245">
        <v>16</v>
      </c>
      <c r="U245">
        <v>12</v>
      </c>
      <c r="V245">
        <v>10</v>
      </c>
      <c r="W245">
        <v>14</v>
      </c>
      <c r="X245">
        <v>3</v>
      </c>
      <c r="Y245">
        <v>17</v>
      </c>
      <c r="Z245">
        <v>1</v>
      </c>
      <c r="AA245">
        <v>15</v>
      </c>
      <c r="AB245">
        <v>7</v>
      </c>
      <c r="AC245">
        <v>5</v>
      </c>
      <c r="AD245">
        <v>11</v>
      </c>
      <c r="AE245">
        <v>9</v>
      </c>
      <c r="AF245">
        <v>13</v>
      </c>
    </row>
    <row r="246" spans="1:39">
      <c r="A246" s="32" t="s">
        <v>384</v>
      </c>
      <c r="B246" s="105"/>
      <c r="C246" s="45">
        <v>9</v>
      </c>
      <c r="D246" s="45"/>
      <c r="E246" t="str">
        <f>+IF(PuntosRanking[[#This Row],[Torneos]]=MAX(PuntosRanking[Torneos]),1,"")</f>
        <v/>
      </c>
      <c r="F246" t="str">
        <f>+PuntosRanking[[#This Row],[Mote]]&amp;"_"&amp;PuntosRanking[[#This Row],[Máximo]]</f>
        <v>Juan Luis_</v>
      </c>
    </row>
    <row r="247" spans="1:39">
      <c r="A247" s="107" t="s">
        <v>268</v>
      </c>
      <c r="B247" s="105"/>
      <c r="C247" s="45">
        <v>9</v>
      </c>
      <c r="D247" s="45"/>
      <c r="E247" t="str">
        <f>+IF(PuntosRanking[[#This Row],[Torneos]]=MAX(PuntosRanking[Torneos]),1,"")</f>
        <v/>
      </c>
      <c r="F247" t="str">
        <f>+PuntosRanking[[#This Row],[Mote]]&amp;"_"&amp;PuntosRanking[[#This Row],[Máximo]]</f>
        <v>Santi_</v>
      </c>
      <c r="I247" t="s">
        <v>181</v>
      </c>
      <c r="J247" s="78" t="s">
        <v>166</v>
      </c>
      <c r="K247" s="78" t="s">
        <v>2551</v>
      </c>
      <c r="L247" s="78" t="s">
        <v>2555</v>
      </c>
      <c r="M247" s="78" t="s">
        <v>2554</v>
      </c>
      <c r="N247" s="78" t="s">
        <v>164</v>
      </c>
      <c r="O247" s="109">
        <v>1</v>
      </c>
      <c r="P247">
        <f>+O247+1</f>
        <v>2</v>
      </c>
      <c r="Q247">
        <f t="shared" ref="Q247:AF247" si="0">+P247+1</f>
        <v>3</v>
      </c>
      <c r="R247">
        <f t="shared" si="0"/>
        <v>4</v>
      </c>
      <c r="S247">
        <f t="shared" si="0"/>
        <v>5</v>
      </c>
      <c r="T247">
        <f t="shared" si="0"/>
        <v>6</v>
      </c>
      <c r="U247">
        <f t="shared" si="0"/>
        <v>7</v>
      </c>
      <c r="V247">
        <f t="shared" si="0"/>
        <v>8</v>
      </c>
      <c r="W247">
        <f t="shared" si="0"/>
        <v>9</v>
      </c>
      <c r="X247">
        <f t="shared" si="0"/>
        <v>10</v>
      </c>
      <c r="Y247">
        <f t="shared" si="0"/>
        <v>11</v>
      </c>
      <c r="Z247">
        <f t="shared" si="0"/>
        <v>12</v>
      </c>
      <c r="AA247">
        <f t="shared" si="0"/>
        <v>13</v>
      </c>
      <c r="AB247">
        <f t="shared" si="0"/>
        <v>14</v>
      </c>
      <c r="AC247">
        <f t="shared" si="0"/>
        <v>15</v>
      </c>
      <c r="AD247">
        <f t="shared" si="0"/>
        <v>16</v>
      </c>
      <c r="AE247">
        <f t="shared" si="0"/>
        <v>17</v>
      </c>
      <c r="AF247">
        <f t="shared" si="0"/>
        <v>18</v>
      </c>
    </row>
    <row r="248" spans="1:39">
      <c r="A248" t="s">
        <v>206</v>
      </c>
      <c r="B248" s="105">
        <v>1648</v>
      </c>
      <c r="C248" s="45">
        <v>10</v>
      </c>
      <c r="D248" s="45"/>
      <c r="E248">
        <f>+IF(PuntosRanking[[#This Row],[Torneos]]=MAX(PuntosRanking[Torneos]),1,"")</f>
        <v>1</v>
      </c>
      <c r="F248" t="str">
        <f>+PuntosRanking[[#This Row],[Mote]]&amp;"_"&amp;PuntosRanking[[#This Row],[Máximo]]</f>
        <v>Nachete_1</v>
      </c>
      <c r="I248" t="str">
        <f>+PuntosRanking[[#This Row],[Mote]]</f>
        <v>Nachete</v>
      </c>
      <c r="J248" s="111">
        <f>+PuntosRanking[[#This Row],[Puntos]]</f>
        <v>1648</v>
      </c>
      <c r="K248" s="78">
        <f>ROUND(+PuntosRanking[[#This Row],[Puntos]]/100,0)</f>
        <v>16</v>
      </c>
      <c r="L248" s="78">
        <f>+_xlfn.XLOOKUP("1:"&amp;PuntosRanking[[#This Row],[Mote]],dHdcp[UltHandMote],dHdcp[Handicap],0,0)</f>
        <v>5.2</v>
      </c>
      <c r="M248" s="78">
        <f>+ROUND(L248*$J$242*$K$242/113+($L$242-$M$242),0)</f>
        <v>5</v>
      </c>
      <c r="N248" s="78">
        <f>+K248+M248</f>
        <v>21</v>
      </c>
      <c r="O248">
        <f>+IF($AK248&gt;0,2+IF(O$245&lt;=$AK248,1,0),IF($AM248&gt;0,1+IF(O$245&lt;=$AM248,1,0),IF(O$245&lt;=$N248,1,0)))</f>
        <v>1</v>
      </c>
      <c r="P248">
        <f t="shared" ref="P248:AE263" si="1">+IF($AK248&gt;0,2+IF(P$245&lt;=$AK248,1,0),IF($AM248&gt;0,1+IF(P$245&lt;=$AM248,1,0),IF(P$245&lt;=$N248,1,0)))</f>
        <v>1</v>
      </c>
      <c r="Q248">
        <f t="shared" si="1"/>
        <v>1</v>
      </c>
      <c r="R248">
        <f t="shared" si="1"/>
        <v>2</v>
      </c>
      <c r="S248">
        <f t="shared" si="1"/>
        <v>1</v>
      </c>
      <c r="T248">
        <f t="shared" si="1"/>
        <v>1</v>
      </c>
      <c r="U248">
        <f t="shared" si="1"/>
        <v>1</v>
      </c>
      <c r="V248">
        <f t="shared" si="1"/>
        <v>1</v>
      </c>
      <c r="W248">
        <f t="shared" si="1"/>
        <v>1</v>
      </c>
      <c r="X248">
        <f t="shared" si="1"/>
        <v>2</v>
      </c>
      <c r="Y248">
        <f t="shared" si="1"/>
        <v>1</v>
      </c>
      <c r="Z248">
        <f t="shared" si="1"/>
        <v>2</v>
      </c>
      <c r="AA248">
        <f t="shared" si="1"/>
        <v>1</v>
      </c>
      <c r="AB248">
        <f t="shared" si="1"/>
        <v>1</v>
      </c>
      <c r="AC248">
        <f t="shared" si="1"/>
        <v>1</v>
      </c>
      <c r="AD248">
        <f t="shared" si="1"/>
        <v>1</v>
      </c>
      <c r="AE248">
        <f t="shared" si="1"/>
        <v>1</v>
      </c>
      <c r="AF248">
        <f t="shared" ref="AF248:AF281" si="2">+IF($AK248&gt;0,2+IF(AF$245&lt;=$AK248,1,0),IF($AM248&gt;0,1+IF(AF$245&lt;=$AM248,1,0),IF(AF$245&lt;=$N248,1,0)))</f>
        <v>1</v>
      </c>
      <c r="AG248">
        <f t="shared" ref="AG248:AG262" si="3">+SUM(O248:AF248)</f>
        <v>21</v>
      </c>
      <c r="AJ248">
        <v>36</v>
      </c>
      <c r="AK248">
        <f>+N248-AJ248</f>
        <v>-15</v>
      </c>
      <c r="AL248">
        <v>18</v>
      </c>
      <c r="AM248">
        <f>+N248-AL248</f>
        <v>3</v>
      </c>
    </row>
    <row r="249" spans="1:39">
      <c r="A249" t="s">
        <v>19</v>
      </c>
      <c r="B249" s="105">
        <v>1628</v>
      </c>
      <c r="C249" s="45">
        <v>10</v>
      </c>
      <c r="D249" s="45"/>
      <c r="E249">
        <f>+IF(PuntosRanking[[#This Row],[Torneos]]=MAX(PuntosRanking[Torneos]),1,"")</f>
        <v>1</v>
      </c>
      <c r="F249" t="str">
        <f>+PuntosRanking[[#This Row],[Mote]]&amp;"_"&amp;PuntosRanking[[#This Row],[Máximo]]</f>
        <v>JP_1</v>
      </c>
      <c r="H249">
        <v>1</v>
      </c>
      <c r="I249" t="str">
        <f>+PuntosRanking[[#This Row],[Mote]]</f>
        <v>JP</v>
      </c>
      <c r="J249" s="111">
        <f>+PuntosRanking[[#This Row],[Puntos]]</f>
        <v>1628</v>
      </c>
      <c r="K249" s="78">
        <f>ROUND(+PuntosRanking[[#This Row],[Puntos]]/100,0)</f>
        <v>16</v>
      </c>
      <c r="L249" s="78">
        <f>+_xlfn.XLOOKUP("1:"&amp;PuntosRanking[[#This Row],[Mote]],dHdcp[UltHandMote],dHdcp[Handicap],0,0)</f>
        <v>7.4</v>
      </c>
      <c r="M249" s="78">
        <f t="shared" ref="M249:M281" si="4">+ROUND(L249*$J$242*$K$242/113+($L$242-$M$242),0)</f>
        <v>8</v>
      </c>
      <c r="N249" s="78">
        <f t="shared" ref="N249:N281" si="5">+K249+M249</f>
        <v>24</v>
      </c>
      <c r="O249">
        <f t="shared" ref="O249:AD264" si="6">+IF($AK249&gt;0,2+IF(O$245&lt;=$AK249,1,0),IF($AM249&gt;0,1+IF(O$245&lt;=$AM249,1,0),IF(O$245&lt;=$N249,1,0)))</f>
        <v>1</v>
      </c>
      <c r="P249">
        <f t="shared" si="1"/>
        <v>2</v>
      </c>
      <c r="Q249">
        <f t="shared" si="1"/>
        <v>1</v>
      </c>
      <c r="R249">
        <f t="shared" si="1"/>
        <v>2</v>
      </c>
      <c r="S249">
        <f t="shared" si="1"/>
        <v>2</v>
      </c>
      <c r="T249">
        <f t="shared" si="1"/>
        <v>1</v>
      </c>
      <c r="U249">
        <f t="shared" si="1"/>
        <v>1</v>
      </c>
      <c r="V249">
        <f t="shared" si="1"/>
        <v>1</v>
      </c>
      <c r="W249">
        <f t="shared" si="1"/>
        <v>1</v>
      </c>
      <c r="X249">
        <f t="shared" si="1"/>
        <v>2</v>
      </c>
      <c r="Y249">
        <f t="shared" si="1"/>
        <v>1</v>
      </c>
      <c r="Z249">
        <f t="shared" si="1"/>
        <v>2</v>
      </c>
      <c r="AA249">
        <f t="shared" si="1"/>
        <v>1</v>
      </c>
      <c r="AB249">
        <f t="shared" si="1"/>
        <v>1</v>
      </c>
      <c r="AC249">
        <f t="shared" si="1"/>
        <v>2</v>
      </c>
      <c r="AD249">
        <f t="shared" si="1"/>
        <v>1</v>
      </c>
      <c r="AE249">
        <f t="shared" si="1"/>
        <v>1</v>
      </c>
      <c r="AF249">
        <f t="shared" si="2"/>
        <v>1</v>
      </c>
      <c r="AG249">
        <f t="shared" si="3"/>
        <v>24</v>
      </c>
      <c r="AJ249">
        <v>36</v>
      </c>
      <c r="AK249">
        <f t="shared" ref="AK249:AK281" si="7">+N249-AJ249</f>
        <v>-12</v>
      </c>
      <c r="AL249">
        <v>18</v>
      </c>
      <c r="AM249">
        <f t="shared" ref="AM249:AM281" si="8">+N249-AL249</f>
        <v>6</v>
      </c>
    </row>
    <row r="250" spans="1:39">
      <c r="A250" t="s">
        <v>36</v>
      </c>
      <c r="B250" s="105">
        <v>1352</v>
      </c>
      <c r="C250" s="45">
        <v>10</v>
      </c>
      <c r="D250" s="45"/>
      <c r="E250">
        <f>+IF(PuntosRanking[[#This Row],[Torneos]]=MAX(PuntosRanking[Torneos]),1,"")</f>
        <v>1</v>
      </c>
      <c r="F250" t="str">
        <f>+PuntosRanking[[#This Row],[Mote]]&amp;"_"&amp;PuntosRanking[[#This Row],[Máximo]]</f>
        <v>Juanjo_1</v>
      </c>
      <c r="H250">
        <v>1</v>
      </c>
      <c r="I250" t="str">
        <f>+PuntosRanking[[#This Row],[Mote]]</f>
        <v>Juanjo</v>
      </c>
      <c r="J250" s="111">
        <f>+PuntosRanking[[#This Row],[Puntos]]</f>
        <v>1352</v>
      </c>
      <c r="K250" s="78">
        <f>ROUND(+PuntosRanking[[#This Row],[Puntos]]/100,0)</f>
        <v>14</v>
      </c>
      <c r="L250" s="78">
        <f>+_xlfn.XLOOKUP("1:"&amp;PuntosRanking[[#This Row],[Mote]],dHdcp[UltHandMote],dHdcp[Handicap],0,0)</f>
        <v>20.5</v>
      </c>
      <c r="M250" s="78">
        <f t="shared" si="4"/>
        <v>23</v>
      </c>
      <c r="N250" s="78">
        <f t="shared" si="5"/>
        <v>37</v>
      </c>
      <c r="O250">
        <f t="shared" si="6"/>
        <v>2</v>
      </c>
      <c r="P250">
        <f t="shared" si="1"/>
        <v>2</v>
      </c>
      <c r="Q250">
        <f t="shared" si="1"/>
        <v>2</v>
      </c>
      <c r="R250">
        <f t="shared" si="1"/>
        <v>2</v>
      </c>
      <c r="S250">
        <f t="shared" si="1"/>
        <v>2</v>
      </c>
      <c r="T250">
        <f t="shared" si="1"/>
        <v>2</v>
      </c>
      <c r="U250">
        <f t="shared" si="1"/>
        <v>2</v>
      </c>
      <c r="V250">
        <f t="shared" si="1"/>
        <v>2</v>
      </c>
      <c r="W250">
        <f t="shared" si="1"/>
        <v>2</v>
      </c>
      <c r="X250">
        <f t="shared" si="1"/>
        <v>2</v>
      </c>
      <c r="Y250">
        <f t="shared" si="1"/>
        <v>2</v>
      </c>
      <c r="Z250">
        <f t="shared" si="1"/>
        <v>3</v>
      </c>
      <c r="AA250">
        <f t="shared" si="1"/>
        <v>2</v>
      </c>
      <c r="AB250">
        <f t="shared" si="1"/>
        <v>2</v>
      </c>
      <c r="AC250">
        <f t="shared" si="1"/>
        <v>2</v>
      </c>
      <c r="AD250">
        <f t="shared" si="1"/>
        <v>2</v>
      </c>
      <c r="AE250">
        <f t="shared" si="1"/>
        <v>2</v>
      </c>
      <c r="AF250">
        <f t="shared" si="2"/>
        <v>2</v>
      </c>
      <c r="AG250">
        <f t="shared" si="3"/>
        <v>37</v>
      </c>
      <c r="AJ250">
        <v>36</v>
      </c>
      <c r="AK250">
        <f t="shared" si="7"/>
        <v>1</v>
      </c>
      <c r="AL250">
        <v>18</v>
      </c>
      <c r="AM250">
        <f t="shared" si="8"/>
        <v>19</v>
      </c>
    </row>
    <row r="251" spans="1:39">
      <c r="A251" t="s">
        <v>2517</v>
      </c>
      <c r="B251" s="105">
        <v>1294</v>
      </c>
      <c r="C251" s="45">
        <v>10</v>
      </c>
      <c r="D251" s="45"/>
      <c r="E251">
        <f>+IF(PuntosRanking[[#This Row],[Torneos]]=MAX(PuntosRanking[Torneos]),1,"")</f>
        <v>1</v>
      </c>
      <c r="F251" t="str">
        <f>+PuntosRanking[[#This Row],[Mote]]&amp;"_"&amp;PuntosRanking[[#This Row],[Máximo]]</f>
        <v>JuanSanz_1</v>
      </c>
      <c r="H251">
        <v>1</v>
      </c>
      <c r="I251" t="str">
        <f>+PuntosRanking[[#This Row],[Mote]]</f>
        <v>JuanSanz</v>
      </c>
      <c r="J251" s="111">
        <f>+PuntosRanking[[#This Row],[Puntos]]</f>
        <v>1294</v>
      </c>
      <c r="K251" s="78">
        <f>ROUND(+PuntosRanking[[#This Row],[Puntos]]/100,0)</f>
        <v>13</v>
      </c>
      <c r="L251" s="78">
        <f>+_xlfn.XLOOKUP("1:"&amp;PuntosRanking[[#This Row],[Mote]],dHdcp[UltHandMote],dHdcp[Handicap],0,0)</f>
        <v>17.8</v>
      </c>
      <c r="M251" s="78">
        <f t="shared" si="4"/>
        <v>20</v>
      </c>
      <c r="N251" s="78">
        <f t="shared" si="5"/>
        <v>33</v>
      </c>
      <c r="O251">
        <f t="shared" si="6"/>
        <v>2</v>
      </c>
      <c r="P251">
        <f t="shared" si="1"/>
        <v>2</v>
      </c>
      <c r="Q251">
        <f t="shared" si="1"/>
        <v>1</v>
      </c>
      <c r="R251">
        <f t="shared" si="1"/>
        <v>2</v>
      </c>
      <c r="S251">
        <f t="shared" si="1"/>
        <v>2</v>
      </c>
      <c r="T251">
        <f t="shared" si="1"/>
        <v>1</v>
      </c>
      <c r="U251">
        <f t="shared" si="1"/>
        <v>2</v>
      </c>
      <c r="V251">
        <f t="shared" si="1"/>
        <v>2</v>
      </c>
      <c r="W251">
        <f t="shared" si="1"/>
        <v>2</v>
      </c>
      <c r="X251">
        <f t="shared" si="1"/>
        <v>2</v>
      </c>
      <c r="Y251">
        <f t="shared" si="1"/>
        <v>1</v>
      </c>
      <c r="Z251">
        <f t="shared" si="1"/>
        <v>2</v>
      </c>
      <c r="AA251">
        <f t="shared" si="1"/>
        <v>2</v>
      </c>
      <c r="AB251">
        <f t="shared" si="1"/>
        <v>2</v>
      </c>
      <c r="AC251">
        <f t="shared" si="1"/>
        <v>2</v>
      </c>
      <c r="AD251">
        <f t="shared" si="1"/>
        <v>2</v>
      </c>
      <c r="AE251">
        <f t="shared" si="1"/>
        <v>2</v>
      </c>
      <c r="AF251">
        <f t="shared" si="2"/>
        <v>2</v>
      </c>
      <c r="AG251">
        <f t="shared" si="3"/>
        <v>33</v>
      </c>
      <c r="AJ251">
        <v>36</v>
      </c>
      <c r="AK251">
        <f t="shared" si="7"/>
        <v>-3</v>
      </c>
      <c r="AL251">
        <v>18</v>
      </c>
      <c r="AM251">
        <f t="shared" si="8"/>
        <v>15</v>
      </c>
    </row>
    <row r="252" spans="1:39">
      <c r="A252" t="s">
        <v>381</v>
      </c>
      <c r="B252" s="105">
        <v>1192</v>
      </c>
      <c r="C252" s="45">
        <v>10</v>
      </c>
      <c r="D252" s="45"/>
      <c r="E252">
        <f>+IF(PuntosRanking[[#This Row],[Torneos]]=MAX(PuntosRanking[Torneos]),1,"")</f>
        <v>1</v>
      </c>
      <c r="F252" t="str">
        <f>+PuntosRanking[[#This Row],[Mote]]&amp;"_"&amp;PuntosRanking[[#This Row],[Máximo]]</f>
        <v>Juancho_1</v>
      </c>
      <c r="H252">
        <v>1</v>
      </c>
      <c r="I252" t="str">
        <f>+PuntosRanking[[#This Row],[Mote]]</f>
        <v>Juancho</v>
      </c>
      <c r="J252" s="111">
        <f>+PuntosRanking[[#This Row],[Puntos]]</f>
        <v>1192</v>
      </c>
      <c r="K252" s="78">
        <f>ROUND(+PuntosRanking[[#This Row],[Puntos]]/100,0)</f>
        <v>12</v>
      </c>
      <c r="L252" s="78">
        <f>+_xlfn.XLOOKUP("1:"&amp;PuntosRanking[[#This Row],[Mote]],dHdcp[UltHandMote],dHdcp[Handicap],0,0)</f>
        <v>15.1</v>
      </c>
      <c r="M252" s="78">
        <f t="shared" si="4"/>
        <v>17</v>
      </c>
      <c r="N252" s="78">
        <f t="shared" si="5"/>
        <v>29</v>
      </c>
      <c r="O252">
        <f t="shared" si="6"/>
        <v>2</v>
      </c>
      <c r="P252">
        <f t="shared" si="1"/>
        <v>2</v>
      </c>
      <c r="Q252">
        <f t="shared" si="1"/>
        <v>1</v>
      </c>
      <c r="R252">
        <f t="shared" si="1"/>
        <v>2</v>
      </c>
      <c r="S252">
        <f t="shared" si="1"/>
        <v>2</v>
      </c>
      <c r="T252">
        <f t="shared" si="1"/>
        <v>1</v>
      </c>
      <c r="U252">
        <f t="shared" si="1"/>
        <v>1</v>
      </c>
      <c r="V252">
        <f t="shared" si="1"/>
        <v>2</v>
      </c>
      <c r="W252">
        <f t="shared" si="1"/>
        <v>1</v>
      </c>
      <c r="X252">
        <f t="shared" si="1"/>
        <v>2</v>
      </c>
      <c r="Y252">
        <f t="shared" si="1"/>
        <v>1</v>
      </c>
      <c r="Z252">
        <f t="shared" si="1"/>
        <v>2</v>
      </c>
      <c r="AA252">
        <f t="shared" si="1"/>
        <v>1</v>
      </c>
      <c r="AB252">
        <f t="shared" si="1"/>
        <v>2</v>
      </c>
      <c r="AC252">
        <f t="shared" si="1"/>
        <v>2</v>
      </c>
      <c r="AD252">
        <f t="shared" si="1"/>
        <v>2</v>
      </c>
      <c r="AE252">
        <f t="shared" si="1"/>
        <v>2</v>
      </c>
      <c r="AF252">
        <f t="shared" si="2"/>
        <v>1</v>
      </c>
      <c r="AG252">
        <f t="shared" si="3"/>
        <v>29</v>
      </c>
      <c r="AJ252">
        <v>36</v>
      </c>
      <c r="AK252">
        <f t="shared" si="7"/>
        <v>-7</v>
      </c>
      <c r="AL252">
        <v>18</v>
      </c>
      <c r="AM252">
        <f t="shared" si="8"/>
        <v>11</v>
      </c>
    </row>
    <row r="253" spans="1:39">
      <c r="A253" t="s">
        <v>327</v>
      </c>
      <c r="B253" s="105">
        <v>1097</v>
      </c>
      <c r="C253" s="45">
        <v>10</v>
      </c>
      <c r="D253" s="45"/>
      <c r="E253">
        <f>+IF(PuntosRanking[[#This Row],[Torneos]]=MAX(PuntosRanking[Torneos]),1,"")</f>
        <v>1</v>
      </c>
      <c r="F253" t="str">
        <f>+PuntosRanking[[#This Row],[Mote]]&amp;"_"&amp;PuntosRanking[[#This Row],[Máximo]]</f>
        <v>Eduardo_1</v>
      </c>
      <c r="H253">
        <v>2</v>
      </c>
      <c r="I253" t="str">
        <f>+PuntosRanking[[#This Row],[Mote]]</f>
        <v>Eduardo</v>
      </c>
      <c r="J253" s="111">
        <f>+PuntosRanking[[#This Row],[Puntos]]</f>
        <v>1097</v>
      </c>
      <c r="K253" s="78">
        <f>ROUND(+PuntosRanking[[#This Row],[Puntos]]/100,0)</f>
        <v>11</v>
      </c>
      <c r="L253" s="78">
        <f>+_xlfn.XLOOKUP("1:"&amp;PuntosRanking[[#This Row],[Mote]],dHdcp[UltHandMote],dHdcp[Handicap],0,0)</f>
        <v>7.9</v>
      </c>
      <c r="M253" s="78">
        <f t="shared" si="4"/>
        <v>9</v>
      </c>
      <c r="N253" s="78">
        <f t="shared" si="5"/>
        <v>20</v>
      </c>
      <c r="O253">
        <f t="shared" si="6"/>
        <v>1</v>
      </c>
      <c r="P253">
        <f t="shared" si="1"/>
        <v>1</v>
      </c>
      <c r="Q253">
        <f t="shared" si="1"/>
        <v>1</v>
      </c>
      <c r="R253">
        <f t="shared" si="1"/>
        <v>2</v>
      </c>
      <c r="S253">
        <f t="shared" si="1"/>
        <v>1</v>
      </c>
      <c r="T253">
        <f t="shared" si="1"/>
        <v>1</v>
      </c>
      <c r="U253">
        <f t="shared" si="1"/>
        <v>1</v>
      </c>
      <c r="V253">
        <f t="shared" si="1"/>
        <v>1</v>
      </c>
      <c r="W253">
        <f t="shared" si="1"/>
        <v>1</v>
      </c>
      <c r="X253">
        <f t="shared" si="1"/>
        <v>1</v>
      </c>
      <c r="Y253">
        <f t="shared" si="1"/>
        <v>1</v>
      </c>
      <c r="Z253">
        <f t="shared" si="1"/>
        <v>2</v>
      </c>
      <c r="AA253">
        <f t="shared" si="1"/>
        <v>1</v>
      </c>
      <c r="AB253">
        <f t="shared" si="1"/>
        <v>1</v>
      </c>
      <c r="AC253">
        <f t="shared" si="1"/>
        <v>1</v>
      </c>
      <c r="AD253">
        <f t="shared" si="1"/>
        <v>1</v>
      </c>
      <c r="AE253">
        <f t="shared" si="1"/>
        <v>1</v>
      </c>
      <c r="AF253">
        <f t="shared" si="2"/>
        <v>1</v>
      </c>
      <c r="AG253">
        <f t="shared" si="3"/>
        <v>20</v>
      </c>
      <c r="AJ253">
        <v>36</v>
      </c>
      <c r="AK253">
        <f t="shared" si="7"/>
        <v>-16</v>
      </c>
      <c r="AL253">
        <v>18</v>
      </c>
      <c r="AM253">
        <f t="shared" si="8"/>
        <v>2</v>
      </c>
    </row>
    <row r="254" spans="1:39">
      <c r="A254" t="s">
        <v>7</v>
      </c>
      <c r="B254" s="105">
        <v>1020</v>
      </c>
      <c r="C254" s="45">
        <v>10</v>
      </c>
      <c r="D254" s="45"/>
      <c r="E254">
        <f>+IF(PuntosRanking[[#This Row],[Torneos]]=MAX(PuntosRanking[Torneos]),1,"")</f>
        <v>1</v>
      </c>
      <c r="F254" t="str">
        <f>+PuntosRanking[[#This Row],[Mote]]&amp;"_"&amp;PuntosRanking[[#This Row],[Máximo]]</f>
        <v>Ignacio_1</v>
      </c>
      <c r="H254">
        <v>2</v>
      </c>
      <c r="I254" t="str">
        <f>+PuntosRanking[[#This Row],[Mote]]</f>
        <v>Ignacio</v>
      </c>
      <c r="J254" s="111">
        <f>+PuntosRanking[[#This Row],[Puntos]]</f>
        <v>1020</v>
      </c>
      <c r="K254" s="78">
        <f>ROUND(+PuntosRanking[[#This Row],[Puntos]]/100,0)</f>
        <v>10</v>
      </c>
      <c r="L254" s="78">
        <f>+_xlfn.XLOOKUP("1:"&amp;PuntosRanking[[#This Row],[Mote]],dHdcp[UltHandMote],dHdcp[Handicap],0,0)</f>
        <v>6.1</v>
      </c>
      <c r="M254" s="78">
        <f t="shared" si="4"/>
        <v>6</v>
      </c>
      <c r="N254" s="78">
        <f t="shared" si="5"/>
        <v>16</v>
      </c>
      <c r="O254">
        <f t="shared" si="6"/>
        <v>1</v>
      </c>
      <c r="P254">
        <f t="shared" si="1"/>
        <v>1</v>
      </c>
      <c r="Q254">
        <f t="shared" si="1"/>
        <v>0</v>
      </c>
      <c r="R254">
        <f t="shared" si="1"/>
        <v>1</v>
      </c>
      <c r="S254">
        <f t="shared" si="1"/>
        <v>1</v>
      </c>
      <c r="T254">
        <f t="shared" si="1"/>
        <v>1</v>
      </c>
      <c r="U254">
        <f t="shared" si="1"/>
        <v>1</v>
      </c>
      <c r="V254">
        <f t="shared" si="1"/>
        <v>1</v>
      </c>
      <c r="W254">
        <f t="shared" si="1"/>
        <v>1</v>
      </c>
      <c r="X254">
        <f t="shared" si="1"/>
        <v>1</v>
      </c>
      <c r="Y254">
        <f t="shared" si="1"/>
        <v>0</v>
      </c>
      <c r="Z254">
        <f t="shared" si="1"/>
        <v>1</v>
      </c>
      <c r="AA254">
        <f t="shared" si="1"/>
        <v>1</v>
      </c>
      <c r="AB254">
        <f t="shared" si="1"/>
        <v>1</v>
      </c>
      <c r="AC254">
        <f t="shared" si="1"/>
        <v>1</v>
      </c>
      <c r="AD254">
        <f t="shared" si="1"/>
        <v>1</v>
      </c>
      <c r="AE254">
        <f t="shared" si="1"/>
        <v>1</v>
      </c>
      <c r="AF254">
        <f t="shared" si="2"/>
        <v>1</v>
      </c>
      <c r="AG254">
        <f t="shared" si="3"/>
        <v>16</v>
      </c>
      <c r="AJ254">
        <v>36</v>
      </c>
      <c r="AK254">
        <f t="shared" si="7"/>
        <v>-20</v>
      </c>
      <c r="AL254">
        <v>18</v>
      </c>
      <c r="AM254">
        <f t="shared" si="8"/>
        <v>-2</v>
      </c>
    </row>
    <row r="255" spans="1:39">
      <c r="A255" t="s">
        <v>329</v>
      </c>
      <c r="B255" s="105">
        <v>936</v>
      </c>
      <c r="C255" s="45">
        <v>10</v>
      </c>
      <c r="D255" s="45"/>
      <c r="E255">
        <f>+IF(PuntosRanking[[#This Row],[Torneos]]=MAX(PuntosRanking[Torneos]),1,"")</f>
        <v>1</v>
      </c>
      <c r="F255" t="str">
        <f>+PuntosRanking[[#This Row],[Mote]]&amp;"_"&amp;PuntosRanking[[#This Row],[Máximo]]</f>
        <v>J.Arcos_1</v>
      </c>
      <c r="H255">
        <v>2</v>
      </c>
      <c r="I255" t="str">
        <f>+PuntosRanking[[#This Row],[Mote]]</f>
        <v>J.Arcos</v>
      </c>
      <c r="J255" s="111">
        <f>+PuntosRanking[[#This Row],[Puntos]]</f>
        <v>936</v>
      </c>
      <c r="K255" s="78">
        <f>ROUND(+PuntosRanking[[#This Row],[Puntos]]/100,0)</f>
        <v>9</v>
      </c>
      <c r="L255" s="78">
        <f>+_xlfn.XLOOKUP("1:"&amp;PuntosRanking[[#This Row],[Mote]],dHdcp[UltHandMote],dHdcp[Handicap],0,0)</f>
        <v>10.6</v>
      </c>
      <c r="M255" s="78">
        <f t="shared" si="4"/>
        <v>12</v>
      </c>
      <c r="N255" s="78">
        <f t="shared" si="5"/>
        <v>21</v>
      </c>
      <c r="O255">
        <f t="shared" si="6"/>
        <v>1</v>
      </c>
      <c r="P255">
        <f t="shared" si="1"/>
        <v>1</v>
      </c>
      <c r="Q255">
        <f t="shared" si="1"/>
        <v>1</v>
      </c>
      <c r="R255">
        <f t="shared" si="1"/>
        <v>2</v>
      </c>
      <c r="S255">
        <f t="shared" si="1"/>
        <v>1</v>
      </c>
      <c r="T255">
        <f t="shared" si="1"/>
        <v>1</v>
      </c>
      <c r="U255">
        <f t="shared" si="1"/>
        <v>1</v>
      </c>
      <c r="V255">
        <f t="shared" si="1"/>
        <v>1</v>
      </c>
      <c r="W255">
        <f t="shared" si="1"/>
        <v>1</v>
      </c>
      <c r="X255">
        <f t="shared" si="1"/>
        <v>2</v>
      </c>
      <c r="Y255">
        <f t="shared" si="1"/>
        <v>1</v>
      </c>
      <c r="Z255">
        <f t="shared" si="1"/>
        <v>2</v>
      </c>
      <c r="AA255">
        <f t="shared" si="1"/>
        <v>1</v>
      </c>
      <c r="AB255">
        <f t="shared" si="1"/>
        <v>1</v>
      </c>
      <c r="AC255">
        <f t="shared" si="1"/>
        <v>1</v>
      </c>
      <c r="AD255">
        <f t="shared" si="1"/>
        <v>1</v>
      </c>
      <c r="AE255">
        <f t="shared" si="1"/>
        <v>1</v>
      </c>
      <c r="AF255">
        <f t="shared" si="2"/>
        <v>1</v>
      </c>
      <c r="AG255">
        <f t="shared" si="3"/>
        <v>21</v>
      </c>
      <c r="AJ255">
        <v>36</v>
      </c>
      <c r="AK255">
        <f t="shared" si="7"/>
        <v>-15</v>
      </c>
      <c r="AL255">
        <v>18</v>
      </c>
      <c r="AM255">
        <f t="shared" si="8"/>
        <v>3</v>
      </c>
    </row>
    <row r="256" spans="1:39">
      <c r="A256" t="s">
        <v>10</v>
      </c>
      <c r="B256" s="105">
        <v>917</v>
      </c>
      <c r="C256" s="45">
        <v>10</v>
      </c>
      <c r="D256" s="45"/>
      <c r="E256">
        <f>+IF(PuntosRanking[[#This Row],[Torneos]]=MAX(PuntosRanking[Torneos]),1,"")</f>
        <v>1</v>
      </c>
      <c r="F256" t="str">
        <f>+PuntosRanking[[#This Row],[Mote]]&amp;"_"&amp;PuntosRanking[[#This Row],[Máximo]]</f>
        <v>Alfonso_1</v>
      </c>
      <c r="H256">
        <v>2</v>
      </c>
      <c r="I256" t="str">
        <f>+PuntosRanking[[#This Row],[Mote]]</f>
        <v>Alfonso</v>
      </c>
      <c r="J256" s="111">
        <f>+PuntosRanking[[#This Row],[Puntos]]</f>
        <v>917</v>
      </c>
      <c r="K256" s="78">
        <f>ROUND(+PuntosRanking[[#This Row],[Puntos]]/100,0)</f>
        <v>9</v>
      </c>
      <c r="L256" s="78">
        <f>+_xlfn.XLOOKUP("1:"&amp;PuntosRanking[[#This Row],[Mote]],dHdcp[UltHandMote],dHdcp[Handicap],0,0)</f>
        <v>12.2</v>
      </c>
      <c r="M256" s="78">
        <f t="shared" si="4"/>
        <v>14</v>
      </c>
      <c r="N256" s="78">
        <f t="shared" si="5"/>
        <v>23</v>
      </c>
      <c r="O256">
        <f t="shared" si="6"/>
        <v>1</v>
      </c>
      <c r="P256">
        <f t="shared" si="1"/>
        <v>2</v>
      </c>
      <c r="Q256">
        <f t="shared" si="1"/>
        <v>1</v>
      </c>
      <c r="R256">
        <f t="shared" si="1"/>
        <v>2</v>
      </c>
      <c r="S256">
        <f t="shared" si="1"/>
        <v>1</v>
      </c>
      <c r="T256">
        <f t="shared" si="1"/>
        <v>1</v>
      </c>
      <c r="U256">
        <f t="shared" si="1"/>
        <v>1</v>
      </c>
      <c r="V256">
        <f t="shared" si="1"/>
        <v>1</v>
      </c>
      <c r="W256">
        <f t="shared" si="1"/>
        <v>1</v>
      </c>
      <c r="X256">
        <f t="shared" si="1"/>
        <v>2</v>
      </c>
      <c r="Y256">
        <f t="shared" si="1"/>
        <v>1</v>
      </c>
      <c r="Z256">
        <f t="shared" si="1"/>
        <v>2</v>
      </c>
      <c r="AA256">
        <f t="shared" si="1"/>
        <v>1</v>
      </c>
      <c r="AB256">
        <f t="shared" si="1"/>
        <v>1</v>
      </c>
      <c r="AC256">
        <f t="shared" si="1"/>
        <v>2</v>
      </c>
      <c r="AD256">
        <f t="shared" si="1"/>
        <v>1</v>
      </c>
      <c r="AE256">
        <f t="shared" si="1"/>
        <v>1</v>
      </c>
      <c r="AF256">
        <f t="shared" si="2"/>
        <v>1</v>
      </c>
      <c r="AG256">
        <f t="shared" si="3"/>
        <v>23</v>
      </c>
      <c r="AJ256">
        <v>36</v>
      </c>
      <c r="AK256">
        <f t="shared" si="7"/>
        <v>-13</v>
      </c>
      <c r="AL256">
        <v>18</v>
      </c>
      <c r="AM256">
        <f t="shared" si="8"/>
        <v>5</v>
      </c>
    </row>
    <row r="257" spans="1:39">
      <c r="A257" t="s">
        <v>2470</v>
      </c>
      <c r="B257" s="105">
        <v>907</v>
      </c>
      <c r="C257" s="45">
        <v>10</v>
      </c>
      <c r="D257" s="45"/>
      <c r="E257">
        <f>+IF(PuntosRanking[[#This Row],[Torneos]]=MAX(PuntosRanking[Torneos]),1,"")</f>
        <v>1</v>
      </c>
      <c r="F257" t="str">
        <f>+PuntosRanking[[#This Row],[Mote]]&amp;"_"&amp;PuntosRanking[[#This Row],[Máximo]]</f>
        <v>A.Santana_1</v>
      </c>
      <c r="H257">
        <v>3</v>
      </c>
      <c r="I257" t="str">
        <f>+PuntosRanking[[#This Row],[Mote]]</f>
        <v>A.Santana</v>
      </c>
      <c r="J257" s="111">
        <f>+PuntosRanking[[#This Row],[Puntos]]</f>
        <v>907</v>
      </c>
      <c r="K257" s="78">
        <f>ROUND(+PuntosRanking[[#This Row],[Puntos]]/100,0)</f>
        <v>9</v>
      </c>
      <c r="L257" s="78">
        <f>+_xlfn.XLOOKUP("1:"&amp;PuntosRanking[[#This Row],[Mote]],dHdcp[UltHandMote],dHdcp[Handicap],0,0)</f>
        <v>2.9</v>
      </c>
      <c r="M257" s="78">
        <f t="shared" si="4"/>
        <v>3</v>
      </c>
      <c r="N257" s="78">
        <f t="shared" si="5"/>
        <v>12</v>
      </c>
      <c r="O257">
        <f t="shared" si="6"/>
        <v>1</v>
      </c>
      <c r="P257">
        <f t="shared" si="1"/>
        <v>1</v>
      </c>
      <c r="Q257">
        <f t="shared" si="1"/>
        <v>0</v>
      </c>
      <c r="R257">
        <f t="shared" si="1"/>
        <v>1</v>
      </c>
      <c r="S257">
        <f t="shared" si="1"/>
        <v>1</v>
      </c>
      <c r="T257">
        <f t="shared" si="1"/>
        <v>0</v>
      </c>
      <c r="U257">
        <f t="shared" si="1"/>
        <v>1</v>
      </c>
      <c r="V257">
        <f t="shared" si="1"/>
        <v>1</v>
      </c>
      <c r="W257">
        <f t="shared" si="1"/>
        <v>0</v>
      </c>
      <c r="X257">
        <f t="shared" si="1"/>
        <v>1</v>
      </c>
      <c r="Y257">
        <f t="shared" si="1"/>
        <v>0</v>
      </c>
      <c r="Z257">
        <f t="shared" si="1"/>
        <v>1</v>
      </c>
      <c r="AA257">
        <f t="shared" si="1"/>
        <v>0</v>
      </c>
      <c r="AB257">
        <f t="shared" si="1"/>
        <v>1</v>
      </c>
      <c r="AC257">
        <f t="shared" si="1"/>
        <v>1</v>
      </c>
      <c r="AD257">
        <f t="shared" si="1"/>
        <v>1</v>
      </c>
      <c r="AE257">
        <f t="shared" si="1"/>
        <v>1</v>
      </c>
      <c r="AF257">
        <f t="shared" si="2"/>
        <v>0</v>
      </c>
      <c r="AG257">
        <f t="shared" si="3"/>
        <v>12</v>
      </c>
      <c r="AJ257">
        <v>36</v>
      </c>
      <c r="AK257">
        <f t="shared" si="7"/>
        <v>-24</v>
      </c>
      <c r="AL257">
        <v>18</v>
      </c>
      <c r="AM257">
        <f t="shared" si="8"/>
        <v>-6</v>
      </c>
    </row>
    <row r="258" spans="1:39">
      <c r="A258" t="s">
        <v>382</v>
      </c>
      <c r="B258" s="105">
        <v>809</v>
      </c>
      <c r="C258" s="45">
        <v>10</v>
      </c>
      <c r="D258" s="45"/>
      <c r="E258">
        <f>+IF(PuntosRanking[[#This Row],[Torneos]]=MAX(PuntosRanking[Torneos]),1,"")</f>
        <v>1</v>
      </c>
      <c r="F258" t="str">
        <f>+PuntosRanking[[#This Row],[Mote]]&amp;"_"&amp;PuntosRanking[[#This Row],[Máximo]]</f>
        <v>Jorge_1</v>
      </c>
      <c r="H258">
        <v>3</v>
      </c>
      <c r="I258" t="str">
        <f>+PuntosRanking[[#This Row],[Mote]]</f>
        <v>Jorge</v>
      </c>
      <c r="J258" s="111">
        <f>+PuntosRanking[[#This Row],[Puntos]]</f>
        <v>809</v>
      </c>
      <c r="K258" s="78">
        <f>ROUND(+PuntosRanking[[#This Row],[Puntos]]/100,0)</f>
        <v>8</v>
      </c>
      <c r="L258" s="78">
        <f>+_xlfn.XLOOKUP("1:"&amp;PuntosRanking[[#This Row],[Mote]],dHdcp[UltHandMote],dHdcp[Handicap],0,0)</f>
        <v>15.9</v>
      </c>
      <c r="M258" s="78">
        <f t="shared" si="4"/>
        <v>18</v>
      </c>
      <c r="N258" s="78">
        <f t="shared" si="5"/>
        <v>26</v>
      </c>
      <c r="O258">
        <f t="shared" si="6"/>
        <v>2</v>
      </c>
      <c r="P258">
        <f t="shared" si="1"/>
        <v>2</v>
      </c>
      <c r="Q258">
        <f t="shared" si="1"/>
        <v>1</v>
      </c>
      <c r="R258">
        <f t="shared" si="1"/>
        <v>2</v>
      </c>
      <c r="S258">
        <f t="shared" si="1"/>
        <v>2</v>
      </c>
      <c r="T258">
        <f t="shared" si="1"/>
        <v>1</v>
      </c>
      <c r="U258">
        <f t="shared" si="1"/>
        <v>1</v>
      </c>
      <c r="V258">
        <f t="shared" si="1"/>
        <v>1</v>
      </c>
      <c r="W258">
        <f t="shared" si="1"/>
        <v>1</v>
      </c>
      <c r="X258">
        <f t="shared" si="1"/>
        <v>2</v>
      </c>
      <c r="Y258">
        <f t="shared" si="1"/>
        <v>1</v>
      </c>
      <c r="Z258">
        <f t="shared" si="1"/>
        <v>2</v>
      </c>
      <c r="AA258">
        <f t="shared" si="1"/>
        <v>1</v>
      </c>
      <c r="AB258">
        <f t="shared" si="1"/>
        <v>2</v>
      </c>
      <c r="AC258">
        <f t="shared" si="1"/>
        <v>2</v>
      </c>
      <c r="AD258">
        <f t="shared" si="1"/>
        <v>1</v>
      </c>
      <c r="AE258">
        <f t="shared" si="1"/>
        <v>1</v>
      </c>
      <c r="AF258">
        <f t="shared" si="2"/>
        <v>1</v>
      </c>
      <c r="AG258">
        <f t="shared" si="3"/>
        <v>26</v>
      </c>
      <c r="AJ258">
        <v>36</v>
      </c>
      <c r="AK258">
        <f t="shared" si="7"/>
        <v>-10</v>
      </c>
      <c r="AL258">
        <v>18</v>
      </c>
      <c r="AM258">
        <f t="shared" si="8"/>
        <v>8</v>
      </c>
    </row>
    <row r="259" spans="1:39">
      <c r="A259" t="s">
        <v>16</v>
      </c>
      <c r="B259" s="105">
        <v>791</v>
      </c>
      <c r="C259" s="45">
        <v>10</v>
      </c>
      <c r="D259" s="45"/>
      <c r="E259">
        <f>+IF(PuntosRanking[[#This Row],[Torneos]]=MAX(PuntosRanking[Torneos]),1,"")</f>
        <v>1</v>
      </c>
      <c r="F259" t="str">
        <f>+PuntosRanking[[#This Row],[Mote]]&amp;"_"&amp;PuntosRanking[[#This Row],[Máximo]]</f>
        <v>Gifu_1</v>
      </c>
      <c r="H259">
        <v>3</v>
      </c>
      <c r="I259" t="str">
        <f>+PuntosRanking[[#This Row],[Mote]]</f>
        <v>Gifu</v>
      </c>
      <c r="J259" s="111">
        <f>+PuntosRanking[[#This Row],[Puntos]]</f>
        <v>791</v>
      </c>
      <c r="K259" s="78">
        <f>ROUND(+PuntosRanking[[#This Row],[Puntos]]/100,0)</f>
        <v>8</v>
      </c>
      <c r="L259" s="78">
        <f>+_xlfn.XLOOKUP("1:"&amp;PuntosRanking[[#This Row],[Mote]],dHdcp[UltHandMote],dHdcp[Handicap],0,0)</f>
        <v>6.6</v>
      </c>
      <c r="M259" s="78">
        <f t="shared" si="4"/>
        <v>7</v>
      </c>
      <c r="N259" s="78">
        <f t="shared" si="5"/>
        <v>15</v>
      </c>
      <c r="O259">
        <f t="shared" si="6"/>
        <v>1</v>
      </c>
      <c r="P259">
        <f t="shared" si="1"/>
        <v>1</v>
      </c>
      <c r="Q259">
        <f t="shared" si="1"/>
        <v>0</v>
      </c>
      <c r="R259">
        <f t="shared" si="1"/>
        <v>1</v>
      </c>
      <c r="S259">
        <f t="shared" si="1"/>
        <v>1</v>
      </c>
      <c r="T259">
        <f t="shared" si="1"/>
        <v>0</v>
      </c>
      <c r="U259">
        <f t="shared" si="1"/>
        <v>1</v>
      </c>
      <c r="V259">
        <f t="shared" si="1"/>
        <v>1</v>
      </c>
      <c r="W259">
        <f t="shared" si="1"/>
        <v>1</v>
      </c>
      <c r="X259">
        <f t="shared" si="1"/>
        <v>1</v>
      </c>
      <c r="Y259">
        <f t="shared" si="1"/>
        <v>0</v>
      </c>
      <c r="Z259">
        <f t="shared" si="1"/>
        <v>1</v>
      </c>
      <c r="AA259">
        <f t="shared" si="1"/>
        <v>1</v>
      </c>
      <c r="AB259">
        <f t="shared" si="1"/>
        <v>1</v>
      </c>
      <c r="AC259">
        <f t="shared" si="1"/>
        <v>1</v>
      </c>
      <c r="AD259">
        <f t="shared" si="1"/>
        <v>1</v>
      </c>
      <c r="AE259">
        <f t="shared" si="1"/>
        <v>1</v>
      </c>
      <c r="AF259">
        <f t="shared" si="2"/>
        <v>1</v>
      </c>
      <c r="AG259">
        <f t="shared" si="3"/>
        <v>15</v>
      </c>
      <c r="AJ259">
        <v>36</v>
      </c>
      <c r="AK259">
        <f t="shared" si="7"/>
        <v>-21</v>
      </c>
      <c r="AL259">
        <v>18</v>
      </c>
      <c r="AM259">
        <f t="shared" si="8"/>
        <v>-3</v>
      </c>
    </row>
    <row r="260" spans="1:39">
      <c r="A260" t="s">
        <v>34</v>
      </c>
      <c r="B260" s="105">
        <v>789</v>
      </c>
      <c r="C260" s="45">
        <v>10</v>
      </c>
      <c r="D260" s="45"/>
      <c r="E260">
        <f>+IF(PuntosRanking[[#This Row],[Torneos]]=MAX(PuntosRanking[Torneos]),1,"")</f>
        <v>1</v>
      </c>
      <c r="F260" t="str">
        <f>+PuntosRanking[[#This Row],[Mote]]&amp;"_"&amp;PuntosRanking[[#This Row],[Máximo]]</f>
        <v>Angel_1</v>
      </c>
      <c r="H260">
        <v>3</v>
      </c>
      <c r="I260" t="str">
        <f>+PuntosRanking[[#This Row],[Mote]]</f>
        <v>Angel</v>
      </c>
      <c r="J260" s="111">
        <f>+PuntosRanking[[#This Row],[Puntos]]</f>
        <v>789</v>
      </c>
      <c r="K260" s="78">
        <f>ROUND(+PuntosRanking[[#This Row],[Puntos]]/100,0)</f>
        <v>8</v>
      </c>
      <c r="L260" s="78">
        <f>+_xlfn.XLOOKUP("1:"&amp;PuntosRanking[[#This Row],[Mote]],dHdcp[UltHandMote],dHdcp[Handicap],0,0)</f>
        <v>6.4</v>
      </c>
      <c r="M260" s="78">
        <f t="shared" si="4"/>
        <v>7</v>
      </c>
      <c r="N260" s="78">
        <f t="shared" si="5"/>
        <v>15</v>
      </c>
      <c r="O260">
        <f t="shared" si="6"/>
        <v>1</v>
      </c>
      <c r="P260">
        <f t="shared" si="1"/>
        <v>1</v>
      </c>
      <c r="Q260">
        <f t="shared" si="1"/>
        <v>0</v>
      </c>
      <c r="R260">
        <f t="shared" si="1"/>
        <v>1</v>
      </c>
      <c r="S260">
        <f t="shared" si="1"/>
        <v>1</v>
      </c>
      <c r="T260">
        <f t="shared" si="1"/>
        <v>0</v>
      </c>
      <c r="U260">
        <f t="shared" si="1"/>
        <v>1</v>
      </c>
      <c r="V260">
        <f t="shared" si="1"/>
        <v>1</v>
      </c>
      <c r="W260">
        <f t="shared" si="1"/>
        <v>1</v>
      </c>
      <c r="X260">
        <f t="shared" si="1"/>
        <v>1</v>
      </c>
      <c r="Y260">
        <f t="shared" si="1"/>
        <v>0</v>
      </c>
      <c r="Z260">
        <f t="shared" si="1"/>
        <v>1</v>
      </c>
      <c r="AA260">
        <f t="shared" si="1"/>
        <v>1</v>
      </c>
      <c r="AB260">
        <f t="shared" si="1"/>
        <v>1</v>
      </c>
      <c r="AC260">
        <f t="shared" si="1"/>
        <v>1</v>
      </c>
      <c r="AD260">
        <f t="shared" si="1"/>
        <v>1</v>
      </c>
      <c r="AE260">
        <f t="shared" si="1"/>
        <v>1</v>
      </c>
      <c r="AF260">
        <f t="shared" si="2"/>
        <v>1</v>
      </c>
      <c r="AG260">
        <f t="shared" si="3"/>
        <v>15</v>
      </c>
      <c r="AJ260">
        <v>36</v>
      </c>
      <c r="AK260">
        <f t="shared" si="7"/>
        <v>-21</v>
      </c>
      <c r="AL260">
        <v>18</v>
      </c>
      <c r="AM260">
        <f t="shared" si="8"/>
        <v>-3</v>
      </c>
    </row>
    <row r="261" spans="1:39">
      <c r="A261" t="s">
        <v>21</v>
      </c>
      <c r="B261" s="105">
        <v>788</v>
      </c>
      <c r="C261" s="45">
        <v>10</v>
      </c>
      <c r="D261" s="45"/>
      <c r="E261">
        <f>+IF(PuntosRanking[[#This Row],[Torneos]]=MAX(PuntosRanking[Torneos]),1,"")</f>
        <v>1</v>
      </c>
      <c r="F261" t="str">
        <f>+PuntosRanking[[#This Row],[Mote]]&amp;"_"&amp;PuntosRanking[[#This Row],[Máximo]]</f>
        <v>Javi_1</v>
      </c>
      <c r="H261">
        <v>4</v>
      </c>
      <c r="I261" t="str">
        <f>+PuntosRanking[[#This Row],[Mote]]</f>
        <v>Javi</v>
      </c>
      <c r="J261" s="111">
        <f>+PuntosRanking[[#This Row],[Puntos]]</f>
        <v>788</v>
      </c>
      <c r="K261" s="78">
        <f>ROUND(+PuntosRanking[[#This Row],[Puntos]]/100,0)</f>
        <v>8</v>
      </c>
      <c r="L261" s="78">
        <f>+_xlfn.XLOOKUP("1:"&amp;PuntosRanking[[#This Row],[Mote]],dHdcp[UltHandMote],dHdcp[Handicap],0,0)</f>
        <v>19.7</v>
      </c>
      <c r="M261" s="78">
        <f t="shared" si="4"/>
        <v>22</v>
      </c>
      <c r="N261" s="78">
        <f t="shared" si="5"/>
        <v>30</v>
      </c>
      <c r="O261">
        <f t="shared" si="6"/>
        <v>2</v>
      </c>
      <c r="P261">
        <f t="shared" si="1"/>
        <v>2</v>
      </c>
      <c r="Q261">
        <f t="shared" si="1"/>
        <v>1</v>
      </c>
      <c r="R261">
        <f t="shared" si="1"/>
        <v>2</v>
      </c>
      <c r="S261">
        <f t="shared" si="1"/>
        <v>2</v>
      </c>
      <c r="T261">
        <f t="shared" si="1"/>
        <v>1</v>
      </c>
      <c r="U261">
        <f t="shared" si="1"/>
        <v>2</v>
      </c>
      <c r="V261">
        <f t="shared" si="1"/>
        <v>2</v>
      </c>
      <c r="W261">
        <f t="shared" si="1"/>
        <v>1</v>
      </c>
      <c r="X261">
        <f t="shared" si="1"/>
        <v>2</v>
      </c>
      <c r="Y261">
        <f t="shared" si="1"/>
        <v>1</v>
      </c>
      <c r="Z261">
        <f t="shared" si="1"/>
        <v>2</v>
      </c>
      <c r="AA261">
        <f t="shared" si="1"/>
        <v>1</v>
      </c>
      <c r="AB261">
        <f t="shared" si="1"/>
        <v>2</v>
      </c>
      <c r="AC261">
        <f t="shared" si="1"/>
        <v>2</v>
      </c>
      <c r="AD261">
        <f t="shared" si="1"/>
        <v>2</v>
      </c>
      <c r="AE261">
        <f t="shared" si="1"/>
        <v>2</v>
      </c>
      <c r="AF261">
        <f t="shared" si="2"/>
        <v>1</v>
      </c>
      <c r="AG261">
        <f t="shared" si="3"/>
        <v>30</v>
      </c>
      <c r="AJ261">
        <v>36</v>
      </c>
      <c r="AK261">
        <f t="shared" si="7"/>
        <v>-6</v>
      </c>
      <c r="AL261">
        <v>18</v>
      </c>
      <c r="AM261">
        <f t="shared" si="8"/>
        <v>12</v>
      </c>
    </row>
    <row r="262" spans="1:39">
      <c r="A262" t="s">
        <v>431</v>
      </c>
      <c r="B262" s="105">
        <v>659</v>
      </c>
      <c r="C262" s="45">
        <v>10</v>
      </c>
      <c r="D262" s="45"/>
      <c r="E262">
        <f>+IF(PuntosRanking[[#This Row],[Torneos]]=MAX(PuntosRanking[Torneos]),1,"")</f>
        <v>1</v>
      </c>
      <c r="F262" t="str">
        <f>+PuntosRanking[[#This Row],[Mote]]&amp;"_"&amp;PuntosRanking[[#This Row],[Máximo]]</f>
        <v>Carlitos_1</v>
      </c>
      <c r="H262">
        <v>4</v>
      </c>
      <c r="I262" t="str">
        <f>+PuntosRanking[[#This Row],[Mote]]</f>
        <v>Carlitos</v>
      </c>
      <c r="J262" s="111">
        <f>+PuntosRanking[[#This Row],[Puntos]]</f>
        <v>659</v>
      </c>
      <c r="K262" s="78">
        <f>ROUND(+PuntosRanking[[#This Row],[Puntos]]/100,0)</f>
        <v>7</v>
      </c>
      <c r="L262" s="78">
        <f>+_xlfn.XLOOKUP("1:"&amp;PuntosRanking[[#This Row],[Mote]],dHdcp[UltHandMote],dHdcp[Handicap],0,0)</f>
        <v>1.2</v>
      </c>
      <c r="M262" s="78">
        <f t="shared" si="4"/>
        <v>1</v>
      </c>
      <c r="N262" s="78">
        <f t="shared" si="5"/>
        <v>8</v>
      </c>
      <c r="O262">
        <f t="shared" si="6"/>
        <v>1</v>
      </c>
      <c r="P262">
        <f t="shared" si="1"/>
        <v>1</v>
      </c>
      <c r="Q262">
        <f t="shared" si="1"/>
        <v>0</v>
      </c>
      <c r="R262">
        <f t="shared" si="1"/>
        <v>1</v>
      </c>
      <c r="S262">
        <f t="shared" si="1"/>
        <v>1</v>
      </c>
      <c r="T262">
        <f t="shared" si="1"/>
        <v>0</v>
      </c>
      <c r="U262">
        <f t="shared" si="1"/>
        <v>0</v>
      </c>
      <c r="V262">
        <f t="shared" si="1"/>
        <v>0</v>
      </c>
      <c r="W262">
        <f t="shared" si="1"/>
        <v>0</v>
      </c>
      <c r="X262">
        <f t="shared" si="1"/>
        <v>1</v>
      </c>
      <c r="Y262">
        <f t="shared" si="1"/>
        <v>0</v>
      </c>
      <c r="Z262">
        <f t="shared" si="1"/>
        <v>1</v>
      </c>
      <c r="AA262">
        <f t="shared" si="1"/>
        <v>0</v>
      </c>
      <c r="AB262">
        <f t="shared" si="1"/>
        <v>1</v>
      </c>
      <c r="AC262">
        <f t="shared" si="1"/>
        <v>1</v>
      </c>
      <c r="AD262">
        <f t="shared" si="1"/>
        <v>0</v>
      </c>
      <c r="AE262">
        <f t="shared" si="1"/>
        <v>0</v>
      </c>
      <c r="AF262">
        <f t="shared" si="2"/>
        <v>0</v>
      </c>
      <c r="AG262">
        <f t="shared" si="3"/>
        <v>8</v>
      </c>
      <c r="AJ262">
        <v>36</v>
      </c>
      <c r="AK262">
        <f t="shared" si="7"/>
        <v>-28</v>
      </c>
      <c r="AL262">
        <v>18</v>
      </c>
      <c r="AM262">
        <f t="shared" si="8"/>
        <v>-10</v>
      </c>
    </row>
    <row r="263" spans="1:39">
      <c r="A263" t="s">
        <v>391</v>
      </c>
      <c r="B263" s="105">
        <v>647</v>
      </c>
      <c r="C263" s="45">
        <v>10</v>
      </c>
      <c r="D263" s="45"/>
      <c r="E263">
        <f>+IF(PuntosRanking[[#This Row],[Torneos]]=MAX(PuntosRanking[Torneos]),1,"")</f>
        <v>1</v>
      </c>
      <c r="F263" t="str">
        <f>+PuntosRanking[[#This Row],[Mote]]&amp;"_"&amp;PuntosRanking[[#This Row],[Máximo]]</f>
        <v>J Antonio_1</v>
      </c>
      <c r="H263">
        <v>4</v>
      </c>
      <c r="I263" t="str">
        <f>+PuntosRanking[[#This Row],[Mote]]</f>
        <v>J Antonio</v>
      </c>
      <c r="J263" s="111">
        <f>+PuntosRanking[[#This Row],[Puntos]]</f>
        <v>647</v>
      </c>
      <c r="K263" s="78">
        <f>ROUND(+PuntosRanking[[#This Row],[Puntos]]/100,0)</f>
        <v>6</v>
      </c>
      <c r="L263" s="78">
        <f>+_xlfn.XLOOKUP("1:"&amp;PuntosRanking[[#This Row],[Mote]],dHdcp[UltHandMote],dHdcp[Handicap],0,0)</f>
        <v>23.7</v>
      </c>
      <c r="M263" s="78">
        <f t="shared" si="4"/>
        <v>27</v>
      </c>
      <c r="N263" s="78">
        <f t="shared" si="5"/>
        <v>33</v>
      </c>
      <c r="O263">
        <f t="shared" si="6"/>
        <v>2</v>
      </c>
      <c r="P263">
        <f t="shared" si="1"/>
        <v>2</v>
      </c>
      <c r="Q263">
        <f t="shared" si="1"/>
        <v>1</v>
      </c>
      <c r="R263">
        <f t="shared" si="1"/>
        <v>2</v>
      </c>
      <c r="S263">
        <f t="shared" si="1"/>
        <v>2</v>
      </c>
      <c r="T263">
        <f t="shared" si="1"/>
        <v>1</v>
      </c>
      <c r="U263">
        <f t="shared" si="1"/>
        <v>2</v>
      </c>
      <c r="V263">
        <f t="shared" si="1"/>
        <v>2</v>
      </c>
      <c r="W263">
        <f t="shared" si="1"/>
        <v>2</v>
      </c>
      <c r="X263">
        <f t="shared" si="1"/>
        <v>2</v>
      </c>
      <c r="Y263">
        <f t="shared" si="1"/>
        <v>1</v>
      </c>
      <c r="Z263">
        <f t="shared" si="1"/>
        <v>2</v>
      </c>
      <c r="AA263">
        <f t="shared" si="1"/>
        <v>2</v>
      </c>
      <c r="AB263">
        <f t="shared" si="1"/>
        <v>2</v>
      </c>
      <c r="AC263">
        <f t="shared" si="1"/>
        <v>2</v>
      </c>
      <c r="AD263">
        <f t="shared" si="1"/>
        <v>2</v>
      </c>
      <c r="AE263">
        <f t="shared" ref="AE263:AE281" si="9">+IF($AK263&gt;0,2+IF(AE$245&lt;=$AK263,1,0),IF($AM263&gt;0,1+IF(AE$245&lt;=$AM263,1,0),IF(AE$245&lt;=$N263,1,0)))</f>
        <v>2</v>
      </c>
      <c r="AF263">
        <f t="shared" si="2"/>
        <v>2</v>
      </c>
      <c r="AG263">
        <f t="shared" ref="AG263:AG281" si="10">+SUM(O263:AF263)</f>
        <v>33</v>
      </c>
      <c r="AJ263">
        <v>36</v>
      </c>
      <c r="AK263">
        <f t="shared" si="7"/>
        <v>-3</v>
      </c>
      <c r="AL263">
        <v>18</v>
      </c>
      <c r="AM263">
        <f t="shared" si="8"/>
        <v>15</v>
      </c>
    </row>
    <row r="264" spans="1:39">
      <c r="A264" t="s">
        <v>202</v>
      </c>
      <c r="B264" s="105">
        <v>621</v>
      </c>
      <c r="C264" s="45">
        <v>10</v>
      </c>
      <c r="D264" s="45"/>
      <c r="E264">
        <f>+IF(PuntosRanking[[#This Row],[Torneos]]=MAX(PuntosRanking[Torneos]),1,"")</f>
        <v>1</v>
      </c>
      <c r="F264" t="str">
        <f>+PuntosRanking[[#This Row],[Mote]]&amp;"_"&amp;PuntosRanking[[#This Row],[Máximo]]</f>
        <v>Monti_1</v>
      </c>
      <c r="H264">
        <v>4</v>
      </c>
      <c r="I264" t="str">
        <f>+PuntosRanking[[#This Row],[Mote]]</f>
        <v>Monti</v>
      </c>
      <c r="J264" s="111">
        <f>+PuntosRanking[[#This Row],[Puntos]]</f>
        <v>621</v>
      </c>
      <c r="K264" s="78">
        <f>ROUND(+PuntosRanking[[#This Row],[Puntos]]/100,0)</f>
        <v>6</v>
      </c>
      <c r="L264" s="78">
        <f>+_xlfn.XLOOKUP("1:"&amp;PuntosRanking[[#This Row],[Mote]],dHdcp[UltHandMote],dHdcp[Handicap],0,0)</f>
        <v>5.6</v>
      </c>
      <c r="M264" s="78">
        <f t="shared" si="4"/>
        <v>6</v>
      </c>
      <c r="N264" s="78">
        <f t="shared" si="5"/>
        <v>12</v>
      </c>
      <c r="O264">
        <f t="shared" si="6"/>
        <v>1</v>
      </c>
      <c r="P264">
        <f t="shared" si="6"/>
        <v>1</v>
      </c>
      <c r="Q264">
        <f t="shared" si="6"/>
        <v>0</v>
      </c>
      <c r="R264">
        <f t="shared" si="6"/>
        <v>1</v>
      </c>
      <c r="S264">
        <f t="shared" si="6"/>
        <v>1</v>
      </c>
      <c r="T264">
        <f t="shared" si="6"/>
        <v>0</v>
      </c>
      <c r="U264">
        <f t="shared" si="6"/>
        <v>1</v>
      </c>
      <c r="V264">
        <f t="shared" si="6"/>
        <v>1</v>
      </c>
      <c r="W264">
        <f t="shared" si="6"/>
        <v>0</v>
      </c>
      <c r="X264">
        <f t="shared" si="6"/>
        <v>1</v>
      </c>
      <c r="Y264">
        <f t="shared" si="6"/>
        <v>0</v>
      </c>
      <c r="Z264">
        <f t="shared" si="6"/>
        <v>1</v>
      </c>
      <c r="AA264">
        <f t="shared" si="6"/>
        <v>0</v>
      </c>
      <c r="AB264">
        <f t="shared" si="6"/>
        <v>1</v>
      </c>
      <c r="AC264">
        <f t="shared" si="6"/>
        <v>1</v>
      </c>
      <c r="AD264">
        <f t="shared" si="6"/>
        <v>1</v>
      </c>
      <c r="AE264">
        <f t="shared" si="9"/>
        <v>1</v>
      </c>
      <c r="AF264">
        <f t="shared" si="2"/>
        <v>0</v>
      </c>
      <c r="AG264">
        <f t="shared" si="10"/>
        <v>12</v>
      </c>
      <c r="AJ264">
        <v>36</v>
      </c>
      <c r="AK264">
        <f t="shared" si="7"/>
        <v>-24</v>
      </c>
      <c r="AL264">
        <v>18</v>
      </c>
      <c r="AM264">
        <f t="shared" si="8"/>
        <v>-6</v>
      </c>
    </row>
    <row r="265" spans="1:39">
      <c r="A265" t="s">
        <v>42</v>
      </c>
      <c r="B265" s="105">
        <v>583</v>
      </c>
      <c r="C265" s="45">
        <v>10</v>
      </c>
      <c r="D265" s="45"/>
      <c r="E265">
        <f>+IF(PuntosRanking[[#This Row],[Torneos]]=MAX(PuntosRanking[Torneos]),1,"")</f>
        <v>1</v>
      </c>
      <c r="F265" t="str">
        <f>+PuntosRanking[[#This Row],[Mote]]&amp;"_"&amp;PuntosRanking[[#This Row],[Máximo]]</f>
        <v>Jesús_1</v>
      </c>
      <c r="H265">
        <v>5</v>
      </c>
      <c r="I265" t="str">
        <f>+PuntosRanking[[#This Row],[Mote]]</f>
        <v>Jesús</v>
      </c>
      <c r="J265" s="111">
        <f>+PuntosRanking[[#This Row],[Puntos]]</f>
        <v>583</v>
      </c>
      <c r="K265" s="78">
        <f>ROUND(+PuntosRanking[[#This Row],[Puntos]]/100,0)</f>
        <v>6</v>
      </c>
      <c r="L265" s="78">
        <f>+_xlfn.XLOOKUP("1:"&amp;PuntosRanking[[#This Row],[Mote]],dHdcp[UltHandMote],dHdcp[Handicap],0,0)</f>
        <v>22.4</v>
      </c>
      <c r="M265" s="78">
        <f t="shared" si="4"/>
        <v>26</v>
      </c>
      <c r="N265" s="78">
        <f t="shared" si="5"/>
        <v>32</v>
      </c>
      <c r="O265">
        <f t="shared" ref="O265:AD280" si="11">+IF($AK265&gt;0,2+IF(O$245&lt;=$AK265,1,0),IF($AM265&gt;0,1+IF(O$245&lt;=$AM265,1,0),IF(O$245&lt;=$N265,1,0)))</f>
        <v>2</v>
      </c>
      <c r="P265">
        <f t="shared" si="11"/>
        <v>2</v>
      </c>
      <c r="Q265">
        <f t="shared" si="11"/>
        <v>1</v>
      </c>
      <c r="R265">
        <f t="shared" si="11"/>
        <v>2</v>
      </c>
      <c r="S265">
        <f t="shared" si="11"/>
        <v>2</v>
      </c>
      <c r="T265">
        <f t="shared" si="11"/>
        <v>1</v>
      </c>
      <c r="U265">
        <f t="shared" si="11"/>
        <v>2</v>
      </c>
      <c r="V265">
        <f t="shared" si="11"/>
        <v>2</v>
      </c>
      <c r="W265">
        <f t="shared" si="11"/>
        <v>2</v>
      </c>
      <c r="X265">
        <f t="shared" si="11"/>
        <v>2</v>
      </c>
      <c r="Y265">
        <f t="shared" si="11"/>
        <v>1</v>
      </c>
      <c r="Z265">
        <f t="shared" si="11"/>
        <v>2</v>
      </c>
      <c r="AA265">
        <f t="shared" si="11"/>
        <v>1</v>
      </c>
      <c r="AB265">
        <f t="shared" si="11"/>
        <v>2</v>
      </c>
      <c r="AC265">
        <f t="shared" si="11"/>
        <v>2</v>
      </c>
      <c r="AD265">
        <f t="shared" si="11"/>
        <v>2</v>
      </c>
      <c r="AE265">
        <f t="shared" si="9"/>
        <v>2</v>
      </c>
      <c r="AF265">
        <f t="shared" si="2"/>
        <v>2</v>
      </c>
      <c r="AG265">
        <f t="shared" si="10"/>
        <v>32</v>
      </c>
      <c r="AJ265">
        <v>36</v>
      </c>
      <c r="AK265">
        <f t="shared" si="7"/>
        <v>-4</v>
      </c>
      <c r="AL265">
        <v>18</v>
      </c>
      <c r="AM265">
        <f t="shared" si="8"/>
        <v>14</v>
      </c>
    </row>
    <row r="266" spans="1:39">
      <c r="A266" t="s">
        <v>31</v>
      </c>
      <c r="B266" s="105">
        <v>550</v>
      </c>
      <c r="C266" s="45">
        <v>10</v>
      </c>
      <c r="D266" s="45"/>
      <c r="E266">
        <f>+IF(PuntosRanking[[#This Row],[Torneos]]=MAX(PuntosRanking[Torneos]),1,"")</f>
        <v>1</v>
      </c>
      <c r="F266" t="str">
        <f>+PuntosRanking[[#This Row],[Mote]]&amp;"_"&amp;PuntosRanking[[#This Row],[Máximo]]</f>
        <v>David_1</v>
      </c>
      <c r="H266">
        <v>5</v>
      </c>
      <c r="I266" t="str">
        <f>+PuntosRanking[[#This Row],[Mote]]</f>
        <v>David</v>
      </c>
      <c r="J266" s="111">
        <f>+PuntosRanking[[#This Row],[Puntos]]</f>
        <v>550</v>
      </c>
      <c r="K266" s="78">
        <f>ROUND(+PuntosRanking[[#This Row],[Puntos]]/100,0)</f>
        <v>6</v>
      </c>
      <c r="L266" s="78">
        <f>+_xlfn.XLOOKUP("1:"&amp;PuntosRanking[[#This Row],[Mote]],dHdcp[UltHandMote],dHdcp[Handicap],0,0)</f>
        <v>12.4</v>
      </c>
      <c r="M266" s="78">
        <f t="shared" si="4"/>
        <v>14</v>
      </c>
      <c r="N266" s="78">
        <f t="shared" si="5"/>
        <v>20</v>
      </c>
      <c r="O266">
        <f t="shared" si="11"/>
        <v>1</v>
      </c>
      <c r="P266">
        <f t="shared" si="11"/>
        <v>1</v>
      </c>
      <c r="Q266">
        <f t="shared" si="11"/>
        <v>1</v>
      </c>
      <c r="R266">
        <f t="shared" si="11"/>
        <v>2</v>
      </c>
      <c r="S266">
        <f t="shared" si="11"/>
        <v>1</v>
      </c>
      <c r="T266">
        <f t="shared" si="11"/>
        <v>1</v>
      </c>
      <c r="U266">
        <f t="shared" si="11"/>
        <v>1</v>
      </c>
      <c r="V266">
        <f t="shared" si="11"/>
        <v>1</v>
      </c>
      <c r="W266">
        <f t="shared" si="11"/>
        <v>1</v>
      </c>
      <c r="X266">
        <f t="shared" si="11"/>
        <v>1</v>
      </c>
      <c r="Y266">
        <f t="shared" si="11"/>
        <v>1</v>
      </c>
      <c r="Z266">
        <f t="shared" si="11"/>
        <v>2</v>
      </c>
      <c r="AA266">
        <f t="shared" si="11"/>
        <v>1</v>
      </c>
      <c r="AB266">
        <f t="shared" si="11"/>
        <v>1</v>
      </c>
      <c r="AC266">
        <f t="shared" si="11"/>
        <v>1</v>
      </c>
      <c r="AD266">
        <f t="shared" si="11"/>
        <v>1</v>
      </c>
      <c r="AE266">
        <f t="shared" si="9"/>
        <v>1</v>
      </c>
      <c r="AF266">
        <f t="shared" si="2"/>
        <v>1</v>
      </c>
      <c r="AG266">
        <f t="shared" si="10"/>
        <v>20</v>
      </c>
      <c r="AJ266">
        <v>36</v>
      </c>
      <c r="AK266">
        <f t="shared" si="7"/>
        <v>-16</v>
      </c>
      <c r="AL266">
        <v>18</v>
      </c>
      <c r="AM266">
        <f t="shared" si="8"/>
        <v>2</v>
      </c>
    </row>
    <row r="267" spans="1:39">
      <c r="A267" t="s">
        <v>265</v>
      </c>
      <c r="B267" s="105">
        <v>526</v>
      </c>
      <c r="C267" s="45">
        <v>10</v>
      </c>
      <c r="D267" s="45"/>
      <c r="E267">
        <f>+IF(PuntosRanking[[#This Row],[Torneos]]=MAX(PuntosRanking[Torneos]),1,"")</f>
        <v>1</v>
      </c>
      <c r="F267" t="str">
        <f>+PuntosRanking[[#This Row],[Mote]]&amp;"_"&amp;PuntosRanking[[#This Row],[Máximo]]</f>
        <v>Antonio_1</v>
      </c>
      <c r="H267">
        <v>5</v>
      </c>
      <c r="I267" t="str">
        <f>+PuntosRanking[[#This Row],[Mote]]</f>
        <v>Antonio</v>
      </c>
      <c r="J267" s="111">
        <f>+PuntosRanking[[#This Row],[Puntos]]</f>
        <v>526</v>
      </c>
      <c r="K267" s="78">
        <f>ROUND(+PuntosRanking[[#This Row],[Puntos]]/100,0)</f>
        <v>5</v>
      </c>
      <c r="L267" s="78">
        <f>+_xlfn.XLOOKUP("1:"&amp;PuntosRanking[[#This Row],[Mote]],dHdcp[UltHandMote],dHdcp[Handicap],0,0)</f>
        <v>21.9</v>
      </c>
      <c r="M267" s="78">
        <f t="shared" si="4"/>
        <v>25</v>
      </c>
      <c r="N267" s="78">
        <f t="shared" si="5"/>
        <v>30</v>
      </c>
      <c r="O267">
        <f t="shared" si="11"/>
        <v>2</v>
      </c>
      <c r="P267">
        <f t="shared" si="11"/>
        <v>2</v>
      </c>
      <c r="Q267">
        <f t="shared" si="11"/>
        <v>1</v>
      </c>
      <c r="R267">
        <f t="shared" si="11"/>
        <v>2</v>
      </c>
      <c r="S267">
        <f t="shared" si="11"/>
        <v>2</v>
      </c>
      <c r="T267">
        <f t="shared" si="11"/>
        <v>1</v>
      </c>
      <c r="U267">
        <f t="shared" si="11"/>
        <v>2</v>
      </c>
      <c r="V267">
        <f t="shared" si="11"/>
        <v>2</v>
      </c>
      <c r="W267">
        <f t="shared" si="11"/>
        <v>1</v>
      </c>
      <c r="X267">
        <f t="shared" si="11"/>
        <v>2</v>
      </c>
      <c r="Y267">
        <f t="shared" si="11"/>
        <v>1</v>
      </c>
      <c r="Z267">
        <f t="shared" si="11"/>
        <v>2</v>
      </c>
      <c r="AA267">
        <f t="shared" si="11"/>
        <v>1</v>
      </c>
      <c r="AB267">
        <f t="shared" si="11"/>
        <v>2</v>
      </c>
      <c r="AC267">
        <f t="shared" si="11"/>
        <v>2</v>
      </c>
      <c r="AD267">
        <f t="shared" si="11"/>
        <v>2</v>
      </c>
      <c r="AE267">
        <f t="shared" si="9"/>
        <v>2</v>
      </c>
      <c r="AF267">
        <f t="shared" si="2"/>
        <v>1</v>
      </c>
      <c r="AG267">
        <f t="shared" si="10"/>
        <v>30</v>
      </c>
      <c r="AJ267">
        <v>36</v>
      </c>
      <c r="AK267">
        <f t="shared" si="7"/>
        <v>-6</v>
      </c>
      <c r="AL267">
        <v>18</v>
      </c>
      <c r="AM267">
        <f t="shared" si="8"/>
        <v>12</v>
      </c>
    </row>
    <row r="268" spans="1:39">
      <c r="A268" t="s">
        <v>249</v>
      </c>
      <c r="B268" s="105">
        <v>509</v>
      </c>
      <c r="C268" s="45">
        <v>10</v>
      </c>
      <c r="D268" s="45"/>
      <c r="E268">
        <f>+IF(PuntosRanking[[#This Row],[Torneos]]=MAX(PuntosRanking[Torneos]),1,"")</f>
        <v>1</v>
      </c>
      <c r="F268" t="str">
        <f>+PuntosRanking[[#This Row],[Mote]]&amp;"_"&amp;PuntosRanking[[#This Row],[Máximo]]</f>
        <v>Enrique_1</v>
      </c>
      <c r="H268">
        <v>5</v>
      </c>
      <c r="I268" t="str">
        <f>+PuntosRanking[[#This Row],[Mote]]</f>
        <v>Enrique</v>
      </c>
      <c r="J268" s="111">
        <f>+PuntosRanking[[#This Row],[Puntos]]</f>
        <v>509</v>
      </c>
      <c r="K268" s="78">
        <f>ROUND(+PuntosRanking[[#This Row],[Puntos]]/100,0)</f>
        <v>5</v>
      </c>
      <c r="L268" s="78">
        <f>+_xlfn.XLOOKUP("1:"&amp;PuntosRanking[[#This Row],[Mote]],dHdcp[UltHandMote],dHdcp[Handicap],0,0)</f>
        <v>11.8</v>
      </c>
      <c r="M268" s="78">
        <f t="shared" si="4"/>
        <v>13</v>
      </c>
      <c r="N268" s="78">
        <f t="shared" si="5"/>
        <v>18</v>
      </c>
      <c r="O268">
        <f t="shared" si="11"/>
        <v>1</v>
      </c>
      <c r="P268">
        <f t="shared" si="11"/>
        <v>1</v>
      </c>
      <c r="Q268">
        <f t="shared" si="11"/>
        <v>1</v>
      </c>
      <c r="R268">
        <f t="shared" si="11"/>
        <v>1</v>
      </c>
      <c r="S268">
        <f t="shared" si="11"/>
        <v>1</v>
      </c>
      <c r="T268">
        <f t="shared" si="11"/>
        <v>1</v>
      </c>
      <c r="U268">
        <f t="shared" si="11"/>
        <v>1</v>
      </c>
      <c r="V268">
        <f t="shared" si="11"/>
        <v>1</v>
      </c>
      <c r="W268">
        <f t="shared" si="11"/>
        <v>1</v>
      </c>
      <c r="X268">
        <f t="shared" si="11"/>
        <v>1</v>
      </c>
      <c r="Y268">
        <f t="shared" si="11"/>
        <v>1</v>
      </c>
      <c r="Z268">
        <f t="shared" si="11"/>
        <v>1</v>
      </c>
      <c r="AA268">
        <f t="shared" si="11"/>
        <v>1</v>
      </c>
      <c r="AB268">
        <f t="shared" si="11"/>
        <v>1</v>
      </c>
      <c r="AC268">
        <f t="shared" si="11"/>
        <v>1</v>
      </c>
      <c r="AD268">
        <f t="shared" si="11"/>
        <v>1</v>
      </c>
      <c r="AE268">
        <f t="shared" si="9"/>
        <v>1</v>
      </c>
      <c r="AF268">
        <f t="shared" si="2"/>
        <v>1</v>
      </c>
      <c r="AG268">
        <f t="shared" si="10"/>
        <v>18</v>
      </c>
      <c r="AJ268">
        <v>36</v>
      </c>
      <c r="AK268">
        <f t="shared" si="7"/>
        <v>-18</v>
      </c>
      <c r="AL268">
        <v>18</v>
      </c>
      <c r="AM268">
        <f t="shared" si="8"/>
        <v>0</v>
      </c>
    </row>
    <row r="269" spans="1:39">
      <c r="A269" t="s">
        <v>50</v>
      </c>
      <c r="B269" s="105">
        <v>486</v>
      </c>
      <c r="C269" s="45">
        <v>10</v>
      </c>
      <c r="D269" s="45"/>
      <c r="E269">
        <f>+IF(PuntosRanking[[#This Row],[Torneos]]=MAX(PuntosRanking[Torneos]),1,"")</f>
        <v>1</v>
      </c>
      <c r="F269" t="str">
        <f>+PuntosRanking[[#This Row],[Mote]]&amp;"_"&amp;PuntosRanking[[#This Row],[Máximo]]</f>
        <v>Fran_1</v>
      </c>
      <c r="H269">
        <v>6</v>
      </c>
      <c r="I269" t="str">
        <f>+PuntosRanking[[#This Row],[Mote]]</f>
        <v>Fran</v>
      </c>
      <c r="J269" s="111">
        <f>+PuntosRanking[[#This Row],[Puntos]]</f>
        <v>486</v>
      </c>
      <c r="K269" s="78">
        <f>ROUND(+PuntosRanking[[#This Row],[Puntos]]/100,0)</f>
        <v>5</v>
      </c>
      <c r="L269" s="78">
        <f>+_xlfn.XLOOKUP("1:"&amp;PuntosRanking[[#This Row],[Mote]],dHdcp[UltHandMote],dHdcp[Handicap],0,0)</f>
        <v>15.3</v>
      </c>
      <c r="M269" s="78">
        <f t="shared" si="4"/>
        <v>17</v>
      </c>
      <c r="N269" s="78">
        <f t="shared" si="5"/>
        <v>22</v>
      </c>
      <c r="O269">
        <f t="shared" si="11"/>
        <v>1</v>
      </c>
      <c r="P269">
        <f t="shared" si="11"/>
        <v>2</v>
      </c>
      <c r="Q269">
        <f t="shared" si="11"/>
        <v>1</v>
      </c>
      <c r="R269">
        <f t="shared" si="11"/>
        <v>2</v>
      </c>
      <c r="S269">
        <f t="shared" si="11"/>
        <v>1</v>
      </c>
      <c r="T269">
        <f t="shared" si="11"/>
        <v>1</v>
      </c>
      <c r="U269">
        <f t="shared" si="11"/>
        <v>1</v>
      </c>
      <c r="V269">
        <f t="shared" si="11"/>
        <v>1</v>
      </c>
      <c r="W269">
        <f t="shared" si="11"/>
        <v>1</v>
      </c>
      <c r="X269">
        <f t="shared" si="11"/>
        <v>2</v>
      </c>
      <c r="Y269">
        <f t="shared" si="11"/>
        <v>1</v>
      </c>
      <c r="Z269">
        <f t="shared" si="11"/>
        <v>2</v>
      </c>
      <c r="AA269">
        <f t="shared" si="11"/>
        <v>1</v>
      </c>
      <c r="AB269">
        <f t="shared" si="11"/>
        <v>1</v>
      </c>
      <c r="AC269">
        <f t="shared" si="11"/>
        <v>1</v>
      </c>
      <c r="AD269">
        <f t="shared" si="11"/>
        <v>1</v>
      </c>
      <c r="AE269">
        <f t="shared" si="9"/>
        <v>1</v>
      </c>
      <c r="AF269">
        <f t="shared" si="2"/>
        <v>1</v>
      </c>
      <c r="AG269">
        <f t="shared" si="10"/>
        <v>22</v>
      </c>
      <c r="AJ269">
        <v>36</v>
      </c>
      <c r="AK269">
        <f t="shared" si="7"/>
        <v>-14</v>
      </c>
      <c r="AL269">
        <v>18</v>
      </c>
      <c r="AM269">
        <f t="shared" si="8"/>
        <v>4</v>
      </c>
    </row>
    <row r="270" spans="1:39">
      <c r="A270" t="s">
        <v>13</v>
      </c>
      <c r="B270" s="105">
        <v>480</v>
      </c>
      <c r="C270" s="45">
        <v>10</v>
      </c>
      <c r="D270" s="45"/>
      <c r="E270">
        <f>+IF(PuntosRanking[[#This Row],[Torneos]]=MAX(PuntosRanking[Torneos]),1,"")</f>
        <v>1</v>
      </c>
      <c r="F270" t="str">
        <f>+PuntosRanking[[#This Row],[Mote]]&amp;"_"&amp;PuntosRanking[[#This Row],[Máximo]]</f>
        <v>Paco_1</v>
      </c>
      <c r="H270">
        <v>6</v>
      </c>
      <c r="I270" t="str">
        <f>+PuntosRanking[[#This Row],[Mote]]</f>
        <v>Paco</v>
      </c>
      <c r="J270" s="111">
        <f>+PuntosRanking[[#This Row],[Puntos]]</f>
        <v>480</v>
      </c>
      <c r="K270" s="78">
        <f>ROUND(+PuntosRanking[[#This Row],[Puntos]]/100,0)</f>
        <v>5</v>
      </c>
      <c r="L270" s="78">
        <f>+_xlfn.XLOOKUP("1:"&amp;PuntosRanking[[#This Row],[Mote]],dHdcp[UltHandMote],dHdcp[Handicap],0,0)</f>
        <v>13.9</v>
      </c>
      <c r="M270" s="78">
        <f t="shared" si="4"/>
        <v>16</v>
      </c>
      <c r="N270" s="78">
        <f t="shared" si="5"/>
        <v>21</v>
      </c>
      <c r="O270">
        <f t="shared" si="11"/>
        <v>1</v>
      </c>
      <c r="P270">
        <f t="shared" si="11"/>
        <v>1</v>
      </c>
      <c r="Q270">
        <f t="shared" si="11"/>
        <v>1</v>
      </c>
      <c r="R270">
        <f t="shared" si="11"/>
        <v>2</v>
      </c>
      <c r="S270">
        <f t="shared" si="11"/>
        <v>1</v>
      </c>
      <c r="T270">
        <f t="shared" si="11"/>
        <v>1</v>
      </c>
      <c r="U270">
        <f t="shared" si="11"/>
        <v>1</v>
      </c>
      <c r="V270">
        <f t="shared" si="11"/>
        <v>1</v>
      </c>
      <c r="W270">
        <f t="shared" si="11"/>
        <v>1</v>
      </c>
      <c r="X270">
        <f t="shared" si="11"/>
        <v>2</v>
      </c>
      <c r="Y270">
        <f t="shared" si="11"/>
        <v>1</v>
      </c>
      <c r="Z270">
        <f t="shared" si="11"/>
        <v>2</v>
      </c>
      <c r="AA270">
        <f t="shared" si="11"/>
        <v>1</v>
      </c>
      <c r="AB270">
        <f t="shared" si="11"/>
        <v>1</v>
      </c>
      <c r="AC270">
        <f t="shared" si="11"/>
        <v>1</v>
      </c>
      <c r="AD270">
        <f t="shared" si="11"/>
        <v>1</v>
      </c>
      <c r="AE270">
        <f t="shared" si="9"/>
        <v>1</v>
      </c>
      <c r="AF270">
        <f t="shared" si="2"/>
        <v>1</v>
      </c>
      <c r="AG270">
        <f t="shared" si="10"/>
        <v>21</v>
      </c>
      <c r="AJ270">
        <v>36</v>
      </c>
      <c r="AK270">
        <f t="shared" si="7"/>
        <v>-15</v>
      </c>
      <c r="AL270">
        <v>18</v>
      </c>
      <c r="AM270">
        <f t="shared" si="8"/>
        <v>3</v>
      </c>
    </row>
    <row r="271" spans="1:39">
      <c r="A271" t="s">
        <v>376</v>
      </c>
      <c r="B271" s="105">
        <v>366</v>
      </c>
      <c r="C271" s="45">
        <v>10</v>
      </c>
      <c r="D271" s="45"/>
      <c r="E271">
        <f>+IF(PuntosRanking[[#This Row],[Torneos]]=MAX(PuntosRanking[Torneos]),1,"")</f>
        <v>1</v>
      </c>
      <c r="F271" t="str">
        <f>+PuntosRanking[[#This Row],[Mote]]&amp;"_"&amp;PuntosRanking[[#This Row],[Máximo]]</f>
        <v>Luis_1</v>
      </c>
      <c r="H271">
        <v>6</v>
      </c>
      <c r="I271" t="str">
        <f>+PuntosRanking[[#This Row],[Mote]]</f>
        <v>Luis</v>
      </c>
      <c r="J271" s="111">
        <f>+PuntosRanking[[#This Row],[Puntos]]</f>
        <v>366</v>
      </c>
      <c r="K271" s="78">
        <f>ROUND(+PuntosRanking[[#This Row],[Puntos]]/100,0)</f>
        <v>4</v>
      </c>
      <c r="L271" s="78">
        <f>+_xlfn.XLOOKUP("1:"&amp;PuntosRanking[[#This Row],[Mote]],dHdcp[UltHandMote],dHdcp[Handicap],0,0)</f>
        <v>11.8</v>
      </c>
      <c r="M271" s="78">
        <f t="shared" si="4"/>
        <v>13</v>
      </c>
      <c r="N271" s="78">
        <f t="shared" si="5"/>
        <v>17</v>
      </c>
      <c r="O271">
        <f t="shared" si="11"/>
        <v>1</v>
      </c>
      <c r="P271">
        <f t="shared" si="11"/>
        <v>1</v>
      </c>
      <c r="Q271">
        <f t="shared" si="11"/>
        <v>0</v>
      </c>
      <c r="R271">
        <f t="shared" si="11"/>
        <v>1</v>
      </c>
      <c r="S271">
        <f t="shared" si="11"/>
        <v>1</v>
      </c>
      <c r="T271">
        <f t="shared" si="11"/>
        <v>1</v>
      </c>
      <c r="U271">
        <f t="shared" si="11"/>
        <v>1</v>
      </c>
      <c r="V271">
        <f t="shared" si="11"/>
        <v>1</v>
      </c>
      <c r="W271">
        <f t="shared" si="11"/>
        <v>1</v>
      </c>
      <c r="X271">
        <f t="shared" si="11"/>
        <v>1</v>
      </c>
      <c r="Y271">
        <f t="shared" si="11"/>
        <v>1</v>
      </c>
      <c r="Z271">
        <f t="shared" si="11"/>
        <v>1</v>
      </c>
      <c r="AA271">
        <f t="shared" si="11"/>
        <v>1</v>
      </c>
      <c r="AB271">
        <f t="shared" si="11"/>
        <v>1</v>
      </c>
      <c r="AC271">
        <f t="shared" si="11"/>
        <v>1</v>
      </c>
      <c r="AD271">
        <f t="shared" si="11"/>
        <v>1</v>
      </c>
      <c r="AE271">
        <f t="shared" si="9"/>
        <v>1</v>
      </c>
      <c r="AF271">
        <f t="shared" si="2"/>
        <v>1</v>
      </c>
      <c r="AG271">
        <f t="shared" si="10"/>
        <v>17</v>
      </c>
      <c r="AJ271">
        <v>36</v>
      </c>
      <c r="AK271">
        <f t="shared" si="7"/>
        <v>-19</v>
      </c>
      <c r="AL271">
        <v>18</v>
      </c>
      <c r="AM271">
        <f t="shared" si="8"/>
        <v>-1</v>
      </c>
    </row>
    <row r="272" spans="1:39">
      <c r="A272" t="s">
        <v>123</v>
      </c>
      <c r="B272" s="105">
        <v>337</v>
      </c>
      <c r="C272" s="45">
        <v>10</v>
      </c>
      <c r="D272" s="45"/>
      <c r="E272">
        <f>+IF(PuntosRanking[[#This Row],[Torneos]]=MAX(PuntosRanking[Torneos]),1,"")</f>
        <v>1</v>
      </c>
      <c r="F272" t="str">
        <f>+PuntosRanking[[#This Row],[Mote]]&amp;"_"&amp;PuntosRanking[[#This Row],[Máximo]]</f>
        <v>Miche_1</v>
      </c>
      <c r="H272">
        <v>6</v>
      </c>
      <c r="I272" t="str">
        <f>+PuntosRanking[[#This Row],[Mote]]</f>
        <v>Miche</v>
      </c>
      <c r="J272" s="111">
        <f>+PuntosRanking[[#This Row],[Puntos]]</f>
        <v>337</v>
      </c>
      <c r="K272" s="78">
        <f>ROUND(+PuntosRanking[[#This Row],[Puntos]]/100,0)</f>
        <v>3</v>
      </c>
      <c r="L272" s="78">
        <f>+_xlfn.XLOOKUP("1:"&amp;PuntosRanking[[#This Row],[Mote]],dHdcp[UltHandMote],dHdcp[Handicap],0,0)</f>
        <v>19.899999999999999</v>
      </c>
      <c r="M272" s="78">
        <f t="shared" si="4"/>
        <v>23</v>
      </c>
      <c r="N272" s="78">
        <f t="shared" si="5"/>
        <v>26</v>
      </c>
      <c r="O272">
        <f t="shared" si="11"/>
        <v>2</v>
      </c>
      <c r="P272">
        <f t="shared" si="11"/>
        <v>2</v>
      </c>
      <c r="Q272">
        <f t="shared" si="11"/>
        <v>1</v>
      </c>
      <c r="R272">
        <f t="shared" si="11"/>
        <v>2</v>
      </c>
      <c r="S272">
        <f t="shared" si="11"/>
        <v>2</v>
      </c>
      <c r="T272">
        <f t="shared" si="11"/>
        <v>1</v>
      </c>
      <c r="U272">
        <f t="shared" si="11"/>
        <v>1</v>
      </c>
      <c r="V272">
        <f t="shared" si="11"/>
        <v>1</v>
      </c>
      <c r="W272">
        <f t="shared" si="11"/>
        <v>1</v>
      </c>
      <c r="X272">
        <f t="shared" si="11"/>
        <v>2</v>
      </c>
      <c r="Y272">
        <f t="shared" si="11"/>
        <v>1</v>
      </c>
      <c r="Z272">
        <f t="shared" si="11"/>
        <v>2</v>
      </c>
      <c r="AA272">
        <f t="shared" si="11"/>
        <v>1</v>
      </c>
      <c r="AB272">
        <f t="shared" si="11"/>
        <v>2</v>
      </c>
      <c r="AC272">
        <f t="shared" si="11"/>
        <v>2</v>
      </c>
      <c r="AD272">
        <f t="shared" si="11"/>
        <v>1</v>
      </c>
      <c r="AE272">
        <f t="shared" si="9"/>
        <v>1</v>
      </c>
      <c r="AF272">
        <f t="shared" si="2"/>
        <v>1</v>
      </c>
      <c r="AG272">
        <f t="shared" si="10"/>
        <v>26</v>
      </c>
      <c r="AJ272">
        <v>36</v>
      </c>
      <c r="AK272">
        <f t="shared" si="7"/>
        <v>-10</v>
      </c>
      <c r="AL272">
        <v>18</v>
      </c>
      <c r="AM272">
        <f t="shared" si="8"/>
        <v>8</v>
      </c>
    </row>
    <row r="273" spans="1:39">
      <c r="A273" t="s">
        <v>204</v>
      </c>
      <c r="B273" s="105">
        <v>337</v>
      </c>
      <c r="C273" s="45">
        <v>10</v>
      </c>
      <c r="D273" s="45"/>
      <c r="E273">
        <f>+IF(PuntosRanking[[#This Row],[Torneos]]=MAX(PuntosRanking[Torneos]),1,"")</f>
        <v>1</v>
      </c>
      <c r="F273" t="str">
        <f>+PuntosRanking[[#This Row],[Mote]]&amp;"_"&amp;PuntosRanking[[#This Row],[Máximo]]</f>
        <v>Rus_1</v>
      </c>
      <c r="H273">
        <v>7</v>
      </c>
      <c r="I273" t="str">
        <f>+PuntosRanking[[#This Row],[Mote]]</f>
        <v>Rus</v>
      </c>
      <c r="J273" s="111">
        <f>+PuntosRanking[[#This Row],[Puntos]]</f>
        <v>337</v>
      </c>
      <c r="K273" s="78">
        <f>ROUND(+PuntosRanking[[#This Row],[Puntos]]/100,0)</f>
        <v>3</v>
      </c>
      <c r="L273" s="78">
        <f>+_xlfn.XLOOKUP("1:"&amp;PuntosRanking[[#This Row],[Mote]],dHdcp[UltHandMote],dHdcp[Handicap],0,0)</f>
        <v>17.600000000000001</v>
      </c>
      <c r="M273" s="78">
        <f t="shared" si="4"/>
        <v>20</v>
      </c>
      <c r="N273" s="78">
        <f t="shared" si="5"/>
        <v>23</v>
      </c>
      <c r="O273">
        <f t="shared" si="11"/>
        <v>1</v>
      </c>
      <c r="P273">
        <f t="shared" si="11"/>
        <v>2</v>
      </c>
      <c r="Q273">
        <f t="shared" si="11"/>
        <v>1</v>
      </c>
      <c r="R273">
        <f t="shared" si="11"/>
        <v>2</v>
      </c>
      <c r="S273">
        <f t="shared" si="11"/>
        <v>1</v>
      </c>
      <c r="T273">
        <f t="shared" si="11"/>
        <v>1</v>
      </c>
      <c r="U273">
        <f t="shared" si="11"/>
        <v>1</v>
      </c>
      <c r="V273">
        <f t="shared" si="11"/>
        <v>1</v>
      </c>
      <c r="W273">
        <f t="shared" si="11"/>
        <v>1</v>
      </c>
      <c r="X273">
        <f t="shared" si="11"/>
        <v>2</v>
      </c>
      <c r="Y273">
        <f t="shared" si="11"/>
        <v>1</v>
      </c>
      <c r="Z273">
        <f t="shared" si="11"/>
        <v>2</v>
      </c>
      <c r="AA273">
        <f t="shared" si="11"/>
        <v>1</v>
      </c>
      <c r="AB273">
        <f t="shared" si="11"/>
        <v>1</v>
      </c>
      <c r="AC273">
        <f t="shared" si="11"/>
        <v>2</v>
      </c>
      <c r="AD273">
        <f t="shared" si="11"/>
        <v>1</v>
      </c>
      <c r="AE273">
        <f t="shared" si="9"/>
        <v>1</v>
      </c>
      <c r="AF273">
        <f t="shared" si="2"/>
        <v>1</v>
      </c>
      <c r="AG273">
        <f t="shared" si="10"/>
        <v>23</v>
      </c>
      <c r="AJ273">
        <v>36</v>
      </c>
      <c r="AK273">
        <f t="shared" si="7"/>
        <v>-13</v>
      </c>
      <c r="AL273">
        <v>18</v>
      </c>
      <c r="AM273">
        <f t="shared" si="8"/>
        <v>5</v>
      </c>
    </row>
    <row r="274" spans="1:39">
      <c r="A274" t="s">
        <v>24</v>
      </c>
      <c r="B274" s="105">
        <v>333</v>
      </c>
      <c r="C274" s="45">
        <v>10</v>
      </c>
      <c r="D274" s="45"/>
      <c r="E274">
        <f>+IF(PuntosRanking[[#This Row],[Torneos]]=MAX(PuntosRanking[Torneos]),1,"")</f>
        <v>1</v>
      </c>
      <c r="F274" t="str">
        <f>+PuntosRanking[[#This Row],[Mote]]&amp;"_"&amp;PuntosRanking[[#This Row],[Máximo]]</f>
        <v>Kike_1</v>
      </c>
      <c r="H274">
        <v>7</v>
      </c>
      <c r="I274" t="str">
        <f>+PuntosRanking[[#This Row],[Mote]]</f>
        <v>Kike</v>
      </c>
      <c r="J274" s="111">
        <f>+PuntosRanking[[#This Row],[Puntos]]</f>
        <v>333</v>
      </c>
      <c r="K274" s="78">
        <f>ROUND(+PuntosRanking[[#This Row],[Puntos]]/100,0)</f>
        <v>3</v>
      </c>
      <c r="L274" s="78">
        <f>+_xlfn.XLOOKUP("1:"&amp;PuntosRanking[[#This Row],[Mote]],dHdcp[UltHandMote],dHdcp[Handicap],0,0)</f>
        <v>18.8</v>
      </c>
      <c r="M274" s="78">
        <f t="shared" si="4"/>
        <v>21</v>
      </c>
      <c r="N274" s="78">
        <f t="shared" si="5"/>
        <v>24</v>
      </c>
      <c r="O274">
        <f t="shared" si="11"/>
        <v>1</v>
      </c>
      <c r="P274">
        <f t="shared" si="11"/>
        <v>2</v>
      </c>
      <c r="Q274">
        <f t="shared" si="11"/>
        <v>1</v>
      </c>
      <c r="R274">
        <f t="shared" si="11"/>
        <v>2</v>
      </c>
      <c r="S274">
        <f t="shared" si="11"/>
        <v>2</v>
      </c>
      <c r="T274">
        <f t="shared" si="11"/>
        <v>1</v>
      </c>
      <c r="U274">
        <f t="shared" si="11"/>
        <v>1</v>
      </c>
      <c r="V274">
        <f t="shared" si="11"/>
        <v>1</v>
      </c>
      <c r="W274">
        <f t="shared" si="11"/>
        <v>1</v>
      </c>
      <c r="X274">
        <f t="shared" si="11"/>
        <v>2</v>
      </c>
      <c r="Y274">
        <f t="shared" si="11"/>
        <v>1</v>
      </c>
      <c r="Z274">
        <f t="shared" si="11"/>
        <v>2</v>
      </c>
      <c r="AA274">
        <f t="shared" si="11"/>
        <v>1</v>
      </c>
      <c r="AB274">
        <f t="shared" si="11"/>
        <v>1</v>
      </c>
      <c r="AC274">
        <f t="shared" si="11"/>
        <v>2</v>
      </c>
      <c r="AD274">
        <f t="shared" si="11"/>
        <v>1</v>
      </c>
      <c r="AE274">
        <f t="shared" si="9"/>
        <v>1</v>
      </c>
      <c r="AF274">
        <f t="shared" si="2"/>
        <v>1</v>
      </c>
      <c r="AG274">
        <f t="shared" si="10"/>
        <v>24</v>
      </c>
      <c r="AJ274">
        <v>36</v>
      </c>
      <c r="AK274">
        <f t="shared" si="7"/>
        <v>-12</v>
      </c>
      <c r="AL274">
        <v>18</v>
      </c>
      <c r="AM274">
        <f t="shared" si="8"/>
        <v>6</v>
      </c>
    </row>
    <row r="275" spans="1:39">
      <c r="A275" t="s">
        <v>26</v>
      </c>
      <c r="B275" s="105">
        <v>318</v>
      </c>
      <c r="C275" s="45">
        <v>10</v>
      </c>
      <c r="D275" s="45"/>
      <c r="E275">
        <f>+IF(PuntosRanking[[#This Row],[Torneos]]=MAX(PuntosRanking[Torneos]),1,"")</f>
        <v>1</v>
      </c>
      <c r="F275" t="str">
        <f>+PuntosRanking[[#This Row],[Mote]]&amp;"_"&amp;PuntosRanking[[#This Row],[Máximo]]</f>
        <v>Alvaro_1</v>
      </c>
      <c r="H275">
        <v>7</v>
      </c>
      <c r="I275" t="str">
        <f>+PuntosRanking[[#This Row],[Mote]]</f>
        <v>Alvaro</v>
      </c>
      <c r="J275" s="111">
        <f>+PuntosRanking[[#This Row],[Puntos]]</f>
        <v>318</v>
      </c>
      <c r="K275" s="78">
        <f>ROUND(+PuntosRanking[[#This Row],[Puntos]]/100,0)</f>
        <v>3</v>
      </c>
      <c r="L275" s="78">
        <f>+_xlfn.XLOOKUP("1:"&amp;PuntosRanking[[#This Row],[Mote]],dHdcp[UltHandMote],dHdcp[Handicap],0,0)</f>
        <v>15.5</v>
      </c>
      <c r="M275" s="78">
        <f t="shared" si="4"/>
        <v>18</v>
      </c>
      <c r="N275" s="78">
        <f t="shared" si="5"/>
        <v>21</v>
      </c>
      <c r="O275">
        <f t="shared" si="11"/>
        <v>1</v>
      </c>
      <c r="P275">
        <f t="shared" si="11"/>
        <v>1</v>
      </c>
      <c r="Q275">
        <f t="shared" si="11"/>
        <v>1</v>
      </c>
      <c r="R275">
        <f t="shared" si="11"/>
        <v>2</v>
      </c>
      <c r="S275">
        <f t="shared" si="11"/>
        <v>1</v>
      </c>
      <c r="T275">
        <f t="shared" si="11"/>
        <v>1</v>
      </c>
      <c r="U275">
        <f t="shared" si="11"/>
        <v>1</v>
      </c>
      <c r="V275">
        <f t="shared" si="11"/>
        <v>1</v>
      </c>
      <c r="W275">
        <f t="shared" si="11"/>
        <v>1</v>
      </c>
      <c r="X275">
        <f t="shared" si="11"/>
        <v>2</v>
      </c>
      <c r="Y275">
        <f t="shared" si="11"/>
        <v>1</v>
      </c>
      <c r="Z275">
        <f t="shared" si="11"/>
        <v>2</v>
      </c>
      <c r="AA275">
        <f t="shared" si="11"/>
        <v>1</v>
      </c>
      <c r="AB275">
        <f t="shared" si="11"/>
        <v>1</v>
      </c>
      <c r="AC275">
        <f t="shared" si="11"/>
        <v>1</v>
      </c>
      <c r="AD275">
        <f t="shared" si="11"/>
        <v>1</v>
      </c>
      <c r="AE275">
        <f t="shared" si="9"/>
        <v>1</v>
      </c>
      <c r="AF275">
        <f t="shared" si="2"/>
        <v>1</v>
      </c>
      <c r="AG275">
        <f t="shared" si="10"/>
        <v>21</v>
      </c>
      <c r="AJ275">
        <v>36</v>
      </c>
      <c r="AK275">
        <f t="shared" si="7"/>
        <v>-15</v>
      </c>
      <c r="AL275">
        <v>18</v>
      </c>
      <c r="AM275">
        <f t="shared" si="8"/>
        <v>3</v>
      </c>
    </row>
    <row r="276" spans="1:39">
      <c r="A276" t="s">
        <v>47</v>
      </c>
      <c r="B276" s="105">
        <v>233</v>
      </c>
      <c r="C276" s="45">
        <v>10</v>
      </c>
      <c r="D276" s="45"/>
      <c r="E276">
        <f>+IF(PuntosRanking[[#This Row],[Torneos]]=MAX(PuntosRanking[Torneos]),1,"")</f>
        <v>1</v>
      </c>
      <c r="F276" t="str">
        <f>+PuntosRanking[[#This Row],[Mote]]&amp;"_"&amp;PuntosRanking[[#This Row],[Máximo]]</f>
        <v>Virus_1</v>
      </c>
      <c r="H276">
        <v>7</v>
      </c>
      <c r="I276" t="str">
        <f>+PuntosRanking[[#This Row],[Mote]]</f>
        <v>Virus</v>
      </c>
      <c r="J276" s="111">
        <f>+PuntosRanking[[#This Row],[Puntos]]</f>
        <v>233</v>
      </c>
      <c r="K276" s="78">
        <f>ROUND(+PuntosRanking[[#This Row],[Puntos]]/100,0)</f>
        <v>2</v>
      </c>
      <c r="L276" s="78">
        <f>+_xlfn.XLOOKUP("1:"&amp;PuntosRanking[[#This Row],[Mote]],dHdcp[UltHandMote],dHdcp[Handicap],0,0)</f>
        <v>19</v>
      </c>
      <c r="M276" s="78">
        <f t="shared" si="4"/>
        <v>22</v>
      </c>
      <c r="N276" s="78">
        <f t="shared" si="5"/>
        <v>24</v>
      </c>
      <c r="O276">
        <f t="shared" si="11"/>
        <v>1</v>
      </c>
      <c r="P276">
        <f t="shared" si="11"/>
        <v>2</v>
      </c>
      <c r="Q276">
        <f t="shared" si="11"/>
        <v>1</v>
      </c>
      <c r="R276">
        <f t="shared" si="11"/>
        <v>2</v>
      </c>
      <c r="S276">
        <f t="shared" si="11"/>
        <v>2</v>
      </c>
      <c r="T276">
        <f t="shared" si="11"/>
        <v>1</v>
      </c>
      <c r="U276">
        <f t="shared" si="11"/>
        <v>1</v>
      </c>
      <c r="V276">
        <f t="shared" si="11"/>
        <v>1</v>
      </c>
      <c r="W276">
        <f t="shared" si="11"/>
        <v>1</v>
      </c>
      <c r="X276">
        <f t="shared" si="11"/>
        <v>2</v>
      </c>
      <c r="Y276">
        <f t="shared" si="11"/>
        <v>1</v>
      </c>
      <c r="Z276">
        <f t="shared" si="11"/>
        <v>2</v>
      </c>
      <c r="AA276">
        <f t="shared" si="11"/>
        <v>1</v>
      </c>
      <c r="AB276">
        <f t="shared" si="11"/>
        <v>1</v>
      </c>
      <c r="AC276">
        <f t="shared" si="11"/>
        <v>2</v>
      </c>
      <c r="AD276">
        <f t="shared" si="11"/>
        <v>1</v>
      </c>
      <c r="AE276">
        <f t="shared" si="9"/>
        <v>1</v>
      </c>
      <c r="AF276">
        <f t="shared" si="2"/>
        <v>1</v>
      </c>
      <c r="AG276">
        <f t="shared" si="10"/>
        <v>24</v>
      </c>
      <c r="AJ276">
        <v>36</v>
      </c>
      <c r="AK276">
        <f t="shared" si="7"/>
        <v>-12</v>
      </c>
      <c r="AL276">
        <v>18</v>
      </c>
      <c r="AM276">
        <f t="shared" si="8"/>
        <v>6</v>
      </c>
    </row>
    <row r="277" spans="1:39">
      <c r="A277" t="s">
        <v>262</v>
      </c>
      <c r="B277" s="105">
        <v>218</v>
      </c>
      <c r="C277" s="45">
        <v>10</v>
      </c>
      <c r="D277" s="45"/>
      <c r="E277">
        <f>+IF(PuntosRanking[[#This Row],[Torneos]]=MAX(PuntosRanking[Torneos]),1,"")</f>
        <v>1</v>
      </c>
      <c r="F277" t="str">
        <f>+PuntosRanking[[#This Row],[Mote]]&amp;"_"&amp;PuntosRanking[[#This Row],[Máximo]]</f>
        <v>Alex_1</v>
      </c>
      <c r="H277">
        <v>8</v>
      </c>
      <c r="I277" t="str">
        <f>+PuntosRanking[[#This Row],[Mote]]</f>
        <v>Alex</v>
      </c>
      <c r="J277" s="111">
        <f>+PuntosRanking[[#This Row],[Puntos]]</f>
        <v>218</v>
      </c>
      <c r="K277" s="78">
        <f>ROUND(+PuntosRanking[[#This Row],[Puntos]]/100,0)</f>
        <v>2</v>
      </c>
      <c r="L277" s="78">
        <f>+_xlfn.XLOOKUP("1:"&amp;PuntosRanking[[#This Row],[Mote]],dHdcp[UltHandMote],dHdcp[Handicap],0,0)</f>
        <v>2.1</v>
      </c>
      <c r="M277" s="78">
        <f t="shared" si="4"/>
        <v>2</v>
      </c>
      <c r="N277" s="78">
        <f t="shared" si="5"/>
        <v>4</v>
      </c>
      <c r="O277">
        <f t="shared" si="11"/>
        <v>0</v>
      </c>
      <c r="P277">
        <f t="shared" si="11"/>
        <v>1</v>
      </c>
      <c r="Q277">
        <f t="shared" si="11"/>
        <v>0</v>
      </c>
      <c r="R277">
        <f t="shared" si="11"/>
        <v>1</v>
      </c>
      <c r="S277">
        <f t="shared" si="11"/>
        <v>0</v>
      </c>
      <c r="T277">
        <f t="shared" si="11"/>
        <v>0</v>
      </c>
      <c r="U277">
        <f t="shared" si="11"/>
        <v>0</v>
      </c>
      <c r="V277">
        <f t="shared" si="11"/>
        <v>0</v>
      </c>
      <c r="W277">
        <f t="shared" si="11"/>
        <v>0</v>
      </c>
      <c r="X277">
        <f t="shared" si="11"/>
        <v>1</v>
      </c>
      <c r="Y277">
        <f t="shared" si="11"/>
        <v>0</v>
      </c>
      <c r="Z277">
        <f t="shared" si="11"/>
        <v>1</v>
      </c>
      <c r="AA277">
        <f t="shared" si="11"/>
        <v>0</v>
      </c>
      <c r="AB277">
        <f t="shared" si="11"/>
        <v>0</v>
      </c>
      <c r="AC277">
        <f t="shared" si="11"/>
        <v>0</v>
      </c>
      <c r="AD277">
        <f t="shared" si="11"/>
        <v>0</v>
      </c>
      <c r="AE277">
        <f t="shared" si="9"/>
        <v>0</v>
      </c>
      <c r="AF277">
        <f t="shared" si="2"/>
        <v>0</v>
      </c>
      <c r="AG277">
        <f t="shared" si="10"/>
        <v>4</v>
      </c>
      <c r="AJ277">
        <v>36</v>
      </c>
      <c r="AK277">
        <f t="shared" si="7"/>
        <v>-32</v>
      </c>
      <c r="AL277">
        <v>18</v>
      </c>
      <c r="AM277">
        <f t="shared" si="8"/>
        <v>-14</v>
      </c>
    </row>
    <row r="278" spans="1:39">
      <c r="A278" t="s">
        <v>4</v>
      </c>
      <c r="B278" s="105">
        <v>217</v>
      </c>
      <c r="C278" s="45">
        <v>10</v>
      </c>
      <c r="D278" s="45"/>
      <c r="E278">
        <f>+IF(PuntosRanking[[#This Row],[Torneos]]=MAX(PuntosRanking[Torneos]),1,"")</f>
        <v>1</v>
      </c>
      <c r="F278" t="str">
        <f>+PuntosRanking[[#This Row],[Mote]]&amp;"_"&amp;PuntosRanking[[#This Row],[Máximo]]</f>
        <v>Nacho_1</v>
      </c>
      <c r="H278">
        <v>8</v>
      </c>
      <c r="I278" t="str">
        <f>+PuntosRanking[[#This Row],[Mote]]</f>
        <v>Nacho</v>
      </c>
      <c r="J278" s="111">
        <f>+PuntosRanking[[#This Row],[Puntos]]</f>
        <v>217</v>
      </c>
      <c r="K278" s="78">
        <f>ROUND(+PuntosRanking[[#This Row],[Puntos]]/100,0)</f>
        <v>2</v>
      </c>
      <c r="L278" s="78">
        <f>+_xlfn.XLOOKUP("1:"&amp;PuntosRanking[[#This Row],[Mote]],dHdcp[UltHandMote],dHdcp[Handicap],0,0)</f>
        <v>5.0999999999999996</v>
      </c>
      <c r="M278" s="78">
        <f t="shared" si="4"/>
        <v>5</v>
      </c>
      <c r="N278" s="78">
        <f t="shared" si="5"/>
        <v>7</v>
      </c>
      <c r="O278">
        <f t="shared" si="11"/>
        <v>0</v>
      </c>
      <c r="P278">
        <f t="shared" si="11"/>
        <v>1</v>
      </c>
      <c r="Q278">
        <f t="shared" si="11"/>
        <v>0</v>
      </c>
      <c r="R278">
        <f t="shared" si="11"/>
        <v>1</v>
      </c>
      <c r="S278">
        <f t="shared" si="11"/>
        <v>1</v>
      </c>
      <c r="T278">
        <f t="shared" si="11"/>
        <v>0</v>
      </c>
      <c r="U278">
        <f t="shared" si="11"/>
        <v>0</v>
      </c>
      <c r="V278">
        <f t="shared" si="11"/>
        <v>0</v>
      </c>
      <c r="W278">
        <f t="shared" si="11"/>
        <v>0</v>
      </c>
      <c r="X278">
        <f t="shared" si="11"/>
        <v>1</v>
      </c>
      <c r="Y278">
        <f t="shared" si="11"/>
        <v>0</v>
      </c>
      <c r="Z278">
        <f t="shared" si="11"/>
        <v>1</v>
      </c>
      <c r="AA278">
        <f t="shared" si="11"/>
        <v>0</v>
      </c>
      <c r="AB278">
        <f t="shared" si="11"/>
        <v>1</v>
      </c>
      <c r="AC278">
        <f t="shared" si="11"/>
        <v>1</v>
      </c>
      <c r="AD278">
        <f t="shared" si="11"/>
        <v>0</v>
      </c>
      <c r="AE278">
        <f t="shared" si="9"/>
        <v>0</v>
      </c>
      <c r="AF278">
        <f t="shared" si="2"/>
        <v>0</v>
      </c>
      <c r="AG278">
        <f t="shared" si="10"/>
        <v>7</v>
      </c>
      <c r="AJ278">
        <v>36</v>
      </c>
      <c r="AK278">
        <f t="shared" si="7"/>
        <v>-29</v>
      </c>
      <c r="AL278">
        <v>18</v>
      </c>
      <c r="AM278">
        <f t="shared" si="8"/>
        <v>-11</v>
      </c>
    </row>
    <row r="279" spans="1:39">
      <c r="A279" t="s">
        <v>208</v>
      </c>
      <c r="B279" s="105">
        <v>55</v>
      </c>
      <c r="C279" s="45">
        <v>10</v>
      </c>
      <c r="D279" s="45"/>
      <c r="E279">
        <f>+IF(PuntosRanking[[#This Row],[Torneos]]=MAX(PuntosRanking[Torneos]),1,"")</f>
        <v>1</v>
      </c>
      <c r="F279" t="str">
        <f>+PuntosRanking[[#This Row],[Mote]]&amp;"_"&amp;PuntosRanking[[#This Row],[Máximo]]</f>
        <v>Franck_1</v>
      </c>
      <c r="H279">
        <v>8</v>
      </c>
      <c r="I279" t="str">
        <f>+PuntosRanking[[#This Row],[Mote]]</f>
        <v>Franck</v>
      </c>
      <c r="J279" s="111">
        <f>+PuntosRanking[[#This Row],[Puntos]]</f>
        <v>55</v>
      </c>
      <c r="K279" s="78">
        <f>ROUND(+PuntosRanking[[#This Row],[Puntos]]/100,0)</f>
        <v>1</v>
      </c>
      <c r="L279" s="78">
        <f>+_xlfn.XLOOKUP("1:"&amp;PuntosRanking[[#This Row],[Mote]],dHdcp[UltHandMote],dHdcp[Handicap],0,0)</f>
        <v>15</v>
      </c>
      <c r="M279" s="78">
        <f t="shared" si="4"/>
        <v>17</v>
      </c>
      <c r="N279" s="78">
        <f t="shared" si="5"/>
        <v>18</v>
      </c>
      <c r="O279">
        <f t="shared" si="11"/>
        <v>1</v>
      </c>
      <c r="P279">
        <f t="shared" si="11"/>
        <v>1</v>
      </c>
      <c r="Q279">
        <f t="shared" si="11"/>
        <v>1</v>
      </c>
      <c r="R279">
        <f t="shared" si="11"/>
        <v>1</v>
      </c>
      <c r="S279">
        <f t="shared" si="11"/>
        <v>1</v>
      </c>
      <c r="T279">
        <f t="shared" si="11"/>
        <v>1</v>
      </c>
      <c r="U279">
        <f t="shared" si="11"/>
        <v>1</v>
      </c>
      <c r="V279">
        <f t="shared" si="11"/>
        <v>1</v>
      </c>
      <c r="W279">
        <f t="shared" si="11"/>
        <v>1</v>
      </c>
      <c r="X279">
        <f t="shared" si="11"/>
        <v>1</v>
      </c>
      <c r="Y279">
        <f t="shared" si="11"/>
        <v>1</v>
      </c>
      <c r="Z279">
        <f t="shared" si="11"/>
        <v>1</v>
      </c>
      <c r="AA279">
        <f t="shared" si="11"/>
        <v>1</v>
      </c>
      <c r="AB279">
        <f t="shared" si="11"/>
        <v>1</v>
      </c>
      <c r="AC279">
        <f t="shared" si="11"/>
        <v>1</v>
      </c>
      <c r="AD279">
        <f t="shared" si="11"/>
        <v>1</v>
      </c>
      <c r="AE279">
        <f t="shared" si="9"/>
        <v>1</v>
      </c>
      <c r="AF279">
        <f t="shared" si="2"/>
        <v>1</v>
      </c>
      <c r="AG279">
        <f t="shared" si="10"/>
        <v>18</v>
      </c>
      <c r="AJ279">
        <v>36</v>
      </c>
      <c r="AK279">
        <f t="shared" si="7"/>
        <v>-18</v>
      </c>
      <c r="AL279">
        <v>18</v>
      </c>
      <c r="AM279">
        <f t="shared" si="8"/>
        <v>0</v>
      </c>
    </row>
    <row r="280" spans="1:39">
      <c r="A280" t="s">
        <v>218</v>
      </c>
      <c r="B280" s="105">
        <v>51</v>
      </c>
      <c r="C280" s="45">
        <v>10</v>
      </c>
      <c r="D280" s="45"/>
      <c r="E280">
        <f>+IF(PuntosRanking[[#This Row],[Torneos]]=MAX(PuntosRanking[Torneos]),1,"")</f>
        <v>1</v>
      </c>
      <c r="F280" t="str">
        <f>+PuntosRanking[[#This Row],[Mote]]&amp;"_"&amp;PuntosRanking[[#This Row],[Máximo]]</f>
        <v>Cuñao_1</v>
      </c>
      <c r="H280">
        <v>8</v>
      </c>
      <c r="I280" t="str">
        <f>+PuntosRanking[[#This Row],[Mote]]</f>
        <v>Cuñao</v>
      </c>
      <c r="J280" s="111">
        <f>+PuntosRanking[[#This Row],[Puntos]]</f>
        <v>51</v>
      </c>
      <c r="K280" s="78">
        <f>ROUND(+PuntosRanking[[#This Row],[Puntos]]/100,0)</f>
        <v>1</v>
      </c>
      <c r="L280" s="78">
        <f>+_xlfn.XLOOKUP("1:"&amp;PuntosRanking[[#This Row],[Mote]],dHdcp[UltHandMote],dHdcp[Handicap],0,0)</f>
        <v>21.5</v>
      </c>
      <c r="M280" s="78">
        <f t="shared" si="4"/>
        <v>25</v>
      </c>
      <c r="N280" s="78">
        <f t="shared" si="5"/>
        <v>26</v>
      </c>
      <c r="O280">
        <f t="shared" si="11"/>
        <v>2</v>
      </c>
      <c r="P280">
        <f t="shared" si="11"/>
        <v>2</v>
      </c>
      <c r="Q280">
        <f t="shared" si="11"/>
        <v>1</v>
      </c>
      <c r="R280">
        <f t="shared" si="11"/>
        <v>2</v>
      </c>
      <c r="S280">
        <f t="shared" si="11"/>
        <v>2</v>
      </c>
      <c r="T280">
        <f t="shared" si="11"/>
        <v>1</v>
      </c>
      <c r="U280">
        <f t="shared" si="11"/>
        <v>1</v>
      </c>
      <c r="V280">
        <f t="shared" si="11"/>
        <v>1</v>
      </c>
      <c r="W280">
        <f t="shared" si="11"/>
        <v>1</v>
      </c>
      <c r="X280">
        <f t="shared" si="11"/>
        <v>2</v>
      </c>
      <c r="Y280">
        <f t="shared" si="11"/>
        <v>1</v>
      </c>
      <c r="Z280">
        <f t="shared" si="11"/>
        <v>2</v>
      </c>
      <c r="AA280">
        <f t="shared" si="11"/>
        <v>1</v>
      </c>
      <c r="AB280">
        <f t="shared" si="11"/>
        <v>2</v>
      </c>
      <c r="AC280">
        <f t="shared" si="11"/>
        <v>2</v>
      </c>
      <c r="AD280">
        <f t="shared" ref="AD280:AD281" si="12">+IF($AK280&gt;0,2+IF(AD$245&lt;=$AK280,1,0),IF($AM280&gt;0,1+IF(AD$245&lt;=$AM280,1,0),IF(AD$245&lt;=$N280,1,0)))</f>
        <v>1</v>
      </c>
      <c r="AE280">
        <f t="shared" si="9"/>
        <v>1</v>
      </c>
      <c r="AF280">
        <f t="shared" si="2"/>
        <v>1</v>
      </c>
      <c r="AG280">
        <f t="shared" si="10"/>
        <v>26</v>
      </c>
      <c r="AJ280">
        <v>36</v>
      </c>
      <c r="AK280">
        <f t="shared" si="7"/>
        <v>-10</v>
      </c>
      <c r="AL280">
        <v>18</v>
      </c>
      <c r="AM280">
        <f t="shared" si="8"/>
        <v>8</v>
      </c>
    </row>
    <row r="281" spans="1:39">
      <c r="A281" s="107" t="s">
        <v>226</v>
      </c>
      <c r="B281" s="105"/>
      <c r="C281" s="45">
        <v>10</v>
      </c>
      <c r="D281" s="45"/>
      <c r="E281">
        <f>+IF(PuntosRanking[[#This Row],[Torneos]]=MAX(PuntosRanking[Torneos]),1,"")</f>
        <v>1</v>
      </c>
      <c r="F281" t="str">
        <f>+PuntosRanking[[#This Row],[Mote]]&amp;"_"&amp;PuntosRanking[[#This Row],[Máximo]]</f>
        <v>Chiralt_1</v>
      </c>
      <c r="H281">
        <v>9</v>
      </c>
      <c r="I281" t="str">
        <f>+PuntosRanking[[#This Row],[Mote]]</f>
        <v>Chiralt</v>
      </c>
      <c r="J281" s="111">
        <f>+PuntosRanking[[#This Row],[Puntos]]</f>
        <v>0</v>
      </c>
      <c r="K281" s="78">
        <f>ROUND(+PuntosRanking[[#This Row],[Puntos]]/100,0)</f>
        <v>0</v>
      </c>
      <c r="L281" s="78">
        <f>+_xlfn.XLOOKUP("1:"&amp;PuntosRanking[[#This Row],[Mote]],dHdcp[UltHandMote],dHdcp[Handicap],0,0)</f>
        <v>10.3</v>
      </c>
      <c r="M281" s="78">
        <f t="shared" si="4"/>
        <v>11</v>
      </c>
      <c r="N281" s="78">
        <f t="shared" si="5"/>
        <v>11</v>
      </c>
      <c r="O281">
        <f t="shared" ref="O281:AC281" si="13">+IF($AK281&gt;0,2+IF(O$245&lt;=$AK281,1,0),IF($AM281&gt;0,1+IF(O$245&lt;=$AM281,1,0),IF(O$245&lt;=$N281,1,0)))</f>
        <v>1</v>
      </c>
      <c r="P281">
        <f t="shared" si="13"/>
        <v>1</v>
      </c>
      <c r="Q281">
        <f t="shared" si="13"/>
        <v>0</v>
      </c>
      <c r="R281">
        <f t="shared" si="13"/>
        <v>1</v>
      </c>
      <c r="S281">
        <f t="shared" si="13"/>
        <v>1</v>
      </c>
      <c r="T281">
        <f t="shared" si="13"/>
        <v>0</v>
      </c>
      <c r="U281">
        <f t="shared" si="13"/>
        <v>0</v>
      </c>
      <c r="V281">
        <f t="shared" si="13"/>
        <v>1</v>
      </c>
      <c r="W281">
        <f t="shared" si="13"/>
        <v>0</v>
      </c>
      <c r="X281">
        <f t="shared" si="13"/>
        <v>1</v>
      </c>
      <c r="Y281">
        <f t="shared" si="13"/>
        <v>0</v>
      </c>
      <c r="Z281">
        <f t="shared" si="13"/>
        <v>1</v>
      </c>
      <c r="AA281">
        <f t="shared" si="13"/>
        <v>0</v>
      </c>
      <c r="AB281">
        <f t="shared" si="13"/>
        <v>1</v>
      </c>
      <c r="AC281">
        <f t="shared" si="13"/>
        <v>1</v>
      </c>
      <c r="AD281">
        <f t="shared" si="12"/>
        <v>1</v>
      </c>
      <c r="AE281">
        <f t="shared" si="9"/>
        <v>1</v>
      </c>
      <c r="AF281">
        <f t="shared" si="2"/>
        <v>0</v>
      </c>
      <c r="AG281">
        <f t="shared" si="10"/>
        <v>11</v>
      </c>
      <c r="AJ281">
        <v>36</v>
      </c>
      <c r="AK281">
        <f t="shared" si="7"/>
        <v>-25</v>
      </c>
      <c r="AL281">
        <v>18</v>
      </c>
      <c r="AM281">
        <f t="shared" si="8"/>
        <v>-7</v>
      </c>
    </row>
    <row r="282" spans="1:39">
      <c r="A282" s="107" t="s">
        <v>78</v>
      </c>
      <c r="B282" s="105"/>
      <c r="C282" s="45">
        <v>10</v>
      </c>
      <c r="D282" s="45"/>
      <c r="E282">
        <f>+IF(PuntosRanking[[#This Row],[Torneos]]=MAX(PuntosRanking[Torneos]),1,"")</f>
        <v>1</v>
      </c>
      <c r="F282" t="str">
        <f>+PuntosRanking[[#This Row],[Mote]]&amp;"_"&amp;PuntosRanking[[#This Row],[Máximo]]</f>
        <v>Campo_1</v>
      </c>
    </row>
    <row r="283" spans="1:39">
      <c r="A283" s="32" t="s">
        <v>230</v>
      </c>
      <c r="B283" s="105"/>
      <c r="C283" s="45">
        <v>10</v>
      </c>
      <c r="D283" s="45"/>
      <c r="E283">
        <f>+IF(PuntosRanking[[#This Row],[Torneos]]=MAX(PuntosRanking[Torneos]),1,"")</f>
        <v>1</v>
      </c>
      <c r="F283" t="str">
        <f>+PuntosRanking[[#This Row],[Mote]]&amp;"_"&amp;PuntosRanking[[#This Row],[Máximo]]</f>
        <v>A Zorrilla_1</v>
      </c>
    </row>
    <row r="284" spans="1:39">
      <c r="A284" s="47" t="s">
        <v>339</v>
      </c>
      <c r="B284" s="105"/>
      <c r="C284" s="45">
        <v>10</v>
      </c>
      <c r="D284" s="45"/>
      <c r="E284">
        <f>+IF(PuntosRanking[[#This Row],[Torneos]]=MAX(PuntosRanking[Torneos]),1,"")</f>
        <v>1</v>
      </c>
      <c r="F284" t="str">
        <f>+PuntosRanking[[#This Row],[Mote]]&amp;"_"&amp;PuntosRanking[[#This Row],[Máximo]]</f>
        <v>Emi_1</v>
      </c>
    </row>
    <row r="285" spans="1:39">
      <c r="A285" s="32" t="s">
        <v>299</v>
      </c>
      <c r="B285" s="105"/>
      <c r="C285" s="45">
        <v>10</v>
      </c>
      <c r="D285" s="45"/>
      <c r="E285">
        <f>+IF(PuntosRanking[[#This Row],[Torneos]]=MAX(PuntosRanking[Torneos]),1,"")</f>
        <v>1</v>
      </c>
      <c r="F285" t="str">
        <f>+PuntosRanking[[#This Row],[Mote]]&amp;"_"&amp;PuntosRanking[[#This Row],[Máximo]]</f>
        <v>I Gracia_1</v>
      </c>
    </row>
    <row r="286" spans="1:39">
      <c r="A286" s="47" t="s">
        <v>292</v>
      </c>
      <c r="B286" s="105"/>
      <c r="C286" s="45">
        <v>10</v>
      </c>
      <c r="D286" s="45"/>
      <c r="E286">
        <f>+IF(PuntosRanking[[#This Row],[Torneos]]=MAX(PuntosRanking[Torneos]),1,"")</f>
        <v>1</v>
      </c>
      <c r="F286" t="str">
        <f>+PuntosRanking[[#This Row],[Mote]]&amp;"_"&amp;PuntosRanking[[#This Row],[Máximo]]</f>
        <v>Jaime_1</v>
      </c>
    </row>
    <row r="287" spans="1:39">
      <c r="A287" s="32" t="s">
        <v>384</v>
      </c>
      <c r="B287" s="105"/>
      <c r="C287" s="45">
        <v>10</v>
      </c>
      <c r="D287" s="45"/>
      <c r="E287">
        <f>+IF(PuntosRanking[[#This Row],[Torneos]]=MAX(PuntosRanking[Torneos]),1,"")</f>
        <v>1</v>
      </c>
      <c r="F287" t="str">
        <f>+PuntosRanking[[#This Row],[Mote]]&amp;"_"&amp;PuntosRanking[[#This Row],[Máximo]]</f>
        <v>Juan Luis_1</v>
      </c>
    </row>
    <row r="288" spans="1:39">
      <c r="A288" s="107" t="s">
        <v>268</v>
      </c>
      <c r="B288" s="105"/>
      <c r="C288" s="45">
        <v>10</v>
      </c>
      <c r="D288" s="45"/>
      <c r="E288">
        <f>+IF(PuntosRanking[[#This Row],[Torneos]]=MAX(PuntosRanking[Torneos]),1,"")</f>
        <v>1</v>
      </c>
      <c r="F288" t="str">
        <f>+PuntosRanking[[#This Row],[Mote]]&amp;"_"&amp;PuntosRanking[[#This Row],[Máximo]]</f>
        <v>Santi_1</v>
      </c>
    </row>
    <row r="289" spans="1:6">
      <c r="A289" t="s">
        <v>2474</v>
      </c>
      <c r="B289" s="105"/>
      <c r="C289" s="45">
        <v>10</v>
      </c>
      <c r="D289" s="45"/>
      <c r="E289">
        <f>+IF(PuntosRanking[[#This Row],[Torneos]]=MAX(PuntosRanking[Torneos]),1,"")</f>
        <v>1</v>
      </c>
      <c r="F289" t="str">
        <f>+PuntosRanking[[#This Row],[Mote]]&amp;"_"&amp;PuntosRanking[[#This Row],[Máximo]]</f>
        <v>Tom_1</v>
      </c>
    </row>
    <row r="290" spans="1:6">
      <c r="A290" t="s">
        <v>2558</v>
      </c>
      <c r="B290" s="105"/>
      <c r="C290" s="45">
        <v>10</v>
      </c>
      <c r="D290" s="45"/>
      <c r="E290">
        <f>+IF(PuntosRanking[[#This Row],[Torneos]]=MAX(PuntosRanking[Torneos]),1,"")</f>
        <v>1</v>
      </c>
      <c r="F290" t="str">
        <f>+PuntosRanking[[#This Row],[Mote]]&amp;"_"&amp;PuntosRanking[[#This Row],[Máximo]]</f>
        <v>Otero_1</v>
      </c>
    </row>
  </sheetData>
  <conditionalFormatting sqref="O248:AF28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35A42-2AE6-47F7-88BC-18852C28ECD9}">
  <sheetPr>
    <tabColor theme="1" tint="4.9989318521683403E-2"/>
  </sheetPr>
  <dimension ref="A3:I44"/>
  <sheetViews>
    <sheetView topLeftCell="A4" zoomScale="85" zoomScaleNormal="85" workbookViewId="0">
      <selection activeCell="N24" sqref="N24"/>
    </sheetView>
  </sheetViews>
  <sheetFormatPr baseColWidth="10" defaultColWidth="10.75" defaultRowHeight="15.75" outlineLevelCol="1"/>
  <cols>
    <col min="1" max="1" width="12.125" bestFit="1" customWidth="1"/>
    <col min="2" max="2" width="27.5" bestFit="1" customWidth="1"/>
    <col min="3" max="8" width="0" hidden="1" customWidth="1" outlineLevel="1"/>
    <col min="9" max="9" width="5.625" style="78" bestFit="1" customWidth="1" collapsed="1"/>
  </cols>
  <sheetData>
    <row r="3" spans="1:9">
      <c r="I3" s="82"/>
    </row>
    <row r="4" spans="1:9">
      <c r="A4" s="17" t="s">
        <v>240</v>
      </c>
      <c r="B4" s="17" t="s">
        <v>0</v>
      </c>
      <c r="I4" s="82" t="s">
        <v>432</v>
      </c>
    </row>
    <row r="5" spans="1:9">
      <c r="A5" t="s">
        <v>3068</v>
      </c>
      <c r="B5" t="s">
        <v>259</v>
      </c>
      <c r="I5" s="82" t="s">
        <v>433</v>
      </c>
    </row>
    <row r="6" spans="1:9">
      <c r="B6" t="s">
        <v>9</v>
      </c>
      <c r="I6" s="82"/>
    </row>
    <row r="7" spans="1:9">
      <c r="B7" t="s">
        <v>229</v>
      </c>
      <c r="I7" s="82"/>
    </row>
    <row r="8" spans="1:9">
      <c r="B8" t="s">
        <v>15</v>
      </c>
      <c r="I8" s="78" t="s">
        <v>435</v>
      </c>
    </row>
    <row r="9" spans="1:9">
      <c r="B9" t="s">
        <v>201</v>
      </c>
    </row>
    <row r="10" spans="1:9">
      <c r="B10" t="s">
        <v>25</v>
      </c>
    </row>
    <row r="11" spans="1:9">
      <c r="B11" t="s">
        <v>33</v>
      </c>
    </row>
    <row r="12" spans="1:9">
      <c r="B12" t="s">
        <v>264</v>
      </c>
      <c r="I12" s="82">
        <v>18</v>
      </c>
    </row>
    <row r="13" spans="1:9">
      <c r="B13" t="s">
        <v>290</v>
      </c>
      <c r="I13" s="82"/>
    </row>
    <row r="14" spans="1:9">
      <c r="B14" t="s">
        <v>291</v>
      </c>
      <c r="I14" s="82"/>
    </row>
    <row r="15" spans="1:9">
      <c r="B15" t="s">
        <v>30</v>
      </c>
      <c r="I15" s="82"/>
    </row>
    <row r="16" spans="1:9">
      <c r="B16" t="s">
        <v>248</v>
      </c>
      <c r="I16" s="78" t="s">
        <v>434</v>
      </c>
    </row>
    <row r="17" spans="2:9">
      <c r="B17" t="s">
        <v>12</v>
      </c>
    </row>
    <row r="18" spans="2:9">
      <c r="B18" t="s">
        <v>49</v>
      </c>
    </row>
    <row r="19" spans="2:9">
      <c r="B19" t="s">
        <v>207</v>
      </c>
    </row>
    <row r="20" spans="2:9">
      <c r="B20" t="s">
        <v>35</v>
      </c>
      <c r="I20" s="82" t="s">
        <v>436</v>
      </c>
    </row>
    <row r="21" spans="2:9">
      <c r="B21" t="s">
        <v>6</v>
      </c>
      <c r="I21" s="82"/>
    </row>
    <row r="22" spans="2:9">
      <c r="B22" t="s">
        <v>298</v>
      </c>
      <c r="I22" s="82"/>
    </row>
    <row r="23" spans="2:9">
      <c r="B23" t="s">
        <v>23</v>
      </c>
      <c r="I23" s="82"/>
    </row>
    <row r="24" spans="2:9">
      <c r="B24" t="s">
        <v>289</v>
      </c>
      <c r="I24" s="78">
        <v>16</v>
      </c>
    </row>
    <row r="25" spans="2:9">
      <c r="B25" t="s">
        <v>46</v>
      </c>
    </row>
    <row r="26" spans="2:9">
      <c r="B26" t="s">
        <v>225</v>
      </c>
    </row>
    <row r="27" spans="2:9">
      <c r="B27" t="s">
        <v>20</v>
      </c>
    </row>
    <row r="28" spans="2:9">
      <c r="B28" t="s">
        <v>217</v>
      </c>
      <c r="I28" s="82">
        <v>15</v>
      </c>
    </row>
    <row r="29" spans="2:9">
      <c r="B29" t="s">
        <v>41</v>
      </c>
      <c r="I29" s="82"/>
    </row>
    <row r="30" spans="2:9">
      <c r="B30" t="s">
        <v>297</v>
      </c>
      <c r="I30" s="82"/>
    </row>
    <row r="31" spans="2:9">
      <c r="B31" t="s">
        <v>18</v>
      </c>
      <c r="I31" s="82"/>
    </row>
    <row r="32" spans="2:9">
      <c r="B32" t="s">
        <v>293</v>
      </c>
    </row>
    <row r="33" spans="2:2">
      <c r="B33" t="s">
        <v>135</v>
      </c>
    </row>
    <row r="34" spans="2:2">
      <c r="B34" t="s">
        <v>205</v>
      </c>
    </row>
    <row r="35" spans="2:2">
      <c r="B35" t="s">
        <v>3</v>
      </c>
    </row>
    <row r="36" spans="2:2">
      <c r="B36" t="s">
        <v>203</v>
      </c>
    </row>
    <row r="37" spans="2:2">
      <c r="B37" t="s">
        <v>271</v>
      </c>
    </row>
    <row r="38" spans="2:2">
      <c r="B38" t="s">
        <v>326</v>
      </c>
    </row>
    <row r="39" spans="2:2">
      <c r="B39" t="s">
        <v>328</v>
      </c>
    </row>
    <row r="40" spans="2:2">
      <c r="B40" t="s">
        <v>341</v>
      </c>
    </row>
    <row r="41" spans="2:2">
      <c r="B41" t="s">
        <v>375</v>
      </c>
    </row>
    <row r="42" spans="2:2">
      <c r="B42" t="s">
        <v>378</v>
      </c>
    </row>
    <row r="43" spans="2:2">
      <c r="B43" t="s">
        <v>383</v>
      </c>
    </row>
    <row r="44" spans="2:2">
      <c r="B44" t="s">
        <v>388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1551B-C4FA-4A8B-AB47-FCA3EEC424C8}">
  <sheetPr>
    <tabColor theme="1" tint="4.9989318521683403E-2"/>
  </sheetPr>
  <dimension ref="A1:AZ6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12" sqref="A12"/>
    </sheetView>
  </sheetViews>
  <sheetFormatPr baseColWidth="10" defaultColWidth="10.75" defaultRowHeight="15.75" outlineLevelCol="1"/>
  <cols>
    <col min="1" max="1" width="20.5" bestFit="1" customWidth="1"/>
    <col min="3" max="4" width="3.75" customWidth="1"/>
    <col min="5" max="5" width="5.625" bestFit="1" customWidth="1"/>
    <col min="6" max="10" width="3.75" bestFit="1" customWidth="1"/>
    <col min="11" max="11" width="4.25" customWidth="1"/>
    <col min="12" max="13" width="5.25" bestFit="1" customWidth="1"/>
    <col min="15" max="15" width="10.75" hidden="1" customWidth="1" outlineLevel="1"/>
    <col min="16" max="16" width="27.5" hidden="1" customWidth="1" outlineLevel="1"/>
    <col min="17" max="24" width="10.75" hidden="1" customWidth="1" outlineLevel="1"/>
    <col min="25" max="25" width="1.125" customWidth="1" collapsed="1"/>
    <col min="26" max="26" width="1.125" customWidth="1"/>
    <col min="27" max="28" width="2.25" customWidth="1"/>
    <col min="29" max="29" width="2.75" bestFit="1" customWidth="1"/>
    <col min="30" max="30" width="26.5" bestFit="1" customWidth="1"/>
    <col min="31" max="31" width="3" customWidth="1"/>
    <col min="32" max="32" width="9.875" bestFit="1" customWidth="1"/>
    <col min="33" max="34" width="3.25" bestFit="1" customWidth="1"/>
    <col min="35" max="35" width="3.75" bestFit="1" customWidth="1"/>
    <col min="36" max="37" width="3.25" bestFit="1" customWidth="1"/>
    <col min="38" max="38" width="3.75" bestFit="1" customWidth="1"/>
    <col min="39" max="39" width="5.25" bestFit="1" customWidth="1"/>
    <col min="40" max="40" width="3.75" bestFit="1" customWidth="1"/>
    <col min="41" max="41" width="5.625" bestFit="1" customWidth="1"/>
    <col min="42" max="42" width="5.25" bestFit="1" customWidth="1"/>
    <col min="43" max="43" width="5.625" bestFit="1" customWidth="1"/>
    <col min="44" max="45" width="1.75" customWidth="1"/>
  </cols>
  <sheetData>
    <row r="1" spans="1:52">
      <c r="A1" s="30" t="s">
        <v>0</v>
      </c>
      <c r="B1" s="30" t="s">
        <v>358</v>
      </c>
      <c r="C1" s="30" t="s">
        <v>89</v>
      </c>
      <c r="D1" s="30" t="s">
        <v>90</v>
      </c>
      <c r="E1" s="30" t="s">
        <v>91</v>
      </c>
      <c r="F1" s="30" t="s">
        <v>92</v>
      </c>
      <c r="G1" s="30" t="s">
        <v>234</v>
      </c>
      <c r="H1" s="30" t="s">
        <v>235</v>
      </c>
      <c r="I1" s="30" t="s">
        <v>236</v>
      </c>
      <c r="J1" s="30" t="s">
        <v>237</v>
      </c>
      <c r="K1" s="30" t="s">
        <v>238</v>
      </c>
      <c r="L1" s="30" t="s">
        <v>239</v>
      </c>
      <c r="M1" s="30" t="s">
        <v>240</v>
      </c>
      <c r="P1" s="17" t="s">
        <v>69</v>
      </c>
      <c r="Q1" s="77">
        <v>45010</v>
      </c>
      <c r="S1">
        <v>3</v>
      </c>
      <c r="T1">
        <v>4</v>
      </c>
      <c r="U1">
        <v>5</v>
      </c>
      <c r="AC1" t="s">
        <v>197</v>
      </c>
      <c r="AF1" s="35" t="s">
        <v>181</v>
      </c>
      <c r="AG1" s="35">
        <v>1</v>
      </c>
      <c r="AH1" s="35">
        <f>+AG1+1</f>
        <v>2</v>
      </c>
      <c r="AI1" s="35">
        <f>+AH1+1</f>
        <v>3</v>
      </c>
      <c r="AJ1" s="35">
        <f>+AI1+1</f>
        <v>4</v>
      </c>
      <c r="AK1" s="35">
        <f>+AJ1+1</f>
        <v>5</v>
      </c>
      <c r="AL1" s="35">
        <f>+AK1+1</f>
        <v>6</v>
      </c>
      <c r="AM1" s="35">
        <v>7</v>
      </c>
      <c r="AN1" s="35">
        <v>8</v>
      </c>
      <c r="AO1" s="35">
        <v>9</v>
      </c>
      <c r="AP1" s="35">
        <v>10</v>
      </c>
      <c r="AQ1" s="35" t="s">
        <v>164</v>
      </c>
      <c r="AR1" s="36"/>
    </row>
    <row r="2" spans="1:52">
      <c r="A2" s="13" t="s">
        <v>259</v>
      </c>
      <c r="B2" s="13" t="e">
        <f>+VLOOKUP(A2,dJugador[[#All],[Nombre]:[Nombre y Apellidos]],8,FALSE)</f>
        <v>#REF!</v>
      </c>
      <c r="O2" t="str">
        <f>+VLOOKUP(A2,$P$5:$P$40,1,FALSE)</f>
        <v>Alejandro Arcos</v>
      </c>
      <c r="AA2" t="str">
        <f>+IF(ISERROR(VLOOKUP(Asistente_Torneo[[#This Row],[Nombre]],$AD$1:$AD$41,1,FALSE)),"KO","ok")</f>
        <v>ok</v>
      </c>
      <c r="AC2">
        <f>+VLOOKUP(AD2,Asistente_Torneo[[Nombre]:[11]],13,FALSE)</f>
        <v>0</v>
      </c>
      <c r="AD2" s="32" t="str">
        <f>+VLOOKUP(AF2,$AT$2:$AU$34,2,FALSE)</f>
        <v>Nacho Casas</v>
      </c>
      <c r="AE2" s="81">
        <v>7</v>
      </c>
      <c r="AF2" s="37" t="s">
        <v>396</v>
      </c>
      <c r="AG2" s="38">
        <v>135</v>
      </c>
      <c r="AH2" s="38"/>
      <c r="AI2" s="38">
        <v>210</v>
      </c>
      <c r="AJ2" s="38">
        <v>100</v>
      </c>
      <c r="AK2" s="38">
        <v>330</v>
      </c>
      <c r="AL2" s="38">
        <v>500</v>
      </c>
      <c r="AM2" s="38"/>
      <c r="AN2" s="38"/>
      <c r="AO2" s="38">
        <v>190</v>
      </c>
      <c r="AP2" s="38">
        <v>330</v>
      </c>
      <c r="AQ2" s="38">
        <v>1795</v>
      </c>
      <c r="AR2" s="39"/>
      <c r="AT2" s="37" t="s">
        <v>295</v>
      </c>
      <c r="AU2" s="49" t="s">
        <v>229</v>
      </c>
      <c r="AX2" t="s">
        <v>259</v>
      </c>
      <c r="AY2">
        <v>1</v>
      </c>
      <c r="AZ2">
        <f>+VLOOKUP(AX2,$AD$2:$AE$41,2,FALSE)</f>
        <v>7</v>
      </c>
    </row>
    <row r="3" spans="1:52">
      <c r="A3" s="13" t="s">
        <v>9</v>
      </c>
      <c r="B3" s="13" t="e">
        <f>+VLOOKUP(A3,dJugador[[#All],[Nombre]:[Nombre y Apellidos]],8,FALSE)</f>
        <v>#REF!</v>
      </c>
      <c r="O3" t="str">
        <f t="shared" ref="O3:O40" si="0">+VLOOKUP(A3,$P$5:$P$40,1,FALSE)</f>
        <v>Alfonso Hidalgo</v>
      </c>
      <c r="P3" s="17" t="s">
        <v>369</v>
      </c>
      <c r="AA3" t="str">
        <f>+IF(ISERROR(VLOOKUP(Asistente_Torneo[[#This Row],[Nombre]],$AD$1:$AD$41,1,FALSE)),"KO","ok")</f>
        <v>ok</v>
      </c>
      <c r="AC3">
        <f>+VLOOKUP(AD3,Asistente_Torneo[[Nombre]:[11]],13,FALSE)</f>
        <v>0</v>
      </c>
      <c r="AD3" s="32" t="str">
        <f t="shared" ref="AD3:AD33" si="1">+VLOOKUP(AF3,$AT$2:$AU$34,2,FALSE)</f>
        <v>Eduardo Buendía</v>
      </c>
      <c r="AE3" s="81">
        <v>7</v>
      </c>
      <c r="AF3" s="37" t="s">
        <v>392</v>
      </c>
      <c r="AG3" s="38">
        <v>190</v>
      </c>
      <c r="AH3" s="38">
        <v>500</v>
      </c>
      <c r="AI3" s="38"/>
      <c r="AJ3" s="38">
        <v>190</v>
      </c>
      <c r="AK3" s="38">
        <v>68</v>
      </c>
      <c r="AL3" s="38"/>
      <c r="AM3" s="38">
        <v>61</v>
      </c>
      <c r="AN3" s="38">
        <v>500</v>
      </c>
      <c r="AO3" s="38"/>
      <c r="AP3" s="38">
        <v>72</v>
      </c>
      <c r="AQ3" s="38">
        <v>1581</v>
      </c>
      <c r="AR3" s="39"/>
      <c r="AT3" t="s">
        <v>409</v>
      </c>
      <c r="AU3" s="48" t="s">
        <v>9</v>
      </c>
      <c r="AX3" t="s">
        <v>135</v>
      </c>
      <c r="AY3">
        <v>1</v>
      </c>
      <c r="AZ3">
        <f t="shared" ref="AZ3:AZ32" si="2">+VLOOKUP(AX3,$AD$2:$AE$41,2,FALSE)</f>
        <v>7</v>
      </c>
    </row>
    <row r="4" spans="1:52">
      <c r="A4" s="13" t="s">
        <v>15</v>
      </c>
      <c r="B4" s="13" t="e">
        <f>+VLOOKUP(A4,dJugador[[#All],[Nombre]:[Nombre y Apellidos]],8,FALSE)</f>
        <v>#REF!</v>
      </c>
      <c r="O4" t="str">
        <f t="shared" si="0"/>
        <v>Alvaro Aguirre</v>
      </c>
      <c r="P4" s="17" t="s">
        <v>0</v>
      </c>
      <c r="Q4" t="s">
        <v>164</v>
      </c>
      <c r="R4" t="s">
        <v>370</v>
      </c>
      <c r="S4" s="78">
        <v>1</v>
      </c>
      <c r="T4" s="78">
        <v>2</v>
      </c>
      <c r="U4" s="78">
        <v>3</v>
      </c>
      <c r="V4" s="78">
        <v>1</v>
      </c>
      <c r="W4" s="78">
        <v>2</v>
      </c>
      <c r="X4" s="78">
        <v>3</v>
      </c>
      <c r="AA4" t="str">
        <f>+IF(ISERROR(VLOOKUP(Asistente_Torneo[[#This Row],[Nombre]],$AD$1:$AD$41,1,FALSE)),"KO","ok")</f>
        <v>ok</v>
      </c>
      <c r="AC4">
        <f>+VLOOKUP(AD4,Asistente_Torneo[[Nombre]:[11]],13,FALSE)</f>
        <v>0</v>
      </c>
      <c r="AD4" s="32" t="str">
        <f t="shared" si="1"/>
        <v>Alejandro Arcos</v>
      </c>
      <c r="AE4" s="81">
        <v>7</v>
      </c>
      <c r="AF4" s="37" t="s">
        <v>398</v>
      </c>
      <c r="AG4" s="38">
        <v>51</v>
      </c>
      <c r="AH4" s="38">
        <v>190</v>
      </c>
      <c r="AI4" s="38">
        <v>50</v>
      </c>
      <c r="AJ4" s="38">
        <v>500</v>
      </c>
      <c r="AK4" s="38">
        <v>600</v>
      </c>
      <c r="AL4" s="38"/>
      <c r="AM4" s="38">
        <v>77</v>
      </c>
      <c r="AN4" s="38"/>
      <c r="AO4" s="38"/>
      <c r="AP4" s="38"/>
      <c r="AQ4" s="38">
        <v>1468</v>
      </c>
      <c r="AR4" s="39"/>
      <c r="AT4" t="s">
        <v>397</v>
      </c>
      <c r="AU4" s="47" t="s">
        <v>25</v>
      </c>
      <c r="AX4" t="s">
        <v>326</v>
      </c>
      <c r="AY4">
        <v>1</v>
      </c>
      <c r="AZ4">
        <f t="shared" si="2"/>
        <v>7</v>
      </c>
    </row>
    <row r="5" spans="1:52">
      <c r="A5" s="13" t="s">
        <v>201</v>
      </c>
      <c r="B5" s="13" t="e">
        <f>+VLOOKUP(A5,dJugador[[#All],[Nombre]:[Nombre y Apellidos]],8,FALSE)</f>
        <v>#REF!</v>
      </c>
      <c r="O5" t="str">
        <f t="shared" si="0"/>
        <v>Alvaro Montoya</v>
      </c>
      <c r="P5" t="s">
        <v>291</v>
      </c>
      <c r="Q5">
        <v>1.7</v>
      </c>
      <c r="R5">
        <f>+_xlfn.RANK.EQ(Q5,$Q$5:$Q$43,1)</f>
        <v>1</v>
      </c>
      <c r="S5">
        <f>IFERROR(+VLOOKUP($P5,Asistente_Torneo[[Nombre]:[3]],S$1,FALSE),"")</f>
        <v>0</v>
      </c>
      <c r="T5">
        <f>IFERROR(+VLOOKUP($P5,Asistente_Torneo[[Nombre]:[3]],T$1,FALSE),"")</f>
        <v>0</v>
      </c>
      <c r="U5">
        <f>IFERROR(+VLOOKUP($P5,Asistente_Torneo[[Nombre]:[3]],U$1,FALSE),"")</f>
        <v>0</v>
      </c>
      <c r="W5">
        <v>1</v>
      </c>
      <c r="X5">
        <v>1</v>
      </c>
      <c r="AA5" t="str">
        <f>+IF(ISERROR(VLOOKUP(Asistente_Torneo[[#This Row],[Nombre]],$AD$1:$AD$41,1,FALSE)),"KO","ok")</f>
        <v>ok</v>
      </c>
      <c r="AC5">
        <f>+VLOOKUP(AD5,Asistente_Torneo[[Nombre]:[11]],13,FALSE)</f>
        <v>0</v>
      </c>
      <c r="AD5" s="32" t="str">
        <f t="shared" si="1"/>
        <v>Miche Lopez</v>
      </c>
      <c r="AE5" s="81">
        <v>7</v>
      </c>
      <c r="AF5" s="37" t="s">
        <v>393</v>
      </c>
      <c r="AG5" s="38">
        <v>85</v>
      </c>
      <c r="AH5" s="38">
        <v>65</v>
      </c>
      <c r="AI5" s="38">
        <v>600</v>
      </c>
      <c r="AJ5" s="38">
        <v>300</v>
      </c>
      <c r="AK5" s="38">
        <v>88</v>
      </c>
      <c r="AL5" s="38"/>
      <c r="AM5" s="38"/>
      <c r="AN5" s="38"/>
      <c r="AO5" s="38">
        <v>90</v>
      </c>
      <c r="AP5" s="38">
        <v>210</v>
      </c>
      <c r="AQ5" s="38">
        <v>1438</v>
      </c>
      <c r="AR5" s="39"/>
      <c r="AT5" t="s">
        <v>404</v>
      </c>
      <c r="AU5" s="49" t="s">
        <v>33</v>
      </c>
      <c r="AX5" t="s">
        <v>205</v>
      </c>
      <c r="AY5">
        <v>1</v>
      </c>
      <c r="AZ5">
        <f t="shared" si="2"/>
        <v>7</v>
      </c>
    </row>
    <row r="6" spans="1:52">
      <c r="A6" s="13" t="s">
        <v>33</v>
      </c>
      <c r="B6" s="13" t="e">
        <f>+VLOOKUP(A6,dJugador[[#All],[Nombre]:[Nombre y Apellidos]],8,FALSE)</f>
        <v>#REF!</v>
      </c>
      <c r="O6" t="str">
        <f t="shared" si="0"/>
        <v>Angel Hernandez</v>
      </c>
      <c r="P6" t="s">
        <v>259</v>
      </c>
      <c r="Q6">
        <v>3.5</v>
      </c>
      <c r="R6">
        <f t="shared" ref="R6:R43" si="3">+_xlfn.RANK.EQ(Q6,$Q$5:$Q$43,1)</f>
        <v>2</v>
      </c>
      <c r="S6">
        <f>IFERROR(+VLOOKUP($P6,Asistente_Torneo[[Nombre]:[3]],S$1,FALSE),"")</f>
        <v>0</v>
      </c>
      <c r="T6">
        <f>IFERROR(+VLOOKUP($P6,Asistente_Torneo[[Nombre]:[3]],T$1,FALSE),"")</f>
        <v>0</v>
      </c>
      <c r="U6">
        <f>IFERROR(+VLOOKUP($P6,Asistente_Torneo[[Nombre]:[3]],U$1,FALSE),"")</f>
        <v>0</v>
      </c>
      <c r="V6">
        <v>6</v>
      </c>
      <c r="W6">
        <v>1</v>
      </c>
      <c r="X6">
        <v>1</v>
      </c>
      <c r="AA6" t="str">
        <f>+IF(ISERROR(VLOOKUP(Asistente_Torneo[[#This Row],[Nombre]],$AD$1:$AD$41,1,FALSE)),"KO","ok")</f>
        <v>ok</v>
      </c>
      <c r="AC6">
        <f>+VLOOKUP(AD6,Asistente_Torneo[[Nombre]:[11]],13,FALSE)</f>
        <v>0</v>
      </c>
      <c r="AD6" s="32" t="str">
        <f>+VLOOKUP(AF6,$AT$2:$AU$34,2,FALSE)</f>
        <v>Carlos Maestro</v>
      </c>
      <c r="AE6" s="81">
        <v>6</v>
      </c>
      <c r="AF6" s="37" t="s">
        <v>431</v>
      </c>
      <c r="AG6" s="38">
        <v>80</v>
      </c>
      <c r="AH6" s="38">
        <v>80</v>
      </c>
      <c r="AI6" s="38">
        <v>110</v>
      </c>
      <c r="AJ6" s="38"/>
      <c r="AK6" s="38"/>
      <c r="AL6" s="38"/>
      <c r="AM6" s="38">
        <v>600</v>
      </c>
      <c r="AN6" s="38">
        <v>135</v>
      </c>
      <c r="AO6" s="38"/>
      <c r="AP6" s="38">
        <v>94</v>
      </c>
      <c r="AQ6" s="38">
        <v>1099</v>
      </c>
      <c r="AR6" s="39"/>
      <c r="AT6" t="s">
        <v>406</v>
      </c>
      <c r="AU6" s="32" t="s">
        <v>225</v>
      </c>
      <c r="AX6" t="s">
        <v>201</v>
      </c>
      <c r="AY6">
        <v>1</v>
      </c>
      <c r="AZ6">
        <f t="shared" si="2"/>
        <v>6</v>
      </c>
    </row>
    <row r="7" spans="1:52">
      <c r="A7" s="13" t="s">
        <v>264</v>
      </c>
      <c r="B7" s="13" t="e">
        <f>+VLOOKUP(A7,dJugador[[#All],[Nombre]:[Nombre y Apellidos]],8,FALSE)</f>
        <v>#REF!</v>
      </c>
      <c r="O7" t="str">
        <f t="shared" si="0"/>
        <v>Antonio Carmona</v>
      </c>
      <c r="P7" t="s">
        <v>15</v>
      </c>
      <c r="Q7">
        <v>6.1</v>
      </c>
      <c r="R7">
        <f t="shared" si="3"/>
        <v>3</v>
      </c>
      <c r="S7">
        <f>IFERROR(+VLOOKUP($P7,Asistente_Torneo[[Nombre]:[3]],S$1,FALSE),"")</f>
        <v>0</v>
      </c>
      <c r="T7">
        <f>IFERROR(+VLOOKUP($P7,Asistente_Torneo[[Nombre]:[3]],T$1,FALSE),"")</f>
        <v>0</v>
      </c>
      <c r="U7">
        <f>IFERROR(+VLOOKUP($P7,Asistente_Torneo[[Nombre]:[3]],U$1,FALSE),"")</f>
        <v>0</v>
      </c>
      <c r="V7">
        <v>6</v>
      </c>
      <c r="W7">
        <v>1</v>
      </c>
      <c r="X7">
        <v>1</v>
      </c>
      <c r="AA7" t="str">
        <f>+IF(ISERROR(VLOOKUP(Asistente_Torneo[[#This Row],[Nombre]],$AD$1:$AD$41,1,FALSE)),"KO","ok")</f>
        <v>ok</v>
      </c>
      <c r="AC7">
        <f>+VLOOKUP(AD7,Asistente_Torneo[[Nombre]:[11]],13,FALSE)</f>
        <v>0</v>
      </c>
      <c r="AD7" s="32" t="str">
        <f t="shared" si="1"/>
        <v>Jorge Alberto Martínez Sánchez</v>
      </c>
      <c r="AE7" s="81">
        <v>6</v>
      </c>
      <c r="AF7" s="37" t="s">
        <v>405</v>
      </c>
      <c r="AG7" s="38"/>
      <c r="AH7" s="38">
        <v>60</v>
      </c>
      <c r="AI7" s="38">
        <v>77</v>
      </c>
      <c r="AJ7" s="38">
        <v>80</v>
      </c>
      <c r="AK7" s="38"/>
      <c r="AL7" s="38">
        <v>135</v>
      </c>
      <c r="AM7" s="38">
        <v>210</v>
      </c>
      <c r="AN7" s="38"/>
      <c r="AO7" s="38">
        <v>300</v>
      </c>
      <c r="AP7" s="38">
        <v>100</v>
      </c>
      <c r="AQ7" s="38">
        <v>962</v>
      </c>
      <c r="AR7" s="39"/>
      <c r="AT7" t="s">
        <v>415</v>
      </c>
      <c r="AU7" s="32" t="s">
        <v>217</v>
      </c>
      <c r="AX7" t="s">
        <v>41</v>
      </c>
      <c r="AY7">
        <v>1</v>
      </c>
      <c r="AZ7">
        <f t="shared" si="2"/>
        <v>5</v>
      </c>
    </row>
    <row r="8" spans="1:52">
      <c r="A8" s="13" t="s">
        <v>291</v>
      </c>
      <c r="B8" s="13" t="e">
        <f>+VLOOKUP(A8,dJugador[[#All],[Nombre]:[Nombre y Apellidos]],8,FALSE)</f>
        <v>#REF!</v>
      </c>
      <c r="O8" t="str">
        <f t="shared" si="0"/>
        <v>Carlos Maestro</v>
      </c>
      <c r="P8" t="s">
        <v>3</v>
      </c>
      <c r="Q8">
        <v>6.7</v>
      </c>
      <c r="R8">
        <f t="shared" si="3"/>
        <v>4</v>
      </c>
      <c r="S8">
        <f>IFERROR(+VLOOKUP($P8,Asistente_Torneo[[Nombre]:[3]],S$1,FALSE),"")</f>
        <v>0</v>
      </c>
      <c r="T8">
        <f>IFERROR(+VLOOKUP($P8,Asistente_Torneo[[Nombre]:[3]],T$1,FALSE),"")</f>
        <v>0</v>
      </c>
      <c r="U8">
        <f>IFERROR(+VLOOKUP($P8,Asistente_Torneo[[Nombre]:[3]],U$1,FALSE),"")</f>
        <v>0</v>
      </c>
      <c r="V8">
        <v>6</v>
      </c>
      <c r="W8">
        <v>2</v>
      </c>
      <c r="X8">
        <v>2</v>
      </c>
      <c r="AA8" t="str">
        <f>+IF(ISERROR(VLOOKUP(Asistente_Torneo[[#This Row],[Nombre]],$AD$1:$AD$41,1,FALSE)),"KO","ok")</f>
        <v>ok</v>
      </c>
      <c r="AC8">
        <f>+VLOOKUP(AD8,Asistente_Torneo[[Nombre]:[11]],13,FALSE)</f>
        <v>0</v>
      </c>
      <c r="AD8" s="32" t="str">
        <f t="shared" si="1"/>
        <v>Alvaro Montoya</v>
      </c>
      <c r="AE8" s="81">
        <v>6</v>
      </c>
      <c r="AF8" s="37" t="s">
        <v>325</v>
      </c>
      <c r="AG8" s="38">
        <v>500</v>
      </c>
      <c r="AH8" s="38">
        <v>75</v>
      </c>
      <c r="AI8" s="38">
        <v>72</v>
      </c>
      <c r="AJ8" s="38"/>
      <c r="AK8" s="38"/>
      <c r="AL8" s="38">
        <v>65</v>
      </c>
      <c r="AM8" s="38">
        <v>100</v>
      </c>
      <c r="AN8" s="38"/>
      <c r="AO8" s="38">
        <v>135</v>
      </c>
      <c r="AP8" s="38"/>
      <c r="AQ8" s="38">
        <v>947</v>
      </c>
      <c r="AR8" s="39"/>
      <c r="AT8" t="s">
        <v>413</v>
      </c>
      <c r="AU8" s="48" t="s">
        <v>30</v>
      </c>
      <c r="AX8" t="s">
        <v>248</v>
      </c>
      <c r="AY8">
        <v>1</v>
      </c>
      <c r="AZ8">
        <f t="shared" si="2"/>
        <v>5</v>
      </c>
    </row>
    <row r="9" spans="1:52">
      <c r="A9" s="13" t="s">
        <v>30</v>
      </c>
      <c r="B9" s="13" t="e">
        <f>+VLOOKUP(A9,dJugador[[#All],[Nombre]:[Nombre y Apellidos]],8,FALSE)</f>
        <v>#REF!</v>
      </c>
      <c r="O9" t="str">
        <f t="shared" si="0"/>
        <v>David Sequera</v>
      </c>
      <c r="P9" t="s">
        <v>205</v>
      </c>
      <c r="Q9">
        <v>7.1</v>
      </c>
      <c r="R9">
        <f t="shared" si="3"/>
        <v>5</v>
      </c>
      <c r="S9">
        <f>IFERROR(+VLOOKUP($P9,Asistente_Torneo[[Nombre]:[3]],S$1,FALSE),"")</f>
        <v>0</v>
      </c>
      <c r="T9">
        <f>IFERROR(+VLOOKUP($P9,Asistente_Torneo[[Nombre]:[3]],T$1,FALSE),"")</f>
        <v>0</v>
      </c>
      <c r="U9">
        <f>IFERROR(+VLOOKUP($P9,Asistente_Torneo[[Nombre]:[3]],U$1,FALSE),"")</f>
        <v>0</v>
      </c>
      <c r="V9">
        <v>6</v>
      </c>
      <c r="W9">
        <v>2</v>
      </c>
      <c r="X9">
        <v>2</v>
      </c>
      <c r="AA9" t="str">
        <f>+IF(ISERROR(VLOOKUP(Asistente_Torneo[[#This Row],[Nombre]],$AD$1:$AD$41,1,FALSE)),"KO","ok")</f>
        <v>ok</v>
      </c>
      <c r="AC9">
        <f>+VLOOKUP(AD9,Asistente_Torneo[[Nombre]:[11]],13,FALSE)</f>
        <v>0</v>
      </c>
      <c r="AD9" s="32" t="str">
        <f t="shared" si="1"/>
        <v>Antonio Carmona</v>
      </c>
      <c r="AE9" s="81">
        <v>6</v>
      </c>
      <c r="AF9" s="37" t="s">
        <v>418</v>
      </c>
      <c r="AG9" s="38"/>
      <c r="AH9" s="38">
        <v>41</v>
      </c>
      <c r="AI9" s="38"/>
      <c r="AJ9" s="38">
        <v>55</v>
      </c>
      <c r="AK9" s="38"/>
      <c r="AL9" s="38">
        <v>90</v>
      </c>
      <c r="AM9" s="38">
        <v>57</v>
      </c>
      <c r="AN9" s="38"/>
      <c r="AO9" s="38">
        <v>85</v>
      </c>
      <c r="AP9" s="38">
        <v>600</v>
      </c>
      <c r="AQ9" s="38">
        <v>928</v>
      </c>
      <c r="AR9" s="39"/>
      <c r="AT9" t="s">
        <v>394</v>
      </c>
      <c r="AU9" s="49" t="s">
        <v>248</v>
      </c>
      <c r="AX9" t="s">
        <v>25</v>
      </c>
      <c r="AZ9">
        <f t="shared" si="2"/>
        <v>3</v>
      </c>
    </row>
    <row r="10" spans="1:52">
      <c r="A10" s="13" t="s">
        <v>326</v>
      </c>
      <c r="B10" s="13" t="e">
        <f>+VLOOKUP(A10,dJugador[[#All],[Nombre]:[Nombre y Apellidos]],8,FALSE)</f>
        <v>#REF!</v>
      </c>
      <c r="O10" t="str">
        <f t="shared" si="0"/>
        <v>Eduardo Buendía</v>
      </c>
      <c r="P10" t="s">
        <v>18</v>
      </c>
      <c r="Q10">
        <v>7.4</v>
      </c>
      <c r="R10">
        <f t="shared" si="3"/>
        <v>6</v>
      </c>
      <c r="S10">
        <f>IFERROR(+VLOOKUP($P10,Asistente_Torneo[[Nombre]:[3]],S$1,FALSE),"")</f>
        <v>0</v>
      </c>
      <c r="T10">
        <f>IFERROR(+VLOOKUP($P10,Asistente_Torneo[[Nombre]:[3]],T$1,FALSE),"")</f>
        <v>0</v>
      </c>
      <c r="U10">
        <f>IFERROR(+VLOOKUP($P10,Asistente_Torneo[[Nombre]:[3]],U$1,FALSE),"")</f>
        <v>0</v>
      </c>
      <c r="V10">
        <v>5</v>
      </c>
      <c r="W10">
        <v>2</v>
      </c>
      <c r="X10">
        <v>2</v>
      </c>
      <c r="AA10" t="str">
        <f>+IF(ISERROR(VLOOKUP(Asistente_Torneo[[#This Row],[Nombre]],$AD$1:$AD$41,1,FALSE)),"KO","ok")</f>
        <v>ok</v>
      </c>
      <c r="AC10">
        <f>+VLOOKUP(AD10,Asistente_Torneo[[Nombre]:[11]],13,FALSE)</f>
        <v>0</v>
      </c>
      <c r="AD10" s="32" t="str">
        <f t="shared" si="1"/>
        <v>Jesus Touceda</v>
      </c>
      <c r="AE10" s="81">
        <v>5</v>
      </c>
      <c r="AF10" s="37" t="s">
        <v>395</v>
      </c>
      <c r="AG10" s="38">
        <v>300</v>
      </c>
      <c r="AH10" s="38">
        <v>85</v>
      </c>
      <c r="AI10" s="38">
        <v>94</v>
      </c>
      <c r="AJ10" s="38"/>
      <c r="AK10" s="38">
        <v>57</v>
      </c>
      <c r="AL10" s="38"/>
      <c r="AM10" s="38">
        <v>150</v>
      </c>
      <c r="AN10" s="38">
        <v>55</v>
      </c>
      <c r="AO10" s="38">
        <v>49</v>
      </c>
      <c r="AP10" s="38"/>
      <c r="AQ10" s="38">
        <v>790</v>
      </c>
      <c r="AR10" s="39"/>
      <c r="AT10" t="s">
        <v>185</v>
      </c>
      <c r="AU10" s="49" t="s">
        <v>49</v>
      </c>
      <c r="AX10" t="s">
        <v>225</v>
      </c>
      <c r="AY10">
        <v>1</v>
      </c>
      <c r="AZ10">
        <f t="shared" si="2"/>
        <v>0</v>
      </c>
    </row>
    <row r="11" spans="1:52">
      <c r="A11" s="13" t="s">
        <v>248</v>
      </c>
      <c r="B11" s="13" t="e">
        <f>+VLOOKUP(A11,dJugador[[#All],[Nombre]:[Nombre y Apellidos]],8,FALSE)</f>
        <v>#REF!</v>
      </c>
      <c r="O11" t="str">
        <f t="shared" si="0"/>
        <v>Enrique Gonzalez R</v>
      </c>
      <c r="P11" t="s">
        <v>33</v>
      </c>
      <c r="Q11">
        <v>7.9</v>
      </c>
      <c r="R11">
        <f t="shared" si="3"/>
        <v>7</v>
      </c>
      <c r="S11">
        <f>IFERROR(+VLOOKUP($P11,Asistente_Torneo[[Nombre]:[3]],S$1,FALSE),"")</f>
        <v>0</v>
      </c>
      <c r="T11">
        <f>IFERROR(+VLOOKUP($P11,Asistente_Torneo[[Nombre]:[3]],T$1,FALSE),"")</f>
        <v>0</v>
      </c>
      <c r="U11">
        <f>IFERROR(+VLOOKUP($P11,Asistente_Torneo[[Nombre]:[3]],U$1,FALSE),"")</f>
        <v>0</v>
      </c>
      <c r="X11">
        <v>3</v>
      </c>
      <c r="AA11" t="str">
        <f>+IF(ISERROR(VLOOKUP(Asistente_Torneo[[#This Row],[Nombre]],$AD$1:$AD$41,1,FALSE)),"KO","ok")</f>
        <v>ok</v>
      </c>
      <c r="AC11">
        <f>+VLOOKUP(AD11,Asistente_Torneo[[Nombre]:[11]],13,FALSE)</f>
        <v>0</v>
      </c>
      <c r="AD11" s="32" t="str">
        <f t="shared" si="1"/>
        <v>Enrique Gonzalez R</v>
      </c>
      <c r="AE11" s="81">
        <v>5</v>
      </c>
      <c r="AF11" s="37" t="s">
        <v>394</v>
      </c>
      <c r="AG11" s="38">
        <v>100</v>
      </c>
      <c r="AH11" s="38">
        <v>300</v>
      </c>
      <c r="AI11" s="38"/>
      <c r="AJ11" s="38">
        <v>75</v>
      </c>
      <c r="AK11" s="38">
        <v>72</v>
      </c>
      <c r="AL11" s="38"/>
      <c r="AM11" s="38">
        <v>94</v>
      </c>
      <c r="AN11" s="38">
        <v>85</v>
      </c>
      <c r="AO11" s="38"/>
      <c r="AP11" s="38">
        <v>61</v>
      </c>
      <c r="AQ11" s="38">
        <v>787</v>
      </c>
      <c r="AR11" s="39"/>
      <c r="AT11" t="s">
        <v>417</v>
      </c>
      <c r="AU11" s="47" t="s">
        <v>207</v>
      </c>
      <c r="AX11" t="s">
        <v>3</v>
      </c>
      <c r="AY11">
        <v>1</v>
      </c>
      <c r="AZ11">
        <f t="shared" si="2"/>
        <v>2</v>
      </c>
    </row>
    <row r="12" spans="1:52">
      <c r="A12" s="13" t="s">
        <v>12</v>
      </c>
      <c r="B12" s="13" t="e">
        <f>+VLOOKUP(A12,dJugador[[#All],[Nombre]:[Nombre y Apellidos]],8,FALSE)</f>
        <v>#REF!</v>
      </c>
      <c r="O12" t="str">
        <f t="shared" si="0"/>
        <v>Francisco Alvarez</v>
      </c>
      <c r="P12" t="s">
        <v>6</v>
      </c>
      <c r="Q12">
        <v>8.8000000000000007</v>
      </c>
      <c r="R12">
        <f t="shared" si="3"/>
        <v>8</v>
      </c>
      <c r="S12">
        <f>IFERROR(+VLOOKUP($P12,Asistente_Torneo[[Nombre]:[3]],S$1,FALSE),"")</f>
        <v>0</v>
      </c>
      <c r="T12">
        <f>IFERROR(+VLOOKUP($P12,Asistente_Torneo[[Nombre]:[3]],T$1,FALSE),"")</f>
        <v>0</v>
      </c>
      <c r="U12">
        <f>IFERROR(+VLOOKUP($P12,Asistente_Torneo[[Nombre]:[3]],U$1,FALSE),"")</f>
        <v>0</v>
      </c>
      <c r="V12">
        <v>5</v>
      </c>
      <c r="W12">
        <v>2</v>
      </c>
      <c r="X12">
        <v>3</v>
      </c>
      <c r="AA12" t="str">
        <f>+IF(ISERROR(VLOOKUP(Asistente_Torneo[[#This Row],[Nombre]],$AD$1:$AD$41,1,FALSE)),"KO","ok")</f>
        <v>ok</v>
      </c>
      <c r="AC12">
        <f>+VLOOKUP(AD12,Asistente_Torneo[[Nombre]:[11]],13,FALSE)</f>
        <v>0</v>
      </c>
      <c r="AD12" s="32" t="str">
        <f t="shared" si="1"/>
        <v>Alvaro Aguirre</v>
      </c>
      <c r="AE12" s="81">
        <v>5</v>
      </c>
      <c r="AF12" s="37" t="s">
        <v>411</v>
      </c>
      <c r="AG12" s="38">
        <v>55</v>
      </c>
      <c r="AH12" s="38">
        <v>43</v>
      </c>
      <c r="AI12" s="38">
        <v>55</v>
      </c>
      <c r="AJ12" s="38"/>
      <c r="AK12" s="38">
        <v>82</v>
      </c>
      <c r="AL12" s="38">
        <v>300</v>
      </c>
      <c r="AM12" s="38">
        <v>120</v>
      </c>
      <c r="AN12" s="38"/>
      <c r="AO12" s="38">
        <v>60</v>
      </c>
      <c r="AP12" s="38"/>
      <c r="AQ12" s="38">
        <v>715</v>
      </c>
      <c r="AR12" s="39"/>
      <c r="AT12" t="s">
        <v>411</v>
      </c>
      <c r="AU12" s="48" t="s">
        <v>15</v>
      </c>
      <c r="AX12" t="s">
        <v>6</v>
      </c>
      <c r="AZ12">
        <f t="shared" si="2"/>
        <v>3</v>
      </c>
    </row>
    <row r="13" spans="1:52">
      <c r="A13" s="13" t="s">
        <v>49</v>
      </c>
      <c r="B13" s="13" t="e">
        <f>+VLOOKUP(A13,dJugador[[#All],[Nombre]:[Nombre y Apellidos]],8,FALSE)</f>
        <v>#REF!</v>
      </c>
      <c r="O13" t="str">
        <f t="shared" si="0"/>
        <v>Francisco Hidalgo</v>
      </c>
      <c r="P13" t="s">
        <v>201</v>
      </c>
      <c r="Q13">
        <v>8.9</v>
      </c>
      <c r="R13">
        <f t="shared" si="3"/>
        <v>9</v>
      </c>
      <c r="S13">
        <f>IFERROR(+VLOOKUP($P13,Asistente_Torneo[[Nombre]:[3]],S$1,FALSE),"")</f>
        <v>0</v>
      </c>
      <c r="T13">
        <f>IFERROR(+VLOOKUP($P13,Asistente_Torneo[[Nombre]:[3]],T$1,FALSE),"")</f>
        <v>0</v>
      </c>
      <c r="U13">
        <f>IFERROR(+VLOOKUP($P13,Asistente_Torneo[[Nombre]:[3]],U$1,FALSE),"")</f>
        <v>0</v>
      </c>
      <c r="V13">
        <v>5</v>
      </c>
      <c r="W13">
        <v>3</v>
      </c>
      <c r="X13">
        <v>3</v>
      </c>
      <c r="AA13" t="str">
        <f>+IF(ISERROR(VLOOKUP(Asistente_Torneo[[#This Row],[Nombre]],$AD$1:$AD$41,1,FALSE)),"KO","ok")</f>
        <v>ok</v>
      </c>
      <c r="AC13">
        <f>+VLOOKUP(AD13,Asistente_Torneo[[Nombre]:[11]],13,FALSE)</f>
        <v>0</v>
      </c>
      <c r="AD13" s="32" t="str">
        <f t="shared" si="1"/>
        <v>David Sequera</v>
      </c>
      <c r="AE13" s="81">
        <v>5</v>
      </c>
      <c r="AF13" s="37" t="s">
        <v>413</v>
      </c>
      <c r="AG13" s="38"/>
      <c r="AH13" s="38">
        <v>55</v>
      </c>
      <c r="AI13" s="38">
        <v>45</v>
      </c>
      <c r="AJ13" s="38"/>
      <c r="AK13" s="38"/>
      <c r="AL13" s="38">
        <v>55</v>
      </c>
      <c r="AM13" s="38">
        <v>68</v>
      </c>
      <c r="AN13" s="38">
        <v>300</v>
      </c>
      <c r="AO13" s="38">
        <v>53</v>
      </c>
      <c r="AP13" s="38">
        <v>82</v>
      </c>
      <c r="AQ13" s="38">
        <v>658</v>
      </c>
      <c r="AR13" s="39"/>
      <c r="AT13" t="s">
        <v>399</v>
      </c>
      <c r="AU13" s="48" t="s">
        <v>6</v>
      </c>
      <c r="AX13" t="s">
        <v>12</v>
      </c>
      <c r="AY13">
        <v>1</v>
      </c>
      <c r="AZ13">
        <f t="shared" si="2"/>
        <v>1</v>
      </c>
    </row>
    <row r="14" spans="1:52">
      <c r="A14" s="13" t="s">
        <v>207</v>
      </c>
      <c r="B14" s="13" t="e">
        <f>+VLOOKUP(A14,dJugador[[#All],[Nombre]:[Nombre y Apellidos]],8,FALSE)</f>
        <v>#REF!</v>
      </c>
      <c r="O14" t="str">
        <f t="shared" si="0"/>
        <v>Franck Benouniche</v>
      </c>
      <c r="P14" t="s">
        <v>289</v>
      </c>
      <c r="Q14">
        <v>9.9</v>
      </c>
      <c r="R14">
        <f t="shared" si="3"/>
        <v>10</v>
      </c>
      <c r="S14">
        <f>IFERROR(+VLOOKUP($P14,Asistente_Torneo[[Nombre]:[3]],S$1,FALSE),"")</f>
        <v>0</v>
      </c>
      <c r="T14">
        <f>IFERROR(+VLOOKUP($P14,Asistente_Torneo[[Nombre]:[3]],T$1,FALSE),"")</f>
        <v>0</v>
      </c>
      <c r="U14">
        <f>IFERROR(+VLOOKUP($P14,Asistente_Torneo[[Nombre]:[3]],U$1,FALSE),"")</f>
        <v>0</v>
      </c>
      <c r="V14">
        <v>5</v>
      </c>
      <c r="W14">
        <v>3</v>
      </c>
      <c r="AA14" t="str">
        <f>+IF(ISERROR(VLOOKUP(Asistente_Torneo[[#This Row],[Nombre]],$AD$1:$AD$41,1,FALSE)),"KO","ok")</f>
        <v>ok</v>
      </c>
      <c r="AC14">
        <f>+VLOOKUP(AD14,Asistente_Torneo[[Nombre]:[11]],13,FALSE)</f>
        <v>0</v>
      </c>
      <c r="AD14" s="32" t="str">
        <f t="shared" si="1"/>
        <v>Juan Jose Aguado</v>
      </c>
      <c r="AE14" s="81">
        <v>4</v>
      </c>
      <c r="AF14" s="37" t="s">
        <v>412</v>
      </c>
      <c r="AG14" s="38"/>
      <c r="AH14" s="38">
        <v>47</v>
      </c>
      <c r="AI14" s="38">
        <v>57</v>
      </c>
      <c r="AJ14" s="38"/>
      <c r="AK14" s="38"/>
      <c r="AL14" s="38"/>
      <c r="AM14" s="38">
        <v>50</v>
      </c>
      <c r="AN14" s="38"/>
      <c r="AO14" s="38">
        <v>500</v>
      </c>
      <c r="AP14" s="38"/>
      <c r="AQ14" s="38">
        <v>654</v>
      </c>
      <c r="AR14" s="39"/>
      <c r="AT14" t="s">
        <v>402</v>
      </c>
      <c r="AU14" s="48" t="s">
        <v>20</v>
      </c>
      <c r="AX14" t="s">
        <v>291</v>
      </c>
      <c r="AY14">
        <v>1</v>
      </c>
      <c r="AZ14">
        <f t="shared" si="2"/>
        <v>6</v>
      </c>
    </row>
    <row r="15" spans="1:52">
      <c r="A15" s="13" t="s">
        <v>35</v>
      </c>
      <c r="B15" s="13" t="e">
        <f>+VLOOKUP(A15,dJugador[[#All],[Nombre]:[Nombre y Apellidos]],8,FALSE)</f>
        <v>#REF!</v>
      </c>
      <c r="O15" t="str">
        <f t="shared" si="0"/>
        <v>GLEZ JUAN JOSÉ</v>
      </c>
      <c r="P15" t="s">
        <v>9</v>
      </c>
      <c r="Q15">
        <v>10.3</v>
      </c>
      <c r="R15">
        <f t="shared" si="3"/>
        <v>11</v>
      </c>
      <c r="S15">
        <f>IFERROR(+VLOOKUP($P15,Asistente_Torneo[[Nombre]:[3]],S$1,FALSE),"")</f>
        <v>0</v>
      </c>
      <c r="T15">
        <f>IFERROR(+VLOOKUP($P15,Asistente_Torneo[[Nombre]:[3]],T$1,FALSE),"")</f>
        <v>0</v>
      </c>
      <c r="U15">
        <f>IFERROR(+VLOOKUP($P15,Asistente_Torneo[[Nombre]:[3]],U$1,FALSE),"")</f>
        <v>0</v>
      </c>
      <c r="V15">
        <v>4</v>
      </c>
      <c r="X15">
        <v>3</v>
      </c>
      <c r="AA15" t="str">
        <f>+IF(ISERROR(VLOOKUP(Asistente_Torneo[[#This Row],[Nombre]],$AD$1:$AD$41,1,FALSE)),"KO","ok")</f>
        <v>ok</v>
      </c>
      <c r="AC15">
        <f>+VLOOKUP(AD15,Asistente_Torneo[[Nombre]:[11]],13,FALSE)</f>
        <v>0</v>
      </c>
      <c r="AD15" s="32" t="str">
        <f t="shared" si="1"/>
        <v>Javier Arcos</v>
      </c>
      <c r="AE15" s="81">
        <v>4</v>
      </c>
      <c r="AF15" s="37" t="s">
        <v>410</v>
      </c>
      <c r="AG15" s="38"/>
      <c r="AH15" s="38">
        <v>53</v>
      </c>
      <c r="AI15" s="38">
        <v>61</v>
      </c>
      <c r="AJ15" s="38"/>
      <c r="AK15" s="38">
        <v>150</v>
      </c>
      <c r="AL15" s="38">
        <v>60</v>
      </c>
      <c r="AM15" s="38"/>
      <c r="AN15" s="38">
        <v>190</v>
      </c>
      <c r="AO15" s="38">
        <v>51</v>
      </c>
      <c r="AP15" s="38">
        <v>88</v>
      </c>
      <c r="AQ15" s="38">
        <v>653</v>
      </c>
      <c r="AR15" s="39"/>
      <c r="AT15" t="s">
        <v>395</v>
      </c>
      <c r="AU15" s="48" t="s">
        <v>41</v>
      </c>
      <c r="AX15" t="s">
        <v>328</v>
      </c>
      <c r="AZ15">
        <f t="shared" si="2"/>
        <v>4</v>
      </c>
    </row>
    <row r="16" spans="1:52">
      <c r="A16" s="13" t="s">
        <v>6</v>
      </c>
      <c r="B16" s="13" t="e">
        <f>+VLOOKUP(A16,dJugador[[#All],[Nombre]:[Nombre y Apellidos]],8,FALSE)</f>
        <v>#REF!</v>
      </c>
      <c r="O16" t="str">
        <f t="shared" si="0"/>
        <v>Ignacio Cadarso</v>
      </c>
      <c r="P16" t="s">
        <v>30</v>
      </c>
      <c r="Q16">
        <v>10.4</v>
      </c>
      <c r="R16">
        <f t="shared" si="3"/>
        <v>12</v>
      </c>
      <c r="S16">
        <f>IFERROR(+VLOOKUP($P16,Asistente_Torneo[[Nombre]:[3]],S$1,FALSE),"")</f>
        <v>0</v>
      </c>
      <c r="T16">
        <f>IFERROR(+VLOOKUP($P16,Asistente_Torneo[[Nombre]:[3]],T$1,FALSE),"")</f>
        <v>0</v>
      </c>
      <c r="U16">
        <f>IFERROR(+VLOOKUP($P16,Asistente_Torneo[[Nombre]:[3]],U$1,FALSE),"")</f>
        <v>0</v>
      </c>
      <c r="V16">
        <v>4</v>
      </c>
      <c r="W16">
        <v>3</v>
      </c>
      <c r="X16">
        <v>4</v>
      </c>
      <c r="AA16" t="str">
        <f>+IF(ISERROR(VLOOKUP(Asistente_Torneo[[#This Row],[Nombre]],$AD$1:$AD$41,1,FALSE)),"KO","ok")</f>
        <v>ok</v>
      </c>
      <c r="AC16">
        <f>+VLOOKUP(AD16,Asistente_Torneo[[Nombre]:[11]],13,FALSE)</f>
        <v>0</v>
      </c>
      <c r="AD16" s="32" t="str">
        <f t="shared" si="1"/>
        <v>Javier Chiralt</v>
      </c>
      <c r="AE16" s="81"/>
      <c r="AF16" s="37" t="s">
        <v>406</v>
      </c>
      <c r="AG16" s="38"/>
      <c r="AH16" s="38"/>
      <c r="AI16" s="38">
        <v>68</v>
      </c>
      <c r="AJ16" s="38">
        <v>85</v>
      </c>
      <c r="AK16" s="38">
        <v>210</v>
      </c>
      <c r="AL16" s="38">
        <v>70</v>
      </c>
      <c r="AM16" s="38">
        <v>72</v>
      </c>
      <c r="AN16" s="38">
        <v>70</v>
      </c>
      <c r="AO16" s="38">
        <v>70</v>
      </c>
      <c r="AP16" s="38"/>
      <c r="AQ16" s="38">
        <v>645</v>
      </c>
      <c r="AR16" s="39"/>
      <c r="AT16" t="s">
        <v>195</v>
      </c>
      <c r="AU16" s="49" t="s">
        <v>18</v>
      </c>
      <c r="AX16" t="s">
        <v>203</v>
      </c>
      <c r="AY16">
        <v>1</v>
      </c>
      <c r="AZ16">
        <f t="shared" si="2"/>
        <v>1</v>
      </c>
    </row>
    <row r="17" spans="1:52">
      <c r="A17" s="13" t="s">
        <v>23</v>
      </c>
      <c r="B17" s="13" t="e">
        <f>+VLOOKUP(A17,dJugador[[#All],[Nombre]:[Nombre y Apellidos]],8,FALSE)</f>
        <v>#REF!</v>
      </c>
      <c r="O17" t="str">
        <f t="shared" si="0"/>
        <v>J. Enrique Gonzalez</v>
      </c>
      <c r="P17" t="s">
        <v>225</v>
      </c>
      <c r="Q17">
        <v>10.5</v>
      </c>
      <c r="R17">
        <f t="shared" si="3"/>
        <v>13</v>
      </c>
      <c r="S17">
        <f>IFERROR(+VLOOKUP($P17,Asistente_Torneo[[Nombre]:[3]],S$1,FALSE),"")</f>
        <v>0</v>
      </c>
      <c r="T17">
        <f>IFERROR(+VLOOKUP($P17,Asistente_Torneo[[Nombre]:[3]],T$1,FALSE),"")</f>
        <v>0</v>
      </c>
      <c r="U17">
        <f>IFERROR(+VLOOKUP($P17,Asistente_Torneo[[Nombre]:[3]],U$1,FALSE),"")</f>
        <v>0</v>
      </c>
      <c r="V17">
        <v>4</v>
      </c>
      <c r="W17">
        <v>3</v>
      </c>
      <c r="X17">
        <v>4</v>
      </c>
      <c r="AA17" t="str">
        <f>+IF(ISERROR(VLOOKUP(Asistente_Torneo[[#This Row],[Nombre]],$AD$1:$AD$41,1,FALSE)),"KO","ok")</f>
        <v>ok</v>
      </c>
      <c r="AC17">
        <f>+VLOOKUP(AD17,Asistente_Torneo[[Nombre]:[11]],13,FALSE)</f>
        <v>0</v>
      </c>
      <c r="AD17" s="32" t="str">
        <f t="shared" si="1"/>
        <v>Javier Cervera</v>
      </c>
      <c r="AE17" s="81">
        <v>4</v>
      </c>
      <c r="AF17" s="37" t="s">
        <v>407</v>
      </c>
      <c r="AG17" s="38">
        <v>90</v>
      </c>
      <c r="AH17" s="38"/>
      <c r="AI17" s="38">
        <v>43</v>
      </c>
      <c r="AJ17" s="38">
        <v>110</v>
      </c>
      <c r="AK17" s="38">
        <v>61</v>
      </c>
      <c r="AL17" s="38">
        <v>190</v>
      </c>
      <c r="AM17" s="38"/>
      <c r="AN17" s="38">
        <v>49</v>
      </c>
      <c r="AO17" s="38">
        <v>47</v>
      </c>
      <c r="AP17" s="38"/>
      <c r="AQ17" s="38">
        <v>590</v>
      </c>
      <c r="AR17" s="39"/>
      <c r="AT17" t="s">
        <v>414</v>
      </c>
      <c r="AU17" s="49" t="s">
        <v>35</v>
      </c>
      <c r="AX17" t="s">
        <v>46</v>
      </c>
      <c r="AZ17">
        <f t="shared" si="2"/>
        <v>4</v>
      </c>
    </row>
    <row r="18" spans="1:52">
      <c r="A18" s="13" t="s">
        <v>328</v>
      </c>
      <c r="B18" s="13" t="e">
        <f>+VLOOKUP(A18,dJugador[[#All],[Nombre]:[Nombre y Apellidos]],8,FALSE)</f>
        <v>#REF!</v>
      </c>
      <c r="O18" t="str">
        <f t="shared" si="0"/>
        <v>Javier Arcos</v>
      </c>
      <c r="P18" t="s">
        <v>328</v>
      </c>
      <c r="Q18">
        <v>11</v>
      </c>
      <c r="R18">
        <f t="shared" si="3"/>
        <v>14</v>
      </c>
      <c r="S18">
        <f>IFERROR(+VLOOKUP($P18,Asistente_Torneo[[Nombre]:[3]],S$1,FALSE),"")</f>
        <v>0</v>
      </c>
      <c r="T18">
        <f>IFERROR(+VLOOKUP($P18,Asistente_Torneo[[Nombre]:[3]],T$1,FALSE),"")</f>
        <v>0</v>
      </c>
      <c r="U18">
        <f>IFERROR(+VLOOKUP($P18,Asistente_Torneo[[Nombre]:[3]],U$1,FALSE),"")</f>
        <v>0</v>
      </c>
      <c r="V18">
        <v>4</v>
      </c>
      <c r="W18">
        <v>4</v>
      </c>
      <c r="X18">
        <v>4</v>
      </c>
      <c r="AA18" t="str">
        <f>+IF(ISERROR(VLOOKUP(Asistente_Torneo[[#This Row],[Nombre]],$AD$1:$AD$41,1,FALSE)),"KO","ok")</f>
        <v>ok</v>
      </c>
      <c r="AC18">
        <f>+VLOOKUP(AD18,Asistente_Torneo[[Nombre]:[11]],13,FALSE)</f>
        <v>0</v>
      </c>
      <c r="AD18" s="32" t="str">
        <f t="shared" si="1"/>
        <v>Javier Gonzalez Salvador</v>
      </c>
      <c r="AE18" s="81">
        <v>4</v>
      </c>
      <c r="AF18" s="37" t="s">
        <v>402</v>
      </c>
      <c r="AG18" s="38"/>
      <c r="AH18" s="38">
        <v>110</v>
      </c>
      <c r="AI18" s="38"/>
      <c r="AJ18" s="38">
        <v>70</v>
      </c>
      <c r="AK18" s="38">
        <v>59</v>
      </c>
      <c r="AL18" s="38">
        <v>100</v>
      </c>
      <c r="AM18" s="38">
        <v>82</v>
      </c>
      <c r="AN18" s="38"/>
      <c r="AO18" s="38">
        <v>100</v>
      </c>
      <c r="AP18" s="38">
        <v>68</v>
      </c>
      <c r="AQ18" s="38">
        <v>589</v>
      </c>
      <c r="AR18" s="39"/>
      <c r="AT18" t="s">
        <v>408</v>
      </c>
      <c r="AU18" s="49" t="s">
        <v>23</v>
      </c>
      <c r="AX18" t="s">
        <v>20</v>
      </c>
      <c r="AY18">
        <v>1</v>
      </c>
      <c r="AZ18">
        <f t="shared" si="2"/>
        <v>4</v>
      </c>
    </row>
    <row r="19" spans="1:52">
      <c r="A19" s="13" t="s">
        <v>46</v>
      </c>
      <c r="B19" s="13" t="e">
        <f>+VLOOKUP(A19,dJugador[[#All],[Nombre]:[Nombre y Apellidos]],8,FALSE)</f>
        <v>#REF!</v>
      </c>
      <c r="O19" t="str">
        <f t="shared" si="0"/>
        <v>Javier Cervera</v>
      </c>
      <c r="P19" t="s">
        <v>375</v>
      </c>
      <c r="Q19">
        <v>11.5</v>
      </c>
      <c r="R19">
        <f t="shared" si="3"/>
        <v>15</v>
      </c>
      <c r="S19">
        <f>IFERROR(+VLOOKUP($P19,Asistente_Torneo[[Nombre]:[3]],S$1,FALSE),"")</f>
        <v>0</v>
      </c>
      <c r="T19">
        <f>IFERROR(+VLOOKUP($P19,Asistente_Torneo[[Nombre]:[3]],T$1,FALSE),"")</f>
        <v>0</v>
      </c>
      <c r="U19">
        <f>IFERROR(+VLOOKUP($P19,Asistente_Torneo[[Nombre]:[3]],U$1,FALSE),"")</f>
        <v>0</v>
      </c>
      <c r="W19">
        <v>4</v>
      </c>
      <c r="X19">
        <v>5</v>
      </c>
      <c r="AA19" t="str">
        <f>+IF(ISERROR(VLOOKUP(Asistente_Torneo[[#This Row],[Nombre]],$AD$1:$AD$41,1,FALSE)),"KO","ok")</f>
        <v>ok</v>
      </c>
      <c r="AC19">
        <f>+VLOOKUP(AD19,Asistente_Torneo[[Nombre]:[11]],13,FALSE)</f>
        <v>0</v>
      </c>
      <c r="AD19" s="32" t="str">
        <f t="shared" si="1"/>
        <v>Alvaro Nieto</v>
      </c>
      <c r="AE19" s="81">
        <v>3</v>
      </c>
      <c r="AF19" s="37" t="s">
        <v>397</v>
      </c>
      <c r="AG19" s="38"/>
      <c r="AH19" s="38"/>
      <c r="AI19" s="38">
        <v>330</v>
      </c>
      <c r="AJ19" s="38"/>
      <c r="AK19" s="38">
        <v>94</v>
      </c>
      <c r="AL19" s="38"/>
      <c r="AM19" s="38"/>
      <c r="AN19" s="38">
        <v>100</v>
      </c>
      <c r="AO19" s="38"/>
      <c r="AP19" s="38">
        <v>59</v>
      </c>
      <c r="AQ19" s="38">
        <v>583</v>
      </c>
      <c r="AR19" s="39"/>
      <c r="AT19" t="s">
        <v>393</v>
      </c>
      <c r="AU19" s="48" t="s">
        <v>135</v>
      </c>
      <c r="AX19" t="s">
        <v>23</v>
      </c>
      <c r="AY19">
        <v>1</v>
      </c>
      <c r="AZ19">
        <f t="shared" si="2"/>
        <v>2</v>
      </c>
    </row>
    <row r="20" spans="1:52">
      <c r="A20" s="13" t="s">
        <v>225</v>
      </c>
      <c r="B20" s="13" t="e">
        <f>+VLOOKUP(A20,dJugador[[#All],[Nombre]:[Nombre y Apellidos]],8,FALSE)</f>
        <v>#REF!</v>
      </c>
      <c r="O20" t="str">
        <f t="shared" si="0"/>
        <v>Javier Chiralt</v>
      </c>
      <c r="P20" t="s">
        <v>49</v>
      </c>
      <c r="Q20">
        <v>11.8</v>
      </c>
      <c r="R20">
        <f t="shared" si="3"/>
        <v>16</v>
      </c>
      <c r="S20">
        <f>IFERROR(+VLOOKUP($P20,Asistente_Torneo[[Nombre]:[3]],S$1,FALSE),"")</f>
        <v>0</v>
      </c>
      <c r="T20">
        <f>IFERROR(+VLOOKUP($P20,Asistente_Torneo[[Nombre]:[3]],T$1,FALSE),"")</f>
        <v>0</v>
      </c>
      <c r="U20">
        <f>IFERROR(+VLOOKUP($P20,Asistente_Torneo[[Nombre]:[3]],U$1,FALSE),"")</f>
        <v>0</v>
      </c>
      <c r="V20">
        <v>3</v>
      </c>
      <c r="X20">
        <v>4</v>
      </c>
      <c r="AA20" t="str">
        <f>+IF(ISERROR(VLOOKUP(Asistente_Torneo[[#This Row],[Nombre]],$AD$1:$AD$41,1,FALSE)),"KO","ok")</f>
        <v>ok</v>
      </c>
      <c r="AC20">
        <f>+VLOOKUP(AD20,Asistente_Torneo[[Nombre]:[11]],13,FALSE)</f>
        <v>0</v>
      </c>
      <c r="AD20" s="32" t="str">
        <f t="shared" si="1"/>
        <v>Ignacio Cadarso</v>
      </c>
      <c r="AE20" s="81">
        <v>3</v>
      </c>
      <c r="AF20" s="37" t="s">
        <v>399</v>
      </c>
      <c r="AG20" s="38">
        <v>70</v>
      </c>
      <c r="AH20" s="38">
        <v>90</v>
      </c>
      <c r="AI20" s="38">
        <v>150</v>
      </c>
      <c r="AJ20" s="38">
        <v>90</v>
      </c>
      <c r="AK20" s="38">
        <v>64</v>
      </c>
      <c r="AL20" s="38"/>
      <c r="AM20" s="38"/>
      <c r="AN20" s="38"/>
      <c r="AO20" s="38"/>
      <c r="AP20" s="38">
        <v>110</v>
      </c>
      <c r="AQ20" s="38">
        <v>574</v>
      </c>
      <c r="AR20" s="39"/>
      <c r="AT20" t="s">
        <v>325</v>
      </c>
      <c r="AU20" s="49" t="s">
        <v>201</v>
      </c>
      <c r="AX20" t="s">
        <v>297</v>
      </c>
      <c r="AY20">
        <v>1</v>
      </c>
      <c r="AZ20">
        <f t="shared" si="2"/>
        <v>6</v>
      </c>
    </row>
    <row r="21" spans="1:52">
      <c r="A21" s="13" t="s">
        <v>20</v>
      </c>
      <c r="B21" s="13" t="e">
        <f>+VLOOKUP(A21,dJugador[[#All],[Nombre]:[Nombre y Apellidos]],8,FALSE)</f>
        <v>#REF!</v>
      </c>
      <c r="O21" t="str">
        <f t="shared" si="0"/>
        <v>Javier Gonzalez Salvador</v>
      </c>
      <c r="P21" t="s">
        <v>378</v>
      </c>
      <c r="Q21">
        <v>12.1</v>
      </c>
      <c r="R21">
        <f t="shared" si="3"/>
        <v>17</v>
      </c>
      <c r="S21">
        <f>IFERROR(+VLOOKUP($P21,Asistente_Torneo[[Nombre]:[3]],S$1,FALSE),"")</f>
        <v>0</v>
      </c>
      <c r="T21">
        <f>IFERROR(+VLOOKUP($P21,Asistente_Torneo[[Nombre]:[3]],T$1,FALSE),"")</f>
        <v>0</v>
      </c>
      <c r="U21">
        <f>IFERROR(+VLOOKUP($P21,Asistente_Torneo[[Nombre]:[3]],U$1,FALSE),"")</f>
        <v>0</v>
      </c>
      <c r="W21">
        <v>4</v>
      </c>
      <c r="AA21" t="str">
        <f>+IF(ISERROR(VLOOKUP(Asistente_Torneo[[#This Row],[Nombre]],$AD$1:$AD$41,1,FALSE)),"KO","ok")</f>
        <v>ok</v>
      </c>
      <c r="AC21">
        <f>+VLOOKUP(AD21,Asistente_Torneo[[Nombre]:[11]],13,FALSE)</f>
        <v>0</v>
      </c>
      <c r="AD21" s="32" t="str">
        <f t="shared" si="1"/>
        <v>Luis Fernandez</v>
      </c>
      <c r="AE21" s="81"/>
      <c r="AF21" s="37" t="s">
        <v>416</v>
      </c>
      <c r="AG21" s="38"/>
      <c r="AH21" s="38">
        <v>40</v>
      </c>
      <c r="AI21" s="38">
        <v>48</v>
      </c>
      <c r="AJ21" s="38"/>
      <c r="AK21" s="38"/>
      <c r="AL21" s="38"/>
      <c r="AM21" s="38">
        <v>330</v>
      </c>
      <c r="AN21" s="38">
        <v>75</v>
      </c>
      <c r="AO21" s="38"/>
      <c r="AP21" s="38">
        <v>55</v>
      </c>
      <c r="AQ21" s="38">
        <v>548</v>
      </c>
      <c r="AR21" s="39"/>
      <c r="AT21" t="s">
        <v>396</v>
      </c>
      <c r="AU21" s="49" t="s">
        <v>205</v>
      </c>
      <c r="AX21" t="s">
        <v>49</v>
      </c>
    </row>
    <row r="22" spans="1:52">
      <c r="A22" s="13" t="s">
        <v>217</v>
      </c>
      <c r="B22" s="13" t="e">
        <f>+VLOOKUP(A22,dJugador[[#All],[Nombre]:[Nombre y Apellidos]],8,FALSE)</f>
        <v>#REF!</v>
      </c>
      <c r="O22" t="str">
        <f t="shared" si="0"/>
        <v>Javier Lopez Gullón</v>
      </c>
      <c r="P22" t="s">
        <v>25</v>
      </c>
      <c r="Q22">
        <v>12.3</v>
      </c>
      <c r="R22">
        <f t="shared" si="3"/>
        <v>18</v>
      </c>
      <c r="S22">
        <f>IFERROR(+VLOOKUP($P22,Asistente_Torneo[[Nombre]:[3]],S$1,FALSE),"")</f>
        <v>0</v>
      </c>
      <c r="T22">
        <f>IFERROR(+VLOOKUP($P22,Asistente_Torneo[[Nombre]:[3]],T$1,FALSE),"")</f>
        <v>0</v>
      </c>
      <c r="U22">
        <f>IFERROR(+VLOOKUP($P22,Asistente_Torneo[[Nombre]:[3]],U$1,FALSE),"")</f>
        <v>0</v>
      </c>
      <c r="V22">
        <v>3</v>
      </c>
      <c r="X22">
        <v>5</v>
      </c>
      <c r="AA22" t="str">
        <f>+IF(ISERROR(VLOOKUP(Asistente_Torneo[[#This Row],[Nombre]],$AD$1:$AD$41,1,FALSE)),"KO","ok")</f>
        <v>ok</v>
      </c>
      <c r="AC22">
        <f>+VLOOKUP(AD22,Asistente_Torneo[[Nombre]:[11]],13,FALSE)</f>
        <v>0</v>
      </c>
      <c r="AD22" s="32" t="str">
        <f t="shared" si="1"/>
        <v>Francisco Hidalgo</v>
      </c>
      <c r="AE22" s="81">
        <v>3</v>
      </c>
      <c r="AF22" s="37" t="s">
        <v>185</v>
      </c>
      <c r="AG22" s="38">
        <v>60</v>
      </c>
      <c r="AH22" s="38"/>
      <c r="AI22" s="38">
        <v>42</v>
      </c>
      <c r="AJ22" s="38"/>
      <c r="AK22" s="38">
        <v>110</v>
      </c>
      <c r="AL22" s="38">
        <v>80</v>
      </c>
      <c r="AM22" s="38"/>
      <c r="AN22" s="38"/>
      <c r="AO22" s="38">
        <v>110</v>
      </c>
      <c r="AP22" s="38">
        <v>120</v>
      </c>
      <c r="AQ22" s="38">
        <v>522</v>
      </c>
      <c r="AR22" s="39"/>
      <c r="AT22" t="s">
        <v>403</v>
      </c>
      <c r="AU22" s="48" t="s">
        <v>3</v>
      </c>
      <c r="AX22" t="s">
        <v>35</v>
      </c>
      <c r="AY22">
        <v>1</v>
      </c>
      <c r="AZ22">
        <f t="shared" si="2"/>
        <v>2</v>
      </c>
    </row>
    <row r="23" spans="1:52">
      <c r="A23" s="13" t="s">
        <v>41</v>
      </c>
      <c r="B23" s="13" t="e">
        <f>+VLOOKUP(A23,dJugador[[#All],[Nombre]:[Nombre y Apellidos]],8,FALSE)</f>
        <v>#REF!</v>
      </c>
      <c r="O23" t="str">
        <f t="shared" si="0"/>
        <v>Jesus Touceda</v>
      </c>
      <c r="P23" t="s">
        <v>248</v>
      </c>
      <c r="Q23">
        <v>12.5</v>
      </c>
      <c r="R23">
        <f t="shared" si="3"/>
        <v>19</v>
      </c>
      <c r="S23">
        <f>IFERROR(+VLOOKUP($P23,Asistente_Torneo[[Nombre]:[3]],S$1,FALSE),"")</f>
        <v>0</v>
      </c>
      <c r="T23">
        <f>IFERROR(+VLOOKUP($P23,Asistente_Torneo[[Nombre]:[3]],T$1,FALSE),"")</f>
        <v>0</v>
      </c>
      <c r="U23">
        <f>IFERROR(+VLOOKUP($P23,Asistente_Torneo[[Nombre]:[3]],U$1,FALSE),"")</f>
        <v>0</v>
      </c>
      <c r="X23">
        <v>5</v>
      </c>
      <c r="AA23" t="str">
        <f>+IF(ISERROR(VLOOKUP(Asistente_Torneo[[#This Row],[Nombre]],$AD$1:$AD$41,1,FALSE)),"KO","ok")</f>
        <v>ok</v>
      </c>
      <c r="AC23">
        <f>+VLOOKUP(AD23,Asistente_Torneo[[Nombre]:[11]],13,FALSE)</f>
        <v>0</v>
      </c>
      <c r="AD23" s="32" t="str">
        <f t="shared" si="1"/>
        <v>Jose Antonio Santana</v>
      </c>
      <c r="AE23" s="81">
        <v>3</v>
      </c>
      <c r="AF23" s="37" t="s">
        <v>425</v>
      </c>
      <c r="AG23" s="38"/>
      <c r="AH23" s="38"/>
      <c r="AI23" s="38"/>
      <c r="AJ23" s="38">
        <v>60</v>
      </c>
      <c r="AK23" s="38"/>
      <c r="AL23" s="38">
        <v>110</v>
      </c>
      <c r="AM23" s="38">
        <v>48</v>
      </c>
      <c r="AN23" s="38">
        <v>110</v>
      </c>
      <c r="AO23" s="38">
        <v>80</v>
      </c>
      <c r="AP23" s="38">
        <v>77</v>
      </c>
      <c r="AQ23" s="38">
        <v>485</v>
      </c>
      <c r="AR23" s="39"/>
      <c r="AT23" t="s">
        <v>400</v>
      </c>
      <c r="AU23" s="48" t="s">
        <v>12</v>
      </c>
      <c r="AX23" t="s">
        <v>15</v>
      </c>
      <c r="AY23">
        <v>1</v>
      </c>
      <c r="AZ23">
        <f t="shared" si="2"/>
        <v>5</v>
      </c>
    </row>
    <row r="24" spans="1:52">
      <c r="A24" s="13" t="s">
        <v>297</v>
      </c>
      <c r="B24" s="13" t="e">
        <f>+VLOOKUP(A24,dJugador[[#All],[Nombre]:[Nombre y Apellidos]],8,FALSE)</f>
        <v>#REF!</v>
      </c>
      <c r="O24" t="str">
        <f t="shared" si="0"/>
        <v>Jorge Alberto Martínez Sánchez</v>
      </c>
      <c r="P24" t="s">
        <v>229</v>
      </c>
      <c r="Q24">
        <v>14.1</v>
      </c>
      <c r="R24">
        <f t="shared" si="3"/>
        <v>20</v>
      </c>
      <c r="S24">
        <f>IFERROR(+VLOOKUP($P24,Asistente_Torneo[[Nombre]:[3]],S$1,FALSE),"")</f>
        <v>0</v>
      </c>
      <c r="T24">
        <f>IFERROR(+VLOOKUP($P24,Asistente_Torneo[[Nombre]:[3]],T$1,FALSE),"")</f>
        <v>0</v>
      </c>
      <c r="U24">
        <f>IFERROR(+VLOOKUP($P24,Asistente_Torneo[[Nombre]:[3]],U$1,FALSE),"")</f>
        <v>0</v>
      </c>
      <c r="W24">
        <v>5</v>
      </c>
      <c r="AA24" t="str">
        <f>+IF(ISERROR(VLOOKUP(Asistente_Torneo[[#This Row],[Nombre]],$AD$1:$AD$41,1,FALSE)),"KO","ok")</f>
        <v>ok</v>
      </c>
      <c r="AC24">
        <f>+VLOOKUP(AD24,Asistente_Torneo[[Nombre]:[11]],13,FALSE)</f>
        <v>0</v>
      </c>
      <c r="AD24" s="32" t="str">
        <f t="shared" si="1"/>
        <v>J. Enrique Gonzalez</v>
      </c>
      <c r="AE24" s="81">
        <v>2</v>
      </c>
      <c r="AF24" s="37" t="s">
        <v>408</v>
      </c>
      <c r="AG24" s="38"/>
      <c r="AH24" s="38">
        <v>42</v>
      </c>
      <c r="AI24" s="38">
        <v>82</v>
      </c>
      <c r="AJ24" s="38"/>
      <c r="AK24" s="38">
        <v>100</v>
      </c>
      <c r="AL24" s="38">
        <v>75</v>
      </c>
      <c r="AM24">
        <v>53</v>
      </c>
      <c r="AN24">
        <v>60</v>
      </c>
      <c r="AP24">
        <v>64</v>
      </c>
      <c r="AQ24">
        <v>476</v>
      </c>
      <c r="AT24" t="s">
        <v>401</v>
      </c>
      <c r="AU24" s="49" t="s">
        <v>203</v>
      </c>
      <c r="AX24" t="s">
        <v>9</v>
      </c>
      <c r="AY24">
        <v>1</v>
      </c>
      <c r="AZ24">
        <f t="shared" si="2"/>
        <v>1</v>
      </c>
    </row>
    <row r="25" spans="1:52">
      <c r="A25" s="19" t="s">
        <v>18</v>
      </c>
      <c r="B25" s="13" t="e">
        <f>+VLOOKUP(A25,dJugador[[#All],[Nombre]:[Nombre y Apellidos]],8,FALSE)</f>
        <v>#REF!</v>
      </c>
      <c r="O25" t="str">
        <f t="shared" si="0"/>
        <v>José Pablo Guil</v>
      </c>
      <c r="P25" t="s">
        <v>207</v>
      </c>
      <c r="Q25">
        <v>14.5</v>
      </c>
      <c r="R25">
        <f t="shared" si="3"/>
        <v>21</v>
      </c>
      <c r="S25">
        <f>IFERROR(+VLOOKUP($P25,Asistente_Torneo[[Nombre]:[3]],S$1,FALSE),"")</f>
        <v>0</v>
      </c>
      <c r="T25">
        <f>IFERROR(+VLOOKUP($P25,Asistente_Torneo[[Nombre]:[3]],T$1,FALSE),"")</f>
        <v>0</v>
      </c>
      <c r="U25">
        <f>IFERROR(+VLOOKUP($P25,Asistente_Torneo[[Nombre]:[3]],U$1,FALSE),"")</f>
        <v>0</v>
      </c>
      <c r="X25">
        <v>5</v>
      </c>
      <c r="AA25" t="str">
        <f>+IF(ISERROR(VLOOKUP(Asistente_Torneo[[#This Row],[Nombre]],$AD$1:$AD$41,1,FALSE)),"KO","ok")</f>
        <v>ok</v>
      </c>
      <c r="AC25">
        <f>+VLOOKUP(AD25,Asistente_Torneo[[Nombre]:[11]],13,FALSE)</f>
        <v>0</v>
      </c>
      <c r="AD25" s="32" t="str">
        <f t="shared" si="1"/>
        <v>José Pablo Guil</v>
      </c>
      <c r="AE25" s="81">
        <v>2</v>
      </c>
      <c r="AF25" s="37" t="s">
        <v>195</v>
      </c>
      <c r="AG25" s="38"/>
      <c r="AH25" s="38"/>
      <c r="AI25" s="38">
        <v>100</v>
      </c>
      <c r="AJ25" s="38"/>
      <c r="AK25" s="38"/>
      <c r="AL25" s="38"/>
      <c r="AM25">
        <v>55</v>
      </c>
      <c r="AN25">
        <v>90</v>
      </c>
      <c r="AO25">
        <v>75</v>
      </c>
      <c r="AP25">
        <v>150</v>
      </c>
      <c r="AQ25">
        <v>470</v>
      </c>
      <c r="AT25" t="s">
        <v>407</v>
      </c>
      <c r="AU25" s="47" t="s">
        <v>46</v>
      </c>
      <c r="AX25" t="s">
        <v>30</v>
      </c>
      <c r="AY25">
        <v>1</v>
      </c>
      <c r="AZ25">
        <f t="shared" si="2"/>
        <v>5</v>
      </c>
    </row>
    <row r="26" spans="1:52">
      <c r="A26" s="19" t="s">
        <v>293</v>
      </c>
      <c r="B26" s="13" t="e">
        <f>+VLOOKUP(A26,dJugador[[#All],[Nombre]:[Nombre y Apellidos]],8,FALSE)</f>
        <v>#REF!</v>
      </c>
      <c r="O26" t="str">
        <f t="shared" si="0"/>
        <v>Juan Jose Aguado</v>
      </c>
      <c r="P26" t="s">
        <v>12</v>
      </c>
      <c r="Q26">
        <v>14.6</v>
      </c>
      <c r="R26">
        <f t="shared" si="3"/>
        <v>22</v>
      </c>
      <c r="S26">
        <f>IFERROR(+VLOOKUP($P26,Asistente_Torneo[[Nombre]:[3]],S$1,FALSE),"")</f>
        <v>0</v>
      </c>
      <c r="T26">
        <f>IFERROR(+VLOOKUP($P26,Asistente_Torneo[[Nombre]:[3]],T$1,FALSE),"")</f>
        <v>0</v>
      </c>
      <c r="U26">
        <f>IFERROR(+VLOOKUP($P26,Asistente_Torneo[[Nombre]:[3]],U$1,FALSE),"")</f>
        <v>0</v>
      </c>
      <c r="V26">
        <v>3</v>
      </c>
      <c r="W26">
        <v>0</v>
      </c>
      <c r="X26">
        <v>6</v>
      </c>
      <c r="AA26" t="str">
        <f>+IF(ISERROR(VLOOKUP(Asistente_Torneo[[#This Row],[Nombre]],$AD$1:$AD$41,1,FALSE)),"KO","ok")</f>
        <v>ok</v>
      </c>
      <c r="AC26">
        <f>+VLOOKUP(AD26,Asistente_Torneo[[Nombre]:[11]],13,FALSE)</f>
        <v>0</v>
      </c>
      <c r="AD26" s="32" t="str">
        <f t="shared" si="1"/>
        <v>GLEZ JUAN JOSÉ</v>
      </c>
      <c r="AE26" s="81">
        <v>2</v>
      </c>
      <c r="AF26" s="37" t="s">
        <v>414</v>
      </c>
      <c r="AI26">
        <v>51</v>
      </c>
      <c r="AJ26">
        <v>65</v>
      </c>
      <c r="AK26">
        <v>77</v>
      </c>
      <c r="AL26">
        <v>85</v>
      </c>
      <c r="AN26">
        <v>80</v>
      </c>
      <c r="AO26">
        <v>55</v>
      </c>
      <c r="AP26">
        <v>57</v>
      </c>
      <c r="AQ26">
        <v>470</v>
      </c>
      <c r="AT26" t="s">
        <v>392</v>
      </c>
      <c r="AU26" s="47" t="s">
        <v>326</v>
      </c>
      <c r="AX26" t="s">
        <v>33</v>
      </c>
      <c r="AZ26">
        <f t="shared" si="2"/>
        <v>0</v>
      </c>
    </row>
    <row r="27" spans="1:52">
      <c r="A27" s="19" t="s">
        <v>135</v>
      </c>
      <c r="B27" s="13" t="e">
        <f>+VLOOKUP(A27,dJugador[[#All],[Nombre]:[Nombre y Apellidos]],8,FALSE)</f>
        <v>#REF!</v>
      </c>
      <c r="O27" t="str">
        <f t="shared" si="0"/>
        <v>Miche Lopez</v>
      </c>
      <c r="P27" t="s">
        <v>271</v>
      </c>
      <c r="Q27">
        <v>16.399999999999999</v>
      </c>
      <c r="R27">
        <f t="shared" si="3"/>
        <v>23</v>
      </c>
      <c r="S27">
        <f>IFERROR(+VLOOKUP($P27,Asistente_Torneo[[Nombre]:[3]],S$1,FALSE),"")</f>
        <v>0</v>
      </c>
      <c r="T27">
        <f>IFERROR(+VLOOKUP($P27,Asistente_Torneo[[Nombre]:[3]],T$1,FALSE),"")</f>
        <v>0</v>
      </c>
      <c r="U27">
        <f>IFERROR(+VLOOKUP($P27,Asistente_Torneo[[Nombre]:[3]],U$1,FALSE),"")</f>
        <v>0</v>
      </c>
      <c r="W27">
        <v>5</v>
      </c>
      <c r="AA27" t="str">
        <f>+IF(ISERROR(VLOOKUP(Asistente_Torneo[[#This Row],[Nombre]],$AD$1:$AD$41,1,FALSE)),"KO","ok")</f>
        <v>ok</v>
      </c>
      <c r="AC27">
        <f>+VLOOKUP(AD27,Asistente_Torneo[[Nombre]:[11]],13,FALSE)</f>
        <v>0</v>
      </c>
      <c r="AD27" s="32" t="str">
        <f t="shared" si="1"/>
        <v>Nacho Gonzalez</v>
      </c>
      <c r="AE27" s="81">
        <v>2</v>
      </c>
      <c r="AF27" t="s">
        <v>403</v>
      </c>
      <c r="AG27">
        <v>57</v>
      </c>
      <c r="AH27">
        <v>100</v>
      </c>
      <c r="AI27">
        <v>46</v>
      </c>
      <c r="AJ27">
        <v>135</v>
      </c>
      <c r="AK27">
        <v>120</v>
      </c>
      <c r="AM27">
        <v>0</v>
      </c>
      <c r="AQ27">
        <v>458</v>
      </c>
      <c r="AT27" t="s">
        <v>398</v>
      </c>
      <c r="AU27" s="47" t="s">
        <v>259</v>
      </c>
      <c r="AX27" t="s">
        <v>293</v>
      </c>
      <c r="AY27">
        <v>1</v>
      </c>
      <c r="AZ27">
        <f t="shared" si="2"/>
        <v>4</v>
      </c>
    </row>
    <row r="28" spans="1:52">
      <c r="A28" s="19" t="s">
        <v>205</v>
      </c>
      <c r="B28" s="13" t="e">
        <f>+VLOOKUP(A28,dJugador[[#All],[Nombre]:[Nombre y Apellidos]],8,FALSE)</f>
        <v>#REF!</v>
      </c>
      <c r="O28" t="str">
        <f t="shared" si="0"/>
        <v>Nacho Casas</v>
      </c>
      <c r="P28" t="s">
        <v>46</v>
      </c>
      <c r="Q28">
        <v>16.7</v>
      </c>
      <c r="R28">
        <f t="shared" si="3"/>
        <v>24</v>
      </c>
      <c r="S28">
        <f>IFERROR(+VLOOKUP($P28,Asistente_Torneo[[Nombre]:[3]],S$1,FALSE),"")</f>
        <v>0</v>
      </c>
      <c r="T28">
        <f>IFERROR(+VLOOKUP($P28,Asistente_Torneo[[Nombre]:[3]],T$1,FALSE),"")</f>
        <v>0</v>
      </c>
      <c r="U28">
        <f>IFERROR(+VLOOKUP($P28,Asistente_Torneo[[Nombre]:[3]],U$1,FALSE),"")</f>
        <v>0</v>
      </c>
      <c r="V28">
        <v>3</v>
      </c>
      <c r="W28">
        <v>5</v>
      </c>
      <c r="X28">
        <v>6</v>
      </c>
      <c r="AA28" t="str">
        <f>+IF(ISERROR(VLOOKUP(Asistente_Torneo[[#This Row],[Nombre]],$AD$1:$AD$41,1,FALSE)),"KO","ok")</f>
        <v>ok</v>
      </c>
      <c r="AC28">
        <f>+VLOOKUP(AD28,Asistente_Torneo[[Nombre]:[11]],13,FALSE)</f>
        <v>0</v>
      </c>
      <c r="AD28" s="32" t="str">
        <f t="shared" si="1"/>
        <v>Alfonso Hidalgo</v>
      </c>
      <c r="AE28" s="81">
        <v>1</v>
      </c>
      <c r="AF28" t="s">
        <v>409</v>
      </c>
      <c r="AH28">
        <v>57</v>
      </c>
      <c r="AI28">
        <v>64</v>
      </c>
      <c r="AJ28">
        <v>57</v>
      </c>
      <c r="AK28">
        <v>55</v>
      </c>
      <c r="AL28">
        <v>57</v>
      </c>
      <c r="AM28">
        <v>88</v>
      </c>
      <c r="AO28">
        <v>65</v>
      </c>
      <c r="AQ28">
        <v>443</v>
      </c>
      <c r="AT28" t="s">
        <v>431</v>
      </c>
      <c r="AU28" s="47" t="s">
        <v>291</v>
      </c>
      <c r="AX28" t="s">
        <v>18</v>
      </c>
      <c r="AY28">
        <v>1</v>
      </c>
      <c r="AZ28">
        <f t="shared" si="2"/>
        <v>2</v>
      </c>
    </row>
    <row r="29" spans="1:52">
      <c r="A29" s="19" t="s">
        <v>3</v>
      </c>
      <c r="B29" s="13" t="e">
        <f>+VLOOKUP(A29,dJugador[[#All],[Nombre]:[Nombre y Apellidos]],8,FALSE)</f>
        <v>#REF!</v>
      </c>
      <c r="O29" t="str">
        <f t="shared" si="0"/>
        <v>Nacho Gonzalez</v>
      </c>
      <c r="P29" t="s">
        <v>203</v>
      </c>
      <c r="Q29">
        <v>17.399999999999999</v>
      </c>
      <c r="R29">
        <f t="shared" si="3"/>
        <v>25</v>
      </c>
      <c r="S29">
        <f>IFERROR(+VLOOKUP($P29,Asistente_Torneo[[Nombre]:[3]],S$1,FALSE),"")</f>
        <v>0</v>
      </c>
      <c r="T29">
        <f>IFERROR(+VLOOKUP($P29,Asistente_Torneo[[Nombre]:[3]],T$1,FALSE),"")</f>
        <v>0</v>
      </c>
      <c r="U29">
        <f>IFERROR(+VLOOKUP($P29,Asistente_Torneo[[Nombre]:[3]],U$1,FALSE),"")</f>
        <v>0</v>
      </c>
      <c r="V29">
        <v>2</v>
      </c>
      <c r="W29">
        <v>5</v>
      </c>
      <c r="X29">
        <v>6</v>
      </c>
      <c r="AA29" t="str">
        <f>+IF(ISERROR(VLOOKUP(Asistente_Torneo[[#This Row],[Nombre]],$AD$1:$AD$41,1,FALSE)),"KO","ok")</f>
        <v>ok</v>
      </c>
      <c r="AC29">
        <f>+VLOOKUP(AD29,Asistente_Torneo[[Nombre]:[11]],13,FALSE)</f>
        <v>0</v>
      </c>
      <c r="AD29" s="32" t="str">
        <f t="shared" si="1"/>
        <v>Francisco Alvarez</v>
      </c>
      <c r="AE29" s="81">
        <v>1</v>
      </c>
      <c r="AF29" t="s">
        <v>400</v>
      </c>
      <c r="AG29">
        <v>110</v>
      </c>
      <c r="AH29">
        <v>70</v>
      </c>
      <c r="AI29">
        <v>120</v>
      </c>
      <c r="AM29">
        <v>59</v>
      </c>
      <c r="AN29">
        <v>65</v>
      </c>
      <c r="AQ29">
        <v>424</v>
      </c>
      <c r="AT29" t="s">
        <v>405</v>
      </c>
      <c r="AU29" s="47" t="s">
        <v>297</v>
      </c>
      <c r="AX29" t="s">
        <v>264</v>
      </c>
      <c r="AY29">
        <v>1</v>
      </c>
      <c r="AZ29">
        <f t="shared" si="2"/>
        <v>6</v>
      </c>
    </row>
    <row r="30" spans="1:52">
      <c r="A30" s="19" t="s">
        <v>203</v>
      </c>
      <c r="B30" s="13" t="e">
        <f>+VLOOKUP(A30,dJugador[[#All],[Nombre]:[Nombre y Apellidos]],8,FALSE)</f>
        <v>#REF!</v>
      </c>
      <c r="O30" t="str">
        <f t="shared" si="0"/>
        <v>Ruslan Kochman</v>
      </c>
      <c r="P30" t="s">
        <v>20</v>
      </c>
      <c r="Q30">
        <v>17.5</v>
      </c>
      <c r="R30">
        <f t="shared" si="3"/>
        <v>26</v>
      </c>
      <c r="S30">
        <f>IFERROR(+VLOOKUP($P30,Asistente_Torneo[[Nombre]:[3]],S$1,FALSE),"")</f>
        <v>0</v>
      </c>
      <c r="T30">
        <f>IFERROR(+VLOOKUP($P30,Asistente_Torneo[[Nombre]:[3]],T$1,FALSE),"")</f>
        <v>0</v>
      </c>
      <c r="U30">
        <f>IFERROR(+VLOOKUP($P30,Asistente_Torneo[[Nombre]:[3]],U$1,FALSE),"")</f>
        <v>0</v>
      </c>
      <c r="W30">
        <v>4</v>
      </c>
      <c r="X30">
        <v>7</v>
      </c>
      <c r="AA30" t="str">
        <f>+IF(ISERROR(VLOOKUP(Asistente_Torneo[[#This Row],[Nombre]],$AD$1:$AD$41,1,FALSE)),"KO","ok")</f>
        <v>ok</v>
      </c>
      <c r="AC30">
        <f>+VLOOKUP(AD30,Asistente_Torneo[[Nombre]:[11]],13,FALSE)</f>
        <v>0</v>
      </c>
      <c r="AD30" s="32" t="str">
        <f t="shared" si="1"/>
        <v>Ruslan Kochman</v>
      </c>
      <c r="AE30" s="81">
        <v>1</v>
      </c>
      <c r="AF30" t="s">
        <v>401</v>
      </c>
      <c r="AG30">
        <v>75</v>
      </c>
      <c r="AH30">
        <v>135</v>
      </c>
      <c r="AI30">
        <v>53</v>
      </c>
      <c r="AM30">
        <v>110</v>
      </c>
      <c r="AQ30">
        <v>373</v>
      </c>
      <c r="AT30" t="s">
        <v>410</v>
      </c>
      <c r="AU30" s="47" t="s">
        <v>328</v>
      </c>
      <c r="AX30" t="s">
        <v>217</v>
      </c>
      <c r="AZ30">
        <f t="shared" si="2"/>
        <v>0</v>
      </c>
    </row>
    <row r="31" spans="1:52">
      <c r="A31" s="19" t="s">
        <v>25</v>
      </c>
      <c r="B31" s="13" t="e">
        <f>+VLOOKUP(A31,dJugador[[#All],[Nombre]:[Nombre y Apellidos]],8,FALSE)</f>
        <v>#REF!</v>
      </c>
      <c r="O31" t="str">
        <f t="shared" si="0"/>
        <v>Alvaro Nieto</v>
      </c>
      <c r="P31" t="s">
        <v>23</v>
      </c>
      <c r="Q31">
        <v>17.899999999999999</v>
      </c>
      <c r="R31">
        <f t="shared" si="3"/>
        <v>27</v>
      </c>
      <c r="S31">
        <f>IFERROR(+VLOOKUP($P31,Asistente_Torneo[[Nombre]:[3]],S$1,FALSE),"")</f>
        <v>0</v>
      </c>
      <c r="T31">
        <f>IFERROR(+VLOOKUP($P31,Asistente_Torneo[[Nombre]:[3]],T$1,FALSE),"")</f>
        <v>0</v>
      </c>
      <c r="U31">
        <f>IFERROR(+VLOOKUP($P31,Asistente_Torneo[[Nombre]:[3]],U$1,FALSE),"")</f>
        <v>0</v>
      </c>
      <c r="V31">
        <v>2</v>
      </c>
      <c r="W31">
        <v>6</v>
      </c>
      <c r="X31">
        <v>7</v>
      </c>
      <c r="AA31" t="str">
        <f>+IF(ISERROR(VLOOKUP(Asistente_Torneo[[#This Row],[Nombre]],$AD$1:$AD$41,1,FALSE)),"KO","ok")</f>
        <v>ok</v>
      </c>
      <c r="AC31">
        <f>+VLOOKUP(AD31,Asistente_Torneo[[Nombre]:[11]],13,FALSE)</f>
        <v>0</v>
      </c>
      <c r="AD31" s="32" t="str">
        <f t="shared" si="1"/>
        <v>Angel Hernandez</v>
      </c>
      <c r="AE31" s="81"/>
      <c r="AF31" t="s">
        <v>404</v>
      </c>
      <c r="AH31">
        <v>51</v>
      </c>
      <c r="AI31">
        <v>88</v>
      </c>
      <c r="AQ31">
        <v>139</v>
      </c>
      <c r="AT31" t="s">
        <v>412</v>
      </c>
      <c r="AU31" s="47" t="s">
        <v>293</v>
      </c>
      <c r="AX31" t="s">
        <v>375</v>
      </c>
      <c r="AY31">
        <v>1</v>
      </c>
      <c r="AZ31">
        <f t="shared" si="2"/>
        <v>0</v>
      </c>
    </row>
    <row r="32" spans="1:52">
      <c r="A32" s="19" t="s">
        <v>290</v>
      </c>
      <c r="B32" s="13" t="e">
        <f>+VLOOKUP(A32,dJugador[[#All],[Nombre]:[Nombre y Apellidos]],8,FALSE)</f>
        <v>#REF!</v>
      </c>
      <c r="O32" t="e">
        <f t="shared" si="0"/>
        <v>#N/A</v>
      </c>
      <c r="P32" t="s">
        <v>264</v>
      </c>
      <c r="Q32">
        <v>18.899999999999999</v>
      </c>
      <c r="R32">
        <f t="shared" si="3"/>
        <v>28</v>
      </c>
      <c r="S32">
        <f>IFERROR(+VLOOKUP($P32,Asistente_Torneo[[Nombre]:[3]],S$1,FALSE),"")</f>
        <v>0</v>
      </c>
      <c r="T32">
        <f>IFERROR(+VLOOKUP($P32,Asistente_Torneo[[Nombre]:[3]],T$1,FALSE),"")</f>
        <v>0</v>
      </c>
      <c r="U32">
        <f>IFERROR(+VLOOKUP($P32,Asistente_Torneo[[Nombre]:[3]],U$1,FALSE),"")</f>
        <v>0</v>
      </c>
      <c r="V32">
        <v>2</v>
      </c>
      <c r="W32">
        <v>6</v>
      </c>
      <c r="AA32" t="str">
        <f>+IF(ISERROR(VLOOKUP(Asistente_Torneo[[#This Row],[Nombre]],$AD$1:$AD$41,1,FALSE)),"KO","ok")</f>
        <v>ok</v>
      </c>
      <c r="AC32">
        <f>+VLOOKUP(AD32,Asistente_Torneo[[Nombre]:[11]],13,FALSE)</f>
        <v>0</v>
      </c>
      <c r="AD32" s="32" t="str">
        <f t="shared" si="1"/>
        <v>Javier Lopez Gullón</v>
      </c>
      <c r="AE32" s="81"/>
      <c r="AF32" t="s">
        <v>415</v>
      </c>
      <c r="AG32">
        <v>45</v>
      </c>
      <c r="AH32">
        <v>45</v>
      </c>
      <c r="AQ32">
        <v>90</v>
      </c>
      <c r="AT32" t="s">
        <v>416</v>
      </c>
      <c r="AU32" s="47" t="s">
        <v>375</v>
      </c>
      <c r="AX32" t="s">
        <v>388</v>
      </c>
      <c r="AY32">
        <v>1</v>
      </c>
      <c r="AZ32">
        <f t="shared" si="2"/>
        <v>3</v>
      </c>
    </row>
    <row r="33" spans="1:50">
      <c r="A33" s="13" t="s">
        <v>229</v>
      </c>
      <c r="B33" s="13" t="e">
        <f>+VLOOKUP(A33,dJugador[[#All],[Nombre]:[Nombre y Apellidos]],8,FALSE)</f>
        <v>#REF!</v>
      </c>
      <c r="O33" t="str">
        <f t="shared" si="0"/>
        <v>Alfonso Zorrilla</v>
      </c>
      <c r="P33" t="s">
        <v>35</v>
      </c>
      <c r="Q33">
        <v>19</v>
      </c>
      <c r="R33">
        <f t="shared" si="3"/>
        <v>29</v>
      </c>
      <c r="S33">
        <f>IFERROR(+VLOOKUP($P33,Asistente_Torneo[[Nombre]:[3]],S$1,FALSE),"")</f>
        <v>0</v>
      </c>
      <c r="T33">
        <f>IFERROR(+VLOOKUP($P33,Asistente_Torneo[[Nombre]:[3]],T$1,FALSE),"")</f>
        <v>0</v>
      </c>
      <c r="U33">
        <f>IFERROR(+VLOOKUP($P33,Asistente_Torneo[[Nombre]:[3]],U$1,FALSE),"")</f>
        <v>0</v>
      </c>
      <c r="V33">
        <v>2</v>
      </c>
      <c r="W33">
        <v>6</v>
      </c>
      <c r="X33">
        <v>7</v>
      </c>
      <c r="AA33" t="str">
        <f>+IF(ISERROR(VLOOKUP(Asistente_Torneo[[#This Row],[Nombre]],$AD$1:$AD$41,1,FALSE)),"KO","ok")</f>
        <v>ok</v>
      </c>
      <c r="AC33">
        <f>+VLOOKUP(AD33,Asistente_Torneo[[Nombre]:[11]],13,FALSE)</f>
        <v>0</v>
      </c>
      <c r="AD33" s="32" t="str">
        <f t="shared" si="1"/>
        <v>Franck Benouniche</v>
      </c>
      <c r="AE33" s="81"/>
      <c r="AF33" t="s">
        <v>417</v>
      </c>
      <c r="AI33">
        <v>44</v>
      </c>
      <c r="AQ33">
        <v>44</v>
      </c>
      <c r="AT33" t="s">
        <v>418</v>
      </c>
      <c r="AU33" s="32" t="s">
        <v>264</v>
      </c>
      <c r="AX33" t="s">
        <v>207</v>
      </c>
    </row>
    <row r="34" spans="1:50">
      <c r="A34" t="s">
        <v>341</v>
      </c>
      <c r="B34" s="13" t="e">
        <f>+VLOOKUP(A34,dJugador[[#All],[Nombre]:[Nombre y Apellidos]],8,FALSE)</f>
        <v>#REF!</v>
      </c>
      <c r="O34" t="e">
        <f t="shared" si="0"/>
        <v>#N/A</v>
      </c>
      <c r="P34" t="s">
        <v>217</v>
      </c>
      <c r="Q34">
        <v>21</v>
      </c>
      <c r="R34">
        <f t="shared" si="3"/>
        <v>30</v>
      </c>
      <c r="S34">
        <f>IFERROR(+VLOOKUP($P34,Asistente_Torneo[[Nombre]:[3]],S$1,FALSE),"")</f>
        <v>0</v>
      </c>
      <c r="T34">
        <f>IFERROR(+VLOOKUP($P34,Asistente_Torneo[[Nombre]:[3]],T$1,FALSE),"")</f>
        <v>0</v>
      </c>
      <c r="U34">
        <f>IFERROR(+VLOOKUP($P34,Asistente_Torneo[[Nombre]:[3]],U$1,FALSE),"")</f>
        <v>0</v>
      </c>
      <c r="W34">
        <v>6</v>
      </c>
      <c r="AA34" t="str">
        <f>+IF(ISERROR(VLOOKUP(Asistente_Torneo[[#This Row],[Nombre]],$AD$1:$AD$41,1,FALSE)),"KO","ok")</f>
        <v>ok</v>
      </c>
      <c r="AC34">
        <f>+VLOOKUP(AD34,Asistente_Torneo[[Nombre]:[11]],13,FALSE)</f>
        <v>0</v>
      </c>
      <c r="AD34" s="69" t="s">
        <v>229</v>
      </c>
      <c r="AE34" s="81"/>
      <c r="AT34" t="s">
        <v>425</v>
      </c>
      <c r="AU34" s="32" t="s">
        <v>388</v>
      </c>
    </row>
    <row r="35" spans="1:50">
      <c r="A35" s="19" t="s">
        <v>298</v>
      </c>
      <c r="B35" s="13" t="e">
        <f>+VLOOKUP(A35,dJugador[[#All],[Nombre]:[Nombre y Apellidos]],8,FALSE)</f>
        <v>#REF!</v>
      </c>
      <c r="O35" t="str">
        <f t="shared" si="0"/>
        <v>Ignacio Gracia Charlez</v>
      </c>
      <c r="P35" t="s">
        <v>293</v>
      </c>
      <c r="Q35">
        <v>21.1</v>
      </c>
      <c r="R35">
        <f t="shared" si="3"/>
        <v>31</v>
      </c>
      <c r="S35">
        <f>IFERROR(+VLOOKUP($P35,Asistente_Torneo[[Nombre]:[3]],S$1,FALSE),"")</f>
        <v>0</v>
      </c>
      <c r="T35">
        <f>IFERROR(+VLOOKUP($P35,Asistente_Torneo[[Nombre]:[3]],T$1,FALSE),"")</f>
        <v>0</v>
      </c>
      <c r="U35">
        <f>IFERROR(+VLOOKUP($P35,Asistente_Torneo[[Nombre]:[3]],U$1,FALSE),"")</f>
        <v>0</v>
      </c>
      <c r="W35">
        <v>7</v>
      </c>
      <c r="X35">
        <v>7</v>
      </c>
      <c r="AA35" t="str">
        <f>+IF(ISERROR(VLOOKUP(Asistente_Torneo[[#This Row],[Nombre]],$AD$1:$AD$41,1,FALSE)),"KO","ok")</f>
        <v>ok</v>
      </c>
      <c r="AC35">
        <f>+VLOOKUP(AD35,Asistente_Torneo[[Nombre]:[11]],13,FALSE)</f>
        <v>0</v>
      </c>
      <c r="AD35" s="69" t="s">
        <v>341</v>
      </c>
      <c r="AE35" s="81"/>
    </row>
    <row r="36" spans="1:50">
      <c r="A36" s="19" t="s">
        <v>289</v>
      </c>
      <c r="B36" s="13" t="e">
        <f>+VLOOKUP(A36,dJugador[[#All],[Nombre]:[Nombre y Apellidos]],8,FALSE)</f>
        <v>#REF!</v>
      </c>
      <c r="O36" t="str">
        <f t="shared" si="0"/>
        <v>Jaime Villanueva</v>
      </c>
      <c r="P36" t="s">
        <v>135</v>
      </c>
      <c r="Q36">
        <v>22.3</v>
      </c>
      <c r="R36">
        <f t="shared" si="3"/>
        <v>32</v>
      </c>
      <c r="S36">
        <f>IFERROR(+VLOOKUP($P36,Asistente_Torneo[[Nombre]:[3]],S$1,FALSE),"")</f>
        <v>0</v>
      </c>
      <c r="T36">
        <f>IFERROR(+VLOOKUP($P36,Asistente_Torneo[[Nombre]:[3]],T$1,FALSE),"")</f>
        <v>0</v>
      </c>
      <c r="U36">
        <f>IFERROR(+VLOOKUP($P36,Asistente_Torneo[[Nombre]:[3]],U$1,FALSE),"")</f>
        <v>0</v>
      </c>
      <c r="W36">
        <v>7</v>
      </c>
      <c r="X36">
        <v>8</v>
      </c>
      <c r="AA36" t="str">
        <f>+IF(ISERROR(VLOOKUP(Asistente_Torneo[[#This Row],[Nombre]],$AD$1:$AD$41,1,FALSE)),"KO","ok")</f>
        <v>ok</v>
      </c>
      <c r="AC36">
        <f>+VLOOKUP(AD36,Asistente_Torneo[[Nombre]:[11]],13,FALSE)</f>
        <v>0</v>
      </c>
      <c r="AD36" s="69" t="s">
        <v>298</v>
      </c>
      <c r="AE36" s="81"/>
    </row>
    <row r="37" spans="1:50">
      <c r="A37" s="19" t="s">
        <v>271</v>
      </c>
      <c r="B37" s="13" t="e">
        <f>+VLOOKUP(A37,dJugador[[#All],[Nombre]:[Nombre y Apellidos]],8,FALSE)</f>
        <v>#REF!</v>
      </c>
      <c r="O37" t="str">
        <f t="shared" si="0"/>
        <v>Santi Diaz</v>
      </c>
      <c r="P37" t="s">
        <v>297</v>
      </c>
      <c r="Q37">
        <v>23.5</v>
      </c>
      <c r="R37">
        <f t="shared" si="3"/>
        <v>33</v>
      </c>
      <c r="S37">
        <f>IFERROR(+VLOOKUP($P37,Asistente_Torneo[[Nombre]:[3]],S$1,FALSE),"")</f>
        <v>0</v>
      </c>
      <c r="T37">
        <f>IFERROR(+VLOOKUP($P37,Asistente_Torneo[[Nombre]:[3]],T$1,FALSE),"")</f>
        <v>0</v>
      </c>
      <c r="U37">
        <f>IFERROR(+VLOOKUP($P37,Asistente_Torneo[[Nombre]:[3]],U$1,FALSE),"")</f>
        <v>0</v>
      </c>
      <c r="X37">
        <v>8</v>
      </c>
      <c r="AA37" t="str">
        <f>+IF(ISERROR(VLOOKUP(Asistente_Torneo[[#This Row],[Nombre]],$AD$1:$AD$41,1,FALSE)),"KO","ok")</f>
        <v>ok</v>
      </c>
      <c r="AC37">
        <f>+VLOOKUP(AD37,Asistente_Torneo[[Nombre]:[11]],13,FALSE)</f>
        <v>0</v>
      </c>
      <c r="AD37" s="80" t="s">
        <v>289</v>
      </c>
      <c r="AE37" s="81"/>
    </row>
    <row r="38" spans="1:50">
      <c r="A38" s="19" t="s">
        <v>375</v>
      </c>
      <c r="B38" s="19" t="e">
        <f>+VLOOKUP(A38,dJugador[[#All],[Nombre]:[Nombre y Apellidos]],8,FALSE)</f>
        <v>#REF!</v>
      </c>
      <c r="O38" t="str">
        <f t="shared" si="0"/>
        <v>Luis Fernandez</v>
      </c>
      <c r="P38" t="s">
        <v>298</v>
      </c>
      <c r="Q38">
        <v>23.7</v>
      </c>
      <c r="R38">
        <f t="shared" si="3"/>
        <v>34</v>
      </c>
      <c r="S38">
        <f>IFERROR(+VLOOKUP($P38,Asistente_Torneo[[Nombre]:[3]],S$1,FALSE),"")</f>
        <v>0</v>
      </c>
      <c r="T38">
        <f>IFERROR(+VLOOKUP($P38,Asistente_Torneo[[Nombre]:[3]],T$1,FALSE),"")</f>
        <v>0</v>
      </c>
      <c r="U38">
        <f>IFERROR(+VLOOKUP($P38,Asistente_Torneo[[Nombre]:[3]],U$1,FALSE),"")</f>
        <v>0</v>
      </c>
      <c r="W38">
        <v>7</v>
      </c>
      <c r="AA38" t="str">
        <f>+IF(ISERROR(VLOOKUP(Asistente_Torneo[[#This Row],[Nombre]],$AD$1:$AD$41,1,FALSE)),"KO","ok")</f>
        <v>ok</v>
      </c>
      <c r="AC38">
        <f>+VLOOKUP(AD38,Asistente_Torneo[[Nombre]:[11]],13,FALSE)</f>
        <v>0</v>
      </c>
      <c r="AD38" s="69" t="s">
        <v>271</v>
      </c>
      <c r="AE38" s="81"/>
    </row>
    <row r="39" spans="1:50">
      <c r="A39" s="19" t="s">
        <v>378</v>
      </c>
      <c r="B39" s="19" t="e">
        <f>+VLOOKUP(A39,dJugador[[#All],[Nombre]:[Nombre y Apellidos]],8,FALSE)</f>
        <v>#REF!</v>
      </c>
      <c r="O39" t="str">
        <f t="shared" si="0"/>
        <v>Javier Campo</v>
      </c>
      <c r="P39" t="s">
        <v>326</v>
      </c>
      <c r="Q39">
        <v>23.8</v>
      </c>
      <c r="R39">
        <f t="shared" si="3"/>
        <v>35</v>
      </c>
      <c r="S39">
        <f>IFERROR(+VLOOKUP($P39,Asistente_Torneo[[Nombre]:[3]],S$1,FALSE),"")</f>
        <v>0</v>
      </c>
      <c r="T39">
        <f>IFERROR(+VLOOKUP($P39,Asistente_Torneo[[Nombre]:[3]],T$1,FALSE),"")</f>
        <v>0</v>
      </c>
      <c r="U39">
        <f>IFERROR(+VLOOKUP($P39,Asistente_Torneo[[Nombre]:[3]],U$1,FALSE),"")</f>
        <v>0</v>
      </c>
      <c r="W39">
        <v>7</v>
      </c>
      <c r="X39">
        <v>8</v>
      </c>
      <c r="AA39" t="str">
        <f>+IF(ISERROR(VLOOKUP(Asistente_Torneo[[#This Row],[Nombre]],$AD$1:$AD$41,1,FALSE)),"KO","ok")</f>
        <v>ok</v>
      </c>
      <c r="AC39">
        <f>+VLOOKUP(AD39,Asistente_Torneo[[Nombre]:[11]],13,FALSE)</f>
        <v>0</v>
      </c>
      <c r="AD39" s="69" t="s">
        <v>378</v>
      </c>
      <c r="AE39" s="81"/>
    </row>
    <row r="40" spans="1:50">
      <c r="A40" s="19" t="s">
        <v>383</v>
      </c>
      <c r="B40" s="19" t="e">
        <f>+VLOOKUP(A40,dJugador[[#All],[Nombre]:[Nombre y Apellidos]],8,FALSE)</f>
        <v>#REF!</v>
      </c>
      <c r="O40" t="e">
        <f t="shared" si="0"/>
        <v>#N/A</v>
      </c>
      <c r="P40" t="s">
        <v>41</v>
      </c>
      <c r="Q40">
        <v>23.9</v>
      </c>
      <c r="R40">
        <f t="shared" si="3"/>
        <v>36</v>
      </c>
      <c r="S40">
        <f>IFERROR(+VLOOKUP($P40,Asistente_Torneo[[Nombre]:[3]],S$1,FALSE),"")</f>
        <v>0</v>
      </c>
      <c r="T40">
        <f>IFERROR(+VLOOKUP($P40,Asistente_Torneo[[Nombre]:[3]],T$1,FALSE),"")</f>
        <v>0</v>
      </c>
      <c r="U40">
        <f>IFERROR(+VLOOKUP($P40,Asistente_Torneo[[Nombre]:[3]],U$1,FALSE),"")</f>
        <v>0</v>
      </c>
      <c r="V40">
        <v>1</v>
      </c>
      <c r="X40">
        <v>8</v>
      </c>
      <c r="AA40" t="str">
        <f>+IF(ISERROR(VLOOKUP(Asistente_Torneo[[#This Row],[Nombre]],$AD$1:$AD$41,1,FALSE)),"KO","ok")</f>
        <v>ok</v>
      </c>
      <c r="AC40">
        <f>+VLOOKUP(AD40,Asistente_Torneo[[Nombre]:[11]],13,FALSE)</f>
        <v>0</v>
      </c>
      <c r="AD40" s="69" t="s">
        <v>383</v>
      </c>
      <c r="AE40" s="81"/>
    </row>
    <row r="41" spans="1:50">
      <c r="A41" s="19" t="s">
        <v>388</v>
      </c>
      <c r="B41" s="19" t="e">
        <f>+VLOOKUP(A41,dJugador[[#All],[Nombre]:[Nombre y Apellidos]],8,FALSE)</f>
        <v>#REF!</v>
      </c>
      <c r="P41" t="s">
        <v>383</v>
      </c>
      <c r="Q41">
        <v>34.200000000000003</v>
      </c>
      <c r="R41">
        <f t="shared" si="3"/>
        <v>37</v>
      </c>
      <c r="S41">
        <f>IFERROR(+VLOOKUP($P41,Asistente_Torneo[[Nombre]:[3]],S$1,FALSE),"")</f>
        <v>0</v>
      </c>
      <c r="T41">
        <f>IFERROR(+VLOOKUP($P41,Asistente_Torneo[[Nombre]:[3]],T$1,FALSE),"")</f>
        <v>0</v>
      </c>
      <c r="U41">
        <f>IFERROR(+VLOOKUP($P41,Asistente_Torneo[[Nombre]:[3]],U$1,FALSE),"")</f>
        <v>0</v>
      </c>
      <c r="V41">
        <v>1</v>
      </c>
      <c r="X41">
        <v>6</v>
      </c>
      <c r="AA41" t="str">
        <f>+IF(ISERROR(VLOOKUP(Asistente_Torneo[[#This Row],[Nombre]],$AD$1:$AD$41,1,FALSE)),"KO","ok")</f>
        <v>ok</v>
      </c>
      <c r="AC41">
        <f>+VLOOKUP(AD41,Asistente_Torneo[[Nombre]:[11]],13,FALSE)</f>
        <v>0</v>
      </c>
      <c r="AD41" s="69" t="s">
        <v>290</v>
      </c>
      <c r="AE41" s="81"/>
    </row>
    <row r="42" spans="1:50">
      <c r="P42" t="s">
        <v>368</v>
      </c>
      <c r="Q42">
        <v>530.9</v>
      </c>
      <c r="R42">
        <f t="shared" si="3"/>
        <v>38</v>
      </c>
      <c r="S42" t="str">
        <f>IFERROR(+VLOOKUP($P42,Asistente_Torneo[[Nombre]:[3]],S$1,FALSE),"")</f>
        <v/>
      </c>
      <c r="T42" t="str">
        <f>IFERROR(+VLOOKUP($P42,Asistente_Torneo[[Nombre]:[3]],T$1,FALSE),"")</f>
        <v/>
      </c>
      <c r="U42" t="str">
        <f>IFERROR(+VLOOKUP($P42,Asistente_Torneo[[Nombre]:[3]],U$1,FALSE),"")</f>
        <v/>
      </c>
    </row>
    <row r="43" spans="1:50">
      <c r="R43" t="e">
        <f t="shared" si="3"/>
        <v>#N/A</v>
      </c>
      <c r="S43" t="str">
        <f>IFERROR(+VLOOKUP($P43,Asistente_Torneo[[Nombre]:[3]],S$1,FALSE),"")</f>
        <v/>
      </c>
      <c r="T43" t="str">
        <f>IFERROR(+VLOOKUP($P43,Asistente_Torneo[[Nombre]:[3]],T$1,FALSE),"")</f>
        <v/>
      </c>
      <c r="U43" t="str">
        <f>IFERROR(+VLOOKUP($P43,Asistente_Torneo[[Nombre]:[3]],U$1,FALSE),"")</f>
        <v/>
      </c>
      <c r="V43">
        <v>1</v>
      </c>
    </row>
    <row r="44" spans="1:50">
      <c r="S44" t="str">
        <f>IFERROR(+VLOOKUP($P44,Asistente_Torneo[[Nombre]:[3]],S$1,FALSE),"")</f>
        <v/>
      </c>
      <c r="T44" t="str">
        <f>IFERROR(+VLOOKUP($P44,Asistente_Torneo[[Nombre]:[3]],T$1,FALSE),"")</f>
        <v/>
      </c>
      <c r="U44" t="str">
        <f>IFERROR(+VLOOKUP($P44,Asistente_Torneo[[Nombre]:[3]],U$1,FALSE),"")</f>
        <v/>
      </c>
    </row>
    <row r="46" spans="1:50">
      <c r="A46" s="33" t="s">
        <v>86</v>
      </c>
      <c r="B46" s="33">
        <f>+COUNTIF(B1:B45,$A46)</f>
        <v>0</v>
      </c>
      <c r="C46" s="33">
        <f t="shared" ref="C46:M46" si="4">+SUM(C2:C45)</f>
        <v>0</v>
      </c>
      <c r="D46" s="33">
        <f t="shared" si="4"/>
        <v>0</v>
      </c>
      <c r="E46" s="33">
        <f t="shared" si="4"/>
        <v>0</v>
      </c>
      <c r="F46" s="33">
        <f t="shared" si="4"/>
        <v>0</v>
      </c>
      <c r="G46" s="33">
        <f t="shared" si="4"/>
        <v>0</v>
      </c>
      <c r="H46" s="33">
        <f t="shared" si="4"/>
        <v>0</v>
      </c>
      <c r="I46" s="33">
        <f t="shared" si="4"/>
        <v>0</v>
      </c>
      <c r="J46" s="33">
        <f t="shared" si="4"/>
        <v>0</v>
      </c>
      <c r="K46" s="33">
        <f t="shared" si="4"/>
        <v>0</v>
      </c>
      <c r="L46" s="33">
        <f t="shared" si="4"/>
        <v>0</v>
      </c>
      <c r="M46" s="33">
        <f t="shared" si="4"/>
        <v>0</v>
      </c>
    </row>
    <row r="47" spans="1:50">
      <c r="A47" t="s">
        <v>387</v>
      </c>
      <c r="C47">
        <f>+COUNTIF(Asistente_Torneo[1],$A47)</f>
        <v>40</v>
      </c>
      <c r="D47">
        <f>+COUNTIF(Asistente_Torneo[2],$A47)</f>
        <v>40</v>
      </c>
      <c r="E47">
        <f>+COUNTIF(Asistente_Torneo[3],$A47)</f>
        <v>40</v>
      </c>
      <c r="F47">
        <f>+COUNTIF(Asistente_Torneo[4],$A47)</f>
        <v>40</v>
      </c>
      <c r="G47">
        <f>+COUNTIF(Asistente_Torneo[5],$A47)</f>
        <v>40</v>
      </c>
      <c r="H47">
        <f>+COUNTIF(Asistente_Torneo[6],$A47)</f>
        <v>40</v>
      </c>
      <c r="I47">
        <f>+COUNTIF(Asistente_Torneo[7],$A47)</f>
        <v>40</v>
      </c>
      <c r="J47">
        <f>+COUNTIF(Asistente_Torneo[8],$A47)</f>
        <v>40</v>
      </c>
      <c r="K47">
        <f>+COUNTIF(Asistente_Torneo[9],$A47)</f>
        <v>40</v>
      </c>
      <c r="L47">
        <v>19</v>
      </c>
      <c r="M47">
        <f>+COUNTIF(Asistente_Torneo[11],$A47)</f>
        <v>40</v>
      </c>
    </row>
    <row r="48" spans="1:50">
      <c r="A48">
        <v>1</v>
      </c>
      <c r="C48">
        <f t="shared" ref="C48:M55" si="5">+COUNTIF(C$2:C$45,$A48)</f>
        <v>0</v>
      </c>
      <c r="D48">
        <f t="shared" si="5"/>
        <v>0</v>
      </c>
      <c r="E48">
        <f t="shared" si="5"/>
        <v>0</v>
      </c>
      <c r="F48">
        <f t="shared" si="5"/>
        <v>0</v>
      </c>
      <c r="G48">
        <f t="shared" si="5"/>
        <v>0</v>
      </c>
      <c r="H48">
        <f t="shared" si="5"/>
        <v>0</v>
      </c>
      <c r="I48">
        <f t="shared" si="5"/>
        <v>0</v>
      </c>
      <c r="J48">
        <f t="shared" si="5"/>
        <v>0</v>
      </c>
      <c r="K48">
        <f t="shared" si="5"/>
        <v>0</v>
      </c>
      <c r="L48">
        <f t="shared" si="5"/>
        <v>0</v>
      </c>
      <c r="M48">
        <f t="shared" si="5"/>
        <v>0</v>
      </c>
    </row>
    <row r="49" spans="1:29">
      <c r="A49">
        <v>2</v>
      </c>
      <c r="C49">
        <f t="shared" si="5"/>
        <v>0</v>
      </c>
      <c r="D49">
        <f t="shared" si="5"/>
        <v>0</v>
      </c>
      <c r="E49">
        <f t="shared" si="5"/>
        <v>0</v>
      </c>
      <c r="F49">
        <f t="shared" si="5"/>
        <v>0</v>
      </c>
      <c r="G49">
        <f t="shared" si="5"/>
        <v>0</v>
      </c>
      <c r="H49">
        <f t="shared" si="5"/>
        <v>0</v>
      </c>
      <c r="I49">
        <f t="shared" si="5"/>
        <v>0</v>
      </c>
      <c r="J49">
        <f t="shared" si="5"/>
        <v>0</v>
      </c>
      <c r="K49">
        <f t="shared" si="5"/>
        <v>0</v>
      </c>
      <c r="L49">
        <f t="shared" si="5"/>
        <v>0</v>
      </c>
      <c r="M49">
        <f t="shared" si="5"/>
        <v>0</v>
      </c>
    </row>
    <row r="50" spans="1:29">
      <c r="A50">
        <v>3</v>
      </c>
      <c r="C50">
        <f t="shared" si="5"/>
        <v>0</v>
      </c>
      <c r="D50">
        <f t="shared" si="5"/>
        <v>0</v>
      </c>
      <c r="E50">
        <f t="shared" si="5"/>
        <v>0</v>
      </c>
      <c r="F50">
        <f t="shared" si="5"/>
        <v>0</v>
      </c>
      <c r="G50">
        <f t="shared" si="5"/>
        <v>0</v>
      </c>
      <c r="H50">
        <f t="shared" si="5"/>
        <v>0</v>
      </c>
      <c r="I50">
        <f t="shared" si="5"/>
        <v>0</v>
      </c>
      <c r="J50">
        <f t="shared" si="5"/>
        <v>0</v>
      </c>
      <c r="K50">
        <f t="shared" si="5"/>
        <v>0</v>
      </c>
      <c r="L50">
        <f t="shared" si="5"/>
        <v>0</v>
      </c>
      <c r="M50">
        <f t="shared" si="5"/>
        <v>0</v>
      </c>
      <c r="AC50" t="e">
        <f>+VLOOKUP(AC$41,'Partidos por Jugadores'!$A$2:$K$30,10,FALSE)</f>
        <v>#N/A</v>
      </c>
    </row>
    <row r="51" spans="1:29">
      <c r="A51">
        <v>4</v>
      </c>
      <c r="C51">
        <f t="shared" si="5"/>
        <v>0</v>
      </c>
      <c r="D51">
        <f t="shared" si="5"/>
        <v>0</v>
      </c>
      <c r="E51">
        <f t="shared" si="5"/>
        <v>0</v>
      </c>
      <c r="F51">
        <f t="shared" si="5"/>
        <v>0</v>
      </c>
      <c r="G51">
        <f t="shared" si="5"/>
        <v>0</v>
      </c>
      <c r="H51">
        <f t="shared" si="5"/>
        <v>0</v>
      </c>
      <c r="I51">
        <f t="shared" si="5"/>
        <v>0</v>
      </c>
      <c r="J51">
        <f t="shared" si="5"/>
        <v>0</v>
      </c>
      <c r="K51">
        <f t="shared" si="5"/>
        <v>0</v>
      </c>
      <c r="L51">
        <f t="shared" si="5"/>
        <v>0</v>
      </c>
      <c r="M51">
        <f t="shared" si="5"/>
        <v>0</v>
      </c>
      <c r="AC51" t="e">
        <f>+VLOOKUP(AC$41,'Partidos por Jugadores'!$A$2:$K$30,11,FALSE)</f>
        <v>#N/A</v>
      </c>
    </row>
    <row r="52" spans="1:29">
      <c r="A52">
        <v>5</v>
      </c>
      <c r="C52">
        <f t="shared" si="5"/>
        <v>0</v>
      </c>
      <c r="D52">
        <f t="shared" si="5"/>
        <v>0</v>
      </c>
      <c r="E52">
        <f t="shared" si="5"/>
        <v>0</v>
      </c>
      <c r="F52">
        <f t="shared" si="5"/>
        <v>0</v>
      </c>
      <c r="G52">
        <f t="shared" si="5"/>
        <v>0</v>
      </c>
      <c r="H52">
        <f t="shared" si="5"/>
        <v>0</v>
      </c>
      <c r="I52">
        <f t="shared" si="5"/>
        <v>0</v>
      </c>
      <c r="J52">
        <f t="shared" si="5"/>
        <v>0</v>
      </c>
      <c r="K52">
        <f t="shared" si="5"/>
        <v>0</v>
      </c>
      <c r="L52">
        <f t="shared" si="5"/>
        <v>0</v>
      </c>
      <c r="M52">
        <f t="shared" si="5"/>
        <v>0</v>
      </c>
      <c r="AC52" t="e">
        <f t="shared" ref="AC52" si="6">+SUM(AC50:AC51)</f>
        <v>#N/A</v>
      </c>
    </row>
    <row r="53" spans="1:29">
      <c r="A53">
        <v>6</v>
      </c>
      <c r="C53">
        <f t="shared" si="5"/>
        <v>0</v>
      </c>
      <c r="D53">
        <f t="shared" si="5"/>
        <v>0</v>
      </c>
      <c r="E53">
        <f t="shared" si="5"/>
        <v>0</v>
      </c>
      <c r="F53">
        <f t="shared" si="5"/>
        <v>0</v>
      </c>
      <c r="G53">
        <f t="shared" si="5"/>
        <v>0</v>
      </c>
      <c r="H53">
        <f t="shared" si="5"/>
        <v>0</v>
      </c>
      <c r="I53">
        <f t="shared" si="5"/>
        <v>0</v>
      </c>
      <c r="J53">
        <f t="shared" si="5"/>
        <v>0</v>
      </c>
      <c r="K53">
        <f t="shared" si="5"/>
        <v>0</v>
      </c>
      <c r="L53">
        <f t="shared" si="5"/>
        <v>0</v>
      </c>
      <c r="M53">
        <f t="shared" si="5"/>
        <v>0</v>
      </c>
    </row>
    <row r="54" spans="1:29">
      <c r="A54">
        <v>7</v>
      </c>
      <c r="C54">
        <f t="shared" si="5"/>
        <v>0</v>
      </c>
      <c r="D54">
        <f t="shared" si="5"/>
        <v>0</v>
      </c>
      <c r="E54">
        <f t="shared" si="5"/>
        <v>0</v>
      </c>
      <c r="F54">
        <f t="shared" si="5"/>
        <v>0</v>
      </c>
      <c r="G54">
        <f t="shared" si="5"/>
        <v>0</v>
      </c>
      <c r="H54">
        <f t="shared" si="5"/>
        <v>0</v>
      </c>
      <c r="I54">
        <f t="shared" si="5"/>
        <v>0</v>
      </c>
      <c r="J54">
        <f t="shared" si="5"/>
        <v>0</v>
      </c>
      <c r="K54">
        <f t="shared" si="5"/>
        <v>0</v>
      </c>
      <c r="L54">
        <f t="shared" si="5"/>
        <v>0</v>
      </c>
      <c r="M54">
        <f t="shared" si="5"/>
        <v>0</v>
      </c>
    </row>
    <row r="55" spans="1:29">
      <c r="A55">
        <v>8</v>
      </c>
      <c r="C55">
        <f t="shared" si="5"/>
        <v>0</v>
      </c>
      <c r="D55">
        <f t="shared" si="5"/>
        <v>0</v>
      </c>
      <c r="E55">
        <f t="shared" si="5"/>
        <v>0</v>
      </c>
      <c r="F55">
        <f t="shared" si="5"/>
        <v>0</v>
      </c>
      <c r="G55">
        <f t="shared" si="5"/>
        <v>0</v>
      </c>
      <c r="H55">
        <f t="shared" si="5"/>
        <v>0</v>
      </c>
      <c r="I55">
        <f t="shared" si="5"/>
        <v>0</v>
      </c>
      <c r="J55">
        <f t="shared" si="5"/>
        <v>0</v>
      </c>
      <c r="K55">
        <f t="shared" si="5"/>
        <v>0</v>
      </c>
      <c r="L55">
        <f t="shared" si="5"/>
        <v>0</v>
      </c>
      <c r="M55">
        <f t="shared" si="5"/>
        <v>0</v>
      </c>
    </row>
    <row r="57" spans="1:29">
      <c r="C57">
        <f>+SUM(C48:C56)</f>
        <v>0</v>
      </c>
      <c r="D57">
        <f>+SUM(D48:D56)</f>
        <v>0</v>
      </c>
      <c r="E57">
        <f t="shared" ref="E57:H57" si="7">+SUM(E48:E56)</f>
        <v>0</v>
      </c>
      <c r="F57">
        <f t="shared" si="7"/>
        <v>0</v>
      </c>
      <c r="G57">
        <f t="shared" si="7"/>
        <v>0</v>
      </c>
      <c r="H57">
        <f t="shared" si="7"/>
        <v>0</v>
      </c>
      <c r="I57">
        <f t="shared" ref="I57:J57" si="8">+SUM(I48:I56)</f>
        <v>0</v>
      </c>
      <c r="J57">
        <f t="shared" si="8"/>
        <v>0</v>
      </c>
      <c r="K57">
        <f t="shared" ref="K57:L57" si="9">+SUM(K48:K56)</f>
        <v>0</v>
      </c>
      <c r="L57">
        <f t="shared" si="9"/>
        <v>0</v>
      </c>
      <c r="M57">
        <f t="shared" ref="M57" si="10">+SUM(M48:M56)</f>
        <v>0</v>
      </c>
    </row>
    <row r="59" spans="1:29">
      <c r="A59">
        <v>3</v>
      </c>
      <c r="C59" t="e">
        <f>+VLOOKUP(C$47,'Partidos por Jugadores'!$A$2:$K$30,10,FALSE)</f>
        <v>#N/A</v>
      </c>
      <c r="D59" t="e">
        <f>+VLOOKUP(D$47,'Partidos por Jugadores'!$A$2:$K$30,10,FALSE)</f>
        <v>#N/A</v>
      </c>
      <c r="E59" t="e">
        <f>+VLOOKUP(E$47,'Partidos por Jugadores'!$A$2:$K$30,10,FALSE)</f>
        <v>#N/A</v>
      </c>
      <c r="F59" t="e">
        <f>+VLOOKUP(F$57,'Partidos por Jugadores'!$A$2:$K$30,10,FALSE)</f>
        <v>#N/A</v>
      </c>
      <c r="G59" t="e">
        <f>+VLOOKUP(G$57,'Partidos por Jugadores'!$A$2:$K$30,10,FALSE)</f>
        <v>#N/A</v>
      </c>
      <c r="H59" t="e">
        <f>+VLOOKUP(H$47,'Partidos por Jugadores'!$A$2:$K$30,10,FALSE)</f>
        <v>#N/A</v>
      </c>
      <c r="I59" t="e">
        <f>+VLOOKUP(I$47,'Partidos por Jugadores'!$A$2:$K$30,10,FALSE)</f>
        <v>#N/A</v>
      </c>
      <c r="J59" t="e">
        <f>+VLOOKUP(J$47,'Partidos por Jugadores'!$A$2:$K$30,10,FALSE)</f>
        <v>#N/A</v>
      </c>
      <c r="K59" t="e">
        <f>+VLOOKUP(K$47,'Partidos por Jugadores'!$A$2:$K$30,10,FALSE)</f>
        <v>#N/A</v>
      </c>
      <c r="L59">
        <f>+VLOOKUP(L$47,'Partidos por Jugadores'!$A$2:$K$30,10,FALSE)</f>
        <v>1</v>
      </c>
      <c r="M59" t="e">
        <f>+VLOOKUP(M$47,'Partidos por Jugadores'!$A$2:$K$30,10,FALSE)</f>
        <v>#N/A</v>
      </c>
    </row>
    <row r="60" spans="1:29">
      <c r="A60">
        <v>4</v>
      </c>
      <c r="C60" t="e">
        <f>+VLOOKUP(C$47,'Partidos por Jugadores'!$A$2:$K$30,11,FALSE)</f>
        <v>#N/A</v>
      </c>
      <c r="D60" t="e">
        <f>+VLOOKUP(D$47,'Partidos por Jugadores'!$A$2:$K$30,11,FALSE)</f>
        <v>#N/A</v>
      </c>
      <c r="E60" t="e">
        <f>+VLOOKUP(E$47,'Partidos por Jugadores'!$A$2:$K$30,11,FALSE)</f>
        <v>#N/A</v>
      </c>
      <c r="F60" t="e">
        <f>+VLOOKUP(F$57,'Partidos por Jugadores'!$A$2:$K$30,11,FALSE)</f>
        <v>#N/A</v>
      </c>
      <c r="G60" t="e">
        <f>+VLOOKUP(G$57,'Partidos por Jugadores'!$A$2:$K$30,11,FALSE)</f>
        <v>#N/A</v>
      </c>
      <c r="H60" t="e">
        <f>+VLOOKUP(H$47,'Partidos por Jugadores'!$A$2:$K$30,11,FALSE)</f>
        <v>#N/A</v>
      </c>
      <c r="I60" t="e">
        <f>+VLOOKUP(I$47,'Partidos por Jugadores'!$A$2:$K$30,11,FALSE)</f>
        <v>#N/A</v>
      </c>
      <c r="J60" t="e">
        <f>+VLOOKUP(J$47,'Partidos por Jugadores'!$A$2:$K$30,11,FALSE)</f>
        <v>#N/A</v>
      </c>
      <c r="K60" t="e">
        <f>+VLOOKUP(K$47,'Partidos por Jugadores'!$A$2:$K$30,11,FALSE)</f>
        <v>#N/A</v>
      </c>
      <c r="L60">
        <f>+VLOOKUP(L$47,'Partidos por Jugadores'!$A$2:$K$30,11,FALSE)</f>
        <v>4</v>
      </c>
      <c r="M60" t="e">
        <f>+VLOOKUP(M$47,'Partidos por Jugadores'!$A$2:$K$30,11,FALSE)</f>
        <v>#N/A</v>
      </c>
    </row>
    <row r="61" spans="1:29">
      <c r="C61" t="e">
        <f>+SUM(C59:C60)</f>
        <v>#N/A</v>
      </c>
      <c r="D61" t="e">
        <f t="shared" ref="D61:J61" si="11">+SUM(D59:D60)</f>
        <v>#N/A</v>
      </c>
      <c r="E61" t="e">
        <f t="shared" si="11"/>
        <v>#N/A</v>
      </c>
      <c r="F61" t="e">
        <f>+VLOOKUP(F$57,'Partidos por Jugadores'!$A$2:$K$30,10,FALSE)</f>
        <v>#N/A</v>
      </c>
      <c r="G61" t="e">
        <f t="shared" si="11"/>
        <v>#N/A</v>
      </c>
      <c r="H61" t="e">
        <f t="shared" si="11"/>
        <v>#N/A</v>
      </c>
      <c r="I61" t="e">
        <f t="shared" si="11"/>
        <v>#N/A</v>
      </c>
      <c r="J61" t="e">
        <f t="shared" si="11"/>
        <v>#N/A</v>
      </c>
      <c r="K61" t="e">
        <f t="shared" ref="K61:L61" si="12">+SUM(K59:K60)</f>
        <v>#N/A</v>
      </c>
      <c r="L61">
        <f t="shared" si="12"/>
        <v>5</v>
      </c>
      <c r="M61" t="e">
        <f t="shared" ref="M61" si="13">+SUM(M59:M60)</f>
        <v>#N/A</v>
      </c>
    </row>
    <row r="62" spans="1:29">
      <c r="C62" t="e">
        <f t="shared" ref="C62:L62" si="14">+C59*$A59+C60*$A$60</f>
        <v>#N/A</v>
      </c>
      <c r="D62" t="e">
        <f t="shared" si="14"/>
        <v>#N/A</v>
      </c>
      <c r="E62" t="e">
        <f t="shared" si="14"/>
        <v>#N/A</v>
      </c>
      <c r="F62" t="e">
        <f>+VLOOKUP(F$57,'Partidos por Jugadores'!$A$2:$K$30,10,FALSE)</f>
        <v>#N/A</v>
      </c>
      <c r="G62" t="e">
        <f t="shared" si="14"/>
        <v>#N/A</v>
      </c>
      <c r="H62" t="e">
        <f t="shared" si="14"/>
        <v>#N/A</v>
      </c>
      <c r="I62" t="e">
        <f t="shared" si="14"/>
        <v>#N/A</v>
      </c>
      <c r="J62" t="e">
        <f t="shared" si="14"/>
        <v>#N/A</v>
      </c>
      <c r="K62" t="e">
        <f t="shared" si="14"/>
        <v>#N/A</v>
      </c>
      <c r="L62">
        <f t="shared" si="14"/>
        <v>19</v>
      </c>
      <c r="M62" t="e">
        <f t="shared" ref="M62" si="15">+M59*$A59+M60*$A$60</f>
        <v>#N/A</v>
      </c>
    </row>
  </sheetData>
  <autoFilter ref="P4:U46" xr:uid="{E6C1551B-C4FA-4A8B-AB47-FCA3EEC424C8}"/>
  <sortState xmlns:xlrd2="http://schemas.microsoft.com/office/spreadsheetml/2017/richdata2" ref="AT2:AU25">
    <sortCondition ref="AT2:AT25"/>
  </sortState>
  <phoneticPr fontId="25" type="noConversion"/>
  <conditionalFormatting sqref="C2:D41 C41:E44">
    <cfRule type="expression" dxfId="6" priority="4">
      <formula>C2="Si"</formula>
    </cfRule>
  </conditionalFormatting>
  <conditionalFormatting sqref="E2:E41">
    <cfRule type="expression" dxfId="5" priority="3">
      <formula>E2="Si"</formula>
    </cfRule>
  </conditionalFormatting>
  <conditionalFormatting sqref="AC2:AC41">
    <cfRule type="expression" dxfId="4" priority="1">
      <formula>$AC2&lt;&gt;0</formula>
    </cfRule>
  </conditionalFormatting>
  <conditionalFormatting sqref="AE2:AE41">
    <cfRule type="expression" dxfId="3" priority="2">
      <formula>$AE2&lt;&gt;""</formula>
    </cfRule>
  </conditionalFormatting>
  <pageMargins left="0.7" right="0.7" top="0.75" bottom="0.75" header="0.3" footer="0.3"/>
  <pageSetup paperSize="9" orientation="portrait" horizontalDpi="1200" verticalDpi="1200" r:id="rId2"/>
  <tableParts count="1">
    <tablePart r:id="rId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F3C99-D4DF-4309-A391-DB8D8E436E0C}">
  <sheetPr>
    <tabColor theme="1" tint="4.9989318521683403E-2"/>
  </sheetPr>
  <dimension ref="A1:O9"/>
  <sheetViews>
    <sheetView workbookViewId="0">
      <selection activeCell="B1" sqref="B1"/>
    </sheetView>
  </sheetViews>
  <sheetFormatPr baseColWidth="10" defaultColWidth="10.75" defaultRowHeight="15.75" outlineLevelCol="1"/>
  <cols>
    <col min="1" max="1" width="27" bestFit="1" customWidth="1"/>
    <col min="2" max="2" width="6.875" customWidth="1" outlineLevel="1"/>
    <col min="3" max="11" width="3.75" bestFit="1" customWidth="1" outlineLevel="1"/>
    <col min="12" max="13" width="5.25" bestFit="1" customWidth="1" outlineLevel="1"/>
    <col min="14" max="14" width="10.75" customWidth="1" outlineLevel="1"/>
    <col min="15" max="15" width="15.375" bestFit="1" customWidth="1"/>
  </cols>
  <sheetData>
    <row r="1" spans="1:15">
      <c r="A1" t="s">
        <v>0</v>
      </c>
      <c r="B1" s="31" t="s">
        <v>358</v>
      </c>
      <c r="C1" t="s">
        <v>89</v>
      </c>
      <c r="D1" t="s">
        <v>90</v>
      </c>
      <c r="E1" t="s">
        <v>91</v>
      </c>
      <c r="F1" t="s">
        <v>92</v>
      </c>
      <c r="G1" t="s">
        <v>234</v>
      </c>
      <c r="H1" t="s">
        <v>235</v>
      </c>
      <c r="I1" t="s">
        <v>236</v>
      </c>
      <c r="J1" t="s">
        <v>237</v>
      </c>
      <c r="K1" t="s">
        <v>238</v>
      </c>
      <c r="L1" t="s">
        <v>239</v>
      </c>
      <c r="M1" t="s">
        <v>240</v>
      </c>
      <c r="O1" s="66" t="s">
        <v>342</v>
      </c>
    </row>
    <row r="2" spans="1:15">
      <c r="A2" s="32"/>
      <c r="B2" s="13"/>
      <c r="O2" s="67" t="s">
        <v>9</v>
      </c>
    </row>
    <row r="3" spans="1:15">
      <c r="B3" s="19"/>
      <c r="O3" s="68" t="s">
        <v>49</v>
      </c>
    </row>
    <row r="4" spans="1:15">
      <c r="A4" s="10"/>
      <c r="B4" s="13"/>
      <c r="O4" s="68" t="s">
        <v>9</v>
      </c>
    </row>
    <row r="5" spans="1:15">
      <c r="B5" s="19"/>
      <c r="O5" s="67" t="s">
        <v>35</v>
      </c>
    </row>
    <row r="6" spans="1:15">
      <c r="B6" s="19"/>
      <c r="O6" s="68" t="s">
        <v>6</v>
      </c>
    </row>
    <row r="7" spans="1:15">
      <c r="A7" s="19"/>
      <c r="B7" s="13"/>
      <c r="O7" s="79" t="s">
        <v>35</v>
      </c>
    </row>
    <row r="8" spans="1:15">
      <c r="A8" s="19"/>
      <c r="B8" s="19"/>
      <c r="O8" s="79" t="s">
        <v>291</v>
      </c>
    </row>
    <row r="9" spans="1:15">
      <c r="A9" s="19"/>
      <c r="B9" s="19"/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6306D-3522-434A-ADDC-29E5C74209E2}">
  <sheetPr>
    <tabColor theme="1" tint="4.9989318521683403E-2"/>
  </sheetPr>
  <dimension ref="A1:K776"/>
  <sheetViews>
    <sheetView topLeftCell="A347" workbookViewId="0">
      <selection activeCell="F14" sqref="F14"/>
    </sheetView>
  </sheetViews>
  <sheetFormatPr baseColWidth="10" defaultColWidth="10.75" defaultRowHeight="15.75"/>
  <cols>
    <col min="1" max="1" width="11.25" customWidth="1"/>
    <col min="2" max="2" width="12.25" customWidth="1"/>
    <col min="3" max="4" width="11.75" customWidth="1"/>
  </cols>
  <sheetData>
    <row r="1" spans="1:11">
      <c r="A1" t="s">
        <v>180</v>
      </c>
      <c r="B1" t="s">
        <v>2426</v>
      </c>
      <c r="C1" t="s">
        <v>2427</v>
      </c>
      <c r="D1" t="s">
        <v>2428</v>
      </c>
      <c r="E1" t="s">
        <v>68</v>
      </c>
      <c r="F1" t="s">
        <v>2429</v>
      </c>
      <c r="G1" t="s">
        <v>2432</v>
      </c>
      <c r="H1" t="s">
        <v>2431</v>
      </c>
      <c r="I1" t="s">
        <v>2430</v>
      </c>
      <c r="J1" t="s">
        <v>2433</v>
      </c>
      <c r="K1" t="s">
        <v>2434</v>
      </c>
    </row>
    <row r="2" spans="1:11">
      <c r="A2">
        <f t="shared" ref="A2:A3" si="0">+IF(ROW(A1)=1,10,IF(A1=E1,A1+1,A1))</f>
        <v>10</v>
      </c>
      <c r="B2">
        <f>+ROUNDUP(A2/4,0)</f>
        <v>3</v>
      </c>
      <c r="C2">
        <f>+(B2-A2/4)/0.25</f>
        <v>2</v>
      </c>
      <c r="D2">
        <f>+B2-C2</f>
        <v>1</v>
      </c>
      <c r="E2">
        <f>+IF(ROW(E1)=1,1,IF(E1=A1,1,E1+1))</f>
        <v>1</v>
      </c>
      <c r="F2">
        <f>3*DesarrolloPartidos[[#This Row],[Partidos_3]]</f>
        <v>6</v>
      </c>
      <c r="G2">
        <f>IF(DesarrolloPartidos[[#This Row],[Partidos_3]]=0,0,ROUNDUP(DesarrolloPartidos[[#This Row],[Orden]]/DesarrolloPartidos[[#This Row],[JugEnPart3]]*DesarrolloPartidos[[#This Row],[Partidos_3]],0))</f>
        <v>1</v>
      </c>
      <c r="H2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2">
        <f>IF(AND(DesarrolloPartidos[[#This Row],[PartidosSolo3]]&lt;=DesarrolloPartidos[[#This Row],[Partidos_3]],DesarrolloPartidos[[#This Row],[PartidosSolo3]]&lt;&gt;0),DesarrolloPartidos[[#This Row],[PartidosSolo3]],"")</f>
        <v>1</v>
      </c>
      <c r="J2">
        <f>+IF(DesarrolloPartidos[[#This Row],[Partidos3]]="",DesarrolloPartidos[[#This Row],[Partidos4]],DesarrolloPartidos[[#This Row],[Partidos3]])</f>
        <v>1</v>
      </c>
      <c r="K2" t="str">
        <f>+DesarrolloPartidos[[#This Row],[Jugadores]]&amp;":"&amp;DesarrolloPartidos[[#This Row],[Orden]]</f>
        <v>10:1</v>
      </c>
    </row>
    <row r="3" spans="1:11">
      <c r="A3">
        <f t="shared" si="0"/>
        <v>10</v>
      </c>
      <c r="B3">
        <f t="shared" ref="B3:B66" si="1">+ROUNDUP(A3/4,0)</f>
        <v>3</v>
      </c>
      <c r="C3">
        <f t="shared" ref="C3" si="2">+(B3-A3/4)/0.25</f>
        <v>2</v>
      </c>
      <c r="D3">
        <f t="shared" ref="D3" si="3">+B3-C3</f>
        <v>1</v>
      </c>
      <c r="E3">
        <f t="shared" ref="E3" si="4">+IF(ROW(E2)=1,1,IF(E2=A2,1,E2+1))</f>
        <v>2</v>
      </c>
      <c r="F3">
        <f>3*DesarrolloPartidos[[#This Row],[Partidos_3]]</f>
        <v>6</v>
      </c>
      <c r="G3">
        <f>IF(DesarrolloPartidos[[#This Row],[Partidos_3]]=0,0,ROUNDUP(DesarrolloPartidos[[#This Row],[Orden]]/DesarrolloPartidos[[#This Row],[JugEnPart3]]*DesarrolloPartidos[[#This Row],[Partidos_3]],0))</f>
        <v>1</v>
      </c>
      <c r="H3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3">
        <f>IF(AND(DesarrolloPartidos[[#This Row],[PartidosSolo3]]&lt;=DesarrolloPartidos[[#This Row],[Partidos_3]],DesarrolloPartidos[[#This Row],[PartidosSolo3]]&lt;&gt;0),DesarrolloPartidos[[#This Row],[PartidosSolo3]],"")</f>
        <v>1</v>
      </c>
      <c r="J3">
        <f>+IF(DesarrolloPartidos[[#This Row],[Partidos3]]="",DesarrolloPartidos[[#This Row],[Partidos4]],DesarrolloPartidos[[#This Row],[Partidos3]])</f>
        <v>1</v>
      </c>
      <c r="K3" t="str">
        <f>+DesarrolloPartidos[[#This Row],[Jugadores]]&amp;":"&amp;DesarrolloPartidos[[#This Row],[Orden]]</f>
        <v>10:2</v>
      </c>
    </row>
    <row r="4" spans="1:11">
      <c r="A4">
        <f t="shared" ref="A4:A67" si="5">+IF(ROW(A3)=1,10,IF(A3=E3,A3+1,A3))</f>
        <v>10</v>
      </c>
      <c r="B4">
        <f t="shared" si="1"/>
        <v>3</v>
      </c>
      <c r="C4">
        <f t="shared" ref="C4:C67" si="6">+(B4-A4/4)/0.25</f>
        <v>2</v>
      </c>
      <c r="D4">
        <f t="shared" ref="D4:D67" si="7">+B4-C4</f>
        <v>1</v>
      </c>
      <c r="E4">
        <f t="shared" ref="E4:E67" si="8">+IF(ROW(E3)=1,1,IF(E3=A3,1,E3+1))</f>
        <v>3</v>
      </c>
      <c r="F4">
        <f>3*DesarrolloPartidos[[#This Row],[Partidos_3]]</f>
        <v>6</v>
      </c>
      <c r="G4">
        <f>IF(DesarrolloPartidos[[#This Row],[Partidos_3]]=0,0,ROUNDUP(DesarrolloPartidos[[#This Row],[Orden]]/DesarrolloPartidos[[#This Row],[JugEnPart3]]*DesarrolloPartidos[[#This Row],[Partidos_3]],0))</f>
        <v>1</v>
      </c>
      <c r="H4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4">
        <f>IF(AND(DesarrolloPartidos[[#This Row],[PartidosSolo3]]&lt;=DesarrolloPartidos[[#This Row],[Partidos_3]],DesarrolloPartidos[[#This Row],[PartidosSolo3]]&lt;&gt;0),DesarrolloPartidos[[#This Row],[PartidosSolo3]],"")</f>
        <v>1</v>
      </c>
      <c r="J4">
        <f>+IF(DesarrolloPartidos[[#This Row],[Partidos3]]="",DesarrolloPartidos[[#This Row],[Partidos4]],DesarrolloPartidos[[#This Row],[Partidos3]])</f>
        <v>1</v>
      </c>
      <c r="K4" t="str">
        <f>+DesarrolloPartidos[[#This Row],[Jugadores]]&amp;":"&amp;DesarrolloPartidos[[#This Row],[Orden]]</f>
        <v>10:3</v>
      </c>
    </row>
    <row r="5" spans="1:11">
      <c r="A5">
        <f t="shared" si="5"/>
        <v>10</v>
      </c>
      <c r="B5">
        <f t="shared" si="1"/>
        <v>3</v>
      </c>
      <c r="C5">
        <f t="shared" si="6"/>
        <v>2</v>
      </c>
      <c r="D5">
        <f t="shared" si="7"/>
        <v>1</v>
      </c>
      <c r="E5">
        <f t="shared" si="8"/>
        <v>4</v>
      </c>
      <c r="F5">
        <f>3*DesarrolloPartidos[[#This Row],[Partidos_3]]</f>
        <v>6</v>
      </c>
      <c r="G5">
        <f>IF(DesarrolloPartidos[[#This Row],[Partidos_3]]=0,0,ROUNDUP(DesarrolloPartidos[[#This Row],[Orden]]/DesarrolloPartidos[[#This Row],[JugEnPart3]]*DesarrolloPartidos[[#This Row],[Partidos_3]],0))</f>
        <v>2</v>
      </c>
      <c r="H5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5">
        <f>IF(AND(DesarrolloPartidos[[#This Row],[PartidosSolo3]]&lt;=DesarrolloPartidos[[#This Row],[Partidos_3]],DesarrolloPartidos[[#This Row],[PartidosSolo3]]&lt;&gt;0),DesarrolloPartidos[[#This Row],[PartidosSolo3]],"")</f>
        <v>2</v>
      </c>
      <c r="J5">
        <f>+IF(DesarrolloPartidos[[#This Row],[Partidos3]]="",DesarrolloPartidos[[#This Row],[Partidos4]],DesarrolloPartidos[[#This Row],[Partidos3]])</f>
        <v>2</v>
      </c>
      <c r="K5" t="str">
        <f>+DesarrolloPartidos[[#This Row],[Jugadores]]&amp;":"&amp;DesarrolloPartidos[[#This Row],[Orden]]</f>
        <v>10:4</v>
      </c>
    </row>
    <row r="6" spans="1:11">
      <c r="A6">
        <f t="shared" si="5"/>
        <v>10</v>
      </c>
      <c r="B6">
        <f t="shared" si="1"/>
        <v>3</v>
      </c>
      <c r="C6">
        <f t="shared" si="6"/>
        <v>2</v>
      </c>
      <c r="D6">
        <f t="shared" si="7"/>
        <v>1</v>
      </c>
      <c r="E6">
        <f t="shared" si="8"/>
        <v>5</v>
      </c>
      <c r="F6">
        <f>3*DesarrolloPartidos[[#This Row],[Partidos_3]]</f>
        <v>6</v>
      </c>
      <c r="G6">
        <f>IF(DesarrolloPartidos[[#This Row],[Partidos_3]]=0,0,ROUNDUP(DesarrolloPartidos[[#This Row],[Orden]]/DesarrolloPartidos[[#This Row],[JugEnPart3]]*DesarrolloPartidos[[#This Row],[Partidos_3]],0))</f>
        <v>2</v>
      </c>
      <c r="H6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6">
        <f>IF(AND(DesarrolloPartidos[[#This Row],[PartidosSolo3]]&lt;=DesarrolloPartidos[[#This Row],[Partidos_3]],DesarrolloPartidos[[#This Row],[PartidosSolo3]]&lt;&gt;0),DesarrolloPartidos[[#This Row],[PartidosSolo3]],"")</f>
        <v>2</v>
      </c>
      <c r="J6">
        <f>+IF(DesarrolloPartidos[[#This Row],[Partidos3]]="",DesarrolloPartidos[[#This Row],[Partidos4]],DesarrolloPartidos[[#This Row],[Partidos3]])</f>
        <v>2</v>
      </c>
      <c r="K6" t="str">
        <f>+DesarrolloPartidos[[#This Row],[Jugadores]]&amp;":"&amp;DesarrolloPartidos[[#This Row],[Orden]]</f>
        <v>10:5</v>
      </c>
    </row>
    <row r="7" spans="1:11">
      <c r="A7">
        <f t="shared" si="5"/>
        <v>10</v>
      </c>
      <c r="B7">
        <f t="shared" si="1"/>
        <v>3</v>
      </c>
      <c r="C7">
        <f t="shared" si="6"/>
        <v>2</v>
      </c>
      <c r="D7">
        <f t="shared" si="7"/>
        <v>1</v>
      </c>
      <c r="E7">
        <f t="shared" si="8"/>
        <v>6</v>
      </c>
      <c r="F7">
        <f>3*DesarrolloPartidos[[#This Row],[Partidos_3]]</f>
        <v>6</v>
      </c>
      <c r="G7">
        <f>IF(DesarrolloPartidos[[#This Row],[Partidos_3]]=0,0,ROUNDUP(DesarrolloPartidos[[#This Row],[Orden]]/DesarrolloPartidos[[#This Row],[JugEnPart3]]*DesarrolloPartidos[[#This Row],[Partidos_3]],0))</f>
        <v>2</v>
      </c>
      <c r="H7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7">
        <f>IF(AND(DesarrolloPartidos[[#This Row],[PartidosSolo3]]&lt;=DesarrolloPartidos[[#This Row],[Partidos_3]],DesarrolloPartidos[[#This Row],[PartidosSolo3]]&lt;&gt;0),DesarrolloPartidos[[#This Row],[PartidosSolo3]],"")</f>
        <v>2</v>
      </c>
      <c r="J7">
        <f>+IF(DesarrolloPartidos[[#This Row],[Partidos3]]="",DesarrolloPartidos[[#This Row],[Partidos4]],DesarrolloPartidos[[#This Row],[Partidos3]])</f>
        <v>2</v>
      </c>
      <c r="K7" t="str">
        <f>+DesarrolloPartidos[[#This Row],[Jugadores]]&amp;":"&amp;DesarrolloPartidos[[#This Row],[Orden]]</f>
        <v>10:6</v>
      </c>
    </row>
    <row r="8" spans="1:11">
      <c r="A8">
        <f t="shared" si="5"/>
        <v>10</v>
      </c>
      <c r="B8">
        <f t="shared" si="1"/>
        <v>3</v>
      </c>
      <c r="C8">
        <f t="shared" si="6"/>
        <v>2</v>
      </c>
      <c r="D8">
        <f t="shared" si="7"/>
        <v>1</v>
      </c>
      <c r="E8">
        <f t="shared" si="8"/>
        <v>7</v>
      </c>
      <c r="F8">
        <f>3*DesarrolloPartidos[[#This Row],[Partidos_3]]</f>
        <v>6</v>
      </c>
      <c r="G8">
        <f>IF(DesarrolloPartidos[[#This Row],[Partidos_3]]=0,0,ROUNDUP(DesarrolloPartidos[[#This Row],[Orden]]/DesarrolloPartidos[[#This Row],[JugEnPart3]]*DesarrolloPartidos[[#This Row],[Partidos_3]],0))</f>
        <v>3</v>
      </c>
      <c r="H8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3</v>
      </c>
      <c r="I8" t="str">
        <f>IF(AND(DesarrolloPartidos[[#This Row],[PartidosSolo3]]&lt;=DesarrolloPartidos[[#This Row],[Partidos_3]],DesarrolloPartidos[[#This Row],[PartidosSolo3]]&lt;&gt;0),DesarrolloPartidos[[#This Row],[PartidosSolo3]],"")</f>
        <v/>
      </c>
      <c r="J8">
        <f>+IF(DesarrolloPartidos[[#This Row],[Partidos3]]="",DesarrolloPartidos[[#This Row],[Partidos4]],DesarrolloPartidos[[#This Row],[Partidos3]])</f>
        <v>3</v>
      </c>
      <c r="K8" t="str">
        <f>+DesarrolloPartidos[[#This Row],[Jugadores]]&amp;":"&amp;DesarrolloPartidos[[#This Row],[Orden]]</f>
        <v>10:7</v>
      </c>
    </row>
    <row r="9" spans="1:11">
      <c r="A9">
        <f t="shared" si="5"/>
        <v>10</v>
      </c>
      <c r="B9">
        <f t="shared" si="1"/>
        <v>3</v>
      </c>
      <c r="C9">
        <f t="shared" si="6"/>
        <v>2</v>
      </c>
      <c r="D9">
        <f t="shared" si="7"/>
        <v>1</v>
      </c>
      <c r="E9">
        <f t="shared" si="8"/>
        <v>8</v>
      </c>
      <c r="F9">
        <f>3*DesarrolloPartidos[[#This Row],[Partidos_3]]</f>
        <v>6</v>
      </c>
      <c r="G9">
        <f>IF(DesarrolloPartidos[[#This Row],[Partidos_3]]=0,0,ROUNDUP(DesarrolloPartidos[[#This Row],[Orden]]/DesarrolloPartidos[[#This Row],[JugEnPart3]]*DesarrolloPartidos[[#This Row],[Partidos_3]],0))</f>
        <v>3</v>
      </c>
      <c r="H9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3</v>
      </c>
      <c r="I9" t="str">
        <f>IF(AND(DesarrolloPartidos[[#This Row],[PartidosSolo3]]&lt;=DesarrolloPartidos[[#This Row],[Partidos_3]],DesarrolloPartidos[[#This Row],[PartidosSolo3]]&lt;&gt;0),DesarrolloPartidos[[#This Row],[PartidosSolo3]],"")</f>
        <v/>
      </c>
      <c r="J9">
        <f>+IF(DesarrolloPartidos[[#This Row],[Partidos3]]="",DesarrolloPartidos[[#This Row],[Partidos4]],DesarrolloPartidos[[#This Row],[Partidos3]])</f>
        <v>3</v>
      </c>
      <c r="K9" t="str">
        <f>+DesarrolloPartidos[[#This Row],[Jugadores]]&amp;":"&amp;DesarrolloPartidos[[#This Row],[Orden]]</f>
        <v>10:8</v>
      </c>
    </row>
    <row r="10" spans="1:11">
      <c r="A10">
        <f t="shared" si="5"/>
        <v>10</v>
      </c>
      <c r="B10">
        <f t="shared" si="1"/>
        <v>3</v>
      </c>
      <c r="C10">
        <f t="shared" si="6"/>
        <v>2</v>
      </c>
      <c r="D10">
        <f t="shared" si="7"/>
        <v>1</v>
      </c>
      <c r="E10">
        <f t="shared" si="8"/>
        <v>9</v>
      </c>
      <c r="F10">
        <f>3*DesarrolloPartidos[[#This Row],[Partidos_3]]</f>
        <v>6</v>
      </c>
      <c r="G10">
        <f>IF(DesarrolloPartidos[[#This Row],[Partidos_3]]=0,0,ROUNDUP(DesarrolloPartidos[[#This Row],[Orden]]/DesarrolloPartidos[[#This Row],[JugEnPart3]]*DesarrolloPartidos[[#This Row],[Partidos_3]],0))</f>
        <v>3</v>
      </c>
      <c r="H10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3</v>
      </c>
      <c r="I10" t="str">
        <f>IF(AND(DesarrolloPartidos[[#This Row],[PartidosSolo3]]&lt;=DesarrolloPartidos[[#This Row],[Partidos_3]],DesarrolloPartidos[[#This Row],[PartidosSolo3]]&lt;&gt;0),DesarrolloPartidos[[#This Row],[PartidosSolo3]],"")</f>
        <v/>
      </c>
      <c r="J10">
        <f>+IF(DesarrolloPartidos[[#This Row],[Partidos3]]="",DesarrolloPartidos[[#This Row],[Partidos4]],DesarrolloPartidos[[#This Row],[Partidos3]])</f>
        <v>3</v>
      </c>
      <c r="K10" t="str">
        <f>+DesarrolloPartidos[[#This Row],[Jugadores]]&amp;":"&amp;DesarrolloPartidos[[#This Row],[Orden]]</f>
        <v>10:9</v>
      </c>
    </row>
    <row r="11" spans="1:11">
      <c r="A11">
        <f t="shared" si="5"/>
        <v>10</v>
      </c>
      <c r="B11">
        <f t="shared" si="1"/>
        <v>3</v>
      </c>
      <c r="C11">
        <f t="shared" si="6"/>
        <v>2</v>
      </c>
      <c r="D11">
        <f t="shared" si="7"/>
        <v>1</v>
      </c>
      <c r="E11">
        <f t="shared" si="8"/>
        <v>10</v>
      </c>
      <c r="F11">
        <f>3*DesarrolloPartidos[[#This Row],[Partidos_3]]</f>
        <v>6</v>
      </c>
      <c r="G11">
        <f>IF(DesarrolloPartidos[[#This Row],[Partidos_3]]=0,0,ROUNDUP(DesarrolloPartidos[[#This Row],[Orden]]/DesarrolloPartidos[[#This Row],[JugEnPart3]]*DesarrolloPartidos[[#This Row],[Partidos_3]],0))</f>
        <v>4</v>
      </c>
      <c r="H11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3</v>
      </c>
      <c r="I11" t="str">
        <f>IF(AND(DesarrolloPartidos[[#This Row],[PartidosSolo3]]&lt;=DesarrolloPartidos[[#This Row],[Partidos_3]],DesarrolloPartidos[[#This Row],[PartidosSolo3]]&lt;&gt;0),DesarrolloPartidos[[#This Row],[PartidosSolo3]],"")</f>
        <v/>
      </c>
      <c r="J11">
        <f>+IF(DesarrolloPartidos[[#This Row],[Partidos3]]="",DesarrolloPartidos[[#This Row],[Partidos4]],DesarrolloPartidos[[#This Row],[Partidos3]])</f>
        <v>3</v>
      </c>
      <c r="K11" t="str">
        <f>+DesarrolloPartidos[[#This Row],[Jugadores]]&amp;":"&amp;DesarrolloPartidos[[#This Row],[Orden]]</f>
        <v>10:10</v>
      </c>
    </row>
    <row r="12" spans="1:11">
      <c r="A12">
        <f t="shared" si="5"/>
        <v>11</v>
      </c>
      <c r="B12">
        <f t="shared" si="1"/>
        <v>3</v>
      </c>
      <c r="C12">
        <f t="shared" si="6"/>
        <v>1</v>
      </c>
      <c r="D12">
        <f t="shared" si="7"/>
        <v>2</v>
      </c>
      <c r="E12">
        <f t="shared" si="8"/>
        <v>1</v>
      </c>
      <c r="F12">
        <f>3*DesarrolloPartidos[[#This Row],[Partidos_3]]</f>
        <v>3</v>
      </c>
      <c r="G12">
        <f>IF(DesarrolloPartidos[[#This Row],[Partidos_3]]=0,0,ROUNDUP(DesarrolloPartidos[[#This Row],[Orden]]/DesarrolloPartidos[[#This Row],[JugEnPart3]]*DesarrolloPartidos[[#This Row],[Partidos_3]],0))</f>
        <v>1</v>
      </c>
      <c r="H12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12">
        <f>IF(AND(DesarrolloPartidos[[#This Row],[PartidosSolo3]]&lt;=DesarrolloPartidos[[#This Row],[Partidos_3]],DesarrolloPartidos[[#This Row],[PartidosSolo3]]&lt;&gt;0),DesarrolloPartidos[[#This Row],[PartidosSolo3]],"")</f>
        <v>1</v>
      </c>
      <c r="J12">
        <f>+IF(DesarrolloPartidos[[#This Row],[Partidos3]]="",DesarrolloPartidos[[#This Row],[Partidos4]],DesarrolloPartidos[[#This Row],[Partidos3]])</f>
        <v>1</v>
      </c>
      <c r="K12" t="str">
        <f>+DesarrolloPartidos[[#This Row],[Jugadores]]&amp;":"&amp;DesarrolloPartidos[[#This Row],[Orden]]</f>
        <v>11:1</v>
      </c>
    </row>
    <row r="13" spans="1:11">
      <c r="A13">
        <f t="shared" si="5"/>
        <v>11</v>
      </c>
      <c r="B13">
        <f t="shared" si="1"/>
        <v>3</v>
      </c>
      <c r="C13">
        <f t="shared" si="6"/>
        <v>1</v>
      </c>
      <c r="D13">
        <f t="shared" si="7"/>
        <v>2</v>
      </c>
      <c r="E13">
        <f t="shared" si="8"/>
        <v>2</v>
      </c>
      <c r="F13">
        <f>3*DesarrolloPartidos[[#This Row],[Partidos_3]]</f>
        <v>3</v>
      </c>
      <c r="G13">
        <f>IF(DesarrolloPartidos[[#This Row],[Partidos_3]]=0,0,ROUNDUP(DesarrolloPartidos[[#This Row],[Orden]]/DesarrolloPartidos[[#This Row],[JugEnPart3]]*DesarrolloPartidos[[#This Row],[Partidos_3]],0))</f>
        <v>1</v>
      </c>
      <c r="H13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13">
        <f>IF(AND(DesarrolloPartidos[[#This Row],[PartidosSolo3]]&lt;=DesarrolloPartidos[[#This Row],[Partidos_3]],DesarrolloPartidos[[#This Row],[PartidosSolo3]]&lt;&gt;0),DesarrolloPartidos[[#This Row],[PartidosSolo3]],"")</f>
        <v>1</v>
      </c>
      <c r="J13">
        <f>+IF(DesarrolloPartidos[[#This Row],[Partidos3]]="",DesarrolloPartidos[[#This Row],[Partidos4]],DesarrolloPartidos[[#This Row],[Partidos3]])</f>
        <v>1</v>
      </c>
      <c r="K13" t="str">
        <f>+DesarrolloPartidos[[#This Row],[Jugadores]]&amp;":"&amp;DesarrolloPartidos[[#This Row],[Orden]]</f>
        <v>11:2</v>
      </c>
    </row>
    <row r="14" spans="1:11">
      <c r="A14">
        <f t="shared" si="5"/>
        <v>11</v>
      </c>
      <c r="B14">
        <f t="shared" si="1"/>
        <v>3</v>
      </c>
      <c r="C14">
        <f t="shared" si="6"/>
        <v>1</v>
      </c>
      <c r="D14">
        <f t="shared" si="7"/>
        <v>2</v>
      </c>
      <c r="E14">
        <f t="shared" si="8"/>
        <v>3</v>
      </c>
      <c r="F14">
        <f>3*DesarrolloPartidos[[#This Row],[Partidos_3]]</f>
        <v>3</v>
      </c>
      <c r="G14">
        <f>IF(DesarrolloPartidos[[#This Row],[Partidos_3]]=0,0,ROUNDUP(DesarrolloPartidos[[#This Row],[Orden]]/DesarrolloPartidos[[#This Row],[JugEnPart3]]*DesarrolloPartidos[[#This Row],[Partidos_3]],0))</f>
        <v>1</v>
      </c>
      <c r="H14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14">
        <f>IF(AND(DesarrolloPartidos[[#This Row],[PartidosSolo3]]&lt;=DesarrolloPartidos[[#This Row],[Partidos_3]],DesarrolloPartidos[[#This Row],[PartidosSolo3]]&lt;&gt;0),DesarrolloPartidos[[#This Row],[PartidosSolo3]],"")</f>
        <v>1</v>
      </c>
      <c r="J14">
        <f>+IF(DesarrolloPartidos[[#This Row],[Partidos3]]="",DesarrolloPartidos[[#This Row],[Partidos4]],DesarrolloPartidos[[#This Row],[Partidos3]])</f>
        <v>1</v>
      </c>
      <c r="K14" t="str">
        <f>+DesarrolloPartidos[[#This Row],[Jugadores]]&amp;":"&amp;DesarrolloPartidos[[#This Row],[Orden]]</f>
        <v>11:3</v>
      </c>
    </row>
    <row r="15" spans="1:11">
      <c r="A15">
        <f t="shared" si="5"/>
        <v>11</v>
      </c>
      <c r="B15">
        <f t="shared" si="1"/>
        <v>3</v>
      </c>
      <c r="C15">
        <f t="shared" si="6"/>
        <v>1</v>
      </c>
      <c r="D15">
        <f t="shared" si="7"/>
        <v>2</v>
      </c>
      <c r="E15">
        <f t="shared" si="8"/>
        <v>4</v>
      </c>
      <c r="F15">
        <f>3*DesarrolloPartidos[[#This Row],[Partidos_3]]</f>
        <v>3</v>
      </c>
      <c r="G15">
        <f>IF(DesarrolloPartidos[[#This Row],[Partidos_3]]=0,0,ROUNDUP(DesarrolloPartidos[[#This Row],[Orden]]/DesarrolloPartidos[[#This Row],[JugEnPart3]]*DesarrolloPartidos[[#This Row],[Partidos_3]],0))</f>
        <v>2</v>
      </c>
      <c r="H15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2</v>
      </c>
      <c r="I15" t="str">
        <f>IF(AND(DesarrolloPartidos[[#This Row],[PartidosSolo3]]&lt;=DesarrolloPartidos[[#This Row],[Partidos_3]],DesarrolloPartidos[[#This Row],[PartidosSolo3]]&lt;&gt;0),DesarrolloPartidos[[#This Row],[PartidosSolo3]],"")</f>
        <v/>
      </c>
      <c r="J15">
        <f>+IF(DesarrolloPartidos[[#This Row],[Partidos3]]="",DesarrolloPartidos[[#This Row],[Partidos4]],DesarrolloPartidos[[#This Row],[Partidos3]])</f>
        <v>2</v>
      </c>
      <c r="K15" t="str">
        <f>+DesarrolloPartidos[[#This Row],[Jugadores]]&amp;":"&amp;DesarrolloPartidos[[#This Row],[Orden]]</f>
        <v>11:4</v>
      </c>
    </row>
    <row r="16" spans="1:11">
      <c r="A16">
        <f t="shared" si="5"/>
        <v>11</v>
      </c>
      <c r="B16">
        <f t="shared" si="1"/>
        <v>3</v>
      </c>
      <c r="C16">
        <f t="shared" si="6"/>
        <v>1</v>
      </c>
      <c r="D16">
        <f t="shared" si="7"/>
        <v>2</v>
      </c>
      <c r="E16">
        <f t="shared" si="8"/>
        <v>5</v>
      </c>
      <c r="F16">
        <f>3*DesarrolloPartidos[[#This Row],[Partidos_3]]</f>
        <v>3</v>
      </c>
      <c r="G16">
        <f>IF(DesarrolloPartidos[[#This Row],[Partidos_3]]=0,0,ROUNDUP(DesarrolloPartidos[[#This Row],[Orden]]/DesarrolloPartidos[[#This Row],[JugEnPart3]]*DesarrolloPartidos[[#This Row],[Partidos_3]],0))</f>
        <v>2</v>
      </c>
      <c r="H16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2</v>
      </c>
      <c r="I16" t="str">
        <f>IF(AND(DesarrolloPartidos[[#This Row],[PartidosSolo3]]&lt;=DesarrolloPartidos[[#This Row],[Partidos_3]],DesarrolloPartidos[[#This Row],[PartidosSolo3]]&lt;&gt;0),DesarrolloPartidos[[#This Row],[PartidosSolo3]],"")</f>
        <v/>
      </c>
      <c r="J16">
        <f>+IF(DesarrolloPartidos[[#This Row],[Partidos3]]="",DesarrolloPartidos[[#This Row],[Partidos4]],DesarrolloPartidos[[#This Row],[Partidos3]])</f>
        <v>2</v>
      </c>
      <c r="K16" t="str">
        <f>+DesarrolloPartidos[[#This Row],[Jugadores]]&amp;":"&amp;DesarrolloPartidos[[#This Row],[Orden]]</f>
        <v>11:5</v>
      </c>
    </row>
    <row r="17" spans="1:11">
      <c r="A17">
        <f t="shared" si="5"/>
        <v>11</v>
      </c>
      <c r="B17">
        <f t="shared" si="1"/>
        <v>3</v>
      </c>
      <c r="C17">
        <f t="shared" si="6"/>
        <v>1</v>
      </c>
      <c r="D17">
        <f t="shared" si="7"/>
        <v>2</v>
      </c>
      <c r="E17">
        <f t="shared" si="8"/>
        <v>6</v>
      </c>
      <c r="F17">
        <f>3*DesarrolloPartidos[[#This Row],[Partidos_3]]</f>
        <v>3</v>
      </c>
      <c r="G17">
        <f>IF(DesarrolloPartidos[[#This Row],[Partidos_3]]=0,0,ROUNDUP(DesarrolloPartidos[[#This Row],[Orden]]/DesarrolloPartidos[[#This Row],[JugEnPart3]]*DesarrolloPartidos[[#This Row],[Partidos_3]],0))</f>
        <v>2</v>
      </c>
      <c r="H17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2</v>
      </c>
      <c r="I17" t="str">
        <f>IF(AND(DesarrolloPartidos[[#This Row],[PartidosSolo3]]&lt;=DesarrolloPartidos[[#This Row],[Partidos_3]],DesarrolloPartidos[[#This Row],[PartidosSolo3]]&lt;&gt;0),DesarrolloPartidos[[#This Row],[PartidosSolo3]],"")</f>
        <v/>
      </c>
      <c r="J17">
        <f>+IF(DesarrolloPartidos[[#This Row],[Partidos3]]="",DesarrolloPartidos[[#This Row],[Partidos4]],DesarrolloPartidos[[#This Row],[Partidos3]])</f>
        <v>2</v>
      </c>
      <c r="K17" t="str">
        <f>+DesarrolloPartidos[[#This Row],[Jugadores]]&amp;":"&amp;DesarrolloPartidos[[#This Row],[Orden]]</f>
        <v>11:6</v>
      </c>
    </row>
    <row r="18" spans="1:11">
      <c r="A18">
        <f t="shared" si="5"/>
        <v>11</v>
      </c>
      <c r="B18">
        <f t="shared" si="1"/>
        <v>3</v>
      </c>
      <c r="C18">
        <f t="shared" si="6"/>
        <v>1</v>
      </c>
      <c r="D18">
        <f t="shared" si="7"/>
        <v>2</v>
      </c>
      <c r="E18">
        <f t="shared" si="8"/>
        <v>7</v>
      </c>
      <c r="F18">
        <f>3*DesarrolloPartidos[[#This Row],[Partidos_3]]</f>
        <v>3</v>
      </c>
      <c r="G18">
        <f>IF(DesarrolloPartidos[[#This Row],[Partidos_3]]=0,0,ROUNDUP(DesarrolloPartidos[[#This Row],[Orden]]/DesarrolloPartidos[[#This Row],[JugEnPart3]]*DesarrolloPartidos[[#This Row],[Partidos_3]],0))</f>
        <v>3</v>
      </c>
      <c r="H18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2</v>
      </c>
      <c r="I18" t="str">
        <f>IF(AND(DesarrolloPartidos[[#This Row],[PartidosSolo3]]&lt;=DesarrolloPartidos[[#This Row],[Partidos_3]],DesarrolloPartidos[[#This Row],[PartidosSolo3]]&lt;&gt;0),DesarrolloPartidos[[#This Row],[PartidosSolo3]],"")</f>
        <v/>
      </c>
      <c r="J18">
        <f>+IF(DesarrolloPartidos[[#This Row],[Partidos3]]="",DesarrolloPartidos[[#This Row],[Partidos4]],DesarrolloPartidos[[#This Row],[Partidos3]])</f>
        <v>2</v>
      </c>
      <c r="K18" t="str">
        <f>+DesarrolloPartidos[[#This Row],[Jugadores]]&amp;":"&amp;DesarrolloPartidos[[#This Row],[Orden]]</f>
        <v>11:7</v>
      </c>
    </row>
    <row r="19" spans="1:11">
      <c r="A19">
        <f t="shared" si="5"/>
        <v>11</v>
      </c>
      <c r="B19">
        <f t="shared" si="1"/>
        <v>3</v>
      </c>
      <c r="C19">
        <f t="shared" si="6"/>
        <v>1</v>
      </c>
      <c r="D19">
        <f t="shared" si="7"/>
        <v>2</v>
      </c>
      <c r="E19">
        <f t="shared" si="8"/>
        <v>8</v>
      </c>
      <c r="F19">
        <f>3*DesarrolloPartidos[[#This Row],[Partidos_3]]</f>
        <v>3</v>
      </c>
      <c r="G19">
        <f>IF(DesarrolloPartidos[[#This Row],[Partidos_3]]=0,0,ROUNDUP(DesarrolloPartidos[[#This Row],[Orden]]/DesarrolloPartidos[[#This Row],[JugEnPart3]]*DesarrolloPartidos[[#This Row],[Partidos_3]],0))</f>
        <v>3</v>
      </c>
      <c r="H19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3</v>
      </c>
      <c r="I19" t="str">
        <f>IF(AND(DesarrolloPartidos[[#This Row],[PartidosSolo3]]&lt;=DesarrolloPartidos[[#This Row],[Partidos_3]],DesarrolloPartidos[[#This Row],[PartidosSolo3]]&lt;&gt;0),DesarrolloPartidos[[#This Row],[PartidosSolo3]],"")</f>
        <v/>
      </c>
      <c r="J19">
        <f>+IF(DesarrolloPartidos[[#This Row],[Partidos3]]="",DesarrolloPartidos[[#This Row],[Partidos4]],DesarrolloPartidos[[#This Row],[Partidos3]])</f>
        <v>3</v>
      </c>
      <c r="K19" t="str">
        <f>+DesarrolloPartidos[[#This Row],[Jugadores]]&amp;":"&amp;DesarrolloPartidos[[#This Row],[Orden]]</f>
        <v>11:8</v>
      </c>
    </row>
    <row r="20" spans="1:11">
      <c r="A20">
        <f t="shared" si="5"/>
        <v>11</v>
      </c>
      <c r="B20">
        <f t="shared" si="1"/>
        <v>3</v>
      </c>
      <c r="C20">
        <f t="shared" si="6"/>
        <v>1</v>
      </c>
      <c r="D20">
        <f t="shared" si="7"/>
        <v>2</v>
      </c>
      <c r="E20">
        <f t="shared" si="8"/>
        <v>9</v>
      </c>
      <c r="F20">
        <f>3*DesarrolloPartidos[[#This Row],[Partidos_3]]</f>
        <v>3</v>
      </c>
      <c r="G20">
        <f>IF(DesarrolloPartidos[[#This Row],[Partidos_3]]=0,0,ROUNDUP(DesarrolloPartidos[[#This Row],[Orden]]/DesarrolloPartidos[[#This Row],[JugEnPart3]]*DesarrolloPartidos[[#This Row],[Partidos_3]],0))</f>
        <v>3</v>
      </c>
      <c r="H20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3</v>
      </c>
      <c r="I20" t="str">
        <f>IF(AND(DesarrolloPartidos[[#This Row],[PartidosSolo3]]&lt;=DesarrolloPartidos[[#This Row],[Partidos_3]],DesarrolloPartidos[[#This Row],[PartidosSolo3]]&lt;&gt;0),DesarrolloPartidos[[#This Row],[PartidosSolo3]],"")</f>
        <v/>
      </c>
      <c r="J20">
        <f>+IF(DesarrolloPartidos[[#This Row],[Partidos3]]="",DesarrolloPartidos[[#This Row],[Partidos4]],DesarrolloPartidos[[#This Row],[Partidos3]])</f>
        <v>3</v>
      </c>
      <c r="K20" t="str">
        <f>+DesarrolloPartidos[[#This Row],[Jugadores]]&amp;":"&amp;DesarrolloPartidos[[#This Row],[Orden]]</f>
        <v>11:9</v>
      </c>
    </row>
    <row r="21" spans="1:11">
      <c r="A21">
        <f t="shared" si="5"/>
        <v>11</v>
      </c>
      <c r="B21">
        <f t="shared" si="1"/>
        <v>3</v>
      </c>
      <c r="C21">
        <f t="shared" si="6"/>
        <v>1</v>
      </c>
      <c r="D21">
        <f t="shared" si="7"/>
        <v>2</v>
      </c>
      <c r="E21">
        <f t="shared" si="8"/>
        <v>10</v>
      </c>
      <c r="F21">
        <f>3*DesarrolloPartidos[[#This Row],[Partidos_3]]</f>
        <v>3</v>
      </c>
      <c r="G21">
        <f>IF(DesarrolloPartidos[[#This Row],[Partidos_3]]=0,0,ROUNDUP(DesarrolloPartidos[[#This Row],[Orden]]/DesarrolloPartidos[[#This Row],[JugEnPart3]]*DesarrolloPartidos[[#This Row],[Partidos_3]],0))</f>
        <v>4</v>
      </c>
      <c r="H21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3</v>
      </c>
      <c r="I21" t="str">
        <f>IF(AND(DesarrolloPartidos[[#This Row],[PartidosSolo3]]&lt;=DesarrolloPartidos[[#This Row],[Partidos_3]],DesarrolloPartidos[[#This Row],[PartidosSolo3]]&lt;&gt;0),DesarrolloPartidos[[#This Row],[PartidosSolo3]],"")</f>
        <v/>
      </c>
      <c r="J21">
        <f>+IF(DesarrolloPartidos[[#This Row],[Partidos3]]="",DesarrolloPartidos[[#This Row],[Partidos4]],DesarrolloPartidos[[#This Row],[Partidos3]])</f>
        <v>3</v>
      </c>
      <c r="K21" t="str">
        <f>+DesarrolloPartidos[[#This Row],[Jugadores]]&amp;":"&amp;DesarrolloPartidos[[#This Row],[Orden]]</f>
        <v>11:10</v>
      </c>
    </row>
    <row r="22" spans="1:11">
      <c r="A22">
        <f t="shared" si="5"/>
        <v>11</v>
      </c>
      <c r="B22">
        <f t="shared" si="1"/>
        <v>3</v>
      </c>
      <c r="C22">
        <f t="shared" si="6"/>
        <v>1</v>
      </c>
      <c r="D22">
        <f t="shared" si="7"/>
        <v>2</v>
      </c>
      <c r="E22">
        <f t="shared" si="8"/>
        <v>11</v>
      </c>
      <c r="F22">
        <f>3*DesarrolloPartidos[[#This Row],[Partidos_3]]</f>
        <v>3</v>
      </c>
      <c r="G22">
        <f>IF(DesarrolloPartidos[[#This Row],[Partidos_3]]=0,0,ROUNDUP(DesarrolloPartidos[[#This Row],[Orden]]/DesarrolloPartidos[[#This Row],[JugEnPart3]]*DesarrolloPartidos[[#This Row],[Partidos_3]],0))</f>
        <v>4</v>
      </c>
      <c r="H22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3</v>
      </c>
      <c r="I22" t="str">
        <f>IF(AND(DesarrolloPartidos[[#This Row],[PartidosSolo3]]&lt;=DesarrolloPartidos[[#This Row],[Partidos_3]],DesarrolloPartidos[[#This Row],[PartidosSolo3]]&lt;&gt;0),DesarrolloPartidos[[#This Row],[PartidosSolo3]],"")</f>
        <v/>
      </c>
      <c r="J22">
        <f>+IF(DesarrolloPartidos[[#This Row],[Partidos3]]="",DesarrolloPartidos[[#This Row],[Partidos4]],DesarrolloPartidos[[#This Row],[Partidos3]])</f>
        <v>3</v>
      </c>
      <c r="K22" t="str">
        <f>+DesarrolloPartidos[[#This Row],[Jugadores]]&amp;":"&amp;DesarrolloPartidos[[#This Row],[Orden]]</f>
        <v>11:11</v>
      </c>
    </row>
    <row r="23" spans="1:11">
      <c r="A23">
        <f t="shared" si="5"/>
        <v>12</v>
      </c>
      <c r="B23">
        <f t="shared" si="1"/>
        <v>3</v>
      </c>
      <c r="C23">
        <f t="shared" si="6"/>
        <v>0</v>
      </c>
      <c r="D23">
        <f t="shared" si="7"/>
        <v>3</v>
      </c>
      <c r="E23">
        <f t="shared" si="8"/>
        <v>1</v>
      </c>
      <c r="F23">
        <f>3*DesarrolloPartidos[[#This Row],[Partidos_3]]</f>
        <v>0</v>
      </c>
      <c r="G23">
        <f>IF(DesarrolloPartidos[[#This Row],[Partidos_3]]=0,0,ROUNDUP(DesarrolloPartidos[[#This Row],[Orden]]/DesarrolloPartidos[[#This Row],[JugEnPart3]]*DesarrolloPartidos[[#This Row],[Partidos_3]],0))</f>
        <v>0</v>
      </c>
      <c r="H23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1</v>
      </c>
      <c r="I23" t="str">
        <f>IF(AND(DesarrolloPartidos[[#This Row],[PartidosSolo3]]&lt;=DesarrolloPartidos[[#This Row],[Partidos_3]],DesarrolloPartidos[[#This Row],[PartidosSolo3]]&lt;&gt;0),DesarrolloPartidos[[#This Row],[PartidosSolo3]],"")</f>
        <v/>
      </c>
      <c r="J23">
        <f>+IF(DesarrolloPartidos[[#This Row],[Partidos3]]="",DesarrolloPartidos[[#This Row],[Partidos4]],DesarrolloPartidos[[#This Row],[Partidos3]])</f>
        <v>1</v>
      </c>
      <c r="K23" t="str">
        <f>+DesarrolloPartidos[[#This Row],[Jugadores]]&amp;":"&amp;DesarrolloPartidos[[#This Row],[Orden]]</f>
        <v>12:1</v>
      </c>
    </row>
    <row r="24" spans="1:11">
      <c r="A24">
        <f t="shared" si="5"/>
        <v>12</v>
      </c>
      <c r="B24">
        <f t="shared" si="1"/>
        <v>3</v>
      </c>
      <c r="C24">
        <f t="shared" si="6"/>
        <v>0</v>
      </c>
      <c r="D24">
        <f t="shared" si="7"/>
        <v>3</v>
      </c>
      <c r="E24">
        <f t="shared" si="8"/>
        <v>2</v>
      </c>
      <c r="F24">
        <f>3*DesarrolloPartidos[[#This Row],[Partidos_3]]</f>
        <v>0</v>
      </c>
      <c r="G24">
        <f>IF(DesarrolloPartidos[[#This Row],[Partidos_3]]=0,0,ROUNDUP(DesarrolloPartidos[[#This Row],[Orden]]/DesarrolloPartidos[[#This Row],[JugEnPart3]]*DesarrolloPartidos[[#This Row],[Partidos_3]],0))</f>
        <v>0</v>
      </c>
      <c r="H24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1</v>
      </c>
      <c r="I24" t="str">
        <f>IF(AND(DesarrolloPartidos[[#This Row],[PartidosSolo3]]&lt;=DesarrolloPartidos[[#This Row],[Partidos_3]],DesarrolloPartidos[[#This Row],[PartidosSolo3]]&lt;&gt;0),DesarrolloPartidos[[#This Row],[PartidosSolo3]],"")</f>
        <v/>
      </c>
      <c r="J24">
        <f>+IF(DesarrolloPartidos[[#This Row],[Partidos3]]="",DesarrolloPartidos[[#This Row],[Partidos4]],DesarrolloPartidos[[#This Row],[Partidos3]])</f>
        <v>1</v>
      </c>
      <c r="K24" t="str">
        <f>+DesarrolloPartidos[[#This Row],[Jugadores]]&amp;":"&amp;DesarrolloPartidos[[#This Row],[Orden]]</f>
        <v>12:2</v>
      </c>
    </row>
    <row r="25" spans="1:11">
      <c r="A25">
        <f t="shared" si="5"/>
        <v>12</v>
      </c>
      <c r="B25">
        <f t="shared" si="1"/>
        <v>3</v>
      </c>
      <c r="C25">
        <f t="shared" si="6"/>
        <v>0</v>
      </c>
      <c r="D25">
        <f t="shared" si="7"/>
        <v>3</v>
      </c>
      <c r="E25">
        <f t="shared" si="8"/>
        <v>3</v>
      </c>
      <c r="F25">
        <f>3*DesarrolloPartidos[[#This Row],[Partidos_3]]</f>
        <v>0</v>
      </c>
      <c r="G25">
        <f>IF(DesarrolloPartidos[[#This Row],[Partidos_3]]=0,0,ROUNDUP(DesarrolloPartidos[[#This Row],[Orden]]/DesarrolloPartidos[[#This Row],[JugEnPart3]]*DesarrolloPartidos[[#This Row],[Partidos_3]],0))</f>
        <v>0</v>
      </c>
      <c r="H25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1</v>
      </c>
      <c r="I25" t="str">
        <f>IF(AND(DesarrolloPartidos[[#This Row],[PartidosSolo3]]&lt;=DesarrolloPartidos[[#This Row],[Partidos_3]],DesarrolloPartidos[[#This Row],[PartidosSolo3]]&lt;&gt;0),DesarrolloPartidos[[#This Row],[PartidosSolo3]],"")</f>
        <v/>
      </c>
      <c r="J25">
        <f>+IF(DesarrolloPartidos[[#This Row],[Partidos3]]="",DesarrolloPartidos[[#This Row],[Partidos4]],DesarrolloPartidos[[#This Row],[Partidos3]])</f>
        <v>1</v>
      </c>
      <c r="K25" t="str">
        <f>+DesarrolloPartidos[[#This Row],[Jugadores]]&amp;":"&amp;DesarrolloPartidos[[#This Row],[Orden]]</f>
        <v>12:3</v>
      </c>
    </row>
    <row r="26" spans="1:11">
      <c r="A26">
        <f t="shared" si="5"/>
        <v>12</v>
      </c>
      <c r="B26">
        <f t="shared" si="1"/>
        <v>3</v>
      </c>
      <c r="C26">
        <f t="shared" si="6"/>
        <v>0</v>
      </c>
      <c r="D26">
        <f t="shared" si="7"/>
        <v>3</v>
      </c>
      <c r="E26">
        <f t="shared" si="8"/>
        <v>4</v>
      </c>
      <c r="F26">
        <f>3*DesarrolloPartidos[[#This Row],[Partidos_3]]</f>
        <v>0</v>
      </c>
      <c r="G26">
        <f>IF(DesarrolloPartidos[[#This Row],[Partidos_3]]=0,0,ROUNDUP(DesarrolloPartidos[[#This Row],[Orden]]/DesarrolloPartidos[[#This Row],[JugEnPart3]]*DesarrolloPartidos[[#This Row],[Partidos_3]],0))</f>
        <v>0</v>
      </c>
      <c r="H26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1</v>
      </c>
      <c r="I26" t="str">
        <f>IF(AND(DesarrolloPartidos[[#This Row],[PartidosSolo3]]&lt;=DesarrolloPartidos[[#This Row],[Partidos_3]],DesarrolloPartidos[[#This Row],[PartidosSolo3]]&lt;&gt;0),DesarrolloPartidos[[#This Row],[PartidosSolo3]],"")</f>
        <v/>
      </c>
      <c r="J26">
        <f>+IF(DesarrolloPartidos[[#This Row],[Partidos3]]="",DesarrolloPartidos[[#This Row],[Partidos4]],DesarrolloPartidos[[#This Row],[Partidos3]])</f>
        <v>1</v>
      </c>
      <c r="K26" t="str">
        <f>+DesarrolloPartidos[[#This Row],[Jugadores]]&amp;":"&amp;DesarrolloPartidos[[#This Row],[Orden]]</f>
        <v>12:4</v>
      </c>
    </row>
    <row r="27" spans="1:11">
      <c r="A27">
        <f t="shared" si="5"/>
        <v>12</v>
      </c>
      <c r="B27">
        <f t="shared" si="1"/>
        <v>3</v>
      </c>
      <c r="C27">
        <f t="shared" si="6"/>
        <v>0</v>
      </c>
      <c r="D27">
        <f t="shared" si="7"/>
        <v>3</v>
      </c>
      <c r="E27">
        <f t="shared" si="8"/>
        <v>5</v>
      </c>
      <c r="F27">
        <f>3*DesarrolloPartidos[[#This Row],[Partidos_3]]</f>
        <v>0</v>
      </c>
      <c r="G27">
        <f>IF(DesarrolloPartidos[[#This Row],[Partidos_3]]=0,0,ROUNDUP(DesarrolloPartidos[[#This Row],[Orden]]/DesarrolloPartidos[[#This Row],[JugEnPart3]]*DesarrolloPartidos[[#This Row],[Partidos_3]],0))</f>
        <v>0</v>
      </c>
      <c r="H27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2</v>
      </c>
      <c r="I27" t="str">
        <f>IF(AND(DesarrolloPartidos[[#This Row],[PartidosSolo3]]&lt;=DesarrolloPartidos[[#This Row],[Partidos_3]],DesarrolloPartidos[[#This Row],[PartidosSolo3]]&lt;&gt;0),DesarrolloPartidos[[#This Row],[PartidosSolo3]],"")</f>
        <v/>
      </c>
      <c r="J27">
        <f>+IF(DesarrolloPartidos[[#This Row],[Partidos3]]="",DesarrolloPartidos[[#This Row],[Partidos4]],DesarrolloPartidos[[#This Row],[Partidos3]])</f>
        <v>2</v>
      </c>
      <c r="K27" t="str">
        <f>+DesarrolloPartidos[[#This Row],[Jugadores]]&amp;":"&amp;DesarrolloPartidos[[#This Row],[Orden]]</f>
        <v>12:5</v>
      </c>
    </row>
    <row r="28" spans="1:11">
      <c r="A28">
        <f t="shared" si="5"/>
        <v>12</v>
      </c>
      <c r="B28">
        <f t="shared" si="1"/>
        <v>3</v>
      </c>
      <c r="C28">
        <f t="shared" si="6"/>
        <v>0</v>
      </c>
      <c r="D28">
        <f t="shared" si="7"/>
        <v>3</v>
      </c>
      <c r="E28">
        <f t="shared" si="8"/>
        <v>6</v>
      </c>
      <c r="F28">
        <f>3*DesarrolloPartidos[[#This Row],[Partidos_3]]</f>
        <v>0</v>
      </c>
      <c r="G28">
        <f>IF(DesarrolloPartidos[[#This Row],[Partidos_3]]=0,0,ROUNDUP(DesarrolloPartidos[[#This Row],[Orden]]/DesarrolloPartidos[[#This Row],[JugEnPart3]]*DesarrolloPartidos[[#This Row],[Partidos_3]],0))</f>
        <v>0</v>
      </c>
      <c r="H28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2</v>
      </c>
      <c r="I28" t="str">
        <f>IF(AND(DesarrolloPartidos[[#This Row],[PartidosSolo3]]&lt;=DesarrolloPartidos[[#This Row],[Partidos_3]],DesarrolloPartidos[[#This Row],[PartidosSolo3]]&lt;&gt;0),DesarrolloPartidos[[#This Row],[PartidosSolo3]],"")</f>
        <v/>
      </c>
      <c r="J28">
        <f>+IF(DesarrolloPartidos[[#This Row],[Partidos3]]="",DesarrolloPartidos[[#This Row],[Partidos4]],DesarrolloPartidos[[#This Row],[Partidos3]])</f>
        <v>2</v>
      </c>
      <c r="K28" t="str">
        <f>+DesarrolloPartidos[[#This Row],[Jugadores]]&amp;":"&amp;DesarrolloPartidos[[#This Row],[Orden]]</f>
        <v>12:6</v>
      </c>
    </row>
    <row r="29" spans="1:11">
      <c r="A29">
        <f t="shared" si="5"/>
        <v>12</v>
      </c>
      <c r="B29">
        <f t="shared" si="1"/>
        <v>3</v>
      </c>
      <c r="C29">
        <f t="shared" si="6"/>
        <v>0</v>
      </c>
      <c r="D29">
        <f t="shared" si="7"/>
        <v>3</v>
      </c>
      <c r="E29">
        <f t="shared" si="8"/>
        <v>7</v>
      </c>
      <c r="F29">
        <f>3*DesarrolloPartidos[[#This Row],[Partidos_3]]</f>
        <v>0</v>
      </c>
      <c r="G29">
        <f>IF(DesarrolloPartidos[[#This Row],[Partidos_3]]=0,0,ROUNDUP(DesarrolloPartidos[[#This Row],[Orden]]/DesarrolloPartidos[[#This Row],[JugEnPart3]]*DesarrolloPartidos[[#This Row],[Partidos_3]],0))</f>
        <v>0</v>
      </c>
      <c r="H29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2</v>
      </c>
      <c r="I29" t="str">
        <f>IF(AND(DesarrolloPartidos[[#This Row],[PartidosSolo3]]&lt;=DesarrolloPartidos[[#This Row],[Partidos_3]],DesarrolloPartidos[[#This Row],[PartidosSolo3]]&lt;&gt;0),DesarrolloPartidos[[#This Row],[PartidosSolo3]],"")</f>
        <v/>
      </c>
      <c r="J29">
        <f>+IF(DesarrolloPartidos[[#This Row],[Partidos3]]="",DesarrolloPartidos[[#This Row],[Partidos4]],DesarrolloPartidos[[#This Row],[Partidos3]])</f>
        <v>2</v>
      </c>
      <c r="K29" t="str">
        <f>+DesarrolloPartidos[[#This Row],[Jugadores]]&amp;":"&amp;DesarrolloPartidos[[#This Row],[Orden]]</f>
        <v>12:7</v>
      </c>
    </row>
    <row r="30" spans="1:11">
      <c r="A30">
        <f t="shared" si="5"/>
        <v>12</v>
      </c>
      <c r="B30">
        <f t="shared" si="1"/>
        <v>3</v>
      </c>
      <c r="C30">
        <f t="shared" si="6"/>
        <v>0</v>
      </c>
      <c r="D30">
        <f t="shared" si="7"/>
        <v>3</v>
      </c>
      <c r="E30">
        <f t="shared" si="8"/>
        <v>8</v>
      </c>
      <c r="F30">
        <f>3*DesarrolloPartidos[[#This Row],[Partidos_3]]</f>
        <v>0</v>
      </c>
      <c r="G30">
        <f>IF(DesarrolloPartidos[[#This Row],[Partidos_3]]=0,0,ROUNDUP(DesarrolloPartidos[[#This Row],[Orden]]/DesarrolloPartidos[[#This Row],[JugEnPart3]]*DesarrolloPartidos[[#This Row],[Partidos_3]],0))</f>
        <v>0</v>
      </c>
      <c r="H30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2</v>
      </c>
      <c r="I30" t="str">
        <f>IF(AND(DesarrolloPartidos[[#This Row],[PartidosSolo3]]&lt;=DesarrolloPartidos[[#This Row],[Partidos_3]],DesarrolloPartidos[[#This Row],[PartidosSolo3]]&lt;&gt;0),DesarrolloPartidos[[#This Row],[PartidosSolo3]],"")</f>
        <v/>
      </c>
      <c r="J30">
        <f>+IF(DesarrolloPartidos[[#This Row],[Partidos3]]="",DesarrolloPartidos[[#This Row],[Partidos4]],DesarrolloPartidos[[#This Row],[Partidos3]])</f>
        <v>2</v>
      </c>
      <c r="K30" t="str">
        <f>+DesarrolloPartidos[[#This Row],[Jugadores]]&amp;":"&amp;DesarrolloPartidos[[#This Row],[Orden]]</f>
        <v>12:8</v>
      </c>
    </row>
    <row r="31" spans="1:11">
      <c r="A31">
        <f t="shared" si="5"/>
        <v>12</v>
      </c>
      <c r="B31">
        <f t="shared" si="1"/>
        <v>3</v>
      </c>
      <c r="C31">
        <f t="shared" si="6"/>
        <v>0</v>
      </c>
      <c r="D31">
        <f t="shared" si="7"/>
        <v>3</v>
      </c>
      <c r="E31">
        <f t="shared" si="8"/>
        <v>9</v>
      </c>
      <c r="F31">
        <f>3*DesarrolloPartidos[[#This Row],[Partidos_3]]</f>
        <v>0</v>
      </c>
      <c r="G31">
        <f>IF(DesarrolloPartidos[[#This Row],[Partidos_3]]=0,0,ROUNDUP(DesarrolloPartidos[[#This Row],[Orden]]/DesarrolloPartidos[[#This Row],[JugEnPart3]]*DesarrolloPartidos[[#This Row],[Partidos_3]],0))</f>
        <v>0</v>
      </c>
      <c r="H31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3</v>
      </c>
      <c r="I31" t="str">
        <f>IF(AND(DesarrolloPartidos[[#This Row],[PartidosSolo3]]&lt;=DesarrolloPartidos[[#This Row],[Partidos_3]],DesarrolloPartidos[[#This Row],[PartidosSolo3]]&lt;&gt;0),DesarrolloPartidos[[#This Row],[PartidosSolo3]],"")</f>
        <v/>
      </c>
      <c r="J31">
        <f>+IF(DesarrolloPartidos[[#This Row],[Partidos3]]="",DesarrolloPartidos[[#This Row],[Partidos4]],DesarrolloPartidos[[#This Row],[Partidos3]])</f>
        <v>3</v>
      </c>
      <c r="K31" t="str">
        <f>+DesarrolloPartidos[[#This Row],[Jugadores]]&amp;":"&amp;DesarrolloPartidos[[#This Row],[Orden]]</f>
        <v>12:9</v>
      </c>
    </row>
    <row r="32" spans="1:11">
      <c r="A32">
        <f t="shared" si="5"/>
        <v>12</v>
      </c>
      <c r="B32">
        <f t="shared" si="1"/>
        <v>3</v>
      </c>
      <c r="C32">
        <f t="shared" si="6"/>
        <v>0</v>
      </c>
      <c r="D32">
        <f t="shared" si="7"/>
        <v>3</v>
      </c>
      <c r="E32">
        <f t="shared" si="8"/>
        <v>10</v>
      </c>
      <c r="F32">
        <f>3*DesarrolloPartidos[[#This Row],[Partidos_3]]</f>
        <v>0</v>
      </c>
      <c r="G32">
        <f>IF(DesarrolloPartidos[[#This Row],[Partidos_3]]=0,0,ROUNDUP(DesarrolloPartidos[[#This Row],[Orden]]/DesarrolloPartidos[[#This Row],[JugEnPart3]]*DesarrolloPartidos[[#This Row],[Partidos_3]],0))</f>
        <v>0</v>
      </c>
      <c r="H32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3</v>
      </c>
      <c r="I32" t="str">
        <f>IF(AND(DesarrolloPartidos[[#This Row],[PartidosSolo3]]&lt;=DesarrolloPartidos[[#This Row],[Partidos_3]],DesarrolloPartidos[[#This Row],[PartidosSolo3]]&lt;&gt;0),DesarrolloPartidos[[#This Row],[PartidosSolo3]],"")</f>
        <v/>
      </c>
      <c r="J32">
        <f>+IF(DesarrolloPartidos[[#This Row],[Partidos3]]="",DesarrolloPartidos[[#This Row],[Partidos4]],DesarrolloPartidos[[#This Row],[Partidos3]])</f>
        <v>3</v>
      </c>
      <c r="K32" t="str">
        <f>+DesarrolloPartidos[[#This Row],[Jugadores]]&amp;":"&amp;DesarrolloPartidos[[#This Row],[Orden]]</f>
        <v>12:10</v>
      </c>
    </row>
    <row r="33" spans="1:11">
      <c r="A33">
        <f t="shared" si="5"/>
        <v>12</v>
      </c>
      <c r="B33">
        <f t="shared" si="1"/>
        <v>3</v>
      </c>
      <c r="C33">
        <f t="shared" si="6"/>
        <v>0</v>
      </c>
      <c r="D33">
        <f t="shared" si="7"/>
        <v>3</v>
      </c>
      <c r="E33">
        <f t="shared" si="8"/>
        <v>11</v>
      </c>
      <c r="F33">
        <f>3*DesarrolloPartidos[[#This Row],[Partidos_3]]</f>
        <v>0</v>
      </c>
      <c r="G33">
        <f>IF(DesarrolloPartidos[[#This Row],[Partidos_3]]=0,0,ROUNDUP(DesarrolloPartidos[[#This Row],[Orden]]/DesarrolloPartidos[[#This Row],[JugEnPart3]]*DesarrolloPartidos[[#This Row],[Partidos_3]],0))</f>
        <v>0</v>
      </c>
      <c r="H33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3</v>
      </c>
      <c r="I33" t="str">
        <f>IF(AND(DesarrolloPartidos[[#This Row],[PartidosSolo3]]&lt;=DesarrolloPartidos[[#This Row],[Partidos_3]],DesarrolloPartidos[[#This Row],[PartidosSolo3]]&lt;&gt;0),DesarrolloPartidos[[#This Row],[PartidosSolo3]],"")</f>
        <v/>
      </c>
      <c r="J33">
        <f>+IF(DesarrolloPartidos[[#This Row],[Partidos3]]="",DesarrolloPartidos[[#This Row],[Partidos4]],DesarrolloPartidos[[#This Row],[Partidos3]])</f>
        <v>3</v>
      </c>
      <c r="K33" t="str">
        <f>+DesarrolloPartidos[[#This Row],[Jugadores]]&amp;":"&amp;DesarrolloPartidos[[#This Row],[Orden]]</f>
        <v>12:11</v>
      </c>
    </row>
    <row r="34" spans="1:11">
      <c r="A34">
        <f t="shared" si="5"/>
        <v>12</v>
      </c>
      <c r="B34">
        <f t="shared" si="1"/>
        <v>3</v>
      </c>
      <c r="C34">
        <f t="shared" si="6"/>
        <v>0</v>
      </c>
      <c r="D34">
        <f t="shared" si="7"/>
        <v>3</v>
      </c>
      <c r="E34">
        <f t="shared" si="8"/>
        <v>12</v>
      </c>
      <c r="F34">
        <f>3*DesarrolloPartidos[[#This Row],[Partidos_3]]</f>
        <v>0</v>
      </c>
      <c r="G34">
        <f>IF(DesarrolloPartidos[[#This Row],[Partidos_3]]=0,0,ROUNDUP(DesarrolloPartidos[[#This Row],[Orden]]/DesarrolloPartidos[[#This Row],[JugEnPart3]]*DesarrolloPartidos[[#This Row],[Partidos_3]],0))</f>
        <v>0</v>
      </c>
      <c r="H34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3</v>
      </c>
      <c r="I34" t="str">
        <f>IF(AND(DesarrolloPartidos[[#This Row],[PartidosSolo3]]&lt;=DesarrolloPartidos[[#This Row],[Partidos_3]],DesarrolloPartidos[[#This Row],[PartidosSolo3]]&lt;&gt;0),DesarrolloPartidos[[#This Row],[PartidosSolo3]],"")</f>
        <v/>
      </c>
      <c r="J34">
        <f>+IF(DesarrolloPartidos[[#This Row],[Partidos3]]="",DesarrolloPartidos[[#This Row],[Partidos4]],DesarrolloPartidos[[#This Row],[Partidos3]])</f>
        <v>3</v>
      </c>
      <c r="K34" t="str">
        <f>+DesarrolloPartidos[[#This Row],[Jugadores]]&amp;":"&amp;DesarrolloPartidos[[#This Row],[Orden]]</f>
        <v>12:12</v>
      </c>
    </row>
    <row r="35" spans="1:11">
      <c r="A35">
        <f t="shared" si="5"/>
        <v>13</v>
      </c>
      <c r="B35">
        <f t="shared" si="1"/>
        <v>4</v>
      </c>
      <c r="C35">
        <f t="shared" si="6"/>
        <v>3</v>
      </c>
      <c r="D35">
        <f t="shared" si="7"/>
        <v>1</v>
      </c>
      <c r="E35">
        <f t="shared" si="8"/>
        <v>1</v>
      </c>
      <c r="F35">
        <f>3*DesarrolloPartidos[[#This Row],[Partidos_3]]</f>
        <v>9</v>
      </c>
      <c r="G35">
        <f>IF(DesarrolloPartidos[[#This Row],[Partidos_3]]=0,0,ROUNDUP(DesarrolloPartidos[[#This Row],[Orden]]/DesarrolloPartidos[[#This Row],[JugEnPart3]]*DesarrolloPartidos[[#This Row],[Partidos_3]],0))</f>
        <v>1</v>
      </c>
      <c r="H35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35">
        <f>IF(AND(DesarrolloPartidos[[#This Row],[PartidosSolo3]]&lt;=DesarrolloPartidos[[#This Row],[Partidos_3]],DesarrolloPartidos[[#This Row],[PartidosSolo3]]&lt;&gt;0),DesarrolloPartidos[[#This Row],[PartidosSolo3]],"")</f>
        <v>1</v>
      </c>
      <c r="J35">
        <f>+IF(DesarrolloPartidos[[#This Row],[Partidos3]]="",DesarrolloPartidos[[#This Row],[Partidos4]],DesarrolloPartidos[[#This Row],[Partidos3]])</f>
        <v>1</v>
      </c>
      <c r="K35" t="str">
        <f>+DesarrolloPartidos[[#This Row],[Jugadores]]&amp;":"&amp;DesarrolloPartidos[[#This Row],[Orden]]</f>
        <v>13:1</v>
      </c>
    </row>
    <row r="36" spans="1:11">
      <c r="A36">
        <f t="shared" si="5"/>
        <v>13</v>
      </c>
      <c r="B36">
        <f t="shared" si="1"/>
        <v>4</v>
      </c>
      <c r="C36">
        <f t="shared" si="6"/>
        <v>3</v>
      </c>
      <c r="D36">
        <f t="shared" si="7"/>
        <v>1</v>
      </c>
      <c r="E36">
        <f t="shared" si="8"/>
        <v>2</v>
      </c>
      <c r="F36">
        <f>3*DesarrolloPartidos[[#This Row],[Partidos_3]]</f>
        <v>9</v>
      </c>
      <c r="G36">
        <f>IF(DesarrolloPartidos[[#This Row],[Partidos_3]]=0,0,ROUNDUP(DesarrolloPartidos[[#This Row],[Orden]]/DesarrolloPartidos[[#This Row],[JugEnPart3]]*DesarrolloPartidos[[#This Row],[Partidos_3]],0))</f>
        <v>1</v>
      </c>
      <c r="H36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36">
        <f>IF(AND(DesarrolloPartidos[[#This Row],[PartidosSolo3]]&lt;=DesarrolloPartidos[[#This Row],[Partidos_3]],DesarrolloPartidos[[#This Row],[PartidosSolo3]]&lt;&gt;0),DesarrolloPartidos[[#This Row],[PartidosSolo3]],"")</f>
        <v>1</v>
      </c>
      <c r="J36">
        <f>+IF(DesarrolloPartidos[[#This Row],[Partidos3]]="",DesarrolloPartidos[[#This Row],[Partidos4]],DesarrolloPartidos[[#This Row],[Partidos3]])</f>
        <v>1</v>
      </c>
      <c r="K36" t="str">
        <f>+DesarrolloPartidos[[#This Row],[Jugadores]]&amp;":"&amp;DesarrolloPartidos[[#This Row],[Orden]]</f>
        <v>13:2</v>
      </c>
    </row>
    <row r="37" spans="1:11">
      <c r="A37">
        <f t="shared" si="5"/>
        <v>13</v>
      </c>
      <c r="B37">
        <f t="shared" si="1"/>
        <v>4</v>
      </c>
      <c r="C37">
        <f t="shared" si="6"/>
        <v>3</v>
      </c>
      <c r="D37">
        <f t="shared" si="7"/>
        <v>1</v>
      </c>
      <c r="E37">
        <f t="shared" si="8"/>
        <v>3</v>
      </c>
      <c r="F37">
        <f>3*DesarrolloPartidos[[#This Row],[Partidos_3]]</f>
        <v>9</v>
      </c>
      <c r="G37">
        <f>IF(DesarrolloPartidos[[#This Row],[Partidos_3]]=0,0,ROUNDUP(DesarrolloPartidos[[#This Row],[Orden]]/DesarrolloPartidos[[#This Row],[JugEnPart3]]*DesarrolloPartidos[[#This Row],[Partidos_3]],0))</f>
        <v>1</v>
      </c>
      <c r="H37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37">
        <f>IF(AND(DesarrolloPartidos[[#This Row],[PartidosSolo3]]&lt;=DesarrolloPartidos[[#This Row],[Partidos_3]],DesarrolloPartidos[[#This Row],[PartidosSolo3]]&lt;&gt;0),DesarrolloPartidos[[#This Row],[PartidosSolo3]],"")</f>
        <v>1</v>
      </c>
      <c r="J37">
        <f>+IF(DesarrolloPartidos[[#This Row],[Partidos3]]="",DesarrolloPartidos[[#This Row],[Partidos4]],DesarrolloPartidos[[#This Row],[Partidos3]])</f>
        <v>1</v>
      </c>
      <c r="K37" t="str">
        <f>+DesarrolloPartidos[[#This Row],[Jugadores]]&amp;":"&amp;DesarrolloPartidos[[#This Row],[Orden]]</f>
        <v>13:3</v>
      </c>
    </row>
    <row r="38" spans="1:11">
      <c r="A38">
        <f t="shared" si="5"/>
        <v>13</v>
      </c>
      <c r="B38">
        <f t="shared" si="1"/>
        <v>4</v>
      </c>
      <c r="C38">
        <f t="shared" si="6"/>
        <v>3</v>
      </c>
      <c r="D38">
        <f t="shared" si="7"/>
        <v>1</v>
      </c>
      <c r="E38">
        <f t="shared" si="8"/>
        <v>4</v>
      </c>
      <c r="F38">
        <f>3*DesarrolloPartidos[[#This Row],[Partidos_3]]</f>
        <v>9</v>
      </c>
      <c r="G38">
        <f>IF(DesarrolloPartidos[[#This Row],[Partidos_3]]=0,0,ROUNDUP(DesarrolloPartidos[[#This Row],[Orden]]/DesarrolloPartidos[[#This Row],[JugEnPart3]]*DesarrolloPartidos[[#This Row],[Partidos_3]],0))</f>
        <v>2</v>
      </c>
      <c r="H38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38">
        <f>IF(AND(DesarrolloPartidos[[#This Row],[PartidosSolo3]]&lt;=DesarrolloPartidos[[#This Row],[Partidos_3]],DesarrolloPartidos[[#This Row],[PartidosSolo3]]&lt;&gt;0),DesarrolloPartidos[[#This Row],[PartidosSolo3]],"")</f>
        <v>2</v>
      </c>
      <c r="J38">
        <f>+IF(DesarrolloPartidos[[#This Row],[Partidos3]]="",DesarrolloPartidos[[#This Row],[Partidos4]],DesarrolloPartidos[[#This Row],[Partidos3]])</f>
        <v>2</v>
      </c>
      <c r="K38" t="str">
        <f>+DesarrolloPartidos[[#This Row],[Jugadores]]&amp;":"&amp;DesarrolloPartidos[[#This Row],[Orden]]</f>
        <v>13:4</v>
      </c>
    </row>
    <row r="39" spans="1:11">
      <c r="A39">
        <f t="shared" si="5"/>
        <v>13</v>
      </c>
      <c r="B39">
        <f t="shared" si="1"/>
        <v>4</v>
      </c>
      <c r="C39">
        <f t="shared" si="6"/>
        <v>3</v>
      </c>
      <c r="D39">
        <f t="shared" si="7"/>
        <v>1</v>
      </c>
      <c r="E39">
        <f t="shared" si="8"/>
        <v>5</v>
      </c>
      <c r="F39">
        <f>3*DesarrolloPartidos[[#This Row],[Partidos_3]]</f>
        <v>9</v>
      </c>
      <c r="G39">
        <f>IF(DesarrolloPartidos[[#This Row],[Partidos_3]]=0,0,ROUNDUP(DesarrolloPartidos[[#This Row],[Orden]]/DesarrolloPartidos[[#This Row],[JugEnPart3]]*DesarrolloPartidos[[#This Row],[Partidos_3]],0))</f>
        <v>2</v>
      </c>
      <c r="H39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39">
        <f>IF(AND(DesarrolloPartidos[[#This Row],[PartidosSolo3]]&lt;=DesarrolloPartidos[[#This Row],[Partidos_3]],DesarrolloPartidos[[#This Row],[PartidosSolo3]]&lt;&gt;0),DesarrolloPartidos[[#This Row],[PartidosSolo3]],"")</f>
        <v>2</v>
      </c>
      <c r="J39">
        <f>+IF(DesarrolloPartidos[[#This Row],[Partidos3]]="",DesarrolloPartidos[[#This Row],[Partidos4]],DesarrolloPartidos[[#This Row],[Partidos3]])</f>
        <v>2</v>
      </c>
      <c r="K39" t="str">
        <f>+DesarrolloPartidos[[#This Row],[Jugadores]]&amp;":"&amp;DesarrolloPartidos[[#This Row],[Orden]]</f>
        <v>13:5</v>
      </c>
    </row>
    <row r="40" spans="1:11">
      <c r="A40">
        <f t="shared" si="5"/>
        <v>13</v>
      </c>
      <c r="B40">
        <f t="shared" si="1"/>
        <v>4</v>
      </c>
      <c r="C40">
        <f t="shared" si="6"/>
        <v>3</v>
      </c>
      <c r="D40">
        <f t="shared" si="7"/>
        <v>1</v>
      </c>
      <c r="E40">
        <f t="shared" si="8"/>
        <v>6</v>
      </c>
      <c r="F40">
        <f>3*DesarrolloPartidos[[#This Row],[Partidos_3]]</f>
        <v>9</v>
      </c>
      <c r="G40">
        <f>IF(DesarrolloPartidos[[#This Row],[Partidos_3]]=0,0,ROUNDUP(DesarrolloPartidos[[#This Row],[Orden]]/DesarrolloPartidos[[#This Row],[JugEnPart3]]*DesarrolloPartidos[[#This Row],[Partidos_3]],0))</f>
        <v>2</v>
      </c>
      <c r="H40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40">
        <f>IF(AND(DesarrolloPartidos[[#This Row],[PartidosSolo3]]&lt;=DesarrolloPartidos[[#This Row],[Partidos_3]],DesarrolloPartidos[[#This Row],[PartidosSolo3]]&lt;&gt;0),DesarrolloPartidos[[#This Row],[PartidosSolo3]],"")</f>
        <v>2</v>
      </c>
      <c r="J40">
        <f>+IF(DesarrolloPartidos[[#This Row],[Partidos3]]="",DesarrolloPartidos[[#This Row],[Partidos4]],DesarrolloPartidos[[#This Row],[Partidos3]])</f>
        <v>2</v>
      </c>
      <c r="K40" t="str">
        <f>+DesarrolloPartidos[[#This Row],[Jugadores]]&amp;":"&amp;DesarrolloPartidos[[#This Row],[Orden]]</f>
        <v>13:6</v>
      </c>
    </row>
    <row r="41" spans="1:11">
      <c r="A41">
        <f t="shared" si="5"/>
        <v>13</v>
      </c>
      <c r="B41">
        <f t="shared" si="1"/>
        <v>4</v>
      </c>
      <c r="C41">
        <f t="shared" si="6"/>
        <v>3</v>
      </c>
      <c r="D41">
        <f t="shared" si="7"/>
        <v>1</v>
      </c>
      <c r="E41">
        <f t="shared" si="8"/>
        <v>7</v>
      </c>
      <c r="F41">
        <f>3*DesarrolloPartidos[[#This Row],[Partidos_3]]</f>
        <v>9</v>
      </c>
      <c r="G41">
        <f>IF(DesarrolloPartidos[[#This Row],[Partidos_3]]=0,0,ROUNDUP(DesarrolloPartidos[[#This Row],[Orden]]/DesarrolloPartidos[[#This Row],[JugEnPart3]]*DesarrolloPartidos[[#This Row],[Partidos_3]],0))</f>
        <v>3</v>
      </c>
      <c r="H41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41">
        <f>IF(AND(DesarrolloPartidos[[#This Row],[PartidosSolo3]]&lt;=DesarrolloPartidos[[#This Row],[Partidos_3]],DesarrolloPartidos[[#This Row],[PartidosSolo3]]&lt;&gt;0),DesarrolloPartidos[[#This Row],[PartidosSolo3]],"")</f>
        <v>3</v>
      </c>
      <c r="J41">
        <f>+IF(DesarrolloPartidos[[#This Row],[Partidos3]]="",DesarrolloPartidos[[#This Row],[Partidos4]],DesarrolloPartidos[[#This Row],[Partidos3]])</f>
        <v>3</v>
      </c>
      <c r="K41" t="str">
        <f>+DesarrolloPartidos[[#This Row],[Jugadores]]&amp;":"&amp;DesarrolloPartidos[[#This Row],[Orden]]</f>
        <v>13:7</v>
      </c>
    </row>
    <row r="42" spans="1:11">
      <c r="A42">
        <f t="shared" si="5"/>
        <v>13</v>
      </c>
      <c r="B42">
        <f t="shared" si="1"/>
        <v>4</v>
      </c>
      <c r="C42">
        <f t="shared" si="6"/>
        <v>3</v>
      </c>
      <c r="D42">
        <f t="shared" si="7"/>
        <v>1</v>
      </c>
      <c r="E42">
        <f t="shared" si="8"/>
        <v>8</v>
      </c>
      <c r="F42">
        <f>3*DesarrolloPartidos[[#This Row],[Partidos_3]]</f>
        <v>9</v>
      </c>
      <c r="G42">
        <f>IF(DesarrolloPartidos[[#This Row],[Partidos_3]]=0,0,ROUNDUP(DesarrolloPartidos[[#This Row],[Orden]]/DesarrolloPartidos[[#This Row],[JugEnPart3]]*DesarrolloPartidos[[#This Row],[Partidos_3]],0))</f>
        <v>3</v>
      </c>
      <c r="H42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42">
        <f>IF(AND(DesarrolloPartidos[[#This Row],[PartidosSolo3]]&lt;=DesarrolloPartidos[[#This Row],[Partidos_3]],DesarrolloPartidos[[#This Row],[PartidosSolo3]]&lt;&gt;0),DesarrolloPartidos[[#This Row],[PartidosSolo3]],"")</f>
        <v>3</v>
      </c>
      <c r="J42">
        <f>+IF(DesarrolloPartidos[[#This Row],[Partidos3]]="",DesarrolloPartidos[[#This Row],[Partidos4]],DesarrolloPartidos[[#This Row],[Partidos3]])</f>
        <v>3</v>
      </c>
      <c r="K42" t="str">
        <f>+DesarrolloPartidos[[#This Row],[Jugadores]]&amp;":"&amp;DesarrolloPartidos[[#This Row],[Orden]]</f>
        <v>13:8</v>
      </c>
    </row>
    <row r="43" spans="1:11">
      <c r="A43">
        <f t="shared" si="5"/>
        <v>13</v>
      </c>
      <c r="B43">
        <f t="shared" si="1"/>
        <v>4</v>
      </c>
      <c r="C43">
        <f t="shared" si="6"/>
        <v>3</v>
      </c>
      <c r="D43">
        <f t="shared" si="7"/>
        <v>1</v>
      </c>
      <c r="E43">
        <f t="shared" si="8"/>
        <v>9</v>
      </c>
      <c r="F43">
        <f>3*DesarrolloPartidos[[#This Row],[Partidos_3]]</f>
        <v>9</v>
      </c>
      <c r="G43">
        <f>IF(DesarrolloPartidos[[#This Row],[Partidos_3]]=0,0,ROUNDUP(DesarrolloPartidos[[#This Row],[Orden]]/DesarrolloPartidos[[#This Row],[JugEnPart3]]*DesarrolloPartidos[[#This Row],[Partidos_3]],0))</f>
        <v>3</v>
      </c>
      <c r="H43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43">
        <f>IF(AND(DesarrolloPartidos[[#This Row],[PartidosSolo3]]&lt;=DesarrolloPartidos[[#This Row],[Partidos_3]],DesarrolloPartidos[[#This Row],[PartidosSolo3]]&lt;&gt;0),DesarrolloPartidos[[#This Row],[PartidosSolo3]],"")</f>
        <v>3</v>
      </c>
      <c r="J43">
        <f>+IF(DesarrolloPartidos[[#This Row],[Partidos3]]="",DesarrolloPartidos[[#This Row],[Partidos4]],DesarrolloPartidos[[#This Row],[Partidos3]])</f>
        <v>3</v>
      </c>
      <c r="K43" t="str">
        <f>+DesarrolloPartidos[[#This Row],[Jugadores]]&amp;":"&amp;DesarrolloPartidos[[#This Row],[Orden]]</f>
        <v>13:9</v>
      </c>
    </row>
    <row r="44" spans="1:11">
      <c r="A44">
        <f t="shared" si="5"/>
        <v>13</v>
      </c>
      <c r="B44">
        <f t="shared" si="1"/>
        <v>4</v>
      </c>
      <c r="C44">
        <f t="shared" si="6"/>
        <v>3</v>
      </c>
      <c r="D44">
        <f t="shared" si="7"/>
        <v>1</v>
      </c>
      <c r="E44">
        <f t="shared" si="8"/>
        <v>10</v>
      </c>
      <c r="F44">
        <f>3*DesarrolloPartidos[[#This Row],[Partidos_3]]</f>
        <v>9</v>
      </c>
      <c r="G44">
        <f>IF(DesarrolloPartidos[[#This Row],[Partidos_3]]=0,0,ROUNDUP(DesarrolloPartidos[[#This Row],[Orden]]/DesarrolloPartidos[[#This Row],[JugEnPart3]]*DesarrolloPartidos[[#This Row],[Partidos_3]],0))</f>
        <v>4</v>
      </c>
      <c r="H44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44" t="str">
        <f>IF(AND(DesarrolloPartidos[[#This Row],[PartidosSolo3]]&lt;=DesarrolloPartidos[[#This Row],[Partidos_3]],DesarrolloPartidos[[#This Row],[PartidosSolo3]]&lt;&gt;0),DesarrolloPartidos[[#This Row],[PartidosSolo3]],"")</f>
        <v/>
      </c>
      <c r="J44">
        <f>+IF(DesarrolloPartidos[[#This Row],[Partidos3]]="",DesarrolloPartidos[[#This Row],[Partidos4]],DesarrolloPartidos[[#This Row],[Partidos3]])</f>
        <v>4</v>
      </c>
      <c r="K44" t="str">
        <f>+DesarrolloPartidos[[#This Row],[Jugadores]]&amp;":"&amp;DesarrolloPartidos[[#This Row],[Orden]]</f>
        <v>13:10</v>
      </c>
    </row>
    <row r="45" spans="1:11">
      <c r="A45">
        <f t="shared" si="5"/>
        <v>13</v>
      </c>
      <c r="B45">
        <f t="shared" si="1"/>
        <v>4</v>
      </c>
      <c r="C45">
        <f t="shared" si="6"/>
        <v>3</v>
      </c>
      <c r="D45">
        <f t="shared" si="7"/>
        <v>1</v>
      </c>
      <c r="E45">
        <f t="shared" si="8"/>
        <v>11</v>
      </c>
      <c r="F45">
        <f>3*DesarrolloPartidos[[#This Row],[Partidos_3]]</f>
        <v>9</v>
      </c>
      <c r="G45">
        <f>IF(DesarrolloPartidos[[#This Row],[Partidos_3]]=0,0,ROUNDUP(DesarrolloPartidos[[#This Row],[Orden]]/DesarrolloPartidos[[#This Row],[JugEnPart3]]*DesarrolloPartidos[[#This Row],[Partidos_3]],0))</f>
        <v>4</v>
      </c>
      <c r="H45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45" t="str">
        <f>IF(AND(DesarrolloPartidos[[#This Row],[PartidosSolo3]]&lt;=DesarrolloPartidos[[#This Row],[Partidos_3]],DesarrolloPartidos[[#This Row],[PartidosSolo3]]&lt;&gt;0),DesarrolloPartidos[[#This Row],[PartidosSolo3]],"")</f>
        <v/>
      </c>
      <c r="J45">
        <f>+IF(DesarrolloPartidos[[#This Row],[Partidos3]]="",DesarrolloPartidos[[#This Row],[Partidos4]],DesarrolloPartidos[[#This Row],[Partidos3]])</f>
        <v>4</v>
      </c>
      <c r="K45" t="str">
        <f>+DesarrolloPartidos[[#This Row],[Jugadores]]&amp;":"&amp;DesarrolloPartidos[[#This Row],[Orden]]</f>
        <v>13:11</v>
      </c>
    </row>
    <row r="46" spans="1:11">
      <c r="A46">
        <f t="shared" si="5"/>
        <v>13</v>
      </c>
      <c r="B46">
        <f t="shared" si="1"/>
        <v>4</v>
      </c>
      <c r="C46">
        <f t="shared" si="6"/>
        <v>3</v>
      </c>
      <c r="D46">
        <f t="shared" si="7"/>
        <v>1</v>
      </c>
      <c r="E46">
        <f t="shared" si="8"/>
        <v>12</v>
      </c>
      <c r="F46">
        <f>3*DesarrolloPartidos[[#This Row],[Partidos_3]]</f>
        <v>9</v>
      </c>
      <c r="G46">
        <f>IF(DesarrolloPartidos[[#This Row],[Partidos_3]]=0,0,ROUNDUP(DesarrolloPartidos[[#This Row],[Orden]]/DesarrolloPartidos[[#This Row],[JugEnPart3]]*DesarrolloPartidos[[#This Row],[Partidos_3]],0))</f>
        <v>4</v>
      </c>
      <c r="H46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46" t="str">
        <f>IF(AND(DesarrolloPartidos[[#This Row],[PartidosSolo3]]&lt;=DesarrolloPartidos[[#This Row],[Partidos_3]],DesarrolloPartidos[[#This Row],[PartidosSolo3]]&lt;&gt;0),DesarrolloPartidos[[#This Row],[PartidosSolo3]],"")</f>
        <v/>
      </c>
      <c r="J46">
        <f>+IF(DesarrolloPartidos[[#This Row],[Partidos3]]="",DesarrolloPartidos[[#This Row],[Partidos4]],DesarrolloPartidos[[#This Row],[Partidos3]])</f>
        <v>4</v>
      </c>
      <c r="K46" t="str">
        <f>+DesarrolloPartidos[[#This Row],[Jugadores]]&amp;":"&amp;DesarrolloPartidos[[#This Row],[Orden]]</f>
        <v>13:12</v>
      </c>
    </row>
    <row r="47" spans="1:11">
      <c r="A47">
        <f t="shared" si="5"/>
        <v>13</v>
      </c>
      <c r="B47">
        <f t="shared" si="1"/>
        <v>4</v>
      </c>
      <c r="C47">
        <f t="shared" si="6"/>
        <v>3</v>
      </c>
      <c r="D47">
        <f t="shared" si="7"/>
        <v>1</v>
      </c>
      <c r="E47">
        <f t="shared" si="8"/>
        <v>13</v>
      </c>
      <c r="F47">
        <f>3*DesarrolloPartidos[[#This Row],[Partidos_3]]</f>
        <v>9</v>
      </c>
      <c r="G47">
        <f>IF(DesarrolloPartidos[[#This Row],[Partidos_3]]=0,0,ROUNDUP(DesarrolloPartidos[[#This Row],[Orden]]/DesarrolloPartidos[[#This Row],[JugEnPart3]]*DesarrolloPartidos[[#This Row],[Partidos_3]],0))</f>
        <v>5</v>
      </c>
      <c r="H47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47" t="str">
        <f>IF(AND(DesarrolloPartidos[[#This Row],[PartidosSolo3]]&lt;=DesarrolloPartidos[[#This Row],[Partidos_3]],DesarrolloPartidos[[#This Row],[PartidosSolo3]]&lt;&gt;0),DesarrolloPartidos[[#This Row],[PartidosSolo3]],"")</f>
        <v/>
      </c>
      <c r="J47">
        <f>+IF(DesarrolloPartidos[[#This Row],[Partidos3]]="",DesarrolloPartidos[[#This Row],[Partidos4]],DesarrolloPartidos[[#This Row],[Partidos3]])</f>
        <v>4</v>
      </c>
      <c r="K47" t="str">
        <f>+DesarrolloPartidos[[#This Row],[Jugadores]]&amp;":"&amp;DesarrolloPartidos[[#This Row],[Orden]]</f>
        <v>13:13</v>
      </c>
    </row>
    <row r="48" spans="1:11">
      <c r="A48">
        <f t="shared" si="5"/>
        <v>14</v>
      </c>
      <c r="B48">
        <f t="shared" si="1"/>
        <v>4</v>
      </c>
      <c r="C48">
        <f t="shared" si="6"/>
        <v>2</v>
      </c>
      <c r="D48">
        <f t="shared" si="7"/>
        <v>2</v>
      </c>
      <c r="E48">
        <f t="shared" si="8"/>
        <v>1</v>
      </c>
      <c r="F48">
        <f>3*DesarrolloPartidos[[#This Row],[Partidos_3]]</f>
        <v>6</v>
      </c>
      <c r="G48">
        <f>IF(DesarrolloPartidos[[#This Row],[Partidos_3]]=0,0,ROUNDUP(DesarrolloPartidos[[#This Row],[Orden]]/DesarrolloPartidos[[#This Row],[JugEnPart3]]*DesarrolloPartidos[[#This Row],[Partidos_3]],0))</f>
        <v>1</v>
      </c>
      <c r="H48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48">
        <f>IF(AND(DesarrolloPartidos[[#This Row],[PartidosSolo3]]&lt;=DesarrolloPartidos[[#This Row],[Partidos_3]],DesarrolloPartidos[[#This Row],[PartidosSolo3]]&lt;&gt;0),DesarrolloPartidos[[#This Row],[PartidosSolo3]],"")</f>
        <v>1</v>
      </c>
      <c r="J48">
        <f>+IF(DesarrolloPartidos[[#This Row],[Partidos3]]="",DesarrolloPartidos[[#This Row],[Partidos4]],DesarrolloPartidos[[#This Row],[Partidos3]])</f>
        <v>1</v>
      </c>
      <c r="K48" t="str">
        <f>+DesarrolloPartidos[[#This Row],[Jugadores]]&amp;":"&amp;DesarrolloPartidos[[#This Row],[Orden]]</f>
        <v>14:1</v>
      </c>
    </row>
    <row r="49" spans="1:11">
      <c r="A49">
        <f t="shared" si="5"/>
        <v>14</v>
      </c>
      <c r="B49">
        <f t="shared" si="1"/>
        <v>4</v>
      </c>
      <c r="C49">
        <f t="shared" si="6"/>
        <v>2</v>
      </c>
      <c r="D49">
        <f t="shared" si="7"/>
        <v>2</v>
      </c>
      <c r="E49">
        <f t="shared" si="8"/>
        <v>2</v>
      </c>
      <c r="F49">
        <f>3*DesarrolloPartidos[[#This Row],[Partidos_3]]</f>
        <v>6</v>
      </c>
      <c r="G49">
        <f>IF(DesarrolloPartidos[[#This Row],[Partidos_3]]=0,0,ROUNDUP(DesarrolloPartidos[[#This Row],[Orden]]/DesarrolloPartidos[[#This Row],[JugEnPart3]]*DesarrolloPartidos[[#This Row],[Partidos_3]],0))</f>
        <v>1</v>
      </c>
      <c r="H49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49">
        <f>IF(AND(DesarrolloPartidos[[#This Row],[PartidosSolo3]]&lt;=DesarrolloPartidos[[#This Row],[Partidos_3]],DesarrolloPartidos[[#This Row],[PartidosSolo3]]&lt;&gt;0),DesarrolloPartidos[[#This Row],[PartidosSolo3]],"")</f>
        <v>1</v>
      </c>
      <c r="J49">
        <f>+IF(DesarrolloPartidos[[#This Row],[Partidos3]]="",DesarrolloPartidos[[#This Row],[Partidos4]],DesarrolloPartidos[[#This Row],[Partidos3]])</f>
        <v>1</v>
      </c>
      <c r="K49" t="str">
        <f>+DesarrolloPartidos[[#This Row],[Jugadores]]&amp;":"&amp;DesarrolloPartidos[[#This Row],[Orden]]</f>
        <v>14:2</v>
      </c>
    </row>
    <row r="50" spans="1:11">
      <c r="A50">
        <f t="shared" si="5"/>
        <v>14</v>
      </c>
      <c r="B50">
        <f t="shared" si="1"/>
        <v>4</v>
      </c>
      <c r="C50">
        <f t="shared" si="6"/>
        <v>2</v>
      </c>
      <c r="D50">
        <f t="shared" si="7"/>
        <v>2</v>
      </c>
      <c r="E50">
        <f t="shared" si="8"/>
        <v>3</v>
      </c>
      <c r="F50">
        <f>3*DesarrolloPartidos[[#This Row],[Partidos_3]]</f>
        <v>6</v>
      </c>
      <c r="G50">
        <f>IF(DesarrolloPartidos[[#This Row],[Partidos_3]]=0,0,ROUNDUP(DesarrolloPartidos[[#This Row],[Orden]]/DesarrolloPartidos[[#This Row],[JugEnPart3]]*DesarrolloPartidos[[#This Row],[Partidos_3]],0))</f>
        <v>1</v>
      </c>
      <c r="H50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50">
        <f>IF(AND(DesarrolloPartidos[[#This Row],[PartidosSolo3]]&lt;=DesarrolloPartidos[[#This Row],[Partidos_3]],DesarrolloPartidos[[#This Row],[PartidosSolo3]]&lt;&gt;0),DesarrolloPartidos[[#This Row],[PartidosSolo3]],"")</f>
        <v>1</v>
      </c>
      <c r="J50">
        <f>+IF(DesarrolloPartidos[[#This Row],[Partidos3]]="",DesarrolloPartidos[[#This Row],[Partidos4]],DesarrolloPartidos[[#This Row],[Partidos3]])</f>
        <v>1</v>
      </c>
      <c r="K50" t="str">
        <f>+DesarrolloPartidos[[#This Row],[Jugadores]]&amp;":"&amp;DesarrolloPartidos[[#This Row],[Orden]]</f>
        <v>14:3</v>
      </c>
    </row>
    <row r="51" spans="1:11">
      <c r="A51">
        <f t="shared" si="5"/>
        <v>14</v>
      </c>
      <c r="B51">
        <f t="shared" si="1"/>
        <v>4</v>
      </c>
      <c r="C51">
        <f t="shared" si="6"/>
        <v>2</v>
      </c>
      <c r="D51">
        <f t="shared" si="7"/>
        <v>2</v>
      </c>
      <c r="E51">
        <f t="shared" si="8"/>
        <v>4</v>
      </c>
      <c r="F51">
        <f>3*DesarrolloPartidos[[#This Row],[Partidos_3]]</f>
        <v>6</v>
      </c>
      <c r="G51">
        <f>IF(DesarrolloPartidos[[#This Row],[Partidos_3]]=0,0,ROUNDUP(DesarrolloPartidos[[#This Row],[Orden]]/DesarrolloPartidos[[#This Row],[JugEnPart3]]*DesarrolloPartidos[[#This Row],[Partidos_3]],0))</f>
        <v>2</v>
      </c>
      <c r="H51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51">
        <f>IF(AND(DesarrolloPartidos[[#This Row],[PartidosSolo3]]&lt;=DesarrolloPartidos[[#This Row],[Partidos_3]],DesarrolloPartidos[[#This Row],[PartidosSolo3]]&lt;&gt;0),DesarrolloPartidos[[#This Row],[PartidosSolo3]],"")</f>
        <v>2</v>
      </c>
      <c r="J51">
        <f>+IF(DesarrolloPartidos[[#This Row],[Partidos3]]="",DesarrolloPartidos[[#This Row],[Partidos4]],DesarrolloPartidos[[#This Row],[Partidos3]])</f>
        <v>2</v>
      </c>
      <c r="K51" t="str">
        <f>+DesarrolloPartidos[[#This Row],[Jugadores]]&amp;":"&amp;DesarrolloPartidos[[#This Row],[Orden]]</f>
        <v>14:4</v>
      </c>
    </row>
    <row r="52" spans="1:11">
      <c r="A52">
        <f t="shared" si="5"/>
        <v>14</v>
      </c>
      <c r="B52">
        <f t="shared" si="1"/>
        <v>4</v>
      </c>
      <c r="C52">
        <f t="shared" si="6"/>
        <v>2</v>
      </c>
      <c r="D52">
        <f t="shared" si="7"/>
        <v>2</v>
      </c>
      <c r="E52">
        <f t="shared" si="8"/>
        <v>5</v>
      </c>
      <c r="F52">
        <f>3*DesarrolloPartidos[[#This Row],[Partidos_3]]</f>
        <v>6</v>
      </c>
      <c r="G52">
        <f>IF(DesarrolloPartidos[[#This Row],[Partidos_3]]=0,0,ROUNDUP(DesarrolloPartidos[[#This Row],[Orden]]/DesarrolloPartidos[[#This Row],[JugEnPart3]]*DesarrolloPartidos[[#This Row],[Partidos_3]],0))</f>
        <v>2</v>
      </c>
      <c r="H52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52">
        <f>IF(AND(DesarrolloPartidos[[#This Row],[PartidosSolo3]]&lt;=DesarrolloPartidos[[#This Row],[Partidos_3]],DesarrolloPartidos[[#This Row],[PartidosSolo3]]&lt;&gt;0),DesarrolloPartidos[[#This Row],[PartidosSolo3]],"")</f>
        <v>2</v>
      </c>
      <c r="J52">
        <f>+IF(DesarrolloPartidos[[#This Row],[Partidos3]]="",DesarrolloPartidos[[#This Row],[Partidos4]],DesarrolloPartidos[[#This Row],[Partidos3]])</f>
        <v>2</v>
      </c>
      <c r="K52" t="str">
        <f>+DesarrolloPartidos[[#This Row],[Jugadores]]&amp;":"&amp;DesarrolloPartidos[[#This Row],[Orden]]</f>
        <v>14:5</v>
      </c>
    </row>
    <row r="53" spans="1:11">
      <c r="A53">
        <f t="shared" si="5"/>
        <v>14</v>
      </c>
      <c r="B53">
        <f t="shared" si="1"/>
        <v>4</v>
      </c>
      <c r="C53">
        <f t="shared" si="6"/>
        <v>2</v>
      </c>
      <c r="D53">
        <f t="shared" si="7"/>
        <v>2</v>
      </c>
      <c r="E53">
        <f t="shared" si="8"/>
        <v>6</v>
      </c>
      <c r="F53">
        <f>3*DesarrolloPartidos[[#This Row],[Partidos_3]]</f>
        <v>6</v>
      </c>
      <c r="G53">
        <f>IF(DesarrolloPartidos[[#This Row],[Partidos_3]]=0,0,ROUNDUP(DesarrolloPartidos[[#This Row],[Orden]]/DesarrolloPartidos[[#This Row],[JugEnPart3]]*DesarrolloPartidos[[#This Row],[Partidos_3]],0))</f>
        <v>2</v>
      </c>
      <c r="H53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53">
        <f>IF(AND(DesarrolloPartidos[[#This Row],[PartidosSolo3]]&lt;=DesarrolloPartidos[[#This Row],[Partidos_3]],DesarrolloPartidos[[#This Row],[PartidosSolo3]]&lt;&gt;0),DesarrolloPartidos[[#This Row],[PartidosSolo3]],"")</f>
        <v>2</v>
      </c>
      <c r="J53">
        <f>+IF(DesarrolloPartidos[[#This Row],[Partidos3]]="",DesarrolloPartidos[[#This Row],[Partidos4]],DesarrolloPartidos[[#This Row],[Partidos3]])</f>
        <v>2</v>
      </c>
      <c r="K53" t="str">
        <f>+DesarrolloPartidos[[#This Row],[Jugadores]]&amp;":"&amp;DesarrolloPartidos[[#This Row],[Orden]]</f>
        <v>14:6</v>
      </c>
    </row>
    <row r="54" spans="1:11">
      <c r="A54">
        <f t="shared" si="5"/>
        <v>14</v>
      </c>
      <c r="B54">
        <f t="shared" si="1"/>
        <v>4</v>
      </c>
      <c r="C54">
        <f t="shared" si="6"/>
        <v>2</v>
      </c>
      <c r="D54">
        <f t="shared" si="7"/>
        <v>2</v>
      </c>
      <c r="E54">
        <f t="shared" si="8"/>
        <v>7</v>
      </c>
      <c r="F54">
        <f>3*DesarrolloPartidos[[#This Row],[Partidos_3]]</f>
        <v>6</v>
      </c>
      <c r="G54">
        <f>IF(DesarrolloPartidos[[#This Row],[Partidos_3]]=0,0,ROUNDUP(DesarrolloPartidos[[#This Row],[Orden]]/DesarrolloPartidos[[#This Row],[JugEnPart3]]*DesarrolloPartidos[[#This Row],[Partidos_3]],0))</f>
        <v>3</v>
      </c>
      <c r="H54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3</v>
      </c>
      <c r="I54" t="str">
        <f>IF(AND(DesarrolloPartidos[[#This Row],[PartidosSolo3]]&lt;=DesarrolloPartidos[[#This Row],[Partidos_3]],DesarrolloPartidos[[#This Row],[PartidosSolo3]]&lt;&gt;0),DesarrolloPartidos[[#This Row],[PartidosSolo3]],"")</f>
        <v/>
      </c>
      <c r="J54">
        <f>+IF(DesarrolloPartidos[[#This Row],[Partidos3]]="",DesarrolloPartidos[[#This Row],[Partidos4]],DesarrolloPartidos[[#This Row],[Partidos3]])</f>
        <v>3</v>
      </c>
      <c r="K54" t="str">
        <f>+DesarrolloPartidos[[#This Row],[Jugadores]]&amp;":"&amp;DesarrolloPartidos[[#This Row],[Orden]]</f>
        <v>14:7</v>
      </c>
    </row>
    <row r="55" spans="1:11">
      <c r="A55">
        <f t="shared" si="5"/>
        <v>14</v>
      </c>
      <c r="B55">
        <f t="shared" si="1"/>
        <v>4</v>
      </c>
      <c r="C55">
        <f t="shared" si="6"/>
        <v>2</v>
      </c>
      <c r="D55">
        <f t="shared" si="7"/>
        <v>2</v>
      </c>
      <c r="E55">
        <f t="shared" si="8"/>
        <v>8</v>
      </c>
      <c r="F55">
        <f>3*DesarrolloPartidos[[#This Row],[Partidos_3]]</f>
        <v>6</v>
      </c>
      <c r="G55">
        <f>IF(DesarrolloPartidos[[#This Row],[Partidos_3]]=0,0,ROUNDUP(DesarrolloPartidos[[#This Row],[Orden]]/DesarrolloPartidos[[#This Row],[JugEnPart3]]*DesarrolloPartidos[[#This Row],[Partidos_3]],0))</f>
        <v>3</v>
      </c>
      <c r="H55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3</v>
      </c>
      <c r="I55" t="str">
        <f>IF(AND(DesarrolloPartidos[[#This Row],[PartidosSolo3]]&lt;=DesarrolloPartidos[[#This Row],[Partidos_3]],DesarrolloPartidos[[#This Row],[PartidosSolo3]]&lt;&gt;0),DesarrolloPartidos[[#This Row],[PartidosSolo3]],"")</f>
        <v/>
      </c>
      <c r="J55">
        <f>+IF(DesarrolloPartidos[[#This Row],[Partidos3]]="",DesarrolloPartidos[[#This Row],[Partidos4]],DesarrolloPartidos[[#This Row],[Partidos3]])</f>
        <v>3</v>
      </c>
      <c r="K55" t="str">
        <f>+DesarrolloPartidos[[#This Row],[Jugadores]]&amp;":"&amp;DesarrolloPartidos[[#This Row],[Orden]]</f>
        <v>14:8</v>
      </c>
    </row>
    <row r="56" spans="1:11">
      <c r="A56">
        <f t="shared" si="5"/>
        <v>14</v>
      </c>
      <c r="B56">
        <f t="shared" si="1"/>
        <v>4</v>
      </c>
      <c r="C56">
        <f t="shared" si="6"/>
        <v>2</v>
      </c>
      <c r="D56">
        <f t="shared" si="7"/>
        <v>2</v>
      </c>
      <c r="E56">
        <f t="shared" si="8"/>
        <v>9</v>
      </c>
      <c r="F56">
        <f>3*DesarrolloPartidos[[#This Row],[Partidos_3]]</f>
        <v>6</v>
      </c>
      <c r="G56">
        <f>IF(DesarrolloPartidos[[#This Row],[Partidos_3]]=0,0,ROUNDUP(DesarrolloPartidos[[#This Row],[Orden]]/DesarrolloPartidos[[#This Row],[JugEnPart3]]*DesarrolloPartidos[[#This Row],[Partidos_3]],0))</f>
        <v>3</v>
      </c>
      <c r="H56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3</v>
      </c>
      <c r="I56" t="str">
        <f>IF(AND(DesarrolloPartidos[[#This Row],[PartidosSolo3]]&lt;=DesarrolloPartidos[[#This Row],[Partidos_3]],DesarrolloPartidos[[#This Row],[PartidosSolo3]]&lt;&gt;0),DesarrolloPartidos[[#This Row],[PartidosSolo3]],"")</f>
        <v/>
      </c>
      <c r="J56">
        <f>+IF(DesarrolloPartidos[[#This Row],[Partidos3]]="",DesarrolloPartidos[[#This Row],[Partidos4]],DesarrolloPartidos[[#This Row],[Partidos3]])</f>
        <v>3</v>
      </c>
      <c r="K56" t="str">
        <f>+DesarrolloPartidos[[#This Row],[Jugadores]]&amp;":"&amp;DesarrolloPartidos[[#This Row],[Orden]]</f>
        <v>14:9</v>
      </c>
    </row>
    <row r="57" spans="1:11">
      <c r="A57">
        <f t="shared" si="5"/>
        <v>14</v>
      </c>
      <c r="B57">
        <f t="shared" si="1"/>
        <v>4</v>
      </c>
      <c r="C57">
        <f t="shared" si="6"/>
        <v>2</v>
      </c>
      <c r="D57">
        <f t="shared" si="7"/>
        <v>2</v>
      </c>
      <c r="E57">
        <f t="shared" si="8"/>
        <v>10</v>
      </c>
      <c r="F57">
        <f>3*DesarrolloPartidos[[#This Row],[Partidos_3]]</f>
        <v>6</v>
      </c>
      <c r="G57">
        <f>IF(DesarrolloPartidos[[#This Row],[Partidos_3]]=0,0,ROUNDUP(DesarrolloPartidos[[#This Row],[Orden]]/DesarrolloPartidos[[#This Row],[JugEnPart3]]*DesarrolloPartidos[[#This Row],[Partidos_3]],0))</f>
        <v>4</v>
      </c>
      <c r="H57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3</v>
      </c>
      <c r="I57" t="str">
        <f>IF(AND(DesarrolloPartidos[[#This Row],[PartidosSolo3]]&lt;=DesarrolloPartidos[[#This Row],[Partidos_3]],DesarrolloPartidos[[#This Row],[PartidosSolo3]]&lt;&gt;0),DesarrolloPartidos[[#This Row],[PartidosSolo3]],"")</f>
        <v/>
      </c>
      <c r="J57">
        <f>+IF(DesarrolloPartidos[[#This Row],[Partidos3]]="",DesarrolloPartidos[[#This Row],[Partidos4]],DesarrolloPartidos[[#This Row],[Partidos3]])</f>
        <v>3</v>
      </c>
      <c r="K57" t="str">
        <f>+DesarrolloPartidos[[#This Row],[Jugadores]]&amp;":"&amp;DesarrolloPartidos[[#This Row],[Orden]]</f>
        <v>14:10</v>
      </c>
    </row>
    <row r="58" spans="1:11">
      <c r="A58">
        <f t="shared" si="5"/>
        <v>14</v>
      </c>
      <c r="B58">
        <f t="shared" si="1"/>
        <v>4</v>
      </c>
      <c r="C58">
        <f t="shared" si="6"/>
        <v>2</v>
      </c>
      <c r="D58">
        <f t="shared" si="7"/>
        <v>2</v>
      </c>
      <c r="E58">
        <f t="shared" si="8"/>
        <v>11</v>
      </c>
      <c r="F58">
        <f>3*DesarrolloPartidos[[#This Row],[Partidos_3]]</f>
        <v>6</v>
      </c>
      <c r="G58">
        <f>IF(DesarrolloPartidos[[#This Row],[Partidos_3]]=0,0,ROUNDUP(DesarrolloPartidos[[#This Row],[Orden]]/DesarrolloPartidos[[#This Row],[JugEnPart3]]*DesarrolloPartidos[[#This Row],[Partidos_3]],0))</f>
        <v>4</v>
      </c>
      <c r="H58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58" t="str">
        <f>IF(AND(DesarrolloPartidos[[#This Row],[PartidosSolo3]]&lt;=DesarrolloPartidos[[#This Row],[Partidos_3]],DesarrolloPartidos[[#This Row],[PartidosSolo3]]&lt;&gt;0),DesarrolloPartidos[[#This Row],[PartidosSolo3]],"")</f>
        <v/>
      </c>
      <c r="J58">
        <f>+IF(DesarrolloPartidos[[#This Row],[Partidos3]]="",DesarrolloPartidos[[#This Row],[Partidos4]],DesarrolloPartidos[[#This Row],[Partidos3]])</f>
        <v>4</v>
      </c>
      <c r="K58" t="str">
        <f>+DesarrolloPartidos[[#This Row],[Jugadores]]&amp;":"&amp;DesarrolloPartidos[[#This Row],[Orden]]</f>
        <v>14:11</v>
      </c>
    </row>
    <row r="59" spans="1:11">
      <c r="A59">
        <f t="shared" si="5"/>
        <v>14</v>
      </c>
      <c r="B59">
        <f t="shared" si="1"/>
        <v>4</v>
      </c>
      <c r="C59">
        <f t="shared" si="6"/>
        <v>2</v>
      </c>
      <c r="D59">
        <f t="shared" si="7"/>
        <v>2</v>
      </c>
      <c r="E59">
        <f t="shared" si="8"/>
        <v>12</v>
      </c>
      <c r="F59">
        <f>3*DesarrolloPartidos[[#This Row],[Partidos_3]]</f>
        <v>6</v>
      </c>
      <c r="G59">
        <f>IF(DesarrolloPartidos[[#This Row],[Partidos_3]]=0,0,ROUNDUP(DesarrolloPartidos[[#This Row],[Orden]]/DesarrolloPartidos[[#This Row],[JugEnPart3]]*DesarrolloPartidos[[#This Row],[Partidos_3]],0))</f>
        <v>4</v>
      </c>
      <c r="H59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59" t="str">
        <f>IF(AND(DesarrolloPartidos[[#This Row],[PartidosSolo3]]&lt;=DesarrolloPartidos[[#This Row],[Partidos_3]],DesarrolloPartidos[[#This Row],[PartidosSolo3]]&lt;&gt;0),DesarrolloPartidos[[#This Row],[PartidosSolo3]],"")</f>
        <v/>
      </c>
      <c r="J59">
        <f>+IF(DesarrolloPartidos[[#This Row],[Partidos3]]="",DesarrolloPartidos[[#This Row],[Partidos4]],DesarrolloPartidos[[#This Row],[Partidos3]])</f>
        <v>4</v>
      </c>
      <c r="K59" t="str">
        <f>+DesarrolloPartidos[[#This Row],[Jugadores]]&amp;":"&amp;DesarrolloPartidos[[#This Row],[Orden]]</f>
        <v>14:12</v>
      </c>
    </row>
    <row r="60" spans="1:11">
      <c r="A60">
        <f t="shared" si="5"/>
        <v>14</v>
      </c>
      <c r="B60">
        <f t="shared" si="1"/>
        <v>4</v>
      </c>
      <c r="C60">
        <f t="shared" si="6"/>
        <v>2</v>
      </c>
      <c r="D60">
        <f t="shared" si="7"/>
        <v>2</v>
      </c>
      <c r="E60">
        <f t="shared" si="8"/>
        <v>13</v>
      </c>
      <c r="F60">
        <f>3*DesarrolloPartidos[[#This Row],[Partidos_3]]</f>
        <v>6</v>
      </c>
      <c r="G60">
        <f>IF(DesarrolloPartidos[[#This Row],[Partidos_3]]=0,0,ROUNDUP(DesarrolloPartidos[[#This Row],[Orden]]/DesarrolloPartidos[[#This Row],[JugEnPart3]]*DesarrolloPartidos[[#This Row],[Partidos_3]],0))</f>
        <v>5</v>
      </c>
      <c r="H60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60" t="str">
        <f>IF(AND(DesarrolloPartidos[[#This Row],[PartidosSolo3]]&lt;=DesarrolloPartidos[[#This Row],[Partidos_3]],DesarrolloPartidos[[#This Row],[PartidosSolo3]]&lt;&gt;0),DesarrolloPartidos[[#This Row],[PartidosSolo3]],"")</f>
        <v/>
      </c>
      <c r="J60">
        <f>+IF(DesarrolloPartidos[[#This Row],[Partidos3]]="",DesarrolloPartidos[[#This Row],[Partidos4]],DesarrolloPartidos[[#This Row],[Partidos3]])</f>
        <v>4</v>
      </c>
      <c r="K60" t="str">
        <f>+DesarrolloPartidos[[#This Row],[Jugadores]]&amp;":"&amp;DesarrolloPartidos[[#This Row],[Orden]]</f>
        <v>14:13</v>
      </c>
    </row>
    <row r="61" spans="1:11">
      <c r="A61">
        <f t="shared" si="5"/>
        <v>14</v>
      </c>
      <c r="B61">
        <f t="shared" si="1"/>
        <v>4</v>
      </c>
      <c r="C61">
        <f t="shared" si="6"/>
        <v>2</v>
      </c>
      <c r="D61">
        <f t="shared" si="7"/>
        <v>2</v>
      </c>
      <c r="E61">
        <f t="shared" si="8"/>
        <v>14</v>
      </c>
      <c r="F61">
        <f>3*DesarrolloPartidos[[#This Row],[Partidos_3]]</f>
        <v>6</v>
      </c>
      <c r="G61">
        <f>IF(DesarrolloPartidos[[#This Row],[Partidos_3]]=0,0,ROUNDUP(DesarrolloPartidos[[#This Row],[Orden]]/DesarrolloPartidos[[#This Row],[JugEnPart3]]*DesarrolloPartidos[[#This Row],[Partidos_3]],0))</f>
        <v>5</v>
      </c>
      <c r="H61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61" t="str">
        <f>IF(AND(DesarrolloPartidos[[#This Row],[PartidosSolo3]]&lt;=DesarrolloPartidos[[#This Row],[Partidos_3]],DesarrolloPartidos[[#This Row],[PartidosSolo3]]&lt;&gt;0),DesarrolloPartidos[[#This Row],[PartidosSolo3]],"")</f>
        <v/>
      </c>
      <c r="J61">
        <f>+IF(DesarrolloPartidos[[#This Row],[Partidos3]]="",DesarrolloPartidos[[#This Row],[Partidos4]],DesarrolloPartidos[[#This Row],[Partidos3]])</f>
        <v>4</v>
      </c>
      <c r="K61" t="str">
        <f>+DesarrolloPartidos[[#This Row],[Jugadores]]&amp;":"&amp;DesarrolloPartidos[[#This Row],[Orden]]</f>
        <v>14:14</v>
      </c>
    </row>
    <row r="62" spans="1:11">
      <c r="A62">
        <f t="shared" si="5"/>
        <v>15</v>
      </c>
      <c r="B62">
        <f t="shared" si="1"/>
        <v>4</v>
      </c>
      <c r="C62">
        <f t="shared" si="6"/>
        <v>1</v>
      </c>
      <c r="D62">
        <f t="shared" si="7"/>
        <v>3</v>
      </c>
      <c r="E62">
        <f t="shared" si="8"/>
        <v>1</v>
      </c>
      <c r="F62">
        <f>3*DesarrolloPartidos[[#This Row],[Partidos_3]]</f>
        <v>3</v>
      </c>
      <c r="G62">
        <f>IF(DesarrolloPartidos[[#This Row],[Partidos_3]]=0,0,ROUNDUP(DesarrolloPartidos[[#This Row],[Orden]]/DesarrolloPartidos[[#This Row],[JugEnPart3]]*DesarrolloPartidos[[#This Row],[Partidos_3]],0))</f>
        <v>1</v>
      </c>
      <c r="H62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62">
        <f>IF(AND(DesarrolloPartidos[[#This Row],[PartidosSolo3]]&lt;=DesarrolloPartidos[[#This Row],[Partidos_3]],DesarrolloPartidos[[#This Row],[PartidosSolo3]]&lt;&gt;0),DesarrolloPartidos[[#This Row],[PartidosSolo3]],"")</f>
        <v>1</v>
      </c>
      <c r="J62">
        <f>+IF(DesarrolloPartidos[[#This Row],[Partidos3]]="",DesarrolloPartidos[[#This Row],[Partidos4]],DesarrolloPartidos[[#This Row],[Partidos3]])</f>
        <v>1</v>
      </c>
      <c r="K62" t="str">
        <f>+DesarrolloPartidos[[#This Row],[Jugadores]]&amp;":"&amp;DesarrolloPartidos[[#This Row],[Orden]]</f>
        <v>15:1</v>
      </c>
    </row>
    <row r="63" spans="1:11">
      <c r="A63">
        <f t="shared" si="5"/>
        <v>15</v>
      </c>
      <c r="B63">
        <f t="shared" si="1"/>
        <v>4</v>
      </c>
      <c r="C63">
        <f t="shared" si="6"/>
        <v>1</v>
      </c>
      <c r="D63">
        <f t="shared" si="7"/>
        <v>3</v>
      </c>
      <c r="E63">
        <f t="shared" si="8"/>
        <v>2</v>
      </c>
      <c r="F63">
        <f>3*DesarrolloPartidos[[#This Row],[Partidos_3]]</f>
        <v>3</v>
      </c>
      <c r="G63">
        <f>IF(DesarrolloPartidos[[#This Row],[Partidos_3]]=0,0,ROUNDUP(DesarrolloPartidos[[#This Row],[Orden]]/DesarrolloPartidos[[#This Row],[JugEnPart3]]*DesarrolloPartidos[[#This Row],[Partidos_3]],0))</f>
        <v>1</v>
      </c>
      <c r="H63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63">
        <f>IF(AND(DesarrolloPartidos[[#This Row],[PartidosSolo3]]&lt;=DesarrolloPartidos[[#This Row],[Partidos_3]],DesarrolloPartidos[[#This Row],[PartidosSolo3]]&lt;&gt;0),DesarrolloPartidos[[#This Row],[PartidosSolo3]],"")</f>
        <v>1</v>
      </c>
      <c r="J63">
        <f>+IF(DesarrolloPartidos[[#This Row],[Partidos3]]="",DesarrolloPartidos[[#This Row],[Partidos4]],DesarrolloPartidos[[#This Row],[Partidos3]])</f>
        <v>1</v>
      </c>
      <c r="K63" t="str">
        <f>+DesarrolloPartidos[[#This Row],[Jugadores]]&amp;":"&amp;DesarrolloPartidos[[#This Row],[Orden]]</f>
        <v>15:2</v>
      </c>
    </row>
    <row r="64" spans="1:11">
      <c r="A64">
        <f t="shared" si="5"/>
        <v>15</v>
      </c>
      <c r="B64">
        <f t="shared" si="1"/>
        <v>4</v>
      </c>
      <c r="C64">
        <f t="shared" si="6"/>
        <v>1</v>
      </c>
      <c r="D64">
        <f t="shared" si="7"/>
        <v>3</v>
      </c>
      <c r="E64">
        <f t="shared" si="8"/>
        <v>3</v>
      </c>
      <c r="F64">
        <f>3*DesarrolloPartidos[[#This Row],[Partidos_3]]</f>
        <v>3</v>
      </c>
      <c r="G64">
        <f>IF(DesarrolloPartidos[[#This Row],[Partidos_3]]=0,0,ROUNDUP(DesarrolloPartidos[[#This Row],[Orden]]/DesarrolloPartidos[[#This Row],[JugEnPart3]]*DesarrolloPartidos[[#This Row],[Partidos_3]],0))</f>
        <v>1</v>
      </c>
      <c r="H64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64">
        <f>IF(AND(DesarrolloPartidos[[#This Row],[PartidosSolo3]]&lt;=DesarrolloPartidos[[#This Row],[Partidos_3]],DesarrolloPartidos[[#This Row],[PartidosSolo3]]&lt;&gt;0),DesarrolloPartidos[[#This Row],[PartidosSolo3]],"")</f>
        <v>1</v>
      </c>
      <c r="J64">
        <f>+IF(DesarrolloPartidos[[#This Row],[Partidos3]]="",DesarrolloPartidos[[#This Row],[Partidos4]],DesarrolloPartidos[[#This Row],[Partidos3]])</f>
        <v>1</v>
      </c>
      <c r="K64" t="str">
        <f>+DesarrolloPartidos[[#This Row],[Jugadores]]&amp;":"&amp;DesarrolloPartidos[[#This Row],[Orden]]</f>
        <v>15:3</v>
      </c>
    </row>
    <row r="65" spans="1:11">
      <c r="A65">
        <f t="shared" si="5"/>
        <v>15</v>
      </c>
      <c r="B65">
        <f t="shared" si="1"/>
        <v>4</v>
      </c>
      <c r="C65">
        <f t="shared" si="6"/>
        <v>1</v>
      </c>
      <c r="D65">
        <f t="shared" si="7"/>
        <v>3</v>
      </c>
      <c r="E65">
        <f t="shared" si="8"/>
        <v>4</v>
      </c>
      <c r="F65">
        <f>3*DesarrolloPartidos[[#This Row],[Partidos_3]]</f>
        <v>3</v>
      </c>
      <c r="G65">
        <f>IF(DesarrolloPartidos[[#This Row],[Partidos_3]]=0,0,ROUNDUP(DesarrolloPartidos[[#This Row],[Orden]]/DesarrolloPartidos[[#This Row],[JugEnPart3]]*DesarrolloPartidos[[#This Row],[Partidos_3]],0))</f>
        <v>2</v>
      </c>
      <c r="H65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2</v>
      </c>
      <c r="I65" t="str">
        <f>IF(AND(DesarrolloPartidos[[#This Row],[PartidosSolo3]]&lt;=DesarrolloPartidos[[#This Row],[Partidos_3]],DesarrolloPartidos[[#This Row],[PartidosSolo3]]&lt;&gt;0),DesarrolloPartidos[[#This Row],[PartidosSolo3]],"")</f>
        <v/>
      </c>
      <c r="J65">
        <f>+IF(DesarrolloPartidos[[#This Row],[Partidos3]]="",DesarrolloPartidos[[#This Row],[Partidos4]],DesarrolloPartidos[[#This Row],[Partidos3]])</f>
        <v>2</v>
      </c>
      <c r="K65" t="str">
        <f>+DesarrolloPartidos[[#This Row],[Jugadores]]&amp;":"&amp;DesarrolloPartidos[[#This Row],[Orden]]</f>
        <v>15:4</v>
      </c>
    </row>
    <row r="66" spans="1:11">
      <c r="A66">
        <f t="shared" si="5"/>
        <v>15</v>
      </c>
      <c r="B66">
        <f t="shared" si="1"/>
        <v>4</v>
      </c>
      <c r="C66">
        <f t="shared" si="6"/>
        <v>1</v>
      </c>
      <c r="D66">
        <f t="shared" si="7"/>
        <v>3</v>
      </c>
      <c r="E66">
        <f t="shared" si="8"/>
        <v>5</v>
      </c>
      <c r="F66">
        <f>3*DesarrolloPartidos[[#This Row],[Partidos_3]]</f>
        <v>3</v>
      </c>
      <c r="G66">
        <f>IF(DesarrolloPartidos[[#This Row],[Partidos_3]]=0,0,ROUNDUP(DesarrolloPartidos[[#This Row],[Orden]]/DesarrolloPartidos[[#This Row],[JugEnPart3]]*DesarrolloPartidos[[#This Row],[Partidos_3]],0))</f>
        <v>2</v>
      </c>
      <c r="H66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2</v>
      </c>
      <c r="I66" t="str">
        <f>IF(AND(DesarrolloPartidos[[#This Row],[PartidosSolo3]]&lt;=DesarrolloPartidos[[#This Row],[Partidos_3]],DesarrolloPartidos[[#This Row],[PartidosSolo3]]&lt;&gt;0),DesarrolloPartidos[[#This Row],[PartidosSolo3]],"")</f>
        <v/>
      </c>
      <c r="J66">
        <f>+IF(DesarrolloPartidos[[#This Row],[Partidos3]]="",DesarrolloPartidos[[#This Row],[Partidos4]],DesarrolloPartidos[[#This Row],[Partidos3]])</f>
        <v>2</v>
      </c>
      <c r="K66" t="str">
        <f>+DesarrolloPartidos[[#This Row],[Jugadores]]&amp;":"&amp;DesarrolloPartidos[[#This Row],[Orden]]</f>
        <v>15:5</v>
      </c>
    </row>
    <row r="67" spans="1:11">
      <c r="A67">
        <f t="shared" si="5"/>
        <v>15</v>
      </c>
      <c r="B67">
        <f t="shared" ref="B67:B130" si="9">+ROUNDUP(A67/4,0)</f>
        <v>4</v>
      </c>
      <c r="C67">
        <f t="shared" si="6"/>
        <v>1</v>
      </c>
      <c r="D67">
        <f t="shared" si="7"/>
        <v>3</v>
      </c>
      <c r="E67">
        <f t="shared" si="8"/>
        <v>6</v>
      </c>
      <c r="F67">
        <f>3*DesarrolloPartidos[[#This Row],[Partidos_3]]</f>
        <v>3</v>
      </c>
      <c r="G67">
        <f>IF(DesarrolloPartidos[[#This Row],[Partidos_3]]=0,0,ROUNDUP(DesarrolloPartidos[[#This Row],[Orden]]/DesarrolloPartidos[[#This Row],[JugEnPart3]]*DesarrolloPartidos[[#This Row],[Partidos_3]],0))</f>
        <v>2</v>
      </c>
      <c r="H67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2</v>
      </c>
      <c r="I67" t="str">
        <f>IF(AND(DesarrolloPartidos[[#This Row],[PartidosSolo3]]&lt;=DesarrolloPartidos[[#This Row],[Partidos_3]],DesarrolloPartidos[[#This Row],[PartidosSolo3]]&lt;&gt;0),DesarrolloPartidos[[#This Row],[PartidosSolo3]],"")</f>
        <v/>
      </c>
      <c r="J67">
        <f>+IF(DesarrolloPartidos[[#This Row],[Partidos3]]="",DesarrolloPartidos[[#This Row],[Partidos4]],DesarrolloPartidos[[#This Row],[Partidos3]])</f>
        <v>2</v>
      </c>
      <c r="K67" t="str">
        <f>+DesarrolloPartidos[[#This Row],[Jugadores]]&amp;":"&amp;DesarrolloPartidos[[#This Row],[Orden]]</f>
        <v>15:6</v>
      </c>
    </row>
    <row r="68" spans="1:11">
      <c r="A68">
        <f t="shared" ref="A68:A131" si="10">+IF(ROW(A67)=1,10,IF(A67=E67,A67+1,A67))</f>
        <v>15</v>
      </c>
      <c r="B68">
        <f t="shared" si="9"/>
        <v>4</v>
      </c>
      <c r="C68">
        <f t="shared" ref="C68:C131" si="11">+(B68-A68/4)/0.25</f>
        <v>1</v>
      </c>
      <c r="D68">
        <f t="shared" ref="D68:D131" si="12">+B68-C68</f>
        <v>3</v>
      </c>
      <c r="E68">
        <f t="shared" ref="E68:E131" si="13">+IF(ROW(E67)=1,1,IF(E67=A67,1,E67+1))</f>
        <v>7</v>
      </c>
      <c r="F68">
        <f>3*DesarrolloPartidos[[#This Row],[Partidos_3]]</f>
        <v>3</v>
      </c>
      <c r="G68">
        <f>IF(DesarrolloPartidos[[#This Row],[Partidos_3]]=0,0,ROUNDUP(DesarrolloPartidos[[#This Row],[Orden]]/DesarrolloPartidos[[#This Row],[JugEnPart3]]*DesarrolloPartidos[[#This Row],[Partidos_3]],0))</f>
        <v>3</v>
      </c>
      <c r="H68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2</v>
      </c>
      <c r="I68" t="str">
        <f>IF(AND(DesarrolloPartidos[[#This Row],[PartidosSolo3]]&lt;=DesarrolloPartidos[[#This Row],[Partidos_3]],DesarrolloPartidos[[#This Row],[PartidosSolo3]]&lt;&gt;0),DesarrolloPartidos[[#This Row],[PartidosSolo3]],"")</f>
        <v/>
      </c>
      <c r="J68">
        <f>+IF(DesarrolloPartidos[[#This Row],[Partidos3]]="",DesarrolloPartidos[[#This Row],[Partidos4]],DesarrolloPartidos[[#This Row],[Partidos3]])</f>
        <v>2</v>
      </c>
      <c r="K68" t="str">
        <f>+DesarrolloPartidos[[#This Row],[Jugadores]]&amp;":"&amp;DesarrolloPartidos[[#This Row],[Orden]]</f>
        <v>15:7</v>
      </c>
    </row>
    <row r="69" spans="1:11">
      <c r="A69">
        <f t="shared" si="10"/>
        <v>15</v>
      </c>
      <c r="B69">
        <f t="shared" si="9"/>
        <v>4</v>
      </c>
      <c r="C69">
        <f t="shared" si="11"/>
        <v>1</v>
      </c>
      <c r="D69">
        <f t="shared" si="12"/>
        <v>3</v>
      </c>
      <c r="E69">
        <f t="shared" si="13"/>
        <v>8</v>
      </c>
      <c r="F69">
        <f>3*DesarrolloPartidos[[#This Row],[Partidos_3]]</f>
        <v>3</v>
      </c>
      <c r="G69">
        <f>IF(DesarrolloPartidos[[#This Row],[Partidos_3]]=0,0,ROUNDUP(DesarrolloPartidos[[#This Row],[Orden]]/DesarrolloPartidos[[#This Row],[JugEnPart3]]*DesarrolloPartidos[[#This Row],[Partidos_3]],0))</f>
        <v>3</v>
      </c>
      <c r="H69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3</v>
      </c>
      <c r="I69" t="str">
        <f>IF(AND(DesarrolloPartidos[[#This Row],[PartidosSolo3]]&lt;=DesarrolloPartidos[[#This Row],[Partidos_3]],DesarrolloPartidos[[#This Row],[PartidosSolo3]]&lt;&gt;0),DesarrolloPartidos[[#This Row],[PartidosSolo3]],"")</f>
        <v/>
      </c>
      <c r="J69">
        <f>+IF(DesarrolloPartidos[[#This Row],[Partidos3]]="",DesarrolloPartidos[[#This Row],[Partidos4]],DesarrolloPartidos[[#This Row],[Partidos3]])</f>
        <v>3</v>
      </c>
      <c r="K69" t="str">
        <f>+DesarrolloPartidos[[#This Row],[Jugadores]]&amp;":"&amp;DesarrolloPartidos[[#This Row],[Orden]]</f>
        <v>15:8</v>
      </c>
    </row>
    <row r="70" spans="1:11">
      <c r="A70">
        <f t="shared" si="10"/>
        <v>15</v>
      </c>
      <c r="B70">
        <f t="shared" si="9"/>
        <v>4</v>
      </c>
      <c r="C70">
        <f t="shared" si="11"/>
        <v>1</v>
      </c>
      <c r="D70">
        <f t="shared" si="12"/>
        <v>3</v>
      </c>
      <c r="E70">
        <f t="shared" si="13"/>
        <v>9</v>
      </c>
      <c r="F70">
        <f>3*DesarrolloPartidos[[#This Row],[Partidos_3]]</f>
        <v>3</v>
      </c>
      <c r="G70">
        <f>IF(DesarrolloPartidos[[#This Row],[Partidos_3]]=0,0,ROUNDUP(DesarrolloPartidos[[#This Row],[Orden]]/DesarrolloPartidos[[#This Row],[JugEnPart3]]*DesarrolloPartidos[[#This Row],[Partidos_3]],0))</f>
        <v>3</v>
      </c>
      <c r="H70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3</v>
      </c>
      <c r="I70" t="str">
        <f>IF(AND(DesarrolloPartidos[[#This Row],[PartidosSolo3]]&lt;=DesarrolloPartidos[[#This Row],[Partidos_3]],DesarrolloPartidos[[#This Row],[PartidosSolo3]]&lt;&gt;0),DesarrolloPartidos[[#This Row],[PartidosSolo3]],"")</f>
        <v/>
      </c>
      <c r="J70">
        <f>+IF(DesarrolloPartidos[[#This Row],[Partidos3]]="",DesarrolloPartidos[[#This Row],[Partidos4]],DesarrolloPartidos[[#This Row],[Partidos3]])</f>
        <v>3</v>
      </c>
      <c r="K70" t="str">
        <f>+DesarrolloPartidos[[#This Row],[Jugadores]]&amp;":"&amp;DesarrolloPartidos[[#This Row],[Orden]]</f>
        <v>15:9</v>
      </c>
    </row>
    <row r="71" spans="1:11">
      <c r="A71">
        <f t="shared" si="10"/>
        <v>15</v>
      </c>
      <c r="B71">
        <f t="shared" si="9"/>
        <v>4</v>
      </c>
      <c r="C71">
        <f t="shared" si="11"/>
        <v>1</v>
      </c>
      <c r="D71">
        <f t="shared" si="12"/>
        <v>3</v>
      </c>
      <c r="E71">
        <f t="shared" si="13"/>
        <v>10</v>
      </c>
      <c r="F71">
        <f>3*DesarrolloPartidos[[#This Row],[Partidos_3]]</f>
        <v>3</v>
      </c>
      <c r="G71">
        <f>IF(DesarrolloPartidos[[#This Row],[Partidos_3]]=0,0,ROUNDUP(DesarrolloPartidos[[#This Row],[Orden]]/DesarrolloPartidos[[#This Row],[JugEnPart3]]*DesarrolloPartidos[[#This Row],[Partidos_3]],0))</f>
        <v>4</v>
      </c>
      <c r="H71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3</v>
      </c>
      <c r="I71" t="str">
        <f>IF(AND(DesarrolloPartidos[[#This Row],[PartidosSolo3]]&lt;=DesarrolloPartidos[[#This Row],[Partidos_3]],DesarrolloPartidos[[#This Row],[PartidosSolo3]]&lt;&gt;0),DesarrolloPartidos[[#This Row],[PartidosSolo3]],"")</f>
        <v/>
      </c>
      <c r="J71">
        <f>+IF(DesarrolloPartidos[[#This Row],[Partidos3]]="",DesarrolloPartidos[[#This Row],[Partidos4]],DesarrolloPartidos[[#This Row],[Partidos3]])</f>
        <v>3</v>
      </c>
      <c r="K71" t="str">
        <f>+DesarrolloPartidos[[#This Row],[Jugadores]]&amp;":"&amp;DesarrolloPartidos[[#This Row],[Orden]]</f>
        <v>15:10</v>
      </c>
    </row>
    <row r="72" spans="1:11">
      <c r="A72">
        <f t="shared" si="10"/>
        <v>15</v>
      </c>
      <c r="B72">
        <f t="shared" si="9"/>
        <v>4</v>
      </c>
      <c r="C72">
        <f t="shared" si="11"/>
        <v>1</v>
      </c>
      <c r="D72">
        <f t="shared" si="12"/>
        <v>3</v>
      </c>
      <c r="E72">
        <f t="shared" si="13"/>
        <v>11</v>
      </c>
      <c r="F72">
        <f>3*DesarrolloPartidos[[#This Row],[Partidos_3]]</f>
        <v>3</v>
      </c>
      <c r="G72">
        <f>IF(DesarrolloPartidos[[#This Row],[Partidos_3]]=0,0,ROUNDUP(DesarrolloPartidos[[#This Row],[Orden]]/DesarrolloPartidos[[#This Row],[JugEnPart3]]*DesarrolloPartidos[[#This Row],[Partidos_3]],0))</f>
        <v>4</v>
      </c>
      <c r="H72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3</v>
      </c>
      <c r="I72" t="str">
        <f>IF(AND(DesarrolloPartidos[[#This Row],[PartidosSolo3]]&lt;=DesarrolloPartidos[[#This Row],[Partidos_3]],DesarrolloPartidos[[#This Row],[PartidosSolo3]]&lt;&gt;0),DesarrolloPartidos[[#This Row],[PartidosSolo3]],"")</f>
        <v/>
      </c>
      <c r="J72">
        <f>+IF(DesarrolloPartidos[[#This Row],[Partidos3]]="",DesarrolloPartidos[[#This Row],[Partidos4]],DesarrolloPartidos[[#This Row],[Partidos3]])</f>
        <v>3</v>
      </c>
      <c r="K72" t="str">
        <f>+DesarrolloPartidos[[#This Row],[Jugadores]]&amp;":"&amp;DesarrolloPartidos[[#This Row],[Orden]]</f>
        <v>15:11</v>
      </c>
    </row>
    <row r="73" spans="1:11">
      <c r="A73">
        <f t="shared" si="10"/>
        <v>15</v>
      </c>
      <c r="B73">
        <f t="shared" si="9"/>
        <v>4</v>
      </c>
      <c r="C73">
        <f t="shared" si="11"/>
        <v>1</v>
      </c>
      <c r="D73">
        <f t="shared" si="12"/>
        <v>3</v>
      </c>
      <c r="E73">
        <f t="shared" si="13"/>
        <v>12</v>
      </c>
      <c r="F73">
        <f>3*DesarrolloPartidos[[#This Row],[Partidos_3]]</f>
        <v>3</v>
      </c>
      <c r="G73">
        <f>IF(DesarrolloPartidos[[#This Row],[Partidos_3]]=0,0,ROUNDUP(DesarrolloPartidos[[#This Row],[Orden]]/DesarrolloPartidos[[#This Row],[JugEnPart3]]*DesarrolloPartidos[[#This Row],[Partidos_3]],0))</f>
        <v>4</v>
      </c>
      <c r="H73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73" t="str">
        <f>IF(AND(DesarrolloPartidos[[#This Row],[PartidosSolo3]]&lt;=DesarrolloPartidos[[#This Row],[Partidos_3]],DesarrolloPartidos[[#This Row],[PartidosSolo3]]&lt;&gt;0),DesarrolloPartidos[[#This Row],[PartidosSolo3]],"")</f>
        <v/>
      </c>
      <c r="J73">
        <f>+IF(DesarrolloPartidos[[#This Row],[Partidos3]]="",DesarrolloPartidos[[#This Row],[Partidos4]],DesarrolloPartidos[[#This Row],[Partidos3]])</f>
        <v>4</v>
      </c>
      <c r="K73" t="str">
        <f>+DesarrolloPartidos[[#This Row],[Jugadores]]&amp;":"&amp;DesarrolloPartidos[[#This Row],[Orden]]</f>
        <v>15:12</v>
      </c>
    </row>
    <row r="74" spans="1:11">
      <c r="A74">
        <f t="shared" si="10"/>
        <v>15</v>
      </c>
      <c r="B74">
        <f t="shared" si="9"/>
        <v>4</v>
      </c>
      <c r="C74">
        <f t="shared" si="11"/>
        <v>1</v>
      </c>
      <c r="D74">
        <f t="shared" si="12"/>
        <v>3</v>
      </c>
      <c r="E74">
        <f t="shared" si="13"/>
        <v>13</v>
      </c>
      <c r="F74">
        <f>3*DesarrolloPartidos[[#This Row],[Partidos_3]]</f>
        <v>3</v>
      </c>
      <c r="G74">
        <f>IF(DesarrolloPartidos[[#This Row],[Partidos_3]]=0,0,ROUNDUP(DesarrolloPartidos[[#This Row],[Orden]]/DesarrolloPartidos[[#This Row],[JugEnPart3]]*DesarrolloPartidos[[#This Row],[Partidos_3]],0))</f>
        <v>5</v>
      </c>
      <c r="H74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74" t="str">
        <f>IF(AND(DesarrolloPartidos[[#This Row],[PartidosSolo3]]&lt;=DesarrolloPartidos[[#This Row],[Partidos_3]],DesarrolloPartidos[[#This Row],[PartidosSolo3]]&lt;&gt;0),DesarrolloPartidos[[#This Row],[PartidosSolo3]],"")</f>
        <v/>
      </c>
      <c r="J74">
        <f>+IF(DesarrolloPartidos[[#This Row],[Partidos3]]="",DesarrolloPartidos[[#This Row],[Partidos4]],DesarrolloPartidos[[#This Row],[Partidos3]])</f>
        <v>4</v>
      </c>
      <c r="K74" t="str">
        <f>+DesarrolloPartidos[[#This Row],[Jugadores]]&amp;":"&amp;DesarrolloPartidos[[#This Row],[Orden]]</f>
        <v>15:13</v>
      </c>
    </row>
    <row r="75" spans="1:11">
      <c r="A75">
        <f t="shared" si="10"/>
        <v>15</v>
      </c>
      <c r="B75">
        <f t="shared" si="9"/>
        <v>4</v>
      </c>
      <c r="C75">
        <f t="shared" si="11"/>
        <v>1</v>
      </c>
      <c r="D75">
        <f t="shared" si="12"/>
        <v>3</v>
      </c>
      <c r="E75">
        <f t="shared" si="13"/>
        <v>14</v>
      </c>
      <c r="F75">
        <f>3*DesarrolloPartidos[[#This Row],[Partidos_3]]</f>
        <v>3</v>
      </c>
      <c r="G75">
        <f>IF(DesarrolloPartidos[[#This Row],[Partidos_3]]=0,0,ROUNDUP(DesarrolloPartidos[[#This Row],[Orden]]/DesarrolloPartidos[[#This Row],[JugEnPart3]]*DesarrolloPartidos[[#This Row],[Partidos_3]],0))</f>
        <v>5</v>
      </c>
      <c r="H75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75" t="str">
        <f>IF(AND(DesarrolloPartidos[[#This Row],[PartidosSolo3]]&lt;=DesarrolloPartidos[[#This Row],[Partidos_3]],DesarrolloPartidos[[#This Row],[PartidosSolo3]]&lt;&gt;0),DesarrolloPartidos[[#This Row],[PartidosSolo3]],"")</f>
        <v/>
      </c>
      <c r="J75">
        <f>+IF(DesarrolloPartidos[[#This Row],[Partidos3]]="",DesarrolloPartidos[[#This Row],[Partidos4]],DesarrolloPartidos[[#This Row],[Partidos3]])</f>
        <v>4</v>
      </c>
      <c r="K75" t="str">
        <f>+DesarrolloPartidos[[#This Row],[Jugadores]]&amp;":"&amp;DesarrolloPartidos[[#This Row],[Orden]]</f>
        <v>15:14</v>
      </c>
    </row>
    <row r="76" spans="1:11">
      <c r="A76">
        <f t="shared" si="10"/>
        <v>15</v>
      </c>
      <c r="B76">
        <f t="shared" si="9"/>
        <v>4</v>
      </c>
      <c r="C76">
        <f t="shared" si="11"/>
        <v>1</v>
      </c>
      <c r="D76">
        <f t="shared" si="12"/>
        <v>3</v>
      </c>
      <c r="E76">
        <f t="shared" si="13"/>
        <v>15</v>
      </c>
      <c r="F76">
        <f>3*DesarrolloPartidos[[#This Row],[Partidos_3]]</f>
        <v>3</v>
      </c>
      <c r="G76">
        <f>IF(DesarrolloPartidos[[#This Row],[Partidos_3]]=0,0,ROUNDUP(DesarrolloPartidos[[#This Row],[Orden]]/DesarrolloPartidos[[#This Row],[JugEnPart3]]*DesarrolloPartidos[[#This Row],[Partidos_3]],0))</f>
        <v>5</v>
      </c>
      <c r="H76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76" t="str">
        <f>IF(AND(DesarrolloPartidos[[#This Row],[PartidosSolo3]]&lt;=DesarrolloPartidos[[#This Row],[Partidos_3]],DesarrolloPartidos[[#This Row],[PartidosSolo3]]&lt;&gt;0),DesarrolloPartidos[[#This Row],[PartidosSolo3]],"")</f>
        <v/>
      </c>
      <c r="J76">
        <f>+IF(DesarrolloPartidos[[#This Row],[Partidos3]]="",DesarrolloPartidos[[#This Row],[Partidos4]],DesarrolloPartidos[[#This Row],[Partidos3]])</f>
        <v>4</v>
      </c>
      <c r="K76" t="str">
        <f>+DesarrolloPartidos[[#This Row],[Jugadores]]&amp;":"&amp;DesarrolloPartidos[[#This Row],[Orden]]</f>
        <v>15:15</v>
      </c>
    </row>
    <row r="77" spans="1:11">
      <c r="A77">
        <f t="shared" si="10"/>
        <v>16</v>
      </c>
      <c r="B77">
        <f t="shared" si="9"/>
        <v>4</v>
      </c>
      <c r="C77">
        <f t="shared" si="11"/>
        <v>0</v>
      </c>
      <c r="D77">
        <f t="shared" si="12"/>
        <v>4</v>
      </c>
      <c r="E77">
        <f t="shared" si="13"/>
        <v>1</v>
      </c>
      <c r="F77">
        <f>3*DesarrolloPartidos[[#This Row],[Partidos_3]]</f>
        <v>0</v>
      </c>
      <c r="G77">
        <f>IF(DesarrolloPartidos[[#This Row],[Partidos_3]]=0,0,ROUNDUP(DesarrolloPartidos[[#This Row],[Orden]]/DesarrolloPartidos[[#This Row],[JugEnPart3]]*DesarrolloPartidos[[#This Row],[Partidos_3]],0))</f>
        <v>0</v>
      </c>
      <c r="H77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1</v>
      </c>
      <c r="I77" t="str">
        <f>IF(AND(DesarrolloPartidos[[#This Row],[PartidosSolo3]]&lt;=DesarrolloPartidos[[#This Row],[Partidos_3]],DesarrolloPartidos[[#This Row],[PartidosSolo3]]&lt;&gt;0),DesarrolloPartidos[[#This Row],[PartidosSolo3]],"")</f>
        <v/>
      </c>
      <c r="J77">
        <f>+IF(DesarrolloPartidos[[#This Row],[Partidos3]]="",DesarrolloPartidos[[#This Row],[Partidos4]],DesarrolloPartidos[[#This Row],[Partidos3]])</f>
        <v>1</v>
      </c>
      <c r="K77" t="str">
        <f>+DesarrolloPartidos[[#This Row],[Jugadores]]&amp;":"&amp;DesarrolloPartidos[[#This Row],[Orden]]</f>
        <v>16:1</v>
      </c>
    </row>
    <row r="78" spans="1:11">
      <c r="A78">
        <f t="shared" si="10"/>
        <v>16</v>
      </c>
      <c r="B78">
        <f t="shared" si="9"/>
        <v>4</v>
      </c>
      <c r="C78">
        <f t="shared" si="11"/>
        <v>0</v>
      </c>
      <c r="D78">
        <f t="shared" si="12"/>
        <v>4</v>
      </c>
      <c r="E78">
        <f t="shared" si="13"/>
        <v>2</v>
      </c>
      <c r="F78">
        <f>3*DesarrolloPartidos[[#This Row],[Partidos_3]]</f>
        <v>0</v>
      </c>
      <c r="G78">
        <f>IF(DesarrolloPartidos[[#This Row],[Partidos_3]]=0,0,ROUNDUP(DesarrolloPartidos[[#This Row],[Orden]]/DesarrolloPartidos[[#This Row],[JugEnPart3]]*DesarrolloPartidos[[#This Row],[Partidos_3]],0))</f>
        <v>0</v>
      </c>
      <c r="H78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1</v>
      </c>
      <c r="I78" t="str">
        <f>IF(AND(DesarrolloPartidos[[#This Row],[PartidosSolo3]]&lt;=DesarrolloPartidos[[#This Row],[Partidos_3]],DesarrolloPartidos[[#This Row],[PartidosSolo3]]&lt;&gt;0),DesarrolloPartidos[[#This Row],[PartidosSolo3]],"")</f>
        <v/>
      </c>
      <c r="J78">
        <f>+IF(DesarrolloPartidos[[#This Row],[Partidos3]]="",DesarrolloPartidos[[#This Row],[Partidos4]],DesarrolloPartidos[[#This Row],[Partidos3]])</f>
        <v>1</v>
      </c>
      <c r="K78" t="str">
        <f>+DesarrolloPartidos[[#This Row],[Jugadores]]&amp;":"&amp;DesarrolloPartidos[[#This Row],[Orden]]</f>
        <v>16:2</v>
      </c>
    </row>
    <row r="79" spans="1:11">
      <c r="A79">
        <f t="shared" si="10"/>
        <v>16</v>
      </c>
      <c r="B79">
        <f t="shared" si="9"/>
        <v>4</v>
      </c>
      <c r="C79">
        <f t="shared" si="11"/>
        <v>0</v>
      </c>
      <c r="D79">
        <f t="shared" si="12"/>
        <v>4</v>
      </c>
      <c r="E79">
        <f t="shared" si="13"/>
        <v>3</v>
      </c>
      <c r="F79">
        <f>3*DesarrolloPartidos[[#This Row],[Partidos_3]]</f>
        <v>0</v>
      </c>
      <c r="G79">
        <f>IF(DesarrolloPartidos[[#This Row],[Partidos_3]]=0,0,ROUNDUP(DesarrolloPartidos[[#This Row],[Orden]]/DesarrolloPartidos[[#This Row],[JugEnPart3]]*DesarrolloPartidos[[#This Row],[Partidos_3]],0))</f>
        <v>0</v>
      </c>
      <c r="H79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1</v>
      </c>
      <c r="I79" t="str">
        <f>IF(AND(DesarrolloPartidos[[#This Row],[PartidosSolo3]]&lt;=DesarrolloPartidos[[#This Row],[Partidos_3]],DesarrolloPartidos[[#This Row],[PartidosSolo3]]&lt;&gt;0),DesarrolloPartidos[[#This Row],[PartidosSolo3]],"")</f>
        <v/>
      </c>
      <c r="J79">
        <f>+IF(DesarrolloPartidos[[#This Row],[Partidos3]]="",DesarrolloPartidos[[#This Row],[Partidos4]],DesarrolloPartidos[[#This Row],[Partidos3]])</f>
        <v>1</v>
      </c>
      <c r="K79" t="str">
        <f>+DesarrolloPartidos[[#This Row],[Jugadores]]&amp;":"&amp;DesarrolloPartidos[[#This Row],[Orden]]</f>
        <v>16:3</v>
      </c>
    </row>
    <row r="80" spans="1:11">
      <c r="A80">
        <f t="shared" si="10"/>
        <v>16</v>
      </c>
      <c r="B80">
        <f t="shared" si="9"/>
        <v>4</v>
      </c>
      <c r="C80">
        <f t="shared" si="11"/>
        <v>0</v>
      </c>
      <c r="D80">
        <f t="shared" si="12"/>
        <v>4</v>
      </c>
      <c r="E80">
        <f t="shared" si="13"/>
        <v>4</v>
      </c>
      <c r="F80">
        <f>3*DesarrolloPartidos[[#This Row],[Partidos_3]]</f>
        <v>0</v>
      </c>
      <c r="G80">
        <f>IF(DesarrolloPartidos[[#This Row],[Partidos_3]]=0,0,ROUNDUP(DesarrolloPartidos[[#This Row],[Orden]]/DesarrolloPartidos[[#This Row],[JugEnPart3]]*DesarrolloPartidos[[#This Row],[Partidos_3]],0))</f>
        <v>0</v>
      </c>
      <c r="H80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1</v>
      </c>
      <c r="I80" t="str">
        <f>IF(AND(DesarrolloPartidos[[#This Row],[PartidosSolo3]]&lt;=DesarrolloPartidos[[#This Row],[Partidos_3]],DesarrolloPartidos[[#This Row],[PartidosSolo3]]&lt;&gt;0),DesarrolloPartidos[[#This Row],[PartidosSolo3]],"")</f>
        <v/>
      </c>
      <c r="J80">
        <f>+IF(DesarrolloPartidos[[#This Row],[Partidos3]]="",DesarrolloPartidos[[#This Row],[Partidos4]],DesarrolloPartidos[[#This Row],[Partidos3]])</f>
        <v>1</v>
      </c>
      <c r="K80" t="str">
        <f>+DesarrolloPartidos[[#This Row],[Jugadores]]&amp;":"&amp;DesarrolloPartidos[[#This Row],[Orden]]</f>
        <v>16:4</v>
      </c>
    </row>
    <row r="81" spans="1:11">
      <c r="A81">
        <f t="shared" si="10"/>
        <v>16</v>
      </c>
      <c r="B81">
        <f t="shared" si="9"/>
        <v>4</v>
      </c>
      <c r="C81">
        <f t="shared" si="11"/>
        <v>0</v>
      </c>
      <c r="D81">
        <f t="shared" si="12"/>
        <v>4</v>
      </c>
      <c r="E81">
        <f t="shared" si="13"/>
        <v>5</v>
      </c>
      <c r="F81">
        <f>3*DesarrolloPartidos[[#This Row],[Partidos_3]]</f>
        <v>0</v>
      </c>
      <c r="G81">
        <f>IF(DesarrolloPartidos[[#This Row],[Partidos_3]]=0,0,ROUNDUP(DesarrolloPartidos[[#This Row],[Orden]]/DesarrolloPartidos[[#This Row],[JugEnPart3]]*DesarrolloPartidos[[#This Row],[Partidos_3]],0))</f>
        <v>0</v>
      </c>
      <c r="H81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2</v>
      </c>
      <c r="I81" t="str">
        <f>IF(AND(DesarrolloPartidos[[#This Row],[PartidosSolo3]]&lt;=DesarrolloPartidos[[#This Row],[Partidos_3]],DesarrolloPartidos[[#This Row],[PartidosSolo3]]&lt;&gt;0),DesarrolloPartidos[[#This Row],[PartidosSolo3]],"")</f>
        <v/>
      </c>
      <c r="J81">
        <f>+IF(DesarrolloPartidos[[#This Row],[Partidos3]]="",DesarrolloPartidos[[#This Row],[Partidos4]],DesarrolloPartidos[[#This Row],[Partidos3]])</f>
        <v>2</v>
      </c>
      <c r="K81" t="str">
        <f>+DesarrolloPartidos[[#This Row],[Jugadores]]&amp;":"&amp;DesarrolloPartidos[[#This Row],[Orden]]</f>
        <v>16:5</v>
      </c>
    </row>
    <row r="82" spans="1:11">
      <c r="A82">
        <f t="shared" si="10"/>
        <v>16</v>
      </c>
      <c r="B82">
        <f t="shared" si="9"/>
        <v>4</v>
      </c>
      <c r="C82">
        <f t="shared" si="11"/>
        <v>0</v>
      </c>
      <c r="D82">
        <f t="shared" si="12"/>
        <v>4</v>
      </c>
      <c r="E82">
        <f t="shared" si="13"/>
        <v>6</v>
      </c>
      <c r="F82">
        <f>3*DesarrolloPartidos[[#This Row],[Partidos_3]]</f>
        <v>0</v>
      </c>
      <c r="G82">
        <f>IF(DesarrolloPartidos[[#This Row],[Partidos_3]]=0,0,ROUNDUP(DesarrolloPartidos[[#This Row],[Orden]]/DesarrolloPartidos[[#This Row],[JugEnPart3]]*DesarrolloPartidos[[#This Row],[Partidos_3]],0))</f>
        <v>0</v>
      </c>
      <c r="H82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2</v>
      </c>
      <c r="I82" t="str">
        <f>IF(AND(DesarrolloPartidos[[#This Row],[PartidosSolo3]]&lt;=DesarrolloPartidos[[#This Row],[Partidos_3]],DesarrolloPartidos[[#This Row],[PartidosSolo3]]&lt;&gt;0),DesarrolloPartidos[[#This Row],[PartidosSolo3]],"")</f>
        <v/>
      </c>
      <c r="J82">
        <f>+IF(DesarrolloPartidos[[#This Row],[Partidos3]]="",DesarrolloPartidos[[#This Row],[Partidos4]],DesarrolloPartidos[[#This Row],[Partidos3]])</f>
        <v>2</v>
      </c>
      <c r="K82" t="str">
        <f>+DesarrolloPartidos[[#This Row],[Jugadores]]&amp;":"&amp;DesarrolloPartidos[[#This Row],[Orden]]</f>
        <v>16:6</v>
      </c>
    </row>
    <row r="83" spans="1:11">
      <c r="A83">
        <f t="shared" si="10"/>
        <v>16</v>
      </c>
      <c r="B83">
        <f t="shared" si="9"/>
        <v>4</v>
      </c>
      <c r="C83">
        <f t="shared" si="11"/>
        <v>0</v>
      </c>
      <c r="D83">
        <f t="shared" si="12"/>
        <v>4</v>
      </c>
      <c r="E83">
        <f t="shared" si="13"/>
        <v>7</v>
      </c>
      <c r="F83">
        <f>3*DesarrolloPartidos[[#This Row],[Partidos_3]]</f>
        <v>0</v>
      </c>
      <c r="G83">
        <f>IF(DesarrolloPartidos[[#This Row],[Partidos_3]]=0,0,ROUNDUP(DesarrolloPartidos[[#This Row],[Orden]]/DesarrolloPartidos[[#This Row],[JugEnPart3]]*DesarrolloPartidos[[#This Row],[Partidos_3]],0))</f>
        <v>0</v>
      </c>
      <c r="H83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2</v>
      </c>
      <c r="I83" t="str">
        <f>IF(AND(DesarrolloPartidos[[#This Row],[PartidosSolo3]]&lt;=DesarrolloPartidos[[#This Row],[Partidos_3]],DesarrolloPartidos[[#This Row],[PartidosSolo3]]&lt;&gt;0),DesarrolloPartidos[[#This Row],[PartidosSolo3]],"")</f>
        <v/>
      </c>
      <c r="J83">
        <f>+IF(DesarrolloPartidos[[#This Row],[Partidos3]]="",DesarrolloPartidos[[#This Row],[Partidos4]],DesarrolloPartidos[[#This Row],[Partidos3]])</f>
        <v>2</v>
      </c>
      <c r="K83" t="str">
        <f>+DesarrolloPartidos[[#This Row],[Jugadores]]&amp;":"&amp;DesarrolloPartidos[[#This Row],[Orden]]</f>
        <v>16:7</v>
      </c>
    </row>
    <row r="84" spans="1:11">
      <c r="A84">
        <f t="shared" si="10"/>
        <v>16</v>
      </c>
      <c r="B84">
        <f t="shared" si="9"/>
        <v>4</v>
      </c>
      <c r="C84">
        <f t="shared" si="11"/>
        <v>0</v>
      </c>
      <c r="D84">
        <f t="shared" si="12"/>
        <v>4</v>
      </c>
      <c r="E84">
        <f t="shared" si="13"/>
        <v>8</v>
      </c>
      <c r="F84">
        <f>3*DesarrolloPartidos[[#This Row],[Partidos_3]]</f>
        <v>0</v>
      </c>
      <c r="G84">
        <f>IF(DesarrolloPartidos[[#This Row],[Partidos_3]]=0,0,ROUNDUP(DesarrolloPartidos[[#This Row],[Orden]]/DesarrolloPartidos[[#This Row],[JugEnPart3]]*DesarrolloPartidos[[#This Row],[Partidos_3]],0))</f>
        <v>0</v>
      </c>
      <c r="H84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2</v>
      </c>
      <c r="I84" t="str">
        <f>IF(AND(DesarrolloPartidos[[#This Row],[PartidosSolo3]]&lt;=DesarrolloPartidos[[#This Row],[Partidos_3]],DesarrolloPartidos[[#This Row],[PartidosSolo3]]&lt;&gt;0),DesarrolloPartidos[[#This Row],[PartidosSolo3]],"")</f>
        <v/>
      </c>
      <c r="J84">
        <f>+IF(DesarrolloPartidos[[#This Row],[Partidos3]]="",DesarrolloPartidos[[#This Row],[Partidos4]],DesarrolloPartidos[[#This Row],[Partidos3]])</f>
        <v>2</v>
      </c>
      <c r="K84" t="str">
        <f>+DesarrolloPartidos[[#This Row],[Jugadores]]&amp;":"&amp;DesarrolloPartidos[[#This Row],[Orden]]</f>
        <v>16:8</v>
      </c>
    </row>
    <row r="85" spans="1:11">
      <c r="A85">
        <f t="shared" si="10"/>
        <v>16</v>
      </c>
      <c r="B85">
        <f t="shared" si="9"/>
        <v>4</v>
      </c>
      <c r="C85">
        <f t="shared" si="11"/>
        <v>0</v>
      </c>
      <c r="D85">
        <f t="shared" si="12"/>
        <v>4</v>
      </c>
      <c r="E85">
        <f t="shared" si="13"/>
        <v>9</v>
      </c>
      <c r="F85">
        <f>3*DesarrolloPartidos[[#This Row],[Partidos_3]]</f>
        <v>0</v>
      </c>
      <c r="G85">
        <f>IF(DesarrolloPartidos[[#This Row],[Partidos_3]]=0,0,ROUNDUP(DesarrolloPartidos[[#This Row],[Orden]]/DesarrolloPartidos[[#This Row],[JugEnPart3]]*DesarrolloPartidos[[#This Row],[Partidos_3]],0))</f>
        <v>0</v>
      </c>
      <c r="H85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3</v>
      </c>
      <c r="I85" t="str">
        <f>IF(AND(DesarrolloPartidos[[#This Row],[PartidosSolo3]]&lt;=DesarrolloPartidos[[#This Row],[Partidos_3]],DesarrolloPartidos[[#This Row],[PartidosSolo3]]&lt;&gt;0),DesarrolloPartidos[[#This Row],[PartidosSolo3]],"")</f>
        <v/>
      </c>
      <c r="J85">
        <f>+IF(DesarrolloPartidos[[#This Row],[Partidos3]]="",DesarrolloPartidos[[#This Row],[Partidos4]],DesarrolloPartidos[[#This Row],[Partidos3]])</f>
        <v>3</v>
      </c>
      <c r="K85" t="str">
        <f>+DesarrolloPartidos[[#This Row],[Jugadores]]&amp;":"&amp;DesarrolloPartidos[[#This Row],[Orden]]</f>
        <v>16:9</v>
      </c>
    </row>
    <row r="86" spans="1:11">
      <c r="A86">
        <f t="shared" si="10"/>
        <v>16</v>
      </c>
      <c r="B86">
        <f t="shared" si="9"/>
        <v>4</v>
      </c>
      <c r="C86">
        <f t="shared" si="11"/>
        <v>0</v>
      </c>
      <c r="D86">
        <f t="shared" si="12"/>
        <v>4</v>
      </c>
      <c r="E86">
        <f t="shared" si="13"/>
        <v>10</v>
      </c>
      <c r="F86">
        <f>3*DesarrolloPartidos[[#This Row],[Partidos_3]]</f>
        <v>0</v>
      </c>
      <c r="G86">
        <f>IF(DesarrolloPartidos[[#This Row],[Partidos_3]]=0,0,ROUNDUP(DesarrolloPartidos[[#This Row],[Orden]]/DesarrolloPartidos[[#This Row],[JugEnPart3]]*DesarrolloPartidos[[#This Row],[Partidos_3]],0))</f>
        <v>0</v>
      </c>
      <c r="H86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3</v>
      </c>
      <c r="I86" t="str">
        <f>IF(AND(DesarrolloPartidos[[#This Row],[PartidosSolo3]]&lt;=DesarrolloPartidos[[#This Row],[Partidos_3]],DesarrolloPartidos[[#This Row],[PartidosSolo3]]&lt;&gt;0),DesarrolloPartidos[[#This Row],[PartidosSolo3]],"")</f>
        <v/>
      </c>
      <c r="J86">
        <f>+IF(DesarrolloPartidos[[#This Row],[Partidos3]]="",DesarrolloPartidos[[#This Row],[Partidos4]],DesarrolloPartidos[[#This Row],[Partidos3]])</f>
        <v>3</v>
      </c>
      <c r="K86" t="str">
        <f>+DesarrolloPartidos[[#This Row],[Jugadores]]&amp;":"&amp;DesarrolloPartidos[[#This Row],[Orden]]</f>
        <v>16:10</v>
      </c>
    </row>
    <row r="87" spans="1:11">
      <c r="A87">
        <f t="shared" si="10"/>
        <v>16</v>
      </c>
      <c r="B87">
        <f t="shared" si="9"/>
        <v>4</v>
      </c>
      <c r="C87">
        <f t="shared" si="11"/>
        <v>0</v>
      </c>
      <c r="D87">
        <f t="shared" si="12"/>
        <v>4</v>
      </c>
      <c r="E87">
        <f t="shared" si="13"/>
        <v>11</v>
      </c>
      <c r="F87">
        <f>3*DesarrolloPartidos[[#This Row],[Partidos_3]]</f>
        <v>0</v>
      </c>
      <c r="G87">
        <f>IF(DesarrolloPartidos[[#This Row],[Partidos_3]]=0,0,ROUNDUP(DesarrolloPartidos[[#This Row],[Orden]]/DesarrolloPartidos[[#This Row],[JugEnPart3]]*DesarrolloPartidos[[#This Row],[Partidos_3]],0))</f>
        <v>0</v>
      </c>
      <c r="H87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3</v>
      </c>
      <c r="I87" t="str">
        <f>IF(AND(DesarrolloPartidos[[#This Row],[PartidosSolo3]]&lt;=DesarrolloPartidos[[#This Row],[Partidos_3]],DesarrolloPartidos[[#This Row],[PartidosSolo3]]&lt;&gt;0),DesarrolloPartidos[[#This Row],[PartidosSolo3]],"")</f>
        <v/>
      </c>
      <c r="J87">
        <f>+IF(DesarrolloPartidos[[#This Row],[Partidos3]]="",DesarrolloPartidos[[#This Row],[Partidos4]],DesarrolloPartidos[[#This Row],[Partidos3]])</f>
        <v>3</v>
      </c>
      <c r="K87" t="str">
        <f>+DesarrolloPartidos[[#This Row],[Jugadores]]&amp;":"&amp;DesarrolloPartidos[[#This Row],[Orden]]</f>
        <v>16:11</v>
      </c>
    </row>
    <row r="88" spans="1:11">
      <c r="A88">
        <f t="shared" si="10"/>
        <v>16</v>
      </c>
      <c r="B88">
        <f t="shared" si="9"/>
        <v>4</v>
      </c>
      <c r="C88">
        <f t="shared" si="11"/>
        <v>0</v>
      </c>
      <c r="D88">
        <f t="shared" si="12"/>
        <v>4</v>
      </c>
      <c r="E88">
        <f t="shared" si="13"/>
        <v>12</v>
      </c>
      <c r="F88">
        <f>3*DesarrolloPartidos[[#This Row],[Partidos_3]]</f>
        <v>0</v>
      </c>
      <c r="G88">
        <f>IF(DesarrolloPartidos[[#This Row],[Partidos_3]]=0,0,ROUNDUP(DesarrolloPartidos[[#This Row],[Orden]]/DesarrolloPartidos[[#This Row],[JugEnPart3]]*DesarrolloPartidos[[#This Row],[Partidos_3]],0))</f>
        <v>0</v>
      </c>
      <c r="H88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3</v>
      </c>
      <c r="I88" t="str">
        <f>IF(AND(DesarrolloPartidos[[#This Row],[PartidosSolo3]]&lt;=DesarrolloPartidos[[#This Row],[Partidos_3]],DesarrolloPartidos[[#This Row],[PartidosSolo3]]&lt;&gt;0),DesarrolloPartidos[[#This Row],[PartidosSolo3]],"")</f>
        <v/>
      </c>
      <c r="J88">
        <f>+IF(DesarrolloPartidos[[#This Row],[Partidos3]]="",DesarrolloPartidos[[#This Row],[Partidos4]],DesarrolloPartidos[[#This Row],[Partidos3]])</f>
        <v>3</v>
      </c>
      <c r="K88" t="str">
        <f>+DesarrolloPartidos[[#This Row],[Jugadores]]&amp;":"&amp;DesarrolloPartidos[[#This Row],[Orden]]</f>
        <v>16:12</v>
      </c>
    </row>
    <row r="89" spans="1:11">
      <c r="A89">
        <f t="shared" si="10"/>
        <v>16</v>
      </c>
      <c r="B89">
        <f t="shared" si="9"/>
        <v>4</v>
      </c>
      <c r="C89">
        <f t="shared" si="11"/>
        <v>0</v>
      </c>
      <c r="D89">
        <f t="shared" si="12"/>
        <v>4</v>
      </c>
      <c r="E89">
        <f t="shared" si="13"/>
        <v>13</v>
      </c>
      <c r="F89">
        <f>3*DesarrolloPartidos[[#This Row],[Partidos_3]]</f>
        <v>0</v>
      </c>
      <c r="G89">
        <f>IF(DesarrolloPartidos[[#This Row],[Partidos_3]]=0,0,ROUNDUP(DesarrolloPartidos[[#This Row],[Orden]]/DesarrolloPartidos[[#This Row],[JugEnPart3]]*DesarrolloPartidos[[#This Row],[Partidos_3]],0))</f>
        <v>0</v>
      </c>
      <c r="H89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89" t="str">
        <f>IF(AND(DesarrolloPartidos[[#This Row],[PartidosSolo3]]&lt;=DesarrolloPartidos[[#This Row],[Partidos_3]],DesarrolloPartidos[[#This Row],[PartidosSolo3]]&lt;&gt;0),DesarrolloPartidos[[#This Row],[PartidosSolo3]],"")</f>
        <v/>
      </c>
      <c r="J89">
        <f>+IF(DesarrolloPartidos[[#This Row],[Partidos3]]="",DesarrolloPartidos[[#This Row],[Partidos4]],DesarrolloPartidos[[#This Row],[Partidos3]])</f>
        <v>4</v>
      </c>
      <c r="K89" t="str">
        <f>+DesarrolloPartidos[[#This Row],[Jugadores]]&amp;":"&amp;DesarrolloPartidos[[#This Row],[Orden]]</f>
        <v>16:13</v>
      </c>
    </row>
    <row r="90" spans="1:11">
      <c r="A90">
        <f t="shared" si="10"/>
        <v>16</v>
      </c>
      <c r="B90">
        <f t="shared" si="9"/>
        <v>4</v>
      </c>
      <c r="C90">
        <f t="shared" si="11"/>
        <v>0</v>
      </c>
      <c r="D90">
        <f t="shared" si="12"/>
        <v>4</v>
      </c>
      <c r="E90">
        <f t="shared" si="13"/>
        <v>14</v>
      </c>
      <c r="F90">
        <f>3*DesarrolloPartidos[[#This Row],[Partidos_3]]</f>
        <v>0</v>
      </c>
      <c r="G90">
        <f>IF(DesarrolloPartidos[[#This Row],[Partidos_3]]=0,0,ROUNDUP(DesarrolloPartidos[[#This Row],[Orden]]/DesarrolloPartidos[[#This Row],[JugEnPart3]]*DesarrolloPartidos[[#This Row],[Partidos_3]],0))</f>
        <v>0</v>
      </c>
      <c r="H90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90" t="str">
        <f>IF(AND(DesarrolloPartidos[[#This Row],[PartidosSolo3]]&lt;=DesarrolloPartidos[[#This Row],[Partidos_3]],DesarrolloPartidos[[#This Row],[PartidosSolo3]]&lt;&gt;0),DesarrolloPartidos[[#This Row],[PartidosSolo3]],"")</f>
        <v/>
      </c>
      <c r="J90">
        <f>+IF(DesarrolloPartidos[[#This Row],[Partidos3]]="",DesarrolloPartidos[[#This Row],[Partidos4]],DesarrolloPartidos[[#This Row],[Partidos3]])</f>
        <v>4</v>
      </c>
      <c r="K90" t="str">
        <f>+DesarrolloPartidos[[#This Row],[Jugadores]]&amp;":"&amp;DesarrolloPartidos[[#This Row],[Orden]]</f>
        <v>16:14</v>
      </c>
    </row>
    <row r="91" spans="1:11">
      <c r="A91">
        <f t="shared" si="10"/>
        <v>16</v>
      </c>
      <c r="B91">
        <f t="shared" si="9"/>
        <v>4</v>
      </c>
      <c r="C91">
        <f t="shared" si="11"/>
        <v>0</v>
      </c>
      <c r="D91">
        <f t="shared" si="12"/>
        <v>4</v>
      </c>
      <c r="E91">
        <f t="shared" si="13"/>
        <v>15</v>
      </c>
      <c r="F91">
        <f>3*DesarrolloPartidos[[#This Row],[Partidos_3]]</f>
        <v>0</v>
      </c>
      <c r="G91">
        <f>IF(DesarrolloPartidos[[#This Row],[Partidos_3]]=0,0,ROUNDUP(DesarrolloPartidos[[#This Row],[Orden]]/DesarrolloPartidos[[#This Row],[JugEnPart3]]*DesarrolloPartidos[[#This Row],[Partidos_3]],0))</f>
        <v>0</v>
      </c>
      <c r="H91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91" t="str">
        <f>IF(AND(DesarrolloPartidos[[#This Row],[PartidosSolo3]]&lt;=DesarrolloPartidos[[#This Row],[Partidos_3]],DesarrolloPartidos[[#This Row],[PartidosSolo3]]&lt;&gt;0),DesarrolloPartidos[[#This Row],[PartidosSolo3]],"")</f>
        <v/>
      </c>
      <c r="J91">
        <f>+IF(DesarrolloPartidos[[#This Row],[Partidos3]]="",DesarrolloPartidos[[#This Row],[Partidos4]],DesarrolloPartidos[[#This Row],[Partidos3]])</f>
        <v>4</v>
      </c>
      <c r="K91" t="str">
        <f>+DesarrolloPartidos[[#This Row],[Jugadores]]&amp;":"&amp;DesarrolloPartidos[[#This Row],[Orden]]</f>
        <v>16:15</v>
      </c>
    </row>
    <row r="92" spans="1:11">
      <c r="A92">
        <f t="shared" si="10"/>
        <v>16</v>
      </c>
      <c r="B92">
        <f t="shared" si="9"/>
        <v>4</v>
      </c>
      <c r="C92">
        <f t="shared" si="11"/>
        <v>0</v>
      </c>
      <c r="D92">
        <f t="shared" si="12"/>
        <v>4</v>
      </c>
      <c r="E92">
        <f t="shared" si="13"/>
        <v>16</v>
      </c>
      <c r="F92">
        <f>3*DesarrolloPartidos[[#This Row],[Partidos_3]]</f>
        <v>0</v>
      </c>
      <c r="G92">
        <f>IF(DesarrolloPartidos[[#This Row],[Partidos_3]]=0,0,ROUNDUP(DesarrolloPartidos[[#This Row],[Orden]]/DesarrolloPartidos[[#This Row],[JugEnPart3]]*DesarrolloPartidos[[#This Row],[Partidos_3]],0))</f>
        <v>0</v>
      </c>
      <c r="H92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92" t="str">
        <f>IF(AND(DesarrolloPartidos[[#This Row],[PartidosSolo3]]&lt;=DesarrolloPartidos[[#This Row],[Partidos_3]],DesarrolloPartidos[[#This Row],[PartidosSolo3]]&lt;&gt;0),DesarrolloPartidos[[#This Row],[PartidosSolo3]],"")</f>
        <v/>
      </c>
      <c r="J92">
        <f>+IF(DesarrolloPartidos[[#This Row],[Partidos3]]="",DesarrolloPartidos[[#This Row],[Partidos4]],DesarrolloPartidos[[#This Row],[Partidos3]])</f>
        <v>4</v>
      </c>
      <c r="K92" t="str">
        <f>+DesarrolloPartidos[[#This Row],[Jugadores]]&amp;":"&amp;DesarrolloPartidos[[#This Row],[Orden]]</f>
        <v>16:16</v>
      </c>
    </row>
    <row r="93" spans="1:11">
      <c r="A93">
        <f t="shared" si="10"/>
        <v>17</v>
      </c>
      <c r="B93">
        <f t="shared" si="9"/>
        <v>5</v>
      </c>
      <c r="C93">
        <f t="shared" si="11"/>
        <v>3</v>
      </c>
      <c r="D93">
        <f t="shared" si="12"/>
        <v>2</v>
      </c>
      <c r="E93">
        <f t="shared" si="13"/>
        <v>1</v>
      </c>
      <c r="F93">
        <f>3*DesarrolloPartidos[[#This Row],[Partidos_3]]</f>
        <v>9</v>
      </c>
      <c r="G93">
        <f>IF(DesarrolloPartidos[[#This Row],[Partidos_3]]=0,0,ROUNDUP(DesarrolloPartidos[[#This Row],[Orden]]/DesarrolloPartidos[[#This Row],[JugEnPart3]]*DesarrolloPartidos[[#This Row],[Partidos_3]],0))</f>
        <v>1</v>
      </c>
      <c r="H93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93">
        <f>IF(AND(DesarrolloPartidos[[#This Row],[PartidosSolo3]]&lt;=DesarrolloPartidos[[#This Row],[Partidos_3]],DesarrolloPartidos[[#This Row],[PartidosSolo3]]&lt;&gt;0),DesarrolloPartidos[[#This Row],[PartidosSolo3]],"")</f>
        <v>1</v>
      </c>
      <c r="J93">
        <f>+IF(DesarrolloPartidos[[#This Row],[Partidos3]]="",DesarrolloPartidos[[#This Row],[Partidos4]],DesarrolloPartidos[[#This Row],[Partidos3]])</f>
        <v>1</v>
      </c>
      <c r="K93" t="str">
        <f>+DesarrolloPartidos[[#This Row],[Jugadores]]&amp;":"&amp;DesarrolloPartidos[[#This Row],[Orden]]</f>
        <v>17:1</v>
      </c>
    </row>
    <row r="94" spans="1:11">
      <c r="A94">
        <f t="shared" si="10"/>
        <v>17</v>
      </c>
      <c r="B94">
        <f t="shared" si="9"/>
        <v>5</v>
      </c>
      <c r="C94">
        <f t="shared" si="11"/>
        <v>3</v>
      </c>
      <c r="D94">
        <f t="shared" si="12"/>
        <v>2</v>
      </c>
      <c r="E94">
        <f t="shared" si="13"/>
        <v>2</v>
      </c>
      <c r="F94">
        <f>3*DesarrolloPartidos[[#This Row],[Partidos_3]]</f>
        <v>9</v>
      </c>
      <c r="G94">
        <f>IF(DesarrolloPartidos[[#This Row],[Partidos_3]]=0,0,ROUNDUP(DesarrolloPartidos[[#This Row],[Orden]]/DesarrolloPartidos[[#This Row],[JugEnPart3]]*DesarrolloPartidos[[#This Row],[Partidos_3]],0))</f>
        <v>1</v>
      </c>
      <c r="H94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94">
        <f>IF(AND(DesarrolloPartidos[[#This Row],[PartidosSolo3]]&lt;=DesarrolloPartidos[[#This Row],[Partidos_3]],DesarrolloPartidos[[#This Row],[PartidosSolo3]]&lt;&gt;0),DesarrolloPartidos[[#This Row],[PartidosSolo3]],"")</f>
        <v>1</v>
      </c>
      <c r="J94">
        <f>+IF(DesarrolloPartidos[[#This Row],[Partidos3]]="",DesarrolloPartidos[[#This Row],[Partidos4]],DesarrolloPartidos[[#This Row],[Partidos3]])</f>
        <v>1</v>
      </c>
      <c r="K94" t="str">
        <f>+DesarrolloPartidos[[#This Row],[Jugadores]]&amp;":"&amp;DesarrolloPartidos[[#This Row],[Orden]]</f>
        <v>17:2</v>
      </c>
    </row>
    <row r="95" spans="1:11">
      <c r="A95">
        <f t="shared" si="10"/>
        <v>17</v>
      </c>
      <c r="B95">
        <f t="shared" si="9"/>
        <v>5</v>
      </c>
      <c r="C95">
        <f t="shared" si="11"/>
        <v>3</v>
      </c>
      <c r="D95">
        <f t="shared" si="12"/>
        <v>2</v>
      </c>
      <c r="E95">
        <f t="shared" si="13"/>
        <v>3</v>
      </c>
      <c r="F95">
        <f>3*DesarrolloPartidos[[#This Row],[Partidos_3]]</f>
        <v>9</v>
      </c>
      <c r="G95">
        <f>IF(DesarrolloPartidos[[#This Row],[Partidos_3]]=0,0,ROUNDUP(DesarrolloPartidos[[#This Row],[Orden]]/DesarrolloPartidos[[#This Row],[JugEnPart3]]*DesarrolloPartidos[[#This Row],[Partidos_3]],0))</f>
        <v>1</v>
      </c>
      <c r="H95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95">
        <f>IF(AND(DesarrolloPartidos[[#This Row],[PartidosSolo3]]&lt;=DesarrolloPartidos[[#This Row],[Partidos_3]],DesarrolloPartidos[[#This Row],[PartidosSolo3]]&lt;&gt;0),DesarrolloPartidos[[#This Row],[PartidosSolo3]],"")</f>
        <v>1</v>
      </c>
      <c r="J95">
        <f>+IF(DesarrolloPartidos[[#This Row],[Partidos3]]="",DesarrolloPartidos[[#This Row],[Partidos4]],DesarrolloPartidos[[#This Row],[Partidos3]])</f>
        <v>1</v>
      </c>
      <c r="K95" t="str">
        <f>+DesarrolloPartidos[[#This Row],[Jugadores]]&amp;":"&amp;DesarrolloPartidos[[#This Row],[Orden]]</f>
        <v>17:3</v>
      </c>
    </row>
    <row r="96" spans="1:11">
      <c r="A96">
        <f t="shared" si="10"/>
        <v>17</v>
      </c>
      <c r="B96">
        <f t="shared" si="9"/>
        <v>5</v>
      </c>
      <c r="C96">
        <f t="shared" si="11"/>
        <v>3</v>
      </c>
      <c r="D96">
        <f t="shared" si="12"/>
        <v>2</v>
      </c>
      <c r="E96">
        <f t="shared" si="13"/>
        <v>4</v>
      </c>
      <c r="F96">
        <f>3*DesarrolloPartidos[[#This Row],[Partidos_3]]</f>
        <v>9</v>
      </c>
      <c r="G96">
        <f>IF(DesarrolloPartidos[[#This Row],[Partidos_3]]=0,0,ROUNDUP(DesarrolloPartidos[[#This Row],[Orden]]/DesarrolloPartidos[[#This Row],[JugEnPart3]]*DesarrolloPartidos[[#This Row],[Partidos_3]],0))</f>
        <v>2</v>
      </c>
      <c r="H96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96">
        <f>IF(AND(DesarrolloPartidos[[#This Row],[PartidosSolo3]]&lt;=DesarrolloPartidos[[#This Row],[Partidos_3]],DesarrolloPartidos[[#This Row],[PartidosSolo3]]&lt;&gt;0),DesarrolloPartidos[[#This Row],[PartidosSolo3]],"")</f>
        <v>2</v>
      </c>
      <c r="J96">
        <f>+IF(DesarrolloPartidos[[#This Row],[Partidos3]]="",DesarrolloPartidos[[#This Row],[Partidos4]],DesarrolloPartidos[[#This Row],[Partidos3]])</f>
        <v>2</v>
      </c>
      <c r="K96" t="str">
        <f>+DesarrolloPartidos[[#This Row],[Jugadores]]&amp;":"&amp;DesarrolloPartidos[[#This Row],[Orden]]</f>
        <v>17:4</v>
      </c>
    </row>
    <row r="97" spans="1:11">
      <c r="A97">
        <f t="shared" si="10"/>
        <v>17</v>
      </c>
      <c r="B97">
        <f t="shared" si="9"/>
        <v>5</v>
      </c>
      <c r="C97">
        <f t="shared" si="11"/>
        <v>3</v>
      </c>
      <c r="D97">
        <f t="shared" si="12"/>
        <v>2</v>
      </c>
      <c r="E97">
        <f t="shared" si="13"/>
        <v>5</v>
      </c>
      <c r="F97">
        <f>3*DesarrolloPartidos[[#This Row],[Partidos_3]]</f>
        <v>9</v>
      </c>
      <c r="G97">
        <f>IF(DesarrolloPartidos[[#This Row],[Partidos_3]]=0,0,ROUNDUP(DesarrolloPartidos[[#This Row],[Orden]]/DesarrolloPartidos[[#This Row],[JugEnPart3]]*DesarrolloPartidos[[#This Row],[Partidos_3]],0))</f>
        <v>2</v>
      </c>
      <c r="H97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97">
        <f>IF(AND(DesarrolloPartidos[[#This Row],[PartidosSolo3]]&lt;=DesarrolloPartidos[[#This Row],[Partidos_3]],DesarrolloPartidos[[#This Row],[PartidosSolo3]]&lt;&gt;0),DesarrolloPartidos[[#This Row],[PartidosSolo3]],"")</f>
        <v>2</v>
      </c>
      <c r="J97">
        <f>+IF(DesarrolloPartidos[[#This Row],[Partidos3]]="",DesarrolloPartidos[[#This Row],[Partidos4]],DesarrolloPartidos[[#This Row],[Partidos3]])</f>
        <v>2</v>
      </c>
      <c r="K97" t="str">
        <f>+DesarrolloPartidos[[#This Row],[Jugadores]]&amp;":"&amp;DesarrolloPartidos[[#This Row],[Orden]]</f>
        <v>17:5</v>
      </c>
    </row>
    <row r="98" spans="1:11">
      <c r="A98">
        <f t="shared" si="10"/>
        <v>17</v>
      </c>
      <c r="B98">
        <f t="shared" si="9"/>
        <v>5</v>
      </c>
      <c r="C98">
        <f t="shared" si="11"/>
        <v>3</v>
      </c>
      <c r="D98">
        <f t="shared" si="12"/>
        <v>2</v>
      </c>
      <c r="E98">
        <f t="shared" si="13"/>
        <v>6</v>
      </c>
      <c r="F98">
        <f>3*DesarrolloPartidos[[#This Row],[Partidos_3]]</f>
        <v>9</v>
      </c>
      <c r="G98">
        <f>IF(DesarrolloPartidos[[#This Row],[Partidos_3]]=0,0,ROUNDUP(DesarrolloPartidos[[#This Row],[Orden]]/DesarrolloPartidos[[#This Row],[JugEnPart3]]*DesarrolloPartidos[[#This Row],[Partidos_3]],0))</f>
        <v>2</v>
      </c>
      <c r="H98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98">
        <f>IF(AND(DesarrolloPartidos[[#This Row],[PartidosSolo3]]&lt;=DesarrolloPartidos[[#This Row],[Partidos_3]],DesarrolloPartidos[[#This Row],[PartidosSolo3]]&lt;&gt;0),DesarrolloPartidos[[#This Row],[PartidosSolo3]],"")</f>
        <v>2</v>
      </c>
      <c r="J98">
        <f>+IF(DesarrolloPartidos[[#This Row],[Partidos3]]="",DesarrolloPartidos[[#This Row],[Partidos4]],DesarrolloPartidos[[#This Row],[Partidos3]])</f>
        <v>2</v>
      </c>
      <c r="K98" t="str">
        <f>+DesarrolloPartidos[[#This Row],[Jugadores]]&amp;":"&amp;DesarrolloPartidos[[#This Row],[Orden]]</f>
        <v>17:6</v>
      </c>
    </row>
    <row r="99" spans="1:11">
      <c r="A99">
        <f t="shared" si="10"/>
        <v>17</v>
      </c>
      <c r="B99">
        <f t="shared" si="9"/>
        <v>5</v>
      </c>
      <c r="C99">
        <f t="shared" si="11"/>
        <v>3</v>
      </c>
      <c r="D99">
        <f t="shared" si="12"/>
        <v>2</v>
      </c>
      <c r="E99">
        <f t="shared" si="13"/>
        <v>7</v>
      </c>
      <c r="F99">
        <f>3*DesarrolloPartidos[[#This Row],[Partidos_3]]</f>
        <v>9</v>
      </c>
      <c r="G99">
        <f>IF(DesarrolloPartidos[[#This Row],[Partidos_3]]=0,0,ROUNDUP(DesarrolloPartidos[[#This Row],[Orden]]/DesarrolloPartidos[[#This Row],[JugEnPart3]]*DesarrolloPartidos[[#This Row],[Partidos_3]],0))</f>
        <v>3</v>
      </c>
      <c r="H99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99">
        <f>IF(AND(DesarrolloPartidos[[#This Row],[PartidosSolo3]]&lt;=DesarrolloPartidos[[#This Row],[Partidos_3]],DesarrolloPartidos[[#This Row],[PartidosSolo3]]&lt;&gt;0),DesarrolloPartidos[[#This Row],[PartidosSolo3]],"")</f>
        <v>3</v>
      </c>
      <c r="J99">
        <f>+IF(DesarrolloPartidos[[#This Row],[Partidos3]]="",DesarrolloPartidos[[#This Row],[Partidos4]],DesarrolloPartidos[[#This Row],[Partidos3]])</f>
        <v>3</v>
      </c>
      <c r="K99" t="str">
        <f>+DesarrolloPartidos[[#This Row],[Jugadores]]&amp;":"&amp;DesarrolloPartidos[[#This Row],[Orden]]</f>
        <v>17:7</v>
      </c>
    </row>
    <row r="100" spans="1:11">
      <c r="A100">
        <f t="shared" si="10"/>
        <v>17</v>
      </c>
      <c r="B100">
        <f t="shared" si="9"/>
        <v>5</v>
      </c>
      <c r="C100">
        <f t="shared" si="11"/>
        <v>3</v>
      </c>
      <c r="D100">
        <f t="shared" si="12"/>
        <v>2</v>
      </c>
      <c r="E100">
        <f t="shared" si="13"/>
        <v>8</v>
      </c>
      <c r="F100">
        <f>3*DesarrolloPartidos[[#This Row],[Partidos_3]]</f>
        <v>9</v>
      </c>
      <c r="G100">
        <f>IF(DesarrolloPartidos[[#This Row],[Partidos_3]]=0,0,ROUNDUP(DesarrolloPartidos[[#This Row],[Orden]]/DesarrolloPartidos[[#This Row],[JugEnPart3]]*DesarrolloPartidos[[#This Row],[Partidos_3]],0))</f>
        <v>3</v>
      </c>
      <c r="H100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100">
        <f>IF(AND(DesarrolloPartidos[[#This Row],[PartidosSolo3]]&lt;=DesarrolloPartidos[[#This Row],[Partidos_3]],DesarrolloPartidos[[#This Row],[PartidosSolo3]]&lt;&gt;0),DesarrolloPartidos[[#This Row],[PartidosSolo3]],"")</f>
        <v>3</v>
      </c>
      <c r="J100">
        <f>+IF(DesarrolloPartidos[[#This Row],[Partidos3]]="",DesarrolloPartidos[[#This Row],[Partidos4]],DesarrolloPartidos[[#This Row],[Partidos3]])</f>
        <v>3</v>
      </c>
      <c r="K100" t="str">
        <f>+DesarrolloPartidos[[#This Row],[Jugadores]]&amp;":"&amp;DesarrolloPartidos[[#This Row],[Orden]]</f>
        <v>17:8</v>
      </c>
    </row>
    <row r="101" spans="1:11">
      <c r="A101">
        <f t="shared" si="10"/>
        <v>17</v>
      </c>
      <c r="B101">
        <f t="shared" si="9"/>
        <v>5</v>
      </c>
      <c r="C101">
        <f t="shared" si="11"/>
        <v>3</v>
      </c>
      <c r="D101">
        <f t="shared" si="12"/>
        <v>2</v>
      </c>
      <c r="E101">
        <f t="shared" si="13"/>
        <v>9</v>
      </c>
      <c r="F101">
        <f>3*DesarrolloPartidos[[#This Row],[Partidos_3]]</f>
        <v>9</v>
      </c>
      <c r="G101">
        <f>IF(DesarrolloPartidos[[#This Row],[Partidos_3]]=0,0,ROUNDUP(DesarrolloPartidos[[#This Row],[Orden]]/DesarrolloPartidos[[#This Row],[JugEnPart3]]*DesarrolloPartidos[[#This Row],[Partidos_3]],0))</f>
        <v>3</v>
      </c>
      <c r="H101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101">
        <f>IF(AND(DesarrolloPartidos[[#This Row],[PartidosSolo3]]&lt;=DesarrolloPartidos[[#This Row],[Partidos_3]],DesarrolloPartidos[[#This Row],[PartidosSolo3]]&lt;&gt;0),DesarrolloPartidos[[#This Row],[PartidosSolo3]],"")</f>
        <v>3</v>
      </c>
      <c r="J101">
        <f>+IF(DesarrolloPartidos[[#This Row],[Partidos3]]="",DesarrolloPartidos[[#This Row],[Partidos4]],DesarrolloPartidos[[#This Row],[Partidos3]])</f>
        <v>3</v>
      </c>
      <c r="K101" t="str">
        <f>+DesarrolloPartidos[[#This Row],[Jugadores]]&amp;":"&amp;DesarrolloPartidos[[#This Row],[Orden]]</f>
        <v>17:9</v>
      </c>
    </row>
    <row r="102" spans="1:11">
      <c r="A102">
        <f t="shared" si="10"/>
        <v>17</v>
      </c>
      <c r="B102">
        <f t="shared" si="9"/>
        <v>5</v>
      </c>
      <c r="C102">
        <f t="shared" si="11"/>
        <v>3</v>
      </c>
      <c r="D102">
        <f t="shared" si="12"/>
        <v>2</v>
      </c>
      <c r="E102">
        <f t="shared" si="13"/>
        <v>10</v>
      </c>
      <c r="F102">
        <f>3*DesarrolloPartidos[[#This Row],[Partidos_3]]</f>
        <v>9</v>
      </c>
      <c r="G102">
        <f>IF(DesarrolloPartidos[[#This Row],[Partidos_3]]=0,0,ROUNDUP(DesarrolloPartidos[[#This Row],[Orden]]/DesarrolloPartidos[[#This Row],[JugEnPart3]]*DesarrolloPartidos[[#This Row],[Partidos_3]],0))</f>
        <v>4</v>
      </c>
      <c r="H102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102" t="str">
        <f>IF(AND(DesarrolloPartidos[[#This Row],[PartidosSolo3]]&lt;=DesarrolloPartidos[[#This Row],[Partidos_3]],DesarrolloPartidos[[#This Row],[PartidosSolo3]]&lt;&gt;0),DesarrolloPartidos[[#This Row],[PartidosSolo3]],"")</f>
        <v/>
      </c>
      <c r="J102">
        <f>+IF(DesarrolloPartidos[[#This Row],[Partidos3]]="",DesarrolloPartidos[[#This Row],[Partidos4]],DesarrolloPartidos[[#This Row],[Partidos3]])</f>
        <v>4</v>
      </c>
      <c r="K102" t="str">
        <f>+DesarrolloPartidos[[#This Row],[Jugadores]]&amp;":"&amp;DesarrolloPartidos[[#This Row],[Orden]]</f>
        <v>17:10</v>
      </c>
    </row>
    <row r="103" spans="1:11">
      <c r="A103">
        <f t="shared" si="10"/>
        <v>17</v>
      </c>
      <c r="B103">
        <f t="shared" si="9"/>
        <v>5</v>
      </c>
      <c r="C103">
        <f t="shared" si="11"/>
        <v>3</v>
      </c>
      <c r="D103">
        <f t="shared" si="12"/>
        <v>2</v>
      </c>
      <c r="E103">
        <f t="shared" si="13"/>
        <v>11</v>
      </c>
      <c r="F103">
        <f>3*DesarrolloPartidos[[#This Row],[Partidos_3]]</f>
        <v>9</v>
      </c>
      <c r="G103">
        <f>IF(DesarrolloPartidos[[#This Row],[Partidos_3]]=0,0,ROUNDUP(DesarrolloPartidos[[#This Row],[Orden]]/DesarrolloPartidos[[#This Row],[JugEnPart3]]*DesarrolloPartidos[[#This Row],[Partidos_3]],0))</f>
        <v>4</v>
      </c>
      <c r="H103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103" t="str">
        <f>IF(AND(DesarrolloPartidos[[#This Row],[PartidosSolo3]]&lt;=DesarrolloPartidos[[#This Row],[Partidos_3]],DesarrolloPartidos[[#This Row],[PartidosSolo3]]&lt;&gt;0),DesarrolloPartidos[[#This Row],[PartidosSolo3]],"")</f>
        <v/>
      </c>
      <c r="J103">
        <f>+IF(DesarrolloPartidos[[#This Row],[Partidos3]]="",DesarrolloPartidos[[#This Row],[Partidos4]],DesarrolloPartidos[[#This Row],[Partidos3]])</f>
        <v>4</v>
      </c>
      <c r="K103" t="str">
        <f>+DesarrolloPartidos[[#This Row],[Jugadores]]&amp;":"&amp;DesarrolloPartidos[[#This Row],[Orden]]</f>
        <v>17:11</v>
      </c>
    </row>
    <row r="104" spans="1:11">
      <c r="A104">
        <f t="shared" si="10"/>
        <v>17</v>
      </c>
      <c r="B104">
        <f t="shared" si="9"/>
        <v>5</v>
      </c>
      <c r="C104">
        <f t="shared" si="11"/>
        <v>3</v>
      </c>
      <c r="D104">
        <f t="shared" si="12"/>
        <v>2</v>
      </c>
      <c r="E104">
        <f t="shared" si="13"/>
        <v>12</v>
      </c>
      <c r="F104">
        <f>3*DesarrolloPartidos[[#This Row],[Partidos_3]]</f>
        <v>9</v>
      </c>
      <c r="G104">
        <f>IF(DesarrolloPartidos[[#This Row],[Partidos_3]]=0,0,ROUNDUP(DesarrolloPartidos[[#This Row],[Orden]]/DesarrolloPartidos[[#This Row],[JugEnPart3]]*DesarrolloPartidos[[#This Row],[Partidos_3]],0))</f>
        <v>4</v>
      </c>
      <c r="H104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104" t="str">
        <f>IF(AND(DesarrolloPartidos[[#This Row],[PartidosSolo3]]&lt;=DesarrolloPartidos[[#This Row],[Partidos_3]],DesarrolloPartidos[[#This Row],[PartidosSolo3]]&lt;&gt;0),DesarrolloPartidos[[#This Row],[PartidosSolo3]],"")</f>
        <v/>
      </c>
      <c r="J104">
        <f>+IF(DesarrolloPartidos[[#This Row],[Partidos3]]="",DesarrolloPartidos[[#This Row],[Partidos4]],DesarrolloPartidos[[#This Row],[Partidos3]])</f>
        <v>4</v>
      </c>
      <c r="K104" t="str">
        <f>+DesarrolloPartidos[[#This Row],[Jugadores]]&amp;":"&amp;DesarrolloPartidos[[#This Row],[Orden]]</f>
        <v>17:12</v>
      </c>
    </row>
    <row r="105" spans="1:11">
      <c r="A105">
        <f t="shared" si="10"/>
        <v>17</v>
      </c>
      <c r="B105">
        <f t="shared" si="9"/>
        <v>5</v>
      </c>
      <c r="C105">
        <f t="shared" si="11"/>
        <v>3</v>
      </c>
      <c r="D105">
        <f t="shared" si="12"/>
        <v>2</v>
      </c>
      <c r="E105">
        <f t="shared" si="13"/>
        <v>13</v>
      </c>
      <c r="F105">
        <f>3*DesarrolloPartidos[[#This Row],[Partidos_3]]</f>
        <v>9</v>
      </c>
      <c r="G105">
        <f>IF(DesarrolloPartidos[[#This Row],[Partidos_3]]=0,0,ROUNDUP(DesarrolloPartidos[[#This Row],[Orden]]/DesarrolloPartidos[[#This Row],[JugEnPart3]]*DesarrolloPartidos[[#This Row],[Partidos_3]],0))</f>
        <v>5</v>
      </c>
      <c r="H105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105" t="str">
        <f>IF(AND(DesarrolloPartidos[[#This Row],[PartidosSolo3]]&lt;=DesarrolloPartidos[[#This Row],[Partidos_3]],DesarrolloPartidos[[#This Row],[PartidosSolo3]]&lt;&gt;0),DesarrolloPartidos[[#This Row],[PartidosSolo3]],"")</f>
        <v/>
      </c>
      <c r="J105">
        <f>+IF(DesarrolloPartidos[[#This Row],[Partidos3]]="",DesarrolloPartidos[[#This Row],[Partidos4]],DesarrolloPartidos[[#This Row],[Partidos3]])</f>
        <v>4</v>
      </c>
      <c r="K105" t="str">
        <f>+DesarrolloPartidos[[#This Row],[Jugadores]]&amp;":"&amp;DesarrolloPartidos[[#This Row],[Orden]]</f>
        <v>17:13</v>
      </c>
    </row>
    <row r="106" spans="1:11">
      <c r="A106">
        <f t="shared" si="10"/>
        <v>17</v>
      </c>
      <c r="B106">
        <f t="shared" si="9"/>
        <v>5</v>
      </c>
      <c r="C106">
        <f t="shared" si="11"/>
        <v>3</v>
      </c>
      <c r="D106">
        <f t="shared" si="12"/>
        <v>2</v>
      </c>
      <c r="E106">
        <f t="shared" si="13"/>
        <v>14</v>
      </c>
      <c r="F106">
        <f>3*DesarrolloPartidos[[#This Row],[Partidos_3]]</f>
        <v>9</v>
      </c>
      <c r="G106">
        <f>IF(DesarrolloPartidos[[#This Row],[Partidos_3]]=0,0,ROUNDUP(DesarrolloPartidos[[#This Row],[Orden]]/DesarrolloPartidos[[#This Row],[JugEnPart3]]*DesarrolloPartidos[[#This Row],[Partidos_3]],0))</f>
        <v>5</v>
      </c>
      <c r="H106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5</v>
      </c>
      <c r="I106" t="str">
        <f>IF(AND(DesarrolloPartidos[[#This Row],[PartidosSolo3]]&lt;=DesarrolloPartidos[[#This Row],[Partidos_3]],DesarrolloPartidos[[#This Row],[PartidosSolo3]]&lt;&gt;0),DesarrolloPartidos[[#This Row],[PartidosSolo3]],"")</f>
        <v/>
      </c>
      <c r="J106">
        <f>+IF(DesarrolloPartidos[[#This Row],[Partidos3]]="",DesarrolloPartidos[[#This Row],[Partidos4]],DesarrolloPartidos[[#This Row],[Partidos3]])</f>
        <v>5</v>
      </c>
      <c r="K106" t="str">
        <f>+DesarrolloPartidos[[#This Row],[Jugadores]]&amp;":"&amp;DesarrolloPartidos[[#This Row],[Orden]]</f>
        <v>17:14</v>
      </c>
    </row>
    <row r="107" spans="1:11">
      <c r="A107">
        <f t="shared" si="10"/>
        <v>17</v>
      </c>
      <c r="B107">
        <f t="shared" si="9"/>
        <v>5</v>
      </c>
      <c r="C107">
        <f t="shared" si="11"/>
        <v>3</v>
      </c>
      <c r="D107">
        <f t="shared" si="12"/>
        <v>2</v>
      </c>
      <c r="E107">
        <f t="shared" si="13"/>
        <v>15</v>
      </c>
      <c r="F107">
        <f>3*DesarrolloPartidos[[#This Row],[Partidos_3]]</f>
        <v>9</v>
      </c>
      <c r="G107">
        <f>IF(DesarrolloPartidos[[#This Row],[Partidos_3]]=0,0,ROUNDUP(DesarrolloPartidos[[#This Row],[Orden]]/DesarrolloPartidos[[#This Row],[JugEnPart3]]*DesarrolloPartidos[[#This Row],[Partidos_3]],0))</f>
        <v>5</v>
      </c>
      <c r="H107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5</v>
      </c>
      <c r="I107" t="str">
        <f>IF(AND(DesarrolloPartidos[[#This Row],[PartidosSolo3]]&lt;=DesarrolloPartidos[[#This Row],[Partidos_3]],DesarrolloPartidos[[#This Row],[PartidosSolo3]]&lt;&gt;0),DesarrolloPartidos[[#This Row],[PartidosSolo3]],"")</f>
        <v/>
      </c>
      <c r="J107">
        <f>+IF(DesarrolloPartidos[[#This Row],[Partidos3]]="",DesarrolloPartidos[[#This Row],[Partidos4]],DesarrolloPartidos[[#This Row],[Partidos3]])</f>
        <v>5</v>
      </c>
      <c r="K107" t="str">
        <f>+DesarrolloPartidos[[#This Row],[Jugadores]]&amp;":"&amp;DesarrolloPartidos[[#This Row],[Orden]]</f>
        <v>17:15</v>
      </c>
    </row>
    <row r="108" spans="1:11">
      <c r="A108">
        <f t="shared" si="10"/>
        <v>17</v>
      </c>
      <c r="B108">
        <f t="shared" si="9"/>
        <v>5</v>
      </c>
      <c r="C108">
        <f t="shared" si="11"/>
        <v>3</v>
      </c>
      <c r="D108">
        <f t="shared" si="12"/>
        <v>2</v>
      </c>
      <c r="E108">
        <f t="shared" si="13"/>
        <v>16</v>
      </c>
      <c r="F108">
        <f>3*DesarrolloPartidos[[#This Row],[Partidos_3]]</f>
        <v>9</v>
      </c>
      <c r="G108">
        <f>IF(DesarrolloPartidos[[#This Row],[Partidos_3]]=0,0,ROUNDUP(DesarrolloPartidos[[#This Row],[Orden]]/DesarrolloPartidos[[#This Row],[JugEnPart3]]*DesarrolloPartidos[[#This Row],[Partidos_3]],0))</f>
        <v>6</v>
      </c>
      <c r="H108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5</v>
      </c>
      <c r="I108" t="str">
        <f>IF(AND(DesarrolloPartidos[[#This Row],[PartidosSolo3]]&lt;=DesarrolloPartidos[[#This Row],[Partidos_3]],DesarrolloPartidos[[#This Row],[PartidosSolo3]]&lt;&gt;0),DesarrolloPartidos[[#This Row],[PartidosSolo3]],"")</f>
        <v/>
      </c>
      <c r="J108">
        <f>+IF(DesarrolloPartidos[[#This Row],[Partidos3]]="",DesarrolloPartidos[[#This Row],[Partidos4]],DesarrolloPartidos[[#This Row],[Partidos3]])</f>
        <v>5</v>
      </c>
      <c r="K108" t="str">
        <f>+DesarrolloPartidos[[#This Row],[Jugadores]]&amp;":"&amp;DesarrolloPartidos[[#This Row],[Orden]]</f>
        <v>17:16</v>
      </c>
    </row>
    <row r="109" spans="1:11">
      <c r="A109">
        <f t="shared" si="10"/>
        <v>17</v>
      </c>
      <c r="B109">
        <f t="shared" si="9"/>
        <v>5</v>
      </c>
      <c r="C109">
        <f t="shared" si="11"/>
        <v>3</v>
      </c>
      <c r="D109">
        <f t="shared" si="12"/>
        <v>2</v>
      </c>
      <c r="E109">
        <f t="shared" si="13"/>
        <v>17</v>
      </c>
      <c r="F109">
        <f>3*DesarrolloPartidos[[#This Row],[Partidos_3]]</f>
        <v>9</v>
      </c>
      <c r="G109">
        <f>IF(DesarrolloPartidos[[#This Row],[Partidos_3]]=0,0,ROUNDUP(DesarrolloPartidos[[#This Row],[Orden]]/DesarrolloPartidos[[#This Row],[JugEnPart3]]*DesarrolloPartidos[[#This Row],[Partidos_3]],0))</f>
        <v>6</v>
      </c>
      <c r="H109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5</v>
      </c>
      <c r="I109" t="str">
        <f>IF(AND(DesarrolloPartidos[[#This Row],[PartidosSolo3]]&lt;=DesarrolloPartidos[[#This Row],[Partidos_3]],DesarrolloPartidos[[#This Row],[PartidosSolo3]]&lt;&gt;0),DesarrolloPartidos[[#This Row],[PartidosSolo3]],"")</f>
        <v/>
      </c>
      <c r="J109">
        <f>+IF(DesarrolloPartidos[[#This Row],[Partidos3]]="",DesarrolloPartidos[[#This Row],[Partidos4]],DesarrolloPartidos[[#This Row],[Partidos3]])</f>
        <v>5</v>
      </c>
      <c r="K109" t="str">
        <f>+DesarrolloPartidos[[#This Row],[Jugadores]]&amp;":"&amp;DesarrolloPartidos[[#This Row],[Orden]]</f>
        <v>17:17</v>
      </c>
    </row>
    <row r="110" spans="1:11">
      <c r="A110">
        <f t="shared" si="10"/>
        <v>18</v>
      </c>
      <c r="B110">
        <f t="shared" si="9"/>
        <v>5</v>
      </c>
      <c r="C110">
        <f t="shared" si="11"/>
        <v>2</v>
      </c>
      <c r="D110">
        <f t="shared" si="12"/>
        <v>3</v>
      </c>
      <c r="E110">
        <f t="shared" si="13"/>
        <v>1</v>
      </c>
      <c r="F110">
        <f>3*DesarrolloPartidos[[#This Row],[Partidos_3]]</f>
        <v>6</v>
      </c>
      <c r="G110">
        <f>IF(DesarrolloPartidos[[#This Row],[Partidos_3]]=0,0,ROUNDUP(DesarrolloPartidos[[#This Row],[Orden]]/DesarrolloPartidos[[#This Row],[JugEnPart3]]*DesarrolloPartidos[[#This Row],[Partidos_3]],0))</f>
        <v>1</v>
      </c>
      <c r="H110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110">
        <f>IF(AND(DesarrolloPartidos[[#This Row],[PartidosSolo3]]&lt;=DesarrolloPartidos[[#This Row],[Partidos_3]],DesarrolloPartidos[[#This Row],[PartidosSolo3]]&lt;&gt;0),DesarrolloPartidos[[#This Row],[PartidosSolo3]],"")</f>
        <v>1</v>
      </c>
      <c r="J110">
        <f>+IF(DesarrolloPartidos[[#This Row],[Partidos3]]="",DesarrolloPartidos[[#This Row],[Partidos4]],DesarrolloPartidos[[#This Row],[Partidos3]])</f>
        <v>1</v>
      </c>
      <c r="K110" t="str">
        <f>+DesarrolloPartidos[[#This Row],[Jugadores]]&amp;":"&amp;DesarrolloPartidos[[#This Row],[Orden]]</f>
        <v>18:1</v>
      </c>
    </row>
    <row r="111" spans="1:11">
      <c r="A111">
        <f t="shared" si="10"/>
        <v>18</v>
      </c>
      <c r="B111">
        <f t="shared" si="9"/>
        <v>5</v>
      </c>
      <c r="C111">
        <f t="shared" si="11"/>
        <v>2</v>
      </c>
      <c r="D111">
        <f t="shared" si="12"/>
        <v>3</v>
      </c>
      <c r="E111">
        <f t="shared" si="13"/>
        <v>2</v>
      </c>
      <c r="F111">
        <f>3*DesarrolloPartidos[[#This Row],[Partidos_3]]</f>
        <v>6</v>
      </c>
      <c r="G111">
        <f>IF(DesarrolloPartidos[[#This Row],[Partidos_3]]=0,0,ROUNDUP(DesarrolloPartidos[[#This Row],[Orden]]/DesarrolloPartidos[[#This Row],[JugEnPart3]]*DesarrolloPartidos[[#This Row],[Partidos_3]],0))</f>
        <v>1</v>
      </c>
      <c r="H111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111">
        <f>IF(AND(DesarrolloPartidos[[#This Row],[PartidosSolo3]]&lt;=DesarrolloPartidos[[#This Row],[Partidos_3]],DesarrolloPartidos[[#This Row],[PartidosSolo3]]&lt;&gt;0),DesarrolloPartidos[[#This Row],[PartidosSolo3]],"")</f>
        <v>1</v>
      </c>
      <c r="J111">
        <f>+IF(DesarrolloPartidos[[#This Row],[Partidos3]]="",DesarrolloPartidos[[#This Row],[Partidos4]],DesarrolloPartidos[[#This Row],[Partidos3]])</f>
        <v>1</v>
      </c>
      <c r="K111" t="str">
        <f>+DesarrolloPartidos[[#This Row],[Jugadores]]&amp;":"&amp;DesarrolloPartidos[[#This Row],[Orden]]</f>
        <v>18:2</v>
      </c>
    </row>
    <row r="112" spans="1:11">
      <c r="A112">
        <f t="shared" si="10"/>
        <v>18</v>
      </c>
      <c r="B112">
        <f t="shared" si="9"/>
        <v>5</v>
      </c>
      <c r="C112">
        <f t="shared" si="11"/>
        <v>2</v>
      </c>
      <c r="D112">
        <f t="shared" si="12"/>
        <v>3</v>
      </c>
      <c r="E112">
        <f t="shared" si="13"/>
        <v>3</v>
      </c>
      <c r="F112">
        <f>3*DesarrolloPartidos[[#This Row],[Partidos_3]]</f>
        <v>6</v>
      </c>
      <c r="G112">
        <f>IF(DesarrolloPartidos[[#This Row],[Partidos_3]]=0,0,ROUNDUP(DesarrolloPartidos[[#This Row],[Orden]]/DesarrolloPartidos[[#This Row],[JugEnPart3]]*DesarrolloPartidos[[#This Row],[Partidos_3]],0))</f>
        <v>1</v>
      </c>
      <c r="H112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112">
        <f>IF(AND(DesarrolloPartidos[[#This Row],[PartidosSolo3]]&lt;=DesarrolloPartidos[[#This Row],[Partidos_3]],DesarrolloPartidos[[#This Row],[PartidosSolo3]]&lt;&gt;0),DesarrolloPartidos[[#This Row],[PartidosSolo3]],"")</f>
        <v>1</v>
      </c>
      <c r="J112">
        <f>+IF(DesarrolloPartidos[[#This Row],[Partidos3]]="",DesarrolloPartidos[[#This Row],[Partidos4]],DesarrolloPartidos[[#This Row],[Partidos3]])</f>
        <v>1</v>
      </c>
      <c r="K112" t="str">
        <f>+DesarrolloPartidos[[#This Row],[Jugadores]]&amp;":"&amp;DesarrolloPartidos[[#This Row],[Orden]]</f>
        <v>18:3</v>
      </c>
    </row>
    <row r="113" spans="1:11">
      <c r="A113">
        <f t="shared" si="10"/>
        <v>18</v>
      </c>
      <c r="B113">
        <f t="shared" si="9"/>
        <v>5</v>
      </c>
      <c r="C113">
        <f t="shared" si="11"/>
        <v>2</v>
      </c>
      <c r="D113">
        <f t="shared" si="12"/>
        <v>3</v>
      </c>
      <c r="E113">
        <f t="shared" si="13"/>
        <v>4</v>
      </c>
      <c r="F113">
        <f>3*DesarrolloPartidos[[#This Row],[Partidos_3]]</f>
        <v>6</v>
      </c>
      <c r="G113">
        <f>IF(DesarrolloPartidos[[#This Row],[Partidos_3]]=0,0,ROUNDUP(DesarrolloPartidos[[#This Row],[Orden]]/DesarrolloPartidos[[#This Row],[JugEnPart3]]*DesarrolloPartidos[[#This Row],[Partidos_3]],0))</f>
        <v>2</v>
      </c>
      <c r="H113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113">
        <f>IF(AND(DesarrolloPartidos[[#This Row],[PartidosSolo3]]&lt;=DesarrolloPartidos[[#This Row],[Partidos_3]],DesarrolloPartidos[[#This Row],[PartidosSolo3]]&lt;&gt;0),DesarrolloPartidos[[#This Row],[PartidosSolo3]],"")</f>
        <v>2</v>
      </c>
      <c r="J113">
        <f>+IF(DesarrolloPartidos[[#This Row],[Partidos3]]="",DesarrolloPartidos[[#This Row],[Partidos4]],DesarrolloPartidos[[#This Row],[Partidos3]])</f>
        <v>2</v>
      </c>
      <c r="K113" t="str">
        <f>+DesarrolloPartidos[[#This Row],[Jugadores]]&amp;":"&amp;DesarrolloPartidos[[#This Row],[Orden]]</f>
        <v>18:4</v>
      </c>
    </row>
    <row r="114" spans="1:11">
      <c r="A114">
        <f t="shared" si="10"/>
        <v>18</v>
      </c>
      <c r="B114">
        <f t="shared" si="9"/>
        <v>5</v>
      </c>
      <c r="C114">
        <f t="shared" si="11"/>
        <v>2</v>
      </c>
      <c r="D114">
        <f t="shared" si="12"/>
        <v>3</v>
      </c>
      <c r="E114">
        <f t="shared" si="13"/>
        <v>5</v>
      </c>
      <c r="F114">
        <f>3*DesarrolloPartidos[[#This Row],[Partidos_3]]</f>
        <v>6</v>
      </c>
      <c r="G114">
        <f>IF(DesarrolloPartidos[[#This Row],[Partidos_3]]=0,0,ROUNDUP(DesarrolloPartidos[[#This Row],[Orden]]/DesarrolloPartidos[[#This Row],[JugEnPart3]]*DesarrolloPartidos[[#This Row],[Partidos_3]],0))</f>
        <v>2</v>
      </c>
      <c r="H114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114">
        <f>IF(AND(DesarrolloPartidos[[#This Row],[PartidosSolo3]]&lt;=DesarrolloPartidos[[#This Row],[Partidos_3]],DesarrolloPartidos[[#This Row],[PartidosSolo3]]&lt;&gt;0),DesarrolloPartidos[[#This Row],[PartidosSolo3]],"")</f>
        <v>2</v>
      </c>
      <c r="J114">
        <f>+IF(DesarrolloPartidos[[#This Row],[Partidos3]]="",DesarrolloPartidos[[#This Row],[Partidos4]],DesarrolloPartidos[[#This Row],[Partidos3]])</f>
        <v>2</v>
      </c>
      <c r="K114" t="str">
        <f>+DesarrolloPartidos[[#This Row],[Jugadores]]&amp;":"&amp;DesarrolloPartidos[[#This Row],[Orden]]</f>
        <v>18:5</v>
      </c>
    </row>
    <row r="115" spans="1:11">
      <c r="A115">
        <f t="shared" si="10"/>
        <v>18</v>
      </c>
      <c r="B115">
        <f t="shared" si="9"/>
        <v>5</v>
      </c>
      <c r="C115">
        <f t="shared" si="11"/>
        <v>2</v>
      </c>
      <c r="D115">
        <f t="shared" si="12"/>
        <v>3</v>
      </c>
      <c r="E115">
        <f t="shared" si="13"/>
        <v>6</v>
      </c>
      <c r="F115">
        <f>3*DesarrolloPartidos[[#This Row],[Partidos_3]]</f>
        <v>6</v>
      </c>
      <c r="G115">
        <f>IF(DesarrolloPartidos[[#This Row],[Partidos_3]]=0,0,ROUNDUP(DesarrolloPartidos[[#This Row],[Orden]]/DesarrolloPartidos[[#This Row],[JugEnPart3]]*DesarrolloPartidos[[#This Row],[Partidos_3]],0))</f>
        <v>2</v>
      </c>
      <c r="H115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115">
        <f>IF(AND(DesarrolloPartidos[[#This Row],[PartidosSolo3]]&lt;=DesarrolloPartidos[[#This Row],[Partidos_3]],DesarrolloPartidos[[#This Row],[PartidosSolo3]]&lt;&gt;0),DesarrolloPartidos[[#This Row],[PartidosSolo3]],"")</f>
        <v>2</v>
      </c>
      <c r="J115">
        <f>+IF(DesarrolloPartidos[[#This Row],[Partidos3]]="",DesarrolloPartidos[[#This Row],[Partidos4]],DesarrolloPartidos[[#This Row],[Partidos3]])</f>
        <v>2</v>
      </c>
      <c r="K115" t="str">
        <f>+DesarrolloPartidos[[#This Row],[Jugadores]]&amp;":"&amp;DesarrolloPartidos[[#This Row],[Orden]]</f>
        <v>18:6</v>
      </c>
    </row>
    <row r="116" spans="1:11">
      <c r="A116">
        <f t="shared" si="10"/>
        <v>18</v>
      </c>
      <c r="B116">
        <f t="shared" si="9"/>
        <v>5</v>
      </c>
      <c r="C116">
        <f t="shared" si="11"/>
        <v>2</v>
      </c>
      <c r="D116">
        <f t="shared" si="12"/>
        <v>3</v>
      </c>
      <c r="E116">
        <f t="shared" si="13"/>
        <v>7</v>
      </c>
      <c r="F116">
        <f>3*DesarrolloPartidos[[#This Row],[Partidos_3]]</f>
        <v>6</v>
      </c>
      <c r="G116">
        <f>IF(DesarrolloPartidos[[#This Row],[Partidos_3]]=0,0,ROUNDUP(DesarrolloPartidos[[#This Row],[Orden]]/DesarrolloPartidos[[#This Row],[JugEnPart3]]*DesarrolloPartidos[[#This Row],[Partidos_3]],0))</f>
        <v>3</v>
      </c>
      <c r="H116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3</v>
      </c>
      <c r="I116" t="str">
        <f>IF(AND(DesarrolloPartidos[[#This Row],[PartidosSolo3]]&lt;=DesarrolloPartidos[[#This Row],[Partidos_3]],DesarrolloPartidos[[#This Row],[PartidosSolo3]]&lt;&gt;0),DesarrolloPartidos[[#This Row],[PartidosSolo3]],"")</f>
        <v/>
      </c>
      <c r="J116">
        <f>+IF(DesarrolloPartidos[[#This Row],[Partidos3]]="",DesarrolloPartidos[[#This Row],[Partidos4]],DesarrolloPartidos[[#This Row],[Partidos3]])</f>
        <v>3</v>
      </c>
      <c r="K116" t="str">
        <f>+DesarrolloPartidos[[#This Row],[Jugadores]]&amp;":"&amp;DesarrolloPartidos[[#This Row],[Orden]]</f>
        <v>18:7</v>
      </c>
    </row>
    <row r="117" spans="1:11">
      <c r="A117">
        <f t="shared" si="10"/>
        <v>18</v>
      </c>
      <c r="B117">
        <f t="shared" si="9"/>
        <v>5</v>
      </c>
      <c r="C117">
        <f t="shared" si="11"/>
        <v>2</v>
      </c>
      <c r="D117">
        <f t="shared" si="12"/>
        <v>3</v>
      </c>
      <c r="E117">
        <f t="shared" si="13"/>
        <v>8</v>
      </c>
      <c r="F117">
        <f>3*DesarrolloPartidos[[#This Row],[Partidos_3]]</f>
        <v>6</v>
      </c>
      <c r="G117">
        <f>IF(DesarrolloPartidos[[#This Row],[Partidos_3]]=0,0,ROUNDUP(DesarrolloPartidos[[#This Row],[Orden]]/DesarrolloPartidos[[#This Row],[JugEnPart3]]*DesarrolloPartidos[[#This Row],[Partidos_3]],0))</f>
        <v>3</v>
      </c>
      <c r="H117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3</v>
      </c>
      <c r="I117" t="str">
        <f>IF(AND(DesarrolloPartidos[[#This Row],[PartidosSolo3]]&lt;=DesarrolloPartidos[[#This Row],[Partidos_3]],DesarrolloPartidos[[#This Row],[PartidosSolo3]]&lt;&gt;0),DesarrolloPartidos[[#This Row],[PartidosSolo3]],"")</f>
        <v/>
      </c>
      <c r="J117">
        <f>+IF(DesarrolloPartidos[[#This Row],[Partidos3]]="",DesarrolloPartidos[[#This Row],[Partidos4]],DesarrolloPartidos[[#This Row],[Partidos3]])</f>
        <v>3</v>
      </c>
      <c r="K117" t="str">
        <f>+DesarrolloPartidos[[#This Row],[Jugadores]]&amp;":"&amp;DesarrolloPartidos[[#This Row],[Orden]]</f>
        <v>18:8</v>
      </c>
    </row>
    <row r="118" spans="1:11">
      <c r="A118">
        <f t="shared" si="10"/>
        <v>18</v>
      </c>
      <c r="B118">
        <f t="shared" si="9"/>
        <v>5</v>
      </c>
      <c r="C118">
        <f t="shared" si="11"/>
        <v>2</v>
      </c>
      <c r="D118">
        <f t="shared" si="12"/>
        <v>3</v>
      </c>
      <c r="E118">
        <f t="shared" si="13"/>
        <v>9</v>
      </c>
      <c r="F118">
        <f>3*DesarrolloPartidos[[#This Row],[Partidos_3]]</f>
        <v>6</v>
      </c>
      <c r="G118">
        <f>IF(DesarrolloPartidos[[#This Row],[Partidos_3]]=0,0,ROUNDUP(DesarrolloPartidos[[#This Row],[Orden]]/DesarrolloPartidos[[#This Row],[JugEnPart3]]*DesarrolloPartidos[[#This Row],[Partidos_3]],0))</f>
        <v>3</v>
      </c>
      <c r="H118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3</v>
      </c>
      <c r="I118" t="str">
        <f>IF(AND(DesarrolloPartidos[[#This Row],[PartidosSolo3]]&lt;=DesarrolloPartidos[[#This Row],[Partidos_3]],DesarrolloPartidos[[#This Row],[PartidosSolo3]]&lt;&gt;0),DesarrolloPartidos[[#This Row],[PartidosSolo3]],"")</f>
        <v/>
      </c>
      <c r="J118">
        <f>+IF(DesarrolloPartidos[[#This Row],[Partidos3]]="",DesarrolloPartidos[[#This Row],[Partidos4]],DesarrolloPartidos[[#This Row],[Partidos3]])</f>
        <v>3</v>
      </c>
      <c r="K118" t="str">
        <f>+DesarrolloPartidos[[#This Row],[Jugadores]]&amp;":"&amp;DesarrolloPartidos[[#This Row],[Orden]]</f>
        <v>18:9</v>
      </c>
    </row>
    <row r="119" spans="1:11">
      <c r="A119">
        <f t="shared" si="10"/>
        <v>18</v>
      </c>
      <c r="B119">
        <f t="shared" si="9"/>
        <v>5</v>
      </c>
      <c r="C119">
        <f t="shared" si="11"/>
        <v>2</v>
      </c>
      <c r="D119">
        <f t="shared" si="12"/>
        <v>3</v>
      </c>
      <c r="E119">
        <f t="shared" si="13"/>
        <v>10</v>
      </c>
      <c r="F119">
        <f>3*DesarrolloPartidos[[#This Row],[Partidos_3]]</f>
        <v>6</v>
      </c>
      <c r="G119">
        <f>IF(DesarrolloPartidos[[#This Row],[Partidos_3]]=0,0,ROUNDUP(DesarrolloPartidos[[#This Row],[Orden]]/DesarrolloPartidos[[#This Row],[JugEnPart3]]*DesarrolloPartidos[[#This Row],[Partidos_3]],0))</f>
        <v>4</v>
      </c>
      <c r="H119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3</v>
      </c>
      <c r="I119" t="str">
        <f>IF(AND(DesarrolloPartidos[[#This Row],[PartidosSolo3]]&lt;=DesarrolloPartidos[[#This Row],[Partidos_3]],DesarrolloPartidos[[#This Row],[PartidosSolo3]]&lt;&gt;0),DesarrolloPartidos[[#This Row],[PartidosSolo3]],"")</f>
        <v/>
      </c>
      <c r="J119">
        <f>+IF(DesarrolloPartidos[[#This Row],[Partidos3]]="",DesarrolloPartidos[[#This Row],[Partidos4]],DesarrolloPartidos[[#This Row],[Partidos3]])</f>
        <v>3</v>
      </c>
      <c r="K119" t="str">
        <f>+DesarrolloPartidos[[#This Row],[Jugadores]]&amp;":"&amp;DesarrolloPartidos[[#This Row],[Orden]]</f>
        <v>18:10</v>
      </c>
    </row>
    <row r="120" spans="1:11">
      <c r="A120">
        <f t="shared" si="10"/>
        <v>18</v>
      </c>
      <c r="B120">
        <f t="shared" si="9"/>
        <v>5</v>
      </c>
      <c r="C120">
        <f t="shared" si="11"/>
        <v>2</v>
      </c>
      <c r="D120">
        <f t="shared" si="12"/>
        <v>3</v>
      </c>
      <c r="E120">
        <f t="shared" si="13"/>
        <v>11</v>
      </c>
      <c r="F120">
        <f>3*DesarrolloPartidos[[#This Row],[Partidos_3]]</f>
        <v>6</v>
      </c>
      <c r="G120">
        <f>IF(DesarrolloPartidos[[#This Row],[Partidos_3]]=0,0,ROUNDUP(DesarrolloPartidos[[#This Row],[Orden]]/DesarrolloPartidos[[#This Row],[JugEnPart3]]*DesarrolloPartidos[[#This Row],[Partidos_3]],0))</f>
        <v>4</v>
      </c>
      <c r="H120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120" t="str">
        <f>IF(AND(DesarrolloPartidos[[#This Row],[PartidosSolo3]]&lt;=DesarrolloPartidos[[#This Row],[Partidos_3]],DesarrolloPartidos[[#This Row],[PartidosSolo3]]&lt;&gt;0),DesarrolloPartidos[[#This Row],[PartidosSolo3]],"")</f>
        <v/>
      </c>
      <c r="J120">
        <f>+IF(DesarrolloPartidos[[#This Row],[Partidos3]]="",DesarrolloPartidos[[#This Row],[Partidos4]],DesarrolloPartidos[[#This Row],[Partidos3]])</f>
        <v>4</v>
      </c>
      <c r="K120" t="str">
        <f>+DesarrolloPartidos[[#This Row],[Jugadores]]&amp;":"&amp;DesarrolloPartidos[[#This Row],[Orden]]</f>
        <v>18:11</v>
      </c>
    </row>
    <row r="121" spans="1:11">
      <c r="A121">
        <f t="shared" si="10"/>
        <v>18</v>
      </c>
      <c r="B121">
        <f t="shared" si="9"/>
        <v>5</v>
      </c>
      <c r="C121">
        <f t="shared" si="11"/>
        <v>2</v>
      </c>
      <c r="D121">
        <f t="shared" si="12"/>
        <v>3</v>
      </c>
      <c r="E121">
        <f t="shared" si="13"/>
        <v>12</v>
      </c>
      <c r="F121">
        <f>3*DesarrolloPartidos[[#This Row],[Partidos_3]]</f>
        <v>6</v>
      </c>
      <c r="G121">
        <f>IF(DesarrolloPartidos[[#This Row],[Partidos_3]]=0,0,ROUNDUP(DesarrolloPartidos[[#This Row],[Orden]]/DesarrolloPartidos[[#This Row],[JugEnPart3]]*DesarrolloPartidos[[#This Row],[Partidos_3]],0))</f>
        <v>4</v>
      </c>
      <c r="H121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121" t="str">
        <f>IF(AND(DesarrolloPartidos[[#This Row],[PartidosSolo3]]&lt;=DesarrolloPartidos[[#This Row],[Partidos_3]],DesarrolloPartidos[[#This Row],[PartidosSolo3]]&lt;&gt;0),DesarrolloPartidos[[#This Row],[PartidosSolo3]],"")</f>
        <v/>
      </c>
      <c r="J121">
        <f>+IF(DesarrolloPartidos[[#This Row],[Partidos3]]="",DesarrolloPartidos[[#This Row],[Partidos4]],DesarrolloPartidos[[#This Row],[Partidos3]])</f>
        <v>4</v>
      </c>
      <c r="K121" t="str">
        <f>+DesarrolloPartidos[[#This Row],[Jugadores]]&amp;":"&amp;DesarrolloPartidos[[#This Row],[Orden]]</f>
        <v>18:12</v>
      </c>
    </row>
    <row r="122" spans="1:11">
      <c r="A122">
        <f t="shared" si="10"/>
        <v>18</v>
      </c>
      <c r="B122">
        <f t="shared" si="9"/>
        <v>5</v>
      </c>
      <c r="C122">
        <f t="shared" si="11"/>
        <v>2</v>
      </c>
      <c r="D122">
        <f t="shared" si="12"/>
        <v>3</v>
      </c>
      <c r="E122">
        <f t="shared" si="13"/>
        <v>13</v>
      </c>
      <c r="F122">
        <f>3*DesarrolloPartidos[[#This Row],[Partidos_3]]</f>
        <v>6</v>
      </c>
      <c r="G122">
        <f>IF(DesarrolloPartidos[[#This Row],[Partidos_3]]=0,0,ROUNDUP(DesarrolloPartidos[[#This Row],[Orden]]/DesarrolloPartidos[[#This Row],[JugEnPart3]]*DesarrolloPartidos[[#This Row],[Partidos_3]],0))</f>
        <v>5</v>
      </c>
      <c r="H122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122" t="str">
        <f>IF(AND(DesarrolloPartidos[[#This Row],[PartidosSolo3]]&lt;=DesarrolloPartidos[[#This Row],[Partidos_3]],DesarrolloPartidos[[#This Row],[PartidosSolo3]]&lt;&gt;0),DesarrolloPartidos[[#This Row],[PartidosSolo3]],"")</f>
        <v/>
      </c>
      <c r="J122">
        <f>+IF(DesarrolloPartidos[[#This Row],[Partidos3]]="",DesarrolloPartidos[[#This Row],[Partidos4]],DesarrolloPartidos[[#This Row],[Partidos3]])</f>
        <v>4</v>
      </c>
      <c r="K122" t="str">
        <f>+DesarrolloPartidos[[#This Row],[Jugadores]]&amp;":"&amp;DesarrolloPartidos[[#This Row],[Orden]]</f>
        <v>18:13</v>
      </c>
    </row>
    <row r="123" spans="1:11">
      <c r="A123">
        <f t="shared" si="10"/>
        <v>18</v>
      </c>
      <c r="B123">
        <f t="shared" si="9"/>
        <v>5</v>
      </c>
      <c r="C123">
        <f t="shared" si="11"/>
        <v>2</v>
      </c>
      <c r="D123">
        <f t="shared" si="12"/>
        <v>3</v>
      </c>
      <c r="E123">
        <f t="shared" si="13"/>
        <v>14</v>
      </c>
      <c r="F123">
        <f>3*DesarrolloPartidos[[#This Row],[Partidos_3]]</f>
        <v>6</v>
      </c>
      <c r="G123">
        <f>IF(DesarrolloPartidos[[#This Row],[Partidos_3]]=0,0,ROUNDUP(DesarrolloPartidos[[#This Row],[Orden]]/DesarrolloPartidos[[#This Row],[JugEnPart3]]*DesarrolloPartidos[[#This Row],[Partidos_3]],0))</f>
        <v>5</v>
      </c>
      <c r="H123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123" t="str">
        <f>IF(AND(DesarrolloPartidos[[#This Row],[PartidosSolo3]]&lt;=DesarrolloPartidos[[#This Row],[Partidos_3]],DesarrolloPartidos[[#This Row],[PartidosSolo3]]&lt;&gt;0),DesarrolloPartidos[[#This Row],[PartidosSolo3]],"")</f>
        <v/>
      </c>
      <c r="J123">
        <f>+IF(DesarrolloPartidos[[#This Row],[Partidos3]]="",DesarrolloPartidos[[#This Row],[Partidos4]],DesarrolloPartidos[[#This Row],[Partidos3]])</f>
        <v>4</v>
      </c>
      <c r="K123" t="str">
        <f>+DesarrolloPartidos[[#This Row],[Jugadores]]&amp;":"&amp;DesarrolloPartidos[[#This Row],[Orden]]</f>
        <v>18:14</v>
      </c>
    </row>
    <row r="124" spans="1:11">
      <c r="A124">
        <f t="shared" si="10"/>
        <v>18</v>
      </c>
      <c r="B124">
        <f t="shared" si="9"/>
        <v>5</v>
      </c>
      <c r="C124">
        <f t="shared" si="11"/>
        <v>2</v>
      </c>
      <c r="D124">
        <f t="shared" si="12"/>
        <v>3</v>
      </c>
      <c r="E124">
        <f t="shared" si="13"/>
        <v>15</v>
      </c>
      <c r="F124">
        <f>3*DesarrolloPartidos[[#This Row],[Partidos_3]]</f>
        <v>6</v>
      </c>
      <c r="G124">
        <f>IF(DesarrolloPartidos[[#This Row],[Partidos_3]]=0,0,ROUNDUP(DesarrolloPartidos[[#This Row],[Orden]]/DesarrolloPartidos[[#This Row],[JugEnPart3]]*DesarrolloPartidos[[#This Row],[Partidos_3]],0))</f>
        <v>5</v>
      </c>
      <c r="H124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5</v>
      </c>
      <c r="I124" t="str">
        <f>IF(AND(DesarrolloPartidos[[#This Row],[PartidosSolo3]]&lt;=DesarrolloPartidos[[#This Row],[Partidos_3]],DesarrolloPartidos[[#This Row],[PartidosSolo3]]&lt;&gt;0),DesarrolloPartidos[[#This Row],[PartidosSolo3]],"")</f>
        <v/>
      </c>
      <c r="J124">
        <f>+IF(DesarrolloPartidos[[#This Row],[Partidos3]]="",DesarrolloPartidos[[#This Row],[Partidos4]],DesarrolloPartidos[[#This Row],[Partidos3]])</f>
        <v>5</v>
      </c>
      <c r="K124" t="str">
        <f>+DesarrolloPartidos[[#This Row],[Jugadores]]&amp;":"&amp;DesarrolloPartidos[[#This Row],[Orden]]</f>
        <v>18:15</v>
      </c>
    </row>
    <row r="125" spans="1:11">
      <c r="A125">
        <f t="shared" si="10"/>
        <v>18</v>
      </c>
      <c r="B125">
        <f t="shared" si="9"/>
        <v>5</v>
      </c>
      <c r="C125">
        <f t="shared" si="11"/>
        <v>2</v>
      </c>
      <c r="D125">
        <f t="shared" si="12"/>
        <v>3</v>
      </c>
      <c r="E125">
        <f t="shared" si="13"/>
        <v>16</v>
      </c>
      <c r="F125">
        <f>3*DesarrolloPartidos[[#This Row],[Partidos_3]]</f>
        <v>6</v>
      </c>
      <c r="G125">
        <f>IF(DesarrolloPartidos[[#This Row],[Partidos_3]]=0,0,ROUNDUP(DesarrolloPartidos[[#This Row],[Orden]]/DesarrolloPartidos[[#This Row],[JugEnPart3]]*DesarrolloPartidos[[#This Row],[Partidos_3]],0))</f>
        <v>6</v>
      </c>
      <c r="H125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5</v>
      </c>
      <c r="I125" t="str">
        <f>IF(AND(DesarrolloPartidos[[#This Row],[PartidosSolo3]]&lt;=DesarrolloPartidos[[#This Row],[Partidos_3]],DesarrolloPartidos[[#This Row],[PartidosSolo3]]&lt;&gt;0),DesarrolloPartidos[[#This Row],[PartidosSolo3]],"")</f>
        <v/>
      </c>
      <c r="J125">
        <f>+IF(DesarrolloPartidos[[#This Row],[Partidos3]]="",DesarrolloPartidos[[#This Row],[Partidos4]],DesarrolloPartidos[[#This Row],[Partidos3]])</f>
        <v>5</v>
      </c>
      <c r="K125" t="str">
        <f>+DesarrolloPartidos[[#This Row],[Jugadores]]&amp;":"&amp;DesarrolloPartidos[[#This Row],[Orden]]</f>
        <v>18:16</v>
      </c>
    </row>
    <row r="126" spans="1:11">
      <c r="A126">
        <f t="shared" si="10"/>
        <v>18</v>
      </c>
      <c r="B126">
        <f t="shared" si="9"/>
        <v>5</v>
      </c>
      <c r="C126">
        <f t="shared" si="11"/>
        <v>2</v>
      </c>
      <c r="D126">
        <f t="shared" si="12"/>
        <v>3</v>
      </c>
      <c r="E126">
        <f t="shared" si="13"/>
        <v>17</v>
      </c>
      <c r="F126">
        <f>3*DesarrolloPartidos[[#This Row],[Partidos_3]]</f>
        <v>6</v>
      </c>
      <c r="G126">
        <f>IF(DesarrolloPartidos[[#This Row],[Partidos_3]]=0,0,ROUNDUP(DesarrolloPartidos[[#This Row],[Orden]]/DesarrolloPartidos[[#This Row],[JugEnPart3]]*DesarrolloPartidos[[#This Row],[Partidos_3]],0))</f>
        <v>6</v>
      </c>
      <c r="H126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5</v>
      </c>
      <c r="I126" t="str">
        <f>IF(AND(DesarrolloPartidos[[#This Row],[PartidosSolo3]]&lt;=DesarrolloPartidos[[#This Row],[Partidos_3]],DesarrolloPartidos[[#This Row],[PartidosSolo3]]&lt;&gt;0),DesarrolloPartidos[[#This Row],[PartidosSolo3]],"")</f>
        <v/>
      </c>
      <c r="J126">
        <f>+IF(DesarrolloPartidos[[#This Row],[Partidos3]]="",DesarrolloPartidos[[#This Row],[Partidos4]],DesarrolloPartidos[[#This Row],[Partidos3]])</f>
        <v>5</v>
      </c>
      <c r="K126" t="str">
        <f>+DesarrolloPartidos[[#This Row],[Jugadores]]&amp;":"&amp;DesarrolloPartidos[[#This Row],[Orden]]</f>
        <v>18:17</v>
      </c>
    </row>
    <row r="127" spans="1:11">
      <c r="A127">
        <f t="shared" si="10"/>
        <v>18</v>
      </c>
      <c r="B127">
        <f t="shared" si="9"/>
        <v>5</v>
      </c>
      <c r="C127">
        <f t="shared" si="11"/>
        <v>2</v>
      </c>
      <c r="D127">
        <f t="shared" si="12"/>
        <v>3</v>
      </c>
      <c r="E127">
        <f t="shared" si="13"/>
        <v>18</v>
      </c>
      <c r="F127">
        <f>3*DesarrolloPartidos[[#This Row],[Partidos_3]]</f>
        <v>6</v>
      </c>
      <c r="G127">
        <f>IF(DesarrolloPartidos[[#This Row],[Partidos_3]]=0,0,ROUNDUP(DesarrolloPartidos[[#This Row],[Orden]]/DesarrolloPartidos[[#This Row],[JugEnPart3]]*DesarrolloPartidos[[#This Row],[Partidos_3]],0))</f>
        <v>6</v>
      </c>
      <c r="H127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5</v>
      </c>
      <c r="I127" t="str">
        <f>IF(AND(DesarrolloPartidos[[#This Row],[PartidosSolo3]]&lt;=DesarrolloPartidos[[#This Row],[Partidos_3]],DesarrolloPartidos[[#This Row],[PartidosSolo3]]&lt;&gt;0),DesarrolloPartidos[[#This Row],[PartidosSolo3]],"")</f>
        <v/>
      </c>
      <c r="J127">
        <f>+IF(DesarrolloPartidos[[#This Row],[Partidos3]]="",DesarrolloPartidos[[#This Row],[Partidos4]],DesarrolloPartidos[[#This Row],[Partidos3]])</f>
        <v>5</v>
      </c>
      <c r="K127" t="str">
        <f>+DesarrolloPartidos[[#This Row],[Jugadores]]&amp;":"&amp;DesarrolloPartidos[[#This Row],[Orden]]</f>
        <v>18:18</v>
      </c>
    </row>
    <row r="128" spans="1:11">
      <c r="A128">
        <f t="shared" si="10"/>
        <v>19</v>
      </c>
      <c r="B128">
        <f t="shared" si="9"/>
        <v>5</v>
      </c>
      <c r="C128">
        <f t="shared" si="11"/>
        <v>1</v>
      </c>
      <c r="D128">
        <f t="shared" si="12"/>
        <v>4</v>
      </c>
      <c r="E128">
        <f t="shared" si="13"/>
        <v>1</v>
      </c>
      <c r="F128">
        <f>3*DesarrolloPartidos[[#This Row],[Partidos_3]]</f>
        <v>3</v>
      </c>
      <c r="G128">
        <f>IF(DesarrolloPartidos[[#This Row],[Partidos_3]]=0,0,ROUNDUP(DesarrolloPartidos[[#This Row],[Orden]]/DesarrolloPartidos[[#This Row],[JugEnPart3]]*DesarrolloPartidos[[#This Row],[Partidos_3]],0))</f>
        <v>1</v>
      </c>
      <c r="H128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128">
        <f>IF(AND(DesarrolloPartidos[[#This Row],[PartidosSolo3]]&lt;=DesarrolloPartidos[[#This Row],[Partidos_3]],DesarrolloPartidos[[#This Row],[PartidosSolo3]]&lt;&gt;0),DesarrolloPartidos[[#This Row],[PartidosSolo3]],"")</f>
        <v>1</v>
      </c>
      <c r="J128">
        <f>+IF(DesarrolloPartidos[[#This Row],[Partidos3]]="",DesarrolloPartidos[[#This Row],[Partidos4]],DesarrolloPartidos[[#This Row],[Partidos3]])</f>
        <v>1</v>
      </c>
      <c r="K128" t="str">
        <f>+DesarrolloPartidos[[#This Row],[Jugadores]]&amp;":"&amp;DesarrolloPartidos[[#This Row],[Orden]]</f>
        <v>19:1</v>
      </c>
    </row>
    <row r="129" spans="1:11">
      <c r="A129">
        <f t="shared" si="10"/>
        <v>19</v>
      </c>
      <c r="B129">
        <f t="shared" si="9"/>
        <v>5</v>
      </c>
      <c r="C129">
        <f t="shared" si="11"/>
        <v>1</v>
      </c>
      <c r="D129">
        <f t="shared" si="12"/>
        <v>4</v>
      </c>
      <c r="E129">
        <f t="shared" si="13"/>
        <v>2</v>
      </c>
      <c r="F129">
        <f>3*DesarrolloPartidos[[#This Row],[Partidos_3]]</f>
        <v>3</v>
      </c>
      <c r="G129">
        <f>IF(DesarrolloPartidos[[#This Row],[Partidos_3]]=0,0,ROUNDUP(DesarrolloPartidos[[#This Row],[Orden]]/DesarrolloPartidos[[#This Row],[JugEnPart3]]*DesarrolloPartidos[[#This Row],[Partidos_3]],0))</f>
        <v>1</v>
      </c>
      <c r="H129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129">
        <f>IF(AND(DesarrolloPartidos[[#This Row],[PartidosSolo3]]&lt;=DesarrolloPartidos[[#This Row],[Partidos_3]],DesarrolloPartidos[[#This Row],[PartidosSolo3]]&lt;&gt;0),DesarrolloPartidos[[#This Row],[PartidosSolo3]],"")</f>
        <v>1</v>
      </c>
      <c r="J129">
        <f>+IF(DesarrolloPartidos[[#This Row],[Partidos3]]="",DesarrolloPartidos[[#This Row],[Partidos4]],DesarrolloPartidos[[#This Row],[Partidos3]])</f>
        <v>1</v>
      </c>
      <c r="K129" t="str">
        <f>+DesarrolloPartidos[[#This Row],[Jugadores]]&amp;":"&amp;DesarrolloPartidos[[#This Row],[Orden]]</f>
        <v>19:2</v>
      </c>
    </row>
    <row r="130" spans="1:11">
      <c r="A130">
        <f t="shared" si="10"/>
        <v>19</v>
      </c>
      <c r="B130">
        <f t="shared" si="9"/>
        <v>5</v>
      </c>
      <c r="C130">
        <f t="shared" si="11"/>
        <v>1</v>
      </c>
      <c r="D130">
        <f t="shared" si="12"/>
        <v>4</v>
      </c>
      <c r="E130">
        <f t="shared" si="13"/>
        <v>3</v>
      </c>
      <c r="F130">
        <f>3*DesarrolloPartidos[[#This Row],[Partidos_3]]</f>
        <v>3</v>
      </c>
      <c r="G130">
        <f>IF(DesarrolloPartidos[[#This Row],[Partidos_3]]=0,0,ROUNDUP(DesarrolloPartidos[[#This Row],[Orden]]/DesarrolloPartidos[[#This Row],[JugEnPart3]]*DesarrolloPartidos[[#This Row],[Partidos_3]],0))</f>
        <v>1</v>
      </c>
      <c r="H130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130">
        <f>IF(AND(DesarrolloPartidos[[#This Row],[PartidosSolo3]]&lt;=DesarrolloPartidos[[#This Row],[Partidos_3]],DesarrolloPartidos[[#This Row],[PartidosSolo3]]&lt;&gt;0),DesarrolloPartidos[[#This Row],[PartidosSolo3]],"")</f>
        <v>1</v>
      </c>
      <c r="J130">
        <f>+IF(DesarrolloPartidos[[#This Row],[Partidos3]]="",DesarrolloPartidos[[#This Row],[Partidos4]],DesarrolloPartidos[[#This Row],[Partidos3]])</f>
        <v>1</v>
      </c>
      <c r="K130" t="str">
        <f>+DesarrolloPartidos[[#This Row],[Jugadores]]&amp;":"&amp;DesarrolloPartidos[[#This Row],[Orden]]</f>
        <v>19:3</v>
      </c>
    </row>
    <row r="131" spans="1:11">
      <c r="A131">
        <f t="shared" si="10"/>
        <v>19</v>
      </c>
      <c r="B131">
        <f t="shared" ref="B131:B194" si="14">+ROUNDUP(A131/4,0)</f>
        <v>5</v>
      </c>
      <c r="C131">
        <f t="shared" si="11"/>
        <v>1</v>
      </c>
      <c r="D131">
        <f t="shared" si="12"/>
        <v>4</v>
      </c>
      <c r="E131">
        <f t="shared" si="13"/>
        <v>4</v>
      </c>
      <c r="F131">
        <f>3*DesarrolloPartidos[[#This Row],[Partidos_3]]</f>
        <v>3</v>
      </c>
      <c r="G131">
        <f>IF(DesarrolloPartidos[[#This Row],[Partidos_3]]=0,0,ROUNDUP(DesarrolloPartidos[[#This Row],[Orden]]/DesarrolloPartidos[[#This Row],[JugEnPart3]]*DesarrolloPartidos[[#This Row],[Partidos_3]],0))</f>
        <v>2</v>
      </c>
      <c r="H131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2</v>
      </c>
      <c r="I131" t="str">
        <f>IF(AND(DesarrolloPartidos[[#This Row],[PartidosSolo3]]&lt;=DesarrolloPartidos[[#This Row],[Partidos_3]],DesarrolloPartidos[[#This Row],[PartidosSolo3]]&lt;&gt;0),DesarrolloPartidos[[#This Row],[PartidosSolo3]],"")</f>
        <v/>
      </c>
      <c r="J131">
        <f>+IF(DesarrolloPartidos[[#This Row],[Partidos3]]="",DesarrolloPartidos[[#This Row],[Partidos4]],DesarrolloPartidos[[#This Row],[Partidos3]])</f>
        <v>2</v>
      </c>
      <c r="K131" t="str">
        <f>+DesarrolloPartidos[[#This Row],[Jugadores]]&amp;":"&amp;DesarrolloPartidos[[#This Row],[Orden]]</f>
        <v>19:4</v>
      </c>
    </row>
    <row r="132" spans="1:11">
      <c r="A132">
        <f t="shared" ref="A132:A195" si="15">+IF(ROW(A131)=1,10,IF(A131=E131,A131+1,A131))</f>
        <v>19</v>
      </c>
      <c r="B132">
        <f t="shared" si="14"/>
        <v>5</v>
      </c>
      <c r="C132">
        <f t="shared" ref="C132:C195" si="16">+(B132-A132/4)/0.25</f>
        <v>1</v>
      </c>
      <c r="D132">
        <f t="shared" ref="D132:D195" si="17">+B132-C132</f>
        <v>4</v>
      </c>
      <c r="E132">
        <f t="shared" ref="E132:E195" si="18">+IF(ROW(E131)=1,1,IF(E131=A131,1,E131+1))</f>
        <v>5</v>
      </c>
      <c r="F132">
        <f>3*DesarrolloPartidos[[#This Row],[Partidos_3]]</f>
        <v>3</v>
      </c>
      <c r="G132">
        <f>IF(DesarrolloPartidos[[#This Row],[Partidos_3]]=0,0,ROUNDUP(DesarrolloPartidos[[#This Row],[Orden]]/DesarrolloPartidos[[#This Row],[JugEnPart3]]*DesarrolloPartidos[[#This Row],[Partidos_3]],0))</f>
        <v>2</v>
      </c>
      <c r="H132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2</v>
      </c>
      <c r="I132" t="str">
        <f>IF(AND(DesarrolloPartidos[[#This Row],[PartidosSolo3]]&lt;=DesarrolloPartidos[[#This Row],[Partidos_3]],DesarrolloPartidos[[#This Row],[PartidosSolo3]]&lt;&gt;0),DesarrolloPartidos[[#This Row],[PartidosSolo3]],"")</f>
        <v/>
      </c>
      <c r="J132">
        <f>+IF(DesarrolloPartidos[[#This Row],[Partidos3]]="",DesarrolloPartidos[[#This Row],[Partidos4]],DesarrolloPartidos[[#This Row],[Partidos3]])</f>
        <v>2</v>
      </c>
      <c r="K132" t="str">
        <f>+DesarrolloPartidos[[#This Row],[Jugadores]]&amp;":"&amp;DesarrolloPartidos[[#This Row],[Orden]]</f>
        <v>19:5</v>
      </c>
    </row>
    <row r="133" spans="1:11">
      <c r="A133">
        <f t="shared" si="15"/>
        <v>19</v>
      </c>
      <c r="B133">
        <f t="shared" si="14"/>
        <v>5</v>
      </c>
      <c r="C133">
        <f t="shared" si="16"/>
        <v>1</v>
      </c>
      <c r="D133">
        <f t="shared" si="17"/>
        <v>4</v>
      </c>
      <c r="E133">
        <f t="shared" si="18"/>
        <v>6</v>
      </c>
      <c r="F133">
        <f>3*DesarrolloPartidos[[#This Row],[Partidos_3]]</f>
        <v>3</v>
      </c>
      <c r="G133">
        <f>IF(DesarrolloPartidos[[#This Row],[Partidos_3]]=0,0,ROUNDUP(DesarrolloPartidos[[#This Row],[Orden]]/DesarrolloPartidos[[#This Row],[JugEnPart3]]*DesarrolloPartidos[[#This Row],[Partidos_3]],0))</f>
        <v>2</v>
      </c>
      <c r="H133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2</v>
      </c>
      <c r="I133" t="str">
        <f>IF(AND(DesarrolloPartidos[[#This Row],[PartidosSolo3]]&lt;=DesarrolloPartidos[[#This Row],[Partidos_3]],DesarrolloPartidos[[#This Row],[PartidosSolo3]]&lt;&gt;0),DesarrolloPartidos[[#This Row],[PartidosSolo3]],"")</f>
        <v/>
      </c>
      <c r="J133">
        <f>+IF(DesarrolloPartidos[[#This Row],[Partidos3]]="",DesarrolloPartidos[[#This Row],[Partidos4]],DesarrolloPartidos[[#This Row],[Partidos3]])</f>
        <v>2</v>
      </c>
      <c r="K133" t="str">
        <f>+DesarrolloPartidos[[#This Row],[Jugadores]]&amp;":"&amp;DesarrolloPartidos[[#This Row],[Orden]]</f>
        <v>19:6</v>
      </c>
    </row>
    <row r="134" spans="1:11">
      <c r="A134">
        <f t="shared" si="15"/>
        <v>19</v>
      </c>
      <c r="B134">
        <f t="shared" si="14"/>
        <v>5</v>
      </c>
      <c r="C134">
        <f t="shared" si="16"/>
        <v>1</v>
      </c>
      <c r="D134">
        <f t="shared" si="17"/>
        <v>4</v>
      </c>
      <c r="E134">
        <f t="shared" si="18"/>
        <v>7</v>
      </c>
      <c r="F134">
        <f>3*DesarrolloPartidos[[#This Row],[Partidos_3]]</f>
        <v>3</v>
      </c>
      <c r="G134">
        <f>IF(DesarrolloPartidos[[#This Row],[Partidos_3]]=0,0,ROUNDUP(DesarrolloPartidos[[#This Row],[Orden]]/DesarrolloPartidos[[#This Row],[JugEnPart3]]*DesarrolloPartidos[[#This Row],[Partidos_3]],0))</f>
        <v>3</v>
      </c>
      <c r="H134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2</v>
      </c>
      <c r="I134" t="str">
        <f>IF(AND(DesarrolloPartidos[[#This Row],[PartidosSolo3]]&lt;=DesarrolloPartidos[[#This Row],[Partidos_3]],DesarrolloPartidos[[#This Row],[PartidosSolo3]]&lt;&gt;0),DesarrolloPartidos[[#This Row],[PartidosSolo3]],"")</f>
        <v/>
      </c>
      <c r="J134">
        <f>+IF(DesarrolloPartidos[[#This Row],[Partidos3]]="",DesarrolloPartidos[[#This Row],[Partidos4]],DesarrolloPartidos[[#This Row],[Partidos3]])</f>
        <v>2</v>
      </c>
      <c r="K134" t="str">
        <f>+DesarrolloPartidos[[#This Row],[Jugadores]]&amp;":"&amp;DesarrolloPartidos[[#This Row],[Orden]]</f>
        <v>19:7</v>
      </c>
    </row>
    <row r="135" spans="1:11">
      <c r="A135">
        <f t="shared" si="15"/>
        <v>19</v>
      </c>
      <c r="B135">
        <f t="shared" si="14"/>
        <v>5</v>
      </c>
      <c r="C135">
        <f t="shared" si="16"/>
        <v>1</v>
      </c>
      <c r="D135">
        <f t="shared" si="17"/>
        <v>4</v>
      </c>
      <c r="E135">
        <f t="shared" si="18"/>
        <v>8</v>
      </c>
      <c r="F135">
        <f>3*DesarrolloPartidos[[#This Row],[Partidos_3]]</f>
        <v>3</v>
      </c>
      <c r="G135">
        <f>IF(DesarrolloPartidos[[#This Row],[Partidos_3]]=0,0,ROUNDUP(DesarrolloPartidos[[#This Row],[Orden]]/DesarrolloPartidos[[#This Row],[JugEnPart3]]*DesarrolloPartidos[[#This Row],[Partidos_3]],0))</f>
        <v>3</v>
      </c>
      <c r="H135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3</v>
      </c>
      <c r="I135" t="str">
        <f>IF(AND(DesarrolloPartidos[[#This Row],[PartidosSolo3]]&lt;=DesarrolloPartidos[[#This Row],[Partidos_3]],DesarrolloPartidos[[#This Row],[PartidosSolo3]]&lt;&gt;0),DesarrolloPartidos[[#This Row],[PartidosSolo3]],"")</f>
        <v/>
      </c>
      <c r="J135">
        <f>+IF(DesarrolloPartidos[[#This Row],[Partidos3]]="",DesarrolloPartidos[[#This Row],[Partidos4]],DesarrolloPartidos[[#This Row],[Partidos3]])</f>
        <v>3</v>
      </c>
      <c r="K135" t="str">
        <f>+DesarrolloPartidos[[#This Row],[Jugadores]]&amp;":"&amp;DesarrolloPartidos[[#This Row],[Orden]]</f>
        <v>19:8</v>
      </c>
    </row>
    <row r="136" spans="1:11">
      <c r="A136">
        <f t="shared" si="15"/>
        <v>19</v>
      </c>
      <c r="B136">
        <f t="shared" si="14"/>
        <v>5</v>
      </c>
      <c r="C136">
        <f t="shared" si="16"/>
        <v>1</v>
      </c>
      <c r="D136">
        <f t="shared" si="17"/>
        <v>4</v>
      </c>
      <c r="E136">
        <f t="shared" si="18"/>
        <v>9</v>
      </c>
      <c r="F136">
        <f>3*DesarrolloPartidos[[#This Row],[Partidos_3]]</f>
        <v>3</v>
      </c>
      <c r="G136">
        <f>IF(DesarrolloPartidos[[#This Row],[Partidos_3]]=0,0,ROUNDUP(DesarrolloPartidos[[#This Row],[Orden]]/DesarrolloPartidos[[#This Row],[JugEnPart3]]*DesarrolloPartidos[[#This Row],[Partidos_3]],0))</f>
        <v>3</v>
      </c>
      <c r="H136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3</v>
      </c>
      <c r="I136" t="str">
        <f>IF(AND(DesarrolloPartidos[[#This Row],[PartidosSolo3]]&lt;=DesarrolloPartidos[[#This Row],[Partidos_3]],DesarrolloPartidos[[#This Row],[PartidosSolo3]]&lt;&gt;0),DesarrolloPartidos[[#This Row],[PartidosSolo3]],"")</f>
        <v/>
      </c>
      <c r="J136">
        <f>+IF(DesarrolloPartidos[[#This Row],[Partidos3]]="",DesarrolloPartidos[[#This Row],[Partidos4]],DesarrolloPartidos[[#This Row],[Partidos3]])</f>
        <v>3</v>
      </c>
      <c r="K136" t="str">
        <f>+DesarrolloPartidos[[#This Row],[Jugadores]]&amp;":"&amp;DesarrolloPartidos[[#This Row],[Orden]]</f>
        <v>19:9</v>
      </c>
    </row>
    <row r="137" spans="1:11">
      <c r="A137">
        <f t="shared" si="15"/>
        <v>19</v>
      </c>
      <c r="B137">
        <f t="shared" si="14"/>
        <v>5</v>
      </c>
      <c r="C137">
        <f t="shared" si="16"/>
        <v>1</v>
      </c>
      <c r="D137">
        <f t="shared" si="17"/>
        <v>4</v>
      </c>
      <c r="E137">
        <f t="shared" si="18"/>
        <v>10</v>
      </c>
      <c r="F137">
        <f>3*DesarrolloPartidos[[#This Row],[Partidos_3]]</f>
        <v>3</v>
      </c>
      <c r="G137">
        <f>IF(DesarrolloPartidos[[#This Row],[Partidos_3]]=0,0,ROUNDUP(DesarrolloPartidos[[#This Row],[Orden]]/DesarrolloPartidos[[#This Row],[JugEnPart3]]*DesarrolloPartidos[[#This Row],[Partidos_3]],0))</f>
        <v>4</v>
      </c>
      <c r="H137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3</v>
      </c>
      <c r="I137" t="str">
        <f>IF(AND(DesarrolloPartidos[[#This Row],[PartidosSolo3]]&lt;=DesarrolloPartidos[[#This Row],[Partidos_3]],DesarrolloPartidos[[#This Row],[PartidosSolo3]]&lt;&gt;0),DesarrolloPartidos[[#This Row],[PartidosSolo3]],"")</f>
        <v/>
      </c>
      <c r="J137">
        <f>+IF(DesarrolloPartidos[[#This Row],[Partidos3]]="",DesarrolloPartidos[[#This Row],[Partidos4]],DesarrolloPartidos[[#This Row],[Partidos3]])</f>
        <v>3</v>
      </c>
      <c r="K137" t="str">
        <f>+DesarrolloPartidos[[#This Row],[Jugadores]]&amp;":"&amp;DesarrolloPartidos[[#This Row],[Orden]]</f>
        <v>19:10</v>
      </c>
    </row>
    <row r="138" spans="1:11">
      <c r="A138">
        <f t="shared" si="15"/>
        <v>19</v>
      </c>
      <c r="B138">
        <f t="shared" si="14"/>
        <v>5</v>
      </c>
      <c r="C138">
        <f t="shared" si="16"/>
        <v>1</v>
      </c>
      <c r="D138">
        <f t="shared" si="17"/>
        <v>4</v>
      </c>
      <c r="E138">
        <f t="shared" si="18"/>
        <v>11</v>
      </c>
      <c r="F138">
        <f>3*DesarrolloPartidos[[#This Row],[Partidos_3]]</f>
        <v>3</v>
      </c>
      <c r="G138">
        <f>IF(DesarrolloPartidos[[#This Row],[Partidos_3]]=0,0,ROUNDUP(DesarrolloPartidos[[#This Row],[Orden]]/DesarrolloPartidos[[#This Row],[JugEnPart3]]*DesarrolloPartidos[[#This Row],[Partidos_3]],0))</f>
        <v>4</v>
      </c>
      <c r="H138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3</v>
      </c>
      <c r="I138" t="str">
        <f>IF(AND(DesarrolloPartidos[[#This Row],[PartidosSolo3]]&lt;=DesarrolloPartidos[[#This Row],[Partidos_3]],DesarrolloPartidos[[#This Row],[PartidosSolo3]]&lt;&gt;0),DesarrolloPartidos[[#This Row],[PartidosSolo3]],"")</f>
        <v/>
      </c>
      <c r="J138">
        <f>+IF(DesarrolloPartidos[[#This Row],[Partidos3]]="",DesarrolloPartidos[[#This Row],[Partidos4]],DesarrolloPartidos[[#This Row],[Partidos3]])</f>
        <v>3</v>
      </c>
      <c r="K138" t="str">
        <f>+DesarrolloPartidos[[#This Row],[Jugadores]]&amp;":"&amp;DesarrolloPartidos[[#This Row],[Orden]]</f>
        <v>19:11</v>
      </c>
    </row>
    <row r="139" spans="1:11">
      <c r="A139">
        <f t="shared" si="15"/>
        <v>19</v>
      </c>
      <c r="B139">
        <f t="shared" si="14"/>
        <v>5</v>
      </c>
      <c r="C139">
        <f t="shared" si="16"/>
        <v>1</v>
      </c>
      <c r="D139">
        <f t="shared" si="17"/>
        <v>4</v>
      </c>
      <c r="E139">
        <f t="shared" si="18"/>
        <v>12</v>
      </c>
      <c r="F139">
        <f>3*DesarrolloPartidos[[#This Row],[Partidos_3]]</f>
        <v>3</v>
      </c>
      <c r="G139">
        <f>IF(DesarrolloPartidos[[#This Row],[Partidos_3]]=0,0,ROUNDUP(DesarrolloPartidos[[#This Row],[Orden]]/DesarrolloPartidos[[#This Row],[JugEnPart3]]*DesarrolloPartidos[[#This Row],[Partidos_3]],0))</f>
        <v>4</v>
      </c>
      <c r="H139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139" t="str">
        <f>IF(AND(DesarrolloPartidos[[#This Row],[PartidosSolo3]]&lt;=DesarrolloPartidos[[#This Row],[Partidos_3]],DesarrolloPartidos[[#This Row],[PartidosSolo3]]&lt;&gt;0),DesarrolloPartidos[[#This Row],[PartidosSolo3]],"")</f>
        <v/>
      </c>
      <c r="J139">
        <f>+IF(DesarrolloPartidos[[#This Row],[Partidos3]]="",DesarrolloPartidos[[#This Row],[Partidos4]],DesarrolloPartidos[[#This Row],[Partidos3]])</f>
        <v>4</v>
      </c>
      <c r="K139" t="str">
        <f>+DesarrolloPartidos[[#This Row],[Jugadores]]&amp;":"&amp;DesarrolloPartidos[[#This Row],[Orden]]</f>
        <v>19:12</v>
      </c>
    </row>
    <row r="140" spans="1:11">
      <c r="A140">
        <f t="shared" si="15"/>
        <v>19</v>
      </c>
      <c r="B140">
        <f t="shared" si="14"/>
        <v>5</v>
      </c>
      <c r="C140">
        <f t="shared" si="16"/>
        <v>1</v>
      </c>
      <c r="D140">
        <f t="shared" si="17"/>
        <v>4</v>
      </c>
      <c r="E140">
        <f t="shared" si="18"/>
        <v>13</v>
      </c>
      <c r="F140">
        <f>3*DesarrolloPartidos[[#This Row],[Partidos_3]]</f>
        <v>3</v>
      </c>
      <c r="G140">
        <f>IF(DesarrolloPartidos[[#This Row],[Partidos_3]]=0,0,ROUNDUP(DesarrolloPartidos[[#This Row],[Orden]]/DesarrolloPartidos[[#This Row],[JugEnPart3]]*DesarrolloPartidos[[#This Row],[Partidos_3]],0))</f>
        <v>5</v>
      </c>
      <c r="H140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140" t="str">
        <f>IF(AND(DesarrolloPartidos[[#This Row],[PartidosSolo3]]&lt;=DesarrolloPartidos[[#This Row],[Partidos_3]],DesarrolloPartidos[[#This Row],[PartidosSolo3]]&lt;&gt;0),DesarrolloPartidos[[#This Row],[PartidosSolo3]],"")</f>
        <v/>
      </c>
      <c r="J140">
        <f>+IF(DesarrolloPartidos[[#This Row],[Partidos3]]="",DesarrolloPartidos[[#This Row],[Partidos4]],DesarrolloPartidos[[#This Row],[Partidos3]])</f>
        <v>4</v>
      </c>
      <c r="K140" t="str">
        <f>+DesarrolloPartidos[[#This Row],[Jugadores]]&amp;":"&amp;DesarrolloPartidos[[#This Row],[Orden]]</f>
        <v>19:13</v>
      </c>
    </row>
    <row r="141" spans="1:11">
      <c r="A141">
        <f t="shared" si="15"/>
        <v>19</v>
      </c>
      <c r="B141">
        <f t="shared" si="14"/>
        <v>5</v>
      </c>
      <c r="C141">
        <f t="shared" si="16"/>
        <v>1</v>
      </c>
      <c r="D141">
        <f t="shared" si="17"/>
        <v>4</v>
      </c>
      <c r="E141">
        <f t="shared" si="18"/>
        <v>14</v>
      </c>
      <c r="F141">
        <f>3*DesarrolloPartidos[[#This Row],[Partidos_3]]</f>
        <v>3</v>
      </c>
      <c r="G141">
        <f>IF(DesarrolloPartidos[[#This Row],[Partidos_3]]=0,0,ROUNDUP(DesarrolloPartidos[[#This Row],[Orden]]/DesarrolloPartidos[[#This Row],[JugEnPart3]]*DesarrolloPartidos[[#This Row],[Partidos_3]],0))</f>
        <v>5</v>
      </c>
      <c r="H141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141" t="str">
        <f>IF(AND(DesarrolloPartidos[[#This Row],[PartidosSolo3]]&lt;=DesarrolloPartidos[[#This Row],[Partidos_3]],DesarrolloPartidos[[#This Row],[PartidosSolo3]]&lt;&gt;0),DesarrolloPartidos[[#This Row],[PartidosSolo3]],"")</f>
        <v/>
      </c>
      <c r="J141">
        <f>+IF(DesarrolloPartidos[[#This Row],[Partidos3]]="",DesarrolloPartidos[[#This Row],[Partidos4]],DesarrolloPartidos[[#This Row],[Partidos3]])</f>
        <v>4</v>
      </c>
      <c r="K141" t="str">
        <f>+DesarrolloPartidos[[#This Row],[Jugadores]]&amp;":"&amp;DesarrolloPartidos[[#This Row],[Orden]]</f>
        <v>19:14</v>
      </c>
    </row>
    <row r="142" spans="1:11">
      <c r="A142">
        <f t="shared" si="15"/>
        <v>19</v>
      </c>
      <c r="B142">
        <f t="shared" si="14"/>
        <v>5</v>
      </c>
      <c r="C142">
        <f t="shared" si="16"/>
        <v>1</v>
      </c>
      <c r="D142">
        <f t="shared" si="17"/>
        <v>4</v>
      </c>
      <c r="E142">
        <f t="shared" si="18"/>
        <v>15</v>
      </c>
      <c r="F142">
        <f>3*DesarrolloPartidos[[#This Row],[Partidos_3]]</f>
        <v>3</v>
      </c>
      <c r="G142">
        <f>IF(DesarrolloPartidos[[#This Row],[Partidos_3]]=0,0,ROUNDUP(DesarrolloPartidos[[#This Row],[Orden]]/DesarrolloPartidos[[#This Row],[JugEnPart3]]*DesarrolloPartidos[[#This Row],[Partidos_3]],0))</f>
        <v>5</v>
      </c>
      <c r="H142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142" t="str">
        <f>IF(AND(DesarrolloPartidos[[#This Row],[PartidosSolo3]]&lt;=DesarrolloPartidos[[#This Row],[Partidos_3]],DesarrolloPartidos[[#This Row],[PartidosSolo3]]&lt;&gt;0),DesarrolloPartidos[[#This Row],[PartidosSolo3]],"")</f>
        <v/>
      </c>
      <c r="J142">
        <f>+IF(DesarrolloPartidos[[#This Row],[Partidos3]]="",DesarrolloPartidos[[#This Row],[Partidos4]],DesarrolloPartidos[[#This Row],[Partidos3]])</f>
        <v>4</v>
      </c>
      <c r="K142" t="str">
        <f>+DesarrolloPartidos[[#This Row],[Jugadores]]&amp;":"&amp;DesarrolloPartidos[[#This Row],[Orden]]</f>
        <v>19:15</v>
      </c>
    </row>
    <row r="143" spans="1:11">
      <c r="A143">
        <f t="shared" si="15"/>
        <v>19</v>
      </c>
      <c r="B143">
        <f t="shared" si="14"/>
        <v>5</v>
      </c>
      <c r="C143">
        <f t="shared" si="16"/>
        <v>1</v>
      </c>
      <c r="D143">
        <f t="shared" si="17"/>
        <v>4</v>
      </c>
      <c r="E143">
        <f t="shared" si="18"/>
        <v>16</v>
      </c>
      <c r="F143">
        <f>3*DesarrolloPartidos[[#This Row],[Partidos_3]]</f>
        <v>3</v>
      </c>
      <c r="G143">
        <f>IF(DesarrolloPartidos[[#This Row],[Partidos_3]]=0,0,ROUNDUP(DesarrolloPartidos[[#This Row],[Orden]]/DesarrolloPartidos[[#This Row],[JugEnPart3]]*DesarrolloPartidos[[#This Row],[Partidos_3]],0))</f>
        <v>6</v>
      </c>
      <c r="H143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5</v>
      </c>
      <c r="I143" t="str">
        <f>IF(AND(DesarrolloPartidos[[#This Row],[PartidosSolo3]]&lt;=DesarrolloPartidos[[#This Row],[Partidos_3]],DesarrolloPartidos[[#This Row],[PartidosSolo3]]&lt;&gt;0),DesarrolloPartidos[[#This Row],[PartidosSolo3]],"")</f>
        <v/>
      </c>
      <c r="J143">
        <f>+IF(DesarrolloPartidos[[#This Row],[Partidos3]]="",DesarrolloPartidos[[#This Row],[Partidos4]],DesarrolloPartidos[[#This Row],[Partidos3]])</f>
        <v>5</v>
      </c>
      <c r="K143" t="str">
        <f>+DesarrolloPartidos[[#This Row],[Jugadores]]&amp;":"&amp;DesarrolloPartidos[[#This Row],[Orden]]</f>
        <v>19:16</v>
      </c>
    </row>
    <row r="144" spans="1:11">
      <c r="A144">
        <f t="shared" si="15"/>
        <v>19</v>
      </c>
      <c r="B144">
        <f t="shared" si="14"/>
        <v>5</v>
      </c>
      <c r="C144">
        <f t="shared" si="16"/>
        <v>1</v>
      </c>
      <c r="D144">
        <f t="shared" si="17"/>
        <v>4</v>
      </c>
      <c r="E144">
        <f t="shared" si="18"/>
        <v>17</v>
      </c>
      <c r="F144">
        <f>3*DesarrolloPartidos[[#This Row],[Partidos_3]]</f>
        <v>3</v>
      </c>
      <c r="G144">
        <f>IF(DesarrolloPartidos[[#This Row],[Partidos_3]]=0,0,ROUNDUP(DesarrolloPartidos[[#This Row],[Orden]]/DesarrolloPartidos[[#This Row],[JugEnPart3]]*DesarrolloPartidos[[#This Row],[Partidos_3]],0))</f>
        <v>6</v>
      </c>
      <c r="H144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5</v>
      </c>
      <c r="I144" t="str">
        <f>IF(AND(DesarrolloPartidos[[#This Row],[PartidosSolo3]]&lt;=DesarrolloPartidos[[#This Row],[Partidos_3]],DesarrolloPartidos[[#This Row],[PartidosSolo3]]&lt;&gt;0),DesarrolloPartidos[[#This Row],[PartidosSolo3]],"")</f>
        <v/>
      </c>
      <c r="J144">
        <f>+IF(DesarrolloPartidos[[#This Row],[Partidos3]]="",DesarrolloPartidos[[#This Row],[Partidos4]],DesarrolloPartidos[[#This Row],[Partidos3]])</f>
        <v>5</v>
      </c>
      <c r="K144" t="str">
        <f>+DesarrolloPartidos[[#This Row],[Jugadores]]&amp;":"&amp;DesarrolloPartidos[[#This Row],[Orden]]</f>
        <v>19:17</v>
      </c>
    </row>
    <row r="145" spans="1:11">
      <c r="A145">
        <f t="shared" si="15"/>
        <v>19</v>
      </c>
      <c r="B145">
        <f t="shared" si="14"/>
        <v>5</v>
      </c>
      <c r="C145">
        <f t="shared" si="16"/>
        <v>1</v>
      </c>
      <c r="D145">
        <f t="shared" si="17"/>
        <v>4</v>
      </c>
      <c r="E145">
        <f t="shared" si="18"/>
        <v>18</v>
      </c>
      <c r="F145">
        <f>3*DesarrolloPartidos[[#This Row],[Partidos_3]]</f>
        <v>3</v>
      </c>
      <c r="G145">
        <f>IF(DesarrolloPartidos[[#This Row],[Partidos_3]]=0,0,ROUNDUP(DesarrolloPartidos[[#This Row],[Orden]]/DesarrolloPartidos[[#This Row],[JugEnPart3]]*DesarrolloPartidos[[#This Row],[Partidos_3]],0))</f>
        <v>6</v>
      </c>
      <c r="H145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5</v>
      </c>
      <c r="I145" t="str">
        <f>IF(AND(DesarrolloPartidos[[#This Row],[PartidosSolo3]]&lt;=DesarrolloPartidos[[#This Row],[Partidos_3]],DesarrolloPartidos[[#This Row],[PartidosSolo3]]&lt;&gt;0),DesarrolloPartidos[[#This Row],[PartidosSolo3]],"")</f>
        <v/>
      </c>
      <c r="J145">
        <f>+IF(DesarrolloPartidos[[#This Row],[Partidos3]]="",DesarrolloPartidos[[#This Row],[Partidos4]],DesarrolloPartidos[[#This Row],[Partidos3]])</f>
        <v>5</v>
      </c>
      <c r="K145" t="str">
        <f>+DesarrolloPartidos[[#This Row],[Jugadores]]&amp;":"&amp;DesarrolloPartidos[[#This Row],[Orden]]</f>
        <v>19:18</v>
      </c>
    </row>
    <row r="146" spans="1:11">
      <c r="A146">
        <f t="shared" si="15"/>
        <v>19</v>
      </c>
      <c r="B146">
        <f t="shared" si="14"/>
        <v>5</v>
      </c>
      <c r="C146">
        <f t="shared" si="16"/>
        <v>1</v>
      </c>
      <c r="D146">
        <f t="shared" si="17"/>
        <v>4</v>
      </c>
      <c r="E146">
        <f t="shared" si="18"/>
        <v>19</v>
      </c>
      <c r="F146">
        <f>3*DesarrolloPartidos[[#This Row],[Partidos_3]]</f>
        <v>3</v>
      </c>
      <c r="G146">
        <f>IF(DesarrolloPartidos[[#This Row],[Partidos_3]]=0,0,ROUNDUP(DesarrolloPartidos[[#This Row],[Orden]]/DesarrolloPartidos[[#This Row],[JugEnPart3]]*DesarrolloPartidos[[#This Row],[Partidos_3]],0))</f>
        <v>7</v>
      </c>
      <c r="H146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5</v>
      </c>
      <c r="I146" t="str">
        <f>IF(AND(DesarrolloPartidos[[#This Row],[PartidosSolo3]]&lt;=DesarrolloPartidos[[#This Row],[Partidos_3]],DesarrolloPartidos[[#This Row],[PartidosSolo3]]&lt;&gt;0),DesarrolloPartidos[[#This Row],[PartidosSolo3]],"")</f>
        <v/>
      </c>
      <c r="J146">
        <f>+IF(DesarrolloPartidos[[#This Row],[Partidos3]]="",DesarrolloPartidos[[#This Row],[Partidos4]],DesarrolloPartidos[[#This Row],[Partidos3]])</f>
        <v>5</v>
      </c>
      <c r="K146" t="str">
        <f>+DesarrolloPartidos[[#This Row],[Jugadores]]&amp;":"&amp;DesarrolloPartidos[[#This Row],[Orden]]</f>
        <v>19:19</v>
      </c>
    </row>
    <row r="147" spans="1:11">
      <c r="A147">
        <f t="shared" si="15"/>
        <v>20</v>
      </c>
      <c r="B147">
        <f t="shared" si="14"/>
        <v>5</v>
      </c>
      <c r="C147">
        <f t="shared" si="16"/>
        <v>0</v>
      </c>
      <c r="D147">
        <f t="shared" si="17"/>
        <v>5</v>
      </c>
      <c r="E147">
        <f t="shared" si="18"/>
        <v>1</v>
      </c>
      <c r="F147">
        <f>3*DesarrolloPartidos[[#This Row],[Partidos_3]]</f>
        <v>0</v>
      </c>
      <c r="G147">
        <f>IF(DesarrolloPartidos[[#This Row],[Partidos_3]]=0,0,ROUNDUP(DesarrolloPartidos[[#This Row],[Orden]]/DesarrolloPartidos[[#This Row],[JugEnPart3]]*DesarrolloPartidos[[#This Row],[Partidos_3]],0))</f>
        <v>0</v>
      </c>
      <c r="H147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1</v>
      </c>
      <c r="I147" t="str">
        <f>IF(AND(DesarrolloPartidos[[#This Row],[PartidosSolo3]]&lt;=DesarrolloPartidos[[#This Row],[Partidos_3]],DesarrolloPartidos[[#This Row],[PartidosSolo3]]&lt;&gt;0),DesarrolloPartidos[[#This Row],[PartidosSolo3]],"")</f>
        <v/>
      </c>
      <c r="J147">
        <f>+IF(DesarrolloPartidos[[#This Row],[Partidos3]]="",DesarrolloPartidos[[#This Row],[Partidos4]],DesarrolloPartidos[[#This Row],[Partidos3]])</f>
        <v>1</v>
      </c>
      <c r="K147" t="str">
        <f>+DesarrolloPartidos[[#This Row],[Jugadores]]&amp;":"&amp;DesarrolloPartidos[[#This Row],[Orden]]</f>
        <v>20:1</v>
      </c>
    </row>
    <row r="148" spans="1:11">
      <c r="A148">
        <f t="shared" si="15"/>
        <v>20</v>
      </c>
      <c r="B148">
        <f t="shared" si="14"/>
        <v>5</v>
      </c>
      <c r="C148">
        <f t="shared" si="16"/>
        <v>0</v>
      </c>
      <c r="D148">
        <f t="shared" si="17"/>
        <v>5</v>
      </c>
      <c r="E148">
        <f t="shared" si="18"/>
        <v>2</v>
      </c>
      <c r="F148">
        <f>3*DesarrolloPartidos[[#This Row],[Partidos_3]]</f>
        <v>0</v>
      </c>
      <c r="G148">
        <f>IF(DesarrolloPartidos[[#This Row],[Partidos_3]]=0,0,ROUNDUP(DesarrolloPartidos[[#This Row],[Orden]]/DesarrolloPartidos[[#This Row],[JugEnPart3]]*DesarrolloPartidos[[#This Row],[Partidos_3]],0))</f>
        <v>0</v>
      </c>
      <c r="H148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1</v>
      </c>
      <c r="I148" t="str">
        <f>IF(AND(DesarrolloPartidos[[#This Row],[PartidosSolo3]]&lt;=DesarrolloPartidos[[#This Row],[Partidos_3]],DesarrolloPartidos[[#This Row],[PartidosSolo3]]&lt;&gt;0),DesarrolloPartidos[[#This Row],[PartidosSolo3]],"")</f>
        <v/>
      </c>
      <c r="J148">
        <f>+IF(DesarrolloPartidos[[#This Row],[Partidos3]]="",DesarrolloPartidos[[#This Row],[Partidos4]],DesarrolloPartidos[[#This Row],[Partidos3]])</f>
        <v>1</v>
      </c>
      <c r="K148" t="str">
        <f>+DesarrolloPartidos[[#This Row],[Jugadores]]&amp;":"&amp;DesarrolloPartidos[[#This Row],[Orden]]</f>
        <v>20:2</v>
      </c>
    </row>
    <row r="149" spans="1:11">
      <c r="A149">
        <f t="shared" si="15"/>
        <v>20</v>
      </c>
      <c r="B149">
        <f t="shared" si="14"/>
        <v>5</v>
      </c>
      <c r="C149">
        <f t="shared" si="16"/>
        <v>0</v>
      </c>
      <c r="D149">
        <f t="shared" si="17"/>
        <v>5</v>
      </c>
      <c r="E149">
        <f t="shared" si="18"/>
        <v>3</v>
      </c>
      <c r="F149">
        <f>3*DesarrolloPartidos[[#This Row],[Partidos_3]]</f>
        <v>0</v>
      </c>
      <c r="G149">
        <f>IF(DesarrolloPartidos[[#This Row],[Partidos_3]]=0,0,ROUNDUP(DesarrolloPartidos[[#This Row],[Orden]]/DesarrolloPartidos[[#This Row],[JugEnPart3]]*DesarrolloPartidos[[#This Row],[Partidos_3]],0))</f>
        <v>0</v>
      </c>
      <c r="H149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1</v>
      </c>
      <c r="I149" t="str">
        <f>IF(AND(DesarrolloPartidos[[#This Row],[PartidosSolo3]]&lt;=DesarrolloPartidos[[#This Row],[Partidos_3]],DesarrolloPartidos[[#This Row],[PartidosSolo3]]&lt;&gt;0),DesarrolloPartidos[[#This Row],[PartidosSolo3]],"")</f>
        <v/>
      </c>
      <c r="J149">
        <f>+IF(DesarrolloPartidos[[#This Row],[Partidos3]]="",DesarrolloPartidos[[#This Row],[Partidos4]],DesarrolloPartidos[[#This Row],[Partidos3]])</f>
        <v>1</v>
      </c>
      <c r="K149" t="str">
        <f>+DesarrolloPartidos[[#This Row],[Jugadores]]&amp;":"&amp;DesarrolloPartidos[[#This Row],[Orden]]</f>
        <v>20:3</v>
      </c>
    </row>
    <row r="150" spans="1:11">
      <c r="A150">
        <f t="shared" si="15"/>
        <v>20</v>
      </c>
      <c r="B150">
        <f t="shared" si="14"/>
        <v>5</v>
      </c>
      <c r="C150">
        <f t="shared" si="16"/>
        <v>0</v>
      </c>
      <c r="D150">
        <f t="shared" si="17"/>
        <v>5</v>
      </c>
      <c r="E150">
        <f t="shared" si="18"/>
        <v>4</v>
      </c>
      <c r="F150">
        <f>3*DesarrolloPartidos[[#This Row],[Partidos_3]]</f>
        <v>0</v>
      </c>
      <c r="G150">
        <f>IF(DesarrolloPartidos[[#This Row],[Partidos_3]]=0,0,ROUNDUP(DesarrolloPartidos[[#This Row],[Orden]]/DesarrolloPartidos[[#This Row],[JugEnPart3]]*DesarrolloPartidos[[#This Row],[Partidos_3]],0))</f>
        <v>0</v>
      </c>
      <c r="H150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1</v>
      </c>
      <c r="I150" t="str">
        <f>IF(AND(DesarrolloPartidos[[#This Row],[PartidosSolo3]]&lt;=DesarrolloPartidos[[#This Row],[Partidos_3]],DesarrolloPartidos[[#This Row],[PartidosSolo3]]&lt;&gt;0),DesarrolloPartidos[[#This Row],[PartidosSolo3]],"")</f>
        <v/>
      </c>
      <c r="J150">
        <f>+IF(DesarrolloPartidos[[#This Row],[Partidos3]]="",DesarrolloPartidos[[#This Row],[Partidos4]],DesarrolloPartidos[[#This Row],[Partidos3]])</f>
        <v>1</v>
      </c>
      <c r="K150" t="str">
        <f>+DesarrolloPartidos[[#This Row],[Jugadores]]&amp;":"&amp;DesarrolloPartidos[[#This Row],[Orden]]</f>
        <v>20:4</v>
      </c>
    </row>
    <row r="151" spans="1:11">
      <c r="A151">
        <f t="shared" si="15"/>
        <v>20</v>
      </c>
      <c r="B151">
        <f t="shared" si="14"/>
        <v>5</v>
      </c>
      <c r="C151">
        <f t="shared" si="16"/>
        <v>0</v>
      </c>
      <c r="D151">
        <f t="shared" si="17"/>
        <v>5</v>
      </c>
      <c r="E151">
        <f t="shared" si="18"/>
        <v>5</v>
      </c>
      <c r="F151">
        <f>3*DesarrolloPartidos[[#This Row],[Partidos_3]]</f>
        <v>0</v>
      </c>
      <c r="G151">
        <f>IF(DesarrolloPartidos[[#This Row],[Partidos_3]]=0,0,ROUNDUP(DesarrolloPartidos[[#This Row],[Orden]]/DesarrolloPartidos[[#This Row],[JugEnPart3]]*DesarrolloPartidos[[#This Row],[Partidos_3]],0))</f>
        <v>0</v>
      </c>
      <c r="H151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2</v>
      </c>
      <c r="I151" t="str">
        <f>IF(AND(DesarrolloPartidos[[#This Row],[PartidosSolo3]]&lt;=DesarrolloPartidos[[#This Row],[Partidos_3]],DesarrolloPartidos[[#This Row],[PartidosSolo3]]&lt;&gt;0),DesarrolloPartidos[[#This Row],[PartidosSolo3]],"")</f>
        <v/>
      </c>
      <c r="J151">
        <f>+IF(DesarrolloPartidos[[#This Row],[Partidos3]]="",DesarrolloPartidos[[#This Row],[Partidos4]],DesarrolloPartidos[[#This Row],[Partidos3]])</f>
        <v>2</v>
      </c>
      <c r="K151" t="str">
        <f>+DesarrolloPartidos[[#This Row],[Jugadores]]&amp;":"&amp;DesarrolloPartidos[[#This Row],[Orden]]</f>
        <v>20:5</v>
      </c>
    </row>
    <row r="152" spans="1:11">
      <c r="A152">
        <f t="shared" si="15"/>
        <v>20</v>
      </c>
      <c r="B152">
        <f t="shared" si="14"/>
        <v>5</v>
      </c>
      <c r="C152">
        <f t="shared" si="16"/>
        <v>0</v>
      </c>
      <c r="D152">
        <f t="shared" si="17"/>
        <v>5</v>
      </c>
      <c r="E152">
        <f t="shared" si="18"/>
        <v>6</v>
      </c>
      <c r="F152">
        <f>3*DesarrolloPartidos[[#This Row],[Partidos_3]]</f>
        <v>0</v>
      </c>
      <c r="G152">
        <f>IF(DesarrolloPartidos[[#This Row],[Partidos_3]]=0,0,ROUNDUP(DesarrolloPartidos[[#This Row],[Orden]]/DesarrolloPartidos[[#This Row],[JugEnPart3]]*DesarrolloPartidos[[#This Row],[Partidos_3]],0))</f>
        <v>0</v>
      </c>
      <c r="H152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2</v>
      </c>
      <c r="I152" t="str">
        <f>IF(AND(DesarrolloPartidos[[#This Row],[PartidosSolo3]]&lt;=DesarrolloPartidos[[#This Row],[Partidos_3]],DesarrolloPartidos[[#This Row],[PartidosSolo3]]&lt;&gt;0),DesarrolloPartidos[[#This Row],[PartidosSolo3]],"")</f>
        <v/>
      </c>
      <c r="J152">
        <f>+IF(DesarrolloPartidos[[#This Row],[Partidos3]]="",DesarrolloPartidos[[#This Row],[Partidos4]],DesarrolloPartidos[[#This Row],[Partidos3]])</f>
        <v>2</v>
      </c>
      <c r="K152" t="str">
        <f>+DesarrolloPartidos[[#This Row],[Jugadores]]&amp;":"&amp;DesarrolloPartidos[[#This Row],[Orden]]</f>
        <v>20:6</v>
      </c>
    </row>
    <row r="153" spans="1:11">
      <c r="A153">
        <f t="shared" si="15"/>
        <v>20</v>
      </c>
      <c r="B153">
        <f t="shared" si="14"/>
        <v>5</v>
      </c>
      <c r="C153">
        <f t="shared" si="16"/>
        <v>0</v>
      </c>
      <c r="D153">
        <f t="shared" si="17"/>
        <v>5</v>
      </c>
      <c r="E153">
        <f t="shared" si="18"/>
        <v>7</v>
      </c>
      <c r="F153">
        <f>3*DesarrolloPartidos[[#This Row],[Partidos_3]]</f>
        <v>0</v>
      </c>
      <c r="G153">
        <f>IF(DesarrolloPartidos[[#This Row],[Partidos_3]]=0,0,ROUNDUP(DesarrolloPartidos[[#This Row],[Orden]]/DesarrolloPartidos[[#This Row],[JugEnPart3]]*DesarrolloPartidos[[#This Row],[Partidos_3]],0))</f>
        <v>0</v>
      </c>
      <c r="H153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2</v>
      </c>
      <c r="I153" t="str">
        <f>IF(AND(DesarrolloPartidos[[#This Row],[PartidosSolo3]]&lt;=DesarrolloPartidos[[#This Row],[Partidos_3]],DesarrolloPartidos[[#This Row],[PartidosSolo3]]&lt;&gt;0),DesarrolloPartidos[[#This Row],[PartidosSolo3]],"")</f>
        <v/>
      </c>
      <c r="J153">
        <f>+IF(DesarrolloPartidos[[#This Row],[Partidos3]]="",DesarrolloPartidos[[#This Row],[Partidos4]],DesarrolloPartidos[[#This Row],[Partidos3]])</f>
        <v>2</v>
      </c>
      <c r="K153" t="str">
        <f>+DesarrolloPartidos[[#This Row],[Jugadores]]&amp;":"&amp;DesarrolloPartidos[[#This Row],[Orden]]</f>
        <v>20:7</v>
      </c>
    </row>
    <row r="154" spans="1:11">
      <c r="A154">
        <f t="shared" si="15"/>
        <v>20</v>
      </c>
      <c r="B154">
        <f t="shared" si="14"/>
        <v>5</v>
      </c>
      <c r="C154">
        <f t="shared" si="16"/>
        <v>0</v>
      </c>
      <c r="D154">
        <f t="shared" si="17"/>
        <v>5</v>
      </c>
      <c r="E154">
        <f t="shared" si="18"/>
        <v>8</v>
      </c>
      <c r="F154">
        <f>3*DesarrolloPartidos[[#This Row],[Partidos_3]]</f>
        <v>0</v>
      </c>
      <c r="G154">
        <f>IF(DesarrolloPartidos[[#This Row],[Partidos_3]]=0,0,ROUNDUP(DesarrolloPartidos[[#This Row],[Orden]]/DesarrolloPartidos[[#This Row],[JugEnPart3]]*DesarrolloPartidos[[#This Row],[Partidos_3]],0))</f>
        <v>0</v>
      </c>
      <c r="H154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2</v>
      </c>
      <c r="I154" t="str">
        <f>IF(AND(DesarrolloPartidos[[#This Row],[PartidosSolo3]]&lt;=DesarrolloPartidos[[#This Row],[Partidos_3]],DesarrolloPartidos[[#This Row],[PartidosSolo3]]&lt;&gt;0),DesarrolloPartidos[[#This Row],[PartidosSolo3]],"")</f>
        <v/>
      </c>
      <c r="J154">
        <f>+IF(DesarrolloPartidos[[#This Row],[Partidos3]]="",DesarrolloPartidos[[#This Row],[Partidos4]],DesarrolloPartidos[[#This Row],[Partidos3]])</f>
        <v>2</v>
      </c>
      <c r="K154" t="str">
        <f>+DesarrolloPartidos[[#This Row],[Jugadores]]&amp;":"&amp;DesarrolloPartidos[[#This Row],[Orden]]</f>
        <v>20:8</v>
      </c>
    </row>
    <row r="155" spans="1:11">
      <c r="A155">
        <f t="shared" si="15"/>
        <v>20</v>
      </c>
      <c r="B155">
        <f t="shared" si="14"/>
        <v>5</v>
      </c>
      <c r="C155">
        <f t="shared" si="16"/>
        <v>0</v>
      </c>
      <c r="D155">
        <f t="shared" si="17"/>
        <v>5</v>
      </c>
      <c r="E155">
        <f t="shared" si="18"/>
        <v>9</v>
      </c>
      <c r="F155">
        <f>3*DesarrolloPartidos[[#This Row],[Partidos_3]]</f>
        <v>0</v>
      </c>
      <c r="G155">
        <f>IF(DesarrolloPartidos[[#This Row],[Partidos_3]]=0,0,ROUNDUP(DesarrolloPartidos[[#This Row],[Orden]]/DesarrolloPartidos[[#This Row],[JugEnPart3]]*DesarrolloPartidos[[#This Row],[Partidos_3]],0))</f>
        <v>0</v>
      </c>
      <c r="H155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3</v>
      </c>
      <c r="I155" t="str">
        <f>IF(AND(DesarrolloPartidos[[#This Row],[PartidosSolo3]]&lt;=DesarrolloPartidos[[#This Row],[Partidos_3]],DesarrolloPartidos[[#This Row],[PartidosSolo3]]&lt;&gt;0),DesarrolloPartidos[[#This Row],[PartidosSolo3]],"")</f>
        <v/>
      </c>
      <c r="J155">
        <f>+IF(DesarrolloPartidos[[#This Row],[Partidos3]]="",DesarrolloPartidos[[#This Row],[Partidos4]],DesarrolloPartidos[[#This Row],[Partidos3]])</f>
        <v>3</v>
      </c>
      <c r="K155" t="str">
        <f>+DesarrolloPartidos[[#This Row],[Jugadores]]&amp;":"&amp;DesarrolloPartidos[[#This Row],[Orden]]</f>
        <v>20:9</v>
      </c>
    </row>
    <row r="156" spans="1:11">
      <c r="A156">
        <f t="shared" si="15"/>
        <v>20</v>
      </c>
      <c r="B156">
        <f t="shared" si="14"/>
        <v>5</v>
      </c>
      <c r="C156">
        <f t="shared" si="16"/>
        <v>0</v>
      </c>
      <c r="D156">
        <f t="shared" si="17"/>
        <v>5</v>
      </c>
      <c r="E156">
        <f t="shared" si="18"/>
        <v>10</v>
      </c>
      <c r="F156">
        <f>3*DesarrolloPartidos[[#This Row],[Partidos_3]]</f>
        <v>0</v>
      </c>
      <c r="G156">
        <f>IF(DesarrolloPartidos[[#This Row],[Partidos_3]]=0,0,ROUNDUP(DesarrolloPartidos[[#This Row],[Orden]]/DesarrolloPartidos[[#This Row],[JugEnPart3]]*DesarrolloPartidos[[#This Row],[Partidos_3]],0))</f>
        <v>0</v>
      </c>
      <c r="H156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3</v>
      </c>
      <c r="I156" t="str">
        <f>IF(AND(DesarrolloPartidos[[#This Row],[PartidosSolo3]]&lt;=DesarrolloPartidos[[#This Row],[Partidos_3]],DesarrolloPartidos[[#This Row],[PartidosSolo3]]&lt;&gt;0),DesarrolloPartidos[[#This Row],[PartidosSolo3]],"")</f>
        <v/>
      </c>
      <c r="J156">
        <f>+IF(DesarrolloPartidos[[#This Row],[Partidos3]]="",DesarrolloPartidos[[#This Row],[Partidos4]],DesarrolloPartidos[[#This Row],[Partidos3]])</f>
        <v>3</v>
      </c>
      <c r="K156" t="str">
        <f>+DesarrolloPartidos[[#This Row],[Jugadores]]&amp;":"&amp;DesarrolloPartidos[[#This Row],[Orden]]</f>
        <v>20:10</v>
      </c>
    </row>
    <row r="157" spans="1:11">
      <c r="A157">
        <f t="shared" si="15"/>
        <v>20</v>
      </c>
      <c r="B157">
        <f t="shared" si="14"/>
        <v>5</v>
      </c>
      <c r="C157">
        <f t="shared" si="16"/>
        <v>0</v>
      </c>
      <c r="D157">
        <f t="shared" si="17"/>
        <v>5</v>
      </c>
      <c r="E157">
        <f t="shared" si="18"/>
        <v>11</v>
      </c>
      <c r="F157">
        <f>3*DesarrolloPartidos[[#This Row],[Partidos_3]]</f>
        <v>0</v>
      </c>
      <c r="G157">
        <f>IF(DesarrolloPartidos[[#This Row],[Partidos_3]]=0,0,ROUNDUP(DesarrolloPartidos[[#This Row],[Orden]]/DesarrolloPartidos[[#This Row],[JugEnPart3]]*DesarrolloPartidos[[#This Row],[Partidos_3]],0))</f>
        <v>0</v>
      </c>
      <c r="H157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3</v>
      </c>
      <c r="I157" t="str">
        <f>IF(AND(DesarrolloPartidos[[#This Row],[PartidosSolo3]]&lt;=DesarrolloPartidos[[#This Row],[Partidos_3]],DesarrolloPartidos[[#This Row],[PartidosSolo3]]&lt;&gt;0),DesarrolloPartidos[[#This Row],[PartidosSolo3]],"")</f>
        <v/>
      </c>
      <c r="J157">
        <f>+IF(DesarrolloPartidos[[#This Row],[Partidos3]]="",DesarrolloPartidos[[#This Row],[Partidos4]],DesarrolloPartidos[[#This Row],[Partidos3]])</f>
        <v>3</v>
      </c>
      <c r="K157" t="str">
        <f>+DesarrolloPartidos[[#This Row],[Jugadores]]&amp;":"&amp;DesarrolloPartidos[[#This Row],[Orden]]</f>
        <v>20:11</v>
      </c>
    </row>
    <row r="158" spans="1:11">
      <c r="A158">
        <f t="shared" si="15"/>
        <v>20</v>
      </c>
      <c r="B158">
        <f t="shared" si="14"/>
        <v>5</v>
      </c>
      <c r="C158">
        <f t="shared" si="16"/>
        <v>0</v>
      </c>
      <c r="D158">
        <f t="shared" si="17"/>
        <v>5</v>
      </c>
      <c r="E158">
        <f t="shared" si="18"/>
        <v>12</v>
      </c>
      <c r="F158">
        <f>3*DesarrolloPartidos[[#This Row],[Partidos_3]]</f>
        <v>0</v>
      </c>
      <c r="G158">
        <f>IF(DesarrolloPartidos[[#This Row],[Partidos_3]]=0,0,ROUNDUP(DesarrolloPartidos[[#This Row],[Orden]]/DesarrolloPartidos[[#This Row],[JugEnPart3]]*DesarrolloPartidos[[#This Row],[Partidos_3]],0))</f>
        <v>0</v>
      </c>
      <c r="H158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3</v>
      </c>
      <c r="I158" t="str">
        <f>IF(AND(DesarrolloPartidos[[#This Row],[PartidosSolo3]]&lt;=DesarrolloPartidos[[#This Row],[Partidos_3]],DesarrolloPartidos[[#This Row],[PartidosSolo3]]&lt;&gt;0),DesarrolloPartidos[[#This Row],[PartidosSolo3]],"")</f>
        <v/>
      </c>
      <c r="J158">
        <f>+IF(DesarrolloPartidos[[#This Row],[Partidos3]]="",DesarrolloPartidos[[#This Row],[Partidos4]],DesarrolloPartidos[[#This Row],[Partidos3]])</f>
        <v>3</v>
      </c>
      <c r="K158" t="str">
        <f>+DesarrolloPartidos[[#This Row],[Jugadores]]&amp;":"&amp;DesarrolloPartidos[[#This Row],[Orden]]</f>
        <v>20:12</v>
      </c>
    </row>
    <row r="159" spans="1:11">
      <c r="A159">
        <f t="shared" si="15"/>
        <v>20</v>
      </c>
      <c r="B159">
        <f t="shared" si="14"/>
        <v>5</v>
      </c>
      <c r="C159">
        <f t="shared" si="16"/>
        <v>0</v>
      </c>
      <c r="D159">
        <f t="shared" si="17"/>
        <v>5</v>
      </c>
      <c r="E159">
        <f t="shared" si="18"/>
        <v>13</v>
      </c>
      <c r="F159">
        <f>3*DesarrolloPartidos[[#This Row],[Partidos_3]]</f>
        <v>0</v>
      </c>
      <c r="G159">
        <f>IF(DesarrolloPartidos[[#This Row],[Partidos_3]]=0,0,ROUNDUP(DesarrolloPartidos[[#This Row],[Orden]]/DesarrolloPartidos[[#This Row],[JugEnPart3]]*DesarrolloPartidos[[#This Row],[Partidos_3]],0))</f>
        <v>0</v>
      </c>
      <c r="H159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159" t="str">
        <f>IF(AND(DesarrolloPartidos[[#This Row],[PartidosSolo3]]&lt;=DesarrolloPartidos[[#This Row],[Partidos_3]],DesarrolloPartidos[[#This Row],[PartidosSolo3]]&lt;&gt;0),DesarrolloPartidos[[#This Row],[PartidosSolo3]],"")</f>
        <v/>
      </c>
      <c r="J159">
        <f>+IF(DesarrolloPartidos[[#This Row],[Partidos3]]="",DesarrolloPartidos[[#This Row],[Partidos4]],DesarrolloPartidos[[#This Row],[Partidos3]])</f>
        <v>4</v>
      </c>
      <c r="K159" t="str">
        <f>+DesarrolloPartidos[[#This Row],[Jugadores]]&amp;":"&amp;DesarrolloPartidos[[#This Row],[Orden]]</f>
        <v>20:13</v>
      </c>
    </row>
    <row r="160" spans="1:11">
      <c r="A160">
        <f t="shared" si="15"/>
        <v>20</v>
      </c>
      <c r="B160">
        <f t="shared" si="14"/>
        <v>5</v>
      </c>
      <c r="C160">
        <f t="shared" si="16"/>
        <v>0</v>
      </c>
      <c r="D160">
        <f t="shared" si="17"/>
        <v>5</v>
      </c>
      <c r="E160">
        <f t="shared" si="18"/>
        <v>14</v>
      </c>
      <c r="F160">
        <f>3*DesarrolloPartidos[[#This Row],[Partidos_3]]</f>
        <v>0</v>
      </c>
      <c r="G160">
        <f>IF(DesarrolloPartidos[[#This Row],[Partidos_3]]=0,0,ROUNDUP(DesarrolloPartidos[[#This Row],[Orden]]/DesarrolloPartidos[[#This Row],[JugEnPart3]]*DesarrolloPartidos[[#This Row],[Partidos_3]],0))</f>
        <v>0</v>
      </c>
      <c r="H160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160" t="str">
        <f>IF(AND(DesarrolloPartidos[[#This Row],[PartidosSolo3]]&lt;=DesarrolloPartidos[[#This Row],[Partidos_3]],DesarrolloPartidos[[#This Row],[PartidosSolo3]]&lt;&gt;0),DesarrolloPartidos[[#This Row],[PartidosSolo3]],"")</f>
        <v/>
      </c>
      <c r="J160">
        <f>+IF(DesarrolloPartidos[[#This Row],[Partidos3]]="",DesarrolloPartidos[[#This Row],[Partidos4]],DesarrolloPartidos[[#This Row],[Partidos3]])</f>
        <v>4</v>
      </c>
      <c r="K160" t="str">
        <f>+DesarrolloPartidos[[#This Row],[Jugadores]]&amp;":"&amp;DesarrolloPartidos[[#This Row],[Orden]]</f>
        <v>20:14</v>
      </c>
    </row>
    <row r="161" spans="1:11">
      <c r="A161">
        <f t="shared" si="15"/>
        <v>20</v>
      </c>
      <c r="B161">
        <f t="shared" si="14"/>
        <v>5</v>
      </c>
      <c r="C161">
        <f t="shared" si="16"/>
        <v>0</v>
      </c>
      <c r="D161">
        <f t="shared" si="17"/>
        <v>5</v>
      </c>
      <c r="E161">
        <f t="shared" si="18"/>
        <v>15</v>
      </c>
      <c r="F161">
        <f>3*DesarrolloPartidos[[#This Row],[Partidos_3]]</f>
        <v>0</v>
      </c>
      <c r="G161">
        <f>IF(DesarrolloPartidos[[#This Row],[Partidos_3]]=0,0,ROUNDUP(DesarrolloPartidos[[#This Row],[Orden]]/DesarrolloPartidos[[#This Row],[JugEnPart3]]*DesarrolloPartidos[[#This Row],[Partidos_3]],0))</f>
        <v>0</v>
      </c>
      <c r="H161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161" t="str">
        <f>IF(AND(DesarrolloPartidos[[#This Row],[PartidosSolo3]]&lt;=DesarrolloPartidos[[#This Row],[Partidos_3]],DesarrolloPartidos[[#This Row],[PartidosSolo3]]&lt;&gt;0),DesarrolloPartidos[[#This Row],[PartidosSolo3]],"")</f>
        <v/>
      </c>
      <c r="J161">
        <f>+IF(DesarrolloPartidos[[#This Row],[Partidos3]]="",DesarrolloPartidos[[#This Row],[Partidos4]],DesarrolloPartidos[[#This Row],[Partidos3]])</f>
        <v>4</v>
      </c>
      <c r="K161" t="str">
        <f>+DesarrolloPartidos[[#This Row],[Jugadores]]&amp;":"&amp;DesarrolloPartidos[[#This Row],[Orden]]</f>
        <v>20:15</v>
      </c>
    </row>
    <row r="162" spans="1:11">
      <c r="A162">
        <f t="shared" si="15"/>
        <v>20</v>
      </c>
      <c r="B162">
        <f t="shared" si="14"/>
        <v>5</v>
      </c>
      <c r="C162">
        <f t="shared" si="16"/>
        <v>0</v>
      </c>
      <c r="D162">
        <f t="shared" si="17"/>
        <v>5</v>
      </c>
      <c r="E162">
        <f t="shared" si="18"/>
        <v>16</v>
      </c>
      <c r="F162">
        <f>3*DesarrolloPartidos[[#This Row],[Partidos_3]]</f>
        <v>0</v>
      </c>
      <c r="G162">
        <f>IF(DesarrolloPartidos[[#This Row],[Partidos_3]]=0,0,ROUNDUP(DesarrolloPartidos[[#This Row],[Orden]]/DesarrolloPartidos[[#This Row],[JugEnPart3]]*DesarrolloPartidos[[#This Row],[Partidos_3]],0))</f>
        <v>0</v>
      </c>
      <c r="H162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162" t="str">
        <f>IF(AND(DesarrolloPartidos[[#This Row],[PartidosSolo3]]&lt;=DesarrolloPartidos[[#This Row],[Partidos_3]],DesarrolloPartidos[[#This Row],[PartidosSolo3]]&lt;&gt;0),DesarrolloPartidos[[#This Row],[PartidosSolo3]],"")</f>
        <v/>
      </c>
      <c r="J162">
        <f>+IF(DesarrolloPartidos[[#This Row],[Partidos3]]="",DesarrolloPartidos[[#This Row],[Partidos4]],DesarrolloPartidos[[#This Row],[Partidos3]])</f>
        <v>4</v>
      </c>
      <c r="K162" t="str">
        <f>+DesarrolloPartidos[[#This Row],[Jugadores]]&amp;":"&amp;DesarrolloPartidos[[#This Row],[Orden]]</f>
        <v>20:16</v>
      </c>
    </row>
    <row r="163" spans="1:11">
      <c r="A163">
        <f t="shared" si="15"/>
        <v>20</v>
      </c>
      <c r="B163">
        <f t="shared" si="14"/>
        <v>5</v>
      </c>
      <c r="C163">
        <f t="shared" si="16"/>
        <v>0</v>
      </c>
      <c r="D163">
        <f t="shared" si="17"/>
        <v>5</v>
      </c>
      <c r="E163">
        <f t="shared" si="18"/>
        <v>17</v>
      </c>
      <c r="F163">
        <f>3*DesarrolloPartidos[[#This Row],[Partidos_3]]</f>
        <v>0</v>
      </c>
      <c r="G163">
        <f>IF(DesarrolloPartidos[[#This Row],[Partidos_3]]=0,0,ROUNDUP(DesarrolloPartidos[[#This Row],[Orden]]/DesarrolloPartidos[[#This Row],[JugEnPart3]]*DesarrolloPartidos[[#This Row],[Partidos_3]],0))</f>
        <v>0</v>
      </c>
      <c r="H163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5</v>
      </c>
      <c r="I163" t="str">
        <f>IF(AND(DesarrolloPartidos[[#This Row],[PartidosSolo3]]&lt;=DesarrolloPartidos[[#This Row],[Partidos_3]],DesarrolloPartidos[[#This Row],[PartidosSolo3]]&lt;&gt;0),DesarrolloPartidos[[#This Row],[PartidosSolo3]],"")</f>
        <v/>
      </c>
      <c r="J163">
        <f>+IF(DesarrolloPartidos[[#This Row],[Partidos3]]="",DesarrolloPartidos[[#This Row],[Partidos4]],DesarrolloPartidos[[#This Row],[Partidos3]])</f>
        <v>5</v>
      </c>
      <c r="K163" t="str">
        <f>+DesarrolloPartidos[[#This Row],[Jugadores]]&amp;":"&amp;DesarrolloPartidos[[#This Row],[Orden]]</f>
        <v>20:17</v>
      </c>
    </row>
    <row r="164" spans="1:11">
      <c r="A164">
        <f t="shared" si="15"/>
        <v>20</v>
      </c>
      <c r="B164">
        <f t="shared" si="14"/>
        <v>5</v>
      </c>
      <c r="C164">
        <f t="shared" si="16"/>
        <v>0</v>
      </c>
      <c r="D164">
        <f t="shared" si="17"/>
        <v>5</v>
      </c>
      <c r="E164">
        <f t="shared" si="18"/>
        <v>18</v>
      </c>
      <c r="F164">
        <f>3*DesarrolloPartidos[[#This Row],[Partidos_3]]</f>
        <v>0</v>
      </c>
      <c r="G164">
        <f>IF(DesarrolloPartidos[[#This Row],[Partidos_3]]=0,0,ROUNDUP(DesarrolloPartidos[[#This Row],[Orden]]/DesarrolloPartidos[[#This Row],[JugEnPart3]]*DesarrolloPartidos[[#This Row],[Partidos_3]],0))</f>
        <v>0</v>
      </c>
      <c r="H164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5</v>
      </c>
      <c r="I164" t="str">
        <f>IF(AND(DesarrolloPartidos[[#This Row],[PartidosSolo3]]&lt;=DesarrolloPartidos[[#This Row],[Partidos_3]],DesarrolloPartidos[[#This Row],[PartidosSolo3]]&lt;&gt;0),DesarrolloPartidos[[#This Row],[PartidosSolo3]],"")</f>
        <v/>
      </c>
      <c r="J164">
        <f>+IF(DesarrolloPartidos[[#This Row],[Partidos3]]="",DesarrolloPartidos[[#This Row],[Partidos4]],DesarrolloPartidos[[#This Row],[Partidos3]])</f>
        <v>5</v>
      </c>
      <c r="K164" t="str">
        <f>+DesarrolloPartidos[[#This Row],[Jugadores]]&amp;":"&amp;DesarrolloPartidos[[#This Row],[Orden]]</f>
        <v>20:18</v>
      </c>
    </row>
    <row r="165" spans="1:11">
      <c r="A165">
        <f t="shared" si="15"/>
        <v>20</v>
      </c>
      <c r="B165">
        <f t="shared" si="14"/>
        <v>5</v>
      </c>
      <c r="C165">
        <f t="shared" si="16"/>
        <v>0</v>
      </c>
      <c r="D165">
        <f t="shared" si="17"/>
        <v>5</v>
      </c>
      <c r="E165">
        <f t="shared" si="18"/>
        <v>19</v>
      </c>
      <c r="F165">
        <f>3*DesarrolloPartidos[[#This Row],[Partidos_3]]</f>
        <v>0</v>
      </c>
      <c r="G165">
        <f>IF(DesarrolloPartidos[[#This Row],[Partidos_3]]=0,0,ROUNDUP(DesarrolloPartidos[[#This Row],[Orden]]/DesarrolloPartidos[[#This Row],[JugEnPart3]]*DesarrolloPartidos[[#This Row],[Partidos_3]],0))</f>
        <v>0</v>
      </c>
      <c r="H165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5</v>
      </c>
      <c r="I165" t="str">
        <f>IF(AND(DesarrolloPartidos[[#This Row],[PartidosSolo3]]&lt;=DesarrolloPartidos[[#This Row],[Partidos_3]],DesarrolloPartidos[[#This Row],[PartidosSolo3]]&lt;&gt;0),DesarrolloPartidos[[#This Row],[PartidosSolo3]],"")</f>
        <v/>
      </c>
      <c r="J165">
        <f>+IF(DesarrolloPartidos[[#This Row],[Partidos3]]="",DesarrolloPartidos[[#This Row],[Partidos4]],DesarrolloPartidos[[#This Row],[Partidos3]])</f>
        <v>5</v>
      </c>
      <c r="K165" t="str">
        <f>+DesarrolloPartidos[[#This Row],[Jugadores]]&amp;":"&amp;DesarrolloPartidos[[#This Row],[Orden]]</f>
        <v>20:19</v>
      </c>
    </row>
    <row r="166" spans="1:11">
      <c r="A166">
        <f t="shared" si="15"/>
        <v>20</v>
      </c>
      <c r="B166">
        <f t="shared" si="14"/>
        <v>5</v>
      </c>
      <c r="C166">
        <f t="shared" si="16"/>
        <v>0</v>
      </c>
      <c r="D166">
        <f t="shared" si="17"/>
        <v>5</v>
      </c>
      <c r="E166">
        <f t="shared" si="18"/>
        <v>20</v>
      </c>
      <c r="F166">
        <f>3*DesarrolloPartidos[[#This Row],[Partidos_3]]</f>
        <v>0</v>
      </c>
      <c r="G166">
        <f>IF(DesarrolloPartidos[[#This Row],[Partidos_3]]=0,0,ROUNDUP(DesarrolloPartidos[[#This Row],[Orden]]/DesarrolloPartidos[[#This Row],[JugEnPart3]]*DesarrolloPartidos[[#This Row],[Partidos_3]],0))</f>
        <v>0</v>
      </c>
      <c r="H166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5</v>
      </c>
      <c r="I166" t="str">
        <f>IF(AND(DesarrolloPartidos[[#This Row],[PartidosSolo3]]&lt;=DesarrolloPartidos[[#This Row],[Partidos_3]],DesarrolloPartidos[[#This Row],[PartidosSolo3]]&lt;&gt;0),DesarrolloPartidos[[#This Row],[PartidosSolo3]],"")</f>
        <v/>
      </c>
      <c r="J166">
        <f>+IF(DesarrolloPartidos[[#This Row],[Partidos3]]="",DesarrolloPartidos[[#This Row],[Partidos4]],DesarrolloPartidos[[#This Row],[Partidos3]])</f>
        <v>5</v>
      </c>
      <c r="K166" t="str">
        <f>+DesarrolloPartidos[[#This Row],[Jugadores]]&amp;":"&amp;DesarrolloPartidos[[#This Row],[Orden]]</f>
        <v>20:20</v>
      </c>
    </row>
    <row r="167" spans="1:11">
      <c r="A167">
        <f t="shared" si="15"/>
        <v>21</v>
      </c>
      <c r="B167">
        <f t="shared" si="14"/>
        <v>6</v>
      </c>
      <c r="C167">
        <f t="shared" si="16"/>
        <v>3</v>
      </c>
      <c r="D167">
        <f t="shared" si="17"/>
        <v>3</v>
      </c>
      <c r="E167">
        <f t="shared" si="18"/>
        <v>1</v>
      </c>
      <c r="F167">
        <f>3*DesarrolloPartidos[[#This Row],[Partidos_3]]</f>
        <v>9</v>
      </c>
      <c r="G167">
        <f>IF(DesarrolloPartidos[[#This Row],[Partidos_3]]=0,0,ROUNDUP(DesarrolloPartidos[[#This Row],[Orden]]/DesarrolloPartidos[[#This Row],[JugEnPart3]]*DesarrolloPartidos[[#This Row],[Partidos_3]],0))</f>
        <v>1</v>
      </c>
      <c r="H167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167">
        <f>IF(AND(DesarrolloPartidos[[#This Row],[PartidosSolo3]]&lt;=DesarrolloPartidos[[#This Row],[Partidos_3]],DesarrolloPartidos[[#This Row],[PartidosSolo3]]&lt;&gt;0),DesarrolloPartidos[[#This Row],[PartidosSolo3]],"")</f>
        <v>1</v>
      </c>
      <c r="J167">
        <f>+IF(DesarrolloPartidos[[#This Row],[Partidos3]]="",DesarrolloPartidos[[#This Row],[Partidos4]],DesarrolloPartidos[[#This Row],[Partidos3]])</f>
        <v>1</v>
      </c>
      <c r="K167" t="str">
        <f>+DesarrolloPartidos[[#This Row],[Jugadores]]&amp;":"&amp;DesarrolloPartidos[[#This Row],[Orden]]</f>
        <v>21:1</v>
      </c>
    </row>
    <row r="168" spans="1:11">
      <c r="A168">
        <f t="shared" si="15"/>
        <v>21</v>
      </c>
      <c r="B168">
        <f t="shared" si="14"/>
        <v>6</v>
      </c>
      <c r="C168">
        <f t="shared" si="16"/>
        <v>3</v>
      </c>
      <c r="D168">
        <f t="shared" si="17"/>
        <v>3</v>
      </c>
      <c r="E168">
        <f t="shared" si="18"/>
        <v>2</v>
      </c>
      <c r="F168">
        <f>3*DesarrolloPartidos[[#This Row],[Partidos_3]]</f>
        <v>9</v>
      </c>
      <c r="G168">
        <f>IF(DesarrolloPartidos[[#This Row],[Partidos_3]]=0,0,ROUNDUP(DesarrolloPartidos[[#This Row],[Orden]]/DesarrolloPartidos[[#This Row],[JugEnPart3]]*DesarrolloPartidos[[#This Row],[Partidos_3]],0))</f>
        <v>1</v>
      </c>
      <c r="H168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168">
        <f>IF(AND(DesarrolloPartidos[[#This Row],[PartidosSolo3]]&lt;=DesarrolloPartidos[[#This Row],[Partidos_3]],DesarrolloPartidos[[#This Row],[PartidosSolo3]]&lt;&gt;0),DesarrolloPartidos[[#This Row],[PartidosSolo3]],"")</f>
        <v>1</v>
      </c>
      <c r="J168">
        <f>+IF(DesarrolloPartidos[[#This Row],[Partidos3]]="",DesarrolloPartidos[[#This Row],[Partidos4]],DesarrolloPartidos[[#This Row],[Partidos3]])</f>
        <v>1</v>
      </c>
      <c r="K168" t="str">
        <f>+DesarrolloPartidos[[#This Row],[Jugadores]]&amp;":"&amp;DesarrolloPartidos[[#This Row],[Orden]]</f>
        <v>21:2</v>
      </c>
    </row>
    <row r="169" spans="1:11">
      <c r="A169">
        <f t="shared" si="15"/>
        <v>21</v>
      </c>
      <c r="B169">
        <f t="shared" si="14"/>
        <v>6</v>
      </c>
      <c r="C169">
        <f t="shared" si="16"/>
        <v>3</v>
      </c>
      <c r="D169">
        <f t="shared" si="17"/>
        <v>3</v>
      </c>
      <c r="E169">
        <f t="shared" si="18"/>
        <v>3</v>
      </c>
      <c r="F169">
        <f>3*DesarrolloPartidos[[#This Row],[Partidos_3]]</f>
        <v>9</v>
      </c>
      <c r="G169">
        <f>IF(DesarrolloPartidos[[#This Row],[Partidos_3]]=0,0,ROUNDUP(DesarrolloPartidos[[#This Row],[Orden]]/DesarrolloPartidos[[#This Row],[JugEnPart3]]*DesarrolloPartidos[[#This Row],[Partidos_3]],0))</f>
        <v>1</v>
      </c>
      <c r="H169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169">
        <f>IF(AND(DesarrolloPartidos[[#This Row],[PartidosSolo3]]&lt;=DesarrolloPartidos[[#This Row],[Partidos_3]],DesarrolloPartidos[[#This Row],[PartidosSolo3]]&lt;&gt;0),DesarrolloPartidos[[#This Row],[PartidosSolo3]],"")</f>
        <v>1</v>
      </c>
      <c r="J169">
        <f>+IF(DesarrolloPartidos[[#This Row],[Partidos3]]="",DesarrolloPartidos[[#This Row],[Partidos4]],DesarrolloPartidos[[#This Row],[Partidos3]])</f>
        <v>1</v>
      </c>
      <c r="K169" t="str">
        <f>+DesarrolloPartidos[[#This Row],[Jugadores]]&amp;":"&amp;DesarrolloPartidos[[#This Row],[Orden]]</f>
        <v>21:3</v>
      </c>
    </row>
    <row r="170" spans="1:11">
      <c r="A170">
        <f t="shared" si="15"/>
        <v>21</v>
      </c>
      <c r="B170">
        <f t="shared" si="14"/>
        <v>6</v>
      </c>
      <c r="C170">
        <f t="shared" si="16"/>
        <v>3</v>
      </c>
      <c r="D170">
        <f t="shared" si="17"/>
        <v>3</v>
      </c>
      <c r="E170">
        <f t="shared" si="18"/>
        <v>4</v>
      </c>
      <c r="F170">
        <f>3*DesarrolloPartidos[[#This Row],[Partidos_3]]</f>
        <v>9</v>
      </c>
      <c r="G170">
        <f>IF(DesarrolloPartidos[[#This Row],[Partidos_3]]=0,0,ROUNDUP(DesarrolloPartidos[[#This Row],[Orden]]/DesarrolloPartidos[[#This Row],[JugEnPart3]]*DesarrolloPartidos[[#This Row],[Partidos_3]],0))</f>
        <v>2</v>
      </c>
      <c r="H170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170">
        <f>IF(AND(DesarrolloPartidos[[#This Row],[PartidosSolo3]]&lt;=DesarrolloPartidos[[#This Row],[Partidos_3]],DesarrolloPartidos[[#This Row],[PartidosSolo3]]&lt;&gt;0),DesarrolloPartidos[[#This Row],[PartidosSolo3]],"")</f>
        <v>2</v>
      </c>
      <c r="J170">
        <f>+IF(DesarrolloPartidos[[#This Row],[Partidos3]]="",DesarrolloPartidos[[#This Row],[Partidos4]],DesarrolloPartidos[[#This Row],[Partidos3]])</f>
        <v>2</v>
      </c>
      <c r="K170" t="str">
        <f>+DesarrolloPartidos[[#This Row],[Jugadores]]&amp;":"&amp;DesarrolloPartidos[[#This Row],[Orden]]</f>
        <v>21:4</v>
      </c>
    </row>
    <row r="171" spans="1:11">
      <c r="A171">
        <f t="shared" si="15"/>
        <v>21</v>
      </c>
      <c r="B171">
        <f t="shared" si="14"/>
        <v>6</v>
      </c>
      <c r="C171">
        <f t="shared" si="16"/>
        <v>3</v>
      </c>
      <c r="D171">
        <f t="shared" si="17"/>
        <v>3</v>
      </c>
      <c r="E171">
        <f t="shared" si="18"/>
        <v>5</v>
      </c>
      <c r="F171">
        <f>3*DesarrolloPartidos[[#This Row],[Partidos_3]]</f>
        <v>9</v>
      </c>
      <c r="G171">
        <f>IF(DesarrolloPartidos[[#This Row],[Partidos_3]]=0,0,ROUNDUP(DesarrolloPartidos[[#This Row],[Orden]]/DesarrolloPartidos[[#This Row],[JugEnPart3]]*DesarrolloPartidos[[#This Row],[Partidos_3]],0))</f>
        <v>2</v>
      </c>
      <c r="H171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171">
        <f>IF(AND(DesarrolloPartidos[[#This Row],[PartidosSolo3]]&lt;=DesarrolloPartidos[[#This Row],[Partidos_3]],DesarrolloPartidos[[#This Row],[PartidosSolo3]]&lt;&gt;0),DesarrolloPartidos[[#This Row],[PartidosSolo3]],"")</f>
        <v>2</v>
      </c>
      <c r="J171">
        <f>+IF(DesarrolloPartidos[[#This Row],[Partidos3]]="",DesarrolloPartidos[[#This Row],[Partidos4]],DesarrolloPartidos[[#This Row],[Partidos3]])</f>
        <v>2</v>
      </c>
      <c r="K171" t="str">
        <f>+DesarrolloPartidos[[#This Row],[Jugadores]]&amp;":"&amp;DesarrolloPartidos[[#This Row],[Orden]]</f>
        <v>21:5</v>
      </c>
    </row>
    <row r="172" spans="1:11">
      <c r="A172">
        <f t="shared" si="15"/>
        <v>21</v>
      </c>
      <c r="B172">
        <f t="shared" si="14"/>
        <v>6</v>
      </c>
      <c r="C172">
        <f t="shared" si="16"/>
        <v>3</v>
      </c>
      <c r="D172">
        <f t="shared" si="17"/>
        <v>3</v>
      </c>
      <c r="E172">
        <f t="shared" si="18"/>
        <v>6</v>
      </c>
      <c r="F172">
        <f>3*DesarrolloPartidos[[#This Row],[Partidos_3]]</f>
        <v>9</v>
      </c>
      <c r="G172">
        <f>IF(DesarrolloPartidos[[#This Row],[Partidos_3]]=0,0,ROUNDUP(DesarrolloPartidos[[#This Row],[Orden]]/DesarrolloPartidos[[#This Row],[JugEnPart3]]*DesarrolloPartidos[[#This Row],[Partidos_3]],0))</f>
        <v>2</v>
      </c>
      <c r="H172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172">
        <f>IF(AND(DesarrolloPartidos[[#This Row],[PartidosSolo3]]&lt;=DesarrolloPartidos[[#This Row],[Partidos_3]],DesarrolloPartidos[[#This Row],[PartidosSolo3]]&lt;&gt;0),DesarrolloPartidos[[#This Row],[PartidosSolo3]],"")</f>
        <v>2</v>
      </c>
      <c r="J172">
        <f>+IF(DesarrolloPartidos[[#This Row],[Partidos3]]="",DesarrolloPartidos[[#This Row],[Partidos4]],DesarrolloPartidos[[#This Row],[Partidos3]])</f>
        <v>2</v>
      </c>
      <c r="K172" t="str">
        <f>+DesarrolloPartidos[[#This Row],[Jugadores]]&amp;":"&amp;DesarrolloPartidos[[#This Row],[Orden]]</f>
        <v>21:6</v>
      </c>
    </row>
    <row r="173" spans="1:11">
      <c r="A173">
        <f t="shared" si="15"/>
        <v>21</v>
      </c>
      <c r="B173">
        <f t="shared" si="14"/>
        <v>6</v>
      </c>
      <c r="C173">
        <f t="shared" si="16"/>
        <v>3</v>
      </c>
      <c r="D173">
        <f t="shared" si="17"/>
        <v>3</v>
      </c>
      <c r="E173">
        <f t="shared" si="18"/>
        <v>7</v>
      </c>
      <c r="F173">
        <f>3*DesarrolloPartidos[[#This Row],[Partidos_3]]</f>
        <v>9</v>
      </c>
      <c r="G173">
        <f>IF(DesarrolloPartidos[[#This Row],[Partidos_3]]=0,0,ROUNDUP(DesarrolloPartidos[[#This Row],[Orden]]/DesarrolloPartidos[[#This Row],[JugEnPart3]]*DesarrolloPartidos[[#This Row],[Partidos_3]],0))</f>
        <v>3</v>
      </c>
      <c r="H173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173">
        <f>IF(AND(DesarrolloPartidos[[#This Row],[PartidosSolo3]]&lt;=DesarrolloPartidos[[#This Row],[Partidos_3]],DesarrolloPartidos[[#This Row],[PartidosSolo3]]&lt;&gt;0),DesarrolloPartidos[[#This Row],[PartidosSolo3]],"")</f>
        <v>3</v>
      </c>
      <c r="J173">
        <f>+IF(DesarrolloPartidos[[#This Row],[Partidos3]]="",DesarrolloPartidos[[#This Row],[Partidos4]],DesarrolloPartidos[[#This Row],[Partidos3]])</f>
        <v>3</v>
      </c>
      <c r="K173" t="str">
        <f>+DesarrolloPartidos[[#This Row],[Jugadores]]&amp;":"&amp;DesarrolloPartidos[[#This Row],[Orden]]</f>
        <v>21:7</v>
      </c>
    </row>
    <row r="174" spans="1:11">
      <c r="A174">
        <f t="shared" si="15"/>
        <v>21</v>
      </c>
      <c r="B174">
        <f t="shared" si="14"/>
        <v>6</v>
      </c>
      <c r="C174">
        <f t="shared" si="16"/>
        <v>3</v>
      </c>
      <c r="D174">
        <f t="shared" si="17"/>
        <v>3</v>
      </c>
      <c r="E174">
        <f t="shared" si="18"/>
        <v>8</v>
      </c>
      <c r="F174">
        <f>3*DesarrolloPartidos[[#This Row],[Partidos_3]]</f>
        <v>9</v>
      </c>
      <c r="G174">
        <f>IF(DesarrolloPartidos[[#This Row],[Partidos_3]]=0,0,ROUNDUP(DesarrolloPartidos[[#This Row],[Orden]]/DesarrolloPartidos[[#This Row],[JugEnPart3]]*DesarrolloPartidos[[#This Row],[Partidos_3]],0))</f>
        <v>3</v>
      </c>
      <c r="H174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174">
        <f>IF(AND(DesarrolloPartidos[[#This Row],[PartidosSolo3]]&lt;=DesarrolloPartidos[[#This Row],[Partidos_3]],DesarrolloPartidos[[#This Row],[PartidosSolo3]]&lt;&gt;0),DesarrolloPartidos[[#This Row],[PartidosSolo3]],"")</f>
        <v>3</v>
      </c>
      <c r="J174">
        <f>+IF(DesarrolloPartidos[[#This Row],[Partidos3]]="",DesarrolloPartidos[[#This Row],[Partidos4]],DesarrolloPartidos[[#This Row],[Partidos3]])</f>
        <v>3</v>
      </c>
      <c r="K174" t="str">
        <f>+DesarrolloPartidos[[#This Row],[Jugadores]]&amp;":"&amp;DesarrolloPartidos[[#This Row],[Orden]]</f>
        <v>21:8</v>
      </c>
    </row>
    <row r="175" spans="1:11">
      <c r="A175">
        <f t="shared" si="15"/>
        <v>21</v>
      </c>
      <c r="B175">
        <f t="shared" si="14"/>
        <v>6</v>
      </c>
      <c r="C175">
        <f t="shared" si="16"/>
        <v>3</v>
      </c>
      <c r="D175">
        <f t="shared" si="17"/>
        <v>3</v>
      </c>
      <c r="E175">
        <f t="shared" si="18"/>
        <v>9</v>
      </c>
      <c r="F175">
        <f>3*DesarrolloPartidos[[#This Row],[Partidos_3]]</f>
        <v>9</v>
      </c>
      <c r="G175">
        <f>IF(DesarrolloPartidos[[#This Row],[Partidos_3]]=0,0,ROUNDUP(DesarrolloPartidos[[#This Row],[Orden]]/DesarrolloPartidos[[#This Row],[JugEnPart3]]*DesarrolloPartidos[[#This Row],[Partidos_3]],0))</f>
        <v>3</v>
      </c>
      <c r="H175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175">
        <f>IF(AND(DesarrolloPartidos[[#This Row],[PartidosSolo3]]&lt;=DesarrolloPartidos[[#This Row],[Partidos_3]],DesarrolloPartidos[[#This Row],[PartidosSolo3]]&lt;&gt;0),DesarrolloPartidos[[#This Row],[PartidosSolo3]],"")</f>
        <v>3</v>
      </c>
      <c r="J175">
        <f>+IF(DesarrolloPartidos[[#This Row],[Partidos3]]="",DesarrolloPartidos[[#This Row],[Partidos4]],DesarrolloPartidos[[#This Row],[Partidos3]])</f>
        <v>3</v>
      </c>
      <c r="K175" t="str">
        <f>+DesarrolloPartidos[[#This Row],[Jugadores]]&amp;":"&amp;DesarrolloPartidos[[#This Row],[Orden]]</f>
        <v>21:9</v>
      </c>
    </row>
    <row r="176" spans="1:11">
      <c r="A176">
        <f t="shared" si="15"/>
        <v>21</v>
      </c>
      <c r="B176">
        <f t="shared" si="14"/>
        <v>6</v>
      </c>
      <c r="C176">
        <f t="shared" si="16"/>
        <v>3</v>
      </c>
      <c r="D176">
        <f t="shared" si="17"/>
        <v>3</v>
      </c>
      <c r="E176">
        <f t="shared" si="18"/>
        <v>10</v>
      </c>
      <c r="F176">
        <f>3*DesarrolloPartidos[[#This Row],[Partidos_3]]</f>
        <v>9</v>
      </c>
      <c r="G176">
        <f>IF(DesarrolloPartidos[[#This Row],[Partidos_3]]=0,0,ROUNDUP(DesarrolloPartidos[[#This Row],[Orden]]/DesarrolloPartidos[[#This Row],[JugEnPart3]]*DesarrolloPartidos[[#This Row],[Partidos_3]],0))</f>
        <v>4</v>
      </c>
      <c r="H176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176" t="str">
        <f>IF(AND(DesarrolloPartidos[[#This Row],[PartidosSolo3]]&lt;=DesarrolloPartidos[[#This Row],[Partidos_3]],DesarrolloPartidos[[#This Row],[PartidosSolo3]]&lt;&gt;0),DesarrolloPartidos[[#This Row],[PartidosSolo3]],"")</f>
        <v/>
      </c>
      <c r="J176">
        <f>+IF(DesarrolloPartidos[[#This Row],[Partidos3]]="",DesarrolloPartidos[[#This Row],[Partidos4]],DesarrolloPartidos[[#This Row],[Partidos3]])</f>
        <v>4</v>
      </c>
      <c r="K176" t="str">
        <f>+DesarrolloPartidos[[#This Row],[Jugadores]]&amp;":"&amp;DesarrolloPartidos[[#This Row],[Orden]]</f>
        <v>21:10</v>
      </c>
    </row>
    <row r="177" spans="1:11">
      <c r="A177">
        <f t="shared" si="15"/>
        <v>21</v>
      </c>
      <c r="B177">
        <f t="shared" si="14"/>
        <v>6</v>
      </c>
      <c r="C177">
        <f t="shared" si="16"/>
        <v>3</v>
      </c>
      <c r="D177">
        <f t="shared" si="17"/>
        <v>3</v>
      </c>
      <c r="E177">
        <f t="shared" si="18"/>
        <v>11</v>
      </c>
      <c r="F177">
        <f>3*DesarrolloPartidos[[#This Row],[Partidos_3]]</f>
        <v>9</v>
      </c>
      <c r="G177">
        <f>IF(DesarrolloPartidos[[#This Row],[Partidos_3]]=0,0,ROUNDUP(DesarrolloPartidos[[#This Row],[Orden]]/DesarrolloPartidos[[#This Row],[JugEnPart3]]*DesarrolloPartidos[[#This Row],[Partidos_3]],0))</f>
        <v>4</v>
      </c>
      <c r="H177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177" t="str">
        <f>IF(AND(DesarrolloPartidos[[#This Row],[PartidosSolo3]]&lt;=DesarrolloPartidos[[#This Row],[Partidos_3]],DesarrolloPartidos[[#This Row],[PartidosSolo3]]&lt;&gt;0),DesarrolloPartidos[[#This Row],[PartidosSolo3]],"")</f>
        <v/>
      </c>
      <c r="J177">
        <f>+IF(DesarrolloPartidos[[#This Row],[Partidos3]]="",DesarrolloPartidos[[#This Row],[Partidos4]],DesarrolloPartidos[[#This Row],[Partidos3]])</f>
        <v>4</v>
      </c>
      <c r="K177" t="str">
        <f>+DesarrolloPartidos[[#This Row],[Jugadores]]&amp;":"&amp;DesarrolloPartidos[[#This Row],[Orden]]</f>
        <v>21:11</v>
      </c>
    </row>
    <row r="178" spans="1:11">
      <c r="A178">
        <f t="shared" si="15"/>
        <v>21</v>
      </c>
      <c r="B178">
        <f t="shared" si="14"/>
        <v>6</v>
      </c>
      <c r="C178">
        <f t="shared" si="16"/>
        <v>3</v>
      </c>
      <c r="D178">
        <f t="shared" si="17"/>
        <v>3</v>
      </c>
      <c r="E178">
        <f t="shared" si="18"/>
        <v>12</v>
      </c>
      <c r="F178">
        <f>3*DesarrolloPartidos[[#This Row],[Partidos_3]]</f>
        <v>9</v>
      </c>
      <c r="G178">
        <f>IF(DesarrolloPartidos[[#This Row],[Partidos_3]]=0,0,ROUNDUP(DesarrolloPartidos[[#This Row],[Orden]]/DesarrolloPartidos[[#This Row],[JugEnPart3]]*DesarrolloPartidos[[#This Row],[Partidos_3]],0))</f>
        <v>4</v>
      </c>
      <c r="H178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178" t="str">
        <f>IF(AND(DesarrolloPartidos[[#This Row],[PartidosSolo3]]&lt;=DesarrolloPartidos[[#This Row],[Partidos_3]],DesarrolloPartidos[[#This Row],[PartidosSolo3]]&lt;&gt;0),DesarrolloPartidos[[#This Row],[PartidosSolo3]],"")</f>
        <v/>
      </c>
      <c r="J178">
        <f>+IF(DesarrolloPartidos[[#This Row],[Partidos3]]="",DesarrolloPartidos[[#This Row],[Partidos4]],DesarrolloPartidos[[#This Row],[Partidos3]])</f>
        <v>4</v>
      </c>
      <c r="K178" t="str">
        <f>+DesarrolloPartidos[[#This Row],[Jugadores]]&amp;":"&amp;DesarrolloPartidos[[#This Row],[Orden]]</f>
        <v>21:12</v>
      </c>
    </row>
    <row r="179" spans="1:11">
      <c r="A179">
        <f t="shared" si="15"/>
        <v>21</v>
      </c>
      <c r="B179">
        <f t="shared" si="14"/>
        <v>6</v>
      </c>
      <c r="C179">
        <f t="shared" si="16"/>
        <v>3</v>
      </c>
      <c r="D179">
        <f t="shared" si="17"/>
        <v>3</v>
      </c>
      <c r="E179">
        <f t="shared" si="18"/>
        <v>13</v>
      </c>
      <c r="F179">
        <f>3*DesarrolloPartidos[[#This Row],[Partidos_3]]</f>
        <v>9</v>
      </c>
      <c r="G179">
        <f>IF(DesarrolloPartidos[[#This Row],[Partidos_3]]=0,0,ROUNDUP(DesarrolloPartidos[[#This Row],[Orden]]/DesarrolloPartidos[[#This Row],[JugEnPart3]]*DesarrolloPartidos[[#This Row],[Partidos_3]],0))</f>
        <v>5</v>
      </c>
      <c r="H179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179" t="str">
        <f>IF(AND(DesarrolloPartidos[[#This Row],[PartidosSolo3]]&lt;=DesarrolloPartidos[[#This Row],[Partidos_3]],DesarrolloPartidos[[#This Row],[PartidosSolo3]]&lt;&gt;0),DesarrolloPartidos[[#This Row],[PartidosSolo3]],"")</f>
        <v/>
      </c>
      <c r="J179">
        <f>+IF(DesarrolloPartidos[[#This Row],[Partidos3]]="",DesarrolloPartidos[[#This Row],[Partidos4]],DesarrolloPartidos[[#This Row],[Partidos3]])</f>
        <v>4</v>
      </c>
      <c r="K179" t="str">
        <f>+DesarrolloPartidos[[#This Row],[Jugadores]]&amp;":"&amp;DesarrolloPartidos[[#This Row],[Orden]]</f>
        <v>21:13</v>
      </c>
    </row>
    <row r="180" spans="1:11">
      <c r="A180">
        <f t="shared" si="15"/>
        <v>21</v>
      </c>
      <c r="B180">
        <f t="shared" si="14"/>
        <v>6</v>
      </c>
      <c r="C180">
        <f t="shared" si="16"/>
        <v>3</v>
      </c>
      <c r="D180">
        <f t="shared" si="17"/>
        <v>3</v>
      </c>
      <c r="E180">
        <f t="shared" si="18"/>
        <v>14</v>
      </c>
      <c r="F180">
        <f>3*DesarrolloPartidos[[#This Row],[Partidos_3]]</f>
        <v>9</v>
      </c>
      <c r="G180">
        <f>IF(DesarrolloPartidos[[#This Row],[Partidos_3]]=0,0,ROUNDUP(DesarrolloPartidos[[#This Row],[Orden]]/DesarrolloPartidos[[#This Row],[JugEnPart3]]*DesarrolloPartidos[[#This Row],[Partidos_3]],0))</f>
        <v>5</v>
      </c>
      <c r="H180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5</v>
      </c>
      <c r="I180" t="str">
        <f>IF(AND(DesarrolloPartidos[[#This Row],[PartidosSolo3]]&lt;=DesarrolloPartidos[[#This Row],[Partidos_3]],DesarrolloPartidos[[#This Row],[PartidosSolo3]]&lt;&gt;0),DesarrolloPartidos[[#This Row],[PartidosSolo3]],"")</f>
        <v/>
      </c>
      <c r="J180">
        <f>+IF(DesarrolloPartidos[[#This Row],[Partidos3]]="",DesarrolloPartidos[[#This Row],[Partidos4]],DesarrolloPartidos[[#This Row],[Partidos3]])</f>
        <v>5</v>
      </c>
      <c r="K180" t="str">
        <f>+DesarrolloPartidos[[#This Row],[Jugadores]]&amp;":"&amp;DesarrolloPartidos[[#This Row],[Orden]]</f>
        <v>21:14</v>
      </c>
    </row>
    <row r="181" spans="1:11">
      <c r="A181">
        <f t="shared" si="15"/>
        <v>21</v>
      </c>
      <c r="B181">
        <f t="shared" si="14"/>
        <v>6</v>
      </c>
      <c r="C181">
        <f t="shared" si="16"/>
        <v>3</v>
      </c>
      <c r="D181">
        <f t="shared" si="17"/>
        <v>3</v>
      </c>
      <c r="E181">
        <f t="shared" si="18"/>
        <v>15</v>
      </c>
      <c r="F181">
        <f>3*DesarrolloPartidos[[#This Row],[Partidos_3]]</f>
        <v>9</v>
      </c>
      <c r="G181">
        <f>IF(DesarrolloPartidos[[#This Row],[Partidos_3]]=0,0,ROUNDUP(DesarrolloPartidos[[#This Row],[Orden]]/DesarrolloPartidos[[#This Row],[JugEnPart3]]*DesarrolloPartidos[[#This Row],[Partidos_3]],0))</f>
        <v>5</v>
      </c>
      <c r="H181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5</v>
      </c>
      <c r="I181" t="str">
        <f>IF(AND(DesarrolloPartidos[[#This Row],[PartidosSolo3]]&lt;=DesarrolloPartidos[[#This Row],[Partidos_3]],DesarrolloPartidos[[#This Row],[PartidosSolo3]]&lt;&gt;0),DesarrolloPartidos[[#This Row],[PartidosSolo3]],"")</f>
        <v/>
      </c>
      <c r="J181">
        <f>+IF(DesarrolloPartidos[[#This Row],[Partidos3]]="",DesarrolloPartidos[[#This Row],[Partidos4]],DesarrolloPartidos[[#This Row],[Partidos3]])</f>
        <v>5</v>
      </c>
      <c r="K181" t="str">
        <f>+DesarrolloPartidos[[#This Row],[Jugadores]]&amp;":"&amp;DesarrolloPartidos[[#This Row],[Orden]]</f>
        <v>21:15</v>
      </c>
    </row>
    <row r="182" spans="1:11">
      <c r="A182">
        <f t="shared" si="15"/>
        <v>21</v>
      </c>
      <c r="B182">
        <f t="shared" si="14"/>
        <v>6</v>
      </c>
      <c r="C182">
        <f t="shared" si="16"/>
        <v>3</v>
      </c>
      <c r="D182">
        <f t="shared" si="17"/>
        <v>3</v>
      </c>
      <c r="E182">
        <f t="shared" si="18"/>
        <v>16</v>
      </c>
      <c r="F182">
        <f>3*DesarrolloPartidos[[#This Row],[Partidos_3]]</f>
        <v>9</v>
      </c>
      <c r="G182">
        <f>IF(DesarrolloPartidos[[#This Row],[Partidos_3]]=0,0,ROUNDUP(DesarrolloPartidos[[#This Row],[Orden]]/DesarrolloPartidos[[#This Row],[JugEnPart3]]*DesarrolloPartidos[[#This Row],[Partidos_3]],0))</f>
        <v>6</v>
      </c>
      <c r="H182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5</v>
      </c>
      <c r="I182" t="str">
        <f>IF(AND(DesarrolloPartidos[[#This Row],[PartidosSolo3]]&lt;=DesarrolloPartidos[[#This Row],[Partidos_3]],DesarrolloPartidos[[#This Row],[PartidosSolo3]]&lt;&gt;0),DesarrolloPartidos[[#This Row],[PartidosSolo3]],"")</f>
        <v/>
      </c>
      <c r="J182">
        <f>+IF(DesarrolloPartidos[[#This Row],[Partidos3]]="",DesarrolloPartidos[[#This Row],[Partidos4]],DesarrolloPartidos[[#This Row],[Partidos3]])</f>
        <v>5</v>
      </c>
      <c r="K182" t="str">
        <f>+DesarrolloPartidos[[#This Row],[Jugadores]]&amp;":"&amp;DesarrolloPartidos[[#This Row],[Orden]]</f>
        <v>21:16</v>
      </c>
    </row>
    <row r="183" spans="1:11">
      <c r="A183">
        <f t="shared" si="15"/>
        <v>21</v>
      </c>
      <c r="B183">
        <f t="shared" si="14"/>
        <v>6</v>
      </c>
      <c r="C183">
        <f t="shared" si="16"/>
        <v>3</v>
      </c>
      <c r="D183">
        <f t="shared" si="17"/>
        <v>3</v>
      </c>
      <c r="E183">
        <f t="shared" si="18"/>
        <v>17</v>
      </c>
      <c r="F183">
        <f>3*DesarrolloPartidos[[#This Row],[Partidos_3]]</f>
        <v>9</v>
      </c>
      <c r="G183">
        <f>IF(DesarrolloPartidos[[#This Row],[Partidos_3]]=0,0,ROUNDUP(DesarrolloPartidos[[#This Row],[Orden]]/DesarrolloPartidos[[#This Row],[JugEnPart3]]*DesarrolloPartidos[[#This Row],[Partidos_3]],0))</f>
        <v>6</v>
      </c>
      <c r="H183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5</v>
      </c>
      <c r="I183" t="str">
        <f>IF(AND(DesarrolloPartidos[[#This Row],[PartidosSolo3]]&lt;=DesarrolloPartidos[[#This Row],[Partidos_3]],DesarrolloPartidos[[#This Row],[PartidosSolo3]]&lt;&gt;0),DesarrolloPartidos[[#This Row],[PartidosSolo3]],"")</f>
        <v/>
      </c>
      <c r="J183">
        <f>+IF(DesarrolloPartidos[[#This Row],[Partidos3]]="",DesarrolloPartidos[[#This Row],[Partidos4]],DesarrolloPartidos[[#This Row],[Partidos3]])</f>
        <v>5</v>
      </c>
      <c r="K183" t="str">
        <f>+DesarrolloPartidos[[#This Row],[Jugadores]]&amp;":"&amp;DesarrolloPartidos[[#This Row],[Orden]]</f>
        <v>21:17</v>
      </c>
    </row>
    <row r="184" spans="1:11">
      <c r="A184">
        <f t="shared" si="15"/>
        <v>21</v>
      </c>
      <c r="B184">
        <f t="shared" si="14"/>
        <v>6</v>
      </c>
      <c r="C184">
        <f t="shared" si="16"/>
        <v>3</v>
      </c>
      <c r="D184">
        <f t="shared" si="17"/>
        <v>3</v>
      </c>
      <c r="E184">
        <f t="shared" si="18"/>
        <v>18</v>
      </c>
      <c r="F184">
        <f>3*DesarrolloPartidos[[#This Row],[Partidos_3]]</f>
        <v>9</v>
      </c>
      <c r="G184">
        <f>IF(DesarrolloPartidos[[#This Row],[Partidos_3]]=0,0,ROUNDUP(DesarrolloPartidos[[#This Row],[Orden]]/DesarrolloPartidos[[#This Row],[JugEnPart3]]*DesarrolloPartidos[[#This Row],[Partidos_3]],0))</f>
        <v>6</v>
      </c>
      <c r="H184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6</v>
      </c>
      <c r="I184" t="str">
        <f>IF(AND(DesarrolloPartidos[[#This Row],[PartidosSolo3]]&lt;=DesarrolloPartidos[[#This Row],[Partidos_3]],DesarrolloPartidos[[#This Row],[PartidosSolo3]]&lt;&gt;0),DesarrolloPartidos[[#This Row],[PartidosSolo3]],"")</f>
        <v/>
      </c>
      <c r="J184">
        <f>+IF(DesarrolloPartidos[[#This Row],[Partidos3]]="",DesarrolloPartidos[[#This Row],[Partidos4]],DesarrolloPartidos[[#This Row],[Partidos3]])</f>
        <v>6</v>
      </c>
      <c r="K184" t="str">
        <f>+DesarrolloPartidos[[#This Row],[Jugadores]]&amp;":"&amp;DesarrolloPartidos[[#This Row],[Orden]]</f>
        <v>21:18</v>
      </c>
    </row>
    <row r="185" spans="1:11">
      <c r="A185">
        <f t="shared" si="15"/>
        <v>21</v>
      </c>
      <c r="B185">
        <f t="shared" si="14"/>
        <v>6</v>
      </c>
      <c r="C185">
        <f t="shared" si="16"/>
        <v>3</v>
      </c>
      <c r="D185">
        <f t="shared" si="17"/>
        <v>3</v>
      </c>
      <c r="E185">
        <f t="shared" si="18"/>
        <v>19</v>
      </c>
      <c r="F185">
        <f>3*DesarrolloPartidos[[#This Row],[Partidos_3]]</f>
        <v>9</v>
      </c>
      <c r="G185">
        <f>IF(DesarrolloPartidos[[#This Row],[Partidos_3]]=0,0,ROUNDUP(DesarrolloPartidos[[#This Row],[Orden]]/DesarrolloPartidos[[#This Row],[JugEnPart3]]*DesarrolloPartidos[[#This Row],[Partidos_3]],0))</f>
        <v>7</v>
      </c>
      <c r="H185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6</v>
      </c>
      <c r="I185" t="str">
        <f>IF(AND(DesarrolloPartidos[[#This Row],[PartidosSolo3]]&lt;=DesarrolloPartidos[[#This Row],[Partidos_3]],DesarrolloPartidos[[#This Row],[PartidosSolo3]]&lt;&gt;0),DesarrolloPartidos[[#This Row],[PartidosSolo3]],"")</f>
        <v/>
      </c>
      <c r="J185">
        <f>+IF(DesarrolloPartidos[[#This Row],[Partidos3]]="",DesarrolloPartidos[[#This Row],[Partidos4]],DesarrolloPartidos[[#This Row],[Partidos3]])</f>
        <v>6</v>
      </c>
      <c r="K185" t="str">
        <f>+DesarrolloPartidos[[#This Row],[Jugadores]]&amp;":"&amp;DesarrolloPartidos[[#This Row],[Orden]]</f>
        <v>21:19</v>
      </c>
    </row>
    <row r="186" spans="1:11">
      <c r="A186">
        <f t="shared" si="15"/>
        <v>21</v>
      </c>
      <c r="B186">
        <f t="shared" si="14"/>
        <v>6</v>
      </c>
      <c r="C186">
        <f t="shared" si="16"/>
        <v>3</v>
      </c>
      <c r="D186">
        <f t="shared" si="17"/>
        <v>3</v>
      </c>
      <c r="E186">
        <f t="shared" si="18"/>
        <v>20</v>
      </c>
      <c r="F186">
        <f>3*DesarrolloPartidos[[#This Row],[Partidos_3]]</f>
        <v>9</v>
      </c>
      <c r="G186">
        <f>IF(DesarrolloPartidos[[#This Row],[Partidos_3]]=0,0,ROUNDUP(DesarrolloPartidos[[#This Row],[Orden]]/DesarrolloPartidos[[#This Row],[JugEnPart3]]*DesarrolloPartidos[[#This Row],[Partidos_3]],0))</f>
        <v>7</v>
      </c>
      <c r="H186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6</v>
      </c>
      <c r="I186" t="str">
        <f>IF(AND(DesarrolloPartidos[[#This Row],[PartidosSolo3]]&lt;=DesarrolloPartidos[[#This Row],[Partidos_3]],DesarrolloPartidos[[#This Row],[PartidosSolo3]]&lt;&gt;0),DesarrolloPartidos[[#This Row],[PartidosSolo3]],"")</f>
        <v/>
      </c>
      <c r="J186">
        <f>+IF(DesarrolloPartidos[[#This Row],[Partidos3]]="",DesarrolloPartidos[[#This Row],[Partidos4]],DesarrolloPartidos[[#This Row],[Partidos3]])</f>
        <v>6</v>
      </c>
      <c r="K186" t="str">
        <f>+DesarrolloPartidos[[#This Row],[Jugadores]]&amp;":"&amp;DesarrolloPartidos[[#This Row],[Orden]]</f>
        <v>21:20</v>
      </c>
    </row>
    <row r="187" spans="1:11">
      <c r="A187">
        <f t="shared" si="15"/>
        <v>21</v>
      </c>
      <c r="B187">
        <f t="shared" si="14"/>
        <v>6</v>
      </c>
      <c r="C187">
        <f t="shared" si="16"/>
        <v>3</v>
      </c>
      <c r="D187">
        <f t="shared" si="17"/>
        <v>3</v>
      </c>
      <c r="E187">
        <f t="shared" si="18"/>
        <v>21</v>
      </c>
      <c r="F187">
        <f>3*DesarrolloPartidos[[#This Row],[Partidos_3]]</f>
        <v>9</v>
      </c>
      <c r="G187">
        <f>IF(DesarrolloPartidos[[#This Row],[Partidos_3]]=0,0,ROUNDUP(DesarrolloPartidos[[#This Row],[Orden]]/DesarrolloPartidos[[#This Row],[JugEnPart3]]*DesarrolloPartidos[[#This Row],[Partidos_3]],0))</f>
        <v>7</v>
      </c>
      <c r="H187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6</v>
      </c>
      <c r="I187" t="str">
        <f>IF(AND(DesarrolloPartidos[[#This Row],[PartidosSolo3]]&lt;=DesarrolloPartidos[[#This Row],[Partidos_3]],DesarrolloPartidos[[#This Row],[PartidosSolo3]]&lt;&gt;0),DesarrolloPartidos[[#This Row],[PartidosSolo3]],"")</f>
        <v/>
      </c>
      <c r="J187">
        <f>+IF(DesarrolloPartidos[[#This Row],[Partidos3]]="",DesarrolloPartidos[[#This Row],[Partidos4]],DesarrolloPartidos[[#This Row],[Partidos3]])</f>
        <v>6</v>
      </c>
      <c r="K187" t="str">
        <f>+DesarrolloPartidos[[#This Row],[Jugadores]]&amp;":"&amp;DesarrolloPartidos[[#This Row],[Orden]]</f>
        <v>21:21</v>
      </c>
    </row>
    <row r="188" spans="1:11">
      <c r="A188">
        <f t="shared" si="15"/>
        <v>22</v>
      </c>
      <c r="B188">
        <f t="shared" si="14"/>
        <v>6</v>
      </c>
      <c r="C188">
        <f t="shared" si="16"/>
        <v>2</v>
      </c>
      <c r="D188">
        <f t="shared" si="17"/>
        <v>4</v>
      </c>
      <c r="E188">
        <f t="shared" si="18"/>
        <v>1</v>
      </c>
      <c r="F188">
        <f>3*DesarrolloPartidos[[#This Row],[Partidos_3]]</f>
        <v>6</v>
      </c>
      <c r="G188">
        <f>IF(DesarrolloPartidos[[#This Row],[Partidos_3]]=0,0,ROUNDUP(DesarrolloPartidos[[#This Row],[Orden]]/DesarrolloPartidos[[#This Row],[JugEnPart3]]*DesarrolloPartidos[[#This Row],[Partidos_3]],0))</f>
        <v>1</v>
      </c>
      <c r="H188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188">
        <f>IF(AND(DesarrolloPartidos[[#This Row],[PartidosSolo3]]&lt;=DesarrolloPartidos[[#This Row],[Partidos_3]],DesarrolloPartidos[[#This Row],[PartidosSolo3]]&lt;&gt;0),DesarrolloPartidos[[#This Row],[PartidosSolo3]],"")</f>
        <v>1</v>
      </c>
      <c r="J188">
        <f>+IF(DesarrolloPartidos[[#This Row],[Partidos3]]="",DesarrolloPartidos[[#This Row],[Partidos4]],DesarrolloPartidos[[#This Row],[Partidos3]])</f>
        <v>1</v>
      </c>
      <c r="K188" t="str">
        <f>+DesarrolloPartidos[[#This Row],[Jugadores]]&amp;":"&amp;DesarrolloPartidos[[#This Row],[Orden]]</f>
        <v>22:1</v>
      </c>
    </row>
    <row r="189" spans="1:11">
      <c r="A189">
        <f t="shared" si="15"/>
        <v>22</v>
      </c>
      <c r="B189">
        <f t="shared" si="14"/>
        <v>6</v>
      </c>
      <c r="C189">
        <f t="shared" si="16"/>
        <v>2</v>
      </c>
      <c r="D189">
        <f t="shared" si="17"/>
        <v>4</v>
      </c>
      <c r="E189">
        <f t="shared" si="18"/>
        <v>2</v>
      </c>
      <c r="F189">
        <f>3*DesarrolloPartidos[[#This Row],[Partidos_3]]</f>
        <v>6</v>
      </c>
      <c r="G189">
        <f>IF(DesarrolloPartidos[[#This Row],[Partidos_3]]=0,0,ROUNDUP(DesarrolloPartidos[[#This Row],[Orden]]/DesarrolloPartidos[[#This Row],[JugEnPart3]]*DesarrolloPartidos[[#This Row],[Partidos_3]],0))</f>
        <v>1</v>
      </c>
      <c r="H189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189">
        <f>IF(AND(DesarrolloPartidos[[#This Row],[PartidosSolo3]]&lt;=DesarrolloPartidos[[#This Row],[Partidos_3]],DesarrolloPartidos[[#This Row],[PartidosSolo3]]&lt;&gt;0),DesarrolloPartidos[[#This Row],[PartidosSolo3]],"")</f>
        <v>1</v>
      </c>
      <c r="J189">
        <f>+IF(DesarrolloPartidos[[#This Row],[Partidos3]]="",DesarrolloPartidos[[#This Row],[Partidos4]],DesarrolloPartidos[[#This Row],[Partidos3]])</f>
        <v>1</v>
      </c>
      <c r="K189" t="str">
        <f>+DesarrolloPartidos[[#This Row],[Jugadores]]&amp;":"&amp;DesarrolloPartidos[[#This Row],[Orden]]</f>
        <v>22:2</v>
      </c>
    </row>
    <row r="190" spans="1:11">
      <c r="A190">
        <f t="shared" si="15"/>
        <v>22</v>
      </c>
      <c r="B190">
        <f t="shared" si="14"/>
        <v>6</v>
      </c>
      <c r="C190">
        <f t="shared" si="16"/>
        <v>2</v>
      </c>
      <c r="D190">
        <f t="shared" si="17"/>
        <v>4</v>
      </c>
      <c r="E190">
        <f t="shared" si="18"/>
        <v>3</v>
      </c>
      <c r="F190">
        <f>3*DesarrolloPartidos[[#This Row],[Partidos_3]]</f>
        <v>6</v>
      </c>
      <c r="G190">
        <f>IF(DesarrolloPartidos[[#This Row],[Partidos_3]]=0,0,ROUNDUP(DesarrolloPartidos[[#This Row],[Orden]]/DesarrolloPartidos[[#This Row],[JugEnPart3]]*DesarrolloPartidos[[#This Row],[Partidos_3]],0))</f>
        <v>1</v>
      </c>
      <c r="H190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190">
        <f>IF(AND(DesarrolloPartidos[[#This Row],[PartidosSolo3]]&lt;=DesarrolloPartidos[[#This Row],[Partidos_3]],DesarrolloPartidos[[#This Row],[PartidosSolo3]]&lt;&gt;0),DesarrolloPartidos[[#This Row],[PartidosSolo3]],"")</f>
        <v>1</v>
      </c>
      <c r="J190">
        <f>+IF(DesarrolloPartidos[[#This Row],[Partidos3]]="",DesarrolloPartidos[[#This Row],[Partidos4]],DesarrolloPartidos[[#This Row],[Partidos3]])</f>
        <v>1</v>
      </c>
      <c r="K190" t="str">
        <f>+DesarrolloPartidos[[#This Row],[Jugadores]]&amp;":"&amp;DesarrolloPartidos[[#This Row],[Orden]]</f>
        <v>22:3</v>
      </c>
    </row>
    <row r="191" spans="1:11">
      <c r="A191">
        <f t="shared" si="15"/>
        <v>22</v>
      </c>
      <c r="B191">
        <f t="shared" si="14"/>
        <v>6</v>
      </c>
      <c r="C191">
        <f t="shared" si="16"/>
        <v>2</v>
      </c>
      <c r="D191">
        <f t="shared" si="17"/>
        <v>4</v>
      </c>
      <c r="E191">
        <f t="shared" si="18"/>
        <v>4</v>
      </c>
      <c r="F191">
        <f>3*DesarrolloPartidos[[#This Row],[Partidos_3]]</f>
        <v>6</v>
      </c>
      <c r="G191">
        <f>IF(DesarrolloPartidos[[#This Row],[Partidos_3]]=0,0,ROUNDUP(DesarrolloPartidos[[#This Row],[Orden]]/DesarrolloPartidos[[#This Row],[JugEnPart3]]*DesarrolloPartidos[[#This Row],[Partidos_3]],0))</f>
        <v>2</v>
      </c>
      <c r="H191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191">
        <f>IF(AND(DesarrolloPartidos[[#This Row],[PartidosSolo3]]&lt;=DesarrolloPartidos[[#This Row],[Partidos_3]],DesarrolloPartidos[[#This Row],[PartidosSolo3]]&lt;&gt;0),DesarrolloPartidos[[#This Row],[PartidosSolo3]],"")</f>
        <v>2</v>
      </c>
      <c r="J191">
        <f>+IF(DesarrolloPartidos[[#This Row],[Partidos3]]="",DesarrolloPartidos[[#This Row],[Partidos4]],DesarrolloPartidos[[#This Row],[Partidos3]])</f>
        <v>2</v>
      </c>
      <c r="K191" t="str">
        <f>+DesarrolloPartidos[[#This Row],[Jugadores]]&amp;":"&amp;DesarrolloPartidos[[#This Row],[Orden]]</f>
        <v>22:4</v>
      </c>
    </row>
    <row r="192" spans="1:11">
      <c r="A192">
        <f t="shared" si="15"/>
        <v>22</v>
      </c>
      <c r="B192">
        <f t="shared" si="14"/>
        <v>6</v>
      </c>
      <c r="C192">
        <f t="shared" si="16"/>
        <v>2</v>
      </c>
      <c r="D192">
        <f t="shared" si="17"/>
        <v>4</v>
      </c>
      <c r="E192">
        <f t="shared" si="18"/>
        <v>5</v>
      </c>
      <c r="F192">
        <f>3*DesarrolloPartidos[[#This Row],[Partidos_3]]</f>
        <v>6</v>
      </c>
      <c r="G192">
        <f>IF(DesarrolloPartidos[[#This Row],[Partidos_3]]=0,0,ROUNDUP(DesarrolloPartidos[[#This Row],[Orden]]/DesarrolloPartidos[[#This Row],[JugEnPart3]]*DesarrolloPartidos[[#This Row],[Partidos_3]],0))</f>
        <v>2</v>
      </c>
      <c r="H192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192">
        <f>IF(AND(DesarrolloPartidos[[#This Row],[PartidosSolo3]]&lt;=DesarrolloPartidos[[#This Row],[Partidos_3]],DesarrolloPartidos[[#This Row],[PartidosSolo3]]&lt;&gt;0),DesarrolloPartidos[[#This Row],[PartidosSolo3]],"")</f>
        <v>2</v>
      </c>
      <c r="J192">
        <f>+IF(DesarrolloPartidos[[#This Row],[Partidos3]]="",DesarrolloPartidos[[#This Row],[Partidos4]],DesarrolloPartidos[[#This Row],[Partidos3]])</f>
        <v>2</v>
      </c>
      <c r="K192" t="str">
        <f>+DesarrolloPartidos[[#This Row],[Jugadores]]&amp;":"&amp;DesarrolloPartidos[[#This Row],[Orden]]</f>
        <v>22:5</v>
      </c>
    </row>
    <row r="193" spans="1:11">
      <c r="A193">
        <f t="shared" si="15"/>
        <v>22</v>
      </c>
      <c r="B193">
        <f t="shared" si="14"/>
        <v>6</v>
      </c>
      <c r="C193">
        <f t="shared" si="16"/>
        <v>2</v>
      </c>
      <c r="D193">
        <f t="shared" si="17"/>
        <v>4</v>
      </c>
      <c r="E193">
        <f t="shared" si="18"/>
        <v>6</v>
      </c>
      <c r="F193">
        <f>3*DesarrolloPartidos[[#This Row],[Partidos_3]]</f>
        <v>6</v>
      </c>
      <c r="G193">
        <f>IF(DesarrolloPartidos[[#This Row],[Partidos_3]]=0,0,ROUNDUP(DesarrolloPartidos[[#This Row],[Orden]]/DesarrolloPartidos[[#This Row],[JugEnPart3]]*DesarrolloPartidos[[#This Row],[Partidos_3]],0))</f>
        <v>2</v>
      </c>
      <c r="H193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193">
        <f>IF(AND(DesarrolloPartidos[[#This Row],[PartidosSolo3]]&lt;=DesarrolloPartidos[[#This Row],[Partidos_3]],DesarrolloPartidos[[#This Row],[PartidosSolo3]]&lt;&gt;0),DesarrolloPartidos[[#This Row],[PartidosSolo3]],"")</f>
        <v>2</v>
      </c>
      <c r="J193">
        <f>+IF(DesarrolloPartidos[[#This Row],[Partidos3]]="",DesarrolloPartidos[[#This Row],[Partidos4]],DesarrolloPartidos[[#This Row],[Partidos3]])</f>
        <v>2</v>
      </c>
      <c r="K193" t="str">
        <f>+DesarrolloPartidos[[#This Row],[Jugadores]]&amp;":"&amp;DesarrolloPartidos[[#This Row],[Orden]]</f>
        <v>22:6</v>
      </c>
    </row>
    <row r="194" spans="1:11">
      <c r="A194">
        <f t="shared" si="15"/>
        <v>22</v>
      </c>
      <c r="B194">
        <f t="shared" si="14"/>
        <v>6</v>
      </c>
      <c r="C194">
        <f t="shared" si="16"/>
        <v>2</v>
      </c>
      <c r="D194">
        <f t="shared" si="17"/>
        <v>4</v>
      </c>
      <c r="E194">
        <f t="shared" si="18"/>
        <v>7</v>
      </c>
      <c r="F194">
        <f>3*DesarrolloPartidos[[#This Row],[Partidos_3]]</f>
        <v>6</v>
      </c>
      <c r="G194">
        <f>IF(DesarrolloPartidos[[#This Row],[Partidos_3]]=0,0,ROUNDUP(DesarrolloPartidos[[#This Row],[Orden]]/DesarrolloPartidos[[#This Row],[JugEnPart3]]*DesarrolloPartidos[[#This Row],[Partidos_3]],0))</f>
        <v>3</v>
      </c>
      <c r="H194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3</v>
      </c>
      <c r="I194" t="str">
        <f>IF(AND(DesarrolloPartidos[[#This Row],[PartidosSolo3]]&lt;=DesarrolloPartidos[[#This Row],[Partidos_3]],DesarrolloPartidos[[#This Row],[PartidosSolo3]]&lt;&gt;0),DesarrolloPartidos[[#This Row],[PartidosSolo3]],"")</f>
        <v/>
      </c>
      <c r="J194">
        <f>+IF(DesarrolloPartidos[[#This Row],[Partidos3]]="",DesarrolloPartidos[[#This Row],[Partidos4]],DesarrolloPartidos[[#This Row],[Partidos3]])</f>
        <v>3</v>
      </c>
      <c r="K194" t="str">
        <f>+DesarrolloPartidos[[#This Row],[Jugadores]]&amp;":"&amp;DesarrolloPartidos[[#This Row],[Orden]]</f>
        <v>22:7</v>
      </c>
    </row>
    <row r="195" spans="1:11">
      <c r="A195">
        <f t="shared" si="15"/>
        <v>22</v>
      </c>
      <c r="B195">
        <f t="shared" ref="B195:B258" si="19">+ROUNDUP(A195/4,0)</f>
        <v>6</v>
      </c>
      <c r="C195">
        <f t="shared" si="16"/>
        <v>2</v>
      </c>
      <c r="D195">
        <f t="shared" si="17"/>
        <v>4</v>
      </c>
      <c r="E195">
        <f t="shared" si="18"/>
        <v>8</v>
      </c>
      <c r="F195">
        <f>3*DesarrolloPartidos[[#This Row],[Partidos_3]]</f>
        <v>6</v>
      </c>
      <c r="G195">
        <f>IF(DesarrolloPartidos[[#This Row],[Partidos_3]]=0,0,ROUNDUP(DesarrolloPartidos[[#This Row],[Orden]]/DesarrolloPartidos[[#This Row],[JugEnPart3]]*DesarrolloPartidos[[#This Row],[Partidos_3]],0))</f>
        <v>3</v>
      </c>
      <c r="H195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3</v>
      </c>
      <c r="I195" t="str">
        <f>IF(AND(DesarrolloPartidos[[#This Row],[PartidosSolo3]]&lt;=DesarrolloPartidos[[#This Row],[Partidos_3]],DesarrolloPartidos[[#This Row],[PartidosSolo3]]&lt;&gt;0),DesarrolloPartidos[[#This Row],[PartidosSolo3]],"")</f>
        <v/>
      </c>
      <c r="J195">
        <f>+IF(DesarrolloPartidos[[#This Row],[Partidos3]]="",DesarrolloPartidos[[#This Row],[Partidos4]],DesarrolloPartidos[[#This Row],[Partidos3]])</f>
        <v>3</v>
      </c>
      <c r="K195" t="str">
        <f>+DesarrolloPartidos[[#This Row],[Jugadores]]&amp;":"&amp;DesarrolloPartidos[[#This Row],[Orden]]</f>
        <v>22:8</v>
      </c>
    </row>
    <row r="196" spans="1:11">
      <c r="A196">
        <f t="shared" ref="A196:A259" si="20">+IF(ROW(A195)=1,10,IF(A195=E195,A195+1,A195))</f>
        <v>22</v>
      </c>
      <c r="B196">
        <f t="shared" si="19"/>
        <v>6</v>
      </c>
      <c r="C196">
        <f t="shared" ref="C196:C259" si="21">+(B196-A196/4)/0.25</f>
        <v>2</v>
      </c>
      <c r="D196">
        <f t="shared" ref="D196:D259" si="22">+B196-C196</f>
        <v>4</v>
      </c>
      <c r="E196">
        <f t="shared" ref="E196:E259" si="23">+IF(ROW(E195)=1,1,IF(E195=A195,1,E195+1))</f>
        <v>9</v>
      </c>
      <c r="F196">
        <f>3*DesarrolloPartidos[[#This Row],[Partidos_3]]</f>
        <v>6</v>
      </c>
      <c r="G196">
        <f>IF(DesarrolloPartidos[[#This Row],[Partidos_3]]=0,0,ROUNDUP(DesarrolloPartidos[[#This Row],[Orden]]/DesarrolloPartidos[[#This Row],[JugEnPart3]]*DesarrolloPartidos[[#This Row],[Partidos_3]],0))</f>
        <v>3</v>
      </c>
      <c r="H196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3</v>
      </c>
      <c r="I196" t="str">
        <f>IF(AND(DesarrolloPartidos[[#This Row],[PartidosSolo3]]&lt;=DesarrolloPartidos[[#This Row],[Partidos_3]],DesarrolloPartidos[[#This Row],[PartidosSolo3]]&lt;&gt;0),DesarrolloPartidos[[#This Row],[PartidosSolo3]],"")</f>
        <v/>
      </c>
      <c r="J196">
        <f>+IF(DesarrolloPartidos[[#This Row],[Partidos3]]="",DesarrolloPartidos[[#This Row],[Partidos4]],DesarrolloPartidos[[#This Row],[Partidos3]])</f>
        <v>3</v>
      </c>
      <c r="K196" t="str">
        <f>+DesarrolloPartidos[[#This Row],[Jugadores]]&amp;":"&amp;DesarrolloPartidos[[#This Row],[Orden]]</f>
        <v>22:9</v>
      </c>
    </row>
    <row r="197" spans="1:11">
      <c r="A197">
        <f t="shared" si="20"/>
        <v>22</v>
      </c>
      <c r="B197">
        <f t="shared" si="19"/>
        <v>6</v>
      </c>
      <c r="C197">
        <f t="shared" si="21"/>
        <v>2</v>
      </c>
      <c r="D197">
        <f t="shared" si="22"/>
        <v>4</v>
      </c>
      <c r="E197">
        <f t="shared" si="23"/>
        <v>10</v>
      </c>
      <c r="F197">
        <f>3*DesarrolloPartidos[[#This Row],[Partidos_3]]</f>
        <v>6</v>
      </c>
      <c r="G197">
        <f>IF(DesarrolloPartidos[[#This Row],[Partidos_3]]=0,0,ROUNDUP(DesarrolloPartidos[[#This Row],[Orden]]/DesarrolloPartidos[[#This Row],[JugEnPart3]]*DesarrolloPartidos[[#This Row],[Partidos_3]],0))</f>
        <v>4</v>
      </c>
      <c r="H197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3</v>
      </c>
      <c r="I197" t="str">
        <f>IF(AND(DesarrolloPartidos[[#This Row],[PartidosSolo3]]&lt;=DesarrolloPartidos[[#This Row],[Partidos_3]],DesarrolloPartidos[[#This Row],[PartidosSolo3]]&lt;&gt;0),DesarrolloPartidos[[#This Row],[PartidosSolo3]],"")</f>
        <v/>
      </c>
      <c r="J197">
        <f>+IF(DesarrolloPartidos[[#This Row],[Partidos3]]="",DesarrolloPartidos[[#This Row],[Partidos4]],DesarrolloPartidos[[#This Row],[Partidos3]])</f>
        <v>3</v>
      </c>
      <c r="K197" t="str">
        <f>+DesarrolloPartidos[[#This Row],[Jugadores]]&amp;":"&amp;DesarrolloPartidos[[#This Row],[Orden]]</f>
        <v>22:10</v>
      </c>
    </row>
    <row r="198" spans="1:11">
      <c r="A198">
        <f t="shared" si="20"/>
        <v>22</v>
      </c>
      <c r="B198">
        <f t="shared" si="19"/>
        <v>6</v>
      </c>
      <c r="C198">
        <f t="shared" si="21"/>
        <v>2</v>
      </c>
      <c r="D198">
        <f t="shared" si="22"/>
        <v>4</v>
      </c>
      <c r="E198">
        <f t="shared" si="23"/>
        <v>11</v>
      </c>
      <c r="F198">
        <f>3*DesarrolloPartidos[[#This Row],[Partidos_3]]</f>
        <v>6</v>
      </c>
      <c r="G198">
        <f>IF(DesarrolloPartidos[[#This Row],[Partidos_3]]=0,0,ROUNDUP(DesarrolloPartidos[[#This Row],[Orden]]/DesarrolloPartidos[[#This Row],[JugEnPart3]]*DesarrolloPartidos[[#This Row],[Partidos_3]],0))</f>
        <v>4</v>
      </c>
      <c r="H198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198" t="str">
        <f>IF(AND(DesarrolloPartidos[[#This Row],[PartidosSolo3]]&lt;=DesarrolloPartidos[[#This Row],[Partidos_3]],DesarrolloPartidos[[#This Row],[PartidosSolo3]]&lt;&gt;0),DesarrolloPartidos[[#This Row],[PartidosSolo3]],"")</f>
        <v/>
      </c>
      <c r="J198">
        <f>+IF(DesarrolloPartidos[[#This Row],[Partidos3]]="",DesarrolloPartidos[[#This Row],[Partidos4]],DesarrolloPartidos[[#This Row],[Partidos3]])</f>
        <v>4</v>
      </c>
      <c r="K198" t="str">
        <f>+DesarrolloPartidos[[#This Row],[Jugadores]]&amp;":"&amp;DesarrolloPartidos[[#This Row],[Orden]]</f>
        <v>22:11</v>
      </c>
    </row>
    <row r="199" spans="1:11">
      <c r="A199">
        <f t="shared" si="20"/>
        <v>22</v>
      </c>
      <c r="B199">
        <f t="shared" si="19"/>
        <v>6</v>
      </c>
      <c r="C199">
        <f t="shared" si="21"/>
        <v>2</v>
      </c>
      <c r="D199">
        <f t="shared" si="22"/>
        <v>4</v>
      </c>
      <c r="E199">
        <f t="shared" si="23"/>
        <v>12</v>
      </c>
      <c r="F199">
        <f>3*DesarrolloPartidos[[#This Row],[Partidos_3]]</f>
        <v>6</v>
      </c>
      <c r="G199">
        <f>IF(DesarrolloPartidos[[#This Row],[Partidos_3]]=0,0,ROUNDUP(DesarrolloPartidos[[#This Row],[Orden]]/DesarrolloPartidos[[#This Row],[JugEnPart3]]*DesarrolloPartidos[[#This Row],[Partidos_3]],0))</f>
        <v>4</v>
      </c>
      <c r="H199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199" t="str">
        <f>IF(AND(DesarrolloPartidos[[#This Row],[PartidosSolo3]]&lt;=DesarrolloPartidos[[#This Row],[Partidos_3]],DesarrolloPartidos[[#This Row],[PartidosSolo3]]&lt;&gt;0),DesarrolloPartidos[[#This Row],[PartidosSolo3]],"")</f>
        <v/>
      </c>
      <c r="J199">
        <f>+IF(DesarrolloPartidos[[#This Row],[Partidos3]]="",DesarrolloPartidos[[#This Row],[Partidos4]],DesarrolloPartidos[[#This Row],[Partidos3]])</f>
        <v>4</v>
      </c>
      <c r="K199" t="str">
        <f>+DesarrolloPartidos[[#This Row],[Jugadores]]&amp;":"&amp;DesarrolloPartidos[[#This Row],[Orden]]</f>
        <v>22:12</v>
      </c>
    </row>
    <row r="200" spans="1:11">
      <c r="A200">
        <f t="shared" si="20"/>
        <v>22</v>
      </c>
      <c r="B200">
        <f t="shared" si="19"/>
        <v>6</v>
      </c>
      <c r="C200">
        <f t="shared" si="21"/>
        <v>2</v>
      </c>
      <c r="D200">
        <f t="shared" si="22"/>
        <v>4</v>
      </c>
      <c r="E200">
        <f t="shared" si="23"/>
        <v>13</v>
      </c>
      <c r="F200">
        <f>3*DesarrolloPartidos[[#This Row],[Partidos_3]]</f>
        <v>6</v>
      </c>
      <c r="G200">
        <f>IF(DesarrolloPartidos[[#This Row],[Partidos_3]]=0,0,ROUNDUP(DesarrolloPartidos[[#This Row],[Orden]]/DesarrolloPartidos[[#This Row],[JugEnPart3]]*DesarrolloPartidos[[#This Row],[Partidos_3]],0))</f>
        <v>5</v>
      </c>
      <c r="H200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200" t="str">
        <f>IF(AND(DesarrolloPartidos[[#This Row],[PartidosSolo3]]&lt;=DesarrolloPartidos[[#This Row],[Partidos_3]],DesarrolloPartidos[[#This Row],[PartidosSolo3]]&lt;&gt;0),DesarrolloPartidos[[#This Row],[PartidosSolo3]],"")</f>
        <v/>
      </c>
      <c r="J200">
        <f>+IF(DesarrolloPartidos[[#This Row],[Partidos3]]="",DesarrolloPartidos[[#This Row],[Partidos4]],DesarrolloPartidos[[#This Row],[Partidos3]])</f>
        <v>4</v>
      </c>
      <c r="K200" t="str">
        <f>+DesarrolloPartidos[[#This Row],[Jugadores]]&amp;":"&amp;DesarrolloPartidos[[#This Row],[Orden]]</f>
        <v>22:13</v>
      </c>
    </row>
    <row r="201" spans="1:11">
      <c r="A201">
        <f t="shared" si="20"/>
        <v>22</v>
      </c>
      <c r="B201">
        <f t="shared" si="19"/>
        <v>6</v>
      </c>
      <c r="C201">
        <f t="shared" si="21"/>
        <v>2</v>
      </c>
      <c r="D201">
        <f t="shared" si="22"/>
        <v>4</v>
      </c>
      <c r="E201">
        <f t="shared" si="23"/>
        <v>14</v>
      </c>
      <c r="F201">
        <f>3*DesarrolloPartidos[[#This Row],[Partidos_3]]</f>
        <v>6</v>
      </c>
      <c r="G201">
        <f>IF(DesarrolloPartidos[[#This Row],[Partidos_3]]=0,0,ROUNDUP(DesarrolloPartidos[[#This Row],[Orden]]/DesarrolloPartidos[[#This Row],[JugEnPart3]]*DesarrolloPartidos[[#This Row],[Partidos_3]],0))</f>
        <v>5</v>
      </c>
      <c r="H201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201" t="str">
        <f>IF(AND(DesarrolloPartidos[[#This Row],[PartidosSolo3]]&lt;=DesarrolloPartidos[[#This Row],[Partidos_3]],DesarrolloPartidos[[#This Row],[PartidosSolo3]]&lt;&gt;0),DesarrolloPartidos[[#This Row],[PartidosSolo3]],"")</f>
        <v/>
      </c>
      <c r="J201">
        <f>+IF(DesarrolloPartidos[[#This Row],[Partidos3]]="",DesarrolloPartidos[[#This Row],[Partidos4]],DesarrolloPartidos[[#This Row],[Partidos3]])</f>
        <v>4</v>
      </c>
      <c r="K201" t="str">
        <f>+DesarrolloPartidos[[#This Row],[Jugadores]]&amp;":"&amp;DesarrolloPartidos[[#This Row],[Orden]]</f>
        <v>22:14</v>
      </c>
    </row>
    <row r="202" spans="1:11">
      <c r="A202">
        <f t="shared" si="20"/>
        <v>22</v>
      </c>
      <c r="B202">
        <f t="shared" si="19"/>
        <v>6</v>
      </c>
      <c r="C202">
        <f t="shared" si="21"/>
        <v>2</v>
      </c>
      <c r="D202">
        <f t="shared" si="22"/>
        <v>4</v>
      </c>
      <c r="E202">
        <f t="shared" si="23"/>
        <v>15</v>
      </c>
      <c r="F202">
        <f>3*DesarrolloPartidos[[#This Row],[Partidos_3]]</f>
        <v>6</v>
      </c>
      <c r="G202">
        <f>IF(DesarrolloPartidos[[#This Row],[Partidos_3]]=0,0,ROUNDUP(DesarrolloPartidos[[#This Row],[Orden]]/DesarrolloPartidos[[#This Row],[JugEnPart3]]*DesarrolloPartidos[[#This Row],[Partidos_3]],0))</f>
        <v>5</v>
      </c>
      <c r="H202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5</v>
      </c>
      <c r="I202" t="str">
        <f>IF(AND(DesarrolloPartidos[[#This Row],[PartidosSolo3]]&lt;=DesarrolloPartidos[[#This Row],[Partidos_3]],DesarrolloPartidos[[#This Row],[PartidosSolo3]]&lt;&gt;0),DesarrolloPartidos[[#This Row],[PartidosSolo3]],"")</f>
        <v/>
      </c>
      <c r="J202">
        <f>+IF(DesarrolloPartidos[[#This Row],[Partidos3]]="",DesarrolloPartidos[[#This Row],[Partidos4]],DesarrolloPartidos[[#This Row],[Partidos3]])</f>
        <v>5</v>
      </c>
      <c r="K202" t="str">
        <f>+DesarrolloPartidos[[#This Row],[Jugadores]]&amp;":"&amp;DesarrolloPartidos[[#This Row],[Orden]]</f>
        <v>22:15</v>
      </c>
    </row>
    <row r="203" spans="1:11">
      <c r="A203">
        <f t="shared" si="20"/>
        <v>22</v>
      </c>
      <c r="B203">
        <f t="shared" si="19"/>
        <v>6</v>
      </c>
      <c r="C203">
        <f t="shared" si="21"/>
        <v>2</v>
      </c>
      <c r="D203">
        <f t="shared" si="22"/>
        <v>4</v>
      </c>
      <c r="E203">
        <f t="shared" si="23"/>
        <v>16</v>
      </c>
      <c r="F203">
        <f>3*DesarrolloPartidos[[#This Row],[Partidos_3]]</f>
        <v>6</v>
      </c>
      <c r="G203">
        <f>IF(DesarrolloPartidos[[#This Row],[Partidos_3]]=0,0,ROUNDUP(DesarrolloPartidos[[#This Row],[Orden]]/DesarrolloPartidos[[#This Row],[JugEnPart3]]*DesarrolloPartidos[[#This Row],[Partidos_3]],0))</f>
        <v>6</v>
      </c>
      <c r="H203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5</v>
      </c>
      <c r="I203" t="str">
        <f>IF(AND(DesarrolloPartidos[[#This Row],[PartidosSolo3]]&lt;=DesarrolloPartidos[[#This Row],[Partidos_3]],DesarrolloPartidos[[#This Row],[PartidosSolo3]]&lt;&gt;0),DesarrolloPartidos[[#This Row],[PartidosSolo3]],"")</f>
        <v/>
      </c>
      <c r="J203">
        <f>+IF(DesarrolloPartidos[[#This Row],[Partidos3]]="",DesarrolloPartidos[[#This Row],[Partidos4]],DesarrolloPartidos[[#This Row],[Partidos3]])</f>
        <v>5</v>
      </c>
      <c r="K203" t="str">
        <f>+DesarrolloPartidos[[#This Row],[Jugadores]]&amp;":"&amp;DesarrolloPartidos[[#This Row],[Orden]]</f>
        <v>22:16</v>
      </c>
    </row>
    <row r="204" spans="1:11">
      <c r="A204">
        <f t="shared" si="20"/>
        <v>22</v>
      </c>
      <c r="B204">
        <f t="shared" si="19"/>
        <v>6</v>
      </c>
      <c r="C204">
        <f t="shared" si="21"/>
        <v>2</v>
      </c>
      <c r="D204">
        <f t="shared" si="22"/>
        <v>4</v>
      </c>
      <c r="E204">
        <f t="shared" si="23"/>
        <v>17</v>
      </c>
      <c r="F204">
        <f>3*DesarrolloPartidos[[#This Row],[Partidos_3]]</f>
        <v>6</v>
      </c>
      <c r="G204">
        <f>IF(DesarrolloPartidos[[#This Row],[Partidos_3]]=0,0,ROUNDUP(DesarrolloPartidos[[#This Row],[Orden]]/DesarrolloPartidos[[#This Row],[JugEnPart3]]*DesarrolloPartidos[[#This Row],[Partidos_3]],0))</f>
        <v>6</v>
      </c>
      <c r="H204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5</v>
      </c>
      <c r="I204" t="str">
        <f>IF(AND(DesarrolloPartidos[[#This Row],[PartidosSolo3]]&lt;=DesarrolloPartidos[[#This Row],[Partidos_3]],DesarrolloPartidos[[#This Row],[PartidosSolo3]]&lt;&gt;0),DesarrolloPartidos[[#This Row],[PartidosSolo3]],"")</f>
        <v/>
      </c>
      <c r="J204">
        <f>+IF(DesarrolloPartidos[[#This Row],[Partidos3]]="",DesarrolloPartidos[[#This Row],[Partidos4]],DesarrolloPartidos[[#This Row],[Partidos3]])</f>
        <v>5</v>
      </c>
      <c r="K204" t="str">
        <f>+DesarrolloPartidos[[#This Row],[Jugadores]]&amp;":"&amp;DesarrolloPartidos[[#This Row],[Orden]]</f>
        <v>22:17</v>
      </c>
    </row>
    <row r="205" spans="1:11">
      <c r="A205">
        <f t="shared" si="20"/>
        <v>22</v>
      </c>
      <c r="B205">
        <f t="shared" si="19"/>
        <v>6</v>
      </c>
      <c r="C205">
        <f t="shared" si="21"/>
        <v>2</v>
      </c>
      <c r="D205">
        <f t="shared" si="22"/>
        <v>4</v>
      </c>
      <c r="E205">
        <f t="shared" si="23"/>
        <v>18</v>
      </c>
      <c r="F205">
        <f>3*DesarrolloPartidos[[#This Row],[Partidos_3]]</f>
        <v>6</v>
      </c>
      <c r="G205">
        <f>IF(DesarrolloPartidos[[#This Row],[Partidos_3]]=0,0,ROUNDUP(DesarrolloPartidos[[#This Row],[Orden]]/DesarrolloPartidos[[#This Row],[JugEnPart3]]*DesarrolloPartidos[[#This Row],[Partidos_3]],0))</f>
        <v>6</v>
      </c>
      <c r="H205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5</v>
      </c>
      <c r="I205" t="str">
        <f>IF(AND(DesarrolloPartidos[[#This Row],[PartidosSolo3]]&lt;=DesarrolloPartidos[[#This Row],[Partidos_3]],DesarrolloPartidos[[#This Row],[PartidosSolo3]]&lt;&gt;0),DesarrolloPartidos[[#This Row],[PartidosSolo3]],"")</f>
        <v/>
      </c>
      <c r="J205">
        <f>+IF(DesarrolloPartidos[[#This Row],[Partidos3]]="",DesarrolloPartidos[[#This Row],[Partidos4]],DesarrolloPartidos[[#This Row],[Partidos3]])</f>
        <v>5</v>
      </c>
      <c r="K205" t="str">
        <f>+DesarrolloPartidos[[#This Row],[Jugadores]]&amp;":"&amp;DesarrolloPartidos[[#This Row],[Orden]]</f>
        <v>22:18</v>
      </c>
    </row>
    <row r="206" spans="1:11">
      <c r="A206">
        <f t="shared" si="20"/>
        <v>22</v>
      </c>
      <c r="B206">
        <f t="shared" si="19"/>
        <v>6</v>
      </c>
      <c r="C206">
        <f t="shared" si="21"/>
        <v>2</v>
      </c>
      <c r="D206">
        <f t="shared" si="22"/>
        <v>4</v>
      </c>
      <c r="E206">
        <f t="shared" si="23"/>
        <v>19</v>
      </c>
      <c r="F206">
        <f>3*DesarrolloPartidos[[#This Row],[Partidos_3]]</f>
        <v>6</v>
      </c>
      <c r="G206">
        <f>IF(DesarrolloPartidos[[#This Row],[Partidos_3]]=0,0,ROUNDUP(DesarrolloPartidos[[#This Row],[Orden]]/DesarrolloPartidos[[#This Row],[JugEnPart3]]*DesarrolloPartidos[[#This Row],[Partidos_3]],0))</f>
        <v>7</v>
      </c>
      <c r="H206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6</v>
      </c>
      <c r="I206" t="str">
        <f>IF(AND(DesarrolloPartidos[[#This Row],[PartidosSolo3]]&lt;=DesarrolloPartidos[[#This Row],[Partidos_3]],DesarrolloPartidos[[#This Row],[PartidosSolo3]]&lt;&gt;0),DesarrolloPartidos[[#This Row],[PartidosSolo3]],"")</f>
        <v/>
      </c>
      <c r="J206">
        <f>+IF(DesarrolloPartidos[[#This Row],[Partidos3]]="",DesarrolloPartidos[[#This Row],[Partidos4]],DesarrolloPartidos[[#This Row],[Partidos3]])</f>
        <v>6</v>
      </c>
      <c r="K206" t="str">
        <f>+DesarrolloPartidos[[#This Row],[Jugadores]]&amp;":"&amp;DesarrolloPartidos[[#This Row],[Orden]]</f>
        <v>22:19</v>
      </c>
    </row>
    <row r="207" spans="1:11">
      <c r="A207">
        <f t="shared" si="20"/>
        <v>22</v>
      </c>
      <c r="B207">
        <f t="shared" si="19"/>
        <v>6</v>
      </c>
      <c r="C207">
        <f t="shared" si="21"/>
        <v>2</v>
      </c>
      <c r="D207">
        <f t="shared" si="22"/>
        <v>4</v>
      </c>
      <c r="E207">
        <f t="shared" si="23"/>
        <v>20</v>
      </c>
      <c r="F207">
        <f>3*DesarrolloPartidos[[#This Row],[Partidos_3]]</f>
        <v>6</v>
      </c>
      <c r="G207">
        <f>IF(DesarrolloPartidos[[#This Row],[Partidos_3]]=0,0,ROUNDUP(DesarrolloPartidos[[#This Row],[Orden]]/DesarrolloPartidos[[#This Row],[JugEnPart3]]*DesarrolloPartidos[[#This Row],[Partidos_3]],0))</f>
        <v>7</v>
      </c>
      <c r="H207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6</v>
      </c>
      <c r="I207" t="str">
        <f>IF(AND(DesarrolloPartidos[[#This Row],[PartidosSolo3]]&lt;=DesarrolloPartidos[[#This Row],[Partidos_3]],DesarrolloPartidos[[#This Row],[PartidosSolo3]]&lt;&gt;0),DesarrolloPartidos[[#This Row],[PartidosSolo3]],"")</f>
        <v/>
      </c>
      <c r="J207">
        <f>+IF(DesarrolloPartidos[[#This Row],[Partidos3]]="",DesarrolloPartidos[[#This Row],[Partidos4]],DesarrolloPartidos[[#This Row],[Partidos3]])</f>
        <v>6</v>
      </c>
      <c r="K207" t="str">
        <f>+DesarrolloPartidos[[#This Row],[Jugadores]]&amp;":"&amp;DesarrolloPartidos[[#This Row],[Orden]]</f>
        <v>22:20</v>
      </c>
    </row>
    <row r="208" spans="1:11">
      <c r="A208">
        <f t="shared" si="20"/>
        <v>22</v>
      </c>
      <c r="B208">
        <f t="shared" si="19"/>
        <v>6</v>
      </c>
      <c r="C208">
        <f t="shared" si="21"/>
        <v>2</v>
      </c>
      <c r="D208">
        <f t="shared" si="22"/>
        <v>4</v>
      </c>
      <c r="E208">
        <f t="shared" si="23"/>
        <v>21</v>
      </c>
      <c r="F208">
        <f>3*DesarrolloPartidos[[#This Row],[Partidos_3]]</f>
        <v>6</v>
      </c>
      <c r="G208">
        <f>IF(DesarrolloPartidos[[#This Row],[Partidos_3]]=0,0,ROUNDUP(DesarrolloPartidos[[#This Row],[Orden]]/DesarrolloPartidos[[#This Row],[JugEnPart3]]*DesarrolloPartidos[[#This Row],[Partidos_3]],0))</f>
        <v>7</v>
      </c>
      <c r="H208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6</v>
      </c>
      <c r="I208" t="str">
        <f>IF(AND(DesarrolloPartidos[[#This Row],[PartidosSolo3]]&lt;=DesarrolloPartidos[[#This Row],[Partidos_3]],DesarrolloPartidos[[#This Row],[PartidosSolo3]]&lt;&gt;0),DesarrolloPartidos[[#This Row],[PartidosSolo3]],"")</f>
        <v/>
      </c>
      <c r="J208">
        <f>+IF(DesarrolloPartidos[[#This Row],[Partidos3]]="",DesarrolloPartidos[[#This Row],[Partidos4]],DesarrolloPartidos[[#This Row],[Partidos3]])</f>
        <v>6</v>
      </c>
      <c r="K208" t="str">
        <f>+DesarrolloPartidos[[#This Row],[Jugadores]]&amp;":"&amp;DesarrolloPartidos[[#This Row],[Orden]]</f>
        <v>22:21</v>
      </c>
    </row>
    <row r="209" spans="1:11">
      <c r="A209">
        <f t="shared" si="20"/>
        <v>22</v>
      </c>
      <c r="B209">
        <f t="shared" si="19"/>
        <v>6</v>
      </c>
      <c r="C209">
        <f t="shared" si="21"/>
        <v>2</v>
      </c>
      <c r="D209">
        <f t="shared" si="22"/>
        <v>4</v>
      </c>
      <c r="E209">
        <f t="shared" si="23"/>
        <v>22</v>
      </c>
      <c r="F209">
        <f>3*DesarrolloPartidos[[#This Row],[Partidos_3]]</f>
        <v>6</v>
      </c>
      <c r="G209">
        <f>IF(DesarrolloPartidos[[#This Row],[Partidos_3]]=0,0,ROUNDUP(DesarrolloPartidos[[#This Row],[Orden]]/DesarrolloPartidos[[#This Row],[JugEnPart3]]*DesarrolloPartidos[[#This Row],[Partidos_3]],0))</f>
        <v>8</v>
      </c>
      <c r="H209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6</v>
      </c>
      <c r="I209" t="str">
        <f>IF(AND(DesarrolloPartidos[[#This Row],[PartidosSolo3]]&lt;=DesarrolloPartidos[[#This Row],[Partidos_3]],DesarrolloPartidos[[#This Row],[PartidosSolo3]]&lt;&gt;0),DesarrolloPartidos[[#This Row],[PartidosSolo3]],"")</f>
        <v/>
      </c>
      <c r="J209">
        <f>+IF(DesarrolloPartidos[[#This Row],[Partidos3]]="",DesarrolloPartidos[[#This Row],[Partidos4]],DesarrolloPartidos[[#This Row],[Partidos3]])</f>
        <v>6</v>
      </c>
      <c r="K209" t="str">
        <f>+DesarrolloPartidos[[#This Row],[Jugadores]]&amp;":"&amp;DesarrolloPartidos[[#This Row],[Orden]]</f>
        <v>22:22</v>
      </c>
    </row>
    <row r="210" spans="1:11">
      <c r="A210">
        <f t="shared" si="20"/>
        <v>23</v>
      </c>
      <c r="B210">
        <f t="shared" si="19"/>
        <v>6</v>
      </c>
      <c r="C210">
        <f t="shared" si="21"/>
        <v>1</v>
      </c>
      <c r="D210">
        <f t="shared" si="22"/>
        <v>5</v>
      </c>
      <c r="E210">
        <f t="shared" si="23"/>
        <v>1</v>
      </c>
      <c r="F210">
        <f>3*DesarrolloPartidos[[#This Row],[Partidos_3]]</f>
        <v>3</v>
      </c>
      <c r="G210">
        <f>IF(DesarrolloPartidos[[#This Row],[Partidos_3]]=0,0,ROUNDUP(DesarrolloPartidos[[#This Row],[Orden]]/DesarrolloPartidos[[#This Row],[JugEnPart3]]*DesarrolloPartidos[[#This Row],[Partidos_3]],0))</f>
        <v>1</v>
      </c>
      <c r="H210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210">
        <f>IF(AND(DesarrolloPartidos[[#This Row],[PartidosSolo3]]&lt;=DesarrolloPartidos[[#This Row],[Partidos_3]],DesarrolloPartidos[[#This Row],[PartidosSolo3]]&lt;&gt;0),DesarrolloPartidos[[#This Row],[PartidosSolo3]],"")</f>
        <v>1</v>
      </c>
      <c r="J210">
        <f>+IF(DesarrolloPartidos[[#This Row],[Partidos3]]="",DesarrolloPartidos[[#This Row],[Partidos4]],DesarrolloPartidos[[#This Row],[Partidos3]])</f>
        <v>1</v>
      </c>
      <c r="K210" t="str">
        <f>+DesarrolloPartidos[[#This Row],[Jugadores]]&amp;":"&amp;DesarrolloPartidos[[#This Row],[Orden]]</f>
        <v>23:1</v>
      </c>
    </row>
    <row r="211" spans="1:11">
      <c r="A211">
        <f t="shared" si="20"/>
        <v>23</v>
      </c>
      <c r="B211">
        <f t="shared" si="19"/>
        <v>6</v>
      </c>
      <c r="C211">
        <f t="shared" si="21"/>
        <v>1</v>
      </c>
      <c r="D211">
        <f t="shared" si="22"/>
        <v>5</v>
      </c>
      <c r="E211">
        <f t="shared" si="23"/>
        <v>2</v>
      </c>
      <c r="F211">
        <f>3*DesarrolloPartidos[[#This Row],[Partidos_3]]</f>
        <v>3</v>
      </c>
      <c r="G211">
        <f>IF(DesarrolloPartidos[[#This Row],[Partidos_3]]=0,0,ROUNDUP(DesarrolloPartidos[[#This Row],[Orden]]/DesarrolloPartidos[[#This Row],[JugEnPart3]]*DesarrolloPartidos[[#This Row],[Partidos_3]],0))</f>
        <v>1</v>
      </c>
      <c r="H211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211">
        <f>IF(AND(DesarrolloPartidos[[#This Row],[PartidosSolo3]]&lt;=DesarrolloPartidos[[#This Row],[Partidos_3]],DesarrolloPartidos[[#This Row],[PartidosSolo3]]&lt;&gt;0),DesarrolloPartidos[[#This Row],[PartidosSolo3]],"")</f>
        <v>1</v>
      </c>
      <c r="J211">
        <f>+IF(DesarrolloPartidos[[#This Row],[Partidos3]]="",DesarrolloPartidos[[#This Row],[Partidos4]],DesarrolloPartidos[[#This Row],[Partidos3]])</f>
        <v>1</v>
      </c>
      <c r="K211" t="str">
        <f>+DesarrolloPartidos[[#This Row],[Jugadores]]&amp;":"&amp;DesarrolloPartidos[[#This Row],[Orden]]</f>
        <v>23:2</v>
      </c>
    </row>
    <row r="212" spans="1:11">
      <c r="A212">
        <f t="shared" si="20"/>
        <v>23</v>
      </c>
      <c r="B212">
        <f t="shared" si="19"/>
        <v>6</v>
      </c>
      <c r="C212">
        <f t="shared" si="21"/>
        <v>1</v>
      </c>
      <c r="D212">
        <f t="shared" si="22"/>
        <v>5</v>
      </c>
      <c r="E212">
        <f t="shared" si="23"/>
        <v>3</v>
      </c>
      <c r="F212">
        <f>3*DesarrolloPartidos[[#This Row],[Partidos_3]]</f>
        <v>3</v>
      </c>
      <c r="G212">
        <f>IF(DesarrolloPartidos[[#This Row],[Partidos_3]]=0,0,ROUNDUP(DesarrolloPartidos[[#This Row],[Orden]]/DesarrolloPartidos[[#This Row],[JugEnPart3]]*DesarrolloPartidos[[#This Row],[Partidos_3]],0))</f>
        <v>1</v>
      </c>
      <c r="H212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212">
        <f>IF(AND(DesarrolloPartidos[[#This Row],[PartidosSolo3]]&lt;=DesarrolloPartidos[[#This Row],[Partidos_3]],DesarrolloPartidos[[#This Row],[PartidosSolo3]]&lt;&gt;0),DesarrolloPartidos[[#This Row],[PartidosSolo3]],"")</f>
        <v>1</v>
      </c>
      <c r="J212">
        <f>+IF(DesarrolloPartidos[[#This Row],[Partidos3]]="",DesarrolloPartidos[[#This Row],[Partidos4]],DesarrolloPartidos[[#This Row],[Partidos3]])</f>
        <v>1</v>
      </c>
      <c r="K212" t="str">
        <f>+DesarrolloPartidos[[#This Row],[Jugadores]]&amp;":"&amp;DesarrolloPartidos[[#This Row],[Orden]]</f>
        <v>23:3</v>
      </c>
    </row>
    <row r="213" spans="1:11">
      <c r="A213">
        <f t="shared" si="20"/>
        <v>23</v>
      </c>
      <c r="B213">
        <f t="shared" si="19"/>
        <v>6</v>
      </c>
      <c r="C213">
        <f t="shared" si="21"/>
        <v>1</v>
      </c>
      <c r="D213">
        <f t="shared" si="22"/>
        <v>5</v>
      </c>
      <c r="E213">
        <f t="shared" si="23"/>
        <v>4</v>
      </c>
      <c r="F213">
        <f>3*DesarrolloPartidos[[#This Row],[Partidos_3]]</f>
        <v>3</v>
      </c>
      <c r="G213">
        <f>IF(DesarrolloPartidos[[#This Row],[Partidos_3]]=0,0,ROUNDUP(DesarrolloPartidos[[#This Row],[Orden]]/DesarrolloPartidos[[#This Row],[JugEnPart3]]*DesarrolloPartidos[[#This Row],[Partidos_3]],0))</f>
        <v>2</v>
      </c>
      <c r="H213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2</v>
      </c>
      <c r="I213" t="str">
        <f>IF(AND(DesarrolloPartidos[[#This Row],[PartidosSolo3]]&lt;=DesarrolloPartidos[[#This Row],[Partidos_3]],DesarrolloPartidos[[#This Row],[PartidosSolo3]]&lt;&gt;0),DesarrolloPartidos[[#This Row],[PartidosSolo3]],"")</f>
        <v/>
      </c>
      <c r="J213">
        <f>+IF(DesarrolloPartidos[[#This Row],[Partidos3]]="",DesarrolloPartidos[[#This Row],[Partidos4]],DesarrolloPartidos[[#This Row],[Partidos3]])</f>
        <v>2</v>
      </c>
      <c r="K213" t="str">
        <f>+DesarrolloPartidos[[#This Row],[Jugadores]]&amp;":"&amp;DesarrolloPartidos[[#This Row],[Orden]]</f>
        <v>23:4</v>
      </c>
    </row>
    <row r="214" spans="1:11">
      <c r="A214">
        <f t="shared" si="20"/>
        <v>23</v>
      </c>
      <c r="B214">
        <f t="shared" si="19"/>
        <v>6</v>
      </c>
      <c r="C214">
        <f t="shared" si="21"/>
        <v>1</v>
      </c>
      <c r="D214">
        <f t="shared" si="22"/>
        <v>5</v>
      </c>
      <c r="E214">
        <f t="shared" si="23"/>
        <v>5</v>
      </c>
      <c r="F214">
        <f>3*DesarrolloPartidos[[#This Row],[Partidos_3]]</f>
        <v>3</v>
      </c>
      <c r="G214">
        <f>IF(DesarrolloPartidos[[#This Row],[Partidos_3]]=0,0,ROUNDUP(DesarrolloPartidos[[#This Row],[Orden]]/DesarrolloPartidos[[#This Row],[JugEnPart3]]*DesarrolloPartidos[[#This Row],[Partidos_3]],0))</f>
        <v>2</v>
      </c>
      <c r="H214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2</v>
      </c>
      <c r="I214" t="str">
        <f>IF(AND(DesarrolloPartidos[[#This Row],[PartidosSolo3]]&lt;=DesarrolloPartidos[[#This Row],[Partidos_3]],DesarrolloPartidos[[#This Row],[PartidosSolo3]]&lt;&gt;0),DesarrolloPartidos[[#This Row],[PartidosSolo3]],"")</f>
        <v/>
      </c>
      <c r="J214">
        <f>+IF(DesarrolloPartidos[[#This Row],[Partidos3]]="",DesarrolloPartidos[[#This Row],[Partidos4]],DesarrolloPartidos[[#This Row],[Partidos3]])</f>
        <v>2</v>
      </c>
      <c r="K214" t="str">
        <f>+DesarrolloPartidos[[#This Row],[Jugadores]]&amp;":"&amp;DesarrolloPartidos[[#This Row],[Orden]]</f>
        <v>23:5</v>
      </c>
    </row>
    <row r="215" spans="1:11">
      <c r="A215">
        <f t="shared" si="20"/>
        <v>23</v>
      </c>
      <c r="B215">
        <f t="shared" si="19"/>
        <v>6</v>
      </c>
      <c r="C215">
        <f t="shared" si="21"/>
        <v>1</v>
      </c>
      <c r="D215">
        <f t="shared" si="22"/>
        <v>5</v>
      </c>
      <c r="E215">
        <f t="shared" si="23"/>
        <v>6</v>
      </c>
      <c r="F215">
        <f>3*DesarrolloPartidos[[#This Row],[Partidos_3]]</f>
        <v>3</v>
      </c>
      <c r="G215">
        <f>IF(DesarrolloPartidos[[#This Row],[Partidos_3]]=0,0,ROUNDUP(DesarrolloPartidos[[#This Row],[Orden]]/DesarrolloPartidos[[#This Row],[JugEnPart3]]*DesarrolloPartidos[[#This Row],[Partidos_3]],0))</f>
        <v>2</v>
      </c>
      <c r="H215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2</v>
      </c>
      <c r="I215" t="str">
        <f>IF(AND(DesarrolloPartidos[[#This Row],[PartidosSolo3]]&lt;=DesarrolloPartidos[[#This Row],[Partidos_3]],DesarrolloPartidos[[#This Row],[PartidosSolo3]]&lt;&gt;0),DesarrolloPartidos[[#This Row],[PartidosSolo3]],"")</f>
        <v/>
      </c>
      <c r="J215">
        <f>+IF(DesarrolloPartidos[[#This Row],[Partidos3]]="",DesarrolloPartidos[[#This Row],[Partidos4]],DesarrolloPartidos[[#This Row],[Partidos3]])</f>
        <v>2</v>
      </c>
      <c r="K215" t="str">
        <f>+DesarrolloPartidos[[#This Row],[Jugadores]]&amp;":"&amp;DesarrolloPartidos[[#This Row],[Orden]]</f>
        <v>23:6</v>
      </c>
    </row>
    <row r="216" spans="1:11">
      <c r="A216">
        <f t="shared" si="20"/>
        <v>23</v>
      </c>
      <c r="B216">
        <f t="shared" si="19"/>
        <v>6</v>
      </c>
      <c r="C216">
        <f t="shared" si="21"/>
        <v>1</v>
      </c>
      <c r="D216">
        <f t="shared" si="22"/>
        <v>5</v>
      </c>
      <c r="E216">
        <f t="shared" si="23"/>
        <v>7</v>
      </c>
      <c r="F216">
        <f>3*DesarrolloPartidos[[#This Row],[Partidos_3]]</f>
        <v>3</v>
      </c>
      <c r="G216">
        <f>IF(DesarrolloPartidos[[#This Row],[Partidos_3]]=0,0,ROUNDUP(DesarrolloPartidos[[#This Row],[Orden]]/DesarrolloPartidos[[#This Row],[JugEnPart3]]*DesarrolloPartidos[[#This Row],[Partidos_3]],0))</f>
        <v>3</v>
      </c>
      <c r="H216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2</v>
      </c>
      <c r="I216" t="str">
        <f>IF(AND(DesarrolloPartidos[[#This Row],[PartidosSolo3]]&lt;=DesarrolloPartidos[[#This Row],[Partidos_3]],DesarrolloPartidos[[#This Row],[PartidosSolo3]]&lt;&gt;0),DesarrolloPartidos[[#This Row],[PartidosSolo3]],"")</f>
        <v/>
      </c>
      <c r="J216">
        <f>+IF(DesarrolloPartidos[[#This Row],[Partidos3]]="",DesarrolloPartidos[[#This Row],[Partidos4]],DesarrolloPartidos[[#This Row],[Partidos3]])</f>
        <v>2</v>
      </c>
      <c r="K216" t="str">
        <f>+DesarrolloPartidos[[#This Row],[Jugadores]]&amp;":"&amp;DesarrolloPartidos[[#This Row],[Orden]]</f>
        <v>23:7</v>
      </c>
    </row>
    <row r="217" spans="1:11">
      <c r="A217">
        <f t="shared" si="20"/>
        <v>23</v>
      </c>
      <c r="B217">
        <f t="shared" si="19"/>
        <v>6</v>
      </c>
      <c r="C217">
        <f t="shared" si="21"/>
        <v>1</v>
      </c>
      <c r="D217">
        <f t="shared" si="22"/>
        <v>5</v>
      </c>
      <c r="E217">
        <f t="shared" si="23"/>
        <v>8</v>
      </c>
      <c r="F217">
        <f>3*DesarrolloPartidos[[#This Row],[Partidos_3]]</f>
        <v>3</v>
      </c>
      <c r="G217">
        <f>IF(DesarrolloPartidos[[#This Row],[Partidos_3]]=0,0,ROUNDUP(DesarrolloPartidos[[#This Row],[Orden]]/DesarrolloPartidos[[#This Row],[JugEnPart3]]*DesarrolloPartidos[[#This Row],[Partidos_3]],0))</f>
        <v>3</v>
      </c>
      <c r="H217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3</v>
      </c>
      <c r="I217" t="str">
        <f>IF(AND(DesarrolloPartidos[[#This Row],[PartidosSolo3]]&lt;=DesarrolloPartidos[[#This Row],[Partidos_3]],DesarrolloPartidos[[#This Row],[PartidosSolo3]]&lt;&gt;0),DesarrolloPartidos[[#This Row],[PartidosSolo3]],"")</f>
        <v/>
      </c>
      <c r="J217">
        <f>+IF(DesarrolloPartidos[[#This Row],[Partidos3]]="",DesarrolloPartidos[[#This Row],[Partidos4]],DesarrolloPartidos[[#This Row],[Partidos3]])</f>
        <v>3</v>
      </c>
      <c r="K217" t="str">
        <f>+DesarrolloPartidos[[#This Row],[Jugadores]]&amp;":"&amp;DesarrolloPartidos[[#This Row],[Orden]]</f>
        <v>23:8</v>
      </c>
    </row>
    <row r="218" spans="1:11">
      <c r="A218">
        <f t="shared" si="20"/>
        <v>23</v>
      </c>
      <c r="B218">
        <f t="shared" si="19"/>
        <v>6</v>
      </c>
      <c r="C218">
        <f t="shared" si="21"/>
        <v>1</v>
      </c>
      <c r="D218">
        <f t="shared" si="22"/>
        <v>5</v>
      </c>
      <c r="E218">
        <f t="shared" si="23"/>
        <v>9</v>
      </c>
      <c r="F218">
        <f>3*DesarrolloPartidos[[#This Row],[Partidos_3]]</f>
        <v>3</v>
      </c>
      <c r="G218">
        <f>IF(DesarrolloPartidos[[#This Row],[Partidos_3]]=0,0,ROUNDUP(DesarrolloPartidos[[#This Row],[Orden]]/DesarrolloPartidos[[#This Row],[JugEnPart3]]*DesarrolloPartidos[[#This Row],[Partidos_3]],0))</f>
        <v>3</v>
      </c>
      <c r="H218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3</v>
      </c>
      <c r="I218" t="str">
        <f>IF(AND(DesarrolloPartidos[[#This Row],[PartidosSolo3]]&lt;=DesarrolloPartidos[[#This Row],[Partidos_3]],DesarrolloPartidos[[#This Row],[PartidosSolo3]]&lt;&gt;0),DesarrolloPartidos[[#This Row],[PartidosSolo3]],"")</f>
        <v/>
      </c>
      <c r="J218">
        <f>+IF(DesarrolloPartidos[[#This Row],[Partidos3]]="",DesarrolloPartidos[[#This Row],[Partidos4]],DesarrolloPartidos[[#This Row],[Partidos3]])</f>
        <v>3</v>
      </c>
      <c r="K218" t="str">
        <f>+DesarrolloPartidos[[#This Row],[Jugadores]]&amp;":"&amp;DesarrolloPartidos[[#This Row],[Orden]]</f>
        <v>23:9</v>
      </c>
    </row>
    <row r="219" spans="1:11">
      <c r="A219">
        <f t="shared" si="20"/>
        <v>23</v>
      </c>
      <c r="B219">
        <f t="shared" si="19"/>
        <v>6</v>
      </c>
      <c r="C219">
        <f t="shared" si="21"/>
        <v>1</v>
      </c>
      <c r="D219">
        <f t="shared" si="22"/>
        <v>5</v>
      </c>
      <c r="E219">
        <f t="shared" si="23"/>
        <v>10</v>
      </c>
      <c r="F219">
        <f>3*DesarrolloPartidos[[#This Row],[Partidos_3]]</f>
        <v>3</v>
      </c>
      <c r="G219">
        <f>IF(DesarrolloPartidos[[#This Row],[Partidos_3]]=0,0,ROUNDUP(DesarrolloPartidos[[#This Row],[Orden]]/DesarrolloPartidos[[#This Row],[JugEnPart3]]*DesarrolloPartidos[[#This Row],[Partidos_3]],0))</f>
        <v>4</v>
      </c>
      <c r="H219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3</v>
      </c>
      <c r="I219" t="str">
        <f>IF(AND(DesarrolloPartidos[[#This Row],[PartidosSolo3]]&lt;=DesarrolloPartidos[[#This Row],[Partidos_3]],DesarrolloPartidos[[#This Row],[PartidosSolo3]]&lt;&gt;0),DesarrolloPartidos[[#This Row],[PartidosSolo3]],"")</f>
        <v/>
      </c>
      <c r="J219">
        <f>+IF(DesarrolloPartidos[[#This Row],[Partidos3]]="",DesarrolloPartidos[[#This Row],[Partidos4]],DesarrolloPartidos[[#This Row],[Partidos3]])</f>
        <v>3</v>
      </c>
      <c r="K219" t="str">
        <f>+DesarrolloPartidos[[#This Row],[Jugadores]]&amp;":"&amp;DesarrolloPartidos[[#This Row],[Orden]]</f>
        <v>23:10</v>
      </c>
    </row>
    <row r="220" spans="1:11">
      <c r="A220">
        <f t="shared" si="20"/>
        <v>23</v>
      </c>
      <c r="B220">
        <f t="shared" si="19"/>
        <v>6</v>
      </c>
      <c r="C220">
        <f t="shared" si="21"/>
        <v>1</v>
      </c>
      <c r="D220">
        <f t="shared" si="22"/>
        <v>5</v>
      </c>
      <c r="E220">
        <f t="shared" si="23"/>
        <v>11</v>
      </c>
      <c r="F220">
        <f>3*DesarrolloPartidos[[#This Row],[Partidos_3]]</f>
        <v>3</v>
      </c>
      <c r="G220">
        <f>IF(DesarrolloPartidos[[#This Row],[Partidos_3]]=0,0,ROUNDUP(DesarrolloPartidos[[#This Row],[Orden]]/DesarrolloPartidos[[#This Row],[JugEnPart3]]*DesarrolloPartidos[[#This Row],[Partidos_3]],0))</f>
        <v>4</v>
      </c>
      <c r="H220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3</v>
      </c>
      <c r="I220" t="str">
        <f>IF(AND(DesarrolloPartidos[[#This Row],[PartidosSolo3]]&lt;=DesarrolloPartidos[[#This Row],[Partidos_3]],DesarrolloPartidos[[#This Row],[PartidosSolo3]]&lt;&gt;0),DesarrolloPartidos[[#This Row],[PartidosSolo3]],"")</f>
        <v/>
      </c>
      <c r="J220">
        <f>+IF(DesarrolloPartidos[[#This Row],[Partidos3]]="",DesarrolloPartidos[[#This Row],[Partidos4]],DesarrolloPartidos[[#This Row],[Partidos3]])</f>
        <v>3</v>
      </c>
      <c r="K220" t="str">
        <f>+DesarrolloPartidos[[#This Row],[Jugadores]]&amp;":"&amp;DesarrolloPartidos[[#This Row],[Orden]]</f>
        <v>23:11</v>
      </c>
    </row>
    <row r="221" spans="1:11">
      <c r="A221">
        <f t="shared" si="20"/>
        <v>23</v>
      </c>
      <c r="B221">
        <f t="shared" si="19"/>
        <v>6</v>
      </c>
      <c r="C221">
        <f t="shared" si="21"/>
        <v>1</v>
      </c>
      <c r="D221">
        <f t="shared" si="22"/>
        <v>5</v>
      </c>
      <c r="E221">
        <f t="shared" si="23"/>
        <v>12</v>
      </c>
      <c r="F221">
        <f>3*DesarrolloPartidos[[#This Row],[Partidos_3]]</f>
        <v>3</v>
      </c>
      <c r="G221">
        <f>IF(DesarrolloPartidos[[#This Row],[Partidos_3]]=0,0,ROUNDUP(DesarrolloPartidos[[#This Row],[Orden]]/DesarrolloPartidos[[#This Row],[JugEnPart3]]*DesarrolloPartidos[[#This Row],[Partidos_3]],0))</f>
        <v>4</v>
      </c>
      <c r="H221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221" t="str">
        <f>IF(AND(DesarrolloPartidos[[#This Row],[PartidosSolo3]]&lt;=DesarrolloPartidos[[#This Row],[Partidos_3]],DesarrolloPartidos[[#This Row],[PartidosSolo3]]&lt;&gt;0),DesarrolloPartidos[[#This Row],[PartidosSolo3]],"")</f>
        <v/>
      </c>
      <c r="J221">
        <f>+IF(DesarrolloPartidos[[#This Row],[Partidos3]]="",DesarrolloPartidos[[#This Row],[Partidos4]],DesarrolloPartidos[[#This Row],[Partidos3]])</f>
        <v>4</v>
      </c>
      <c r="K221" t="str">
        <f>+DesarrolloPartidos[[#This Row],[Jugadores]]&amp;":"&amp;DesarrolloPartidos[[#This Row],[Orden]]</f>
        <v>23:12</v>
      </c>
    </row>
    <row r="222" spans="1:11">
      <c r="A222">
        <f t="shared" si="20"/>
        <v>23</v>
      </c>
      <c r="B222">
        <f t="shared" si="19"/>
        <v>6</v>
      </c>
      <c r="C222">
        <f t="shared" si="21"/>
        <v>1</v>
      </c>
      <c r="D222">
        <f t="shared" si="22"/>
        <v>5</v>
      </c>
      <c r="E222">
        <f t="shared" si="23"/>
        <v>13</v>
      </c>
      <c r="F222">
        <f>3*DesarrolloPartidos[[#This Row],[Partidos_3]]</f>
        <v>3</v>
      </c>
      <c r="G222">
        <f>IF(DesarrolloPartidos[[#This Row],[Partidos_3]]=0,0,ROUNDUP(DesarrolloPartidos[[#This Row],[Orden]]/DesarrolloPartidos[[#This Row],[JugEnPart3]]*DesarrolloPartidos[[#This Row],[Partidos_3]],0))</f>
        <v>5</v>
      </c>
      <c r="H222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222" t="str">
        <f>IF(AND(DesarrolloPartidos[[#This Row],[PartidosSolo3]]&lt;=DesarrolloPartidos[[#This Row],[Partidos_3]],DesarrolloPartidos[[#This Row],[PartidosSolo3]]&lt;&gt;0),DesarrolloPartidos[[#This Row],[PartidosSolo3]],"")</f>
        <v/>
      </c>
      <c r="J222">
        <f>+IF(DesarrolloPartidos[[#This Row],[Partidos3]]="",DesarrolloPartidos[[#This Row],[Partidos4]],DesarrolloPartidos[[#This Row],[Partidos3]])</f>
        <v>4</v>
      </c>
      <c r="K222" t="str">
        <f>+DesarrolloPartidos[[#This Row],[Jugadores]]&amp;":"&amp;DesarrolloPartidos[[#This Row],[Orden]]</f>
        <v>23:13</v>
      </c>
    </row>
    <row r="223" spans="1:11">
      <c r="A223">
        <f t="shared" si="20"/>
        <v>23</v>
      </c>
      <c r="B223">
        <f t="shared" si="19"/>
        <v>6</v>
      </c>
      <c r="C223">
        <f t="shared" si="21"/>
        <v>1</v>
      </c>
      <c r="D223">
        <f t="shared" si="22"/>
        <v>5</v>
      </c>
      <c r="E223">
        <f t="shared" si="23"/>
        <v>14</v>
      </c>
      <c r="F223">
        <f>3*DesarrolloPartidos[[#This Row],[Partidos_3]]</f>
        <v>3</v>
      </c>
      <c r="G223">
        <f>IF(DesarrolloPartidos[[#This Row],[Partidos_3]]=0,0,ROUNDUP(DesarrolloPartidos[[#This Row],[Orden]]/DesarrolloPartidos[[#This Row],[JugEnPart3]]*DesarrolloPartidos[[#This Row],[Partidos_3]],0))</f>
        <v>5</v>
      </c>
      <c r="H223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223" t="str">
        <f>IF(AND(DesarrolloPartidos[[#This Row],[PartidosSolo3]]&lt;=DesarrolloPartidos[[#This Row],[Partidos_3]],DesarrolloPartidos[[#This Row],[PartidosSolo3]]&lt;&gt;0),DesarrolloPartidos[[#This Row],[PartidosSolo3]],"")</f>
        <v/>
      </c>
      <c r="J223">
        <f>+IF(DesarrolloPartidos[[#This Row],[Partidos3]]="",DesarrolloPartidos[[#This Row],[Partidos4]],DesarrolloPartidos[[#This Row],[Partidos3]])</f>
        <v>4</v>
      </c>
      <c r="K223" t="str">
        <f>+DesarrolloPartidos[[#This Row],[Jugadores]]&amp;":"&amp;DesarrolloPartidos[[#This Row],[Orden]]</f>
        <v>23:14</v>
      </c>
    </row>
    <row r="224" spans="1:11">
      <c r="A224">
        <f t="shared" si="20"/>
        <v>23</v>
      </c>
      <c r="B224">
        <f t="shared" si="19"/>
        <v>6</v>
      </c>
      <c r="C224">
        <f t="shared" si="21"/>
        <v>1</v>
      </c>
      <c r="D224">
        <f t="shared" si="22"/>
        <v>5</v>
      </c>
      <c r="E224">
        <f t="shared" si="23"/>
        <v>15</v>
      </c>
      <c r="F224">
        <f>3*DesarrolloPartidos[[#This Row],[Partidos_3]]</f>
        <v>3</v>
      </c>
      <c r="G224">
        <f>IF(DesarrolloPartidos[[#This Row],[Partidos_3]]=0,0,ROUNDUP(DesarrolloPartidos[[#This Row],[Orden]]/DesarrolloPartidos[[#This Row],[JugEnPart3]]*DesarrolloPartidos[[#This Row],[Partidos_3]],0))</f>
        <v>5</v>
      </c>
      <c r="H224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224" t="str">
        <f>IF(AND(DesarrolloPartidos[[#This Row],[PartidosSolo3]]&lt;=DesarrolloPartidos[[#This Row],[Partidos_3]],DesarrolloPartidos[[#This Row],[PartidosSolo3]]&lt;&gt;0),DesarrolloPartidos[[#This Row],[PartidosSolo3]],"")</f>
        <v/>
      </c>
      <c r="J224">
        <f>+IF(DesarrolloPartidos[[#This Row],[Partidos3]]="",DesarrolloPartidos[[#This Row],[Partidos4]],DesarrolloPartidos[[#This Row],[Partidos3]])</f>
        <v>4</v>
      </c>
      <c r="K224" t="str">
        <f>+DesarrolloPartidos[[#This Row],[Jugadores]]&amp;":"&amp;DesarrolloPartidos[[#This Row],[Orden]]</f>
        <v>23:15</v>
      </c>
    </row>
    <row r="225" spans="1:11">
      <c r="A225">
        <f t="shared" si="20"/>
        <v>23</v>
      </c>
      <c r="B225">
        <f t="shared" si="19"/>
        <v>6</v>
      </c>
      <c r="C225">
        <f t="shared" si="21"/>
        <v>1</v>
      </c>
      <c r="D225">
        <f t="shared" si="22"/>
        <v>5</v>
      </c>
      <c r="E225">
        <f t="shared" si="23"/>
        <v>16</v>
      </c>
      <c r="F225">
        <f>3*DesarrolloPartidos[[#This Row],[Partidos_3]]</f>
        <v>3</v>
      </c>
      <c r="G225">
        <f>IF(DesarrolloPartidos[[#This Row],[Partidos_3]]=0,0,ROUNDUP(DesarrolloPartidos[[#This Row],[Orden]]/DesarrolloPartidos[[#This Row],[JugEnPart3]]*DesarrolloPartidos[[#This Row],[Partidos_3]],0))</f>
        <v>6</v>
      </c>
      <c r="H225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5</v>
      </c>
      <c r="I225" t="str">
        <f>IF(AND(DesarrolloPartidos[[#This Row],[PartidosSolo3]]&lt;=DesarrolloPartidos[[#This Row],[Partidos_3]],DesarrolloPartidos[[#This Row],[PartidosSolo3]]&lt;&gt;0),DesarrolloPartidos[[#This Row],[PartidosSolo3]],"")</f>
        <v/>
      </c>
      <c r="J225">
        <f>+IF(DesarrolloPartidos[[#This Row],[Partidos3]]="",DesarrolloPartidos[[#This Row],[Partidos4]],DesarrolloPartidos[[#This Row],[Partidos3]])</f>
        <v>5</v>
      </c>
      <c r="K225" t="str">
        <f>+DesarrolloPartidos[[#This Row],[Jugadores]]&amp;":"&amp;DesarrolloPartidos[[#This Row],[Orden]]</f>
        <v>23:16</v>
      </c>
    </row>
    <row r="226" spans="1:11">
      <c r="A226">
        <f t="shared" si="20"/>
        <v>23</v>
      </c>
      <c r="B226">
        <f t="shared" si="19"/>
        <v>6</v>
      </c>
      <c r="C226">
        <f t="shared" si="21"/>
        <v>1</v>
      </c>
      <c r="D226">
        <f t="shared" si="22"/>
        <v>5</v>
      </c>
      <c r="E226">
        <f t="shared" si="23"/>
        <v>17</v>
      </c>
      <c r="F226">
        <f>3*DesarrolloPartidos[[#This Row],[Partidos_3]]</f>
        <v>3</v>
      </c>
      <c r="G226">
        <f>IF(DesarrolloPartidos[[#This Row],[Partidos_3]]=0,0,ROUNDUP(DesarrolloPartidos[[#This Row],[Orden]]/DesarrolloPartidos[[#This Row],[JugEnPart3]]*DesarrolloPartidos[[#This Row],[Partidos_3]],0))</f>
        <v>6</v>
      </c>
      <c r="H226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5</v>
      </c>
      <c r="I226" t="str">
        <f>IF(AND(DesarrolloPartidos[[#This Row],[PartidosSolo3]]&lt;=DesarrolloPartidos[[#This Row],[Partidos_3]],DesarrolloPartidos[[#This Row],[PartidosSolo3]]&lt;&gt;0),DesarrolloPartidos[[#This Row],[PartidosSolo3]],"")</f>
        <v/>
      </c>
      <c r="J226">
        <f>+IF(DesarrolloPartidos[[#This Row],[Partidos3]]="",DesarrolloPartidos[[#This Row],[Partidos4]],DesarrolloPartidos[[#This Row],[Partidos3]])</f>
        <v>5</v>
      </c>
      <c r="K226" t="str">
        <f>+DesarrolloPartidos[[#This Row],[Jugadores]]&amp;":"&amp;DesarrolloPartidos[[#This Row],[Orden]]</f>
        <v>23:17</v>
      </c>
    </row>
    <row r="227" spans="1:11">
      <c r="A227">
        <f t="shared" si="20"/>
        <v>23</v>
      </c>
      <c r="B227">
        <f t="shared" si="19"/>
        <v>6</v>
      </c>
      <c r="C227">
        <f t="shared" si="21"/>
        <v>1</v>
      </c>
      <c r="D227">
        <f t="shared" si="22"/>
        <v>5</v>
      </c>
      <c r="E227">
        <f t="shared" si="23"/>
        <v>18</v>
      </c>
      <c r="F227">
        <f>3*DesarrolloPartidos[[#This Row],[Partidos_3]]</f>
        <v>3</v>
      </c>
      <c r="G227">
        <f>IF(DesarrolloPartidos[[#This Row],[Partidos_3]]=0,0,ROUNDUP(DesarrolloPartidos[[#This Row],[Orden]]/DesarrolloPartidos[[#This Row],[JugEnPart3]]*DesarrolloPartidos[[#This Row],[Partidos_3]],0))</f>
        <v>6</v>
      </c>
      <c r="H227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5</v>
      </c>
      <c r="I227" t="str">
        <f>IF(AND(DesarrolloPartidos[[#This Row],[PartidosSolo3]]&lt;=DesarrolloPartidos[[#This Row],[Partidos_3]],DesarrolloPartidos[[#This Row],[PartidosSolo3]]&lt;&gt;0),DesarrolloPartidos[[#This Row],[PartidosSolo3]],"")</f>
        <v/>
      </c>
      <c r="J227">
        <f>+IF(DesarrolloPartidos[[#This Row],[Partidos3]]="",DesarrolloPartidos[[#This Row],[Partidos4]],DesarrolloPartidos[[#This Row],[Partidos3]])</f>
        <v>5</v>
      </c>
      <c r="K227" t="str">
        <f>+DesarrolloPartidos[[#This Row],[Jugadores]]&amp;":"&amp;DesarrolloPartidos[[#This Row],[Orden]]</f>
        <v>23:18</v>
      </c>
    </row>
    <row r="228" spans="1:11">
      <c r="A228">
        <f t="shared" si="20"/>
        <v>23</v>
      </c>
      <c r="B228">
        <f t="shared" si="19"/>
        <v>6</v>
      </c>
      <c r="C228">
        <f t="shared" si="21"/>
        <v>1</v>
      </c>
      <c r="D228">
        <f t="shared" si="22"/>
        <v>5</v>
      </c>
      <c r="E228">
        <f t="shared" si="23"/>
        <v>19</v>
      </c>
      <c r="F228">
        <f>3*DesarrolloPartidos[[#This Row],[Partidos_3]]</f>
        <v>3</v>
      </c>
      <c r="G228">
        <f>IF(DesarrolloPartidos[[#This Row],[Partidos_3]]=0,0,ROUNDUP(DesarrolloPartidos[[#This Row],[Orden]]/DesarrolloPartidos[[#This Row],[JugEnPart3]]*DesarrolloPartidos[[#This Row],[Partidos_3]],0))</f>
        <v>7</v>
      </c>
      <c r="H228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5</v>
      </c>
      <c r="I228" t="str">
        <f>IF(AND(DesarrolloPartidos[[#This Row],[PartidosSolo3]]&lt;=DesarrolloPartidos[[#This Row],[Partidos_3]],DesarrolloPartidos[[#This Row],[PartidosSolo3]]&lt;&gt;0),DesarrolloPartidos[[#This Row],[PartidosSolo3]],"")</f>
        <v/>
      </c>
      <c r="J228">
        <f>+IF(DesarrolloPartidos[[#This Row],[Partidos3]]="",DesarrolloPartidos[[#This Row],[Partidos4]],DesarrolloPartidos[[#This Row],[Partidos3]])</f>
        <v>5</v>
      </c>
      <c r="K228" t="str">
        <f>+DesarrolloPartidos[[#This Row],[Jugadores]]&amp;":"&amp;DesarrolloPartidos[[#This Row],[Orden]]</f>
        <v>23:19</v>
      </c>
    </row>
    <row r="229" spans="1:11">
      <c r="A229">
        <f t="shared" si="20"/>
        <v>23</v>
      </c>
      <c r="B229">
        <f t="shared" si="19"/>
        <v>6</v>
      </c>
      <c r="C229">
        <f t="shared" si="21"/>
        <v>1</v>
      </c>
      <c r="D229">
        <f t="shared" si="22"/>
        <v>5</v>
      </c>
      <c r="E229">
        <f t="shared" si="23"/>
        <v>20</v>
      </c>
      <c r="F229">
        <f>3*DesarrolloPartidos[[#This Row],[Partidos_3]]</f>
        <v>3</v>
      </c>
      <c r="G229">
        <f>IF(DesarrolloPartidos[[#This Row],[Partidos_3]]=0,0,ROUNDUP(DesarrolloPartidos[[#This Row],[Orden]]/DesarrolloPartidos[[#This Row],[JugEnPart3]]*DesarrolloPartidos[[#This Row],[Partidos_3]],0))</f>
        <v>7</v>
      </c>
      <c r="H229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6</v>
      </c>
      <c r="I229" t="str">
        <f>IF(AND(DesarrolloPartidos[[#This Row],[PartidosSolo3]]&lt;=DesarrolloPartidos[[#This Row],[Partidos_3]],DesarrolloPartidos[[#This Row],[PartidosSolo3]]&lt;&gt;0),DesarrolloPartidos[[#This Row],[PartidosSolo3]],"")</f>
        <v/>
      </c>
      <c r="J229">
        <f>+IF(DesarrolloPartidos[[#This Row],[Partidos3]]="",DesarrolloPartidos[[#This Row],[Partidos4]],DesarrolloPartidos[[#This Row],[Partidos3]])</f>
        <v>6</v>
      </c>
      <c r="K229" t="str">
        <f>+DesarrolloPartidos[[#This Row],[Jugadores]]&amp;":"&amp;DesarrolloPartidos[[#This Row],[Orden]]</f>
        <v>23:20</v>
      </c>
    </row>
    <row r="230" spans="1:11">
      <c r="A230">
        <f t="shared" si="20"/>
        <v>23</v>
      </c>
      <c r="B230">
        <f t="shared" si="19"/>
        <v>6</v>
      </c>
      <c r="C230">
        <f t="shared" si="21"/>
        <v>1</v>
      </c>
      <c r="D230">
        <f t="shared" si="22"/>
        <v>5</v>
      </c>
      <c r="E230">
        <f t="shared" si="23"/>
        <v>21</v>
      </c>
      <c r="F230">
        <f>3*DesarrolloPartidos[[#This Row],[Partidos_3]]</f>
        <v>3</v>
      </c>
      <c r="G230">
        <f>IF(DesarrolloPartidos[[#This Row],[Partidos_3]]=0,0,ROUNDUP(DesarrolloPartidos[[#This Row],[Orden]]/DesarrolloPartidos[[#This Row],[JugEnPart3]]*DesarrolloPartidos[[#This Row],[Partidos_3]],0))</f>
        <v>7</v>
      </c>
      <c r="H230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6</v>
      </c>
      <c r="I230" t="str">
        <f>IF(AND(DesarrolloPartidos[[#This Row],[PartidosSolo3]]&lt;=DesarrolloPartidos[[#This Row],[Partidos_3]],DesarrolloPartidos[[#This Row],[PartidosSolo3]]&lt;&gt;0),DesarrolloPartidos[[#This Row],[PartidosSolo3]],"")</f>
        <v/>
      </c>
      <c r="J230">
        <f>+IF(DesarrolloPartidos[[#This Row],[Partidos3]]="",DesarrolloPartidos[[#This Row],[Partidos4]],DesarrolloPartidos[[#This Row],[Partidos3]])</f>
        <v>6</v>
      </c>
      <c r="K230" t="str">
        <f>+DesarrolloPartidos[[#This Row],[Jugadores]]&amp;":"&amp;DesarrolloPartidos[[#This Row],[Orden]]</f>
        <v>23:21</v>
      </c>
    </row>
    <row r="231" spans="1:11">
      <c r="A231">
        <f t="shared" si="20"/>
        <v>23</v>
      </c>
      <c r="B231">
        <f t="shared" si="19"/>
        <v>6</v>
      </c>
      <c r="C231">
        <f t="shared" si="21"/>
        <v>1</v>
      </c>
      <c r="D231">
        <f t="shared" si="22"/>
        <v>5</v>
      </c>
      <c r="E231">
        <f t="shared" si="23"/>
        <v>22</v>
      </c>
      <c r="F231">
        <f>3*DesarrolloPartidos[[#This Row],[Partidos_3]]</f>
        <v>3</v>
      </c>
      <c r="G231">
        <f>IF(DesarrolloPartidos[[#This Row],[Partidos_3]]=0,0,ROUNDUP(DesarrolloPartidos[[#This Row],[Orden]]/DesarrolloPartidos[[#This Row],[JugEnPart3]]*DesarrolloPartidos[[#This Row],[Partidos_3]],0))</f>
        <v>8</v>
      </c>
      <c r="H231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6</v>
      </c>
      <c r="I231" t="str">
        <f>IF(AND(DesarrolloPartidos[[#This Row],[PartidosSolo3]]&lt;=DesarrolloPartidos[[#This Row],[Partidos_3]],DesarrolloPartidos[[#This Row],[PartidosSolo3]]&lt;&gt;0),DesarrolloPartidos[[#This Row],[PartidosSolo3]],"")</f>
        <v/>
      </c>
      <c r="J231">
        <f>+IF(DesarrolloPartidos[[#This Row],[Partidos3]]="",DesarrolloPartidos[[#This Row],[Partidos4]],DesarrolloPartidos[[#This Row],[Partidos3]])</f>
        <v>6</v>
      </c>
      <c r="K231" t="str">
        <f>+DesarrolloPartidos[[#This Row],[Jugadores]]&amp;":"&amp;DesarrolloPartidos[[#This Row],[Orden]]</f>
        <v>23:22</v>
      </c>
    </row>
    <row r="232" spans="1:11">
      <c r="A232">
        <f t="shared" si="20"/>
        <v>23</v>
      </c>
      <c r="B232">
        <f t="shared" si="19"/>
        <v>6</v>
      </c>
      <c r="C232">
        <f t="shared" si="21"/>
        <v>1</v>
      </c>
      <c r="D232">
        <f t="shared" si="22"/>
        <v>5</v>
      </c>
      <c r="E232">
        <f t="shared" si="23"/>
        <v>23</v>
      </c>
      <c r="F232">
        <f>3*DesarrolloPartidos[[#This Row],[Partidos_3]]</f>
        <v>3</v>
      </c>
      <c r="G232">
        <f>IF(DesarrolloPartidos[[#This Row],[Partidos_3]]=0,0,ROUNDUP(DesarrolloPartidos[[#This Row],[Orden]]/DesarrolloPartidos[[#This Row],[JugEnPart3]]*DesarrolloPartidos[[#This Row],[Partidos_3]],0))</f>
        <v>8</v>
      </c>
      <c r="H232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6</v>
      </c>
      <c r="I232" t="str">
        <f>IF(AND(DesarrolloPartidos[[#This Row],[PartidosSolo3]]&lt;=DesarrolloPartidos[[#This Row],[Partidos_3]],DesarrolloPartidos[[#This Row],[PartidosSolo3]]&lt;&gt;0),DesarrolloPartidos[[#This Row],[PartidosSolo3]],"")</f>
        <v/>
      </c>
      <c r="J232">
        <f>+IF(DesarrolloPartidos[[#This Row],[Partidos3]]="",DesarrolloPartidos[[#This Row],[Partidos4]],DesarrolloPartidos[[#This Row],[Partidos3]])</f>
        <v>6</v>
      </c>
      <c r="K232" t="str">
        <f>+DesarrolloPartidos[[#This Row],[Jugadores]]&amp;":"&amp;DesarrolloPartidos[[#This Row],[Orden]]</f>
        <v>23:23</v>
      </c>
    </row>
    <row r="233" spans="1:11">
      <c r="A233">
        <f t="shared" si="20"/>
        <v>24</v>
      </c>
      <c r="B233">
        <f t="shared" si="19"/>
        <v>6</v>
      </c>
      <c r="C233">
        <f t="shared" si="21"/>
        <v>0</v>
      </c>
      <c r="D233">
        <f t="shared" si="22"/>
        <v>6</v>
      </c>
      <c r="E233">
        <f t="shared" si="23"/>
        <v>1</v>
      </c>
      <c r="F233">
        <f>3*DesarrolloPartidos[[#This Row],[Partidos_3]]</f>
        <v>0</v>
      </c>
      <c r="G233">
        <f>IF(DesarrolloPartidos[[#This Row],[Partidos_3]]=0,0,ROUNDUP(DesarrolloPartidos[[#This Row],[Orden]]/DesarrolloPartidos[[#This Row],[JugEnPart3]]*DesarrolloPartidos[[#This Row],[Partidos_3]],0))</f>
        <v>0</v>
      </c>
      <c r="H233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1</v>
      </c>
      <c r="I233" t="str">
        <f>IF(AND(DesarrolloPartidos[[#This Row],[PartidosSolo3]]&lt;=DesarrolloPartidos[[#This Row],[Partidos_3]],DesarrolloPartidos[[#This Row],[PartidosSolo3]]&lt;&gt;0),DesarrolloPartidos[[#This Row],[PartidosSolo3]],"")</f>
        <v/>
      </c>
      <c r="J233">
        <f>+IF(DesarrolloPartidos[[#This Row],[Partidos3]]="",DesarrolloPartidos[[#This Row],[Partidos4]],DesarrolloPartidos[[#This Row],[Partidos3]])</f>
        <v>1</v>
      </c>
      <c r="K233" t="str">
        <f>+DesarrolloPartidos[[#This Row],[Jugadores]]&amp;":"&amp;DesarrolloPartidos[[#This Row],[Orden]]</f>
        <v>24:1</v>
      </c>
    </row>
    <row r="234" spans="1:11">
      <c r="A234">
        <f t="shared" si="20"/>
        <v>24</v>
      </c>
      <c r="B234">
        <f t="shared" si="19"/>
        <v>6</v>
      </c>
      <c r="C234">
        <f t="shared" si="21"/>
        <v>0</v>
      </c>
      <c r="D234">
        <f t="shared" si="22"/>
        <v>6</v>
      </c>
      <c r="E234">
        <f t="shared" si="23"/>
        <v>2</v>
      </c>
      <c r="F234">
        <f>3*DesarrolloPartidos[[#This Row],[Partidos_3]]</f>
        <v>0</v>
      </c>
      <c r="G234">
        <f>IF(DesarrolloPartidos[[#This Row],[Partidos_3]]=0,0,ROUNDUP(DesarrolloPartidos[[#This Row],[Orden]]/DesarrolloPartidos[[#This Row],[JugEnPart3]]*DesarrolloPartidos[[#This Row],[Partidos_3]],0))</f>
        <v>0</v>
      </c>
      <c r="H234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1</v>
      </c>
      <c r="I234" t="str">
        <f>IF(AND(DesarrolloPartidos[[#This Row],[PartidosSolo3]]&lt;=DesarrolloPartidos[[#This Row],[Partidos_3]],DesarrolloPartidos[[#This Row],[PartidosSolo3]]&lt;&gt;0),DesarrolloPartidos[[#This Row],[PartidosSolo3]],"")</f>
        <v/>
      </c>
      <c r="J234">
        <f>+IF(DesarrolloPartidos[[#This Row],[Partidos3]]="",DesarrolloPartidos[[#This Row],[Partidos4]],DesarrolloPartidos[[#This Row],[Partidos3]])</f>
        <v>1</v>
      </c>
      <c r="K234" t="str">
        <f>+DesarrolloPartidos[[#This Row],[Jugadores]]&amp;":"&amp;DesarrolloPartidos[[#This Row],[Orden]]</f>
        <v>24:2</v>
      </c>
    </row>
    <row r="235" spans="1:11">
      <c r="A235">
        <f t="shared" si="20"/>
        <v>24</v>
      </c>
      <c r="B235">
        <f t="shared" si="19"/>
        <v>6</v>
      </c>
      <c r="C235">
        <f t="shared" si="21"/>
        <v>0</v>
      </c>
      <c r="D235">
        <f t="shared" si="22"/>
        <v>6</v>
      </c>
      <c r="E235">
        <f t="shared" si="23"/>
        <v>3</v>
      </c>
      <c r="F235">
        <f>3*DesarrolloPartidos[[#This Row],[Partidos_3]]</f>
        <v>0</v>
      </c>
      <c r="G235">
        <f>IF(DesarrolloPartidos[[#This Row],[Partidos_3]]=0,0,ROUNDUP(DesarrolloPartidos[[#This Row],[Orden]]/DesarrolloPartidos[[#This Row],[JugEnPart3]]*DesarrolloPartidos[[#This Row],[Partidos_3]],0))</f>
        <v>0</v>
      </c>
      <c r="H235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1</v>
      </c>
      <c r="I235" t="str">
        <f>IF(AND(DesarrolloPartidos[[#This Row],[PartidosSolo3]]&lt;=DesarrolloPartidos[[#This Row],[Partidos_3]],DesarrolloPartidos[[#This Row],[PartidosSolo3]]&lt;&gt;0),DesarrolloPartidos[[#This Row],[PartidosSolo3]],"")</f>
        <v/>
      </c>
      <c r="J235">
        <f>+IF(DesarrolloPartidos[[#This Row],[Partidos3]]="",DesarrolloPartidos[[#This Row],[Partidos4]],DesarrolloPartidos[[#This Row],[Partidos3]])</f>
        <v>1</v>
      </c>
      <c r="K235" t="str">
        <f>+DesarrolloPartidos[[#This Row],[Jugadores]]&amp;":"&amp;DesarrolloPartidos[[#This Row],[Orden]]</f>
        <v>24:3</v>
      </c>
    </row>
    <row r="236" spans="1:11">
      <c r="A236">
        <f t="shared" si="20"/>
        <v>24</v>
      </c>
      <c r="B236">
        <f t="shared" si="19"/>
        <v>6</v>
      </c>
      <c r="C236">
        <f t="shared" si="21"/>
        <v>0</v>
      </c>
      <c r="D236">
        <f t="shared" si="22"/>
        <v>6</v>
      </c>
      <c r="E236">
        <f t="shared" si="23"/>
        <v>4</v>
      </c>
      <c r="F236">
        <f>3*DesarrolloPartidos[[#This Row],[Partidos_3]]</f>
        <v>0</v>
      </c>
      <c r="G236">
        <f>IF(DesarrolloPartidos[[#This Row],[Partidos_3]]=0,0,ROUNDUP(DesarrolloPartidos[[#This Row],[Orden]]/DesarrolloPartidos[[#This Row],[JugEnPart3]]*DesarrolloPartidos[[#This Row],[Partidos_3]],0))</f>
        <v>0</v>
      </c>
      <c r="H236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1</v>
      </c>
      <c r="I236" t="str">
        <f>IF(AND(DesarrolloPartidos[[#This Row],[PartidosSolo3]]&lt;=DesarrolloPartidos[[#This Row],[Partidos_3]],DesarrolloPartidos[[#This Row],[PartidosSolo3]]&lt;&gt;0),DesarrolloPartidos[[#This Row],[PartidosSolo3]],"")</f>
        <v/>
      </c>
      <c r="J236">
        <f>+IF(DesarrolloPartidos[[#This Row],[Partidos3]]="",DesarrolloPartidos[[#This Row],[Partidos4]],DesarrolloPartidos[[#This Row],[Partidos3]])</f>
        <v>1</v>
      </c>
      <c r="K236" t="str">
        <f>+DesarrolloPartidos[[#This Row],[Jugadores]]&amp;":"&amp;DesarrolloPartidos[[#This Row],[Orden]]</f>
        <v>24:4</v>
      </c>
    </row>
    <row r="237" spans="1:11">
      <c r="A237">
        <f t="shared" si="20"/>
        <v>24</v>
      </c>
      <c r="B237">
        <f t="shared" si="19"/>
        <v>6</v>
      </c>
      <c r="C237">
        <f t="shared" si="21"/>
        <v>0</v>
      </c>
      <c r="D237">
        <f t="shared" si="22"/>
        <v>6</v>
      </c>
      <c r="E237">
        <f t="shared" si="23"/>
        <v>5</v>
      </c>
      <c r="F237">
        <f>3*DesarrolloPartidos[[#This Row],[Partidos_3]]</f>
        <v>0</v>
      </c>
      <c r="G237">
        <f>IF(DesarrolloPartidos[[#This Row],[Partidos_3]]=0,0,ROUNDUP(DesarrolloPartidos[[#This Row],[Orden]]/DesarrolloPartidos[[#This Row],[JugEnPart3]]*DesarrolloPartidos[[#This Row],[Partidos_3]],0))</f>
        <v>0</v>
      </c>
      <c r="H237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2</v>
      </c>
      <c r="I237" t="str">
        <f>IF(AND(DesarrolloPartidos[[#This Row],[PartidosSolo3]]&lt;=DesarrolloPartidos[[#This Row],[Partidos_3]],DesarrolloPartidos[[#This Row],[PartidosSolo3]]&lt;&gt;0),DesarrolloPartidos[[#This Row],[PartidosSolo3]],"")</f>
        <v/>
      </c>
      <c r="J237">
        <f>+IF(DesarrolloPartidos[[#This Row],[Partidos3]]="",DesarrolloPartidos[[#This Row],[Partidos4]],DesarrolloPartidos[[#This Row],[Partidos3]])</f>
        <v>2</v>
      </c>
      <c r="K237" t="str">
        <f>+DesarrolloPartidos[[#This Row],[Jugadores]]&amp;":"&amp;DesarrolloPartidos[[#This Row],[Orden]]</f>
        <v>24:5</v>
      </c>
    </row>
    <row r="238" spans="1:11">
      <c r="A238">
        <f t="shared" si="20"/>
        <v>24</v>
      </c>
      <c r="B238">
        <f t="shared" si="19"/>
        <v>6</v>
      </c>
      <c r="C238">
        <f t="shared" si="21"/>
        <v>0</v>
      </c>
      <c r="D238">
        <f t="shared" si="22"/>
        <v>6</v>
      </c>
      <c r="E238">
        <f t="shared" si="23"/>
        <v>6</v>
      </c>
      <c r="F238">
        <f>3*DesarrolloPartidos[[#This Row],[Partidos_3]]</f>
        <v>0</v>
      </c>
      <c r="G238">
        <f>IF(DesarrolloPartidos[[#This Row],[Partidos_3]]=0,0,ROUNDUP(DesarrolloPartidos[[#This Row],[Orden]]/DesarrolloPartidos[[#This Row],[JugEnPart3]]*DesarrolloPartidos[[#This Row],[Partidos_3]],0))</f>
        <v>0</v>
      </c>
      <c r="H238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2</v>
      </c>
      <c r="I238" t="str">
        <f>IF(AND(DesarrolloPartidos[[#This Row],[PartidosSolo3]]&lt;=DesarrolloPartidos[[#This Row],[Partidos_3]],DesarrolloPartidos[[#This Row],[PartidosSolo3]]&lt;&gt;0),DesarrolloPartidos[[#This Row],[PartidosSolo3]],"")</f>
        <v/>
      </c>
      <c r="J238">
        <f>+IF(DesarrolloPartidos[[#This Row],[Partidos3]]="",DesarrolloPartidos[[#This Row],[Partidos4]],DesarrolloPartidos[[#This Row],[Partidos3]])</f>
        <v>2</v>
      </c>
      <c r="K238" t="str">
        <f>+DesarrolloPartidos[[#This Row],[Jugadores]]&amp;":"&amp;DesarrolloPartidos[[#This Row],[Orden]]</f>
        <v>24:6</v>
      </c>
    </row>
    <row r="239" spans="1:11">
      <c r="A239">
        <f t="shared" si="20"/>
        <v>24</v>
      </c>
      <c r="B239">
        <f t="shared" si="19"/>
        <v>6</v>
      </c>
      <c r="C239">
        <f t="shared" si="21"/>
        <v>0</v>
      </c>
      <c r="D239">
        <f t="shared" si="22"/>
        <v>6</v>
      </c>
      <c r="E239">
        <f t="shared" si="23"/>
        <v>7</v>
      </c>
      <c r="F239">
        <f>3*DesarrolloPartidos[[#This Row],[Partidos_3]]</f>
        <v>0</v>
      </c>
      <c r="G239">
        <f>IF(DesarrolloPartidos[[#This Row],[Partidos_3]]=0,0,ROUNDUP(DesarrolloPartidos[[#This Row],[Orden]]/DesarrolloPartidos[[#This Row],[JugEnPart3]]*DesarrolloPartidos[[#This Row],[Partidos_3]],0))</f>
        <v>0</v>
      </c>
      <c r="H239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2</v>
      </c>
      <c r="I239" t="str">
        <f>IF(AND(DesarrolloPartidos[[#This Row],[PartidosSolo3]]&lt;=DesarrolloPartidos[[#This Row],[Partidos_3]],DesarrolloPartidos[[#This Row],[PartidosSolo3]]&lt;&gt;0),DesarrolloPartidos[[#This Row],[PartidosSolo3]],"")</f>
        <v/>
      </c>
      <c r="J239">
        <f>+IF(DesarrolloPartidos[[#This Row],[Partidos3]]="",DesarrolloPartidos[[#This Row],[Partidos4]],DesarrolloPartidos[[#This Row],[Partidos3]])</f>
        <v>2</v>
      </c>
      <c r="K239" t="str">
        <f>+DesarrolloPartidos[[#This Row],[Jugadores]]&amp;":"&amp;DesarrolloPartidos[[#This Row],[Orden]]</f>
        <v>24:7</v>
      </c>
    </row>
    <row r="240" spans="1:11">
      <c r="A240">
        <f t="shared" si="20"/>
        <v>24</v>
      </c>
      <c r="B240">
        <f t="shared" si="19"/>
        <v>6</v>
      </c>
      <c r="C240">
        <f t="shared" si="21"/>
        <v>0</v>
      </c>
      <c r="D240">
        <f t="shared" si="22"/>
        <v>6</v>
      </c>
      <c r="E240">
        <f t="shared" si="23"/>
        <v>8</v>
      </c>
      <c r="F240">
        <f>3*DesarrolloPartidos[[#This Row],[Partidos_3]]</f>
        <v>0</v>
      </c>
      <c r="G240">
        <f>IF(DesarrolloPartidos[[#This Row],[Partidos_3]]=0,0,ROUNDUP(DesarrolloPartidos[[#This Row],[Orden]]/DesarrolloPartidos[[#This Row],[JugEnPart3]]*DesarrolloPartidos[[#This Row],[Partidos_3]],0))</f>
        <v>0</v>
      </c>
      <c r="H240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2</v>
      </c>
      <c r="I240" t="str">
        <f>IF(AND(DesarrolloPartidos[[#This Row],[PartidosSolo3]]&lt;=DesarrolloPartidos[[#This Row],[Partidos_3]],DesarrolloPartidos[[#This Row],[PartidosSolo3]]&lt;&gt;0),DesarrolloPartidos[[#This Row],[PartidosSolo3]],"")</f>
        <v/>
      </c>
      <c r="J240">
        <f>+IF(DesarrolloPartidos[[#This Row],[Partidos3]]="",DesarrolloPartidos[[#This Row],[Partidos4]],DesarrolloPartidos[[#This Row],[Partidos3]])</f>
        <v>2</v>
      </c>
      <c r="K240" t="str">
        <f>+DesarrolloPartidos[[#This Row],[Jugadores]]&amp;":"&amp;DesarrolloPartidos[[#This Row],[Orden]]</f>
        <v>24:8</v>
      </c>
    </row>
    <row r="241" spans="1:11">
      <c r="A241">
        <f t="shared" si="20"/>
        <v>24</v>
      </c>
      <c r="B241">
        <f t="shared" si="19"/>
        <v>6</v>
      </c>
      <c r="C241">
        <f t="shared" si="21"/>
        <v>0</v>
      </c>
      <c r="D241">
        <f t="shared" si="22"/>
        <v>6</v>
      </c>
      <c r="E241">
        <f t="shared" si="23"/>
        <v>9</v>
      </c>
      <c r="F241">
        <f>3*DesarrolloPartidos[[#This Row],[Partidos_3]]</f>
        <v>0</v>
      </c>
      <c r="G241">
        <f>IF(DesarrolloPartidos[[#This Row],[Partidos_3]]=0,0,ROUNDUP(DesarrolloPartidos[[#This Row],[Orden]]/DesarrolloPartidos[[#This Row],[JugEnPart3]]*DesarrolloPartidos[[#This Row],[Partidos_3]],0))</f>
        <v>0</v>
      </c>
      <c r="H241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3</v>
      </c>
      <c r="I241" t="str">
        <f>IF(AND(DesarrolloPartidos[[#This Row],[PartidosSolo3]]&lt;=DesarrolloPartidos[[#This Row],[Partidos_3]],DesarrolloPartidos[[#This Row],[PartidosSolo3]]&lt;&gt;0),DesarrolloPartidos[[#This Row],[PartidosSolo3]],"")</f>
        <v/>
      </c>
      <c r="J241">
        <f>+IF(DesarrolloPartidos[[#This Row],[Partidos3]]="",DesarrolloPartidos[[#This Row],[Partidos4]],DesarrolloPartidos[[#This Row],[Partidos3]])</f>
        <v>3</v>
      </c>
      <c r="K241" t="str">
        <f>+DesarrolloPartidos[[#This Row],[Jugadores]]&amp;":"&amp;DesarrolloPartidos[[#This Row],[Orden]]</f>
        <v>24:9</v>
      </c>
    </row>
    <row r="242" spans="1:11">
      <c r="A242">
        <f t="shared" si="20"/>
        <v>24</v>
      </c>
      <c r="B242">
        <f t="shared" si="19"/>
        <v>6</v>
      </c>
      <c r="C242">
        <f t="shared" si="21"/>
        <v>0</v>
      </c>
      <c r="D242">
        <f t="shared" si="22"/>
        <v>6</v>
      </c>
      <c r="E242">
        <f t="shared" si="23"/>
        <v>10</v>
      </c>
      <c r="F242">
        <f>3*DesarrolloPartidos[[#This Row],[Partidos_3]]</f>
        <v>0</v>
      </c>
      <c r="G242">
        <f>IF(DesarrolloPartidos[[#This Row],[Partidos_3]]=0,0,ROUNDUP(DesarrolloPartidos[[#This Row],[Orden]]/DesarrolloPartidos[[#This Row],[JugEnPart3]]*DesarrolloPartidos[[#This Row],[Partidos_3]],0))</f>
        <v>0</v>
      </c>
      <c r="H242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3</v>
      </c>
      <c r="I242" t="str">
        <f>IF(AND(DesarrolloPartidos[[#This Row],[PartidosSolo3]]&lt;=DesarrolloPartidos[[#This Row],[Partidos_3]],DesarrolloPartidos[[#This Row],[PartidosSolo3]]&lt;&gt;0),DesarrolloPartidos[[#This Row],[PartidosSolo3]],"")</f>
        <v/>
      </c>
      <c r="J242">
        <f>+IF(DesarrolloPartidos[[#This Row],[Partidos3]]="",DesarrolloPartidos[[#This Row],[Partidos4]],DesarrolloPartidos[[#This Row],[Partidos3]])</f>
        <v>3</v>
      </c>
      <c r="K242" t="str">
        <f>+DesarrolloPartidos[[#This Row],[Jugadores]]&amp;":"&amp;DesarrolloPartidos[[#This Row],[Orden]]</f>
        <v>24:10</v>
      </c>
    </row>
    <row r="243" spans="1:11">
      <c r="A243">
        <f t="shared" si="20"/>
        <v>24</v>
      </c>
      <c r="B243">
        <f t="shared" si="19"/>
        <v>6</v>
      </c>
      <c r="C243">
        <f t="shared" si="21"/>
        <v>0</v>
      </c>
      <c r="D243">
        <f t="shared" si="22"/>
        <v>6</v>
      </c>
      <c r="E243">
        <f t="shared" si="23"/>
        <v>11</v>
      </c>
      <c r="F243">
        <f>3*DesarrolloPartidos[[#This Row],[Partidos_3]]</f>
        <v>0</v>
      </c>
      <c r="G243">
        <f>IF(DesarrolloPartidos[[#This Row],[Partidos_3]]=0,0,ROUNDUP(DesarrolloPartidos[[#This Row],[Orden]]/DesarrolloPartidos[[#This Row],[JugEnPart3]]*DesarrolloPartidos[[#This Row],[Partidos_3]],0))</f>
        <v>0</v>
      </c>
      <c r="H243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3</v>
      </c>
      <c r="I243" t="str">
        <f>IF(AND(DesarrolloPartidos[[#This Row],[PartidosSolo3]]&lt;=DesarrolloPartidos[[#This Row],[Partidos_3]],DesarrolloPartidos[[#This Row],[PartidosSolo3]]&lt;&gt;0),DesarrolloPartidos[[#This Row],[PartidosSolo3]],"")</f>
        <v/>
      </c>
      <c r="J243">
        <f>+IF(DesarrolloPartidos[[#This Row],[Partidos3]]="",DesarrolloPartidos[[#This Row],[Partidos4]],DesarrolloPartidos[[#This Row],[Partidos3]])</f>
        <v>3</v>
      </c>
      <c r="K243" t="str">
        <f>+DesarrolloPartidos[[#This Row],[Jugadores]]&amp;":"&amp;DesarrolloPartidos[[#This Row],[Orden]]</f>
        <v>24:11</v>
      </c>
    </row>
    <row r="244" spans="1:11">
      <c r="A244">
        <f t="shared" si="20"/>
        <v>24</v>
      </c>
      <c r="B244">
        <f t="shared" si="19"/>
        <v>6</v>
      </c>
      <c r="C244">
        <f t="shared" si="21"/>
        <v>0</v>
      </c>
      <c r="D244">
        <f t="shared" si="22"/>
        <v>6</v>
      </c>
      <c r="E244">
        <f t="shared" si="23"/>
        <v>12</v>
      </c>
      <c r="F244">
        <f>3*DesarrolloPartidos[[#This Row],[Partidos_3]]</f>
        <v>0</v>
      </c>
      <c r="G244">
        <f>IF(DesarrolloPartidos[[#This Row],[Partidos_3]]=0,0,ROUNDUP(DesarrolloPartidos[[#This Row],[Orden]]/DesarrolloPartidos[[#This Row],[JugEnPart3]]*DesarrolloPartidos[[#This Row],[Partidos_3]],0))</f>
        <v>0</v>
      </c>
      <c r="H244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3</v>
      </c>
      <c r="I244" t="str">
        <f>IF(AND(DesarrolloPartidos[[#This Row],[PartidosSolo3]]&lt;=DesarrolloPartidos[[#This Row],[Partidos_3]],DesarrolloPartidos[[#This Row],[PartidosSolo3]]&lt;&gt;0),DesarrolloPartidos[[#This Row],[PartidosSolo3]],"")</f>
        <v/>
      </c>
      <c r="J244">
        <f>+IF(DesarrolloPartidos[[#This Row],[Partidos3]]="",DesarrolloPartidos[[#This Row],[Partidos4]],DesarrolloPartidos[[#This Row],[Partidos3]])</f>
        <v>3</v>
      </c>
      <c r="K244" t="str">
        <f>+DesarrolloPartidos[[#This Row],[Jugadores]]&amp;":"&amp;DesarrolloPartidos[[#This Row],[Orden]]</f>
        <v>24:12</v>
      </c>
    </row>
    <row r="245" spans="1:11">
      <c r="A245">
        <f t="shared" si="20"/>
        <v>24</v>
      </c>
      <c r="B245">
        <f t="shared" si="19"/>
        <v>6</v>
      </c>
      <c r="C245">
        <f t="shared" si="21"/>
        <v>0</v>
      </c>
      <c r="D245">
        <f t="shared" si="22"/>
        <v>6</v>
      </c>
      <c r="E245">
        <f t="shared" si="23"/>
        <v>13</v>
      </c>
      <c r="F245">
        <f>3*DesarrolloPartidos[[#This Row],[Partidos_3]]</f>
        <v>0</v>
      </c>
      <c r="G245">
        <f>IF(DesarrolloPartidos[[#This Row],[Partidos_3]]=0,0,ROUNDUP(DesarrolloPartidos[[#This Row],[Orden]]/DesarrolloPartidos[[#This Row],[JugEnPart3]]*DesarrolloPartidos[[#This Row],[Partidos_3]],0))</f>
        <v>0</v>
      </c>
      <c r="H245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245" t="str">
        <f>IF(AND(DesarrolloPartidos[[#This Row],[PartidosSolo3]]&lt;=DesarrolloPartidos[[#This Row],[Partidos_3]],DesarrolloPartidos[[#This Row],[PartidosSolo3]]&lt;&gt;0),DesarrolloPartidos[[#This Row],[PartidosSolo3]],"")</f>
        <v/>
      </c>
      <c r="J245">
        <f>+IF(DesarrolloPartidos[[#This Row],[Partidos3]]="",DesarrolloPartidos[[#This Row],[Partidos4]],DesarrolloPartidos[[#This Row],[Partidos3]])</f>
        <v>4</v>
      </c>
      <c r="K245" t="str">
        <f>+DesarrolloPartidos[[#This Row],[Jugadores]]&amp;":"&amp;DesarrolloPartidos[[#This Row],[Orden]]</f>
        <v>24:13</v>
      </c>
    </row>
    <row r="246" spans="1:11">
      <c r="A246">
        <f t="shared" si="20"/>
        <v>24</v>
      </c>
      <c r="B246">
        <f t="shared" si="19"/>
        <v>6</v>
      </c>
      <c r="C246">
        <f t="shared" si="21"/>
        <v>0</v>
      </c>
      <c r="D246">
        <f t="shared" si="22"/>
        <v>6</v>
      </c>
      <c r="E246">
        <f t="shared" si="23"/>
        <v>14</v>
      </c>
      <c r="F246">
        <f>3*DesarrolloPartidos[[#This Row],[Partidos_3]]</f>
        <v>0</v>
      </c>
      <c r="G246">
        <f>IF(DesarrolloPartidos[[#This Row],[Partidos_3]]=0,0,ROUNDUP(DesarrolloPartidos[[#This Row],[Orden]]/DesarrolloPartidos[[#This Row],[JugEnPart3]]*DesarrolloPartidos[[#This Row],[Partidos_3]],0))</f>
        <v>0</v>
      </c>
      <c r="H246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246" t="str">
        <f>IF(AND(DesarrolloPartidos[[#This Row],[PartidosSolo3]]&lt;=DesarrolloPartidos[[#This Row],[Partidos_3]],DesarrolloPartidos[[#This Row],[PartidosSolo3]]&lt;&gt;0),DesarrolloPartidos[[#This Row],[PartidosSolo3]],"")</f>
        <v/>
      </c>
      <c r="J246">
        <f>+IF(DesarrolloPartidos[[#This Row],[Partidos3]]="",DesarrolloPartidos[[#This Row],[Partidos4]],DesarrolloPartidos[[#This Row],[Partidos3]])</f>
        <v>4</v>
      </c>
      <c r="K246" t="str">
        <f>+DesarrolloPartidos[[#This Row],[Jugadores]]&amp;":"&amp;DesarrolloPartidos[[#This Row],[Orden]]</f>
        <v>24:14</v>
      </c>
    </row>
    <row r="247" spans="1:11">
      <c r="A247">
        <f t="shared" si="20"/>
        <v>24</v>
      </c>
      <c r="B247">
        <f t="shared" si="19"/>
        <v>6</v>
      </c>
      <c r="C247">
        <f t="shared" si="21"/>
        <v>0</v>
      </c>
      <c r="D247">
        <f t="shared" si="22"/>
        <v>6</v>
      </c>
      <c r="E247">
        <f t="shared" si="23"/>
        <v>15</v>
      </c>
      <c r="F247">
        <f>3*DesarrolloPartidos[[#This Row],[Partidos_3]]</f>
        <v>0</v>
      </c>
      <c r="G247">
        <f>IF(DesarrolloPartidos[[#This Row],[Partidos_3]]=0,0,ROUNDUP(DesarrolloPartidos[[#This Row],[Orden]]/DesarrolloPartidos[[#This Row],[JugEnPart3]]*DesarrolloPartidos[[#This Row],[Partidos_3]],0))</f>
        <v>0</v>
      </c>
      <c r="H247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247" t="str">
        <f>IF(AND(DesarrolloPartidos[[#This Row],[PartidosSolo3]]&lt;=DesarrolloPartidos[[#This Row],[Partidos_3]],DesarrolloPartidos[[#This Row],[PartidosSolo3]]&lt;&gt;0),DesarrolloPartidos[[#This Row],[PartidosSolo3]],"")</f>
        <v/>
      </c>
      <c r="J247">
        <f>+IF(DesarrolloPartidos[[#This Row],[Partidos3]]="",DesarrolloPartidos[[#This Row],[Partidos4]],DesarrolloPartidos[[#This Row],[Partidos3]])</f>
        <v>4</v>
      </c>
      <c r="K247" t="str">
        <f>+DesarrolloPartidos[[#This Row],[Jugadores]]&amp;":"&amp;DesarrolloPartidos[[#This Row],[Orden]]</f>
        <v>24:15</v>
      </c>
    </row>
    <row r="248" spans="1:11">
      <c r="A248">
        <f t="shared" si="20"/>
        <v>24</v>
      </c>
      <c r="B248">
        <f t="shared" si="19"/>
        <v>6</v>
      </c>
      <c r="C248">
        <f t="shared" si="21"/>
        <v>0</v>
      </c>
      <c r="D248">
        <f t="shared" si="22"/>
        <v>6</v>
      </c>
      <c r="E248">
        <f t="shared" si="23"/>
        <v>16</v>
      </c>
      <c r="F248">
        <f>3*DesarrolloPartidos[[#This Row],[Partidos_3]]</f>
        <v>0</v>
      </c>
      <c r="G248">
        <f>IF(DesarrolloPartidos[[#This Row],[Partidos_3]]=0,0,ROUNDUP(DesarrolloPartidos[[#This Row],[Orden]]/DesarrolloPartidos[[#This Row],[JugEnPart3]]*DesarrolloPartidos[[#This Row],[Partidos_3]],0))</f>
        <v>0</v>
      </c>
      <c r="H248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248" t="str">
        <f>IF(AND(DesarrolloPartidos[[#This Row],[PartidosSolo3]]&lt;=DesarrolloPartidos[[#This Row],[Partidos_3]],DesarrolloPartidos[[#This Row],[PartidosSolo3]]&lt;&gt;0),DesarrolloPartidos[[#This Row],[PartidosSolo3]],"")</f>
        <v/>
      </c>
      <c r="J248">
        <f>+IF(DesarrolloPartidos[[#This Row],[Partidos3]]="",DesarrolloPartidos[[#This Row],[Partidos4]],DesarrolloPartidos[[#This Row],[Partidos3]])</f>
        <v>4</v>
      </c>
      <c r="K248" t="str">
        <f>+DesarrolloPartidos[[#This Row],[Jugadores]]&amp;":"&amp;DesarrolloPartidos[[#This Row],[Orden]]</f>
        <v>24:16</v>
      </c>
    </row>
    <row r="249" spans="1:11">
      <c r="A249">
        <f t="shared" si="20"/>
        <v>24</v>
      </c>
      <c r="B249">
        <f t="shared" si="19"/>
        <v>6</v>
      </c>
      <c r="C249">
        <f t="shared" si="21"/>
        <v>0</v>
      </c>
      <c r="D249">
        <f t="shared" si="22"/>
        <v>6</v>
      </c>
      <c r="E249">
        <f t="shared" si="23"/>
        <v>17</v>
      </c>
      <c r="F249">
        <f>3*DesarrolloPartidos[[#This Row],[Partidos_3]]</f>
        <v>0</v>
      </c>
      <c r="G249">
        <f>IF(DesarrolloPartidos[[#This Row],[Partidos_3]]=0,0,ROUNDUP(DesarrolloPartidos[[#This Row],[Orden]]/DesarrolloPartidos[[#This Row],[JugEnPart3]]*DesarrolloPartidos[[#This Row],[Partidos_3]],0))</f>
        <v>0</v>
      </c>
      <c r="H249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5</v>
      </c>
      <c r="I249" t="str">
        <f>IF(AND(DesarrolloPartidos[[#This Row],[PartidosSolo3]]&lt;=DesarrolloPartidos[[#This Row],[Partidos_3]],DesarrolloPartidos[[#This Row],[PartidosSolo3]]&lt;&gt;0),DesarrolloPartidos[[#This Row],[PartidosSolo3]],"")</f>
        <v/>
      </c>
      <c r="J249">
        <f>+IF(DesarrolloPartidos[[#This Row],[Partidos3]]="",DesarrolloPartidos[[#This Row],[Partidos4]],DesarrolloPartidos[[#This Row],[Partidos3]])</f>
        <v>5</v>
      </c>
      <c r="K249" t="str">
        <f>+DesarrolloPartidos[[#This Row],[Jugadores]]&amp;":"&amp;DesarrolloPartidos[[#This Row],[Orden]]</f>
        <v>24:17</v>
      </c>
    </row>
    <row r="250" spans="1:11">
      <c r="A250">
        <f t="shared" si="20"/>
        <v>24</v>
      </c>
      <c r="B250">
        <f t="shared" si="19"/>
        <v>6</v>
      </c>
      <c r="C250">
        <f t="shared" si="21"/>
        <v>0</v>
      </c>
      <c r="D250">
        <f t="shared" si="22"/>
        <v>6</v>
      </c>
      <c r="E250">
        <f t="shared" si="23"/>
        <v>18</v>
      </c>
      <c r="F250">
        <f>3*DesarrolloPartidos[[#This Row],[Partidos_3]]</f>
        <v>0</v>
      </c>
      <c r="G250">
        <f>IF(DesarrolloPartidos[[#This Row],[Partidos_3]]=0,0,ROUNDUP(DesarrolloPartidos[[#This Row],[Orden]]/DesarrolloPartidos[[#This Row],[JugEnPart3]]*DesarrolloPartidos[[#This Row],[Partidos_3]],0))</f>
        <v>0</v>
      </c>
      <c r="H250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5</v>
      </c>
      <c r="I250" t="str">
        <f>IF(AND(DesarrolloPartidos[[#This Row],[PartidosSolo3]]&lt;=DesarrolloPartidos[[#This Row],[Partidos_3]],DesarrolloPartidos[[#This Row],[PartidosSolo3]]&lt;&gt;0),DesarrolloPartidos[[#This Row],[PartidosSolo3]],"")</f>
        <v/>
      </c>
      <c r="J250">
        <f>+IF(DesarrolloPartidos[[#This Row],[Partidos3]]="",DesarrolloPartidos[[#This Row],[Partidos4]],DesarrolloPartidos[[#This Row],[Partidos3]])</f>
        <v>5</v>
      </c>
      <c r="K250" t="str">
        <f>+DesarrolloPartidos[[#This Row],[Jugadores]]&amp;":"&amp;DesarrolloPartidos[[#This Row],[Orden]]</f>
        <v>24:18</v>
      </c>
    </row>
    <row r="251" spans="1:11">
      <c r="A251">
        <f t="shared" si="20"/>
        <v>24</v>
      </c>
      <c r="B251">
        <f t="shared" si="19"/>
        <v>6</v>
      </c>
      <c r="C251">
        <f t="shared" si="21"/>
        <v>0</v>
      </c>
      <c r="D251">
        <f t="shared" si="22"/>
        <v>6</v>
      </c>
      <c r="E251">
        <f t="shared" si="23"/>
        <v>19</v>
      </c>
      <c r="F251">
        <f>3*DesarrolloPartidos[[#This Row],[Partidos_3]]</f>
        <v>0</v>
      </c>
      <c r="G251">
        <f>IF(DesarrolloPartidos[[#This Row],[Partidos_3]]=0,0,ROUNDUP(DesarrolloPartidos[[#This Row],[Orden]]/DesarrolloPartidos[[#This Row],[JugEnPart3]]*DesarrolloPartidos[[#This Row],[Partidos_3]],0))</f>
        <v>0</v>
      </c>
      <c r="H251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5</v>
      </c>
      <c r="I251" t="str">
        <f>IF(AND(DesarrolloPartidos[[#This Row],[PartidosSolo3]]&lt;=DesarrolloPartidos[[#This Row],[Partidos_3]],DesarrolloPartidos[[#This Row],[PartidosSolo3]]&lt;&gt;0),DesarrolloPartidos[[#This Row],[PartidosSolo3]],"")</f>
        <v/>
      </c>
      <c r="J251">
        <f>+IF(DesarrolloPartidos[[#This Row],[Partidos3]]="",DesarrolloPartidos[[#This Row],[Partidos4]],DesarrolloPartidos[[#This Row],[Partidos3]])</f>
        <v>5</v>
      </c>
      <c r="K251" t="str">
        <f>+DesarrolloPartidos[[#This Row],[Jugadores]]&amp;":"&amp;DesarrolloPartidos[[#This Row],[Orden]]</f>
        <v>24:19</v>
      </c>
    </row>
    <row r="252" spans="1:11">
      <c r="A252">
        <f t="shared" si="20"/>
        <v>24</v>
      </c>
      <c r="B252">
        <f t="shared" si="19"/>
        <v>6</v>
      </c>
      <c r="C252">
        <f t="shared" si="21"/>
        <v>0</v>
      </c>
      <c r="D252">
        <f t="shared" si="22"/>
        <v>6</v>
      </c>
      <c r="E252">
        <f t="shared" si="23"/>
        <v>20</v>
      </c>
      <c r="F252">
        <f>3*DesarrolloPartidos[[#This Row],[Partidos_3]]</f>
        <v>0</v>
      </c>
      <c r="G252">
        <f>IF(DesarrolloPartidos[[#This Row],[Partidos_3]]=0,0,ROUNDUP(DesarrolloPartidos[[#This Row],[Orden]]/DesarrolloPartidos[[#This Row],[JugEnPart3]]*DesarrolloPartidos[[#This Row],[Partidos_3]],0))</f>
        <v>0</v>
      </c>
      <c r="H252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5</v>
      </c>
      <c r="I252" t="str">
        <f>IF(AND(DesarrolloPartidos[[#This Row],[PartidosSolo3]]&lt;=DesarrolloPartidos[[#This Row],[Partidos_3]],DesarrolloPartidos[[#This Row],[PartidosSolo3]]&lt;&gt;0),DesarrolloPartidos[[#This Row],[PartidosSolo3]],"")</f>
        <v/>
      </c>
      <c r="J252">
        <f>+IF(DesarrolloPartidos[[#This Row],[Partidos3]]="",DesarrolloPartidos[[#This Row],[Partidos4]],DesarrolloPartidos[[#This Row],[Partidos3]])</f>
        <v>5</v>
      </c>
      <c r="K252" t="str">
        <f>+DesarrolloPartidos[[#This Row],[Jugadores]]&amp;":"&amp;DesarrolloPartidos[[#This Row],[Orden]]</f>
        <v>24:20</v>
      </c>
    </row>
    <row r="253" spans="1:11">
      <c r="A253">
        <f t="shared" si="20"/>
        <v>24</v>
      </c>
      <c r="B253">
        <f t="shared" si="19"/>
        <v>6</v>
      </c>
      <c r="C253">
        <f t="shared" si="21"/>
        <v>0</v>
      </c>
      <c r="D253">
        <f t="shared" si="22"/>
        <v>6</v>
      </c>
      <c r="E253">
        <f t="shared" si="23"/>
        <v>21</v>
      </c>
      <c r="F253">
        <f>3*DesarrolloPartidos[[#This Row],[Partidos_3]]</f>
        <v>0</v>
      </c>
      <c r="G253">
        <f>IF(DesarrolloPartidos[[#This Row],[Partidos_3]]=0,0,ROUNDUP(DesarrolloPartidos[[#This Row],[Orden]]/DesarrolloPartidos[[#This Row],[JugEnPart3]]*DesarrolloPartidos[[#This Row],[Partidos_3]],0))</f>
        <v>0</v>
      </c>
      <c r="H253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6</v>
      </c>
      <c r="I253" t="str">
        <f>IF(AND(DesarrolloPartidos[[#This Row],[PartidosSolo3]]&lt;=DesarrolloPartidos[[#This Row],[Partidos_3]],DesarrolloPartidos[[#This Row],[PartidosSolo3]]&lt;&gt;0),DesarrolloPartidos[[#This Row],[PartidosSolo3]],"")</f>
        <v/>
      </c>
      <c r="J253">
        <f>+IF(DesarrolloPartidos[[#This Row],[Partidos3]]="",DesarrolloPartidos[[#This Row],[Partidos4]],DesarrolloPartidos[[#This Row],[Partidos3]])</f>
        <v>6</v>
      </c>
      <c r="K253" t="str">
        <f>+DesarrolloPartidos[[#This Row],[Jugadores]]&amp;":"&amp;DesarrolloPartidos[[#This Row],[Orden]]</f>
        <v>24:21</v>
      </c>
    </row>
    <row r="254" spans="1:11">
      <c r="A254">
        <f t="shared" si="20"/>
        <v>24</v>
      </c>
      <c r="B254">
        <f t="shared" si="19"/>
        <v>6</v>
      </c>
      <c r="C254">
        <f t="shared" si="21"/>
        <v>0</v>
      </c>
      <c r="D254">
        <f t="shared" si="22"/>
        <v>6</v>
      </c>
      <c r="E254">
        <f t="shared" si="23"/>
        <v>22</v>
      </c>
      <c r="F254">
        <f>3*DesarrolloPartidos[[#This Row],[Partidos_3]]</f>
        <v>0</v>
      </c>
      <c r="G254">
        <f>IF(DesarrolloPartidos[[#This Row],[Partidos_3]]=0,0,ROUNDUP(DesarrolloPartidos[[#This Row],[Orden]]/DesarrolloPartidos[[#This Row],[JugEnPart3]]*DesarrolloPartidos[[#This Row],[Partidos_3]],0))</f>
        <v>0</v>
      </c>
      <c r="H254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6</v>
      </c>
      <c r="I254" t="str">
        <f>IF(AND(DesarrolloPartidos[[#This Row],[PartidosSolo3]]&lt;=DesarrolloPartidos[[#This Row],[Partidos_3]],DesarrolloPartidos[[#This Row],[PartidosSolo3]]&lt;&gt;0),DesarrolloPartidos[[#This Row],[PartidosSolo3]],"")</f>
        <v/>
      </c>
      <c r="J254">
        <f>+IF(DesarrolloPartidos[[#This Row],[Partidos3]]="",DesarrolloPartidos[[#This Row],[Partidos4]],DesarrolloPartidos[[#This Row],[Partidos3]])</f>
        <v>6</v>
      </c>
      <c r="K254" t="str">
        <f>+DesarrolloPartidos[[#This Row],[Jugadores]]&amp;":"&amp;DesarrolloPartidos[[#This Row],[Orden]]</f>
        <v>24:22</v>
      </c>
    </row>
    <row r="255" spans="1:11">
      <c r="A255">
        <f t="shared" si="20"/>
        <v>24</v>
      </c>
      <c r="B255">
        <f t="shared" si="19"/>
        <v>6</v>
      </c>
      <c r="C255">
        <f t="shared" si="21"/>
        <v>0</v>
      </c>
      <c r="D255">
        <f t="shared" si="22"/>
        <v>6</v>
      </c>
      <c r="E255">
        <f t="shared" si="23"/>
        <v>23</v>
      </c>
      <c r="F255">
        <f>3*DesarrolloPartidos[[#This Row],[Partidos_3]]</f>
        <v>0</v>
      </c>
      <c r="G255">
        <f>IF(DesarrolloPartidos[[#This Row],[Partidos_3]]=0,0,ROUNDUP(DesarrolloPartidos[[#This Row],[Orden]]/DesarrolloPartidos[[#This Row],[JugEnPart3]]*DesarrolloPartidos[[#This Row],[Partidos_3]],0))</f>
        <v>0</v>
      </c>
      <c r="H255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6</v>
      </c>
      <c r="I255" t="str">
        <f>IF(AND(DesarrolloPartidos[[#This Row],[PartidosSolo3]]&lt;=DesarrolloPartidos[[#This Row],[Partidos_3]],DesarrolloPartidos[[#This Row],[PartidosSolo3]]&lt;&gt;0),DesarrolloPartidos[[#This Row],[PartidosSolo3]],"")</f>
        <v/>
      </c>
      <c r="J255">
        <f>+IF(DesarrolloPartidos[[#This Row],[Partidos3]]="",DesarrolloPartidos[[#This Row],[Partidos4]],DesarrolloPartidos[[#This Row],[Partidos3]])</f>
        <v>6</v>
      </c>
      <c r="K255" t="str">
        <f>+DesarrolloPartidos[[#This Row],[Jugadores]]&amp;":"&amp;DesarrolloPartidos[[#This Row],[Orden]]</f>
        <v>24:23</v>
      </c>
    </row>
    <row r="256" spans="1:11">
      <c r="A256">
        <f t="shared" si="20"/>
        <v>24</v>
      </c>
      <c r="B256">
        <f t="shared" si="19"/>
        <v>6</v>
      </c>
      <c r="C256">
        <f t="shared" si="21"/>
        <v>0</v>
      </c>
      <c r="D256">
        <f t="shared" si="22"/>
        <v>6</v>
      </c>
      <c r="E256">
        <f t="shared" si="23"/>
        <v>24</v>
      </c>
      <c r="F256">
        <f>3*DesarrolloPartidos[[#This Row],[Partidos_3]]</f>
        <v>0</v>
      </c>
      <c r="G256">
        <f>IF(DesarrolloPartidos[[#This Row],[Partidos_3]]=0,0,ROUNDUP(DesarrolloPartidos[[#This Row],[Orden]]/DesarrolloPartidos[[#This Row],[JugEnPart3]]*DesarrolloPartidos[[#This Row],[Partidos_3]],0))</f>
        <v>0</v>
      </c>
      <c r="H256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6</v>
      </c>
      <c r="I256" t="str">
        <f>IF(AND(DesarrolloPartidos[[#This Row],[PartidosSolo3]]&lt;=DesarrolloPartidos[[#This Row],[Partidos_3]],DesarrolloPartidos[[#This Row],[PartidosSolo3]]&lt;&gt;0),DesarrolloPartidos[[#This Row],[PartidosSolo3]],"")</f>
        <v/>
      </c>
      <c r="J256">
        <f>+IF(DesarrolloPartidos[[#This Row],[Partidos3]]="",DesarrolloPartidos[[#This Row],[Partidos4]],DesarrolloPartidos[[#This Row],[Partidos3]])</f>
        <v>6</v>
      </c>
      <c r="K256" t="str">
        <f>+DesarrolloPartidos[[#This Row],[Jugadores]]&amp;":"&amp;DesarrolloPartidos[[#This Row],[Orden]]</f>
        <v>24:24</v>
      </c>
    </row>
    <row r="257" spans="1:11">
      <c r="A257">
        <f t="shared" si="20"/>
        <v>25</v>
      </c>
      <c r="B257">
        <f t="shared" si="19"/>
        <v>7</v>
      </c>
      <c r="C257">
        <f t="shared" si="21"/>
        <v>3</v>
      </c>
      <c r="D257">
        <f t="shared" si="22"/>
        <v>4</v>
      </c>
      <c r="E257">
        <f t="shared" si="23"/>
        <v>1</v>
      </c>
      <c r="F257">
        <f>3*DesarrolloPartidos[[#This Row],[Partidos_3]]</f>
        <v>9</v>
      </c>
      <c r="G257">
        <f>IF(DesarrolloPartidos[[#This Row],[Partidos_3]]=0,0,ROUNDUP(DesarrolloPartidos[[#This Row],[Orden]]/DesarrolloPartidos[[#This Row],[JugEnPart3]]*DesarrolloPartidos[[#This Row],[Partidos_3]],0))</f>
        <v>1</v>
      </c>
      <c r="H257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257">
        <f>IF(AND(DesarrolloPartidos[[#This Row],[PartidosSolo3]]&lt;=DesarrolloPartidos[[#This Row],[Partidos_3]],DesarrolloPartidos[[#This Row],[PartidosSolo3]]&lt;&gt;0),DesarrolloPartidos[[#This Row],[PartidosSolo3]],"")</f>
        <v>1</v>
      </c>
      <c r="J257">
        <f>+IF(DesarrolloPartidos[[#This Row],[Partidos3]]="",DesarrolloPartidos[[#This Row],[Partidos4]],DesarrolloPartidos[[#This Row],[Partidos3]])</f>
        <v>1</v>
      </c>
      <c r="K257" t="str">
        <f>+DesarrolloPartidos[[#This Row],[Jugadores]]&amp;":"&amp;DesarrolloPartidos[[#This Row],[Orden]]</f>
        <v>25:1</v>
      </c>
    </row>
    <row r="258" spans="1:11">
      <c r="A258">
        <f t="shared" si="20"/>
        <v>25</v>
      </c>
      <c r="B258">
        <f t="shared" si="19"/>
        <v>7</v>
      </c>
      <c r="C258">
        <f t="shared" si="21"/>
        <v>3</v>
      </c>
      <c r="D258">
        <f t="shared" si="22"/>
        <v>4</v>
      </c>
      <c r="E258">
        <f t="shared" si="23"/>
        <v>2</v>
      </c>
      <c r="F258">
        <f>3*DesarrolloPartidos[[#This Row],[Partidos_3]]</f>
        <v>9</v>
      </c>
      <c r="G258">
        <f>IF(DesarrolloPartidos[[#This Row],[Partidos_3]]=0,0,ROUNDUP(DesarrolloPartidos[[#This Row],[Orden]]/DesarrolloPartidos[[#This Row],[JugEnPart3]]*DesarrolloPartidos[[#This Row],[Partidos_3]],0))</f>
        <v>1</v>
      </c>
      <c r="H258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258">
        <f>IF(AND(DesarrolloPartidos[[#This Row],[PartidosSolo3]]&lt;=DesarrolloPartidos[[#This Row],[Partidos_3]],DesarrolloPartidos[[#This Row],[PartidosSolo3]]&lt;&gt;0),DesarrolloPartidos[[#This Row],[PartidosSolo3]],"")</f>
        <v>1</v>
      </c>
      <c r="J258">
        <f>+IF(DesarrolloPartidos[[#This Row],[Partidos3]]="",DesarrolloPartidos[[#This Row],[Partidos4]],DesarrolloPartidos[[#This Row],[Partidos3]])</f>
        <v>1</v>
      </c>
      <c r="K258" t="str">
        <f>+DesarrolloPartidos[[#This Row],[Jugadores]]&amp;":"&amp;DesarrolloPartidos[[#This Row],[Orden]]</f>
        <v>25:2</v>
      </c>
    </row>
    <row r="259" spans="1:11">
      <c r="A259">
        <f t="shared" si="20"/>
        <v>25</v>
      </c>
      <c r="B259">
        <f t="shared" ref="B259:B322" si="24">+ROUNDUP(A259/4,0)</f>
        <v>7</v>
      </c>
      <c r="C259">
        <f t="shared" si="21"/>
        <v>3</v>
      </c>
      <c r="D259">
        <f t="shared" si="22"/>
        <v>4</v>
      </c>
      <c r="E259">
        <f t="shared" si="23"/>
        <v>3</v>
      </c>
      <c r="F259">
        <f>3*DesarrolloPartidos[[#This Row],[Partidos_3]]</f>
        <v>9</v>
      </c>
      <c r="G259">
        <f>IF(DesarrolloPartidos[[#This Row],[Partidos_3]]=0,0,ROUNDUP(DesarrolloPartidos[[#This Row],[Orden]]/DesarrolloPartidos[[#This Row],[JugEnPart3]]*DesarrolloPartidos[[#This Row],[Partidos_3]],0))</f>
        <v>1</v>
      </c>
      <c r="H259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259">
        <f>IF(AND(DesarrolloPartidos[[#This Row],[PartidosSolo3]]&lt;=DesarrolloPartidos[[#This Row],[Partidos_3]],DesarrolloPartidos[[#This Row],[PartidosSolo3]]&lt;&gt;0),DesarrolloPartidos[[#This Row],[PartidosSolo3]],"")</f>
        <v>1</v>
      </c>
      <c r="J259">
        <f>+IF(DesarrolloPartidos[[#This Row],[Partidos3]]="",DesarrolloPartidos[[#This Row],[Partidos4]],DesarrolloPartidos[[#This Row],[Partidos3]])</f>
        <v>1</v>
      </c>
      <c r="K259" t="str">
        <f>+DesarrolloPartidos[[#This Row],[Jugadores]]&amp;":"&amp;DesarrolloPartidos[[#This Row],[Orden]]</f>
        <v>25:3</v>
      </c>
    </row>
    <row r="260" spans="1:11">
      <c r="A260">
        <f t="shared" ref="A260:A323" si="25">+IF(ROW(A259)=1,10,IF(A259=E259,A259+1,A259))</f>
        <v>25</v>
      </c>
      <c r="B260">
        <f t="shared" si="24"/>
        <v>7</v>
      </c>
      <c r="C260">
        <f t="shared" ref="C260:C323" si="26">+(B260-A260/4)/0.25</f>
        <v>3</v>
      </c>
      <c r="D260">
        <f t="shared" ref="D260:D323" si="27">+B260-C260</f>
        <v>4</v>
      </c>
      <c r="E260">
        <f t="shared" ref="E260:E323" si="28">+IF(ROW(E259)=1,1,IF(E259=A259,1,E259+1))</f>
        <v>4</v>
      </c>
      <c r="F260">
        <f>3*DesarrolloPartidos[[#This Row],[Partidos_3]]</f>
        <v>9</v>
      </c>
      <c r="G260">
        <f>IF(DesarrolloPartidos[[#This Row],[Partidos_3]]=0,0,ROUNDUP(DesarrolloPartidos[[#This Row],[Orden]]/DesarrolloPartidos[[#This Row],[JugEnPart3]]*DesarrolloPartidos[[#This Row],[Partidos_3]],0))</f>
        <v>2</v>
      </c>
      <c r="H260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260">
        <f>IF(AND(DesarrolloPartidos[[#This Row],[PartidosSolo3]]&lt;=DesarrolloPartidos[[#This Row],[Partidos_3]],DesarrolloPartidos[[#This Row],[PartidosSolo3]]&lt;&gt;0),DesarrolloPartidos[[#This Row],[PartidosSolo3]],"")</f>
        <v>2</v>
      </c>
      <c r="J260">
        <f>+IF(DesarrolloPartidos[[#This Row],[Partidos3]]="",DesarrolloPartidos[[#This Row],[Partidos4]],DesarrolloPartidos[[#This Row],[Partidos3]])</f>
        <v>2</v>
      </c>
      <c r="K260" t="str">
        <f>+DesarrolloPartidos[[#This Row],[Jugadores]]&amp;":"&amp;DesarrolloPartidos[[#This Row],[Orden]]</f>
        <v>25:4</v>
      </c>
    </row>
    <row r="261" spans="1:11">
      <c r="A261">
        <f t="shared" si="25"/>
        <v>25</v>
      </c>
      <c r="B261">
        <f t="shared" si="24"/>
        <v>7</v>
      </c>
      <c r="C261">
        <f t="shared" si="26"/>
        <v>3</v>
      </c>
      <c r="D261">
        <f t="shared" si="27"/>
        <v>4</v>
      </c>
      <c r="E261">
        <f t="shared" si="28"/>
        <v>5</v>
      </c>
      <c r="F261">
        <f>3*DesarrolloPartidos[[#This Row],[Partidos_3]]</f>
        <v>9</v>
      </c>
      <c r="G261">
        <f>IF(DesarrolloPartidos[[#This Row],[Partidos_3]]=0,0,ROUNDUP(DesarrolloPartidos[[#This Row],[Orden]]/DesarrolloPartidos[[#This Row],[JugEnPart3]]*DesarrolloPartidos[[#This Row],[Partidos_3]],0))</f>
        <v>2</v>
      </c>
      <c r="H261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261">
        <f>IF(AND(DesarrolloPartidos[[#This Row],[PartidosSolo3]]&lt;=DesarrolloPartidos[[#This Row],[Partidos_3]],DesarrolloPartidos[[#This Row],[PartidosSolo3]]&lt;&gt;0),DesarrolloPartidos[[#This Row],[PartidosSolo3]],"")</f>
        <v>2</v>
      </c>
      <c r="J261">
        <f>+IF(DesarrolloPartidos[[#This Row],[Partidos3]]="",DesarrolloPartidos[[#This Row],[Partidos4]],DesarrolloPartidos[[#This Row],[Partidos3]])</f>
        <v>2</v>
      </c>
      <c r="K261" t="str">
        <f>+DesarrolloPartidos[[#This Row],[Jugadores]]&amp;":"&amp;DesarrolloPartidos[[#This Row],[Orden]]</f>
        <v>25:5</v>
      </c>
    </row>
    <row r="262" spans="1:11">
      <c r="A262">
        <f t="shared" si="25"/>
        <v>25</v>
      </c>
      <c r="B262">
        <f t="shared" si="24"/>
        <v>7</v>
      </c>
      <c r="C262">
        <f t="shared" si="26"/>
        <v>3</v>
      </c>
      <c r="D262">
        <f t="shared" si="27"/>
        <v>4</v>
      </c>
      <c r="E262">
        <f t="shared" si="28"/>
        <v>6</v>
      </c>
      <c r="F262">
        <f>3*DesarrolloPartidos[[#This Row],[Partidos_3]]</f>
        <v>9</v>
      </c>
      <c r="G262">
        <f>IF(DesarrolloPartidos[[#This Row],[Partidos_3]]=0,0,ROUNDUP(DesarrolloPartidos[[#This Row],[Orden]]/DesarrolloPartidos[[#This Row],[JugEnPart3]]*DesarrolloPartidos[[#This Row],[Partidos_3]],0))</f>
        <v>2</v>
      </c>
      <c r="H262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262">
        <f>IF(AND(DesarrolloPartidos[[#This Row],[PartidosSolo3]]&lt;=DesarrolloPartidos[[#This Row],[Partidos_3]],DesarrolloPartidos[[#This Row],[PartidosSolo3]]&lt;&gt;0),DesarrolloPartidos[[#This Row],[PartidosSolo3]],"")</f>
        <v>2</v>
      </c>
      <c r="J262">
        <f>+IF(DesarrolloPartidos[[#This Row],[Partidos3]]="",DesarrolloPartidos[[#This Row],[Partidos4]],DesarrolloPartidos[[#This Row],[Partidos3]])</f>
        <v>2</v>
      </c>
      <c r="K262" t="str">
        <f>+DesarrolloPartidos[[#This Row],[Jugadores]]&amp;":"&amp;DesarrolloPartidos[[#This Row],[Orden]]</f>
        <v>25:6</v>
      </c>
    </row>
    <row r="263" spans="1:11">
      <c r="A263">
        <f t="shared" si="25"/>
        <v>25</v>
      </c>
      <c r="B263">
        <f t="shared" si="24"/>
        <v>7</v>
      </c>
      <c r="C263">
        <f t="shared" si="26"/>
        <v>3</v>
      </c>
      <c r="D263">
        <f t="shared" si="27"/>
        <v>4</v>
      </c>
      <c r="E263">
        <f t="shared" si="28"/>
        <v>7</v>
      </c>
      <c r="F263">
        <f>3*DesarrolloPartidos[[#This Row],[Partidos_3]]</f>
        <v>9</v>
      </c>
      <c r="G263">
        <f>IF(DesarrolloPartidos[[#This Row],[Partidos_3]]=0,0,ROUNDUP(DesarrolloPartidos[[#This Row],[Orden]]/DesarrolloPartidos[[#This Row],[JugEnPart3]]*DesarrolloPartidos[[#This Row],[Partidos_3]],0))</f>
        <v>3</v>
      </c>
      <c r="H263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263">
        <f>IF(AND(DesarrolloPartidos[[#This Row],[PartidosSolo3]]&lt;=DesarrolloPartidos[[#This Row],[Partidos_3]],DesarrolloPartidos[[#This Row],[PartidosSolo3]]&lt;&gt;0),DesarrolloPartidos[[#This Row],[PartidosSolo3]],"")</f>
        <v>3</v>
      </c>
      <c r="J263">
        <f>+IF(DesarrolloPartidos[[#This Row],[Partidos3]]="",DesarrolloPartidos[[#This Row],[Partidos4]],DesarrolloPartidos[[#This Row],[Partidos3]])</f>
        <v>3</v>
      </c>
      <c r="K263" t="str">
        <f>+DesarrolloPartidos[[#This Row],[Jugadores]]&amp;":"&amp;DesarrolloPartidos[[#This Row],[Orden]]</f>
        <v>25:7</v>
      </c>
    </row>
    <row r="264" spans="1:11">
      <c r="A264">
        <f t="shared" si="25"/>
        <v>25</v>
      </c>
      <c r="B264">
        <f t="shared" si="24"/>
        <v>7</v>
      </c>
      <c r="C264">
        <f t="shared" si="26"/>
        <v>3</v>
      </c>
      <c r="D264">
        <f t="shared" si="27"/>
        <v>4</v>
      </c>
      <c r="E264">
        <f t="shared" si="28"/>
        <v>8</v>
      </c>
      <c r="F264">
        <f>3*DesarrolloPartidos[[#This Row],[Partidos_3]]</f>
        <v>9</v>
      </c>
      <c r="G264">
        <f>IF(DesarrolloPartidos[[#This Row],[Partidos_3]]=0,0,ROUNDUP(DesarrolloPartidos[[#This Row],[Orden]]/DesarrolloPartidos[[#This Row],[JugEnPart3]]*DesarrolloPartidos[[#This Row],[Partidos_3]],0))</f>
        <v>3</v>
      </c>
      <c r="H264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264">
        <f>IF(AND(DesarrolloPartidos[[#This Row],[PartidosSolo3]]&lt;=DesarrolloPartidos[[#This Row],[Partidos_3]],DesarrolloPartidos[[#This Row],[PartidosSolo3]]&lt;&gt;0),DesarrolloPartidos[[#This Row],[PartidosSolo3]],"")</f>
        <v>3</v>
      </c>
      <c r="J264">
        <f>+IF(DesarrolloPartidos[[#This Row],[Partidos3]]="",DesarrolloPartidos[[#This Row],[Partidos4]],DesarrolloPartidos[[#This Row],[Partidos3]])</f>
        <v>3</v>
      </c>
      <c r="K264" t="str">
        <f>+DesarrolloPartidos[[#This Row],[Jugadores]]&amp;":"&amp;DesarrolloPartidos[[#This Row],[Orden]]</f>
        <v>25:8</v>
      </c>
    </row>
    <row r="265" spans="1:11">
      <c r="A265">
        <f t="shared" si="25"/>
        <v>25</v>
      </c>
      <c r="B265">
        <f t="shared" si="24"/>
        <v>7</v>
      </c>
      <c r="C265">
        <f t="shared" si="26"/>
        <v>3</v>
      </c>
      <c r="D265">
        <f t="shared" si="27"/>
        <v>4</v>
      </c>
      <c r="E265">
        <f t="shared" si="28"/>
        <v>9</v>
      </c>
      <c r="F265">
        <f>3*DesarrolloPartidos[[#This Row],[Partidos_3]]</f>
        <v>9</v>
      </c>
      <c r="G265">
        <f>IF(DesarrolloPartidos[[#This Row],[Partidos_3]]=0,0,ROUNDUP(DesarrolloPartidos[[#This Row],[Orden]]/DesarrolloPartidos[[#This Row],[JugEnPart3]]*DesarrolloPartidos[[#This Row],[Partidos_3]],0))</f>
        <v>3</v>
      </c>
      <c r="H265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265">
        <f>IF(AND(DesarrolloPartidos[[#This Row],[PartidosSolo3]]&lt;=DesarrolloPartidos[[#This Row],[Partidos_3]],DesarrolloPartidos[[#This Row],[PartidosSolo3]]&lt;&gt;0),DesarrolloPartidos[[#This Row],[PartidosSolo3]],"")</f>
        <v>3</v>
      </c>
      <c r="J265">
        <f>+IF(DesarrolloPartidos[[#This Row],[Partidos3]]="",DesarrolloPartidos[[#This Row],[Partidos4]],DesarrolloPartidos[[#This Row],[Partidos3]])</f>
        <v>3</v>
      </c>
      <c r="K265" t="str">
        <f>+DesarrolloPartidos[[#This Row],[Jugadores]]&amp;":"&amp;DesarrolloPartidos[[#This Row],[Orden]]</f>
        <v>25:9</v>
      </c>
    </row>
    <row r="266" spans="1:11">
      <c r="A266">
        <f t="shared" si="25"/>
        <v>25</v>
      </c>
      <c r="B266">
        <f t="shared" si="24"/>
        <v>7</v>
      </c>
      <c r="C266">
        <f t="shared" si="26"/>
        <v>3</v>
      </c>
      <c r="D266">
        <f t="shared" si="27"/>
        <v>4</v>
      </c>
      <c r="E266">
        <f t="shared" si="28"/>
        <v>10</v>
      </c>
      <c r="F266">
        <f>3*DesarrolloPartidos[[#This Row],[Partidos_3]]</f>
        <v>9</v>
      </c>
      <c r="G266">
        <f>IF(DesarrolloPartidos[[#This Row],[Partidos_3]]=0,0,ROUNDUP(DesarrolloPartidos[[#This Row],[Orden]]/DesarrolloPartidos[[#This Row],[JugEnPart3]]*DesarrolloPartidos[[#This Row],[Partidos_3]],0))</f>
        <v>4</v>
      </c>
      <c r="H266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266" t="str">
        <f>IF(AND(DesarrolloPartidos[[#This Row],[PartidosSolo3]]&lt;=DesarrolloPartidos[[#This Row],[Partidos_3]],DesarrolloPartidos[[#This Row],[PartidosSolo3]]&lt;&gt;0),DesarrolloPartidos[[#This Row],[PartidosSolo3]],"")</f>
        <v/>
      </c>
      <c r="J266">
        <f>+IF(DesarrolloPartidos[[#This Row],[Partidos3]]="",DesarrolloPartidos[[#This Row],[Partidos4]],DesarrolloPartidos[[#This Row],[Partidos3]])</f>
        <v>4</v>
      </c>
      <c r="K266" t="str">
        <f>+DesarrolloPartidos[[#This Row],[Jugadores]]&amp;":"&amp;DesarrolloPartidos[[#This Row],[Orden]]</f>
        <v>25:10</v>
      </c>
    </row>
    <row r="267" spans="1:11">
      <c r="A267">
        <f t="shared" si="25"/>
        <v>25</v>
      </c>
      <c r="B267">
        <f t="shared" si="24"/>
        <v>7</v>
      </c>
      <c r="C267">
        <f t="shared" si="26"/>
        <v>3</v>
      </c>
      <c r="D267">
        <f t="shared" si="27"/>
        <v>4</v>
      </c>
      <c r="E267">
        <f t="shared" si="28"/>
        <v>11</v>
      </c>
      <c r="F267">
        <f>3*DesarrolloPartidos[[#This Row],[Partidos_3]]</f>
        <v>9</v>
      </c>
      <c r="G267">
        <f>IF(DesarrolloPartidos[[#This Row],[Partidos_3]]=0,0,ROUNDUP(DesarrolloPartidos[[#This Row],[Orden]]/DesarrolloPartidos[[#This Row],[JugEnPart3]]*DesarrolloPartidos[[#This Row],[Partidos_3]],0))</f>
        <v>4</v>
      </c>
      <c r="H267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267" t="str">
        <f>IF(AND(DesarrolloPartidos[[#This Row],[PartidosSolo3]]&lt;=DesarrolloPartidos[[#This Row],[Partidos_3]],DesarrolloPartidos[[#This Row],[PartidosSolo3]]&lt;&gt;0),DesarrolloPartidos[[#This Row],[PartidosSolo3]],"")</f>
        <v/>
      </c>
      <c r="J267">
        <f>+IF(DesarrolloPartidos[[#This Row],[Partidos3]]="",DesarrolloPartidos[[#This Row],[Partidos4]],DesarrolloPartidos[[#This Row],[Partidos3]])</f>
        <v>4</v>
      </c>
      <c r="K267" t="str">
        <f>+DesarrolloPartidos[[#This Row],[Jugadores]]&amp;":"&amp;DesarrolloPartidos[[#This Row],[Orden]]</f>
        <v>25:11</v>
      </c>
    </row>
    <row r="268" spans="1:11">
      <c r="A268">
        <f t="shared" si="25"/>
        <v>25</v>
      </c>
      <c r="B268">
        <f t="shared" si="24"/>
        <v>7</v>
      </c>
      <c r="C268">
        <f t="shared" si="26"/>
        <v>3</v>
      </c>
      <c r="D268">
        <f t="shared" si="27"/>
        <v>4</v>
      </c>
      <c r="E268">
        <f t="shared" si="28"/>
        <v>12</v>
      </c>
      <c r="F268">
        <f>3*DesarrolloPartidos[[#This Row],[Partidos_3]]</f>
        <v>9</v>
      </c>
      <c r="G268">
        <f>IF(DesarrolloPartidos[[#This Row],[Partidos_3]]=0,0,ROUNDUP(DesarrolloPartidos[[#This Row],[Orden]]/DesarrolloPartidos[[#This Row],[JugEnPart3]]*DesarrolloPartidos[[#This Row],[Partidos_3]],0))</f>
        <v>4</v>
      </c>
      <c r="H268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268" t="str">
        <f>IF(AND(DesarrolloPartidos[[#This Row],[PartidosSolo3]]&lt;=DesarrolloPartidos[[#This Row],[Partidos_3]],DesarrolloPartidos[[#This Row],[PartidosSolo3]]&lt;&gt;0),DesarrolloPartidos[[#This Row],[PartidosSolo3]],"")</f>
        <v/>
      </c>
      <c r="J268">
        <f>+IF(DesarrolloPartidos[[#This Row],[Partidos3]]="",DesarrolloPartidos[[#This Row],[Partidos4]],DesarrolloPartidos[[#This Row],[Partidos3]])</f>
        <v>4</v>
      </c>
      <c r="K268" t="str">
        <f>+DesarrolloPartidos[[#This Row],[Jugadores]]&amp;":"&amp;DesarrolloPartidos[[#This Row],[Orden]]</f>
        <v>25:12</v>
      </c>
    </row>
    <row r="269" spans="1:11">
      <c r="A269">
        <f t="shared" si="25"/>
        <v>25</v>
      </c>
      <c r="B269">
        <f t="shared" si="24"/>
        <v>7</v>
      </c>
      <c r="C269">
        <f t="shared" si="26"/>
        <v>3</v>
      </c>
      <c r="D269">
        <f t="shared" si="27"/>
        <v>4</v>
      </c>
      <c r="E269">
        <f t="shared" si="28"/>
        <v>13</v>
      </c>
      <c r="F269">
        <f>3*DesarrolloPartidos[[#This Row],[Partidos_3]]</f>
        <v>9</v>
      </c>
      <c r="G269">
        <f>IF(DesarrolloPartidos[[#This Row],[Partidos_3]]=0,0,ROUNDUP(DesarrolloPartidos[[#This Row],[Orden]]/DesarrolloPartidos[[#This Row],[JugEnPart3]]*DesarrolloPartidos[[#This Row],[Partidos_3]],0))</f>
        <v>5</v>
      </c>
      <c r="H269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269" t="str">
        <f>IF(AND(DesarrolloPartidos[[#This Row],[PartidosSolo3]]&lt;=DesarrolloPartidos[[#This Row],[Partidos_3]],DesarrolloPartidos[[#This Row],[PartidosSolo3]]&lt;&gt;0),DesarrolloPartidos[[#This Row],[PartidosSolo3]],"")</f>
        <v/>
      </c>
      <c r="J269">
        <f>+IF(DesarrolloPartidos[[#This Row],[Partidos3]]="",DesarrolloPartidos[[#This Row],[Partidos4]],DesarrolloPartidos[[#This Row],[Partidos3]])</f>
        <v>4</v>
      </c>
      <c r="K269" t="str">
        <f>+DesarrolloPartidos[[#This Row],[Jugadores]]&amp;":"&amp;DesarrolloPartidos[[#This Row],[Orden]]</f>
        <v>25:13</v>
      </c>
    </row>
    <row r="270" spans="1:11">
      <c r="A270">
        <f t="shared" si="25"/>
        <v>25</v>
      </c>
      <c r="B270">
        <f t="shared" si="24"/>
        <v>7</v>
      </c>
      <c r="C270">
        <f t="shared" si="26"/>
        <v>3</v>
      </c>
      <c r="D270">
        <f t="shared" si="27"/>
        <v>4</v>
      </c>
      <c r="E270">
        <f t="shared" si="28"/>
        <v>14</v>
      </c>
      <c r="F270">
        <f>3*DesarrolloPartidos[[#This Row],[Partidos_3]]</f>
        <v>9</v>
      </c>
      <c r="G270">
        <f>IF(DesarrolloPartidos[[#This Row],[Partidos_3]]=0,0,ROUNDUP(DesarrolloPartidos[[#This Row],[Orden]]/DesarrolloPartidos[[#This Row],[JugEnPart3]]*DesarrolloPartidos[[#This Row],[Partidos_3]],0))</f>
        <v>5</v>
      </c>
      <c r="H270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5</v>
      </c>
      <c r="I270" t="str">
        <f>IF(AND(DesarrolloPartidos[[#This Row],[PartidosSolo3]]&lt;=DesarrolloPartidos[[#This Row],[Partidos_3]],DesarrolloPartidos[[#This Row],[PartidosSolo3]]&lt;&gt;0),DesarrolloPartidos[[#This Row],[PartidosSolo3]],"")</f>
        <v/>
      </c>
      <c r="J270">
        <f>+IF(DesarrolloPartidos[[#This Row],[Partidos3]]="",DesarrolloPartidos[[#This Row],[Partidos4]],DesarrolloPartidos[[#This Row],[Partidos3]])</f>
        <v>5</v>
      </c>
      <c r="K270" t="str">
        <f>+DesarrolloPartidos[[#This Row],[Jugadores]]&amp;":"&amp;DesarrolloPartidos[[#This Row],[Orden]]</f>
        <v>25:14</v>
      </c>
    </row>
    <row r="271" spans="1:11">
      <c r="A271">
        <f t="shared" si="25"/>
        <v>25</v>
      </c>
      <c r="B271">
        <f t="shared" si="24"/>
        <v>7</v>
      </c>
      <c r="C271">
        <f t="shared" si="26"/>
        <v>3</v>
      </c>
      <c r="D271">
        <f t="shared" si="27"/>
        <v>4</v>
      </c>
      <c r="E271">
        <f t="shared" si="28"/>
        <v>15</v>
      </c>
      <c r="F271">
        <f>3*DesarrolloPartidos[[#This Row],[Partidos_3]]</f>
        <v>9</v>
      </c>
      <c r="G271">
        <f>IF(DesarrolloPartidos[[#This Row],[Partidos_3]]=0,0,ROUNDUP(DesarrolloPartidos[[#This Row],[Orden]]/DesarrolloPartidos[[#This Row],[JugEnPart3]]*DesarrolloPartidos[[#This Row],[Partidos_3]],0))</f>
        <v>5</v>
      </c>
      <c r="H271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5</v>
      </c>
      <c r="I271" t="str">
        <f>IF(AND(DesarrolloPartidos[[#This Row],[PartidosSolo3]]&lt;=DesarrolloPartidos[[#This Row],[Partidos_3]],DesarrolloPartidos[[#This Row],[PartidosSolo3]]&lt;&gt;0),DesarrolloPartidos[[#This Row],[PartidosSolo3]],"")</f>
        <v/>
      </c>
      <c r="J271">
        <f>+IF(DesarrolloPartidos[[#This Row],[Partidos3]]="",DesarrolloPartidos[[#This Row],[Partidos4]],DesarrolloPartidos[[#This Row],[Partidos3]])</f>
        <v>5</v>
      </c>
      <c r="K271" t="str">
        <f>+DesarrolloPartidos[[#This Row],[Jugadores]]&amp;":"&amp;DesarrolloPartidos[[#This Row],[Orden]]</f>
        <v>25:15</v>
      </c>
    </row>
    <row r="272" spans="1:11">
      <c r="A272">
        <f t="shared" si="25"/>
        <v>25</v>
      </c>
      <c r="B272">
        <f t="shared" si="24"/>
        <v>7</v>
      </c>
      <c r="C272">
        <f t="shared" si="26"/>
        <v>3</v>
      </c>
      <c r="D272">
        <f t="shared" si="27"/>
        <v>4</v>
      </c>
      <c r="E272">
        <f t="shared" si="28"/>
        <v>16</v>
      </c>
      <c r="F272">
        <f>3*DesarrolloPartidos[[#This Row],[Partidos_3]]</f>
        <v>9</v>
      </c>
      <c r="G272">
        <f>IF(DesarrolloPartidos[[#This Row],[Partidos_3]]=0,0,ROUNDUP(DesarrolloPartidos[[#This Row],[Orden]]/DesarrolloPartidos[[#This Row],[JugEnPart3]]*DesarrolloPartidos[[#This Row],[Partidos_3]],0))</f>
        <v>6</v>
      </c>
      <c r="H272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5</v>
      </c>
      <c r="I272" t="str">
        <f>IF(AND(DesarrolloPartidos[[#This Row],[PartidosSolo3]]&lt;=DesarrolloPartidos[[#This Row],[Partidos_3]],DesarrolloPartidos[[#This Row],[PartidosSolo3]]&lt;&gt;0),DesarrolloPartidos[[#This Row],[PartidosSolo3]],"")</f>
        <v/>
      </c>
      <c r="J272">
        <f>+IF(DesarrolloPartidos[[#This Row],[Partidos3]]="",DesarrolloPartidos[[#This Row],[Partidos4]],DesarrolloPartidos[[#This Row],[Partidos3]])</f>
        <v>5</v>
      </c>
      <c r="K272" t="str">
        <f>+DesarrolloPartidos[[#This Row],[Jugadores]]&amp;":"&amp;DesarrolloPartidos[[#This Row],[Orden]]</f>
        <v>25:16</v>
      </c>
    </row>
    <row r="273" spans="1:11">
      <c r="A273">
        <f t="shared" si="25"/>
        <v>25</v>
      </c>
      <c r="B273">
        <f t="shared" si="24"/>
        <v>7</v>
      </c>
      <c r="C273">
        <f t="shared" si="26"/>
        <v>3</v>
      </c>
      <c r="D273">
        <f t="shared" si="27"/>
        <v>4</v>
      </c>
      <c r="E273">
        <f t="shared" si="28"/>
        <v>17</v>
      </c>
      <c r="F273">
        <f>3*DesarrolloPartidos[[#This Row],[Partidos_3]]</f>
        <v>9</v>
      </c>
      <c r="G273">
        <f>IF(DesarrolloPartidos[[#This Row],[Partidos_3]]=0,0,ROUNDUP(DesarrolloPartidos[[#This Row],[Orden]]/DesarrolloPartidos[[#This Row],[JugEnPart3]]*DesarrolloPartidos[[#This Row],[Partidos_3]],0))</f>
        <v>6</v>
      </c>
      <c r="H273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5</v>
      </c>
      <c r="I273" t="str">
        <f>IF(AND(DesarrolloPartidos[[#This Row],[PartidosSolo3]]&lt;=DesarrolloPartidos[[#This Row],[Partidos_3]],DesarrolloPartidos[[#This Row],[PartidosSolo3]]&lt;&gt;0),DesarrolloPartidos[[#This Row],[PartidosSolo3]],"")</f>
        <v/>
      </c>
      <c r="J273">
        <f>+IF(DesarrolloPartidos[[#This Row],[Partidos3]]="",DesarrolloPartidos[[#This Row],[Partidos4]],DesarrolloPartidos[[#This Row],[Partidos3]])</f>
        <v>5</v>
      </c>
      <c r="K273" t="str">
        <f>+DesarrolloPartidos[[#This Row],[Jugadores]]&amp;":"&amp;DesarrolloPartidos[[#This Row],[Orden]]</f>
        <v>25:17</v>
      </c>
    </row>
    <row r="274" spans="1:11">
      <c r="A274">
        <f t="shared" si="25"/>
        <v>25</v>
      </c>
      <c r="B274">
        <f t="shared" si="24"/>
        <v>7</v>
      </c>
      <c r="C274">
        <f t="shared" si="26"/>
        <v>3</v>
      </c>
      <c r="D274">
        <f t="shared" si="27"/>
        <v>4</v>
      </c>
      <c r="E274">
        <f t="shared" si="28"/>
        <v>18</v>
      </c>
      <c r="F274">
        <f>3*DesarrolloPartidos[[#This Row],[Partidos_3]]</f>
        <v>9</v>
      </c>
      <c r="G274">
        <f>IF(DesarrolloPartidos[[#This Row],[Partidos_3]]=0,0,ROUNDUP(DesarrolloPartidos[[#This Row],[Orden]]/DesarrolloPartidos[[#This Row],[JugEnPart3]]*DesarrolloPartidos[[#This Row],[Partidos_3]],0))</f>
        <v>6</v>
      </c>
      <c r="H274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6</v>
      </c>
      <c r="I274" t="str">
        <f>IF(AND(DesarrolloPartidos[[#This Row],[PartidosSolo3]]&lt;=DesarrolloPartidos[[#This Row],[Partidos_3]],DesarrolloPartidos[[#This Row],[PartidosSolo3]]&lt;&gt;0),DesarrolloPartidos[[#This Row],[PartidosSolo3]],"")</f>
        <v/>
      </c>
      <c r="J274">
        <f>+IF(DesarrolloPartidos[[#This Row],[Partidos3]]="",DesarrolloPartidos[[#This Row],[Partidos4]],DesarrolloPartidos[[#This Row],[Partidos3]])</f>
        <v>6</v>
      </c>
      <c r="K274" t="str">
        <f>+DesarrolloPartidos[[#This Row],[Jugadores]]&amp;":"&amp;DesarrolloPartidos[[#This Row],[Orden]]</f>
        <v>25:18</v>
      </c>
    </row>
    <row r="275" spans="1:11">
      <c r="A275">
        <f t="shared" si="25"/>
        <v>25</v>
      </c>
      <c r="B275">
        <f t="shared" si="24"/>
        <v>7</v>
      </c>
      <c r="C275">
        <f t="shared" si="26"/>
        <v>3</v>
      </c>
      <c r="D275">
        <f t="shared" si="27"/>
        <v>4</v>
      </c>
      <c r="E275">
        <f t="shared" si="28"/>
        <v>19</v>
      </c>
      <c r="F275">
        <f>3*DesarrolloPartidos[[#This Row],[Partidos_3]]</f>
        <v>9</v>
      </c>
      <c r="G275">
        <f>IF(DesarrolloPartidos[[#This Row],[Partidos_3]]=0,0,ROUNDUP(DesarrolloPartidos[[#This Row],[Orden]]/DesarrolloPartidos[[#This Row],[JugEnPart3]]*DesarrolloPartidos[[#This Row],[Partidos_3]],0))</f>
        <v>7</v>
      </c>
      <c r="H275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6</v>
      </c>
      <c r="I275" t="str">
        <f>IF(AND(DesarrolloPartidos[[#This Row],[PartidosSolo3]]&lt;=DesarrolloPartidos[[#This Row],[Partidos_3]],DesarrolloPartidos[[#This Row],[PartidosSolo3]]&lt;&gt;0),DesarrolloPartidos[[#This Row],[PartidosSolo3]],"")</f>
        <v/>
      </c>
      <c r="J275">
        <f>+IF(DesarrolloPartidos[[#This Row],[Partidos3]]="",DesarrolloPartidos[[#This Row],[Partidos4]],DesarrolloPartidos[[#This Row],[Partidos3]])</f>
        <v>6</v>
      </c>
      <c r="K275" t="str">
        <f>+DesarrolloPartidos[[#This Row],[Jugadores]]&amp;":"&amp;DesarrolloPartidos[[#This Row],[Orden]]</f>
        <v>25:19</v>
      </c>
    </row>
    <row r="276" spans="1:11">
      <c r="A276">
        <f t="shared" si="25"/>
        <v>25</v>
      </c>
      <c r="B276">
        <f t="shared" si="24"/>
        <v>7</v>
      </c>
      <c r="C276">
        <f t="shared" si="26"/>
        <v>3</v>
      </c>
      <c r="D276">
        <f t="shared" si="27"/>
        <v>4</v>
      </c>
      <c r="E276">
        <f t="shared" si="28"/>
        <v>20</v>
      </c>
      <c r="F276">
        <f>3*DesarrolloPartidos[[#This Row],[Partidos_3]]</f>
        <v>9</v>
      </c>
      <c r="G276">
        <f>IF(DesarrolloPartidos[[#This Row],[Partidos_3]]=0,0,ROUNDUP(DesarrolloPartidos[[#This Row],[Orden]]/DesarrolloPartidos[[#This Row],[JugEnPart3]]*DesarrolloPartidos[[#This Row],[Partidos_3]],0))</f>
        <v>7</v>
      </c>
      <c r="H276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6</v>
      </c>
      <c r="I276" t="str">
        <f>IF(AND(DesarrolloPartidos[[#This Row],[PartidosSolo3]]&lt;=DesarrolloPartidos[[#This Row],[Partidos_3]],DesarrolloPartidos[[#This Row],[PartidosSolo3]]&lt;&gt;0),DesarrolloPartidos[[#This Row],[PartidosSolo3]],"")</f>
        <v/>
      </c>
      <c r="J276">
        <f>+IF(DesarrolloPartidos[[#This Row],[Partidos3]]="",DesarrolloPartidos[[#This Row],[Partidos4]],DesarrolloPartidos[[#This Row],[Partidos3]])</f>
        <v>6</v>
      </c>
      <c r="K276" t="str">
        <f>+DesarrolloPartidos[[#This Row],[Jugadores]]&amp;":"&amp;DesarrolloPartidos[[#This Row],[Orden]]</f>
        <v>25:20</v>
      </c>
    </row>
    <row r="277" spans="1:11">
      <c r="A277">
        <f t="shared" si="25"/>
        <v>25</v>
      </c>
      <c r="B277">
        <f t="shared" si="24"/>
        <v>7</v>
      </c>
      <c r="C277">
        <f t="shared" si="26"/>
        <v>3</v>
      </c>
      <c r="D277">
        <f t="shared" si="27"/>
        <v>4</v>
      </c>
      <c r="E277">
        <f t="shared" si="28"/>
        <v>21</v>
      </c>
      <c r="F277">
        <f>3*DesarrolloPartidos[[#This Row],[Partidos_3]]</f>
        <v>9</v>
      </c>
      <c r="G277">
        <f>IF(DesarrolloPartidos[[#This Row],[Partidos_3]]=0,0,ROUNDUP(DesarrolloPartidos[[#This Row],[Orden]]/DesarrolloPartidos[[#This Row],[JugEnPart3]]*DesarrolloPartidos[[#This Row],[Partidos_3]],0))</f>
        <v>7</v>
      </c>
      <c r="H277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6</v>
      </c>
      <c r="I277" t="str">
        <f>IF(AND(DesarrolloPartidos[[#This Row],[PartidosSolo3]]&lt;=DesarrolloPartidos[[#This Row],[Partidos_3]],DesarrolloPartidos[[#This Row],[PartidosSolo3]]&lt;&gt;0),DesarrolloPartidos[[#This Row],[PartidosSolo3]],"")</f>
        <v/>
      </c>
      <c r="J277">
        <f>+IF(DesarrolloPartidos[[#This Row],[Partidos3]]="",DesarrolloPartidos[[#This Row],[Partidos4]],DesarrolloPartidos[[#This Row],[Partidos3]])</f>
        <v>6</v>
      </c>
      <c r="K277" t="str">
        <f>+DesarrolloPartidos[[#This Row],[Jugadores]]&amp;":"&amp;DesarrolloPartidos[[#This Row],[Orden]]</f>
        <v>25:21</v>
      </c>
    </row>
    <row r="278" spans="1:11">
      <c r="A278">
        <f t="shared" si="25"/>
        <v>25</v>
      </c>
      <c r="B278">
        <f t="shared" si="24"/>
        <v>7</v>
      </c>
      <c r="C278">
        <f t="shared" si="26"/>
        <v>3</v>
      </c>
      <c r="D278">
        <f t="shared" si="27"/>
        <v>4</v>
      </c>
      <c r="E278">
        <f t="shared" si="28"/>
        <v>22</v>
      </c>
      <c r="F278">
        <f>3*DesarrolloPartidos[[#This Row],[Partidos_3]]</f>
        <v>9</v>
      </c>
      <c r="G278">
        <f>IF(DesarrolloPartidos[[#This Row],[Partidos_3]]=0,0,ROUNDUP(DesarrolloPartidos[[#This Row],[Orden]]/DesarrolloPartidos[[#This Row],[JugEnPart3]]*DesarrolloPartidos[[#This Row],[Partidos_3]],0))</f>
        <v>8</v>
      </c>
      <c r="H278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7</v>
      </c>
      <c r="I278" t="str">
        <f>IF(AND(DesarrolloPartidos[[#This Row],[PartidosSolo3]]&lt;=DesarrolloPartidos[[#This Row],[Partidos_3]],DesarrolloPartidos[[#This Row],[PartidosSolo3]]&lt;&gt;0),DesarrolloPartidos[[#This Row],[PartidosSolo3]],"")</f>
        <v/>
      </c>
      <c r="J278">
        <f>+IF(DesarrolloPartidos[[#This Row],[Partidos3]]="",DesarrolloPartidos[[#This Row],[Partidos4]],DesarrolloPartidos[[#This Row],[Partidos3]])</f>
        <v>7</v>
      </c>
      <c r="K278" t="str">
        <f>+DesarrolloPartidos[[#This Row],[Jugadores]]&amp;":"&amp;DesarrolloPartidos[[#This Row],[Orden]]</f>
        <v>25:22</v>
      </c>
    </row>
    <row r="279" spans="1:11">
      <c r="A279">
        <f t="shared" si="25"/>
        <v>25</v>
      </c>
      <c r="B279">
        <f t="shared" si="24"/>
        <v>7</v>
      </c>
      <c r="C279">
        <f t="shared" si="26"/>
        <v>3</v>
      </c>
      <c r="D279">
        <f t="shared" si="27"/>
        <v>4</v>
      </c>
      <c r="E279">
        <f t="shared" si="28"/>
        <v>23</v>
      </c>
      <c r="F279">
        <f>3*DesarrolloPartidos[[#This Row],[Partidos_3]]</f>
        <v>9</v>
      </c>
      <c r="G279">
        <f>IF(DesarrolloPartidos[[#This Row],[Partidos_3]]=0,0,ROUNDUP(DesarrolloPartidos[[#This Row],[Orden]]/DesarrolloPartidos[[#This Row],[JugEnPart3]]*DesarrolloPartidos[[#This Row],[Partidos_3]],0))</f>
        <v>8</v>
      </c>
      <c r="H279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7</v>
      </c>
      <c r="I279" t="str">
        <f>IF(AND(DesarrolloPartidos[[#This Row],[PartidosSolo3]]&lt;=DesarrolloPartidos[[#This Row],[Partidos_3]],DesarrolloPartidos[[#This Row],[PartidosSolo3]]&lt;&gt;0),DesarrolloPartidos[[#This Row],[PartidosSolo3]],"")</f>
        <v/>
      </c>
      <c r="J279">
        <f>+IF(DesarrolloPartidos[[#This Row],[Partidos3]]="",DesarrolloPartidos[[#This Row],[Partidos4]],DesarrolloPartidos[[#This Row],[Partidos3]])</f>
        <v>7</v>
      </c>
      <c r="K279" t="str">
        <f>+DesarrolloPartidos[[#This Row],[Jugadores]]&amp;":"&amp;DesarrolloPartidos[[#This Row],[Orden]]</f>
        <v>25:23</v>
      </c>
    </row>
    <row r="280" spans="1:11">
      <c r="A280">
        <f t="shared" si="25"/>
        <v>25</v>
      </c>
      <c r="B280">
        <f t="shared" si="24"/>
        <v>7</v>
      </c>
      <c r="C280">
        <f t="shared" si="26"/>
        <v>3</v>
      </c>
      <c r="D280">
        <f t="shared" si="27"/>
        <v>4</v>
      </c>
      <c r="E280">
        <f t="shared" si="28"/>
        <v>24</v>
      </c>
      <c r="F280">
        <f>3*DesarrolloPartidos[[#This Row],[Partidos_3]]</f>
        <v>9</v>
      </c>
      <c r="G280">
        <f>IF(DesarrolloPartidos[[#This Row],[Partidos_3]]=0,0,ROUNDUP(DesarrolloPartidos[[#This Row],[Orden]]/DesarrolloPartidos[[#This Row],[JugEnPart3]]*DesarrolloPartidos[[#This Row],[Partidos_3]],0))</f>
        <v>8</v>
      </c>
      <c r="H280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7</v>
      </c>
      <c r="I280" t="str">
        <f>IF(AND(DesarrolloPartidos[[#This Row],[PartidosSolo3]]&lt;=DesarrolloPartidos[[#This Row],[Partidos_3]],DesarrolloPartidos[[#This Row],[PartidosSolo3]]&lt;&gt;0),DesarrolloPartidos[[#This Row],[PartidosSolo3]],"")</f>
        <v/>
      </c>
      <c r="J280">
        <f>+IF(DesarrolloPartidos[[#This Row],[Partidos3]]="",DesarrolloPartidos[[#This Row],[Partidos4]],DesarrolloPartidos[[#This Row],[Partidos3]])</f>
        <v>7</v>
      </c>
      <c r="K280" t="str">
        <f>+DesarrolloPartidos[[#This Row],[Jugadores]]&amp;":"&amp;DesarrolloPartidos[[#This Row],[Orden]]</f>
        <v>25:24</v>
      </c>
    </row>
    <row r="281" spans="1:11">
      <c r="A281">
        <f t="shared" si="25"/>
        <v>25</v>
      </c>
      <c r="B281">
        <f t="shared" si="24"/>
        <v>7</v>
      </c>
      <c r="C281">
        <f t="shared" si="26"/>
        <v>3</v>
      </c>
      <c r="D281">
        <f t="shared" si="27"/>
        <v>4</v>
      </c>
      <c r="E281">
        <f t="shared" si="28"/>
        <v>25</v>
      </c>
      <c r="F281">
        <f>3*DesarrolloPartidos[[#This Row],[Partidos_3]]</f>
        <v>9</v>
      </c>
      <c r="G281">
        <f>IF(DesarrolloPartidos[[#This Row],[Partidos_3]]=0,0,ROUNDUP(DesarrolloPartidos[[#This Row],[Orden]]/DesarrolloPartidos[[#This Row],[JugEnPart3]]*DesarrolloPartidos[[#This Row],[Partidos_3]],0))</f>
        <v>9</v>
      </c>
      <c r="H281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7</v>
      </c>
      <c r="I281" t="str">
        <f>IF(AND(DesarrolloPartidos[[#This Row],[PartidosSolo3]]&lt;=DesarrolloPartidos[[#This Row],[Partidos_3]],DesarrolloPartidos[[#This Row],[PartidosSolo3]]&lt;&gt;0),DesarrolloPartidos[[#This Row],[PartidosSolo3]],"")</f>
        <v/>
      </c>
      <c r="J281">
        <f>+IF(DesarrolloPartidos[[#This Row],[Partidos3]]="",DesarrolloPartidos[[#This Row],[Partidos4]],DesarrolloPartidos[[#This Row],[Partidos3]])</f>
        <v>7</v>
      </c>
      <c r="K281" t="str">
        <f>+DesarrolloPartidos[[#This Row],[Jugadores]]&amp;":"&amp;DesarrolloPartidos[[#This Row],[Orden]]</f>
        <v>25:25</v>
      </c>
    </row>
    <row r="282" spans="1:11">
      <c r="A282">
        <f t="shared" si="25"/>
        <v>26</v>
      </c>
      <c r="B282">
        <f t="shared" si="24"/>
        <v>7</v>
      </c>
      <c r="C282">
        <f t="shared" si="26"/>
        <v>2</v>
      </c>
      <c r="D282">
        <f t="shared" si="27"/>
        <v>5</v>
      </c>
      <c r="E282">
        <f t="shared" si="28"/>
        <v>1</v>
      </c>
      <c r="F282">
        <f>3*DesarrolloPartidos[[#This Row],[Partidos_3]]</f>
        <v>6</v>
      </c>
      <c r="G282">
        <f>IF(DesarrolloPartidos[[#This Row],[Partidos_3]]=0,0,ROUNDUP(DesarrolloPartidos[[#This Row],[Orden]]/DesarrolloPartidos[[#This Row],[JugEnPart3]]*DesarrolloPartidos[[#This Row],[Partidos_3]],0))</f>
        <v>1</v>
      </c>
      <c r="H282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282">
        <f>IF(AND(DesarrolloPartidos[[#This Row],[PartidosSolo3]]&lt;=DesarrolloPartidos[[#This Row],[Partidos_3]],DesarrolloPartidos[[#This Row],[PartidosSolo3]]&lt;&gt;0),DesarrolloPartidos[[#This Row],[PartidosSolo3]],"")</f>
        <v>1</v>
      </c>
      <c r="J282">
        <f>+IF(DesarrolloPartidos[[#This Row],[Partidos3]]="",DesarrolloPartidos[[#This Row],[Partidos4]],DesarrolloPartidos[[#This Row],[Partidos3]])</f>
        <v>1</v>
      </c>
      <c r="K282" t="str">
        <f>+DesarrolloPartidos[[#This Row],[Jugadores]]&amp;":"&amp;DesarrolloPartidos[[#This Row],[Orden]]</f>
        <v>26:1</v>
      </c>
    </row>
    <row r="283" spans="1:11">
      <c r="A283">
        <f t="shared" si="25"/>
        <v>26</v>
      </c>
      <c r="B283">
        <f t="shared" si="24"/>
        <v>7</v>
      </c>
      <c r="C283">
        <f t="shared" si="26"/>
        <v>2</v>
      </c>
      <c r="D283">
        <f t="shared" si="27"/>
        <v>5</v>
      </c>
      <c r="E283">
        <f t="shared" si="28"/>
        <v>2</v>
      </c>
      <c r="F283">
        <f>3*DesarrolloPartidos[[#This Row],[Partidos_3]]</f>
        <v>6</v>
      </c>
      <c r="G283">
        <f>IF(DesarrolloPartidos[[#This Row],[Partidos_3]]=0,0,ROUNDUP(DesarrolloPartidos[[#This Row],[Orden]]/DesarrolloPartidos[[#This Row],[JugEnPart3]]*DesarrolloPartidos[[#This Row],[Partidos_3]],0))</f>
        <v>1</v>
      </c>
      <c r="H283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283">
        <f>IF(AND(DesarrolloPartidos[[#This Row],[PartidosSolo3]]&lt;=DesarrolloPartidos[[#This Row],[Partidos_3]],DesarrolloPartidos[[#This Row],[PartidosSolo3]]&lt;&gt;0),DesarrolloPartidos[[#This Row],[PartidosSolo3]],"")</f>
        <v>1</v>
      </c>
      <c r="J283">
        <f>+IF(DesarrolloPartidos[[#This Row],[Partidos3]]="",DesarrolloPartidos[[#This Row],[Partidos4]],DesarrolloPartidos[[#This Row],[Partidos3]])</f>
        <v>1</v>
      </c>
      <c r="K283" t="str">
        <f>+DesarrolloPartidos[[#This Row],[Jugadores]]&amp;":"&amp;DesarrolloPartidos[[#This Row],[Orden]]</f>
        <v>26:2</v>
      </c>
    </row>
    <row r="284" spans="1:11">
      <c r="A284">
        <f t="shared" si="25"/>
        <v>26</v>
      </c>
      <c r="B284">
        <f t="shared" si="24"/>
        <v>7</v>
      </c>
      <c r="C284">
        <f t="shared" si="26"/>
        <v>2</v>
      </c>
      <c r="D284">
        <f t="shared" si="27"/>
        <v>5</v>
      </c>
      <c r="E284">
        <f t="shared" si="28"/>
        <v>3</v>
      </c>
      <c r="F284">
        <f>3*DesarrolloPartidos[[#This Row],[Partidos_3]]</f>
        <v>6</v>
      </c>
      <c r="G284">
        <f>IF(DesarrolloPartidos[[#This Row],[Partidos_3]]=0,0,ROUNDUP(DesarrolloPartidos[[#This Row],[Orden]]/DesarrolloPartidos[[#This Row],[JugEnPart3]]*DesarrolloPartidos[[#This Row],[Partidos_3]],0))</f>
        <v>1</v>
      </c>
      <c r="H284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284">
        <f>IF(AND(DesarrolloPartidos[[#This Row],[PartidosSolo3]]&lt;=DesarrolloPartidos[[#This Row],[Partidos_3]],DesarrolloPartidos[[#This Row],[PartidosSolo3]]&lt;&gt;0),DesarrolloPartidos[[#This Row],[PartidosSolo3]],"")</f>
        <v>1</v>
      </c>
      <c r="J284">
        <f>+IF(DesarrolloPartidos[[#This Row],[Partidos3]]="",DesarrolloPartidos[[#This Row],[Partidos4]],DesarrolloPartidos[[#This Row],[Partidos3]])</f>
        <v>1</v>
      </c>
      <c r="K284" t="str">
        <f>+DesarrolloPartidos[[#This Row],[Jugadores]]&amp;":"&amp;DesarrolloPartidos[[#This Row],[Orden]]</f>
        <v>26:3</v>
      </c>
    </row>
    <row r="285" spans="1:11">
      <c r="A285">
        <f t="shared" si="25"/>
        <v>26</v>
      </c>
      <c r="B285">
        <f t="shared" si="24"/>
        <v>7</v>
      </c>
      <c r="C285">
        <f t="shared" si="26"/>
        <v>2</v>
      </c>
      <c r="D285">
        <f t="shared" si="27"/>
        <v>5</v>
      </c>
      <c r="E285">
        <f t="shared" si="28"/>
        <v>4</v>
      </c>
      <c r="F285">
        <f>3*DesarrolloPartidos[[#This Row],[Partidos_3]]</f>
        <v>6</v>
      </c>
      <c r="G285">
        <f>IF(DesarrolloPartidos[[#This Row],[Partidos_3]]=0,0,ROUNDUP(DesarrolloPartidos[[#This Row],[Orden]]/DesarrolloPartidos[[#This Row],[JugEnPart3]]*DesarrolloPartidos[[#This Row],[Partidos_3]],0))</f>
        <v>2</v>
      </c>
      <c r="H285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285">
        <f>IF(AND(DesarrolloPartidos[[#This Row],[PartidosSolo3]]&lt;=DesarrolloPartidos[[#This Row],[Partidos_3]],DesarrolloPartidos[[#This Row],[PartidosSolo3]]&lt;&gt;0),DesarrolloPartidos[[#This Row],[PartidosSolo3]],"")</f>
        <v>2</v>
      </c>
      <c r="J285">
        <f>+IF(DesarrolloPartidos[[#This Row],[Partidos3]]="",DesarrolloPartidos[[#This Row],[Partidos4]],DesarrolloPartidos[[#This Row],[Partidos3]])</f>
        <v>2</v>
      </c>
      <c r="K285" t="str">
        <f>+DesarrolloPartidos[[#This Row],[Jugadores]]&amp;":"&amp;DesarrolloPartidos[[#This Row],[Orden]]</f>
        <v>26:4</v>
      </c>
    </row>
    <row r="286" spans="1:11">
      <c r="A286">
        <f t="shared" si="25"/>
        <v>26</v>
      </c>
      <c r="B286">
        <f t="shared" si="24"/>
        <v>7</v>
      </c>
      <c r="C286">
        <f t="shared" si="26"/>
        <v>2</v>
      </c>
      <c r="D286">
        <f t="shared" si="27"/>
        <v>5</v>
      </c>
      <c r="E286">
        <f t="shared" si="28"/>
        <v>5</v>
      </c>
      <c r="F286">
        <f>3*DesarrolloPartidos[[#This Row],[Partidos_3]]</f>
        <v>6</v>
      </c>
      <c r="G286">
        <f>IF(DesarrolloPartidos[[#This Row],[Partidos_3]]=0,0,ROUNDUP(DesarrolloPartidos[[#This Row],[Orden]]/DesarrolloPartidos[[#This Row],[JugEnPart3]]*DesarrolloPartidos[[#This Row],[Partidos_3]],0))</f>
        <v>2</v>
      </c>
      <c r="H286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286">
        <f>IF(AND(DesarrolloPartidos[[#This Row],[PartidosSolo3]]&lt;=DesarrolloPartidos[[#This Row],[Partidos_3]],DesarrolloPartidos[[#This Row],[PartidosSolo3]]&lt;&gt;0),DesarrolloPartidos[[#This Row],[PartidosSolo3]],"")</f>
        <v>2</v>
      </c>
      <c r="J286">
        <f>+IF(DesarrolloPartidos[[#This Row],[Partidos3]]="",DesarrolloPartidos[[#This Row],[Partidos4]],DesarrolloPartidos[[#This Row],[Partidos3]])</f>
        <v>2</v>
      </c>
      <c r="K286" t="str">
        <f>+DesarrolloPartidos[[#This Row],[Jugadores]]&amp;":"&amp;DesarrolloPartidos[[#This Row],[Orden]]</f>
        <v>26:5</v>
      </c>
    </row>
    <row r="287" spans="1:11">
      <c r="A287">
        <f t="shared" si="25"/>
        <v>26</v>
      </c>
      <c r="B287">
        <f t="shared" si="24"/>
        <v>7</v>
      </c>
      <c r="C287">
        <f t="shared" si="26"/>
        <v>2</v>
      </c>
      <c r="D287">
        <f t="shared" si="27"/>
        <v>5</v>
      </c>
      <c r="E287">
        <f t="shared" si="28"/>
        <v>6</v>
      </c>
      <c r="F287">
        <f>3*DesarrolloPartidos[[#This Row],[Partidos_3]]</f>
        <v>6</v>
      </c>
      <c r="G287">
        <f>IF(DesarrolloPartidos[[#This Row],[Partidos_3]]=0,0,ROUNDUP(DesarrolloPartidos[[#This Row],[Orden]]/DesarrolloPartidos[[#This Row],[JugEnPart3]]*DesarrolloPartidos[[#This Row],[Partidos_3]],0))</f>
        <v>2</v>
      </c>
      <c r="H287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287">
        <f>IF(AND(DesarrolloPartidos[[#This Row],[PartidosSolo3]]&lt;=DesarrolloPartidos[[#This Row],[Partidos_3]],DesarrolloPartidos[[#This Row],[PartidosSolo3]]&lt;&gt;0),DesarrolloPartidos[[#This Row],[PartidosSolo3]],"")</f>
        <v>2</v>
      </c>
      <c r="J287">
        <f>+IF(DesarrolloPartidos[[#This Row],[Partidos3]]="",DesarrolloPartidos[[#This Row],[Partidos4]],DesarrolloPartidos[[#This Row],[Partidos3]])</f>
        <v>2</v>
      </c>
      <c r="K287" t="str">
        <f>+DesarrolloPartidos[[#This Row],[Jugadores]]&amp;":"&amp;DesarrolloPartidos[[#This Row],[Orden]]</f>
        <v>26:6</v>
      </c>
    </row>
    <row r="288" spans="1:11">
      <c r="A288">
        <f t="shared" si="25"/>
        <v>26</v>
      </c>
      <c r="B288">
        <f t="shared" si="24"/>
        <v>7</v>
      </c>
      <c r="C288">
        <f t="shared" si="26"/>
        <v>2</v>
      </c>
      <c r="D288">
        <f t="shared" si="27"/>
        <v>5</v>
      </c>
      <c r="E288">
        <f t="shared" si="28"/>
        <v>7</v>
      </c>
      <c r="F288">
        <f>3*DesarrolloPartidos[[#This Row],[Partidos_3]]</f>
        <v>6</v>
      </c>
      <c r="G288">
        <f>IF(DesarrolloPartidos[[#This Row],[Partidos_3]]=0,0,ROUNDUP(DesarrolloPartidos[[#This Row],[Orden]]/DesarrolloPartidos[[#This Row],[JugEnPart3]]*DesarrolloPartidos[[#This Row],[Partidos_3]],0))</f>
        <v>3</v>
      </c>
      <c r="H288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3</v>
      </c>
      <c r="I288" t="str">
        <f>IF(AND(DesarrolloPartidos[[#This Row],[PartidosSolo3]]&lt;=DesarrolloPartidos[[#This Row],[Partidos_3]],DesarrolloPartidos[[#This Row],[PartidosSolo3]]&lt;&gt;0),DesarrolloPartidos[[#This Row],[PartidosSolo3]],"")</f>
        <v/>
      </c>
      <c r="J288">
        <f>+IF(DesarrolloPartidos[[#This Row],[Partidos3]]="",DesarrolloPartidos[[#This Row],[Partidos4]],DesarrolloPartidos[[#This Row],[Partidos3]])</f>
        <v>3</v>
      </c>
      <c r="K288" t="str">
        <f>+DesarrolloPartidos[[#This Row],[Jugadores]]&amp;":"&amp;DesarrolloPartidos[[#This Row],[Orden]]</f>
        <v>26:7</v>
      </c>
    </row>
    <row r="289" spans="1:11">
      <c r="A289">
        <f t="shared" si="25"/>
        <v>26</v>
      </c>
      <c r="B289">
        <f t="shared" si="24"/>
        <v>7</v>
      </c>
      <c r="C289">
        <f t="shared" si="26"/>
        <v>2</v>
      </c>
      <c r="D289">
        <f t="shared" si="27"/>
        <v>5</v>
      </c>
      <c r="E289">
        <f t="shared" si="28"/>
        <v>8</v>
      </c>
      <c r="F289">
        <f>3*DesarrolloPartidos[[#This Row],[Partidos_3]]</f>
        <v>6</v>
      </c>
      <c r="G289">
        <f>IF(DesarrolloPartidos[[#This Row],[Partidos_3]]=0,0,ROUNDUP(DesarrolloPartidos[[#This Row],[Orden]]/DesarrolloPartidos[[#This Row],[JugEnPart3]]*DesarrolloPartidos[[#This Row],[Partidos_3]],0))</f>
        <v>3</v>
      </c>
      <c r="H289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3</v>
      </c>
      <c r="I289" t="str">
        <f>IF(AND(DesarrolloPartidos[[#This Row],[PartidosSolo3]]&lt;=DesarrolloPartidos[[#This Row],[Partidos_3]],DesarrolloPartidos[[#This Row],[PartidosSolo3]]&lt;&gt;0),DesarrolloPartidos[[#This Row],[PartidosSolo3]],"")</f>
        <v/>
      </c>
      <c r="J289">
        <f>+IF(DesarrolloPartidos[[#This Row],[Partidos3]]="",DesarrolloPartidos[[#This Row],[Partidos4]],DesarrolloPartidos[[#This Row],[Partidos3]])</f>
        <v>3</v>
      </c>
      <c r="K289" t="str">
        <f>+DesarrolloPartidos[[#This Row],[Jugadores]]&amp;":"&amp;DesarrolloPartidos[[#This Row],[Orden]]</f>
        <v>26:8</v>
      </c>
    </row>
    <row r="290" spans="1:11">
      <c r="A290">
        <f t="shared" si="25"/>
        <v>26</v>
      </c>
      <c r="B290">
        <f t="shared" si="24"/>
        <v>7</v>
      </c>
      <c r="C290">
        <f t="shared" si="26"/>
        <v>2</v>
      </c>
      <c r="D290">
        <f t="shared" si="27"/>
        <v>5</v>
      </c>
      <c r="E290">
        <f t="shared" si="28"/>
        <v>9</v>
      </c>
      <c r="F290">
        <f>3*DesarrolloPartidos[[#This Row],[Partidos_3]]</f>
        <v>6</v>
      </c>
      <c r="G290">
        <f>IF(DesarrolloPartidos[[#This Row],[Partidos_3]]=0,0,ROUNDUP(DesarrolloPartidos[[#This Row],[Orden]]/DesarrolloPartidos[[#This Row],[JugEnPart3]]*DesarrolloPartidos[[#This Row],[Partidos_3]],0))</f>
        <v>3</v>
      </c>
      <c r="H290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3</v>
      </c>
      <c r="I290" t="str">
        <f>IF(AND(DesarrolloPartidos[[#This Row],[PartidosSolo3]]&lt;=DesarrolloPartidos[[#This Row],[Partidos_3]],DesarrolloPartidos[[#This Row],[PartidosSolo3]]&lt;&gt;0),DesarrolloPartidos[[#This Row],[PartidosSolo3]],"")</f>
        <v/>
      </c>
      <c r="J290">
        <f>+IF(DesarrolloPartidos[[#This Row],[Partidos3]]="",DesarrolloPartidos[[#This Row],[Partidos4]],DesarrolloPartidos[[#This Row],[Partidos3]])</f>
        <v>3</v>
      </c>
      <c r="K290" t="str">
        <f>+DesarrolloPartidos[[#This Row],[Jugadores]]&amp;":"&amp;DesarrolloPartidos[[#This Row],[Orden]]</f>
        <v>26:9</v>
      </c>
    </row>
    <row r="291" spans="1:11">
      <c r="A291">
        <f t="shared" si="25"/>
        <v>26</v>
      </c>
      <c r="B291">
        <f t="shared" si="24"/>
        <v>7</v>
      </c>
      <c r="C291">
        <f t="shared" si="26"/>
        <v>2</v>
      </c>
      <c r="D291">
        <f t="shared" si="27"/>
        <v>5</v>
      </c>
      <c r="E291">
        <f t="shared" si="28"/>
        <v>10</v>
      </c>
      <c r="F291">
        <f>3*DesarrolloPartidos[[#This Row],[Partidos_3]]</f>
        <v>6</v>
      </c>
      <c r="G291">
        <f>IF(DesarrolloPartidos[[#This Row],[Partidos_3]]=0,0,ROUNDUP(DesarrolloPartidos[[#This Row],[Orden]]/DesarrolloPartidos[[#This Row],[JugEnPart3]]*DesarrolloPartidos[[#This Row],[Partidos_3]],0))</f>
        <v>4</v>
      </c>
      <c r="H291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3</v>
      </c>
      <c r="I291" t="str">
        <f>IF(AND(DesarrolloPartidos[[#This Row],[PartidosSolo3]]&lt;=DesarrolloPartidos[[#This Row],[Partidos_3]],DesarrolloPartidos[[#This Row],[PartidosSolo3]]&lt;&gt;0),DesarrolloPartidos[[#This Row],[PartidosSolo3]],"")</f>
        <v/>
      </c>
      <c r="J291">
        <f>+IF(DesarrolloPartidos[[#This Row],[Partidos3]]="",DesarrolloPartidos[[#This Row],[Partidos4]],DesarrolloPartidos[[#This Row],[Partidos3]])</f>
        <v>3</v>
      </c>
      <c r="K291" t="str">
        <f>+DesarrolloPartidos[[#This Row],[Jugadores]]&amp;":"&amp;DesarrolloPartidos[[#This Row],[Orden]]</f>
        <v>26:10</v>
      </c>
    </row>
    <row r="292" spans="1:11">
      <c r="A292">
        <f t="shared" si="25"/>
        <v>26</v>
      </c>
      <c r="B292">
        <f t="shared" si="24"/>
        <v>7</v>
      </c>
      <c r="C292">
        <f t="shared" si="26"/>
        <v>2</v>
      </c>
      <c r="D292">
        <f t="shared" si="27"/>
        <v>5</v>
      </c>
      <c r="E292">
        <f t="shared" si="28"/>
        <v>11</v>
      </c>
      <c r="F292">
        <f>3*DesarrolloPartidos[[#This Row],[Partidos_3]]</f>
        <v>6</v>
      </c>
      <c r="G292">
        <f>IF(DesarrolloPartidos[[#This Row],[Partidos_3]]=0,0,ROUNDUP(DesarrolloPartidos[[#This Row],[Orden]]/DesarrolloPartidos[[#This Row],[JugEnPart3]]*DesarrolloPartidos[[#This Row],[Partidos_3]],0))</f>
        <v>4</v>
      </c>
      <c r="H292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292" t="str">
        <f>IF(AND(DesarrolloPartidos[[#This Row],[PartidosSolo3]]&lt;=DesarrolloPartidos[[#This Row],[Partidos_3]],DesarrolloPartidos[[#This Row],[PartidosSolo3]]&lt;&gt;0),DesarrolloPartidos[[#This Row],[PartidosSolo3]],"")</f>
        <v/>
      </c>
      <c r="J292">
        <f>+IF(DesarrolloPartidos[[#This Row],[Partidos3]]="",DesarrolloPartidos[[#This Row],[Partidos4]],DesarrolloPartidos[[#This Row],[Partidos3]])</f>
        <v>4</v>
      </c>
      <c r="K292" t="str">
        <f>+DesarrolloPartidos[[#This Row],[Jugadores]]&amp;":"&amp;DesarrolloPartidos[[#This Row],[Orden]]</f>
        <v>26:11</v>
      </c>
    </row>
    <row r="293" spans="1:11">
      <c r="A293">
        <f t="shared" si="25"/>
        <v>26</v>
      </c>
      <c r="B293">
        <f t="shared" si="24"/>
        <v>7</v>
      </c>
      <c r="C293">
        <f t="shared" si="26"/>
        <v>2</v>
      </c>
      <c r="D293">
        <f t="shared" si="27"/>
        <v>5</v>
      </c>
      <c r="E293">
        <f t="shared" si="28"/>
        <v>12</v>
      </c>
      <c r="F293">
        <f>3*DesarrolloPartidos[[#This Row],[Partidos_3]]</f>
        <v>6</v>
      </c>
      <c r="G293">
        <f>IF(DesarrolloPartidos[[#This Row],[Partidos_3]]=0,0,ROUNDUP(DesarrolloPartidos[[#This Row],[Orden]]/DesarrolloPartidos[[#This Row],[JugEnPart3]]*DesarrolloPartidos[[#This Row],[Partidos_3]],0))</f>
        <v>4</v>
      </c>
      <c r="H293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293" t="str">
        <f>IF(AND(DesarrolloPartidos[[#This Row],[PartidosSolo3]]&lt;=DesarrolloPartidos[[#This Row],[Partidos_3]],DesarrolloPartidos[[#This Row],[PartidosSolo3]]&lt;&gt;0),DesarrolloPartidos[[#This Row],[PartidosSolo3]],"")</f>
        <v/>
      </c>
      <c r="J293">
        <f>+IF(DesarrolloPartidos[[#This Row],[Partidos3]]="",DesarrolloPartidos[[#This Row],[Partidos4]],DesarrolloPartidos[[#This Row],[Partidos3]])</f>
        <v>4</v>
      </c>
      <c r="K293" t="str">
        <f>+DesarrolloPartidos[[#This Row],[Jugadores]]&amp;":"&amp;DesarrolloPartidos[[#This Row],[Orden]]</f>
        <v>26:12</v>
      </c>
    </row>
    <row r="294" spans="1:11">
      <c r="A294">
        <f t="shared" si="25"/>
        <v>26</v>
      </c>
      <c r="B294">
        <f t="shared" si="24"/>
        <v>7</v>
      </c>
      <c r="C294">
        <f t="shared" si="26"/>
        <v>2</v>
      </c>
      <c r="D294">
        <f t="shared" si="27"/>
        <v>5</v>
      </c>
      <c r="E294">
        <f t="shared" si="28"/>
        <v>13</v>
      </c>
      <c r="F294">
        <f>3*DesarrolloPartidos[[#This Row],[Partidos_3]]</f>
        <v>6</v>
      </c>
      <c r="G294">
        <f>IF(DesarrolloPartidos[[#This Row],[Partidos_3]]=0,0,ROUNDUP(DesarrolloPartidos[[#This Row],[Orden]]/DesarrolloPartidos[[#This Row],[JugEnPart3]]*DesarrolloPartidos[[#This Row],[Partidos_3]],0))</f>
        <v>5</v>
      </c>
      <c r="H294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294" t="str">
        <f>IF(AND(DesarrolloPartidos[[#This Row],[PartidosSolo3]]&lt;=DesarrolloPartidos[[#This Row],[Partidos_3]],DesarrolloPartidos[[#This Row],[PartidosSolo3]]&lt;&gt;0),DesarrolloPartidos[[#This Row],[PartidosSolo3]],"")</f>
        <v/>
      </c>
      <c r="J294">
        <f>+IF(DesarrolloPartidos[[#This Row],[Partidos3]]="",DesarrolloPartidos[[#This Row],[Partidos4]],DesarrolloPartidos[[#This Row],[Partidos3]])</f>
        <v>4</v>
      </c>
      <c r="K294" t="str">
        <f>+DesarrolloPartidos[[#This Row],[Jugadores]]&amp;":"&amp;DesarrolloPartidos[[#This Row],[Orden]]</f>
        <v>26:13</v>
      </c>
    </row>
    <row r="295" spans="1:11">
      <c r="A295">
        <f t="shared" si="25"/>
        <v>26</v>
      </c>
      <c r="B295">
        <f t="shared" si="24"/>
        <v>7</v>
      </c>
      <c r="C295">
        <f t="shared" si="26"/>
        <v>2</v>
      </c>
      <c r="D295">
        <f t="shared" si="27"/>
        <v>5</v>
      </c>
      <c r="E295">
        <f t="shared" si="28"/>
        <v>14</v>
      </c>
      <c r="F295">
        <f>3*DesarrolloPartidos[[#This Row],[Partidos_3]]</f>
        <v>6</v>
      </c>
      <c r="G295">
        <f>IF(DesarrolloPartidos[[#This Row],[Partidos_3]]=0,0,ROUNDUP(DesarrolloPartidos[[#This Row],[Orden]]/DesarrolloPartidos[[#This Row],[JugEnPart3]]*DesarrolloPartidos[[#This Row],[Partidos_3]],0))</f>
        <v>5</v>
      </c>
      <c r="H295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295" t="str">
        <f>IF(AND(DesarrolloPartidos[[#This Row],[PartidosSolo3]]&lt;=DesarrolloPartidos[[#This Row],[Partidos_3]],DesarrolloPartidos[[#This Row],[PartidosSolo3]]&lt;&gt;0),DesarrolloPartidos[[#This Row],[PartidosSolo3]],"")</f>
        <v/>
      </c>
      <c r="J295">
        <f>+IF(DesarrolloPartidos[[#This Row],[Partidos3]]="",DesarrolloPartidos[[#This Row],[Partidos4]],DesarrolloPartidos[[#This Row],[Partidos3]])</f>
        <v>4</v>
      </c>
      <c r="K295" t="str">
        <f>+DesarrolloPartidos[[#This Row],[Jugadores]]&amp;":"&amp;DesarrolloPartidos[[#This Row],[Orden]]</f>
        <v>26:14</v>
      </c>
    </row>
    <row r="296" spans="1:11">
      <c r="A296">
        <f t="shared" si="25"/>
        <v>26</v>
      </c>
      <c r="B296">
        <f t="shared" si="24"/>
        <v>7</v>
      </c>
      <c r="C296">
        <f t="shared" si="26"/>
        <v>2</v>
      </c>
      <c r="D296">
        <f t="shared" si="27"/>
        <v>5</v>
      </c>
      <c r="E296">
        <f t="shared" si="28"/>
        <v>15</v>
      </c>
      <c r="F296">
        <f>3*DesarrolloPartidos[[#This Row],[Partidos_3]]</f>
        <v>6</v>
      </c>
      <c r="G296">
        <f>IF(DesarrolloPartidos[[#This Row],[Partidos_3]]=0,0,ROUNDUP(DesarrolloPartidos[[#This Row],[Orden]]/DesarrolloPartidos[[#This Row],[JugEnPart3]]*DesarrolloPartidos[[#This Row],[Partidos_3]],0))</f>
        <v>5</v>
      </c>
      <c r="H296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5</v>
      </c>
      <c r="I296" t="str">
        <f>IF(AND(DesarrolloPartidos[[#This Row],[PartidosSolo3]]&lt;=DesarrolloPartidos[[#This Row],[Partidos_3]],DesarrolloPartidos[[#This Row],[PartidosSolo3]]&lt;&gt;0),DesarrolloPartidos[[#This Row],[PartidosSolo3]],"")</f>
        <v/>
      </c>
      <c r="J296">
        <f>+IF(DesarrolloPartidos[[#This Row],[Partidos3]]="",DesarrolloPartidos[[#This Row],[Partidos4]],DesarrolloPartidos[[#This Row],[Partidos3]])</f>
        <v>5</v>
      </c>
      <c r="K296" t="str">
        <f>+DesarrolloPartidos[[#This Row],[Jugadores]]&amp;":"&amp;DesarrolloPartidos[[#This Row],[Orden]]</f>
        <v>26:15</v>
      </c>
    </row>
    <row r="297" spans="1:11">
      <c r="A297">
        <f t="shared" si="25"/>
        <v>26</v>
      </c>
      <c r="B297">
        <f t="shared" si="24"/>
        <v>7</v>
      </c>
      <c r="C297">
        <f t="shared" si="26"/>
        <v>2</v>
      </c>
      <c r="D297">
        <f t="shared" si="27"/>
        <v>5</v>
      </c>
      <c r="E297">
        <f t="shared" si="28"/>
        <v>16</v>
      </c>
      <c r="F297">
        <f>3*DesarrolloPartidos[[#This Row],[Partidos_3]]</f>
        <v>6</v>
      </c>
      <c r="G297">
        <f>IF(DesarrolloPartidos[[#This Row],[Partidos_3]]=0,0,ROUNDUP(DesarrolloPartidos[[#This Row],[Orden]]/DesarrolloPartidos[[#This Row],[JugEnPart3]]*DesarrolloPartidos[[#This Row],[Partidos_3]],0))</f>
        <v>6</v>
      </c>
      <c r="H297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5</v>
      </c>
      <c r="I297" t="str">
        <f>IF(AND(DesarrolloPartidos[[#This Row],[PartidosSolo3]]&lt;=DesarrolloPartidos[[#This Row],[Partidos_3]],DesarrolloPartidos[[#This Row],[PartidosSolo3]]&lt;&gt;0),DesarrolloPartidos[[#This Row],[PartidosSolo3]],"")</f>
        <v/>
      </c>
      <c r="J297">
        <f>+IF(DesarrolloPartidos[[#This Row],[Partidos3]]="",DesarrolloPartidos[[#This Row],[Partidos4]],DesarrolloPartidos[[#This Row],[Partidos3]])</f>
        <v>5</v>
      </c>
      <c r="K297" t="str">
        <f>+DesarrolloPartidos[[#This Row],[Jugadores]]&amp;":"&amp;DesarrolloPartidos[[#This Row],[Orden]]</f>
        <v>26:16</v>
      </c>
    </row>
    <row r="298" spans="1:11">
      <c r="A298">
        <f t="shared" si="25"/>
        <v>26</v>
      </c>
      <c r="B298">
        <f t="shared" si="24"/>
        <v>7</v>
      </c>
      <c r="C298">
        <f t="shared" si="26"/>
        <v>2</v>
      </c>
      <c r="D298">
        <f t="shared" si="27"/>
        <v>5</v>
      </c>
      <c r="E298">
        <f t="shared" si="28"/>
        <v>17</v>
      </c>
      <c r="F298">
        <f>3*DesarrolloPartidos[[#This Row],[Partidos_3]]</f>
        <v>6</v>
      </c>
      <c r="G298">
        <f>IF(DesarrolloPartidos[[#This Row],[Partidos_3]]=0,0,ROUNDUP(DesarrolloPartidos[[#This Row],[Orden]]/DesarrolloPartidos[[#This Row],[JugEnPart3]]*DesarrolloPartidos[[#This Row],[Partidos_3]],0))</f>
        <v>6</v>
      </c>
      <c r="H298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5</v>
      </c>
      <c r="I298" t="str">
        <f>IF(AND(DesarrolloPartidos[[#This Row],[PartidosSolo3]]&lt;=DesarrolloPartidos[[#This Row],[Partidos_3]],DesarrolloPartidos[[#This Row],[PartidosSolo3]]&lt;&gt;0),DesarrolloPartidos[[#This Row],[PartidosSolo3]],"")</f>
        <v/>
      </c>
      <c r="J298">
        <f>+IF(DesarrolloPartidos[[#This Row],[Partidos3]]="",DesarrolloPartidos[[#This Row],[Partidos4]],DesarrolloPartidos[[#This Row],[Partidos3]])</f>
        <v>5</v>
      </c>
      <c r="K298" t="str">
        <f>+DesarrolloPartidos[[#This Row],[Jugadores]]&amp;":"&amp;DesarrolloPartidos[[#This Row],[Orden]]</f>
        <v>26:17</v>
      </c>
    </row>
    <row r="299" spans="1:11">
      <c r="A299">
        <f t="shared" si="25"/>
        <v>26</v>
      </c>
      <c r="B299">
        <f t="shared" si="24"/>
        <v>7</v>
      </c>
      <c r="C299">
        <f t="shared" si="26"/>
        <v>2</v>
      </c>
      <c r="D299">
        <f t="shared" si="27"/>
        <v>5</v>
      </c>
      <c r="E299">
        <f t="shared" si="28"/>
        <v>18</v>
      </c>
      <c r="F299">
        <f>3*DesarrolloPartidos[[#This Row],[Partidos_3]]</f>
        <v>6</v>
      </c>
      <c r="G299">
        <f>IF(DesarrolloPartidos[[#This Row],[Partidos_3]]=0,0,ROUNDUP(DesarrolloPartidos[[#This Row],[Orden]]/DesarrolloPartidos[[#This Row],[JugEnPart3]]*DesarrolloPartidos[[#This Row],[Partidos_3]],0))</f>
        <v>6</v>
      </c>
      <c r="H299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5</v>
      </c>
      <c r="I299" t="str">
        <f>IF(AND(DesarrolloPartidos[[#This Row],[PartidosSolo3]]&lt;=DesarrolloPartidos[[#This Row],[Partidos_3]],DesarrolloPartidos[[#This Row],[PartidosSolo3]]&lt;&gt;0),DesarrolloPartidos[[#This Row],[PartidosSolo3]],"")</f>
        <v/>
      </c>
      <c r="J299">
        <f>+IF(DesarrolloPartidos[[#This Row],[Partidos3]]="",DesarrolloPartidos[[#This Row],[Partidos4]],DesarrolloPartidos[[#This Row],[Partidos3]])</f>
        <v>5</v>
      </c>
      <c r="K299" t="str">
        <f>+DesarrolloPartidos[[#This Row],[Jugadores]]&amp;":"&amp;DesarrolloPartidos[[#This Row],[Orden]]</f>
        <v>26:18</v>
      </c>
    </row>
    <row r="300" spans="1:11">
      <c r="A300">
        <f t="shared" si="25"/>
        <v>26</v>
      </c>
      <c r="B300">
        <f t="shared" si="24"/>
        <v>7</v>
      </c>
      <c r="C300">
        <f t="shared" si="26"/>
        <v>2</v>
      </c>
      <c r="D300">
        <f t="shared" si="27"/>
        <v>5</v>
      </c>
      <c r="E300">
        <f t="shared" si="28"/>
        <v>19</v>
      </c>
      <c r="F300">
        <f>3*DesarrolloPartidos[[#This Row],[Partidos_3]]</f>
        <v>6</v>
      </c>
      <c r="G300">
        <f>IF(DesarrolloPartidos[[#This Row],[Partidos_3]]=0,0,ROUNDUP(DesarrolloPartidos[[#This Row],[Orden]]/DesarrolloPartidos[[#This Row],[JugEnPart3]]*DesarrolloPartidos[[#This Row],[Partidos_3]],0))</f>
        <v>7</v>
      </c>
      <c r="H300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6</v>
      </c>
      <c r="I300" t="str">
        <f>IF(AND(DesarrolloPartidos[[#This Row],[PartidosSolo3]]&lt;=DesarrolloPartidos[[#This Row],[Partidos_3]],DesarrolloPartidos[[#This Row],[PartidosSolo3]]&lt;&gt;0),DesarrolloPartidos[[#This Row],[PartidosSolo3]],"")</f>
        <v/>
      </c>
      <c r="J300">
        <f>+IF(DesarrolloPartidos[[#This Row],[Partidos3]]="",DesarrolloPartidos[[#This Row],[Partidos4]],DesarrolloPartidos[[#This Row],[Partidos3]])</f>
        <v>6</v>
      </c>
      <c r="K300" t="str">
        <f>+DesarrolloPartidos[[#This Row],[Jugadores]]&amp;":"&amp;DesarrolloPartidos[[#This Row],[Orden]]</f>
        <v>26:19</v>
      </c>
    </row>
    <row r="301" spans="1:11">
      <c r="A301">
        <f t="shared" si="25"/>
        <v>26</v>
      </c>
      <c r="B301">
        <f t="shared" si="24"/>
        <v>7</v>
      </c>
      <c r="C301">
        <f t="shared" si="26"/>
        <v>2</v>
      </c>
      <c r="D301">
        <f t="shared" si="27"/>
        <v>5</v>
      </c>
      <c r="E301">
        <f t="shared" si="28"/>
        <v>20</v>
      </c>
      <c r="F301">
        <f>3*DesarrolloPartidos[[#This Row],[Partidos_3]]</f>
        <v>6</v>
      </c>
      <c r="G301">
        <f>IF(DesarrolloPartidos[[#This Row],[Partidos_3]]=0,0,ROUNDUP(DesarrolloPartidos[[#This Row],[Orden]]/DesarrolloPartidos[[#This Row],[JugEnPart3]]*DesarrolloPartidos[[#This Row],[Partidos_3]],0))</f>
        <v>7</v>
      </c>
      <c r="H301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6</v>
      </c>
      <c r="I301" t="str">
        <f>IF(AND(DesarrolloPartidos[[#This Row],[PartidosSolo3]]&lt;=DesarrolloPartidos[[#This Row],[Partidos_3]],DesarrolloPartidos[[#This Row],[PartidosSolo3]]&lt;&gt;0),DesarrolloPartidos[[#This Row],[PartidosSolo3]],"")</f>
        <v/>
      </c>
      <c r="J301">
        <f>+IF(DesarrolloPartidos[[#This Row],[Partidos3]]="",DesarrolloPartidos[[#This Row],[Partidos4]],DesarrolloPartidos[[#This Row],[Partidos3]])</f>
        <v>6</v>
      </c>
      <c r="K301" t="str">
        <f>+DesarrolloPartidos[[#This Row],[Jugadores]]&amp;":"&amp;DesarrolloPartidos[[#This Row],[Orden]]</f>
        <v>26:20</v>
      </c>
    </row>
    <row r="302" spans="1:11">
      <c r="A302">
        <f t="shared" si="25"/>
        <v>26</v>
      </c>
      <c r="B302">
        <f t="shared" si="24"/>
        <v>7</v>
      </c>
      <c r="C302">
        <f t="shared" si="26"/>
        <v>2</v>
      </c>
      <c r="D302">
        <f t="shared" si="27"/>
        <v>5</v>
      </c>
      <c r="E302">
        <f t="shared" si="28"/>
        <v>21</v>
      </c>
      <c r="F302">
        <f>3*DesarrolloPartidos[[#This Row],[Partidos_3]]</f>
        <v>6</v>
      </c>
      <c r="G302">
        <f>IF(DesarrolloPartidos[[#This Row],[Partidos_3]]=0,0,ROUNDUP(DesarrolloPartidos[[#This Row],[Orden]]/DesarrolloPartidos[[#This Row],[JugEnPart3]]*DesarrolloPartidos[[#This Row],[Partidos_3]],0))</f>
        <v>7</v>
      </c>
      <c r="H302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6</v>
      </c>
      <c r="I302" t="str">
        <f>IF(AND(DesarrolloPartidos[[#This Row],[PartidosSolo3]]&lt;=DesarrolloPartidos[[#This Row],[Partidos_3]],DesarrolloPartidos[[#This Row],[PartidosSolo3]]&lt;&gt;0),DesarrolloPartidos[[#This Row],[PartidosSolo3]],"")</f>
        <v/>
      </c>
      <c r="J302">
        <f>+IF(DesarrolloPartidos[[#This Row],[Partidos3]]="",DesarrolloPartidos[[#This Row],[Partidos4]],DesarrolloPartidos[[#This Row],[Partidos3]])</f>
        <v>6</v>
      </c>
      <c r="K302" t="str">
        <f>+DesarrolloPartidos[[#This Row],[Jugadores]]&amp;":"&amp;DesarrolloPartidos[[#This Row],[Orden]]</f>
        <v>26:21</v>
      </c>
    </row>
    <row r="303" spans="1:11">
      <c r="A303">
        <f t="shared" si="25"/>
        <v>26</v>
      </c>
      <c r="B303">
        <f t="shared" si="24"/>
        <v>7</v>
      </c>
      <c r="C303">
        <f t="shared" si="26"/>
        <v>2</v>
      </c>
      <c r="D303">
        <f t="shared" si="27"/>
        <v>5</v>
      </c>
      <c r="E303">
        <f t="shared" si="28"/>
        <v>22</v>
      </c>
      <c r="F303">
        <f>3*DesarrolloPartidos[[#This Row],[Partidos_3]]</f>
        <v>6</v>
      </c>
      <c r="G303">
        <f>IF(DesarrolloPartidos[[#This Row],[Partidos_3]]=0,0,ROUNDUP(DesarrolloPartidos[[#This Row],[Orden]]/DesarrolloPartidos[[#This Row],[JugEnPart3]]*DesarrolloPartidos[[#This Row],[Partidos_3]],0))</f>
        <v>8</v>
      </c>
      <c r="H303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6</v>
      </c>
      <c r="I303" t="str">
        <f>IF(AND(DesarrolloPartidos[[#This Row],[PartidosSolo3]]&lt;=DesarrolloPartidos[[#This Row],[Partidos_3]],DesarrolloPartidos[[#This Row],[PartidosSolo3]]&lt;&gt;0),DesarrolloPartidos[[#This Row],[PartidosSolo3]],"")</f>
        <v/>
      </c>
      <c r="J303">
        <f>+IF(DesarrolloPartidos[[#This Row],[Partidos3]]="",DesarrolloPartidos[[#This Row],[Partidos4]],DesarrolloPartidos[[#This Row],[Partidos3]])</f>
        <v>6</v>
      </c>
      <c r="K303" t="str">
        <f>+DesarrolloPartidos[[#This Row],[Jugadores]]&amp;":"&amp;DesarrolloPartidos[[#This Row],[Orden]]</f>
        <v>26:22</v>
      </c>
    </row>
    <row r="304" spans="1:11">
      <c r="A304">
        <f t="shared" si="25"/>
        <v>26</v>
      </c>
      <c r="B304">
        <f t="shared" si="24"/>
        <v>7</v>
      </c>
      <c r="C304">
        <f t="shared" si="26"/>
        <v>2</v>
      </c>
      <c r="D304">
        <f t="shared" si="27"/>
        <v>5</v>
      </c>
      <c r="E304">
        <f t="shared" si="28"/>
        <v>23</v>
      </c>
      <c r="F304">
        <f>3*DesarrolloPartidos[[#This Row],[Partidos_3]]</f>
        <v>6</v>
      </c>
      <c r="G304">
        <f>IF(DesarrolloPartidos[[#This Row],[Partidos_3]]=0,0,ROUNDUP(DesarrolloPartidos[[#This Row],[Orden]]/DesarrolloPartidos[[#This Row],[JugEnPart3]]*DesarrolloPartidos[[#This Row],[Partidos_3]],0))</f>
        <v>8</v>
      </c>
      <c r="H304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7</v>
      </c>
      <c r="I304" t="str">
        <f>IF(AND(DesarrolloPartidos[[#This Row],[PartidosSolo3]]&lt;=DesarrolloPartidos[[#This Row],[Partidos_3]],DesarrolloPartidos[[#This Row],[PartidosSolo3]]&lt;&gt;0),DesarrolloPartidos[[#This Row],[PartidosSolo3]],"")</f>
        <v/>
      </c>
      <c r="J304">
        <f>+IF(DesarrolloPartidos[[#This Row],[Partidos3]]="",DesarrolloPartidos[[#This Row],[Partidos4]],DesarrolloPartidos[[#This Row],[Partidos3]])</f>
        <v>7</v>
      </c>
      <c r="K304" t="str">
        <f>+DesarrolloPartidos[[#This Row],[Jugadores]]&amp;":"&amp;DesarrolloPartidos[[#This Row],[Orden]]</f>
        <v>26:23</v>
      </c>
    </row>
    <row r="305" spans="1:11">
      <c r="A305">
        <f t="shared" si="25"/>
        <v>26</v>
      </c>
      <c r="B305">
        <f t="shared" si="24"/>
        <v>7</v>
      </c>
      <c r="C305">
        <f t="shared" si="26"/>
        <v>2</v>
      </c>
      <c r="D305">
        <f t="shared" si="27"/>
        <v>5</v>
      </c>
      <c r="E305">
        <f t="shared" si="28"/>
        <v>24</v>
      </c>
      <c r="F305">
        <f>3*DesarrolloPartidos[[#This Row],[Partidos_3]]</f>
        <v>6</v>
      </c>
      <c r="G305">
        <f>IF(DesarrolloPartidos[[#This Row],[Partidos_3]]=0,0,ROUNDUP(DesarrolloPartidos[[#This Row],[Orden]]/DesarrolloPartidos[[#This Row],[JugEnPart3]]*DesarrolloPartidos[[#This Row],[Partidos_3]],0))</f>
        <v>8</v>
      </c>
      <c r="H305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7</v>
      </c>
      <c r="I305" t="str">
        <f>IF(AND(DesarrolloPartidos[[#This Row],[PartidosSolo3]]&lt;=DesarrolloPartidos[[#This Row],[Partidos_3]],DesarrolloPartidos[[#This Row],[PartidosSolo3]]&lt;&gt;0),DesarrolloPartidos[[#This Row],[PartidosSolo3]],"")</f>
        <v/>
      </c>
      <c r="J305">
        <f>+IF(DesarrolloPartidos[[#This Row],[Partidos3]]="",DesarrolloPartidos[[#This Row],[Partidos4]],DesarrolloPartidos[[#This Row],[Partidos3]])</f>
        <v>7</v>
      </c>
      <c r="K305" t="str">
        <f>+DesarrolloPartidos[[#This Row],[Jugadores]]&amp;":"&amp;DesarrolloPartidos[[#This Row],[Orden]]</f>
        <v>26:24</v>
      </c>
    </row>
    <row r="306" spans="1:11">
      <c r="A306">
        <f t="shared" si="25"/>
        <v>26</v>
      </c>
      <c r="B306">
        <f t="shared" si="24"/>
        <v>7</v>
      </c>
      <c r="C306">
        <f t="shared" si="26"/>
        <v>2</v>
      </c>
      <c r="D306">
        <f t="shared" si="27"/>
        <v>5</v>
      </c>
      <c r="E306">
        <f t="shared" si="28"/>
        <v>25</v>
      </c>
      <c r="F306">
        <f>3*DesarrolloPartidos[[#This Row],[Partidos_3]]</f>
        <v>6</v>
      </c>
      <c r="G306">
        <f>IF(DesarrolloPartidos[[#This Row],[Partidos_3]]=0,0,ROUNDUP(DesarrolloPartidos[[#This Row],[Orden]]/DesarrolloPartidos[[#This Row],[JugEnPart3]]*DesarrolloPartidos[[#This Row],[Partidos_3]],0))</f>
        <v>9</v>
      </c>
      <c r="H306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7</v>
      </c>
      <c r="I306" t="str">
        <f>IF(AND(DesarrolloPartidos[[#This Row],[PartidosSolo3]]&lt;=DesarrolloPartidos[[#This Row],[Partidos_3]],DesarrolloPartidos[[#This Row],[PartidosSolo3]]&lt;&gt;0),DesarrolloPartidos[[#This Row],[PartidosSolo3]],"")</f>
        <v/>
      </c>
      <c r="J306">
        <f>+IF(DesarrolloPartidos[[#This Row],[Partidos3]]="",DesarrolloPartidos[[#This Row],[Partidos4]],DesarrolloPartidos[[#This Row],[Partidos3]])</f>
        <v>7</v>
      </c>
      <c r="K306" t="str">
        <f>+DesarrolloPartidos[[#This Row],[Jugadores]]&amp;":"&amp;DesarrolloPartidos[[#This Row],[Orden]]</f>
        <v>26:25</v>
      </c>
    </row>
    <row r="307" spans="1:11">
      <c r="A307">
        <f t="shared" si="25"/>
        <v>26</v>
      </c>
      <c r="B307">
        <f t="shared" si="24"/>
        <v>7</v>
      </c>
      <c r="C307">
        <f t="shared" si="26"/>
        <v>2</v>
      </c>
      <c r="D307">
        <f t="shared" si="27"/>
        <v>5</v>
      </c>
      <c r="E307">
        <f t="shared" si="28"/>
        <v>26</v>
      </c>
      <c r="F307">
        <f>3*DesarrolloPartidos[[#This Row],[Partidos_3]]</f>
        <v>6</v>
      </c>
      <c r="G307">
        <f>IF(DesarrolloPartidos[[#This Row],[Partidos_3]]=0,0,ROUNDUP(DesarrolloPartidos[[#This Row],[Orden]]/DesarrolloPartidos[[#This Row],[JugEnPart3]]*DesarrolloPartidos[[#This Row],[Partidos_3]],0))</f>
        <v>9</v>
      </c>
      <c r="H307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7</v>
      </c>
      <c r="I307" t="str">
        <f>IF(AND(DesarrolloPartidos[[#This Row],[PartidosSolo3]]&lt;=DesarrolloPartidos[[#This Row],[Partidos_3]],DesarrolloPartidos[[#This Row],[PartidosSolo3]]&lt;&gt;0),DesarrolloPartidos[[#This Row],[PartidosSolo3]],"")</f>
        <v/>
      </c>
      <c r="J307">
        <f>+IF(DesarrolloPartidos[[#This Row],[Partidos3]]="",DesarrolloPartidos[[#This Row],[Partidos4]],DesarrolloPartidos[[#This Row],[Partidos3]])</f>
        <v>7</v>
      </c>
      <c r="K307" t="str">
        <f>+DesarrolloPartidos[[#This Row],[Jugadores]]&amp;":"&amp;DesarrolloPartidos[[#This Row],[Orden]]</f>
        <v>26:26</v>
      </c>
    </row>
    <row r="308" spans="1:11">
      <c r="A308">
        <f t="shared" si="25"/>
        <v>27</v>
      </c>
      <c r="B308">
        <f t="shared" si="24"/>
        <v>7</v>
      </c>
      <c r="C308">
        <f t="shared" si="26"/>
        <v>1</v>
      </c>
      <c r="D308">
        <f t="shared" si="27"/>
        <v>6</v>
      </c>
      <c r="E308">
        <f t="shared" si="28"/>
        <v>1</v>
      </c>
      <c r="F308">
        <f>3*DesarrolloPartidos[[#This Row],[Partidos_3]]</f>
        <v>3</v>
      </c>
      <c r="G308">
        <f>IF(DesarrolloPartidos[[#This Row],[Partidos_3]]=0,0,ROUNDUP(DesarrolloPartidos[[#This Row],[Orden]]/DesarrolloPartidos[[#This Row],[JugEnPart3]]*DesarrolloPartidos[[#This Row],[Partidos_3]],0))</f>
        <v>1</v>
      </c>
      <c r="H308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308">
        <f>IF(AND(DesarrolloPartidos[[#This Row],[PartidosSolo3]]&lt;=DesarrolloPartidos[[#This Row],[Partidos_3]],DesarrolloPartidos[[#This Row],[PartidosSolo3]]&lt;&gt;0),DesarrolloPartidos[[#This Row],[PartidosSolo3]],"")</f>
        <v>1</v>
      </c>
      <c r="J308">
        <f>+IF(DesarrolloPartidos[[#This Row],[Partidos3]]="",DesarrolloPartidos[[#This Row],[Partidos4]],DesarrolloPartidos[[#This Row],[Partidos3]])</f>
        <v>1</v>
      </c>
      <c r="K308" t="str">
        <f>+DesarrolloPartidos[[#This Row],[Jugadores]]&amp;":"&amp;DesarrolloPartidos[[#This Row],[Orden]]</f>
        <v>27:1</v>
      </c>
    </row>
    <row r="309" spans="1:11">
      <c r="A309">
        <f t="shared" si="25"/>
        <v>27</v>
      </c>
      <c r="B309">
        <f t="shared" si="24"/>
        <v>7</v>
      </c>
      <c r="C309">
        <f t="shared" si="26"/>
        <v>1</v>
      </c>
      <c r="D309">
        <f t="shared" si="27"/>
        <v>6</v>
      </c>
      <c r="E309">
        <f t="shared" si="28"/>
        <v>2</v>
      </c>
      <c r="F309">
        <f>3*DesarrolloPartidos[[#This Row],[Partidos_3]]</f>
        <v>3</v>
      </c>
      <c r="G309">
        <f>IF(DesarrolloPartidos[[#This Row],[Partidos_3]]=0,0,ROUNDUP(DesarrolloPartidos[[#This Row],[Orden]]/DesarrolloPartidos[[#This Row],[JugEnPart3]]*DesarrolloPartidos[[#This Row],[Partidos_3]],0))</f>
        <v>1</v>
      </c>
      <c r="H309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309">
        <f>IF(AND(DesarrolloPartidos[[#This Row],[PartidosSolo3]]&lt;=DesarrolloPartidos[[#This Row],[Partidos_3]],DesarrolloPartidos[[#This Row],[PartidosSolo3]]&lt;&gt;0),DesarrolloPartidos[[#This Row],[PartidosSolo3]],"")</f>
        <v>1</v>
      </c>
      <c r="J309">
        <f>+IF(DesarrolloPartidos[[#This Row],[Partidos3]]="",DesarrolloPartidos[[#This Row],[Partidos4]],DesarrolloPartidos[[#This Row],[Partidos3]])</f>
        <v>1</v>
      </c>
      <c r="K309" t="str">
        <f>+DesarrolloPartidos[[#This Row],[Jugadores]]&amp;":"&amp;DesarrolloPartidos[[#This Row],[Orden]]</f>
        <v>27:2</v>
      </c>
    </row>
    <row r="310" spans="1:11">
      <c r="A310">
        <f t="shared" si="25"/>
        <v>27</v>
      </c>
      <c r="B310">
        <f t="shared" si="24"/>
        <v>7</v>
      </c>
      <c r="C310">
        <f t="shared" si="26"/>
        <v>1</v>
      </c>
      <c r="D310">
        <f t="shared" si="27"/>
        <v>6</v>
      </c>
      <c r="E310">
        <f t="shared" si="28"/>
        <v>3</v>
      </c>
      <c r="F310">
        <f>3*DesarrolloPartidos[[#This Row],[Partidos_3]]</f>
        <v>3</v>
      </c>
      <c r="G310">
        <f>IF(DesarrolloPartidos[[#This Row],[Partidos_3]]=0,0,ROUNDUP(DesarrolloPartidos[[#This Row],[Orden]]/DesarrolloPartidos[[#This Row],[JugEnPart3]]*DesarrolloPartidos[[#This Row],[Partidos_3]],0))</f>
        <v>1</v>
      </c>
      <c r="H310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310">
        <f>IF(AND(DesarrolloPartidos[[#This Row],[PartidosSolo3]]&lt;=DesarrolloPartidos[[#This Row],[Partidos_3]],DesarrolloPartidos[[#This Row],[PartidosSolo3]]&lt;&gt;0),DesarrolloPartidos[[#This Row],[PartidosSolo3]],"")</f>
        <v>1</v>
      </c>
      <c r="J310">
        <f>+IF(DesarrolloPartidos[[#This Row],[Partidos3]]="",DesarrolloPartidos[[#This Row],[Partidos4]],DesarrolloPartidos[[#This Row],[Partidos3]])</f>
        <v>1</v>
      </c>
      <c r="K310" t="str">
        <f>+DesarrolloPartidos[[#This Row],[Jugadores]]&amp;":"&amp;DesarrolloPartidos[[#This Row],[Orden]]</f>
        <v>27:3</v>
      </c>
    </row>
    <row r="311" spans="1:11">
      <c r="A311">
        <f t="shared" si="25"/>
        <v>27</v>
      </c>
      <c r="B311">
        <f t="shared" si="24"/>
        <v>7</v>
      </c>
      <c r="C311">
        <f t="shared" si="26"/>
        <v>1</v>
      </c>
      <c r="D311">
        <f t="shared" si="27"/>
        <v>6</v>
      </c>
      <c r="E311">
        <f t="shared" si="28"/>
        <v>4</v>
      </c>
      <c r="F311">
        <f>3*DesarrolloPartidos[[#This Row],[Partidos_3]]</f>
        <v>3</v>
      </c>
      <c r="G311">
        <f>IF(DesarrolloPartidos[[#This Row],[Partidos_3]]=0,0,ROUNDUP(DesarrolloPartidos[[#This Row],[Orden]]/DesarrolloPartidos[[#This Row],[JugEnPart3]]*DesarrolloPartidos[[#This Row],[Partidos_3]],0))</f>
        <v>2</v>
      </c>
      <c r="H311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2</v>
      </c>
      <c r="I311" t="str">
        <f>IF(AND(DesarrolloPartidos[[#This Row],[PartidosSolo3]]&lt;=DesarrolloPartidos[[#This Row],[Partidos_3]],DesarrolloPartidos[[#This Row],[PartidosSolo3]]&lt;&gt;0),DesarrolloPartidos[[#This Row],[PartidosSolo3]],"")</f>
        <v/>
      </c>
      <c r="J311">
        <f>+IF(DesarrolloPartidos[[#This Row],[Partidos3]]="",DesarrolloPartidos[[#This Row],[Partidos4]],DesarrolloPartidos[[#This Row],[Partidos3]])</f>
        <v>2</v>
      </c>
      <c r="K311" t="str">
        <f>+DesarrolloPartidos[[#This Row],[Jugadores]]&amp;":"&amp;DesarrolloPartidos[[#This Row],[Orden]]</f>
        <v>27:4</v>
      </c>
    </row>
    <row r="312" spans="1:11">
      <c r="A312">
        <f t="shared" si="25"/>
        <v>27</v>
      </c>
      <c r="B312">
        <f t="shared" si="24"/>
        <v>7</v>
      </c>
      <c r="C312">
        <f t="shared" si="26"/>
        <v>1</v>
      </c>
      <c r="D312">
        <f t="shared" si="27"/>
        <v>6</v>
      </c>
      <c r="E312">
        <f t="shared" si="28"/>
        <v>5</v>
      </c>
      <c r="F312">
        <f>3*DesarrolloPartidos[[#This Row],[Partidos_3]]</f>
        <v>3</v>
      </c>
      <c r="G312">
        <f>IF(DesarrolloPartidos[[#This Row],[Partidos_3]]=0,0,ROUNDUP(DesarrolloPartidos[[#This Row],[Orden]]/DesarrolloPartidos[[#This Row],[JugEnPart3]]*DesarrolloPartidos[[#This Row],[Partidos_3]],0))</f>
        <v>2</v>
      </c>
      <c r="H312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2</v>
      </c>
      <c r="I312" t="str">
        <f>IF(AND(DesarrolloPartidos[[#This Row],[PartidosSolo3]]&lt;=DesarrolloPartidos[[#This Row],[Partidos_3]],DesarrolloPartidos[[#This Row],[PartidosSolo3]]&lt;&gt;0),DesarrolloPartidos[[#This Row],[PartidosSolo3]],"")</f>
        <v/>
      </c>
      <c r="J312">
        <f>+IF(DesarrolloPartidos[[#This Row],[Partidos3]]="",DesarrolloPartidos[[#This Row],[Partidos4]],DesarrolloPartidos[[#This Row],[Partidos3]])</f>
        <v>2</v>
      </c>
      <c r="K312" t="str">
        <f>+DesarrolloPartidos[[#This Row],[Jugadores]]&amp;":"&amp;DesarrolloPartidos[[#This Row],[Orden]]</f>
        <v>27:5</v>
      </c>
    </row>
    <row r="313" spans="1:11">
      <c r="A313">
        <f t="shared" si="25"/>
        <v>27</v>
      </c>
      <c r="B313">
        <f t="shared" si="24"/>
        <v>7</v>
      </c>
      <c r="C313">
        <f t="shared" si="26"/>
        <v>1</v>
      </c>
      <c r="D313">
        <f t="shared" si="27"/>
        <v>6</v>
      </c>
      <c r="E313">
        <f t="shared" si="28"/>
        <v>6</v>
      </c>
      <c r="F313">
        <f>3*DesarrolloPartidos[[#This Row],[Partidos_3]]</f>
        <v>3</v>
      </c>
      <c r="G313">
        <f>IF(DesarrolloPartidos[[#This Row],[Partidos_3]]=0,0,ROUNDUP(DesarrolloPartidos[[#This Row],[Orden]]/DesarrolloPartidos[[#This Row],[JugEnPart3]]*DesarrolloPartidos[[#This Row],[Partidos_3]],0))</f>
        <v>2</v>
      </c>
      <c r="H313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2</v>
      </c>
      <c r="I313" t="str">
        <f>IF(AND(DesarrolloPartidos[[#This Row],[PartidosSolo3]]&lt;=DesarrolloPartidos[[#This Row],[Partidos_3]],DesarrolloPartidos[[#This Row],[PartidosSolo3]]&lt;&gt;0),DesarrolloPartidos[[#This Row],[PartidosSolo3]],"")</f>
        <v/>
      </c>
      <c r="J313">
        <f>+IF(DesarrolloPartidos[[#This Row],[Partidos3]]="",DesarrolloPartidos[[#This Row],[Partidos4]],DesarrolloPartidos[[#This Row],[Partidos3]])</f>
        <v>2</v>
      </c>
      <c r="K313" t="str">
        <f>+DesarrolloPartidos[[#This Row],[Jugadores]]&amp;":"&amp;DesarrolloPartidos[[#This Row],[Orden]]</f>
        <v>27:6</v>
      </c>
    </row>
    <row r="314" spans="1:11">
      <c r="A314">
        <f t="shared" si="25"/>
        <v>27</v>
      </c>
      <c r="B314">
        <f t="shared" si="24"/>
        <v>7</v>
      </c>
      <c r="C314">
        <f t="shared" si="26"/>
        <v>1</v>
      </c>
      <c r="D314">
        <f t="shared" si="27"/>
        <v>6</v>
      </c>
      <c r="E314">
        <f t="shared" si="28"/>
        <v>7</v>
      </c>
      <c r="F314">
        <f>3*DesarrolloPartidos[[#This Row],[Partidos_3]]</f>
        <v>3</v>
      </c>
      <c r="G314">
        <f>IF(DesarrolloPartidos[[#This Row],[Partidos_3]]=0,0,ROUNDUP(DesarrolloPartidos[[#This Row],[Orden]]/DesarrolloPartidos[[#This Row],[JugEnPart3]]*DesarrolloPartidos[[#This Row],[Partidos_3]],0))</f>
        <v>3</v>
      </c>
      <c r="H314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2</v>
      </c>
      <c r="I314" t="str">
        <f>IF(AND(DesarrolloPartidos[[#This Row],[PartidosSolo3]]&lt;=DesarrolloPartidos[[#This Row],[Partidos_3]],DesarrolloPartidos[[#This Row],[PartidosSolo3]]&lt;&gt;0),DesarrolloPartidos[[#This Row],[PartidosSolo3]],"")</f>
        <v/>
      </c>
      <c r="J314">
        <f>+IF(DesarrolloPartidos[[#This Row],[Partidos3]]="",DesarrolloPartidos[[#This Row],[Partidos4]],DesarrolloPartidos[[#This Row],[Partidos3]])</f>
        <v>2</v>
      </c>
      <c r="K314" t="str">
        <f>+DesarrolloPartidos[[#This Row],[Jugadores]]&amp;":"&amp;DesarrolloPartidos[[#This Row],[Orden]]</f>
        <v>27:7</v>
      </c>
    </row>
    <row r="315" spans="1:11">
      <c r="A315">
        <f t="shared" si="25"/>
        <v>27</v>
      </c>
      <c r="B315">
        <f t="shared" si="24"/>
        <v>7</v>
      </c>
      <c r="C315">
        <f t="shared" si="26"/>
        <v>1</v>
      </c>
      <c r="D315">
        <f t="shared" si="27"/>
        <v>6</v>
      </c>
      <c r="E315">
        <f t="shared" si="28"/>
        <v>8</v>
      </c>
      <c r="F315">
        <f>3*DesarrolloPartidos[[#This Row],[Partidos_3]]</f>
        <v>3</v>
      </c>
      <c r="G315">
        <f>IF(DesarrolloPartidos[[#This Row],[Partidos_3]]=0,0,ROUNDUP(DesarrolloPartidos[[#This Row],[Orden]]/DesarrolloPartidos[[#This Row],[JugEnPart3]]*DesarrolloPartidos[[#This Row],[Partidos_3]],0))</f>
        <v>3</v>
      </c>
      <c r="H315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3</v>
      </c>
      <c r="I315" t="str">
        <f>IF(AND(DesarrolloPartidos[[#This Row],[PartidosSolo3]]&lt;=DesarrolloPartidos[[#This Row],[Partidos_3]],DesarrolloPartidos[[#This Row],[PartidosSolo3]]&lt;&gt;0),DesarrolloPartidos[[#This Row],[PartidosSolo3]],"")</f>
        <v/>
      </c>
      <c r="J315">
        <f>+IF(DesarrolloPartidos[[#This Row],[Partidos3]]="",DesarrolloPartidos[[#This Row],[Partidos4]],DesarrolloPartidos[[#This Row],[Partidos3]])</f>
        <v>3</v>
      </c>
      <c r="K315" t="str">
        <f>+DesarrolloPartidos[[#This Row],[Jugadores]]&amp;":"&amp;DesarrolloPartidos[[#This Row],[Orden]]</f>
        <v>27:8</v>
      </c>
    </row>
    <row r="316" spans="1:11">
      <c r="A316">
        <f t="shared" si="25"/>
        <v>27</v>
      </c>
      <c r="B316">
        <f t="shared" si="24"/>
        <v>7</v>
      </c>
      <c r="C316">
        <f t="shared" si="26"/>
        <v>1</v>
      </c>
      <c r="D316">
        <f t="shared" si="27"/>
        <v>6</v>
      </c>
      <c r="E316">
        <f t="shared" si="28"/>
        <v>9</v>
      </c>
      <c r="F316">
        <f>3*DesarrolloPartidos[[#This Row],[Partidos_3]]</f>
        <v>3</v>
      </c>
      <c r="G316">
        <f>IF(DesarrolloPartidos[[#This Row],[Partidos_3]]=0,0,ROUNDUP(DesarrolloPartidos[[#This Row],[Orden]]/DesarrolloPartidos[[#This Row],[JugEnPart3]]*DesarrolloPartidos[[#This Row],[Partidos_3]],0))</f>
        <v>3</v>
      </c>
      <c r="H316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3</v>
      </c>
      <c r="I316" t="str">
        <f>IF(AND(DesarrolloPartidos[[#This Row],[PartidosSolo3]]&lt;=DesarrolloPartidos[[#This Row],[Partidos_3]],DesarrolloPartidos[[#This Row],[PartidosSolo3]]&lt;&gt;0),DesarrolloPartidos[[#This Row],[PartidosSolo3]],"")</f>
        <v/>
      </c>
      <c r="J316">
        <f>+IF(DesarrolloPartidos[[#This Row],[Partidos3]]="",DesarrolloPartidos[[#This Row],[Partidos4]],DesarrolloPartidos[[#This Row],[Partidos3]])</f>
        <v>3</v>
      </c>
      <c r="K316" t="str">
        <f>+DesarrolloPartidos[[#This Row],[Jugadores]]&amp;":"&amp;DesarrolloPartidos[[#This Row],[Orden]]</f>
        <v>27:9</v>
      </c>
    </row>
    <row r="317" spans="1:11">
      <c r="A317">
        <f t="shared" si="25"/>
        <v>27</v>
      </c>
      <c r="B317">
        <f t="shared" si="24"/>
        <v>7</v>
      </c>
      <c r="C317">
        <f t="shared" si="26"/>
        <v>1</v>
      </c>
      <c r="D317">
        <f t="shared" si="27"/>
        <v>6</v>
      </c>
      <c r="E317">
        <f t="shared" si="28"/>
        <v>10</v>
      </c>
      <c r="F317">
        <f>3*DesarrolloPartidos[[#This Row],[Partidos_3]]</f>
        <v>3</v>
      </c>
      <c r="G317">
        <f>IF(DesarrolloPartidos[[#This Row],[Partidos_3]]=0,0,ROUNDUP(DesarrolloPartidos[[#This Row],[Orden]]/DesarrolloPartidos[[#This Row],[JugEnPart3]]*DesarrolloPartidos[[#This Row],[Partidos_3]],0))</f>
        <v>4</v>
      </c>
      <c r="H317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3</v>
      </c>
      <c r="I317" t="str">
        <f>IF(AND(DesarrolloPartidos[[#This Row],[PartidosSolo3]]&lt;=DesarrolloPartidos[[#This Row],[Partidos_3]],DesarrolloPartidos[[#This Row],[PartidosSolo3]]&lt;&gt;0),DesarrolloPartidos[[#This Row],[PartidosSolo3]],"")</f>
        <v/>
      </c>
      <c r="J317">
        <f>+IF(DesarrolloPartidos[[#This Row],[Partidos3]]="",DesarrolloPartidos[[#This Row],[Partidos4]],DesarrolloPartidos[[#This Row],[Partidos3]])</f>
        <v>3</v>
      </c>
      <c r="K317" t="str">
        <f>+DesarrolloPartidos[[#This Row],[Jugadores]]&amp;":"&amp;DesarrolloPartidos[[#This Row],[Orden]]</f>
        <v>27:10</v>
      </c>
    </row>
    <row r="318" spans="1:11">
      <c r="A318">
        <f t="shared" si="25"/>
        <v>27</v>
      </c>
      <c r="B318">
        <f t="shared" si="24"/>
        <v>7</v>
      </c>
      <c r="C318">
        <f t="shared" si="26"/>
        <v>1</v>
      </c>
      <c r="D318">
        <f t="shared" si="27"/>
        <v>6</v>
      </c>
      <c r="E318">
        <f t="shared" si="28"/>
        <v>11</v>
      </c>
      <c r="F318">
        <f>3*DesarrolloPartidos[[#This Row],[Partidos_3]]</f>
        <v>3</v>
      </c>
      <c r="G318">
        <f>IF(DesarrolloPartidos[[#This Row],[Partidos_3]]=0,0,ROUNDUP(DesarrolloPartidos[[#This Row],[Orden]]/DesarrolloPartidos[[#This Row],[JugEnPart3]]*DesarrolloPartidos[[#This Row],[Partidos_3]],0))</f>
        <v>4</v>
      </c>
      <c r="H318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3</v>
      </c>
      <c r="I318" t="str">
        <f>IF(AND(DesarrolloPartidos[[#This Row],[PartidosSolo3]]&lt;=DesarrolloPartidos[[#This Row],[Partidos_3]],DesarrolloPartidos[[#This Row],[PartidosSolo3]]&lt;&gt;0),DesarrolloPartidos[[#This Row],[PartidosSolo3]],"")</f>
        <v/>
      </c>
      <c r="J318">
        <f>+IF(DesarrolloPartidos[[#This Row],[Partidos3]]="",DesarrolloPartidos[[#This Row],[Partidos4]],DesarrolloPartidos[[#This Row],[Partidos3]])</f>
        <v>3</v>
      </c>
      <c r="K318" t="str">
        <f>+DesarrolloPartidos[[#This Row],[Jugadores]]&amp;":"&amp;DesarrolloPartidos[[#This Row],[Orden]]</f>
        <v>27:11</v>
      </c>
    </row>
    <row r="319" spans="1:11">
      <c r="A319">
        <f t="shared" si="25"/>
        <v>27</v>
      </c>
      <c r="B319">
        <f t="shared" si="24"/>
        <v>7</v>
      </c>
      <c r="C319">
        <f t="shared" si="26"/>
        <v>1</v>
      </c>
      <c r="D319">
        <f t="shared" si="27"/>
        <v>6</v>
      </c>
      <c r="E319">
        <f t="shared" si="28"/>
        <v>12</v>
      </c>
      <c r="F319">
        <f>3*DesarrolloPartidos[[#This Row],[Partidos_3]]</f>
        <v>3</v>
      </c>
      <c r="G319">
        <f>IF(DesarrolloPartidos[[#This Row],[Partidos_3]]=0,0,ROUNDUP(DesarrolloPartidos[[#This Row],[Orden]]/DesarrolloPartidos[[#This Row],[JugEnPart3]]*DesarrolloPartidos[[#This Row],[Partidos_3]],0))</f>
        <v>4</v>
      </c>
      <c r="H319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319" t="str">
        <f>IF(AND(DesarrolloPartidos[[#This Row],[PartidosSolo3]]&lt;=DesarrolloPartidos[[#This Row],[Partidos_3]],DesarrolloPartidos[[#This Row],[PartidosSolo3]]&lt;&gt;0),DesarrolloPartidos[[#This Row],[PartidosSolo3]],"")</f>
        <v/>
      </c>
      <c r="J319">
        <f>+IF(DesarrolloPartidos[[#This Row],[Partidos3]]="",DesarrolloPartidos[[#This Row],[Partidos4]],DesarrolloPartidos[[#This Row],[Partidos3]])</f>
        <v>4</v>
      </c>
      <c r="K319" t="str">
        <f>+DesarrolloPartidos[[#This Row],[Jugadores]]&amp;":"&amp;DesarrolloPartidos[[#This Row],[Orden]]</f>
        <v>27:12</v>
      </c>
    </row>
    <row r="320" spans="1:11">
      <c r="A320">
        <f t="shared" si="25"/>
        <v>27</v>
      </c>
      <c r="B320">
        <f t="shared" si="24"/>
        <v>7</v>
      </c>
      <c r="C320">
        <f t="shared" si="26"/>
        <v>1</v>
      </c>
      <c r="D320">
        <f t="shared" si="27"/>
        <v>6</v>
      </c>
      <c r="E320">
        <f t="shared" si="28"/>
        <v>13</v>
      </c>
      <c r="F320">
        <f>3*DesarrolloPartidos[[#This Row],[Partidos_3]]</f>
        <v>3</v>
      </c>
      <c r="G320">
        <f>IF(DesarrolloPartidos[[#This Row],[Partidos_3]]=0,0,ROUNDUP(DesarrolloPartidos[[#This Row],[Orden]]/DesarrolloPartidos[[#This Row],[JugEnPart3]]*DesarrolloPartidos[[#This Row],[Partidos_3]],0))</f>
        <v>5</v>
      </c>
      <c r="H320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320" t="str">
        <f>IF(AND(DesarrolloPartidos[[#This Row],[PartidosSolo3]]&lt;=DesarrolloPartidos[[#This Row],[Partidos_3]],DesarrolloPartidos[[#This Row],[PartidosSolo3]]&lt;&gt;0),DesarrolloPartidos[[#This Row],[PartidosSolo3]],"")</f>
        <v/>
      </c>
      <c r="J320">
        <f>+IF(DesarrolloPartidos[[#This Row],[Partidos3]]="",DesarrolloPartidos[[#This Row],[Partidos4]],DesarrolloPartidos[[#This Row],[Partidos3]])</f>
        <v>4</v>
      </c>
      <c r="K320" t="str">
        <f>+DesarrolloPartidos[[#This Row],[Jugadores]]&amp;":"&amp;DesarrolloPartidos[[#This Row],[Orden]]</f>
        <v>27:13</v>
      </c>
    </row>
    <row r="321" spans="1:11">
      <c r="A321">
        <f t="shared" si="25"/>
        <v>27</v>
      </c>
      <c r="B321">
        <f t="shared" si="24"/>
        <v>7</v>
      </c>
      <c r="C321">
        <f t="shared" si="26"/>
        <v>1</v>
      </c>
      <c r="D321">
        <f t="shared" si="27"/>
        <v>6</v>
      </c>
      <c r="E321">
        <f t="shared" si="28"/>
        <v>14</v>
      </c>
      <c r="F321">
        <f>3*DesarrolloPartidos[[#This Row],[Partidos_3]]</f>
        <v>3</v>
      </c>
      <c r="G321">
        <f>IF(DesarrolloPartidos[[#This Row],[Partidos_3]]=0,0,ROUNDUP(DesarrolloPartidos[[#This Row],[Orden]]/DesarrolloPartidos[[#This Row],[JugEnPart3]]*DesarrolloPartidos[[#This Row],[Partidos_3]],0))</f>
        <v>5</v>
      </c>
      <c r="H321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321" t="str">
        <f>IF(AND(DesarrolloPartidos[[#This Row],[PartidosSolo3]]&lt;=DesarrolloPartidos[[#This Row],[Partidos_3]],DesarrolloPartidos[[#This Row],[PartidosSolo3]]&lt;&gt;0),DesarrolloPartidos[[#This Row],[PartidosSolo3]],"")</f>
        <v/>
      </c>
      <c r="J321">
        <f>+IF(DesarrolloPartidos[[#This Row],[Partidos3]]="",DesarrolloPartidos[[#This Row],[Partidos4]],DesarrolloPartidos[[#This Row],[Partidos3]])</f>
        <v>4</v>
      </c>
      <c r="K321" t="str">
        <f>+DesarrolloPartidos[[#This Row],[Jugadores]]&amp;":"&amp;DesarrolloPartidos[[#This Row],[Orden]]</f>
        <v>27:14</v>
      </c>
    </row>
    <row r="322" spans="1:11">
      <c r="A322">
        <f t="shared" si="25"/>
        <v>27</v>
      </c>
      <c r="B322">
        <f t="shared" si="24"/>
        <v>7</v>
      </c>
      <c r="C322">
        <f t="shared" si="26"/>
        <v>1</v>
      </c>
      <c r="D322">
        <f t="shared" si="27"/>
        <v>6</v>
      </c>
      <c r="E322">
        <f t="shared" si="28"/>
        <v>15</v>
      </c>
      <c r="F322">
        <f>3*DesarrolloPartidos[[#This Row],[Partidos_3]]</f>
        <v>3</v>
      </c>
      <c r="G322">
        <f>IF(DesarrolloPartidos[[#This Row],[Partidos_3]]=0,0,ROUNDUP(DesarrolloPartidos[[#This Row],[Orden]]/DesarrolloPartidos[[#This Row],[JugEnPart3]]*DesarrolloPartidos[[#This Row],[Partidos_3]],0))</f>
        <v>5</v>
      </c>
      <c r="H322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322" t="str">
        <f>IF(AND(DesarrolloPartidos[[#This Row],[PartidosSolo3]]&lt;=DesarrolloPartidos[[#This Row],[Partidos_3]],DesarrolloPartidos[[#This Row],[PartidosSolo3]]&lt;&gt;0),DesarrolloPartidos[[#This Row],[PartidosSolo3]],"")</f>
        <v/>
      </c>
      <c r="J322">
        <f>+IF(DesarrolloPartidos[[#This Row],[Partidos3]]="",DesarrolloPartidos[[#This Row],[Partidos4]],DesarrolloPartidos[[#This Row],[Partidos3]])</f>
        <v>4</v>
      </c>
      <c r="K322" t="str">
        <f>+DesarrolloPartidos[[#This Row],[Jugadores]]&amp;":"&amp;DesarrolloPartidos[[#This Row],[Orden]]</f>
        <v>27:15</v>
      </c>
    </row>
    <row r="323" spans="1:11">
      <c r="A323">
        <f t="shared" si="25"/>
        <v>27</v>
      </c>
      <c r="B323">
        <f t="shared" ref="B323:B386" si="29">+ROUNDUP(A323/4,0)</f>
        <v>7</v>
      </c>
      <c r="C323">
        <f t="shared" si="26"/>
        <v>1</v>
      </c>
      <c r="D323">
        <f t="shared" si="27"/>
        <v>6</v>
      </c>
      <c r="E323">
        <f t="shared" si="28"/>
        <v>16</v>
      </c>
      <c r="F323">
        <f>3*DesarrolloPartidos[[#This Row],[Partidos_3]]</f>
        <v>3</v>
      </c>
      <c r="G323">
        <f>IF(DesarrolloPartidos[[#This Row],[Partidos_3]]=0,0,ROUNDUP(DesarrolloPartidos[[#This Row],[Orden]]/DesarrolloPartidos[[#This Row],[JugEnPart3]]*DesarrolloPartidos[[#This Row],[Partidos_3]],0))</f>
        <v>6</v>
      </c>
      <c r="H323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5</v>
      </c>
      <c r="I323" t="str">
        <f>IF(AND(DesarrolloPartidos[[#This Row],[PartidosSolo3]]&lt;=DesarrolloPartidos[[#This Row],[Partidos_3]],DesarrolloPartidos[[#This Row],[PartidosSolo3]]&lt;&gt;0),DesarrolloPartidos[[#This Row],[PartidosSolo3]],"")</f>
        <v/>
      </c>
      <c r="J323">
        <f>+IF(DesarrolloPartidos[[#This Row],[Partidos3]]="",DesarrolloPartidos[[#This Row],[Partidos4]],DesarrolloPartidos[[#This Row],[Partidos3]])</f>
        <v>5</v>
      </c>
      <c r="K323" t="str">
        <f>+DesarrolloPartidos[[#This Row],[Jugadores]]&amp;":"&amp;DesarrolloPartidos[[#This Row],[Orden]]</f>
        <v>27:16</v>
      </c>
    </row>
    <row r="324" spans="1:11">
      <c r="A324">
        <f t="shared" ref="A324:A387" si="30">+IF(ROW(A323)=1,10,IF(A323=E323,A323+1,A323))</f>
        <v>27</v>
      </c>
      <c r="B324">
        <f t="shared" si="29"/>
        <v>7</v>
      </c>
      <c r="C324">
        <f t="shared" ref="C324:C387" si="31">+(B324-A324/4)/0.25</f>
        <v>1</v>
      </c>
      <c r="D324">
        <f t="shared" ref="D324:D387" si="32">+B324-C324</f>
        <v>6</v>
      </c>
      <c r="E324">
        <f t="shared" ref="E324:E387" si="33">+IF(ROW(E323)=1,1,IF(E323=A323,1,E323+1))</f>
        <v>17</v>
      </c>
      <c r="F324">
        <f>3*DesarrolloPartidos[[#This Row],[Partidos_3]]</f>
        <v>3</v>
      </c>
      <c r="G324">
        <f>IF(DesarrolloPartidos[[#This Row],[Partidos_3]]=0,0,ROUNDUP(DesarrolloPartidos[[#This Row],[Orden]]/DesarrolloPartidos[[#This Row],[JugEnPart3]]*DesarrolloPartidos[[#This Row],[Partidos_3]],0))</f>
        <v>6</v>
      </c>
      <c r="H324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5</v>
      </c>
      <c r="I324" t="str">
        <f>IF(AND(DesarrolloPartidos[[#This Row],[PartidosSolo3]]&lt;=DesarrolloPartidos[[#This Row],[Partidos_3]],DesarrolloPartidos[[#This Row],[PartidosSolo3]]&lt;&gt;0),DesarrolloPartidos[[#This Row],[PartidosSolo3]],"")</f>
        <v/>
      </c>
      <c r="J324">
        <f>+IF(DesarrolloPartidos[[#This Row],[Partidos3]]="",DesarrolloPartidos[[#This Row],[Partidos4]],DesarrolloPartidos[[#This Row],[Partidos3]])</f>
        <v>5</v>
      </c>
      <c r="K324" t="str">
        <f>+DesarrolloPartidos[[#This Row],[Jugadores]]&amp;":"&amp;DesarrolloPartidos[[#This Row],[Orden]]</f>
        <v>27:17</v>
      </c>
    </row>
    <row r="325" spans="1:11">
      <c r="A325">
        <f t="shared" si="30"/>
        <v>27</v>
      </c>
      <c r="B325">
        <f t="shared" si="29"/>
        <v>7</v>
      </c>
      <c r="C325">
        <f t="shared" si="31"/>
        <v>1</v>
      </c>
      <c r="D325">
        <f t="shared" si="32"/>
        <v>6</v>
      </c>
      <c r="E325">
        <f t="shared" si="33"/>
        <v>18</v>
      </c>
      <c r="F325">
        <f>3*DesarrolloPartidos[[#This Row],[Partidos_3]]</f>
        <v>3</v>
      </c>
      <c r="G325">
        <f>IF(DesarrolloPartidos[[#This Row],[Partidos_3]]=0,0,ROUNDUP(DesarrolloPartidos[[#This Row],[Orden]]/DesarrolloPartidos[[#This Row],[JugEnPart3]]*DesarrolloPartidos[[#This Row],[Partidos_3]],0))</f>
        <v>6</v>
      </c>
      <c r="H325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5</v>
      </c>
      <c r="I325" t="str">
        <f>IF(AND(DesarrolloPartidos[[#This Row],[PartidosSolo3]]&lt;=DesarrolloPartidos[[#This Row],[Partidos_3]],DesarrolloPartidos[[#This Row],[PartidosSolo3]]&lt;&gt;0),DesarrolloPartidos[[#This Row],[PartidosSolo3]],"")</f>
        <v/>
      </c>
      <c r="J325">
        <f>+IF(DesarrolloPartidos[[#This Row],[Partidos3]]="",DesarrolloPartidos[[#This Row],[Partidos4]],DesarrolloPartidos[[#This Row],[Partidos3]])</f>
        <v>5</v>
      </c>
      <c r="K325" t="str">
        <f>+DesarrolloPartidos[[#This Row],[Jugadores]]&amp;":"&amp;DesarrolloPartidos[[#This Row],[Orden]]</f>
        <v>27:18</v>
      </c>
    </row>
    <row r="326" spans="1:11">
      <c r="A326">
        <f t="shared" si="30"/>
        <v>27</v>
      </c>
      <c r="B326">
        <f t="shared" si="29"/>
        <v>7</v>
      </c>
      <c r="C326">
        <f t="shared" si="31"/>
        <v>1</v>
      </c>
      <c r="D326">
        <f t="shared" si="32"/>
        <v>6</v>
      </c>
      <c r="E326">
        <f t="shared" si="33"/>
        <v>19</v>
      </c>
      <c r="F326">
        <f>3*DesarrolloPartidos[[#This Row],[Partidos_3]]</f>
        <v>3</v>
      </c>
      <c r="G326">
        <f>IF(DesarrolloPartidos[[#This Row],[Partidos_3]]=0,0,ROUNDUP(DesarrolloPartidos[[#This Row],[Orden]]/DesarrolloPartidos[[#This Row],[JugEnPart3]]*DesarrolloPartidos[[#This Row],[Partidos_3]],0))</f>
        <v>7</v>
      </c>
      <c r="H326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5</v>
      </c>
      <c r="I326" t="str">
        <f>IF(AND(DesarrolloPartidos[[#This Row],[PartidosSolo3]]&lt;=DesarrolloPartidos[[#This Row],[Partidos_3]],DesarrolloPartidos[[#This Row],[PartidosSolo3]]&lt;&gt;0),DesarrolloPartidos[[#This Row],[PartidosSolo3]],"")</f>
        <v/>
      </c>
      <c r="J326">
        <f>+IF(DesarrolloPartidos[[#This Row],[Partidos3]]="",DesarrolloPartidos[[#This Row],[Partidos4]],DesarrolloPartidos[[#This Row],[Partidos3]])</f>
        <v>5</v>
      </c>
      <c r="K326" t="str">
        <f>+DesarrolloPartidos[[#This Row],[Jugadores]]&amp;":"&amp;DesarrolloPartidos[[#This Row],[Orden]]</f>
        <v>27:19</v>
      </c>
    </row>
    <row r="327" spans="1:11">
      <c r="A327">
        <f t="shared" si="30"/>
        <v>27</v>
      </c>
      <c r="B327">
        <f t="shared" si="29"/>
        <v>7</v>
      </c>
      <c r="C327">
        <f t="shared" si="31"/>
        <v>1</v>
      </c>
      <c r="D327">
        <f t="shared" si="32"/>
        <v>6</v>
      </c>
      <c r="E327">
        <f t="shared" si="33"/>
        <v>20</v>
      </c>
      <c r="F327">
        <f>3*DesarrolloPartidos[[#This Row],[Partidos_3]]</f>
        <v>3</v>
      </c>
      <c r="G327">
        <f>IF(DesarrolloPartidos[[#This Row],[Partidos_3]]=0,0,ROUNDUP(DesarrolloPartidos[[#This Row],[Orden]]/DesarrolloPartidos[[#This Row],[JugEnPart3]]*DesarrolloPartidos[[#This Row],[Partidos_3]],0))</f>
        <v>7</v>
      </c>
      <c r="H327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6</v>
      </c>
      <c r="I327" t="str">
        <f>IF(AND(DesarrolloPartidos[[#This Row],[PartidosSolo3]]&lt;=DesarrolloPartidos[[#This Row],[Partidos_3]],DesarrolloPartidos[[#This Row],[PartidosSolo3]]&lt;&gt;0),DesarrolloPartidos[[#This Row],[PartidosSolo3]],"")</f>
        <v/>
      </c>
      <c r="J327">
        <f>+IF(DesarrolloPartidos[[#This Row],[Partidos3]]="",DesarrolloPartidos[[#This Row],[Partidos4]],DesarrolloPartidos[[#This Row],[Partidos3]])</f>
        <v>6</v>
      </c>
      <c r="K327" t="str">
        <f>+DesarrolloPartidos[[#This Row],[Jugadores]]&amp;":"&amp;DesarrolloPartidos[[#This Row],[Orden]]</f>
        <v>27:20</v>
      </c>
    </row>
    <row r="328" spans="1:11">
      <c r="A328">
        <f t="shared" si="30"/>
        <v>27</v>
      </c>
      <c r="B328">
        <f t="shared" si="29"/>
        <v>7</v>
      </c>
      <c r="C328">
        <f t="shared" si="31"/>
        <v>1</v>
      </c>
      <c r="D328">
        <f t="shared" si="32"/>
        <v>6</v>
      </c>
      <c r="E328">
        <f t="shared" si="33"/>
        <v>21</v>
      </c>
      <c r="F328">
        <f>3*DesarrolloPartidos[[#This Row],[Partidos_3]]</f>
        <v>3</v>
      </c>
      <c r="G328">
        <f>IF(DesarrolloPartidos[[#This Row],[Partidos_3]]=0,0,ROUNDUP(DesarrolloPartidos[[#This Row],[Orden]]/DesarrolloPartidos[[#This Row],[JugEnPart3]]*DesarrolloPartidos[[#This Row],[Partidos_3]],0))</f>
        <v>7</v>
      </c>
      <c r="H328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6</v>
      </c>
      <c r="I328" t="str">
        <f>IF(AND(DesarrolloPartidos[[#This Row],[PartidosSolo3]]&lt;=DesarrolloPartidos[[#This Row],[Partidos_3]],DesarrolloPartidos[[#This Row],[PartidosSolo3]]&lt;&gt;0),DesarrolloPartidos[[#This Row],[PartidosSolo3]],"")</f>
        <v/>
      </c>
      <c r="J328">
        <f>+IF(DesarrolloPartidos[[#This Row],[Partidos3]]="",DesarrolloPartidos[[#This Row],[Partidos4]],DesarrolloPartidos[[#This Row],[Partidos3]])</f>
        <v>6</v>
      </c>
      <c r="K328" t="str">
        <f>+DesarrolloPartidos[[#This Row],[Jugadores]]&amp;":"&amp;DesarrolloPartidos[[#This Row],[Orden]]</f>
        <v>27:21</v>
      </c>
    </row>
    <row r="329" spans="1:11">
      <c r="A329">
        <f t="shared" si="30"/>
        <v>27</v>
      </c>
      <c r="B329">
        <f t="shared" si="29"/>
        <v>7</v>
      </c>
      <c r="C329">
        <f t="shared" si="31"/>
        <v>1</v>
      </c>
      <c r="D329">
        <f t="shared" si="32"/>
        <v>6</v>
      </c>
      <c r="E329">
        <f t="shared" si="33"/>
        <v>22</v>
      </c>
      <c r="F329">
        <f>3*DesarrolloPartidos[[#This Row],[Partidos_3]]</f>
        <v>3</v>
      </c>
      <c r="G329">
        <f>IF(DesarrolloPartidos[[#This Row],[Partidos_3]]=0,0,ROUNDUP(DesarrolloPartidos[[#This Row],[Orden]]/DesarrolloPartidos[[#This Row],[JugEnPart3]]*DesarrolloPartidos[[#This Row],[Partidos_3]],0))</f>
        <v>8</v>
      </c>
      <c r="H329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6</v>
      </c>
      <c r="I329" t="str">
        <f>IF(AND(DesarrolloPartidos[[#This Row],[PartidosSolo3]]&lt;=DesarrolloPartidos[[#This Row],[Partidos_3]],DesarrolloPartidos[[#This Row],[PartidosSolo3]]&lt;&gt;0),DesarrolloPartidos[[#This Row],[PartidosSolo3]],"")</f>
        <v/>
      </c>
      <c r="J329">
        <f>+IF(DesarrolloPartidos[[#This Row],[Partidos3]]="",DesarrolloPartidos[[#This Row],[Partidos4]],DesarrolloPartidos[[#This Row],[Partidos3]])</f>
        <v>6</v>
      </c>
      <c r="K329" t="str">
        <f>+DesarrolloPartidos[[#This Row],[Jugadores]]&amp;":"&amp;DesarrolloPartidos[[#This Row],[Orden]]</f>
        <v>27:22</v>
      </c>
    </row>
    <row r="330" spans="1:11">
      <c r="A330">
        <f t="shared" si="30"/>
        <v>27</v>
      </c>
      <c r="B330">
        <f t="shared" si="29"/>
        <v>7</v>
      </c>
      <c r="C330">
        <f t="shared" si="31"/>
        <v>1</v>
      </c>
      <c r="D330">
        <f t="shared" si="32"/>
        <v>6</v>
      </c>
      <c r="E330">
        <f t="shared" si="33"/>
        <v>23</v>
      </c>
      <c r="F330">
        <f>3*DesarrolloPartidos[[#This Row],[Partidos_3]]</f>
        <v>3</v>
      </c>
      <c r="G330">
        <f>IF(DesarrolloPartidos[[#This Row],[Partidos_3]]=0,0,ROUNDUP(DesarrolloPartidos[[#This Row],[Orden]]/DesarrolloPartidos[[#This Row],[JugEnPart3]]*DesarrolloPartidos[[#This Row],[Partidos_3]],0))</f>
        <v>8</v>
      </c>
      <c r="H330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6</v>
      </c>
      <c r="I330" t="str">
        <f>IF(AND(DesarrolloPartidos[[#This Row],[PartidosSolo3]]&lt;=DesarrolloPartidos[[#This Row],[Partidos_3]],DesarrolloPartidos[[#This Row],[PartidosSolo3]]&lt;&gt;0),DesarrolloPartidos[[#This Row],[PartidosSolo3]],"")</f>
        <v/>
      </c>
      <c r="J330">
        <f>+IF(DesarrolloPartidos[[#This Row],[Partidos3]]="",DesarrolloPartidos[[#This Row],[Partidos4]],DesarrolloPartidos[[#This Row],[Partidos3]])</f>
        <v>6</v>
      </c>
      <c r="K330" t="str">
        <f>+DesarrolloPartidos[[#This Row],[Jugadores]]&amp;":"&amp;DesarrolloPartidos[[#This Row],[Orden]]</f>
        <v>27:23</v>
      </c>
    </row>
    <row r="331" spans="1:11">
      <c r="A331">
        <f t="shared" si="30"/>
        <v>27</v>
      </c>
      <c r="B331">
        <f t="shared" si="29"/>
        <v>7</v>
      </c>
      <c r="C331">
        <f t="shared" si="31"/>
        <v>1</v>
      </c>
      <c r="D331">
        <f t="shared" si="32"/>
        <v>6</v>
      </c>
      <c r="E331">
        <f t="shared" si="33"/>
        <v>24</v>
      </c>
      <c r="F331">
        <f>3*DesarrolloPartidos[[#This Row],[Partidos_3]]</f>
        <v>3</v>
      </c>
      <c r="G331">
        <f>IF(DesarrolloPartidos[[#This Row],[Partidos_3]]=0,0,ROUNDUP(DesarrolloPartidos[[#This Row],[Orden]]/DesarrolloPartidos[[#This Row],[JugEnPart3]]*DesarrolloPartidos[[#This Row],[Partidos_3]],0))</f>
        <v>8</v>
      </c>
      <c r="H331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7</v>
      </c>
      <c r="I331" t="str">
        <f>IF(AND(DesarrolloPartidos[[#This Row],[PartidosSolo3]]&lt;=DesarrolloPartidos[[#This Row],[Partidos_3]],DesarrolloPartidos[[#This Row],[PartidosSolo3]]&lt;&gt;0),DesarrolloPartidos[[#This Row],[PartidosSolo3]],"")</f>
        <v/>
      </c>
      <c r="J331">
        <f>+IF(DesarrolloPartidos[[#This Row],[Partidos3]]="",DesarrolloPartidos[[#This Row],[Partidos4]],DesarrolloPartidos[[#This Row],[Partidos3]])</f>
        <v>7</v>
      </c>
      <c r="K331" t="str">
        <f>+DesarrolloPartidos[[#This Row],[Jugadores]]&amp;":"&amp;DesarrolloPartidos[[#This Row],[Orden]]</f>
        <v>27:24</v>
      </c>
    </row>
    <row r="332" spans="1:11">
      <c r="A332">
        <f t="shared" si="30"/>
        <v>27</v>
      </c>
      <c r="B332">
        <f t="shared" si="29"/>
        <v>7</v>
      </c>
      <c r="C332">
        <f t="shared" si="31"/>
        <v>1</v>
      </c>
      <c r="D332">
        <f t="shared" si="32"/>
        <v>6</v>
      </c>
      <c r="E332">
        <f t="shared" si="33"/>
        <v>25</v>
      </c>
      <c r="F332">
        <f>3*DesarrolloPartidos[[#This Row],[Partidos_3]]</f>
        <v>3</v>
      </c>
      <c r="G332">
        <f>IF(DesarrolloPartidos[[#This Row],[Partidos_3]]=0,0,ROUNDUP(DesarrolloPartidos[[#This Row],[Orden]]/DesarrolloPartidos[[#This Row],[JugEnPart3]]*DesarrolloPartidos[[#This Row],[Partidos_3]],0))</f>
        <v>9</v>
      </c>
      <c r="H332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7</v>
      </c>
      <c r="I332" t="str">
        <f>IF(AND(DesarrolloPartidos[[#This Row],[PartidosSolo3]]&lt;=DesarrolloPartidos[[#This Row],[Partidos_3]],DesarrolloPartidos[[#This Row],[PartidosSolo3]]&lt;&gt;0),DesarrolloPartidos[[#This Row],[PartidosSolo3]],"")</f>
        <v/>
      </c>
      <c r="J332">
        <f>+IF(DesarrolloPartidos[[#This Row],[Partidos3]]="",DesarrolloPartidos[[#This Row],[Partidos4]],DesarrolloPartidos[[#This Row],[Partidos3]])</f>
        <v>7</v>
      </c>
      <c r="K332" t="str">
        <f>+DesarrolloPartidos[[#This Row],[Jugadores]]&amp;":"&amp;DesarrolloPartidos[[#This Row],[Orden]]</f>
        <v>27:25</v>
      </c>
    </row>
    <row r="333" spans="1:11">
      <c r="A333">
        <f t="shared" si="30"/>
        <v>27</v>
      </c>
      <c r="B333">
        <f t="shared" si="29"/>
        <v>7</v>
      </c>
      <c r="C333">
        <f t="shared" si="31"/>
        <v>1</v>
      </c>
      <c r="D333">
        <f t="shared" si="32"/>
        <v>6</v>
      </c>
      <c r="E333">
        <f t="shared" si="33"/>
        <v>26</v>
      </c>
      <c r="F333">
        <f>3*DesarrolloPartidos[[#This Row],[Partidos_3]]</f>
        <v>3</v>
      </c>
      <c r="G333">
        <f>IF(DesarrolloPartidos[[#This Row],[Partidos_3]]=0,0,ROUNDUP(DesarrolloPartidos[[#This Row],[Orden]]/DesarrolloPartidos[[#This Row],[JugEnPart3]]*DesarrolloPartidos[[#This Row],[Partidos_3]],0))</f>
        <v>9</v>
      </c>
      <c r="H333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7</v>
      </c>
      <c r="I333" t="str">
        <f>IF(AND(DesarrolloPartidos[[#This Row],[PartidosSolo3]]&lt;=DesarrolloPartidos[[#This Row],[Partidos_3]],DesarrolloPartidos[[#This Row],[PartidosSolo3]]&lt;&gt;0),DesarrolloPartidos[[#This Row],[PartidosSolo3]],"")</f>
        <v/>
      </c>
      <c r="J333">
        <f>+IF(DesarrolloPartidos[[#This Row],[Partidos3]]="",DesarrolloPartidos[[#This Row],[Partidos4]],DesarrolloPartidos[[#This Row],[Partidos3]])</f>
        <v>7</v>
      </c>
      <c r="K333" t="str">
        <f>+DesarrolloPartidos[[#This Row],[Jugadores]]&amp;":"&amp;DesarrolloPartidos[[#This Row],[Orden]]</f>
        <v>27:26</v>
      </c>
    </row>
    <row r="334" spans="1:11">
      <c r="A334">
        <f t="shared" si="30"/>
        <v>27</v>
      </c>
      <c r="B334">
        <f t="shared" si="29"/>
        <v>7</v>
      </c>
      <c r="C334">
        <f t="shared" si="31"/>
        <v>1</v>
      </c>
      <c r="D334">
        <f t="shared" si="32"/>
        <v>6</v>
      </c>
      <c r="E334">
        <f t="shared" si="33"/>
        <v>27</v>
      </c>
      <c r="F334">
        <f>3*DesarrolloPartidos[[#This Row],[Partidos_3]]</f>
        <v>3</v>
      </c>
      <c r="G334">
        <f>IF(DesarrolloPartidos[[#This Row],[Partidos_3]]=0,0,ROUNDUP(DesarrolloPartidos[[#This Row],[Orden]]/DesarrolloPartidos[[#This Row],[JugEnPart3]]*DesarrolloPartidos[[#This Row],[Partidos_3]],0))</f>
        <v>9</v>
      </c>
      <c r="H334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7</v>
      </c>
      <c r="I334" t="str">
        <f>IF(AND(DesarrolloPartidos[[#This Row],[PartidosSolo3]]&lt;=DesarrolloPartidos[[#This Row],[Partidos_3]],DesarrolloPartidos[[#This Row],[PartidosSolo3]]&lt;&gt;0),DesarrolloPartidos[[#This Row],[PartidosSolo3]],"")</f>
        <v/>
      </c>
      <c r="J334">
        <f>+IF(DesarrolloPartidos[[#This Row],[Partidos3]]="",DesarrolloPartidos[[#This Row],[Partidos4]],DesarrolloPartidos[[#This Row],[Partidos3]])</f>
        <v>7</v>
      </c>
      <c r="K334" t="str">
        <f>+DesarrolloPartidos[[#This Row],[Jugadores]]&amp;":"&amp;DesarrolloPartidos[[#This Row],[Orden]]</f>
        <v>27:27</v>
      </c>
    </row>
    <row r="335" spans="1:11">
      <c r="A335">
        <f t="shared" si="30"/>
        <v>28</v>
      </c>
      <c r="B335">
        <f t="shared" si="29"/>
        <v>7</v>
      </c>
      <c r="C335">
        <f t="shared" si="31"/>
        <v>0</v>
      </c>
      <c r="D335">
        <f t="shared" si="32"/>
        <v>7</v>
      </c>
      <c r="E335">
        <f t="shared" si="33"/>
        <v>1</v>
      </c>
      <c r="F335">
        <f>3*DesarrolloPartidos[[#This Row],[Partidos_3]]</f>
        <v>0</v>
      </c>
      <c r="G335">
        <f>IF(DesarrolloPartidos[[#This Row],[Partidos_3]]=0,0,ROUNDUP(DesarrolloPartidos[[#This Row],[Orden]]/DesarrolloPartidos[[#This Row],[JugEnPart3]]*DesarrolloPartidos[[#This Row],[Partidos_3]],0))</f>
        <v>0</v>
      </c>
      <c r="H335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1</v>
      </c>
      <c r="I335" t="str">
        <f>IF(AND(DesarrolloPartidos[[#This Row],[PartidosSolo3]]&lt;=DesarrolloPartidos[[#This Row],[Partidos_3]],DesarrolloPartidos[[#This Row],[PartidosSolo3]]&lt;&gt;0),DesarrolloPartidos[[#This Row],[PartidosSolo3]],"")</f>
        <v/>
      </c>
      <c r="J335">
        <f>+IF(DesarrolloPartidos[[#This Row],[Partidos3]]="",DesarrolloPartidos[[#This Row],[Partidos4]],DesarrolloPartidos[[#This Row],[Partidos3]])</f>
        <v>1</v>
      </c>
      <c r="K335" t="str">
        <f>+DesarrolloPartidos[[#This Row],[Jugadores]]&amp;":"&amp;DesarrolloPartidos[[#This Row],[Orden]]</f>
        <v>28:1</v>
      </c>
    </row>
    <row r="336" spans="1:11">
      <c r="A336">
        <f t="shared" si="30"/>
        <v>28</v>
      </c>
      <c r="B336">
        <f t="shared" si="29"/>
        <v>7</v>
      </c>
      <c r="C336">
        <f t="shared" si="31"/>
        <v>0</v>
      </c>
      <c r="D336">
        <f t="shared" si="32"/>
        <v>7</v>
      </c>
      <c r="E336">
        <f t="shared" si="33"/>
        <v>2</v>
      </c>
      <c r="F336">
        <f>3*DesarrolloPartidos[[#This Row],[Partidos_3]]</f>
        <v>0</v>
      </c>
      <c r="G336">
        <f>IF(DesarrolloPartidos[[#This Row],[Partidos_3]]=0,0,ROUNDUP(DesarrolloPartidos[[#This Row],[Orden]]/DesarrolloPartidos[[#This Row],[JugEnPart3]]*DesarrolloPartidos[[#This Row],[Partidos_3]],0))</f>
        <v>0</v>
      </c>
      <c r="H336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1</v>
      </c>
      <c r="I336" t="str">
        <f>IF(AND(DesarrolloPartidos[[#This Row],[PartidosSolo3]]&lt;=DesarrolloPartidos[[#This Row],[Partidos_3]],DesarrolloPartidos[[#This Row],[PartidosSolo3]]&lt;&gt;0),DesarrolloPartidos[[#This Row],[PartidosSolo3]],"")</f>
        <v/>
      </c>
      <c r="J336">
        <f>+IF(DesarrolloPartidos[[#This Row],[Partidos3]]="",DesarrolloPartidos[[#This Row],[Partidos4]],DesarrolloPartidos[[#This Row],[Partidos3]])</f>
        <v>1</v>
      </c>
      <c r="K336" t="str">
        <f>+DesarrolloPartidos[[#This Row],[Jugadores]]&amp;":"&amp;DesarrolloPartidos[[#This Row],[Orden]]</f>
        <v>28:2</v>
      </c>
    </row>
    <row r="337" spans="1:11">
      <c r="A337">
        <f t="shared" si="30"/>
        <v>28</v>
      </c>
      <c r="B337">
        <f t="shared" si="29"/>
        <v>7</v>
      </c>
      <c r="C337">
        <f t="shared" si="31"/>
        <v>0</v>
      </c>
      <c r="D337">
        <f t="shared" si="32"/>
        <v>7</v>
      </c>
      <c r="E337">
        <f t="shared" si="33"/>
        <v>3</v>
      </c>
      <c r="F337">
        <f>3*DesarrolloPartidos[[#This Row],[Partidos_3]]</f>
        <v>0</v>
      </c>
      <c r="G337">
        <f>IF(DesarrolloPartidos[[#This Row],[Partidos_3]]=0,0,ROUNDUP(DesarrolloPartidos[[#This Row],[Orden]]/DesarrolloPartidos[[#This Row],[JugEnPart3]]*DesarrolloPartidos[[#This Row],[Partidos_3]],0))</f>
        <v>0</v>
      </c>
      <c r="H337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1</v>
      </c>
      <c r="I337" t="str">
        <f>IF(AND(DesarrolloPartidos[[#This Row],[PartidosSolo3]]&lt;=DesarrolloPartidos[[#This Row],[Partidos_3]],DesarrolloPartidos[[#This Row],[PartidosSolo3]]&lt;&gt;0),DesarrolloPartidos[[#This Row],[PartidosSolo3]],"")</f>
        <v/>
      </c>
      <c r="J337">
        <f>+IF(DesarrolloPartidos[[#This Row],[Partidos3]]="",DesarrolloPartidos[[#This Row],[Partidos4]],DesarrolloPartidos[[#This Row],[Partidos3]])</f>
        <v>1</v>
      </c>
      <c r="K337" t="str">
        <f>+DesarrolloPartidos[[#This Row],[Jugadores]]&amp;":"&amp;DesarrolloPartidos[[#This Row],[Orden]]</f>
        <v>28:3</v>
      </c>
    </row>
    <row r="338" spans="1:11">
      <c r="A338">
        <f t="shared" si="30"/>
        <v>28</v>
      </c>
      <c r="B338">
        <f t="shared" si="29"/>
        <v>7</v>
      </c>
      <c r="C338">
        <f t="shared" si="31"/>
        <v>0</v>
      </c>
      <c r="D338">
        <f t="shared" si="32"/>
        <v>7</v>
      </c>
      <c r="E338">
        <f t="shared" si="33"/>
        <v>4</v>
      </c>
      <c r="F338">
        <f>3*DesarrolloPartidos[[#This Row],[Partidos_3]]</f>
        <v>0</v>
      </c>
      <c r="G338">
        <f>IF(DesarrolloPartidos[[#This Row],[Partidos_3]]=0,0,ROUNDUP(DesarrolloPartidos[[#This Row],[Orden]]/DesarrolloPartidos[[#This Row],[JugEnPart3]]*DesarrolloPartidos[[#This Row],[Partidos_3]],0))</f>
        <v>0</v>
      </c>
      <c r="H338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1</v>
      </c>
      <c r="I338" t="str">
        <f>IF(AND(DesarrolloPartidos[[#This Row],[PartidosSolo3]]&lt;=DesarrolloPartidos[[#This Row],[Partidos_3]],DesarrolloPartidos[[#This Row],[PartidosSolo3]]&lt;&gt;0),DesarrolloPartidos[[#This Row],[PartidosSolo3]],"")</f>
        <v/>
      </c>
      <c r="J338">
        <f>+IF(DesarrolloPartidos[[#This Row],[Partidos3]]="",DesarrolloPartidos[[#This Row],[Partidos4]],DesarrolloPartidos[[#This Row],[Partidos3]])</f>
        <v>1</v>
      </c>
      <c r="K338" t="str">
        <f>+DesarrolloPartidos[[#This Row],[Jugadores]]&amp;":"&amp;DesarrolloPartidos[[#This Row],[Orden]]</f>
        <v>28:4</v>
      </c>
    </row>
    <row r="339" spans="1:11">
      <c r="A339">
        <f t="shared" si="30"/>
        <v>28</v>
      </c>
      <c r="B339">
        <f t="shared" si="29"/>
        <v>7</v>
      </c>
      <c r="C339">
        <f t="shared" si="31"/>
        <v>0</v>
      </c>
      <c r="D339">
        <f t="shared" si="32"/>
        <v>7</v>
      </c>
      <c r="E339">
        <f t="shared" si="33"/>
        <v>5</v>
      </c>
      <c r="F339">
        <f>3*DesarrolloPartidos[[#This Row],[Partidos_3]]</f>
        <v>0</v>
      </c>
      <c r="G339">
        <f>IF(DesarrolloPartidos[[#This Row],[Partidos_3]]=0,0,ROUNDUP(DesarrolloPartidos[[#This Row],[Orden]]/DesarrolloPartidos[[#This Row],[JugEnPart3]]*DesarrolloPartidos[[#This Row],[Partidos_3]],0))</f>
        <v>0</v>
      </c>
      <c r="H339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2</v>
      </c>
      <c r="I339" t="str">
        <f>IF(AND(DesarrolloPartidos[[#This Row],[PartidosSolo3]]&lt;=DesarrolloPartidos[[#This Row],[Partidos_3]],DesarrolloPartidos[[#This Row],[PartidosSolo3]]&lt;&gt;0),DesarrolloPartidos[[#This Row],[PartidosSolo3]],"")</f>
        <v/>
      </c>
      <c r="J339">
        <f>+IF(DesarrolloPartidos[[#This Row],[Partidos3]]="",DesarrolloPartidos[[#This Row],[Partidos4]],DesarrolloPartidos[[#This Row],[Partidos3]])</f>
        <v>2</v>
      </c>
      <c r="K339" t="str">
        <f>+DesarrolloPartidos[[#This Row],[Jugadores]]&amp;":"&amp;DesarrolloPartidos[[#This Row],[Orden]]</f>
        <v>28:5</v>
      </c>
    </row>
    <row r="340" spans="1:11">
      <c r="A340">
        <f t="shared" si="30"/>
        <v>28</v>
      </c>
      <c r="B340">
        <f t="shared" si="29"/>
        <v>7</v>
      </c>
      <c r="C340">
        <f t="shared" si="31"/>
        <v>0</v>
      </c>
      <c r="D340">
        <f t="shared" si="32"/>
        <v>7</v>
      </c>
      <c r="E340">
        <f t="shared" si="33"/>
        <v>6</v>
      </c>
      <c r="F340">
        <f>3*DesarrolloPartidos[[#This Row],[Partidos_3]]</f>
        <v>0</v>
      </c>
      <c r="G340">
        <f>IF(DesarrolloPartidos[[#This Row],[Partidos_3]]=0,0,ROUNDUP(DesarrolloPartidos[[#This Row],[Orden]]/DesarrolloPartidos[[#This Row],[JugEnPart3]]*DesarrolloPartidos[[#This Row],[Partidos_3]],0))</f>
        <v>0</v>
      </c>
      <c r="H340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2</v>
      </c>
      <c r="I340" t="str">
        <f>IF(AND(DesarrolloPartidos[[#This Row],[PartidosSolo3]]&lt;=DesarrolloPartidos[[#This Row],[Partidos_3]],DesarrolloPartidos[[#This Row],[PartidosSolo3]]&lt;&gt;0),DesarrolloPartidos[[#This Row],[PartidosSolo3]],"")</f>
        <v/>
      </c>
      <c r="J340">
        <f>+IF(DesarrolloPartidos[[#This Row],[Partidos3]]="",DesarrolloPartidos[[#This Row],[Partidos4]],DesarrolloPartidos[[#This Row],[Partidos3]])</f>
        <v>2</v>
      </c>
      <c r="K340" t="str">
        <f>+DesarrolloPartidos[[#This Row],[Jugadores]]&amp;":"&amp;DesarrolloPartidos[[#This Row],[Orden]]</f>
        <v>28:6</v>
      </c>
    </row>
    <row r="341" spans="1:11">
      <c r="A341">
        <f t="shared" si="30"/>
        <v>28</v>
      </c>
      <c r="B341">
        <f t="shared" si="29"/>
        <v>7</v>
      </c>
      <c r="C341">
        <f t="shared" si="31"/>
        <v>0</v>
      </c>
      <c r="D341">
        <f t="shared" si="32"/>
        <v>7</v>
      </c>
      <c r="E341">
        <f t="shared" si="33"/>
        <v>7</v>
      </c>
      <c r="F341">
        <f>3*DesarrolloPartidos[[#This Row],[Partidos_3]]</f>
        <v>0</v>
      </c>
      <c r="G341">
        <f>IF(DesarrolloPartidos[[#This Row],[Partidos_3]]=0,0,ROUNDUP(DesarrolloPartidos[[#This Row],[Orden]]/DesarrolloPartidos[[#This Row],[JugEnPart3]]*DesarrolloPartidos[[#This Row],[Partidos_3]],0))</f>
        <v>0</v>
      </c>
      <c r="H341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2</v>
      </c>
      <c r="I341" t="str">
        <f>IF(AND(DesarrolloPartidos[[#This Row],[PartidosSolo3]]&lt;=DesarrolloPartidos[[#This Row],[Partidos_3]],DesarrolloPartidos[[#This Row],[PartidosSolo3]]&lt;&gt;0),DesarrolloPartidos[[#This Row],[PartidosSolo3]],"")</f>
        <v/>
      </c>
      <c r="J341">
        <f>+IF(DesarrolloPartidos[[#This Row],[Partidos3]]="",DesarrolloPartidos[[#This Row],[Partidos4]],DesarrolloPartidos[[#This Row],[Partidos3]])</f>
        <v>2</v>
      </c>
      <c r="K341" t="str">
        <f>+DesarrolloPartidos[[#This Row],[Jugadores]]&amp;":"&amp;DesarrolloPartidos[[#This Row],[Orden]]</f>
        <v>28:7</v>
      </c>
    </row>
    <row r="342" spans="1:11">
      <c r="A342">
        <f t="shared" si="30"/>
        <v>28</v>
      </c>
      <c r="B342">
        <f t="shared" si="29"/>
        <v>7</v>
      </c>
      <c r="C342">
        <f t="shared" si="31"/>
        <v>0</v>
      </c>
      <c r="D342">
        <f t="shared" si="32"/>
        <v>7</v>
      </c>
      <c r="E342">
        <f t="shared" si="33"/>
        <v>8</v>
      </c>
      <c r="F342">
        <f>3*DesarrolloPartidos[[#This Row],[Partidos_3]]</f>
        <v>0</v>
      </c>
      <c r="G342">
        <f>IF(DesarrolloPartidos[[#This Row],[Partidos_3]]=0,0,ROUNDUP(DesarrolloPartidos[[#This Row],[Orden]]/DesarrolloPartidos[[#This Row],[JugEnPart3]]*DesarrolloPartidos[[#This Row],[Partidos_3]],0))</f>
        <v>0</v>
      </c>
      <c r="H342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2</v>
      </c>
      <c r="I342" t="str">
        <f>IF(AND(DesarrolloPartidos[[#This Row],[PartidosSolo3]]&lt;=DesarrolloPartidos[[#This Row],[Partidos_3]],DesarrolloPartidos[[#This Row],[PartidosSolo3]]&lt;&gt;0),DesarrolloPartidos[[#This Row],[PartidosSolo3]],"")</f>
        <v/>
      </c>
      <c r="J342">
        <f>+IF(DesarrolloPartidos[[#This Row],[Partidos3]]="",DesarrolloPartidos[[#This Row],[Partidos4]],DesarrolloPartidos[[#This Row],[Partidos3]])</f>
        <v>2</v>
      </c>
      <c r="K342" t="str">
        <f>+DesarrolloPartidos[[#This Row],[Jugadores]]&amp;":"&amp;DesarrolloPartidos[[#This Row],[Orden]]</f>
        <v>28:8</v>
      </c>
    </row>
    <row r="343" spans="1:11">
      <c r="A343">
        <f t="shared" si="30"/>
        <v>28</v>
      </c>
      <c r="B343">
        <f t="shared" si="29"/>
        <v>7</v>
      </c>
      <c r="C343">
        <f t="shared" si="31"/>
        <v>0</v>
      </c>
      <c r="D343">
        <f t="shared" si="32"/>
        <v>7</v>
      </c>
      <c r="E343">
        <f t="shared" si="33"/>
        <v>9</v>
      </c>
      <c r="F343">
        <f>3*DesarrolloPartidos[[#This Row],[Partidos_3]]</f>
        <v>0</v>
      </c>
      <c r="G343">
        <f>IF(DesarrolloPartidos[[#This Row],[Partidos_3]]=0,0,ROUNDUP(DesarrolloPartidos[[#This Row],[Orden]]/DesarrolloPartidos[[#This Row],[JugEnPart3]]*DesarrolloPartidos[[#This Row],[Partidos_3]],0))</f>
        <v>0</v>
      </c>
      <c r="H343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3</v>
      </c>
      <c r="I343" t="str">
        <f>IF(AND(DesarrolloPartidos[[#This Row],[PartidosSolo3]]&lt;=DesarrolloPartidos[[#This Row],[Partidos_3]],DesarrolloPartidos[[#This Row],[PartidosSolo3]]&lt;&gt;0),DesarrolloPartidos[[#This Row],[PartidosSolo3]],"")</f>
        <v/>
      </c>
      <c r="J343">
        <f>+IF(DesarrolloPartidos[[#This Row],[Partidos3]]="",DesarrolloPartidos[[#This Row],[Partidos4]],DesarrolloPartidos[[#This Row],[Partidos3]])</f>
        <v>3</v>
      </c>
      <c r="K343" t="str">
        <f>+DesarrolloPartidos[[#This Row],[Jugadores]]&amp;":"&amp;DesarrolloPartidos[[#This Row],[Orden]]</f>
        <v>28:9</v>
      </c>
    </row>
    <row r="344" spans="1:11">
      <c r="A344">
        <f t="shared" si="30"/>
        <v>28</v>
      </c>
      <c r="B344">
        <f t="shared" si="29"/>
        <v>7</v>
      </c>
      <c r="C344">
        <f t="shared" si="31"/>
        <v>0</v>
      </c>
      <c r="D344">
        <f t="shared" si="32"/>
        <v>7</v>
      </c>
      <c r="E344">
        <f t="shared" si="33"/>
        <v>10</v>
      </c>
      <c r="F344">
        <f>3*DesarrolloPartidos[[#This Row],[Partidos_3]]</f>
        <v>0</v>
      </c>
      <c r="G344">
        <f>IF(DesarrolloPartidos[[#This Row],[Partidos_3]]=0,0,ROUNDUP(DesarrolloPartidos[[#This Row],[Orden]]/DesarrolloPartidos[[#This Row],[JugEnPart3]]*DesarrolloPartidos[[#This Row],[Partidos_3]],0))</f>
        <v>0</v>
      </c>
      <c r="H344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3</v>
      </c>
      <c r="I344" t="str">
        <f>IF(AND(DesarrolloPartidos[[#This Row],[PartidosSolo3]]&lt;=DesarrolloPartidos[[#This Row],[Partidos_3]],DesarrolloPartidos[[#This Row],[PartidosSolo3]]&lt;&gt;0),DesarrolloPartidos[[#This Row],[PartidosSolo3]],"")</f>
        <v/>
      </c>
      <c r="J344">
        <f>+IF(DesarrolloPartidos[[#This Row],[Partidos3]]="",DesarrolloPartidos[[#This Row],[Partidos4]],DesarrolloPartidos[[#This Row],[Partidos3]])</f>
        <v>3</v>
      </c>
      <c r="K344" t="str">
        <f>+DesarrolloPartidos[[#This Row],[Jugadores]]&amp;":"&amp;DesarrolloPartidos[[#This Row],[Orden]]</f>
        <v>28:10</v>
      </c>
    </row>
    <row r="345" spans="1:11">
      <c r="A345">
        <f t="shared" si="30"/>
        <v>28</v>
      </c>
      <c r="B345">
        <f t="shared" si="29"/>
        <v>7</v>
      </c>
      <c r="C345">
        <f t="shared" si="31"/>
        <v>0</v>
      </c>
      <c r="D345">
        <f t="shared" si="32"/>
        <v>7</v>
      </c>
      <c r="E345">
        <f t="shared" si="33"/>
        <v>11</v>
      </c>
      <c r="F345">
        <f>3*DesarrolloPartidos[[#This Row],[Partidos_3]]</f>
        <v>0</v>
      </c>
      <c r="G345">
        <f>IF(DesarrolloPartidos[[#This Row],[Partidos_3]]=0,0,ROUNDUP(DesarrolloPartidos[[#This Row],[Orden]]/DesarrolloPartidos[[#This Row],[JugEnPart3]]*DesarrolloPartidos[[#This Row],[Partidos_3]],0))</f>
        <v>0</v>
      </c>
      <c r="H345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3</v>
      </c>
      <c r="I345" t="str">
        <f>IF(AND(DesarrolloPartidos[[#This Row],[PartidosSolo3]]&lt;=DesarrolloPartidos[[#This Row],[Partidos_3]],DesarrolloPartidos[[#This Row],[PartidosSolo3]]&lt;&gt;0),DesarrolloPartidos[[#This Row],[PartidosSolo3]],"")</f>
        <v/>
      </c>
      <c r="J345">
        <f>+IF(DesarrolloPartidos[[#This Row],[Partidos3]]="",DesarrolloPartidos[[#This Row],[Partidos4]],DesarrolloPartidos[[#This Row],[Partidos3]])</f>
        <v>3</v>
      </c>
      <c r="K345" t="str">
        <f>+DesarrolloPartidos[[#This Row],[Jugadores]]&amp;":"&amp;DesarrolloPartidos[[#This Row],[Orden]]</f>
        <v>28:11</v>
      </c>
    </row>
    <row r="346" spans="1:11">
      <c r="A346">
        <f t="shared" si="30"/>
        <v>28</v>
      </c>
      <c r="B346">
        <f t="shared" si="29"/>
        <v>7</v>
      </c>
      <c r="C346">
        <f t="shared" si="31"/>
        <v>0</v>
      </c>
      <c r="D346">
        <f t="shared" si="32"/>
        <v>7</v>
      </c>
      <c r="E346">
        <f t="shared" si="33"/>
        <v>12</v>
      </c>
      <c r="F346">
        <f>3*DesarrolloPartidos[[#This Row],[Partidos_3]]</f>
        <v>0</v>
      </c>
      <c r="G346">
        <f>IF(DesarrolloPartidos[[#This Row],[Partidos_3]]=0,0,ROUNDUP(DesarrolloPartidos[[#This Row],[Orden]]/DesarrolloPartidos[[#This Row],[JugEnPart3]]*DesarrolloPartidos[[#This Row],[Partidos_3]],0))</f>
        <v>0</v>
      </c>
      <c r="H346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3</v>
      </c>
      <c r="I346" t="str">
        <f>IF(AND(DesarrolloPartidos[[#This Row],[PartidosSolo3]]&lt;=DesarrolloPartidos[[#This Row],[Partidos_3]],DesarrolloPartidos[[#This Row],[PartidosSolo3]]&lt;&gt;0),DesarrolloPartidos[[#This Row],[PartidosSolo3]],"")</f>
        <v/>
      </c>
      <c r="J346">
        <f>+IF(DesarrolloPartidos[[#This Row],[Partidos3]]="",DesarrolloPartidos[[#This Row],[Partidos4]],DesarrolloPartidos[[#This Row],[Partidos3]])</f>
        <v>3</v>
      </c>
      <c r="K346" t="str">
        <f>+DesarrolloPartidos[[#This Row],[Jugadores]]&amp;":"&amp;DesarrolloPartidos[[#This Row],[Orden]]</f>
        <v>28:12</v>
      </c>
    </row>
    <row r="347" spans="1:11">
      <c r="A347">
        <f t="shared" si="30"/>
        <v>28</v>
      </c>
      <c r="B347">
        <f t="shared" si="29"/>
        <v>7</v>
      </c>
      <c r="C347">
        <f t="shared" si="31"/>
        <v>0</v>
      </c>
      <c r="D347">
        <f t="shared" si="32"/>
        <v>7</v>
      </c>
      <c r="E347">
        <f t="shared" si="33"/>
        <v>13</v>
      </c>
      <c r="F347">
        <f>3*DesarrolloPartidos[[#This Row],[Partidos_3]]</f>
        <v>0</v>
      </c>
      <c r="G347">
        <f>IF(DesarrolloPartidos[[#This Row],[Partidos_3]]=0,0,ROUNDUP(DesarrolloPartidos[[#This Row],[Orden]]/DesarrolloPartidos[[#This Row],[JugEnPart3]]*DesarrolloPartidos[[#This Row],[Partidos_3]],0))</f>
        <v>0</v>
      </c>
      <c r="H347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347" t="str">
        <f>IF(AND(DesarrolloPartidos[[#This Row],[PartidosSolo3]]&lt;=DesarrolloPartidos[[#This Row],[Partidos_3]],DesarrolloPartidos[[#This Row],[PartidosSolo3]]&lt;&gt;0),DesarrolloPartidos[[#This Row],[PartidosSolo3]],"")</f>
        <v/>
      </c>
      <c r="J347">
        <f>+IF(DesarrolloPartidos[[#This Row],[Partidos3]]="",DesarrolloPartidos[[#This Row],[Partidos4]],DesarrolloPartidos[[#This Row],[Partidos3]])</f>
        <v>4</v>
      </c>
      <c r="K347" t="str">
        <f>+DesarrolloPartidos[[#This Row],[Jugadores]]&amp;":"&amp;DesarrolloPartidos[[#This Row],[Orden]]</f>
        <v>28:13</v>
      </c>
    </row>
    <row r="348" spans="1:11">
      <c r="A348">
        <f t="shared" si="30"/>
        <v>28</v>
      </c>
      <c r="B348">
        <f t="shared" si="29"/>
        <v>7</v>
      </c>
      <c r="C348">
        <f t="shared" si="31"/>
        <v>0</v>
      </c>
      <c r="D348">
        <f t="shared" si="32"/>
        <v>7</v>
      </c>
      <c r="E348">
        <f t="shared" si="33"/>
        <v>14</v>
      </c>
      <c r="F348">
        <f>3*DesarrolloPartidos[[#This Row],[Partidos_3]]</f>
        <v>0</v>
      </c>
      <c r="G348">
        <f>IF(DesarrolloPartidos[[#This Row],[Partidos_3]]=0,0,ROUNDUP(DesarrolloPartidos[[#This Row],[Orden]]/DesarrolloPartidos[[#This Row],[JugEnPart3]]*DesarrolloPartidos[[#This Row],[Partidos_3]],0))</f>
        <v>0</v>
      </c>
      <c r="H348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348" t="str">
        <f>IF(AND(DesarrolloPartidos[[#This Row],[PartidosSolo3]]&lt;=DesarrolloPartidos[[#This Row],[Partidos_3]],DesarrolloPartidos[[#This Row],[PartidosSolo3]]&lt;&gt;0),DesarrolloPartidos[[#This Row],[PartidosSolo3]],"")</f>
        <v/>
      </c>
      <c r="J348">
        <f>+IF(DesarrolloPartidos[[#This Row],[Partidos3]]="",DesarrolloPartidos[[#This Row],[Partidos4]],DesarrolloPartidos[[#This Row],[Partidos3]])</f>
        <v>4</v>
      </c>
      <c r="K348" t="str">
        <f>+DesarrolloPartidos[[#This Row],[Jugadores]]&amp;":"&amp;DesarrolloPartidos[[#This Row],[Orden]]</f>
        <v>28:14</v>
      </c>
    </row>
    <row r="349" spans="1:11">
      <c r="A349">
        <f t="shared" si="30"/>
        <v>28</v>
      </c>
      <c r="B349">
        <f t="shared" si="29"/>
        <v>7</v>
      </c>
      <c r="C349">
        <f t="shared" si="31"/>
        <v>0</v>
      </c>
      <c r="D349">
        <f t="shared" si="32"/>
        <v>7</v>
      </c>
      <c r="E349">
        <f t="shared" si="33"/>
        <v>15</v>
      </c>
      <c r="F349">
        <f>3*DesarrolloPartidos[[#This Row],[Partidos_3]]</f>
        <v>0</v>
      </c>
      <c r="G349">
        <f>IF(DesarrolloPartidos[[#This Row],[Partidos_3]]=0,0,ROUNDUP(DesarrolloPartidos[[#This Row],[Orden]]/DesarrolloPartidos[[#This Row],[JugEnPart3]]*DesarrolloPartidos[[#This Row],[Partidos_3]],0))</f>
        <v>0</v>
      </c>
      <c r="H349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349" t="str">
        <f>IF(AND(DesarrolloPartidos[[#This Row],[PartidosSolo3]]&lt;=DesarrolloPartidos[[#This Row],[Partidos_3]],DesarrolloPartidos[[#This Row],[PartidosSolo3]]&lt;&gt;0),DesarrolloPartidos[[#This Row],[PartidosSolo3]],"")</f>
        <v/>
      </c>
      <c r="J349">
        <f>+IF(DesarrolloPartidos[[#This Row],[Partidos3]]="",DesarrolloPartidos[[#This Row],[Partidos4]],DesarrolloPartidos[[#This Row],[Partidos3]])</f>
        <v>4</v>
      </c>
      <c r="K349" t="str">
        <f>+DesarrolloPartidos[[#This Row],[Jugadores]]&amp;":"&amp;DesarrolloPartidos[[#This Row],[Orden]]</f>
        <v>28:15</v>
      </c>
    </row>
    <row r="350" spans="1:11">
      <c r="A350">
        <f t="shared" si="30"/>
        <v>28</v>
      </c>
      <c r="B350">
        <f t="shared" si="29"/>
        <v>7</v>
      </c>
      <c r="C350">
        <f t="shared" si="31"/>
        <v>0</v>
      </c>
      <c r="D350">
        <f t="shared" si="32"/>
        <v>7</v>
      </c>
      <c r="E350">
        <f t="shared" si="33"/>
        <v>16</v>
      </c>
      <c r="F350">
        <f>3*DesarrolloPartidos[[#This Row],[Partidos_3]]</f>
        <v>0</v>
      </c>
      <c r="G350">
        <f>IF(DesarrolloPartidos[[#This Row],[Partidos_3]]=0,0,ROUNDUP(DesarrolloPartidos[[#This Row],[Orden]]/DesarrolloPartidos[[#This Row],[JugEnPart3]]*DesarrolloPartidos[[#This Row],[Partidos_3]],0))</f>
        <v>0</v>
      </c>
      <c r="H350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350" t="str">
        <f>IF(AND(DesarrolloPartidos[[#This Row],[PartidosSolo3]]&lt;=DesarrolloPartidos[[#This Row],[Partidos_3]],DesarrolloPartidos[[#This Row],[PartidosSolo3]]&lt;&gt;0),DesarrolloPartidos[[#This Row],[PartidosSolo3]],"")</f>
        <v/>
      </c>
      <c r="J350">
        <f>+IF(DesarrolloPartidos[[#This Row],[Partidos3]]="",DesarrolloPartidos[[#This Row],[Partidos4]],DesarrolloPartidos[[#This Row],[Partidos3]])</f>
        <v>4</v>
      </c>
      <c r="K350" t="str">
        <f>+DesarrolloPartidos[[#This Row],[Jugadores]]&amp;":"&amp;DesarrolloPartidos[[#This Row],[Orden]]</f>
        <v>28:16</v>
      </c>
    </row>
    <row r="351" spans="1:11">
      <c r="A351">
        <f t="shared" si="30"/>
        <v>28</v>
      </c>
      <c r="B351">
        <f t="shared" si="29"/>
        <v>7</v>
      </c>
      <c r="C351">
        <f t="shared" si="31"/>
        <v>0</v>
      </c>
      <c r="D351">
        <f t="shared" si="32"/>
        <v>7</v>
      </c>
      <c r="E351">
        <f t="shared" si="33"/>
        <v>17</v>
      </c>
      <c r="F351">
        <f>3*DesarrolloPartidos[[#This Row],[Partidos_3]]</f>
        <v>0</v>
      </c>
      <c r="G351">
        <f>IF(DesarrolloPartidos[[#This Row],[Partidos_3]]=0,0,ROUNDUP(DesarrolloPartidos[[#This Row],[Orden]]/DesarrolloPartidos[[#This Row],[JugEnPart3]]*DesarrolloPartidos[[#This Row],[Partidos_3]],0))</f>
        <v>0</v>
      </c>
      <c r="H351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5</v>
      </c>
      <c r="I351" t="str">
        <f>IF(AND(DesarrolloPartidos[[#This Row],[PartidosSolo3]]&lt;=DesarrolloPartidos[[#This Row],[Partidos_3]],DesarrolloPartidos[[#This Row],[PartidosSolo3]]&lt;&gt;0),DesarrolloPartidos[[#This Row],[PartidosSolo3]],"")</f>
        <v/>
      </c>
      <c r="J351">
        <f>+IF(DesarrolloPartidos[[#This Row],[Partidos3]]="",DesarrolloPartidos[[#This Row],[Partidos4]],DesarrolloPartidos[[#This Row],[Partidos3]])</f>
        <v>5</v>
      </c>
      <c r="K351" t="str">
        <f>+DesarrolloPartidos[[#This Row],[Jugadores]]&amp;":"&amp;DesarrolloPartidos[[#This Row],[Orden]]</f>
        <v>28:17</v>
      </c>
    </row>
    <row r="352" spans="1:11">
      <c r="A352">
        <f t="shared" si="30"/>
        <v>28</v>
      </c>
      <c r="B352">
        <f t="shared" si="29"/>
        <v>7</v>
      </c>
      <c r="C352">
        <f t="shared" si="31"/>
        <v>0</v>
      </c>
      <c r="D352">
        <f t="shared" si="32"/>
        <v>7</v>
      </c>
      <c r="E352">
        <f t="shared" si="33"/>
        <v>18</v>
      </c>
      <c r="F352">
        <f>3*DesarrolloPartidos[[#This Row],[Partidos_3]]</f>
        <v>0</v>
      </c>
      <c r="G352">
        <f>IF(DesarrolloPartidos[[#This Row],[Partidos_3]]=0,0,ROUNDUP(DesarrolloPartidos[[#This Row],[Orden]]/DesarrolloPartidos[[#This Row],[JugEnPart3]]*DesarrolloPartidos[[#This Row],[Partidos_3]],0))</f>
        <v>0</v>
      </c>
      <c r="H352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5</v>
      </c>
      <c r="I352" t="str">
        <f>IF(AND(DesarrolloPartidos[[#This Row],[PartidosSolo3]]&lt;=DesarrolloPartidos[[#This Row],[Partidos_3]],DesarrolloPartidos[[#This Row],[PartidosSolo3]]&lt;&gt;0),DesarrolloPartidos[[#This Row],[PartidosSolo3]],"")</f>
        <v/>
      </c>
      <c r="J352">
        <f>+IF(DesarrolloPartidos[[#This Row],[Partidos3]]="",DesarrolloPartidos[[#This Row],[Partidos4]],DesarrolloPartidos[[#This Row],[Partidos3]])</f>
        <v>5</v>
      </c>
      <c r="K352" t="str">
        <f>+DesarrolloPartidos[[#This Row],[Jugadores]]&amp;":"&amp;DesarrolloPartidos[[#This Row],[Orden]]</f>
        <v>28:18</v>
      </c>
    </row>
    <row r="353" spans="1:11">
      <c r="A353">
        <f t="shared" si="30"/>
        <v>28</v>
      </c>
      <c r="B353">
        <f t="shared" si="29"/>
        <v>7</v>
      </c>
      <c r="C353">
        <f t="shared" si="31"/>
        <v>0</v>
      </c>
      <c r="D353">
        <f t="shared" si="32"/>
        <v>7</v>
      </c>
      <c r="E353">
        <f t="shared" si="33"/>
        <v>19</v>
      </c>
      <c r="F353">
        <f>3*DesarrolloPartidos[[#This Row],[Partidos_3]]</f>
        <v>0</v>
      </c>
      <c r="G353">
        <f>IF(DesarrolloPartidos[[#This Row],[Partidos_3]]=0,0,ROUNDUP(DesarrolloPartidos[[#This Row],[Orden]]/DesarrolloPartidos[[#This Row],[JugEnPart3]]*DesarrolloPartidos[[#This Row],[Partidos_3]],0))</f>
        <v>0</v>
      </c>
      <c r="H353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5</v>
      </c>
      <c r="I353" t="str">
        <f>IF(AND(DesarrolloPartidos[[#This Row],[PartidosSolo3]]&lt;=DesarrolloPartidos[[#This Row],[Partidos_3]],DesarrolloPartidos[[#This Row],[PartidosSolo3]]&lt;&gt;0),DesarrolloPartidos[[#This Row],[PartidosSolo3]],"")</f>
        <v/>
      </c>
      <c r="J353">
        <f>+IF(DesarrolloPartidos[[#This Row],[Partidos3]]="",DesarrolloPartidos[[#This Row],[Partidos4]],DesarrolloPartidos[[#This Row],[Partidos3]])</f>
        <v>5</v>
      </c>
      <c r="K353" t="str">
        <f>+DesarrolloPartidos[[#This Row],[Jugadores]]&amp;":"&amp;DesarrolloPartidos[[#This Row],[Orden]]</f>
        <v>28:19</v>
      </c>
    </row>
    <row r="354" spans="1:11">
      <c r="A354">
        <f t="shared" si="30"/>
        <v>28</v>
      </c>
      <c r="B354">
        <f t="shared" si="29"/>
        <v>7</v>
      </c>
      <c r="C354">
        <f t="shared" si="31"/>
        <v>0</v>
      </c>
      <c r="D354">
        <f t="shared" si="32"/>
        <v>7</v>
      </c>
      <c r="E354">
        <f t="shared" si="33"/>
        <v>20</v>
      </c>
      <c r="F354">
        <f>3*DesarrolloPartidos[[#This Row],[Partidos_3]]</f>
        <v>0</v>
      </c>
      <c r="G354">
        <f>IF(DesarrolloPartidos[[#This Row],[Partidos_3]]=0,0,ROUNDUP(DesarrolloPartidos[[#This Row],[Orden]]/DesarrolloPartidos[[#This Row],[JugEnPart3]]*DesarrolloPartidos[[#This Row],[Partidos_3]],0))</f>
        <v>0</v>
      </c>
      <c r="H354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5</v>
      </c>
      <c r="I354" t="str">
        <f>IF(AND(DesarrolloPartidos[[#This Row],[PartidosSolo3]]&lt;=DesarrolloPartidos[[#This Row],[Partidos_3]],DesarrolloPartidos[[#This Row],[PartidosSolo3]]&lt;&gt;0),DesarrolloPartidos[[#This Row],[PartidosSolo3]],"")</f>
        <v/>
      </c>
      <c r="J354">
        <f>+IF(DesarrolloPartidos[[#This Row],[Partidos3]]="",DesarrolloPartidos[[#This Row],[Partidos4]],DesarrolloPartidos[[#This Row],[Partidos3]])</f>
        <v>5</v>
      </c>
      <c r="K354" t="str">
        <f>+DesarrolloPartidos[[#This Row],[Jugadores]]&amp;":"&amp;DesarrolloPartidos[[#This Row],[Orden]]</f>
        <v>28:20</v>
      </c>
    </row>
    <row r="355" spans="1:11">
      <c r="A355">
        <f t="shared" si="30"/>
        <v>28</v>
      </c>
      <c r="B355">
        <f t="shared" si="29"/>
        <v>7</v>
      </c>
      <c r="C355">
        <f t="shared" si="31"/>
        <v>0</v>
      </c>
      <c r="D355">
        <f t="shared" si="32"/>
        <v>7</v>
      </c>
      <c r="E355">
        <f t="shared" si="33"/>
        <v>21</v>
      </c>
      <c r="F355">
        <f>3*DesarrolloPartidos[[#This Row],[Partidos_3]]</f>
        <v>0</v>
      </c>
      <c r="G355">
        <f>IF(DesarrolloPartidos[[#This Row],[Partidos_3]]=0,0,ROUNDUP(DesarrolloPartidos[[#This Row],[Orden]]/DesarrolloPartidos[[#This Row],[JugEnPart3]]*DesarrolloPartidos[[#This Row],[Partidos_3]],0))</f>
        <v>0</v>
      </c>
      <c r="H355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6</v>
      </c>
      <c r="I355" t="str">
        <f>IF(AND(DesarrolloPartidos[[#This Row],[PartidosSolo3]]&lt;=DesarrolloPartidos[[#This Row],[Partidos_3]],DesarrolloPartidos[[#This Row],[PartidosSolo3]]&lt;&gt;0),DesarrolloPartidos[[#This Row],[PartidosSolo3]],"")</f>
        <v/>
      </c>
      <c r="J355">
        <f>+IF(DesarrolloPartidos[[#This Row],[Partidos3]]="",DesarrolloPartidos[[#This Row],[Partidos4]],DesarrolloPartidos[[#This Row],[Partidos3]])</f>
        <v>6</v>
      </c>
      <c r="K355" t="str">
        <f>+DesarrolloPartidos[[#This Row],[Jugadores]]&amp;":"&amp;DesarrolloPartidos[[#This Row],[Orden]]</f>
        <v>28:21</v>
      </c>
    </row>
    <row r="356" spans="1:11">
      <c r="A356">
        <f t="shared" si="30"/>
        <v>28</v>
      </c>
      <c r="B356">
        <f t="shared" si="29"/>
        <v>7</v>
      </c>
      <c r="C356">
        <f t="shared" si="31"/>
        <v>0</v>
      </c>
      <c r="D356">
        <f t="shared" si="32"/>
        <v>7</v>
      </c>
      <c r="E356">
        <f t="shared" si="33"/>
        <v>22</v>
      </c>
      <c r="F356">
        <f>3*DesarrolloPartidos[[#This Row],[Partidos_3]]</f>
        <v>0</v>
      </c>
      <c r="G356">
        <f>IF(DesarrolloPartidos[[#This Row],[Partidos_3]]=0,0,ROUNDUP(DesarrolloPartidos[[#This Row],[Orden]]/DesarrolloPartidos[[#This Row],[JugEnPart3]]*DesarrolloPartidos[[#This Row],[Partidos_3]],0))</f>
        <v>0</v>
      </c>
      <c r="H356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6</v>
      </c>
      <c r="I356" t="str">
        <f>IF(AND(DesarrolloPartidos[[#This Row],[PartidosSolo3]]&lt;=DesarrolloPartidos[[#This Row],[Partidos_3]],DesarrolloPartidos[[#This Row],[PartidosSolo3]]&lt;&gt;0),DesarrolloPartidos[[#This Row],[PartidosSolo3]],"")</f>
        <v/>
      </c>
      <c r="J356">
        <f>+IF(DesarrolloPartidos[[#This Row],[Partidos3]]="",DesarrolloPartidos[[#This Row],[Partidos4]],DesarrolloPartidos[[#This Row],[Partidos3]])</f>
        <v>6</v>
      </c>
      <c r="K356" t="str">
        <f>+DesarrolloPartidos[[#This Row],[Jugadores]]&amp;":"&amp;DesarrolloPartidos[[#This Row],[Orden]]</f>
        <v>28:22</v>
      </c>
    </row>
    <row r="357" spans="1:11">
      <c r="A357">
        <f t="shared" si="30"/>
        <v>28</v>
      </c>
      <c r="B357">
        <f t="shared" si="29"/>
        <v>7</v>
      </c>
      <c r="C357">
        <f t="shared" si="31"/>
        <v>0</v>
      </c>
      <c r="D357">
        <f t="shared" si="32"/>
        <v>7</v>
      </c>
      <c r="E357">
        <f t="shared" si="33"/>
        <v>23</v>
      </c>
      <c r="F357">
        <f>3*DesarrolloPartidos[[#This Row],[Partidos_3]]</f>
        <v>0</v>
      </c>
      <c r="G357">
        <f>IF(DesarrolloPartidos[[#This Row],[Partidos_3]]=0,0,ROUNDUP(DesarrolloPartidos[[#This Row],[Orden]]/DesarrolloPartidos[[#This Row],[JugEnPart3]]*DesarrolloPartidos[[#This Row],[Partidos_3]],0))</f>
        <v>0</v>
      </c>
      <c r="H357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6</v>
      </c>
      <c r="I357" t="str">
        <f>IF(AND(DesarrolloPartidos[[#This Row],[PartidosSolo3]]&lt;=DesarrolloPartidos[[#This Row],[Partidos_3]],DesarrolloPartidos[[#This Row],[PartidosSolo3]]&lt;&gt;0),DesarrolloPartidos[[#This Row],[PartidosSolo3]],"")</f>
        <v/>
      </c>
      <c r="J357">
        <f>+IF(DesarrolloPartidos[[#This Row],[Partidos3]]="",DesarrolloPartidos[[#This Row],[Partidos4]],DesarrolloPartidos[[#This Row],[Partidos3]])</f>
        <v>6</v>
      </c>
      <c r="K357" t="str">
        <f>+DesarrolloPartidos[[#This Row],[Jugadores]]&amp;":"&amp;DesarrolloPartidos[[#This Row],[Orden]]</f>
        <v>28:23</v>
      </c>
    </row>
    <row r="358" spans="1:11">
      <c r="A358">
        <f t="shared" si="30"/>
        <v>28</v>
      </c>
      <c r="B358">
        <f t="shared" si="29"/>
        <v>7</v>
      </c>
      <c r="C358">
        <f t="shared" si="31"/>
        <v>0</v>
      </c>
      <c r="D358">
        <f t="shared" si="32"/>
        <v>7</v>
      </c>
      <c r="E358">
        <f t="shared" si="33"/>
        <v>24</v>
      </c>
      <c r="F358">
        <f>3*DesarrolloPartidos[[#This Row],[Partidos_3]]</f>
        <v>0</v>
      </c>
      <c r="G358">
        <f>IF(DesarrolloPartidos[[#This Row],[Partidos_3]]=0,0,ROUNDUP(DesarrolloPartidos[[#This Row],[Orden]]/DesarrolloPartidos[[#This Row],[JugEnPart3]]*DesarrolloPartidos[[#This Row],[Partidos_3]],0))</f>
        <v>0</v>
      </c>
      <c r="H358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6</v>
      </c>
      <c r="I358" t="str">
        <f>IF(AND(DesarrolloPartidos[[#This Row],[PartidosSolo3]]&lt;=DesarrolloPartidos[[#This Row],[Partidos_3]],DesarrolloPartidos[[#This Row],[PartidosSolo3]]&lt;&gt;0),DesarrolloPartidos[[#This Row],[PartidosSolo3]],"")</f>
        <v/>
      </c>
      <c r="J358">
        <f>+IF(DesarrolloPartidos[[#This Row],[Partidos3]]="",DesarrolloPartidos[[#This Row],[Partidos4]],DesarrolloPartidos[[#This Row],[Partidos3]])</f>
        <v>6</v>
      </c>
      <c r="K358" t="str">
        <f>+DesarrolloPartidos[[#This Row],[Jugadores]]&amp;":"&amp;DesarrolloPartidos[[#This Row],[Orden]]</f>
        <v>28:24</v>
      </c>
    </row>
    <row r="359" spans="1:11">
      <c r="A359">
        <f t="shared" si="30"/>
        <v>28</v>
      </c>
      <c r="B359">
        <f t="shared" si="29"/>
        <v>7</v>
      </c>
      <c r="C359">
        <f t="shared" si="31"/>
        <v>0</v>
      </c>
      <c r="D359">
        <f t="shared" si="32"/>
        <v>7</v>
      </c>
      <c r="E359">
        <f t="shared" si="33"/>
        <v>25</v>
      </c>
      <c r="F359">
        <f>3*DesarrolloPartidos[[#This Row],[Partidos_3]]</f>
        <v>0</v>
      </c>
      <c r="G359">
        <f>IF(DesarrolloPartidos[[#This Row],[Partidos_3]]=0,0,ROUNDUP(DesarrolloPartidos[[#This Row],[Orden]]/DesarrolloPartidos[[#This Row],[JugEnPart3]]*DesarrolloPartidos[[#This Row],[Partidos_3]],0))</f>
        <v>0</v>
      </c>
      <c r="H359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7</v>
      </c>
      <c r="I359" t="str">
        <f>IF(AND(DesarrolloPartidos[[#This Row],[PartidosSolo3]]&lt;=DesarrolloPartidos[[#This Row],[Partidos_3]],DesarrolloPartidos[[#This Row],[PartidosSolo3]]&lt;&gt;0),DesarrolloPartidos[[#This Row],[PartidosSolo3]],"")</f>
        <v/>
      </c>
      <c r="J359">
        <f>+IF(DesarrolloPartidos[[#This Row],[Partidos3]]="",DesarrolloPartidos[[#This Row],[Partidos4]],DesarrolloPartidos[[#This Row],[Partidos3]])</f>
        <v>7</v>
      </c>
      <c r="K359" t="str">
        <f>+DesarrolloPartidos[[#This Row],[Jugadores]]&amp;":"&amp;DesarrolloPartidos[[#This Row],[Orden]]</f>
        <v>28:25</v>
      </c>
    </row>
    <row r="360" spans="1:11">
      <c r="A360">
        <f t="shared" si="30"/>
        <v>28</v>
      </c>
      <c r="B360">
        <f t="shared" si="29"/>
        <v>7</v>
      </c>
      <c r="C360">
        <f t="shared" si="31"/>
        <v>0</v>
      </c>
      <c r="D360">
        <f t="shared" si="32"/>
        <v>7</v>
      </c>
      <c r="E360">
        <f t="shared" si="33"/>
        <v>26</v>
      </c>
      <c r="F360">
        <f>3*DesarrolloPartidos[[#This Row],[Partidos_3]]</f>
        <v>0</v>
      </c>
      <c r="G360">
        <f>IF(DesarrolloPartidos[[#This Row],[Partidos_3]]=0,0,ROUNDUP(DesarrolloPartidos[[#This Row],[Orden]]/DesarrolloPartidos[[#This Row],[JugEnPart3]]*DesarrolloPartidos[[#This Row],[Partidos_3]],0))</f>
        <v>0</v>
      </c>
      <c r="H360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7</v>
      </c>
      <c r="I360" t="str">
        <f>IF(AND(DesarrolloPartidos[[#This Row],[PartidosSolo3]]&lt;=DesarrolloPartidos[[#This Row],[Partidos_3]],DesarrolloPartidos[[#This Row],[PartidosSolo3]]&lt;&gt;0),DesarrolloPartidos[[#This Row],[PartidosSolo3]],"")</f>
        <v/>
      </c>
      <c r="J360">
        <f>+IF(DesarrolloPartidos[[#This Row],[Partidos3]]="",DesarrolloPartidos[[#This Row],[Partidos4]],DesarrolloPartidos[[#This Row],[Partidos3]])</f>
        <v>7</v>
      </c>
      <c r="K360" t="str">
        <f>+DesarrolloPartidos[[#This Row],[Jugadores]]&amp;":"&amp;DesarrolloPartidos[[#This Row],[Orden]]</f>
        <v>28:26</v>
      </c>
    </row>
    <row r="361" spans="1:11">
      <c r="A361">
        <f t="shared" si="30"/>
        <v>28</v>
      </c>
      <c r="B361">
        <f t="shared" si="29"/>
        <v>7</v>
      </c>
      <c r="C361">
        <f t="shared" si="31"/>
        <v>0</v>
      </c>
      <c r="D361">
        <f t="shared" si="32"/>
        <v>7</v>
      </c>
      <c r="E361">
        <f t="shared" si="33"/>
        <v>27</v>
      </c>
      <c r="F361">
        <f>3*DesarrolloPartidos[[#This Row],[Partidos_3]]</f>
        <v>0</v>
      </c>
      <c r="G361">
        <f>IF(DesarrolloPartidos[[#This Row],[Partidos_3]]=0,0,ROUNDUP(DesarrolloPartidos[[#This Row],[Orden]]/DesarrolloPartidos[[#This Row],[JugEnPart3]]*DesarrolloPartidos[[#This Row],[Partidos_3]],0))</f>
        <v>0</v>
      </c>
      <c r="H361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7</v>
      </c>
      <c r="I361" t="str">
        <f>IF(AND(DesarrolloPartidos[[#This Row],[PartidosSolo3]]&lt;=DesarrolloPartidos[[#This Row],[Partidos_3]],DesarrolloPartidos[[#This Row],[PartidosSolo3]]&lt;&gt;0),DesarrolloPartidos[[#This Row],[PartidosSolo3]],"")</f>
        <v/>
      </c>
      <c r="J361">
        <f>+IF(DesarrolloPartidos[[#This Row],[Partidos3]]="",DesarrolloPartidos[[#This Row],[Partidos4]],DesarrolloPartidos[[#This Row],[Partidos3]])</f>
        <v>7</v>
      </c>
      <c r="K361" t="str">
        <f>+DesarrolloPartidos[[#This Row],[Jugadores]]&amp;":"&amp;DesarrolloPartidos[[#This Row],[Orden]]</f>
        <v>28:27</v>
      </c>
    </row>
    <row r="362" spans="1:11">
      <c r="A362">
        <f t="shared" si="30"/>
        <v>28</v>
      </c>
      <c r="B362">
        <f t="shared" si="29"/>
        <v>7</v>
      </c>
      <c r="C362">
        <f t="shared" si="31"/>
        <v>0</v>
      </c>
      <c r="D362">
        <f t="shared" si="32"/>
        <v>7</v>
      </c>
      <c r="E362">
        <f t="shared" si="33"/>
        <v>28</v>
      </c>
      <c r="F362">
        <f>3*DesarrolloPartidos[[#This Row],[Partidos_3]]</f>
        <v>0</v>
      </c>
      <c r="G362">
        <f>IF(DesarrolloPartidos[[#This Row],[Partidos_3]]=0,0,ROUNDUP(DesarrolloPartidos[[#This Row],[Orden]]/DesarrolloPartidos[[#This Row],[JugEnPart3]]*DesarrolloPartidos[[#This Row],[Partidos_3]],0))</f>
        <v>0</v>
      </c>
      <c r="H362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7</v>
      </c>
      <c r="I362" t="str">
        <f>IF(AND(DesarrolloPartidos[[#This Row],[PartidosSolo3]]&lt;=DesarrolloPartidos[[#This Row],[Partidos_3]],DesarrolloPartidos[[#This Row],[PartidosSolo3]]&lt;&gt;0),DesarrolloPartidos[[#This Row],[PartidosSolo3]],"")</f>
        <v/>
      </c>
      <c r="J362">
        <f>+IF(DesarrolloPartidos[[#This Row],[Partidos3]]="",DesarrolloPartidos[[#This Row],[Partidos4]],DesarrolloPartidos[[#This Row],[Partidos3]])</f>
        <v>7</v>
      </c>
      <c r="K362" t="str">
        <f>+DesarrolloPartidos[[#This Row],[Jugadores]]&amp;":"&amp;DesarrolloPartidos[[#This Row],[Orden]]</f>
        <v>28:28</v>
      </c>
    </row>
    <row r="363" spans="1:11">
      <c r="A363">
        <f t="shared" si="30"/>
        <v>29</v>
      </c>
      <c r="B363">
        <f t="shared" si="29"/>
        <v>8</v>
      </c>
      <c r="C363">
        <f t="shared" si="31"/>
        <v>3</v>
      </c>
      <c r="D363">
        <f t="shared" si="32"/>
        <v>5</v>
      </c>
      <c r="E363">
        <f t="shared" si="33"/>
        <v>1</v>
      </c>
      <c r="F363">
        <f>3*DesarrolloPartidos[[#This Row],[Partidos_3]]</f>
        <v>9</v>
      </c>
      <c r="G363">
        <f>IF(DesarrolloPartidos[[#This Row],[Partidos_3]]=0,0,ROUNDUP(DesarrolloPartidos[[#This Row],[Orden]]/DesarrolloPartidos[[#This Row],[JugEnPart3]]*DesarrolloPartidos[[#This Row],[Partidos_3]],0))</f>
        <v>1</v>
      </c>
      <c r="H363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363">
        <f>IF(AND(DesarrolloPartidos[[#This Row],[PartidosSolo3]]&lt;=DesarrolloPartidos[[#This Row],[Partidos_3]],DesarrolloPartidos[[#This Row],[PartidosSolo3]]&lt;&gt;0),DesarrolloPartidos[[#This Row],[PartidosSolo3]],"")</f>
        <v>1</v>
      </c>
      <c r="J363">
        <f>+IF(DesarrolloPartidos[[#This Row],[Partidos3]]="",DesarrolloPartidos[[#This Row],[Partidos4]],DesarrolloPartidos[[#This Row],[Partidos3]])</f>
        <v>1</v>
      </c>
      <c r="K363" t="str">
        <f>+DesarrolloPartidos[[#This Row],[Jugadores]]&amp;":"&amp;DesarrolloPartidos[[#This Row],[Orden]]</f>
        <v>29:1</v>
      </c>
    </row>
    <row r="364" spans="1:11">
      <c r="A364">
        <f t="shared" si="30"/>
        <v>29</v>
      </c>
      <c r="B364">
        <f t="shared" si="29"/>
        <v>8</v>
      </c>
      <c r="C364">
        <f t="shared" si="31"/>
        <v>3</v>
      </c>
      <c r="D364">
        <f t="shared" si="32"/>
        <v>5</v>
      </c>
      <c r="E364">
        <f t="shared" si="33"/>
        <v>2</v>
      </c>
      <c r="F364">
        <f>3*DesarrolloPartidos[[#This Row],[Partidos_3]]</f>
        <v>9</v>
      </c>
      <c r="G364">
        <f>IF(DesarrolloPartidos[[#This Row],[Partidos_3]]=0,0,ROUNDUP(DesarrolloPartidos[[#This Row],[Orden]]/DesarrolloPartidos[[#This Row],[JugEnPart3]]*DesarrolloPartidos[[#This Row],[Partidos_3]],0))</f>
        <v>1</v>
      </c>
      <c r="H364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364">
        <f>IF(AND(DesarrolloPartidos[[#This Row],[PartidosSolo3]]&lt;=DesarrolloPartidos[[#This Row],[Partidos_3]],DesarrolloPartidos[[#This Row],[PartidosSolo3]]&lt;&gt;0),DesarrolloPartidos[[#This Row],[PartidosSolo3]],"")</f>
        <v>1</v>
      </c>
      <c r="J364">
        <f>+IF(DesarrolloPartidos[[#This Row],[Partidos3]]="",DesarrolloPartidos[[#This Row],[Partidos4]],DesarrolloPartidos[[#This Row],[Partidos3]])</f>
        <v>1</v>
      </c>
      <c r="K364" t="str">
        <f>+DesarrolloPartidos[[#This Row],[Jugadores]]&amp;":"&amp;DesarrolloPartidos[[#This Row],[Orden]]</f>
        <v>29:2</v>
      </c>
    </row>
    <row r="365" spans="1:11">
      <c r="A365">
        <f t="shared" si="30"/>
        <v>29</v>
      </c>
      <c r="B365">
        <f t="shared" si="29"/>
        <v>8</v>
      </c>
      <c r="C365">
        <f t="shared" si="31"/>
        <v>3</v>
      </c>
      <c r="D365">
        <f t="shared" si="32"/>
        <v>5</v>
      </c>
      <c r="E365">
        <f t="shared" si="33"/>
        <v>3</v>
      </c>
      <c r="F365">
        <f>3*DesarrolloPartidos[[#This Row],[Partidos_3]]</f>
        <v>9</v>
      </c>
      <c r="G365">
        <f>IF(DesarrolloPartidos[[#This Row],[Partidos_3]]=0,0,ROUNDUP(DesarrolloPartidos[[#This Row],[Orden]]/DesarrolloPartidos[[#This Row],[JugEnPart3]]*DesarrolloPartidos[[#This Row],[Partidos_3]],0))</f>
        <v>1</v>
      </c>
      <c r="H365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365">
        <f>IF(AND(DesarrolloPartidos[[#This Row],[PartidosSolo3]]&lt;=DesarrolloPartidos[[#This Row],[Partidos_3]],DesarrolloPartidos[[#This Row],[PartidosSolo3]]&lt;&gt;0),DesarrolloPartidos[[#This Row],[PartidosSolo3]],"")</f>
        <v>1</v>
      </c>
      <c r="J365">
        <f>+IF(DesarrolloPartidos[[#This Row],[Partidos3]]="",DesarrolloPartidos[[#This Row],[Partidos4]],DesarrolloPartidos[[#This Row],[Partidos3]])</f>
        <v>1</v>
      </c>
      <c r="K365" t="str">
        <f>+DesarrolloPartidos[[#This Row],[Jugadores]]&amp;":"&amp;DesarrolloPartidos[[#This Row],[Orden]]</f>
        <v>29:3</v>
      </c>
    </row>
    <row r="366" spans="1:11">
      <c r="A366">
        <f t="shared" si="30"/>
        <v>29</v>
      </c>
      <c r="B366">
        <f t="shared" si="29"/>
        <v>8</v>
      </c>
      <c r="C366">
        <f t="shared" si="31"/>
        <v>3</v>
      </c>
      <c r="D366">
        <f t="shared" si="32"/>
        <v>5</v>
      </c>
      <c r="E366">
        <f t="shared" si="33"/>
        <v>4</v>
      </c>
      <c r="F366">
        <f>3*DesarrolloPartidos[[#This Row],[Partidos_3]]</f>
        <v>9</v>
      </c>
      <c r="G366">
        <f>IF(DesarrolloPartidos[[#This Row],[Partidos_3]]=0,0,ROUNDUP(DesarrolloPartidos[[#This Row],[Orden]]/DesarrolloPartidos[[#This Row],[JugEnPart3]]*DesarrolloPartidos[[#This Row],[Partidos_3]],0))</f>
        <v>2</v>
      </c>
      <c r="H366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366">
        <f>IF(AND(DesarrolloPartidos[[#This Row],[PartidosSolo3]]&lt;=DesarrolloPartidos[[#This Row],[Partidos_3]],DesarrolloPartidos[[#This Row],[PartidosSolo3]]&lt;&gt;0),DesarrolloPartidos[[#This Row],[PartidosSolo3]],"")</f>
        <v>2</v>
      </c>
      <c r="J366">
        <f>+IF(DesarrolloPartidos[[#This Row],[Partidos3]]="",DesarrolloPartidos[[#This Row],[Partidos4]],DesarrolloPartidos[[#This Row],[Partidos3]])</f>
        <v>2</v>
      </c>
      <c r="K366" t="str">
        <f>+DesarrolloPartidos[[#This Row],[Jugadores]]&amp;":"&amp;DesarrolloPartidos[[#This Row],[Orden]]</f>
        <v>29:4</v>
      </c>
    </row>
    <row r="367" spans="1:11">
      <c r="A367">
        <f t="shared" si="30"/>
        <v>29</v>
      </c>
      <c r="B367">
        <f t="shared" si="29"/>
        <v>8</v>
      </c>
      <c r="C367">
        <f t="shared" si="31"/>
        <v>3</v>
      </c>
      <c r="D367">
        <f t="shared" si="32"/>
        <v>5</v>
      </c>
      <c r="E367">
        <f t="shared" si="33"/>
        <v>5</v>
      </c>
      <c r="F367">
        <f>3*DesarrolloPartidos[[#This Row],[Partidos_3]]</f>
        <v>9</v>
      </c>
      <c r="G367">
        <f>IF(DesarrolloPartidos[[#This Row],[Partidos_3]]=0,0,ROUNDUP(DesarrolloPartidos[[#This Row],[Orden]]/DesarrolloPartidos[[#This Row],[JugEnPart3]]*DesarrolloPartidos[[#This Row],[Partidos_3]],0))</f>
        <v>2</v>
      </c>
      <c r="H367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367">
        <f>IF(AND(DesarrolloPartidos[[#This Row],[PartidosSolo3]]&lt;=DesarrolloPartidos[[#This Row],[Partidos_3]],DesarrolloPartidos[[#This Row],[PartidosSolo3]]&lt;&gt;0),DesarrolloPartidos[[#This Row],[PartidosSolo3]],"")</f>
        <v>2</v>
      </c>
      <c r="J367">
        <f>+IF(DesarrolloPartidos[[#This Row],[Partidos3]]="",DesarrolloPartidos[[#This Row],[Partidos4]],DesarrolloPartidos[[#This Row],[Partidos3]])</f>
        <v>2</v>
      </c>
      <c r="K367" t="str">
        <f>+DesarrolloPartidos[[#This Row],[Jugadores]]&amp;":"&amp;DesarrolloPartidos[[#This Row],[Orden]]</f>
        <v>29:5</v>
      </c>
    </row>
    <row r="368" spans="1:11">
      <c r="A368">
        <f t="shared" si="30"/>
        <v>29</v>
      </c>
      <c r="B368">
        <f t="shared" si="29"/>
        <v>8</v>
      </c>
      <c r="C368">
        <f t="shared" si="31"/>
        <v>3</v>
      </c>
      <c r="D368">
        <f t="shared" si="32"/>
        <v>5</v>
      </c>
      <c r="E368">
        <f t="shared" si="33"/>
        <v>6</v>
      </c>
      <c r="F368">
        <f>3*DesarrolloPartidos[[#This Row],[Partidos_3]]</f>
        <v>9</v>
      </c>
      <c r="G368">
        <f>IF(DesarrolloPartidos[[#This Row],[Partidos_3]]=0,0,ROUNDUP(DesarrolloPartidos[[#This Row],[Orden]]/DesarrolloPartidos[[#This Row],[JugEnPart3]]*DesarrolloPartidos[[#This Row],[Partidos_3]],0))</f>
        <v>2</v>
      </c>
      <c r="H368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368">
        <f>IF(AND(DesarrolloPartidos[[#This Row],[PartidosSolo3]]&lt;=DesarrolloPartidos[[#This Row],[Partidos_3]],DesarrolloPartidos[[#This Row],[PartidosSolo3]]&lt;&gt;0),DesarrolloPartidos[[#This Row],[PartidosSolo3]],"")</f>
        <v>2</v>
      </c>
      <c r="J368">
        <f>+IF(DesarrolloPartidos[[#This Row],[Partidos3]]="",DesarrolloPartidos[[#This Row],[Partidos4]],DesarrolloPartidos[[#This Row],[Partidos3]])</f>
        <v>2</v>
      </c>
      <c r="K368" t="str">
        <f>+DesarrolloPartidos[[#This Row],[Jugadores]]&amp;":"&amp;DesarrolloPartidos[[#This Row],[Orden]]</f>
        <v>29:6</v>
      </c>
    </row>
    <row r="369" spans="1:11">
      <c r="A369">
        <f t="shared" si="30"/>
        <v>29</v>
      </c>
      <c r="B369">
        <f t="shared" si="29"/>
        <v>8</v>
      </c>
      <c r="C369">
        <f t="shared" si="31"/>
        <v>3</v>
      </c>
      <c r="D369">
        <f t="shared" si="32"/>
        <v>5</v>
      </c>
      <c r="E369">
        <f t="shared" si="33"/>
        <v>7</v>
      </c>
      <c r="F369">
        <f>3*DesarrolloPartidos[[#This Row],[Partidos_3]]</f>
        <v>9</v>
      </c>
      <c r="G369">
        <f>IF(DesarrolloPartidos[[#This Row],[Partidos_3]]=0,0,ROUNDUP(DesarrolloPartidos[[#This Row],[Orden]]/DesarrolloPartidos[[#This Row],[JugEnPart3]]*DesarrolloPartidos[[#This Row],[Partidos_3]],0))</f>
        <v>3</v>
      </c>
      <c r="H369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369">
        <f>IF(AND(DesarrolloPartidos[[#This Row],[PartidosSolo3]]&lt;=DesarrolloPartidos[[#This Row],[Partidos_3]],DesarrolloPartidos[[#This Row],[PartidosSolo3]]&lt;&gt;0),DesarrolloPartidos[[#This Row],[PartidosSolo3]],"")</f>
        <v>3</v>
      </c>
      <c r="J369">
        <f>+IF(DesarrolloPartidos[[#This Row],[Partidos3]]="",DesarrolloPartidos[[#This Row],[Partidos4]],DesarrolloPartidos[[#This Row],[Partidos3]])</f>
        <v>3</v>
      </c>
      <c r="K369" t="str">
        <f>+DesarrolloPartidos[[#This Row],[Jugadores]]&amp;":"&amp;DesarrolloPartidos[[#This Row],[Orden]]</f>
        <v>29:7</v>
      </c>
    </row>
    <row r="370" spans="1:11">
      <c r="A370">
        <f t="shared" si="30"/>
        <v>29</v>
      </c>
      <c r="B370">
        <f t="shared" si="29"/>
        <v>8</v>
      </c>
      <c r="C370">
        <f t="shared" si="31"/>
        <v>3</v>
      </c>
      <c r="D370">
        <f t="shared" si="32"/>
        <v>5</v>
      </c>
      <c r="E370">
        <f t="shared" si="33"/>
        <v>8</v>
      </c>
      <c r="F370">
        <f>3*DesarrolloPartidos[[#This Row],[Partidos_3]]</f>
        <v>9</v>
      </c>
      <c r="G370">
        <f>IF(DesarrolloPartidos[[#This Row],[Partidos_3]]=0,0,ROUNDUP(DesarrolloPartidos[[#This Row],[Orden]]/DesarrolloPartidos[[#This Row],[JugEnPart3]]*DesarrolloPartidos[[#This Row],[Partidos_3]],0))</f>
        <v>3</v>
      </c>
      <c r="H370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370">
        <f>IF(AND(DesarrolloPartidos[[#This Row],[PartidosSolo3]]&lt;=DesarrolloPartidos[[#This Row],[Partidos_3]],DesarrolloPartidos[[#This Row],[PartidosSolo3]]&lt;&gt;0),DesarrolloPartidos[[#This Row],[PartidosSolo3]],"")</f>
        <v>3</v>
      </c>
      <c r="J370">
        <f>+IF(DesarrolloPartidos[[#This Row],[Partidos3]]="",DesarrolloPartidos[[#This Row],[Partidos4]],DesarrolloPartidos[[#This Row],[Partidos3]])</f>
        <v>3</v>
      </c>
      <c r="K370" t="str">
        <f>+DesarrolloPartidos[[#This Row],[Jugadores]]&amp;":"&amp;DesarrolloPartidos[[#This Row],[Orden]]</f>
        <v>29:8</v>
      </c>
    </row>
    <row r="371" spans="1:11">
      <c r="A371">
        <f t="shared" si="30"/>
        <v>29</v>
      </c>
      <c r="B371">
        <f t="shared" si="29"/>
        <v>8</v>
      </c>
      <c r="C371">
        <f t="shared" si="31"/>
        <v>3</v>
      </c>
      <c r="D371">
        <f t="shared" si="32"/>
        <v>5</v>
      </c>
      <c r="E371">
        <f t="shared" si="33"/>
        <v>9</v>
      </c>
      <c r="F371">
        <f>3*DesarrolloPartidos[[#This Row],[Partidos_3]]</f>
        <v>9</v>
      </c>
      <c r="G371">
        <f>IF(DesarrolloPartidos[[#This Row],[Partidos_3]]=0,0,ROUNDUP(DesarrolloPartidos[[#This Row],[Orden]]/DesarrolloPartidos[[#This Row],[JugEnPart3]]*DesarrolloPartidos[[#This Row],[Partidos_3]],0))</f>
        <v>3</v>
      </c>
      <c r="H371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371">
        <f>IF(AND(DesarrolloPartidos[[#This Row],[PartidosSolo3]]&lt;=DesarrolloPartidos[[#This Row],[Partidos_3]],DesarrolloPartidos[[#This Row],[PartidosSolo3]]&lt;&gt;0),DesarrolloPartidos[[#This Row],[PartidosSolo3]],"")</f>
        <v>3</v>
      </c>
      <c r="J371">
        <f>+IF(DesarrolloPartidos[[#This Row],[Partidos3]]="",DesarrolloPartidos[[#This Row],[Partidos4]],DesarrolloPartidos[[#This Row],[Partidos3]])</f>
        <v>3</v>
      </c>
      <c r="K371" t="str">
        <f>+DesarrolloPartidos[[#This Row],[Jugadores]]&amp;":"&amp;DesarrolloPartidos[[#This Row],[Orden]]</f>
        <v>29:9</v>
      </c>
    </row>
    <row r="372" spans="1:11">
      <c r="A372">
        <f t="shared" si="30"/>
        <v>29</v>
      </c>
      <c r="B372">
        <f t="shared" si="29"/>
        <v>8</v>
      </c>
      <c r="C372">
        <f t="shared" si="31"/>
        <v>3</v>
      </c>
      <c r="D372">
        <f t="shared" si="32"/>
        <v>5</v>
      </c>
      <c r="E372">
        <f t="shared" si="33"/>
        <v>10</v>
      </c>
      <c r="F372">
        <f>3*DesarrolloPartidos[[#This Row],[Partidos_3]]</f>
        <v>9</v>
      </c>
      <c r="G372">
        <f>IF(DesarrolloPartidos[[#This Row],[Partidos_3]]=0,0,ROUNDUP(DesarrolloPartidos[[#This Row],[Orden]]/DesarrolloPartidos[[#This Row],[JugEnPart3]]*DesarrolloPartidos[[#This Row],[Partidos_3]],0))</f>
        <v>4</v>
      </c>
      <c r="H372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372" t="str">
        <f>IF(AND(DesarrolloPartidos[[#This Row],[PartidosSolo3]]&lt;=DesarrolloPartidos[[#This Row],[Partidos_3]],DesarrolloPartidos[[#This Row],[PartidosSolo3]]&lt;&gt;0),DesarrolloPartidos[[#This Row],[PartidosSolo3]],"")</f>
        <v/>
      </c>
      <c r="J372">
        <f>+IF(DesarrolloPartidos[[#This Row],[Partidos3]]="",DesarrolloPartidos[[#This Row],[Partidos4]],DesarrolloPartidos[[#This Row],[Partidos3]])</f>
        <v>4</v>
      </c>
      <c r="K372" t="str">
        <f>+DesarrolloPartidos[[#This Row],[Jugadores]]&amp;":"&amp;DesarrolloPartidos[[#This Row],[Orden]]</f>
        <v>29:10</v>
      </c>
    </row>
    <row r="373" spans="1:11">
      <c r="A373">
        <f t="shared" si="30"/>
        <v>29</v>
      </c>
      <c r="B373">
        <f t="shared" si="29"/>
        <v>8</v>
      </c>
      <c r="C373">
        <f t="shared" si="31"/>
        <v>3</v>
      </c>
      <c r="D373">
        <f t="shared" si="32"/>
        <v>5</v>
      </c>
      <c r="E373">
        <f t="shared" si="33"/>
        <v>11</v>
      </c>
      <c r="F373">
        <f>3*DesarrolloPartidos[[#This Row],[Partidos_3]]</f>
        <v>9</v>
      </c>
      <c r="G373">
        <f>IF(DesarrolloPartidos[[#This Row],[Partidos_3]]=0,0,ROUNDUP(DesarrolloPartidos[[#This Row],[Orden]]/DesarrolloPartidos[[#This Row],[JugEnPart3]]*DesarrolloPartidos[[#This Row],[Partidos_3]],0))</f>
        <v>4</v>
      </c>
      <c r="H373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373" t="str">
        <f>IF(AND(DesarrolloPartidos[[#This Row],[PartidosSolo3]]&lt;=DesarrolloPartidos[[#This Row],[Partidos_3]],DesarrolloPartidos[[#This Row],[PartidosSolo3]]&lt;&gt;0),DesarrolloPartidos[[#This Row],[PartidosSolo3]],"")</f>
        <v/>
      </c>
      <c r="J373">
        <f>+IF(DesarrolloPartidos[[#This Row],[Partidos3]]="",DesarrolloPartidos[[#This Row],[Partidos4]],DesarrolloPartidos[[#This Row],[Partidos3]])</f>
        <v>4</v>
      </c>
      <c r="K373" t="str">
        <f>+DesarrolloPartidos[[#This Row],[Jugadores]]&amp;":"&amp;DesarrolloPartidos[[#This Row],[Orden]]</f>
        <v>29:11</v>
      </c>
    </row>
    <row r="374" spans="1:11">
      <c r="A374">
        <f t="shared" si="30"/>
        <v>29</v>
      </c>
      <c r="B374">
        <f t="shared" si="29"/>
        <v>8</v>
      </c>
      <c r="C374">
        <f t="shared" si="31"/>
        <v>3</v>
      </c>
      <c r="D374">
        <f t="shared" si="32"/>
        <v>5</v>
      </c>
      <c r="E374">
        <f t="shared" si="33"/>
        <v>12</v>
      </c>
      <c r="F374">
        <f>3*DesarrolloPartidos[[#This Row],[Partidos_3]]</f>
        <v>9</v>
      </c>
      <c r="G374">
        <f>IF(DesarrolloPartidos[[#This Row],[Partidos_3]]=0,0,ROUNDUP(DesarrolloPartidos[[#This Row],[Orden]]/DesarrolloPartidos[[#This Row],[JugEnPart3]]*DesarrolloPartidos[[#This Row],[Partidos_3]],0))</f>
        <v>4</v>
      </c>
      <c r="H374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374" t="str">
        <f>IF(AND(DesarrolloPartidos[[#This Row],[PartidosSolo3]]&lt;=DesarrolloPartidos[[#This Row],[Partidos_3]],DesarrolloPartidos[[#This Row],[PartidosSolo3]]&lt;&gt;0),DesarrolloPartidos[[#This Row],[PartidosSolo3]],"")</f>
        <v/>
      </c>
      <c r="J374">
        <f>+IF(DesarrolloPartidos[[#This Row],[Partidos3]]="",DesarrolloPartidos[[#This Row],[Partidos4]],DesarrolloPartidos[[#This Row],[Partidos3]])</f>
        <v>4</v>
      </c>
      <c r="K374" t="str">
        <f>+DesarrolloPartidos[[#This Row],[Jugadores]]&amp;":"&amp;DesarrolloPartidos[[#This Row],[Orden]]</f>
        <v>29:12</v>
      </c>
    </row>
    <row r="375" spans="1:11">
      <c r="A375">
        <f t="shared" si="30"/>
        <v>29</v>
      </c>
      <c r="B375">
        <f t="shared" si="29"/>
        <v>8</v>
      </c>
      <c r="C375">
        <f t="shared" si="31"/>
        <v>3</v>
      </c>
      <c r="D375">
        <f t="shared" si="32"/>
        <v>5</v>
      </c>
      <c r="E375">
        <f t="shared" si="33"/>
        <v>13</v>
      </c>
      <c r="F375">
        <f>3*DesarrolloPartidos[[#This Row],[Partidos_3]]</f>
        <v>9</v>
      </c>
      <c r="G375">
        <f>IF(DesarrolloPartidos[[#This Row],[Partidos_3]]=0,0,ROUNDUP(DesarrolloPartidos[[#This Row],[Orden]]/DesarrolloPartidos[[#This Row],[JugEnPart3]]*DesarrolloPartidos[[#This Row],[Partidos_3]],0))</f>
        <v>5</v>
      </c>
      <c r="H375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375" t="str">
        <f>IF(AND(DesarrolloPartidos[[#This Row],[PartidosSolo3]]&lt;=DesarrolloPartidos[[#This Row],[Partidos_3]],DesarrolloPartidos[[#This Row],[PartidosSolo3]]&lt;&gt;0),DesarrolloPartidos[[#This Row],[PartidosSolo3]],"")</f>
        <v/>
      </c>
      <c r="J375">
        <f>+IF(DesarrolloPartidos[[#This Row],[Partidos3]]="",DesarrolloPartidos[[#This Row],[Partidos4]],DesarrolloPartidos[[#This Row],[Partidos3]])</f>
        <v>4</v>
      </c>
      <c r="K375" t="str">
        <f>+DesarrolloPartidos[[#This Row],[Jugadores]]&amp;":"&amp;DesarrolloPartidos[[#This Row],[Orden]]</f>
        <v>29:13</v>
      </c>
    </row>
    <row r="376" spans="1:11">
      <c r="A376">
        <f t="shared" si="30"/>
        <v>29</v>
      </c>
      <c r="B376">
        <f t="shared" si="29"/>
        <v>8</v>
      </c>
      <c r="C376">
        <f t="shared" si="31"/>
        <v>3</v>
      </c>
      <c r="D376">
        <f t="shared" si="32"/>
        <v>5</v>
      </c>
      <c r="E376">
        <f t="shared" si="33"/>
        <v>14</v>
      </c>
      <c r="F376">
        <f>3*DesarrolloPartidos[[#This Row],[Partidos_3]]</f>
        <v>9</v>
      </c>
      <c r="G376">
        <f>IF(DesarrolloPartidos[[#This Row],[Partidos_3]]=0,0,ROUNDUP(DesarrolloPartidos[[#This Row],[Orden]]/DesarrolloPartidos[[#This Row],[JugEnPart3]]*DesarrolloPartidos[[#This Row],[Partidos_3]],0))</f>
        <v>5</v>
      </c>
      <c r="H376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5</v>
      </c>
      <c r="I376" t="str">
        <f>IF(AND(DesarrolloPartidos[[#This Row],[PartidosSolo3]]&lt;=DesarrolloPartidos[[#This Row],[Partidos_3]],DesarrolloPartidos[[#This Row],[PartidosSolo3]]&lt;&gt;0),DesarrolloPartidos[[#This Row],[PartidosSolo3]],"")</f>
        <v/>
      </c>
      <c r="J376">
        <f>+IF(DesarrolloPartidos[[#This Row],[Partidos3]]="",DesarrolloPartidos[[#This Row],[Partidos4]],DesarrolloPartidos[[#This Row],[Partidos3]])</f>
        <v>5</v>
      </c>
      <c r="K376" t="str">
        <f>+DesarrolloPartidos[[#This Row],[Jugadores]]&amp;":"&amp;DesarrolloPartidos[[#This Row],[Orden]]</f>
        <v>29:14</v>
      </c>
    </row>
    <row r="377" spans="1:11">
      <c r="A377">
        <f t="shared" si="30"/>
        <v>29</v>
      </c>
      <c r="B377">
        <f t="shared" si="29"/>
        <v>8</v>
      </c>
      <c r="C377">
        <f t="shared" si="31"/>
        <v>3</v>
      </c>
      <c r="D377">
        <f t="shared" si="32"/>
        <v>5</v>
      </c>
      <c r="E377">
        <f t="shared" si="33"/>
        <v>15</v>
      </c>
      <c r="F377">
        <f>3*DesarrolloPartidos[[#This Row],[Partidos_3]]</f>
        <v>9</v>
      </c>
      <c r="G377">
        <f>IF(DesarrolloPartidos[[#This Row],[Partidos_3]]=0,0,ROUNDUP(DesarrolloPartidos[[#This Row],[Orden]]/DesarrolloPartidos[[#This Row],[JugEnPart3]]*DesarrolloPartidos[[#This Row],[Partidos_3]],0))</f>
        <v>5</v>
      </c>
      <c r="H377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5</v>
      </c>
      <c r="I377" t="str">
        <f>IF(AND(DesarrolloPartidos[[#This Row],[PartidosSolo3]]&lt;=DesarrolloPartidos[[#This Row],[Partidos_3]],DesarrolloPartidos[[#This Row],[PartidosSolo3]]&lt;&gt;0),DesarrolloPartidos[[#This Row],[PartidosSolo3]],"")</f>
        <v/>
      </c>
      <c r="J377">
        <f>+IF(DesarrolloPartidos[[#This Row],[Partidos3]]="",DesarrolloPartidos[[#This Row],[Partidos4]],DesarrolloPartidos[[#This Row],[Partidos3]])</f>
        <v>5</v>
      </c>
      <c r="K377" t="str">
        <f>+DesarrolloPartidos[[#This Row],[Jugadores]]&amp;":"&amp;DesarrolloPartidos[[#This Row],[Orden]]</f>
        <v>29:15</v>
      </c>
    </row>
    <row r="378" spans="1:11">
      <c r="A378">
        <f t="shared" si="30"/>
        <v>29</v>
      </c>
      <c r="B378">
        <f t="shared" si="29"/>
        <v>8</v>
      </c>
      <c r="C378">
        <f t="shared" si="31"/>
        <v>3</v>
      </c>
      <c r="D378">
        <f t="shared" si="32"/>
        <v>5</v>
      </c>
      <c r="E378">
        <f t="shared" si="33"/>
        <v>16</v>
      </c>
      <c r="F378">
        <f>3*DesarrolloPartidos[[#This Row],[Partidos_3]]</f>
        <v>9</v>
      </c>
      <c r="G378">
        <f>IF(DesarrolloPartidos[[#This Row],[Partidos_3]]=0,0,ROUNDUP(DesarrolloPartidos[[#This Row],[Orden]]/DesarrolloPartidos[[#This Row],[JugEnPart3]]*DesarrolloPartidos[[#This Row],[Partidos_3]],0))</f>
        <v>6</v>
      </c>
      <c r="H378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5</v>
      </c>
      <c r="I378" t="str">
        <f>IF(AND(DesarrolloPartidos[[#This Row],[PartidosSolo3]]&lt;=DesarrolloPartidos[[#This Row],[Partidos_3]],DesarrolloPartidos[[#This Row],[PartidosSolo3]]&lt;&gt;0),DesarrolloPartidos[[#This Row],[PartidosSolo3]],"")</f>
        <v/>
      </c>
      <c r="J378">
        <f>+IF(DesarrolloPartidos[[#This Row],[Partidos3]]="",DesarrolloPartidos[[#This Row],[Partidos4]],DesarrolloPartidos[[#This Row],[Partidos3]])</f>
        <v>5</v>
      </c>
      <c r="K378" t="str">
        <f>+DesarrolloPartidos[[#This Row],[Jugadores]]&amp;":"&amp;DesarrolloPartidos[[#This Row],[Orden]]</f>
        <v>29:16</v>
      </c>
    </row>
    <row r="379" spans="1:11">
      <c r="A379">
        <f t="shared" si="30"/>
        <v>29</v>
      </c>
      <c r="B379">
        <f t="shared" si="29"/>
        <v>8</v>
      </c>
      <c r="C379">
        <f t="shared" si="31"/>
        <v>3</v>
      </c>
      <c r="D379">
        <f t="shared" si="32"/>
        <v>5</v>
      </c>
      <c r="E379">
        <f t="shared" si="33"/>
        <v>17</v>
      </c>
      <c r="F379">
        <f>3*DesarrolloPartidos[[#This Row],[Partidos_3]]</f>
        <v>9</v>
      </c>
      <c r="G379">
        <f>IF(DesarrolloPartidos[[#This Row],[Partidos_3]]=0,0,ROUNDUP(DesarrolloPartidos[[#This Row],[Orden]]/DesarrolloPartidos[[#This Row],[JugEnPart3]]*DesarrolloPartidos[[#This Row],[Partidos_3]],0))</f>
        <v>6</v>
      </c>
      <c r="H379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5</v>
      </c>
      <c r="I379" t="str">
        <f>IF(AND(DesarrolloPartidos[[#This Row],[PartidosSolo3]]&lt;=DesarrolloPartidos[[#This Row],[Partidos_3]],DesarrolloPartidos[[#This Row],[PartidosSolo3]]&lt;&gt;0),DesarrolloPartidos[[#This Row],[PartidosSolo3]],"")</f>
        <v/>
      </c>
      <c r="J379">
        <f>+IF(DesarrolloPartidos[[#This Row],[Partidos3]]="",DesarrolloPartidos[[#This Row],[Partidos4]],DesarrolloPartidos[[#This Row],[Partidos3]])</f>
        <v>5</v>
      </c>
      <c r="K379" t="str">
        <f>+DesarrolloPartidos[[#This Row],[Jugadores]]&amp;":"&amp;DesarrolloPartidos[[#This Row],[Orden]]</f>
        <v>29:17</v>
      </c>
    </row>
    <row r="380" spans="1:11">
      <c r="A380">
        <f t="shared" si="30"/>
        <v>29</v>
      </c>
      <c r="B380">
        <f t="shared" si="29"/>
        <v>8</v>
      </c>
      <c r="C380">
        <f t="shared" si="31"/>
        <v>3</v>
      </c>
      <c r="D380">
        <f t="shared" si="32"/>
        <v>5</v>
      </c>
      <c r="E380">
        <f t="shared" si="33"/>
        <v>18</v>
      </c>
      <c r="F380">
        <f>3*DesarrolloPartidos[[#This Row],[Partidos_3]]</f>
        <v>9</v>
      </c>
      <c r="G380">
        <f>IF(DesarrolloPartidos[[#This Row],[Partidos_3]]=0,0,ROUNDUP(DesarrolloPartidos[[#This Row],[Orden]]/DesarrolloPartidos[[#This Row],[JugEnPart3]]*DesarrolloPartidos[[#This Row],[Partidos_3]],0))</f>
        <v>6</v>
      </c>
      <c r="H380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6</v>
      </c>
      <c r="I380" t="str">
        <f>IF(AND(DesarrolloPartidos[[#This Row],[PartidosSolo3]]&lt;=DesarrolloPartidos[[#This Row],[Partidos_3]],DesarrolloPartidos[[#This Row],[PartidosSolo3]]&lt;&gt;0),DesarrolloPartidos[[#This Row],[PartidosSolo3]],"")</f>
        <v/>
      </c>
      <c r="J380">
        <f>+IF(DesarrolloPartidos[[#This Row],[Partidos3]]="",DesarrolloPartidos[[#This Row],[Partidos4]],DesarrolloPartidos[[#This Row],[Partidos3]])</f>
        <v>6</v>
      </c>
      <c r="K380" t="str">
        <f>+DesarrolloPartidos[[#This Row],[Jugadores]]&amp;":"&amp;DesarrolloPartidos[[#This Row],[Orden]]</f>
        <v>29:18</v>
      </c>
    </row>
    <row r="381" spans="1:11">
      <c r="A381">
        <f t="shared" si="30"/>
        <v>29</v>
      </c>
      <c r="B381">
        <f t="shared" si="29"/>
        <v>8</v>
      </c>
      <c r="C381">
        <f t="shared" si="31"/>
        <v>3</v>
      </c>
      <c r="D381">
        <f t="shared" si="32"/>
        <v>5</v>
      </c>
      <c r="E381">
        <f t="shared" si="33"/>
        <v>19</v>
      </c>
      <c r="F381">
        <f>3*DesarrolloPartidos[[#This Row],[Partidos_3]]</f>
        <v>9</v>
      </c>
      <c r="G381">
        <f>IF(DesarrolloPartidos[[#This Row],[Partidos_3]]=0,0,ROUNDUP(DesarrolloPartidos[[#This Row],[Orden]]/DesarrolloPartidos[[#This Row],[JugEnPart3]]*DesarrolloPartidos[[#This Row],[Partidos_3]],0))</f>
        <v>7</v>
      </c>
      <c r="H381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6</v>
      </c>
      <c r="I381" t="str">
        <f>IF(AND(DesarrolloPartidos[[#This Row],[PartidosSolo3]]&lt;=DesarrolloPartidos[[#This Row],[Partidos_3]],DesarrolloPartidos[[#This Row],[PartidosSolo3]]&lt;&gt;0),DesarrolloPartidos[[#This Row],[PartidosSolo3]],"")</f>
        <v/>
      </c>
      <c r="J381">
        <f>+IF(DesarrolloPartidos[[#This Row],[Partidos3]]="",DesarrolloPartidos[[#This Row],[Partidos4]],DesarrolloPartidos[[#This Row],[Partidos3]])</f>
        <v>6</v>
      </c>
      <c r="K381" t="str">
        <f>+DesarrolloPartidos[[#This Row],[Jugadores]]&amp;":"&amp;DesarrolloPartidos[[#This Row],[Orden]]</f>
        <v>29:19</v>
      </c>
    </row>
    <row r="382" spans="1:11">
      <c r="A382">
        <f t="shared" si="30"/>
        <v>29</v>
      </c>
      <c r="B382">
        <f t="shared" si="29"/>
        <v>8</v>
      </c>
      <c r="C382">
        <f t="shared" si="31"/>
        <v>3</v>
      </c>
      <c r="D382">
        <f t="shared" si="32"/>
        <v>5</v>
      </c>
      <c r="E382">
        <f t="shared" si="33"/>
        <v>20</v>
      </c>
      <c r="F382">
        <f>3*DesarrolloPartidos[[#This Row],[Partidos_3]]</f>
        <v>9</v>
      </c>
      <c r="G382">
        <f>IF(DesarrolloPartidos[[#This Row],[Partidos_3]]=0,0,ROUNDUP(DesarrolloPartidos[[#This Row],[Orden]]/DesarrolloPartidos[[#This Row],[JugEnPart3]]*DesarrolloPartidos[[#This Row],[Partidos_3]],0))</f>
        <v>7</v>
      </c>
      <c r="H382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6</v>
      </c>
      <c r="I382" t="str">
        <f>IF(AND(DesarrolloPartidos[[#This Row],[PartidosSolo3]]&lt;=DesarrolloPartidos[[#This Row],[Partidos_3]],DesarrolloPartidos[[#This Row],[PartidosSolo3]]&lt;&gt;0),DesarrolloPartidos[[#This Row],[PartidosSolo3]],"")</f>
        <v/>
      </c>
      <c r="J382">
        <f>+IF(DesarrolloPartidos[[#This Row],[Partidos3]]="",DesarrolloPartidos[[#This Row],[Partidos4]],DesarrolloPartidos[[#This Row],[Partidos3]])</f>
        <v>6</v>
      </c>
      <c r="K382" t="str">
        <f>+DesarrolloPartidos[[#This Row],[Jugadores]]&amp;":"&amp;DesarrolloPartidos[[#This Row],[Orden]]</f>
        <v>29:20</v>
      </c>
    </row>
    <row r="383" spans="1:11">
      <c r="A383">
        <f t="shared" si="30"/>
        <v>29</v>
      </c>
      <c r="B383">
        <f t="shared" si="29"/>
        <v>8</v>
      </c>
      <c r="C383">
        <f t="shared" si="31"/>
        <v>3</v>
      </c>
      <c r="D383">
        <f t="shared" si="32"/>
        <v>5</v>
      </c>
      <c r="E383">
        <f t="shared" si="33"/>
        <v>21</v>
      </c>
      <c r="F383">
        <f>3*DesarrolloPartidos[[#This Row],[Partidos_3]]</f>
        <v>9</v>
      </c>
      <c r="G383">
        <f>IF(DesarrolloPartidos[[#This Row],[Partidos_3]]=0,0,ROUNDUP(DesarrolloPartidos[[#This Row],[Orden]]/DesarrolloPartidos[[#This Row],[JugEnPart3]]*DesarrolloPartidos[[#This Row],[Partidos_3]],0))</f>
        <v>7</v>
      </c>
      <c r="H383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6</v>
      </c>
      <c r="I383" t="str">
        <f>IF(AND(DesarrolloPartidos[[#This Row],[PartidosSolo3]]&lt;=DesarrolloPartidos[[#This Row],[Partidos_3]],DesarrolloPartidos[[#This Row],[PartidosSolo3]]&lt;&gt;0),DesarrolloPartidos[[#This Row],[PartidosSolo3]],"")</f>
        <v/>
      </c>
      <c r="J383">
        <f>+IF(DesarrolloPartidos[[#This Row],[Partidos3]]="",DesarrolloPartidos[[#This Row],[Partidos4]],DesarrolloPartidos[[#This Row],[Partidos3]])</f>
        <v>6</v>
      </c>
      <c r="K383" t="str">
        <f>+DesarrolloPartidos[[#This Row],[Jugadores]]&amp;":"&amp;DesarrolloPartidos[[#This Row],[Orden]]</f>
        <v>29:21</v>
      </c>
    </row>
    <row r="384" spans="1:11">
      <c r="A384">
        <f t="shared" si="30"/>
        <v>29</v>
      </c>
      <c r="B384">
        <f t="shared" si="29"/>
        <v>8</v>
      </c>
      <c r="C384">
        <f t="shared" si="31"/>
        <v>3</v>
      </c>
      <c r="D384">
        <f t="shared" si="32"/>
        <v>5</v>
      </c>
      <c r="E384">
        <f t="shared" si="33"/>
        <v>22</v>
      </c>
      <c r="F384">
        <f>3*DesarrolloPartidos[[#This Row],[Partidos_3]]</f>
        <v>9</v>
      </c>
      <c r="G384">
        <f>IF(DesarrolloPartidos[[#This Row],[Partidos_3]]=0,0,ROUNDUP(DesarrolloPartidos[[#This Row],[Orden]]/DesarrolloPartidos[[#This Row],[JugEnPart3]]*DesarrolloPartidos[[#This Row],[Partidos_3]],0))</f>
        <v>8</v>
      </c>
      <c r="H384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7</v>
      </c>
      <c r="I384" t="str">
        <f>IF(AND(DesarrolloPartidos[[#This Row],[PartidosSolo3]]&lt;=DesarrolloPartidos[[#This Row],[Partidos_3]],DesarrolloPartidos[[#This Row],[PartidosSolo3]]&lt;&gt;0),DesarrolloPartidos[[#This Row],[PartidosSolo3]],"")</f>
        <v/>
      </c>
      <c r="J384">
        <f>+IF(DesarrolloPartidos[[#This Row],[Partidos3]]="",DesarrolloPartidos[[#This Row],[Partidos4]],DesarrolloPartidos[[#This Row],[Partidos3]])</f>
        <v>7</v>
      </c>
      <c r="K384" t="str">
        <f>+DesarrolloPartidos[[#This Row],[Jugadores]]&amp;":"&amp;DesarrolloPartidos[[#This Row],[Orden]]</f>
        <v>29:22</v>
      </c>
    </row>
    <row r="385" spans="1:11">
      <c r="A385">
        <f t="shared" si="30"/>
        <v>29</v>
      </c>
      <c r="B385">
        <f t="shared" si="29"/>
        <v>8</v>
      </c>
      <c r="C385">
        <f t="shared" si="31"/>
        <v>3</v>
      </c>
      <c r="D385">
        <f t="shared" si="32"/>
        <v>5</v>
      </c>
      <c r="E385">
        <f t="shared" si="33"/>
        <v>23</v>
      </c>
      <c r="F385">
        <f>3*DesarrolloPartidos[[#This Row],[Partidos_3]]</f>
        <v>9</v>
      </c>
      <c r="G385">
        <f>IF(DesarrolloPartidos[[#This Row],[Partidos_3]]=0,0,ROUNDUP(DesarrolloPartidos[[#This Row],[Orden]]/DesarrolloPartidos[[#This Row],[JugEnPart3]]*DesarrolloPartidos[[#This Row],[Partidos_3]],0))</f>
        <v>8</v>
      </c>
      <c r="H385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7</v>
      </c>
      <c r="I385" t="str">
        <f>IF(AND(DesarrolloPartidos[[#This Row],[PartidosSolo3]]&lt;=DesarrolloPartidos[[#This Row],[Partidos_3]],DesarrolloPartidos[[#This Row],[PartidosSolo3]]&lt;&gt;0),DesarrolloPartidos[[#This Row],[PartidosSolo3]],"")</f>
        <v/>
      </c>
      <c r="J385">
        <f>+IF(DesarrolloPartidos[[#This Row],[Partidos3]]="",DesarrolloPartidos[[#This Row],[Partidos4]],DesarrolloPartidos[[#This Row],[Partidos3]])</f>
        <v>7</v>
      </c>
      <c r="K385" t="str">
        <f>+DesarrolloPartidos[[#This Row],[Jugadores]]&amp;":"&amp;DesarrolloPartidos[[#This Row],[Orden]]</f>
        <v>29:23</v>
      </c>
    </row>
    <row r="386" spans="1:11">
      <c r="A386">
        <f t="shared" si="30"/>
        <v>29</v>
      </c>
      <c r="B386">
        <f t="shared" si="29"/>
        <v>8</v>
      </c>
      <c r="C386">
        <f t="shared" si="31"/>
        <v>3</v>
      </c>
      <c r="D386">
        <f t="shared" si="32"/>
        <v>5</v>
      </c>
      <c r="E386">
        <f t="shared" si="33"/>
        <v>24</v>
      </c>
      <c r="F386">
        <f>3*DesarrolloPartidos[[#This Row],[Partidos_3]]</f>
        <v>9</v>
      </c>
      <c r="G386">
        <f>IF(DesarrolloPartidos[[#This Row],[Partidos_3]]=0,0,ROUNDUP(DesarrolloPartidos[[#This Row],[Orden]]/DesarrolloPartidos[[#This Row],[JugEnPart3]]*DesarrolloPartidos[[#This Row],[Partidos_3]],0))</f>
        <v>8</v>
      </c>
      <c r="H386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7</v>
      </c>
      <c r="I386" t="str">
        <f>IF(AND(DesarrolloPartidos[[#This Row],[PartidosSolo3]]&lt;=DesarrolloPartidos[[#This Row],[Partidos_3]],DesarrolloPartidos[[#This Row],[PartidosSolo3]]&lt;&gt;0),DesarrolloPartidos[[#This Row],[PartidosSolo3]],"")</f>
        <v/>
      </c>
      <c r="J386">
        <f>+IF(DesarrolloPartidos[[#This Row],[Partidos3]]="",DesarrolloPartidos[[#This Row],[Partidos4]],DesarrolloPartidos[[#This Row],[Partidos3]])</f>
        <v>7</v>
      </c>
      <c r="K386" t="str">
        <f>+DesarrolloPartidos[[#This Row],[Jugadores]]&amp;":"&amp;DesarrolloPartidos[[#This Row],[Orden]]</f>
        <v>29:24</v>
      </c>
    </row>
    <row r="387" spans="1:11">
      <c r="A387">
        <f t="shared" si="30"/>
        <v>29</v>
      </c>
      <c r="B387">
        <f t="shared" ref="B387:B450" si="34">+ROUNDUP(A387/4,0)</f>
        <v>8</v>
      </c>
      <c r="C387">
        <f t="shared" si="31"/>
        <v>3</v>
      </c>
      <c r="D387">
        <f t="shared" si="32"/>
        <v>5</v>
      </c>
      <c r="E387">
        <f t="shared" si="33"/>
        <v>25</v>
      </c>
      <c r="F387">
        <f>3*DesarrolloPartidos[[#This Row],[Partidos_3]]</f>
        <v>9</v>
      </c>
      <c r="G387">
        <f>IF(DesarrolloPartidos[[#This Row],[Partidos_3]]=0,0,ROUNDUP(DesarrolloPartidos[[#This Row],[Orden]]/DesarrolloPartidos[[#This Row],[JugEnPart3]]*DesarrolloPartidos[[#This Row],[Partidos_3]],0))</f>
        <v>9</v>
      </c>
      <c r="H387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7</v>
      </c>
      <c r="I387" t="str">
        <f>IF(AND(DesarrolloPartidos[[#This Row],[PartidosSolo3]]&lt;=DesarrolloPartidos[[#This Row],[Partidos_3]],DesarrolloPartidos[[#This Row],[PartidosSolo3]]&lt;&gt;0),DesarrolloPartidos[[#This Row],[PartidosSolo3]],"")</f>
        <v/>
      </c>
      <c r="J387">
        <f>+IF(DesarrolloPartidos[[#This Row],[Partidos3]]="",DesarrolloPartidos[[#This Row],[Partidos4]],DesarrolloPartidos[[#This Row],[Partidos3]])</f>
        <v>7</v>
      </c>
      <c r="K387" t="str">
        <f>+DesarrolloPartidos[[#This Row],[Jugadores]]&amp;":"&amp;DesarrolloPartidos[[#This Row],[Orden]]</f>
        <v>29:25</v>
      </c>
    </row>
    <row r="388" spans="1:11">
      <c r="A388">
        <f t="shared" ref="A388:A451" si="35">+IF(ROW(A387)=1,10,IF(A387=E387,A387+1,A387))</f>
        <v>29</v>
      </c>
      <c r="B388">
        <f t="shared" si="34"/>
        <v>8</v>
      </c>
      <c r="C388">
        <f t="shared" ref="C388:C451" si="36">+(B388-A388/4)/0.25</f>
        <v>3</v>
      </c>
      <c r="D388">
        <f t="shared" ref="D388:D451" si="37">+B388-C388</f>
        <v>5</v>
      </c>
      <c r="E388">
        <f t="shared" ref="E388:E451" si="38">+IF(ROW(E387)=1,1,IF(E387=A387,1,E387+1))</f>
        <v>26</v>
      </c>
      <c r="F388">
        <f>3*DesarrolloPartidos[[#This Row],[Partidos_3]]</f>
        <v>9</v>
      </c>
      <c r="G388">
        <f>IF(DesarrolloPartidos[[#This Row],[Partidos_3]]=0,0,ROUNDUP(DesarrolloPartidos[[#This Row],[Orden]]/DesarrolloPartidos[[#This Row],[JugEnPart3]]*DesarrolloPartidos[[#This Row],[Partidos_3]],0))</f>
        <v>9</v>
      </c>
      <c r="H388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8</v>
      </c>
      <c r="I388" t="str">
        <f>IF(AND(DesarrolloPartidos[[#This Row],[PartidosSolo3]]&lt;=DesarrolloPartidos[[#This Row],[Partidos_3]],DesarrolloPartidos[[#This Row],[PartidosSolo3]]&lt;&gt;0),DesarrolloPartidos[[#This Row],[PartidosSolo3]],"")</f>
        <v/>
      </c>
      <c r="J388">
        <f>+IF(DesarrolloPartidos[[#This Row],[Partidos3]]="",DesarrolloPartidos[[#This Row],[Partidos4]],DesarrolloPartidos[[#This Row],[Partidos3]])</f>
        <v>8</v>
      </c>
      <c r="K388" t="str">
        <f>+DesarrolloPartidos[[#This Row],[Jugadores]]&amp;":"&amp;DesarrolloPartidos[[#This Row],[Orden]]</f>
        <v>29:26</v>
      </c>
    </row>
    <row r="389" spans="1:11">
      <c r="A389">
        <f t="shared" si="35"/>
        <v>29</v>
      </c>
      <c r="B389">
        <f t="shared" si="34"/>
        <v>8</v>
      </c>
      <c r="C389">
        <f t="shared" si="36"/>
        <v>3</v>
      </c>
      <c r="D389">
        <f t="shared" si="37"/>
        <v>5</v>
      </c>
      <c r="E389">
        <f t="shared" si="38"/>
        <v>27</v>
      </c>
      <c r="F389">
        <f>3*DesarrolloPartidos[[#This Row],[Partidos_3]]</f>
        <v>9</v>
      </c>
      <c r="G389">
        <f>IF(DesarrolloPartidos[[#This Row],[Partidos_3]]=0,0,ROUNDUP(DesarrolloPartidos[[#This Row],[Orden]]/DesarrolloPartidos[[#This Row],[JugEnPart3]]*DesarrolloPartidos[[#This Row],[Partidos_3]],0))</f>
        <v>9</v>
      </c>
      <c r="H389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8</v>
      </c>
      <c r="I389" t="str">
        <f>IF(AND(DesarrolloPartidos[[#This Row],[PartidosSolo3]]&lt;=DesarrolloPartidos[[#This Row],[Partidos_3]],DesarrolloPartidos[[#This Row],[PartidosSolo3]]&lt;&gt;0),DesarrolloPartidos[[#This Row],[PartidosSolo3]],"")</f>
        <v/>
      </c>
      <c r="J389">
        <f>+IF(DesarrolloPartidos[[#This Row],[Partidos3]]="",DesarrolloPartidos[[#This Row],[Partidos4]],DesarrolloPartidos[[#This Row],[Partidos3]])</f>
        <v>8</v>
      </c>
      <c r="K389" t="str">
        <f>+DesarrolloPartidos[[#This Row],[Jugadores]]&amp;":"&amp;DesarrolloPartidos[[#This Row],[Orden]]</f>
        <v>29:27</v>
      </c>
    </row>
    <row r="390" spans="1:11">
      <c r="A390">
        <f t="shared" si="35"/>
        <v>29</v>
      </c>
      <c r="B390">
        <f t="shared" si="34"/>
        <v>8</v>
      </c>
      <c r="C390">
        <f t="shared" si="36"/>
        <v>3</v>
      </c>
      <c r="D390">
        <f t="shared" si="37"/>
        <v>5</v>
      </c>
      <c r="E390">
        <f t="shared" si="38"/>
        <v>28</v>
      </c>
      <c r="F390">
        <f>3*DesarrolloPartidos[[#This Row],[Partidos_3]]</f>
        <v>9</v>
      </c>
      <c r="G390">
        <f>IF(DesarrolloPartidos[[#This Row],[Partidos_3]]=0,0,ROUNDUP(DesarrolloPartidos[[#This Row],[Orden]]/DesarrolloPartidos[[#This Row],[JugEnPart3]]*DesarrolloPartidos[[#This Row],[Partidos_3]],0))</f>
        <v>10</v>
      </c>
      <c r="H390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8</v>
      </c>
      <c r="I390" t="str">
        <f>IF(AND(DesarrolloPartidos[[#This Row],[PartidosSolo3]]&lt;=DesarrolloPartidos[[#This Row],[Partidos_3]],DesarrolloPartidos[[#This Row],[PartidosSolo3]]&lt;&gt;0),DesarrolloPartidos[[#This Row],[PartidosSolo3]],"")</f>
        <v/>
      </c>
      <c r="J390">
        <f>+IF(DesarrolloPartidos[[#This Row],[Partidos3]]="",DesarrolloPartidos[[#This Row],[Partidos4]],DesarrolloPartidos[[#This Row],[Partidos3]])</f>
        <v>8</v>
      </c>
      <c r="K390" t="str">
        <f>+DesarrolloPartidos[[#This Row],[Jugadores]]&amp;":"&amp;DesarrolloPartidos[[#This Row],[Orden]]</f>
        <v>29:28</v>
      </c>
    </row>
    <row r="391" spans="1:11">
      <c r="A391">
        <f t="shared" si="35"/>
        <v>29</v>
      </c>
      <c r="B391">
        <f t="shared" si="34"/>
        <v>8</v>
      </c>
      <c r="C391">
        <f t="shared" si="36"/>
        <v>3</v>
      </c>
      <c r="D391">
        <f t="shared" si="37"/>
        <v>5</v>
      </c>
      <c r="E391">
        <f t="shared" si="38"/>
        <v>29</v>
      </c>
      <c r="F391">
        <f>3*DesarrolloPartidos[[#This Row],[Partidos_3]]</f>
        <v>9</v>
      </c>
      <c r="G391">
        <f>IF(DesarrolloPartidos[[#This Row],[Partidos_3]]=0,0,ROUNDUP(DesarrolloPartidos[[#This Row],[Orden]]/DesarrolloPartidos[[#This Row],[JugEnPart3]]*DesarrolloPartidos[[#This Row],[Partidos_3]],0))</f>
        <v>10</v>
      </c>
      <c r="H391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8</v>
      </c>
      <c r="I391" t="str">
        <f>IF(AND(DesarrolloPartidos[[#This Row],[PartidosSolo3]]&lt;=DesarrolloPartidos[[#This Row],[Partidos_3]],DesarrolloPartidos[[#This Row],[PartidosSolo3]]&lt;&gt;0),DesarrolloPartidos[[#This Row],[PartidosSolo3]],"")</f>
        <v/>
      </c>
      <c r="J391">
        <f>+IF(DesarrolloPartidos[[#This Row],[Partidos3]]="",DesarrolloPartidos[[#This Row],[Partidos4]],DesarrolloPartidos[[#This Row],[Partidos3]])</f>
        <v>8</v>
      </c>
      <c r="K391" t="str">
        <f>+DesarrolloPartidos[[#This Row],[Jugadores]]&amp;":"&amp;DesarrolloPartidos[[#This Row],[Orden]]</f>
        <v>29:29</v>
      </c>
    </row>
    <row r="392" spans="1:11">
      <c r="A392">
        <f t="shared" si="35"/>
        <v>30</v>
      </c>
      <c r="B392">
        <f t="shared" si="34"/>
        <v>8</v>
      </c>
      <c r="C392">
        <f t="shared" si="36"/>
        <v>2</v>
      </c>
      <c r="D392">
        <f t="shared" si="37"/>
        <v>6</v>
      </c>
      <c r="E392">
        <f t="shared" si="38"/>
        <v>1</v>
      </c>
      <c r="F392">
        <f>3*DesarrolloPartidos[[#This Row],[Partidos_3]]</f>
        <v>6</v>
      </c>
      <c r="G392">
        <f>IF(DesarrolloPartidos[[#This Row],[Partidos_3]]=0,0,ROUNDUP(DesarrolloPartidos[[#This Row],[Orden]]/DesarrolloPartidos[[#This Row],[JugEnPart3]]*DesarrolloPartidos[[#This Row],[Partidos_3]],0))</f>
        <v>1</v>
      </c>
      <c r="H392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392">
        <f>IF(AND(DesarrolloPartidos[[#This Row],[PartidosSolo3]]&lt;=DesarrolloPartidos[[#This Row],[Partidos_3]],DesarrolloPartidos[[#This Row],[PartidosSolo3]]&lt;&gt;0),DesarrolloPartidos[[#This Row],[PartidosSolo3]],"")</f>
        <v>1</v>
      </c>
      <c r="J392">
        <f>+IF(DesarrolloPartidos[[#This Row],[Partidos3]]="",DesarrolloPartidos[[#This Row],[Partidos4]],DesarrolloPartidos[[#This Row],[Partidos3]])</f>
        <v>1</v>
      </c>
      <c r="K392" t="str">
        <f>+DesarrolloPartidos[[#This Row],[Jugadores]]&amp;":"&amp;DesarrolloPartidos[[#This Row],[Orden]]</f>
        <v>30:1</v>
      </c>
    </row>
    <row r="393" spans="1:11">
      <c r="A393">
        <f t="shared" si="35"/>
        <v>30</v>
      </c>
      <c r="B393">
        <f t="shared" si="34"/>
        <v>8</v>
      </c>
      <c r="C393">
        <f t="shared" si="36"/>
        <v>2</v>
      </c>
      <c r="D393">
        <f t="shared" si="37"/>
        <v>6</v>
      </c>
      <c r="E393">
        <f t="shared" si="38"/>
        <v>2</v>
      </c>
      <c r="F393">
        <f>3*DesarrolloPartidos[[#This Row],[Partidos_3]]</f>
        <v>6</v>
      </c>
      <c r="G393">
        <f>IF(DesarrolloPartidos[[#This Row],[Partidos_3]]=0,0,ROUNDUP(DesarrolloPartidos[[#This Row],[Orden]]/DesarrolloPartidos[[#This Row],[JugEnPart3]]*DesarrolloPartidos[[#This Row],[Partidos_3]],0))</f>
        <v>1</v>
      </c>
      <c r="H393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393">
        <f>IF(AND(DesarrolloPartidos[[#This Row],[PartidosSolo3]]&lt;=DesarrolloPartidos[[#This Row],[Partidos_3]],DesarrolloPartidos[[#This Row],[PartidosSolo3]]&lt;&gt;0),DesarrolloPartidos[[#This Row],[PartidosSolo3]],"")</f>
        <v>1</v>
      </c>
      <c r="J393">
        <f>+IF(DesarrolloPartidos[[#This Row],[Partidos3]]="",DesarrolloPartidos[[#This Row],[Partidos4]],DesarrolloPartidos[[#This Row],[Partidos3]])</f>
        <v>1</v>
      </c>
      <c r="K393" t="str">
        <f>+DesarrolloPartidos[[#This Row],[Jugadores]]&amp;":"&amp;DesarrolloPartidos[[#This Row],[Orden]]</f>
        <v>30:2</v>
      </c>
    </row>
    <row r="394" spans="1:11">
      <c r="A394">
        <f t="shared" si="35"/>
        <v>30</v>
      </c>
      <c r="B394">
        <f t="shared" si="34"/>
        <v>8</v>
      </c>
      <c r="C394">
        <f t="shared" si="36"/>
        <v>2</v>
      </c>
      <c r="D394">
        <f t="shared" si="37"/>
        <v>6</v>
      </c>
      <c r="E394">
        <f t="shared" si="38"/>
        <v>3</v>
      </c>
      <c r="F394">
        <f>3*DesarrolloPartidos[[#This Row],[Partidos_3]]</f>
        <v>6</v>
      </c>
      <c r="G394">
        <f>IF(DesarrolloPartidos[[#This Row],[Partidos_3]]=0,0,ROUNDUP(DesarrolloPartidos[[#This Row],[Orden]]/DesarrolloPartidos[[#This Row],[JugEnPart3]]*DesarrolloPartidos[[#This Row],[Partidos_3]],0))</f>
        <v>1</v>
      </c>
      <c r="H394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394">
        <f>IF(AND(DesarrolloPartidos[[#This Row],[PartidosSolo3]]&lt;=DesarrolloPartidos[[#This Row],[Partidos_3]],DesarrolloPartidos[[#This Row],[PartidosSolo3]]&lt;&gt;0),DesarrolloPartidos[[#This Row],[PartidosSolo3]],"")</f>
        <v>1</v>
      </c>
      <c r="J394">
        <f>+IF(DesarrolloPartidos[[#This Row],[Partidos3]]="",DesarrolloPartidos[[#This Row],[Partidos4]],DesarrolloPartidos[[#This Row],[Partidos3]])</f>
        <v>1</v>
      </c>
      <c r="K394" t="str">
        <f>+DesarrolloPartidos[[#This Row],[Jugadores]]&amp;":"&amp;DesarrolloPartidos[[#This Row],[Orden]]</f>
        <v>30:3</v>
      </c>
    </row>
    <row r="395" spans="1:11">
      <c r="A395">
        <f t="shared" si="35"/>
        <v>30</v>
      </c>
      <c r="B395">
        <f t="shared" si="34"/>
        <v>8</v>
      </c>
      <c r="C395">
        <f t="shared" si="36"/>
        <v>2</v>
      </c>
      <c r="D395">
        <f t="shared" si="37"/>
        <v>6</v>
      </c>
      <c r="E395">
        <f t="shared" si="38"/>
        <v>4</v>
      </c>
      <c r="F395">
        <f>3*DesarrolloPartidos[[#This Row],[Partidos_3]]</f>
        <v>6</v>
      </c>
      <c r="G395">
        <f>IF(DesarrolloPartidos[[#This Row],[Partidos_3]]=0,0,ROUNDUP(DesarrolloPartidos[[#This Row],[Orden]]/DesarrolloPartidos[[#This Row],[JugEnPart3]]*DesarrolloPartidos[[#This Row],[Partidos_3]],0))</f>
        <v>2</v>
      </c>
      <c r="H395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395">
        <f>IF(AND(DesarrolloPartidos[[#This Row],[PartidosSolo3]]&lt;=DesarrolloPartidos[[#This Row],[Partidos_3]],DesarrolloPartidos[[#This Row],[PartidosSolo3]]&lt;&gt;0),DesarrolloPartidos[[#This Row],[PartidosSolo3]],"")</f>
        <v>2</v>
      </c>
      <c r="J395">
        <f>+IF(DesarrolloPartidos[[#This Row],[Partidos3]]="",DesarrolloPartidos[[#This Row],[Partidos4]],DesarrolloPartidos[[#This Row],[Partidos3]])</f>
        <v>2</v>
      </c>
      <c r="K395" t="str">
        <f>+DesarrolloPartidos[[#This Row],[Jugadores]]&amp;":"&amp;DesarrolloPartidos[[#This Row],[Orden]]</f>
        <v>30:4</v>
      </c>
    </row>
    <row r="396" spans="1:11">
      <c r="A396">
        <f t="shared" si="35"/>
        <v>30</v>
      </c>
      <c r="B396">
        <f t="shared" si="34"/>
        <v>8</v>
      </c>
      <c r="C396">
        <f t="shared" si="36"/>
        <v>2</v>
      </c>
      <c r="D396">
        <f t="shared" si="37"/>
        <v>6</v>
      </c>
      <c r="E396">
        <f t="shared" si="38"/>
        <v>5</v>
      </c>
      <c r="F396">
        <f>3*DesarrolloPartidos[[#This Row],[Partidos_3]]</f>
        <v>6</v>
      </c>
      <c r="G396">
        <f>IF(DesarrolloPartidos[[#This Row],[Partidos_3]]=0,0,ROUNDUP(DesarrolloPartidos[[#This Row],[Orden]]/DesarrolloPartidos[[#This Row],[JugEnPart3]]*DesarrolloPartidos[[#This Row],[Partidos_3]],0))</f>
        <v>2</v>
      </c>
      <c r="H396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396">
        <f>IF(AND(DesarrolloPartidos[[#This Row],[PartidosSolo3]]&lt;=DesarrolloPartidos[[#This Row],[Partidos_3]],DesarrolloPartidos[[#This Row],[PartidosSolo3]]&lt;&gt;0),DesarrolloPartidos[[#This Row],[PartidosSolo3]],"")</f>
        <v>2</v>
      </c>
      <c r="J396">
        <f>+IF(DesarrolloPartidos[[#This Row],[Partidos3]]="",DesarrolloPartidos[[#This Row],[Partidos4]],DesarrolloPartidos[[#This Row],[Partidos3]])</f>
        <v>2</v>
      </c>
      <c r="K396" t="str">
        <f>+DesarrolloPartidos[[#This Row],[Jugadores]]&amp;":"&amp;DesarrolloPartidos[[#This Row],[Orden]]</f>
        <v>30:5</v>
      </c>
    </row>
    <row r="397" spans="1:11">
      <c r="A397">
        <f t="shared" si="35"/>
        <v>30</v>
      </c>
      <c r="B397">
        <f t="shared" si="34"/>
        <v>8</v>
      </c>
      <c r="C397">
        <f t="shared" si="36"/>
        <v>2</v>
      </c>
      <c r="D397">
        <f t="shared" si="37"/>
        <v>6</v>
      </c>
      <c r="E397">
        <f t="shared" si="38"/>
        <v>6</v>
      </c>
      <c r="F397">
        <f>3*DesarrolloPartidos[[#This Row],[Partidos_3]]</f>
        <v>6</v>
      </c>
      <c r="G397">
        <f>IF(DesarrolloPartidos[[#This Row],[Partidos_3]]=0,0,ROUNDUP(DesarrolloPartidos[[#This Row],[Orden]]/DesarrolloPartidos[[#This Row],[JugEnPart3]]*DesarrolloPartidos[[#This Row],[Partidos_3]],0))</f>
        <v>2</v>
      </c>
      <c r="H397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397">
        <f>IF(AND(DesarrolloPartidos[[#This Row],[PartidosSolo3]]&lt;=DesarrolloPartidos[[#This Row],[Partidos_3]],DesarrolloPartidos[[#This Row],[PartidosSolo3]]&lt;&gt;0),DesarrolloPartidos[[#This Row],[PartidosSolo3]],"")</f>
        <v>2</v>
      </c>
      <c r="J397">
        <f>+IF(DesarrolloPartidos[[#This Row],[Partidos3]]="",DesarrolloPartidos[[#This Row],[Partidos4]],DesarrolloPartidos[[#This Row],[Partidos3]])</f>
        <v>2</v>
      </c>
      <c r="K397" t="str">
        <f>+DesarrolloPartidos[[#This Row],[Jugadores]]&amp;":"&amp;DesarrolloPartidos[[#This Row],[Orden]]</f>
        <v>30:6</v>
      </c>
    </row>
    <row r="398" spans="1:11">
      <c r="A398">
        <f t="shared" si="35"/>
        <v>30</v>
      </c>
      <c r="B398">
        <f t="shared" si="34"/>
        <v>8</v>
      </c>
      <c r="C398">
        <f t="shared" si="36"/>
        <v>2</v>
      </c>
      <c r="D398">
        <f t="shared" si="37"/>
        <v>6</v>
      </c>
      <c r="E398">
        <f t="shared" si="38"/>
        <v>7</v>
      </c>
      <c r="F398">
        <f>3*DesarrolloPartidos[[#This Row],[Partidos_3]]</f>
        <v>6</v>
      </c>
      <c r="G398">
        <f>IF(DesarrolloPartidos[[#This Row],[Partidos_3]]=0,0,ROUNDUP(DesarrolloPartidos[[#This Row],[Orden]]/DesarrolloPartidos[[#This Row],[JugEnPart3]]*DesarrolloPartidos[[#This Row],[Partidos_3]],0))</f>
        <v>3</v>
      </c>
      <c r="H398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3</v>
      </c>
      <c r="I398" t="str">
        <f>IF(AND(DesarrolloPartidos[[#This Row],[PartidosSolo3]]&lt;=DesarrolloPartidos[[#This Row],[Partidos_3]],DesarrolloPartidos[[#This Row],[PartidosSolo3]]&lt;&gt;0),DesarrolloPartidos[[#This Row],[PartidosSolo3]],"")</f>
        <v/>
      </c>
      <c r="J398">
        <f>+IF(DesarrolloPartidos[[#This Row],[Partidos3]]="",DesarrolloPartidos[[#This Row],[Partidos4]],DesarrolloPartidos[[#This Row],[Partidos3]])</f>
        <v>3</v>
      </c>
      <c r="K398" t="str">
        <f>+DesarrolloPartidos[[#This Row],[Jugadores]]&amp;":"&amp;DesarrolloPartidos[[#This Row],[Orden]]</f>
        <v>30:7</v>
      </c>
    </row>
    <row r="399" spans="1:11">
      <c r="A399">
        <f t="shared" si="35"/>
        <v>30</v>
      </c>
      <c r="B399">
        <f t="shared" si="34"/>
        <v>8</v>
      </c>
      <c r="C399">
        <f t="shared" si="36"/>
        <v>2</v>
      </c>
      <c r="D399">
        <f t="shared" si="37"/>
        <v>6</v>
      </c>
      <c r="E399">
        <f t="shared" si="38"/>
        <v>8</v>
      </c>
      <c r="F399">
        <f>3*DesarrolloPartidos[[#This Row],[Partidos_3]]</f>
        <v>6</v>
      </c>
      <c r="G399">
        <f>IF(DesarrolloPartidos[[#This Row],[Partidos_3]]=0,0,ROUNDUP(DesarrolloPartidos[[#This Row],[Orden]]/DesarrolloPartidos[[#This Row],[JugEnPart3]]*DesarrolloPartidos[[#This Row],[Partidos_3]],0))</f>
        <v>3</v>
      </c>
      <c r="H399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3</v>
      </c>
      <c r="I399" t="str">
        <f>IF(AND(DesarrolloPartidos[[#This Row],[PartidosSolo3]]&lt;=DesarrolloPartidos[[#This Row],[Partidos_3]],DesarrolloPartidos[[#This Row],[PartidosSolo3]]&lt;&gt;0),DesarrolloPartidos[[#This Row],[PartidosSolo3]],"")</f>
        <v/>
      </c>
      <c r="J399">
        <f>+IF(DesarrolloPartidos[[#This Row],[Partidos3]]="",DesarrolloPartidos[[#This Row],[Partidos4]],DesarrolloPartidos[[#This Row],[Partidos3]])</f>
        <v>3</v>
      </c>
      <c r="K399" t="str">
        <f>+DesarrolloPartidos[[#This Row],[Jugadores]]&amp;":"&amp;DesarrolloPartidos[[#This Row],[Orden]]</f>
        <v>30:8</v>
      </c>
    </row>
    <row r="400" spans="1:11">
      <c r="A400">
        <f t="shared" si="35"/>
        <v>30</v>
      </c>
      <c r="B400">
        <f t="shared" si="34"/>
        <v>8</v>
      </c>
      <c r="C400">
        <f t="shared" si="36"/>
        <v>2</v>
      </c>
      <c r="D400">
        <f t="shared" si="37"/>
        <v>6</v>
      </c>
      <c r="E400">
        <f t="shared" si="38"/>
        <v>9</v>
      </c>
      <c r="F400">
        <f>3*DesarrolloPartidos[[#This Row],[Partidos_3]]</f>
        <v>6</v>
      </c>
      <c r="G400">
        <f>IF(DesarrolloPartidos[[#This Row],[Partidos_3]]=0,0,ROUNDUP(DesarrolloPartidos[[#This Row],[Orden]]/DesarrolloPartidos[[#This Row],[JugEnPart3]]*DesarrolloPartidos[[#This Row],[Partidos_3]],0))</f>
        <v>3</v>
      </c>
      <c r="H400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3</v>
      </c>
      <c r="I400" t="str">
        <f>IF(AND(DesarrolloPartidos[[#This Row],[PartidosSolo3]]&lt;=DesarrolloPartidos[[#This Row],[Partidos_3]],DesarrolloPartidos[[#This Row],[PartidosSolo3]]&lt;&gt;0),DesarrolloPartidos[[#This Row],[PartidosSolo3]],"")</f>
        <v/>
      </c>
      <c r="J400">
        <f>+IF(DesarrolloPartidos[[#This Row],[Partidos3]]="",DesarrolloPartidos[[#This Row],[Partidos4]],DesarrolloPartidos[[#This Row],[Partidos3]])</f>
        <v>3</v>
      </c>
      <c r="K400" t="str">
        <f>+DesarrolloPartidos[[#This Row],[Jugadores]]&amp;":"&amp;DesarrolloPartidos[[#This Row],[Orden]]</f>
        <v>30:9</v>
      </c>
    </row>
    <row r="401" spans="1:11">
      <c r="A401">
        <f t="shared" si="35"/>
        <v>30</v>
      </c>
      <c r="B401">
        <f t="shared" si="34"/>
        <v>8</v>
      </c>
      <c r="C401">
        <f t="shared" si="36"/>
        <v>2</v>
      </c>
      <c r="D401">
        <f t="shared" si="37"/>
        <v>6</v>
      </c>
      <c r="E401">
        <f t="shared" si="38"/>
        <v>10</v>
      </c>
      <c r="F401">
        <f>3*DesarrolloPartidos[[#This Row],[Partidos_3]]</f>
        <v>6</v>
      </c>
      <c r="G401">
        <f>IF(DesarrolloPartidos[[#This Row],[Partidos_3]]=0,0,ROUNDUP(DesarrolloPartidos[[#This Row],[Orden]]/DesarrolloPartidos[[#This Row],[JugEnPart3]]*DesarrolloPartidos[[#This Row],[Partidos_3]],0))</f>
        <v>4</v>
      </c>
      <c r="H401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3</v>
      </c>
      <c r="I401" t="str">
        <f>IF(AND(DesarrolloPartidos[[#This Row],[PartidosSolo3]]&lt;=DesarrolloPartidos[[#This Row],[Partidos_3]],DesarrolloPartidos[[#This Row],[PartidosSolo3]]&lt;&gt;0),DesarrolloPartidos[[#This Row],[PartidosSolo3]],"")</f>
        <v/>
      </c>
      <c r="J401">
        <f>+IF(DesarrolloPartidos[[#This Row],[Partidos3]]="",DesarrolloPartidos[[#This Row],[Partidos4]],DesarrolloPartidos[[#This Row],[Partidos3]])</f>
        <v>3</v>
      </c>
      <c r="K401" t="str">
        <f>+DesarrolloPartidos[[#This Row],[Jugadores]]&amp;":"&amp;DesarrolloPartidos[[#This Row],[Orden]]</f>
        <v>30:10</v>
      </c>
    </row>
    <row r="402" spans="1:11">
      <c r="A402">
        <f t="shared" si="35"/>
        <v>30</v>
      </c>
      <c r="B402">
        <f t="shared" si="34"/>
        <v>8</v>
      </c>
      <c r="C402">
        <f t="shared" si="36"/>
        <v>2</v>
      </c>
      <c r="D402">
        <f t="shared" si="37"/>
        <v>6</v>
      </c>
      <c r="E402">
        <f t="shared" si="38"/>
        <v>11</v>
      </c>
      <c r="F402">
        <f>3*DesarrolloPartidos[[#This Row],[Partidos_3]]</f>
        <v>6</v>
      </c>
      <c r="G402">
        <f>IF(DesarrolloPartidos[[#This Row],[Partidos_3]]=0,0,ROUNDUP(DesarrolloPartidos[[#This Row],[Orden]]/DesarrolloPartidos[[#This Row],[JugEnPart3]]*DesarrolloPartidos[[#This Row],[Partidos_3]],0))</f>
        <v>4</v>
      </c>
      <c r="H402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402" t="str">
        <f>IF(AND(DesarrolloPartidos[[#This Row],[PartidosSolo3]]&lt;=DesarrolloPartidos[[#This Row],[Partidos_3]],DesarrolloPartidos[[#This Row],[PartidosSolo3]]&lt;&gt;0),DesarrolloPartidos[[#This Row],[PartidosSolo3]],"")</f>
        <v/>
      </c>
      <c r="J402">
        <f>+IF(DesarrolloPartidos[[#This Row],[Partidos3]]="",DesarrolloPartidos[[#This Row],[Partidos4]],DesarrolloPartidos[[#This Row],[Partidos3]])</f>
        <v>4</v>
      </c>
      <c r="K402" t="str">
        <f>+DesarrolloPartidos[[#This Row],[Jugadores]]&amp;":"&amp;DesarrolloPartidos[[#This Row],[Orden]]</f>
        <v>30:11</v>
      </c>
    </row>
    <row r="403" spans="1:11">
      <c r="A403">
        <f t="shared" si="35"/>
        <v>30</v>
      </c>
      <c r="B403">
        <f t="shared" si="34"/>
        <v>8</v>
      </c>
      <c r="C403">
        <f t="shared" si="36"/>
        <v>2</v>
      </c>
      <c r="D403">
        <f t="shared" si="37"/>
        <v>6</v>
      </c>
      <c r="E403">
        <f t="shared" si="38"/>
        <v>12</v>
      </c>
      <c r="F403">
        <f>3*DesarrolloPartidos[[#This Row],[Partidos_3]]</f>
        <v>6</v>
      </c>
      <c r="G403">
        <f>IF(DesarrolloPartidos[[#This Row],[Partidos_3]]=0,0,ROUNDUP(DesarrolloPartidos[[#This Row],[Orden]]/DesarrolloPartidos[[#This Row],[JugEnPart3]]*DesarrolloPartidos[[#This Row],[Partidos_3]],0))</f>
        <v>4</v>
      </c>
      <c r="H403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403" t="str">
        <f>IF(AND(DesarrolloPartidos[[#This Row],[PartidosSolo3]]&lt;=DesarrolloPartidos[[#This Row],[Partidos_3]],DesarrolloPartidos[[#This Row],[PartidosSolo3]]&lt;&gt;0),DesarrolloPartidos[[#This Row],[PartidosSolo3]],"")</f>
        <v/>
      </c>
      <c r="J403">
        <f>+IF(DesarrolloPartidos[[#This Row],[Partidos3]]="",DesarrolloPartidos[[#This Row],[Partidos4]],DesarrolloPartidos[[#This Row],[Partidos3]])</f>
        <v>4</v>
      </c>
      <c r="K403" t="str">
        <f>+DesarrolloPartidos[[#This Row],[Jugadores]]&amp;":"&amp;DesarrolloPartidos[[#This Row],[Orden]]</f>
        <v>30:12</v>
      </c>
    </row>
    <row r="404" spans="1:11">
      <c r="A404">
        <f t="shared" si="35"/>
        <v>30</v>
      </c>
      <c r="B404">
        <f t="shared" si="34"/>
        <v>8</v>
      </c>
      <c r="C404">
        <f t="shared" si="36"/>
        <v>2</v>
      </c>
      <c r="D404">
        <f t="shared" si="37"/>
        <v>6</v>
      </c>
      <c r="E404">
        <f t="shared" si="38"/>
        <v>13</v>
      </c>
      <c r="F404">
        <f>3*DesarrolloPartidos[[#This Row],[Partidos_3]]</f>
        <v>6</v>
      </c>
      <c r="G404">
        <f>IF(DesarrolloPartidos[[#This Row],[Partidos_3]]=0,0,ROUNDUP(DesarrolloPartidos[[#This Row],[Orden]]/DesarrolloPartidos[[#This Row],[JugEnPart3]]*DesarrolloPartidos[[#This Row],[Partidos_3]],0))</f>
        <v>5</v>
      </c>
      <c r="H404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404" t="str">
        <f>IF(AND(DesarrolloPartidos[[#This Row],[PartidosSolo3]]&lt;=DesarrolloPartidos[[#This Row],[Partidos_3]],DesarrolloPartidos[[#This Row],[PartidosSolo3]]&lt;&gt;0),DesarrolloPartidos[[#This Row],[PartidosSolo3]],"")</f>
        <v/>
      </c>
      <c r="J404">
        <f>+IF(DesarrolloPartidos[[#This Row],[Partidos3]]="",DesarrolloPartidos[[#This Row],[Partidos4]],DesarrolloPartidos[[#This Row],[Partidos3]])</f>
        <v>4</v>
      </c>
      <c r="K404" t="str">
        <f>+DesarrolloPartidos[[#This Row],[Jugadores]]&amp;":"&amp;DesarrolloPartidos[[#This Row],[Orden]]</f>
        <v>30:13</v>
      </c>
    </row>
    <row r="405" spans="1:11">
      <c r="A405">
        <f t="shared" si="35"/>
        <v>30</v>
      </c>
      <c r="B405">
        <f t="shared" si="34"/>
        <v>8</v>
      </c>
      <c r="C405">
        <f t="shared" si="36"/>
        <v>2</v>
      </c>
      <c r="D405">
        <f t="shared" si="37"/>
        <v>6</v>
      </c>
      <c r="E405">
        <f t="shared" si="38"/>
        <v>14</v>
      </c>
      <c r="F405">
        <f>3*DesarrolloPartidos[[#This Row],[Partidos_3]]</f>
        <v>6</v>
      </c>
      <c r="G405">
        <f>IF(DesarrolloPartidos[[#This Row],[Partidos_3]]=0,0,ROUNDUP(DesarrolloPartidos[[#This Row],[Orden]]/DesarrolloPartidos[[#This Row],[JugEnPart3]]*DesarrolloPartidos[[#This Row],[Partidos_3]],0))</f>
        <v>5</v>
      </c>
      <c r="H405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405" t="str">
        <f>IF(AND(DesarrolloPartidos[[#This Row],[PartidosSolo3]]&lt;=DesarrolloPartidos[[#This Row],[Partidos_3]],DesarrolloPartidos[[#This Row],[PartidosSolo3]]&lt;&gt;0),DesarrolloPartidos[[#This Row],[PartidosSolo3]],"")</f>
        <v/>
      </c>
      <c r="J405">
        <f>+IF(DesarrolloPartidos[[#This Row],[Partidos3]]="",DesarrolloPartidos[[#This Row],[Partidos4]],DesarrolloPartidos[[#This Row],[Partidos3]])</f>
        <v>4</v>
      </c>
      <c r="K405" t="str">
        <f>+DesarrolloPartidos[[#This Row],[Jugadores]]&amp;":"&amp;DesarrolloPartidos[[#This Row],[Orden]]</f>
        <v>30:14</v>
      </c>
    </row>
    <row r="406" spans="1:11">
      <c r="A406">
        <f t="shared" si="35"/>
        <v>30</v>
      </c>
      <c r="B406">
        <f t="shared" si="34"/>
        <v>8</v>
      </c>
      <c r="C406">
        <f t="shared" si="36"/>
        <v>2</v>
      </c>
      <c r="D406">
        <f t="shared" si="37"/>
        <v>6</v>
      </c>
      <c r="E406">
        <f t="shared" si="38"/>
        <v>15</v>
      </c>
      <c r="F406">
        <f>3*DesarrolloPartidos[[#This Row],[Partidos_3]]</f>
        <v>6</v>
      </c>
      <c r="G406">
        <f>IF(DesarrolloPartidos[[#This Row],[Partidos_3]]=0,0,ROUNDUP(DesarrolloPartidos[[#This Row],[Orden]]/DesarrolloPartidos[[#This Row],[JugEnPart3]]*DesarrolloPartidos[[#This Row],[Partidos_3]],0))</f>
        <v>5</v>
      </c>
      <c r="H406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5</v>
      </c>
      <c r="I406" t="str">
        <f>IF(AND(DesarrolloPartidos[[#This Row],[PartidosSolo3]]&lt;=DesarrolloPartidos[[#This Row],[Partidos_3]],DesarrolloPartidos[[#This Row],[PartidosSolo3]]&lt;&gt;0),DesarrolloPartidos[[#This Row],[PartidosSolo3]],"")</f>
        <v/>
      </c>
      <c r="J406">
        <f>+IF(DesarrolloPartidos[[#This Row],[Partidos3]]="",DesarrolloPartidos[[#This Row],[Partidos4]],DesarrolloPartidos[[#This Row],[Partidos3]])</f>
        <v>5</v>
      </c>
      <c r="K406" t="str">
        <f>+DesarrolloPartidos[[#This Row],[Jugadores]]&amp;":"&amp;DesarrolloPartidos[[#This Row],[Orden]]</f>
        <v>30:15</v>
      </c>
    </row>
    <row r="407" spans="1:11">
      <c r="A407">
        <f t="shared" si="35"/>
        <v>30</v>
      </c>
      <c r="B407">
        <f t="shared" si="34"/>
        <v>8</v>
      </c>
      <c r="C407">
        <f t="shared" si="36"/>
        <v>2</v>
      </c>
      <c r="D407">
        <f t="shared" si="37"/>
        <v>6</v>
      </c>
      <c r="E407">
        <f t="shared" si="38"/>
        <v>16</v>
      </c>
      <c r="F407">
        <f>3*DesarrolloPartidos[[#This Row],[Partidos_3]]</f>
        <v>6</v>
      </c>
      <c r="G407">
        <f>IF(DesarrolloPartidos[[#This Row],[Partidos_3]]=0,0,ROUNDUP(DesarrolloPartidos[[#This Row],[Orden]]/DesarrolloPartidos[[#This Row],[JugEnPart3]]*DesarrolloPartidos[[#This Row],[Partidos_3]],0))</f>
        <v>6</v>
      </c>
      <c r="H407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5</v>
      </c>
      <c r="I407" t="str">
        <f>IF(AND(DesarrolloPartidos[[#This Row],[PartidosSolo3]]&lt;=DesarrolloPartidos[[#This Row],[Partidos_3]],DesarrolloPartidos[[#This Row],[PartidosSolo3]]&lt;&gt;0),DesarrolloPartidos[[#This Row],[PartidosSolo3]],"")</f>
        <v/>
      </c>
      <c r="J407">
        <f>+IF(DesarrolloPartidos[[#This Row],[Partidos3]]="",DesarrolloPartidos[[#This Row],[Partidos4]],DesarrolloPartidos[[#This Row],[Partidos3]])</f>
        <v>5</v>
      </c>
      <c r="K407" t="str">
        <f>+DesarrolloPartidos[[#This Row],[Jugadores]]&amp;":"&amp;DesarrolloPartidos[[#This Row],[Orden]]</f>
        <v>30:16</v>
      </c>
    </row>
    <row r="408" spans="1:11">
      <c r="A408">
        <f t="shared" si="35"/>
        <v>30</v>
      </c>
      <c r="B408">
        <f t="shared" si="34"/>
        <v>8</v>
      </c>
      <c r="C408">
        <f t="shared" si="36"/>
        <v>2</v>
      </c>
      <c r="D408">
        <f t="shared" si="37"/>
        <v>6</v>
      </c>
      <c r="E408">
        <f t="shared" si="38"/>
        <v>17</v>
      </c>
      <c r="F408">
        <f>3*DesarrolloPartidos[[#This Row],[Partidos_3]]</f>
        <v>6</v>
      </c>
      <c r="G408">
        <f>IF(DesarrolloPartidos[[#This Row],[Partidos_3]]=0,0,ROUNDUP(DesarrolloPartidos[[#This Row],[Orden]]/DesarrolloPartidos[[#This Row],[JugEnPart3]]*DesarrolloPartidos[[#This Row],[Partidos_3]],0))</f>
        <v>6</v>
      </c>
      <c r="H408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5</v>
      </c>
      <c r="I408" t="str">
        <f>IF(AND(DesarrolloPartidos[[#This Row],[PartidosSolo3]]&lt;=DesarrolloPartidos[[#This Row],[Partidos_3]],DesarrolloPartidos[[#This Row],[PartidosSolo3]]&lt;&gt;0),DesarrolloPartidos[[#This Row],[PartidosSolo3]],"")</f>
        <v/>
      </c>
      <c r="J408">
        <f>+IF(DesarrolloPartidos[[#This Row],[Partidos3]]="",DesarrolloPartidos[[#This Row],[Partidos4]],DesarrolloPartidos[[#This Row],[Partidos3]])</f>
        <v>5</v>
      </c>
      <c r="K408" t="str">
        <f>+DesarrolloPartidos[[#This Row],[Jugadores]]&amp;":"&amp;DesarrolloPartidos[[#This Row],[Orden]]</f>
        <v>30:17</v>
      </c>
    </row>
    <row r="409" spans="1:11">
      <c r="A409">
        <f t="shared" si="35"/>
        <v>30</v>
      </c>
      <c r="B409">
        <f t="shared" si="34"/>
        <v>8</v>
      </c>
      <c r="C409">
        <f t="shared" si="36"/>
        <v>2</v>
      </c>
      <c r="D409">
        <f t="shared" si="37"/>
        <v>6</v>
      </c>
      <c r="E409">
        <f t="shared" si="38"/>
        <v>18</v>
      </c>
      <c r="F409">
        <f>3*DesarrolloPartidos[[#This Row],[Partidos_3]]</f>
        <v>6</v>
      </c>
      <c r="G409">
        <f>IF(DesarrolloPartidos[[#This Row],[Partidos_3]]=0,0,ROUNDUP(DesarrolloPartidos[[#This Row],[Orden]]/DesarrolloPartidos[[#This Row],[JugEnPart3]]*DesarrolloPartidos[[#This Row],[Partidos_3]],0))</f>
        <v>6</v>
      </c>
      <c r="H409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5</v>
      </c>
      <c r="I409" t="str">
        <f>IF(AND(DesarrolloPartidos[[#This Row],[PartidosSolo3]]&lt;=DesarrolloPartidos[[#This Row],[Partidos_3]],DesarrolloPartidos[[#This Row],[PartidosSolo3]]&lt;&gt;0),DesarrolloPartidos[[#This Row],[PartidosSolo3]],"")</f>
        <v/>
      </c>
      <c r="J409">
        <f>+IF(DesarrolloPartidos[[#This Row],[Partidos3]]="",DesarrolloPartidos[[#This Row],[Partidos4]],DesarrolloPartidos[[#This Row],[Partidos3]])</f>
        <v>5</v>
      </c>
      <c r="K409" t="str">
        <f>+DesarrolloPartidos[[#This Row],[Jugadores]]&amp;":"&amp;DesarrolloPartidos[[#This Row],[Orden]]</f>
        <v>30:18</v>
      </c>
    </row>
    <row r="410" spans="1:11">
      <c r="A410">
        <f t="shared" si="35"/>
        <v>30</v>
      </c>
      <c r="B410">
        <f t="shared" si="34"/>
        <v>8</v>
      </c>
      <c r="C410">
        <f t="shared" si="36"/>
        <v>2</v>
      </c>
      <c r="D410">
        <f t="shared" si="37"/>
        <v>6</v>
      </c>
      <c r="E410">
        <f t="shared" si="38"/>
        <v>19</v>
      </c>
      <c r="F410">
        <f>3*DesarrolloPartidos[[#This Row],[Partidos_3]]</f>
        <v>6</v>
      </c>
      <c r="G410">
        <f>IF(DesarrolloPartidos[[#This Row],[Partidos_3]]=0,0,ROUNDUP(DesarrolloPartidos[[#This Row],[Orden]]/DesarrolloPartidos[[#This Row],[JugEnPart3]]*DesarrolloPartidos[[#This Row],[Partidos_3]],0))</f>
        <v>7</v>
      </c>
      <c r="H410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6</v>
      </c>
      <c r="I410" t="str">
        <f>IF(AND(DesarrolloPartidos[[#This Row],[PartidosSolo3]]&lt;=DesarrolloPartidos[[#This Row],[Partidos_3]],DesarrolloPartidos[[#This Row],[PartidosSolo3]]&lt;&gt;0),DesarrolloPartidos[[#This Row],[PartidosSolo3]],"")</f>
        <v/>
      </c>
      <c r="J410">
        <f>+IF(DesarrolloPartidos[[#This Row],[Partidos3]]="",DesarrolloPartidos[[#This Row],[Partidos4]],DesarrolloPartidos[[#This Row],[Partidos3]])</f>
        <v>6</v>
      </c>
      <c r="K410" t="str">
        <f>+DesarrolloPartidos[[#This Row],[Jugadores]]&amp;":"&amp;DesarrolloPartidos[[#This Row],[Orden]]</f>
        <v>30:19</v>
      </c>
    </row>
    <row r="411" spans="1:11">
      <c r="A411">
        <f t="shared" si="35"/>
        <v>30</v>
      </c>
      <c r="B411">
        <f t="shared" si="34"/>
        <v>8</v>
      </c>
      <c r="C411">
        <f t="shared" si="36"/>
        <v>2</v>
      </c>
      <c r="D411">
        <f t="shared" si="37"/>
        <v>6</v>
      </c>
      <c r="E411">
        <f t="shared" si="38"/>
        <v>20</v>
      </c>
      <c r="F411">
        <f>3*DesarrolloPartidos[[#This Row],[Partidos_3]]</f>
        <v>6</v>
      </c>
      <c r="G411">
        <f>IF(DesarrolloPartidos[[#This Row],[Partidos_3]]=0,0,ROUNDUP(DesarrolloPartidos[[#This Row],[Orden]]/DesarrolloPartidos[[#This Row],[JugEnPart3]]*DesarrolloPartidos[[#This Row],[Partidos_3]],0))</f>
        <v>7</v>
      </c>
      <c r="H411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6</v>
      </c>
      <c r="I411" t="str">
        <f>IF(AND(DesarrolloPartidos[[#This Row],[PartidosSolo3]]&lt;=DesarrolloPartidos[[#This Row],[Partidos_3]],DesarrolloPartidos[[#This Row],[PartidosSolo3]]&lt;&gt;0),DesarrolloPartidos[[#This Row],[PartidosSolo3]],"")</f>
        <v/>
      </c>
      <c r="J411">
        <f>+IF(DesarrolloPartidos[[#This Row],[Partidos3]]="",DesarrolloPartidos[[#This Row],[Partidos4]],DesarrolloPartidos[[#This Row],[Partidos3]])</f>
        <v>6</v>
      </c>
      <c r="K411" t="str">
        <f>+DesarrolloPartidos[[#This Row],[Jugadores]]&amp;":"&amp;DesarrolloPartidos[[#This Row],[Orden]]</f>
        <v>30:20</v>
      </c>
    </row>
    <row r="412" spans="1:11">
      <c r="A412">
        <f t="shared" si="35"/>
        <v>30</v>
      </c>
      <c r="B412">
        <f t="shared" si="34"/>
        <v>8</v>
      </c>
      <c r="C412">
        <f t="shared" si="36"/>
        <v>2</v>
      </c>
      <c r="D412">
        <f t="shared" si="37"/>
        <v>6</v>
      </c>
      <c r="E412">
        <f t="shared" si="38"/>
        <v>21</v>
      </c>
      <c r="F412">
        <f>3*DesarrolloPartidos[[#This Row],[Partidos_3]]</f>
        <v>6</v>
      </c>
      <c r="G412">
        <f>IF(DesarrolloPartidos[[#This Row],[Partidos_3]]=0,0,ROUNDUP(DesarrolloPartidos[[#This Row],[Orden]]/DesarrolloPartidos[[#This Row],[JugEnPart3]]*DesarrolloPartidos[[#This Row],[Partidos_3]],0))</f>
        <v>7</v>
      </c>
      <c r="H412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6</v>
      </c>
      <c r="I412" t="str">
        <f>IF(AND(DesarrolloPartidos[[#This Row],[PartidosSolo3]]&lt;=DesarrolloPartidos[[#This Row],[Partidos_3]],DesarrolloPartidos[[#This Row],[PartidosSolo3]]&lt;&gt;0),DesarrolloPartidos[[#This Row],[PartidosSolo3]],"")</f>
        <v/>
      </c>
      <c r="J412">
        <f>+IF(DesarrolloPartidos[[#This Row],[Partidos3]]="",DesarrolloPartidos[[#This Row],[Partidos4]],DesarrolloPartidos[[#This Row],[Partidos3]])</f>
        <v>6</v>
      </c>
      <c r="K412" t="str">
        <f>+DesarrolloPartidos[[#This Row],[Jugadores]]&amp;":"&amp;DesarrolloPartidos[[#This Row],[Orden]]</f>
        <v>30:21</v>
      </c>
    </row>
    <row r="413" spans="1:11">
      <c r="A413">
        <f t="shared" si="35"/>
        <v>30</v>
      </c>
      <c r="B413">
        <f t="shared" si="34"/>
        <v>8</v>
      </c>
      <c r="C413">
        <f t="shared" si="36"/>
        <v>2</v>
      </c>
      <c r="D413">
        <f t="shared" si="37"/>
        <v>6</v>
      </c>
      <c r="E413">
        <f t="shared" si="38"/>
        <v>22</v>
      </c>
      <c r="F413">
        <f>3*DesarrolloPartidos[[#This Row],[Partidos_3]]</f>
        <v>6</v>
      </c>
      <c r="G413">
        <f>IF(DesarrolloPartidos[[#This Row],[Partidos_3]]=0,0,ROUNDUP(DesarrolloPartidos[[#This Row],[Orden]]/DesarrolloPartidos[[#This Row],[JugEnPart3]]*DesarrolloPartidos[[#This Row],[Partidos_3]],0))</f>
        <v>8</v>
      </c>
      <c r="H413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6</v>
      </c>
      <c r="I413" t="str">
        <f>IF(AND(DesarrolloPartidos[[#This Row],[PartidosSolo3]]&lt;=DesarrolloPartidos[[#This Row],[Partidos_3]],DesarrolloPartidos[[#This Row],[PartidosSolo3]]&lt;&gt;0),DesarrolloPartidos[[#This Row],[PartidosSolo3]],"")</f>
        <v/>
      </c>
      <c r="J413">
        <f>+IF(DesarrolloPartidos[[#This Row],[Partidos3]]="",DesarrolloPartidos[[#This Row],[Partidos4]],DesarrolloPartidos[[#This Row],[Partidos3]])</f>
        <v>6</v>
      </c>
      <c r="K413" t="str">
        <f>+DesarrolloPartidos[[#This Row],[Jugadores]]&amp;":"&amp;DesarrolloPartidos[[#This Row],[Orden]]</f>
        <v>30:22</v>
      </c>
    </row>
    <row r="414" spans="1:11">
      <c r="A414">
        <f t="shared" si="35"/>
        <v>30</v>
      </c>
      <c r="B414">
        <f t="shared" si="34"/>
        <v>8</v>
      </c>
      <c r="C414">
        <f t="shared" si="36"/>
        <v>2</v>
      </c>
      <c r="D414">
        <f t="shared" si="37"/>
        <v>6</v>
      </c>
      <c r="E414">
        <f t="shared" si="38"/>
        <v>23</v>
      </c>
      <c r="F414">
        <f>3*DesarrolloPartidos[[#This Row],[Partidos_3]]</f>
        <v>6</v>
      </c>
      <c r="G414">
        <f>IF(DesarrolloPartidos[[#This Row],[Partidos_3]]=0,0,ROUNDUP(DesarrolloPartidos[[#This Row],[Orden]]/DesarrolloPartidos[[#This Row],[JugEnPart3]]*DesarrolloPartidos[[#This Row],[Partidos_3]],0))</f>
        <v>8</v>
      </c>
      <c r="H414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7</v>
      </c>
      <c r="I414" t="str">
        <f>IF(AND(DesarrolloPartidos[[#This Row],[PartidosSolo3]]&lt;=DesarrolloPartidos[[#This Row],[Partidos_3]],DesarrolloPartidos[[#This Row],[PartidosSolo3]]&lt;&gt;0),DesarrolloPartidos[[#This Row],[PartidosSolo3]],"")</f>
        <v/>
      </c>
      <c r="J414">
        <f>+IF(DesarrolloPartidos[[#This Row],[Partidos3]]="",DesarrolloPartidos[[#This Row],[Partidos4]],DesarrolloPartidos[[#This Row],[Partidos3]])</f>
        <v>7</v>
      </c>
      <c r="K414" t="str">
        <f>+DesarrolloPartidos[[#This Row],[Jugadores]]&amp;":"&amp;DesarrolloPartidos[[#This Row],[Orden]]</f>
        <v>30:23</v>
      </c>
    </row>
    <row r="415" spans="1:11">
      <c r="A415">
        <f t="shared" si="35"/>
        <v>30</v>
      </c>
      <c r="B415">
        <f t="shared" si="34"/>
        <v>8</v>
      </c>
      <c r="C415">
        <f t="shared" si="36"/>
        <v>2</v>
      </c>
      <c r="D415">
        <f t="shared" si="37"/>
        <v>6</v>
      </c>
      <c r="E415">
        <f t="shared" si="38"/>
        <v>24</v>
      </c>
      <c r="F415">
        <f>3*DesarrolloPartidos[[#This Row],[Partidos_3]]</f>
        <v>6</v>
      </c>
      <c r="G415">
        <f>IF(DesarrolloPartidos[[#This Row],[Partidos_3]]=0,0,ROUNDUP(DesarrolloPartidos[[#This Row],[Orden]]/DesarrolloPartidos[[#This Row],[JugEnPart3]]*DesarrolloPartidos[[#This Row],[Partidos_3]],0))</f>
        <v>8</v>
      </c>
      <c r="H415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7</v>
      </c>
      <c r="I415" t="str">
        <f>IF(AND(DesarrolloPartidos[[#This Row],[PartidosSolo3]]&lt;=DesarrolloPartidos[[#This Row],[Partidos_3]],DesarrolloPartidos[[#This Row],[PartidosSolo3]]&lt;&gt;0),DesarrolloPartidos[[#This Row],[PartidosSolo3]],"")</f>
        <v/>
      </c>
      <c r="J415">
        <f>+IF(DesarrolloPartidos[[#This Row],[Partidos3]]="",DesarrolloPartidos[[#This Row],[Partidos4]],DesarrolloPartidos[[#This Row],[Partidos3]])</f>
        <v>7</v>
      </c>
      <c r="K415" t="str">
        <f>+DesarrolloPartidos[[#This Row],[Jugadores]]&amp;":"&amp;DesarrolloPartidos[[#This Row],[Orden]]</f>
        <v>30:24</v>
      </c>
    </row>
    <row r="416" spans="1:11">
      <c r="A416">
        <f t="shared" si="35"/>
        <v>30</v>
      </c>
      <c r="B416">
        <f t="shared" si="34"/>
        <v>8</v>
      </c>
      <c r="C416">
        <f t="shared" si="36"/>
        <v>2</v>
      </c>
      <c r="D416">
        <f t="shared" si="37"/>
        <v>6</v>
      </c>
      <c r="E416">
        <f t="shared" si="38"/>
        <v>25</v>
      </c>
      <c r="F416">
        <f>3*DesarrolloPartidos[[#This Row],[Partidos_3]]</f>
        <v>6</v>
      </c>
      <c r="G416">
        <f>IF(DesarrolloPartidos[[#This Row],[Partidos_3]]=0,0,ROUNDUP(DesarrolloPartidos[[#This Row],[Orden]]/DesarrolloPartidos[[#This Row],[JugEnPart3]]*DesarrolloPartidos[[#This Row],[Partidos_3]],0))</f>
        <v>9</v>
      </c>
      <c r="H416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7</v>
      </c>
      <c r="I416" t="str">
        <f>IF(AND(DesarrolloPartidos[[#This Row],[PartidosSolo3]]&lt;=DesarrolloPartidos[[#This Row],[Partidos_3]],DesarrolloPartidos[[#This Row],[PartidosSolo3]]&lt;&gt;0),DesarrolloPartidos[[#This Row],[PartidosSolo3]],"")</f>
        <v/>
      </c>
      <c r="J416">
        <f>+IF(DesarrolloPartidos[[#This Row],[Partidos3]]="",DesarrolloPartidos[[#This Row],[Partidos4]],DesarrolloPartidos[[#This Row],[Partidos3]])</f>
        <v>7</v>
      </c>
      <c r="K416" t="str">
        <f>+DesarrolloPartidos[[#This Row],[Jugadores]]&amp;":"&amp;DesarrolloPartidos[[#This Row],[Orden]]</f>
        <v>30:25</v>
      </c>
    </row>
    <row r="417" spans="1:11">
      <c r="A417">
        <f t="shared" si="35"/>
        <v>30</v>
      </c>
      <c r="B417">
        <f t="shared" si="34"/>
        <v>8</v>
      </c>
      <c r="C417">
        <f t="shared" si="36"/>
        <v>2</v>
      </c>
      <c r="D417">
        <f t="shared" si="37"/>
        <v>6</v>
      </c>
      <c r="E417">
        <f t="shared" si="38"/>
        <v>26</v>
      </c>
      <c r="F417">
        <f>3*DesarrolloPartidos[[#This Row],[Partidos_3]]</f>
        <v>6</v>
      </c>
      <c r="G417">
        <f>IF(DesarrolloPartidos[[#This Row],[Partidos_3]]=0,0,ROUNDUP(DesarrolloPartidos[[#This Row],[Orden]]/DesarrolloPartidos[[#This Row],[JugEnPart3]]*DesarrolloPartidos[[#This Row],[Partidos_3]],0))</f>
        <v>9</v>
      </c>
      <c r="H417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7</v>
      </c>
      <c r="I417" t="str">
        <f>IF(AND(DesarrolloPartidos[[#This Row],[PartidosSolo3]]&lt;=DesarrolloPartidos[[#This Row],[Partidos_3]],DesarrolloPartidos[[#This Row],[PartidosSolo3]]&lt;&gt;0),DesarrolloPartidos[[#This Row],[PartidosSolo3]],"")</f>
        <v/>
      </c>
      <c r="J417">
        <f>+IF(DesarrolloPartidos[[#This Row],[Partidos3]]="",DesarrolloPartidos[[#This Row],[Partidos4]],DesarrolloPartidos[[#This Row],[Partidos3]])</f>
        <v>7</v>
      </c>
      <c r="K417" t="str">
        <f>+DesarrolloPartidos[[#This Row],[Jugadores]]&amp;":"&amp;DesarrolloPartidos[[#This Row],[Orden]]</f>
        <v>30:26</v>
      </c>
    </row>
    <row r="418" spans="1:11">
      <c r="A418">
        <f t="shared" si="35"/>
        <v>30</v>
      </c>
      <c r="B418">
        <f t="shared" si="34"/>
        <v>8</v>
      </c>
      <c r="C418">
        <f t="shared" si="36"/>
        <v>2</v>
      </c>
      <c r="D418">
        <f t="shared" si="37"/>
        <v>6</v>
      </c>
      <c r="E418">
        <f t="shared" si="38"/>
        <v>27</v>
      </c>
      <c r="F418">
        <f>3*DesarrolloPartidos[[#This Row],[Partidos_3]]</f>
        <v>6</v>
      </c>
      <c r="G418">
        <f>IF(DesarrolloPartidos[[#This Row],[Partidos_3]]=0,0,ROUNDUP(DesarrolloPartidos[[#This Row],[Orden]]/DesarrolloPartidos[[#This Row],[JugEnPart3]]*DesarrolloPartidos[[#This Row],[Partidos_3]],0))</f>
        <v>9</v>
      </c>
      <c r="H418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8</v>
      </c>
      <c r="I418" t="str">
        <f>IF(AND(DesarrolloPartidos[[#This Row],[PartidosSolo3]]&lt;=DesarrolloPartidos[[#This Row],[Partidos_3]],DesarrolloPartidos[[#This Row],[PartidosSolo3]]&lt;&gt;0),DesarrolloPartidos[[#This Row],[PartidosSolo3]],"")</f>
        <v/>
      </c>
      <c r="J418">
        <f>+IF(DesarrolloPartidos[[#This Row],[Partidos3]]="",DesarrolloPartidos[[#This Row],[Partidos4]],DesarrolloPartidos[[#This Row],[Partidos3]])</f>
        <v>8</v>
      </c>
      <c r="K418" t="str">
        <f>+DesarrolloPartidos[[#This Row],[Jugadores]]&amp;":"&amp;DesarrolloPartidos[[#This Row],[Orden]]</f>
        <v>30:27</v>
      </c>
    </row>
    <row r="419" spans="1:11">
      <c r="A419">
        <f t="shared" si="35"/>
        <v>30</v>
      </c>
      <c r="B419">
        <f t="shared" si="34"/>
        <v>8</v>
      </c>
      <c r="C419">
        <f t="shared" si="36"/>
        <v>2</v>
      </c>
      <c r="D419">
        <f t="shared" si="37"/>
        <v>6</v>
      </c>
      <c r="E419">
        <f t="shared" si="38"/>
        <v>28</v>
      </c>
      <c r="F419">
        <f>3*DesarrolloPartidos[[#This Row],[Partidos_3]]</f>
        <v>6</v>
      </c>
      <c r="G419">
        <f>IF(DesarrolloPartidos[[#This Row],[Partidos_3]]=0,0,ROUNDUP(DesarrolloPartidos[[#This Row],[Orden]]/DesarrolloPartidos[[#This Row],[JugEnPart3]]*DesarrolloPartidos[[#This Row],[Partidos_3]],0))</f>
        <v>10</v>
      </c>
      <c r="H419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8</v>
      </c>
      <c r="I419" t="str">
        <f>IF(AND(DesarrolloPartidos[[#This Row],[PartidosSolo3]]&lt;=DesarrolloPartidos[[#This Row],[Partidos_3]],DesarrolloPartidos[[#This Row],[PartidosSolo3]]&lt;&gt;0),DesarrolloPartidos[[#This Row],[PartidosSolo3]],"")</f>
        <v/>
      </c>
      <c r="J419">
        <f>+IF(DesarrolloPartidos[[#This Row],[Partidos3]]="",DesarrolloPartidos[[#This Row],[Partidos4]],DesarrolloPartidos[[#This Row],[Partidos3]])</f>
        <v>8</v>
      </c>
      <c r="K419" t="str">
        <f>+DesarrolloPartidos[[#This Row],[Jugadores]]&amp;":"&amp;DesarrolloPartidos[[#This Row],[Orden]]</f>
        <v>30:28</v>
      </c>
    </row>
    <row r="420" spans="1:11">
      <c r="A420">
        <f t="shared" si="35"/>
        <v>30</v>
      </c>
      <c r="B420">
        <f t="shared" si="34"/>
        <v>8</v>
      </c>
      <c r="C420">
        <f t="shared" si="36"/>
        <v>2</v>
      </c>
      <c r="D420">
        <f t="shared" si="37"/>
        <v>6</v>
      </c>
      <c r="E420">
        <f t="shared" si="38"/>
        <v>29</v>
      </c>
      <c r="F420">
        <f>3*DesarrolloPartidos[[#This Row],[Partidos_3]]</f>
        <v>6</v>
      </c>
      <c r="G420">
        <f>IF(DesarrolloPartidos[[#This Row],[Partidos_3]]=0,0,ROUNDUP(DesarrolloPartidos[[#This Row],[Orden]]/DesarrolloPartidos[[#This Row],[JugEnPart3]]*DesarrolloPartidos[[#This Row],[Partidos_3]],0))</f>
        <v>10</v>
      </c>
      <c r="H420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8</v>
      </c>
      <c r="I420" t="str">
        <f>IF(AND(DesarrolloPartidos[[#This Row],[PartidosSolo3]]&lt;=DesarrolloPartidos[[#This Row],[Partidos_3]],DesarrolloPartidos[[#This Row],[PartidosSolo3]]&lt;&gt;0),DesarrolloPartidos[[#This Row],[PartidosSolo3]],"")</f>
        <v/>
      </c>
      <c r="J420">
        <f>+IF(DesarrolloPartidos[[#This Row],[Partidos3]]="",DesarrolloPartidos[[#This Row],[Partidos4]],DesarrolloPartidos[[#This Row],[Partidos3]])</f>
        <v>8</v>
      </c>
      <c r="K420" t="str">
        <f>+DesarrolloPartidos[[#This Row],[Jugadores]]&amp;":"&amp;DesarrolloPartidos[[#This Row],[Orden]]</f>
        <v>30:29</v>
      </c>
    </row>
    <row r="421" spans="1:11">
      <c r="A421">
        <f t="shared" si="35"/>
        <v>30</v>
      </c>
      <c r="B421">
        <f t="shared" si="34"/>
        <v>8</v>
      </c>
      <c r="C421">
        <f t="shared" si="36"/>
        <v>2</v>
      </c>
      <c r="D421">
        <f t="shared" si="37"/>
        <v>6</v>
      </c>
      <c r="E421">
        <f t="shared" si="38"/>
        <v>30</v>
      </c>
      <c r="F421">
        <f>3*DesarrolloPartidos[[#This Row],[Partidos_3]]</f>
        <v>6</v>
      </c>
      <c r="G421">
        <f>IF(DesarrolloPartidos[[#This Row],[Partidos_3]]=0,0,ROUNDUP(DesarrolloPartidos[[#This Row],[Orden]]/DesarrolloPartidos[[#This Row],[JugEnPart3]]*DesarrolloPartidos[[#This Row],[Partidos_3]],0))</f>
        <v>10</v>
      </c>
      <c r="H421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8</v>
      </c>
      <c r="I421" t="str">
        <f>IF(AND(DesarrolloPartidos[[#This Row],[PartidosSolo3]]&lt;=DesarrolloPartidos[[#This Row],[Partidos_3]],DesarrolloPartidos[[#This Row],[PartidosSolo3]]&lt;&gt;0),DesarrolloPartidos[[#This Row],[PartidosSolo3]],"")</f>
        <v/>
      </c>
      <c r="J421">
        <f>+IF(DesarrolloPartidos[[#This Row],[Partidos3]]="",DesarrolloPartidos[[#This Row],[Partidos4]],DesarrolloPartidos[[#This Row],[Partidos3]])</f>
        <v>8</v>
      </c>
      <c r="K421" t="str">
        <f>+DesarrolloPartidos[[#This Row],[Jugadores]]&amp;":"&amp;DesarrolloPartidos[[#This Row],[Orden]]</f>
        <v>30:30</v>
      </c>
    </row>
    <row r="422" spans="1:11">
      <c r="A422">
        <f t="shared" si="35"/>
        <v>31</v>
      </c>
      <c r="B422">
        <f t="shared" si="34"/>
        <v>8</v>
      </c>
      <c r="C422">
        <f t="shared" si="36"/>
        <v>1</v>
      </c>
      <c r="D422">
        <f t="shared" si="37"/>
        <v>7</v>
      </c>
      <c r="E422">
        <f t="shared" si="38"/>
        <v>1</v>
      </c>
      <c r="F422">
        <f>3*DesarrolloPartidos[[#This Row],[Partidos_3]]</f>
        <v>3</v>
      </c>
      <c r="G422">
        <f>IF(DesarrolloPartidos[[#This Row],[Partidos_3]]=0,0,ROUNDUP(DesarrolloPartidos[[#This Row],[Orden]]/DesarrolloPartidos[[#This Row],[JugEnPart3]]*DesarrolloPartidos[[#This Row],[Partidos_3]],0))</f>
        <v>1</v>
      </c>
      <c r="H422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422">
        <f>IF(AND(DesarrolloPartidos[[#This Row],[PartidosSolo3]]&lt;=DesarrolloPartidos[[#This Row],[Partidos_3]],DesarrolloPartidos[[#This Row],[PartidosSolo3]]&lt;&gt;0),DesarrolloPartidos[[#This Row],[PartidosSolo3]],"")</f>
        <v>1</v>
      </c>
      <c r="J422">
        <f>+IF(DesarrolloPartidos[[#This Row],[Partidos3]]="",DesarrolloPartidos[[#This Row],[Partidos4]],DesarrolloPartidos[[#This Row],[Partidos3]])</f>
        <v>1</v>
      </c>
      <c r="K422" t="str">
        <f>+DesarrolloPartidos[[#This Row],[Jugadores]]&amp;":"&amp;DesarrolloPartidos[[#This Row],[Orden]]</f>
        <v>31:1</v>
      </c>
    </row>
    <row r="423" spans="1:11">
      <c r="A423">
        <f t="shared" si="35"/>
        <v>31</v>
      </c>
      <c r="B423">
        <f t="shared" si="34"/>
        <v>8</v>
      </c>
      <c r="C423">
        <f t="shared" si="36"/>
        <v>1</v>
      </c>
      <c r="D423">
        <f t="shared" si="37"/>
        <v>7</v>
      </c>
      <c r="E423">
        <f t="shared" si="38"/>
        <v>2</v>
      </c>
      <c r="F423">
        <f>3*DesarrolloPartidos[[#This Row],[Partidos_3]]</f>
        <v>3</v>
      </c>
      <c r="G423">
        <f>IF(DesarrolloPartidos[[#This Row],[Partidos_3]]=0,0,ROUNDUP(DesarrolloPartidos[[#This Row],[Orden]]/DesarrolloPartidos[[#This Row],[JugEnPart3]]*DesarrolloPartidos[[#This Row],[Partidos_3]],0))</f>
        <v>1</v>
      </c>
      <c r="H423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423">
        <f>IF(AND(DesarrolloPartidos[[#This Row],[PartidosSolo3]]&lt;=DesarrolloPartidos[[#This Row],[Partidos_3]],DesarrolloPartidos[[#This Row],[PartidosSolo3]]&lt;&gt;0),DesarrolloPartidos[[#This Row],[PartidosSolo3]],"")</f>
        <v>1</v>
      </c>
      <c r="J423">
        <f>+IF(DesarrolloPartidos[[#This Row],[Partidos3]]="",DesarrolloPartidos[[#This Row],[Partidos4]],DesarrolloPartidos[[#This Row],[Partidos3]])</f>
        <v>1</v>
      </c>
      <c r="K423" t="str">
        <f>+DesarrolloPartidos[[#This Row],[Jugadores]]&amp;":"&amp;DesarrolloPartidos[[#This Row],[Orden]]</f>
        <v>31:2</v>
      </c>
    </row>
    <row r="424" spans="1:11">
      <c r="A424">
        <f t="shared" si="35"/>
        <v>31</v>
      </c>
      <c r="B424">
        <f t="shared" si="34"/>
        <v>8</v>
      </c>
      <c r="C424">
        <f t="shared" si="36"/>
        <v>1</v>
      </c>
      <c r="D424">
        <f t="shared" si="37"/>
        <v>7</v>
      </c>
      <c r="E424">
        <f t="shared" si="38"/>
        <v>3</v>
      </c>
      <c r="F424">
        <f>3*DesarrolloPartidos[[#This Row],[Partidos_3]]</f>
        <v>3</v>
      </c>
      <c r="G424">
        <f>IF(DesarrolloPartidos[[#This Row],[Partidos_3]]=0,0,ROUNDUP(DesarrolloPartidos[[#This Row],[Orden]]/DesarrolloPartidos[[#This Row],[JugEnPart3]]*DesarrolloPartidos[[#This Row],[Partidos_3]],0))</f>
        <v>1</v>
      </c>
      <c r="H424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424">
        <f>IF(AND(DesarrolloPartidos[[#This Row],[PartidosSolo3]]&lt;=DesarrolloPartidos[[#This Row],[Partidos_3]],DesarrolloPartidos[[#This Row],[PartidosSolo3]]&lt;&gt;0),DesarrolloPartidos[[#This Row],[PartidosSolo3]],"")</f>
        <v>1</v>
      </c>
      <c r="J424">
        <f>+IF(DesarrolloPartidos[[#This Row],[Partidos3]]="",DesarrolloPartidos[[#This Row],[Partidos4]],DesarrolloPartidos[[#This Row],[Partidos3]])</f>
        <v>1</v>
      </c>
      <c r="K424" t="str">
        <f>+DesarrolloPartidos[[#This Row],[Jugadores]]&amp;":"&amp;DesarrolloPartidos[[#This Row],[Orden]]</f>
        <v>31:3</v>
      </c>
    </row>
    <row r="425" spans="1:11">
      <c r="A425">
        <f t="shared" si="35"/>
        <v>31</v>
      </c>
      <c r="B425">
        <f t="shared" si="34"/>
        <v>8</v>
      </c>
      <c r="C425">
        <f t="shared" si="36"/>
        <v>1</v>
      </c>
      <c r="D425">
        <f t="shared" si="37"/>
        <v>7</v>
      </c>
      <c r="E425">
        <f t="shared" si="38"/>
        <v>4</v>
      </c>
      <c r="F425">
        <f>3*DesarrolloPartidos[[#This Row],[Partidos_3]]</f>
        <v>3</v>
      </c>
      <c r="G425">
        <f>IF(DesarrolloPartidos[[#This Row],[Partidos_3]]=0,0,ROUNDUP(DesarrolloPartidos[[#This Row],[Orden]]/DesarrolloPartidos[[#This Row],[JugEnPart3]]*DesarrolloPartidos[[#This Row],[Partidos_3]],0))</f>
        <v>2</v>
      </c>
      <c r="H425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2</v>
      </c>
      <c r="I425" t="str">
        <f>IF(AND(DesarrolloPartidos[[#This Row],[PartidosSolo3]]&lt;=DesarrolloPartidos[[#This Row],[Partidos_3]],DesarrolloPartidos[[#This Row],[PartidosSolo3]]&lt;&gt;0),DesarrolloPartidos[[#This Row],[PartidosSolo3]],"")</f>
        <v/>
      </c>
      <c r="J425">
        <f>+IF(DesarrolloPartidos[[#This Row],[Partidos3]]="",DesarrolloPartidos[[#This Row],[Partidos4]],DesarrolloPartidos[[#This Row],[Partidos3]])</f>
        <v>2</v>
      </c>
      <c r="K425" t="str">
        <f>+DesarrolloPartidos[[#This Row],[Jugadores]]&amp;":"&amp;DesarrolloPartidos[[#This Row],[Orden]]</f>
        <v>31:4</v>
      </c>
    </row>
    <row r="426" spans="1:11">
      <c r="A426">
        <f t="shared" si="35"/>
        <v>31</v>
      </c>
      <c r="B426">
        <f t="shared" si="34"/>
        <v>8</v>
      </c>
      <c r="C426">
        <f t="shared" si="36"/>
        <v>1</v>
      </c>
      <c r="D426">
        <f t="shared" si="37"/>
        <v>7</v>
      </c>
      <c r="E426">
        <f t="shared" si="38"/>
        <v>5</v>
      </c>
      <c r="F426">
        <f>3*DesarrolloPartidos[[#This Row],[Partidos_3]]</f>
        <v>3</v>
      </c>
      <c r="G426">
        <f>IF(DesarrolloPartidos[[#This Row],[Partidos_3]]=0,0,ROUNDUP(DesarrolloPartidos[[#This Row],[Orden]]/DesarrolloPartidos[[#This Row],[JugEnPart3]]*DesarrolloPartidos[[#This Row],[Partidos_3]],0))</f>
        <v>2</v>
      </c>
      <c r="H426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2</v>
      </c>
      <c r="I426" t="str">
        <f>IF(AND(DesarrolloPartidos[[#This Row],[PartidosSolo3]]&lt;=DesarrolloPartidos[[#This Row],[Partidos_3]],DesarrolloPartidos[[#This Row],[PartidosSolo3]]&lt;&gt;0),DesarrolloPartidos[[#This Row],[PartidosSolo3]],"")</f>
        <v/>
      </c>
      <c r="J426">
        <f>+IF(DesarrolloPartidos[[#This Row],[Partidos3]]="",DesarrolloPartidos[[#This Row],[Partidos4]],DesarrolloPartidos[[#This Row],[Partidos3]])</f>
        <v>2</v>
      </c>
      <c r="K426" t="str">
        <f>+DesarrolloPartidos[[#This Row],[Jugadores]]&amp;":"&amp;DesarrolloPartidos[[#This Row],[Orden]]</f>
        <v>31:5</v>
      </c>
    </row>
    <row r="427" spans="1:11">
      <c r="A427">
        <f t="shared" si="35"/>
        <v>31</v>
      </c>
      <c r="B427">
        <f t="shared" si="34"/>
        <v>8</v>
      </c>
      <c r="C427">
        <f t="shared" si="36"/>
        <v>1</v>
      </c>
      <c r="D427">
        <f t="shared" si="37"/>
        <v>7</v>
      </c>
      <c r="E427">
        <f t="shared" si="38"/>
        <v>6</v>
      </c>
      <c r="F427">
        <f>3*DesarrolloPartidos[[#This Row],[Partidos_3]]</f>
        <v>3</v>
      </c>
      <c r="G427">
        <f>IF(DesarrolloPartidos[[#This Row],[Partidos_3]]=0,0,ROUNDUP(DesarrolloPartidos[[#This Row],[Orden]]/DesarrolloPartidos[[#This Row],[JugEnPart3]]*DesarrolloPartidos[[#This Row],[Partidos_3]],0))</f>
        <v>2</v>
      </c>
      <c r="H427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2</v>
      </c>
      <c r="I427" t="str">
        <f>IF(AND(DesarrolloPartidos[[#This Row],[PartidosSolo3]]&lt;=DesarrolloPartidos[[#This Row],[Partidos_3]],DesarrolloPartidos[[#This Row],[PartidosSolo3]]&lt;&gt;0),DesarrolloPartidos[[#This Row],[PartidosSolo3]],"")</f>
        <v/>
      </c>
      <c r="J427">
        <f>+IF(DesarrolloPartidos[[#This Row],[Partidos3]]="",DesarrolloPartidos[[#This Row],[Partidos4]],DesarrolloPartidos[[#This Row],[Partidos3]])</f>
        <v>2</v>
      </c>
      <c r="K427" t="str">
        <f>+DesarrolloPartidos[[#This Row],[Jugadores]]&amp;":"&amp;DesarrolloPartidos[[#This Row],[Orden]]</f>
        <v>31:6</v>
      </c>
    </row>
    <row r="428" spans="1:11">
      <c r="A428">
        <f t="shared" si="35"/>
        <v>31</v>
      </c>
      <c r="B428">
        <f t="shared" si="34"/>
        <v>8</v>
      </c>
      <c r="C428">
        <f t="shared" si="36"/>
        <v>1</v>
      </c>
      <c r="D428">
        <f t="shared" si="37"/>
        <v>7</v>
      </c>
      <c r="E428">
        <f t="shared" si="38"/>
        <v>7</v>
      </c>
      <c r="F428">
        <f>3*DesarrolloPartidos[[#This Row],[Partidos_3]]</f>
        <v>3</v>
      </c>
      <c r="G428">
        <f>IF(DesarrolloPartidos[[#This Row],[Partidos_3]]=0,0,ROUNDUP(DesarrolloPartidos[[#This Row],[Orden]]/DesarrolloPartidos[[#This Row],[JugEnPart3]]*DesarrolloPartidos[[#This Row],[Partidos_3]],0))</f>
        <v>3</v>
      </c>
      <c r="H428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2</v>
      </c>
      <c r="I428" t="str">
        <f>IF(AND(DesarrolloPartidos[[#This Row],[PartidosSolo3]]&lt;=DesarrolloPartidos[[#This Row],[Partidos_3]],DesarrolloPartidos[[#This Row],[PartidosSolo3]]&lt;&gt;0),DesarrolloPartidos[[#This Row],[PartidosSolo3]],"")</f>
        <v/>
      </c>
      <c r="J428">
        <f>+IF(DesarrolloPartidos[[#This Row],[Partidos3]]="",DesarrolloPartidos[[#This Row],[Partidos4]],DesarrolloPartidos[[#This Row],[Partidos3]])</f>
        <v>2</v>
      </c>
      <c r="K428" t="str">
        <f>+DesarrolloPartidos[[#This Row],[Jugadores]]&amp;":"&amp;DesarrolloPartidos[[#This Row],[Orden]]</f>
        <v>31:7</v>
      </c>
    </row>
    <row r="429" spans="1:11">
      <c r="A429">
        <f t="shared" si="35"/>
        <v>31</v>
      </c>
      <c r="B429">
        <f t="shared" si="34"/>
        <v>8</v>
      </c>
      <c r="C429">
        <f t="shared" si="36"/>
        <v>1</v>
      </c>
      <c r="D429">
        <f t="shared" si="37"/>
        <v>7</v>
      </c>
      <c r="E429">
        <f t="shared" si="38"/>
        <v>8</v>
      </c>
      <c r="F429">
        <f>3*DesarrolloPartidos[[#This Row],[Partidos_3]]</f>
        <v>3</v>
      </c>
      <c r="G429">
        <f>IF(DesarrolloPartidos[[#This Row],[Partidos_3]]=0,0,ROUNDUP(DesarrolloPartidos[[#This Row],[Orden]]/DesarrolloPartidos[[#This Row],[JugEnPart3]]*DesarrolloPartidos[[#This Row],[Partidos_3]],0))</f>
        <v>3</v>
      </c>
      <c r="H429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3</v>
      </c>
      <c r="I429" t="str">
        <f>IF(AND(DesarrolloPartidos[[#This Row],[PartidosSolo3]]&lt;=DesarrolloPartidos[[#This Row],[Partidos_3]],DesarrolloPartidos[[#This Row],[PartidosSolo3]]&lt;&gt;0),DesarrolloPartidos[[#This Row],[PartidosSolo3]],"")</f>
        <v/>
      </c>
      <c r="J429">
        <f>+IF(DesarrolloPartidos[[#This Row],[Partidos3]]="",DesarrolloPartidos[[#This Row],[Partidos4]],DesarrolloPartidos[[#This Row],[Partidos3]])</f>
        <v>3</v>
      </c>
      <c r="K429" t="str">
        <f>+DesarrolloPartidos[[#This Row],[Jugadores]]&amp;":"&amp;DesarrolloPartidos[[#This Row],[Orden]]</f>
        <v>31:8</v>
      </c>
    </row>
    <row r="430" spans="1:11">
      <c r="A430">
        <f t="shared" si="35"/>
        <v>31</v>
      </c>
      <c r="B430">
        <f t="shared" si="34"/>
        <v>8</v>
      </c>
      <c r="C430">
        <f t="shared" si="36"/>
        <v>1</v>
      </c>
      <c r="D430">
        <f t="shared" si="37"/>
        <v>7</v>
      </c>
      <c r="E430">
        <f t="shared" si="38"/>
        <v>9</v>
      </c>
      <c r="F430">
        <f>3*DesarrolloPartidos[[#This Row],[Partidos_3]]</f>
        <v>3</v>
      </c>
      <c r="G430">
        <f>IF(DesarrolloPartidos[[#This Row],[Partidos_3]]=0,0,ROUNDUP(DesarrolloPartidos[[#This Row],[Orden]]/DesarrolloPartidos[[#This Row],[JugEnPart3]]*DesarrolloPartidos[[#This Row],[Partidos_3]],0))</f>
        <v>3</v>
      </c>
      <c r="H430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3</v>
      </c>
      <c r="I430" t="str">
        <f>IF(AND(DesarrolloPartidos[[#This Row],[PartidosSolo3]]&lt;=DesarrolloPartidos[[#This Row],[Partidos_3]],DesarrolloPartidos[[#This Row],[PartidosSolo3]]&lt;&gt;0),DesarrolloPartidos[[#This Row],[PartidosSolo3]],"")</f>
        <v/>
      </c>
      <c r="J430">
        <f>+IF(DesarrolloPartidos[[#This Row],[Partidos3]]="",DesarrolloPartidos[[#This Row],[Partidos4]],DesarrolloPartidos[[#This Row],[Partidos3]])</f>
        <v>3</v>
      </c>
      <c r="K430" t="str">
        <f>+DesarrolloPartidos[[#This Row],[Jugadores]]&amp;":"&amp;DesarrolloPartidos[[#This Row],[Orden]]</f>
        <v>31:9</v>
      </c>
    </row>
    <row r="431" spans="1:11">
      <c r="A431">
        <f t="shared" si="35"/>
        <v>31</v>
      </c>
      <c r="B431">
        <f t="shared" si="34"/>
        <v>8</v>
      </c>
      <c r="C431">
        <f t="shared" si="36"/>
        <v>1</v>
      </c>
      <c r="D431">
        <f t="shared" si="37"/>
        <v>7</v>
      </c>
      <c r="E431">
        <f t="shared" si="38"/>
        <v>10</v>
      </c>
      <c r="F431">
        <f>3*DesarrolloPartidos[[#This Row],[Partidos_3]]</f>
        <v>3</v>
      </c>
      <c r="G431">
        <f>IF(DesarrolloPartidos[[#This Row],[Partidos_3]]=0,0,ROUNDUP(DesarrolloPartidos[[#This Row],[Orden]]/DesarrolloPartidos[[#This Row],[JugEnPart3]]*DesarrolloPartidos[[#This Row],[Partidos_3]],0))</f>
        <v>4</v>
      </c>
      <c r="H431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3</v>
      </c>
      <c r="I431" t="str">
        <f>IF(AND(DesarrolloPartidos[[#This Row],[PartidosSolo3]]&lt;=DesarrolloPartidos[[#This Row],[Partidos_3]],DesarrolloPartidos[[#This Row],[PartidosSolo3]]&lt;&gt;0),DesarrolloPartidos[[#This Row],[PartidosSolo3]],"")</f>
        <v/>
      </c>
      <c r="J431">
        <f>+IF(DesarrolloPartidos[[#This Row],[Partidos3]]="",DesarrolloPartidos[[#This Row],[Partidos4]],DesarrolloPartidos[[#This Row],[Partidos3]])</f>
        <v>3</v>
      </c>
      <c r="K431" t="str">
        <f>+DesarrolloPartidos[[#This Row],[Jugadores]]&amp;":"&amp;DesarrolloPartidos[[#This Row],[Orden]]</f>
        <v>31:10</v>
      </c>
    </row>
    <row r="432" spans="1:11">
      <c r="A432">
        <f t="shared" si="35"/>
        <v>31</v>
      </c>
      <c r="B432">
        <f t="shared" si="34"/>
        <v>8</v>
      </c>
      <c r="C432">
        <f t="shared" si="36"/>
        <v>1</v>
      </c>
      <c r="D432">
        <f t="shared" si="37"/>
        <v>7</v>
      </c>
      <c r="E432">
        <f t="shared" si="38"/>
        <v>11</v>
      </c>
      <c r="F432">
        <f>3*DesarrolloPartidos[[#This Row],[Partidos_3]]</f>
        <v>3</v>
      </c>
      <c r="G432">
        <f>IF(DesarrolloPartidos[[#This Row],[Partidos_3]]=0,0,ROUNDUP(DesarrolloPartidos[[#This Row],[Orden]]/DesarrolloPartidos[[#This Row],[JugEnPart3]]*DesarrolloPartidos[[#This Row],[Partidos_3]],0))</f>
        <v>4</v>
      </c>
      <c r="H432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3</v>
      </c>
      <c r="I432" t="str">
        <f>IF(AND(DesarrolloPartidos[[#This Row],[PartidosSolo3]]&lt;=DesarrolloPartidos[[#This Row],[Partidos_3]],DesarrolloPartidos[[#This Row],[PartidosSolo3]]&lt;&gt;0),DesarrolloPartidos[[#This Row],[PartidosSolo3]],"")</f>
        <v/>
      </c>
      <c r="J432">
        <f>+IF(DesarrolloPartidos[[#This Row],[Partidos3]]="",DesarrolloPartidos[[#This Row],[Partidos4]],DesarrolloPartidos[[#This Row],[Partidos3]])</f>
        <v>3</v>
      </c>
      <c r="K432" t="str">
        <f>+DesarrolloPartidos[[#This Row],[Jugadores]]&amp;":"&amp;DesarrolloPartidos[[#This Row],[Orden]]</f>
        <v>31:11</v>
      </c>
    </row>
    <row r="433" spans="1:11">
      <c r="A433">
        <f t="shared" si="35"/>
        <v>31</v>
      </c>
      <c r="B433">
        <f t="shared" si="34"/>
        <v>8</v>
      </c>
      <c r="C433">
        <f t="shared" si="36"/>
        <v>1</v>
      </c>
      <c r="D433">
        <f t="shared" si="37"/>
        <v>7</v>
      </c>
      <c r="E433">
        <f t="shared" si="38"/>
        <v>12</v>
      </c>
      <c r="F433">
        <f>3*DesarrolloPartidos[[#This Row],[Partidos_3]]</f>
        <v>3</v>
      </c>
      <c r="G433">
        <f>IF(DesarrolloPartidos[[#This Row],[Partidos_3]]=0,0,ROUNDUP(DesarrolloPartidos[[#This Row],[Orden]]/DesarrolloPartidos[[#This Row],[JugEnPart3]]*DesarrolloPartidos[[#This Row],[Partidos_3]],0))</f>
        <v>4</v>
      </c>
      <c r="H433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433" t="str">
        <f>IF(AND(DesarrolloPartidos[[#This Row],[PartidosSolo3]]&lt;=DesarrolloPartidos[[#This Row],[Partidos_3]],DesarrolloPartidos[[#This Row],[PartidosSolo3]]&lt;&gt;0),DesarrolloPartidos[[#This Row],[PartidosSolo3]],"")</f>
        <v/>
      </c>
      <c r="J433">
        <f>+IF(DesarrolloPartidos[[#This Row],[Partidos3]]="",DesarrolloPartidos[[#This Row],[Partidos4]],DesarrolloPartidos[[#This Row],[Partidos3]])</f>
        <v>4</v>
      </c>
      <c r="K433" t="str">
        <f>+DesarrolloPartidos[[#This Row],[Jugadores]]&amp;":"&amp;DesarrolloPartidos[[#This Row],[Orden]]</f>
        <v>31:12</v>
      </c>
    </row>
    <row r="434" spans="1:11">
      <c r="A434">
        <f t="shared" si="35"/>
        <v>31</v>
      </c>
      <c r="B434">
        <f t="shared" si="34"/>
        <v>8</v>
      </c>
      <c r="C434">
        <f t="shared" si="36"/>
        <v>1</v>
      </c>
      <c r="D434">
        <f t="shared" si="37"/>
        <v>7</v>
      </c>
      <c r="E434">
        <f t="shared" si="38"/>
        <v>13</v>
      </c>
      <c r="F434">
        <f>3*DesarrolloPartidos[[#This Row],[Partidos_3]]</f>
        <v>3</v>
      </c>
      <c r="G434">
        <f>IF(DesarrolloPartidos[[#This Row],[Partidos_3]]=0,0,ROUNDUP(DesarrolloPartidos[[#This Row],[Orden]]/DesarrolloPartidos[[#This Row],[JugEnPart3]]*DesarrolloPartidos[[#This Row],[Partidos_3]],0))</f>
        <v>5</v>
      </c>
      <c r="H434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434" t="str">
        <f>IF(AND(DesarrolloPartidos[[#This Row],[PartidosSolo3]]&lt;=DesarrolloPartidos[[#This Row],[Partidos_3]],DesarrolloPartidos[[#This Row],[PartidosSolo3]]&lt;&gt;0),DesarrolloPartidos[[#This Row],[PartidosSolo3]],"")</f>
        <v/>
      </c>
      <c r="J434">
        <f>+IF(DesarrolloPartidos[[#This Row],[Partidos3]]="",DesarrolloPartidos[[#This Row],[Partidos4]],DesarrolloPartidos[[#This Row],[Partidos3]])</f>
        <v>4</v>
      </c>
      <c r="K434" t="str">
        <f>+DesarrolloPartidos[[#This Row],[Jugadores]]&amp;":"&amp;DesarrolloPartidos[[#This Row],[Orden]]</f>
        <v>31:13</v>
      </c>
    </row>
    <row r="435" spans="1:11">
      <c r="A435">
        <f t="shared" si="35"/>
        <v>31</v>
      </c>
      <c r="B435">
        <f t="shared" si="34"/>
        <v>8</v>
      </c>
      <c r="C435">
        <f t="shared" si="36"/>
        <v>1</v>
      </c>
      <c r="D435">
        <f t="shared" si="37"/>
        <v>7</v>
      </c>
      <c r="E435">
        <f t="shared" si="38"/>
        <v>14</v>
      </c>
      <c r="F435">
        <f>3*DesarrolloPartidos[[#This Row],[Partidos_3]]</f>
        <v>3</v>
      </c>
      <c r="G435">
        <f>IF(DesarrolloPartidos[[#This Row],[Partidos_3]]=0,0,ROUNDUP(DesarrolloPartidos[[#This Row],[Orden]]/DesarrolloPartidos[[#This Row],[JugEnPart3]]*DesarrolloPartidos[[#This Row],[Partidos_3]],0))</f>
        <v>5</v>
      </c>
      <c r="H435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435" t="str">
        <f>IF(AND(DesarrolloPartidos[[#This Row],[PartidosSolo3]]&lt;=DesarrolloPartidos[[#This Row],[Partidos_3]],DesarrolloPartidos[[#This Row],[PartidosSolo3]]&lt;&gt;0),DesarrolloPartidos[[#This Row],[PartidosSolo3]],"")</f>
        <v/>
      </c>
      <c r="J435">
        <f>+IF(DesarrolloPartidos[[#This Row],[Partidos3]]="",DesarrolloPartidos[[#This Row],[Partidos4]],DesarrolloPartidos[[#This Row],[Partidos3]])</f>
        <v>4</v>
      </c>
      <c r="K435" t="str">
        <f>+DesarrolloPartidos[[#This Row],[Jugadores]]&amp;":"&amp;DesarrolloPartidos[[#This Row],[Orden]]</f>
        <v>31:14</v>
      </c>
    </row>
    <row r="436" spans="1:11">
      <c r="A436">
        <f t="shared" si="35"/>
        <v>31</v>
      </c>
      <c r="B436">
        <f t="shared" si="34"/>
        <v>8</v>
      </c>
      <c r="C436">
        <f t="shared" si="36"/>
        <v>1</v>
      </c>
      <c r="D436">
        <f t="shared" si="37"/>
        <v>7</v>
      </c>
      <c r="E436">
        <f t="shared" si="38"/>
        <v>15</v>
      </c>
      <c r="F436">
        <f>3*DesarrolloPartidos[[#This Row],[Partidos_3]]</f>
        <v>3</v>
      </c>
      <c r="G436">
        <f>IF(DesarrolloPartidos[[#This Row],[Partidos_3]]=0,0,ROUNDUP(DesarrolloPartidos[[#This Row],[Orden]]/DesarrolloPartidos[[#This Row],[JugEnPart3]]*DesarrolloPartidos[[#This Row],[Partidos_3]],0))</f>
        <v>5</v>
      </c>
      <c r="H436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436" t="str">
        <f>IF(AND(DesarrolloPartidos[[#This Row],[PartidosSolo3]]&lt;=DesarrolloPartidos[[#This Row],[Partidos_3]],DesarrolloPartidos[[#This Row],[PartidosSolo3]]&lt;&gt;0),DesarrolloPartidos[[#This Row],[PartidosSolo3]],"")</f>
        <v/>
      </c>
      <c r="J436">
        <f>+IF(DesarrolloPartidos[[#This Row],[Partidos3]]="",DesarrolloPartidos[[#This Row],[Partidos4]],DesarrolloPartidos[[#This Row],[Partidos3]])</f>
        <v>4</v>
      </c>
      <c r="K436" t="str">
        <f>+DesarrolloPartidos[[#This Row],[Jugadores]]&amp;":"&amp;DesarrolloPartidos[[#This Row],[Orden]]</f>
        <v>31:15</v>
      </c>
    </row>
    <row r="437" spans="1:11">
      <c r="A437">
        <f t="shared" si="35"/>
        <v>31</v>
      </c>
      <c r="B437">
        <f t="shared" si="34"/>
        <v>8</v>
      </c>
      <c r="C437">
        <f t="shared" si="36"/>
        <v>1</v>
      </c>
      <c r="D437">
        <f t="shared" si="37"/>
        <v>7</v>
      </c>
      <c r="E437">
        <f t="shared" si="38"/>
        <v>16</v>
      </c>
      <c r="F437">
        <f>3*DesarrolloPartidos[[#This Row],[Partidos_3]]</f>
        <v>3</v>
      </c>
      <c r="G437">
        <f>IF(DesarrolloPartidos[[#This Row],[Partidos_3]]=0,0,ROUNDUP(DesarrolloPartidos[[#This Row],[Orden]]/DesarrolloPartidos[[#This Row],[JugEnPart3]]*DesarrolloPartidos[[#This Row],[Partidos_3]],0))</f>
        <v>6</v>
      </c>
      <c r="H437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5</v>
      </c>
      <c r="I437" t="str">
        <f>IF(AND(DesarrolloPartidos[[#This Row],[PartidosSolo3]]&lt;=DesarrolloPartidos[[#This Row],[Partidos_3]],DesarrolloPartidos[[#This Row],[PartidosSolo3]]&lt;&gt;0),DesarrolloPartidos[[#This Row],[PartidosSolo3]],"")</f>
        <v/>
      </c>
      <c r="J437">
        <f>+IF(DesarrolloPartidos[[#This Row],[Partidos3]]="",DesarrolloPartidos[[#This Row],[Partidos4]],DesarrolloPartidos[[#This Row],[Partidos3]])</f>
        <v>5</v>
      </c>
      <c r="K437" t="str">
        <f>+DesarrolloPartidos[[#This Row],[Jugadores]]&amp;":"&amp;DesarrolloPartidos[[#This Row],[Orden]]</f>
        <v>31:16</v>
      </c>
    </row>
    <row r="438" spans="1:11">
      <c r="A438">
        <f t="shared" si="35"/>
        <v>31</v>
      </c>
      <c r="B438">
        <f t="shared" si="34"/>
        <v>8</v>
      </c>
      <c r="C438">
        <f t="shared" si="36"/>
        <v>1</v>
      </c>
      <c r="D438">
        <f t="shared" si="37"/>
        <v>7</v>
      </c>
      <c r="E438">
        <f t="shared" si="38"/>
        <v>17</v>
      </c>
      <c r="F438">
        <f>3*DesarrolloPartidos[[#This Row],[Partidos_3]]</f>
        <v>3</v>
      </c>
      <c r="G438">
        <f>IF(DesarrolloPartidos[[#This Row],[Partidos_3]]=0,0,ROUNDUP(DesarrolloPartidos[[#This Row],[Orden]]/DesarrolloPartidos[[#This Row],[JugEnPart3]]*DesarrolloPartidos[[#This Row],[Partidos_3]],0))</f>
        <v>6</v>
      </c>
      <c r="H438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5</v>
      </c>
      <c r="I438" t="str">
        <f>IF(AND(DesarrolloPartidos[[#This Row],[PartidosSolo3]]&lt;=DesarrolloPartidos[[#This Row],[Partidos_3]],DesarrolloPartidos[[#This Row],[PartidosSolo3]]&lt;&gt;0),DesarrolloPartidos[[#This Row],[PartidosSolo3]],"")</f>
        <v/>
      </c>
      <c r="J438">
        <f>+IF(DesarrolloPartidos[[#This Row],[Partidos3]]="",DesarrolloPartidos[[#This Row],[Partidos4]],DesarrolloPartidos[[#This Row],[Partidos3]])</f>
        <v>5</v>
      </c>
      <c r="K438" t="str">
        <f>+DesarrolloPartidos[[#This Row],[Jugadores]]&amp;":"&amp;DesarrolloPartidos[[#This Row],[Orden]]</f>
        <v>31:17</v>
      </c>
    </row>
    <row r="439" spans="1:11">
      <c r="A439">
        <f t="shared" si="35"/>
        <v>31</v>
      </c>
      <c r="B439">
        <f t="shared" si="34"/>
        <v>8</v>
      </c>
      <c r="C439">
        <f t="shared" si="36"/>
        <v>1</v>
      </c>
      <c r="D439">
        <f t="shared" si="37"/>
        <v>7</v>
      </c>
      <c r="E439">
        <f t="shared" si="38"/>
        <v>18</v>
      </c>
      <c r="F439">
        <f>3*DesarrolloPartidos[[#This Row],[Partidos_3]]</f>
        <v>3</v>
      </c>
      <c r="G439">
        <f>IF(DesarrolloPartidos[[#This Row],[Partidos_3]]=0,0,ROUNDUP(DesarrolloPartidos[[#This Row],[Orden]]/DesarrolloPartidos[[#This Row],[JugEnPart3]]*DesarrolloPartidos[[#This Row],[Partidos_3]],0))</f>
        <v>6</v>
      </c>
      <c r="H439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5</v>
      </c>
      <c r="I439" t="str">
        <f>IF(AND(DesarrolloPartidos[[#This Row],[PartidosSolo3]]&lt;=DesarrolloPartidos[[#This Row],[Partidos_3]],DesarrolloPartidos[[#This Row],[PartidosSolo3]]&lt;&gt;0),DesarrolloPartidos[[#This Row],[PartidosSolo3]],"")</f>
        <v/>
      </c>
      <c r="J439">
        <f>+IF(DesarrolloPartidos[[#This Row],[Partidos3]]="",DesarrolloPartidos[[#This Row],[Partidos4]],DesarrolloPartidos[[#This Row],[Partidos3]])</f>
        <v>5</v>
      </c>
      <c r="K439" t="str">
        <f>+DesarrolloPartidos[[#This Row],[Jugadores]]&amp;":"&amp;DesarrolloPartidos[[#This Row],[Orden]]</f>
        <v>31:18</v>
      </c>
    </row>
    <row r="440" spans="1:11">
      <c r="A440">
        <f t="shared" si="35"/>
        <v>31</v>
      </c>
      <c r="B440">
        <f t="shared" si="34"/>
        <v>8</v>
      </c>
      <c r="C440">
        <f t="shared" si="36"/>
        <v>1</v>
      </c>
      <c r="D440">
        <f t="shared" si="37"/>
        <v>7</v>
      </c>
      <c r="E440">
        <f t="shared" si="38"/>
        <v>19</v>
      </c>
      <c r="F440">
        <f>3*DesarrolloPartidos[[#This Row],[Partidos_3]]</f>
        <v>3</v>
      </c>
      <c r="G440">
        <f>IF(DesarrolloPartidos[[#This Row],[Partidos_3]]=0,0,ROUNDUP(DesarrolloPartidos[[#This Row],[Orden]]/DesarrolloPartidos[[#This Row],[JugEnPart3]]*DesarrolloPartidos[[#This Row],[Partidos_3]],0))</f>
        <v>7</v>
      </c>
      <c r="H440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5</v>
      </c>
      <c r="I440" t="str">
        <f>IF(AND(DesarrolloPartidos[[#This Row],[PartidosSolo3]]&lt;=DesarrolloPartidos[[#This Row],[Partidos_3]],DesarrolloPartidos[[#This Row],[PartidosSolo3]]&lt;&gt;0),DesarrolloPartidos[[#This Row],[PartidosSolo3]],"")</f>
        <v/>
      </c>
      <c r="J440">
        <f>+IF(DesarrolloPartidos[[#This Row],[Partidos3]]="",DesarrolloPartidos[[#This Row],[Partidos4]],DesarrolloPartidos[[#This Row],[Partidos3]])</f>
        <v>5</v>
      </c>
      <c r="K440" t="str">
        <f>+DesarrolloPartidos[[#This Row],[Jugadores]]&amp;":"&amp;DesarrolloPartidos[[#This Row],[Orden]]</f>
        <v>31:19</v>
      </c>
    </row>
    <row r="441" spans="1:11">
      <c r="A441">
        <f t="shared" si="35"/>
        <v>31</v>
      </c>
      <c r="B441">
        <f t="shared" si="34"/>
        <v>8</v>
      </c>
      <c r="C441">
        <f t="shared" si="36"/>
        <v>1</v>
      </c>
      <c r="D441">
        <f t="shared" si="37"/>
        <v>7</v>
      </c>
      <c r="E441">
        <f t="shared" si="38"/>
        <v>20</v>
      </c>
      <c r="F441">
        <f>3*DesarrolloPartidos[[#This Row],[Partidos_3]]</f>
        <v>3</v>
      </c>
      <c r="G441">
        <f>IF(DesarrolloPartidos[[#This Row],[Partidos_3]]=0,0,ROUNDUP(DesarrolloPartidos[[#This Row],[Orden]]/DesarrolloPartidos[[#This Row],[JugEnPart3]]*DesarrolloPartidos[[#This Row],[Partidos_3]],0))</f>
        <v>7</v>
      </c>
      <c r="H441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6</v>
      </c>
      <c r="I441" t="str">
        <f>IF(AND(DesarrolloPartidos[[#This Row],[PartidosSolo3]]&lt;=DesarrolloPartidos[[#This Row],[Partidos_3]],DesarrolloPartidos[[#This Row],[PartidosSolo3]]&lt;&gt;0),DesarrolloPartidos[[#This Row],[PartidosSolo3]],"")</f>
        <v/>
      </c>
      <c r="J441">
        <f>+IF(DesarrolloPartidos[[#This Row],[Partidos3]]="",DesarrolloPartidos[[#This Row],[Partidos4]],DesarrolloPartidos[[#This Row],[Partidos3]])</f>
        <v>6</v>
      </c>
      <c r="K441" t="str">
        <f>+DesarrolloPartidos[[#This Row],[Jugadores]]&amp;":"&amp;DesarrolloPartidos[[#This Row],[Orden]]</f>
        <v>31:20</v>
      </c>
    </row>
    <row r="442" spans="1:11">
      <c r="A442">
        <f t="shared" si="35"/>
        <v>31</v>
      </c>
      <c r="B442">
        <f t="shared" si="34"/>
        <v>8</v>
      </c>
      <c r="C442">
        <f t="shared" si="36"/>
        <v>1</v>
      </c>
      <c r="D442">
        <f t="shared" si="37"/>
        <v>7</v>
      </c>
      <c r="E442">
        <f t="shared" si="38"/>
        <v>21</v>
      </c>
      <c r="F442">
        <f>3*DesarrolloPartidos[[#This Row],[Partidos_3]]</f>
        <v>3</v>
      </c>
      <c r="G442">
        <f>IF(DesarrolloPartidos[[#This Row],[Partidos_3]]=0,0,ROUNDUP(DesarrolloPartidos[[#This Row],[Orden]]/DesarrolloPartidos[[#This Row],[JugEnPart3]]*DesarrolloPartidos[[#This Row],[Partidos_3]],0))</f>
        <v>7</v>
      </c>
      <c r="H442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6</v>
      </c>
      <c r="I442" t="str">
        <f>IF(AND(DesarrolloPartidos[[#This Row],[PartidosSolo3]]&lt;=DesarrolloPartidos[[#This Row],[Partidos_3]],DesarrolloPartidos[[#This Row],[PartidosSolo3]]&lt;&gt;0),DesarrolloPartidos[[#This Row],[PartidosSolo3]],"")</f>
        <v/>
      </c>
      <c r="J442">
        <f>+IF(DesarrolloPartidos[[#This Row],[Partidos3]]="",DesarrolloPartidos[[#This Row],[Partidos4]],DesarrolloPartidos[[#This Row],[Partidos3]])</f>
        <v>6</v>
      </c>
      <c r="K442" t="str">
        <f>+DesarrolloPartidos[[#This Row],[Jugadores]]&amp;":"&amp;DesarrolloPartidos[[#This Row],[Orden]]</f>
        <v>31:21</v>
      </c>
    </row>
    <row r="443" spans="1:11">
      <c r="A443">
        <f t="shared" si="35"/>
        <v>31</v>
      </c>
      <c r="B443">
        <f t="shared" si="34"/>
        <v>8</v>
      </c>
      <c r="C443">
        <f t="shared" si="36"/>
        <v>1</v>
      </c>
      <c r="D443">
        <f t="shared" si="37"/>
        <v>7</v>
      </c>
      <c r="E443">
        <f t="shared" si="38"/>
        <v>22</v>
      </c>
      <c r="F443">
        <f>3*DesarrolloPartidos[[#This Row],[Partidos_3]]</f>
        <v>3</v>
      </c>
      <c r="G443">
        <f>IF(DesarrolloPartidos[[#This Row],[Partidos_3]]=0,0,ROUNDUP(DesarrolloPartidos[[#This Row],[Orden]]/DesarrolloPartidos[[#This Row],[JugEnPart3]]*DesarrolloPartidos[[#This Row],[Partidos_3]],0))</f>
        <v>8</v>
      </c>
      <c r="H443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6</v>
      </c>
      <c r="I443" t="str">
        <f>IF(AND(DesarrolloPartidos[[#This Row],[PartidosSolo3]]&lt;=DesarrolloPartidos[[#This Row],[Partidos_3]],DesarrolloPartidos[[#This Row],[PartidosSolo3]]&lt;&gt;0),DesarrolloPartidos[[#This Row],[PartidosSolo3]],"")</f>
        <v/>
      </c>
      <c r="J443">
        <f>+IF(DesarrolloPartidos[[#This Row],[Partidos3]]="",DesarrolloPartidos[[#This Row],[Partidos4]],DesarrolloPartidos[[#This Row],[Partidos3]])</f>
        <v>6</v>
      </c>
      <c r="K443" t="str">
        <f>+DesarrolloPartidos[[#This Row],[Jugadores]]&amp;":"&amp;DesarrolloPartidos[[#This Row],[Orden]]</f>
        <v>31:22</v>
      </c>
    </row>
    <row r="444" spans="1:11">
      <c r="A444">
        <f t="shared" si="35"/>
        <v>31</v>
      </c>
      <c r="B444">
        <f t="shared" si="34"/>
        <v>8</v>
      </c>
      <c r="C444">
        <f t="shared" si="36"/>
        <v>1</v>
      </c>
      <c r="D444">
        <f t="shared" si="37"/>
        <v>7</v>
      </c>
      <c r="E444">
        <f t="shared" si="38"/>
        <v>23</v>
      </c>
      <c r="F444">
        <f>3*DesarrolloPartidos[[#This Row],[Partidos_3]]</f>
        <v>3</v>
      </c>
      <c r="G444">
        <f>IF(DesarrolloPartidos[[#This Row],[Partidos_3]]=0,0,ROUNDUP(DesarrolloPartidos[[#This Row],[Orden]]/DesarrolloPartidos[[#This Row],[JugEnPart3]]*DesarrolloPartidos[[#This Row],[Partidos_3]],0))</f>
        <v>8</v>
      </c>
      <c r="H444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6</v>
      </c>
      <c r="I444" t="str">
        <f>IF(AND(DesarrolloPartidos[[#This Row],[PartidosSolo3]]&lt;=DesarrolloPartidos[[#This Row],[Partidos_3]],DesarrolloPartidos[[#This Row],[PartidosSolo3]]&lt;&gt;0),DesarrolloPartidos[[#This Row],[PartidosSolo3]],"")</f>
        <v/>
      </c>
      <c r="J444">
        <f>+IF(DesarrolloPartidos[[#This Row],[Partidos3]]="",DesarrolloPartidos[[#This Row],[Partidos4]],DesarrolloPartidos[[#This Row],[Partidos3]])</f>
        <v>6</v>
      </c>
      <c r="K444" t="str">
        <f>+DesarrolloPartidos[[#This Row],[Jugadores]]&amp;":"&amp;DesarrolloPartidos[[#This Row],[Orden]]</f>
        <v>31:23</v>
      </c>
    </row>
    <row r="445" spans="1:11">
      <c r="A445">
        <f t="shared" si="35"/>
        <v>31</v>
      </c>
      <c r="B445">
        <f t="shared" si="34"/>
        <v>8</v>
      </c>
      <c r="C445">
        <f t="shared" si="36"/>
        <v>1</v>
      </c>
      <c r="D445">
        <f t="shared" si="37"/>
        <v>7</v>
      </c>
      <c r="E445">
        <f t="shared" si="38"/>
        <v>24</v>
      </c>
      <c r="F445">
        <f>3*DesarrolloPartidos[[#This Row],[Partidos_3]]</f>
        <v>3</v>
      </c>
      <c r="G445">
        <f>IF(DesarrolloPartidos[[#This Row],[Partidos_3]]=0,0,ROUNDUP(DesarrolloPartidos[[#This Row],[Orden]]/DesarrolloPartidos[[#This Row],[JugEnPart3]]*DesarrolloPartidos[[#This Row],[Partidos_3]],0))</f>
        <v>8</v>
      </c>
      <c r="H445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7</v>
      </c>
      <c r="I445" t="str">
        <f>IF(AND(DesarrolloPartidos[[#This Row],[PartidosSolo3]]&lt;=DesarrolloPartidos[[#This Row],[Partidos_3]],DesarrolloPartidos[[#This Row],[PartidosSolo3]]&lt;&gt;0),DesarrolloPartidos[[#This Row],[PartidosSolo3]],"")</f>
        <v/>
      </c>
      <c r="J445">
        <f>+IF(DesarrolloPartidos[[#This Row],[Partidos3]]="",DesarrolloPartidos[[#This Row],[Partidos4]],DesarrolloPartidos[[#This Row],[Partidos3]])</f>
        <v>7</v>
      </c>
      <c r="K445" t="str">
        <f>+DesarrolloPartidos[[#This Row],[Jugadores]]&amp;":"&amp;DesarrolloPartidos[[#This Row],[Orden]]</f>
        <v>31:24</v>
      </c>
    </row>
    <row r="446" spans="1:11">
      <c r="A446">
        <f t="shared" si="35"/>
        <v>31</v>
      </c>
      <c r="B446">
        <f t="shared" si="34"/>
        <v>8</v>
      </c>
      <c r="C446">
        <f t="shared" si="36"/>
        <v>1</v>
      </c>
      <c r="D446">
        <f t="shared" si="37"/>
        <v>7</v>
      </c>
      <c r="E446">
        <f t="shared" si="38"/>
        <v>25</v>
      </c>
      <c r="F446">
        <f>3*DesarrolloPartidos[[#This Row],[Partidos_3]]</f>
        <v>3</v>
      </c>
      <c r="G446">
        <f>IF(DesarrolloPartidos[[#This Row],[Partidos_3]]=0,0,ROUNDUP(DesarrolloPartidos[[#This Row],[Orden]]/DesarrolloPartidos[[#This Row],[JugEnPart3]]*DesarrolloPartidos[[#This Row],[Partidos_3]],0))</f>
        <v>9</v>
      </c>
      <c r="H446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7</v>
      </c>
      <c r="I446" t="str">
        <f>IF(AND(DesarrolloPartidos[[#This Row],[PartidosSolo3]]&lt;=DesarrolloPartidos[[#This Row],[Partidos_3]],DesarrolloPartidos[[#This Row],[PartidosSolo3]]&lt;&gt;0),DesarrolloPartidos[[#This Row],[PartidosSolo3]],"")</f>
        <v/>
      </c>
      <c r="J446">
        <f>+IF(DesarrolloPartidos[[#This Row],[Partidos3]]="",DesarrolloPartidos[[#This Row],[Partidos4]],DesarrolloPartidos[[#This Row],[Partidos3]])</f>
        <v>7</v>
      </c>
      <c r="K446" t="str">
        <f>+DesarrolloPartidos[[#This Row],[Jugadores]]&amp;":"&amp;DesarrolloPartidos[[#This Row],[Orden]]</f>
        <v>31:25</v>
      </c>
    </row>
    <row r="447" spans="1:11">
      <c r="A447">
        <f t="shared" si="35"/>
        <v>31</v>
      </c>
      <c r="B447">
        <f t="shared" si="34"/>
        <v>8</v>
      </c>
      <c r="C447">
        <f t="shared" si="36"/>
        <v>1</v>
      </c>
      <c r="D447">
        <f t="shared" si="37"/>
        <v>7</v>
      </c>
      <c r="E447">
        <f t="shared" si="38"/>
        <v>26</v>
      </c>
      <c r="F447">
        <f>3*DesarrolloPartidos[[#This Row],[Partidos_3]]</f>
        <v>3</v>
      </c>
      <c r="G447">
        <f>IF(DesarrolloPartidos[[#This Row],[Partidos_3]]=0,0,ROUNDUP(DesarrolloPartidos[[#This Row],[Orden]]/DesarrolloPartidos[[#This Row],[JugEnPart3]]*DesarrolloPartidos[[#This Row],[Partidos_3]],0))</f>
        <v>9</v>
      </c>
      <c r="H447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7</v>
      </c>
      <c r="I447" t="str">
        <f>IF(AND(DesarrolloPartidos[[#This Row],[PartidosSolo3]]&lt;=DesarrolloPartidos[[#This Row],[Partidos_3]],DesarrolloPartidos[[#This Row],[PartidosSolo3]]&lt;&gt;0),DesarrolloPartidos[[#This Row],[PartidosSolo3]],"")</f>
        <v/>
      </c>
      <c r="J447">
        <f>+IF(DesarrolloPartidos[[#This Row],[Partidos3]]="",DesarrolloPartidos[[#This Row],[Partidos4]],DesarrolloPartidos[[#This Row],[Partidos3]])</f>
        <v>7</v>
      </c>
      <c r="K447" t="str">
        <f>+DesarrolloPartidos[[#This Row],[Jugadores]]&amp;":"&amp;DesarrolloPartidos[[#This Row],[Orden]]</f>
        <v>31:26</v>
      </c>
    </row>
    <row r="448" spans="1:11">
      <c r="A448">
        <f t="shared" si="35"/>
        <v>31</v>
      </c>
      <c r="B448">
        <f t="shared" si="34"/>
        <v>8</v>
      </c>
      <c r="C448">
        <f t="shared" si="36"/>
        <v>1</v>
      </c>
      <c r="D448">
        <f t="shared" si="37"/>
        <v>7</v>
      </c>
      <c r="E448">
        <f t="shared" si="38"/>
        <v>27</v>
      </c>
      <c r="F448">
        <f>3*DesarrolloPartidos[[#This Row],[Partidos_3]]</f>
        <v>3</v>
      </c>
      <c r="G448">
        <f>IF(DesarrolloPartidos[[#This Row],[Partidos_3]]=0,0,ROUNDUP(DesarrolloPartidos[[#This Row],[Orden]]/DesarrolloPartidos[[#This Row],[JugEnPart3]]*DesarrolloPartidos[[#This Row],[Partidos_3]],0))</f>
        <v>9</v>
      </c>
      <c r="H448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7</v>
      </c>
      <c r="I448" t="str">
        <f>IF(AND(DesarrolloPartidos[[#This Row],[PartidosSolo3]]&lt;=DesarrolloPartidos[[#This Row],[Partidos_3]],DesarrolloPartidos[[#This Row],[PartidosSolo3]]&lt;&gt;0),DesarrolloPartidos[[#This Row],[PartidosSolo3]],"")</f>
        <v/>
      </c>
      <c r="J448">
        <f>+IF(DesarrolloPartidos[[#This Row],[Partidos3]]="",DesarrolloPartidos[[#This Row],[Partidos4]],DesarrolloPartidos[[#This Row],[Partidos3]])</f>
        <v>7</v>
      </c>
      <c r="K448" t="str">
        <f>+DesarrolloPartidos[[#This Row],[Jugadores]]&amp;":"&amp;DesarrolloPartidos[[#This Row],[Orden]]</f>
        <v>31:27</v>
      </c>
    </row>
    <row r="449" spans="1:11">
      <c r="A449">
        <f t="shared" si="35"/>
        <v>31</v>
      </c>
      <c r="B449">
        <f t="shared" si="34"/>
        <v>8</v>
      </c>
      <c r="C449">
        <f t="shared" si="36"/>
        <v>1</v>
      </c>
      <c r="D449">
        <f t="shared" si="37"/>
        <v>7</v>
      </c>
      <c r="E449">
        <f t="shared" si="38"/>
        <v>28</v>
      </c>
      <c r="F449">
        <f>3*DesarrolloPartidos[[#This Row],[Partidos_3]]</f>
        <v>3</v>
      </c>
      <c r="G449">
        <f>IF(DesarrolloPartidos[[#This Row],[Partidos_3]]=0,0,ROUNDUP(DesarrolloPartidos[[#This Row],[Orden]]/DesarrolloPartidos[[#This Row],[JugEnPart3]]*DesarrolloPartidos[[#This Row],[Partidos_3]],0))</f>
        <v>10</v>
      </c>
      <c r="H449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8</v>
      </c>
      <c r="I449" t="str">
        <f>IF(AND(DesarrolloPartidos[[#This Row],[PartidosSolo3]]&lt;=DesarrolloPartidos[[#This Row],[Partidos_3]],DesarrolloPartidos[[#This Row],[PartidosSolo3]]&lt;&gt;0),DesarrolloPartidos[[#This Row],[PartidosSolo3]],"")</f>
        <v/>
      </c>
      <c r="J449">
        <f>+IF(DesarrolloPartidos[[#This Row],[Partidos3]]="",DesarrolloPartidos[[#This Row],[Partidos4]],DesarrolloPartidos[[#This Row],[Partidos3]])</f>
        <v>8</v>
      </c>
      <c r="K449" t="str">
        <f>+DesarrolloPartidos[[#This Row],[Jugadores]]&amp;":"&amp;DesarrolloPartidos[[#This Row],[Orden]]</f>
        <v>31:28</v>
      </c>
    </row>
    <row r="450" spans="1:11">
      <c r="A450">
        <f t="shared" si="35"/>
        <v>31</v>
      </c>
      <c r="B450">
        <f t="shared" si="34"/>
        <v>8</v>
      </c>
      <c r="C450">
        <f t="shared" si="36"/>
        <v>1</v>
      </c>
      <c r="D450">
        <f t="shared" si="37"/>
        <v>7</v>
      </c>
      <c r="E450">
        <f t="shared" si="38"/>
        <v>29</v>
      </c>
      <c r="F450">
        <f>3*DesarrolloPartidos[[#This Row],[Partidos_3]]</f>
        <v>3</v>
      </c>
      <c r="G450">
        <f>IF(DesarrolloPartidos[[#This Row],[Partidos_3]]=0,0,ROUNDUP(DesarrolloPartidos[[#This Row],[Orden]]/DesarrolloPartidos[[#This Row],[JugEnPart3]]*DesarrolloPartidos[[#This Row],[Partidos_3]],0))</f>
        <v>10</v>
      </c>
      <c r="H450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8</v>
      </c>
      <c r="I450" t="str">
        <f>IF(AND(DesarrolloPartidos[[#This Row],[PartidosSolo3]]&lt;=DesarrolloPartidos[[#This Row],[Partidos_3]],DesarrolloPartidos[[#This Row],[PartidosSolo3]]&lt;&gt;0),DesarrolloPartidos[[#This Row],[PartidosSolo3]],"")</f>
        <v/>
      </c>
      <c r="J450">
        <f>+IF(DesarrolloPartidos[[#This Row],[Partidos3]]="",DesarrolloPartidos[[#This Row],[Partidos4]],DesarrolloPartidos[[#This Row],[Partidos3]])</f>
        <v>8</v>
      </c>
      <c r="K450" t="str">
        <f>+DesarrolloPartidos[[#This Row],[Jugadores]]&amp;":"&amp;DesarrolloPartidos[[#This Row],[Orden]]</f>
        <v>31:29</v>
      </c>
    </row>
    <row r="451" spans="1:11">
      <c r="A451">
        <f t="shared" si="35"/>
        <v>31</v>
      </c>
      <c r="B451">
        <f t="shared" ref="B451:B514" si="39">+ROUNDUP(A451/4,0)</f>
        <v>8</v>
      </c>
      <c r="C451">
        <f t="shared" si="36"/>
        <v>1</v>
      </c>
      <c r="D451">
        <f t="shared" si="37"/>
        <v>7</v>
      </c>
      <c r="E451">
        <f t="shared" si="38"/>
        <v>30</v>
      </c>
      <c r="F451">
        <f>3*DesarrolloPartidos[[#This Row],[Partidos_3]]</f>
        <v>3</v>
      </c>
      <c r="G451">
        <f>IF(DesarrolloPartidos[[#This Row],[Partidos_3]]=0,0,ROUNDUP(DesarrolloPartidos[[#This Row],[Orden]]/DesarrolloPartidos[[#This Row],[JugEnPart3]]*DesarrolloPartidos[[#This Row],[Partidos_3]],0))</f>
        <v>10</v>
      </c>
      <c r="H451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8</v>
      </c>
      <c r="I451" t="str">
        <f>IF(AND(DesarrolloPartidos[[#This Row],[PartidosSolo3]]&lt;=DesarrolloPartidos[[#This Row],[Partidos_3]],DesarrolloPartidos[[#This Row],[PartidosSolo3]]&lt;&gt;0),DesarrolloPartidos[[#This Row],[PartidosSolo3]],"")</f>
        <v/>
      </c>
      <c r="J451">
        <f>+IF(DesarrolloPartidos[[#This Row],[Partidos3]]="",DesarrolloPartidos[[#This Row],[Partidos4]],DesarrolloPartidos[[#This Row],[Partidos3]])</f>
        <v>8</v>
      </c>
      <c r="K451" t="str">
        <f>+DesarrolloPartidos[[#This Row],[Jugadores]]&amp;":"&amp;DesarrolloPartidos[[#This Row],[Orden]]</f>
        <v>31:30</v>
      </c>
    </row>
    <row r="452" spans="1:11">
      <c r="A452">
        <f t="shared" ref="A452:A515" si="40">+IF(ROW(A451)=1,10,IF(A451=E451,A451+1,A451))</f>
        <v>31</v>
      </c>
      <c r="B452">
        <f t="shared" si="39"/>
        <v>8</v>
      </c>
      <c r="C452">
        <f t="shared" ref="C452:C515" si="41">+(B452-A452/4)/0.25</f>
        <v>1</v>
      </c>
      <c r="D452">
        <f t="shared" ref="D452:D515" si="42">+B452-C452</f>
        <v>7</v>
      </c>
      <c r="E452">
        <f t="shared" ref="E452:E515" si="43">+IF(ROW(E451)=1,1,IF(E451=A451,1,E451+1))</f>
        <v>31</v>
      </c>
      <c r="F452">
        <f>3*DesarrolloPartidos[[#This Row],[Partidos_3]]</f>
        <v>3</v>
      </c>
      <c r="G452">
        <f>IF(DesarrolloPartidos[[#This Row],[Partidos_3]]=0,0,ROUNDUP(DesarrolloPartidos[[#This Row],[Orden]]/DesarrolloPartidos[[#This Row],[JugEnPart3]]*DesarrolloPartidos[[#This Row],[Partidos_3]],0))</f>
        <v>11</v>
      </c>
      <c r="H452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8</v>
      </c>
      <c r="I452" t="str">
        <f>IF(AND(DesarrolloPartidos[[#This Row],[PartidosSolo3]]&lt;=DesarrolloPartidos[[#This Row],[Partidos_3]],DesarrolloPartidos[[#This Row],[PartidosSolo3]]&lt;&gt;0),DesarrolloPartidos[[#This Row],[PartidosSolo3]],"")</f>
        <v/>
      </c>
      <c r="J452">
        <f>+IF(DesarrolloPartidos[[#This Row],[Partidos3]]="",DesarrolloPartidos[[#This Row],[Partidos4]],DesarrolloPartidos[[#This Row],[Partidos3]])</f>
        <v>8</v>
      </c>
      <c r="K452" t="str">
        <f>+DesarrolloPartidos[[#This Row],[Jugadores]]&amp;":"&amp;DesarrolloPartidos[[#This Row],[Orden]]</f>
        <v>31:31</v>
      </c>
    </row>
    <row r="453" spans="1:11">
      <c r="A453">
        <f t="shared" si="40"/>
        <v>32</v>
      </c>
      <c r="B453">
        <f t="shared" si="39"/>
        <v>8</v>
      </c>
      <c r="C453">
        <f t="shared" si="41"/>
        <v>0</v>
      </c>
      <c r="D453">
        <f t="shared" si="42"/>
        <v>8</v>
      </c>
      <c r="E453">
        <f t="shared" si="43"/>
        <v>1</v>
      </c>
      <c r="F453">
        <f>3*DesarrolloPartidos[[#This Row],[Partidos_3]]</f>
        <v>0</v>
      </c>
      <c r="G453">
        <f>IF(DesarrolloPartidos[[#This Row],[Partidos_3]]=0,0,ROUNDUP(DesarrolloPartidos[[#This Row],[Orden]]/DesarrolloPartidos[[#This Row],[JugEnPart3]]*DesarrolloPartidos[[#This Row],[Partidos_3]],0))</f>
        <v>0</v>
      </c>
      <c r="H453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1</v>
      </c>
      <c r="I453" t="str">
        <f>IF(AND(DesarrolloPartidos[[#This Row],[PartidosSolo3]]&lt;=DesarrolloPartidos[[#This Row],[Partidos_3]],DesarrolloPartidos[[#This Row],[PartidosSolo3]]&lt;&gt;0),DesarrolloPartidos[[#This Row],[PartidosSolo3]],"")</f>
        <v/>
      </c>
      <c r="J453">
        <f>+IF(DesarrolloPartidos[[#This Row],[Partidos3]]="",DesarrolloPartidos[[#This Row],[Partidos4]],DesarrolloPartidos[[#This Row],[Partidos3]])</f>
        <v>1</v>
      </c>
      <c r="K453" t="str">
        <f>+DesarrolloPartidos[[#This Row],[Jugadores]]&amp;":"&amp;DesarrolloPartidos[[#This Row],[Orden]]</f>
        <v>32:1</v>
      </c>
    </row>
    <row r="454" spans="1:11">
      <c r="A454">
        <f t="shared" si="40"/>
        <v>32</v>
      </c>
      <c r="B454">
        <f t="shared" si="39"/>
        <v>8</v>
      </c>
      <c r="C454">
        <f t="shared" si="41"/>
        <v>0</v>
      </c>
      <c r="D454">
        <f t="shared" si="42"/>
        <v>8</v>
      </c>
      <c r="E454">
        <f t="shared" si="43"/>
        <v>2</v>
      </c>
      <c r="F454">
        <f>3*DesarrolloPartidos[[#This Row],[Partidos_3]]</f>
        <v>0</v>
      </c>
      <c r="G454">
        <f>IF(DesarrolloPartidos[[#This Row],[Partidos_3]]=0,0,ROUNDUP(DesarrolloPartidos[[#This Row],[Orden]]/DesarrolloPartidos[[#This Row],[JugEnPart3]]*DesarrolloPartidos[[#This Row],[Partidos_3]],0))</f>
        <v>0</v>
      </c>
      <c r="H454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1</v>
      </c>
      <c r="I454" t="str">
        <f>IF(AND(DesarrolloPartidos[[#This Row],[PartidosSolo3]]&lt;=DesarrolloPartidos[[#This Row],[Partidos_3]],DesarrolloPartidos[[#This Row],[PartidosSolo3]]&lt;&gt;0),DesarrolloPartidos[[#This Row],[PartidosSolo3]],"")</f>
        <v/>
      </c>
      <c r="J454">
        <f>+IF(DesarrolloPartidos[[#This Row],[Partidos3]]="",DesarrolloPartidos[[#This Row],[Partidos4]],DesarrolloPartidos[[#This Row],[Partidos3]])</f>
        <v>1</v>
      </c>
      <c r="K454" t="str">
        <f>+DesarrolloPartidos[[#This Row],[Jugadores]]&amp;":"&amp;DesarrolloPartidos[[#This Row],[Orden]]</f>
        <v>32:2</v>
      </c>
    </row>
    <row r="455" spans="1:11">
      <c r="A455">
        <f t="shared" si="40"/>
        <v>32</v>
      </c>
      <c r="B455">
        <f t="shared" si="39"/>
        <v>8</v>
      </c>
      <c r="C455">
        <f t="shared" si="41"/>
        <v>0</v>
      </c>
      <c r="D455">
        <f t="shared" si="42"/>
        <v>8</v>
      </c>
      <c r="E455">
        <f t="shared" si="43"/>
        <v>3</v>
      </c>
      <c r="F455">
        <f>3*DesarrolloPartidos[[#This Row],[Partidos_3]]</f>
        <v>0</v>
      </c>
      <c r="G455">
        <f>IF(DesarrolloPartidos[[#This Row],[Partidos_3]]=0,0,ROUNDUP(DesarrolloPartidos[[#This Row],[Orden]]/DesarrolloPartidos[[#This Row],[JugEnPart3]]*DesarrolloPartidos[[#This Row],[Partidos_3]],0))</f>
        <v>0</v>
      </c>
      <c r="H455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1</v>
      </c>
      <c r="I455" t="str">
        <f>IF(AND(DesarrolloPartidos[[#This Row],[PartidosSolo3]]&lt;=DesarrolloPartidos[[#This Row],[Partidos_3]],DesarrolloPartidos[[#This Row],[PartidosSolo3]]&lt;&gt;0),DesarrolloPartidos[[#This Row],[PartidosSolo3]],"")</f>
        <v/>
      </c>
      <c r="J455">
        <f>+IF(DesarrolloPartidos[[#This Row],[Partidos3]]="",DesarrolloPartidos[[#This Row],[Partidos4]],DesarrolloPartidos[[#This Row],[Partidos3]])</f>
        <v>1</v>
      </c>
      <c r="K455" t="str">
        <f>+DesarrolloPartidos[[#This Row],[Jugadores]]&amp;":"&amp;DesarrolloPartidos[[#This Row],[Orden]]</f>
        <v>32:3</v>
      </c>
    </row>
    <row r="456" spans="1:11">
      <c r="A456">
        <f t="shared" si="40"/>
        <v>32</v>
      </c>
      <c r="B456">
        <f t="shared" si="39"/>
        <v>8</v>
      </c>
      <c r="C456">
        <f t="shared" si="41"/>
        <v>0</v>
      </c>
      <c r="D456">
        <f t="shared" si="42"/>
        <v>8</v>
      </c>
      <c r="E456">
        <f t="shared" si="43"/>
        <v>4</v>
      </c>
      <c r="F456">
        <f>3*DesarrolloPartidos[[#This Row],[Partidos_3]]</f>
        <v>0</v>
      </c>
      <c r="G456">
        <f>IF(DesarrolloPartidos[[#This Row],[Partidos_3]]=0,0,ROUNDUP(DesarrolloPartidos[[#This Row],[Orden]]/DesarrolloPartidos[[#This Row],[JugEnPart3]]*DesarrolloPartidos[[#This Row],[Partidos_3]],0))</f>
        <v>0</v>
      </c>
      <c r="H456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1</v>
      </c>
      <c r="I456" t="str">
        <f>IF(AND(DesarrolloPartidos[[#This Row],[PartidosSolo3]]&lt;=DesarrolloPartidos[[#This Row],[Partidos_3]],DesarrolloPartidos[[#This Row],[PartidosSolo3]]&lt;&gt;0),DesarrolloPartidos[[#This Row],[PartidosSolo3]],"")</f>
        <v/>
      </c>
      <c r="J456">
        <f>+IF(DesarrolloPartidos[[#This Row],[Partidos3]]="",DesarrolloPartidos[[#This Row],[Partidos4]],DesarrolloPartidos[[#This Row],[Partidos3]])</f>
        <v>1</v>
      </c>
      <c r="K456" t="str">
        <f>+DesarrolloPartidos[[#This Row],[Jugadores]]&amp;":"&amp;DesarrolloPartidos[[#This Row],[Orden]]</f>
        <v>32:4</v>
      </c>
    </row>
    <row r="457" spans="1:11">
      <c r="A457">
        <f t="shared" si="40"/>
        <v>32</v>
      </c>
      <c r="B457">
        <f t="shared" si="39"/>
        <v>8</v>
      </c>
      <c r="C457">
        <f t="shared" si="41"/>
        <v>0</v>
      </c>
      <c r="D457">
        <f t="shared" si="42"/>
        <v>8</v>
      </c>
      <c r="E457">
        <f t="shared" si="43"/>
        <v>5</v>
      </c>
      <c r="F457">
        <f>3*DesarrolloPartidos[[#This Row],[Partidos_3]]</f>
        <v>0</v>
      </c>
      <c r="G457">
        <f>IF(DesarrolloPartidos[[#This Row],[Partidos_3]]=0,0,ROUNDUP(DesarrolloPartidos[[#This Row],[Orden]]/DesarrolloPartidos[[#This Row],[JugEnPart3]]*DesarrolloPartidos[[#This Row],[Partidos_3]],0))</f>
        <v>0</v>
      </c>
      <c r="H457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2</v>
      </c>
      <c r="I457" t="str">
        <f>IF(AND(DesarrolloPartidos[[#This Row],[PartidosSolo3]]&lt;=DesarrolloPartidos[[#This Row],[Partidos_3]],DesarrolloPartidos[[#This Row],[PartidosSolo3]]&lt;&gt;0),DesarrolloPartidos[[#This Row],[PartidosSolo3]],"")</f>
        <v/>
      </c>
      <c r="J457">
        <f>+IF(DesarrolloPartidos[[#This Row],[Partidos3]]="",DesarrolloPartidos[[#This Row],[Partidos4]],DesarrolloPartidos[[#This Row],[Partidos3]])</f>
        <v>2</v>
      </c>
      <c r="K457" t="str">
        <f>+DesarrolloPartidos[[#This Row],[Jugadores]]&amp;":"&amp;DesarrolloPartidos[[#This Row],[Orden]]</f>
        <v>32:5</v>
      </c>
    </row>
    <row r="458" spans="1:11">
      <c r="A458">
        <f t="shared" si="40"/>
        <v>32</v>
      </c>
      <c r="B458">
        <f t="shared" si="39"/>
        <v>8</v>
      </c>
      <c r="C458">
        <f t="shared" si="41"/>
        <v>0</v>
      </c>
      <c r="D458">
        <f t="shared" si="42"/>
        <v>8</v>
      </c>
      <c r="E458">
        <f t="shared" si="43"/>
        <v>6</v>
      </c>
      <c r="F458">
        <f>3*DesarrolloPartidos[[#This Row],[Partidos_3]]</f>
        <v>0</v>
      </c>
      <c r="G458">
        <f>IF(DesarrolloPartidos[[#This Row],[Partidos_3]]=0,0,ROUNDUP(DesarrolloPartidos[[#This Row],[Orden]]/DesarrolloPartidos[[#This Row],[JugEnPart3]]*DesarrolloPartidos[[#This Row],[Partidos_3]],0))</f>
        <v>0</v>
      </c>
      <c r="H458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2</v>
      </c>
      <c r="I458" t="str">
        <f>IF(AND(DesarrolloPartidos[[#This Row],[PartidosSolo3]]&lt;=DesarrolloPartidos[[#This Row],[Partidos_3]],DesarrolloPartidos[[#This Row],[PartidosSolo3]]&lt;&gt;0),DesarrolloPartidos[[#This Row],[PartidosSolo3]],"")</f>
        <v/>
      </c>
      <c r="J458">
        <f>+IF(DesarrolloPartidos[[#This Row],[Partidos3]]="",DesarrolloPartidos[[#This Row],[Partidos4]],DesarrolloPartidos[[#This Row],[Partidos3]])</f>
        <v>2</v>
      </c>
      <c r="K458" t="str">
        <f>+DesarrolloPartidos[[#This Row],[Jugadores]]&amp;":"&amp;DesarrolloPartidos[[#This Row],[Orden]]</f>
        <v>32:6</v>
      </c>
    </row>
    <row r="459" spans="1:11">
      <c r="A459">
        <f t="shared" si="40"/>
        <v>32</v>
      </c>
      <c r="B459">
        <f t="shared" si="39"/>
        <v>8</v>
      </c>
      <c r="C459">
        <f t="shared" si="41"/>
        <v>0</v>
      </c>
      <c r="D459">
        <f t="shared" si="42"/>
        <v>8</v>
      </c>
      <c r="E459">
        <f t="shared" si="43"/>
        <v>7</v>
      </c>
      <c r="F459">
        <f>3*DesarrolloPartidos[[#This Row],[Partidos_3]]</f>
        <v>0</v>
      </c>
      <c r="G459">
        <f>IF(DesarrolloPartidos[[#This Row],[Partidos_3]]=0,0,ROUNDUP(DesarrolloPartidos[[#This Row],[Orden]]/DesarrolloPartidos[[#This Row],[JugEnPart3]]*DesarrolloPartidos[[#This Row],[Partidos_3]],0))</f>
        <v>0</v>
      </c>
      <c r="H459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2</v>
      </c>
      <c r="I459" t="str">
        <f>IF(AND(DesarrolloPartidos[[#This Row],[PartidosSolo3]]&lt;=DesarrolloPartidos[[#This Row],[Partidos_3]],DesarrolloPartidos[[#This Row],[PartidosSolo3]]&lt;&gt;0),DesarrolloPartidos[[#This Row],[PartidosSolo3]],"")</f>
        <v/>
      </c>
      <c r="J459">
        <f>+IF(DesarrolloPartidos[[#This Row],[Partidos3]]="",DesarrolloPartidos[[#This Row],[Partidos4]],DesarrolloPartidos[[#This Row],[Partidos3]])</f>
        <v>2</v>
      </c>
      <c r="K459" t="str">
        <f>+DesarrolloPartidos[[#This Row],[Jugadores]]&amp;":"&amp;DesarrolloPartidos[[#This Row],[Orden]]</f>
        <v>32:7</v>
      </c>
    </row>
    <row r="460" spans="1:11">
      <c r="A460">
        <f t="shared" si="40"/>
        <v>32</v>
      </c>
      <c r="B460">
        <f t="shared" si="39"/>
        <v>8</v>
      </c>
      <c r="C460">
        <f t="shared" si="41"/>
        <v>0</v>
      </c>
      <c r="D460">
        <f t="shared" si="42"/>
        <v>8</v>
      </c>
      <c r="E460">
        <f t="shared" si="43"/>
        <v>8</v>
      </c>
      <c r="F460">
        <f>3*DesarrolloPartidos[[#This Row],[Partidos_3]]</f>
        <v>0</v>
      </c>
      <c r="G460">
        <f>IF(DesarrolloPartidos[[#This Row],[Partidos_3]]=0,0,ROUNDUP(DesarrolloPartidos[[#This Row],[Orden]]/DesarrolloPartidos[[#This Row],[JugEnPart3]]*DesarrolloPartidos[[#This Row],[Partidos_3]],0))</f>
        <v>0</v>
      </c>
      <c r="H460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2</v>
      </c>
      <c r="I460" t="str">
        <f>IF(AND(DesarrolloPartidos[[#This Row],[PartidosSolo3]]&lt;=DesarrolloPartidos[[#This Row],[Partidos_3]],DesarrolloPartidos[[#This Row],[PartidosSolo3]]&lt;&gt;0),DesarrolloPartidos[[#This Row],[PartidosSolo3]],"")</f>
        <v/>
      </c>
      <c r="J460">
        <f>+IF(DesarrolloPartidos[[#This Row],[Partidos3]]="",DesarrolloPartidos[[#This Row],[Partidos4]],DesarrolloPartidos[[#This Row],[Partidos3]])</f>
        <v>2</v>
      </c>
      <c r="K460" t="str">
        <f>+DesarrolloPartidos[[#This Row],[Jugadores]]&amp;":"&amp;DesarrolloPartidos[[#This Row],[Orden]]</f>
        <v>32:8</v>
      </c>
    </row>
    <row r="461" spans="1:11">
      <c r="A461">
        <f t="shared" si="40"/>
        <v>32</v>
      </c>
      <c r="B461">
        <f t="shared" si="39"/>
        <v>8</v>
      </c>
      <c r="C461">
        <f t="shared" si="41"/>
        <v>0</v>
      </c>
      <c r="D461">
        <f t="shared" si="42"/>
        <v>8</v>
      </c>
      <c r="E461">
        <f t="shared" si="43"/>
        <v>9</v>
      </c>
      <c r="F461">
        <f>3*DesarrolloPartidos[[#This Row],[Partidos_3]]</f>
        <v>0</v>
      </c>
      <c r="G461">
        <f>IF(DesarrolloPartidos[[#This Row],[Partidos_3]]=0,0,ROUNDUP(DesarrolloPartidos[[#This Row],[Orden]]/DesarrolloPartidos[[#This Row],[JugEnPart3]]*DesarrolloPartidos[[#This Row],[Partidos_3]],0))</f>
        <v>0</v>
      </c>
      <c r="H461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3</v>
      </c>
      <c r="I461" t="str">
        <f>IF(AND(DesarrolloPartidos[[#This Row],[PartidosSolo3]]&lt;=DesarrolloPartidos[[#This Row],[Partidos_3]],DesarrolloPartidos[[#This Row],[PartidosSolo3]]&lt;&gt;0),DesarrolloPartidos[[#This Row],[PartidosSolo3]],"")</f>
        <v/>
      </c>
      <c r="J461">
        <f>+IF(DesarrolloPartidos[[#This Row],[Partidos3]]="",DesarrolloPartidos[[#This Row],[Partidos4]],DesarrolloPartidos[[#This Row],[Partidos3]])</f>
        <v>3</v>
      </c>
      <c r="K461" t="str">
        <f>+DesarrolloPartidos[[#This Row],[Jugadores]]&amp;":"&amp;DesarrolloPartidos[[#This Row],[Orden]]</f>
        <v>32:9</v>
      </c>
    </row>
    <row r="462" spans="1:11">
      <c r="A462">
        <f t="shared" si="40"/>
        <v>32</v>
      </c>
      <c r="B462">
        <f t="shared" si="39"/>
        <v>8</v>
      </c>
      <c r="C462">
        <f t="shared" si="41"/>
        <v>0</v>
      </c>
      <c r="D462">
        <f t="shared" si="42"/>
        <v>8</v>
      </c>
      <c r="E462">
        <f t="shared" si="43"/>
        <v>10</v>
      </c>
      <c r="F462">
        <f>3*DesarrolloPartidos[[#This Row],[Partidos_3]]</f>
        <v>0</v>
      </c>
      <c r="G462">
        <f>IF(DesarrolloPartidos[[#This Row],[Partidos_3]]=0,0,ROUNDUP(DesarrolloPartidos[[#This Row],[Orden]]/DesarrolloPartidos[[#This Row],[JugEnPart3]]*DesarrolloPartidos[[#This Row],[Partidos_3]],0))</f>
        <v>0</v>
      </c>
      <c r="H462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3</v>
      </c>
      <c r="I462" t="str">
        <f>IF(AND(DesarrolloPartidos[[#This Row],[PartidosSolo3]]&lt;=DesarrolloPartidos[[#This Row],[Partidos_3]],DesarrolloPartidos[[#This Row],[PartidosSolo3]]&lt;&gt;0),DesarrolloPartidos[[#This Row],[PartidosSolo3]],"")</f>
        <v/>
      </c>
      <c r="J462">
        <f>+IF(DesarrolloPartidos[[#This Row],[Partidos3]]="",DesarrolloPartidos[[#This Row],[Partidos4]],DesarrolloPartidos[[#This Row],[Partidos3]])</f>
        <v>3</v>
      </c>
      <c r="K462" t="str">
        <f>+DesarrolloPartidos[[#This Row],[Jugadores]]&amp;":"&amp;DesarrolloPartidos[[#This Row],[Orden]]</f>
        <v>32:10</v>
      </c>
    </row>
    <row r="463" spans="1:11">
      <c r="A463">
        <f t="shared" si="40"/>
        <v>32</v>
      </c>
      <c r="B463">
        <f t="shared" si="39"/>
        <v>8</v>
      </c>
      <c r="C463">
        <f t="shared" si="41"/>
        <v>0</v>
      </c>
      <c r="D463">
        <f t="shared" si="42"/>
        <v>8</v>
      </c>
      <c r="E463">
        <f t="shared" si="43"/>
        <v>11</v>
      </c>
      <c r="F463">
        <f>3*DesarrolloPartidos[[#This Row],[Partidos_3]]</f>
        <v>0</v>
      </c>
      <c r="G463">
        <f>IF(DesarrolloPartidos[[#This Row],[Partidos_3]]=0,0,ROUNDUP(DesarrolloPartidos[[#This Row],[Orden]]/DesarrolloPartidos[[#This Row],[JugEnPart3]]*DesarrolloPartidos[[#This Row],[Partidos_3]],0))</f>
        <v>0</v>
      </c>
      <c r="H463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3</v>
      </c>
      <c r="I463" t="str">
        <f>IF(AND(DesarrolloPartidos[[#This Row],[PartidosSolo3]]&lt;=DesarrolloPartidos[[#This Row],[Partidos_3]],DesarrolloPartidos[[#This Row],[PartidosSolo3]]&lt;&gt;0),DesarrolloPartidos[[#This Row],[PartidosSolo3]],"")</f>
        <v/>
      </c>
      <c r="J463">
        <f>+IF(DesarrolloPartidos[[#This Row],[Partidos3]]="",DesarrolloPartidos[[#This Row],[Partidos4]],DesarrolloPartidos[[#This Row],[Partidos3]])</f>
        <v>3</v>
      </c>
      <c r="K463" t="str">
        <f>+DesarrolloPartidos[[#This Row],[Jugadores]]&amp;":"&amp;DesarrolloPartidos[[#This Row],[Orden]]</f>
        <v>32:11</v>
      </c>
    </row>
    <row r="464" spans="1:11">
      <c r="A464">
        <f t="shared" si="40"/>
        <v>32</v>
      </c>
      <c r="B464">
        <f t="shared" si="39"/>
        <v>8</v>
      </c>
      <c r="C464">
        <f t="shared" si="41"/>
        <v>0</v>
      </c>
      <c r="D464">
        <f t="shared" si="42"/>
        <v>8</v>
      </c>
      <c r="E464">
        <f t="shared" si="43"/>
        <v>12</v>
      </c>
      <c r="F464">
        <f>3*DesarrolloPartidos[[#This Row],[Partidos_3]]</f>
        <v>0</v>
      </c>
      <c r="G464">
        <f>IF(DesarrolloPartidos[[#This Row],[Partidos_3]]=0,0,ROUNDUP(DesarrolloPartidos[[#This Row],[Orden]]/DesarrolloPartidos[[#This Row],[JugEnPart3]]*DesarrolloPartidos[[#This Row],[Partidos_3]],0))</f>
        <v>0</v>
      </c>
      <c r="H464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3</v>
      </c>
      <c r="I464" t="str">
        <f>IF(AND(DesarrolloPartidos[[#This Row],[PartidosSolo3]]&lt;=DesarrolloPartidos[[#This Row],[Partidos_3]],DesarrolloPartidos[[#This Row],[PartidosSolo3]]&lt;&gt;0),DesarrolloPartidos[[#This Row],[PartidosSolo3]],"")</f>
        <v/>
      </c>
      <c r="J464">
        <f>+IF(DesarrolloPartidos[[#This Row],[Partidos3]]="",DesarrolloPartidos[[#This Row],[Partidos4]],DesarrolloPartidos[[#This Row],[Partidos3]])</f>
        <v>3</v>
      </c>
      <c r="K464" t="str">
        <f>+DesarrolloPartidos[[#This Row],[Jugadores]]&amp;":"&amp;DesarrolloPartidos[[#This Row],[Orden]]</f>
        <v>32:12</v>
      </c>
    </row>
    <row r="465" spans="1:11">
      <c r="A465">
        <f t="shared" si="40"/>
        <v>32</v>
      </c>
      <c r="B465">
        <f t="shared" si="39"/>
        <v>8</v>
      </c>
      <c r="C465">
        <f t="shared" si="41"/>
        <v>0</v>
      </c>
      <c r="D465">
        <f t="shared" si="42"/>
        <v>8</v>
      </c>
      <c r="E465">
        <f t="shared" si="43"/>
        <v>13</v>
      </c>
      <c r="F465">
        <f>3*DesarrolloPartidos[[#This Row],[Partidos_3]]</f>
        <v>0</v>
      </c>
      <c r="G465">
        <f>IF(DesarrolloPartidos[[#This Row],[Partidos_3]]=0,0,ROUNDUP(DesarrolloPartidos[[#This Row],[Orden]]/DesarrolloPartidos[[#This Row],[JugEnPart3]]*DesarrolloPartidos[[#This Row],[Partidos_3]],0))</f>
        <v>0</v>
      </c>
      <c r="H465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465" t="str">
        <f>IF(AND(DesarrolloPartidos[[#This Row],[PartidosSolo3]]&lt;=DesarrolloPartidos[[#This Row],[Partidos_3]],DesarrolloPartidos[[#This Row],[PartidosSolo3]]&lt;&gt;0),DesarrolloPartidos[[#This Row],[PartidosSolo3]],"")</f>
        <v/>
      </c>
      <c r="J465">
        <f>+IF(DesarrolloPartidos[[#This Row],[Partidos3]]="",DesarrolloPartidos[[#This Row],[Partidos4]],DesarrolloPartidos[[#This Row],[Partidos3]])</f>
        <v>4</v>
      </c>
      <c r="K465" t="str">
        <f>+DesarrolloPartidos[[#This Row],[Jugadores]]&amp;":"&amp;DesarrolloPartidos[[#This Row],[Orden]]</f>
        <v>32:13</v>
      </c>
    </row>
    <row r="466" spans="1:11">
      <c r="A466">
        <f t="shared" si="40"/>
        <v>32</v>
      </c>
      <c r="B466">
        <f t="shared" si="39"/>
        <v>8</v>
      </c>
      <c r="C466">
        <f t="shared" si="41"/>
        <v>0</v>
      </c>
      <c r="D466">
        <f t="shared" si="42"/>
        <v>8</v>
      </c>
      <c r="E466">
        <f t="shared" si="43"/>
        <v>14</v>
      </c>
      <c r="F466">
        <f>3*DesarrolloPartidos[[#This Row],[Partidos_3]]</f>
        <v>0</v>
      </c>
      <c r="G466">
        <f>IF(DesarrolloPartidos[[#This Row],[Partidos_3]]=0,0,ROUNDUP(DesarrolloPartidos[[#This Row],[Orden]]/DesarrolloPartidos[[#This Row],[JugEnPart3]]*DesarrolloPartidos[[#This Row],[Partidos_3]],0))</f>
        <v>0</v>
      </c>
      <c r="H466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466" t="str">
        <f>IF(AND(DesarrolloPartidos[[#This Row],[PartidosSolo3]]&lt;=DesarrolloPartidos[[#This Row],[Partidos_3]],DesarrolloPartidos[[#This Row],[PartidosSolo3]]&lt;&gt;0),DesarrolloPartidos[[#This Row],[PartidosSolo3]],"")</f>
        <v/>
      </c>
      <c r="J466">
        <f>+IF(DesarrolloPartidos[[#This Row],[Partidos3]]="",DesarrolloPartidos[[#This Row],[Partidos4]],DesarrolloPartidos[[#This Row],[Partidos3]])</f>
        <v>4</v>
      </c>
      <c r="K466" t="str">
        <f>+DesarrolloPartidos[[#This Row],[Jugadores]]&amp;":"&amp;DesarrolloPartidos[[#This Row],[Orden]]</f>
        <v>32:14</v>
      </c>
    </row>
    <row r="467" spans="1:11">
      <c r="A467">
        <f t="shared" si="40"/>
        <v>32</v>
      </c>
      <c r="B467">
        <f t="shared" si="39"/>
        <v>8</v>
      </c>
      <c r="C467">
        <f t="shared" si="41"/>
        <v>0</v>
      </c>
      <c r="D467">
        <f t="shared" si="42"/>
        <v>8</v>
      </c>
      <c r="E467">
        <f t="shared" si="43"/>
        <v>15</v>
      </c>
      <c r="F467">
        <f>3*DesarrolloPartidos[[#This Row],[Partidos_3]]</f>
        <v>0</v>
      </c>
      <c r="G467">
        <f>IF(DesarrolloPartidos[[#This Row],[Partidos_3]]=0,0,ROUNDUP(DesarrolloPartidos[[#This Row],[Orden]]/DesarrolloPartidos[[#This Row],[JugEnPart3]]*DesarrolloPartidos[[#This Row],[Partidos_3]],0))</f>
        <v>0</v>
      </c>
      <c r="H467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467" t="str">
        <f>IF(AND(DesarrolloPartidos[[#This Row],[PartidosSolo3]]&lt;=DesarrolloPartidos[[#This Row],[Partidos_3]],DesarrolloPartidos[[#This Row],[PartidosSolo3]]&lt;&gt;0),DesarrolloPartidos[[#This Row],[PartidosSolo3]],"")</f>
        <v/>
      </c>
      <c r="J467">
        <f>+IF(DesarrolloPartidos[[#This Row],[Partidos3]]="",DesarrolloPartidos[[#This Row],[Partidos4]],DesarrolloPartidos[[#This Row],[Partidos3]])</f>
        <v>4</v>
      </c>
      <c r="K467" t="str">
        <f>+DesarrolloPartidos[[#This Row],[Jugadores]]&amp;":"&amp;DesarrolloPartidos[[#This Row],[Orden]]</f>
        <v>32:15</v>
      </c>
    </row>
    <row r="468" spans="1:11">
      <c r="A468">
        <f t="shared" si="40"/>
        <v>32</v>
      </c>
      <c r="B468">
        <f t="shared" si="39"/>
        <v>8</v>
      </c>
      <c r="C468">
        <f t="shared" si="41"/>
        <v>0</v>
      </c>
      <c r="D468">
        <f t="shared" si="42"/>
        <v>8</v>
      </c>
      <c r="E468">
        <f t="shared" si="43"/>
        <v>16</v>
      </c>
      <c r="F468">
        <f>3*DesarrolloPartidos[[#This Row],[Partidos_3]]</f>
        <v>0</v>
      </c>
      <c r="G468">
        <f>IF(DesarrolloPartidos[[#This Row],[Partidos_3]]=0,0,ROUNDUP(DesarrolloPartidos[[#This Row],[Orden]]/DesarrolloPartidos[[#This Row],[JugEnPart3]]*DesarrolloPartidos[[#This Row],[Partidos_3]],0))</f>
        <v>0</v>
      </c>
      <c r="H468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468" t="str">
        <f>IF(AND(DesarrolloPartidos[[#This Row],[PartidosSolo3]]&lt;=DesarrolloPartidos[[#This Row],[Partidos_3]],DesarrolloPartidos[[#This Row],[PartidosSolo3]]&lt;&gt;0),DesarrolloPartidos[[#This Row],[PartidosSolo3]],"")</f>
        <v/>
      </c>
      <c r="J468">
        <f>+IF(DesarrolloPartidos[[#This Row],[Partidos3]]="",DesarrolloPartidos[[#This Row],[Partidos4]],DesarrolloPartidos[[#This Row],[Partidos3]])</f>
        <v>4</v>
      </c>
      <c r="K468" t="str">
        <f>+DesarrolloPartidos[[#This Row],[Jugadores]]&amp;":"&amp;DesarrolloPartidos[[#This Row],[Orden]]</f>
        <v>32:16</v>
      </c>
    </row>
    <row r="469" spans="1:11">
      <c r="A469">
        <f t="shared" si="40"/>
        <v>32</v>
      </c>
      <c r="B469">
        <f t="shared" si="39"/>
        <v>8</v>
      </c>
      <c r="C469">
        <f t="shared" si="41"/>
        <v>0</v>
      </c>
      <c r="D469">
        <f t="shared" si="42"/>
        <v>8</v>
      </c>
      <c r="E469">
        <f t="shared" si="43"/>
        <v>17</v>
      </c>
      <c r="F469">
        <f>3*DesarrolloPartidos[[#This Row],[Partidos_3]]</f>
        <v>0</v>
      </c>
      <c r="G469">
        <f>IF(DesarrolloPartidos[[#This Row],[Partidos_3]]=0,0,ROUNDUP(DesarrolloPartidos[[#This Row],[Orden]]/DesarrolloPartidos[[#This Row],[JugEnPart3]]*DesarrolloPartidos[[#This Row],[Partidos_3]],0))</f>
        <v>0</v>
      </c>
      <c r="H469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5</v>
      </c>
      <c r="I469" t="str">
        <f>IF(AND(DesarrolloPartidos[[#This Row],[PartidosSolo3]]&lt;=DesarrolloPartidos[[#This Row],[Partidos_3]],DesarrolloPartidos[[#This Row],[PartidosSolo3]]&lt;&gt;0),DesarrolloPartidos[[#This Row],[PartidosSolo3]],"")</f>
        <v/>
      </c>
      <c r="J469">
        <f>+IF(DesarrolloPartidos[[#This Row],[Partidos3]]="",DesarrolloPartidos[[#This Row],[Partidos4]],DesarrolloPartidos[[#This Row],[Partidos3]])</f>
        <v>5</v>
      </c>
      <c r="K469" t="str">
        <f>+DesarrolloPartidos[[#This Row],[Jugadores]]&amp;":"&amp;DesarrolloPartidos[[#This Row],[Orden]]</f>
        <v>32:17</v>
      </c>
    </row>
    <row r="470" spans="1:11">
      <c r="A470">
        <f t="shared" si="40"/>
        <v>32</v>
      </c>
      <c r="B470">
        <f t="shared" si="39"/>
        <v>8</v>
      </c>
      <c r="C470">
        <f t="shared" si="41"/>
        <v>0</v>
      </c>
      <c r="D470">
        <f t="shared" si="42"/>
        <v>8</v>
      </c>
      <c r="E470">
        <f t="shared" si="43"/>
        <v>18</v>
      </c>
      <c r="F470">
        <f>3*DesarrolloPartidos[[#This Row],[Partidos_3]]</f>
        <v>0</v>
      </c>
      <c r="G470">
        <f>IF(DesarrolloPartidos[[#This Row],[Partidos_3]]=0,0,ROUNDUP(DesarrolloPartidos[[#This Row],[Orden]]/DesarrolloPartidos[[#This Row],[JugEnPart3]]*DesarrolloPartidos[[#This Row],[Partidos_3]],0))</f>
        <v>0</v>
      </c>
      <c r="H470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5</v>
      </c>
      <c r="I470" t="str">
        <f>IF(AND(DesarrolloPartidos[[#This Row],[PartidosSolo3]]&lt;=DesarrolloPartidos[[#This Row],[Partidos_3]],DesarrolloPartidos[[#This Row],[PartidosSolo3]]&lt;&gt;0),DesarrolloPartidos[[#This Row],[PartidosSolo3]],"")</f>
        <v/>
      </c>
      <c r="J470">
        <f>+IF(DesarrolloPartidos[[#This Row],[Partidos3]]="",DesarrolloPartidos[[#This Row],[Partidos4]],DesarrolloPartidos[[#This Row],[Partidos3]])</f>
        <v>5</v>
      </c>
      <c r="K470" t="str">
        <f>+DesarrolloPartidos[[#This Row],[Jugadores]]&amp;":"&amp;DesarrolloPartidos[[#This Row],[Orden]]</f>
        <v>32:18</v>
      </c>
    </row>
    <row r="471" spans="1:11">
      <c r="A471">
        <f t="shared" si="40"/>
        <v>32</v>
      </c>
      <c r="B471">
        <f t="shared" si="39"/>
        <v>8</v>
      </c>
      <c r="C471">
        <f t="shared" si="41"/>
        <v>0</v>
      </c>
      <c r="D471">
        <f t="shared" si="42"/>
        <v>8</v>
      </c>
      <c r="E471">
        <f t="shared" si="43"/>
        <v>19</v>
      </c>
      <c r="F471">
        <f>3*DesarrolloPartidos[[#This Row],[Partidos_3]]</f>
        <v>0</v>
      </c>
      <c r="G471">
        <f>IF(DesarrolloPartidos[[#This Row],[Partidos_3]]=0,0,ROUNDUP(DesarrolloPartidos[[#This Row],[Orden]]/DesarrolloPartidos[[#This Row],[JugEnPart3]]*DesarrolloPartidos[[#This Row],[Partidos_3]],0))</f>
        <v>0</v>
      </c>
      <c r="H471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5</v>
      </c>
      <c r="I471" t="str">
        <f>IF(AND(DesarrolloPartidos[[#This Row],[PartidosSolo3]]&lt;=DesarrolloPartidos[[#This Row],[Partidos_3]],DesarrolloPartidos[[#This Row],[PartidosSolo3]]&lt;&gt;0),DesarrolloPartidos[[#This Row],[PartidosSolo3]],"")</f>
        <v/>
      </c>
      <c r="J471">
        <f>+IF(DesarrolloPartidos[[#This Row],[Partidos3]]="",DesarrolloPartidos[[#This Row],[Partidos4]],DesarrolloPartidos[[#This Row],[Partidos3]])</f>
        <v>5</v>
      </c>
      <c r="K471" t="str">
        <f>+DesarrolloPartidos[[#This Row],[Jugadores]]&amp;":"&amp;DesarrolloPartidos[[#This Row],[Orden]]</f>
        <v>32:19</v>
      </c>
    </row>
    <row r="472" spans="1:11">
      <c r="A472">
        <f t="shared" si="40"/>
        <v>32</v>
      </c>
      <c r="B472">
        <f t="shared" si="39"/>
        <v>8</v>
      </c>
      <c r="C472">
        <f t="shared" si="41"/>
        <v>0</v>
      </c>
      <c r="D472">
        <f t="shared" si="42"/>
        <v>8</v>
      </c>
      <c r="E472">
        <f t="shared" si="43"/>
        <v>20</v>
      </c>
      <c r="F472">
        <f>3*DesarrolloPartidos[[#This Row],[Partidos_3]]</f>
        <v>0</v>
      </c>
      <c r="G472">
        <f>IF(DesarrolloPartidos[[#This Row],[Partidos_3]]=0,0,ROUNDUP(DesarrolloPartidos[[#This Row],[Orden]]/DesarrolloPartidos[[#This Row],[JugEnPart3]]*DesarrolloPartidos[[#This Row],[Partidos_3]],0))</f>
        <v>0</v>
      </c>
      <c r="H472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5</v>
      </c>
      <c r="I472" t="str">
        <f>IF(AND(DesarrolloPartidos[[#This Row],[PartidosSolo3]]&lt;=DesarrolloPartidos[[#This Row],[Partidos_3]],DesarrolloPartidos[[#This Row],[PartidosSolo3]]&lt;&gt;0),DesarrolloPartidos[[#This Row],[PartidosSolo3]],"")</f>
        <v/>
      </c>
      <c r="J472">
        <f>+IF(DesarrolloPartidos[[#This Row],[Partidos3]]="",DesarrolloPartidos[[#This Row],[Partidos4]],DesarrolloPartidos[[#This Row],[Partidos3]])</f>
        <v>5</v>
      </c>
      <c r="K472" t="str">
        <f>+DesarrolloPartidos[[#This Row],[Jugadores]]&amp;":"&amp;DesarrolloPartidos[[#This Row],[Orden]]</f>
        <v>32:20</v>
      </c>
    </row>
    <row r="473" spans="1:11">
      <c r="A473">
        <f t="shared" si="40"/>
        <v>32</v>
      </c>
      <c r="B473">
        <f t="shared" si="39"/>
        <v>8</v>
      </c>
      <c r="C473">
        <f t="shared" si="41"/>
        <v>0</v>
      </c>
      <c r="D473">
        <f t="shared" si="42"/>
        <v>8</v>
      </c>
      <c r="E473">
        <f t="shared" si="43"/>
        <v>21</v>
      </c>
      <c r="F473">
        <f>3*DesarrolloPartidos[[#This Row],[Partidos_3]]</f>
        <v>0</v>
      </c>
      <c r="G473">
        <f>IF(DesarrolloPartidos[[#This Row],[Partidos_3]]=0,0,ROUNDUP(DesarrolloPartidos[[#This Row],[Orden]]/DesarrolloPartidos[[#This Row],[JugEnPart3]]*DesarrolloPartidos[[#This Row],[Partidos_3]],0))</f>
        <v>0</v>
      </c>
      <c r="H473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6</v>
      </c>
      <c r="I473" t="str">
        <f>IF(AND(DesarrolloPartidos[[#This Row],[PartidosSolo3]]&lt;=DesarrolloPartidos[[#This Row],[Partidos_3]],DesarrolloPartidos[[#This Row],[PartidosSolo3]]&lt;&gt;0),DesarrolloPartidos[[#This Row],[PartidosSolo3]],"")</f>
        <v/>
      </c>
      <c r="J473">
        <f>+IF(DesarrolloPartidos[[#This Row],[Partidos3]]="",DesarrolloPartidos[[#This Row],[Partidos4]],DesarrolloPartidos[[#This Row],[Partidos3]])</f>
        <v>6</v>
      </c>
      <c r="K473" t="str">
        <f>+DesarrolloPartidos[[#This Row],[Jugadores]]&amp;":"&amp;DesarrolloPartidos[[#This Row],[Orden]]</f>
        <v>32:21</v>
      </c>
    </row>
    <row r="474" spans="1:11">
      <c r="A474">
        <f t="shared" si="40"/>
        <v>32</v>
      </c>
      <c r="B474">
        <f t="shared" si="39"/>
        <v>8</v>
      </c>
      <c r="C474">
        <f t="shared" si="41"/>
        <v>0</v>
      </c>
      <c r="D474">
        <f t="shared" si="42"/>
        <v>8</v>
      </c>
      <c r="E474">
        <f t="shared" si="43"/>
        <v>22</v>
      </c>
      <c r="F474">
        <f>3*DesarrolloPartidos[[#This Row],[Partidos_3]]</f>
        <v>0</v>
      </c>
      <c r="G474">
        <f>IF(DesarrolloPartidos[[#This Row],[Partidos_3]]=0,0,ROUNDUP(DesarrolloPartidos[[#This Row],[Orden]]/DesarrolloPartidos[[#This Row],[JugEnPart3]]*DesarrolloPartidos[[#This Row],[Partidos_3]],0))</f>
        <v>0</v>
      </c>
      <c r="H474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6</v>
      </c>
      <c r="I474" t="str">
        <f>IF(AND(DesarrolloPartidos[[#This Row],[PartidosSolo3]]&lt;=DesarrolloPartidos[[#This Row],[Partidos_3]],DesarrolloPartidos[[#This Row],[PartidosSolo3]]&lt;&gt;0),DesarrolloPartidos[[#This Row],[PartidosSolo3]],"")</f>
        <v/>
      </c>
      <c r="J474">
        <f>+IF(DesarrolloPartidos[[#This Row],[Partidos3]]="",DesarrolloPartidos[[#This Row],[Partidos4]],DesarrolloPartidos[[#This Row],[Partidos3]])</f>
        <v>6</v>
      </c>
      <c r="K474" t="str">
        <f>+DesarrolloPartidos[[#This Row],[Jugadores]]&amp;":"&amp;DesarrolloPartidos[[#This Row],[Orden]]</f>
        <v>32:22</v>
      </c>
    </row>
    <row r="475" spans="1:11">
      <c r="A475">
        <f t="shared" si="40"/>
        <v>32</v>
      </c>
      <c r="B475">
        <f t="shared" si="39"/>
        <v>8</v>
      </c>
      <c r="C475">
        <f t="shared" si="41"/>
        <v>0</v>
      </c>
      <c r="D475">
        <f t="shared" si="42"/>
        <v>8</v>
      </c>
      <c r="E475">
        <f t="shared" si="43"/>
        <v>23</v>
      </c>
      <c r="F475">
        <f>3*DesarrolloPartidos[[#This Row],[Partidos_3]]</f>
        <v>0</v>
      </c>
      <c r="G475">
        <f>IF(DesarrolloPartidos[[#This Row],[Partidos_3]]=0,0,ROUNDUP(DesarrolloPartidos[[#This Row],[Orden]]/DesarrolloPartidos[[#This Row],[JugEnPart3]]*DesarrolloPartidos[[#This Row],[Partidos_3]],0))</f>
        <v>0</v>
      </c>
      <c r="H475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6</v>
      </c>
      <c r="I475" t="str">
        <f>IF(AND(DesarrolloPartidos[[#This Row],[PartidosSolo3]]&lt;=DesarrolloPartidos[[#This Row],[Partidos_3]],DesarrolloPartidos[[#This Row],[PartidosSolo3]]&lt;&gt;0),DesarrolloPartidos[[#This Row],[PartidosSolo3]],"")</f>
        <v/>
      </c>
      <c r="J475">
        <f>+IF(DesarrolloPartidos[[#This Row],[Partidos3]]="",DesarrolloPartidos[[#This Row],[Partidos4]],DesarrolloPartidos[[#This Row],[Partidos3]])</f>
        <v>6</v>
      </c>
      <c r="K475" t="str">
        <f>+DesarrolloPartidos[[#This Row],[Jugadores]]&amp;":"&amp;DesarrolloPartidos[[#This Row],[Orden]]</f>
        <v>32:23</v>
      </c>
    </row>
    <row r="476" spans="1:11">
      <c r="A476">
        <f t="shared" si="40"/>
        <v>32</v>
      </c>
      <c r="B476">
        <f t="shared" si="39"/>
        <v>8</v>
      </c>
      <c r="C476">
        <f t="shared" si="41"/>
        <v>0</v>
      </c>
      <c r="D476">
        <f t="shared" si="42"/>
        <v>8</v>
      </c>
      <c r="E476">
        <f t="shared" si="43"/>
        <v>24</v>
      </c>
      <c r="F476">
        <f>3*DesarrolloPartidos[[#This Row],[Partidos_3]]</f>
        <v>0</v>
      </c>
      <c r="G476">
        <f>IF(DesarrolloPartidos[[#This Row],[Partidos_3]]=0,0,ROUNDUP(DesarrolloPartidos[[#This Row],[Orden]]/DesarrolloPartidos[[#This Row],[JugEnPart3]]*DesarrolloPartidos[[#This Row],[Partidos_3]],0))</f>
        <v>0</v>
      </c>
      <c r="H476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6</v>
      </c>
      <c r="I476" t="str">
        <f>IF(AND(DesarrolloPartidos[[#This Row],[PartidosSolo3]]&lt;=DesarrolloPartidos[[#This Row],[Partidos_3]],DesarrolloPartidos[[#This Row],[PartidosSolo3]]&lt;&gt;0),DesarrolloPartidos[[#This Row],[PartidosSolo3]],"")</f>
        <v/>
      </c>
      <c r="J476">
        <f>+IF(DesarrolloPartidos[[#This Row],[Partidos3]]="",DesarrolloPartidos[[#This Row],[Partidos4]],DesarrolloPartidos[[#This Row],[Partidos3]])</f>
        <v>6</v>
      </c>
      <c r="K476" t="str">
        <f>+DesarrolloPartidos[[#This Row],[Jugadores]]&amp;":"&amp;DesarrolloPartidos[[#This Row],[Orden]]</f>
        <v>32:24</v>
      </c>
    </row>
    <row r="477" spans="1:11">
      <c r="A477">
        <f t="shared" si="40"/>
        <v>32</v>
      </c>
      <c r="B477">
        <f t="shared" si="39"/>
        <v>8</v>
      </c>
      <c r="C477">
        <f t="shared" si="41"/>
        <v>0</v>
      </c>
      <c r="D477">
        <f t="shared" si="42"/>
        <v>8</v>
      </c>
      <c r="E477">
        <f t="shared" si="43"/>
        <v>25</v>
      </c>
      <c r="F477">
        <f>3*DesarrolloPartidos[[#This Row],[Partidos_3]]</f>
        <v>0</v>
      </c>
      <c r="G477">
        <f>IF(DesarrolloPartidos[[#This Row],[Partidos_3]]=0,0,ROUNDUP(DesarrolloPartidos[[#This Row],[Orden]]/DesarrolloPartidos[[#This Row],[JugEnPart3]]*DesarrolloPartidos[[#This Row],[Partidos_3]],0))</f>
        <v>0</v>
      </c>
      <c r="H477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7</v>
      </c>
      <c r="I477" t="str">
        <f>IF(AND(DesarrolloPartidos[[#This Row],[PartidosSolo3]]&lt;=DesarrolloPartidos[[#This Row],[Partidos_3]],DesarrolloPartidos[[#This Row],[PartidosSolo3]]&lt;&gt;0),DesarrolloPartidos[[#This Row],[PartidosSolo3]],"")</f>
        <v/>
      </c>
      <c r="J477">
        <f>+IF(DesarrolloPartidos[[#This Row],[Partidos3]]="",DesarrolloPartidos[[#This Row],[Partidos4]],DesarrolloPartidos[[#This Row],[Partidos3]])</f>
        <v>7</v>
      </c>
      <c r="K477" t="str">
        <f>+DesarrolloPartidos[[#This Row],[Jugadores]]&amp;":"&amp;DesarrolloPartidos[[#This Row],[Orden]]</f>
        <v>32:25</v>
      </c>
    </row>
    <row r="478" spans="1:11">
      <c r="A478">
        <f t="shared" si="40"/>
        <v>32</v>
      </c>
      <c r="B478">
        <f t="shared" si="39"/>
        <v>8</v>
      </c>
      <c r="C478">
        <f t="shared" si="41"/>
        <v>0</v>
      </c>
      <c r="D478">
        <f t="shared" si="42"/>
        <v>8</v>
      </c>
      <c r="E478">
        <f t="shared" si="43"/>
        <v>26</v>
      </c>
      <c r="F478">
        <f>3*DesarrolloPartidos[[#This Row],[Partidos_3]]</f>
        <v>0</v>
      </c>
      <c r="G478">
        <f>IF(DesarrolloPartidos[[#This Row],[Partidos_3]]=0,0,ROUNDUP(DesarrolloPartidos[[#This Row],[Orden]]/DesarrolloPartidos[[#This Row],[JugEnPart3]]*DesarrolloPartidos[[#This Row],[Partidos_3]],0))</f>
        <v>0</v>
      </c>
      <c r="H478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7</v>
      </c>
      <c r="I478" t="str">
        <f>IF(AND(DesarrolloPartidos[[#This Row],[PartidosSolo3]]&lt;=DesarrolloPartidos[[#This Row],[Partidos_3]],DesarrolloPartidos[[#This Row],[PartidosSolo3]]&lt;&gt;0),DesarrolloPartidos[[#This Row],[PartidosSolo3]],"")</f>
        <v/>
      </c>
      <c r="J478">
        <f>+IF(DesarrolloPartidos[[#This Row],[Partidos3]]="",DesarrolloPartidos[[#This Row],[Partidos4]],DesarrolloPartidos[[#This Row],[Partidos3]])</f>
        <v>7</v>
      </c>
      <c r="K478" t="str">
        <f>+DesarrolloPartidos[[#This Row],[Jugadores]]&amp;":"&amp;DesarrolloPartidos[[#This Row],[Orden]]</f>
        <v>32:26</v>
      </c>
    </row>
    <row r="479" spans="1:11">
      <c r="A479">
        <f t="shared" si="40"/>
        <v>32</v>
      </c>
      <c r="B479">
        <f t="shared" si="39"/>
        <v>8</v>
      </c>
      <c r="C479">
        <f t="shared" si="41"/>
        <v>0</v>
      </c>
      <c r="D479">
        <f t="shared" si="42"/>
        <v>8</v>
      </c>
      <c r="E479">
        <f t="shared" si="43"/>
        <v>27</v>
      </c>
      <c r="F479">
        <f>3*DesarrolloPartidos[[#This Row],[Partidos_3]]</f>
        <v>0</v>
      </c>
      <c r="G479">
        <f>IF(DesarrolloPartidos[[#This Row],[Partidos_3]]=0,0,ROUNDUP(DesarrolloPartidos[[#This Row],[Orden]]/DesarrolloPartidos[[#This Row],[JugEnPart3]]*DesarrolloPartidos[[#This Row],[Partidos_3]],0))</f>
        <v>0</v>
      </c>
      <c r="H479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7</v>
      </c>
      <c r="I479" t="str">
        <f>IF(AND(DesarrolloPartidos[[#This Row],[PartidosSolo3]]&lt;=DesarrolloPartidos[[#This Row],[Partidos_3]],DesarrolloPartidos[[#This Row],[PartidosSolo3]]&lt;&gt;0),DesarrolloPartidos[[#This Row],[PartidosSolo3]],"")</f>
        <v/>
      </c>
      <c r="J479">
        <f>+IF(DesarrolloPartidos[[#This Row],[Partidos3]]="",DesarrolloPartidos[[#This Row],[Partidos4]],DesarrolloPartidos[[#This Row],[Partidos3]])</f>
        <v>7</v>
      </c>
      <c r="K479" t="str">
        <f>+DesarrolloPartidos[[#This Row],[Jugadores]]&amp;":"&amp;DesarrolloPartidos[[#This Row],[Orden]]</f>
        <v>32:27</v>
      </c>
    </row>
    <row r="480" spans="1:11">
      <c r="A480">
        <f t="shared" si="40"/>
        <v>32</v>
      </c>
      <c r="B480">
        <f t="shared" si="39"/>
        <v>8</v>
      </c>
      <c r="C480">
        <f t="shared" si="41"/>
        <v>0</v>
      </c>
      <c r="D480">
        <f t="shared" si="42"/>
        <v>8</v>
      </c>
      <c r="E480">
        <f t="shared" si="43"/>
        <v>28</v>
      </c>
      <c r="F480">
        <f>3*DesarrolloPartidos[[#This Row],[Partidos_3]]</f>
        <v>0</v>
      </c>
      <c r="G480">
        <f>IF(DesarrolloPartidos[[#This Row],[Partidos_3]]=0,0,ROUNDUP(DesarrolloPartidos[[#This Row],[Orden]]/DesarrolloPartidos[[#This Row],[JugEnPart3]]*DesarrolloPartidos[[#This Row],[Partidos_3]],0))</f>
        <v>0</v>
      </c>
      <c r="H480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7</v>
      </c>
      <c r="I480" t="str">
        <f>IF(AND(DesarrolloPartidos[[#This Row],[PartidosSolo3]]&lt;=DesarrolloPartidos[[#This Row],[Partidos_3]],DesarrolloPartidos[[#This Row],[PartidosSolo3]]&lt;&gt;0),DesarrolloPartidos[[#This Row],[PartidosSolo3]],"")</f>
        <v/>
      </c>
      <c r="J480">
        <f>+IF(DesarrolloPartidos[[#This Row],[Partidos3]]="",DesarrolloPartidos[[#This Row],[Partidos4]],DesarrolloPartidos[[#This Row],[Partidos3]])</f>
        <v>7</v>
      </c>
      <c r="K480" t="str">
        <f>+DesarrolloPartidos[[#This Row],[Jugadores]]&amp;":"&amp;DesarrolloPartidos[[#This Row],[Orden]]</f>
        <v>32:28</v>
      </c>
    </row>
    <row r="481" spans="1:11">
      <c r="A481">
        <f t="shared" si="40"/>
        <v>32</v>
      </c>
      <c r="B481">
        <f t="shared" si="39"/>
        <v>8</v>
      </c>
      <c r="C481">
        <f t="shared" si="41"/>
        <v>0</v>
      </c>
      <c r="D481">
        <f t="shared" si="42"/>
        <v>8</v>
      </c>
      <c r="E481">
        <f t="shared" si="43"/>
        <v>29</v>
      </c>
      <c r="F481">
        <f>3*DesarrolloPartidos[[#This Row],[Partidos_3]]</f>
        <v>0</v>
      </c>
      <c r="G481">
        <f>IF(DesarrolloPartidos[[#This Row],[Partidos_3]]=0,0,ROUNDUP(DesarrolloPartidos[[#This Row],[Orden]]/DesarrolloPartidos[[#This Row],[JugEnPart3]]*DesarrolloPartidos[[#This Row],[Partidos_3]],0))</f>
        <v>0</v>
      </c>
      <c r="H481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8</v>
      </c>
      <c r="I481" t="str">
        <f>IF(AND(DesarrolloPartidos[[#This Row],[PartidosSolo3]]&lt;=DesarrolloPartidos[[#This Row],[Partidos_3]],DesarrolloPartidos[[#This Row],[PartidosSolo3]]&lt;&gt;0),DesarrolloPartidos[[#This Row],[PartidosSolo3]],"")</f>
        <v/>
      </c>
      <c r="J481">
        <f>+IF(DesarrolloPartidos[[#This Row],[Partidos3]]="",DesarrolloPartidos[[#This Row],[Partidos4]],DesarrolloPartidos[[#This Row],[Partidos3]])</f>
        <v>8</v>
      </c>
      <c r="K481" t="str">
        <f>+DesarrolloPartidos[[#This Row],[Jugadores]]&amp;":"&amp;DesarrolloPartidos[[#This Row],[Orden]]</f>
        <v>32:29</v>
      </c>
    </row>
    <row r="482" spans="1:11">
      <c r="A482">
        <f t="shared" si="40"/>
        <v>32</v>
      </c>
      <c r="B482">
        <f t="shared" si="39"/>
        <v>8</v>
      </c>
      <c r="C482">
        <f t="shared" si="41"/>
        <v>0</v>
      </c>
      <c r="D482">
        <f t="shared" si="42"/>
        <v>8</v>
      </c>
      <c r="E482">
        <f t="shared" si="43"/>
        <v>30</v>
      </c>
      <c r="F482">
        <f>3*DesarrolloPartidos[[#This Row],[Partidos_3]]</f>
        <v>0</v>
      </c>
      <c r="G482">
        <f>IF(DesarrolloPartidos[[#This Row],[Partidos_3]]=0,0,ROUNDUP(DesarrolloPartidos[[#This Row],[Orden]]/DesarrolloPartidos[[#This Row],[JugEnPart3]]*DesarrolloPartidos[[#This Row],[Partidos_3]],0))</f>
        <v>0</v>
      </c>
      <c r="H482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8</v>
      </c>
      <c r="I482" t="str">
        <f>IF(AND(DesarrolloPartidos[[#This Row],[PartidosSolo3]]&lt;=DesarrolloPartidos[[#This Row],[Partidos_3]],DesarrolloPartidos[[#This Row],[PartidosSolo3]]&lt;&gt;0),DesarrolloPartidos[[#This Row],[PartidosSolo3]],"")</f>
        <v/>
      </c>
      <c r="J482">
        <f>+IF(DesarrolloPartidos[[#This Row],[Partidos3]]="",DesarrolloPartidos[[#This Row],[Partidos4]],DesarrolloPartidos[[#This Row],[Partidos3]])</f>
        <v>8</v>
      </c>
      <c r="K482" t="str">
        <f>+DesarrolloPartidos[[#This Row],[Jugadores]]&amp;":"&amp;DesarrolloPartidos[[#This Row],[Orden]]</f>
        <v>32:30</v>
      </c>
    </row>
    <row r="483" spans="1:11">
      <c r="A483">
        <f t="shared" si="40"/>
        <v>32</v>
      </c>
      <c r="B483">
        <f t="shared" si="39"/>
        <v>8</v>
      </c>
      <c r="C483">
        <f t="shared" si="41"/>
        <v>0</v>
      </c>
      <c r="D483">
        <f t="shared" si="42"/>
        <v>8</v>
      </c>
      <c r="E483">
        <f t="shared" si="43"/>
        <v>31</v>
      </c>
      <c r="F483">
        <f>3*DesarrolloPartidos[[#This Row],[Partidos_3]]</f>
        <v>0</v>
      </c>
      <c r="G483">
        <f>IF(DesarrolloPartidos[[#This Row],[Partidos_3]]=0,0,ROUNDUP(DesarrolloPartidos[[#This Row],[Orden]]/DesarrolloPartidos[[#This Row],[JugEnPart3]]*DesarrolloPartidos[[#This Row],[Partidos_3]],0))</f>
        <v>0</v>
      </c>
      <c r="H483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8</v>
      </c>
      <c r="I483" t="str">
        <f>IF(AND(DesarrolloPartidos[[#This Row],[PartidosSolo3]]&lt;=DesarrolloPartidos[[#This Row],[Partidos_3]],DesarrolloPartidos[[#This Row],[PartidosSolo3]]&lt;&gt;0),DesarrolloPartidos[[#This Row],[PartidosSolo3]],"")</f>
        <v/>
      </c>
      <c r="J483">
        <f>+IF(DesarrolloPartidos[[#This Row],[Partidos3]]="",DesarrolloPartidos[[#This Row],[Partidos4]],DesarrolloPartidos[[#This Row],[Partidos3]])</f>
        <v>8</v>
      </c>
      <c r="K483" t="str">
        <f>+DesarrolloPartidos[[#This Row],[Jugadores]]&amp;":"&amp;DesarrolloPartidos[[#This Row],[Orden]]</f>
        <v>32:31</v>
      </c>
    </row>
    <row r="484" spans="1:11">
      <c r="A484">
        <f t="shared" si="40"/>
        <v>32</v>
      </c>
      <c r="B484">
        <f t="shared" si="39"/>
        <v>8</v>
      </c>
      <c r="C484">
        <f t="shared" si="41"/>
        <v>0</v>
      </c>
      <c r="D484">
        <f t="shared" si="42"/>
        <v>8</v>
      </c>
      <c r="E484">
        <f t="shared" si="43"/>
        <v>32</v>
      </c>
      <c r="F484">
        <f>3*DesarrolloPartidos[[#This Row],[Partidos_3]]</f>
        <v>0</v>
      </c>
      <c r="G484">
        <f>IF(DesarrolloPartidos[[#This Row],[Partidos_3]]=0,0,ROUNDUP(DesarrolloPartidos[[#This Row],[Orden]]/DesarrolloPartidos[[#This Row],[JugEnPart3]]*DesarrolloPartidos[[#This Row],[Partidos_3]],0))</f>
        <v>0</v>
      </c>
      <c r="H484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8</v>
      </c>
      <c r="I484" t="str">
        <f>IF(AND(DesarrolloPartidos[[#This Row],[PartidosSolo3]]&lt;=DesarrolloPartidos[[#This Row],[Partidos_3]],DesarrolloPartidos[[#This Row],[PartidosSolo3]]&lt;&gt;0),DesarrolloPartidos[[#This Row],[PartidosSolo3]],"")</f>
        <v/>
      </c>
      <c r="J484">
        <f>+IF(DesarrolloPartidos[[#This Row],[Partidos3]]="",DesarrolloPartidos[[#This Row],[Partidos4]],DesarrolloPartidos[[#This Row],[Partidos3]])</f>
        <v>8</v>
      </c>
      <c r="K484" t="str">
        <f>+DesarrolloPartidos[[#This Row],[Jugadores]]&amp;":"&amp;DesarrolloPartidos[[#This Row],[Orden]]</f>
        <v>32:32</v>
      </c>
    </row>
    <row r="485" spans="1:11">
      <c r="A485">
        <f t="shared" si="40"/>
        <v>33</v>
      </c>
      <c r="B485">
        <f t="shared" si="39"/>
        <v>9</v>
      </c>
      <c r="C485">
        <f t="shared" si="41"/>
        <v>3</v>
      </c>
      <c r="D485">
        <f t="shared" si="42"/>
        <v>6</v>
      </c>
      <c r="E485">
        <f t="shared" si="43"/>
        <v>1</v>
      </c>
      <c r="F485">
        <f>3*DesarrolloPartidos[[#This Row],[Partidos_3]]</f>
        <v>9</v>
      </c>
      <c r="G485">
        <f>IF(DesarrolloPartidos[[#This Row],[Partidos_3]]=0,0,ROUNDUP(DesarrolloPartidos[[#This Row],[Orden]]/DesarrolloPartidos[[#This Row],[JugEnPart3]]*DesarrolloPartidos[[#This Row],[Partidos_3]],0))</f>
        <v>1</v>
      </c>
      <c r="H485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485">
        <f>IF(AND(DesarrolloPartidos[[#This Row],[PartidosSolo3]]&lt;=DesarrolloPartidos[[#This Row],[Partidos_3]],DesarrolloPartidos[[#This Row],[PartidosSolo3]]&lt;&gt;0),DesarrolloPartidos[[#This Row],[PartidosSolo3]],"")</f>
        <v>1</v>
      </c>
      <c r="J485">
        <f>+IF(DesarrolloPartidos[[#This Row],[Partidos3]]="",DesarrolloPartidos[[#This Row],[Partidos4]],DesarrolloPartidos[[#This Row],[Partidos3]])</f>
        <v>1</v>
      </c>
      <c r="K485" t="str">
        <f>+DesarrolloPartidos[[#This Row],[Jugadores]]&amp;":"&amp;DesarrolloPartidos[[#This Row],[Orden]]</f>
        <v>33:1</v>
      </c>
    </row>
    <row r="486" spans="1:11">
      <c r="A486">
        <f t="shared" si="40"/>
        <v>33</v>
      </c>
      <c r="B486">
        <f t="shared" si="39"/>
        <v>9</v>
      </c>
      <c r="C486">
        <f t="shared" si="41"/>
        <v>3</v>
      </c>
      <c r="D486">
        <f t="shared" si="42"/>
        <v>6</v>
      </c>
      <c r="E486">
        <f t="shared" si="43"/>
        <v>2</v>
      </c>
      <c r="F486">
        <f>3*DesarrolloPartidos[[#This Row],[Partidos_3]]</f>
        <v>9</v>
      </c>
      <c r="G486">
        <f>IF(DesarrolloPartidos[[#This Row],[Partidos_3]]=0,0,ROUNDUP(DesarrolloPartidos[[#This Row],[Orden]]/DesarrolloPartidos[[#This Row],[JugEnPart3]]*DesarrolloPartidos[[#This Row],[Partidos_3]],0))</f>
        <v>1</v>
      </c>
      <c r="H486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486">
        <f>IF(AND(DesarrolloPartidos[[#This Row],[PartidosSolo3]]&lt;=DesarrolloPartidos[[#This Row],[Partidos_3]],DesarrolloPartidos[[#This Row],[PartidosSolo3]]&lt;&gt;0),DesarrolloPartidos[[#This Row],[PartidosSolo3]],"")</f>
        <v>1</v>
      </c>
      <c r="J486">
        <f>+IF(DesarrolloPartidos[[#This Row],[Partidos3]]="",DesarrolloPartidos[[#This Row],[Partidos4]],DesarrolloPartidos[[#This Row],[Partidos3]])</f>
        <v>1</v>
      </c>
      <c r="K486" t="str">
        <f>+DesarrolloPartidos[[#This Row],[Jugadores]]&amp;":"&amp;DesarrolloPartidos[[#This Row],[Orden]]</f>
        <v>33:2</v>
      </c>
    </row>
    <row r="487" spans="1:11">
      <c r="A487">
        <f t="shared" si="40"/>
        <v>33</v>
      </c>
      <c r="B487">
        <f t="shared" si="39"/>
        <v>9</v>
      </c>
      <c r="C487">
        <f t="shared" si="41"/>
        <v>3</v>
      </c>
      <c r="D487">
        <f t="shared" si="42"/>
        <v>6</v>
      </c>
      <c r="E487">
        <f t="shared" si="43"/>
        <v>3</v>
      </c>
      <c r="F487">
        <f>3*DesarrolloPartidos[[#This Row],[Partidos_3]]</f>
        <v>9</v>
      </c>
      <c r="G487">
        <f>IF(DesarrolloPartidos[[#This Row],[Partidos_3]]=0,0,ROUNDUP(DesarrolloPartidos[[#This Row],[Orden]]/DesarrolloPartidos[[#This Row],[JugEnPart3]]*DesarrolloPartidos[[#This Row],[Partidos_3]],0))</f>
        <v>1</v>
      </c>
      <c r="H487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487">
        <f>IF(AND(DesarrolloPartidos[[#This Row],[PartidosSolo3]]&lt;=DesarrolloPartidos[[#This Row],[Partidos_3]],DesarrolloPartidos[[#This Row],[PartidosSolo3]]&lt;&gt;0),DesarrolloPartidos[[#This Row],[PartidosSolo3]],"")</f>
        <v>1</v>
      </c>
      <c r="J487">
        <f>+IF(DesarrolloPartidos[[#This Row],[Partidos3]]="",DesarrolloPartidos[[#This Row],[Partidos4]],DesarrolloPartidos[[#This Row],[Partidos3]])</f>
        <v>1</v>
      </c>
      <c r="K487" t="str">
        <f>+DesarrolloPartidos[[#This Row],[Jugadores]]&amp;":"&amp;DesarrolloPartidos[[#This Row],[Orden]]</f>
        <v>33:3</v>
      </c>
    </row>
    <row r="488" spans="1:11">
      <c r="A488">
        <f t="shared" si="40"/>
        <v>33</v>
      </c>
      <c r="B488">
        <f t="shared" si="39"/>
        <v>9</v>
      </c>
      <c r="C488">
        <f t="shared" si="41"/>
        <v>3</v>
      </c>
      <c r="D488">
        <f t="shared" si="42"/>
        <v>6</v>
      </c>
      <c r="E488">
        <f t="shared" si="43"/>
        <v>4</v>
      </c>
      <c r="F488">
        <f>3*DesarrolloPartidos[[#This Row],[Partidos_3]]</f>
        <v>9</v>
      </c>
      <c r="G488">
        <f>IF(DesarrolloPartidos[[#This Row],[Partidos_3]]=0,0,ROUNDUP(DesarrolloPartidos[[#This Row],[Orden]]/DesarrolloPartidos[[#This Row],[JugEnPart3]]*DesarrolloPartidos[[#This Row],[Partidos_3]],0))</f>
        <v>2</v>
      </c>
      <c r="H488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488">
        <f>IF(AND(DesarrolloPartidos[[#This Row],[PartidosSolo3]]&lt;=DesarrolloPartidos[[#This Row],[Partidos_3]],DesarrolloPartidos[[#This Row],[PartidosSolo3]]&lt;&gt;0),DesarrolloPartidos[[#This Row],[PartidosSolo3]],"")</f>
        <v>2</v>
      </c>
      <c r="J488">
        <f>+IF(DesarrolloPartidos[[#This Row],[Partidos3]]="",DesarrolloPartidos[[#This Row],[Partidos4]],DesarrolloPartidos[[#This Row],[Partidos3]])</f>
        <v>2</v>
      </c>
      <c r="K488" t="str">
        <f>+DesarrolloPartidos[[#This Row],[Jugadores]]&amp;":"&amp;DesarrolloPartidos[[#This Row],[Orden]]</f>
        <v>33:4</v>
      </c>
    </row>
    <row r="489" spans="1:11">
      <c r="A489">
        <f t="shared" si="40"/>
        <v>33</v>
      </c>
      <c r="B489">
        <f t="shared" si="39"/>
        <v>9</v>
      </c>
      <c r="C489">
        <f t="shared" si="41"/>
        <v>3</v>
      </c>
      <c r="D489">
        <f t="shared" si="42"/>
        <v>6</v>
      </c>
      <c r="E489">
        <f t="shared" si="43"/>
        <v>5</v>
      </c>
      <c r="F489">
        <f>3*DesarrolloPartidos[[#This Row],[Partidos_3]]</f>
        <v>9</v>
      </c>
      <c r="G489">
        <f>IF(DesarrolloPartidos[[#This Row],[Partidos_3]]=0,0,ROUNDUP(DesarrolloPartidos[[#This Row],[Orden]]/DesarrolloPartidos[[#This Row],[JugEnPart3]]*DesarrolloPartidos[[#This Row],[Partidos_3]],0))</f>
        <v>2</v>
      </c>
      <c r="H489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489">
        <f>IF(AND(DesarrolloPartidos[[#This Row],[PartidosSolo3]]&lt;=DesarrolloPartidos[[#This Row],[Partidos_3]],DesarrolloPartidos[[#This Row],[PartidosSolo3]]&lt;&gt;0),DesarrolloPartidos[[#This Row],[PartidosSolo3]],"")</f>
        <v>2</v>
      </c>
      <c r="J489">
        <f>+IF(DesarrolloPartidos[[#This Row],[Partidos3]]="",DesarrolloPartidos[[#This Row],[Partidos4]],DesarrolloPartidos[[#This Row],[Partidos3]])</f>
        <v>2</v>
      </c>
      <c r="K489" t="str">
        <f>+DesarrolloPartidos[[#This Row],[Jugadores]]&amp;":"&amp;DesarrolloPartidos[[#This Row],[Orden]]</f>
        <v>33:5</v>
      </c>
    </row>
    <row r="490" spans="1:11">
      <c r="A490">
        <f t="shared" si="40"/>
        <v>33</v>
      </c>
      <c r="B490">
        <f t="shared" si="39"/>
        <v>9</v>
      </c>
      <c r="C490">
        <f t="shared" si="41"/>
        <v>3</v>
      </c>
      <c r="D490">
        <f t="shared" si="42"/>
        <v>6</v>
      </c>
      <c r="E490">
        <f t="shared" si="43"/>
        <v>6</v>
      </c>
      <c r="F490">
        <f>3*DesarrolloPartidos[[#This Row],[Partidos_3]]</f>
        <v>9</v>
      </c>
      <c r="G490">
        <f>IF(DesarrolloPartidos[[#This Row],[Partidos_3]]=0,0,ROUNDUP(DesarrolloPartidos[[#This Row],[Orden]]/DesarrolloPartidos[[#This Row],[JugEnPart3]]*DesarrolloPartidos[[#This Row],[Partidos_3]],0))</f>
        <v>2</v>
      </c>
      <c r="H490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490">
        <f>IF(AND(DesarrolloPartidos[[#This Row],[PartidosSolo3]]&lt;=DesarrolloPartidos[[#This Row],[Partidos_3]],DesarrolloPartidos[[#This Row],[PartidosSolo3]]&lt;&gt;0),DesarrolloPartidos[[#This Row],[PartidosSolo3]],"")</f>
        <v>2</v>
      </c>
      <c r="J490">
        <f>+IF(DesarrolloPartidos[[#This Row],[Partidos3]]="",DesarrolloPartidos[[#This Row],[Partidos4]],DesarrolloPartidos[[#This Row],[Partidos3]])</f>
        <v>2</v>
      </c>
      <c r="K490" t="str">
        <f>+DesarrolloPartidos[[#This Row],[Jugadores]]&amp;":"&amp;DesarrolloPartidos[[#This Row],[Orden]]</f>
        <v>33:6</v>
      </c>
    </row>
    <row r="491" spans="1:11">
      <c r="A491">
        <f t="shared" si="40"/>
        <v>33</v>
      </c>
      <c r="B491">
        <f t="shared" si="39"/>
        <v>9</v>
      </c>
      <c r="C491">
        <f t="shared" si="41"/>
        <v>3</v>
      </c>
      <c r="D491">
        <f t="shared" si="42"/>
        <v>6</v>
      </c>
      <c r="E491">
        <f t="shared" si="43"/>
        <v>7</v>
      </c>
      <c r="F491">
        <f>3*DesarrolloPartidos[[#This Row],[Partidos_3]]</f>
        <v>9</v>
      </c>
      <c r="G491">
        <f>IF(DesarrolloPartidos[[#This Row],[Partidos_3]]=0,0,ROUNDUP(DesarrolloPartidos[[#This Row],[Orden]]/DesarrolloPartidos[[#This Row],[JugEnPart3]]*DesarrolloPartidos[[#This Row],[Partidos_3]],0))</f>
        <v>3</v>
      </c>
      <c r="H491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491">
        <f>IF(AND(DesarrolloPartidos[[#This Row],[PartidosSolo3]]&lt;=DesarrolloPartidos[[#This Row],[Partidos_3]],DesarrolloPartidos[[#This Row],[PartidosSolo3]]&lt;&gt;0),DesarrolloPartidos[[#This Row],[PartidosSolo3]],"")</f>
        <v>3</v>
      </c>
      <c r="J491">
        <f>+IF(DesarrolloPartidos[[#This Row],[Partidos3]]="",DesarrolloPartidos[[#This Row],[Partidos4]],DesarrolloPartidos[[#This Row],[Partidos3]])</f>
        <v>3</v>
      </c>
      <c r="K491" t="str">
        <f>+DesarrolloPartidos[[#This Row],[Jugadores]]&amp;":"&amp;DesarrolloPartidos[[#This Row],[Orden]]</f>
        <v>33:7</v>
      </c>
    </row>
    <row r="492" spans="1:11">
      <c r="A492">
        <f t="shared" si="40"/>
        <v>33</v>
      </c>
      <c r="B492">
        <f t="shared" si="39"/>
        <v>9</v>
      </c>
      <c r="C492">
        <f t="shared" si="41"/>
        <v>3</v>
      </c>
      <c r="D492">
        <f t="shared" si="42"/>
        <v>6</v>
      </c>
      <c r="E492">
        <f t="shared" si="43"/>
        <v>8</v>
      </c>
      <c r="F492">
        <f>3*DesarrolloPartidos[[#This Row],[Partidos_3]]</f>
        <v>9</v>
      </c>
      <c r="G492">
        <f>IF(DesarrolloPartidos[[#This Row],[Partidos_3]]=0,0,ROUNDUP(DesarrolloPartidos[[#This Row],[Orden]]/DesarrolloPartidos[[#This Row],[JugEnPart3]]*DesarrolloPartidos[[#This Row],[Partidos_3]],0))</f>
        <v>3</v>
      </c>
      <c r="H492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492">
        <f>IF(AND(DesarrolloPartidos[[#This Row],[PartidosSolo3]]&lt;=DesarrolloPartidos[[#This Row],[Partidos_3]],DesarrolloPartidos[[#This Row],[PartidosSolo3]]&lt;&gt;0),DesarrolloPartidos[[#This Row],[PartidosSolo3]],"")</f>
        <v>3</v>
      </c>
      <c r="J492">
        <f>+IF(DesarrolloPartidos[[#This Row],[Partidos3]]="",DesarrolloPartidos[[#This Row],[Partidos4]],DesarrolloPartidos[[#This Row],[Partidos3]])</f>
        <v>3</v>
      </c>
      <c r="K492" t="str">
        <f>+DesarrolloPartidos[[#This Row],[Jugadores]]&amp;":"&amp;DesarrolloPartidos[[#This Row],[Orden]]</f>
        <v>33:8</v>
      </c>
    </row>
    <row r="493" spans="1:11">
      <c r="A493">
        <f t="shared" si="40"/>
        <v>33</v>
      </c>
      <c r="B493">
        <f t="shared" si="39"/>
        <v>9</v>
      </c>
      <c r="C493">
        <f t="shared" si="41"/>
        <v>3</v>
      </c>
      <c r="D493">
        <f t="shared" si="42"/>
        <v>6</v>
      </c>
      <c r="E493">
        <f t="shared" si="43"/>
        <v>9</v>
      </c>
      <c r="F493">
        <f>3*DesarrolloPartidos[[#This Row],[Partidos_3]]</f>
        <v>9</v>
      </c>
      <c r="G493">
        <f>IF(DesarrolloPartidos[[#This Row],[Partidos_3]]=0,0,ROUNDUP(DesarrolloPartidos[[#This Row],[Orden]]/DesarrolloPartidos[[#This Row],[JugEnPart3]]*DesarrolloPartidos[[#This Row],[Partidos_3]],0))</f>
        <v>3</v>
      </c>
      <c r="H493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493">
        <f>IF(AND(DesarrolloPartidos[[#This Row],[PartidosSolo3]]&lt;=DesarrolloPartidos[[#This Row],[Partidos_3]],DesarrolloPartidos[[#This Row],[PartidosSolo3]]&lt;&gt;0),DesarrolloPartidos[[#This Row],[PartidosSolo3]],"")</f>
        <v>3</v>
      </c>
      <c r="J493">
        <f>+IF(DesarrolloPartidos[[#This Row],[Partidos3]]="",DesarrolloPartidos[[#This Row],[Partidos4]],DesarrolloPartidos[[#This Row],[Partidos3]])</f>
        <v>3</v>
      </c>
      <c r="K493" t="str">
        <f>+DesarrolloPartidos[[#This Row],[Jugadores]]&amp;":"&amp;DesarrolloPartidos[[#This Row],[Orden]]</f>
        <v>33:9</v>
      </c>
    </row>
    <row r="494" spans="1:11">
      <c r="A494">
        <f t="shared" si="40"/>
        <v>33</v>
      </c>
      <c r="B494">
        <f t="shared" si="39"/>
        <v>9</v>
      </c>
      <c r="C494">
        <f t="shared" si="41"/>
        <v>3</v>
      </c>
      <c r="D494">
        <f t="shared" si="42"/>
        <v>6</v>
      </c>
      <c r="E494">
        <f t="shared" si="43"/>
        <v>10</v>
      </c>
      <c r="F494">
        <f>3*DesarrolloPartidos[[#This Row],[Partidos_3]]</f>
        <v>9</v>
      </c>
      <c r="G494">
        <f>IF(DesarrolloPartidos[[#This Row],[Partidos_3]]=0,0,ROUNDUP(DesarrolloPartidos[[#This Row],[Orden]]/DesarrolloPartidos[[#This Row],[JugEnPart3]]*DesarrolloPartidos[[#This Row],[Partidos_3]],0))</f>
        <v>4</v>
      </c>
      <c r="H494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494" t="str">
        <f>IF(AND(DesarrolloPartidos[[#This Row],[PartidosSolo3]]&lt;=DesarrolloPartidos[[#This Row],[Partidos_3]],DesarrolloPartidos[[#This Row],[PartidosSolo3]]&lt;&gt;0),DesarrolloPartidos[[#This Row],[PartidosSolo3]],"")</f>
        <v/>
      </c>
      <c r="J494">
        <f>+IF(DesarrolloPartidos[[#This Row],[Partidos3]]="",DesarrolloPartidos[[#This Row],[Partidos4]],DesarrolloPartidos[[#This Row],[Partidos3]])</f>
        <v>4</v>
      </c>
      <c r="K494" t="str">
        <f>+DesarrolloPartidos[[#This Row],[Jugadores]]&amp;":"&amp;DesarrolloPartidos[[#This Row],[Orden]]</f>
        <v>33:10</v>
      </c>
    </row>
    <row r="495" spans="1:11">
      <c r="A495">
        <f t="shared" si="40"/>
        <v>33</v>
      </c>
      <c r="B495">
        <f t="shared" si="39"/>
        <v>9</v>
      </c>
      <c r="C495">
        <f t="shared" si="41"/>
        <v>3</v>
      </c>
      <c r="D495">
        <f t="shared" si="42"/>
        <v>6</v>
      </c>
      <c r="E495">
        <f t="shared" si="43"/>
        <v>11</v>
      </c>
      <c r="F495">
        <f>3*DesarrolloPartidos[[#This Row],[Partidos_3]]</f>
        <v>9</v>
      </c>
      <c r="G495">
        <f>IF(DesarrolloPartidos[[#This Row],[Partidos_3]]=0,0,ROUNDUP(DesarrolloPartidos[[#This Row],[Orden]]/DesarrolloPartidos[[#This Row],[JugEnPart3]]*DesarrolloPartidos[[#This Row],[Partidos_3]],0))</f>
        <v>4</v>
      </c>
      <c r="H495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495" t="str">
        <f>IF(AND(DesarrolloPartidos[[#This Row],[PartidosSolo3]]&lt;=DesarrolloPartidos[[#This Row],[Partidos_3]],DesarrolloPartidos[[#This Row],[PartidosSolo3]]&lt;&gt;0),DesarrolloPartidos[[#This Row],[PartidosSolo3]],"")</f>
        <v/>
      </c>
      <c r="J495">
        <f>+IF(DesarrolloPartidos[[#This Row],[Partidos3]]="",DesarrolloPartidos[[#This Row],[Partidos4]],DesarrolloPartidos[[#This Row],[Partidos3]])</f>
        <v>4</v>
      </c>
      <c r="K495" t="str">
        <f>+DesarrolloPartidos[[#This Row],[Jugadores]]&amp;":"&amp;DesarrolloPartidos[[#This Row],[Orden]]</f>
        <v>33:11</v>
      </c>
    </row>
    <row r="496" spans="1:11">
      <c r="A496">
        <f t="shared" si="40"/>
        <v>33</v>
      </c>
      <c r="B496">
        <f t="shared" si="39"/>
        <v>9</v>
      </c>
      <c r="C496">
        <f t="shared" si="41"/>
        <v>3</v>
      </c>
      <c r="D496">
        <f t="shared" si="42"/>
        <v>6</v>
      </c>
      <c r="E496">
        <f t="shared" si="43"/>
        <v>12</v>
      </c>
      <c r="F496">
        <f>3*DesarrolloPartidos[[#This Row],[Partidos_3]]</f>
        <v>9</v>
      </c>
      <c r="G496">
        <f>IF(DesarrolloPartidos[[#This Row],[Partidos_3]]=0,0,ROUNDUP(DesarrolloPartidos[[#This Row],[Orden]]/DesarrolloPartidos[[#This Row],[JugEnPart3]]*DesarrolloPartidos[[#This Row],[Partidos_3]],0))</f>
        <v>4</v>
      </c>
      <c r="H496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496" t="str">
        <f>IF(AND(DesarrolloPartidos[[#This Row],[PartidosSolo3]]&lt;=DesarrolloPartidos[[#This Row],[Partidos_3]],DesarrolloPartidos[[#This Row],[PartidosSolo3]]&lt;&gt;0),DesarrolloPartidos[[#This Row],[PartidosSolo3]],"")</f>
        <v/>
      </c>
      <c r="J496">
        <f>+IF(DesarrolloPartidos[[#This Row],[Partidos3]]="",DesarrolloPartidos[[#This Row],[Partidos4]],DesarrolloPartidos[[#This Row],[Partidos3]])</f>
        <v>4</v>
      </c>
      <c r="K496" t="str">
        <f>+DesarrolloPartidos[[#This Row],[Jugadores]]&amp;":"&amp;DesarrolloPartidos[[#This Row],[Orden]]</f>
        <v>33:12</v>
      </c>
    </row>
    <row r="497" spans="1:11">
      <c r="A497">
        <f t="shared" si="40"/>
        <v>33</v>
      </c>
      <c r="B497">
        <f t="shared" si="39"/>
        <v>9</v>
      </c>
      <c r="C497">
        <f t="shared" si="41"/>
        <v>3</v>
      </c>
      <c r="D497">
        <f t="shared" si="42"/>
        <v>6</v>
      </c>
      <c r="E497">
        <f t="shared" si="43"/>
        <v>13</v>
      </c>
      <c r="F497">
        <f>3*DesarrolloPartidos[[#This Row],[Partidos_3]]</f>
        <v>9</v>
      </c>
      <c r="G497">
        <f>IF(DesarrolloPartidos[[#This Row],[Partidos_3]]=0,0,ROUNDUP(DesarrolloPartidos[[#This Row],[Orden]]/DesarrolloPartidos[[#This Row],[JugEnPart3]]*DesarrolloPartidos[[#This Row],[Partidos_3]],0))</f>
        <v>5</v>
      </c>
      <c r="H497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497" t="str">
        <f>IF(AND(DesarrolloPartidos[[#This Row],[PartidosSolo3]]&lt;=DesarrolloPartidos[[#This Row],[Partidos_3]],DesarrolloPartidos[[#This Row],[PartidosSolo3]]&lt;&gt;0),DesarrolloPartidos[[#This Row],[PartidosSolo3]],"")</f>
        <v/>
      </c>
      <c r="J497">
        <f>+IF(DesarrolloPartidos[[#This Row],[Partidos3]]="",DesarrolloPartidos[[#This Row],[Partidos4]],DesarrolloPartidos[[#This Row],[Partidos3]])</f>
        <v>4</v>
      </c>
      <c r="K497" t="str">
        <f>+DesarrolloPartidos[[#This Row],[Jugadores]]&amp;":"&amp;DesarrolloPartidos[[#This Row],[Orden]]</f>
        <v>33:13</v>
      </c>
    </row>
    <row r="498" spans="1:11">
      <c r="A498">
        <f t="shared" si="40"/>
        <v>33</v>
      </c>
      <c r="B498">
        <f t="shared" si="39"/>
        <v>9</v>
      </c>
      <c r="C498">
        <f t="shared" si="41"/>
        <v>3</v>
      </c>
      <c r="D498">
        <f t="shared" si="42"/>
        <v>6</v>
      </c>
      <c r="E498">
        <f t="shared" si="43"/>
        <v>14</v>
      </c>
      <c r="F498">
        <f>3*DesarrolloPartidos[[#This Row],[Partidos_3]]</f>
        <v>9</v>
      </c>
      <c r="G498">
        <f>IF(DesarrolloPartidos[[#This Row],[Partidos_3]]=0,0,ROUNDUP(DesarrolloPartidos[[#This Row],[Orden]]/DesarrolloPartidos[[#This Row],[JugEnPart3]]*DesarrolloPartidos[[#This Row],[Partidos_3]],0))</f>
        <v>5</v>
      </c>
      <c r="H498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5</v>
      </c>
      <c r="I498" t="str">
        <f>IF(AND(DesarrolloPartidos[[#This Row],[PartidosSolo3]]&lt;=DesarrolloPartidos[[#This Row],[Partidos_3]],DesarrolloPartidos[[#This Row],[PartidosSolo3]]&lt;&gt;0),DesarrolloPartidos[[#This Row],[PartidosSolo3]],"")</f>
        <v/>
      </c>
      <c r="J498">
        <f>+IF(DesarrolloPartidos[[#This Row],[Partidos3]]="",DesarrolloPartidos[[#This Row],[Partidos4]],DesarrolloPartidos[[#This Row],[Partidos3]])</f>
        <v>5</v>
      </c>
      <c r="K498" t="str">
        <f>+DesarrolloPartidos[[#This Row],[Jugadores]]&amp;":"&amp;DesarrolloPartidos[[#This Row],[Orden]]</f>
        <v>33:14</v>
      </c>
    </row>
    <row r="499" spans="1:11">
      <c r="A499">
        <f t="shared" si="40"/>
        <v>33</v>
      </c>
      <c r="B499">
        <f t="shared" si="39"/>
        <v>9</v>
      </c>
      <c r="C499">
        <f t="shared" si="41"/>
        <v>3</v>
      </c>
      <c r="D499">
        <f t="shared" si="42"/>
        <v>6</v>
      </c>
      <c r="E499">
        <f t="shared" si="43"/>
        <v>15</v>
      </c>
      <c r="F499">
        <f>3*DesarrolloPartidos[[#This Row],[Partidos_3]]</f>
        <v>9</v>
      </c>
      <c r="G499">
        <f>IF(DesarrolloPartidos[[#This Row],[Partidos_3]]=0,0,ROUNDUP(DesarrolloPartidos[[#This Row],[Orden]]/DesarrolloPartidos[[#This Row],[JugEnPart3]]*DesarrolloPartidos[[#This Row],[Partidos_3]],0))</f>
        <v>5</v>
      </c>
      <c r="H499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5</v>
      </c>
      <c r="I499" t="str">
        <f>IF(AND(DesarrolloPartidos[[#This Row],[PartidosSolo3]]&lt;=DesarrolloPartidos[[#This Row],[Partidos_3]],DesarrolloPartidos[[#This Row],[PartidosSolo3]]&lt;&gt;0),DesarrolloPartidos[[#This Row],[PartidosSolo3]],"")</f>
        <v/>
      </c>
      <c r="J499">
        <f>+IF(DesarrolloPartidos[[#This Row],[Partidos3]]="",DesarrolloPartidos[[#This Row],[Partidos4]],DesarrolloPartidos[[#This Row],[Partidos3]])</f>
        <v>5</v>
      </c>
      <c r="K499" t="str">
        <f>+DesarrolloPartidos[[#This Row],[Jugadores]]&amp;":"&amp;DesarrolloPartidos[[#This Row],[Orden]]</f>
        <v>33:15</v>
      </c>
    </row>
    <row r="500" spans="1:11">
      <c r="A500">
        <f t="shared" si="40"/>
        <v>33</v>
      </c>
      <c r="B500">
        <f t="shared" si="39"/>
        <v>9</v>
      </c>
      <c r="C500">
        <f t="shared" si="41"/>
        <v>3</v>
      </c>
      <c r="D500">
        <f t="shared" si="42"/>
        <v>6</v>
      </c>
      <c r="E500">
        <f t="shared" si="43"/>
        <v>16</v>
      </c>
      <c r="F500">
        <f>3*DesarrolloPartidos[[#This Row],[Partidos_3]]</f>
        <v>9</v>
      </c>
      <c r="G500">
        <f>IF(DesarrolloPartidos[[#This Row],[Partidos_3]]=0,0,ROUNDUP(DesarrolloPartidos[[#This Row],[Orden]]/DesarrolloPartidos[[#This Row],[JugEnPart3]]*DesarrolloPartidos[[#This Row],[Partidos_3]],0))</f>
        <v>6</v>
      </c>
      <c r="H500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5</v>
      </c>
      <c r="I500" t="str">
        <f>IF(AND(DesarrolloPartidos[[#This Row],[PartidosSolo3]]&lt;=DesarrolloPartidos[[#This Row],[Partidos_3]],DesarrolloPartidos[[#This Row],[PartidosSolo3]]&lt;&gt;0),DesarrolloPartidos[[#This Row],[PartidosSolo3]],"")</f>
        <v/>
      </c>
      <c r="J500">
        <f>+IF(DesarrolloPartidos[[#This Row],[Partidos3]]="",DesarrolloPartidos[[#This Row],[Partidos4]],DesarrolloPartidos[[#This Row],[Partidos3]])</f>
        <v>5</v>
      </c>
      <c r="K500" t="str">
        <f>+DesarrolloPartidos[[#This Row],[Jugadores]]&amp;":"&amp;DesarrolloPartidos[[#This Row],[Orden]]</f>
        <v>33:16</v>
      </c>
    </row>
    <row r="501" spans="1:11">
      <c r="A501">
        <f t="shared" si="40"/>
        <v>33</v>
      </c>
      <c r="B501">
        <f t="shared" si="39"/>
        <v>9</v>
      </c>
      <c r="C501">
        <f t="shared" si="41"/>
        <v>3</v>
      </c>
      <c r="D501">
        <f t="shared" si="42"/>
        <v>6</v>
      </c>
      <c r="E501">
        <f t="shared" si="43"/>
        <v>17</v>
      </c>
      <c r="F501">
        <f>3*DesarrolloPartidos[[#This Row],[Partidos_3]]</f>
        <v>9</v>
      </c>
      <c r="G501">
        <f>IF(DesarrolloPartidos[[#This Row],[Partidos_3]]=0,0,ROUNDUP(DesarrolloPartidos[[#This Row],[Orden]]/DesarrolloPartidos[[#This Row],[JugEnPart3]]*DesarrolloPartidos[[#This Row],[Partidos_3]],0))</f>
        <v>6</v>
      </c>
      <c r="H501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5</v>
      </c>
      <c r="I501" t="str">
        <f>IF(AND(DesarrolloPartidos[[#This Row],[PartidosSolo3]]&lt;=DesarrolloPartidos[[#This Row],[Partidos_3]],DesarrolloPartidos[[#This Row],[PartidosSolo3]]&lt;&gt;0),DesarrolloPartidos[[#This Row],[PartidosSolo3]],"")</f>
        <v/>
      </c>
      <c r="J501">
        <f>+IF(DesarrolloPartidos[[#This Row],[Partidos3]]="",DesarrolloPartidos[[#This Row],[Partidos4]],DesarrolloPartidos[[#This Row],[Partidos3]])</f>
        <v>5</v>
      </c>
      <c r="K501" t="str">
        <f>+DesarrolloPartidos[[#This Row],[Jugadores]]&amp;":"&amp;DesarrolloPartidos[[#This Row],[Orden]]</f>
        <v>33:17</v>
      </c>
    </row>
    <row r="502" spans="1:11">
      <c r="A502">
        <f t="shared" si="40"/>
        <v>33</v>
      </c>
      <c r="B502">
        <f t="shared" si="39"/>
        <v>9</v>
      </c>
      <c r="C502">
        <f t="shared" si="41"/>
        <v>3</v>
      </c>
      <c r="D502">
        <f t="shared" si="42"/>
        <v>6</v>
      </c>
      <c r="E502">
        <f t="shared" si="43"/>
        <v>18</v>
      </c>
      <c r="F502">
        <f>3*DesarrolloPartidos[[#This Row],[Partidos_3]]</f>
        <v>9</v>
      </c>
      <c r="G502">
        <f>IF(DesarrolloPartidos[[#This Row],[Partidos_3]]=0,0,ROUNDUP(DesarrolloPartidos[[#This Row],[Orden]]/DesarrolloPartidos[[#This Row],[JugEnPart3]]*DesarrolloPartidos[[#This Row],[Partidos_3]],0))</f>
        <v>6</v>
      </c>
      <c r="H502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6</v>
      </c>
      <c r="I502" t="str">
        <f>IF(AND(DesarrolloPartidos[[#This Row],[PartidosSolo3]]&lt;=DesarrolloPartidos[[#This Row],[Partidos_3]],DesarrolloPartidos[[#This Row],[PartidosSolo3]]&lt;&gt;0),DesarrolloPartidos[[#This Row],[PartidosSolo3]],"")</f>
        <v/>
      </c>
      <c r="J502">
        <f>+IF(DesarrolloPartidos[[#This Row],[Partidos3]]="",DesarrolloPartidos[[#This Row],[Partidos4]],DesarrolloPartidos[[#This Row],[Partidos3]])</f>
        <v>6</v>
      </c>
      <c r="K502" t="str">
        <f>+DesarrolloPartidos[[#This Row],[Jugadores]]&amp;":"&amp;DesarrolloPartidos[[#This Row],[Orden]]</f>
        <v>33:18</v>
      </c>
    </row>
    <row r="503" spans="1:11">
      <c r="A503">
        <f t="shared" si="40"/>
        <v>33</v>
      </c>
      <c r="B503">
        <f t="shared" si="39"/>
        <v>9</v>
      </c>
      <c r="C503">
        <f t="shared" si="41"/>
        <v>3</v>
      </c>
      <c r="D503">
        <f t="shared" si="42"/>
        <v>6</v>
      </c>
      <c r="E503">
        <f t="shared" si="43"/>
        <v>19</v>
      </c>
      <c r="F503">
        <f>3*DesarrolloPartidos[[#This Row],[Partidos_3]]</f>
        <v>9</v>
      </c>
      <c r="G503">
        <f>IF(DesarrolloPartidos[[#This Row],[Partidos_3]]=0,0,ROUNDUP(DesarrolloPartidos[[#This Row],[Orden]]/DesarrolloPartidos[[#This Row],[JugEnPart3]]*DesarrolloPartidos[[#This Row],[Partidos_3]],0))</f>
        <v>7</v>
      </c>
      <c r="H503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6</v>
      </c>
      <c r="I503" t="str">
        <f>IF(AND(DesarrolloPartidos[[#This Row],[PartidosSolo3]]&lt;=DesarrolloPartidos[[#This Row],[Partidos_3]],DesarrolloPartidos[[#This Row],[PartidosSolo3]]&lt;&gt;0),DesarrolloPartidos[[#This Row],[PartidosSolo3]],"")</f>
        <v/>
      </c>
      <c r="J503">
        <f>+IF(DesarrolloPartidos[[#This Row],[Partidos3]]="",DesarrolloPartidos[[#This Row],[Partidos4]],DesarrolloPartidos[[#This Row],[Partidos3]])</f>
        <v>6</v>
      </c>
      <c r="K503" t="str">
        <f>+DesarrolloPartidos[[#This Row],[Jugadores]]&amp;":"&amp;DesarrolloPartidos[[#This Row],[Orden]]</f>
        <v>33:19</v>
      </c>
    </row>
    <row r="504" spans="1:11">
      <c r="A504">
        <f t="shared" si="40"/>
        <v>33</v>
      </c>
      <c r="B504">
        <f t="shared" si="39"/>
        <v>9</v>
      </c>
      <c r="C504">
        <f t="shared" si="41"/>
        <v>3</v>
      </c>
      <c r="D504">
        <f t="shared" si="42"/>
        <v>6</v>
      </c>
      <c r="E504">
        <f t="shared" si="43"/>
        <v>20</v>
      </c>
      <c r="F504">
        <f>3*DesarrolloPartidos[[#This Row],[Partidos_3]]</f>
        <v>9</v>
      </c>
      <c r="G504">
        <f>IF(DesarrolloPartidos[[#This Row],[Partidos_3]]=0,0,ROUNDUP(DesarrolloPartidos[[#This Row],[Orden]]/DesarrolloPartidos[[#This Row],[JugEnPart3]]*DesarrolloPartidos[[#This Row],[Partidos_3]],0))</f>
        <v>7</v>
      </c>
      <c r="H504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6</v>
      </c>
      <c r="I504" t="str">
        <f>IF(AND(DesarrolloPartidos[[#This Row],[PartidosSolo3]]&lt;=DesarrolloPartidos[[#This Row],[Partidos_3]],DesarrolloPartidos[[#This Row],[PartidosSolo3]]&lt;&gt;0),DesarrolloPartidos[[#This Row],[PartidosSolo3]],"")</f>
        <v/>
      </c>
      <c r="J504">
        <f>+IF(DesarrolloPartidos[[#This Row],[Partidos3]]="",DesarrolloPartidos[[#This Row],[Partidos4]],DesarrolloPartidos[[#This Row],[Partidos3]])</f>
        <v>6</v>
      </c>
      <c r="K504" t="str">
        <f>+DesarrolloPartidos[[#This Row],[Jugadores]]&amp;":"&amp;DesarrolloPartidos[[#This Row],[Orden]]</f>
        <v>33:20</v>
      </c>
    </row>
    <row r="505" spans="1:11">
      <c r="A505">
        <f t="shared" si="40"/>
        <v>33</v>
      </c>
      <c r="B505">
        <f t="shared" si="39"/>
        <v>9</v>
      </c>
      <c r="C505">
        <f t="shared" si="41"/>
        <v>3</v>
      </c>
      <c r="D505">
        <f t="shared" si="42"/>
        <v>6</v>
      </c>
      <c r="E505">
        <f t="shared" si="43"/>
        <v>21</v>
      </c>
      <c r="F505">
        <f>3*DesarrolloPartidos[[#This Row],[Partidos_3]]</f>
        <v>9</v>
      </c>
      <c r="G505">
        <f>IF(DesarrolloPartidos[[#This Row],[Partidos_3]]=0,0,ROUNDUP(DesarrolloPartidos[[#This Row],[Orden]]/DesarrolloPartidos[[#This Row],[JugEnPart3]]*DesarrolloPartidos[[#This Row],[Partidos_3]],0))</f>
        <v>7</v>
      </c>
      <c r="H505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6</v>
      </c>
      <c r="I505" t="str">
        <f>IF(AND(DesarrolloPartidos[[#This Row],[PartidosSolo3]]&lt;=DesarrolloPartidos[[#This Row],[Partidos_3]],DesarrolloPartidos[[#This Row],[PartidosSolo3]]&lt;&gt;0),DesarrolloPartidos[[#This Row],[PartidosSolo3]],"")</f>
        <v/>
      </c>
      <c r="J505">
        <f>+IF(DesarrolloPartidos[[#This Row],[Partidos3]]="",DesarrolloPartidos[[#This Row],[Partidos4]],DesarrolloPartidos[[#This Row],[Partidos3]])</f>
        <v>6</v>
      </c>
      <c r="K505" t="str">
        <f>+DesarrolloPartidos[[#This Row],[Jugadores]]&amp;":"&amp;DesarrolloPartidos[[#This Row],[Orden]]</f>
        <v>33:21</v>
      </c>
    </row>
    <row r="506" spans="1:11">
      <c r="A506">
        <f t="shared" si="40"/>
        <v>33</v>
      </c>
      <c r="B506">
        <f t="shared" si="39"/>
        <v>9</v>
      </c>
      <c r="C506">
        <f t="shared" si="41"/>
        <v>3</v>
      </c>
      <c r="D506">
        <f t="shared" si="42"/>
        <v>6</v>
      </c>
      <c r="E506">
        <f t="shared" si="43"/>
        <v>22</v>
      </c>
      <c r="F506">
        <f>3*DesarrolloPartidos[[#This Row],[Partidos_3]]</f>
        <v>9</v>
      </c>
      <c r="G506">
        <f>IF(DesarrolloPartidos[[#This Row],[Partidos_3]]=0,0,ROUNDUP(DesarrolloPartidos[[#This Row],[Orden]]/DesarrolloPartidos[[#This Row],[JugEnPart3]]*DesarrolloPartidos[[#This Row],[Partidos_3]],0))</f>
        <v>8</v>
      </c>
      <c r="H506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7</v>
      </c>
      <c r="I506" t="str">
        <f>IF(AND(DesarrolloPartidos[[#This Row],[PartidosSolo3]]&lt;=DesarrolloPartidos[[#This Row],[Partidos_3]],DesarrolloPartidos[[#This Row],[PartidosSolo3]]&lt;&gt;0),DesarrolloPartidos[[#This Row],[PartidosSolo3]],"")</f>
        <v/>
      </c>
      <c r="J506">
        <f>+IF(DesarrolloPartidos[[#This Row],[Partidos3]]="",DesarrolloPartidos[[#This Row],[Partidos4]],DesarrolloPartidos[[#This Row],[Partidos3]])</f>
        <v>7</v>
      </c>
      <c r="K506" t="str">
        <f>+DesarrolloPartidos[[#This Row],[Jugadores]]&amp;":"&amp;DesarrolloPartidos[[#This Row],[Orden]]</f>
        <v>33:22</v>
      </c>
    </row>
    <row r="507" spans="1:11">
      <c r="A507">
        <f t="shared" si="40"/>
        <v>33</v>
      </c>
      <c r="B507">
        <f t="shared" si="39"/>
        <v>9</v>
      </c>
      <c r="C507">
        <f t="shared" si="41"/>
        <v>3</v>
      </c>
      <c r="D507">
        <f t="shared" si="42"/>
        <v>6</v>
      </c>
      <c r="E507">
        <f t="shared" si="43"/>
        <v>23</v>
      </c>
      <c r="F507">
        <f>3*DesarrolloPartidos[[#This Row],[Partidos_3]]</f>
        <v>9</v>
      </c>
      <c r="G507">
        <f>IF(DesarrolloPartidos[[#This Row],[Partidos_3]]=0,0,ROUNDUP(DesarrolloPartidos[[#This Row],[Orden]]/DesarrolloPartidos[[#This Row],[JugEnPart3]]*DesarrolloPartidos[[#This Row],[Partidos_3]],0))</f>
        <v>8</v>
      </c>
      <c r="H507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7</v>
      </c>
      <c r="I507" t="str">
        <f>IF(AND(DesarrolloPartidos[[#This Row],[PartidosSolo3]]&lt;=DesarrolloPartidos[[#This Row],[Partidos_3]],DesarrolloPartidos[[#This Row],[PartidosSolo3]]&lt;&gt;0),DesarrolloPartidos[[#This Row],[PartidosSolo3]],"")</f>
        <v/>
      </c>
      <c r="J507">
        <f>+IF(DesarrolloPartidos[[#This Row],[Partidos3]]="",DesarrolloPartidos[[#This Row],[Partidos4]],DesarrolloPartidos[[#This Row],[Partidos3]])</f>
        <v>7</v>
      </c>
      <c r="K507" t="str">
        <f>+DesarrolloPartidos[[#This Row],[Jugadores]]&amp;":"&amp;DesarrolloPartidos[[#This Row],[Orden]]</f>
        <v>33:23</v>
      </c>
    </row>
    <row r="508" spans="1:11">
      <c r="A508">
        <f t="shared" si="40"/>
        <v>33</v>
      </c>
      <c r="B508">
        <f t="shared" si="39"/>
        <v>9</v>
      </c>
      <c r="C508">
        <f t="shared" si="41"/>
        <v>3</v>
      </c>
      <c r="D508">
        <f t="shared" si="42"/>
        <v>6</v>
      </c>
      <c r="E508">
        <f t="shared" si="43"/>
        <v>24</v>
      </c>
      <c r="F508">
        <f>3*DesarrolloPartidos[[#This Row],[Partidos_3]]</f>
        <v>9</v>
      </c>
      <c r="G508">
        <f>IF(DesarrolloPartidos[[#This Row],[Partidos_3]]=0,0,ROUNDUP(DesarrolloPartidos[[#This Row],[Orden]]/DesarrolloPartidos[[#This Row],[JugEnPart3]]*DesarrolloPartidos[[#This Row],[Partidos_3]],0))</f>
        <v>8</v>
      </c>
      <c r="H508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7</v>
      </c>
      <c r="I508" t="str">
        <f>IF(AND(DesarrolloPartidos[[#This Row],[PartidosSolo3]]&lt;=DesarrolloPartidos[[#This Row],[Partidos_3]],DesarrolloPartidos[[#This Row],[PartidosSolo3]]&lt;&gt;0),DesarrolloPartidos[[#This Row],[PartidosSolo3]],"")</f>
        <v/>
      </c>
      <c r="J508">
        <f>+IF(DesarrolloPartidos[[#This Row],[Partidos3]]="",DesarrolloPartidos[[#This Row],[Partidos4]],DesarrolloPartidos[[#This Row],[Partidos3]])</f>
        <v>7</v>
      </c>
      <c r="K508" t="str">
        <f>+DesarrolloPartidos[[#This Row],[Jugadores]]&amp;":"&amp;DesarrolloPartidos[[#This Row],[Orden]]</f>
        <v>33:24</v>
      </c>
    </row>
    <row r="509" spans="1:11">
      <c r="A509">
        <f t="shared" si="40"/>
        <v>33</v>
      </c>
      <c r="B509">
        <f t="shared" si="39"/>
        <v>9</v>
      </c>
      <c r="C509">
        <f t="shared" si="41"/>
        <v>3</v>
      </c>
      <c r="D509">
        <f t="shared" si="42"/>
        <v>6</v>
      </c>
      <c r="E509">
        <f t="shared" si="43"/>
        <v>25</v>
      </c>
      <c r="F509">
        <f>3*DesarrolloPartidos[[#This Row],[Partidos_3]]</f>
        <v>9</v>
      </c>
      <c r="G509">
        <f>IF(DesarrolloPartidos[[#This Row],[Partidos_3]]=0,0,ROUNDUP(DesarrolloPartidos[[#This Row],[Orden]]/DesarrolloPartidos[[#This Row],[JugEnPart3]]*DesarrolloPartidos[[#This Row],[Partidos_3]],0))</f>
        <v>9</v>
      </c>
      <c r="H509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7</v>
      </c>
      <c r="I509" t="str">
        <f>IF(AND(DesarrolloPartidos[[#This Row],[PartidosSolo3]]&lt;=DesarrolloPartidos[[#This Row],[Partidos_3]],DesarrolloPartidos[[#This Row],[PartidosSolo3]]&lt;&gt;0),DesarrolloPartidos[[#This Row],[PartidosSolo3]],"")</f>
        <v/>
      </c>
      <c r="J509">
        <f>+IF(DesarrolloPartidos[[#This Row],[Partidos3]]="",DesarrolloPartidos[[#This Row],[Partidos4]],DesarrolloPartidos[[#This Row],[Partidos3]])</f>
        <v>7</v>
      </c>
      <c r="K509" t="str">
        <f>+DesarrolloPartidos[[#This Row],[Jugadores]]&amp;":"&amp;DesarrolloPartidos[[#This Row],[Orden]]</f>
        <v>33:25</v>
      </c>
    </row>
    <row r="510" spans="1:11">
      <c r="A510">
        <f t="shared" si="40"/>
        <v>33</v>
      </c>
      <c r="B510">
        <f t="shared" si="39"/>
        <v>9</v>
      </c>
      <c r="C510">
        <f t="shared" si="41"/>
        <v>3</v>
      </c>
      <c r="D510">
        <f t="shared" si="42"/>
        <v>6</v>
      </c>
      <c r="E510">
        <f t="shared" si="43"/>
        <v>26</v>
      </c>
      <c r="F510">
        <f>3*DesarrolloPartidos[[#This Row],[Partidos_3]]</f>
        <v>9</v>
      </c>
      <c r="G510">
        <f>IF(DesarrolloPartidos[[#This Row],[Partidos_3]]=0,0,ROUNDUP(DesarrolloPartidos[[#This Row],[Orden]]/DesarrolloPartidos[[#This Row],[JugEnPart3]]*DesarrolloPartidos[[#This Row],[Partidos_3]],0))</f>
        <v>9</v>
      </c>
      <c r="H510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8</v>
      </c>
      <c r="I510" t="str">
        <f>IF(AND(DesarrolloPartidos[[#This Row],[PartidosSolo3]]&lt;=DesarrolloPartidos[[#This Row],[Partidos_3]],DesarrolloPartidos[[#This Row],[PartidosSolo3]]&lt;&gt;0),DesarrolloPartidos[[#This Row],[PartidosSolo3]],"")</f>
        <v/>
      </c>
      <c r="J510">
        <f>+IF(DesarrolloPartidos[[#This Row],[Partidos3]]="",DesarrolloPartidos[[#This Row],[Partidos4]],DesarrolloPartidos[[#This Row],[Partidos3]])</f>
        <v>8</v>
      </c>
      <c r="K510" t="str">
        <f>+DesarrolloPartidos[[#This Row],[Jugadores]]&amp;":"&amp;DesarrolloPartidos[[#This Row],[Orden]]</f>
        <v>33:26</v>
      </c>
    </row>
    <row r="511" spans="1:11">
      <c r="A511">
        <f t="shared" si="40"/>
        <v>33</v>
      </c>
      <c r="B511">
        <f t="shared" si="39"/>
        <v>9</v>
      </c>
      <c r="C511">
        <f t="shared" si="41"/>
        <v>3</v>
      </c>
      <c r="D511">
        <f t="shared" si="42"/>
        <v>6</v>
      </c>
      <c r="E511">
        <f t="shared" si="43"/>
        <v>27</v>
      </c>
      <c r="F511">
        <f>3*DesarrolloPartidos[[#This Row],[Partidos_3]]</f>
        <v>9</v>
      </c>
      <c r="G511">
        <f>IF(DesarrolloPartidos[[#This Row],[Partidos_3]]=0,0,ROUNDUP(DesarrolloPartidos[[#This Row],[Orden]]/DesarrolloPartidos[[#This Row],[JugEnPart3]]*DesarrolloPartidos[[#This Row],[Partidos_3]],0))</f>
        <v>9</v>
      </c>
      <c r="H511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8</v>
      </c>
      <c r="I511" t="str">
        <f>IF(AND(DesarrolloPartidos[[#This Row],[PartidosSolo3]]&lt;=DesarrolloPartidos[[#This Row],[Partidos_3]],DesarrolloPartidos[[#This Row],[PartidosSolo3]]&lt;&gt;0),DesarrolloPartidos[[#This Row],[PartidosSolo3]],"")</f>
        <v/>
      </c>
      <c r="J511">
        <f>+IF(DesarrolloPartidos[[#This Row],[Partidos3]]="",DesarrolloPartidos[[#This Row],[Partidos4]],DesarrolloPartidos[[#This Row],[Partidos3]])</f>
        <v>8</v>
      </c>
      <c r="K511" t="str">
        <f>+DesarrolloPartidos[[#This Row],[Jugadores]]&amp;":"&amp;DesarrolloPartidos[[#This Row],[Orden]]</f>
        <v>33:27</v>
      </c>
    </row>
    <row r="512" spans="1:11">
      <c r="A512">
        <f t="shared" si="40"/>
        <v>33</v>
      </c>
      <c r="B512">
        <f t="shared" si="39"/>
        <v>9</v>
      </c>
      <c r="C512">
        <f t="shared" si="41"/>
        <v>3</v>
      </c>
      <c r="D512">
        <f t="shared" si="42"/>
        <v>6</v>
      </c>
      <c r="E512">
        <f t="shared" si="43"/>
        <v>28</v>
      </c>
      <c r="F512">
        <f>3*DesarrolloPartidos[[#This Row],[Partidos_3]]</f>
        <v>9</v>
      </c>
      <c r="G512">
        <f>IF(DesarrolloPartidos[[#This Row],[Partidos_3]]=0,0,ROUNDUP(DesarrolloPartidos[[#This Row],[Orden]]/DesarrolloPartidos[[#This Row],[JugEnPart3]]*DesarrolloPartidos[[#This Row],[Partidos_3]],0))</f>
        <v>10</v>
      </c>
      <c r="H512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8</v>
      </c>
      <c r="I512" t="str">
        <f>IF(AND(DesarrolloPartidos[[#This Row],[PartidosSolo3]]&lt;=DesarrolloPartidos[[#This Row],[Partidos_3]],DesarrolloPartidos[[#This Row],[PartidosSolo3]]&lt;&gt;0),DesarrolloPartidos[[#This Row],[PartidosSolo3]],"")</f>
        <v/>
      </c>
      <c r="J512">
        <f>+IF(DesarrolloPartidos[[#This Row],[Partidos3]]="",DesarrolloPartidos[[#This Row],[Partidos4]],DesarrolloPartidos[[#This Row],[Partidos3]])</f>
        <v>8</v>
      </c>
      <c r="K512" t="str">
        <f>+DesarrolloPartidos[[#This Row],[Jugadores]]&amp;":"&amp;DesarrolloPartidos[[#This Row],[Orden]]</f>
        <v>33:28</v>
      </c>
    </row>
    <row r="513" spans="1:11">
      <c r="A513">
        <f t="shared" si="40"/>
        <v>33</v>
      </c>
      <c r="B513">
        <f t="shared" si="39"/>
        <v>9</v>
      </c>
      <c r="C513">
        <f t="shared" si="41"/>
        <v>3</v>
      </c>
      <c r="D513">
        <f t="shared" si="42"/>
        <v>6</v>
      </c>
      <c r="E513">
        <f t="shared" si="43"/>
        <v>29</v>
      </c>
      <c r="F513">
        <f>3*DesarrolloPartidos[[#This Row],[Partidos_3]]</f>
        <v>9</v>
      </c>
      <c r="G513">
        <f>IF(DesarrolloPartidos[[#This Row],[Partidos_3]]=0,0,ROUNDUP(DesarrolloPartidos[[#This Row],[Orden]]/DesarrolloPartidos[[#This Row],[JugEnPart3]]*DesarrolloPartidos[[#This Row],[Partidos_3]],0))</f>
        <v>10</v>
      </c>
      <c r="H513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8</v>
      </c>
      <c r="I513" t="str">
        <f>IF(AND(DesarrolloPartidos[[#This Row],[PartidosSolo3]]&lt;=DesarrolloPartidos[[#This Row],[Partidos_3]],DesarrolloPartidos[[#This Row],[PartidosSolo3]]&lt;&gt;0),DesarrolloPartidos[[#This Row],[PartidosSolo3]],"")</f>
        <v/>
      </c>
      <c r="J513">
        <f>+IF(DesarrolloPartidos[[#This Row],[Partidos3]]="",DesarrolloPartidos[[#This Row],[Partidos4]],DesarrolloPartidos[[#This Row],[Partidos3]])</f>
        <v>8</v>
      </c>
      <c r="K513" t="str">
        <f>+DesarrolloPartidos[[#This Row],[Jugadores]]&amp;":"&amp;DesarrolloPartidos[[#This Row],[Orden]]</f>
        <v>33:29</v>
      </c>
    </row>
    <row r="514" spans="1:11">
      <c r="A514">
        <f t="shared" si="40"/>
        <v>33</v>
      </c>
      <c r="B514">
        <f t="shared" si="39"/>
        <v>9</v>
      </c>
      <c r="C514">
        <f t="shared" si="41"/>
        <v>3</v>
      </c>
      <c r="D514">
        <f t="shared" si="42"/>
        <v>6</v>
      </c>
      <c r="E514">
        <f t="shared" si="43"/>
        <v>30</v>
      </c>
      <c r="F514">
        <f>3*DesarrolloPartidos[[#This Row],[Partidos_3]]</f>
        <v>9</v>
      </c>
      <c r="G514">
        <f>IF(DesarrolloPartidos[[#This Row],[Partidos_3]]=0,0,ROUNDUP(DesarrolloPartidos[[#This Row],[Orden]]/DesarrolloPartidos[[#This Row],[JugEnPart3]]*DesarrolloPartidos[[#This Row],[Partidos_3]],0))</f>
        <v>10</v>
      </c>
      <c r="H514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9</v>
      </c>
      <c r="I514" t="str">
        <f>IF(AND(DesarrolloPartidos[[#This Row],[PartidosSolo3]]&lt;=DesarrolloPartidos[[#This Row],[Partidos_3]],DesarrolloPartidos[[#This Row],[PartidosSolo3]]&lt;&gt;0),DesarrolloPartidos[[#This Row],[PartidosSolo3]],"")</f>
        <v/>
      </c>
      <c r="J514">
        <f>+IF(DesarrolloPartidos[[#This Row],[Partidos3]]="",DesarrolloPartidos[[#This Row],[Partidos4]],DesarrolloPartidos[[#This Row],[Partidos3]])</f>
        <v>9</v>
      </c>
      <c r="K514" t="str">
        <f>+DesarrolloPartidos[[#This Row],[Jugadores]]&amp;":"&amp;DesarrolloPartidos[[#This Row],[Orden]]</f>
        <v>33:30</v>
      </c>
    </row>
    <row r="515" spans="1:11">
      <c r="A515">
        <f t="shared" si="40"/>
        <v>33</v>
      </c>
      <c r="B515">
        <f t="shared" ref="B515:B578" si="44">+ROUNDUP(A515/4,0)</f>
        <v>9</v>
      </c>
      <c r="C515">
        <f t="shared" si="41"/>
        <v>3</v>
      </c>
      <c r="D515">
        <f t="shared" si="42"/>
        <v>6</v>
      </c>
      <c r="E515">
        <f t="shared" si="43"/>
        <v>31</v>
      </c>
      <c r="F515">
        <f>3*DesarrolloPartidos[[#This Row],[Partidos_3]]</f>
        <v>9</v>
      </c>
      <c r="G515">
        <f>IF(DesarrolloPartidos[[#This Row],[Partidos_3]]=0,0,ROUNDUP(DesarrolloPartidos[[#This Row],[Orden]]/DesarrolloPartidos[[#This Row],[JugEnPart3]]*DesarrolloPartidos[[#This Row],[Partidos_3]],0))</f>
        <v>11</v>
      </c>
      <c r="H515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9</v>
      </c>
      <c r="I515" t="str">
        <f>IF(AND(DesarrolloPartidos[[#This Row],[PartidosSolo3]]&lt;=DesarrolloPartidos[[#This Row],[Partidos_3]],DesarrolloPartidos[[#This Row],[PartidosSolo3]]&lt;&gt;0),DesarrolloPartidos[[#This Row],[PartidosSolo3]],"")</f>
        <v/>
      </c>
      <c r="J515">
        <f>+IF(DesarrolloPartidos[[#This Row],[Partidos3]]="",DesarrolloPartidos[[#This Row],[Partidos4]],DesarrolloPartidos[[#This Row],[Partidos3]])</f>
        <v>9</v>
      </c>
      <c r="K515" t="str">
        <f>+DesarrolloPartidos[[#This Row],[Jugadores]]&amp;":"&amp;DesarrolloPartidos[[#This Row],[Orden]]</f>
        <v>33:31</v>
      </c>
    </row>
    <row r="516" spans="1:11">
      <c r="A516">
        <f t="shared" ref="A516:A569" si="45">+IF(ROW(A515)=1,10,IF(A515=E515,A515+1,A515))</f>
        <v>33</v>
      </c>
      <c r="B516">
        <f t="shared" si="44"/>
        <v>9</v>
      </c>
      <c r="C516">
        <f t="shared" ref="C516:C569" si="46">+(B516-A516/4)/0.25</f>
        <v>3</v>
      </c>
      <c r="D516">
        <f t="shared" ref="D516:D569" si="47">+B516-C516</f>
        <v>6</v>
      </c>
      <c r="E516">
        <f t="shared" ref="E516:E569" si="48">+IF(ROW(E515)=1,1,IF(E515=A515,1,E515+1))</f>
        <v>32</v>
      </c>
      <c r="F516">
        <f>3*DesarrolloPartidos[[#This Row],[Partidos_3]]</f>
        <v>9</v>
      </c>
      <c r="G516">
        <f>IF(DesarrolloPartidos[[#This Row],[Partidos_3]]=0,0,ROUNDUP(DesarrolloPartidos[[#This Row],[Orden]]/DesarrolloPartidos[[#This Row],[JugEnPart3]]*DesarrolloPartidos[[#This Row],[Partidos_3]],0))</f>
        <v>11</v>
      </c>
      <c r="H516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9</v>
      </c>
      <c r="I516" t="str">
        <f>IF(AND(DesarrolloPartidos[[#This Row],[PartidosSolo3]]&lt;=DesarrolloPartidos[[#This Row],[Partidos_3]],DesarrolloPartidos[[#This Row],[PartidosSolo3]]&lt;&gt;0),DesarrolloPartidos[[#This Row],[PartidosSolo3]],"")</f>
        <v/>
      </c>
      <c r="J516">
        <f>+IF(DesarrolloPartidos[[#This Row],[Partidos3]]="",DesarrolloPartidos[[#This Row],[Partidos4]],DesarrolloPartidos[[#This Row],[Partidos3]])</f>
        <v>9</v>
      </c>
      <c r="K516" t="str">
        <f>+DesarrolloPartidos[[#This Row],[Jugadores]]&amp;":"&amp;DesarrolloPartidos[[#This Row],[Orden]]</f>
        <v>33:32</v>
      </c>
    </row>
    <row r="517" spans="1:11">
      <c r="A517">
        <f t="shared" si="45"/>
        <v>33</v>
      </c>
      <c r="B517">
        <f t="shared" si="44"/>
        <v>9</v>
      </c>
      <c r="C517">
        <f t="shared" si="46"/>
        <v>3</v>
      </c>
      <c r="D517">
        <f t="shared" si="47"/>
        <v>6</v>
      </c>
      <c r="E517">
        <f t="shared" si="48"/>
        <v>33</v>
      </c>
      <c r="F517">
        <f>3*DesarrolloPartidos[[#This Row],[Partidos_3]]</f>
        <v>9</v>
      </c>
      <c r="G517">
        <f>IF(DesarrolloPartidos[[#This Row],[Partidos_3]]=0,0,ROUNDUP(DesarrolloPartidos[[#This Row],[Orden]]/DesarrolloPartidos[[#This Row],[JugEnPart3]]*DesarrolloPartidos[[#This Row],[Partidos_3]],0))</f>
        <v>11</v>
      </c>
      <c r="H517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9</v>
      </c>
      <c r="I517" t="str">
        <f>IF(AND(DesarrolloPartidos[[#This Row],[PartidosSolo3]]&lt;=DesarrolloPartidos[[#This Row],[Partidos_3]],DesarrolloPartidos[[#This Row],[PartidosSolo3]]&lt;&gt;0),DesarrolloPartidos[[#This Row],[PartidosSolo3]],"")</f>
        <v/>
      </c>
      <c r="J517">
        <f>+IF(DesarrolloPartidos[[#This Row],[Partidos3]]="",DesarrolloPartidos[[#This Row],[Partidos4]],DesarrolloPartidos[[#This Row],[Partidos3]])</f>
        <v>9</v>
      </c>
      <c r="K517" t="str">
        <f>+DesarrolloPartidos[[#This Row],[Jugadores]]&amp;":"&amp;DesarrolloPartidos[[#This Row],[Orden]]</f>
        <v>33:33</v>
      </c>
    </row>
    <row r="518" spans="1:11">
      <c r="A518">
        <f t="shared" si="45"/>
        <v>34</v>
      </c>
      <c r="B518">
        <f t="shared" si="44"/>
        <v>9</v>
      </c>
      <c r="C518">
        <f t="shared" si="46"/>
        <v>2</v>
      </c>
      <c r="D518">
        <f t="shared" si="47"/>
        <v>7</v>
      </c>
      <c r="E518">
        <f t="shared" si="48"/>
        <v>1</v>
      </c>
      <c r="F518">
        <f>3*DesarrolloPartidos[[#This Row],[Partidos_3]]</f>
        <v>6</v>
      </c>
      <c r="G518">
        <f>IF(DesarrolloPartidos[[#This Row],[Partidos_3]]=0,0,ROUNDUP(DesarrolloPartidos[[#This Row],[Orden]]/DesarrolloPartidos[[#This Row],[JugEnPart3]]*DesarrolloPartidos[[#This Row],[Partidos_3]],0))</f>
        <v>1</v>
      </c>
      <c r="H518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518">
        <f>IF(AND(DesarrolloPartidos[[#This Row],[PartidosSolo3]]&lt;=DesarrolloPartidos[[#This Row],[Partidos_3]],DesarrolloPartidos[[#This Row],[PartidosSolo3]]&lt;&gt;0),DesarrolloPartidos[[#This Row],[PartidosSolo3]],"")</f>
        <v>1</v>
      </c>
      <c r="J518">
        <f>+IF(DesarrolloPartidos[[#This Row],[Partidos3]]="",DesarrolloPartidos[[#This Row],[Partidos4]],DesarrolloPartidos[[#This Row],[Partidos3]])</f>
        <v>1</v>
      </c>
      <c r="K518" t="str">
        <f>+DesarrolloPartidos[[#This Row],[Jugadores]]&amp;":"&amp;DesarrolloPartidos[[#This Row],[Orden]]</f>
        <v>34:1</v>
      </c>
    </row>
    <row r="519" spans="1:11">
      <c r="A519">
        <f t="shared" si="45"/>
        <v>34</v>
      </c>
      <c r="B519">
        <f t="shared" si="44"/>
        <v>9</v>
      </c>
      <c r="C519">
        <f t="shared" si="46"/>
        <v>2</v>
      </c>
      <c r="D519">
        <f t="shared" si="47"/>
        <v>7</v>
      </c>
      <c r="E519">
        <f t="shared" si="48"/>
        <v>2</v>
      </c>
      <c r="F519">
        <f>3*DesarrolloPartidos[[#This Row],[Partidos_3]]</f>
        <v>6</v>
      </c>
      <c r="G519">
        <f>IF(DesarrolloPartidos[[#This Row],[Partidos_3]]=0,0,ROUNDUP(DesarrolloPartidos[[#This Row],[Orden]]/DesarrolloPartidos[[#This Row],[JugEnPart3]]*DesarrolloPartidos[[#This Row],[Partidos_3]],0))</f>
        <v>1</v>
      </c>
      <c r="H519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519">
        <f>IF(AND(DesarrolloPartidos[[#This Row],[PartidosSolo3]]&lt;=DesarrolloPartidos[[#This Row],[Partidos_3]],DesarrolloPartidos[[#This Row],[PartidosSolo3]]&lt;&gt;0),DesarrolloPartidos[[#This Row],[PartidosSolo3]],"")</f>
        <v>1</v>
      </c>
      <c r="J519">
        <f>+IF(DesarrolloPartidos[[#This Row],[Partidos3]]="",DesarrolloPartidos[[#This Row],[Partidos4]],DesarrolloPartidos[[#This Row],[Partidos3]])</f>
        <v>1</v>
      </c>
      <c r="K519" t="str">
        <f>+DesarrolloPartidos[[#This Row],[Jugadores]]&amp;":"&amp;DesarrolloPartidos[[#This Row],[Orden]]</f>
        <v>34:2</v>
      </c>
    </row>
    <row r="520" spans="1:11">
      <c r="A520">
        <f t="shared" si="45"/>
        <v>34</v>
      </c>
      <c r="B520">
        <f t="shared" si="44"/>
        <v>9</v>
      </c>
      <c r="C520">
        <f t="shared" si="46"/>
        <v>2</v>
      </c>
      <c r="D520">
        <f t="shared" si="47"/>
        <v>7</v>
      </c>
      <c r="E520">
        <f t="shared" si="48"/>
        <v>3</v>
      </c>
      <c r="F520">
        <f>3*DesarrolloPartidos[[#This Row],[Partidos_3]]</f>
        <v>6</v>
      </c>
      <c r="G520">
        <f>IF(DesarrolloPartidos[[#This Row],[Partidos_3]]=0,0,ROUNDUP(DesarrolloPartidos[[#This Row],[Orden]]/DesarrolloPartidos[[#This Row],[JugEnPart3]]*DesarrolloPartidos[[#This Row],[Partidos_3]],0))</f>
        <v>1</v>
      </c>
      <c r="H520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520">
        <f>IF(AND(DesarrolloPartidos[[#This Row],[PartidosSolo3]]&lt;=DesarrolloPartidos[[#This Row],[Partidos_3]],DesarrolloPartidos[[#This Row],[PartidosSolo3]]&lt;&gt;0),DesarrolloPartidos[[#This Row],[PartidosSolo3]],"")</f>
        <v>1</v>
      </c>
      <c r="J520">
        <f>+IF(DesarrolloPartidos[[#This Row],[Partidos3]]="",DesarrolloPartidos[[#This Row],[Partidos4]],DesarrolloPartidos[[#This Row],[Partidos3]])</f>
        <v>1</v>
      </c>
      <c r="K520" t="str">
        <f>+DesarrolloPartidos[[#This Row],[Jugadores]]&amp;":"&amp;DesarrolloPartidos[[#This Row],[Orden]]</f>
        <v>34:3</v>
      </c>
    </row>
    <row r="521" spans="1:11">
      <c r="A521">
        <f t="shared" si="45"/>
        <v>34</v>
      </c>
      <c r="B521">
        <f t="shared" si="44"/>
        <v>9</v>
      </c>
      <c r="C521">
        <f t="shared" si="46"/>
        <v>2</v>
      </c>
      <c r="D521">
        <f t="shared" si="47"/>
        <v>7</v>
      </c>
      <c r="E521">
        <f t="shared" si="48"/>
        <v>4</v>
      </c>
      <c r="F521">
        <f>3*DesarrolloPartidos[[#This Row],[Partidos_3]]</f>
        <v>6</v>
      </c>
      <c r="G521">
        <f>IF(DesarrolloPartidos[[#This Row],[Partidos_3]]=0,0,ROUNDUP(DesarrolloPartidos[[#This Row],[Orden]]/DesarrolloPartidos[[#This Row],[JugEnPart3]]*DesarrolloPartidos[[#This Row],[Partidos_3]],0))</f>
        <v>2</v>
      </c>
      <c r="H521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521">
        <f>IF(AND(DesarrolloPartidos[[#This Row],[PartidosSolo3]]&lt;=DesarrolloPartidos[[#This Row],[Partidos_3]],DesarrolloPartidos[[#This Row],[PartidosSolo3]]&lt;&gt;0),DesarrolloPartidos[[#This Row],[PartidosSolo3]],"")</f>
        <v>2</v>
      </c>
      <c r="J521">
        <f>+IF(DesarrolloPartidos[[#This Row],[Partidos3]]="",DesarrolloPartidos[[#This Row],[Partidos4]],DesarrolloPartidos[[#This Row],[Partidos3]])</f>
        <v>2</v>
      </c>
      <c r="K521" t="str">
        <f>+DesarrolloPartidos[[#This Row],[Jugadores]]&amp;":"&amp;DesarrolloPartidos[[#This Row],[Orden]]</f>
        <v>34:4</v>
      </c>
    </row>
    <row r="522" spans="1:11">
      <c r="A522">
        <f t="shared" si="45"/>
        <v>34</v>
      </c>
      <c r="B522">
        <f t="shared" si="44"/>
        <v>9</v>
      </c>
      <c r="C522">
        <f t="shared" si="46"/>
        <v>2</v>
      </c>
      <c r="D522">
        <f t="shared" si="47"/>
        <v>7</v>
      </c>
      <c r="E522">
        <f t="shared" si="48"/>
        <v>5</v>
      </c>
      <c r="F522">
        <f>3*DesarrolloPartidos[[#This Row],[Partidos_3]]</f>
        <v>6</v>
      </c>
      <c r="G522">
        <f>IF(DesarrolloPartidos[[#This Row],[Partidos_3]]=0,0,ROUNDUP(DesarrolloPartidos[[#This Row],[Orden]]/DesarrolloPartidos[[#This Row],[JugEnPart3]]*DesarrolloPartidos[[#This Row],[Partidos_3]],0))</f>
        <v>2</v>
      </c>
      <c r="H522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522">
        <f>IF(AND(DesarrolloPartidos[[#This Row],[PartidosSolo3]]&lt;=DesarrolloPartidos[[#This Row],[Partidos_3]],DesarrolloPartidos[[#This Row],[PartidosSolo3]]&lt;&gt;0),DesarrolloPartidos[[#This Row],[PartidosSolo3]],"")</f>
        <v>2</v>
      </c>
      <c r="J522">
        <f>+IF(DesarrolloPartidos[[#This Row],[Partidos3]]="",DesarrolloPartidos[[#This Row],[Partidos4]],DesarrolloPartidos[[#This Row],[Partidos3]])</f>
        <v>2</v>
      </c>
      <c r="K522" t="str">
        <f>+DesarrolloPartidos[[#This Row],[Jugadores]]&amp;":"&amp;DesarrolloPartidos[[#This Row],[Orden]]</f>
        <v>34:5</v>
      </c>
    </row>
    <row r="523" spans="1:11">
      <c r="A523">
        <f t="shared" si="45"/>
        <v>34</v>
      </c>
      <c r="B523">
        <f t="shared" si="44"/>
        <v>9</v>
      </c>
      <c r="C523">
        <f t="shared" si="46"/>
        <v>2</v>
      </c>
      <c r="D523">
        <f t="shared" si="47"/>
        <v>7</v>
      </c>
      <c r="E523">
        <f t="shared" si="48"/>
        <v>6</v>
      </c>
      <c r="F523">
        <f>3*DesarrolloPartidos[[#This Row],[Partidos_3]]</f>
        <v>6</v>
      </c>
      <c r="G523">
        <f>IF(DesarrolloPartidos[[#This Row],[Partidos_3]]=0,0,ROUNDUP(DesarrolloPartidos[[#This Row],[Orden]]/DesarrolloPartidos[[#This Row],[JugEnPart3]]*DesarrolloPartidos[[#This Row],[Partidos_3]],0))</f>
        <v>2</v>
      </c>
      <c r="H523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523">
        <f>IF(AND(DesarrolloPartidos[[#This Row],[PartidosSolo3]]&lt;=DesarrolloPartidos[[#This Row],[Partidos_3]],DesarrolloPartidos[[#This Row],[PartidosSolo3]]&lt;&gt;0),DesarrolloPartidos[[#This Row],[PartidosSolo3]],"")</f>
        <v>2</v>
      </c>
      <c r="J523">
        <f>+IF(DesarrolloPartidos[[#This Row],[Partidos3]]="",DesarrolloPartidos[[#This Row],[Partidos4]],DesarrolloPartidos[[#This Row],[Partidos3]])</f>
        <v>2</v>
      </c>
      <c r="K523" t="str">
        <f>+DesarrolloPartidos[[#This Row],[Jugadores]]&amp;":"&amp;DesarrolloPartidos[[#This Row],[Orden]]</f>
        <v>34:6</v>
      </c>
    </row>
    <row r="524" spans="1:11">
      <c r="A524">
        <f t="shared" si="45"/>
        <v>34</v>
      </c>
      <c r="B524">
        <f t="shared" si="44"/>
        <v>9</v>
      </c>
      <c r="C524">
        <f t="shared" si="46"/>
        <v>2</v>
      </c>
      <c r="D524">
        <f t="shared" si="47"/>
        <v>7</v>
      </c>
      <c r="E524">
        <f t="shared" si="48"/>
        <v>7</v>
      </c>
      <c r="F524">
        <f>3*DesarrolloPartidos[[#This Row],[Partidos_3]]</f>
        <v>6</v>
      </c>
      <c r="G524">
        <f>IF(DesarrolloPartidos[[#This Row],[Partidos_3]]=0,0,ROUNDUP(DesarrolloPartidos[[#This Row],[Orden]]/DesarrolloPartidos[[#This Row],[JugEnPart3]]*DesarrolloPartidos[[#This Row],[Partidos_3]],0))</f>
        <v>3</v>
      </c>
      <c r="H524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3</v>
      </c>
      <c r="I524" t="str">
        <f>IF(AND(DesarrolloPartidos[[#This Row],[PartidosSolo3]]&lt;=DesarrolloPartidos[[#This Row],[Partidos_3]],DesarrolloPartidos[[#This Row],[PartidosSolo3]]&lt;&gt;0),DesarrolloPartidos[[#This Row],[PartidosSolo3]],"")</f>
        <v/>
      </c>
      <c r="J524">
        <f>+IF(DesarrolloPartidos[[#This Row],[Partidos3]]="",DesarrolloPartidos[[#This Row],[Partidos4]],DesarrolloPartidos[[#This Row],[Partidos3]])</f>
        <v>3</v>
      </c>
      <c r="K524" t="str">
        <f>+DesarrolloPartidos[[#This Row],[Jugadores]]&amp;":"&amp;DesarrolloPartidos[[#This Row],[Orden]]</f>
        <v>34:7</v>
      </c>
    </row>
    <row r="525" spans="1:11">
      <c r="A525">
        <f t="shared" si="45"/>
        <v>34</v>
      </c>
      <c r="B525">
        <f t="shared" si="44"/>
        <v>9</v>
      </c>
      <c r="C525">
        <f t="shared" si="46"/>
        <v>2</v>
      </c>
      <c r="D525">
        <f t="shared" si="47"/>
        <v>7</v>
      </c>
      <c r="E525">
        <f t="shared" si="48"/>
        <v>8</v>
      </c>
      <c r="F525">
        <f>3*DesarrolloPartidos[[#This Row],[Partidos_3]]</f>
        <v>6</v>
      </c>
      <c r="G525">
        <f>IF(DesarrolloPartidos[[#This Row],[Partidos_3]]=0,0,ROUNDUP(DesarrolloPartidos[[#This Row],[Orden]]/DesarrolloPartidos[[#This Row],[JugEnPart3]]*DesarrolloPartidos[[#This Row],[Partidos_3]],0))</f>
        <v>3</v>
      </c>
      <c r="H525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3</v>
      </c>
      <c r="I525" t="str">
        <f>IF(AND(DesarrolloPartidos[[#This Row],[PartidosSolo3]]&lt;=DesarrolloPartidos[[#This Row],[Partidos_3]],DesarrolloPartidos[[#This Row],[PartidosSolo3]]&lt;&gt;0),DesarrolloPartidos[[#This Row],[PartidosSolo3]],"")</f>
        <v/>
      </c>
      <c r="J525">
        <f>+IF(DesarrolloPartidos[[#This Row],[Partidos3]]="",DesarrolloPartidos[[#This Row],[Partidos4]],DesarrolloPartidos[[#This Row],[Partidos3]])</f>
        <v>3</v>
      </c>
      <c r="K525" t="str">
        <f>+DesarrolloPartidos[[#This Row],[Jugadores]]&amp;":"&amp;DesarrolloPartidos[[#This Row],[Orden]]</f>
        <v>34:8</v>
      </c>
    </row>
    <row r="526" spans="1:11">
      <c r="A526">
        <f t="shared" si="45"/>
        <v>34</v>
      </c>
      <c r="B526">
        <f t="shared" si="44"/>
        <v>9</v>
      </c>
      <c r="C526">
        <f t="shared" si="46"/>
        <v>2</v>
      </c>
      <c r="D526">
        <f t="shared" si="47"/>
        <v>7</v>
      </c>
      <c r="E526">
        <f t="shared" si="48"/>
        <v>9</v>
      </c>
      <c r="F526">
        <f>3*DesarrolloPartidos[[#This Row],[Partidos_3]]</f>
        <v>6</v>
      </c>
      <c r="G526">
        <f>IF(DesarrolloPartidos[[#This Row],[Partidos_3]]=0,0,ROUNDUP(DesarrolloPartidos[[#This Row],[Orden]]/DesarrolloPartidos[[#This Row],[JugEnPart3]]*DesarrolloPartidos[[#This Row],[Partidos_3]],0))</f>
        <v>3</v>
      </c>
      <c r="H526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3</v>
      </c>
      <c r="I526" t="str">
        <f>IF(AND(DesarrolloPartidos[[#This Row],[PartidosSolo3]]&lt;=DesarrolloPartidos[[#This Row],[Partidos_3]],DesarrolloPartidos[[#This Row],[PartidosSolo3]]&lt;&gt;0),DesarrolloPartidos[[#This Row],[PartidosSolo3]],"")</f>
        <v/>
      </c>
      <c r="J526">
        <f>+IF(DesarrolloPartidos[[#This Row],[Partidos3]]="",DesarrolloPartidos[[#This Row],[Partidos4]],DesarrolloPartidos[[#This Row],[Partidos3]])</f>
        <v>3</v>
      </c>
      <c r="K526" t="str">
        <f>+DesarrolloPartidos[[#This Row],[Jugadores]]&amp;":"&amp;DesarrolloPartidos[[#This Row],[Orden]]</f>
        <v>34:9</v>
      </c>
    </row>
    <row r="527" spans="1:11">
      <c r="A527">
        <f t="shared" si="45"/>
        <v>34</v>
      </c>
      <c r="B527">
        <f t="shared" si="44"/>
        <v>9</v>
      </c>
      <c r="C527">
        <f t="shared" si="46"/>
        <v>2</v>
      </c>
      <c r="D527">
        <f t="shared" si="47"/>
        <v>7</v>
      </c>
      <c r="E527">
        <f t="shared" si="48"/>
        <v>10</v>
      </c>
      <c r="F527">
        <f>3*DesarrolloPartidos[[#This Row],[Partidos_3]]</f>
        <v>6</v>
      </c>
      <c r="G527">
        <f>IF(DesarrolloPartidos[[#This Row],[Partidos_3]]=0,0,ROUNDUP(DesarrolloPartidos[[#This Row],[Orden]]/DesarrolloPartidos[[#This Row],[JugEnPart3]]*DesarrolloPartidos[[#This Row],[Partidos_3]],0))</f>
        <v>4</v>
      </c>
      <c r="H527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3</v>
      </c>
      <c r="I527" t="str">
        <f>IF(AND(DesarrolloPartidos[[#This Row],[PartidosSolo3]]&lt;=DesarrolloPartidos[[#This Row],[Partidos_3]],DesarrolloPartidos[[#This Row],[PartidosSolo3]]&lt;&gt;0),DesarrolloPartidos[[#This Row],[PartidosSolo3]],"")</f>
        <v/>
      </c>
      <c r="J527">
        <f>+IF(DesarrolloPartidos[[#This Row],[Partidos3]]="",DesarrolloPartidos[[#This Row],[Partidos4]],DesarrolloPartidos[[#This Row],[Partidos3]])</f>
        <v>3</v>
      </c>
      <c r="K527" t="str">
        <f>+DesarrolloPartidos[[#This Row],[Jugadores]]&amp;":"&amp;DesarrolloPartidos[[#This Row],[Orden]]</f>
        <v>34:10</v>
      </c>
    </row>
    <row r="528" spans="1:11">
      <c r="A528">
        <f t="shared" si="45"/>
        <v>34</v>
      </c>
      <c r="B528">
        <f t="shared" si="44"/>
        <v>9</v>
      </c>
      <c r="C528">
        <f t="shared" si="46"/>
        <v>2</v>
      </c>
      <c r="D528">
        <f t="shared" si="47"/>
        <v>7</v>
      </c>
      <c r="E528">
        <f t="shared" si="48"/>
        <v>11</v>
      </c>
      <c r="F528">
        <f>3*DesarrolloPartidos[[#This Row],[Partidos_3]]</f>
        <v>6</v>
      </c>
      <c r="G528">
        <f>IF(DesarrolloPartidos[[#This Row],[Partidos_3]]=0,0,ROUNDUP(DesarrolloPartidos[[#This Row],[Orden]]/DesarrolloPartidos[[#This Row],[JugEnPart3]]*DesarrolloPartidos[[#This Row],[Partidos_3]],0))</f>
        <v>4</v>
      </c>
      <c r="H528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528" t="str">
        <f>IF(AND(DesarrolloPartidos[[#This Row],[PartidosSolo3]]&lt;=DesarrolloPartidos[[#This Row],[Partidos_3]],DesarrolloPartidos[[#This Row],[PartidosSolo3]]&lt;&gt;0),DesarrolloPartidos[[#This Row],[PartidosSolo3]],"")</f>
        <v/>
      </c>
      <c r="J528">
        <f>+IF(DesarrolloPartidos[[#This Row],[Partidos3]]="",DesarrolloPartidos[[#This Row],[Partidos4]],DesarrolloPartidos[[#This Row],[Partidos3]])</f>
        <v>4</v>
      </c>
      <c r="K528" t="str">
        <f>+DesarrolloPartidos[[#This Row],[Jugadores]]&amp;":"&amp;DesarrolloPartidos[[#This Row],[Orden]]</f>
        <v>34:11</v>
      </c>
    </row>
    <row r="529" spans="1:11">
      <c r="A529">
        <f t="shared" si="45"/>
        <v>34</v>
      </c>
      <c r="B529">
        <f t="shared" si="44"/>
        <v>9</v>
      </c>
      <c r="C529">
        <f t="shared" si="46"/>
        <v>2</v>
      </c>
      <c r="D529">
        <f t="shared" si="47"/>
        <v>7</v>
      </c>
      <c r="E529">
        <f t="shared" si="48"/>
        <v>12</v>
      </c>
      <c r="F529">
        <f>3*DesarrolloPartidos[[#This Row],[Partidos_3]]</f>
        <v>6</v>
      </c>
      <c r="G529">
        <f>IF(DesarrolloPartidos[[#This Row],[Partidos_3]]=0,0,ROUNDUP(DesarrolloPartidos[[#This Row],[Orden]]/DesarrolloPartidos[[#This Row],[JugEnPart3]]*DesarrolloPartidos[[#This Row],[Partidos_3]],0))</f>
        <v>4</v>
      </c>
      <c r="H529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529" t="str">
        <f>IF(AND(DesarrolloPartidos[[#This Row],[PartidosSolo3]]&lt;=DesarrolloPartidos[[#This Row],[Partidos_3]],DesarrolloPartidos[[#This Row],[PartidosSolo3]]&lt;&gt;0),DesarrolloPartidos[[#This Row],[PartidosSolo3]],"")</f>
        <v/>
      </c>
      <c r="J529">
        <f>+IF(DesarrolloPartidos[[#This Row],[Partidos3]]="",DesarrolloPartidos[[#This Row],[Partidos4]],DesarrolloPartidos[[#This Row],[Partidos3]])</f>
        <v>4</v>
      </c>
      <c r="K529" t="str">
        <f>+DesarrolloPartidos[[#This Row],[Jugadores]]&amp;":"&amp;DesarrolloPartidos[[#This Row],[Orden]]</f>
        <v>34:12</v>
      </c>
    </row>
    <row r="530" spans="1:11">
      <c r="A530">
        <f t="shared" si="45"/>
        <v>34</v>
      </c>
      <c r="B530">
        <f t="shared" si="44"/>
        <v>9</v>
      </c>
      <c r="C530">
        <f t="shared" si="46"/>
        <v>2</v>
      </c>
      <c r="D530">
        <f t="shared" si="47"/>
        <v>7</v>
      </c>
      <c r="E530">
        <f t="shared" si="48"/>
        <v>13</v>
      </c>
      <c r="F530">
        <f>3*DesarrolloPartidos[[#This Row],[Partidos_3]]</f>
        <v>6</v>
      </c>
      <c r="G530">
        <f>IF(DesarrolloPartidos[[#This Row],[Partidos_3]]=0,0,ROUNDUP(DesarrolloPartidos[[#This Row],[Orden]]/DesarrolloPartidos[[#This Row],[JugEnPart3]]*DesarrolloPartidos[[#This Row],[Partidos_3]],0))</f>
        <v>5</v>
      </c>
      <c r="H530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530" t="str">
        <f>IF(AND(DesarrolloPartidos[[#This Row],[PartidosSolo3]]&lt;=DesarrolloPartidos[[#This Row],[Partidos_3]],DesarrolloPartidos[[#This Row],[PartidosSolo3]]&lt;&gt;0),DesarrolloPartidos[[#This Row],[PartidosSolo3]],"")</f>
        <v/>
      </c>
      <c r="J530">
        <f>+IF(DesarrolloPartidos[[#This Row],[Partidos3]]="",DesarrolloPartidos[[#This Row],[Partidos4]],DesarrolloPartidos[[#This Row],[Partidos3]])</f>
        <v>4</v>
      </c>
      <c r="K530" t="str">
        <f>+DesarrolloPartidos[[#This Row],[Jugadores]]&amp;":"&amp;DesarrolloPartidos[[#This Row],[Orden]]</f>
        <v>34:13</v>
      </c>
    </row>
    <row r="531" spans="1:11">
      <c r="A531">
        <f t="shared" si="45"/>
        <v>34</v>
      </c>
      <c r="B531">
        <f t="shared" si="44"/>
        <v>9</v>
      </c>
      <c r="C531">
        <f t="shared" si="46"/>
        <v>2</v>
      </c>
      <c r="D531">
        <f t="shared" si="47"/>
        <v>7</v>
      </c>
      <c r="E531">
        <f t="shared" si="48"/>
        <v>14</v>
      </c>
      <c r="F531">
        <f>3*DesarrolloPartidos[[#This Row],[Partidos_3]]</f>
        <v>6</v>
      </c>
      <c r="G531">
        <f>IF(DesarrolloPartidos[[#This Row],[Partidos_3]]=0,0,ROUNDUP(DesarrolloPartidos[[#This Row],[Orden]]/DesarrolloPartidos[[#This Row],[JugEnPart3]]*DesarrolloPartidos[[#This Row],[Partidos_3]],0))</f>
        <v>5</v>
      </c>
      <c r="H531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531" t="str">
        <f>IF(AND(DesarrolloPartidos[[#This Row],[PartidosSolo3]]&lt;=DesarrolloPartidos[[#This Row],[Partidos_3]],DesarrolloPartidos[[#This Row],[PartidosSolo3]]&lt;&gt;0),DesarrolloPartidos[[#This Row],[PartidosSolo3]],"")</f>
        <v/>
      </c>
      <c r="J531">
        <f>+IF(DesarrolloPartidos[[#This Row],[Partidos3]]="",DesarrolloPartidos[[#This Row],[Partidos4]],DesarrolloPartidos[[#This Row],[Partidos3]])</f>
        <v>4</v>
      </c>
      <c r="K531" t="str">
        <f>+DesarrolloPartidos[[#This Row],[Jugadores]]&amp;":"&amp;DesarrolloPartidos[[#This Row],[Orden]]</f>
        <v>34:14</v>
      </c>
    </row>
    <row r="532" spans="1:11">
      <c r="A532">
        <f t="shared" si="45"/>
        <v>34</v>
      </c>
      <c r="B532">
        <f t="shared" si="44"/>
        <v>9</v>
      </c>
      <c r="C532">
        <f t="shared" si="46"/>
        <v>2</v>
      </c>
      <c r="D532">
        <f t="shared" si="47"/>
        <v>7</v>
      </c>
      <c r="E532">
        <f t="shared" si="48"/>
        <v>15</v>
      </c>
      <c r="F532">
        <f>3*DesarrolloPartidos[[#This Row],[Partidos_3]]</f>
        <v>6</v>
      </c>
      <c r="G532">
        <f>IF(DesarrolloPartidos[[#This Row],[Partidos_3]]=0,0,ROUNDUP(DesarrolloPartidos[[#This Row],[Orden]]/DesarrolloPartidos[[#This Row],[JugEnPart3]]*DesarrolloPartidos[[#This Row],[Partidos_3]],0))</f>
        <v>5</v>
      </c>
      <c r="H532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5</v>
      </c>
      <c r="I532" t="str">
        <f>IF(AND(DesarrolloPartidos[[#This Row],[PartidosSolo3]]&lt;=DesarrolloPartidos[[#This Row],[Partidos_3]],DesarrolloPartidos[[#This Row],[PartidosSolo3]]&lt;&gt;0),DesarrolloPartidos[[#This Row],[PartidosSolo3]],"")</f>
        <v/>
      </c>
      <c r="J532">
        <f>+IF(DesarrolloPartidos[[#This Row],[Partidos3]]="",DesarrolloPartidos[[#This Row],[Partidos4]],DesarrolloPartidos[[#This Row],[Partidos3]])</f>
        <v>5</v>
      </c>
      <c r="K532" t="str">
        <f>+DesarrolloPartidos[[#This Row],[Jugadores]]&amp;":"&amp;DesarrolloPartidos[[#This Row],[Orden]]</f>
        <v>34:15</v>
      </c>
    </row>
    <row r="533" spans="1:11">
      <c r="A533">
        <f t="shared" si="45"/>
        <v>34</v>
      </c>
      <c r="B533">
        <f t="shared" si="44"/>
        <v>9</v>
      </c>
      <c r="C533">
        <f t="shared" si="46"/>
        <v>2</v>
      </c>
      <c r="D533">
        <f t="shared" si="47"/>
        <v>7</v>
      </c>
      <c r="E533">
        <f t="shared" si="48"/>
        <v>16</v>
      </c>
      <c r="F533">
        <f>3*DesarrolloPartidos[[#This Row],[Partidos_3]]</f>
        <v>6</v>
      </c>
      <c r="G533">
        <f>IF(DesarrolloPartidos[[#This Row],[Partidos_3]]=0,0,ROUNDUP(DesarrolloPartidos[[#This Row],[Orden]]/DesarrolloPartidos[[#This Row],[JugEnPart3]]*DesarrolloPartidos[[#This Row],[Partidos_3]],0))</f>
        <v>6</v>
      </c>
      <c r="H533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5</v>
      </c>
      <c r="I533" t="str">
        <f>IF(AND(DesarrolloPartidos[[#This Row],[PartidosSolo3]]&lt;=DesarrolloPartidos[[#This Row],[Partidos_3]],DesarrolloPartidos[[#This Row],[PartidosSolo3]]&lt;&gt;0),DesarrolloPartidos[[#This Row],[PartidosSolo3]],"")</f>
        <v/>
      </c>
      <c r="J533">
        <f>+IF(DesarrolloPartidos[[#This Row],[Partidos3]]="",DesarrolloPartidos[[#This Row],[Partidos4]],DesarrolloPartidos[[#This Row],[Partidos3]])</f>
        <v>5</v>
      </c>
      <c r="K533" t="str">
        <f>+DesarrolloPartidos[[#This Row],[Jugadores]]&amp;":"&amp;DesarrolloPartidos[[#This Row],[Orden]]</f>
        <v>34:16</v>
      </c>
    </row>
    <row r="534" spans="1:11">
      <c r="A534">
        <f t="shared" si="45"/>
        <v>34</v>
      </c>
      <c r="B534">
        <f t="shared" si="44"/>
        <v>9</v>
      </c>
      <c r="C534">
        <f t="shared" si="46"/>
        <v>2</v>
      </c>
      <c r="D534">
        <f t="shared" si="47"/>
        <v>7</v>
      </c>
      <c r="E534">
        <f t="shared" si="48"/>
        <v>17</v>
      </c>
      <c r="F534">
        <f>3*DesarrolloPartidos[[#This Row],[Partidos_3]]</f>
        <v>6</v>
      </c>
      <c r="G534">
        <f>IF(DesarrolloPartidos[[#This Row],[Partidos_3]]=0,0,ROUNDUP(DesarrolloPartidos[[#This Row],[Orden]]/DesarrolloPartidos[[#This Row],[JugEnPart3]]*DesarrolloPartidos[[#This Row],[Partidos_3]],0))</f>
        <v>6</v>
      </c>
      <c r="H534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5</v>
      </c>
      <c r="I534" t="str">
        <f>IF(AND(DesarrolloPartidos[[#This Row],[PartidosSolo3]]&lt;=DesarrolloPartidos[[#This Row],[Partidos_3]],DesarrolloPartidos[[#This Row],[PartidosSolo3]]&lt;&gt;0),DesarrolloPartidos[[#This Row],[PartidosSolo3]],"")</f>
        <v/>
      </c>
      <c r="J534">
        <f>+IF(DesarrolloPartidos[[#This Row],[Partidos3]]="",DesarrolloPartidos[[#This Row],[Partidos4]],DesarrolloPartidos[[#This Row],[Partidos3]])</f>
        <v>5</v>
      </c>
      <c r="K534" t="str">
        <f>+DesarrolloPartidos[[#This Row],[Jugadores]]&amp;":"&amp;DesarrolloPartidos[[#This Row],[Orden]]</f>
        <v>34:17</v>
      </c>
    </row>
    <row r="535" spans="1:11">
      <c r="A535">
        <f t="shared" si="45"/>
        <v>34</v>
      </c>
      <c r="B535">
        <f t="shared" si="44"/>
        <v>9</v>
      </c>
      <c r="C535">
        <f t="shared" si="46"/>
        <v>2</v>
      </c>
      <c r="D535">
        <f t="shared" si="47"/>
        <v>7</v>
      </c>
      <c r="E535">
        <f t="shared" si="48"/>
        <v>18</v>
      </c>
      <c r="F535">
        <f>3*DesarrolloPartidos[[#This Row],[Partidos_3]]</f>
        <v>6</v>
      </c>
      <c r="G535">
        <f>IF(DesarrolloPartidos[[#This Row],[Partidos_3]]=0,0,ROUNDUP(DesarrolloPartidos[[#This Row],[Orden]]/DesarrolloPartidos[[#This Row],[JugEnPart3]]*DesarrolloPartidos[[#This Row],[Partidos_3]],0))</f>
        <v>6</v>
      </c>
      <c r="H535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5</v>
      </c>
      <c r="I535" t="str">
        <f>IF(AND(DesarrolloPartidos[[#This Row],[PartidosSolo3]]&lt;=DesarrolloPartidos[[#This Row],[Partidos_3]],DesarrolloPartidos[[#This Row],[PartidosSolo3]]&lt;&gt;0),DesarrolloPartidos[[#This Row],[PartidosSolo3]],"")</f>
        <v/>
      </c>
      <c r="J535">
        <f>+IF(DesarrolloPartidos[[#This Row],[Partidos3]]="",DesarrolloPartidos[[#This Row],[Partidos4]],DesarrolloPartidos[[#This Row],[Partidos3]])</f>
        <v>5</v>
      </c>
      <c r="K535" t="str">
        <f>+DesarrolloPartidos[[#This Row],[Jugadores]]&amp;":"&amp;DesarrolloPartidos[[#This Row],[Orden]]</f>
        <v>34:18</v>
      </c>
    </row>
    <row r="536" spans="1:11">
      <c r="A536">
        <f t="shared" si="45"/>
        <v>34</v>
      </c>
      <c r="B536">
        <f t="shared" si="44"/>
        <v>9</v>
      </c>
      <c r="C536">
        <f t="shared" si="46"/>
        <v>2</v>
      </c>
      <c r="D536">
        <f t="shared" si="47"/>
        <v>7</v>
      </c>
      <c r="E536">
        <f t="shared" si="48"/>
        <v>19</v>
      </c>
      <c r="F536">
        <f>3*DesarrolloPartidos[[#This Row],[Partidos_3]]</f>
        <v>6</v>
      </c>
      <c r="G536">
        <f>IF(DesarrolloPartidos[[#This Row],[Partidos_3]]=0,0,ROUNDUP(DesarrolloPartidos[[#This Row],[Orden]]/DesarrolloPartidos[[#This Row],[JugEnPart3]]*DesarrolloPartidos[[#This Row],[Partidos_3]],0))</f>
        <v>7</v>
      </c>
      <c r="H536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6</v>
      </c>
      <c r="I536" t="str">
        <f>IF(AND(DesarrolloPartidos[[#This Row],[PartidosSolo3]]&lt;=DesarrolloPartidos[[#This Row],[Partidos_3]],DesarrolloPartidos[[#This Row],[PartidosSolo3]]&lt;&gt;0),DesarrolloPartidos[[#This Row],[PartidosSolo3]],"")</f>
        <v/>
      </c>
      <c r="J536">
        <f>+IF(DesarrolloPartidos[[#This Row],[Partidos3]]="",DesarrolloPartidos[[#This Row],[Partidos4]],DesarrolloPartidos[[#This Row],[Partidos3]])</f>
        <v>6</v>
      </c>
      <c r="K536" t="str">
        <f>+DesarrolloPartidos[[#This Row],[Jugadores]]&amp;":"&amp;DesarrolloPartidos[[#This Row],[Orden]]</f>
        <v>34:19</v>
      </c>
    </row>
    <row r="537" spans="1:11">
      <c r="A537">
        <f t="shared" si="45"/>
        <v>34</v>
      </c>
      <c r="B537">
        <f t="shared" si="44"/>
        <v>9</v>
      </c>
      <c r="C537">
        <f t="shared" si="46"/>
        <v>2</v>
      </c>
      <c r="D537">
        <f t="shared" si="47"/>
        <v>7</v>
      </c>
      <c r="E537">
        <f t="shared" si="48"/>
        <v>20</v>
      </c>
      <c r="F537">
        <f>3*DesarrolloPartidos[[#This Row],[Partidos_3]]</f>
        <v>6</v>
      </c>
      <c r="G537">
        <f>IF(DesarrolloPartidos[[#This Row],[Partidos_3]]=0,0,ROUNDUP(DesarrolloPartidos[[#This Row],[Orden]]/DesarrolloPartidos[[#This Row],[JugEnPart3]]*DesarrolloPartidos[[#This Row],[Partidos_3]],0))</f>
        <v>7</v>
      </c>
      <c r="H537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6</v>
      </c>
      <c r="I537" t="str">
        <f>IF(AND(DesarrolloPartidos[[#This Row],[PartidosSolo3]]&lt;=DesarrolloPartidos[[#This Row],[Partidos_3]],DesarrolloPartidos[[#This Row],[PartidosSolo3]]&lt;&gt;0),DesarrolloPartidos[[#This Row],[PartidosSolo3]],"")</f>
        <v/>
      </c>
      <c r="J537">
        <f>+IF(DesarrolloPartidos[[#This Row],[Partidos3]]="",DesarrolloPartidos[[#This Row],[Partidos4]],DesarrolloPartidos[[#This Row],[Partidos3]])</f>
        <v>6</v>
      </c>
      <c r="K537" t="str">
        <f>+DesarrolloPartidos[[#This Row],[Jugadores]]&amp;":"&amp;DesarrolloPartidos[[#This Row],[Orden]]</f>
        <v>34:20</v>
      </c>
    </row>
    <row r="538" spans="1:11">
      <c r="A538">
        <f t="shared" si="45"/>
        <v>34</v>
      </c>
      <c r="B538">
        <f t="shared" si="44"/>
        <v>9</v>
      </c>
      <c r="C538">
        <f t="shared" si="46"/>
        <v>2</v>
      </c>
      <c r="D538">
        <f t="shared" si="47"/>
        <v>7</v>
      </c>
      <c r="E538">
        <f t="shared" si="48"/>
        <v>21</v>
      </c>
      <c r="F538">
        <f>3*DesarrolloPartidos[[#This Row],[Partidos_3]]</f>
        <v>6</v>
      </c>
      <c r="G538">
        <f>IF(DesarrolloPartidos[[#This Row],[Partidos_3]]=0,0,ROUNDUP(DesarrolloPartidos[[#This Row],[Orden]]/DesarrolloPartidos[[#This Row],[JugEnPart3]]*DesarrolloPartidos[[#This Row],[Partidos_3]],0))</f>
        <v>7</v>
      </c>
      <c r="H538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6</v>
      </c>
      <c r="I538" t="str">
        <f>IF(AND(DesarrolloPartidos[[#This Row],[PartidosSolo3]]&lt;=DesarrolloPartidos[[#This Row],[Partidos_3]],DesarrolloPartidos[[#This Row],[PartidosSolo3]]&lt;&gt;0),DesarrolloPartidos[[#This Row],[PartidosSolo3]],"")</f>
        <v/>
      </c>
      <c r="J538">
        <f>+IF(DesarrolloPartidos[[#This Row],[Partidos3]]="",DesarrolloPartidos[[#This Row],[Partidos4]],DesarrolloPartidos[[#This Row],[Partidos3]])</f>
        <v>6</v>
      </c>
      <c r="K538" t="str">
        <f>+DesarrolloPartidos[[#This Row],[Jugadores]]&amp;":"&amp;DesarrolloPartidos[[#This Row],[Orden]]</f>
        <v>34:21</v>
      </c>
    </row>
    <row r="539" spans="1:11">
      <c r="A539">
        <f t="shared" si="45"/>
        <v>34</v>
      </c>
      <c r="B539">
        <f t="shared" si="44"/>
        <v>9</v>
      </c>
      <c r="C539">
        <f t="shared" si="46"/>
        <v>2</v>
      </c>
      <c r="D539">
        <f t="shared" si="47"/>
        <v>7</v>
      </c>
      <c r="E539">
        <f t="shared" si="48"/>
        <v>22</v>
      </c>
      <c r="F539">
        <f>3*DesarrolloPartidos[[#This Row],[Partidos_3]]</f>
        <v>6</v>
      </c>
      <c r="G539">
        <f>IF(DesarrolloPartidos[[#This Row],[Partidos_3]]=0,0,ROUNDUP(DesarrolloPartidos[[#This Row],[Orden]]/DesarrolloPartidos[[#This Row],[JugEnPart3]]*DesarrolloPartidos[[#This Row],[Partidos_3]],0))</f>
        <v>8</v>
      </c>
      <c r="H539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6</v>
      </c>
      <c r="I539" t="str">
        <f>IF(AND(DesarrolloPartidos[[#This Row],[PartidosSolo3]]&lt;=DesarrolloPartidos[[#This Row],[Partidos_3]],DesarrolloPartidos[[#This Row],[PartidosSolo3]]&lt;&gt;0),DesarrolloPartidos[[#This Row],[PartidosSolo3]],"")</f>
        <v/>
      </c>
      <c r="J539">
        <f>+IF(DesarrolloPartidos[[#This Row],[Partidos3]]="",DesarrolloPartidos[[#This Row],[Partidos4]],DesarrolloPartidos[[#This Row],[Partidos3]])</f>
        <v>6</v>
      </c>
      <c r="K539" t="str">
        <f>+DesarrolloPartidos[[#This Row],[Jugadores]]&amp;":"&amp;DesarrolloPartidos[[#This Row],[Orden]]</f>
        <v>34:22</v>
      </c>
    </row>
    <row r="540" spans="1:11">
      <c r="A540">
        <f t="shared" si="45"/>
        <v>34</v>
      </c>
      <c r="B540">
        <f t="shared" si="44"/>
        <v>9</v>
      </c>
      <c r="C540">
        <f t="shared" si="46"/>
        <v>2</v>
      </c>
      <c r="D540">
        <f t="shared" si="47"/>
        <v>7</v>
      </c>
      <c r="E540">
        <f t="shared" si="48"/>
        <v>23</v>
      </c>
      <c r="F540">
        <f>3*DesarrolloPartidos[[#This Row],[Partidos_3]]</f>
        <v>6</v>
      </c>
      <c r="G540">
        <f>IF(DesarrolloPartidos[[#This Row],[Partidos_3]]=0,0,ROUNDUP(DesarrolloPartidos[[#This Row],[Orden]]/DesarrolloPartidos[[#This Row],[JugEnPart3]]*DesarrolloPartidos[[#This Row],[Partidos_3]],0))</f>
        <v>8</v>
      </c>
      <c r="H540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7</v>
      </c>
      <c r="I540" t="str">
        <f>IF(AND(DesarrolloPartidos[[#This Row],[PartidosSolo3]]&lt;=DesarrolloPartidos[[#This Row],[Partidos_3]],DesarrolloPartidos[[#This Row],[PartidosSolo3]]&lt;&gt;0),DesarrolloPartidos[[#This Row],[PartidosSolo3]],"")</f>
        <v/>
      </c>
      <c r="J540">
        <f>+IF(DesarrolloPartidos[[#This Row],[Partidos3]]="",DesarrolloPartidos[[#This Row],[Partidos4]],DesarrolloPartidos[[#This Row],[Partidos3]])</f>
        <v>7</v>
      </c>
      <c r="K540" t="str">
        <f>+DesarrolloPartidos[[#This Row],[Jugadores]]&amp;":"&amp;DesarrolloPartidos[[#This Row],[Orden]]</f>
        <v>34:23</v>
      </c>
    </row>
    <row r="541" spans="1:11">
      <c r="A541">
        <f t="shared" si="45"/>
        <v>34</v>
      </c>
      <c r="B541">
        <f t="shared" si="44"/>
        <v>9</v>
      </c>
      <c r="C541">
        <f t="shared" si="46"/>
        <v>2</v>
      </c>
      <c r="D541">
        <f t="shared" si="47"/>
        <v>7</v>
      </c>
      <c r="E541">
        <f t="shared" si="48"/>
        <v>24</v>
      </c>
      <c r="F541">
        <f>3*DesarrolloPartidos[[#This Row],[Partidos_3]]</f>
        <v>6</v>
      </c>
      <c r="G541">
        <f>IF(DesarrolloPartidos[[#This Row],[Partidos_3]]=0,0,ROUNDUP(DesarrolloPartidos[[#This Row],[Orden]]/DesarrolloPartidos[[#This Row],[JugEnPart3]]*DesarrolloPartidos[[#This Row],[Partidos_3]],0))</f>
        <v>8</v>
      </c>
      <c r="H541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7</v>
      </c>
      <c r="I541" t="str">
        <f>IF(AND(DesarrolloPartidos[[#This Row],[PartidosSolo3]]&lt;=DesarrolloPartidos[[#This Row],[Partidos_3]],DesarrolloPartidos[[#This Row],[PartidosSolo3]]&lt;&gt;0),DesarrolloPartidos[[#This Row],[PartidosSolo3]],"")</f>
        <v/>
      </c>
      <c r="J541">
        <f>+IF(DesarrolloPartidos[[#This Row],[Partidos3]]="",DesarrolloPartidos[[#This Row],[Partidos4]],DesarrolloPartidos[[#This Row],[Partidos3]])</f>
        <v>7</v>
      </c>
      <c r="K541" t="str">
        <f>+DesarrolloPartidos[[#This Row],[Jugadores]]&amp;":"&amp;DesarrolloPartidos[[#This Row],[Orden]]</f>
        <v>34:24</v>
      </c>
    </row>
    <row r="542" spans="1:11">
      <c r="A542">
        <f t="shared" si="45"/>
        <v>34</v>
      </c>
      <c r="B542">
        <f t="shared" si="44"/>
        <v>9</v>
      </c>
      <c r="C542">
        <f t="shared" si="46"/>
        <v>2</v>
      </c>
      <c r="D542">
        <f t="shared" si="47"/>
        <v>7</v>
      </c>
      <c r="E542">
        <f t="shared" si="48"/>
        <v>25</v>
      </c>
      <c r="F542">
        <f>3*DesarrolloPartidos[[#This Row],[Partidos_3]]</f>
        <v>6</v>
      </c>
      <c r="G542">
        <f>IF(DesarrolloPartidos[[#This Row],[Partidos_3]]=0,0,ROUNDUP(DesarrolloPartidos[[#This Row],[Orden]]/DesarrolloPartidos[[#This Row],[JugEnPart3]]*DesarrolloPartidos[[#This Row],[Partidos_3]],0))</f>
        <v>9</v>
      </c>
      <c r="H542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7</v>
      </c>
      <c r="I542" t="str">
        <f>IF(AND(DesarrolloPartidos[[#This Row],[PartidosSolo3]]&lt;=DesarrolloPartidos[[#This Row],[Partidos_3]],DesarrolloPartidos[[#This Row],[PartidosSolo3]]&lt;&gt;0),DesarrolloPartidos[[#This Row],[PartidosSolo3]],"")</f>
        <v/>
      </c>
      <c r="J542">
        <f>+IF(DesarrolloPartidos[[#This Row],[Partidos3]]="",DesarrolloPartidos[[#This Row],[Partidos4]],DesarrolloPartidos[[#This Row],[Partidos3]])</f>
        <v>7</v>
      </c>
      <c r="K542" t="str">
        <f>+DesarrolloPartidos[[#This Row],[Jugadores]]&amp;":"&amp;DesarrolloPartidos[[#This Row],[Orden]]</f>
        <v>34:25</v>
      </c>
    </row>
    <row r="543" spans="1:11">
      <c r="A543">
        <f t="shared" si="45"/>
        <v>34</v>
      </c>
      <c r="B543">
        <f t="shared" si="44"/>
        <v>9</v>
      </c>
      <c r="C543">
        <f t="shared" si="46"/>
        <v>2</v>
      </c>
      <c r="D543">
        <f t="shared" si="47"/>
        <v>7</v>
      </c>
      <c r="E543">
        <f t="shared" si="48"/>
        <v>26</v>
      </c>
      <c r="F543">
        <f>3*DesarrolloPartidos[[#This Row],[Partidos_3]]</f>
        <v>6</v>
      </c>
      <c r="G543">
        <f>IF(DesarrolloPartidos[[#This Row],[Partidos_3]]=0,0,ROUNDUP(DesarrolloPartidos[[#This Row],[Orden]]/DesarrolloPartidos[[#This Row],[JugEnPart3]]*DesarrolloPartidos[[#This Row],[Partidos_3]],0))</f>
        <v>9</v>
      </c>
      <c r="H543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7</v>
      </c>
      <c r="I543" t="str">
        <f>IF(AND(DesarrolloPartidos[[#This Row],[PartidosSolo3]]&lt;=DesarrolloPartidos[[#This Row],[Partidos_3]],DesarrolloPartidos[[#This Row],[PartidosSolo3]]&lt;&gt;0),DesarrolloPartidos[[#This Row],[PartidosSolo3]],"")</f>
        <v/>
      </c>
      <c r="J543">
        <f>+IF(DesarrolloPartidos[[#This Row],[Partidos3]]="",DesarrolloPartidos[[#This Row],[Partidos4]],DesarrolloPartidos[[#This Row],[Partidos3]])</f>
        <v>7</v>
      </c>
      <c r="K543" t="str">
        <f>+DesarrolloPartidos[[#This Row],[Jugadores]]&amp;":"&amp;DesarrolloPartidos[[#This Row],[Orden]]</f>
        <v>34:26</v>
      </c>
    </row>
    <row r="544" spans="1:11">
      <c r="A544">
        <f t="shared" si="45"/>
        <v>34</v>
      </c>
      <c r="B544">
        <f t="shared" si="44"/>
        <v>9</v>
      </c>
      <c r="C544">
        <f t="shared" si="46"/>
        <v>2</v>
      </c>
      <c r="D544">
        <f t="shared" si="47"/>
        <v>7</v>
      </c>
      <c r="E544">
        <f t="shared" si="48"/>
        <v>27</v>
      </c>
      <c r="F544">
        <f>3*DesarrolloPartidos[[#This Row],[Partidos_3]]</f>
        <v>6</v>
      </c>
      <c r="G544">
        <f>IF(DesarrolloPartidos[[#This Row],[Partidos_3]]=0,0,ROUNDUP(DesarrolloPartidos[[#This Row],[Orden]]/DesarrolloPartidos[[#This Row],[JugEnPart3]]*DesarrolloPartidos[[#This Row],[Partidos_3]],0))</f>
        <v>9</v>
      </c>
      <c r="H544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8</v>
      </c>
      <c r="I544" t="str">
        <f>IF(AND(DesarrolloPartidos[[#This Row],[PartidosSolo3]]&lt;=DesarrolloPartidos[[#This Row],[Partidos_3]],DesarrolloPartidos[[#This Row],[PartidosSolo3]]&lt;&gt;0),DesarrolloPartidos[[#This Row],[PartidosSolo3]],"")</f>
        <v/>
      </c>
      <c r="J544">
        <f>+IF(DesarrolloPartidos[[#This Row],[Partidos3]]="",DesarrolloPartidos[[#This Row],[Partidos4]],DesarrolloPartidos[[#This Row],[Partidos3]])</f>
        <v>8</v>
      </c>
      <c r="K544" t="str">
        <f>+DesarrolloPartidos[[#This Row],[Jugadores]]&amp;":"&amp;DesarrolloPartidos[[#This Row],[Orden]]</f>
        <v>34:27</v>
      </c>
    </row>
    <row r="545" spans="1:11">
      <c r="A545">
        <f t="shared" si="45"/>
        <v>34</v>
      </c>
      <c r="B545">
        <f t="shared" si="44"/>
        <v>9</v>
      </c>
      <c r="C545">
        <f t="shared" si="46"/>
        <v>2</v>
      </c>
      <c r="D545">
        <f t="shared" si="47"/>
        <v>7</v>
      </c>
      <c r="E545">
        <f t="shared" si="48"/>
        <v>28</v>
      </c>
      <c r="F545">
        <f>3*DesarrolloPartidos[[#This Row],[Partidos_3]]</f>
        <v>6</v>
      </c>
      <c r="G545">
        <f>IF(DesarrolloPartidos[[#This Row],[Partidos_3]]=0,0,ROUNDUP(DesarrolloPartidos[[#This Row],[Orden]]/DesarrolloPartidos[[#This Row],[JugEnPart3]]*DesarrolloPartidos[[#This Row],[Partidos_3]],0))</f>
        <v>10</v>
      </c>
      <c r="H545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8</v>
      </c>
      <c r="I545" t="str">
        <f>IF(AND(DesarrolloPartidos[[#This Row],[PartidosSolo3]]&lt;=DesarrolloPartidos[[#This Row],[Partidos_3]],DesarrolloPartidos[[#This Row],[PartidosSolo3]]&lt;&gt;0),DesarrolloPartidos[[#This Row],[PartidosSolo3]],"")</f>
        <v/>
      </c>
      <c r="J545">
        <f>+IF(DesarrolloPartidos[[#This Row],[Partidos3]]="",DesarrolloPartidos[[#This Row],[Partidos4]],DesarrolloPartidos[[#This Row],[Partidos3]])</f>
        <v>8</v>
      </c>
      <c r="K545" t="str">
        <f>+DesarrolloPartidos[[#This Row],[Jugadores]]&amp;":"&amp;DesarrolloPartidos[[#This Row],[Orden]]</f>
        <v>34:28</v>
      </c>
    </row>
    <row r="546" spans="1:11">
      <c r="A546">
        <f t="shared" si="45"/>
        <v>34</v>
      </c>
      <c r="B546">
        <f t="shared" si="44"/>
        <v>9</v>
      </c>
      <c r="C546">
        <f t="shared" si="46"/>
        <v>2</v>
      </c>
      <c r="D546">
        <f t="shared" si="47"/>
        <v>7</v>
      </c>
      <c r="E546">
        <f t="shared" si="48"/>
        <v>29</v>
      </c>
      <c r="F546">
        <f>3*DesarrolloPartidos[[#This Row],[Partidos_3]]</f>
        <v>6</v>
      </c>
      <c r="G546">
        <f>IF(DesarrolloPartidos[[#This Row],[Partidos_3]]=0,0,ROUNDUP(DesarrolloPartidos[[#This Row],[Orden]]/DesarrolloPartidos[[#This Row],[JugEnPart3]]*DesarrolloPartidos[[#This Row],[Partidos_3]],0))</f>
        <v>10</v>
      </c>
      <c r="H546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8</v>
      </c>
      <c r="I546" t="str">
        <f>IF(AND(DesarrolloPartidos[[#This Row],[PartidosSolo3]]&lt;=DesarrolloPartidos[[#This Row],[Partidos_3]],DesarrolloPartidos[[#This Row],[PartidosSolo3]]&lt;&gt;0),DesarrolloPartidos[[#This Row],[PartidosSolo3]],"")</f>
        <v/>
      </c>
      <c r="J546">
        <f>+IF(DesarrolloPartidos[[#This Row],[Partidos3]]="",DesarrolloPartidos[[#This Row],[Partidos4]],DesarrolloPartidos[[#This Row],[Partidos3]])</f>
        <v>8</v>
      </c>
      <c r="K546" t="str">
        <f>+DesarrolloPartidos[[#This Row],[Jugadores]]&amp;":"&amp;DesarrolloPartidos[[#This Row],[Orden]]</f>
        <v>34:29</v>
      </c>
    </row>
    <row r="547" spans="1:11">
      <c r="A547">
        <f t="shared" si="45"/>
        <v>34</v>
      </c>
      <c r="B547">
        <f t="shared" si="44"/>
        <v>9</v>
      </c>
      <c r="C547">
        <f t="shared" si="46"/>
        <v>2</v>
      </c>
      <c r="D547">
        <f t="shared" si="47"/>
        <v>7</v>
      </c>
      <c r="E547">
        <f t="shared" si="48"/>
        <v>30</v>
      </c>
      <c r="F547">
        <f>3*DesarrolloPartidos[[#This Row],[Partidos_3]]</f>
        <v>6</v>
      </c>
      <c r="G547">
        <f>IF(DesarrolloPartidos[[#This Row],[Partidos_3]]=0,0,ROUNDUP(DesarrolloPartidos[[#This Row],[Orden]]/DesarrolloPartidos[[#This Row],[JugEnPart3]]*DesarrolloPartidos[[#This Row],[Partidos_3]],0))</f>
        <v>10</v>
      </c>
      <c r="H547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8</v>
      </c>
      <c r="I547" t="str">
        <f>IF(AND(DesarrolloPartidos[[#This Row],[PartidosSolo3]]&lt;=DesarrolloPartidos[[#This Row],[Partidos_3]],DesarrolloPartidos[[#This Row],[PartidosSolo3]]&lt;&gt;0),DesarrolloPartidos[[#This Row],[PartidosSolo3]],"")</f>
        <v/>
      </c>
      <c r="J547">
        <f>+IF(DesarrolloPartidos[[#This Row],[Partidos3]]="",DesarrolloPartidos[[#This Row],[Partidos4]],DesarrolloPartidos[[#This Row],[Partidos3]])</f>
        <v>8</v>
      </c>
      <c r="K547" t="str">
        <f>+DesarrolloPartidos[[#This Row],[Jugadores]]&amp;":"&amp;DesarrolloPartidos[[#This Row],[Orden]]</f>
        <v>34:30</v>
      </c>
    </row>
    <row r="548" spans="1:11">
      <c r="A548">
        <f t="shared" si="45"/>
        <v>34</v>
      </c>
      <c r="B548">
        <f t="shared" si="44"/>
        <v>9</v>
      </c>
      <c r="C548">
        <f t="shared" si="46"/>
        <v>2</v>
      </c>
      <c r="D548">
        <f t="shared" si="47"/>
        <v>7</v>
      </c>
      <c r="E548">
        <f t="shared" si="48"/>
        <v>31</v>
      </c>
      <c r="F548">
        <f>3*DesarrolloPartidos[[#This Row],[Partidos_3]]</f>
        <v>6</v>
      </c>
      <c r="G548">
        <f>IF(DesarrolloPartidos[[#This Row],[Partidos_3]]=0,0,ROUNDUP(DesarrolloPartidos[[#This Row],[Orden]]/DesarrolloPartidos[[#This Row],[JugEnPart3]]*DesarrolloPartidos[[#This Row],[Partidos_3]],0))</f>
        <v>11</v>
      </c>
      <c r="H548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9</v>
      </c>
      <c r="I548" t="str">
        <f>IF(AND(DesarrolloPartidos[[#This Row],[PartidosSolo3]]&lt;=DesarrolloPartidos[[#This Row],[Partidos_3]],DesarrolloPartidos[[#This Row],[PartidosSolo3]]&lt;&gt;0),DesarrolloPartidos[[#This Row],[PartidosSolo3]],"")</f>
        <v/>
      </c>
      <c r="J548">
        <f>+IF(DesarrolloPartidos[[#This Row],[Partidos3]]="",DesarrolloPartidos[[#This Row],[Partidos4]],DesarrolloPartidos[[#This Row],[Partidos3]])</f>
        <v>9</v>
      </c>
      <c r="K548" t="str">
        <f>+DesarrolloPartidos[[#This Row],[Jugadores]]&amp;":"&amp;DesarrolloPartidos[[#This Row],[Orden]]</f>
        <v>34:31</v>
      </c>
    </row>
    <row r="549" spans="1:11">
      <c r="A549">
        <f t="shared" si="45"/>
        <v>34</v>
      </c>
      <c r="B549">
        <f t="shared" si="44"/>
        <v>9</v>
      </c>
      <c r="C549">
        <f t="shared" si="46"/>
        <v>2</v>
      </c>
      <c r="D549">
        <f t="shared" si="47"/>
        <v>7</v>
      </c>
      <c r="E549">
        <f t="shared" si="48"/>
        <v>32</v>
      </c>
      <c r="F549">
        <f>3*DesarrolloPartidos[[#This Row],[Partidos_3]]</f>
        <v>6</v>
      </c>
      <c r="G549">
        <f>IF(DesarrolloPartidos[[#This Row],[Partidos_3]]=0,0,ROUNDUP(DesarrolloPartidos[[#This Row],[Orden]]/DesarrolloPartidos[[#This Row],[JugEnPart3]]*DesarrolloPartidos[[#This Row],[Partidos_3]],0))</f>
        <v>11</v>
      </c>
      <c r="H549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9</v>
      </c>
      <c r="I549" t="str">
        <f>IF(AND(DesarrolloPartidos[[#This Row],[PartidosSolo3]]&lt;=DesarrolloPartidos[[#This Row],[Partidos_3]],DesarrolloPartidos[[#This Row],[PartidosSolo3]]&lt;&gt;0),DesarrolloPartidos[[#This Row],[PartidosSolo3]],"")</f>
        <v/>
      </c>
      <c r="J549">
        <f>+IF(DesarrolloPartidos[[#This Row],[Partidos3]]="",DesarrolloPartidos[[#This Row],[Partidos4]],DesarrolloPartidos[[#This Row],[Partidos3]])</f>
        <v>9</v>
      </c>
      <c r="K549" t="str">
        <f>+DesarrolloPartidos[[#This Row],[Jugadores]]&amp;":"&amp;DesarrolloPartidos[[#This Row],[Orden]]</f>
        <v>34:32</v>
      </c>
    </row>
    <row r="550" spans="1:11">
      <c r="A550">
        <f t="shared" si="45"/>
        <v>34</v>
      </c>
      <c r="B550">
        <f t="shared" si="44"/>
        <v>9</v>
      </c>
      <c r="C550">
        <f t="shared" si="46"/>
        <v>2</v>
      </c>
      <c r="D550">
        <f t="shared" si="47"/>
        <v>7</v>
      </c>
      <c r="E550">
        <f t="shared" si="48"/>
        <v>33</v>
      </c>
      <c r="F550">
        <f>3*DesarrolloPartidos[[#This Row],[Partidos_3]]</f>
        <v>6</v>
      </c>
      <c r="G550">
        <f>IF(DesarrolloPartidos[[#This Row],[Partidos_3]]=0,0,ROUNDUP(DesarrolloPartidos[[#This Row],[Orden]]/DesarrolloPartidos[[#This Row],[JugEnPart3]]*DesarrolloPartidos[[#This Row],[Partidos_3]],0))</f>
        <v>11</v>
      </c>
      <c r="H550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9</v>
      </c>
      <c r="I550" t="str">
        <f>IF(AND(DesarrolloPartidos[[#This Row],[PartidosSolo3]]&lt;=DesarrolloPartidos[[#This Row],[Partidos_3]],DesarrolloPartidos[[#This Row],[PartidosSolo3]]&lt;&gt;0),DesarrolloPartidos[[#This Row],[PartidosSolo3]],"")</f>
        <v/>
      </c>
      <c r="J550">
        <f>+IF(DesarrolloPartidos[[#This Row],[Partidos3]]="",DesarrolloPartidos[[#This Row],[Partidos4]],DesarrolloPartidos[[#This Row],[Partidos3]])</f>
        <v>9</v>
      </c>
      <c r="K550" t="str">
        <f>+DesarrolloPartidos[[#This Row],[Jugadores]]&amp;":"&amp;DesarrolloPartidos[[#This Row],[Orden]]</f>
        <v>34:33</v>
      </c>
    </row>
    <row r="551" spans="1:11">
      <c r="A551">
        <f t="shared" si="45"/>
        <v>34</v>
      </c>
      <c r="B551">
        <f t="shared" si="44"/>
        <v>9</v>
      </c>
      <c r="C551">
        <f t="shared" si="46"/>
        <v>2</v>
      </c>
      <c r="D551">
        <f t="shared" si="47"/>
        <v>7</v>
      </c>
      <c r="E551">
        <f t="shared" si="48"/>
        <v>34</v>
      </c>
      <c r="F551">
        <f>3*DesarrolloPartidos[[#This Row],[Partidos_3]]</f>
        <v>6</v>
      </c>
      <c r="G551">
        <f>IF(DesarrolloPartidos[[#This Row],[Partidos_3]]=0,0,ROUNDUP(DesarrolloPartidos[[#This Row],[Orden]]/DesarrolloPartidos[[#This Row],[JugEnPart3]]*DesarrolloPartidos[[#This Row],[Partidos_3]],0))</f>
        <v>12</v>
      </c>
      <c r="H551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9</v>
      </c>
      <c r="I551" t="str">
        <f>IF(AND(DesarrolloPartidos[[#This Row],[PartidosSolo3]]&lt;=DesarrolloPartidos[[#This Row],[Partidos_3]],DesarrolloPartidos[[#This Row],[PartidosSolo3]]&lt;&gt;0),DesarrolloPartidos[[#This Row],[PartidosSolo3]],"")</f>
        <v/>
      </c>
      <c r="J551">
        <f>+IF(DesarrolloPartidos[[#This Row],[Partidos3]]="",DesarrolloPartidos[[#This Row],[Partidos4]],DesarrolloPartidos[[#This Row],[Partidos3]])</f>
        <v>9</v>
      </c>
      <c r="K551" t="str">
        <f>+DesarrolloPartidos[[#This Row],[Jugadores]]&amp;":"&amp;DesarrolloPartidos[[#This Row],[Orden]]</f>
        <v>34:34</v>
      </c>
    </row>
    <row r="552" spans="1:11">
      <c r="A552">
        <f t="shared" si="45"/>
        <v>35</v>
      </c>
      <c r="B552">
        <f t="shared" si="44"/>
        <v>9</v>
      </c>
      <c r="C552">
        <f t="shared" si="46"/>
        <v>1</v>
      </c>
      <c r="D552">
        <f t="shared" si="47"/>
        <v>8</v>
      </c>
      <c r="E552">
        <f t="shared" si="48"/>
        <v>1</v>
      </c>
      <c r="F552">
        <f>3*DesarrolloPartidos[[#This Row],[Partidos_3]]</f>
        <v>3</v>
      </c>
      <c r="G552">
        <f>IF(DesarrolloPartidos[[#This Row],[Partidos_3]]=0,0,ROUNDUP(DesarrolloPartidos[[#This Row],[Orden]]/DesarrolloPartidos[[#This Row],[JugEnPart3]]*DesarrolloPartidos[[#This Row],[Partidos_3]],0))</f>
        <v>1</v>
      </c>
      <c r="H552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552">
        <f>IF(AND(DesarrolloPartidos[[#This Row],[PartidosSolo3]]&lt;=DesarrolloPartidos[[#This Row],[Partidos_3]],DesarrolloPartidos[[#This Row],[PartidosSolo3]]&lt;&gt;0),DesarrolloPartidos[[#This Row],[PartidosSolo3]],"")</f>
        <v>1</v>
      </c>
      <c r="J552">
        <f>+IF(DesarrolloPartidos[[#This Row],[Partidos3]]="",DesarrolloPartidos[[#This Row],[Partidos4]],DesarrolloPartidos[[#This Row],[Partidos3]])</f>
        <v>1</v>
      </c>
      <c r="K552" t="str">
        <f>+DesarrolloPartidos[[#This Row],[Jugadores]]&amp;":"&amp;DesarrolloPartidos[[#This Row],[Orden]]</f>
        <v>35:1</v>
      </c>
    </row>
    <row r="553" spans="1:11">
      <c r="A553">
        <f t="shared" si="45"/>
        <v>35</v>
      </c>
      <c r="B553">
        <f t="shared" si="44"/>
        <v>9</v>
      </c>
      <c r="C553">
        <f t="shared" si="46"/>
        <v>1</v>
      </c>
      <c r="D553">
        <f t="shared" si="47"/>
        <v>8</v>
      </c>
      <c r="E553">
        <f t="shared" si="48"/>
        <v>2</v>
      </c>
      <c r="F553">
        <f>3*DesarrolloPartidos[[#This Row],[Partidos_3]]</f>
        <v>3</v>
      </c>
      <c r="G553">
        <f>IF(DesarrolloPartidos[[#This Row],[Partidos_3]]=0,0,ROUNDUP(DesarrolloPartidos[[#This Row],[Orden]]/DesarrolloPartidos[[#This Row],[JugEnPart3]]*DesarrolloPartidos[[#This Row],[Partidos_3]],0))</f>
        <v>1</v>
      </c>
      <c r="H553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553">
        <f>IF(AND(DesarrolloPartidos[[#This Row],[PartidosSolo3]]&lt;=DesarrolloPartidos[[#This Row],[Partidos_3]],DesarrolloPartidos[[#This Row],[PartidosSolo3]]&lt;&gt;0),DesarrolloPartidos[[#This Row],[PartidosSolo3]],"")</f>
        <v>1</v>
      </c>
      <c r="J553">
        <f>+IF(DesarrolloPartidos[[#This Row],[Partidos3]]="",DesarrolloPartidos[[#This Row],[Partidos4]],DesarrolloPartidos[[#This Row],[Partidos3]])</f>
        <v>1</v>
      </c>
      <c r="K553" t="str">
        <f>+DesarrolloPartidos[[#This Row],[Jugadores]]&amp;":"&amp;DesarrolloPartidos[[#This Row],[Orden]]</f>
        <v>35:2</v>
      </c>
    </row>
    <row r="554" spans="1:11">
      <c r="A554">
        <f t="shared" si="45"/>
        <v>35</v>
      </c>
      <c r="B554">
        <f t="shared" si="44"/>
        <v>9</v>
      </c>
      <c r="C554">
        <f t="shared" si="46"/>
        <v>1</v>
      </c>
      <c r="D554">
        <f t="shared" si="47"/>
        <v>8</v>
      </c>
      <c r="E554">
        <f t="shared" si="48"/>
        <v>3</v>
      </c>
      <c r="F554">
        <f>3*DesarrolloPartidos[[#This Row],[Partidos_3]]</f>
        <v>3</v>
      </c>
      <c r="G554">
        <f>IF(DesarrolloPartidos[[#This Row],[Partidos_3]]=0,0,ROUNDUP(DesarrolloPartidos[[#This Row],[Orden]]/DesarrolloPartidos[[#This Row],[JugEnPart3]]*DesarrolloPartidos[[#This Row],[Partidos_3]],0))</f>
        <v>1</v>
      </c>
      <c r="H554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554">
        <f>IF(AND(DesarrolloPartidos[[#This Row],[PartidosSolo3]]&lt;=DesarrolloPartidos[[#This Row],[Partidos_3]],DesarrolloPartidos[[#This Row],[PartidosSolo3]]&lt;&gt;0),DesarrolloPartidos[[#This Row],[PartidosSolo3]],"")</f>
        <v>1</v>
      </c>
      <c r="J554">
        <f>+IF(DesarrolloPartidos[[#This Row],[Partidos3]]="",DesarrolloPartidos[[#This Row],[Partidos4]],DesarrolloPartidos[[#This Row],[Partidos3]])</f>
        <v>1</v>
      </c>
      <c r="K554" t="str">
        <f>+DesarrolloPartidos[[#This Row],[Jugadores]]&amp;":"&amp;DesarrolloPartidos[[#This Row],[Orden]]</f>
        <v>35:3</v>
      </c>
    </row>
    <row r="555" spans="1:11">
      <c r="A555">
        <f t="shared" si="45"/>
        <v>35</v>
      </c>
      <c r="B555">
        <f t="shared" si="44"/>
        <v>9</v>
      </c>
      <c r="C555">
        <f t="shared" si="46"/>
        <v>1</v>
      </c>
      <c r="D555">
        <f t="shared" si="47"/>
        <v>8</v>
      </c>
      <c r="E555">
        <f t="shared" si="48"/>
        <v>4</v>
      </c>
      <c r="F555">
        <f>3*DesarrolloPartidos[[#This Row],[Partidos_3]]</f>
        <v>3</v>
      </c>
      <c r="G555">
        <f>IF(DesarrolloPartidos[[#This Row],[Partidos_3]]=0,0,ROUNDUP(DesarrolloPartidos[[#This Row],[Orden]]/DesarrolloPartidos[[#This Row],[JugEnPart3]]*DesarrolloPartidos[[#This Row],[Partidos_3]],0))</f>
        <v>2</v>
      </c>
      <c r="H555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2</v>
      </c>
      <c r="I555" t="str">
        <f>IF(AND(DesarrolloPartidos[[#This Row],[PartidosSolo3]]&lt;=DesarrolloPartidos[[#This Row],[Partidos_3]],DesarrolloPartidos[[#This Row],[PartidosSolo3]]&lt;&gt;0),DesarrolloPartidos[[#This Row],[PartidosSolo3]],"")</f>
        <v/>
      </c>
      <c r="J555">
        <f>+IF(DesarrolloPartidos[[#This Row],[Partidos3]]="",DesarrolloPartidos[[#This Row],[Partidos4]],DesarrolloPartidos[[#This Row],[Partidos3]])</f>
        <v>2</v>
      </c>
      <c r="K555" t="str">
        <f>+DesarrolloPartidos[[#This Row],[Jugadores]]&amp;":"&amp;DesarrolloPartidos[[#This Row],[Orden]]</f>
        <v>35:4</v>
      </c>
    </row>
    <row r="556" spans="1:11">
      <c r="A556">
        <f t="shared" si="45"/>
        <v>35</v>
      </c>
      <c r="B556">
        <f t="shared" si="44"/>
        <v>9</v>
      </c>
      <c r="C556">
        <f t="shared" si="46"/>
        <v>1</v>
      </c>
      <c r="D556">
        <f t="shared" si="47"/>
        <v>8</v>
      </c>
      <c r="E556">
        <f t="shared" si="48"/>
        <v>5</v>
      </c>
      <c r="F556">
        <f>3*DesarrolloPartidos[[#This Row],[Partidos_3]]</f>
        <v>3</v>
      </c>
      <c r="G556">
        <f>IF(DesarrolloPartidos[[#This Row],[Partidos_3]]=0,0,ROUNDUP(DesarrolloPartidos[[#This Row],[Orden]]/DesarrolloPartidos[[#This Row],[JugEnPart3]]*DesarrolloPartidos[[#This Row],[Partidos_3]],0))</f>
        <v>2</v>
      </c>
      <c r="H556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2</v>
      </c>
      <c r="I556" t="str">
        <f>IF(AND(DesarrolloPartidos[[#This Row],[PartidosSolo3]]&lt;=DesarrolloPartidos[[#This Row],[Partidos_3]],DesarrolloPartidos[[#This Row],[PartidosSolo3]]&lt;&gt;0),DesarrolloPartidos[[#This Row],[PartidosSolo3]],"")</f>
        <v/>
      </c>
      <c r="J556">
        <f>+IF(DesarrolloPartidos[[#This Row],[Partidos3]]="",DesarrolloPartidos[[#This Row],[Partidos4]],DesarrolloPartidos[[#This Row],[Partidos3]])</f>
        <v>2</v>
      </c>
      <c r="K556" t="str">
        <f>+DesarrolloPartidos[[#This Row],[Jugadores]]&amp;":"&amp;DesarrolloPartidos[[#This Row],[Orden]]</f>
        <v>35:5</v>
      </c>
    </row>
    <row r="557" spans="1:11">
      <c r="A557">
        <f t="shared" si="45"/>
        <v>35</v>
      </c>
      <c r="B557">
        <f t="shared" si="44"/>
        <v>9</v>
      </c>
      <c r="C557">
        <f t="shared" si="46"/>
        <v>1</v>
      </c>
      <c r="D557">
        <f t="shared" si="47"/>
        <v>8</v>
      </c>
      <c r="E557">
        <f t="shared" si="48"/>
        <v>6</v>
      </c>
      <c r="F557">
        <f>3*DesarrolloPartidos[[#This Row],[Partidos_3]]</f>
        <v>3</v>
      </c>
      <c r="G557">
        <f>IF(DesarrolloPartidos[[#This Row],[Partidos_3]]=0,0,ROUNDUP(DesarrolloPartidos[[#This Row],[Orden]]/DesarrolloPartidos[[#This Row],[JugEnPart3]]*DesarrolloPartidos[[#This Row],[Partidos_3]],0))</f>
        <v>2</v>
      </c>
      <c r="H557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2</v>
      </c>
      <c r="I557" t="str">
        <f>IF(AND(DesarrolloPartidos[[#This Row],[PartidosSolo3]]&lt;=DesarrolloPartidos[[#This Row],[Partidos_3]],DesarrolloPartidos[[#This Row],[PartidosSolo3]]&lt;&gt;0),DesarrolloPartidos[[#This Row],[PartidosSolo3]],"")</f>
        <v/>
      </c>
      <c r="J557">
        <f>+IF(DesarrolloPartidos[[#This Row],[Partidos3]]="",DesarrolloPartidos[[#This Row],[Partidos4]],DesarrolloPartidos[[#This Row],[Partidos3]])</f>
        <v>2</v>
      </c>
      <c r="K557" t="str">
        <f>+DesarrolloPartidos[[#This Row],[Jugadores]]&amp;":"&amp;DesarrolloPartidos[[#This Row],[Orden]]</f>
        <v>35:6</v>
      </c>
    </row>
    <row r="558" spans="1:11">
      <c r="A558">
        <f t="shared" si="45"/>
        <v>35</v>
      </c>
      <c r="B558">
        <f t="shared" si="44"/>
        <v>9</v>
      </c>
      <c r="C558">
        <f t="shared" si="46"/>
        <v>1</v>
      </c>
      <c r="D558">
        <f t="shared" si="47"/>
        <v>8</v>
      </c>
      <c r="E558">
        <f t="shared" si="48"/>
        <v>7</v>
      </c>
      <c r="F558">
        <f>3*DesarrolloPartidos[[#This Row],[Partidos_3]]</f>
        <v>3</v>
      </c>
      <c r="G558">
        <f>IF(DesarrolloPartidos[[#This Row],[Partidos_3]]=0,0,ROUNDUP(DesarrolloPartidos[[#This Row],[Orden]]/DesarrolloPartidos[[#This Row],[JugEnPart3]]*DesarrolloPartidos[[#This Row],[Partidos_3]],0))</f>
        <v>3</v>
      </c>
      <c r="H558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2</v>
      </c>
      <c r="I558" t="str">
        <f>IF(AND(DesarrolloPartidos[[#This Row],[PartidosSolo3]]&lt;=DesarrolloPartidos[[#This Row],[Partidos_3]],DesarrolloPartidos[[#This Row],[PartidosSolo3]]&lt;&gt;0),DesarrolloPartidos[[#This Row],[PartidosSolo3]],"")</f>
        <v/>
      </c>
      <c r="J558">
        <f>+IF(DesarrolloPartidos[[#This Row],[Partidos3]]="",DesarrolloPartidos[[#This Row],[Partidos4]],DesarrolloPartidos[[#This Row],[Partidos3]])</f>
        <v>2</v>
      </c>
      <c r="K558" t="str">
        <f>+DesarrolloPartidos[[#This Row],[Jugadores]]&amp;":"&amp;DesarrolloPartidos[[#This Row],[Orden]]</f>
        <v>35:7</v>
      </c>
    </row>
    <row r="559" spans="1:11">
      <c r="A559">
        <f t="shared" si="45"/>
        <v>35</v>
      </c>
      <c r="B559">
        <f t="shared" si="44"/>
        <v>9</v>
      </c>
      <c r="C559">
        <f t="shared" si="46"/>
        <v>1</v>
      </c>
      <c r="D559">
        <f t="shared" si="47"/>
        <v>8</v>
      </c>
      <c r="E559">
        <f t="shared" si="48"/>
        <v>8</v>
      </c>
      <c r="F559">
        <f>3*DesarrolloPartidos[[#This Row],[Partidos_3]]</f>
        <v>3</v>
      </c>
      <c r="G559">
        <f>IF(DesarrolloPartidos[[#This Row],[Partidos_3]]=0,0,ROUNDUP(DesarrolloPartidos[[#This Row],[Orden]]/DesarrolloPartidos[[#This Row],[JugEnPart3]]*DesarrolloPartidos[[#This Row],[Partidos_3]],0))</f>
        <v>3</v>
      </c>
      <c r="H559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3</v>
      </c>
      <c r="I559" t="str">
        <f>IF(AND(DesarrolloPartidos[[#This Row],[PartidosSolo3]]&lt;=DesarrolloPartidos[[#This Row],[Partidos_3]],DesarrolloPartidos[[#This Row],[PartidosSolo3]]&lt;&gt;0),DesarrolloPartidos[[#This Row],[PartidosSolo3]],"")</f>
        <v/>
      </c>
      <c r="J559">
        <f>+IF(DesarrolloPartidos[[#This Row],[Partidos3]]="",DesarrolloPartidos[[#This Row],[Partidos4]],DesarrolloPartidos[[#This Row],[Partidos3]])</f>
        <v>3</v>
      </c>
      <c r="K559" t="str">
        <f>+DesarrolloPartidos[[#This Row],[Jugadores]]&amp;":"&amp;DesarrolloPartidos[[#This Row],[Orden]]</f>
        <v>35:8</v>
      </c>
    </row>
    <row r="560" spans="1:11">
      <c r="A560">
        <f t="shared" si="45"/>
        <v>35</v>
      </c>
      <c r="B560">
        <f t="shared" si="44"/>
        <v>9</v>
      </c>
      <c r="C560">
        <f t="shared" si="46"/>
        <v>1</v>
      </c>
      <c r="D560">
        <f t="shared" si="47"/>
        <v>8</v>
      </c>
      <c r="E560">
        <f t="shared" si="48"/>
        <v>9</v>
      </c>
      <c r="F560">
        <f>3*DesarrolloPartidos[[#This Row],[Partidos_3]]</f>
        <v>3</v>
      </c>
      <c r="G560">
        <f>IF(DesarrolloPartidos[[#This Row],[Partidos_3]]=0,0,ROUNDUP(DesarrolloPartidos[[#This Row],[Orden]]/DesarrolloPartidos[[#This Row],[JugEnPart3]]*DesarrolloPartidos[[#This Row],[Partidos_3]],0))</f>
        <v>3</v>
      </c>
      <c r="H560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3</v>
      </c>
      <c r="I560" t="str">
        <f>IF(AND(DesarrolloPartidos[[#This Row],[PartidosSolo3]]&lt;=DesarrolloPartidos[[#This Row],[Partidos_3]],DesarrolloPartidos[[#This Row],[PartidosSolo3]]&lt;&gt;0),DesarrolloPartidos[[#This Row],[PartidosSolo3]],"")</f>
        <v/>
      </c>
      <c r="J560">
        <f>+IF(DesarrolloPartidos[[#This Row],[Partidos3]]="",DesarrolloPartidos[[#This Row],[Partidos4]],DesarrolloPartidos[[#This Row],[Partidos3]])</f>
        <v>3</v>
      </c>
      <c r="K560" t="str">
        <f>+DesarrolloPartidos[[#This Row],[Jugadores]]&amp;":"&amp;DesarrolloPartidos[[#This Row],[Orden]]</f>
        <v>35:9</v>
      </c>
    </row>
    <row r="561" spans="1:11">
      <c r="A561">
        <f t="shared" si="45"/>
        <v>35</v>
      </c>
      <c r="B561">
        <f t="shared" si="44"/>
        <v>9</v>
      </c>
      <c r="C561">
        <f t="shared" si="46"/>
        <v>1</v>
      </c>
      <c r="D561">
        <f t="shared" si="47"/>
        <v>8</v>
      </c>
      <c r="E561">
        <f t="shared" si="48"/>
        <v>10</v>
      </c>
      <c r="F561">
        <f>3*DesarrolloPartidos[[#This Row],[Partidos_3]]</f>
        <v>3</v>
      </c>
      <c r="G561">
        <f>IF(DesarrolloPartidos[[#This Row],[Partidos_3]]=0,0,ROUNDUP(DesarrolloPartidos[[#This Row],[Orden]]/DesarrolloPartidos[[#This Row],[JugEnPart3]]*DesarrolloPartidos[[#This Row],[Partidos_3]],0))</f>
        <v>4</v>
      </c>
      <c r="H561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3</v>
      </c>
      <c r="I561" t="str">
        <f>IF(AND(DesarrolloPartidos[[#This Row],[PartidosSolo3]]&lt;=DesarrolloPartidos[[#This Row],[Partidos_3]],DesarrolloPartidos[[#This Row],[PartidosSolo3]]&lt;&gt;0),DesarrolloPartidos[[#This Row],[PartidosSolo3]],"")</f>
        <v/>
      </c>
      <c r="J561">
        <f>+IF(DesarrolloPartidos[[#This Row],[Partidos3]]="",DesarrolloPartidos[[#This Row],[Partidos4]],DesarrolloPartidos[[#This Row],[Partidos3]])</f>
        <v>3</v>
      </c>
      <c r="K561" t="str">
        <f>+DesarrolloPartidos[[#This Row],[Jugadores]]&amp;":"&amp;DesarrolloPartidos[[#This Row],[Orden]]</f>
        <v>35:10</v>
      </c>
    </row>
    <row r="562" spans="1:11">
      <c r="A562">
        <f t="shared" si="45"/>
        <v>35</v>
      </c>
      <c r="B562">
        <f t="shared" si="44"/>
        <v>9</v>
      </c>
      <c r="C562">
        <f t="shared" si="46"/>
        <v>1</v>
      </c>
      <c r="D562">
        <f t="shared" si="47"/>
        <v>8</v>
      </c>
      <c r="E562">
        <f t="shared" si="48"/>
        <v>11</v>
      </c>
      <c r="F562">
        <f>3*DesarrolloPartidos[[#This Row],[Partidos_3]]</f>
        <v>3</v>
      </c>
      <c r="G562">
        <f>IF(DesarrolloPartidos[[#This Row],[Partidos_3]]=0,0,ROUNDUP(DesarrolloPartidos[[#This Row],[Orden]]/DesarrolloPartidos[[#This Row],[JugEnPart3]]*DesarrolloPartidos[[#This Row],[Partidos_3]],0))</f>
        <v>4</v>
      </c>
      <c r="H562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3</v>
      </c>
      <c r="I562" t="str">
        <f>IF(AND(DesarrolloPartidos[[#This Row],[PartidosSolo3]]&lt;=DesarrolloPartidos[[#This Row],[Partidos_3]],DesarrolloPartidos[[#This Row],[PartidosSolo3]]&lt;&gt;0),DesarrolloPartidos[[#This Row],[PartidosSolo3]],"")</f>
        <v/>
      </c>
      <c r="J562">
        <f>+IF(DesarrolloPartidos[[#This Row],[Partidos3]]="",DesarrolloPartidos[[#This Row],[Partidos4]],DesarrolloPartidos[[#This Row],[Partidos3]])</f>
        <v>3</v>
      </c>
      <c r="K562" t="str">
        <f>+DesarrolloPartidos[[#This Row],[Jugadores]]&amp;":"&amp;DesarrolloPartidos[[#This Row],[Orden]]</f>
        <v>35:11</v>
      </c>
    </row>
    <row r="563" spans="1:11">
      <c r="A563">
        <f t="shared" si="45"/>
        <v>35</v>
      </c>
      <c r="B563">
        <f t="shared" si="44"/>
        <v>9</v>
      </c>
      <c r="C563">
        <f t="shared" si="46"/>
        <v>1</v>
      </c>
      <c r="D563">
        <f t="shared" si="47"/>
        <v>8</v>
      </c>
      <c r="E563">
        <f t="shared" si="48"/>
        <v>12</v>
      </c>
      <c r="F563">
        <f>3*DesarrolloPartidos[[#This Row],[Partidos_3]]</f>
        <v>3</v>
      </c>
      <c r="G563">
        <f>IF(DesarrolloPartidos[[#This Row],[Partidos_3]]=0,0,ROUNDUP(DesarrolloPartidos[[#This Row],[Orden]]/DesarrolloPartidos[[#This Row],[JugEnPart3]]*DesarrolloPartidos[[#This Row],[Partidos_3]],0))</f>
        <v>4</v>
      </c>
      <c r="H563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563" t="str">
        <f>IF(AND(DesarrolloPartidos[[#This Row],[PartidosSolo3]]&lt;=DesarrolloPartidos[[#This Row],[Partidos_3]],DesarrolloPartidos[[#This Row],[PartidosSolo3]]&lt;&gt;0),DesarrolloPartidos[[#This Row],[PartidosSolo3]],"")</f>
        <v/>
      </c>
      <c r="J563">
        <f>+IF(DesarrolloPartidos[[#This Row],[Partidos3]]="",DesarrolloPartidos[[#This Row],[Partidos4]],DesarrolloPartidos[[#This Row],[Partidos3]])</f>
        <v>4</v>
      </c>
      <c r="K563" t="str">
        <f>+DesarrolloPartidos[[#This Row],[Jugadores]]&amp;":"&amp;DesarrolloPartidos[[#This Row],[Orden]]</f>
        <v>35:12</v>
      </c>
    </row>
    <row r="564" spans="1:11">
      <c r="A564">
        <f t="shared" si="45"/>
        <v>35</v>
      </c>
      <c r="B564">
        <f t="shared" si="44"/>
        <v>9</v>
      </c>
      <c r="C564">
        <f t="shared" si="46"/>
        <v>1</v>
      </c>
      <c r="D564">
        <f t="shared" si="47"/>
        <v>8</v>
      </c>
      <c r="E564">
        <f t="shared" si="48"/>
        <v>13</v>
      </c>
      <c r="F564">
        <f>3*DesarrolloPartidos[[#This Row],[Partidos_3]]</f>
        <v>3</v>
      </c>
      <c r="G564">
        <f>IF(DesarrolloPartidos[[#This Row],[Partidos_3]]=0,0,ROUNDUP(DesarrolloPartidos[[#This Row],[Orden]]/DesarrolloPartidos[[#This Row],[JugEnPart3]]*DesarrolloPartidos[[#This Row],[Partidos_3]],0))</f>
        <v>5</v>
      </c>
      <c r="H564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564" t="str">
        <f>IF(AND(DesarrolloPartidos[[#This Row],[PartidosSolo3]]&lt;=DesarrolloPartidos[[#This Row],[Partidos_3]],DesarrolloPartidos[[#This Row],[PartidosSolo3]]&lt;&gt;0),DesarrolloPartidos[[#This Row],[PartidosSolo3]],"")</f>
        <v/>
      </c>
      <c r="J564">
        <f>+IF(DesarrolloPartidos[[#This Row],[Partidos3]]="",DesarrolloPartidos[[#This Row],[Partidos4]],DesarrolloPartidos[[#This Row],[Partidos3]])</f>
        <v>4</v>
      </c>
      <c r="K564" t="str">
        <f>+DesarrolloPartidos[[#This Row],[Jugadores]]&amp;":"&amp;DesarrolloPartidos[[#This Row],[Orden]]</f>
        <v>35:13</v>
      </c>
    </row>
    <row r="565" spans="1:11">
      <c r="A565">
        <f t="shared" si="45"/>
        <v>35</v>
      </c>
      <c r="B565">
        <f t="shared" si="44"/>
        <v>9</v>
      </c>
      <c r="C565">
        <f t="shared" si="46"/>
        <v>1</v>
      </c>
      <c r="D565">
        <f t="shared" si="47"/>
        <v>8</v>
      </c>
      <c r="E565">
        <f t="shared" si="48"/>
        <v>14</v>
      </c>
      <c r="F565">
        <f>3*DesarrolloPartidos[[#This Row],[Partidos_3]]</f>
        <v>3</v>
      </c>
      <c r="G565">
        <f>IF(DesarrolloPartidos[[#This Row],[Partidos_3]]=0,0,ROUNDUP(DesarrolloPartidos[[#This Row],[Orden]]/DesarrolloPartidos[[#This Row],[JugEnPart3]]*DesarrolloPartidos[[#This Row],[Partidos_3]],0))</f>
        <v>5</v>
      </c>
      <c r="H565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565" t="str">
        <f>IF(AND(DesarrolloPartidos[[#This Row],[PartidosSolo3]]&lt;=DesarrolloPartidos[[#This Row],[Partidos_3]],DesarrolloPartidos[[#This Row],[PartidosSolo3]]&lt;&gt;0),DesarrolloPartidos[[#This Row],[PartidosSolo3]],"")</f>
        <v/>
      </c>
      <c r="J565">
        <f>+IF(DesarrolloPartidos[[#This Row],[Partidos3]]="",DesarrolloPartidos[[#This Row],[Partidos4]],DesarrolloPartidos[[#This Row],[Partidos3]])</f>
        <v>4</v>
      </c>
      <c r="K565" t="str">
        <f>+DesarrolloPartidos[[#This Row],[Jugadores]]&amp;":"&amp;DesarrolloPartidos[[#This Row],[Orden]]</f>
        <v>35:14</v>
      </c>
    </row>
    <row r="566" spans="1:11">
      <c r="A566">
        <f t="shared" si="45"/>
        <v>35</v>
      </c>
      <c r="B566">
        <f t="shared" si="44"/>
        <v>9</v>
      </c>
      <c r="C566">
        <f t="shared" si="46"/>
        <v>1</v>
      </c>
      <c r="D566">
        <f t="shared" si="47"/>
        <v>8</v>
      </c>
      <c r="E566">
        <f t="shared" si="48"/>
        <v>15</v>
      </c>
      <c r="F566">
        <f>3*DesarrolloPartidos[[#This Row],[Partidos_3]]</f>
        <v>3</v>
      </c>
      <c r="G566">
        <f>IF(DesarrolloPartidos[[#This Row],[Partidos_3]]=0,0,ROUNDUP(DesarrolloPartidos[[#This Row],[Orden]]/DesarrolloPartidos[[#This Row],[JugEnPart3]]*DesarrolloPartidos[[#This Row],[Partidos_3]],0))</f>
        <v>5</v>
      </c>
      <c r="H566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566" t="str">
        <f>IF(AND(DesarrolloPartidos[[#This Row],[PartidosSolo3]]&lt;=DesarrolloPartidos[[#This Row],[Partidos_3]],DesarrolloPartidos[[#This Row],[PartidosSolo3]]&lt;&gt;0),DesarrolloPartidos[[#This Row],[PartidosSolo3]],"")</f>
        <v/>
      </c>
      <c r="J566">
        <f>+IF(DesarrolloPartidos[[#This Row],[Partidos3]]="",DesarrolloPartidos[[#This Row],[Partidos4]],DesarrolloPartidos[[#This Row],[Partidos3]])</f>
        <v>4</v>
      </c>
      <c r="K566" t="str">
        <f>+DesarrolloPartidos[[#This Row],[Jugadores]]&amp;":"&amp;DesarrolloPartidos[[#This Row],[Orden]]</f>
        <v>35:15</v>
      </c>
    </row>
    <row r="567" spans="1:11">
      <c r="A567">
        <f t="shared" si="45"/>
        <v>35</v>
      </c>
      <c r="B567">
        <f t="shared" si="44"/>
        <v>9</v>
      </c>
      <c r="C567">
        <f t="shared" si="46"/>
        <v>1</v>
      </c>
      <c r="D567">
        <f t="shared" si="47"/>
        <v>8</v>
      </c>
      <c r="E567">
        <f t="shared" si="48"/>
        <v>16</v>
      </c>
      <c r="F567">
        <f>3*DesarrolloPartidos[[#This Row],[Partidos_3]]</f>
        <v>3</v>
      </c>
      <c r="G567">
        <f>IF(DesarrolloPartidos[[#This Row],[Partidos_3]]=0,0,ROUNDUP(DesarrolloPartidos[[#This Row],[Orden]]/DesarrolloPartidos[[#This Row],[JugEnPart3]]*DesarrolloPartidos[[#This Row],[Partidos_3]],0))</f>
        <v>6</v>
      </c>
      <c r="H567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5</v>
      </c>
      <c r="I567" t="str">
        <f>IF(AND(DesarrolloPartidos[[#This Row],[PartidosSolo3]]&lt;=DesarrolloPartidos[[#This Row],[Partidos_3]],DesarrolloPartidos[[#This Row],[PartidosSolo3]]&lt;&gt;0),DesarrolloPartidos[[#This Row],[PartidosSolo3]],"")</f>
        <v/>
      </c>
      <c r="J567">
        <f>+IF(DesarrolloPartidos[[#This Row],[Partidos3]]="",DesarrolloPartidos[[#This Row],[Partidos4]],DesarrolloPartidos[[#This Row],[Partidos3]])</f>
        <v>5</v>
      </c>
      <c r="K567" t="str">
        <f>+DesarrolloPartidos[[#This Row],[Jugadores]]&amp;":"&amp;DesarrolloPartidos[[#This Row],[Orden]]</f>
        <v>35:16</v>
      </c>
    </row>
    <row r="568" spans="1:11">
      <c r="A568">
        <f t="shared" si="45"/>
        <v>35</v>
      </c>
      <c r="B568">
        <f t="shared" si="44"/>
        <v>9</v>
      </c>
      <c r="C568">
        <f t="shared" si="46"/>
        <v>1</v>
      </c>
      <c r="D568">
        <f t="shared" si="47"/>
        <v>8</v>
      </c>
      <c r="E568">
        <f t="shared" si="48"/>
        <v>17</v>
      </c>
      <c r="F568">
        <f>3*DesarrolloPartidos[[#This Row],[Partidos_3]]</f>
        <v>3</v>
      </c>
      <c r="G568">
        <f>IF(DesarrolloPartidos[[#This Row],[Partidos_3]]=0,0,ROUNDUP(DesarrolloPartidos[[#This Row],[Orden]]/DesarrolloPartidos[[#This Row],[JugEnPart3]]*DesarrolloPartidos[[#This Row],[Partidos_3]],0))</f>
        <v>6</v>
      </c>
      <c r="H568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5</v>
      </c>
      <c r="I568" t="str">
        <f>IF(AND(DesarrolloPartidos[[#This Row],[PartidosSolo3]]&lt;=DesarrolloPartidos[[#This Row],[Partidos_3]],DesarrolloPartidos[[#This Row],[PartidosSolo3]]&lt;&gt;0),DesarrolloPartidos[[#This Row],[PartidosSolo3]],"")</f>
        <v/>
      </c>
      <c r="J568">
        <f>+IF(DesarrolloPartidos[[#This Row],[Partidos3]]="",DesarrolloPartidos[[#This Row],[Partidos4]],DesarrolloPartidos[[#This Row],[Partidos3]])</f>
        <v>5</v>
      </c>
      <c r="K568" t="str">
        <f>+DesarrolloPartidos[[#This Row],[Jugadores]]&amp;":"&amp;DesarrolloPartidos[[#This Row],[Orden]]</f>
        <v>35:17</v>
      </c>
    </row>
    <row r="569" spans="1:11">
      <c r="A569">
        <f t="shared" si="45"/>
        <v>35</v>
      </c>
      <c r="B569">
        <f t="shared" si="44"/>
        <v>9</v>
      </c>
      <c r="C569">
        <f t="shared" si="46"/>
        <v>1</v>
      </c>
      <c r="D569">
        <f t="shared" si="47"/>
        <v>8</v>
      </c>
      <c r="E569">
        <f t="shared" si="48"/>
        <v>18</v>
      </c>
      <c r="F569">
        <f>3*DesarrolloPartidos[[#This Row],[Partidos_3]]</f>
        <v>3</v>
      </c>
      <c r="G569">
        <f>IF(DesarrolloPartidos[[#This Row],[Partidos_3]]=0,0,ROUNDUP(DesarrolloPartidos[[#This Row],[Orden]]/DesarrolloPartidos[[#This Row],[JugEnPart3]]*DesarrolloPartidos[[#This Row],[Partidos_3]],0))</f>
        <v>6</v>
      </c>
      <c r="H569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5</v>
      </c>
      <c r="I569" t="str">
        <f>IF(AND(DesarrolloPartidos[[#This Row],[PartidosSolo3]]&lt;=DesarrolloPartidos[[#This Row],[Partidos_3]],DesarrolloPartidos[[#This Row],[PartidosSolo3]]&lt;&gt;0),DesarrolloPartidos[[#This Row],[PartidosSolo3]],"")</f>
        <v/>
      </c>
      <c r="J569">
        <f>+IF(DesarrolloPartidos[[#This Row],[Partidos3]]="",DesarrolloPartidos[[#This Row],[Partidos4]],DesarrolloPartidos[[#This Row],[Partidos3]])</f>
        <v>5</v>
      </c>
      <c r="K569" t="str">
        <f>+DesarrolloPartidos[[#This Row],[Jugadores]]&amp;":"&amp;DesarrolloPartidos[[#This Row],[Orden]]</f>
        <v>35:18</v>
      </c>
    </row>
    <row r="570" spans="1:11">
      <c r="A570">
        <f t="shared" ref="A570:A581" si="49">+IF(ROW(A569)=1,10,IF(A569=E569,A569+1,A569))</f>
        <v>35</v>
      </c>
      <c r="B570">
        <f t="shared" si="44"/>
        <v>9</v>
      </c>
      <c r="C570">
        <f t="shared" ref="C570:C581" si="50">+(B570-A570/4)/0.25</f>
        <v>1</v>
      </c>
      <c r="D570">
        <f t="shared" ref="D570:D581" si="51">+B570-C570</f>
        <v>8</v>
      </c>
      <c r="E570">
        <f t="shared" ref="E570:E581" si="52">+IF(ROW(E569)=1,1,IF(E569=A569,1,E569+1))</f>
        <v>19</v>
      </c>
      <c r="F570">
        <f>3*DesarrolloPartidos[[#This Row],[Partidos_3]]</f>
        <v>3</v>
      </c>
      <c r="G570">
        <f>IF(DesarrolloPartidos[[#This Row],[Partidos_3]]=0,0,ROUNDUP(DesarrolloPartidos[[#This Row],[Orden]]/DesarrolloPartidos[[#This Row],[JugEnPart3]]*DesarrolloPartidos[[#This Row],[Partidos_3]],0))</f>
        <v>7</v>
      </c>
      <c r="H570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5</v>
      </c>
      <c r="I570" t="str">
        <f>IF(AND(DesarrolloPartidos[[#This Row],[PartidosSolo3]]&lt;=DesarrolloPartidos[[#This Row],[Partidos_3]],DesarrolloPartidos[[#This Row],[PartidosSolo3]]&lt;&gt;0),DesarrolloPartidos[[#This Row],[PartidosSolo3]],"")</f>
        <v/>
      </c>
      <c r="J570">
        <f>+IF(DesarrolloPartidos[[#This Row],[Partidos3]]="",DesarrolloPartidos[[#This Row],[Partidos4]],DesarrolloPartidos[[#This Row],[Partidos3]])</f>
        <v>5</v>
      </c>
      <c r="K570" t="str">
        <f>+DesarrolloPartidos[[#This Row],[Jugadores]]&amp;":"&amp;DesarrolloPartidos[[#This Row],[Orden]]</f>
        <v>35:19</v>
      </c>
    </row>
    <row r="571" spans="1:11">
      <c r="A571">
        <f t="shared" si="49"/>
        <v>35</v>
      </c>
      <c r="B571">
        <f t="shared" si="44"/>
        <v>9</v>
      </c>
      <c r="C571">
        <f t="shared" si="50"/>
        <v>1</v>
      </c>
      <c r="D571">
        <f t="shared" si="51"/>
        <v>8</v>
      </c>
      <c r="E571">
        <f t="shared" si="52"/>
        <v>20</v>
      </c>
      <c r="F571">
        <f>3*DesarrolloPartidos[[#This Row],[Partidos_3]]</f>
        <v>3</v>
      </c>
      <c r="G571">
        <f>IF(DesarrolloPartidos[[#This Row],[Partidos_3]]=0,0,ROUNDUP(DesarrolloPartidos[[#This Row],[Orden]]/DesarrolloPartidos[[#This Row],[JugEnPart3]]*DesarrolloPartidos[[#This Row],[Partidos_3]],0))</f>
        <v>7</v>
      </c>
      <c r="H571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6</v>
      </c>
      <c r="I571" t="str">
        <f>IF(AND(DesarrolloPartidos[[#This Row],[PartidosSolo3]]&lt;=DesarrolloPartidos[[#This Row],[Partidos_3]],DesarrolloPartidos[[#This Row],[PartidosSolo3]]&lt;&gt;0),DesarrolloPartidos[[#This Row],[PartidosSolo3]],"")</f>
        <v/>
      </c>
      <c r="J571">
        <f>+IF(DesarrolloPartidos[[#This Row],[Partidos3]]="",DesarrolloPartidos[[#This Row],[Partidos4]],DesarrolloPartidos[[#This Row],[Partidos3]])</f>
        <v>6</v>
      </c>
      <c r="K571" t="str">
        <f>+DesarrolloPartidos[[#This Row],[Jugadores]]&amp;":"&amp;DesarrolloPartidos[[#This Row],[Orden]]</f>
        <v>35:20</v>
      </c>
    </row>
    <row r="572" spans="1:11">
      <c r="A572">
        <f t="shared" si="49"/>
        <v>35</v>
      </c>
      <c r="B572">
        <f t="shared" si="44"/>
        <v>9</v>
      </c>
      <c r="C572">
        <f t="shared" si="50"/>
        <v>1</v>
      </c>
      <c r="D572">
        <f t="shared" si="51"/>
        <v>8</v>
      </c>
      <c r="E572">
        <f t="shared" si="52"/>
        <v>21</v>
      </c>
      <c r="F572">
        <f>3*DesarrolloPartidos[[#This Row],[Partidos_3]]</f>
        <v>3</v>
      </c>
      <c r="G572">
        <f>IF(DesarrolloPartidos[[#This Row],[Partidos_3]]=0,0,ROUNDUP(DesarrolloPartidos[[#This Row],[Orden]]/DesarrolloPartidos[[#This Row],[JugEnPart3]]*DesarrolloPartidos[[#This Row],[Partidos_3]],0))</f>
        <v>7</v>
      </c>
      <c r="H572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6</v>
      </c>
      <c r="I572" t="str">
        <f>IF(AND(DesarrolloPartidos[[#This Row],[PartidosSolo3]]&lt;=DesarrolloPartidos[[#This Row],[Partidos_3]],DesarrolloPartidos[[#This Row],[PartidosSolo3]]&lt;&gt;0),DesarrolloPartidos[[#This Row],[PartidosSolo3]],"")</f>
        <v/>
      </c>
      <c r="J572">
        <f>+IF(DesarrolloPartidos[[#This Row],[Partidos3]]="",DesarrolloPartidos[[#This Row],[Partidos4]],DesarrolloPartidos[[#This Row],[Partidos3]])</f>
        <v>6</v>
      </c>
      <c r="K572" t="str">
        <f>+DesarrolloPartidos[[#This Row],[Jugadores]]&amp;":"&amp;DesarrolloPartidos[[#This Row],[Orden]]</f>
        <v>35:21</v>
      </c>
    </row>
    <row r="573" spans="1:11">
      <c r="A573">
        <f t="shared" si="49"/>
        <v>35</v>
      </c>
      <c r="B573">
        <f t="shared" si="44"/>
        <v>9</v>
      </c>
      <c r="C573">
        <f t="shared" si="50"/>
        <v>1</v>
      </c>
      <c r="D573">
        <f t="shared" si="51"/>
        <v>8</v>
      </c>
      <c r="E573">
        <f t="shared" si="52"/>
        <v>22</v>
      </c>
      <c r="F573">
        <f>3*DesarrolloPartidos[[#This Row],[Partidos_3]]</f>
        <v>3</v>
      </c>
      <c r="G573">
        <f>IF(DesarrolloPartidos[[#This Row],[Partidos_3]]=0,0,ROUNDUP(DesarrolloPartidos[[#This Row],[Orden]]/DesarrolloPartidos[[#This Row],[JugEnPart3]]*DesarrolloPartidos[[#This Row],[Partidos_3]],0))</f>
        <v>8</v>
      </c>
      <c r="H573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6</v>
      </c>
      <c r="I573" t="str">
        <f>IF(AND(DesarrolloPartidos[[#This Row],[PartidosSolo3]]&lt;=DesarrolloPartidos[[#This Row],[Partidos_3]],DesarrolloPartidos[[#This Row],[PartidosSolo3]]&lt;&gt;0),DesarrolloPartidos[[#This Row],[PartidosSolo3]],"")</f>
        <v/>
      </c>
      <c r="J573">
        <f>+IF(DesarrolloPartidos[[#This Row],[Partidos3]]="",DesarrolloPartidos[[#This Row],[Partidos4]],DesarrolloPartidos[[#This Row],[Partidos3]])</f>
        <v>6</v>
      </c>
      <c r="K573" t="str">
        <f>+DesarrolloPartidos[[#This Row],[Jugadores]]&amp;":"&amp;DesarrolloPartidos[[#This Row],[Orden]]</f>
        <v>35:22</v>
      </c>
    </row>
    <row r="574" spans="1:11">
      <c r="A574">
        <f t="shared" si="49"/>
        <v>35</v>
      </c>
      <c r="B574">
        <f t="shared" si="44"/>
        <v>9</v>
      </c>
      <c r="C574">
        <f t="shared" si="50"/>
        <v>1</v>
      </c>
      <c r="D574">
        <f t="shared" si="51"/>
        <v>8</v>
      </c>
      <c r="E574">
        <f t="shared" si="52"/>
        <v>23</v>
      </c>
      <c r="F574">
        <f>3*DesarrolloPartidos[[#This Row],[Partidos_3]]</f>
        <v>3</v>
      </c>
      <c r="G574">
        <f>IF(DesarrolloPartidos[[#This Row],[Partidos_3]]=0,0,ROUNDUP(DesarrolloPartidos[[#This Row],[Orden]]/DesarrolloPartidos[[#This Row],[JugEnPart3]]*DesarrolloPartidos[[#This Row],[Partidos_3]],0))</f>
        <v>8</v>
      </c>
      <c r="H574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6</v>
      </c>
      <c r="I574" t="str">
        <f>IF(AND(DesarrolloPartidos[[#This Row],[PartidosSolo3]]&lt;=DesarrolloPartidos[[#This Row],[Partidos_3]],DesarrolloPartidos[[#This Row],[PartidosSolo3]]&lt;&gt;0),DesarrolloPartidos[[#This Row],[PartidosSolo3]],"")</f>
        <v/>
      </c>
      <c r="J574">
        <f>+IF(DesarrolloPartidos[[#This Row],[Partidos3]]="",DesarrolloPartidos[[#This Row],[Partidos4]],DesarrolloPartidos[[#This Row],[Partidos3]])</f>
        <v>6</v>
      </c>
      <c r="K574" t="str">
        <f>+DesarrolloPartidos[[#This Row],[Jugadores]]&amp;":"&amp;DesarrolloPartidos[[#This Row],[Orden]]</f>
        <v>35:23</v>
      </c>
    </row>
    <row r="575" spans="1:11">
      <c r="A575">
        <f t="shared" si="49"/>
        <v>35</v>
      </c>
      <c r="B575">
        <f t="shared" si="44"/>
        <v>9</v>
      </c>
      <c r="C575">
        <f t="shared" si="50"/>
        <v>1</v>
      </c>
      <c r="D575">
        <f t="shared" si="51"/>
        <v>8</v>
      </c>
      <c r="E575">
        <f t="shared" si="52"/>
        <v>24</v>
      </c>
      <c r="F575">
        <f>3*DesarrolloPartidos[[#This Row],[Partidos_3]]</f>
        <v>3</v>
      </c>
      <c r="G575">
        <f>IF(DesarrolloPartidos[[#This Row],[Partidos_3]]=0,0,ROUNDUP(DesarrolloPartidos[[#This Row],[Orden]]/DesarrolloPartidos[[#This Row],[JugEnPart3]]*DesarrolloPartidos[[#This Row],[Partidos_3]],0))</f>
        <v>8</v>
      </c>
      <c r="H575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7</v>
      </c>
      <c r="I575" t="str">
        <f>IF(AND(DesarrolloPartidos[[#This Row],[PartidosSolo3]]&lt;=DesarrolloPartidos[[#This Row],[Partidos_3]],DesarrolloPartidos[[#This Row],[PartidosSolo3]]&lt;&gt;0),DesarrolloPartidos[[#This Row],[PartidosSolo3]],"")</f>
        <v/>
      </c>
      <c r="J575">
        <f>+IF(DesarrolloPartidos[[#This Row],[Partidos3]]="",DesarrolloPartidos[[#This Row],[Partidos4]],DesarrolloPartidos[[#This Row],[Partidos3]])</f>
        <v>7</v>
      </c>
      <c r="K575" t="str">
        <f>+DesarrolloPartidos[[#This Row],[Jugadores]]&amp;":"&amp;DesarrolloPartidos[[#This Row],[Orden]]</f>
        <v>35:24</v>
      </c>
    </row>
    <row r="576" spans="1:11">
      <c r="A576">
        <f t="shared" si="49"/>
        <v>35</v>
      </c>
      <c r="B576">
        <f t="shared" si="44"/>
        <v>9</v>
      </c>
      <c r="C576">
        <f t="shared" si="50"/>
        <v>1</v>
      </c>
      <c r="D576">
        <f t="shared" si="51"/>
        <v>8</v>
      </c>
      <c r="E576">
        <f t="shared" si="52"/>
        <v>25</v>
      </c>
      <c r="F576">
        <f>3*DesarrolloPartidos[[#This Row],[Partidos_3]]</f>
        <v>3</v>
      </c>
      <c r="G576">
        <f>IF(DesarrolloPartidos[[#This Row],[Partidos_3]]=0,0,ROUNDUP(DesarrolloPartidos[[#This Row],[Orden]]/DesarrolloPartidos[[#This Row],[JugEnPart3]]*DesarrolloPartidos[[#This Row],[Partidos_3]],0))</f>
        <v>9</v>
      </c>
      <c r="H576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7</v>
      </c>
      <c r="I576" t="str">
        <f>IF(AND(DesarrolloPartidos[[#This Row],[PartidosSolo3]]&lt;=DesarrolloPartidos[[#This Row],[Partidos_3]],DesarrolloPartidos[[#This Row],[PartidosSolo3]]&lt;&gt;0),DesarrolloPartidos[[#This Row],[PartidosSolo3]],"")</f>
        <v/>
      </c>
      <c r="J576">
        <f>+IF(DesarrolloPartidos[[#This Row],[Partidos3]]="",DesarrolloPartidos[[#This Row],[Partidos4]],DesarrolloPartidos[[#This Row],[Partidos3]])</f>
        <v>7</v>
      </c>
      <c r="K576" t="str">
        <f>+DesarrolloPartidos[[#This Row],[Jugadores]]&amp;":"&amp;DesarrolloPartidos[[#This Row],[Orden]]</f>
        <v>35:25</v>
      </c>
    </row>
    <row r="577" spans="1:11">
      <c r="A577">
        <f t="shared" si="49"/>
        <v>35</v>
      </c>
      <c r="B577">
        <f t="shared" si="44"/>
        <v>9</v>
      </c>
      <c r="C577">
        <f t="shared" si="50"/>
        <v>1</v>
      </c>
      <c r="D577">
        <f t="shared" si="51"/>
        <v>8</v>
      </c>
      <c r="E577">
        <f t="shared" si="52"/>
        <v>26</v>
      </c>
      <c r="F577">
        <f>3*DesarrolloPartidos[[#This Row],[Partidos_3]]</f>
        <v>3</v>
      </c>
      <c r="G577">
        <f>IF(DesarrolloPartidos[[#This Row],[Partidos_3]]=0,0,ROUNDUP(DesarrolloPartidos[[#This Row],[Orden]]/DesarrolloPartidos[[#This Row],[JugEnPart3]]*DesarrolloPartidos[[#This Row],[Partidos_3]],0))</f>
        <v>9</v>
      </c>
      <c r="H577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7</v>
      </c>
      <c r="I577" t="str">
        <f>IF(AND(DesarrolloPartidos[[#This Row],[PartidosSolo3]]&lt;=DesarrolloPartidos[[#This Row],[Partidos_3]],DesarrolloPartidos[[#This Row],[PartidosSolo3]]&lt;&gt;0),DesarrolloPartidos[[#This Row],[PartidosSolo3]],"")</f>
        <v/>
      </c>
      <c r="J577">
        <f>+IF(DesarrolloPartidos[[#This Row],[Partidos3]]="",DesarrolloPartidos[[#This Row],[Partidos4]],DesarrolloPartidos[[#This Row],[Partidos3]])</f>
        <v>7</v>
      </c>
      <c r="K577" t="str">
        <f>+DesarrolloPartidos[[#This Row],[Jugadores]]&amp;":"&amp;DesarrolloPartidos[[#This Row],[Orden]]</f>
        <v>35:26</v>
      </c>
    </row>
    <row r="578" spans="1:11">
      <c r="A578">
        <f t="shared" si="49"/>
        <v>35</v>
      </c>
      <c r="B578">
        <f t="shared" si="44"/>
        <v>9</v>
      </c>
      <c r="C578">
        <f t="shared" si="50"/>
        <v>1</v>
      </c>
      <c r="D578">
        <f t="shared" si="51"/>
        <v>8</v>
      </c>
      <c r="E578">
        <f t="shared" si="52"/>
        <v>27</v>
      </c>
      <c r="F578">
        <f>3*DesarrolloPartidos[[#This Row],[Partidos_3]]</f>
        <v>3</v>
      </c>
      <c r="G578">
        <f>IF(DesarrolloPartidos[[#This Row],[Partidos_3]]=0,0,ROUNDUP(DesarrolloPartidos[[#This Row],[Orden]]/DesarrolloPartidos[[#This Row],[JugEnPart3]]*DesarrolloPartidos[[#This Row],[Partidos_3]],0))</f>
        <v>9</v>
      </c>
      <c r="H578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7</v>
      </c>
      <c r="I578" t="str">
        <f>IF(AND(DesarrolloPartidos[[#This Row],[PartidosSolo3]]&lt;=DesarrolloPartidos[[#This Row],[Partidos_3]],DesarrolloPartidos[[#This Row],[PartidosSolo3]]&lt;&gt;0),DesarrolloPartidos[[#This Row],[PartidosSolo3]],"")</f>
        <v/>
      </c>
      <c r="J578">
        <f>+IF(DesarrolloPartidos[[#This Row],[Partidos3]]="",DesarrolloPartidos[[#This Row],[Partidos4]],DesarrolloPartidos[[#This Row],[Partidos3]])</f>
        <v>7</v>
      </c>
      <c r="K578" t="str">
        <f>+DesarrolloPartidos[[#This Row],[Jugadores]]&amp;":"&amp;DesarrolloPartidos[[#This Row],[Orden]]</f>
        <v>35:27</v>
      </c>
    </row>
    <row r="579" spans="1:11">
      <c r="A579">
        <f t="shared" si="49"/>
        <v>35</v>
      </c>
      <c r="B579">
        <f t="shared" ref="B579:B642" si="53">+ROUNDUP(A579/4,0)</f>
        <v>9</v>
      </c>
      <c r="C579">
        <f t="shared" si="50"/>
        <v>1</v>
      </c>
      <c r="D579">
        <f t="shared" si="51"/>
        <v>8</v>
      </c>
      <c r="E579">
        <f t="shared" si="52"/>
        <v>28</v>
      </c>
      <c r="F579">
        <f>3*DesarrolloPartidos[[#This Row],[Partidos_3]]</f>
        <v>3</v>
      </c>
      <c r="G579">
        <f>IF(DesarrolloPartidos[[#This Row],[Partidos_3]]=0,0,ROUNDUP(DesarrolloPartidos[[#This Row],[Orden]]/DesarrolloPartidos[[#This Row],[JugEnPart3]]*DesarrolloPartidos[[#This Row],[Partidos_3]],0))</f>
        <v>10</v>
      </c>
      <c r="H579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8</v>
      </c>
      <c r="I579" t="str">
        <f>IF(AND(DesarrolloPartidos[[#This Row],[PartidosSolo3]]&lt;=DesarrolloPartidos[[#This Row],[Partidos_3]],DesarrolloPartidos[[#This Row],[PartidosSolo3]]&lt;&gt;0),DesarrolloPartidos[[#This Row],[PartidosSolo3]],"")</f>
        <v/>
      </c>
      <c r="J579">
        <f>+IF(DesarrolloPartidos[[#This Row],[Partidos3]]="",DesarrolloPartidos[[#This Row],[Partidos4]],DesarrolloPartidos[[#This Row],[Partidos3]])</f>
        <v>8</v>
      </c>
      <c r="K579" t="str">
        <f>+DesarrolloPartidos[[#This Row],[Jugadores]]&amp;":"&amp;DesarrolloPartidos[[#This Row],[Orden]]</f>
        <v>35:28</v>
      </c>
    </row>
    <row r="580" spans="1:11">
      <c r="A580">
        <f t="shared" si="49"/>
        <v>35</v>
      </c>
      <c r="B580">
        <f t="shared" si="53"/>
        <v>9</v>
      </c>
      <c r="C580">
        <f t="shared" si="50"/>
        <v>1</v>
      </c>
      <c r="D580">
        <f t="shared" si="51"/>
        <v>8</v>
      </c>
      <c r="E580">
        <f t="shared" si="52"/>
        <v>29</v>
      </c>
      <c r="F580">
        <f>3*DesarrolloPartidos[[#This Row],[Partidos_3]]</f>
        <v>3</v>
      </c>
      <c r="G580">
        <f>IF(DesarrolloPartidos[[#This Row],[Partidos_3]]=0,0,ROUNDUP(DesarrolloPartidos[[#This Row],[Orden]]/DesarrolloPartidos[[#This Row],[JugEnPart3]]*DesarrolloPartidos[[#This Row],[Partidos_3]],0))</f>
        <v>10</v>
      </c>
      <c r="H580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8</v>
      </c>
      <c r="I580" t="str">
        <f>IF(AND(DesarrolloPartidos[[#This Row],[PartidosSolo3]]&lt;=DesarrolloPartidos[[#This Row],[Partidos_3]],DesarrolloPartidos[[#This Row],[PartidosSolo3]]&lt;&gt;0),DesarrolloPartidos[[#This Row],[PartidosSolo3]],"")</f>
        <v/>
      </c>
      <c r="J580">
        <f>+IF(DesarrolloPartidos[[#This Row],[Partidos3]]="",DesarrolloPartidos[[#This Row],[Partidos4]],DesarrolloPartidos[[#This Row],[Partidos3]])</f>
        <v>8</v>
      </c>
      <c r="K580" t="str">
        <f>+DesarrolloPartidos[[#This Row],[Jugadores]]&amp;":"&amp;DesarrolloPartidos[[#This Row],[Orden]]</f>
        <v>35:29</v>
      </c>
    </row>
    <row r="581" spans="1:11">
      <c r="A581">
        <f t="shared" si="49"/>
        <v>35</v>
      </c>
      <c r="B581">
        <f t="shared" si="53"/>
        <v>9</v>
      </c>
      <c r="C581">
        <f t="shared" si="50"/>
        <v>1</v>
      </c>
      <c r="D581">
        <f t="shared" si="51"/>
        <v>8</v>
      </c>
      <c r="E581">
        <f t="shared" si="52"/>
        <v>30</v>
      </c>
      <c r="F581">
        <f>3*DesarrolloPartidos[[#This Row],[Partidos_3]]</f>
        <v>3</v>
      </c>
      <c r="G581">
        <f>IF(DesarrolloPartidos[[#This Row],[Partidos_3]]=0,0,ROUNDUP(DesarrolloPartidos[[#This Row],[Orden]]/DesarrolloPartidos[[#This Row],[JugEnPart3]]*DesarrolloPartidos[[#This Row],[Partidos_3]],0))</f>
        <v>10</v>
      </c>
      <c r="H581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8</v>
      </c>
      <c r="I581" t="str">
        <f>IF(AND(DesarrolloPartidos[[#This Row],[PartidosSolo3]]&lt;=DesarrolloPartidos[[#This Row],[Partidos_3]],DesarrolloPartidos[[#This Row],[PartidosSolo3]]&lt;&gt;0),DesarrolloPartidos[[#This Row],[PartidosSolo3]],"")</f>
        <v/>
      </c>
      <c r="J581">
        <f>+IF(DesarrolloPartidos[[#This Row],[Partidos3]]="",DesarrolloPartidos[[#This Row],[Partidos4]],DesarrolloPartidos[[#This Row],[Partidos3]])</f>
        <v>8</v>
      </c>
      <c r="K581" t="str">
        <f>+DesarrolloPartidos[[#This Row],[Jugadores]]&amp;":"&amp;DesarrolloPartidos[[#This Row],[Orden]]</f>
        <v>35:30</v>
      </c>
    </row>
    <row r="582" spans="1:11">
      <c r="A582">
        <f t="shared" ref="A582:A610" si="54">+IF(ROW(A581)=1,10,IF(A581=E581,A581+1,A581))</f>
        <v>35</v>
      </c>
      <c r="B582">
        <f t="shared" si="53"/>
        <v>9</v>
      </c>
      <c r="C582">
        <f t="shared" ref="C582:C610" si="55">+(B582-A582/4)/0.25</f>
        <v>1</v>
      </c>
      <c r="D582">
        <f t="shared" ref="D582:D610" si="56">+B582-C582</f>
        <v>8</v>
      </c>
      <c r="E582">
        <f t="shared" ref="E582:E610" si="57">+IF(ROW(E581)=1,1,IF(E581=A581,1,E581+1))</f>
        <v>31</v>
      </c>
      <c r="F582">
        <f>3*DesarrolloPartidos[[#This Row],[Partidos_3]]</f>
        <v>3</v>
      </c>
      <c r="G582">
        <f>IF(DesarrolloPartidos[[#This Row],[Partidos_3]]=0,0,ROUNDUP(DesarrolloPartidos[[#This Row],[Orden]]/DesarrolloPartidos[[#This Row],[JugEnPart3]]*DesarrolloPartidos[[#This Row],[Partidos_3]],0))</f>
        <v>11</v>
      </c>
      <c r="H582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8</v>
      </c>
      <c r="I582" t="str">
        <f>IF(AND(DesarrolloPartidos[[#This Row],[PartidosSolo3]]&lt;=DesarrolloPartidos[[#This Row],[Partidos_3]],DesarrolloPartidos[[#This Row],[PartidosSolo3]]&lt;&gt;0),DesarrolloPartidos[[#This Row],[PartidosSolo3]],"")</f>
        <v/>
      </c>
      <c r="J582">
        <f>+IF(DesarrolloPartidos[[#This Row],[Partidos3]]="",DesarrolloPartidos[[#This Row],[Partidos4]],DesarrolloPartidos[[#This Row],[Partidos3]])</f>
        <v>8</v>
      </c>
      <c r="K582" t="str">
        <f>+DesarrolloPartidos[[#This Row],[Jugadores]]&amp;":"&amp;DesarrolloPartidos[[#This Row],[Orden]]</f>
        <v>35:31</v>
      </c>
    </row>
    <row r="583" spans="1:11">
      <c r="A583">
        <f t="shared" si="54"/>
        <v>35</v>
      </c>
      <c r="B583">
        <f t="shared" si="53"/>
        <v>9</v>
      </c>
      <c r="C583">
        <f t="shared" si="55"/>
        <v>1</v>
      </c>
      <c r="D583">
        <f t="shared" si="56"/>
        <v>8</v>
      </c>
      <c r="E583">
        <f t="shared" si="57"/>
        <v>32</v>
      </c>
      <c r="F583">
        <f>3*DesarrolloPartidos[[#This Row],[Partidos_3]]</f>
        <v>3</v>
      </c>
      <c r="G583">
        <f>IF(DesarrolloPartidos[[#This Row],[Partidos_3]]=0,0,ROUNDUP(DesarrolloPartidos[[#This Row],[Orden]]/DesarrolloPartidos[[#This Row],[JugEnPart3]]*DesarrolloPartidos[[#This Row],[Partidos_3]],0))</f>
        <v>11</v>
      </c>
      <c r="H583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9</v>
      </c>
      <c r="I583" t="str">
        <f>IF(AND(DesarrolloPartidos[[#This Row],[PartidosSolo3]]&lt;=DesarrolloPartidos[[#This Row],[Partidos_3]],DesarrolloPartidos[[#This Row],[PartidosSolo3]]&lt;&gt;0),DesarrolloPartidos[[#This Row],[PartidosSolo3]],"")</f>
        <v/>
      </c>
      <c r="J583">
        <f>+IF(DesarrolloPartidos[[#This Row],[Partidos3]]="",DesarrolloPartidos[[#This Row],[Partidos4]],DesarrolloPartidos[[#This Row],[Partidos3]])</f>
        <v>9</v>
      </c>
      <c r="K583" t="str">
        <f>+DesarrolloPartidos[[#This Row],[Jugadores]]&amp;":"&amp;DesarrolloPartidos[[#This Row],[Orden]]</f>
        <v>35:32</v>
      </c>
    </row>
    <row r="584" spans="1:11">
      <c r="A584">
        <f t="shared" si="54"/>
        <v>35</v>
      </c>
      <c r="B584">
        <f t="shared" si="53"/>
        <v>9</v>
      </c>
      <c r="C584">
        <f t="shared" si="55"/>
        <v>1</v>
      </c>
      <c r="D584">
        <f t="shared" si="56"/>
        <v>8</v>
      </c>
      <c r="E584">
        <f t="shared" si="57"/>
        <v>33</v>
      </c>
      <c r="F584">
        <f>3*DesarrolloPartidos[[#This Row],[Partidos_3]]</f>
        <v>3</v>
      </c>
      <c r="G584">
        <f>IF(DesarrolloPartidos[[#This Row],[Partidos_3]]=0,0,ROUNDUP(DesarrolloPartidos[[#This Row],[Orden]]/DesarrolloPartidos[[#This Row],[JugEnPart3]]*DesarrolloPartidos[[#This Row],[Partidos_3]],0))</f>
        <v>11</v>
      </c>
      <c r="H584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9</v>
      </c>
      <c r="I584" t="str">
        <f>IF(AND(DesarrolloPartidos[[#This Row],[PartidosSolo3]]&lt;=DesarrolloPartidos[[#This Row],[Partidos_3]],DesarrolloPartidos[[#This Row],[PartidosSolo3]]&lt;&gt;0),DesarrolloPartidos[[#This Row],[PartidosSolo3]],"")</f>
        <v/>
      </c>
      <c r="J584">
        <f>+IF(DesarrolloPartidos[[#This Row],[Partidos3]]="",DesarrolloPartidos[[#This Row],[Partidos4]],DesarrolloPartidos[[#This Row],[Partidos3]])</f>
        <v>9</v>
      </c>
      <c r="K584" t="str">
        <f>+DesarrolloPartidos[[#This Row],[Jugadores]]&amp;":"&amp;DesarrolloPartidos[[#This Row],[Orden]]</f>
        <v>35:33</v>
      </c>
    </row>
    <row r="585" spans="1:11">
      <c r="A585">
        <f t="shared" si="54"/>
        <v>35</v>
      </c>
      <c r="B585">
        <f t="shared" si="53"/>
        <v>9</v>
      </c>
      <c r="C585">
        <f t="shared" si="55"/>
        <v>1</v>
      </c>
      <c r="D585">
        <f t="shared" si="56"/>
        <v>8</v>
      </c>
      <c r="E585">
        <f t="shared" si="57"/>
        <v>34</v>
      </c>
      <c r="F585">
        <f>3*DesarrolloPartidos[[#This Row],[Partidos_3]]</f>
        <v>3</v>
      </c>
      <c r="G585">
        <f>IF(DesarrolloPartidos[[#This Row],[Partidos_3]]=0,0,ROUNDUP(DesarrolloPartidos[[#This Row],[Orden]]/DesarrolloPartidos[[#This Row],[JugEnPart3]]*DesarrolloPartidos[[#This Row],[Partidos_3]],0))</f>
        <v>12</v>
      </c>
      <c r="H585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9</v>
      </c>
      <c r="I585" t="str">
        <f>IF(AND(DesarrolloPartidos[[#This Row],[PartidosSolo3]]&lt;=DesarrolloPartidos[[#This Row],[Partidos_3]],DesarrolloPartidos[[#This Row],[PartidosSolo3]]&lt;&gt;0),DesarrolloPartidos[[#This Row],[PartidosSolo3]],"")</f>
        <v/>
      </c>
      <c r="J585">
        <f>+IF(DesarrolloPartidos[[#This Row],[Partidos3]]="",DesarrolloPartidos[[#This Row],[Partidos4]],DesarrolloPartidos[[#This Row],[Partidos3]])</f>
        <v>9</v>
      </c>
      <c r="K585" t="str">
        <f>+DesarrolloPartidos[[#This Row],[Jugadores]]&amp;":"&amp;DesarrolloPartidos[[#This Row],[Orden]]</f>
        <v>35:34</v>
      </c>
    </row>
    <row r="586" spans="1:11">
      <c r="A586">
        <f t="shared" si="54"/>
        <v>35</v>
      </c>
      <c r="B586">
        <f t="shared" si="53"/>
        <v>9</v>
      </c>
      <c r="C586">
        <f t="shared" si="55"/>
        <v>1</v>
      </c>
      <c r="D586">
        <f t="shared" si="56"/>
        <v>8</v>
      </c>
      <c r="E586">
        <f t="shared" si="57"/>
        <v>35</v>
      </c>
      <c r="F586">
        <f>3*DesarrolloPartidos[[#This Row],[Partidos_3]]</f>
        <v>3</v>
      </c>
      <c r="G586">
        <f>IF(DesarrolloPartidos[[#This Row],[Partidos_3]]=0,0,ROUNDUP(DesarrolloPartidos[[#This Row],[Orden]]/DesarrolloPartidos[[#This Row],[JugEnPart3]]*DesarrolloPartidos[[#This Row],[Partidos_3]],0))</f>
        <v>12</v>
      </c>
      <c r="H586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9</v>
      </c>
      <c r="I586" t="str">
        <f>IF(AND(DesarrolloPartidos[[#This Row],[PartidosSolo3]]&lt;=DesarrolloPartidos[[#This Row],[Partidos_3]],DesarrolloPartidos[[#This Row],[PartidosSolo3]]&lt;&gt;0),DesarrolloPartidos[[#This Row],[PartidosSolo3]],"")</f>
        <v/>
      </c>
      <c r="J586">
        <f>+IF(DesarrolloPartidos[[#This Row],[Partidos3]]="",DesarrolloPartidos[[#This Row],[Partidos4]],DesarrolloPartidos[[#This Row],[Partidos3]])</f>
        <v>9</v>
      </c>
      <c r="K586" t="str">
        <f>+DesarrolloPartidos[[#This Row],[Jugadores]]&amp;":"&amp;DesarrolloPartidos[[#This Row],[Orden]]</f>
        <v>35:35</v>
      </c>
    </row>
    <row r="587" spans="1:11">
      <c r="A587">
        <f t="shared" si="54"/>
        <v>36</v>
      </c>
      <c r="B587">
        <f t="shared" si="53"/>
        <v>9</v>
      </c>
      <c r="C587">
        <f t="shared" si="55"/>
        <v>0</v>
      </c>
      <c r="D587">
        <f t="shared" si="56"/>
        <v>9</v>
      </c>
      <c r="E587">
        <f t="shared" si="57"/>
        <v>1</v>
      </c>
      <c r="F587">
        <f>3*DesarrolloPartidos[[#This Row],[Partidos_3]]</f>
        <v>0</v>
      </c>
      <c r="G587">
        <f>IF(DesarrolloPartidos[[#This Row],[Partidos_3]]=0,0,ROUNDUP(DesarrolloPartidos[[#This Row],[Orden]]/DesarrolloPartidos[[#This Row],[JugEnPart3]]*DesarrolloPartidos[[#This Row],[Partidos_3]],0))</f>
        <v>0</v>
      </c>
      <c r="H587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1</v>
      </c>
      <c r="I587" t="str">
        <f>IF(AND(DesarrolloPartidos[[#This Row],[PartidosSolo3]]&lt;=DesarrolloPartidos[[#This Row],[Partidos_3]],DesarrolloPartidos[[#This Row],[PartidosSolo3]]&lt;&gt;0),DesarrolloPartidos[[#This Row],[PartidosSolo3]],"")</f>
        <v/>
      </c>
      <c r="J587">
        <f>+IF(DesarrolloPartidos[[#This Row],[Partidos3]]="",DesarrolloPartidos[[#This Row],[Partidos4]],DesarrolloPartidos[[#This Row],[Partidos3]])</f>
        <v>1</v>
      </c>
      <c r="K587" t="str">
        <f>+DesarrolloPartidos[[#This Row],[Jugadores]]&amp;":"&amp;DesarrolloPartidos[[#This Row],[Orden]]</f>
        <v>36:1</v>
      </c>
    </row>
    <row r="588" spans="1:11">
      <c r="A588">
        <f t="shared" si="54"/>
        <v>36</v>
      </c>
      <c r="B588">
        <f t="shared" si="53"/>
        <v>9</v>
      </c>
      <c r="C588">
        <f t="shared" si="55"/>
        <v>0</v>
      </c>
      <c r="D588">
        <f t="shared" si="56"/>
        <v>9</v>
      </c>
      <c r="E588">
        <f t="shared" si="57"/>
        <v>2</v>
      </c>
      <c r="F588">
        <f>3*DesarrolloPartidos[[#This Row],[Partidos_3]]</f>
        <v>0</v>
      </c>
      <c r="G588">
        <f>IF(DesarrolloPartidos[[#This Row],[Partidos_3]]=0,0,ROUNDUP(DesarrolloPartidos[[#This Row],[Orden]]/DesarrolloPartidos[[#This Row],[JugEnPart3]]*DesarrolloPartidos[[#This Row],[Partidos_3]],0))</f>
        <v>0</v>
      </c>
      <c r="H588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1</v>
      </c>
      <c r="I588" t="str">
        <f>IF(AND(DesarrolloPartidos[[#This Row],[PartidosSolo3]]&lt;=DesarrolloPartidos[[#This Row],[Partidos_3]],DesarrolloPartidos[[#This Row],[PartidosSolo3]]&lt;&gt;0),DesarrolloPartidos[[#This Row],[PartidosSolo3]],"")</f>
        <v/>
      </c>
      <c r="J588">
        <f>+IF(DesarrolloPartidos[[#This Row],[Partidos3]]="",DesarrolloPartidos[[#This Row],[Partidos4]],DesarrolloPartidos[[#This Row],[Partidos3]])</f>
        <v>1</v>
      </c>
      <c r="K588" t="str">
        <f>+DesarrolloPartidos[[#This Row],[Jugadores]]&amp;":"&amp;DesarrolloPartidos[[#This Row],[Orden]]</f>
        <v>36:2</v>
      </c>
    </row>
    <row r="589" spans="1:11">
      <c r="A589">
        <f t="shared" si="54"/>
        <v>36</v>
      </c>
      <c r="B589">
        <f t="shared" si="53"/>
        <v>9</v>
      </c>
      <c r="C589">
        <f t="shared" si="55"/>
        <v>0</v>
      </c>
      <c r="D589">
        <f t="shared" si="56"/>
        <v>9</v>
      </c>
      <c r="E589">
        <f t="shared" si="57"/>
        <v>3</v>
      </c>
      <c r="F589">
        <f>3*DesarrolloPartidos[[#This Row],[Partidos_3]]</f>
        <v>0</v>
      </c>
      <c r="G589">
        <f>IF(DesarrolloPartidos[[#This Row],[Partidos_3]]=0,0,ROUNDUP(DesarrolloPartidos[[#This Row],[Orden]]/DesarrolloPartidos[[#This Row],[JugEnPart3]]*DesarrolloPartidos[[#This Row],[Partidos_3]],0))</f>
        <v>0</v>
      </c>
      <c r="H589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1</v>
      </c>
      <c r="I589" t="str">
        <f>IF(AND(DesarrolloPartidos[[#This Row],[PartidosSolo3]]&lt;=DesarrolloPartidos[[#This Row],[Partidos_3]],DesarrolloPartidos[[#This Row],[PartidosSolo3]]&lt;&gt;0),DesarrolloPartidos[[#This Row],[PartidosSolo3]],"")</f>
        <v/>
      </c>
      <c r="J589">
        <f>+IF(DesarrolloPartidos[[#This Row],[Partidos3]]="",DesarrolloPartidos[[#This Row],[Partidos4]],DesarrolloPartidos[[#This Row],[Partidos3]])</f>
        <v>1</v>
      </c>
      <c r="K589" t="str">
        <f>+DesarrolloPartidos[[#This Row],[Jugadores]]&amp;":"&amp;DesarrolloPartidos[[#This Row],[Orden]]</f>
        <v>36:3</v>
      </c>
    </row>
    <row r="590" spans="1:11">
      <c r="A590">
        <f t="shared" si="54"/>
        <v>36</v>
      </c>
      <c r="B590">
        <f t="shared" si="53"/>
        <v>9</v>
      </c>
      <c r="C590">
        <f t="shared" si="55"/>
        <v>0</v>
      </c>
      <c r="D590">
        <f t="shared" si="56"/>
        <v>9</v>
      </c>
      <c r="E590">
        <f t="shared" si="57"/>
        <v>4</v>
      </c>
      <c r="F590">
        <f>3*DesarrolloPartidos[[#This Row],[Partidos_3]]</f>
        <v>0</v>
      </c>
      <c r="G590">
        <f>IF(DesarrolloPartidos[[#This Row],[Partidos_3]]=0,0,ROUNDUP(DesarrolloPartidos[[#This Row],[Orden]]/DesarrolloPartidos[[#This Row],[JugEnPart3]]*DesarrolloPartidos[[#This Row],[Partidos_3]],0))</f>
        <v>0</v>
      </c>
      <c r="H590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1</v>
      </c>
      <c r="I590" t="str">
        <f>IF(AND(DesarrolloPartidos[[#This Row],[PartidosSolo3]]&lt;=DesarrolloPartidos[[#This Row],[Partidos_3]],DesarrolloPartidos[[#This Row],[PartidosSolo3]]&lt;&gt;0),DesarrolloPartidos[[#This Row],[PartidosSolo3]],"")</f>
        <v/>
      </c>
      <c r="J590">
        <f>+IF(DesarrolloPartidos[[#This Row],[Partidos3]]="",DesarrolloPartidos[[#This Row],[Partidos4]],DesarrolloPartidos[[#This Row],[Partidos3]])</f>
        <v>1</v>
      </c>
      <c r="K590" t="str">
        <f>+DesarrolloPartidos[[#This Row],[Jugadores]]&amp;":"&amp;DesarrolloPartidos[[#This Row],[Orden]]</f>
        <v>36:4</v>
      </c>
    </row>
    <row r="591" spans="1:11">
      <c r="A591">
        <f t="shared" si="54"/>
        <v>36</v>
      </c>
      <c r="B591">
        <f t="shared" si="53"/>
        <v>9</v>
      </c>
      <c r="C591">
        <f t="shared" si="55"/>
        <v>0</v>
      </c>
      <c r="D591">
        <f t="shared" si="56"/>
        <v>9</v>
      </c>
      <c r="E591">
        <f t="shared" si="57"/>
        <v>5</v>
      </c>
      <c r="F591">
        <f>3*DesarrolloPartidos[[#This Row],[Partidos_3]]</f>
        <v>0</v>
      </c>
      <c r="G591">
        <f>IF(DesarrolloPartidos[[#This Row],[Partidos_3]]=0,0,ROUNDUP(DesarrolloPartidos[[#This Row],[Orden]]/DesarrolloPartidos[[#This Row],[JugEnPart3]]*DesarrolloPartidos[[#This Row],[Partidos_3]],0))</f>
        <v>0</v>
      </c>
      <c r="H591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2</v>
      </c>
      <c r="I591" t="str">
        <f>IF(AND(DesarrolloPartidos[[#This Row],[PartidosSolo3]]&lt;=DesarrolloPartidos[[#This Row],[Partidos_3]],DesarrolloPartidos[[#This Row],[PartidosSolo3]]&lt;&gt;0),DesarrolloPartidos[[#This Row],[PartidosSolo3]],"")</f>
        <v/>
      </c>
      <c r="J591">
        <f>+IF(DesarrolloPartidos[[#This Row],[Partidos3]]="",DesarrolloPartidos[[#This Row],[Partidos4]],DesarrolloPartidos[[#This Row],[Partidos3]])</f>
        <v>2</v>
      </c>
      <c r="K591" t="str">
        <f>+DesarrolloPartidos[[#This Row],[Jugadores]]&amp;":"&amp;DesarrolloPartidos[[#This Row],[Orden]]</f>
        <v>36:5</v>
      </c>
    </row>
    <row r="592" spans="1:11">
      <c r="A592">
        <f t="shared" si="54"/>
        <v>36</v>
      </c>
      <c r="B592">
        <f t="shared" si="53"/>
        <v>9</v>
      </c>
      <c r="C592">
        <f t="shared" si="55"/>
        <v>0</v>
      </c>
      <c r="D592">
        <f t="shared" si="56"/>
        <v>9</v>
      </c>
      <c r="E592">
        <f t="shared" si="57"/>
        <v>6</v>
      </c>
      <c r="F592">
        <f>3*DesarrolloPartidos[[#This Row],[Partidos_3]]</f>
        <v>0</v>
      </c>
      <c r="G592">
        <f>IF(DesarrolloPartidos[[#This Row],[Partidos_3]]=0,0,ROUNDUP(DesarrolloPartidos[[#This Row],[Orden]]/DesarrolloPartidos[[#This Row],[JugEnPart3]]*DesarrolloPartidos[[#This Row],[Partidos_3]],0))</f>
        <v>0</v>
      </c>
      <c r="H592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2</v>
      </c>
      <c r="I592" t="str">
        <f>IF(AND(DesarrolloPartidos[[#This Row],[PartidosSolo3]]&lt;=DesarrolloPartidos[[#This Row],[Partidos_3]],DesarrolloPartidos[[#This Row],[PartidosSolo3]]&lt;&gt;0),DesarrolloPartidos[[#This Row],[PartidosSolo3]],"")</f>
        <v/>
      </c>
      <c r="J592">
        <f>+IF(DesarrolloPartidos[[#This Row],[Partidos3]]="",DesarrolloPartidos[[#This Row],[Partidos4]],DesarrolloPartidos[[#This Row],[Partidos3]])</f>
        <v>2</v>
      </c>
      <c r="K592" t="str">
        <f>+DesarrolloPartidos[[#This Row],[Jugadores]]&amp;":"&amp;DesarrolloPartidos[[#This Row],[Orden]]</f>
        <v>36:6</v>
      </c>
    </row>
    <row r="593" spans="1:11">
      <c r="A593">
        <f t="shared" si="54"/>
        <v>36</v>
      </c>
      <c r="B593">
        <f t="shared" si="53"/>
        <v>9</v>
      </c>
      <c r="C593">
        <f t="shared" si="55"/>
        <v>0</v>
      </c>
      <c r="D593">
        <f t="shared" si="56"/>
        <v>9</v>
      </c>
      <c r="E593">
        <f t="shared" si="57"/>
        <v>7</v>
      </c>
      <c r="F593">
        <f>3*DesarrolloPartidos[[#This Row],[Partidos_3]]</f>
        <v>0</v>
      </c>
      <c r="G593">
        <f>IF(DesarrolloPartidos[[#This Row],[Partidos_3]]=0,0,ROUNDUP(DesarrolloPartidos[[#This Row],[Orden]]/DesarrolloPartidos[[#This Row],[JugEnPart3]]*DesarrolloPartidos[[#This Row],[Partidos_3]],0))</f>
        <v>0</v>
      </c>
      <c r="H593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2</v>
      </c>
      <c r="I593" t="str">
        <f>IF(AND(DesarrolloPartidos[[#This Row],[PartidosSolo3]]&lt;=DesarrolloPartidos[[#This Row],[Partidos_3]],DesarrolloPartidos[[#This Row],[PartidosSolo3]]&lt;&gt;0),DesarrolloPartidos[[#This Row],[PartidosSolo3]],"")</f>
        <v/>
      </c>
      <c r="J593">
        <f>+IF(DesarrolloPartidos[[#This Row],[Partidos3]]="",DesarrolloPartidos[[#This Row],[Partidos4]],DesarrolloPartidos[[#This Row],[Partidos3]])</f>
        <v>2</v>
      </c>
      <c r="K593" t="str">
        <f>+DesarrolloPartidos[[#This Row],[Jugadores]]&amp;":"&amp;DesarrolloPartidos[[#This Row],[Orden]]</f>
        <v>36:7</v>
      </c>
    </row>
    <row r="594" spans="1:11">
      <c r="A594">
        <f t="shared" si="54"/>
        <v>36</v>
      </c>
      <c r="B594">
        <f t="shared" si="53"/>
        <v>9</v>
      </c>
      <c r="C594">
        <f t="shared" si="55"/>
        <v>0</v>
      </c>
      <c r="D594">
        <f t="shared" si="56"/>
        <v>9</v>
      </c>
      <c r="E594">
        <f t="shared" si="57"/>
        <v>8</v>
      </c>
      <c r="F594">
        <f>3*DesarrolloPartidos[[#This Row],[Partidos_3]]</f>
        <v>0</v>
      </c>
      <c r="G594">
        <f>IF(DesarrolloPartidos[[#This Row],[Partidos_3]]=0,0,ROUNDUP(DesarrolloPartidos[[#This Row],[Orden]]/DesarrolloPartidos[[#This Row],[JugEnPart3]]*DesarrolloPartidos[[#This Row],[Partidos_3]],0))</f>
        <v>0</v>
      </c>
      <c r="H594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2</v>
      </c>
      <c r="I594" t="str">
        <f>IF(AND(DesarrolloPartidos[[#This Row],[PartidosSolo3]]&lt;=DesarrolloPartidos[[#This Row],[Partidos_3]],DesarrolloPartidos[[#This Row],[PartidosSolo3]]&lt;&gt;0),DesarrolloPartidos[[#This Row],[PartidosSolo3]],"")</f>
        <v/>
      </c>
      <c r="J594">
        <f>+IF(DesarrolloPartidos[[#This Row],[Partidos3]]="",DesarrolloPartidos[[#This Row],[Partidos4]],DesarrolloPartidos[[#This Row],[Partidos3]])</f>
        <v>2</v>
      </c>
      <c r="K594" t="str">
        <f>+DesarrolloPartidos[[#This Row],[Jugadores]]&amp;":"&amp;DesarrolloPartidos[[#This Row],[Orden]]</f>
        <v>36:8</v>
      </c>
    </row>
    <row r="595" spans="1:11">
      <c r="A595">
        <f t="shared" si="54"/>
        <v>36</v>
      </c>
      <c r="B595">
        <f t="shared" si="53"/>
        <v>9</v>
      </c>
      <c r="C595">
        <f t="shared" si="55"/>
        <v>0</v>
      </c>
      <c r="D595">
        <f t="shared" si="56"/>
        <v>9</v>
      </c>
      <c r="E595">
        <f t="shared" si="57"/>
        <v>9</v>
      </c>
      <c r="F595">
        <f>3*DesarrolloPartidos[[#This Row],[Partidos_3]]</f>
        <v>0</v>
      </c>
      <c r="G595">
        <f>IF(DesarrolloPartidos[[#This Row],[Partidos_3]]=0,0,ROUNDUP(DesarrolloPartidos[[#This Row],[Orden]]/DesarrolloPartidos[[#This Row],[JugEnPart3]]*DesarrolloPartidos[[#This Row],[Partidos_3]],0))</f>
        <v>0</v>
      </c>
      <c r="H595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3</v>
      </c>
      <c r="I595" t="str">
        <f>IF(AND(DesarrolloPartidos[[#This Row],[PartidosSolo3]]&lt;=DesarrolloPartidos[[#This Row],[Partidos_3]],DesarrolloPartidos[[#This Row],[PartidosSolo3]]&lt;&gt;0),DesarrolloPartidos[[#This Row],[PartidosSolo3]],"")</f>
        <v/>
      </c>
      <c r="J595">
        <f>+IF(DesarrolloPartidos[[#This Row],[Partidos3]]="",DesarrolloPartidos[[#This Row],[Partidos4]],DesarrolloPartidos[[#This Row],[Partidos3]])</f>
        <v>3</v>
      </c>
      <c r="K595" t="str">
        <f>+DesarrolloPartidos[[#This Row],[Jugadores]]&amp;":"&amp;DesarrolloPartidos[[#This Row],[Orden]]</f>
        <v>36:9</v>
      </c>
    </row>
    <row r="596" spans="1:11">
      <c r="A596">
        <f t="shared" si="54"/>
        <v>36</v>
      </c>
      <c r="B596">
        <f t="shared" si="53"/>
        <v>9</v>
      </c>
      <c r="C596">
        <f t="shared" si="55"/>
        <v>0</v>
      </c>
      <c r="D596">
        <f t="shared" si="56"/>
        <v>9</v>
      </c>
      <c r="E596">
        <f t="shared" si="57"/>
        <v>10</v>
      </c>
      <c r="F596">
        <f>3*DesarrolloPartidos[[#This Row],[Partidos_3]]</f>
        <v>0</v>
      </c>
      <c r="G596">
        <f>IF(DesarrolloPartidos[[#This Row],[Partidos_3]]=0,0,ROUNDUP(DesarrolloPartidos[[#This Row],[Orden]]/DesarrolloPartidos[[#This Row],[JugEnPart3]]*DesarrolloPartidos[[#This Row],[Partidos_3]],0))</f>
        <v>0</v>
      </c>
      <c r="H596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3</v>
      </c>
      <c r="I596" t="str">
        <f>IF(AND(DesarrolloPartidos[[#This Row],[PartidosSolo3]]&lt;=DesarrolloPartidos[[#This Row],[Partidos_3]],DesarrolloPartidos[[#This Row],[PartidosSolo3]]&lt;&gt;0),DesarrolloPartidos[[#This Row],[PartidosSolo3]],"")</f>
        <v/>
      </c>
      <c r="J596">
        <f>+IF(DesarrolloPartidos[[#This Row],[Partidos3]]="",DesarrolloPartidos[[#This Row],[Partidos4]],DesarrolloPartidos[[#This Row],[Partidos3]])</f>
        <v>3</v>
      </c>
      <c r="K596" t="str">
        <f>+DesarrolloPartidos[[#This Row],[Jugadores]]&amp;":"&amp;DesarrolloPartidos[[#This Row],[Orden]]</f>
        <v>36:10</v>
      </c>
    </row>
    <row r="597" spans="1:11">
      <c r="A597">
        <f t="shared" si="54"/>
        <v>36</v>
      </c>
      <c r="B597">
        <f t="shared" si="53"/>
        <v>9</v>
      </c>
      <c r="C597">
        <f t="shared" si="55"/>
        <v>0</v>
      </c>
      <c r="D597">
        <f t="shared" si="56"/>
        <v>9</v>
      </c>
      <c r="E597">
        <f t="shared" si="57"/>
        <v>11</v>
      </c>
      <c r="F597">
        <f>3*DesarrolloPartidos[[#This Row],[Partidos_3]]</f>
        <v>0</v>
      </c>
      <c r="G597">
        <f>IF(DesarrolloPartidos[[#This Row],[Partidos_3]]=0,0,ROUNDUP(DesarrolloPartidos[[#This Row],[Orden]]/DesarrolloPartidos[[#This Row],[JugEnPart3]]*DesarrolloPartidos[[#This Row],[Partidos_3]],0))</f>
        <v>0</v>
      </c>
      <c r="H597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3</v>
      </c>
      <c r="I597" t="str">
        <f>IF(AND(DesarrolloPartidos[[#This Row],[PartidosSolo3]]&lt;=DesarrolloPartidos[[#This Row],[Partidos_3]],DesarrolloPartidos[[#This Row],[PartidosSolo3]]&lt;&gt;0),DesarrolloPartidos[[#This Row],[PartidosSolo3]],"")</f>
        <v/>
      </c>
      <c r="J597">
        <f>+IF(DesarrolloPartidos[[#This Row],[Partidos3]]="",DesarrolloPartidos[[#This Row],[Partidos4]],DesarrolloPartidos[[#This Row],[Partidos3]])</f>
        <v>3</v>
      </c>
      <c r="K597" t="str">
        <f>+DesarrolloPartidos[[#This Row],[Jugadores]]&amp;":"&amp;DesarrolloPartidos[[#This Row],[Orden]]</f>
        <v>36:11</v>
      </c>
    </row>
    <row r="598" spans="1:11">
      <c r="A598">
        <f t="shared" si="54"/>
        <v>36</v>
      </c>
      <c r="B598">
        <f t="shared" si="53"/>
        <v>9</v>
      </c>
      <c r="C598">
        <f t="shared" si="55"/>
        <v>0</v>
      </c>
      <c r="D598">
        <f t="shared" si="56"/>
        <v>9</v>
      </c>
      <c r="E598">
        <f t="shared" si="57"/>
        <v>12</v>
      </c>
      <c r="F598">
        <f>3*DesarrolloPartidos[[#This Row],[Partidos_3]]</f>
        <v>0</v>
      </c>
      <c r="G598">
        <f>IF(DesarrolloPartidos[[#This Row],[Partidos_3]]=0,0,ROUNDUP(DesarrolloPartidos[[#This Row],[Orden]]/DesarrolloPartidos[[#This Row],[JugEnPart3]]*DesarrolloPartidos[[#This Row],[Partidos_3]],0))</f>
        <v>0</v>
      </c>
      <c r="H598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3</v>
      </c>
      <c r="I598" t="str">
        <f>IF(AND(DesarrolloPartidos[[#This Row],[PartidosSolo3]]&lt;=DesarrolloPartidos[[#This Row],[Partidos_3]],DesarrolloPartidos[[#This Row],[PartidosSolo3]]&lt;&gt;0),DesarrolloPartidos[[#This Row],[PartidosSolo3]],"")</f>
        <v/>
      </c>
      <c r="J598">
        <f>+IF(DesarrolloPartidos[[#This Row],[Partidos3]]="",DesarrolloPartidos[[#This Row],[Partidos4]],DesarrolloPartidos[[#This Row],[Partidos3]])</f>
        <v>3</v>
      </c>
      <c r="K598" t="str">
        <f>+DesarrolloPartidos[[#This Row],[Jugadores]]&amp;":"&amp;DesarrolloPartidos[[#This Row],[Orden]]</f>
        <v>36:12</v>
      </c>
    </row>
    <row r="599" spans="1:11">
      <c r="A599">
        <f t="shared" si="54"/>
        <v>36</v>
      </c>
      <c r="B599">
        <f t="shared" si="53"/>
        <v>9</v>
      </c>
      <c r="C599">
        <f t="shared" si="55"/>
        <v>0</v>
      </c>
      <c r="D599">
        <f t="shared" si="56"/>
        <v>9</v>
      </c>
      <c r="E599">
        <f t="shared" si="57"/>
        <v>13</v>
      </c>
      <c r="F599">
        <f>3*DesarrolloPartidos[[#This Row],[Partidos_3]]</f>
        <v>0</v>
      </c>
      <c r="G599">
        <f>IF(DesarrolloPartidos[[#This Row],[Partidos_3]]=0,0,ROUNDUP(DesarrolloPartidos[[#This Row],[Orden]]/DesarrolloPartidos[[#This Row],[JugEnPart3]]*DesarrolloPartidos[[#This Row],[Partidos_3]],0))</f>
        <v>0</v>
      </c>
      <c r="H599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599" t="str">
        <f>IF(AND(DesarrolloPartidos[[#This Row],[PartidosSolo3]]&lt;=DesarrolloPartidos[[#This Row],[Partidos_3]],DesarrolloPartidos[[#This Row],[PartidosSolo3]]&lt;&gt;0),DesarrolloPartidos[[#This Row],[PartidosSolo3]],"")</f>
        <v/>
      </c>
      <c r="J599">
        <f>+IF(DesarrolloPartidos[[#This Row],[Partidos3]]="",DesarrolloPartidos[[#This Row],[Partidos4]],DesarrolloPartidos[[#This Row],[Partidos3]])</f>
        <v>4</v>
      </c>
      <c r="K599" t="str">
        <f>+DesarrolloPartidos[[#This Row],[Jugadores]]&amp;":"&amp;DesarrolloPartidos[[#This Row],[Orden]]</f>
        <v>36:13</v>
      </c>
    </row>
    <row r="600" spans="1:11">
      <c r="A600">
        <f t="shared" si="54"/>
        <v>36</v>
      </c>
      <c r="B600">
        <f t="shared" si="53"/>
        <v>9</v>
      </c>
      <c r="C600">
        <f t="shared" si="55"/>
        <v>0</v>
      </c>
      <c r="D600">
        <f t="shared" si="56"/>
        <v>9</v>
      </c>
      <c r="E600">
        <f t="shared" si="57"/>
        <v>14</v>
      </c>
      <c r="F600">
        <f>3*DesarrolloPartidos[[#This Row],[Partidos_3]]</f>
        <v>0</v>
      </c>
      <c r="G600">
        <f>IF(DesarrolloPartidos[[#This Row],[Partidos_3]]=0,0,ROUNDUP(DesarrolloPartidos[[#This Row],[Orden]]/DesarrolloPartidos[[#This Row],[JugEnPart3]]*DesarrolloPartidos[[#This Row],[Partidos_3]],0))</f>
        <v>0</v>
      </c>
      <c r="H600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600" t="str">
        <f>IF(AND(DesarrolloPartidos[[#This Row],[PartidosSolo3]]&lt;=DesarrolloPartidos[[#This Row],[Partidos_3]],DesarrolloPartidos[[#This Row],[PartidosSolo3]]&lt;&gt;0),DesarrolloPartidos[[#This Row],[PartidosSolo3]],"")</f>
        <v/>
      </c>
      <c r="J600">
        <f>+IF(DesarrolloPartidos[[#This Row],[Partidos3]]="",DesarrolloPartidos[[#This Row],[Partidos4]],DesarrolloPartidos[[#This Row],[Partidos3]])</f>
        <v>4</v>
      </c>
      <c r="K600" t="str">
        <f>+DesarrolloPartidos[[#This Row],[Jugadores]]&amp;":"&amp;DesarrolloPartidos[[#This Row],[Orden]]</f>
        <v>36:14</v>
      </c>
    </row>
    <row r="601" spans="1:11">
      <c r="A601">
        <f t="shared" si="54"/>
        <v>36</v>
      </c>
      <c r="B601">
        <f t="shared" si="53"/>
        <v>9</v>
      </c>
      <c r="C601">
        <f t="shared" si="55"/>
        <v>0</v>
      </c>
      <c r="D601">
        <f t="shared" si="56"/>
        <v>9</v>
      </c>
      <c r="E601">
        <f t="shared" si="57"/>
        <v>15</v>
      </c>
      <c r="F601">
        <f>3*DesarrolloPartidos[[#This Row],[Partidos_3]]</f>
        <v>0</v>
      </c>
      <c r="G601">
        <f>IF(DesarrolloPartidos[[#This Row],[Partidos_3]]=0,0,ROUNDUP(DesarrolloPartidos[[#This Row],[Orden]]/DesarrolloPartidos[[#This Row],[JugEnPart3]]*DesarrolloPartidos[[#This Row],[Partidos_3]],0))</f>
        <v>0</v>
      </c>
      <c r="H601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601" t="str">
        <f>IF(AND(DesarrolloPartidos[[#This Row],[PartidosSolo3]]&lt;=DesarrolloPartidos[[#This Row],[Partidos_3]],DesarrolloPartidos[[#This Row],[PartidosSolo3]]&lt;&gt;0),DesarrolloPartidos[[#This Row],[PartidosSolo3]],"")</f>
        <v/>
      </c>
      <c r="J601">
        <f>+IF(DesarrolloPartidos[[#This Row],[Partidos3]]="",DesarrolloPartidos[[#This Row],[Partidos4]],DesarrolloPartidos[[#This Row],[Partidos3]])</f>
        <v>4</v>
      </c>
      <c r="K601" t="str">
        <f>+DesarrolloPartidos[[#This Row],[Jugadores]]&amp;":"&amp;DesarrolloPartidos[[#This Row],[Orden]]</f>
        <v>36:15</v>
      </c>
    </row>
    <row r="602" spans="1:11">
      <c r="A602">
        <f t="shared" si="54"/>
        <v>36</v>
      </c>
      <c r="B602">
        <f t="shared" si="53"/>
        <v>9</v>
      </c>
      <c r="C602">
        <f t="shared" si="55"/>
        <v>0</v>
      </c>
      <c r="D602">
        <f t="shared" si="56"/>
        <v>9</v>
      </c>
      <c r="E602">
        <f t="shared" si="57"/>
        <v>16</v>
      </c>
      <c r="F602">
        <f>3*DesarrolloPartidos[[#This Row],[Partidos_3]]</f>
        <v>0</v>
      </c>
      <c r="G602">
        <f>IF(DesarrolloPartidos[[#This Row],[Partidos_3]]=0,0,ROUNDUP(DesarrolloPartidos[[#This Row],[Orden]]/DesarrolloPartidos[[#This Row],[JugEnPart3]]*DesarrolloPartidos[[#This Row],[Partidos_3]],0))</f>
        <v>0</v>
      </c>
      <c r="H602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602" t="str">
        <f>IF(AND(DesarrolloPartidos[[#This Row],[PartidosSolo3]]&lt;=DesarrolloPartidos[[#This Row],[Partidos_3]],DesarrolloPartidos[[#This Row],[PartidosSolo3]]&lt;&gt;0),DesarrolloPartidos[[#This Row],[PartidosSolo3]],"")</f>
        <v/>
      </c>
      <c r="J602">
        <f>+IF(DesarrolloPartidos[[#This Row],[Partidos3]]="",DesarrolloPartidos[[#This Row],[Partidos4]],DesarrolloPartidos[[#This Row],[Partidos3]])</f>
        <v>4</v>
      </c>
      <c r="K602" t="str">
        <f>+DesarrolloPartidos[[#This Row],[Jugadores]]&amp;":"&amp;DesarrolloPartidos[[#This Row],[Orden]]</f>
        <v>36:16</v>
      </c>
    </row>
    <row r="603" spans="1:11">
      <c r="A603">
        <f t="shared" si="54"/>
        <v>36</v>
      </c>
      <c r="B603">
        <f t="shared" si="53"/>
        <v>9</v>
      </c>
      <c r="C603">
        <f t="shared" si="55"/>
        <v>0</v>
      </c>
      <c r="D603">
        <f t="shared" si="56"/>
        <v>9</v>
      </c>
      <c r="E603">
        <f t="shared" si="57"/>
        <v>17</v>
      </c>
      <c r="F603">
        <f>3*DesarrolloPartidos[[#This Row],[Partidos_3]]</f>
        <v>0</v>
      </c>
      <c r="G603">
        <f>IF(DesarrolloPartidos[[#This Row],[Partidos_3]]=0,0,ROUNDUP(DesarrolloPartidos[[#This Row],[Orden]]/DesarrolloPartidos[[#This Row],[JugEnPart3]]*DesarrolloPartidos[[#This Row],[Partidos_3]],0))</f>
        <v>0</v>
      </c>
      <c r="H603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5</v>
      </c>
      <c r="I603" t="str">
        <f>IF(AND(DesarrolloPartidos[[#This Row],[PartidosSolo3]]&lt;=DesarrolloPartidos[[#This Row],[Partidos_3]],DesarrolloPartidos[[#This Row],[PartidosSolo3]]&lt;&gt;0),DesarrolloPartidos[[#This Row],[PartidosSolo3]],"")</f>
        <v/>
      </c>
      <c r="J603">
        <f>+IF(DesarrolloPartidos[[#This Row],[Partidos3]]="",DesarrolloPartidos[[#This Row],[Partidos4]],DesarrolloPartidos[[#This Row],[Partidos3]])</f>
        <v>5</v>
      </c>
      <c r="K603" t="str">
        <f>+DesarrolloPartidos[[#This Row],[Jugadores]]&amp;":"&amp;DesarrolloPartidos[[#This Row],[Orden]]</f>
        <v>36:17</v>
      </c>
    </row>
    <row r="604" spans="1:11">
      <c r="A604">
        <f t="shared" si="54"/>
        <v>36</v>
      </c>
      <c r="B604">
        <f t="shared" si="53"/>
        <v>9</v>
      </c>
      <c r="C604">
        <f t="shared" si="55"/>
        <v>0</v>
      </c>
      <c r="D604">
        <f t="shared" si="56"/>
        <v>9</v>
      </c>
      <c r="E604">
        <f t="shared" si="57"/>
        <v>18</v>
      </c>
      <c r="F604">
        <f>3*DesarrolloPartidos[[#This Row],[Partidos_3]]</f>
        <v>0</v>
      </c>
      <c r="G604">
        <f>IF(DesarrolloPartidos[[#This Row],[Partidos_3]]=0,0,ROUNDUP(DesarrolloPartidos[[#This Row],[Orden]]/DesarrolloPartidos[[#This Row],[JugEnPart3]]*DesarrolloPartidos[[#This Row],[Partidos_3]],0))</f>
        <v>0</v>
      </c>
      <c r="H604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5</v>
      </c>
      <c r="I604" t="str">
        <f>IF(AND(DesarrolloPartidos[[#This Row],[PartidosSolo3]]&lt;=DesarrolloPartidos[[#This Row],[Partidos_3]],DesarrolloPartidos[[#This Row],[PartidosSolo3]]&lt;&gt;0),DesarrolloPartidos[[#This Row],[PartidosSolo3]],"")</f>
        <v/>
      </c>
      <c r="J604">
        <f>+IF(DesarrolloPartidos[[#This Row],[Partidos3]]="",DesarrolloPartidos[[#This Row],[Partidos4]],DesarrolloPartidos[[#This Row],[Partidos3]])</f>
        <v>5</v>
      </c>
      <c r="K604" t="str">
        <f>+DesarrolloPartidos[[#This Row],[Jugadores]]&amp;":"&amp;DesarrolloPartidos[[#This Row],[Orden]]</f>
        <v>36:18</v>
      </c>
    </row>
    <row r="605" spans="1:11">
      <c r="A605">
        <f t="shared" si="54"/>
        <v>36</v>
      </c>
      <c r="B605">
        <f t="shared" si="53"/>
        <v>9</v>
      </c>
      <c r="C605">
        <f t="shared" si="55"/>
        <v>0</v>
      </c>
      <c r="D605">
        <f t="shared" si="56"/>
        <v>9</v>
      </c>
      <c r="E605">
        <f t="shared" si="57"/>
        <v>19</v>
      </c>
      <c r="F605">
        <f>3*DesarrolloPartidos[[#This Row],[Partidos_3]]</f>
        <v>0</v>
      </c>
      <c r="G605">
        <f>IF(DesarrolloPartidos[[#This Row],[Partidos_3]]=0,0,ROUNDUP(DesarrolloPartidos[[#This Row],[Orden]]/DesarrolloPartidos[[#This Row],[JugEnPart3]]*DesarrolloPartidos[[#This Row],[Partidos_3]],0))</f>
        <v>0</v>
      </c>
      <c r="H605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5</v>
      </c>
      <c r="I605" t="str">
        <f>IF(AND(DesarrolloPartidos[[#This Row],[PartidosSolo3]]&lt;=DesarrolloPartidos[[#This Row],[Partidos_3]],DesarrolloPartidos[[#This Row],[PartidosSolo3]]&lt;&gt;0),DesarrolloPartidos[[#This Row],[PartidosSolo3]],"")</f>
        <v/>
      </c>
      <c r="J605">
        <f>+IF(DesarrolloPartidos[[#This Row],[Partidos3]]="",DesarrolloPartidos[[#This Row],[Partidos4]],DesarrolloPartidos[[#This Row],[Partidos3]])</f>
        <v>5</v>
      </c>
      <c r="K605" t="str">
        <f>+DesarrolloPartidos[[#This Row],[Jugadores]]&amp;":"&amp;DesarrolloPartidos[[#This Row],[Orden]]</f>
        <v>36:19</v>
      </c>
    </row>
    <row r="606" spans="1:11">
      <c r="A606">
        <f t="shared" si="54"/>
        <v>36</v>
      </c>
      <c r="B606">
        <f t="shared" si="53"/>
        <v>9</v>
      </c>
      <c r="C606">
        <f t="shared" si="55"/>
        <v>0</v>
      </c>
      <c r="D606">
        <f t="shared" si="56"/>
        <v>9</v>
      </c>
      <c r="E606">
        <f t="shared" si="57"/>
        <v>20</v>
      </c>
      <c r="F606">
        <f>3*DesarrolloPartidos[[#This Row],[Partidos_3]]</f>
        <v>0</v>
      </c>
      <c r="G606">
        <f>IF(DesarrolloPartidos[[#This Row],[Partidos_3]]=0,0,ROUNDUP(DesarrolloPartidos[[#This Row],[Orden]]/DesarrolloPartidos[[#This Row],[JugEnPart3]]*DesarrolloPartidos[[#This Row],[Partidos_3]],0))</f>
        <v>0</v>
      </c>
      <c r="H606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5</v>
      </c>
      <c r="I606" t="str">
        <f>IF(AND(DesarrolloPartidos[[#This Row],[PartidosSolo3]]&lt;=DesarrolloPartidos[[#This Row],[Partidos_3]],DesarrolloPartidos[[#This Row],[PartidosSolo3]]&lt;&gt;0),DesarrolloPartidos[[#This Row],[PartidosSolo3]],"")</f>
        <v/>
      </c>
      <c r="J606">
        <f>+IF(DesarrolloPartidos[[#This Row],[Partidos3]]="",DesarrolloPartidos[[#This Row],[Partidos4]],DesarrolloPartidos[[#This Row],[Partidos3]])</f>
        <v>5</v>
      </c>
      <c r="K606" t="str">
        <f>+DesarrolloPartidos[[#This Row],[Jugadores]]&amp;":"&amp;DesarrolloPartidos[[#This Row],[Orden]]</f>
        <v>36:20</v>
      </c>
    </row>
    <row r="607" spans="1:11">
      <c r="A607">
        <f t="shared" si="54"/>
        <v>36</v>
      </c>
      <c r="B607">
        <f t="shared" si="53"/>
        <v>9</v>
      </c>
      <c r="C607">
        <f t="shared" si="55"/>
        <v>0</v>
      </c>
      <c r="D607">
        <f t="shared" si="56"/>
        <v>9</v>
      </c>
      <c r="E607">
        <f t="shared" si="57"/>
        <v>21</v>
      </c>
      <c r="F607">
        <f>3*DesarrolloPartidos[[#This Row],[Partidos_3]]</f>
        <v>0</v>
      </c>
      <c r="G607">
        <f>IF(DesarrolloPartidos[[#This Row],[Partidos_3]]=0,0,ROUNDUP(DesarrolloPartidos[[#This Row],[Orden]]/DesarrolloPartidos[[#This Row],[JugEnPart3]]*DesarrolloPartidos[[#This Row],[Partidos_3]],0))</f>
        <v>0</v>
      </c>
      <c r="H607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6</v>
      </c>
      <c r="I607" t="str">
        <f>IF(AND(DesarrolloPartidos[[#This Row],[PartidosSolo3]]&lt;=DesarrolloPartidos[[#This Row],[Partidos_3]],DesarrolloPartidos[[#This Row],[PartidosSolo3]]&lt;&gt;0),DesarrolloPartidos[[#This Row],[PartidosSolo3]],"")</f>
        <v/>
      </c>
      <c r="J607">
        <f>+IF(DesarrolloPartidos[[#This Row],[Partidos3]]="",DesarrolloPartidos[[#This Row],[Partidos4]],DesarrolloPartidos[[#This Row],[Partidos3]])</f>
        <v>6</v>
      </c>
      <c r="K607" t="str">
        <f>+DesarrolloPartidos[[#This Row],[Jugadores]]&amp;":"&amp;DesarrolloPartidos[[#This Row],[Orden]]</f>
        <v>36:21</v>
      </c>
    </row>
    <row r="608" spans="1:11">
      <c r="A608">
        <f t="shared" si="54"/>
        <v>36</v>
      </c>
      <c r="B608">
        <f t="shared" si="53"/>
        <v>9</v>
      </c>
      <c r="C608">
        <f t="shared" si="55"/>
        <v>0</v>
      </c>
      <c r="D608">
        <f t="shared" si="56"/>
        <v>9</v>
      </c>
      <c r="E608">
        <f t="shared" si="57"/>
        <v>22</v>
      </c>
      <c r="F608">
        <f>3*DesarrolloPartidos[[#This Row],[Partidos_3]]</f>
        <v>0</v>
      </c>
      <c r="G608">
        <f>IF(DesarrolloPartidos[[#This Row],[Partidos_3]]=0,0,ROUNDUP(DesarrolloPartidos[[#This Row],[Orden]]/DesarrolloPartidos[[#This Row],[JugEnPart3]]*DesarrolloPartidos[[#This Row],[Partidos_3]],0))</f>
        <v>0</v>
      </c>
      <c r="H608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6</v>
      </c>
      <c r="I608" t="str">
        <f>IF(AND(DesarrolloPartidos[[#This Row],[PartidosSolo3]]&lt;=DesarrolloPartidos[[#This Row],[Partidos_3]],DesarrolloPartidos[[#This Row],[PartidosSolo3]]&lt;&gt;0),DesarrolloPartidos[[#This Row],[PartidosSolo3]],"")</f>
        <v/>
      </c>
      <c r="J608">
        <f>+IF(DesarrolloPartidos[[#This Row],[Partidos3]]="",DesarrolloPartidos[[#This Row],[Partidos4]],DesarrolloPartidos[[#This Row],[Partidos3]])</f>
        <v>6</v>
      </c>
      <c r="K608" t="str">
        <f>+DesarrolloPartidos[[#This Row],[Jugadores]]&amp;":"&amp;DesarrolloPartidos[[#This Row],[Orden]]</f>
        <v>36:22</v>
      </c>
    </row>
    <row r="609" spans="1:11">
      <c r="A609">
        <f t="shared" si="54"/>
        <v>36</v>
      </c>
      <c r="B609">
        <f t="shared" si="53"/>
        <v>9</v>
      </c>
      <c r="C609">
        <f t="shared" si="55"/>
        <v>0</v>
      </c>
      <c r="D609">
        <f t="shared" si="56"/>
        <v>9</v>
      </c>
      <c r="E609">
        <f t="shared" si="57"/>
        <v>23</v>
      </c>
      <c r="F609">
        <f>3*DesarrolloPartidos[[#This Row],[Partidos_3]]</f>
        <v>0</v>
      </c>
      <c r="G609">
        <f>IF(DesarrolloPartidos[[#This Row],[Partidos_3]]=0,0,ROUNDUP(DesarrolloPartidos[[#This Row],[Orden]]/DesarrolloPartidos[[#This Row],[JugEnPart3]]*DesarrolloPartidos[[#This Row],[Partidos_3]],0))</f>
        <v>0</v>
      </c>
      <c r="H609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6</v>
      </c>
      <c r="I609" t="str">
        <f>IF(AND(DesarrolloPartidos[[#This Row],[PartidosSolo3]]&lt;=DesarrolloPartidos[[#This Row],[Partidos_3]],DesarrolloPartidos[[#This Row],[PartidosSolo3]]&lt;&gt;0),DesarrolloPartidos[[#This Row],[PartidosSolo3]],"")</f>
        <v/>
      </c>
      <c r="J609">
        <f>+IF(DesarrolloPartidos[[#This Row],[Partidos3]]="",DesarrolloPartidos[[#This Row],[Partidos4]],DesarrolloPartidos[[#This Row],[Partidos3]])</f>
        <v>6</v>
      </c>
      <c r="K609" t="str">
        <f>+DesarrolloPartidos[[#This Row],[Jugadores]]&amp;":"&amp;DesarrolloPartidos[[#This Row],[Orden]]</f>
        <v>36:23</v>
      </c>
    </row>
    <row r="610" spans="1:11">
      <c r="A610">
        <f t="shared" si="54"/>
        <v>36</v>
      </c>
      <c r="B610">
        <f t="shared" si="53"/>
        <v>9</v>
      </c>
      <c r="C610">
        <f t="shared" si="55"/>
        <v>0</v>
      </c>
      <c r="D610">
        <f t="shared" si="56"/>
        <v>9</v>
      </c>
      <c r="E610">
        <f t="shared" si="57"/>
        <v>24</v>
      </c>
      <c r="F610">
        <f>3*DesarrolloPartidos[[#This Row],[Partidos_3]]</f>
        <v>0</v>
      </c>
      <c r="G610">
        <f>IF(DesarrolloPartidos[[#This Row],[Partidos_3]]=0,0,ROUNDUP(DesarrolloPartidos[[#This Row],[Orden]]/DesarrolloPartidos[[#This Row],[JugEnPart3]]*DesarrolloPartidos[[#This Row],[Partidos_3]],0))</f>
        <v>0</v>
      </c>
      <c r="H610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6</v>
      </c>
      <c r="I610" t="str">
        <f>IF(AND(DesarrolloPartidos[[#This Row],[PartidosSolo3]]&lt;=DesarrolloPartidos[[#This Row],[Partidos_3]],DesarrolloPartidos[[#This Row],[PartidosSolo3]]&lt;&gt;0),DesarrolloPartidos[[#This Row],[PartidosSolo3]],"")</f>
        <v/>
      </c>
      <c r="J610">
        <f>+IF(DesarrolloPartidos[[#This Row],[Partidos3]]="",DesarrolloPartidos[[#This Row],[Partidos4]],DesarrolloPartidos[[#This Row],[Partidos3]])</f>
        <v>6</v>
      </c>
      <c r="K610" t="str">
        <f>+DesarrolloPartidos[[#This Row],[Jugadores]]&amp;":"&amp;DesarrolloPartidos[[#This Row],[Orden]]</f>
        <v>36:24</v>
      </c>
    </row>
    <row r="611" spans="1:11">
      <c r="A611">
        <f t="shared" ref="A611:A674" si="58">+IF(ROW(A610)=1,10,IF(A610=E610,A610+1,A610))</f>
        <v>36</v>
      </c>
      <c r="B611">
        <f t="shared" si="53"/>
        <v>9</v>
      </c>
      <c r="C611">
        <f t="shared" ref="C611:C674" si="59">+(B611-A611/4)/0.25</f>
        <v>0</v>
      </c>
      <c r="D611">
        <f t="shared" ref="D611:D674" si="60">+B611-C611</f>
        <v>9</v>
      </c>
      <c r="E611">
        <f t="shared" ref="E611:E674" si="61">+IF(ROW(E610)=1,1,IF(E610=A610,1,E610+1))</f>
        <v>25</v>
      </c>
      <c r="F611">
        <f>3*DesarrolloPartidos[[#This Row],[Partidos_3]]</f>
        <v>0</v>
      </c>
      <c r="G611">
        <f>IF(DesarrolloPartidos[[#This Row],[Partidos_3]]=0,0,ROUNDUP(DesarrolloPartidos[[#This Row],[Orden]]/DesarrolloPartidos[[#This Row],[JugEnPart3]]*DesarrolloPartidos[[#This Row],[Partidos_3]],0))</f>
        <v>0</v>
      </c>
      <c r="H611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7</v>
      </c>
      <c r="I611" t="str">
        <f>IF(AND(DesarrolloPartidos[[#This Row],[PartidosSolo3]]&lt;=DesarrolloPartidos[[#This Row],[Partidos_3]],DesarrolloPartidos[[#This Row],[PartidosSolo3]]&lt;&gt;0),DesarrolloPartidos[[#This Row],[PartidosSolo3]],"")</f>
        <v/>
      </c>
      <c r="J611">
        <f>+IF(DesarrolloPartidos[[#This Row],[Partidos3]]="",DesarrolloPartidos[[#This Row],[Partidos4]],DesarrolloPartidos[[#This Row],[Partidos3]])</f>
        <v>7</v>
      </c>
      <c r="K611" t="str">
        <f>+DesarrolloPartidos[[#This Row],[Jugadores]]&amp;":"&amp;DesarrolloPartidos[[#This Row],[Orden]]</f>
        <v>36:25</v>
      </c>
    </row>
    <row r="612" spans="1:11">
      <c r="A612">
        <f t="shared" si="58"/>
        <v>36</v>
      </c>
      <c r="B612">
        <f t="shared" si="53"/>
        <v>9</v>
      </c>
      <c r="C612">
        <f t="shared" si="59"/>
        <v>0</v>
      </c>
      <c r="D612">
        <f t="shared" si="60"/>
        <v>9</v>
      </c>
      <c r="E612">
        <f t="shared" si="61"/>
        <v>26</v>
      </c>
      <c r="F612">
        <f>3*DesarrolloPartidos[[#This Row],[Partidos_3]]</f>
        <v>0</v>
      </c>
      <c r="G612">
        <f>IF(DesarrolloPartidos[[#This Row],[Partidos_3]]=0,0,ROUNDUP(DesarrolloPartidos[[#This Row],[Orden]]/DesarrolloPartidos[[#This Row],[JugEnPart3]]*DesarrolloPartidos[[#This Row],[Partidos_3]],0))</f>
        <v>0</v>
      </c>
      <c r="H612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7</v>
      </c>
      <c r="I612" t="str">
        <f>IF(AND(DesarrolloPartidos[[#This Row],[PartidosSolo3]]&lt;=DesarrolloPartidos[[#This Row],[Partidos_3]],DesarrolloPartidos[[#This Row],[PartidosSolo3]]&lt;&gt;0),DesarrolloPartidos[[#This Row],[PartidosSolo3]],"")</f>
        <v/>
      </c>
      <c r="J612">
        <f>+IF(DesarrolloPartidos[[#This Row],[Partidos3]]="",DesarrolloPartidos[[#This Row],[Partidos4]],DesarrolloPartidos[[#This Row],[Partidos3]])</f>
        <v>7</v>
      </c>
      <c r="K612" t="str">
        <f>+DesarrolloPartidos[[#This Row],[Jugadores]]&amp;":"&amp;DesarrolloPartidos[[#This Row],[Orden]]</f>
        <v>36:26</v>
      </c>
    </row>
    <row r="613" spans="1:11">
      <c r="A613">
        <f t="shared" si="58"/>
        <v>36</v>
      </c>
      <c r="B613">
        <f t="shared" si="53"/>
        <v>9</v>
      </c>
      <c r="C613">
        <f t="shared" si="59"/>
        <v>0</v>
      </c>
      <c r="D613">
        <f t="shared" si="60"/>
        <v>9</v>
      </c>
      <c r="E613">
        <f t="shared" si="61"/>
        <v>27</v>
      </c>
      <c r="F613">
        <f>3*DesarrolloPartidos[[#This Row],[Partidos_3]]</f>
        <v>0</v>
      </c>
      <c r="G613">
        <f>IF(DesarrolloPartidos[[#This Row],[Partidos_3]]=0,0,ROUNDUP(DesarrolloPartidos[[#This Row],[Orden]]/DesarrolloPartidos[[#This Row],[JugEnPart3]]*DesarrolloPartidos[[#This Row],[Partidos_3]],0))</f>
        <v>0</v>
      </c>
      <c r="H613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7</v>
      </c>
      <c r="I613" t="str">
        <f>IF(AND(DesarrolloPartidos[[#This Row],[PartidosSolo3]]&lt;=DesarrolloPartidos[[#This Row],[Partidos_3]],DesarrolloPartidos[[#This Row],[PartidosSolo3]]&lt;&gt;0),DesarrolloPartidos[[#This Row],[PartidosSolo3]],"")</f>
        <v/>
      </c>
      <c r="J613">
        <f>+IF(DesarrolloPartidos[[#This Row],[Partidos3]]="",DesarrolloPartidos[[#This Row],[Partidos4]],DesarrolloPartidos[[#This Row],[Partidos3]])</f>
        <v>7</v>
      </c>
      <c r="K613" t="str">
        <f>+DesarrolloPartidos[[#This Row],[Jugadores]]&amp;":"&amp;DesarrolloPartidos[[#This Row],[Orden]]</f>
        <v>36:27</v>
      </c>
    </row>
    <row r="614" spans="1:11">
      <c r="A614">
        <f t="shared" si="58"/>
        <v>36</v>
      </c>
      <c r="B614">
        <f t="shared" si="53"/>
        <v>9</v>
      </c>
      <c r="C614">
        <f t="shared" si="59"/>
        <v>0</v>
      </c>
      <c r="D614">
        <f t="shared" si="60"/>
        <v>9</v>
      </c>
      <c r="E614">
        <f t="shared" si="61"/>
        <v>28</v>
      </c>
      <c r="F614">
        <f>3*DesarrolloPartidos[[#This Row],[Partidos_3]]</f>
        <v>0</v>
      </c>
      <c r="G614">
        <f>IF(DesarrolloPartidos[[#This Row],[Partidos_3]]=0,0,ROUNDUP(DesarrolloPartidos[[#This Row],[Orden]]/DesarrolloPartidos[[#This Row],[JugEnPart3]]*DesarrolloPartidos[[#This Row],[Partidos_3]],0))</f>
        <v>0</v>
      </c>
      <c r="H614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7</v>
      </c>
      <c r="I614" t="str">
        <f>IF(AND(DesarrolloPartidos[[#This Row],[PartidosSolo3]]&lt;=DesarrolloPartidos[[#This Row],[Partidos_3]],DesarrolloPartidos[[#This Row],[PartidosSolo3]]&lt;&gt;0),DesarrolloPartidos[[#This Row],[PartidosSolo3]],"")</f>
        <v/>
      </c>
      <c r="J614">
        <f>+IF(DesarrolloPartidos[[#This Row],[Partidos3]]="",DesarrolloPartidos[[#This Row],[Partidos4]],DesarrolloPartidos[[#This Row],[Partidos3]])</f>
        <v>7</v>
      </c>
      <c r="K614" t="str">
        <f>+DesarrolloPartidos[[#This Row],[Jugadores]]&amp;":"&amp;DesarrolloPartidos[[#This Row],[Orden]]</f>
        <v>36:28</v>
      </c>
    </row>
    <row r="615" spans="1:11">
      <c r="A615">
        <f t="shared" si="58"/>
        <v>36</v>
      </c>
      <c r="B615">
        <f t="shared" si="53"/>
        <v>9</v>
      </c>
      <c r="C615">
        <f t="shared" si="59"/>
        <v>0</v>
      </c>
      <c r="D615">
        <f t="shared" si="60"/>
        <v>9</v>
      </c>
      <c r="E615">
        <f t="shared" si="61"/>
        <v>29</v>
      </c>
      <c r="F615">
        <f>3*DesarrolloPartidos[[#This Row],[Partidos_3]]</f>
        <v>0</v>
      </c>
      <c r="G615">
        <f>IF(DesarrolloPartidos[[#This Row],[Partidos_3]]=0,0,ROUNDUP(DesarrolloPartidos[[#This Row],[Orden]]/DesarrolloPartidos[[#This Row],[JugEnPart3]]*DesarrolloPartidos[[#This Row],[Partidos_3]],0))</f>
        <v>0</v>
      </c>
      <c r="H615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8</v>
      </c>
      <c r="I615" t="str">
        <f>IF(AND(DesarrolloPartidos[[#This Row],[PartidosSolo3]]&lt;=DesarrolloPartidos[[#This Row],[Partidos_3]],DesarrolloPartidos[[#This Row],[PartidosSolo3]]&lt;&gt;0),DesarrolloPartidos[[#This Row],[PartidosSolo3]],"")</f>
        <v/>
      </c>
      <c r="J615">
        <f>+IF(DesarrolloPartidos[[#This Row],[Partidos3]]="",DesarrolloPartidos[[#This Row],[Partidos4]],DesarrolloPartidos[[#This Row],[Partidos3]])</f>
        <v>8</v>
      </c>
      <c r="K615" t="str">
        <f>+DesarrolloPartidos[[#This Row],[Jugadores]]&amp;":"&amp;DesarrolloPartidos[[#This Row],[Orden]]</f>
        <v>36:29</v>
      </c>
    </row>
    <row r="616" spans="1:11">
      <c r="A616">
        <f t="shared" si="58"/>
        <v>36</v>
      </c>
      <c r="B616">
        <f t="shared" si="53"/>
        <v>9</v>
      </c>
      <c r="C616">
        <f t="shared" si="59"/>
        <v>0</v>
      </c>
      <c r="D616">
        <f t="shared" si="60"/>
        <v>9</v>
      </c>
      <c r="E616">
        <f t="shared" si="61"/>
        <v>30</v>
      </c>
      <c r="F616">
        <f>3*DesarrolloPartidos[[#This Row],[Partidos_3]]</f>
        <v>0</v>
      </c>
      <c r="G616">
        <f>IF(DesarrolloPartidos[[#This Row],[Partidos_3]]=0,0,ROUNDUP(DesarrolloPartidos[[#This Row],[Orden]]/DesarrolloPartidos[[#This Row],[JugEnPart3]]*DesarrolloPartidos[[#This Row],[Partidos_3]],0))</f>
        <v>0</v>
      </c>
      <c r="H616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8</v>
      </c>
      <c r="I616" t="str">
        <f>IF(AND(DesarrolloPartidos[[#This Row],[PartidosSolo3]]&lt;=DesarrolloPartidos[[#This Row],[Partidos_3]],DesarrolloPartidos[[#This Row],[PartidosSolo3]]&lt;&gt;0),DesarrolloPartidos[[#This Row],[PartidosSolo3]],"")</f>
        <v/>
      </c>
      <c r="J616">
        <f>+IF(DesarrolloPartidos[[#This Row],[Partidos3]]="",DesarrolloPartidos[[#This Row],[Partidos4]],DesarrolloPartidos[[#This Row],[Partidos3]])</f>
        <v>8</v>
      </c>
      <c r="K616" t="str">
        <f>+DesarrolloPartidos[[#This Row],[Jugadores]]&amp;":"&amp;DesarrolloPartidos[[#This Row],[Orden]]</f>
        <v>36:30</v>
      </c>
    </row>
    <row r="617" spans="1:11">
      <c r="A617">
        <f t="shared" si="58"/>
        <v>36</v>
      </c>
      <c r="B617">
        <f t="shared" si="53"/>
        <v>9</v>
      </c>
      <c r="C617">
        <f t="shared" si="59"/>
        <v>0</v>
      </c>
      <c r="D617">
        <f t="shared" si="60"/>
        <v>9</v>
      </c>
      <c r="E617">
        <f t="shared" si="61"/>
        <v>31</v>
      </c>
      <c r="F617">
        <f>3*DesarrolloPartidos[[#This Row],[Partidos_3]]</f>
        <v>0</v>
      </c>
      <c r="G617">
        <f>IF(DesarrolloPartidos[[#This Row],[Partidos_3]]=0,0,ROUNDUP(DesarrolloPartidos[[#This Row],[Orden]]/DesarrolloPartidos[[#This Row],[JugEnPart3]]*DesarrolloPartidos[[#This Row],[Partidos_3]],0))</f>
        <v>0</v>
      </c>
      <c r="H617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8</v>
      </c>
      <c r="I617" t="str">
        <f>IF(AND(DesarrolloPartidos[[#This Row],[PartidosSolo3]]&lt;=DesarrolloPartidos[[#This Row],[Partidos_3]],DesarrolloPartidos[[#This Row],[PartidosSolo3]]&lt;&gt;0),DesarrolloPartidos[[#This Row],[PartidosSolo3]],"")</f>
        <v/>
      </c>
      <c r="J617">
        <f>+IF(DesarrolloPartidos[[#This Row],[Partidos3]]="",DesarrolloPartidos[[#This Row],[Partidos4]],DesarrolloPartidos[[#This Row],[Partidos3]])</f>
        <v>8</v>
      </c>
      <c r="K617" t="str">
        <f>+DesarrolloPartidos[[#This Row],[Jugadores]]&amp;":"&amp;DesarrolloPartidos[[#This Row],[Orden]]</f>
        <v>36:31</v>
      </c>
    </row>
    <row r="618" spans="1:11">
      <c r="A618">
        <f t="shared" si="58"/>
        <v>36</v>
      </c>
      <c r="B618">
        <f t="shared" si="53"/>
        <v>9</v>
      </c>
      <c r="C618">
        <f t="shared" si="59"/>
        <v>0</v>
      </c>
      <c r="D618">
        <f t="shared" si="60"/>
        <v>9</v>
      </c>
      <c r="E618">
        <f t="shared" si="61"/>
        <v>32</v>
      </c>
      <c r="F618">
        <f>3*DesarrolloPartidos[[#This Row],[Partidos_3]]</f>
        <v>0</v>
      </c>
      <c r="G618">
        <f>IF(DesarrolloPartidos[[#This Row],[Partidos_3]]=0,0,ROUNDUP(DesarrolloPartidos[[#This Row],[Orden]]/DesarrolloPartidos[[#This Row],[JugEnPart3]]*DesarrolloPartidos[[#This Row],[Partidos_3]],0))</f>
        <v>0</v>
      </c>
      <c r="H618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8</v>
      </c>
      <c r="I618" t="str">
        <f>IF(AND(DesarrolloPartidos[[#This Row],[PartidosSolo3]]&lt;=DesarrolloPartidos[[#This Row],[Partidos_3]],DesarrolloPartidos[[#This Row],[PartidosSolo3]]&lt;&gt;0),DesarrolloPartidos[[#This Row],[PartidosSolo3]],"")</f>
        <v/>
      </c>
      <c r="J618">
        <f>+IF(DesarrolloPartidos[[#This Row],[Partidos3]]="",DesarrolloPartidos[[#This Row],[Partidos4]],DesarrolloPartidos[[#This Row],[Partidos3]])</f>
        <v>8</v>
      </c>
      <c r="K618" t="str">
        <f>+DesarrolloPartidos[[#This Row],[Jugadores]]&amp;":"&amp;DesarrolloPartidos[[#This Row],[Orden]]</f>
        <v>36:32</v>
      </c>
    </row>
    <row r="619" spans="1:11">
      <c r="A619">
        <f t="shared" si="58"/>
        <v>36</v>
      </c>
      <c r="B619">
        <f t="shared" si="53"/>
        <v>9</v>
      </c>
      <c r="C619">
        <f t="shared" si="59"/>
        <v>0</v>
      </c>
      <c r="D619">
        <f t="shared" si="60"/>
        <v>9</v>
      </c>
      <c r="E619">
        <f t="shared" si="61"/>
        <v>33</v>
      </c>
      <c r="F619">
        <f>3*DesarrolloPartidos[[#This Row],[Partidos_3]]</f>
        <v>0</v>
      </c>
      <c r="G619">
        <f>IF(DesarrolloPartidos[[#This Row],[Partidos_3]]=0,0,ROUNDUP(DesarrolloPartidos[[#This Row],[Orden]]/DesarrolloPartidos[[#This Row],[JugEnPart3]]*DesarrolloPartidos[[#This Row],[Partidos_3]],0))</f>
        <v>0</v>
      </c>
      <c r="H619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9</v>
      </c>
      <c r="I619" t="str">
        <f>IF(AND(DesarrolloPartidos[[#This Row],[PartidosSolo3]]&lt;=DesarrolloPartidos[[#This Row],[Partidos_3]],DesarrolloPartidos[[#This Row],[PartidosSolo3]]&lt;&gt;0),DesarrolloPartidos[[#This Row],[PartidosSolo3]],"")</f>
        <v/>
      </c>
      <c r="J619">
        <f>+IF(DesarrolloPartidos[[#This Row],[Partidos3]]="",DesarrolloPartidos[[#This Row],[Partidos4]],DesarrolloPartidos[[#This Row],[Partidos3]])</f>
        <v>9</v>
      </c>
      <c r="K619" t="str">
        <f>+DesarrolloPartidos[[#This Row],[Jugadores]]&amp;":"&amp;DesarrolloPartidos[[#This Row],[Orden]]</f>
        <v>36:33</v>
      </c>
    </row>
    <row r="620" spans="1:11">
      <c r="A620">
        <f t="shared" si="58"/>
        <v>36</v>
      </c>
      <c r="B620">
        <f t="shared" si="53"/>
        <v>9</v>
      </c>
      <c r="C620">
        <f t="shared" si="59"/>
        <v>0</v>
      </c>
      <c r="D620">
        <f t="shared" si="60"/>
        <v>9</v>
      </c>
      <c r="E620">
        <f t="shared" si="61"/>
        <v>34</v>
      </c>
      <c r="F620">
        <f>3*DesarrolloPartidos[[#This Row],[Partidos_3]]</f>
        <v>0</v>
      </c>
      <c r="G620">
        <f>IF(DesarrolloPartidos[[#This Row],[Partidos_3]]=0,0,ROUNDUP(DesarrolloPartidos[[#This Row],[Orden]]/DesarrolloPartidos[[#This Row],[JugEnPart3]]*DesarrolloPartidos[[#This Row],[Partidos_3]],0))</f>
        <v>0</v>
      </c>
      <c r="H620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9</v>
      </c>
      <c r="I620" t="str">
        <f>IF(AND(DesarrolloPartidos[[#This Row],[PartidosSolo3]]&lt;=DesarrolloPartidos[[#This Row],[Partidos_3]],DesarrolloPartidos[[#This Row],[PartidosSolo3]]&lt;&gt;0),DesarrolloPartidos[[#This Row],[PartidosSolo3]],"")</f>
        <v/>
      </c>
      <c r="J620">
        <f>+IF(DesarrolloPartidos[[#This Row],[Partidos3]]="",DesarrolloPartidos[[#This Row],[Partidos4]],DesarrolloPartidos[[#This Row],[Partidos3]])</f>
        <v>9</v>
      </c>
      <c r="K620" t="str">
        <f>+DesarrolloPartidos[[#This Row],[Jugadores]]&amp;":"&amp;DesarrolloPartidos[[#This Row],[Orden]]</f>
        <v>36:34</v>
      </c>
    </row>
    <row r="621" spans="1:11">
      <c r="A621">
        <f t="shared" si="58"/>
        <v>36</v>
      </c>
      <c r="B621">
        <f t="shared" si="53"/>
        <v>9</v>
      </c>
      <c r="C621">
        <f t="shared" si="59"/>
        <v>0</v>
      </c>
      <c r="D621">
        <f t="shared" si="60"/>
        <v>9</v>
      </c>
      <c r="E621">
        <f t="shared" si="61"/>
        <v>35</v>
      </c>
      <c r="F621">
        <f>3*DesarrolloPartidos[[#This Row],[Partidos_3]]</f>
        <v>0</v>
      </c>
      <c r="G621">
        <f>IF(DesarrolloPartidos[[#This Row],[Partidos_3]]=0,0,ROUNDUP(DesarrolloPartidos[[#This Row],[Orden]]/DesarrolloPartidos[[#This Row],[JugEnPart3]]*DesarrolloPartidos[[#This Row],[Partidos_3]],0))</f>
        <v>0</v>
      </c>
      <c r="H621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9</v>
      </c>
      <c r="I621" t="str">
        <f>IF(AND(DesarrolloPartidos[[#This Row],[PartidosSolo3]]&lt;=DesarrolloPartidos[[#This Row],[Partidos_3]],DesarrolloPartidos[[#This Row],[PartidosSolo3]]&lt;&gt;0),DesarrolloPartidos[[#This Row],[PartidosSolo3]],"")</f>
        <v/>
      </c>
      <c r="J621">
        <f>+IF(DesarrolloPartidos[[#This Row],[Partidos3]]="",DesarrolloPartidos[[#This Row],[Partidos4]],DesarrolloPartidos[[#This Row],[Partidos3]])</f>
        <v>9</v>
      </c>
      <c r="K621" t="str">
        <f>+DesarrolloPartidos[[#This Row],[Jugadores]]&amp;":"&amp;DesarrolloPartidos[[#This Row],[Orden]]</f>
        <v>36:35</v>
      </c>
    </row>
    <row r="622" spans="1:11">
      <c r="A622">
        <f t="shared" si="58"/>
        <v>36</v>
      </c>
      <c r="B622">
        <f t="shared" si="53"/>
        <v>9</v>
      </c>
      <c r="C622">
        <f t="shared" si="59"/>
        <v>0</v>
      </c>
      <c r="D622">
        <f t="shared" si="60"/>
        <v>9</v>
      </c>
      <c r="E622">
        <f t="shared" si="61"/>
        <v>36</v>
      </c>
      <c r="F622">
        <f>3*DesarrolloPartidos[[#This Row],[Partidos_3]]</f>
        <v>0</v>
      </c>
      <c r="G622">
        <f>IF(DesarrolloPartidos[[#This Row],[Partidos_3]]=0,0,ROUNDUP(DesarrolloPartidos[[#This Row],[Orden]]/DesarrolloPartidos[[#This Row],[JugEnPart3]]*DesarrolloPartidos[[#This Row],[Partidos_3]],0))</f>
        <v>0</v>
      </c>
      <c r="H622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9</v>
      </c>
      <c r="I622" t="str">
        <f>IF(AND(DesarrolloPartidos[[#This Row],[PartidosSolo3]]&lt;=DesarrolloPartidos[[#This Row],[Partidos_3]],DesarrolloPartidos[[#This Row],[PartidosSolo3]]&lt;&gt;0),DesarrolloPartidos[[#This Row],[PartidosSolo3]],"")</f>
        <v/>
      </c>
      <c r="J622">
        <f>+IF(DesarrolloPartidos[[#This Row],[Partidos3]]="",DesarrolloPartidos[[#This Row],[Partidos4]],DesarrolloPartidos[[#This Row],[Partidos3]])</f>
        <v>9</v>
      </c>
      <c r="K622" t="str">
        <f>+DesarrolloPartidos[[#This Row],[Jugadores]]&amp;":"&amp;DesarrolloPartidos[[#This Row],[Orden]]</f>
        <v>36:36</v>
      </c>
    </row>
    <row r="623" spans="1:11">
      <c r="A623">
        <f t="shared" si="58"/>
        <v>37</v>
      </c>
      <c r="B623">
        <f t="shared" si="53"/>
        <v>10</v>
      </c>
      <c r="C623">
        <f t="shared" si="59"/>
        <v>3</v>
      </c>
      <c r="D623">
        <f t="shared" si="60"/>
        <v>7</v>
      </c>
      <c r="E623">
        <f t="shared" si="61"/>
        <v>1</v>
      </c>
      <c r="F623">
        <f>3*DesarrolloPartidos[[#This Row],[Partidos_3]]</f>
        <v>9</v>
      </c>
      <c r="G623">
        <f>IF(DesarrolloPartidos[[#This Row],[Partidos_3]]=0,0,ROUNDUP(DesarrolloPartidos[[#This Row],[Orden]]/DesarrolloPartidos[[#This Row],[JugEnPart3]]*DesarrolloPartidos[[#This Row],[Partidos_3]],0))</f>
        <v>1</v>
      </c>
      <c r="H623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623">
        <f>IF(AND(DesarrolloPartidos[[#This Row],[PartidosSolo3]]&lt;=DesarrolloPartidos[[#This Row],[Partidos_3]],DesarrolloPartidos[[#This Row],[PartidosSolo3]]&lt;&gt;0),DesarrolloPartidos[[#This Row],[PartidosSolo3]],"")</f>
        <v>1</v>
      </c>
      <c r="J623">
        <f>+IF(DesarrolloPartidos[[#This Row],[Partidos3]]="",DesarrolloPartidos[[#This Row],[Partidos4]],DesarrolloPartidos[[#This Row],[Partidos3]])</f>
        <v>1</v>
      </c>
      <c r="K623" t="str">
        <f>+DesarrolloPartidos[[#This Row],[Jugadores]]&amp;":"&amp;DesarrolloPartidos[[#This Row],[Orden]]</f>
        <v>37:1</v>
      </c>
    </row>
    <row r="624" spans="1:11">
      <c r="A624">
        <f t="shared" si="58"/>
        <v>37</v>
      </c>
      <c r="B624">
        <f t="shared" si="53"/>
        <v>10</v>
      </c>
      <c r="C624">
        <f t="shared" si="59"/>
        <v>3</v>
      </c>
      <c r="D624">
        <f t="shared" si="60"/>
        <v>7</v>
      </c>
      <c r="E624">
        <f t="shared" si="61"/>
        <v>2</v>
      </c>
      <c r="F624">
        <f>3*DesarrolloPartidos[[#This Row],[Partidos_3]]</f>
        <v>9</v>
      </c>
      <c r="G624">
        <f>IF(DesarrolloPartidos[[#This Row],[Partidos_3]]=0,0,ROUNDUP(DesarrolloPartidos[[#This Row],[Orden]]/DesarrolloPartidos[[#This Row],[JugEnPart3]]*DesarrolloPartidos[[#This Row],[Partidos_3]],0))</f>
        <v>1</v>
      </c>
      <c r="H624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624">
        <f>IF(AND(DesarrolloPartidos[[#This Row],[PartidosSolo3]]&lt;=DesarrolloPartidos[[#This Row],[Partidos_3]],DesarrolloPartidos[[#This Row],[PartidosSolo3]]&lt;&gt;0),DesarrolloPartidos[[#This Row],[PartidosSolo3]],"")</f>
        <v>1</v>
      </c>
      <c r="J624">
        <f>+IF(DesarrolloPartidos[[#This Row],[Partidos3]]="",DesarrolloPartidos[[#This Row],[Partidos4]],DesarrolloPartidos[[#This Row],[Partidos3]])</f>
        <v>1</v>
      </c>
      <c r="K624" t="str">
        <f>+DesarrolloPartidos[[#This Row],[Jugadores]]&amp;":"&amp;DesarrolloPartidos[[#This Row],[Orden]]</f>
        <v>37:2</v>
      </c>
    </row>
    <row r="625" spans="1:11">
      <c r="A625">
        <f t="shared" si="58"/>
        <v>37</v>
      </c>
      <c r="B625">
        <f t="shared" si="53"/>
        <v>10</v>
      </c>
      <c r="C625">
        <f t="shared" si="59"/>
        <v>3</v>
      </c>
      <c r="D625">
        <f t="shared" si="60"/>
        <v>7</v>
      </c>
      <c r="E625">
        <f t="shared" si="61"/>
        <v>3</v>
      </c>
      <c r="F625">
        <f>3*DesarrolloPartidos[[#This Row],[Partidos_3]]</f>
        <v>9</v>
      </c>
      <c r="G625">
        <f>IF(DesarrolloPartidos[[#This Row],[Partidos_3]]=0,0,ROUNDUP(DesarrolloPartidos[[#This Row],[Orden]]/DesarrolloPartidos[[#This Row],[JugEnPart3]]*DesarrolloPartidos[[#This Row],[Partidos_3]],0))</f>
        <v>1</v>
      </c>
      <c r="H625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625">
        <f>IF(AND(DesarrolloPartidos[[#This Row],[PartidosSolo3]]&lt;=DesarrolloPartidos[[#This Row],[Partidos_3]],DesarrolloPartidos[[#This Row],[PartidosSolo3]]&lt;&gt;0),DesarrolloPartidos[[#This Row],[PartidosSolo3]],"")</f>
        <v>1</v>
      </c>
      <c r="J625">
        <f>+IF(DesarrolloPartidos[[#This Row],[Partidos3]]="",DesarrolloPartidos[[#This Row],[Partidos4]],DesarrolloPartidos[[#This Row],[Partidos3]])</f>
        <v>1</v>
      </c>
      <c r="K625" t="str">
        <f>+DesarrolloPartidos[[#This Row],[Jugadores]]&amp;":"&amp;DesarrolloPartidos[[#This Row],[Orden]]</f>
        <v>37:3</v>
      </c>
    </row>
    <row r="626" spans="1:11">
      <c r="A626">
        <f t="shared" si="58"/>
        <v>37</v>
      </c>
      <c r="B626">
        <f t="shared" si="53"/>
        <v>10</v>
      </c>
      <c r="C626">
        <f t="shared" si="59"/>
        <v>3</v>
      </c>
      <c r="D626">
        <f t="shared" si="60"/>
        <v>7</v>
      </c>
      <c r="E626">
        <f t="shared" si="61"/>
        <v>4</v>
      </c>
      <c r="F626">
        <f>3*DesarrolloPartidos[[#This Row],[Partidos_3]]</f>
        <v>9</v>
      </c>
      <c r="G626">
        <f>IF(DesarrolloPartidos[[#This Row],[Partidos_3]]=0,0,ROUNDUP(DesarrolloPartidos[[#This Row],[Orden]]/DesarrolloPartidos[[#This Row],[JugEnPart3]]*DesarrolloPartidos[[#This Row],[Partidos_3]],0))</f>
        <v>2</v>
      </c>
      <c r="H626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626">
        <f>IF(AND(DesarrolloPartidos[[#This Row],[PartidosSolo3]]&lt;=DesarrolloPartidos[[#This Row],[Partidos_3]],DesarrolloPartidos[[#This Row],[PartidosSolo3]]&lt;&gt;0),DesarrolloPartidos[[#This Row],[PartidosSolo3]],"")</f>
        <v>2</v>
      </c>
      <c r="J626">
        <f>+IF(DesarrolloPartidos[[#This Row],[Partidos3]]="",DesarrolloPartidos[[#This Row],[Partidos4]],DesarrolloPartidos[[#This Row],[Partidos3]])</f>
        <v>2</v>
      </c>
      <c r="K626" t="str">
        <f>+DesarrolloPartidos[[#This Row],[Jugadores]]&amp;":"&amp;DesarrolloPartidos[[#This Row],[Orden]]</f>
        <v>37:4</v>
      </c>
    </row>
    <row r="627" spans="1:11">
      <c r="A627">
        <f t="shared" si="58"/>
        <v>37</v>
      </c>
      <c r="B627">
        <f t="shared" si="53"/>
        <v>10</v>
      </c>
      <c r="C627">
        <f t="shared" si="59"/>
        <v>3</v>
      </c>
      <c r="D627">
        <f t="shared" si="60"/>
        <v>7</v>
      </c>
      <c r="E627">
        <f t="shared" si="61"/>
        <v>5</v>
      </c>
      <c r="F627">
        <f>3*DesarrolloPartidos[[#This Row],[Partidos_3]]</f>
        <v>9</v>
      </c>
      <c r="G627">
        <f>IF(DesarrolloPartidos[[#This Row],[Partidos_3]]=0,0,ROUNDUP(DesarrolloPartidos[[#This Row],[Orden]]/DesarrolloPartidos[[#This Row],[JugEnPart3]]*DesarrolloPartidos[[#This Row],[Partidos_3]],0))</f>
        <v>2</v>
      </c>
      <c r="H627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627">
        <f>IF(AND(DesarrolloPartidos[[#This Row],[PartidosSolo3]]&lt;=DesarrolloPartidos[[#This Row],[Partidos_3]],DesarrolloPartidos[[#This Row],[PartidosSolo3]]&lt;&gt;0),DesarrolloPartidos[[#This Row],[PartidosSolo3]],"")</f>
        <v>2</v>
      </c>
      <c r="J627">
        <f>+IF(DesarrolloPartidos[[#This Row],[Partidos3]]="",DesarrolloPartidos[[#This Row],[Partidos4]],DesarrolloPartidos[[#This Row],[Partidos3]])</f>
        <v>2</v>
      </c>
      <c r="K627" t="str">
        <f>+DesarrolloPartidos[[#This Row],[Jugadores]]&amp;":"&amp;DesarrolloPartidos[[#This Row],[Orden]]</f>
        <v>37:5</v>
      </c>
    </row>
    <row r="628" spans="1:11">
      <c r="A628">
        <f t="shared" si="58"/>
        <v>37</v>
      </c>
      <c r="B628">
        <f t="shared" si="53"/>
        <v>10</v>
      </c>
      <c r="C628">
        <f t="shared" si="59"/>
        <v>3</v>
      </c>
      <c r="D628">
        <f t="shared" si="60"/>
        <v>7</v>
      </c>
      <c r="E628">
        <f t="shared" si="61"/>
        <v>6</v>
      </c>
      <c r="F628">
        <f>3*DesarrolloPartidos[[#This Row],[Partidos_3]]</f>
        <v>9</v>
      </c>
      <c r="G628">
        <f>IF(DesarrolloPartidos[[#This Row],[Partidos_3]]=0,0,ROUNDUP(DesarrolloPartidos[[#This Row],[Orden]]/DesarrolloPartidos[[#This Row],[JugEnPart3]]*DesarrolloPartidos[[#This Row],[Partidos_3]],0))</f>
        <v>2</v>
      </c>
      <c r="H628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628">
        <f>IF(AND(DesarrolloPartidos[[#This Row],[PartidosSolo3]]&lt;=DesarrolloPartidos[[#This Row],[Partidos_3]],DesarrolloPartidos[[#This Row],[PartidosSolo3]]&lt;&gt;0),DesarrolloPartidos[[#This Row],[PartidosSolo3]],"")</f>
        <v>2</v>
      </c>
      <c r="J628">
        <f>+IF(DesarrolloPartidos[[#This Row],[Partidos3]]="",DesarrolloPartidos[[#This Row],[Partidos4]],DesarrolloPartidos[[#This Row],[Partidos3]])</f>
        <v>2</v>
      </c>
      <c r="K628" t="str">
        <f>+DesarrolloPartidos[[#This Row],[Jugadores]]&amp;":"&amp;DesarrolloPartidos[[#This Row],[Orden]]</f>
        <v>37:6</v>
      </c>
    </row>
    <row r="629" spans="1:11">
      <c r="A629">
        <f t="shared" si="58"/>
        <v>37</v>
      </c>
      <c r="B629">
        <f t="shared" si="53"/>
        <v>10</v>
      </c>
      <c r="C629">
        <f t="shared" si="59"/>
        <v>3</v>
      </c>
      <c r="D629">
        <f t="shared" si="60"/>
        <v>7</v>
      </c>
      <c r="E629">
        <f t="shared" si="61"/>
        <v>7</v>
      </c>
      <c r="F629">
        <f>3*DesarrolloPartidos[[#This Row],[Partidos_3]]</f>
        <v>9</v>
      </c>
      <c r="G629">
        <f>IF(DesarrolloPartidos[[#This Row],[Partidos_3]]=0,0,ROUNDUP(DesarrolloPartidos[[#This Row],[Orden]]/DesarrolloPartidos[[#This Row],[JugEnPart3]]*DesarrolloPartidos[[#This Row],[Partidos_3]],0))</f>
        <v>3</v>
      </c>
      <c r="H629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629">
        <f>IF(AND(DesarrolloPartidos[[#This Row],[PartidosSolo3]]&lt;=DesarrolloPartidos[[#This Row],[Partidos_3]],DesarrolloPartidos[[#This Row],[PartidosSolo3]]&lt;&gt;0),DesarrolloPartidos[[#This Row],[PartidosSolo3]],"")</f>
        <v>3</v>
      </c>
      <c r="J629">
        <f>+IF(DesarrolloPartidos[[#This Row],[Partidos3]]="",DesarrolloPartidos[[#This Row],[Partidos4]],DesarrolloPartidos[[#This Row],[Partidos3]])</f>
        <v>3</v>
      </c>
      <c r="K629" t="str">
        <f>+DesarrolloPartidos[[#This Row],[Jugadores]]&amp;":"&amp;DesarrolloPartidos[[#This Row],[Orden]]</f>
        <v>37:7</v>
      </c>
    </row>
    <row r="630" spans="1:11">
      <c r="A630">
        <f t="shared" si="58"/>
        <v>37</v>
      </c>
      <c r="B630">
        <f t="shared" si="53"/>
        <v>10</v>
      </c>
      <c r="C630">
        <f t="shared" si="59"/>
        <v>3</v>
      </c>
      <c r="D630">
        <f t="shared" si="60"/>
        <v>7</v>
      </c>
      <c r="E630">
        <f t="shared" si="61"/>
        <v>8</v>
      </c>
      <c r="F630">
        <f>3*DesarrolloPartidos[[#This Row],[Partidos_3]]</f>
        <v>9</v>
      </c>
      <c r="G630">
        <f>IF(DesarrolloPartidos[[#This Row],[Partidos_3]]=0,0,ROUNDUP(DesarrolloPartidos[[#This Row],[Orden]]/DesarrolloPartidos[[#This Row],[JugEnPart3]]*DesarrolloPartidos[[#This Row],[Partidos_3]],0))</f>
        <v>3</v>
      </c>
      <c r="H630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630">
        <f>IF(AND(DesarrolloPartidos[[#This Row],[PartidosSolo3]]&lt;=DesarrolloPartidos[[#This Row],[Partidos_3]],DesarrolloPartidos[[#This Row],[PartidosSolo3]]&lt;&gt;0),DesarrolloPartidos[[#This Row],[PartidosSolo3]],"")</f>
        <v>3</v>
      </c>
      <c r="J630">
        <f>+IF(DesarrolloPartidos[[#This Row],[Partidos3]]="",DesarrolloPartidos[[#This Row],[Partidos4]],DesarrolloPartidos[[#This Row],[Partidos3]])</f>
        <v>3</v>
      </c>
      <c r="K630" t="str">
        <f>+DesarrolloPartidos[[#This Row],[Jugadores]]&amp;":"&amp;DesarrolloPartidos[[#This Row],[Orden]]</f>
        <v>37:8</v>
      </c>
    </row>
    <row r="631" spans="1:11">
      <c r="A631">
        <f t="shared" si="58"/>
        <v>37</v>
      </c>
      <c r="B631">
        <f t="shared" si="53"/>
        <v>10</v>
      </c>
      <c r="C631">
        <f t="shared" si="59"/>
        <v>3</v>
      </c>
      <c r="D631">
        <f t="shared" si="60"/>
        <v>7</v>
      </c>
      <c r="E631">
        <f t="shared" si="61"/>
        <v>9</v>
      </c>
      <c r="F631">
        <f>3*DesarrolloPartidos[[#This Row],[Partidos_3]]</f>
        <v>9</v>
      </c>
      <c r="G631">
        <f>IF(DesarrolloPartidos[[#This Row],[Partidos_3]]=0,0,ROUNDUP(DesarrolloPartidos[[#This Row],[Orden]]/DesarrolloPartidos[[#This Row],[JugEnPart3]]*DesarrolloPartidos[[#This Row],[Partidos_3]],0))</f>
        <v>3</v>
      </c>
      <c r="H631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631">
        <f>IF(AND(DesarrolloPartidos[[#This Row],[PartidosSolo3]]&lt;=DesarrolloPartidos[[#This Row],[Partidos_3]],DesarrolloPartidos[[#This Row],[PartidosSolo3]]&lt;&gt;0),DesarrolloPartidos[[#This Row],[PartidosSolo3]],"")</f>
        <v>3</v>
      </c>
      <c r="J631">
        <f>+IF(DesarrolloPartidos[[#This Row],[Partidos3]]="",DesarrolloPartidos[[#This Row],[Partidos4]],DesarrolloPartidos[[#This Row],[Partidos3]])</f>
        <v>3</v>
      </c>
      <c r="K631" t="str">
        <f>+DesarrolloPartidos[[#This Row],[Jugadores]]&amp;":"&amp;DesarrolloPartidos[[#This Row],[Orden]]</f>
        <v>37:9</v>
      </c>
    </row>
    <row r="632" spans="1:11">
      <c r="A632">
        <f t="shared" si="58"/>
        <v>37</v>
      </c>
      <c r="B632">
        <f t="shared" si="53"/>
        <v>10</v>
      </c>
      <c r="C632">
        <f t="shared" si="59"/>
        <v>3</v>
      </c>
      <c r="D632">
        <f t="shared" si="60"/>
        <v>7</v>
      </c>
      <c r="E632">
        <f t="shared" si="61"/>
        <v>10</v>
      </c>
      <c r="F632">
        <f>3*DesarrolloPartidos[[#This Row],[Partidos_3]]</f>
        <v>9</v>
      </c>
      <c r="G632">
        <f>IF(DesarrolloPartidos[[#This Row],[Partidos_3]]=0,0,ROUNDUP(DesarrolloPartidos[[#This Row],[Orden]]/DesarrolloPartidos[[#This Row],[JugEnPart3]]*DesarrolloPartidos[[#This Row],[Partidos_3]],0))</f>
        <v>4</v>
      </c>
      <c r="H632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632" t="str">
        <f>IF(AND(DesarrolloPartidos[[#This Row],[PartidosSolo3]]&lt;=DesarrolloPartidos[[#This Row],[Partidos_3]],DesarrolloPartidos[[#This Row],[PartidosSolo3]]&lt;&gt;0),DesarrolloPartidos[[#This Row],[PartidosSolo3]],"")</f>
        <v/>
      </c>
      <c r="J632">
        <f>+IF(DesarrolloPartidos[[#This Row],[Partidos3]]="",DesarrolloPartidos[[#This Row],[Partidos4]],DesarrolloPartidos[[#This Row],[Partidos3]])</f>
        <v>4</v>
      </c>
      <c r="K632" t="str">
        <f>+DesarrolloPartidos[[#This Row],[Jugadores]]&amp;":"&amp;DesarrolloPartidos[[#This Row],[Orden]]</f>
        <v>37:10</v>
      </c>
    </row>
    <row r="633" spans="1:11">
      <c r="A633">
        <f t="shared" si="58"/>
        <v>37</v>
      </c>
      <c r="B633">
        <f t="shared" si="53"/>
        <v>10</v>
      </c>
      <c r="C633">
        <f t="shared" si="59"/>
        <v>3</v>
      </c>
      <c r="D633">
        <f t="shared" si="60"/>
        <v>7</v>
      </c>
      <c r="E633">
        <f t="shared" si="61"/>
        <v>11</v>
      </c>
      <c r="F633">
        <f>3*DesarrolloPartidos[[#This Row],[Partidos_3]]</f>
        <v>9</v>
      </c>
      <c r="G633">
        <f>IF(DesarrolloPartidos[[#This Row],[Partidos_3]]=0,0,ROUNDUP(DesarrolloPartidos[[#This Row],[Orden]]/DesarrolloPartidos[[#This Row],[JugEnPart3]]*DesarrolloPartidos[[#This Row],[Partidos_3]],0))</f>
        <v>4</v>
      </c>
      <c r="H633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633" t="str">
        <f>IF(AND(DesarrolloPartidos[[#This Row],[PartidosSolo3]]&lt;=DesarrolloPartidos[[#This Row],[Partidos_3]],DesarrolloPartidos[[#This Row],[PartidosSolo3]]&lt;&gt;0),DesarrolloPartidos[[#This Row],[PartidosSolo3]],"")</f>
        <v/>
      </c>
      <c r="J633">
        <f>+IF(DesarrolloPartidos[[#This Row],[Partidos3]]="",DesarrolloPartidos[[#This Row],[Partidos4]],DesarrolloPartidos[[#This Row],[Partidos3]])</f>
        <v>4</v>
      </c>
      <c r="K633" t="str">
        <f>+DesarrolloPartidos[[#This Row],[Jugadores]]&amp;":"&amp;DesarrolloPartidos[[#This Row],[Orden]]</f>
        <v>37:11</v>
      </c>
    </row>
    <row r="634" spans="1:11">
      <c r="A634">
        <f t="shared" si="58"/>
        <v>37</v>
      </c>
      <c r="B634">
        <f t="shared" si="53"/>
        <v>10</v>
      </c>
      <c r="C634">
        <f t="shared" si="59"/>
        <v>3</v>
      </c>
      <c r="D634">
        <f t="shared" si="60"/>
        <v>7</v>
      </c>
      <c r="E634">
        <f t="shared" si="61"/>
        <v>12</v>
      </c>
      <c r="F634">
        <f>3*DesarrolloPartidos[[#This Row],[Partidos_3]]</f>
        <v>9</v>
      </c>
      <c r="G634">
        <f>IF(DesarrolloPartidos[[#This Row],[Partidos_3]]=0,0,ROUNDUP(DesarrolloPartidos[[#This Row],[Orden]]/DesarrolloPartidos[[#This Row],[JugEnPart3]]*DesarrolloPartidos[[#This Row],[Partidos_3]],0))</f>
        <v>4</v>
      </c>
      <c r="H634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634" t="str">
        <f>IF(AND(DesarrolloPartidos[[#This Row],[PartidosSolo3]]&lt;=DesarrolloPartidos[[#This Row],[Partidos_3]],DesarrolloPartidos[[#This Row],[PartidosSolo3]]&lt;&gt;0),DesarrolloPartidos[[#This Row],[PartidosSolo3]],"")</f>
        <v/>
      </c>
      <c r="J634">
        <f>+IF(DesarrolloPartidos[[#This Row],[Partidos3]]="",DesarrolloPartidos[[#This Row],[Partidos4]],DesarrolloPartidos[[#This Row],[Partidos3]])</f>
        <v>4</v>
      </c>
      <c r="K634" t="str">
        <f>+DesarrolloPartidos[[#This Row],[Jugadores]]&amp;":"&amp;DesarrolloPartidos[[#This Row],[Orden]]</f>
        <v>37:12</v>
      </c>
    </row>
    <row r="635" spans="1:11">
      <c r="A635">
        <f t="shared" si="58"/>
        <v>37</v>
      </c>
      <c r="B635">
        <f t="shared" si="53"/>
        <v>10</v>
      </c>
      <c r="C635">
        <f t="shared" si="59"/>
        <v>3</v>
      </c>
      <c r="D635">
        <f t="shared" si="60"/>
        <v>7</v>
      </c>
      <c r="E635">
        <f t="shared" si="61"/>
        <v>13</v>
      </c>
      <c r="F635">
        <f>3*DesarrolloPartidos[[#This Row],[Partidos_3]]</f>
        <v>9</v>
      </c>
      <c r="G635">
        <f>IF(DesarrolloPartidos[[#This Row],[Partidos_3]]=0,0,ROUNDUP(DesarrolloPartidos[[#This Row],[Orden]]/DesarrolloPartidos[[#This Row],[JugEnPart3]]*DesarrolloPartidos[[#This Row],[Partidos_3]],0))</f>
        <v>5</v>
      </c>
      <c r="H635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635" t="str">
        <f>IF(AND(DesarrolloPartidos[[#This Row],[PartidosSolo3]]&lt;=DesarrolloPartidos[[#This Row],[Partidos_3]],DesarrolloPartidos[[#This Row],[PartidosSolo3]]&lt;&gt;0),DesarrolloPartidos[[#This Row],[PartidosSolo3]],"")</f>
        <v/>
      </c>
      <c r="J635">
        <f>+IF(DesarrolloPartidos[[#This Row],[Partidos3]]="",DesarrolloPartidos[[#This Row],[Partidos4]],DesarrolloPartidos[[#This Row],[Partidos3]])</f>
        <v>4</v>
      </c>
      <c r="K635" t="str">
        <f>+DesarrolloPartidos[[#This Row],[Jugadores]]&amp;":"&amp;DesarrolloPartidos[[#This Row],[Orden]]</f>
        <v>37:13</v>
      </c>
    </row>
    <row r="636" spans="1:11">
      <c r="A636">
        <f t="shared" si="58"/>
        <v>37</v>
      </c>
      <c r="B636">
        <f t="shared" si="53"/>
        <v>10</v>
      </c>
      <c r="C636">
        <f t="shared" si="59"/>
        <v>3</v>
      </c>
      <c r="D636">
        <f t="shared" si="60"/>
        <v>7</v>
      </c>
      <c r="E636">
        <f t="shared" si="61"/>
        <v>14</v>
      </c>
      <c r="F636">
        <f>3*DesarrolloPartidos[[#This Row],[Partidos_3]]</f>
        <v>9</v>
      </c>
      <c r="G636">
        <f>IF(DesarrolloPartidos[[#This Row],[Partidos_3]]=0,0,ROUNDUP(DesarrolloPartidos[[#This Row],[Orden]]/DesarrolloPartidos[[#This Row],[JugEnPart3]]*DesarrolloPartidos[[#This Row],[Partidos_3]],0))</f>
        <v>5</v>
      </c>
      <c r="H636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5</v>
      </c>
      <c r="I636" t="str">
        <f>IF(AND(DesarrolloPartidos[[#This Row],[PartidosSolo3]]&lt;=DesarrolloPartidos[[#This Row],[Partidos_3]],DesarrolloPartidos[[#This Row],[PartidosSolo3]]&lt;&gt;0),DesarrolloPartidos[[#This Row],[PartidosSolo3]],"")</f>
        <v/>
      </c>
      <c r="J636">
        <f>+IF(DesarrolloPartidos[[#This Row],[Partidos3]]="",DesarrolloPartidos[[#This Row],[Partidos4]],DesarrolloPartidos[[#This Row],[Partidos3]])</f>
        <v>5</v>
      </c>
      <c r="K636" t="str">
        <f>+DesarrolloPartidos[[#This Row],[Jugadores]]&amp;":"&amp;DesarrolloPartidos[[#This Row],[Orden]]</f>
        <v>37:14</v>
      </c>
    </row>
    <row r="637" spans="1:11">
      <c r="A637">
        <f t="shared" si="58"/>
        <v>37</v>
      </c>
      <c r="B637">
        <f t="shared" si="53"/>
        <v>10</v>
      </c>
      <c r="C637">
        <f t="shared" si="59"/>
        <v>3</v>
      </c>
      <c r="D637">
        <f t="shared" si="60"/>
        <v>7</v>
      </c>
      <c r="E637">
        <f t="shared" si="61"/>
        <v>15</v>
      </c>
      <c r="F637">
        <f>3*DesarrolloPartidos[[#This Row],[Partidos_3]]</f>
        <v>9</v>
      </c>
      <c r="G637">
        <f>IF(DesarrolloPartidos[[#This Row],[Partidos_3]]=0,0,ROUNDUP(DesarrolloPartidos[[#This Row],[Orden]]/DesarrolloPartidos[[#This Row],[JugEnPart3]]*DesarrolloPartidos[[#This Row],[Partidos_3]],0))</f>
        <v>5</v>
      </c>
      <c r="H637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5</v>
      </c>
      <c r="I637" t="str">
        <f>IF(AND(DesarrolloPartidos[[#This Row],[PartidosSolo3]]&lt;=DesarrolloPartidos[[#This Row],[Partidos_3]],DesarrolloPartidos[[#This Row],[PartidosSolo3]]&lt;&gt;0),DesarrolloPartidos[[#This Row],[PartidosSolo3]],"")</f>
        <v/>
      </c>
      <c r="J637">
        <f>+IF(DesarrolloPartidos[[#This Row],[Partidos3]]="",DesarrolloPartidos[[#This Row],[Partidos4]],DesarrolloPartidos[[#This Row],[Partidos3]])</f>
        <v>5</v>
      </c>
      <c r="K637" t="str">
        <f>+DesarrolloPartidos[[#This Row],[Jugadores]]&amp;":"&amp;DesarrolloPartidos[[#This Row],[Orden]]</f>
        <v>37:15</v>
      </c>
    </row>
    <row r="638" spans="1:11">
      <c r="A638">
        <f t="shared" si="58"/>
        <v>37</v>
      </c>
      <c r="B638">
        <f t="shared" si="53"/>
        <v>10</v>
      </c>
      <c r="C638">
        <f t="shared" si="59"/>
        <v>3</v>
      </c>
      <c r="D638">
        <f t="shared" si="60"/>
        <v>7</v>
      </c>
      <c r="E638">
        <f t="shared" si="61"/>
        <v>16</v>
      </c>
      <c r="F638">
        <f>3*DesarrolloPartidos[[#This Row],[Partidos_3]]</f>
        <v>9</v>
      </c>
      <c r="G638">
        <f>IF(DesarrolloPartidos[[#This Row],[Partidos_3]]=0,0,ROUNDUP(DesarrolloPartidos[[#This Row],[Orden]]/DesarrolloPartidos[[#This Row],[JugEnPart3]]*DesarrolloPartidos[[#This Row],[Partidos_3]],0))</f>
        <v>6</v>
      </c>
      <c r="H638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5</v>
      </c>
      <c r="I638" t="str">
        <f>IF(AND(DesarrolloPartidos[[#This Row],[PartidosSolo3]]&lt;=DesarrolloPartidos[[#This Row],[Partidos_3]],DesarrolloPartidos[[#This Row],[PartidosSolo3]]&lt;&gt;0),DesarrolloPartidos[[#This Row],[PartidosSolo3]],"")</f>
        <v/>
      </c>
      <c r="J638">
        <f>+IF(DesarrolloPartidos[[#This Row],[Partidos3]]="",DesarrolloPartidos[[#This Row],[Partidos4]],DesarrolloPartidos[[#This Row],[Partidos3]])</f>
        <v>5</v>
      </c>
      <c r="K638" t="str">
        <f>+DesarrolloPartidos[[#This Row],[Jugadores]]&amp;":"&amp;DesarrolloPartidos[[#This Row],[Orden]]</f>
        <v>37:16</v>
      </c>
    </row>
    <row r="639" spans="1:11">
      <c r="A639">
        <f t="shared" si="58"/>
        <v>37</v>
      </c>
      <c r="B639">
        <f t="shared" si="53"/>
        <v>10</v>
      </c>
      <c r="C639">
        <f t="shared" si="59"/>
        <v>3</v>
      </c>
      <c r="D639">
        <f t="shared" si="60"/>
        <v>7</v>
      </c>
      <c r="E639">
        <f t="shared" si="61"/>
        <v>17</v>
      </c>
      <c r="F639">
        <f>3*DesarrolloPartidos[[#This Row],[Partidos_3]]</f>
        <v>9</v>
      </c>
      <c r="G639">
        <f>IF(DesarrolloPartidos[[#This Row],[Partidos_3]]=0,0,ROUNDUP(DesarrolloPartidos[[#This Row],[Orden]]/DesarrolloPartidos[[#This Row],[JugEnPart3]]*DesarrolloPartidos[[#This Row],[Partidos_3]],0))</f>
        <v>6</v>
      </c>
      <c r="H639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5</v>
      </c>
      <c r="I639" t="str">
        <f>IF(AND(DesarrolloPartidos[[#This Row],[PartidosSolo3]]&lt;=DesarrolloPartidos[[#This Row],[Partidos_3]],DesarrolloPartidos[[#This Row],[PartidosSolo3]]&lt;&gt;0),DesarrolloPartidos[[#This Row],[PartidosSolo3]],"")</f>
        <v/>
      </c>
      <c r="J639">
        <f>+IF(DesarrolloPartidos[[#This Row],[Partidos3]]="",DesarrolloPartidos[[#This Row],[Partidos4]],DesarrolloPartidos[[#This Row],[Partidos3]])</f>
        <v>5</v>
      </c>
      <c r="K639" t="str">
        <f>+DesarrolloPartidos[[#This Row],[Jugadores]]&amp;":"&amp;DesarrolloPartidos[[#This Row],[Orden]]</f>
        <v>37:17</v>
      </c>
    </row>
    <row r="640" spans="1:11">
      <c r="A640">
        <f t="shared" si="58"/>
        <v>37</v>
      </c>
      <c r="B640">
        <f t="shared" si="53"/>
        <v>10</v>
      </c>
      <c r="C640">
        <f t="shared" si="59"/>
        <v>3</v>
      </c>
      <c r="D640">
        <f t="shared" si="60"/>
        <v>7</v>
      </c>
      <c r="E640">
        <f t="shared" si="61"/>
        <v>18</v>
      </c>
      <c r="F640">
        <f>3*DesarrolloPartidos[[#This Row],[Partidos_3]]</f>
        <v>9</v>
      </c>
      <c r="G640">
        <f>IF(DesarrolloPartidos[[#This Row],[Partidos_3]]=0,0,ROUNDUP(DesarrolloPartidos[[#This Row],[Orden]]/DesarrolloPartidos[[#This Row],[JugEnPart3]]*DesarrolloPartidos[[#This Row],[Partidos_3]],0))</f>
        <v>6</v>
      </c>
      <c r="H640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6</v>
      </c>
      <c r="I640" t="str">
        <f>IF(AND(DesarrolloPartidos[[#This Row],[PartidosSolo3]]&lt;=DesarrolloPartidos[[#This Row],[Partidos_3]],DesarrolloPartidos[[#This Row],[PartidosSolo3]]&lt;&gt;0),DesarrolloPartidos[[#This Row],[PartidosSolo3]],"")</f>
        <v/>
      </c>
      <c r="J640">
        <f>+IF(DesarrolloPartidos[[#This Row],[Partidos3]]="",DesarrolloPartidos[[#This Row],[Partidos4]],DesarrolloPartidos[[#This Row],[Partidos3]])</f>
        <v>6</v>
      </c>
      <c r="K640" t="str">
        <f>+DesarrolloPartidos[[#This Row],[Jugadores]]&amp;":"&amp;DesarrolloPartidos[[#This Row],[Orden]]</f>
        <v>37:18</v>
      </c>
    </row>
    <row r="641" spans="1:11">
      <c r="A641">
        <f t="shared" si="58"/>
        <v>37</v>
      </c>
      <c r="B641">
        <f t="shared" si="53"/>
        <v>10</v>
      </c>
      <c r="C641">
        <f t="shared" si="59"/>
        <v>3</v>
      </c>
      <c r="D641">
        <f t="shared" si="60"/>
        <v>7</v>
      </c>
      <c r="E641">
        <f t="shared" si="61"/>
        <v>19</v>
      </c>
      <c r="F641">
        <f>3*DesarrolloPartidos[[#This Row],[Partidos_3]]</f>
        <v>9</v>
      </c>
      <c r="G641">
        <f>IF(DesarrolloPartidos[[#This Row],[Partidos_3]]=0,0,ROUNDUP(DesarrolloPartidos[[#This Row],[Orden]]/DesarrolloPartidos[[#This Row],[JugEnPart3]]*DesarrolloPartidos[[#This Row],[Partidos_3]],0))</f>
        <v>7</v>
      </c>
      <c r="H641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6</v>
      </c>
      <c r="I641" t="str">
        <f>IF(AND(DesarrolloPartidos[[#This Row],[PartidosSolo3]]&lt;=DesarrolloPartidos[[#This Row],[Partidos_3]],DesarrolloPartidos[[#This Row],[PartidosSolo3]]&lt;&gt;0),DesarrolloPartidos[[#This Row],[PartidosSolo3]],"")</f>
        <v/>
      </c>
      <c r="J641">
        <f>+IF(DesarrolloPartidos[[#This Row],[Partidos3]]="",DesarrolloPartidos[[#This Row],[Partidos4]],DesarrolloPartidos[[#This Row],[Partidos3]])</f>
        <v>6</v>
      </c>
      <c r="K641" t="str">
        <f>+DesarrolloPartidos[[#This Row],[Jugadores]]&amp;":"&amp;DesarrolloPartidos[[#This Row],[Orden]]</f>
        <v>37:19</v>
      </c>
    </row>
    <row r="642" spans="1:11">
      <c r="A642">
        <f t="shared" si="58"/>
        <v>37</v>
      </c>
      <c r="B642">
        <f t="shared" si="53"/>
        <v>10</v>
      </c>
      <c r="C642">
        <f t="shared" si="59"/>
        <v>3</v>
      </c>
      <c r="D642">
        <f t="shared" si="60"/>
        <v>7</v>
      </c>
      <c r="E642">
        <f t="shared" si="61"/>
        <v>20</v>
      </c>
      <c r="F642">
        <f>3*DesarrolloPartidos[[#This Row],[Partidos_3]]</f>
        <v>9</v>
      </c>
      <c r="G642">
        <f>IF(DesarrolloPartidos[[#This Row],[Partidos_3]]=0,0,ROUNDUP(DesarrolloPartidos[[#This Row],[Orden]]/DesarrolloPartidos[[#This Row],[JugEnPart3]]*DesarrolloPartidos[[#This Row],[Partidos_3]],0))</f>
        <v>7</v>
      </c>
      <c r="H642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6</v>
      </c>
      <c r="I642" t="str">
        <f>IF(AND(DesarrolloPartidos[[#This Row],[PartidosSolo3]]&lt;=DesarrolloPartidos[[#This Row],[Partidos_3]],DesarrolloPartidos[[#This Row],[PartidosSolo3]]&lt;&gt;0),DesarrolloPartidos[[#This Row],[PartidosSolo3]],"")</f>
        <v/>
      </c>
      <c r="J642">
        <f>+IF(DesarrolloPartidos[[#This Row],[Partidos3]]="",DesarrolloPartidos[[#This Row],[Partidos4]],DesarrolloPartidos[[#This Row],[Partidos3]])</f>
        <v>6</v>
      </c>
      <c r="K642" t="str">
        <f>+DesarrolloPartidos[[#This Row],[Jugadores]]&amp;":"&amp;DesarrolloPartidos[[#This Row],[Orden]]</f>
        <v>37:20</v>
      </c>
    </row>
    <row r="643" spans="1:11">
      <c r="A643">
        <f t="shared" si="58"/>
        <v>37</v>
      </c>
      <c r="B643">
        <f t="shared" ref="B643:B706" si="62">+ROUNDUP(A643/4,0)</f>
        <v>10</v>
      </c>
      <c r="C643">
        <f t="shared" si="59"/>
        <v>3</v>
      </c>
      <c r="D643">
        <f t="shared" si="60"/>
        <v>7</v>
      </c>
      <c r="E643">
        <f t="shared" si="61"/>
        <v>21</v>
      </c>
      <c r="F643">
        <f>3*DesarrolloPartidos[[#This Row],[Partidos_3]]</f>
        <v>9</v>
      </c>
      <c r="G643">
        <f>IF(DesarrolloPartidos[[#This Row],[Partidos_3]]=0,0,ROUNDUP(DesarrolloPartidos[[#This Row],[Orden]]/DesarrolloPartidos[[#This Row],[JugEnPart3]]*DesarrolloPartidos[[#This Row],[Partidos_3]],0))</f>
        <v>7</v>
      </c>
      <c r="H643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6</v>
      </c>
      <c r="I643" t="str">
        <f>IF(AND(DesarrolloPartidos[[#This Row],[PartidosSolo3]]&lt;=DesarrolloPartidos[[#This Row],[Partidos_3]],DesarrolloPartidos[[#This Row],[PartidosSolo3]]&lt;&gt;0),DesarrolloPartidos[[#This Row],[PartidosSolo3]],"")</f>
        <v/>
      </c>
      <c r="J643">
        <f>+IF(DesarrolloPartidos[[#This Row],[Partidos3]]="",DesarrolloPartidos[[#This Row],[Partidos4]],DesarrolloPartidos[[#This Row],[Partidos3]])</f>
        <v>6</v>
      </c>
      <c r="K643" t="str">
        <f>+DesarrolloPartidos[[#This Row],[Jugadores]]&amp;":"&amp;DesarrolloPartidos[[#This Row],[Orden]]</f>
        <v>37:21</v>
      </c>
    </row>
    <row r="644" spans="1:11">
      <c r="A644">
        <f t="shared" si="58"/>
        <v>37</v>
      </c>
      <c r="B644">
        <f t="shared" si="62"/>
        <v>10</v>
      </c>
      <c r="C644">
        <f t="shared" si="59"/>
        <v>3</v>
      </c>
      <c r="D644">
        <f t="shared" si="60"/>
        <v>7</v>
      </c>
      <c r="E644">
        <f t="shared" si="61"/>
        <v>22</v>
      </c>
      <c r="F644">
        <f>3*DesarrolloPartidos[[#This Row],[Partidos_3]]</f>
        <v>9</v>
      </c>
      <c r="G644">
        <f>IF(DesarrolloPartidos[[#This Row],[Partidos_3]]=0,0,ROUNDUP(DesarrolloPartidos[[#This Row],[Orden]]/DesarrolloPartidos[[#This Row],[JugEnPart3]]*DesarrolloPartidos[[#This Row],[Partidos_3]],0))</f>
        <v>8</v>
      </c>
      <c r="H644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7</v>
      </c>
      <c r="I644" t="str">
        <f>IF(AND(DesarrolloPartidos[[#This Row],[PartidosSolo3]]&lt;=DesarrolloPartidos[[#This Row],[Partidos_3]],DesarrolloPartidos[[#This Row],[PartidosSolo3]]&lt;&gt;0),DesarrolloPartidos[[#This Row],[PartidosSolo3]],"")</f>
        <v/>
      </c>
      <c r="J644">
        <f>+IF(DesarrolloPartidos[[#This Row],[Partidos3]]="",DesarrolloPartidos[[#This Row],[Partidos4]],DesarrolloPartidos[[#This Row],[Partidos3]])</f>
        <v>7</v>
      </c>
      <c r="K644" t="str">
        <f>+DesarrolloPartidos[[#This Row],[Jugadores]]&amp;":"&amp;DesarrolloPartidos[[#This Row],[Orden]]</f>
        <v>37:22</v>
      </c>
    </row>
    <row r="645" spans="1:11">
      <c r="A645">
        <f t="shared" si="58"/>
        <v>37</v>
      </c>
      <c r="B645">
        <f t="shared" si="62"/>
        <v>10</v>
      </c>
      <c r="C645">
        <f t="shared" si="59"/>
        <v>3</v>
      </c>
      <c r="D645">
        <f t="shared" si="60"/>
        <v>7</v>
      </c>
      <c r="E645">
        <f t="shared" si="61"/>
        <v>23</v>
      </c>
      <c r="F645">
        <f>3*DesarrolloPartidos[[#This Row],[Partidos_3]]</f>
        <v>9</v>
      </c>
      <c r="G645">
        <f>IF(DesarrolloPartidos[[#This Row],[Partidos_3]]=0,0,ROUNDUP(DesarrolloPartidos[[#This Row],[Orden]]/DesarrolloPartidos[[#This Row],[JugEnPart3]]*DesarrolloPartidos[[#This Row],[Partidos_3]],0))</f>
        <v>8</v>
      </c>
      <c r="H645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7</v>
      </c>
      <c r="I645" t="str">
        <f>IF(AND(DesarrolloPartidos[[#This Row],[PartidosSolo3]]&lt;=DesarrolloPartidos[[#This Row],[Partidos_3]],DesarrolloPartidos[[#This Row],[PartidosSolo3]]&lt;&gt;0),DesarrolloPartidos[[#This Row],[PartidosSolo3]],"")</f>
        <v/>
      </c>
      <c r="J645">
        <f>+IF(DesarrolloPartidos[[#This Row],[Partidos3]]="",DesarrolloPartidos[[#This Row],[Partidos4]],DesarrolloPartidos[[#This Row],[Partidos3]])</f>
        <v>7</v>
      </c>
      <c r="K645" t="str">
        <f>+DesarrolloPartidos[[#This Row],[Jugadores]]&amp;":"&amp;DesarrolloPartidos[[#This Row],[Orden]]</f>
        <v>37:23</v>
      </c>
    </row>
    <row r="646" spans="1:11">
      <c r="A646">
        <f t="shared" si="58"/>
        <v>37</v>
      </c>
      <c r="B646">
        <f t="shared" si="62"/>
        <v>10</v>
      </c>
      <c r="C646">
        <f t="shared" si="59"/>
        <v>3</v>
      </c>
      <c r="D646">
        <f t="shared" si="60"/>
        <v>7</v>
      </c>
      <c r="E646">
        <f t="shared" si="61"/>
        <v>24</v>
      </c>
      <c r="F646">
        <f>3*DesarrolloPartidos[[#This Row],[Partidos_3]]</f>
        <v>9</v>
      </c>
      <c r="G646">
        <f>IF(DesarrolloPartidos[[#This Row],[Partidos_3]]=0,0,ROUNDUP(DesarrolloPartidos[[#This Row],[Orden]]/DesarrolloPartidos[[#This Row],[JugEnPart3]]*DesarrolloPartidos[[#This Row],[Partidos_3]],0))</f>
        <v>8</v>
      </c>
      <c r="H646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7</v>
      </c>
      <c r="I646" t="str">
        <f>IF(AND(DesarrolloPartidos[[#This Row],[PartidosSolo3]]&lt;=DesarrolloPartidos[[#This Row],[Partidos_3]],DesarrolloPartidos[[#This Row],[PartidosSolo3]]&lt;&gt;0),DesarrolloPartidos[[#This Row],[PartidosSolo3]],"")</f>
        <v/>
      </c>
      <c r="J646">
        <f>+IF(DesarrolloPartidos[[#This Row],[Partidos3]]="",DesarrolloPartidos[[#This Row],[Partidos4]],DesarrolloPartidos[[#This Row],[Partidos3]])</f>
        <v>7</v>
      </c>
      <c r="K646" t="str">
        <f>+DesarrolloPartidos[[#This Row],[Jugadores]]&amp;":"&amp;DesarrolloPartidos[[#This Row],[Orden]]</f>
        <v>37:24</v>
      </c>
    </row>
    <row r="647" spans="1:11">
      <c r="A647">
        <f t="shared" si="58"/>
        <v>37</v>
      </c>
      <c r="B647">
        <f t="shared" si="62"/>
        <v>10</v>
      </c>
      <c r="C647">
        <f t="shared" si="59"/>
        <v>3</v>
      </c>
      <c r="D647">
        <f t="shared" si="60"/>
        <v>7</v>
      </c>
      <c r="E647">
        <f t="shared" si="61"/>
        <v>25</v>
      </c>
      <c r="F647">
        <f>3*DesarrolloPartidos[[#This Row],[Partidos_3]]</f>
        <v>9</v>
      </c>
      <c r="G647">
        <f>IF(DesarrolloPartidos[[#This Row],[Partidos_3]]=0,0,ROUNDUP(DesarrolloPartidos[[#This Row],[Orden]]/DesarrolloPartidos[[#This Row],[JugEnPart3]]*DesarrolloPartidos[[#This Row],[Partidos_3]],0))</f>
        <v>9</v>
      </c>
      <c r="H647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7</v>
      </c>
      <c r="I647" t="str">
        <f>IF(AND(DesarrolloPartidos[[#This Row],[PartidosSolo3]]&lt;=DesarrolloPartidos[[#This Row],[Partidos_3]],DesarrolloPartidos[[#This Row],[PartidosSolo3]]&lt;&gt;0),DesarrolloPartidos[[#This Row],[PartidosSolo3]],"")</f>
        <v/>
      </c>
      <c r="J647">
        <f>+IF(DesarrolloPartidos[[#This Row],[Partidos3]]="",DesarrolloPartidos[[#This Row],[Partidos4]],DesarrolloPartidos[[#This Row],[Partidos3]])</f>
        <v>7</v>
      </c>
      <c r="K647" t="str">
        <f>+DesarrolloPartidos[[#This Row],[Jugadores]]&amp;":"&amp;DesarrolloPartidos[[#This Row],[Orden]]</f>
        <v>37:25</v>
      </c>
    </row>
    <row r="648" spans="1:11">
      <c r="A648">
        <f t="shared" si="58"/>
        <v>37</v>
      </c>
      <c r="B648">
        <f t="shared" si="62"/>
        <v>10</v>
      </c>
      <c r="C648">
        <f t="shared" si="59"/>
        <v>3</v>
      </c>
      <c r="D648">
        <f t="shared" si="60"/>
        <v>7</v>
      </c>
      <c r="E648">
        <f t="shared" si="61"/>
        <v>26</v>
      </c>
      <c r="F648">
        <f>3*DesarrolloPartidos[[#This Row],[Partidos_3]]</f>
        <v>9</v>
      </c>
      <c r="G648">
        <f>IF(DesarrolloPartidos[[#This Row],[Partidos_3]]=0,0,ROUNDUP(DesarrolloPartidos[[#This Row],[Orden]]/DesarrolloPartidos[[#This Row],[JugEnPart3]]*DesarrolloPartidos[[#This Row],[Partidos_3]],0))</f>
        <v>9</v>
      </c>
      <c r="H648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8</v>
      </c>
      <c r="I648" t="str">
        <f>IF(AND(DesarrolloPartidos[[#This Row],[PartidosSolo3]]&lt;=DesarrolloPartidos[[#This Row],[Partidos_3]],DesarrolloPartidos[[#This Row],[PartidosSolo3]]&lt;&gt;0),DesarrolloPartidos[[#This Row],[PartidosSolo3]],"")</f>
        <v/>
      </c>
      <c r="J648">
        <f>+IF(DesarrolloPartidos[[#This Row],[Partidos3]]="",DesarrolloPartidos[[#This Row],[Partidos4]],DesarrolloPartidos[[#This Row],[Partidos3]])</f>
        <v>8</v>
      </c>
      <c r="K648" t="str">
        <f>+DesarrolloPartidos[[#This Row],[Jugadores]]&amp;":"&amp;DesarrolloPartidos[[#This Row],[Orden]]</f>
        <v>37:26</v>
      </c>
    </row>
    <row r="649" spans="1:11">
      <c r="A649">
        <f t="shared" si="58"/>
        <v>37</v>
      </c>
      <c r="B649">
        <f t="shared" si="62"/>
        <v>10</v>
      </c>
      <c r="C649">
        <f t="shared" si="59"/>
        <v>3</v>
      </c>
      <c r="D649">
        <f t="shared" si="60"/>
        <v>7</v>
      </c>
      <c r="E649">
        <f t="shared" si="61"/>
        <v>27</v>
      </c>
      <c r="F649">
        <f>3*DesarrolloPartidos[[#This Row],[Partidos_3]]</f>
        <v>9</v>
      </c>
      <c r="G649">
        <f>IF(DesarrolloPartidos[[#This Row],[Partidos_3]]=0,0,ROUNDUP(DesarrolloPartidos[[#This Row],[Orden]]/DesarrolloPartidos[[#This Row],[JugEnPart3]]*DesarrolloPartidos[[#This Row],[Partidos_3]],0))</f>
        <v>9</v>
      </c>
      <c r="H649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8</v>
      </c>
      <c r="I649" t="str">
        <f>IF(AND(DesarrolloPartidos[[#This Row],[PartidosSolo3]]&lt;=DesarrolloPartidos[[#This Row],[Partidos_3]],DesarrolloPartidos[[#This Row],[PartidosSolo3]]&lt;&gt;0),DesarrolloPartidos[[#This Row],[PartidosSolo3]],"")</f>
        <v/>
      </c>
      <c r="J649">
        <f>+IF(DesarrolloPartidos[[#This Row],[Partidos3]]="",DesarrolloPartidos[[#This Row],[Partidos4]],DesarrolloPartidos[[#This Row],[Partidos3]])</f>
        <v>8</v>
      </c>
      <c r="K649" t="str">
        <f>+DesarrolloPartidos[[#This Row],[Jugadores]]&amp;":"&amp;DesarrolloPartidos[[#This Row],[Orden]]</f>
        <v>37:27</v>
      </c>
    </row>
    <row r="650" spans="1:11">
      <c r="A650">
        <f t="shared" si="58"/>
        <v>37</v>
      </c>
      <c r="B650">
        <f t="shared" si="62"/>
        <v>10</v>
      </c>
      <c r="C650">
        <f t="shared" si="59"/>
        <v>3</v>
      </c>
      <c r="D650">
        <f t="shared" si="60"/>
        <v>7</v>
      </c>
      <c r="E650">
        <f t="shared" si="61"/>
        <v>28</v>
      </c>
      <c r="F650">
        <f>3*DesarrolloPartidos[[#This Row],[Partidos_3]]</f>
        <v>9</v>
      </c>
      <c r="G650">
        <f>IF(DesarrolloPartidos[[#This Row],[Partidos_3]]=0,0,ROUNDUP(DesarrolloPartidos[[#This Row],[Orden]]/DesarrolloPartidos[[#This Row],[JugEnPart3]]*DesarrolloPartidos[[#This Row],[Partidos_3]],0))</f>
        <v>10</v>
      </c>
      <c r="H650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8</v>
      </c>
      <c r="I650" t="str">
        <f>IF(AND(DesarrolloPartidos[[#This Row],[PartidosSolo3]]&lt;=DesarrolloPartidos[[#This Row],[Partidos_3]],DesarrolloPartidos[[#This Row],[PartidosSolo3]]&lt;&gt;0),DesarrolloPartidos[[#This Row],[PartidosSolo3]],"")</f>
        <v/>
      </c>
      <c r="J650">
        <f>+IF(DesarrolloPartidos[[#This Row],[Partidos3]]="",DesarrolloPartidos[[#This Row],[Partidos4]],DesarrolloPartidos[[#This Row],[Partidos3]])</f>
        <v>8</v>
      </c>
      <c r="K650" t="str">
        <f>+DesarrolloPartidos[[#This Row],[Jugadores]]&amp;":"&amp;DesarrolloPartidos[[#This Row],[Orden]]</f>
        <v>37:28</v>
      </c>
    </row>
    <row r="651" spans="1:11">
      <c r="A651">
        <f t="shared" si="58"/>
        <v>37</v>
      </c>
      <c r="B651">
        <f t="shared" si="62"/>
        <v>10</v>
      </c>
      <c r="C651">
        <f t="shared" si="59"/>
        <v>3</v>
      </c>
      <c r="D651">
        <f t="shared" si="60"/>
        <v>7</v>
      </c>
      <c r="E651">
        <f t="shared" si="61"/>
        <v>29</v>
      </c>
      <c r="F651">
        <f>3*DesarrolloPartidos[[#This Row],[Partidos_3]]</f>
        <v>9</v>
      </c>
      <c r="G651">
        <f>IF(DesarrolloPartidos[[#This Row],[Partidos_3]]=0,0,ROUNDUP(DesarrolloPartidos[[#This Row],[Orden]]/DesarrolloPartidos[[#This Row],[JugEnPart3]]*DesarrolloPartidos[[#This Row],[Partidos_3]],0))</f>
        <v>10</v>
      </c>
      <c r="H651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8</v>
      </c>
      <c r="I651" t="str">
        <f>IF(AND(DesarrolloPartidos[[#This Row],[PartidosSolo3]]&lt;=DesarrolloPartidos[[#This Row],[Partidos_3]],DesarrolloPartidos[[#This Row],[PartidosSolo3]]&lt;&gt;0),DesarrolloPartidos[[#This Row],[PartidosSolo3]],"")</f>
        <v/>
      </c>
      <c r="J651">
        <f>+IF(DesarrolloPartidos[[#This Row],[Partidos3]]="",DesarrolloPartidos[[#This Row],[Partidos4]],DesarrolloPartidos[[#This Row],[Partidos3]])</f>
        <v>8</v>
      </c>
      <c r="K651" t="str">
        <f>+DesarrolloPartidos[[#This Row],[Jugadores]]&amp;":"&amp;DesarrolloPartidos[[#This Row],[Orden]]</f>
        <v>37:29</v>
      </c>
    </row>
    <row r="652" spans="1:11">
      <c r="A652">
        <f t="shared" si="58"/>
        <v>37</v>
      </c>
      <c r="B652">
        <f t="shared" si="62"/>
        <v>10</v>
      </c>
      <c r="C652">
        <f t="shared" si="59"/>
        <v>3</v>
      </c>
      <c r="D652">
        <f t="shared" si="60"/>
        <v>7</v>
      </c>
      <c r="E652">
        <f t="shared" si="61"/>
        <v>30</v>
      </c>
      <c r="F652">
        <f>3*DesarrolloPartidos[[#This Row],[Partidos_3]]</f>
        <v>9</v>
      </c>
      <c r="G652">
        <f>IF(DesarrolloPartidos[[#This Row],[Partidos_3]]=0,0,ROUNDUP(DesarrolloPartidos[[#This Row],[Orden]]/DesarrolloPartidos[[#This Row],[JugEnPart3]]*DesarrolloPartidos[[#This Row],[Partidos_3]],0))</f>
        <v>10</v>
      </c>
      <c r="H652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9</v>
      </c>
      <c r="I652" t="str">
        <f>IF(AND(DesarrolloPartidos[[#This Row],[PartidosSolo3]]&lt;=DesarrolloPartidos[[#This Row],[Partidos_3]],DesarrolloPartidos[[#This Row],[PartidosSolo3]]&lt;&gt;0),DesarrolloPartidos[[#This Row],[PartidosSolo3]],"")</f>
        <v/>
      </c>
      <c r="J652">
        <f>+IF(DesarrolloPartidos[[#This Row],[Partidos3]]="",DesarrolloPartidos[[#This Row],[Partidos4]],DesarrolloPartidos[[#This Row],[Partidos3]])</f>
        <v>9</v>
      </c>
      <c r="K652" t="str">
        <f>+DesarrolloPartidos[[#This Row],[Jugadores]]&amp;":"&amp;DesarrolloPartidos[[#This Row],[Orden]]</f>
        <v>37:30</v>
      </c>
    </row>
    <row r="653" spans="1:11">
      <c r="A653">
        <f t="shared" si="58"/>
        <v>37</v>
      </c>
      <c r="B653">
        <f t="shared" si="62"/>
        <v>10</v>
      </c>
      <c r="C653">
        <f t="shared" si="59"/>
        <v>3</v>
      </c>
      <c r="D653">
        <f t="shared" si="60"/>
        <v>7</v>
      </c>
      <c r="E653">
        <f t="shared" si="61"/>
        <v>31</v>
      </c>
      <c r="F653">
        <f>3*DesarrolloPartidos[[#This Row],[Partidos_3]]</f>
        <v>9</v>
      </c>
      <c r="G653">
        <f>IF(DesarrolloPartidos[[#This Row],[Partidos_3]]=0,0,ROUNDUP(DesarrolloPartidos[[#This Row],[Orden]]/DesarrolloPartidos[[#This Row],[JugEnPart3]]*DesarrolloPartidos[[#This Row],[Partidos_3]],0))</f>
        <v>11</v>
      </c>
      <c r="H653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9</v>
      </c>
      <c r="I653" t="str">
        <f>IF(AND(DesarrolloPartidos[[#This Row],[PartidosSolo3]]&lt;=DesarrolloPartidos[[#This Row],[Partidos_3]],DesarrolloPartidos[[#This Row],[PartidosSolo3]]&lt;&gt;0),DesarrolloPartidos[[#This Row],[PartidosSolo3]],"")</f>
        <v/>
      </c>
      <c r="J653">
        <f>+IF(DesarrolloPartidos[[#This Row],[Partidos3]]="",DesarrolloPartidos[[#This Row],[Partidos4]],DesarrolloPartidos[[#This Row],[Partidos3]])</f>
        <v>9</v>
      </c>
      <c r="K653" t="str">
        <f>+DesarrolloPartidos[[#This Row],[Jugadores]]&amp;":"&amp;DesarrolloPartidos[[#This Row],[Orden]]</f>
        <v>37:31</v>
      </c>
    </row>
    <row r="654" spans="1:11">
      <c r="A654">
        <f t="shared" si="58"/>
        <v>37</v>
      </c>
      <c r="B654">
        <f t="shared" si="62"/>
        <v>10</v>
      </c>
      <c r="C654">
        <f t="shared" si="59"/>
        <v>3</v>
      </c>
      <c r="D654">
        <f t="shared" si="60"/>
        <v>7</v>
      </c>
      <c r="E654">
        <f t="shared" si="61"/>
        <v>32</v>
      </c>
      <c r="F654">
        <f>3*DesarrolloPartidos[[#This Row],[Partidos_3]]</f>
        <v>9</v>
      </c>
      <c r="G654">
        <f>IF(DesarrolloPartidos[[#This Row],[Partidos_3]]=0,0,ROUNDUP(DesarrolloPartidos[[#This Row],[Orden]]/DesarrolloPartidos[[#This Row],[JugEnPart3]]*DesarrolloPartidos[[#This Row],[Partidos_3]],0))</f>
        <v>11</v>
      </c>
      <c r="H654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9</v>
      </c>
      <c r="I654" t="str">
        <f>IF(AND(DesarrolloPartidos[[#This Row],[PartidosSolo3]]&lt;=DesarrolloPartidos[[#This Row],[Partidos_3]],DesarrolloPartidos[[#This Row],[PartidosSolo3]]&lt;&gt;0),DesarrolloPartidos[[#This Row],[PartidosSolo3]],"")</f>
        <v/>
      </c>
      <c r="J654">
        <f>+IF(DesarrolloPartidos[[#This Row],[Partidos3]]="",DesarrolloPartidos[[#This Row],[Partidos4]],DesarrolloPartidos[[#This Row],[Partidos3]])</f>
        <v>9</v>
      </c>
      <c r="K654" t="str">
        <f>+DesarrolloPartidos[[#This Row],[Jugadores]]&amp;":"&amp;DesarrolloPartidos[[#This Row],[Orden]]</f>
        <v>37:32</v>
      </c>
    </row>
    <row r="655" spans="1:11">
      <c r="A655">
        <f t="shared" si="58"/>
        <v>37</v>
      </c>
      <c r="B655">
        <f t="shared" si="62"/>
        <v>10</v>
      </c>
      <c r="C655">
        <f t="shared" si="59"/>
        <v>3</v>
      </c>
      <c r="D655">
        <f t="shared" si="60"/>
        <v>7</v>
      </c>
      <c r="E655">
        <f t="shared" si="61"/>
        <v>33</v>
      </c>
      <c r="F655">
        <f>3*DesarrolloPartidos[[#This Row],[Partidos_3]]</f>
        <v>9</v>
      </c>
      <c r="G655">
        <f>IF(DesarrolloPartidos[[#This Row],[Partidos_3]]=0,0,ROUNDUP(DesarrolloPartidos[[#This Row],[Orden]]/DesarrolloPartidos[[#This Row],[JugEnPart3]]*DesarrolloPartidos[[#This Row],[Partidos_3]],0))</f>
        <v>11</v>
      </c>
      <c r="H655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9</v>
      </c>
      <c r="I655" t="str">
        <f>IF(AND(DesarrolloPartidos[[#This Row],[PartidosSolo3]]&lt;=DesarrolloPartidos[[#This Row],[Partidos_3]],DesarrolloPartidos[[#This Row],[PartidosSolo3]]&lt;&gt;0),DesarrolloPartidos[[#This Row],[PartidosSolo3]],"")</f>
        <v/>
      </c>
      <c r="J655">
        <f>+IF(DesarrolloPartidos[[#This Row],[Partidos3]]="",DesarrolloPartidos[[#This Row],[Partidos4]],DesarrolloPartidos[[#This Row],[Partidos3]])</f>
        <v>9</v>
      </c>
      <c r="K655" t="str">
        <f>+DesarrolloPartidos[[#This Row],[Jugadores]]&amp;":"&amp;DesarrolloPartidos[[#This Row],[Orden]]</f>
        <v>37:33</v>
      </c>
    </row>
    <row r="656" spans="1:11">
      <c r="A656">
        <f t="shared" si="58"/>
        <v>37</v>
      </c>
      <c r="B656">
        <f t="shared" si="62"/>
        <v>10</v>
      </c>
      <c r="C656">
        <f t="shared" si="59"/>
        <v>3</v>
      </c>
      <c r="D656">
        <f t="shared" si="60"/>
        <v>7</v>
      </c>
      <c r="E656">
        <f t="shared" si="61"/>
        <v>34</v>
      </c>
      <c r="F656">
        <f>3*DesarrolloPartidos[[#This Row],[Partidos_3]]</f>
        <v>9</v>
      </c>
      <c r="G656">
        <f>IF(DesarrolloPartidos[[#This Row],[Partidos_3]]=0,0,ROUNDUP(DesarrolloPartidos[[#This Row],[Orden]]/DesarrolloPartidos[[#This Row],[JugEnPart3]]*DesarrolloPartidos[[#This Row],[Partidos_3]],0))</f>
        <v>12</v>
      </c>
      <c r="H656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10</v>
      </c>
      <c r="I656" t="str">
        <f>IF(AND(DesarrolloPartidos[[#This Row],[PartidosSolo3]]&lt;=DesarrolloPartidos[[#This Row],[Partidos_3]],DesarrolloPartidos[[#This Row],[PartidosSolo3]]&lt;&gt;0),DesarrolloPartidos[[#This Row],[PartidosSolo3]],"")</f>
        <v/>
      </c>
      <c r="J656">
        <f>+IF(DesarrolloPartidos[[#This Row],[Partidos3]]="",DesarrolloPartidos[[#This Row],[Partidos4]],DesarrolloPartidos[[#This Row],[Partidos3]])</f>
        <v>10</v>
      </c>
      <c r="K656" t="str">
        <f>+DesarrolloPartidos[[#This Row],[Jugadores]]&amp;":"&amp;DesarrolloPartidos[[#This Row],[Orden]]</f>
        <v>37:34</v>
      </c>
    </row>
    <row r="657" spans="1:11">
      <c r="A657">
        <f t="shared" si="58"/>
        <v>37</v>
      </c>
      <c r="B657">
        <f t="shared" si="62"/>
        <v>10</v>
      </c>
      <c r="C657">
        <f t="shared" si="59"/>
        <v>3</v>
      </c>
      <c r="D657">
        <f t="shared" si="60"/>
        <v>7</v>
      </c>
      <c r="E657">
        <f t="shared" si="61"/>
        <v>35</v>
      </c>
      <c r="F657">
        <f>3*DesarrolloPartidos[[#This Row],[Partidos_3]]</f>
        <v>9</v>
      </c>
      <c r="G657">
        <f>IF(DesarrolloPartidos[[#This Row],[Partidos_3]]=0,0,ROUNDUP(DesarrolloPartidos[[#This Row],[Orden]]/DesarrolloPartidos[[#This Row],[JugEnPart3]]*DesarrolloPartidos[[#This Row],[Partidos_3]],0))</f>
        <v>12</v>
      </c>
      <c r="H657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10</v>
      </c>
      <c r="I657" t="str">
        <f>IF(AND(DesarrolloPartidos[[#This Row],[PartidosSolo3]]&lt;=DesarrolloPartidos[[#This Row],[Partidos_3]],DesarrolloPartidos[[#This Row],[PartidosSolo3]]&lt;&gt;0),DesarrolloPartidos[[#This Row],[PartidosSolo3]],"")</f>
        <v/>
      </c>
      <c r="J657">
        <f>+IF(DesarrolloPartidos[[#This Row],[Partidos3]]="",DesarrolloPartidos[[#This Row],[Partidos4]],DesarrolloPartidos[[#This Row],[Partidos3]])</f>
        <v>10</v>
      </c>
      <c r="K657" t="str">
        <f>+DesarrolloPartidos[[#This Row],[Jugadores]]&amp;":"&amp;DesarrolloPartidos[[#This Row],[Orden]]</f>
        <v>37:35</v>
      </c>
    </row>
    <row r="658" spans="1:11">
      <c r="A658">
        <f t="shared" si="58"/>
        <v>37</v>
      </c>
      <c r="B658">
        <f t="shared" si="62"/>
        <v>10</v>
      </c>
      <c r="C658">
        <f t="shared" si="59"/>
        <v>3</v>
      </c>
      <c r="D658">
        <f t="shared" si="60"/>
        <v>7</v>
      </c>
      <c r="E658">
        <f t="shared" si="61"/>
        <v>36</v>
      </c>
      <c r="F658">
        <f>3*DesarrolloPartidos[[#This Row],[Partidos_3]]</f>
        <v>9</v>
      </c>
      <c r="G658">
        <f>IF(DesarrolloPartidos[[#This Row],[Partidos_3]]=0,0,ROUNDUP(DesarrolloPartidos[[#This Row],[Orden]]/DesarrolloPartidos[[#This Row],[JugEnPart3]]*DesarrolloPartidos[[#This Row],[Partidos_3]],0))</f>
        <v>12</v>
      </c>
      <c r="H658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10</v>
      </c>
      <c r="I658" t="str">
        <f>IF(AND(DesarrolloPartidos[[#This Row],[PartidosSolo3]]&lt;=DesarrolloPartidos[[#This Row],[Partidos_3]],DesarrolloPartidos[[#This Row],[PartidosSolo3]]&lt;&gt;0),DesarrolloPartidos[[#This Row],[PartidosSolo3]],"")</f>
        <v/>
      </c>
      <c r="J658">
        <f>+IF(DesarrolloPartidos[[#This Row],[Partidos3]]="",DesarrolloPartidos[[#This Row],[Partidos4]],DesarrolloPartidos[[#This Row],[Partidos3]])</f>
        <v>10</v>
      </c>
      <c r="K658" t="str">
        <f>+DesarrolloPartidos[[#This Row],[Jugadores]]&amp;":"&amp;DesarrolloPartidos[[#This Row],[Orden]]</f>
        <v>37:36</v>
      </c>
    </row>
    <row r="659" spans="1:11">
      <c r="A659">
        <f t="shared" si="58"/>
        <v>37</v>
      </c>
      <c r="B659">
        <f t="shared" si="62"/>
        <v>10</v>
      </c>
      <c r="C659">
        <f t="shared" si="59"/>
        <v>3</v>
      </c>
      <c r="D659">
        <f t="shared" si="60"/>
        <v>7</v>
      </c>
      <c r="E659">
        <f t="shared" si="61"/>
        <v>37</v>
      </c>
      <c r="F659">
        <f>3*DesarrolloPartidos[[#This Row],[Partidos_3]]</f>
        <v>9</v>
      </c>
      <c r="G659">
        <f>IF(DesarrolloPartidos[[#This Row],[Partidos_3]]=0,0,ROUNDUP(DesarrolloPartidos[[#This Row],[Orden]]/DesarrolloPartidos[[#This Row],[JugEnPart3]]*DesarrolloPartidos[[#This Row],[Partidos_3]],0))</f>
        <v>13</v>
      </c>
      <c r="H659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10</v>
      </c>
      <c r="I659" t="str">
        <f>IF(AND(DesarrolloPartidos[[#This Row],[PartidosSolo3]]&lt;=DesarrolloPartidos[[#This Row],[Partidos_3]],DesarrolloPartidos[[#This Row],[PartidosSolo3]]&lt;&gt;0),DesarrolloPartidos[[#This Row],[PartidosSolo3]],"")</f>
        <v/>
      </c>
      <c r="J659">
        <f>+IF(DesarrolloPartidos[[#This Row],[Partidos3]]="",DesarrolloPartidos[[#This Row],[Partidos4]],DesarrolloPartidos[[#This Row],[Partidos3]])</f>
        <v>10</v>
      </c>
      <c r="K659" t="str">
        <f>+DesarrolloPartidos[[#This Row],[Jugadores]]&amp;":"&amp;DesarrolloPartidos[[#This Row],[Orden]]</f>
        <v>37:37</v>
      </c>
    </row>
    <row r="660" spans="1:11">
      <c r="A660">
        <f t="shared" si="58"/>
        <v>38</v>
      </c>
      <c r="B660">
        <f t="shared" si="62"/>
        <v>10</v>
      </c>
      <c r="C660">
        <f t="shared" si="59"/>
        <v>2</v>
      </c>
      <c r="D660">
        <f t="shared" si="60"/>
        <v>8</v>
      </c>
      <c r="E660">
        <f t="shared" si="61"/>
        <v>1</v>
      </c>
      <c r="F660">
        <f>3*DesarrolloPartidos[[#This Row],[Partidos_3]]</f>
        <v>6</v>
      </c>
      <c r="G660">
        <f>IF(DesarrolloPartidos[[#This Row],[Partidos_3]]=0,0,ROUNDUP(DesarrolloPartidos[[#This Row],[Orden]]/DesarrolloPartidos[[#This Row],[JugEnPart3]]*DesarrolloPartidos[[#This Row],[Partidos_3]],0))</f>
        <v>1</v>
      </c>
      <c r="H660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660">
        <f>IF(AND(DesarrolloPartidos[[#This Row],[PartidosSolo3]]&lt;=DesarrolloPartidos[[#This Row],[Partidos_3]],DesarrolloPartidos[[#This Row],[PartidosSolo3]]&lt;&gt;0),DesarrolloPartidos[[#This Row],[PartidosSolo3]],"")</f>
        <v>1</v>
      </c>
      <c r="J660">
        <f>+IF(DesarrolloPartidos[[#This Row],[Partidos3]]="",DesarrolloPartidos[[#This Row],[Partidos4]],DesarrolloPartidos[[#This Row],[Partidos3]])</f>
        <v>1</v>
      </c>
      <c r="K660" t="str">
        <f>+DesarrolloPartidos[[#This Row],[Jugadores]]&amp;":"&amp;DesarrolloPartidos[[#This Row],[Orden]]</f>
        <v>38:1</v>
      </c>
    </row>
    <row r="661" spans="1:11">
      <c r="A661">
        <f t="shared" si="58"/>
        <v>38</v>
      </c>
      <c r="B661">
        <f t="shared" si="62"/>
        <v>10</v>
      </c>
      <c r="C661">
        <f t="shared" si="59"/>
        <v>2</v>
      </c>
      <c r="D661">
        <f t="shared" si="60"/>
        <v>8</v>
      </c>
      <c r="E661">
        <f t="shared" si="61"/>
        <v>2</v>
      </c>
      <c r="F661">
        <f>3*DesarrolloPartidos[[#This Row],[Partidos_3]]</f>
        <v>6</v>
      </c>
      <c r="G661">
        <f>IF(DesarrolloPartidos[[#This Row],[Partidos_3]]=0,0,ROUNDUP(DesarrolloPartidos[[#This Row],[Orden]]/DesarrolloPartidos[[#This Row],[JugEnPart3]]*DesarrolloPartidos[[#This Row],[Partidos_3]],0))</f>
        <v>1</v>
      </c>
      <c r="H661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661">
        <f>IF(AND(DesarrolloPartidos[[#This Row],[PartidosSolo3]]&lt;=DesarrolloPartidos[[#This Row],[Partidos_3]],DesarrolloPartidos[[#This Row],[PartidosSolo3]]&lt;&gt;0),DesarrolloPartidos[[#This Row],[PartidosSolo3]],"")</f>
        <v>1</v>
      </c>
      <c r="J661">
        <f>+IF(DesarrolloPartidos[[#This Row],[Partidos3]]="",DesarrolloPartidos[[#This Row],[Partidos4]],DesarrolloPartidos[[#This Row],[Partidos3]])</f>
        <v>1</v>
      </c>
      <c r="K661" t="str">
        <f>+DesarrolloPartidos[[#This Row],[Jugadores]]&amp;":"&amp;DesarrolloPartidos[[#This Row],[Orden]]</f>
        <v>38:2</v>
      </c>
    </row>
    <row r="662" spans="1:11">
      <c r="A662">
        <f t="shared" si="58"/>
        <v>38</v>
      </c>
      <c r="B662">
        <f t="shared" si="62"/>
        <v>10</v>
      </c>
      <c r="C662">
        <f t="shared" si="59"/>
        <v>2</v>
      </c>
      <c r="D662">
        <f t="shared" si="60"/>
        <v>8</v>
      </c>
      <c r="E662">
        <f t="shared" si="61"/>
        <v>3</v>
      </c>
      <c r="F662">
        <f>3*DesarrolloPartidos[[#This Row],[Partidos_3]]</f>
        <v>6</v>
      </c>
      <c r="G662">
        <f>IF(DesarrolloPartidos[[#This Row],[Partidos_3]]=0,0,ROUNDUP(DesarrolloPartidos[[#This Row],[Orden]]/DesarrolloPartidos[[#This Row],[JugEnPart3]]*DesarrolloPartidos[[#This Row],[Partidos_3]],0))</f>
        <v>1</v>
      </c>
      <c r="H662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662">
        <f>IF(AND(DesarrolloPartidos[[#This Row],[PartidosSolo3]]&lt;=DesarrolloPartidos[[#This Row],[Partidos_3]],DesarrolloPartidos[[#This Row],[PartidosSolo3]]&lt;&gt;0),DesarrolloPartidos[[#This Row],[PartidosSolo3]],"")</f>
        <v>1</v>
      </c>
      <c r="J662">
        <f>+IF(DesarrolloPartidos[[#This Row],[Partidos3]]="",DesarrolloPartidos[[#This Row],[Partidos4]],DesarrolloPartidos[[#This Row],[Partidos3]])</f>
        <v>1</v>
      </c>
      <c r="K662" t="str">
        <f>+DesarrolloPartidos[[#This Row],[Jugadores]]&amp;":"&amp;DesarrolloPartidos[[#This Row],[Orden]]</f>
        <v>38:3</v>
      </c>
    </row>
    <row r="663" spans="1:11">
      <c r="A663">
        <f t="shared" si="58"/>
        <v>38</v>
      </c>
      <c r="B663">
        <f t="shared" si="62"/>
        <v>10</v>
      </c>
      <c r="C663">
        <f t="shared" si="59"/>
        <v>2</v>
      </c>
      <c r="D663">
        <f t="shared" si="60"/>
        <v>8</v>
      </c>
      <c r="E663">
        <f t="shared" si="61"/>
        <v>4</v>
      </c>
      <c r="F663">
        <f>3*DesarrolloPartidos[[#This Row],[Partidos_3]]</f>
        <v>6</v>
      </c>
      <c r="G663">
        <f>IF(DesarrolloPartidos[[#This Row],[Partidos_3]]=0,0,ROUNDUP(DesarrolloPartidos[[#This Row],[Orden]]/DesarrolloPartidos[[#This Row],[JugEnPart3]]*DesarrolloPartidos[[#This Row],[Partidos_3]],0))</f>
        <v>2</v>
      </c>
      <c r="H663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663">
        <f>IF(AND(DesarrolloPartidos[[#This Row],[PartidosSolo3]]&lt;=DesarrolloPartidos[[#This Row],[Partidos_3]],DesarrolloPartidos[[#This Row],[PartidosSolo3]]&lt;&gt;0),DesarrolloPartidos[[#This Row],[PartidosSolo3]],"")</f>
        <v>2</v>
      </c>
      <c r="J663">
        <f>+IF(DesarrolloPartidos[[#This Row],[Partidos3]]="",DesarrolloPartidos[[#This Row],[Partidos4]],DesarrolloPartidos[[#This Row],[Partidos3]])</f>
        <v>2</v>
      </c>
      <c r="K663" t="str">
        <f>+DesarrolloPartidos[[#This Row],[Jugadores]]&amp;":"&amp;DesarrolloPartidos[[#This Row],[Orden]]</f>
        <v>38:4</v>
      </c>
    </row>
    <row r="664" spans="1:11">
      <c r="A664">
        <f t="shared" si="58"/>
        <v>38</v>
      </c>
      <c r="B664">
        <f t="shared" si="62"/>
        <v>10</v>
      </c>
      <c r="C664">
        <f t="shared" si="59"/>
        <v>2</v>
      </c>
      <c r="D664">
        <f t="shared" si="60"/>
        <v>8</v>
      </c>
      <c r="E664">
        <f t="shared" si="61"/>
        <v>5</v>
      </c>
      <c r="F664">
        <f>3*DesarrolloPartidos[[#This Row],[Partidos_3]]</f>
        <v>6</v>
      </c>
      <c r="G664">
        <f>IF(DesarrolloPartidos[[#This Row],[Partidos_3]]=0,0,ROUNDUP(DesarrolloPartidos[[#This Row],[Orden]]/DesarrolloPartidos[[#This Row],[JugEnPart3]]*DesarrolloPartidos[[#This Row],[Partidos_3]],0))</f>
        <v>2</v>
      </c>
      <c r="H664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664">
        <f>IF(AND(DesarrolloPartidos[[#This Row],[PartidosSolo3]]&lt;=DesarrolloPartidos[[#This Row],[Partidos_3]],DesarrolloPartidos[[#This Row],[PartidosSolo3]]&lt;&gt;0),DesarrolloPartidos[[#This Row],[PartidosSolo3]],"")</f>
        <v>2</v>
      </c>
      <c r="J664">
        <f>+IF(DesarrolloPartidos[[#This Row],[Partidos3]]="",DesarrolloPartidos[[#This Row],[Partidos4]],DesarrolloPartidos[[#This Row],[Partidos3]])</f>
        <v>2</v>
      </c>
      <c r="K664" t="str">
        <f>+DesarrolloPartidos[[#This Row],[Jugadores]]&amp;":"&amp;DesarrolloPartidos[[#This Row],[Orden]]</f>
        <v>38:5</v>
      </c>
    </row>
    <row r="665" spans="1:11">
      <c r="A665">
        <f t="shared" si="58"/>
        <v>38</v>
      </c>
      <c r="B665">
        <f t="shared" si="62"/>
        <v>10</v>
      </c>
      <c r="C665">
        <f t="shared" si="59"/>
        <v>2</v>
      </c>
      <c r="D665">
        <f t="shared" si="60"/>
        <v>8</v>
      </c>
      <c r="E665">
        <f t="shared" si="61"/>
        <v>6</v>
      </c>
      <c r="F665">
        <f>3*DesarrolloPartidos[[#This Row],[Partidos_3]]</f>
        <v>6</v>
      </c>
      <c r="G665">
        <f>IF(DesarrolloPartidos[[#This Row],[Partidos_3]]=0,0,ROUNDUP(DesarrolloPartidos[[#This Row],[Orden]]/DesarrolloPartidos[[#This Row],[JugEnPart3]]*DesarrolloPartidos[[#This Row],[Partidos_3]],0))</f>
        <v>2</v>
      </c>
      <c r="H665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665">
        <f>IF(AND(DesarrolloPartidos[[#This Row],[PartidosSolo3]]&lt;=DesarrolloPartidos[[#This Row],[Partidos_3]],DesarrolloPartidos[[#This Row],[PartidosSolo3]]&lt;&gt;0),DesarrolloPartidos[[#This Row],[PartidosSolo3]],"")</f>
        <v>2</v>
      </c>
      <c r="J665">
        <f>+IF(DesarrolloPartidos[[#This Row],[Partidos3]]="",DesarrolloPartidos[[#This Row],[Partidos4]],DesarrolloPartidos[[#This Row],[Partidos3]])</f>
        <v>2</v>
      </c>
      <c r="K665" t="str">
        <f>+DesarrolloPartidos[[#This Row],[Jugadores]]&amp;":"&amp;DesarrolloPartidos[[#This Row],[Orden]]</f>
        <v>38:6</v>
      </c>
    </row>
    <row r="666" spans="1:11">
      <c r="A666">
        <f t="shared" si="58"/>
        <v>38</v>
      </c>
      <c r="B666">
        <f t="shared" si="62"/>
        <v>10</v>
      </c>
      <c r="C666">
        <f t="shared" si="59"/>
        <v>2</v>
      </c>
      <c r="D666">
        <f t="shared" si="60"/>
        <v>8</v>
      </c>
      <c r="E666">
        <f t="shared" si="61"/>
        <v>7</v>
      </c>
      <c r="F666">
        <f>3*DesarrolloPartidos[[#This Row],[Partidos_3]]</f>
        <v>6</v>
      </c>
      <c r="G666">
        <f>IF(DesarrolloPartidos[[#This Row],[Partidos_3]]=0,0,ROUNDUP(DesarrolloPartidos[[#This Row],[Orden]]/DesarrolloPartidos[[#This Row],[JugEnPart3]]*DesarrolloPartidos[[#This Row],[Partidos_3]],0))</f>
        <v>3</v>
      </c>
      <c r="H666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3</v>
      </c>
      <c r="I666" t="str">
        <f>IF(AND(DesarrolloPartidos[[#This Row],[PartidosSolo3]]&lt;=DesarrolloPartidos[[#This Row],[Partidos_3]],DesarrolloPartidos[[#This Row],[PartidosSolo3]]&lt;&gt;0),DesarrolloPartidos[[#This Row],[PartidosSolo3]],"")</f>
        <v/>
      </c>
      <c r="J666">
        <f>+IF(DesarrolloPartidos[[#This Row],[Partidos3]]="",DesarrolloPartidos[[#This Row],[Partidos4]],DesarrolloPartidos[[#This Row],[Partidos3]])</f>
        <v>3</v>
      </c>
      <c r="K666" t="str">
        <f>+DesarrolloPartidos[[#This Row],[Jugadores]]&amp;":"&amp;DesarrolloPartidos[[#This Row],[Orden]]</f>
        <v>38:7</v>
      </c>
    </row>
    <row r="667" spans="1:11">
      <c r="A667">
        <f t="shared" si="58"/>
        <v>38</v>
      </c>
      <c r="B667">
        <f t="shared" si="62"/>
        <v>10</v>
      </c>
      <c r="C667">
        <f t="shared" si="59"/>
        <v>2</v>
      </c>
      <c r="D667">
        <f t="shared" si="60"/>
        <v>8</v>
      </c>
      <c r="E667">
        <f t="shared" si="61"/>
        <v>8</v>
      </c>
      <c r="F667">
        <f>3*DesarrolloPartidos[[#This Row],[Partidos_3]]</f>
        <v>6</v>
      </c>
      <c r="G667">
        <f>IF(DesarrolloPartidos[[#This Row],[Partidos_3]]=0,0,ROUNDUP(DesarrolloPartidos[[#This Row],[Orden]]/DesarrolloPartidos[[#This Row],[JugEnPart3]]*DesarrolloPartidos[[#This Row],[Partidos_3]],0))</f>
        <v>3</v>
      </c>
      <c r="H667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3</v>
      </c>
      <c r="I667" t="str">
        <f>IF(AND(DesarrolloPartidos[[#This Row],[PartidosSolo3]]&lt;=DesarrolloPartidos[[#This Row],[Partidos_3]],DesarrolloPartidos[[#This Row],[PartidosSolo3]]&lt;&gt;0),DesarrolloPartidos[[#This Row],[PartidosSolo3]],"")</f>
        <v/>
      </c>
      <c r="J667">
        <f>+IF(DesarrolloPartidos[[#This Row],[Partidos3]]="",DesarrolloPartidos[[#This Row],[Partidos4]],DesarrolloPartidos[[#This Row],[Partidos3]])</f>
        <v>3</v>
      </c>
      <c r="K667" t="str">
        <f>+DesarrolloPartidos[[#This Row],[Jugadores]]&amp;":"&amp;DesarrolloPartidos[[#This Row],[Orden]]</f>
        <v>38:8</v>
      </c>
    </row>
    <row r="668" spans="1:11">
      <c r="A668">
        <f t="shared" si="58"/>
        <v>38</v>
      </c>
      <c r="B668">
        <f t="shared" si="62"/>
        <v>10</v>
      </c>
      <c r="C668">
        <f t="shared" si="59"/>
        <v>2</v>
      </c>
      <c r="D668">
        <f t="shared" si="60"/>
        <v>8</v>
      </c>
      <c r="E668">
        <f t="shared" si="61"/>
        <v>9</v>
      </c>
      <c r="F668">
        <f>3*DesarrolloPartidos[[#This Row],[Partidos_3]]</f>
        <v>6</v>
      </c>
      <c r="G668">
        <f>IF(DesarrolloPartidos[[#This Row],[Partidos_3]]=0,0,ROUNDUP(DesarrolloPartidos[[#This Row],[Orden]]/DesarrolloPartidos[[#This Row],[JugEnPart3]]*DesarrolloPartidos[[#This Row],[Partidos_3]],0))</f>
        <v>3</v>
      </c>
      <c r="H668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3</v>
      </c>
      <c r="I668" t="str">
        <f>IF(AND(DesarrolloPartidos[[#This Row],[PartidosSolo3]]&lt;=DesarrolloPartidos[[#This Row],[Partidos_3]],DesarrolloPartidos[[#This Row],[PartidosSolo3]]&lt;&gt;0),DesarrolloPartidos[[#This Row],[PartidosSolo3]],"")</f>
        <v/>
      </c>
      <c r="J668">
        <f>+IF(DesarrolloPartidos[[#This Row],[Partidos3]]="",DesarrolloPartidos[[#This Row],[Partidos4]],DesarrolloPartidos[[#This Row],[Partidos3]])</f>
        <v>3</v>
      </c>
      <c r="K668" t="str">
        <f>+DesarrolloPartidos[[#This Row],[Jugadores]]&amp;":"&amp;DesarrolloPartidos[[#This Row],[Orden]]</f>
        <v>38:9</v>
      </c>
    </row>
    <row r="669" spans="1:11">
      <c r="A669">
        <f t="shared" si="58"/>
        <v>38</v>
      </c>
      <c r="B669">
        <f t="shared" si="62"/>
        <v>10</v>
      </c>
      <c r="C669">
        <f t="shared" si="59"/>
        <v>2</v>
      </c>
      <c r="D669">
        <f t="shared" si="60"/>
        <v>8</v>
      </c>
      <c r="E669">
        <f t="shared" si="61"/>
        <v>10</v>
      </c>
      <c r="F669">
        <f>3*DesarrolloPartidos[[#This Row],[Partidos_3]]</f>
        <v>6</v>
      </c>
      <c r="G669">
        <f>IF(DesarrolloPartidos[[#This Row],[Partidos_3]]=0,0,ROUNDUP(DesarrolloPartidos[[#This Row],[Orden]]/DesarrolloPartidos[[#This Row],[JugEnPart3]]*DesarrolloPartidos[[#This Row],[Partidos_3]],0))</f>
        <v>4</v>
      </c>
      <c r="H669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3</v>
      </c>
      <c r="I669" t="str">
        <f>IF(AND(DesarrolloPartidos[[#This Row],[PartidosSolo3]]&lt;=DesarrolloPartidos[[#This Row],[Partidos_3]],DesarrolloPartidos[[#This Row],[PartidosSolo3]]&lt;&gt;0),DesarrolloPartidos[[#This Row],[PartidosSolo3]],"")</f>
        <v/>
      </c>
      <c r="J669">
        <f>+IF(DesarrolloPartidos[[#This Row],[Partidos3]]="",DesarrolloPartidos[[#This Row],[Partidos4]],DesarrolloPartidos[[#This Row],[Partidos3]])</f>
        <v>3</v>
      </c>
      <c r="K669" t="str">
        <f>+DesarrolloPartidos[[#This Row],[Jugadores]]&amp;":"&amp;DesarrolloPartidos[[#This Row],[Orden]]</f>
        <v>38:10</v>
      </c>
    </row>
    <row r="670" spans="1:11">
      <c r="A670">
        <f t="shared" si="58"/>
        <v>38</v>
      </c>
      <c r="B670">
        <f t="shared" si="62"/>
        <v>10</v>
      </c>
      <c r="C670">
        <f t="shared" si="59"/>
        <v>2</v>
      </c>
      <c r="D670">
        <f t="shared" si="60"/>
        <v>8</v>
      </c>
      <c r="E670">
        <f t="shared" si="61"/>
        <v>11</v>
      </c>
      <c r="F670">
        <f>3*DesarrolloPartidos[[#This Row],[Partidos_3]]</f>
        <v>6</v>
      </c>
      <c r="G670">
        <f>IF(DesarrolloPartidos[[#This Row],[Partidos_3]]=0,0,ROUNDUP(DesarrolloPartidos[[#This Row],[Orden]]/DesarrolloPartidos[[#This Row],[JugEnPart3]]*DesarrolloPartidos[[#This Row],[Partidos_3]],0))</f>
        <v>4</v>
      </c>
      <c r="H670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670" t="str">
        <f>IF(AND(DesarrolloPartidos[[#This Row],[PartidosSolo3]]&lt;=DesarrolloPartidos[[#This Row],[Partidos_3]],DesarrolloPartidos[[#This Row],[PartidosSolo3]]&lt;&gt;0),DesarrolloPartidos[[#This Row],[PartidosSolo3]],"")</f>
        <v/>
      </c>
      <c r="J670">
        <f>+IF(DesarrolloPartidos[[#This Row],[Partidos3]]="",DesarrolloPartidos[[#This Row],[Partidos4]],DesarrolloPartidos[[#This Row],[Partidos3]])</f>
        <v>4</v>
      </c>
      <c r="K670" t="str">
        <f>+DesarrolloPartidos[[#This Row],[Jugadores]]&amp;":"&amp;DesarrolloPartidos[[#This Row],[Orden]]</f>
        <v>38:11</v>
      </c>
    </row>
    <row r="671" spans="1:11">
      <c r="A671">
        <f t="shared" si="58"/>
        <v>38</v>
      </c>
      <c r="B671">
        <f t="shared" si="62"/>
        <v>10</v>
      </c>
      <c r="C671">
        <f t="shared" si="59"/>
        <v>2</v>
      </c>
      <c r="D671">
        <f t="shared" si="60"/>
        <v>8</v>
      </c>
      <c r="E671">
        <f t="shared" si="61"/>
        <v>12</v>
      </c>
      <c r="F671">
        <f>3*DesarrolloPartidos[[#This Row],[Partidos_3]]</f>
        <v>6</v>
      </c>
      <c r="G671">
        <f>IF(DesarrolloPartidos[[#This Row],[Partidos_3]]=0,0,ROUNDUP(DesarrolloPartidos[[#This Row],[Orden]]/DesarrolloPartidos[[#This Row],[JugEnPart3]]*DesarrolloPartidos[[#This Row],[Partidos_3]],0))</f>
        <v>4</v>
      </c>
      <c r="H671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671" t="str">
        <f>IF(AND(DesarrolloPartidos[[#This Row],[PartidosSolo3]]&lt;=DesarrolloPartidos[[#This Row],[Partidos_3]],DesarrolloPartidos[[#This Row],[PartidosSolo3]]&lt;&gt;0),DesarrolloPartidos[[#This Row],[PartidosSolo3]],"")</f>
        <v/>
      </c>
      <c r="J671">
        <f>+IF(DesarrolloPartidos[[#This Row],[Partidos3]]="",DesarrolloPartidos[[#This Row],[Partidos4]],DesarrolloPartidos[[#This Row],[Partidos3]])</f>
        <v>4</v>
      </c>
      <c r="K671" t="str">
        <f>+DesarrolloPartidos[[#This Row],[Jugadores]]&amp;":"&amp;DesarrolloPartidos[[#This Row],[Orden]]</f>
        <v>38:12</v>
      </c>
    </row>
    <row r="672" spans="1:11">
      <c r="A672">
        <f t="shared" si="58"/>
        <v>38</v>
      </c>
      <c r="B672">
        <f t="shared" si="62"/>
        <v>10</v>
      </c>
      <c r="C672">
        <f t="shared" si="59"/>
        <v>2</v>
      </c>
      <c r="D672">
        <f t="shared" si="60"/>
        <v>8</v>
      </c>
      <c r="E672">
        <f t="shared" si="61"/>
        <v>13</v>
      </c>
      <c r="F672">
        <f>3*DesarrolloPartidos[[#This Row],[Partidos_3]]</f>
        <v>6</v>
      </c>
      <c r="G672">
        <f>IF(DesarrolloPartidos[[#This Row],[Partidos_3]]=0,0,ROUNDUP(DesarrolloPartidos[[#This Row],[Orden]]/DesarrolloPartidos[[#This Row],[JugEnPart3]]*DesarrolloPartidos[[#This Row],[Partidos_3]],0))</f>
        <v>5</v>
      </c>
      <c r="H672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672" t="str">
        <f>IF(AND(DesarrolloPartidos[[#This Row],[PartidosSolo3]]&lt;=DesarrolloPartidos[[#This Row],[Partidos_3]],DesarrolloPartidos[[#This Row],[PartidosSolo3]]&lt;&gt;0),DesarrolloPartidos[[#This Row],[PartidosSolo3]],"")</f>
        <v/>
      </c>
      <c r="J672">
        <f>+IF(DesarrolloPartidos[[#This Row],[Partidos3]]="",DesarrolloPartidos[[#This Row],[Partidos4]],DesarrolloPartidos[[#This Row],[Partidos3]])</f>
        <v>4</v>
      </c>
      <c r="K672" t="str">
        <f>+DesarrolloPartidos[[#This Row],[Jugadores]]&amp;":"&amp;DesarrolloPartidos[[#This Row],[Orden]]</f>
        <v>38:13</v>
      </c>
    </row>
    <row r="673" spans="1:11">
      <c r="A673">
        <f t="shared" si="58"/>
        <v>38</v>
      </c>
      <c r="B673">
        <f t="shared" si="62"/>
        <v>10</v>
      </c>
      <c r="C673">
        <f t="shared" si="59"/>
        <v>2</v>
      </c>
      <c r="D673">
        <f t="shared" si="60"/>
        <v>8</v>
      </c>
      <c r="E673">
        <f t="shared" si="61"/>
        <v>14</v>
      </c>
      <c r="F673">
        <f>3*DesarrolloPartidos[[#This Row],[Partidos_3]]</f>
        <v>6</v>
      </c>
      <c r="G673">
        <f>IF(DesarrolloPartidos[[#This Row],[Partidos_3]]=0,0,ROUNDUP(DesarrolloPartidos[[#This Row],[Orden]]/DesarrolloPartidos[[#This Row],[JugEnPart3]]*DesarrolloPartidos[[#This Row],[Partidos_3]],0))</f>
        <v>5</v>
      </c>
      <c r="H673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673" t="str">
        <f>IF(AND(DesarrolloPartidos[[#This Row],[PartidosSolo3]]&lt;=DesarrolloPartidos[[#This Row],[Partidos_3]],DesarrolloPartidos[[#This Row],[PartidosSolo3]]&lt;&gt;0),DesarrolloPartidos[[#This Row],[PartidosSolo3]],"")</f>
        <v/>
      </c>
      <c r="J673">
        <f>+IF(DesarrolloPartidos[[#This Row],[Partidos3]]="",DesarrolloPartidos[[#This Row],[Partidos4]],DesarrolloPartidos[[#This Row],[Partidos3]])</f>
        <v>4</v>
      </c>
      <c r="K673" t="str">
        <f>+DesarrolloPartidos[[#This Row],[Jugadores]]&amp;":"&amp;DesarrolloPartidos[[#This Row],[Orden]]</f>
        <v>38:14</v>
      </c>
    </row>
    <row r="674" spans="1:11">
      <c r="A674">
        <f t="shared" si="58"/>
        <v>38</v>
      </c>
      <c r="B674">
        <f t="shared" si="62"/>
        <v>10</v>
      </c>
      <c r="C674">
        <f t="shared" si="59"/>
        <v>2</v>
      </c>
      <c r="D674">
        <f t="shared" si="60"/>
        <v>8</v>
      </c>
      <c r="E674">
        <f t="shared" si="61"/>
        <v>15</v>
      </c>
      <c r="F674">
        <f>3*DesarrolloPartidos[[#This Row],[Partidos_3]]</f>
        <v>6</v>
      </c>
      <c r="G674">
        <f>IF(DesarrolloPartidos[[#This Row],[Partidos_3]]=0,0,ROUNDUP(DesarrolloPartidos[[#This Row],[Orden]]/DesarrolloPartidos[[#This Row],[JugEnPart3]]*DesarrolloPartidos[[#This Row],[Partidos_3]],0))</f>
        <v>5</v>
      </c>
      <c r="H674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5</v>
      </c>
      <c r="I674" t="str">
        <f>IF(AND(DesarrolloPartidos[[#This Row],[PartidosSolo3]]&lt;=DesarrolloPartidos[[#This Row],[Partidos_3]],DesarrolloPartidos[[#This Row],[PartidosSolo3]]&lt;&gt;0),DesarrolloPartidos[[#This Row],[PartidosSolo3]],"")</f>
        <v/>
      </c>
      <c r="J674">
        <f>+IF(DesarrolloPartidos[[#This Row],[Partidos3]]="",DesarrolloPartidos[[#This Row],[Partidos4]],DesarrolloPartidos[[#This Row],[Partidos3]])</f>
        <v>5</v>
      </c>
      <c r="K674" t="str">
        <f>+DesarrolloPartidos[[#This Row],[Jugadores]]&amp;":"&amp;DesarrolloPartidos[[#This Row],[Orden]]</f>
        <v>38:15</v>
      </c>
    </row>
    <row r="675" spans="1:11">
      <c r="A675">
        <f t="shared" ref="A675:A678" si="63">+IF(ROW(A674)=1,10,IF(A674=E674,A674+1,A674))</f>
        <v>38</v>
      </c>
      <c r="B675">
        <f t="shared" si="62"/>
        <v>10</v>
      </c>
      <c r="C675">
        <f t="shared" ref="C675:C678" si="64">+(B675-A675/4)/0.25</f>
        <v>2</v>
      </c>
      <c r="D675">
        <f t="shared" ref="D675:D678" si="65">+B675-C675</f>
        <v>8</v>
      </c>
      <c r="E675">
        <f t="shared" ref="E675:E678" si="66">+IF(ROW(E674)=1,1,IF(E674=A674,1,E674+1))</f>
        <v>16</v>
      </c>
      <c r="F675">
        <f>3*DesarrolloPartidos[[#This Row],[Partidos_3]]</f>
        <v>6</v>
      </c>
      <c r="G675">
        <f>IF(DesarrolloPartidos[[#This Row],[Partidos_3]]=0,0,ROUNDUP(DesarrolloPartidos[[#This Row],[Orden]]/DesarrolloPartidos[[#This Row],[JugEnPart3]]*DesarrolloPartidos[[#This Row],[Partidos_3]],0))</f>
        <v>6</v>
      </c>
      <c r="H675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5</v>
      </c>
      <c r="I675" t="str">
        <f>IF(AND(DesarrolloPartidos[[#This Row],[PartidosSolo3]]&lt;=DesarrolloPartidos[[#This Row],[Partidos_3]],DesarrolloPartidos[[#This Row],[PartidosSolo3]]&lt;&gt;0),DesarrolloPartidos[[#This Row],[PartidosSolo3]],"")</f>
        <v/>
      </c>
      <c r="J675">
        <f>+IF(DesarrolloPartidos[[#This Row],[Partidos3]]="",DesarrolloPartidos[[#This Row],[Partidos4]],DesarrolloPartidos[[#This Row],[Partidos3]])</f>
        <v>5</v>
      </c>
      <c r="K675" t="str">
        <f>+DesarrolloPartidos[[#This Row],[Jugadores]]&amp;":"&amp;DesarrolloPartidos[[#This Row],[Orden]]</f>
        <v>38:16</v>
      </c>
    </row>
    <row r="676" spans="1:11">
      <c r="A676">
        <f t="shared" si="63"/>
        <v>38</v>
      </c>
      <c r="B676">
        <f t="shared" si="62"/>
        <v>10</v>
      </c>
      <c r="C676">
        <f t="shared" si="64"/>
        <v>2</v>
      </c>
      <c r="D676">
        <f t="shared" si="65"/>
        <v>8</v>
      </c>
      <c r="E676">
        <f t="shared" si="66"/>
        <v>17</v>
      </c>
      <c r="F676">
        <f>3*DesarrolloPartidos[[#This Row],[Partidos_3]]</f>
        <v>6</v>
      </c>
      <c r="G676">
        <f>IF(DesarrolloPartidos[[#This Row],[Partidos_3]]=0,0,ROUNDUP(DesarrolloPartidos[[#This Row],[Orden]]/DesarrolloPartidos[[#This Row],[JugEnPart3]]*DesarrolloPartidos[[#This Row],[Partidos_3]],0))</f>
        <v>6</v>
      </c>
      <c r="H676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5</v>
      </c>
      <c r="I676" t="str">
        <f>IF(AND(DesarrolloPartidos[[#This Row],[PartidosSolo3]]&lt;=DesarrolloPartidos[[#This Row],[Partidos_3]],DesarrolloPartidos[[#This Row],[PartidosSolo3]]&lt;&gt;0),DesarrolloPartidos[[#This Row],[PartidosSolo3]],"")</f>
        <v/>
      </c>
      <c r="J676">
        <f>+IF(DesarrolloPartidos[[#This Row],[Partidos3]]="",DesarrolloPartidos[[#This Row],[Partidos4]],DesarrolloPartidos[[#This Row],[Partidos3]])</f>
        <v>5</v>
      </c>
      <c r="K676" t="str">
        <f>+DesarrolloPartidos[[#This Row],[Jugadores]]&amp;":"&amp;DesarrolloPartidos[[#This Row],[Orden]]</f>
        <v>38:17</v>
      </c>
    </row>
    <row r="677" spans="1:11">
      <c r="A677">
        <f t="shared" si="63"/>
        <v>38</v>
      </c>
      <c r="B677">
        <f t="shared" si="62"/>
        <v>10</v>
      </c>
      <c r="C677">
        <f t="shared" si="64"/>
        <v>2</v>
      </c>
      <c r="D677">
        <f t="shared" si="65"/>
        <v>8</v>
      </c>
      <c r="E677">
        <f t="shared" si="66"/>
        <v>18</v>
      </c>
      <c r="F677">
        <f>3*DesarrolloPartidos[[#This Row],[Partidos_3]]</f>
        <v>6</v>
      </c>
      <c r="G677">
        <f>IF(DesarrolloPartidos[[#This Row],[Partidos_3]]=0,0,ROUNDUP(DesarrolloPartidos[[#This Row],[Orden]]/DesarrolloPartidos[[#This Row],[JugEnPart3]]*DesarrolloPartidos[[#This Row],[Partidos_3]],0))</f>
        <v>6</v>
      </c>
      <c r="H677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5</v>
      </c>
      <c r="I677" t="str">
        <f>IF(AND(DesarrolloPartidos[[#This Row],[PartidosSolo3]]&lt;=DesarrolloPartidos[[#This Row],[Partidos_3]],DesarrolloPartidos[[#This Row],[PartidosSolo3]]&lt;&gt;0),DesarrolloPartidos[[#This Row],[PartidosSolo3]],"")</f>
        <v/>
      </c>
      <c r="J677">
        <f>+IF(DesarrolloPartidos[[#This Row],[Partidos3]]="",DesarrolloPartidos[[#This Row],[Partidos4]],DesarrolloPartidos[[#This Row],[Partidos3]])</f>
        <v>5</v>
      </c>
      <c r="K677" t="str">
        <f>+DesarrolloPartidos[[#This Row],[Jugadores]]&amp;":"&amp;DesarrolloPartidos[[#This Row],[Orden]]</f>
        <v>38:18</v>
      </c>
    </row>
    <row r="678" spans="1:11">
      <c r="A678">
        <f t="shared" si="63"/>
        <v>38</v>
      </c>
      <c r="B678">
        <f t="shared" si="62"/>
        <v>10</v>
      </c>
      <c r="C678">
        <f t="shared" si="64"/>
        <v>2</v>
      </c>
      <c r="D678">
        <f t="shared" si="65"/>
        <v>8</v>
      </c>
      <c r="E678">
        <f t="shared" si="66"/>
        <v>19</v>
      </c>
      <c r="F678">
        <f>3*DesarrolloPartidos[[#This Row],[Partidos_3]]</f>
        <v>6</v>
      </c>
      <c r="G678">
        <f>IF(DesarrolloPartidos[[#This Row],[Partidos_3]]=0,0,ROUNDUP(DesarrolloPartidos[[#This Row],[Orden]]/DesarrolloPartidos[[#This Row],[JugEnPart3]]*DesarrolloPartidos[[#This Row],[Partidos_3]],0))</f>
        <v>7</v>
      </c>
      <c r="H678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6</v>
      </c>
      <c r="I678" t="str">
        <f>IF(AND(DesarrolloPartidos[[#This Row],[PartidosSolo3]]&lt;=DesarrolloPartidos[[#This Row],[Partidos_3]],DesarrolloPartidos[[#This Row],[PartidosSolo3]]&lt;&gt;0),DesarrolloPartidos[[#This Row],[PartidosSolo3]],"")</f>
        <v/>
      </c>
      <c r="J678">
        <f>+IF(DesarrolloPartidos[[#This Row],[Partidos3]]="",DesarrolloPartidos[[#This Row],[Partidos4]],DesarrolloPartidos[[#This Row],[Partidos3]])</f>
        <v>6</v>
      </c>
      <c r="K678" t="str">
        <f>+DesarrolloPartidos[[#This Row],[Jugadores]]&amp;":"&amp;DesarrolloPartidos[[#This Row],[Orden]]</f>
        <v>38:19</v>
      </c>
    </row>
    <row r="679" spans="1:11">
      <c r="A679">
        <f t="shared" ref="A679:A742" si="67">+IF(ROW(A678)=1,10,IF(A678=E678,A678+1,A678))</f>
        <v>38</v>
      </c>
      <c r="B679">
        <f t="shared" si="62"/>
        <v>10</v>
      </c>
      <c r="C679">
        <f t="shared" ref="C679:C742" si="68">+(B679-A679/4)/0.25</f>
        <v>2</v>
      </c>
      <c r="D679">
        <f t="shared" ref="D679:D742" si="69">+B679-C679</f>
        <v>8</v>
      </c>
      <c r="E679">
        <f t="shared" ref="E679:E742" si="70">+IF(ROW(E678)=1,1,IF(E678=A678,1,E678+1))</f>
        <v>20</v>
      </c>
      <c r="F679">
        <f>3*DesarrolloPartidos[[#This Row],[Partidos_3]]</f>
        <v>6</v>
      </c>
      <c r="G679">
        <f>IF(DesarrolloPartidos[[#This Row],[Partidos_3]]=0,0,ROUNDUP(DesarrolloPartidos[[#This Row],[Orden]]/DesarrolloPartidos[[#This Row],[JugEnPart3]]*DesarrolloPartidos[[#This Row],[Partidos_3]],0))</f>
        <v>7</v>
      </c>
      <c r="H679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6</v>
      </c>
      <c r="I679" t="str">
        <f>IF(AND(DesarrolloPartidos[[#This Row],[PartidosSolo3]]&lt;=DesarrolloPartidos[[#This Row],[Partidos_3]],DesarrolloPartidos[[#This Row],[PartidosSolo3]]&lt;&gt;0),DesarrolloPartidos[[#This Row],[PartidosSolo3]],"")</f>
        <v/>
      </c>
      <c r="J679">
        <f>+IF(DesarrolloPartidos[[#This Row],[Partidos3]]="",DesarrolloPartidos[[#This Row],[Partidos4]],DesarrolloPartidos[[#This Row],[Partidos3]])</f>
        <v>6</v>
      </c>
      <c r="K679" t="str">
        <f>+DesarrolloPartidos[[#This Row],[Jugadores]]&amp;":"&amp;DesarrolloPartidos[[#This Row],[Orden]]</f>
        <v>38:20</v>
      </c>
    </row>
    <row r="680" spans="1:11">
      <c r="A680">
        <f t="shared" si="67"/>
        <v>38</v>
      </c>
      <c r="B680">
        <f t="shared" si="62"/>
        <v>10</v>
      </c>
      <c r="C680">
        <f t="shared" si="68"/>
        <v>2</v>
      </c>
      <c r="D680">
        <f t="shared" si="69"/>
        <v>8</v>
      </c>
      <c r="E680">
        <f t="shared" si="70"/>
        <v>21</v>
      </c>
      <c r="F680">
        <f>3*DesarrolloPartidos[[#This Row],[Partidos_3]]</f>
        <v>6</v>
      </c>
      <c r="G680">
        <f>IF(DesarrolloPartidos[[#This Row],[Partidos_3]]=0,0,ROUNDUP(DesarrolloPartidos[[#This Row],[Orden]]/DesarrolloPartidos[[#This Row],[JugEnPart3]]*DesarrolloPartidos[[#This Row],[Partidos_3]],0))</f>
        <v>7</v>
      </c>
      <c r="H680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6</v>
      </c>
      <c r="I680" t="str">
        <f>IF(AND(DesarrolloPartidos[[#This Row],[PartidosSolo3]]&lt;=DesarrolloPartidos[[#This Row],[Partidos_3]],DesarrolloPartidos[[#This Row],[PartidosSolo3]]&lt;&gt;0),DesarrolloPartidos[[#This Row],[PartidosSolo3]],"")</f>
        <v/>
      </c>
      <c r="J680">
        <f>+IF(DesarrolloPartidos[[#This Row],[Partidos3]]="",DesarrolloPartidos[[#This Row],[Partidos4]],DesarrolloPartidos[[#This Row],[Partidos3]])</f>
        <v>6</v>
      </c>
      <c r="K680" t="str">
        <f>+DesarrolloPartidos[[#This Row],[Jugadores]]&amp;":"&amp;DesarrolloPartidos[[#This Row],[Orden]]</f>
        <v>38:21</v>
      </c>
    </row>
    <row r="681" spans="1:11">
      <c r="A681">
        <f t="shared" si="67"/>
        <v>38</v>
      </c>
      <c r="B681">
        <f t="shared" si="62"/>
        <v>10</v>
      </c>
      <c r="C681">
        <f t="shared" si="68"/>
        <v>2</v>
      </c>
      <c r="D681">
        <f t="shared" si="69"/>
        <v>8</v>
      </c>
      <c r="E681">
        <f t="shared" si="70"/>
        <v>22</v>
      </c>
      <c r="F681">
        <f>3*DesarrolloPartidos[[#This Row],[Partidos_3]]</f>
        <v>6</v>
      </c>
      <c r="G681">
        <f>IF(DesarrolloPartidos[[#This Row],[Partidos_3]]=0,0,ROUNDUP(DesarrolloPartidos[[#This Row],[Orden]]/DesarrolloPartidos[[#This Row],[JugEnPart3]]*DesarrolloPartidos[[#This Row],[Partidos_3]],0))</f>
        <v>8</v>
      </c>
      <c r="H681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6</v>
      </c>
      <c r="I681" t="str">
        <f>IF(AND(DesarrolloPartidos[[#This Row],[PartidosSolo3]]&lt;=DesarrolloPartidos[[#This Row],[Partidos_3]],DesarrolloPartidos[[#This Row],[PartidosSolo3]]&lt;&gt;0),DesarrolloPartidos[[#This Row],[PartidosSolo3]],"")</f>
        <v/>
      </c>
      <c r="J681">
        <f>+IF(DesarrolloPartidos[[#This Row],[Partidos3]]="",DesarrolloPartidos[[#This Row],[Partidos4]],DesarrolloPartidos[[#This Row],[Partidos3]])</f>
        <v>6</v>
      </c>
      <c r="K681" t="str">
        <f>+DesarrolloPartidos[[#This Row],[Jugadores]]&amp;":"&amp;DesarrolloPartidos[[#This Row],[Orden]]</f>
        <v>38:22</v>
      </c>
    </row>
    <row r="682" spans="1:11">
      <c r="A682">
        <f t="shared" si="67"/>
        <v>38</v>
      </c>
      <c r="B682">
        <f t="shared" si="62"/>
        <v>10</v>
      </c>
      <c r="C682">
        <f t="shared" si="68"/>
        <v>2</v>
      </c>
      <c r="D682">
        <f t="shared" si="69"/>
        <v>8</v>
      </c>
      <c r="E682">
        <f t="shared" si="70"/>
        <v>23</v>
      </c>
      <c r="F682">
        <f>3*DesarrolloPartidos[[#This Row],[Partidos_3]]</f>
        <v>6</v>
      </c>
      <c r="G682">
        <f>IF(DesarrolloPartidos[[#This Row],[Partidos_3]]=0,0,ROUNDUP(DesarrolloPartidos[[#This Row],[Orden]]/DesarrolloPartidos[[#This Row],[JugEnPart3]]*DesarrolloPartidos[[#This Row],[Partidos_3]],0))</f>
        <v>8</v>
      </c>
      <c r="H682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7</v>
      </c>
      <c r="I682" t="str">
        <f>IF(AND(DesarrolloPartidos[[#This Row],[PartidosSolo3]]&lt;=DesarrolloPartidos[[#This Row],[Partidos_3]],DesarrolloPartidos[[#This Row],[PartidosSolo3]]&lt;&gt;0),DesarrolloPartidos[[#This Row],[PartidosSolo3]],"")</f>
        <v/>
      </c>
      <c r="J682">
        <f>+IF(DesarrolloPartidos[[#This Row],[Partidos3]]="",DesarrolloPartidos[[#This Row],[Partidos4]],DesarrolloPartidos[[#This Row],[Partidos3]])</f>
        <v>7</v>
      </c>
      <c r="K682" t="str">
        <f>+DesarrolloPartidos[[#This Row],[Jugadores]]&amp;":"&amp;DesarrolloPartidos[[#This Row],[Orden]]</f>
        <v>38:23</v>
      </c>
    </row>
    <row r="683" spans="1:11">
      <c r="A683">
        <f t="shared" si="67"/>
        <v>38</v>
      </c>
      <c r="B683">
        <f t="shared" si="62"/>
        <v>10</v>
      </c>
      <c r="C683">
        <f t="shared" si="68"/>
        <v>2</v>
      </c>
      <c r="D683">
        <f t="shared" si="69"/>
        <v>8</v>
      </c>
      <c r="E683">
        <f t="shared" si="70"/>
        <v>24</v>
      </c>
      <c r="F683">
        <f>3*DesarrolloPartidos[[#This Row],[Partidos_3]]</f>
        <v>6</v>
      </c>
      <c r="G683">
        <f>IF(DesarrolloPartidos[[#This Row],[Partidos_3]]=0,0,ROUNDUP(DesarrolloPartidos[[#This Row],[Orden]]/DesarrolloPartidos[[#This Row],[JugEnPart3]]*DesarrolloPartidos[[#This Row],[Partidos_3]],0))</f>
        <v>8</v>
      </c>
      <c r="H683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7</v>
      </c>
      <c r="I683" t="str">
        <f>IF(AND(DesarrolloPartidos[[#This Row],[PartidosSolo3]]&lt;=DesarrolloPartidos[[#This Row],[Partidos_3]],DesarrolloPartidos[[#This Row],[PartidosSolo3]]&lt;&gt;0),DesarrolloPartidos[[#This Row],[PartidosSolo3]],"")</f>
        <v/>
      </c>
      <c r="J683">
        <f>+IF(DesarrolloPartidos[[#This Row],[Partidos3]]="",DesarrolloPartidos[[#This Row],[Partidos4]],DesarrolloPartidos[[#This Row],[Partidos3]])</f>
        <v>7</v>
      </c>
      <c r="K683" t="str">
        <f>+DesarrolloPartidos[[#This Row],[Jugadores]]&amp;":"&amp;DesarrolloPartidos[[#This Row],[Orden]]</f>
        <v>38:24</v>
      </c>
    </row>
    <row r="684" spans="1:11">
      <c r="A684">
        <f t="shared" si="67"/>
        <v>38</v>
      </c>
      <c r="B684">
        <f t="shared" si="62"/>
        <v>10</v>
      </c>
      <c r="C684">
        <f t="shared" si="68"/>
        <v>2</v>
      </c>
      <c r="D684">
        <f t="shared" si="69"/>
        <v>8</v>
      </c>
      <c r="E684">
        <f t="shared" si="70"/>
        <v>25</v>
      </c>
      <c r="F684">
        <f>3*DesarrolloPartidos[[#This Row],[Partidos_3]]</f>
        <v>6</v>
      </c>
      <c r="G684">
        <f>IF(DesarrolloPartidos[[#This Row],[Partidos_3]]=0,0,ROUNDUP(DesarrolloPartidos[[#This Row],[Orden]]/DesarrolloPartidos[[#This Row],[JugEnPart3]]*DesarrolloPartidos[[#This Row],[Partidos_3]],0))</f>
        <v>9</v>
      </c>
      <c r="H684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7</v>
      </c>
      <c r="I684" t="str">
        <f>IF(AND(DesarrolloPartidos[[#This Row],[PartidosSolo3]]&lt;=DesarrolloPartidos[[#This Row],[Partidos_3]],DesarrolloPartidos[[#This Row],[PartidosSolo3]]&lt;&gt;0),DesarrolloPartidos[[#This Row],[PartidosSolo3]],"")</f>
        <v/>
      </c>
      <c r="J684">
        <f>+IF(DesarrolloPartidos[[#This Row],[Partidos3]]="",DesarrolloPartidos[[#This Row],[Partidos4]],DesarrolloPartidos[[#This Row],[Partidos3]])</f>
        <v>7</v>
      </c>
      <c r="K684" t="str">
        <f>+DesarrolloPartidos[[#This Row],[Jugadores]]&amp;":"&amp;DesarrolloPartidos[[#This Row],[Orden]]</f>
        <v>38:25</v>
      </c>
    </row>
    <row r="685" spans="1:11">
      <c r="A685">
        <f t="shared" si="67"/>
        <v>38</v>
      </c>
      <c r="B685">
        <f t="shared" si="62"/>
        <v>10</v>
      </c>
      <c r="C685">
        <f t="shared" si="68"/>
        <v>2</v>
      </c>
      <c r="D685">
        <f t="shared" si="69"/>
        <v>8</v>
      </c>
      <c r="E685">
        <f t="shared" si="70"/>
        <v>26</v>
      </c>
      <c r="F685">
        <f>3*DesarrolloPartidos[[#This Row],[Partidos_3]]</f>
        <v>6</v>
      </c>
      <c r="G685">
        <f>IF(DesarrolloPartidos[[#This Row],[Partidos_3]]=0,0,ROUNDUP(DesarrolloPartidos[[#This Row],[Orden]]/DesarrolloPartidos[[#This Row],[JugEnPart3]]*DesarrolloPartidos[[#This Row],[Partidos_3]],0))</f>
        <v>9</v>
      </c>
      <c r="H685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7</v>
      </c>
      <c r="I685" t="str">
        <f>IF(AND(DesarrolloPartidos[[#This Row],[PartidosSolo3]]&lt;=DesarrolloPartidos[[#This Row],[Partidos_3]],DesarrolloPartidos[[#This Row],[PartidosSolo3]]&lt;&gt;0),DesarrolloPartidos[[#This Row],[PartidosSolo3]],"")</f>
        <v/>
      </c>
      <c r="J685">
        <f>+IF(DesarrolloPartidos[[#This Row],[Partidos3]]="",DesarrolloPartidos[[#This Row],[Partidos4]],DesarrolloPartidos[[#This Row],[Partidos3]])</f>
        <v>7</v>
      </c>
      <c r="K685" t="str">
        <f>+DesarrolloPartidos[[#This Row],[Jugadores]]&amp;":"&amp;DesarrolloPartidos[[#This Row],[Orden]]</f>
        <v>38:26</v>
      </c>
    </row>
    <row r="686" spans="1:11">
      <c r="A686">
        <f t="shared" si="67"/>
        <v>38</v>
      </c>
      <c r="B686">
        <f t="shared" si="62"/>
        <v>10</v>
      </c>
      <c r="C686">
        <f t="shared" si="68"/>
        <v>2</v>
      </c>
      <c r="D686">
        <f t="shared" si="69"/>
        <v>8</v>
      </c>
      <c r="E686">
        <f t="shared" si="70"/>
        <v>27</v>
      </c>
      <c r="F686">
        <f>3*DesarrolloPartidos[[#This Row],[Partidos_3]]</f>
        <v>6</v>
      </c>
      <c r="G686">
        <f>IF(DesarrolloPartidos[[#This Row],[Partidos_3]]=0,0,ROUNDUP(DesarrolloPartidos[[#This Row],[Orden]]/DesarrolloPartidos[[#This Row],[JugEnPart3]]*DesarrolloPartidos[[#This Row],[Partidos_3]],0))</f>
        <v>9</v>
      </c>
      <c r="H686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8</v>
      </c>
      <c r="I686" t="str">
        <f>IF(AND(DesarrolloPartidos[[#This Row],[PartidosSolo3]]&lt;=DesarrolloPartidos[[#This Row],[Partidos_3]],DesarrolloPartidos[[#This Row],[PartidosSolo3]]&lt;&gt;0),DesarrolloPartidos[[#This Row],[PartidosSolo3]],"")</f>
        <v/>
      </c>
      <c r="J686">
        <f>+IF(DesarrolloPartidos[[#This Row],[Partidos3]]="",DesarrolloPartidos[[#This Row],[Partidos4]],DesarrolloPartidos[[#This Row],[Partidos3]])</f>
        <v>8</v>
      </c>
      <c r="K686" t="str">
        <f>+DesarrolloPartidos[[#This Row],[Jugadores]]&amp;":"&amp;DesarrolloPartidos[[#This Row],[Orden]]</f>
        <v>38:27</v>
      </c>
    </row>
    <row r="687" spans="1:11">
      <c r="A687">
        <f t="shared" si="67"/>
        <v>38</v>
      </c>
      <c r="B687">
        <f t="shared" si="62"/>
        <v>10</v>
      </c>
      <c r="C687">
        <f t="shared" si="68"/>
        <v>2</v>
      </c>
      <c r="D687">
        <f t="shared" si="69"/>
        <v>8</v>
      </c>
      <c r="E687">
        <f t="shared" si="70"/>
        <v>28</v>
      </c>
      <c r="F687">
        <f>3*DesarrolloPartidos[[#This Row],[Partidos_3]]</f>
        <v>6</v>
      </c>
      <c r="G687">
        <f>IF(DesarrolloPartidos[[#This Row],[Partidos_3]]=0,0,ROUNDUP(DesarrolloPartidos[[#This Row],[Orden]]/DesarrolloPartidos[[#This Row],[JugEnPart3]]*DesarrolloPartidos[[#This Row],[Partidos_3]],0))</f>
        <v>10</v>
      </c>
      <c r="H687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8</v>
      </c>
      <c r="I687" t="str">
        <f>IF(AND(DesarrolloPartidos[[#This Row],[PartidosSolo3]]&lt;=DesarrolloPartidos[[#This Row],[Partidos_3]],DesarrolloPartidos[[#This Row],[PartidosSolo3]]&lt;&gt;0),DesarrolloPartidos[[#This Row],[PartidosSolo3]],"")</f>
        <v/>
      </c>
      <c r="J687">
        <f>+IF(DesarrolloPartidos[[#This Row],[Partidos3]]="",DesarrolloPartidos[[#This Row],[Partidos4]],DesarrolloPartidos[[#This Row],[Partidos3]])</f>
        <v>8</v>
      </c>
      <c r="K687" t="str">
        <f>+DesarrolloPartidos[[#This Row],[Jugadores]]&amp;":"&amp;DesarrolloPartidos[[#This Row],[Orden]]</f>
        <v>38:28</v>
      </c>
    </row>
    <row r="688" spans="1:11">
      <c r="A688">
        <f t="shared" si="67"/>
        <v>38</v>
      </c>
      <c r="B688">
        <f t="shared" si="62"/>
        <v>10</v>
      </c>
      <c r="C688">
        <f t="shared" si="68"/>
        <v>2</v>
      </c>
      <c r="D688">
        <f t="shared" si="69"/>
        <v>8</v>
      </c>
      <c r="E688">
        <f t="shared" si="70"/>
        <v>29</v>
      </c>
      <c r="F688">
        <f>3*DesarrolloPartidos[[#This Row],[Partidos_3]]</f>
        <v>6</v>
      </c>
      <c r="G688">
        <f>IF(DesarrolloPartidos[[#This Row],[Partidos_3]]=0,0,ROUNDUP(DesarrolloPartidos[[#This Row],[Orden]]/DesarrolloPartidos[[#This Row],[JugEnPart3]]*DesarrolloPartidos[[#This Row],[Partidos_3]],0))</f>
        <v>10</v>
      </c>
      <c r="H688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8</v>
      </c>
      <c r="I688" t="str">
        <f>IF(AND(DesarrolloPartidos[[#This Row],[PartidosSolo3]]&lt;=DesarrolloPartidos[[#This Row],[Partidos_3]],DesarrolloPartidos[[#This Row],[PartidosSolo3]]&lt;&gt;0),DesarrolloPartidos[[#This Row],[PartidosSolo3]],"")</f>
        <v/>
      </c>
      <c r="J688">
        <f>+IF(DesarrolloPartidos[[#This Row],[Partidos3]]="",DesarrolloPartidos[[#This Row],[Partidos4]],DesarrolloPartidos[[#This Row],[Partidos3]])</f>
        <v>8</v>
      </c>
      <c r="K688" t="str">
        <f>+DesarrolloPartidos[[#This Row],[Jugadores]]&amp;":"&amp;DesarrolloPartidos[[#This Row],[Orden]]</f>
        <v>38:29</v>
      </c>
    </row>
    <row r="689" spans="1:11">
      <c r="A689">
        <f t="shared" si="67"/>
        <v>38</v>
      </c>
      <c r="B689">
        <f t="shared" si="62"/>
        <v>10</v>
      </c>
      <c r="C689">
        <f t="shared" si="68"/>
        <v>2</v>
      </c>
      <c r="D689">
        <f t="shared" si="69"/>
        <v>8</v>
      </c>
      <c r="E689">
        <f t="shared" si="70"/>
        <v>30</v>
      </c>
      <c r="F689">
        <f>3*DesarrolloPartidos[[#This Row],[Partidos_3]]</f>
        <v>6</v>
      </c>
      <c r="G689">
        <f>IF(DesarrolloPartidos[[#This Row],[Partidos_3]]=0,0,ROUNDUP(DesarrolloPartidos[[#This Row],[Orden]]/DesarrolloPartidos[[#This Row],[JugEnPart3]]*DesarrolloPartidos[[#This Row],[Partidos_3]],0))</f>
        <v>10</v>
      </c>
      <c r="H689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8</v>
      </c>
      <c r="I689" t="str">
        <f>IF(AND(DesarrolloPartidos[[#This Row],[PartidosSolo3]]&lt;=DesarrolloPartidos[[#This Row],[Partidos_3]],DesarrolloPartidos[[#This Row],[PartidosSolo3]]&lt;&gt;0),DesarrolloPartidos[[#This Row],[PartidosSolo3]],"")</f>
        <v/>
      </c>
      <c r="J689">
        <f>+IF(DesarrolloPartidos[[#This Row],[Partidos3]]="",DesarrolloPartidos[[#This Row],[Partidos4]],DesarrolloPartidos[[#This Row],[Partidos3]])</f>
        <v>8</v>
      </c>
      <c r="K689" t="str">
        <f>+DesarrolloPartidos[[#This Row],[Jugadores]]&amp;":"&amp;DesarrolloPartidos[[#This Row],[Orden]]</f>
        <v>38:30</v>
      </c>
    </row>
    <row r="690" spans="1:11">
      <c r="A690">
        <f t="shared" si="67"/>
        <v>38</v>
      </c>
      <c r="B690">
        <f t="shared" si="62"/>
        <v>10</v>
      </c>
      <c r="C690">
        <f t="shared" si="68"/>
        <v>2</v>
      </c>
      <c r="D690">
        <f t="shared" si="69"/>
        <v>8</v>
      </c>
      <c r="E690">
        <f t="shared" si="70"/>
        <v>31</v>
      </c>
      <c r="F690">
        <f>3*DesarrolloPartidos[[#This Row],[Partidos_3]]</f>
        <v>6</v>
      </c>
      <c r="G690">
        <f>IF(DesarrolloPartidos[[#This Row],[Partidos_3]]=0,0,ROUNDUP(DesarrolloPartidos[[#This Row],[Orden]]/DesarrolloPartidos[[#This Row],[JugEnPart3]]*DesarrolloPartidos[[#This Row],[Partidos_3]],0))</f>
        <v>11</v>
      </c>
      <c r="H690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9</v>
      </c>
      <c r="I690" t="str">
        <f>IF(AND(DesarrolloPartidos[[#This Row],[PartidosSolo3]]&lt;=DesarrolloPartidos[[#This Row],[Partidos_3]],DesarrolloPartidos[[#This Row],[PartidosSolo3]]&lt;&gt;0),DesarrolloPartidos[[#This Row],[PartidosSolo3]],"")</f>
        <v/>
      </c>
      <c r="J690">
        <f>+IF(DesarrolloPartidos[[#This Row],[Partidos3]]="",DesarrolloPartidos[[#This Row],[Partidos4]],DesarrolloPartidos[[#This Row],[Partidos3]])</f>
        <v>9</v>
      </c>
      <c r="K690" t="str">
        <f>+DesarrolloPartidos[[#This Row],[Jugadores]]&amp;":"&amp;DesarrolloPartidos[[#This Row],[Orden]]</f>
        <v>38:31</v>
      </c>
    </row>
    <row r="691" spans="1:11">
      <c r="A691">
        <f t="shared" si="67"/>
        <v>38</v>
      </c>
      <c r="B691">
        <f t="shared" si="62"/>
        <v>10</v>
      </c>
      <c r="C691">
        <f t="shared" si="68"/>
        <v>2</v>
      </c>
      <c r="D691">
        <f t="shared" si="69"/>
        <v>8</v>
      </c>
      <c r="E691">
        <f t="shared" si="70"/>
        <v>32</v>
      </c>
      <c r="F691">
        <f>3*DesarrolloPartidos[[#This Row],[Partidos_3]]</f>
        <v>6</v>
      </c>
      <c r="G691">
        <f>IF(DesarrolloPartidos[[#This Row],[Partidos_3]]=0,0,ROUNDUP(DesarrolloPartidos[[#This Row],[Orden]]/DesarrolloPartidos[[#This Row],[JugEnPart3]]*DesarrolloPartidos[[#This Row],[Partidos_3]],0))</f>
        <v>11</v>
      </c>
      <c r="H691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9</v>
      </c>
      <c r="I691" t="str">
        <f>IF(AND(DesarrolloPartidos[[#This Row],[PartidosSolo3]]&lt;=DesarrolloPartidos[[#This Row],[Partidos_3]],DesarrolloPartidos[[#This Row],[PartidosSolo3]]&lt;&gt;0),DesarrolloPartidos[[#This Row],[PartidosSolo3]],"")</f>
        <v/>
      </c>
      <c r="J691">
        <f>+IF(DesarrolloPartidos[[#This Row],[Partidos3]]="",DesarrolloPartidos[[#This Row],[Partidos4]],DesarrolloPartidos[[#This Row],[Partidos3]])</f>
        <v>9</v>
      </c>
      <c r="K691" t="str">
        <f>+DesarrolloPartidos[[#This Row],[Jugadores]]&amp;":"&amp;DesarrolloPartidos[[#This Row],[Orden]]</f>
        <v>38:32</v>
      </c>
    </row>
    <row r="692" spans="1:11">
      <c r="A692">
        <f t="shared" si="67"/>
        <v>38</v>
      </c>
      <c r="B692">
        <f t="shared" si="62"/>
        <v>10</v>
      </c>
      <c r="C692">
        <f t="shared" si="68"/>
        <v>2</v>
      </c>
      <c r="D692">
        <f t="shared" si="69"/>
        <v>8</v>
      </c>
      <c r="E692">
        <f t="shared" si="70"/>
        <v>33</v>
      </c>
      <c r="F692">
        <f>3*DesarrolloPartidos[[#This Row],[Partidos_3]]</f>
        <v>6</v>
      </c>
      <c r="G692">
        <f>IF(DesarrolloPartidos[[#This Row],[Partidos_3]]=0,0,ROUNDUP(DesarrolloPartidos[[#This Row],[Orden]]/DesarrolloPartidos[[#This Row],[JugEnPart3]]*DesarrolloPartidos[[#This Row],[Partidos_3]],0))</f>
        <v>11</v>
      </c>
      <c r="H692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9</v>
      </c>
      <c r="I692" t="str">
        <f>IF(AND(DesarrolloPartidos[[#This Row],[PartidosSolo3]]&lt;=DesarrolloPartidos[[#This Row],[Partidos_3]],DesarrolloPartidos[[#This Row],[PartidosSolo3]]&lt;&gt;0),DesarrolloPartidos[[#This Row],[PartidosSolo3]],"")</f>
        <v/>
      </c>
      <c r="J692">
        <f>+IF(DesarrolloPartidos[[#This Row],[Partidos3]]="",DesarrolloPartidos[[#This Row],[Partidos4]],DesarrolloPartidos[[#This Row],[Partidos3]])</f>
        <v>9</v>
      </c>
      <c r="K692" t="str">
        <f>+DesarrolloPartidos[[#This Row],[Jugadores]]&amp;":"&amp;DesarrolloPartidos[[#This Row],[Orden]]</f>
        <v>38:33</v>
      </c>
    </row>
    <row r="693" spans="1:11">
      <c r="A693">
        <f t="shared" si="67"/>
        <v>38</v>
      </c>
      <c r="B693">
        <f t="shared" si="62"/>
        <v>10</v>
      </c>
      <c r="C693">
        <f t="shared" si="68"/>
        <v>2</v>
      </c>
      <c r="D693">
        <f t="shared" si="69"/>
        <v>8</v>
      </c>
      <c r="E693">
        <f t="shared" si="70"/>
        <v>34</v>
      </c>
      <c r="F693">
        <f>3*DesarrolloPartidos[[#This Row],[Partidos_3]]</f>
        <v>6</v>
      </c>
      <c r="G693">
        <f>IF(DesarrolloPartidos[[#This Row],[Partidos_3]]=0,0,ROUNDUP(DesarrolloPartidos[[#This Row],[Orden]]/DesarrolloPartidos[[#This Row],[JugEnPart3]]*DesarrolloPartidos[[#This Row],[Partidos_3]],0))</f>
        <v>12</v>
      </c>
      <c r="H693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9</v>
      </c>
      <c r="I693" t="str">
        <f>IF(AND(DesarrolloPartidos[[#This Row],[PartidosSolo3]]&lt;=DesarrolloPartidos[[#This Row],[Partidos_3]],DesarrolloPartidos[[#This Row],[PartidosSolo3]]&lt;&gt;0),DesarrolloPartidos[[#This Row],[PartidosSolo3]],"")</f>
        <v/>
      </c>
      <c r="J693">
        <f>+IF(DesarrolloPartidos[[#This Row],[Partidos3]]="",DesarrolloPartidos[[#This Row],[Partidos4]],DesarrolloPartidos[[#This Row],[Partidos3]])</f>
        <v>9</v>
      </c>
      <c r="K693" t="str">
        <f>+DesarrolloPartidos[[#This Row],[Jugadores]]&amp;":"&amp;DesarrolloPartidos[[#This Row],[Orden]]</f>
        <v>38:34</v>
      </c>
    </row>
    <row r="694" spans="1:11">
      <c r="A694">
        <f t="shared" si="67"/>
        <v>38</v>
      </c>
      <c r="B694">
        <f t="shared" si="62"/>
        <v>10</v>
      </c>
      <c r="C694">
        <f t="shared" si="68"/>
        <v>2</v>
      </c>
      <c r="D694">
        <f t="shared" si="69"/>
        <v>8</v>
      </c>
      <c r="E694">
        <f t="shared" si="70"/>
        <v>35</v>
      </c>
      <c r="F694">
        <f>3*DesarrolloPartidos[[#This Row],[Partidos_3]]</f>
        <v>6</v>
      </c>
      <c r="G694">
        <f>IF(DesarrolloPartidos[[#This Row],[Partidos_3]]=0,0,ROUNDUP(DesarrolloPartidos[[#This Row],[Orden]]/DesarrolloPartidos[[#This Row],[JugEnPart3]]*DesarrolloPartidos[[#This Row],[Partidos_3]],0))</f>
        <v>12</v>
      </c>
      <c r="H694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10</v>
      </c>
      <c r="I694" t="str">
        <f>IF(AND(DesarrolloPartidos[[#This Row],[PartidosSolo3]]&lt;=DesarrolloPartidos[[#This Row],[Partidos_3]],DesarrolloPartidos[[#This Row],[PartidosSolo3]]&lt;&gt;0),DesarrolloPartidos[[#This Row],[PartidosSolo3]],"")</f>
        <v/>
      </c>
      <c r="J694">
        <f>+IF(DesarrolloPartidos[[#This Row],[Partidos3]]="",DesarrolloPartidos[[#This Row],[Partidos4]],DesarrolloPartidos[[#This Row],[Partidos3]])</f>
        <v>10</v>
      </c>
      <c r="K694" t="str">
        <f>+DesarrolloPartidos[[#This Row],[Jugadores]]&amp;":"&amp;DesarrolloPartidos[[#This Row],[Orden]]</f>
        <v>38:35</v>
      </c>
    </row>
    <row r="695" spans="1:11">
      <c r="A695">
        <f t="shared" si="67"/>
        <v>38</v>
      </c>
      <c r="B695">
        <f t="shared" si="62"/>
        <v>10</v>
      </c>
      <c r="C695">
        <f t="shared" si="68"/>
        <v>2</v>
      </c>
      <c r="D695">
        <f t="shared" si="69"/>
        <v>8</v>
      </c>
      <c r="E695">
        <f t="shared" si="70"/>
        <v>36</v>
      </c>
      <c r="F695">
        <f>3*DesarrolloPartidos[[#This Row],[Partidos_3]]</f>
        <v>6</v>
      </c>
      <c r="G695">
        <f>IF(DesarrolloPartidos[[#This Row],[Partidos_3]]=0,0,ROUNDUP(DesarrolloPartidos[[#This Row],[Orden]]/DesarrolloPartidos[[#This Row],[JugEnPart3]]*DesarrolloPartidos[[#This Row],[Partidos_3]],0))</f>
        <v>12</v>
      </c>
      <c r="H695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10</v>
      </c>
      <c r="I695" t="str">
        <f>IF(AND(DesarrolloPartidos[[#This Row],[PartidosSolo3]]&lt;=DesarrolloPartidos[[#This Row],[Partidos_3]],DesarrolloPartidos[[#This Row],[PartidosSolo3]]&lt;&gt;0),DesarrolloPartidos[[#This Row],[PartidosSolo3]],"")</f>
        <v/>
      </c>
      <c r="J695">
        <f>+IF(DesarrolloPartidos[[#This Row],[Partidos3]]="",DesarrolloPartidos[[#This Row],[Partidos4]],DesarrolloPartidos[[#This Row],[Partidos3]])</f>
        <v>10</v>
      </c>
      <c r="K695" t="str">
        <f>+DesarrolloPartidos[[#This Row],[Jugadores]]&amp;":"&amp;DesarrolloPartidos[[#This Row],[Orden]]</f>
        <v>38:36</v>
      </c>
    </row>
    <row r="696" spans="1:11">
      <c r="A696">
        <f t="shared" si="67"/>
        <v>38</v>
      </c>
      <c r="B696">
        <f t="shared" si="62"/>
        <v>10</v>
      </c>
      <c r="C696">
        <f t="shared" si="68"/>
        <v>2</v>
      </c>
      <c r="D696">
        <f t="shared" si="69"/>
        <v>8</v>
      </c>
      <c r="E696">
        <f t="shared" si="70"/>
        <v>37</v>
      </c>
      <c r="F696">
        <f>3*DesarrolloPartidos[[#This Row],[Partidos_3]]</f>
        <v>6</v>
      </c>
      <c r="G696">
        <f>IF(DesarrolloPartidos[[#This Row],[Partidos_3]]=0,0,ROUNDUP(DesarrolloPartidos[[#This Row],[Orden]]/DesarrolloPartidos[[#This Row],[JugEnPart3]]*DesarrolloPartidos[[#This Row],[Partidos_3]],0))</f>
        <v>13</v>
      </c>
      <c r="H696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10</v>
      </c>
      <c r="I696" t="str">
        <f>IF(AND(DesarrolloPartidos[[#This Row],[PartidosSolo3]]&lt;=DesarrolloPartidos[[#This Row],[Partidos_3]],DesarrolloPartidos[[#This Row],[PartidosSolo3]]&lt;&gt;0),DesarrolloPartidos[[#This Row],[PartidosSolo3]],"")</f>
        <v/>
      </c>
      <c r="J696">
        <f>+IF(DesarrolloPartidos[[#This Row],[Partidos3]]="",DesarrolloPartidos[[#This Row],[Partidos4]],DesarrolloPartidos[[#This Row],[Partidos3]])</f>
        <v>10</v>
      </c>
      <c r="K696" t="str">
        <f>+DesarrolloPartidos[[#This Row],[Jugadores]]&amp;":"&amp;DesarrolloPartidos[[#This Row],[Orden]]</f>
        <v>38:37</v>
      </c>
    </row>
    <row r="697" spans="1:11">
      <c r="A697">
        <f t="shared" si="67"/>
        <v>38</v>
      </c>
      <c r="B697">
        <f t="shared" si="62"/>
        <v>10</v>
      </c>
      <c r="C697">
        <f t="shared" si="68"/>
        <v>2</v>
      </c>
      <c r="D697">
        <f t="shared" si="69"/>
        <v>8</v>
      </c>
      <c r="E697">
        <f t="shared" si="70"/>
        <v>38</v>
      </c>
      <c r="F697">
        <f>3*DesarrolloPartidos[[#This Row],[Partidos_3]]</f>
        <v>6</v>
      </c>
      <c r="G697">
        <f>IF(DesarrolloPartidos[[#This Row],[Partidos_3]]=0,0,ROUNDUP(DesarrolloPartidos[[#This Row],[Orden]]/DesarrolloPartidos[[#This Row],[JugEnPart3]]*DesarrolloPartidos[[#This Row],[Partidos_3]],0))</f>
        <v>13</v>
      </c>
      <c r="H697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10</v>
      </c>
      <c r="I697" t="str">
        <f>IF(AND(DesarrolloPartidos[[#This Row],[PartidosSolo3]]&lt;=DesarrolloPartidos[[#This Row],[Partidos_3]],DesarrolloPartidos[[#This Row],[PartidosSolo3]]&lt;&gt;0),DesarrolloPartidos[[#This Row],[PartidosSolo3]],"")</f>
        <v/>
      </c>
      <c r="J697">
        <f>+IF(DesarrolloPartidos[[#This Row],[Partidos3]]="",DesarrolloPartidos[[#This Row],[Partidos4]],DesarrolloPartidos[[#This Row],[Partidos3]])</f>
        <v>10</v>
      </c>
      <c r="K697" t="str">
        <f>+DesarrolloPartidos[[#This Row],[Jugadores]]&amp;":"&amp;DesarrolloPartidos[[#This Row],[Orden]]</f>
        <v>38:38</v>
      </c>
    </row>
    <row r="698" spans="1:11">
      <c r="A698">
        <f t="shared" si="67"/>
        <v>39</v>
      </c>
      <c r="B698">
        <f t="shared" si="62"/>
        <v>10</v>
      </c>
      <c r="C698">
        <f t="shared" si="68"/>
        <v>1</v>
      </c>
      <c r="D698">
        <f t="shared" si="69"/>
        <v>9</v>
      </c>
      <c r="E698">
        <f t="shared" si="70"/>
        <v>1</v>
      </c>
      <c r="F698">
        <f>3*DesarrolloPartidos[[#This Row],[Partidos_3]]</f>
        <v>3</v>
      </c>
      <c r="G698">
        <f>IF(DesarrolloPartidos[[#This Row],[Partidos_3]]=0,0,ROUNDUP(DesarrolloPartidos[[#This Row],[Orden]]/DesarrolloPartidos[[#This Row],[JugEnPart3]]*DesarrolloPartidos[[#This Row],[Partidos_3]],0))</f>
        <v>1</v>
      </c>
      <c r="H698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698">
        <f>IF(AND(DesarrolloPartidos[[#This Row],[PartidosSolo3]]&lt;=DesarrolloPartidos[[#This Row],[Partidos_3]],DesarrolloPartidos[[#This Row],[PartidosSolo3]]&lt;&gt;0),DesarrolloPartidos[[#This Row],[PartidosSolo3]],"")</f>
        <v>1</v>
      </c>
      <c r="J698">
        <f>+IF(DesarrolloPartidos[[#This Row],[Partidos3]]="",DesarrolloPartidos[[#This Row],[Partidos4]],DesarrolloPartidos[[#This Row],[Partidos3]])</f>
        <v>1</v>
      </c>
      <c r="K698" t="str">
        <f>+DesarrolloPartidos[[#This Row],[Jugadores]]&amp;":"&amp;DesarrolloPartidos[[#This Row],[Orden]]</f>
        <v>39:1</v>
      </c>
    </row>
    <row r="699" spans="1:11">
      <c r="A699">
        <f t="shared" si="67"/>
        <v>39</v>
      </c>
      <c r="B699">
        <f t="shared" si="62"/>
        <v>10</v>
      </c>
      <c r="C699">
        <f t="shared" si="68"/>
        <v>1</v>
      </c>
      <c r="D699">
        <f t="shared" si="69"/>
        <v>9</v>
      </c>
      <c r="E699">
        <f t="shared" si="70"/>
        <v>2</v>
      </c>
      <c r="F699">
        <f>3*DesarrolloPartidos[[#This Row],[Partidos_3]]</f>
        <v>3</v>
      </c>
      <c r="G699">
        <f>IF(DesarrolloPartidos[[#This Row],[Partidos_3]]=0,0,ROUNDUP(DesarrolloPartidos[[#This Row],[Orden]]/DesarrolloPartidos[[#This Row],[JugEnPart3]]*DesarrolloPartidos[[#This Row],[Partidos_3]],0))</f>
        <v>1</v>
      </c>
      <c r="H699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699">
        <f>IF(AND(DesarrolloPartidos[[#This Row],[PartidosSolo3]]&lt;=DesarrolloPartidos[[#This Row],[Partidos_3]],DesarrolloPartidos[[#This Row],[PartidosSolo3]]&lt;&gt;0),DesarrolloPartidos[[#This Row],[PartidosSolo3]],"")</f>
        <v>1</v>
      </c>
      <c r="J699">
        <f>+IF(DesarrolloPartidos[[#This Row],[Partidos3]]="",DesarrolloPartidos[[#This Row],[Partidos4]],DesarrolloPartidos[[#This Row],[Partidos3]])</f>
        <v>1</v>
      </c>
      <c r="K699" t="str">
        <f>+DesarrolloPartidos[[#This Row],[Jugadores]]&amp;":"&amp;DesarrolloPartidos[[#This Row],[Orden]]</f>
        <v>39:2</v>
      </c>
    </row>
    <row r="700" spans="1:11">
      <c r="A700">
        <f t="shared" si="67"/>
        <v>39</v>
      </c>
      <c r="B700">
        <f t="shared" si="62"/>
        <v>10</v>
      </c>
      <c r="C700">
        <f t="shared" si="68"/>
        <v>1</v>
      </c>
      <c r="D700">
        <f t="shared" si="69"/>
        <v>9</v>
      </c>
      <c r="E700">
        <f t="shared" si="70"/>
        <v>3</v>
      </c>
      <c r="F700">
        <f>3*DesarrolloPartidos[[#This Row],[Partidos_3]]</f>
        <v>3</v>
      </c>
      <c r="G700">
        <f>IF(DesarrolloPartidos[[#This Row],[Partidos_3]]=0,0,ROUNDUP(DesarrolloPartidos[[#This Row],[Orden]]/DesarrolloPartidos[[#This Row],[JugEnPart3]]*DesarrolloPartidos[[#This Row],[Partidos_3]],0))</f>
        <v>1</v>
      </c>
      <c r="H700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700">
        <f>IF(AND(DesarrolloPartidos[[#This Row],[PartidosSolo3]]&lt;=DesarrolloPartidos[[#This Row],[Partidos_3]],DesarrolloPartidos[[#This Row],[PartidosSolo3]]&lt;&gt;0),DesarrolloPartidos[[#This Row],[PartidosSolo3]],"")</f>
        <v>1</v>
      </c>
      <c r="J700">
        <f>+IF(DesarrolloPartidos[[#This Row],[Partidos3]]="",DesarrolloPartidos[[#This Row],[Partidos4]],DesarrolloPartidos[[#This Row],[Partidos3]])</f>
        <v>1</v>
      </c>
      <c r="K700" t="str">
        <f>+DesarrolloPartidos[[#This Row],[Jugadores]]&amp;":"&amp;DesarrolloPartidos[[#This Row],[Orden]]</f>
        <v>39:3</v>
      </c>
    </row>
    <row r="701" spans="1:11">
      <c r="A701">
        <f t="shared" si="67"/>
        <v>39</v>
      </c>
      <c r="B701">
        <f t="shared" si="62"/>
        <v>10</v>
      </c>
      <c r="C701">
        <f t="shared" si="68"/>
        <v>1</v>
      </c>
      <c r="D701">
        <f t="shared" si="69"/>
        <v>9</v>
      </c>
      <c r="E701">
        <f t="shared" si="70"/>
        <v>4</v>
      </c>
      <c r="F701">
        <f>3*DesarrolloPartidos[[#This Row],[Partidos_3]]</f>
        <v>3</v>
      </c>
      <c r="G701">
        <f>IF(DesarrolloPartidos[[#This Row],[Partidos_3]]=0,0,ROUNDUP(DesarrolloPartidos[[#This Row],[Orden]]/DesarrolloPartidos[[#This Row],[JugEnPart3]]*DesarrolloPartidos[[#This Row],[Partidos_3]],0))</f>
        <v>2</v>
      </c>
      <c r="H701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2</v>
      </c>
      <c r="I701" t="str">
        <f>IF(AND(DesarrolloPartidos[[#This Row],[PartidosSolo3]]&lt;=DesarrolloPartidos[[#This Row],[Partidos_3]],DesarrolloPartidos[[#This Row],[PartidosSolo3]]&lt;&gt;0),DesarrolloPartidos[[#This Row],[PartidosSolo3]],"")</f>
        <v/>
      </c>
      <c r="J701">
        <f>+IF(DesarrolloPartidos[[#This Row],[Partidos3]]="",DesarrolloPartidos[[#This Row],[Partidos4]],DesarrolloPartidos[[#This Row],[Partidos3]])</f>
        <v>2</v>
      </c>
      <c r="K701" t="str">
        <f>+DesarrolloPartidos[[#This Row],[Jugadores]]&amp;":"&amp;DesarrolloPartidos[[#This Row],[Orden]]</f>
        <v>39:4</v>
      </c>
    </row>
    <row r="702" spans="1:11">
      <c r="A702">
        <f t="shared" si="67"/>
        <v>39</v>
      </c>
      <c r="B702">
        <f t="shared" si="62"/>
        <v>10</v>
      </c>
      <c r="C702">
        <f t="shared" si="68"/>
        <v>1</v>
      </c>
      <c r="D702">
        <f t="shared" si="69"/>
        <v>9</v>
      </c>
      <c r="E702">
        <f t="shared" si="70"/>
        <v>5</v>
      </c>
      <c r="F702">
        <f>3*DesarrolloPartidos[[#This Row],[Partidos_3]]</f>
        <v>3</v>
      </c>
      <c r="G702">
        <f>IF(DesarrolloPartidos[[#This Row],[Partidos_3]]=0,0,ROUNDUP(DesarrolloPartidos[[#This Row],[Orden]]/DesarrolloPartidos[[#This Row],[JugEnPart3]]*DesarrolloPartidos[[#This Row],[Partidos_3]],0))</f>
        <v>2</v>
      </c>
      <c r="H702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2</v>
      </c>
      <c r="I702" t="str">
        <f>IF(AND(DesarrolloPartidos[[#This Row],[PartidosSolo3]]&lt;=DesarrolloPartidos[[#This Row],[Partidos_3]],DesarrolloPartidos[[#This Row],[PartidosSolo3]]&lt;&gt;0),DesarrolloPartidos[[#This Row],[PartidosSolo3]],"")</f>
        <v/>
      </c>
      <c r="J702">
        <f>+IF(DesarrolloPartidos[[#This Row],[Partidos3]]="",DesarrolloPartidos[[#This Row],[Partidos4]],DesarrolloPartidos[[#This Row],[Partidos3]])</f>
        <v>2</v>
      </c>
      <c r="K702" t="str">
        <f>+DesarrolloPartidos[[#This Row],[Jugadores]]&amp;":"&amp;DesarrolloPartidos[[#This Row],[Orden]]</f>
        <v>39:5</v>
      </c>
    </row>
    <row r="703" spans="1:11">
      <c r="A703">
        <f t="shared" si="67"/>
        <v>39</v>
      </c>
      <c r="B703">
        <f t="shared" si="62"/>
        <v>10</v>
      </c>
      <c r="C703">
        <f t="shared" si="68"/>
        <v>1</v>
      </c>
      <c r="D703">
        <f t="shared" si="69"/>
        <v>9</v>
      </c>
      <c r="E703">
        <f t="shared" si="70"/>
        <v>6</v>
      </c>
      <c r="F703">
        <f>3*DesarrolloPartidos[[#This Row],[Partidos_3]]</f>
        <v>3</v>
      </c>
      <c r="G703">
        <f>IF(DesarrolloPartidos[[#This Row],[Partidos_3]]=0,0,ROUNDUP(DesarrolloPartidos[[#This Row],[Orden]]/DesarrolloPartidos[[#This Row],[JugEnPart3]]*DesarrolloPartidos[[#This Row],[Partidos_3]],0))</f>
        <v>2</v>
      </c>
      <c r="H703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2</v>
      </c>
      <c r="I703" t="str">
        <f>IF(AND(DesarrolloPartidos[[#This Row],[PartidosSolo3]]&lt;=DesarrolloPartidos[[#This Row],[Partidos_3]],DesarrolloPartidos[[#This Row],[PartidosSolo3]]&lt;&gt;0),DesarrolloPartidos[[#This Row],[PartidosSolo3]],"")</f>
        <v/>
      </c>
      <c r="J703">
        <f>+IF(DesarrolloPartidos[[#This Row],[Partidos3]]="",DesarrolloPartidos[[#This Row],[Partidos4]],DesarrolloPartidos[[#This Row],[Partidos3]])</f>
        <v>2</v>
      </c>
      <c r="K703" t="str">
        <f>+DesarrolloPartidos[[#This Row],[Jugadores]]&amp;":"&amp;DesarrolloPartidos[[#This Row],[Orden]]</f>
        <v>39:6</v>
      </c>
    </row>
    <row r="704" spans="1:11">
      <c r="A704">
        <f t="shared" si="67"/>
        <v>39</v>
      </c>
      <c r="B704">
        <f t="shared" si="62"/>
        <v>10</v>
      </c>
      <c r="C704">
        <f t="shared" si="68"/>
        <v>1</v>
      </c>
      <c r="D704">
        <f t="shared" si="69"/>
        <v>9</v>
      </c>
      <c r="E704">
        <f t="shared" si="70"/>
        <v>7</v>
      </c>
      <c r="F704">
        <f>3*DesarrolloPartidos[[#This Row],[Partidos_3]]</f>
        <v>3</v>
      </c>
      <c r="G704">
        <f>IF(DesarrolloPartidos[[#This Row],[Partidos_3]]=0,0,ROUNDUP(DesarrolloPartidos[[#This Row],[Orden]]/DesarrolloPartidos[[#This Row],[JugEnPart3]]*DesarrolloPartidos[[#This Row],[Partidos_3]],0))</f>
        <v>3</v>
      </c>
      <c r="H704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2</v>
      </c>
      <c r="I704" t="str">
        <f>IF(AND(DesarrolloPartidos[[#This Row],[PartidosSolo3]]&lt;=DesarrolloPartidos[[#This Row],[Partidos_3]],DesarrolloPartidos[[#This Row],[PartidosSolo3]]&lt;&gt;0),DesarrolloPartidos[[#This Row],[PartidosSolo3]],"")</f>
        <v/>
      </c>
      <c r="J704">
        <f>+IF(DesarrolloPartidos[[#This Row],[Partidos3]]="",DesarrolloPartidos[[#This Row],[Partidos4]],DesarrolloPartidos[[#This Row],[Partidos3]])</f>
        <v>2</v>
      </c>
      <c r="K704" t="str">
        <f>+DesarrolloPartidos[[#This Row],[Jugadores]]&amp;":"&amp;DesarrolloPartidos[[#This Row],[Orden]]</f>
        <v>39:7</v>
      </c>
    </row>
    <row r="705" spans="1:11">
      <c r="A705">
        <f t="shared" si="67"/>
        <v>39</v>
      </c>
      <c r="B705">
        <f t="shared" si="62"/>
        <v>10</v>
      </c>
      <c r="C705">
        <f t="shared" si="68"/>
        <v>1</v>
      </c>
      <c r="D705">
        <f t="shared" si="69"/>
        <v>9</v>
      </c>
      <c r="E705">
        <f t="shared" si="70"/>
        <v>8</v>
      </c>
      <c r="F705">
        <f>3*DesarrolloPartidos[[#This Row],[Partidos_3]]</f>
        <v>3</v>
      </c>
      <c r="G705">
        <f>IF(DesarrolloPartidos[[#This Row],[Partidos_3]]=0,0,ROUNDUP(DesarrolloPartidos[[#This Row],[Orden]]/DesarrolloPartidos[[#This Row],[JugEnPart3]]*DesarrolloPartidos[[#This Row],[Partidos_3]],0))</f>
        <v>3</v>
      </c>
      <c r="H705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3</v>
      </c>
      <c r="I705" t="str">
        <f>IF(AND(DesarrolloPartidos[[#This Row],[PartidosSolo3]]&lt;=DesarrolloPartidos[[#This Row],[Partidos_3]],DesarrolloPartidos[[#This Row],[PartidosSolo3]]&lt;&gt;0),DesarrolloPartidos[[#This Row],[PartidosSolo3]],"")</f>
        <v/>
      </c>
      <c r="J705">
        <f>+IF(DesarrolloPartidos[[#This Row],[Partidos3]]="",DesarrolloPartidos[[#This Row],[Partidos4]],DesarrolloPartidos[[#This Row],[Partidos3]])</f>
        <v>3</v>
      </c>
      <c r="K705" t="str">
        <f>+DesarrolloPartidos[[#This Row],[Jugadores]]&amp;":"&amp;DesarrolloPartidos[[#This Row],[Orden]]</f>
        <v>39:8</v>
      </c>
    </row>
    <row r="706" spans="1:11">
      <c r="A706">
        <f t="shared" si="67"/>
        <v>39</v>
      </c>
      <c r="B706">
        <f t="shared" si="62"/>
        <v>10</v>
      </c>
      <c r="C706">
        <f t="shared" si="68"/>
        <v>1</v>
      </c>
      <c r="D706">
        <f t="shared" si="69"/>
        <v>9</v>
      </c>
      <c r="E706">
        <f t="shared" si="70"/>
        <v>9</v>
      </c>
      <c r="F706">
        <f>3*DesarrolloPartidos[[#This Row],[Partidos_3]]</f>
        <v>3</v>
      </c>
      <c r="G706">
        <f>IF(DesarrolloPartidos[[#This Row],[Partidos_3]]=0,0,ROUNDUP(DesarrolloPartidos[[#This Row],[Orden]]/DesarrolloPartidos[[#This Row],[JugEnPart3]]*DesarrolloPartidos[[#This Row],[Partidos_3]],0))</f>
        <v>3</v>
      </c>
      <c r="H706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3</v>
      </c>
      <c r="I706" t="str">
        <f>IF(AND(DesarrolloPartidos[[#This Row],[PartidosSolo3]]&lt;=DesarrolloPartidos[[#This Row],[Partidos_3]],DesarrolloPartidos[[#This Row],[PartidosSolo3]]&lt;&gt;0),DesarrolloPartidos[[#This Row],[PartidosSolo3]],"")</f>
        <v/>
      </c>
      <c r="J706">
        <f>+IF(DesarrolloPartidos[[#This Row],[Partidos3]]="",DesarrolloPartidos[[#This Row],[Partidos4]],DesarrolloPartidos[[#This Row],[Partidos3]])</f>
        <v>3</v>
      </c>
      <c r="K706" t="str">
        <f>+DesarrolloPartidos[[#This Row],[Jugadores]]&amp;":"&amp;DesarrolloPartidos[[#This Row],[Orden]]</f>
        <v>39:9</v>
      </c>
    </row>
    <row r="707" spans="1:11">
      <c r="A707">
        <f t="shared" si="67"/>
        <v>39</v>
      </c>
      <c r="B707">
        <f t="shared" ref="B707:B770" si="71">+ROUNDUP(A707/4,0)</f>
        <v>10</v>
      </c>
      <c r="C707">
        <f t="shared" si="68"/>
        <v>1</v>
      </c>
      <c r="D707">
        <f t="shared" si="69"/>
        <v>9</v>
      </c>
      <c r="E707">
        <f t="shared" si="70"/>
        <v>10</v>
      </c>
      <c r="F707">
        <f>3*DesarrolloPartidos[[#This Row],[Partidos_3]]</f>
        <v>3</v>
      </c>
      <c r="G707">
        <f>IF(DesarrolloPartidos[[#This Row],[Partidos_3]]=0,0,ROUNDUP(DesarrolloPartidos[[#This Row],[Orden]]/DesarrolloPartidos[[#This Row],[JugEnPart3]]*DesarrolloPartidos[[#This Row],[Partidos_3]],0))</f>
        <v>4</v>
      </c>
      <c r="H707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3</v>
      </c>
      <c r="I707" t="str">
        <f>IF(AND(DesarrolloPartidos[[#This Row],[PartidosSolo3]]&lt;=DesarrolloPartidos[[#This Row],[Partidos_3]],DesarrolloPartidos[[#This Row],[PartidosSolo3]]&lt;&gt;0),DesarrolloPartidos[[#This Row],[PartidosSolo3]],"")</f>
        <v/>
      </c>
      <c r="J707">
        <f>+IF(DesarrolloPartidos[[#This Row],[Partidos3]]="",DesarrolloPartidos[[#This Row],[Partidos4]],DesarrolloPartidos[[#This Row],[Partidos3]])</f>
        <v>3</v>
      </c>
      <c r="K707" t="str">
        <f>+DesarrolloPartidos[[#This Row],[Jugadores]]&amp;":"&amp;DesarrolloPartidos[[#This Row],[Orden]]</f>
        <v>39:10</v>
      </c>
    </row>
    <row r="708" spans="1:11">
      <c r="A708">
        <f t="shared" si="67"/>
        <v>39</v>
      </c>
      <c r="B708">
        <f t="shared" si="71"/>
        <v>10</v>
      </c>
      <c r="C708">
        <f t="shared" si="68"/>
        <v>1</v>
      </c>
      <c r="D708">
        <f t="shared" si="69"/>
        <v>9</v>
      </c>
      <c r="E708">
        <f t="shared" si="70"/>
        <v>11</v>
      </c>
      <c r="F708">
        <f>3*DesarrolloPartidos[[#This Row],[Partidos_3]]</f>
        <v>3</v>
      </c>
      <c r="G708">
        <f>IF(DesarrolloPartidos[[#This Row],[Partidos_3]]=0,0,ROUNDUP(DesarrolloPartidos[[#This Row],[Orden]]/DesarrolloPartidos[[#This Row],[JugEnPart3]]*DesarrolloPartidos[[#This Row],[Partidos_3]],0))</f>
        <v>4</v>
      </c>
      <c r="H708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3</v>
      </c>
      <c r="I708" t="str">
        <f>IF(AND(DesarrolloPartidos[[#This Row],[PartidosSolo3]]&lt;=DesarrolloPartidos[[#This Row],[Partidos_3]],DesarrolloPartidos[[#This Row],[PartidosSolo3]]&lt;&gt;0),DesarrolloPartidos[[#This Row],[PartidosSolo3]],"")</f>
        <v/>
      </c>
      <c r="J708">
        <f>+IF(DesarrolloPartidos[[#This Row],[Partidos3]]="",DesarrolloPartidos[[#This Row],[Partidos4]],DesarrolloPartidos[[#This Row],[Partidos3]])</f>
        <v>3</v>
      </c>
      <c r="K708" t="str">
        <f>+DesarrolloPartidos[[#This Row],[Jugadores]]&amp;":"&amp;DesarrolloPartidos[[#This Row],[Orden]]</f>
        <v>39:11</v>
      </c>
    </row>
    <row r="709" spans="1:11">
      <c r="A709">
        <f t="shared" si="67"/>
        <v>39</v>
      </c>
      <c r="B709">
        <f t="shared" si="71"/>
        <v>10</v>
      </c>
      <c r="C709">
        <f t="shared" si="68"/>
        <v>1</v>
      </c>
      <c r="D709">
        <f t="shared" si="69"/>
        <v>9</v>
      </c>
      <c r="E709">
        <f t="shared" si="70"/>
        <v>12</v>
      </c>
      <c r="F709">
        <f>3*DesarrolloPartidos[[#This Row],[Partidos_3]]</f>
        <v>3</v>
      </c>
      <c r="G709">
        <f>IF(DesarrolloPartidos[[#This Row],[Partidos_3]]=0,0,ROUNDUP(DesarrolloPartidos[[#This Row],[Orden]]/DesarrolloPartidos[[#This Row],[JugEnPart3]]*DesarrolloPartidos[[#This Row],[Partidos_3]],0))</f>
        <v>4</v>
      </c>
      <c r="H709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709" t="str">
        <f>IF(AND(DesarrolloPartidos[[#This Row],[PartidosSolo3]]&lt;=DesarrolloPartidos[[#This Row],[Partidos_3]],DesarrolloPartidos[[#This Row],[PartidosSolo3]]&lt;&gt;0),DesarrolloPartidos[[#This Row],[PartidosSolo3]],"")</f>
        <v/>
      </c>
      <c r="J709">
        <f>+IF(DesarrolloPartidos[[#This Row],[Partidos3]]="",DesarrolloPartidos[[#This Row],[Partidos4]],DesarrolloPartidos[[#This Row],[Partidos3]])</f>
        <v>4</v>
      </c>
      <c r="K709" t="str">
        <f>+DesarrolloPartidos[[#This Row],[Jugadores]]&amp;":"&amp;DesarrolloPartidos[[#This Row],[Orden]]</f>
        <v>39:12</v>
      </c>
    </row>
    <row r="710" spans="1:11">
      <c r="A710">
        <f t="shared" si="67"/>
        <v>39</v>
      </c>
      <c r="B710">
        <f t="shared" si="71"/>
        <v>10</v>
      </c>
      <c r="C710">
        <f t="shared" si="68"/>
        <v>1</v>
      </c>
      <c r="D710">
        <f t="shared" si="69"/>
        <v>9</v>
      </c>
      <c r="E710">
        <f t="shared" si="70"/>
        <v>13</v>
      </c>
      <c r="F710">
        <f>3*DesarrolloPartidos[[#This Row],[Partidos_3]]</f>
        <v>3</v>
      </c>
      <c r="G710">
        <f>IF(DesarrolloPartidos[[#This Row],[Partidos_3]]=0,0,ROUNDUP(DesarrolloPartidos[[#This Row],[Orden]]/DesarrolloPartidos[[#This Row],[JugEnPart3]]*DesarrolloPartidos[[#This Row],[Partidos_3]],0))</f>
        <v>5</v>
      </c>
      <c r="H710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710" t="str">
        <f>IF(AND(DesarrolloPartidos[[#This Row],[PartidosSolo3]]&lt;=DesarrolloPartidos[[#This Row],[Partidos_3]],DesarrolloPartidos[[#This Row],[PartidosSolo3]]&lt;&gt;0),DesarrolloPartidos[[#This Row],[PartidosSolo3]],"")</f>
        <v/>
      </c>
      <c r="J710">
        <f>+IF(DesarrolloPartidos[[#This Row],[Partidos3]]="",DesarrolloPartidos[[#This Row],[Partidos4]],DesarrolloPartidos[[#This Row],[Partidos3]])</f>
        <v>4</v>
      </c>
      <c r="K710" t="str">
        <f>+DesarrolloPartidos[[#This Row],[Jugadores]]&amp;":"&amp;DesarrolloPartidos[[#This Row],[Orden]]</f>
        <v>39:13</v>
      </c>
    </row>
    <row r="711" spans="1:11">
      <c r="A711">
        <f t="shared" si="67"/>
        <v>39</v>
      </c>
      <c r="B711">
        <f t="shared" si="71"/>
        <v>10</v>
      </c>
      <c r="C711">
        <f t="shared" si="68"/>
        <v>1</v>
      </c>
      <c r="D711">
        <f t="shared" si="69"/>
        <v>9</v>
      </c>
      <c r="E711">
        <f t="shared" si="70"/>
        <v>14</v>
      </c>
      <c r="F711">
        <f>3*DesarrolloPartidos[[#This Row],[Partidos_3]]</f>
        <v>3</v>
      </c>
      <c r="G711">
        <f>IF(DesarrolloPartidos[[#This Row],[Partidos_3]]=0,0,ROUNDUP(DesarrolloPartidos[[#This Row],[Orden]]/DesarrolloPartidos[[#This Row],[JugEnPart3]]*DesarrolloPartidos[[#This Row],[Partidos_3]],0))</f>
        <v>5</v>
      </c>
      <c r="H711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711" t="str">
        <f>IF(AND(DesarrolloPartidos[[#This Row],[PartidosSolo3]]&lt;=DesarrolloPartidos[[#This Row],[Partidos_3]],DesarrolloPartidos[[#This Row],[PartidosSolo3]]&lt;&gt;0),DesarrolloPartidos[[#This Row],[PartidosSolo3]],"")</f>
        <v/>
      </c>
      <c r="J711">
        <f>+IF(DesarrolloPartidos[[#This Row],[Partidos3]]="",DesarrolloPartidos[[#This Row],[Partidos4]],DesarrolloPartidos[[#This Row],[Partidos3]])</f>
        <v>4</v>
      </c>
      <c r="K711" t="str">
        <f>+DesarrolloPartidos[[#This Row],[Jugadores]]&amp;":"&amp;DesarrolloPartidos[[#This Row],[Orden]]</f>
        <v>39:14</v>
      </c>
    </row>
    <row r="712" spans="1:11">
      <c r="A712">
        <f t="shared" si="67"/>
        <v>39</v>
      </c>
      <c r="B712">
        <f t="shared" si="71"/>
        <v>10</v>
      </c>
      <c r="C712">
        <f t="shared" si="68"/>
        <v>1</v>
      </c>
      <c r="D712">
        <f t="shared" si="69"/>
        <v>9</v>
      </c>
      <c r="E712">
        <f t="shared" si="70"/>
        <v>15</v>
      </c>
      <c r="F712">
        <f>3*DesarrolloPartidos[[#This Row],[Partidos_3]]</f>
        <v>3</v>
      </c>
      <c r="G712">
        <f>IF(DesarrolloPartidos[[#This Row],[Partidos_3]]=0,0,ROUNDUP(DesarrolloPartidos[[#This Row],[Orden]]/DesarrolloPartidos[[#This Row],[JugEnPart3]]*DesarrolloPartidos[[#This Row],[Partidos_3]],0))</f>
        <v>5</v>
      </c>
      <c r="H712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712" t="str">
        <f>IF(AND(DesarrolloPartidos[[#This Row],[PartidosSolo3]]&lt;=DesarrolloPartidos[[#This Row],[Partidos_3]],DesarrolloPartidos[[#This Row],[PartidosSolo3]]&lt;&gt;0),DesarrolloPartidos[[#This Row],[PartidosSolo3]],"")</f>
        <v/>
      </c>
      <c r="J712">
        <f>+IF(DesarrolloPartidos[[#This Row],[Partidos3]]="",DesarrolloPartidos[[#This Row],[Partidos4]],DesarrolloPartidos[[#This Row],[Partidos3]])</f>
        <v>4</v>
      </c>
      <c r="K712" t="str">
        <f>+DesarrolloPartidos[[#This Row],[Jugadores]]&amp;":"&amp;DesarrolloPartidos[[#This Row],[Orden]]</f>
        <v>39:15</v>
      </c>
    </row>
    <row r="713" spans="1:11">
      <c r="A713">
        <f t="shared" si="67"/>
        <v>39</v>
      </c>
      <c r="B713">
        <f t="shared" si="71"/>
        <v>10</v>
      </c>
      <c r="C713">
        <f t="shared" si="68"/>
        <v>1</v>
      </c>
      <c r="D713">
        <f t="shared" si="69"/>
        <v>9</v>
      </c>
      <c r="E713">
        <f t="shared" si="70"/>
        <v>16</v>
      </c>
      <c r="F713">
        <f>3*DesarrolloPartidos[[#This Row],[Partidos_3]]</f>
        <v>3</v>
      </c>
      <c r="G713">
        <f>IF(DesarrolloPartidos[[#This Row],[Partidos_3]]=0,0,ROUNDUP(DesarrolloPartidos[[#This Row],[Orden]]/DesarrolloPartidos[[#This Row],[JugEnPart3]]*DesarrolloPartidos[[#This Row],[Partidos_3]],0))</f>
        <v>6</v>
      </c>
      <c r="H713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5</v>
      </c>
      <c r="I713" t="str">
        <f>IF(AND(DesarrolloPartidos[[#This Row],[PartidosSolo3]]&lt;=DesarrolloPartidos[[#This Row],[Partidos_3]],DesarrolloPartidos[[#This Row],[PartidosSolo3]]&lt;&gt;0),DesarrolloPartidos[[#This Row],[PartidosSolo3]],"")</f>
        <v/>
      </c>
      <c r="J713">
        <f>+IF(DesarrolloPartidos[[#This Row],[Partidos3]]="",DesarrolloPartidos[[#This Row],[Partidos4]],DesarrolloPartidos[[#This Row],[Partidos3]])</f>
        <v>5</v>
      </c>
      <c r="K713" t="str">
        <f>+DesarrolloPartidos[[#This Row],[Jugadores]]&amp;":"&amp;DesarrolloPartidos[[#This Row],[Orden]]</f>
        <v>39:16</v>
      </c>
    </row>
    <row r="714" spans="1:11">
      <c r="A714">
        <f t="shared" si="67"/>
        <v>39</v>
      </c>
      <c r="B714">
        <f t="shared" si="71"/>
        <v>10</v>
      </c>
      <c r="C714">
        <f t="shared" si="68"/>
        <v>1</v>
      </c>
      <c r="D714">
        <f t="shared" si="69"/>
        <v>9</v>
      </c>
      <c r="E714">
        <f t="shared" si="70"/>
        <v>17</v>
      </c>
      <c r="F714">
        <f>3*DesarrolloPartidos[[#This Row],[Partidos_3]]</f>
        <v>3</v>
      </c>
      <c r="G714">
        <f>IF(DesarrolloPartidos[[#This Row],[Partidos_3]]=0,0,ROUNDUP(DesarrolloPartidos[[#This Row],[Orden]]/DesarrolloPartidos[[#This Row],[JugEnPart3]]*DesarrolloPartidos[[#This Row],[Partidos_3]],0))</f>
        <v>6</v>
      </c>
      <c r="H714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5</v>
      </c>
      <c r="I714" t="str">
        <f>IF(AND(DesarrolloPartidos[[#This Row],[PartidosSolo3]]&lt;=DesarrolloPartidos[[#This Row],[Partidos_3]],DesarrolloPartidos[[#This Row],[PartidosSolo3]]&lt;&gt;0),DesarrolloPartidos[[#This Row],[PartidosSolo3]],"")</f>
        <v/>
      </c>
      <c r="J714">
        <f>+IF(DesarrolloPartidos[[#This Row],[Partidos3]]="",DesarrolloPartidos[[#This Row],[Partidos4]],DesarrolloPartidos[[#This Row],[Partidos3]])</f>
        <v>5</v>
      </c>
      <c r="K714" t="str">
        <f>+DesarrolloPartidos[[#This Row],[Jugadores]]&amp;":"&amp;DesarrolloPartidos[[#This Row],[Orden]]</f>
        <v>39:17</v>
      </c>
    </row>
    <row r="715" spans="1:11">
      <c r="A715">
        <f t="shared" si="67"/>
        <v>39</v>
      </c>
      <c r="B715">
        <f t="shared" si="71"/>
        <v>10</v>
      </c>
      <c r="C715">
        <f t="shared" si="68"/>
        <v>1</v>
      </c>
      <c r="D715">
        <f t="shared" si="69"/>
        <v>9</v>
      </c>
      <c r="E715">
        <f t="shared" si="70"/>
        <v>18</v>
      </c>
      <c r="F715">
        <f>3*DesarrolloPartidos[[#This Row],[Partidos_3]]</f>
        <v>3</v>
      </c>
      <c r="G715">
        <f>IF(DesarrolloPartidos[[#This Row],[Partidos_3]]=0,0,ROUNDUP(DesarrolloPartidos[[#This Row],[Orden]]/DesarrolloPartidos[[#This Row],[JugEnPart3]]*DesarrolloPartidos[[#This Row],[Partidos_3]],0))</f>
        <v>6</v>
      </c>
      <c r="H715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5</v>
      </c>
      <c r="I715" t="str">
        <f>IF(AND(DesarrolloPartidos[[#This Row],[PartidosSolo3]]&lt;=DesarrolloPartidos[[#This Row],[Partidos_3]],DesarrolloPartidos[[#This Row],[PartidosSolo3]]&lt;&gt;0),DesarrolloPartidos[[#This Row],[PartidosSolo3]],"")</f>
        <v/>
      </c>
      <c r="J715">
        <f>+IF(DesarrolloPartidos[[#This Row],[Partidos3]]="",DesarrolloPartidos[[#This Row],[Partidos4]],DesarrolloPartidos[[#This Row],[Partidos3]])</f>
        <v>5</v>
      </c>
      <c r="K715" t="str">
        <f>+DesarrolloPartidos[[#This Row],[Jugadores]]&amp;":"&amp;DesarrolloPartidos[[#This Row],[Orden]]</f>
        <v>39:18</v>
      </c>
    </row>
    <row r="716" spans="1:11">
      <c r="A716">
        <f t="shared" si="67"/>
        <v>39</v>
      </c>
      <c r="B716">
        <f t="shared" si="71"/>
        <v>10</v>
      </c>
      <c r="C716">
        <f t="shared" si="68"/>
        <v>1</v>
      </c>
      <c r="D716">
        <f t="shared" si="69"/>
        <v>9</v>
      </c>
      <c r="E716">
        <f t="shared" si="70"/>
        <v>19</v>
      </c>
      <c r="F716">
        <f>3*DesarrolloPartidos[[#This Row],[Partidos_3]]</f>
        <v>3</v>
      </c>
      <c r="G716">
        <f>IF(DesarrolloPartidos[[#This Row],[Partidos_3]]=0,0,ROUNDUP(DesarrolloPartidos[[#This Row],[Orden]]/DesarrolloPartidos[[#This Row],[JugEnPart3]]*DesarrolloPartidos[[#This Row],[Partidos_3]],0))</f>
        <v>7</v>
      </c>
      <c r="H716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5</v>
      </c>
      <c r="I716" t="str">
        <f>IF(AND(DesarrolloPartidos[[#This Row],[PartidosSolo3]]&lt;=DesarrolloPartidos[[#This Row],[Partidos_3]],DesarrolloPartidos[[#This Row],[PartidosSolo3]]&lt;&gt;0),DesarrolloPartidos[[#This Row],[PartidosSolo3]],"")</f>
        <v/>
      </c>
      <c r="J716">
        <f>+IF(DesarrolloPartidos[[#This Row],[Partidos3]]="",DesarrolloPartidos[[#This Row],[Partidos4]],DesarrolloPartidos[[#This Row],[Partidos3]])</f>
        <v>5</v>
      </c>
      <c r="K716" t="str">
        <f>+DesarrolloPartidos[[#This Row],[Jugadores]]&amp;":"&amp;DesarrolloPartidos[[#This Row],[Orden]]</f>
        <v>39:19</v>
      </c>
    </row>
    <row r="717" spans="1:11">
      <c r="A717">
        <f t="shared" si="67"/>
        <v>39</v>
      </c>
      <c r="B717">
        <f t="shared" si="71"/>
        <v>10</v>
      </c>
      <c r="C717">
        <f t="shared" si="68"/>
        <v>1</v>
      </c>
      <c r="D717">
        <f t="shared" si="69"/>
        <v>9</v>
      </c>
      <c r="E717">
        <f t="shared" si="70"/>
        <v>20</v>
      </c>
      <c r="F717">
        <f>3*DesarrolloPartidos[[#This Row],[Partidos_3]]</f>
        <v>3</v>
      </c>
      <c r="G717">
        <f>IF(DesarrolloPartidos[[#This Row],[Partidos_3]]=0,0,ROUNDUP(DesarrolloPartidos[[#This Row],[Orden]]/DesarrolloPartidos[[#This Row],[JugEnPart3]]*DesarrolloPartidos[[#This Row],[Partidos_3]],0))</f>
        <v>7</v>
      </c>
      <c r="H717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6</v>
      </c>
      <c r="I717" t="str">
        <f>IF(AND(DesarrolloPartidos[[#This Row],[PartidosSolo3]]&lt;=DesarrolloPartidos[[#This Row],[Partidos_3]],DesarrolloPartidos[[#This Row],[PartidosSolo3]]&lt;&gt;0),DesarrolloPartidos[[#This Row],[PartidosSolo3]],"")</f>
        <v/>
      </c>
      <c r="J717">
        <f>+IF(DesarrolloPartidos[[#This Row],[Partidos3]]="",DesarrolloPartidos[[#This Row],[Partidos4]],DesarrolloPartidos[[#This Row],[Partidos3]])</f>
        <v>6</v>
      </c>
      <c r="K717" t="str">
        <f>+DesarrolloPartidos[[#This Row],[Jugadores]]&amp;":"&amp;DesarrolloPartidos[[#This Row],[Orden]]</f>
        <v>39:20</v>
      </c>
    </row>
    <row r="718" spans="1:11">
      <c r="A718">
        <f t="shared" si="67"/>
        <v>39</v>
      </c>
      <c r="B718">
        <f t="shared" si="71"/>
        <v>10</v>
      </c>
      <c r="C718">
        <f t="shared" si="68"/>
        <v>1</v>
      </c>
      <c r="D718">
        <f t="shared" si="69"/>
        <v>9</v>
      </c>
      <c r="E718">
        <f t="shared" si="70"/>
        <v>21</v>
      </c>
      <c r="F718">
        <f>3*DesarrolloPartidos[[#This Row],[Partidos_3]]</f>
        <v>3</v>
      </c>
      <c r="G718">
        <f>IF(DesarrolloPartidos[[#This Row],[Partidos_3]]=0,0,ROUNDUP(DesarrolloPartidos[[#This Row],[Orden]]/DesarrolloPartidos[[#This Row],[JugEnPart3]]*DesarrolloPartidos[[#This Row],[Partidos_3]],0))</f>
        <v>7</v>
      </c>
      <c r="H718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6</v>
      </c>
      <c r="I718" t="str">
        <f>IF(AND(DesarrolloPartidos[[#This Row],[PartidosSolo3]]&lt;=DesarrolloPartidos[[#This Row],[Partidos_3]],DesarrolloPartidos[[#This Row],[PartidosSolo3]]&lt;&gt;0),DesarrolloPartidos[[#This Row],[PartidosSolo3]],"")</f>
        <v/>
      </c>
      <c r="J718">
        <f>+IF(DesarrolloPartidos[[#This Row],[Partidos3]]="",DesarrolloPartidos[[#This Row],[Partidos4]],DesarrolloPartidos[[#This Row],[Partidos3]])</f>
        <v>6</v>
      </c>
      <c r="K718" t="str">
        <f>+DesarrolloPartidos[[#This Row],[Jugadores]]&amp;":"&amp;DesarrolloPartidos[[#This Row],[Orden]]</f>
        <v>39:21</v>
      </c>
    </row>
    <row r="719" spans="1:11">
      <c r="A719">
        <f t="shared" si="67"/>
        <v>39</v>
      </c>
      <c r="B719">
        <f t="shared" si="71"/>
        <v>10</v>
      </c>
      <c r="C719">
        <f t="shared" si="68"/>
        <v>1</v>
      </c>
      <c r="D719">
        <f t="shared" si="69"/>
        <v>9</v>
      </c>
      <c r="E719">
        <f t="shared" si="70"/>
        <v>22</v>
      </c>
      <c r="F719">
        <f>3*DesarrolloPartidos[[#This Row],[Partidos_3]]</f>
        <v>3</v>
      </c>
      <c r="G719">
        <f>IF(DesarrolloPartidos[[#This Row],[Partidos_3]]=0,0,ROUNDUP(DesarrolloPartidos[[#This Row],[Orden]]/DesarrolloPartidos[[#This Row],[JugEnPart3]]*DesarrolloPartidos[[#This Row],[Partidos_3]],0))</f>
        <v>8</v>
      </c>
      <c r="H719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6</v>
      </c>
      <c r="I719" t="str">
        <f>IF(AND(DesarrolloPartidos[[#This Row],[PartidosSolo3]]&lt;=DesarrolloPartidos[[#This Row],[Partidos_3]],DesarrolloPartidos[[#This Row],[PartidosSolo3]]&lt;&gt;0),DesarrolloPartidos[[#This Row],[PartidosSolo3]],"")</f>
        <v/>
      </c>
      <c r="J719">
        <f>+IF(DesarrolloPartidos[[#This Row],[Partidos3]]="",DesarrolloPartidos[[#This Row],[Partidos4]],DesarrolloPartidos[[#This Row],[Partidos3]])</f>
        <v>6</v>
      </c>
      <c r="K719" t="str">
        <f>+DesarrolloPartidos[[#This Row],[Jugadores]]&amp;":"&amp;DesarrolloPartidos[[#This Row],[Orden]]</f>
        <v>39:22</v>
      </c>
    </row>
    <row r="720" spans="1:11">
      <c r="A720">
        <f t="shared" si="67"/>
        <v>39</v>
      </c>
      <c r="B720">
        <f t="shared" si="71"/>
        <v>10</v>
      </c>
      <c r="C720">
        <f t="shared" si="68"/>
        <v>1</v>
      </c>
      <c r="D720">
        <f t="shared" si="69"/>
        <v>9</v>
      </c>
      <c r="E720">
        <f t="shared" si="70"/>
        <v>23</v>
      </c>
      <c r="F720">
        <f>3*DesarrolloPartidos[[#This Row],[Partidos_3]]</f>
        <v>3</v>
      </c>
      <c r="G720">
        <f>IF(DesarrolloPartidos[[#This Row],[Partidos_3]]=0,0,ROUNDUP(DesarrolloPartidos[[#This Row],[Orden]]/DesarrolloPartidos[[#This Row],[JugEnPart3]]*DesarrolloPartidos[[#This Row],[Partidos_3]],0))</f>
        <v>8</v>
      </c>
      <c r="H720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6</v>
      </c>
      <c r="I720" t="str">
        <f>IF(AND(DesarrolloPartidos[[#This Row],[PartidosSolo3]]&lt;=DesarrolloPartidos[[#This Row],[Partidos_3]],DesarrolloPartidos[[#This Row],[PartidosSolo3]]&lt;&gt;0),DesarrolloPartidos[[#This Row],[PartidosSolo3]],"")</f>
        <v/>
      </c>
      <c r="J720">
        <f>+IF(DesarrolloPartidos[[#This Row],[Partidos3]]="",DesarrolloPartidos[[#This Row],[Partidos4]],DesarrolloPartidos[[#This Row],[Partidos3]])</f>
        <v>6</v>
      </c>
      <c r="K720" t="str">
        <f>+DesarrolloPartidos[[#This Row],[Jugadores]]&amp;":"&amp;DesarrolloPartidos[[#This Row],[Orden]]</f>
        <v>39:23</v>
      </c>
    </row>
    <row r="721" spans="1:11">
      <c r="A721">
        <f t="shared" si="67"/>
        <v>39</v>
      </c>
      <c r="B721">
        <f t="shared" si="71"/>
        <v>10</v>
      </c>
      <c r="C721">
        <f t="shared" si="68"/>
        <v>1</v>
      </c>
      <c r="D721">
        <f t="shared" si="69"/>
        <v>9</v>
      </c>
      <c r="E721">
        <f t="shared" si="70"/>
        <v>24</v>
      </c>
      <c r="F721">
        <f>3*DesarrolloPartidos[[#This Row],[Partidos_3]]</f>
        <v>3</v>
      </c>
      <c r="G721">
        <f>IF(DesarrolloPartidos[[#This Row],[Partidos_3]]=0,0,ROUNDUP(DesarrolloPartidos[[#This Row],[Orden]]/DesarrolloPartidos[[#This Row],[JugEnPart3]]*DesarrolloPartidos[[#This Row],[Partidos_3]],0))</f>
        <v>8</v>
      </c>
      <c r="H721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7</v>
      </c>
      <c r="I721" t="str">
        <f>IF(AND(DesarrolloPartidos[[#This Row],[PartidosSolo3]]&lt;=DesarrolloPartidos[[#This Row],[Partidos_3]],DesarrolloPartidos[[#This Row],[PartidosSolo3]]&lt;&gt;0),DesarrolloPartidos[[#This Row],[PartidosSolo3]],"")</f>
        <v/>
      </c>
      <c r="J721">
        <f>+IF(DesarrolloPartidos[[#This Row],[Partidos3]]="",DesarrolloPartidos[[#This Row],[Partidos4]],DesarrolloPartidos[[#This Row],[Partidos3]])</f>
        <v>7</v>
      </c>
      <c r="K721" t="str">
        <f>+DesarrolloPartidos[[#This Row],[Jugadores]]&amp;":"&amp;DesarrolloPartidos[[#This Row],[Orden]]</f>
        <v>39:24</v>
      </c>
    </row>
    <row r="722" spans="1:11">
      <c r="A722">
        <f t="shared" si="67"/>
        <v>39</v>
      </c>
      <c r="B722">
        <f t="shared" si="71"/>
        <v>10</v>
      </c>
      <c r="C722">
        <f t="shared" si="68"/>
        <v>1</v>
      </c>
      <c r="D722">
        <f t="shared" si="69"/>
        <v>9</v>
      </c>
      <c r="E722">
        <f t="shared" si="70"/>
        <v>25</v>
      </c>
      <c r="F722">
        <f>3*DesarrolloPartidos[[#This Row],[Partidos_3]]</f>
        <v>3</v>
      </c>
      <c r="G722">
        <f>IF(DesarrolloPartidos[[#This Row],[Partidos_3]]=0,0,ROUNDUP(DesarrolloPartidos[[#This Row],[Orden]]/DesarrolloPartidos[[#This Row],[JugEnPart3]]*DesarrolloPartidos[[#This Row],[Partidos_3]],0))</f>
        <v>9</v>
      </c>
      <c r="H722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7</v>
      </c>
      <c r="I722" t="str">
        <f>IF(AND(DesarrolloPartidos[[#This Row],[PartidosSolo3]]&lt;=DesarrolloPartidos[[#This Row],[Partidos_3]],DesarrolloPartidos[[#This Row],[PartidosSolo3]]&lt;&gt;0),DesarrolloPartidos[[#This Row],[PartidosSolo3]],"")</f>
        <v/>
      </c>
      <c r="J722">
        <f>+IF(DesarrolloPartidos[[#This Row],[Partidos3]]="",DesarrolloPartidos[[#This Row],[Partidos4]],DesarrolloPartidos[[#This Row],[Partidos3]])</f>
        <v>7</v>
      </c>
      <c r="K722" t="str">
        <f>+DesarrolloPartidos[[#This Row],[Jugadores]]&amp;":"&amp;DesarrolloPartidos[[#This Row],[Orden]]</f>
        <v>39:25</v>
      </c>
    </row>
    <row r="723" spans="1:11">
      <c r="A723">
        <f t="shared" si="67"/>
        <v>39</v>
      </c>
      <c r="B723">
        <f t="shared" si="71"/>
        <v>10</v>
      </c>
      <c r="C723">
        <f t="shared" si="68"/>
        <v>1</v>
      </c>
      <c r="D723">
        <f t="shared" si="69"/>
        <v>9</v>
      </c>
      <c r="E723">
        <f t="shared" si="70"/>
        <v>26</v>
      </c>
      <c r="F723">
        <f>3*DesarrolloPartidos[[#This Row],[Partidos_3]]</f>
        <v>3</v>
      </c>
      <c r="G723">
        <f>IF(DesarrolloPartidos[[#This Row],[Partidos_3]]=0,0,ROUNDUP(DesarrolloPartidos[[#This Row],[Orden]]/DesarrolloPartidos[[#This Row],[JugEnPart3]]*DesarrolloPartidos[[#This Row],[Partidos_3]],0))</f>
        <v>9</v>
      </c>
      <c r="H723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7</v>
      </c>
      <c r="I723" t="str">
        <f>IF(AND(DesarrolloPartidos[[#This Row],[PartidosSolo3]]&lt;=DesarrolloPartidos[[#This Row],[Partidos_3]],DesarrolloPartidos[[#This Row],[PartidosSolo3]]&lt;&gt;0),DesarrolloPartidos[[#This Row],[PartidosSolo3]],"")</f>
        <v/>
      </c>
      <c r="J723">
        <f>+IF(DesarrolloPartidos[[#This Row],[Partidos3]]="",DesarrolloPartidos[[#This Row],[Partidos4]],DesarrolloPartidos[[#This Row],[Partidos3]])</f>
        <v>7</v>
      </c>
      <c r="K723" t="str">
        <f>+DesarrolloPartidos[[#This Row],[Jugadores]]&amp;":"&amp;DesarrolloPartidos[[#This Row],[Orden]]</f>
        <v>39:26</v>
      </c>
    </row>
    <row r="724" spans="1:11">
      <c r="A724">
        <f t="shared" si="67"/>
        <v>39</v>
      </c>
      <c r="B724">
        <f t="shared" si="71"/>
        <v>10</v>
      </c>
      <c r="C724">
        <f t="shared" si="68"/>
        <v>1</v>
      </c>
      <c r="D724">
        <f t="shared" si="69"/>
        <v>9</v>
      </c>
      <c r="E724">
        <f t="shared" si="70"/>
        <v>27</v>
      </c>
      <c r="F724">
        <f>3*DesarrolloPartidos[[#This Row],[Partidos_3]]</f>
        <v>3</v>
      </c>
      <c r="G724">
        <f>IF(DesarrolloPartidos[[#This Row],[Partidos_3]]=0,0,ROUNDUP(DesarrolloPartidos[[#This Row],[Orden]]/DesarrolloPartidos[[#This Row],[JugEnPart3]]*DesarrolloPartidos[[#This Row],[Partidos_3]],0))</f>
        <v>9</v>
      </c>
      <c r="H724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7</v>
      </c>
      <c r="I724" t="str">
        <f>IF(AND(DesarrolloPartidos[[#This Row],[PartidosSolo3]]&lt;=DesarrolloPartidos[[#This Row],[Partidos_3]],DesarrolloPartidos[[#This Row],[PartidosSolo3]]&lt;&gt;0),DesarrolloPartidos[[#This Row],[PartidosSolo3]],"")</f>
        <v/>
      </c>
      <c r="J724">
        <f>+IF(DesarrolloPartidos[[#This Row],[Partidos3]]="",DesarrolloPartidos[[#This Row],[Partidos4]],DesarrolloPartidos[[#This Row],[Partidos3]])</f>
        <v>7</v>
      </c>
      <c r="K724" t="str">
        <f>+DesarrolloPartidos[[#This Row],[Jugadores]]&amp;":"&amp;DesarrolloPartidos[[#This Row],[Orden]]</f>
        <v>39:27</v>
      </c>
    </row>
    <row r="725" spans="1:11">
      <c r="A725">
        <f t="shared" si="67"/>
        <v>39</v>
      </c>
      <c r="B725">
        <f t="shared" si="71"/>
        <v>10</v>
      </c>
      <c r="C725">
        <f t="shared" si="68"/>
        <v>1</v>
      </c>
      <c r="D725">
        <f t="shared" si="69"/>
        <v>9</v>
      </c>
      <c r="E725">
        <f t="shared" si="70"/>
        <v>28</v>
      </c>
      <c r="F725">
        <f>3*DesarrolloPartidos[[#This Row],[Partidos_3]]</f>
        <v>3</v>
      </c>
      <c r="G725">
        <f>IF(DesarrolloPartidos[[#This Row],[Partidos_3]]=0,0,ROUNDUP(DesarrolloPartidos[[#This Row],[Orden]]/DesarrolloPartidos[[#This Row],[JugEnPart3]]*DesarrolloPartidos[[#This Row],[Partidos_3]],0))</f>
        <v>10</v>
      </c>
      <c r="H725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8</v>
      </c>
      <c r="I725" t="str">
        <f>IF(AND(DesarrolloPartidos[[#This Row],[PartidosSolo3]]&lt;=DesarrolloPartidos[[#This Row],[Partidos_3]],DesarrolloPartidos[[#This Row],[PartidosSolo3]]&lt;&gt;0),DesarrolloPartidos[[#This Row],[PartidosSolo3]],"")</f>
        <v/>
      </c>
      <c r="J725">
        <f>+IF(DesarrolloPartidos[[#This Row],[Partidos3]]="",DesarrolloPartidos[[#This Row],[Partidos4]],DesarrolloPartidos[[#This Row],[Partidos3]])</f>
        <v>8</v>
      </c>
      <c r="K725" t="str">
        <f>+DesarrolloPartidos[[#This Row],[Jugadores]]&amp;":"&amp;DesarrolloPartidos[[#This Row],[Orden]]</f>
        <v>39:28</v>
      </c>
    </row>
    <row r="726" spans="1:11">
      <c r="A726">
        <f t="shared" si="67"/>
        <v>39</v>
      </c>
      <c r="B726">
        <f t="shared" si="71"/>
        <v>10</v>
      </c>
      <c r="C726">
        <f t="shared" si="68"/>
        <v>1</v>
      </c>
      <c r="D726">
        <f t="shared" si="69"/>
        <v>9</v>
      </c>
      <c r="E726">
        <f t="shared" si="70"/>
        <v>29</v>
      </c>
      <c r="F726">
        <f>3*DesarrolloPartidos[[#This Row],[Partidos_3]]</f>
        <v>3</v>
      </c>
      <c r="G726">
        <f>IF(DesarrolloPartidos[[#This Row],[Partidos_3]]=0,0,ROUNDUP(DesarrolloPartidos[[#This Row],[Orden]]/DesarrolloPartidos[[#This Row],[JugEnPart3]]*DesarrolloPartidos[[#This Row],[Partidos_3]],0))</f>
        <v>10</v>
      </c>
      <c r="H726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8</v>
      </c>
      <c r="I726" t="str">
        <f>IF(AND(DesarrolloPartidos[[#This Row],[PartidosSolo3]]&lt;=DesarrolloPartidos[[#This Row],[Partidos_3]],DesarrolloPartidos[[#This Row],[PartidosSolo3]]&lt;&gt;0),DesarrolloPartidos[[#This Row],[PartidosSolo3]],"")</f>
        <v/>
      </c>
      <c r="J726">
        <f>+IF(DesarrolloPartidos[[#This Row],[Partidos3]]="",DesarrolloPartidos[[#This Row],[Partidos4]],DesarrolloPartidos[[#This Row],[Partidos3]])</f>
        <v>8</v>
      </c>
      <c r="K726" t="str">
        <f>+DesarrolloPartidos[[#This Row],[Jugadores]]&amp;":"&amp;DesarrolloPartidos[[#This Row],[Orden]]</f>
        <v>39:29</v>
      </c>
    </row>
    <row r="727" spans="1:11">
      <c r="A727">
        <f t="shared" si="67"/>
        <v>39</v>
      </c>
      <c r="B727">
        <f t="shared" si="71"/>
        <v>10</v>
      </c>
      <c r="C727">
        <f t="shared" si="68"/>
        <v>1</v>
      </c>
      <c r="D727">
        <f t="shared" si="69"/>
        <v>9</v>
      </c>
      <c r="E727">
        <f t="shared" si="70"/>
        <v>30</v>
      </c>
      <c r="F727">
        <f>3*DesarrolloPartidos[[#This Row],[Partidos_3]]</f>
        <v>3</v>
      </c>
      <c r="G727">
        <f>IF(DesarrolloPartidos[[#This Row],[Partidos_3]]=0,0,ROUNDUP(DesarrolloPartidos[[#This Row],[Orden]]/DesarrolloPartidos[[#This Row],[JugEnPart3]]*DesarrolloPartidos[[#This Row],[Partidos_3]],0))</f>
        <v>10</v>
      </c>
      <c r="H727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8</v>
      </c>
      <c r="I727" t="str">
        <f>IF(AND(DesarrolloPartidos[[#This Row],[PartidosSolo3]]&lt;=DesarrolloPartidos[[#This Row],[Partidos_3]],DesarrolloPartidos[[#This Row],[PartidosSolo3]]&lt;&gt;0),DesarrolloPartidos[[#This Row],[PartidosSolo3]],"")</f>
        <v/>
      </c>
      <c r="J727">
        <f>+IF(DesarrolloPartidos[[#This Row],[Partidos3]]="",DesarrolloPartidos[[#This Row],[Partidos4]],DesarrolloPartidos[[#This Row],[Partidos3]])</f>
        <v>8</v>
      </c>
      <c r="K727" t="str">
        <f>+DesarrolloPartidos[[#This Row],[Jugadores]]&amp;":"&amp;DesarrolloPartidos[[#This Row],[Orden]]</f>
        <v>39:30</v>
      </c>
    </row>
    <row r="728" spans="1:11">
      <c r="A728">
        <f t="shared" si="67"/>
        <v>39</v>
      </c>
      <c r="B728">
        <f t="shared" si="71"/>
        <v>10</v>
      </c>
      <c r="C728">
        <f t="shared" si="68"/>
        <v>1</v>
      </c>
      <c r="D728">
        <f t="shared" si="69"/>
        <v>9</v>
      </c>
      <c r="E728">
        <f t="shared" si="70"/>
        <v>31</v>
      </c>
      <c r="F728">
        <f>3*DesarrolloPartidos[[#This Row],[Partidos_3]]</f>
        <v>3</v>
      </c>
      <c r="G728">
        <f>IF(DesarrolloPartidos[[#This Row],[Partidos_3]]=0,0,ROUNDUP(DesarrolloPartidos[[#This Row],[Orden]]/DesarrolloPartidos[[#This Row],[JugEnPart3]]*DesarrolloPartidos[[#This Row],[Partidos_3]],0))</f>
        <v>11</v>
      </c>
      <c r="H728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8</v>
      </c>
      <c r="I728" t="str">
        <f>IF(AND(DesarrolloPartidos[[#This Row],[PartidosSolo3]]&lt;=DesarrolloPartidos[[#This Row],[Partidos_3]],DesarrolloPartidos[[#This Row],[PartidosSolo3]]&lt;&gt;0),DesarrolloPartidos[[#This Row],[PartidosSolo3]],"")</f>
        <v/>
      </c>
      <c r="J728">
        <f>+IF(DesarrolloPartidos[[#This Row],[Partidos3]]="",DesarrolloPartidos[[#This Row],[Partidos4]],DesarrolloPartidos[[#This Row],[Partidos3]])</f>
        <v>8</v>
      </c>
      <c r="K728" t="str">
        <f>+DesarrolloPartidos[[#This Row],[Jugadores]]&amp;":"&amp;DesarrolloPartidos[[#This Row],[Orden]]</f>
        <v>39:31</v>
      </c>
    </row>
    <row r="729" spans="1:11">
      <c r="A729">
        <f t="shared" si="67"/>
        <v>39</v>
      </c>
      <c r="B729">
        <f t="shared" si="71"/>
        <v>10</v>
      </c>
      <c r="C729">
        <f t="shared" si="68"/>
        <v>1</v>
      </c>
      <c r="D729">
        <f t="shared" si="69"/>
        <v>9</v>
      </c>
      <c r="E729">
        <f t="shared" si="70"/>
        <v>32</v>
      </c>
      <c r="F729">
        <f>3*DesarrolloPartidos[[#This Row],[Partidos_3]]</f>
        <v>3</v>
      </c>
      <c r="G729">
        <f>IF(DesarrolloPartidos[[#This Row],[Partidos_3]]=0,0,ROUNDUP(DesarrolloPartidos[[#This Row],[Orden]]/DesarrolloPartidos[[#This Row],[JugEnPart3]]*DesarrolloPartidos[[#This Row],[Partidos_3]],0))</f>
        <v>11</v>
      </c>
      <c r="H729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9</v>
      </c>
      <c r="I729" t="str">
        <f>IF(AND(DesarrolloPartidos[[#This Row],[PartidosSolo3]]&lt;=DesarrolloPartidos[[#This Row],[Partidos_3]],DesarrolloPartidos[[#This Row],[PartidosSolo3]]&lt;&gt;0),DesarrolloPartidos[[#This Row],[PartidosSolo3]],"")</f>
        <v/>
      </c>
      <c r="J729">
        <f>+IF(DesarrolloPartidos[[#This Row],[Partidos3]]="",DesarrolloPartidos[[#This Row],[Partidos4]],DesarrolloPartidos[[#This Row],[Partidos3]])</f>
        <v>9</v>
      </c>
      <c r="K729" t="str">
        <f>+DesarrolloPartidos[[#This Row],[Jugadores]]&amp;":"&amp;DesarrolloPartidos[[#This Row],[Orden]]</f>
        <v>39:32</v>
      </c>
    </row>
    <row r="730" spans="1:11">
      <c r="A730">
        <f t="shared" si="67"/>
        <v>39</v>
      </c>
      <c r="B730">
        <f t="shared" si="71"/>
        <v>10</v>
      </c>
      <c r="C730">
        <f t="shared" si="68"/>
        <v>1</v>
      </c>
      <c r="D730">
        <f t="shared" si="69"/>
        <v>9</v>
      </c>
      <c r="E730">
        <f t="shared" si="70"/>
        <v>33</v>
      </c>
      <c r="F730">
        <f>3*DesarrolloPartidos[[#This Row],[Partidos_3]]</f>
        <v>3</v>
      </c>
      <c r="G730">
        <f>IF(DesarrolloPartidos[[#This Row],[Partidos_3]]=0,0,ROUNDUP(DesarrolloPartidos[[#This Row],[Orden]]/DesarrolloPartidos[[#This Row],[JugEnPart3]]*DesarrolloPartidos[[#This Row],[Partidos_3]],0))</f>
        <v>11</v>
      </c>
      <c r="H730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9</v>
      </c>
      <c r="I730" t="str">
        <f>IF(AND(DesarrolloPartidos[[#This Row],[PartidosSolo3]]&lt;=DesarrolloPartidos[[#This Row],[Partidos_3]],DesarrolloPartidos[[#This Row],[PartidosSolo3]]&lt;&gt;0),DesarrolloPartidos[[#This Row],[PartidosSolo3]],"")</f>
        <v/>
      </c>
      <c r="J730">
        <f>+IF(DesarrolloPartidos[[#This Row],[Partidos3]]="",DesarrolloPartidos[[#This Row],[Partidos4]],DesarrolloPartidos[[#This Row],[Partidos3]])</f>
        <v>9</v>
      </c>
      <c r="K730" t="str">
        <f>+DesarrolloPartidos[[#This Row],[Jugadores]]&amp;":"&amp;DesarrolloPartidos[[#This Row],[Orden]]</f>
        <v>39:33</v>
      </c>
    </row>
    <row r="731" spans="1:11">
      <c r="A731">
        <f t="shared" si="67"/>
        <v>39</v>
      </c>
      <c r="B731">
        <f t="shared" si="71"/>
        <v>10</v>
      </c>
      <c r="C731">
        <f t="shared" si="68"/>
        <v>1</v>
      </c>
      <c r="D731">
        <f t="shared" si="69"/>
        <v>9</v>
      </c>
      <c r="E731">
        <f t="shared" si="70"/>
        <v>34</v>
      </c>
      <c r="F731">
        <f>3*DesarrolloPartidos[[#This Row],[Partidos_3]]</f>
        <v>3</v>
      </c>
      <c r="G731">
        <f>IF(DesarrolloPartidos[[#This Row],[Partidos_3]]=0,0,ROUNDUP(DesarrolloPartidos[[#This Row],[Orden]]/DesarrolloPartidos[[#This Row],[JugEnPart3]]*DesarrolloPartidos[[#This Row],[Partidos_3]],0))</f>
        <v>12</v>
      </c>
      <c r="H731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9</v>
      </c>
      <c r="I731" t="str">
        <f>IF(AND(DesarrolloPartidos[[#This Row],[PartidosSolo3]]&lt;=DesarrolloPartidos[[#This Row],[Partidos_3]],DesarrolloPartidos[[#This Row],[PartidosSolo3]]&lt;&gt;0),DesarrolloPartidos[[#This Row],[PartidosSolo3]],"")</f>
        <v/>
      </c>
      <c r="J731">
        <f>+IF(DesarrolloPartidos[[#This Row],[Partidos3]]="",DesarrolloPartidos[[#This Row],[Partidos4]],DesarrolloPartidos[[#This Row],[Partidos3]])</f>
        <v>9</v>
      </c>
      <c r="K731" t="str">
        <f>+DesarrolloPartidos[[#This Row],[Jugadores]]&amp;":"&amp;DesarrolloPartidos[[#This Row],[Orden]]</f>
        <v>39:34</v>
      </c>
    </row>
    <row r="732" spans="1:11">
      <c r="A732">
        <f t="shared" si="67"/>
        <v>39</v>
      </c>
      <c r="B732">
        <f t="shared" si="71"/>
        <v>10</v>
      </c>
      <c r="C732">
        <f t="shared" si="68"/>
        <v>1</v>
      </c>
      <c r="D732">
        <f t="shared" si="69"/>
        <v>9</v>
      </c>
      <c r="E732">
        <f t="shared" si="70"/>
        <v>35</v>
      </c>
      <c r="F732">
        <f>3*DesarrolloPartidos[[#This Row],[Partidos_3]]</f>
        <v>3</v>
      </c>
      <c r="G732">
        <f>IF(DesarrolloPartidos[[#This Row],[Partidos_3]]=0,0,ROUNDUP(DesarrolloPartidos[[#This Row],[Orden]]/DesarrolloPartidos[[#This Row],[JugEnPart3]]*DesarrolloPartidos[[#This Row],[Partidos_3]],0))</f>
        <v>12</v>
      </c>
      <c r="H732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9</v>
      </c>
      <c r="I732" t="str">
        <f>IF(AND(DesarrolloPartidos[[#This Row],[PartidosSolo3]]&lt;=DesarrolloPartidos[[#This Row],[Partidos_3]],DesarrolloPartidos[[#This Row],[PartidosSolo3]]&lt;&gt;0),DesarrolloPartidos[[#This Row],[PartidosSolo3]],"")</f>
        <v/>
      </c>
      <c r="J732">
        <f>+IF(DesarrolloPartidos[[#This Row],[Partidos3]]="",DesarrolloPartidos[[#This Row],[Partidos4]],DesarrolloPartidos[[#This Row],[Partidos3]])</f>
        <v>9</v>
      </c>
      <c r="K732" t="str">
        <f>+DesarrolloPartidos[[#This Row],[Jugadores]]&amp;":"&amp;DesarrolloPartidos[[#This Row],[Orden]]</f>
        <v>39:35</v>
      </c>
    </row>
    <row r="733" spans="1:11">
      <c r="A733">
        <f t="shared" si="67"/>
        <v>39</v>
      </c>
      <c r="B733">
        <f t="shared" si="71"/>
        <v>10</v>
      </c>
      <c r="C733">
        <f t="shared" si="68"/>
        <v>1</v>
      </c>
      <c r="D733">
        <f t="shared" si="69"/>
        <v>9</v>
      </c>
      <c r="E733">
        <f t="shared" si="70"/>
        <v>36</v>
      </c>
      <c r="F733">
        <f>3*DesarrolloPartidos[[#This Row],[Partidos_3]]</f>
        <v>3</v>
      </c>
      <c r="G733">
        <f>IF(DesarrolloPartidos[[#This Row],[Partidos_3]]=0,0,ROUNDUP(DesarrolloPartidos[[#This Row],[Orden]]/DesarrolloPartidos[[#This Row],[JugEnPart3]]*DesarrolloPartidos[[#This Row],[Partidos_3]],0))</f>
        <v>12</v>
      </c>
      <c r="H733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10</v>
      </c>
      <c r="I733" t="str">
        <f>IF(AND(DesarrolloPartidos[[#This Row],[PartidosSolo3]]&lt;=DesarrolloPartidos[[#This Row],[Partidos_3]],DesarrolloPartidos[[#This Row],[PartidosSolo3]]&lt;&gt;0),DesarrolloPartidos[[#This Row],[PartidosSolo3]],"")</f>
        <v/>
      </c>
      <c r="J733">
        <f>+IF(DesarrolloPartidos[[#This Row],[Partidos3]]="",DesarrolloPartidos[[#This Row],[Partidos4]],DesarrolloPartidos[[#This Row],[Partidos3]])</f>
        <v>10</v>
      </c>
      <c r="K733" t="str">
        <f>+DesarrolloPartidos[[#This Row],[Jugadores]]&amp;":"&amp;DesarrolloPartidos[[#This Row],[Orden]]</f>
        <v>39:36</v>
      </c>
    </row>
    <row r="734" spans="1:11">
      <c r="A734">
        <f t="shared" si="67"/>
        <v>39</v>
      </c>
      <c r="B734">
        <f t="shared" si="71"/>
        <v>10</v>
      </c>
      <c r="C734">
        <f t="shared" si="68"/>
        <v>1</v>
      </c>
      <c r="D734">
        <f t="shared" si="69"/>
        <v>9</v>
      </c>
      <c r="E734">
        <f t="shared" si="70"/>
        <v>37</v>
      </c>
      <c r="F734">
        <f>3*DesarrolloPartidos[[#This Row],[Partidos_3]]</f>
        <v>3</v>
      </c>
      <c r="G734">
        <f>IF(DesarrolloPartidos[[#This Row],[Partidos_3]]=0,0,ROUNDUP(DesarrolloPartidos[[#This Row],[Orden]]/DesarrolloPartidos[[#This Row],[JugEnPart3]]*DesarrolloPartidos[[#This Row],[Partidos_3]],0))</f>
        <v>13</v>
      </c>
      <c r="H734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10</v>
      </c>
      <c r="I734" t="str">
        <f>IF(AND(DesarrolloPartidos[[#This Row],[PartidosSolo3]]&lt;=DesarrolloPartidos[[#This Row],[Partidos_3]],DesarrolloPartidos[[#This Row],[PartidosSolo3]]&lt;&gt;0),DesarrolloPartidos[[#This Row],[PartidosSolo3]],"")</f>
        <v/>
      </c>
      <c r="J734">
        <f>+IF(DesarrolloPartidos[[#This Row],[Partidos3]]="",DesarrolloPartidos[[#This Row],[Partidos4]],DesarrolloPartidos[[#This Row],[Partidos3]])</f>
        <v>10</v>
      </c>
      <c r="K734" t="str">
        <f>+DesarrolloPartidos[[#This Row],[Jugadores]]&amp;":"&amp;DesarrolloPartidos[[#This Row],[Orden]]</f>
        <v>39:37</v>
      </c>
    </row>
    <row r="735" spans="1:11">
      <c r="A735">
        <f t="shared" si="67"/>
        <v>39</v>
      </c>
      <c r="B735">
        <f t="shared" si="71"/>
        <v>10</v>
      </c>
      <c r="C735">
        <f t="shared" si="68"/>
        <v>1</v>
      </c>
      <c r="D735">
        <f t="shared" si="69"/>
        <v>9</v>
      </c>
      <c r="E735">
        <f t="shared" si="70"/>
        <v>38</v>
      </c>
      <c r="F735">
        <f>3*DesarrolloPartidos[[#This Row],[Partidos_3]]</f>
        <v>3</v>
      </c>
      <c r="G735">
        <f>IF(DesarrolloPartidos[[#This Row],[Partidos_3]]=0,0,ROUNDUP(DesarrolloPartidos[[#This Row],[Orden]]/DesarrolloPartidos[[#This Row],[JugEnPart3]]*DesarrolloPartidos[[#This Row],[Partidos_3]],0))</f>
        <v>13</v>
      </c>
      <c r="H735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10</v>
      </c>
      <c r="I735" t="str">
        <f>IF(AND(DesarrolloPartidos[[#This Row],[PartidosSolo3]]&lt;=DesarrolloPartidos[[#This Row],[Partidos_3]],DesarrolloPartidos[[#This Row],[PartidosSolo3]]&lt;&gt;0),DesarrolloPartidos[[#This Row],[PartidosSolo3]],"")</f>
        <v/>
      </c>
      <c r="J735">
        <f>+IF(DesarrolloPartidos[[#This Row],[Partidos3]]="",DesarrolloPartidos[[#This Row],[Partidos4]],DesarrolloPartidos[[#This Row],[Partidos3]])</f>
        <v>10</v>
      </c>
      <c r="K735" t="str">
        <f>+DesarrolloPartidos[[#This Row],[Jugadores]]&amp;":"&amp;DesarrolloPartidos[[#This Row],[Orden]]</f>
        <v>39:38</v>
      </c>
    </row>
    <row r="736" spans="1:11">
      <c r="A736">
        <f t="shared" si="67"/>
        <v>39</v>
      </c>
      <c r="B736">
        <f t="shared" si="71"/>
        <v>10</v>
      </c>
      <c r="C736">
        <f t="shared" si="68"/>
        <v>1</v>
      </c>
      <c r="D736">
        <f t="shared" si="69"/>
        <v>9</v>
      </c>
      <c r="E736">
        <f t="shared" si="70"/>
        <v>39</v>
      </c>
      <c r="F736">
        <f>3*DesarrolloPartidos[[#This Row],[Partidos_3]]</f>
        <v>3</v>
      </c>
      <c r="G736">
        <f>IF(DesarrolloPartidos[[#This Row],[Partidos_3]]=0,0,ROUNDUP(DesarrolloPartidos[[#This Row],[Orden]]/DesarrolloPartidos[[#This Row],[JugEnPart3]]*DesarrolloPartidos[[#This Row],[Partidos_3]],0))</f>
        <v>13</v>
      </c>
      <c r="H736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10</v>
      </c>
      <c r="I736" t="str">
        <f>IF(AND(DesarrolloPartidos[[#This Row],[PartidosSolo3]]&lt;=DesarrolloPartidos[[#This Row],[Partidos_3]],DesarrolloPartidos[[#This Row],[PartidosSolo3]]&lt;&gt;0),DesarrolloPartidos[[#This Row],[PartidosSolo3]],"")</f>
        <v/>
      </c>
      <c r="J736">
        <f>+IF(DesarrolloPartidos[[#This Row],[Partidos3]]="",DesarrolloPartidos[[#This Row],[Partidos4]],DesarrolloPartidos[[#This Row],[Partidos3]])</f>
        <v>10</v>
      </c>
      <c r="K736" t="str">
        <f>+DesarrolloPartidos[[#This Row],[Jugadores]]&amp;":"&amp;DesarrolloPartidos[[#This Row],[Orden]]</f>
        <v>39:39</v>
      </c>
    </row>
    <row r="737" spans="1:11">
      <c r="A737">
        <f t="shared" si="67"/>
        <v>40</v>
      </c>
      <c r="B737">
        <f t="shared" si="71"/>
        <v>10</v>
      </c>
      <c r="C737">
        <f t="shared" si="68"/>
        <v>0</v>
      </c>
      <c r="D737">
        <f t="shared" si="69"/>
        <v>10</v>
      </c>
      <c r="E737">
        <f t="shared" si="70"/>
        <v>1</v>
      </c>
      <c r="F737">
        <f>3*DesarrolloPartidos[[#This Row],[Partidos_3]]</f>
        <v>0</v>
      </c>
      <c r="G737">
        <f>IF(DesarrolloPartidos[[#This Row],[Partidos_3]]=0,0,ROUNDUP(DesarrolloPartidos[[#This Row],[Orden]]/DesarrolloPartidos[[#This Row],[JugEnPart3]]*DesarrolloPartidos[[#This Row],[Partidos_3]],0))</f>
        <v>0</v>
      </c>
      <c r="H737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1</v>
      </c>
      <c r="I737" t="str">
        <f>IF(AND(DesarrolloPartidos[[#This Row],[PartidosSolo3]]&lt;=DesarrolloPartidos[[#This Row],[Partidos_3]],DesarrolloPartidos[[#This Row],[PartidosSolo3]]&lt;&gt;0),DesarrolloPartidos[[#This Row],[PartidosSolo3]],"")</f>
        <v/>
      </c>
      <c r="J737">
        <f>+IF(DesarrolloPartidos[[#This Row],[Partidos3]]="",DesarrolloPartidos[[#This Row],[Partidos4]],DesarrolloPartidos[[#This Row],[Partidos3]])</f>
        <v>1</v>
      </c>
      <c r="K737" t="str">
        <f>+DesarrolloPartidos[[#This Row],[Jugadores]]&amp;":"&amp;DesarrolloPartidos[[#This Row],[Orden]]</f>
        <v>40:1</v>
      </c>
    </row>
    <row r="738" spans="1:11">
      <c r="A738">
        <f t="shared" si="67"/>
        <v>40</v>
      </c>
      <c r="B738">
        <f t="shared" si="71"/>
        <v>10</v>
      </c>
      <c r="C738">
        <f t="shared" si="68"/>
        <v>0</v>
      </c>
      <c r="D738">
        <f t="shared" si="69"/>
        <v>10</v>
      </c>
      <c r="E738">
        <f t="shared" si="70"/>
        <v>2</v>
      </c>
      <c r="F738">
        <f>3*DesarrolloPartidos[[#This Row],[Partidos_3]]</f>
        <v>0</v>
      </c>
      <c r="G738">
        <f>IF(DesarrolloPartidos[[#This Row],[Partidos_3]]=0,0,ROUNDUP(DesarrolloPartidos[[#This Row],[Orden]]/DesarrolloPartidos[[#This Row],[JugEnPart3]]*DesarrolloPartidos[[#This Row],[Partidos_3]],0))</f>
        <v>0</v>
      </c>
      <c r="H738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1</v>
      </c>
      <c r="I738" t="str">
        <f>IF(AND(DesarrolloPartidos[[#This Row],[PartidosSolo3]]&lt;=DesarrolloPartidos[[#This Row],[Partidos_3]],DesarrolloPartidos[[#This Row],[PartidosSolo3]]&lt;&gt;0),DesarrolloPartidos[[#This Row],[PartidosSolo3]],"")</f>
        <v/>
      </c>
      <c r="J738">
        <f>+IF(DesarrolloPartidos[[#This Row],[Partidos3]]="",DesarrolloPartidos[[#This Row],[Partidos4]],DesarrolloPartidos[[#This Row],[Partidos3]])</f>
        <v>1</v>
      </c>
      <c r="K738" t="str">
        <f>+DesarrolloPartidos[[#This Row],[Jugadores]]&amp;":"&amp;DesarrolloPartidos[[#This Row],[Orden]]</f>
        <v>40:2</v>
      </c>
    </row>
    <row r="739" spans="1:11">
      <c r="A739">
        <f t="shared" si="67"/>
        <v>40</v>
      </c>
      <c r="B739">
        <f t="shared" si="71"/>
        <v>10</v>
      </c>
      <c r="C739">
        <f t="shared" si="68"/>
        <v>0</v>
      </c>
      <c r="D739">
        <f t="shared" si="69"/>
        <v>10</v>
      </c>
      <c r="E739">
        <f t="shared" si="70"/>
        <v>3</v>
      </c>
      <c r="F739">
        <f>3*DesarrolloPartidos[[#This Row],[Partidos_3]]</f>
        <v>0</v>
      </c>
      <c r="G739">
        <f>IF(DesarrolloPartidos[[#This Row],[Partidos_3]]=0,0,ROUNDUP(DesarrolloPartidos[[#This Row],[Orden]]/DesarrolloPartidos[[#This Row],[JugEnPart3]]*DesarrolloPartidos[[#This Row],[Partidos_3]],0))</f>
        <v>0</v>
      </c>
      <c r="H739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1</v>
      </c>
      <c r="I739" t="str">
        <f>IF(AND(DesarrolloPartidos[[#This Row],[PartidosSolo3]]&lt;=DesarrolloPartidos[[#This Row],[Partidos_3]],DesarrolloPartidos[[#This Row],[PartidosSolo3]]&lt;&gt;0),DesarrolloPartidos[[#This Row],[PartidosSolo3]],"")</f>
        <v/>
      </c>
      <c r="J739">
        <f>+IF(DesarrolloPartidos[[#This Row],[Partidos3]]="",DesarrolloPartidos[[#This Row],[Partidos4]],DesarrolloPartidos[[#This Row],[Partidos3]])</f>
        <v>1</v>
      </c>
      <c r="K739" t="str">
        <f>+DesarrolloPartidos[[#This Row],[Jugadores]]&amp;":"&amp;DesarrolloPartidos[[#This Row],[Orden]]</f>
        <v>40:3</v>
      </c>
    </row>
    <row r="740" spans="1:11">
      <c r="A740">
        <f t="shared" si="67"/>
        <v>40</v>
      </c>
      <c r="B740">
        <f t="shared" si="71"/>
        <v>10</v>
      </c>
      <c r="C740">
        <f t="shared" si="68"/>
        <v>0</v>
      </c>
      <c r="D740">
        <f t="shared" si="69"/>
        <v>10</v>
      </c>
      <c r="E740">
        <f t="shared" si="70"/>
        <v>4</v>
      </c>
      <c r="F740">
        <f>3*DesarrolloPartidos[[#This Row],[Partidos_3]]</f>
        <v>0</v>
      </c>
      <c r="G740">
        <f>IF(DesarrolloPartidos[[#This Row],[Partidos_3]]=0,0,ROUNDUP(DesarrolloPartidos[[#This Row],[Orden]]/DesarrolloPartidos[[#This Row],[JugEnPart3]]*DesarrolloPartidos[[#This Row],[Partidos_3]],0))</f>
        <v>0</v>
      </c>
      <c r="H740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1</v>
      </c>
      <c r="I740" t="str">
        <f>IF(AND(DesarrolloPartidos[[#This Row],[PartidosSolo3]]&lt;=DesarrolloPartidos[[#This Row],[Partidos_3]],DesarrolloPartidos[[#This Row],[PartidosSolo3]]&lt;&gt;0),DesarrolloPartidos[[#This Row],[PartidosSolo3]],"")</f>
        <v/>
      </c>
      <c r="J740">
        <f>+IF(DesarrolloPartidos[[#This Row],[Partidos3]]="",DesarrolloPartidos[[#This Row],[Partidos4]],DesarrolloPartidos[[#This Row],[Partidos3]])</f>
        <v>1</v>
      </c>
      <c r="K740" t="str">
        <f>+DesarrolloPartidos[[#This Row],[Jugadores]]&amp;":"&amp;DesarrolloPartidos[[#This Row],[Orden]]</f>
        <v>40:4</v>
      </c>
    </row>
    <row r="741" spans="1:11">
      <c r="A741">
        <f t="shared" si="67"/>
        <v>40</v>
      </c>
      <c r="B741">
        <f t="shared" si="71"/>
        <v>10</v>
      </c>
      <c r="C741">
        <f t="shared" si="68"/>
        <v>0</v>
      </c>
      <c r="D741">
        <f t="shared" si="69"/>
        <v>10</v>
      </c>
      <c r="E741">
        <f t="shared" si="70"/>
        <v>5</v>
      </c>
      <c r="F741">
        <f>3*DesarrolloPartidos[[#This Row],[Partidos_3]]</f>
        <v>0</v>
      </c>
      <c r="G741">
        <f>IF(DesarrolloPartidos[[#This Row],[Partidos_3]]=0,0,ROUNDUP(DesarrolloPartidos[[#This Row],[Orden]]/DesarrolloPartidos[[#This Row],[JugEnPart3]]*DesarrolloPartidos[[#This Row],[Partidos_3]],0))</f>
        <v>0</v>
      </c>
      <c r="H741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2</v>
      </c>
      <c r="I741" t="str">
        <f>IF(AND(DesarrolloPartidos[[#This Row],[PartidosSolo3]]&lt;=DesarrolloPartidos[[#This Row],[Partidos_3]],DesarrolloPartidos[[#This Row],[PartidosSolo3]]&lt;&gt;0),DesarrolloPartidos[[#This Row],[PartidosSolo3]],"")</f>
        <v/>
      </c>
      <c r="J741">
        <f>+IF(DesarrolloPartidos[[#This Row],[Partidos3]]="",DesarrolloPartidos[[#This Row],[Partidos4]],DesarrolloPartidos[[#This Row],[Partidos3]])</f>
        <v>2</v>
      </c>
      <c r="K741" t="str">
        <f>+DesarrolloPartidos[[#This Row],[Jugadores]]&amp;":"&amp;DesarrolloPartidos[[#This Row],[Orden]]</f>
        <v>40:5</v>
      </c>
    </row>
    <row r="742" spans="1:11">
      <c r="A742">
        <f t="shared" si="67"/>
        <v>40</v>
      </c>
      <c r="B742">
        <f t="shared" si="71"/>
        <v>10</v>
      </c>
      <c r="C742">
        <f t="shared" si="68"/>
        <v>0</v>
      </c>
      <c r="D742">
        <f t="shared" si="69"/>
        <v>10</v>
      </c>
      <c r="E742">
        <f t="shared" si="70"/>
        <v>6</v>
      </c>
      <c r="F742">
        <f>3*DesarrolloPartidos[[#This Row],[Partidos_3]]</f>
        <v>0</v>
      </c>
      <c r="G742">
        <f>IF(DesarrolloPartidos[[#This Row],[Partidos_3]]=0,0,ROUNDUP(DesarrolloPartidos[[#This Row],[Orden]]/DesarrolloPartidos[[#This Row],[JugEnPart3]]*DesarrolloPartidos[[#This Row],[Partidos_3]],0))</f>
        <v>0</v>
      </c>
      <c r="H742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2</v>
      </c>
      <c r="I742" t="str">
        <f>IF(AND(DesarrolloPartidos[[#This Row],[PartidosSolo3]]&lt;=DesarrolloPartidos[[#This Row],[Partidos_3]],DesarrolloPartidos[[#This Row],[PartidosSolo3]]&lt;&gt;0),DesarrolloPartidos[[#This Row],[PartidosSolo3]],"")</f>
        <v/>
      </c>
      <c r="J742">
        <f>+IF(DesarrolloPartidos[[#This Row],[Partidos3]]="",DesarrolloPartidos[[#This Row],[Partidos4]],DesarrolloPartidos[[#This Row],[Partidos3]])</f>
        <v>2</v>
      </c>
      <c r="K742" t="str">
        <f>+DesarrolloPartidos[[#This Row],[Jugadores]]&amp;":"&amp;DesarrolloPartidos[[#This Row],[Orden]]</f>
        <v>40:6</v>
      </c>
    </row>
    <row r="743" spans="1:11">
      <c r="A743">
        <f t="shared" ref="A743:A776" si="72">+IF(ROW(A742)=1,10,IF(A742=E742,A742+1,A742))</f>
        <v>40</v>
      </c>
      <c r="B743">
        <f t="shared" si="71"/>
        <v>10</v>
      </c>
      <c r="C743">
        <f t="shared" ref="C743:C776" si="73">+(B743-A743/4)/0.25</f>
        <v>0</v>
      </c>
      <c r="D743">
        <f t="shared" ref="D743:D776" si="74">+B743-C743</f>
        <v>10</v>
      </c>
      <c r="E743">
        <f t="shared" ref="E743:E776" si="75">+IF(ROW(E742)=1,1,IF(E742=A742,1,E742+1))</f>
        <v>7</v>
      </c>
      <c r="F743">
        <f>3*DesarrolloPartidos[[#This Row],[Partidos_3]]</f>
        <v>0</v>
      </c>
      <c r="G743">
        <f>IF(DesarrolloPartidos[[#This Row],[Partidos_3]]=0,0,ROUNDUP(DesarrolloPartidos[[#This Row],[Orden]]/DesarrolloPartidos[[#This Row],[JugEnPart3]]*DesarrolloPartidos[[#This Row],[Partidos_3]],0))</f>
        <v>0</v>
      </c>
      <c r="H743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2</v>
      </c>
      <c r="I743" t="str">
        <f>IF(AND(DesarrolloPartidos[[#This Row],[PartidosSolo3]]&lt;=DesarrolloPartidos[[#This Row],[Partidos_3]],DesarrolloPartidos[[#This Row],[PartidosSolo3]]&lt;&gt;0),DesarrolloPartidos[[#This Row],[PartidosSolo3]],"")</f>
        <v/>
      </c>
      <c r="J743">
        <f>+IF(DesarrolloPartidos[[#This Row],[Partidos3]]="",DesarrolloPartidos[[#This Row],[Partidos4]],DesarrolloPartidos[[#This Row],[Partidos3]])</f>
        <v>2</v>
      </c>
      <c r="K743" t="str">
        <f>+DesarrolloPartidos[[#This Row],[Jugadores]]&amp;":"&amp;DesarrolloPartidos[[#This Row],[Orden]]</f>
        <v>40:7</v>
      </c>
    </row>
    <row r="744" spans="1:11">
      <c r="A744">
        <f t="shared" si="72"/>
        <v>40</v>
      </c>
      <c r="B744">
        <f t="shared" si="71"/>
        <v>10</v>
      </c>
      <c r="C744">
        <f t="shared" si="73"/>
        <v>0</v>
      </c>
      <c r="D744">
        <f t="shared" si="74"/>
        <v>10</v>
      </c>
      <c r="E744">
        <f t="shared" si="75"/>
        <v>8</v>
      </c>
      <c r="F744">
        <f>3*DesarrolloPartidos[[#This Row],[Partidos_3]]</f>
        <v>0</v>
      </c>
      <c r="G744">
        <f>IF(DesarrolloPartidos[[#This Row],[Partidos_3]]=0,0,ROUNDUP(DesarrolloPartidos[[#This Row],[Orden]]/DesarrolloPartidos[[#This Row],[JugEnPart3]]*DesarrolloPartidos[[#This Row],[Partidos_3]],0))</f>
        <v>0</v>
      </c>
      <c r="H744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2</v>
      </c>
      <c r="I744" t="str">
        <f>IF(AND(DesarrolloPartidos[[#This Row],[PartidosSolo3]]&lt;=DesarrolloPartidos[[#This Row],[Partidos_3]],DesarrolloPartidos[[#This Row],[PartidosSolo3]]&lt;&gt;0),DesarrolloPartidos[[#This Row],[PartidosSolo3]],"")</f>
        <v/>
      </c>
      <c r="J744">
        <f>+IF(DesarrolloPartidos[[#This Row],[Partidos3]]="",DesarrolloPartidos[[#This Row],[Partidos4]],DesarrolloPartidos[[#This Row],[Partidos3]])</f>
        <v>2</v>
      </c>
      <c r="K744" t="str">
        <f>+DesarrolloPartidos[[#This Row],[Jugadores]]&amp;":"&amp;DesarrolloPartidos[[#This Row],[Orden]]</f>
        <v>40:8</v>
      </c>
    </row>
    <row r="745" spans="1:11">
      <c r="A745">
        <f t="shared" si="72"/>
        <v>40</v>
      </c>
      <c r="B745">
        <f t="shared" si="71"/>
        <v>10</v>
      </c>
      <c r="C745">
        <f t="shared" si="73"/>
        <v>0</v>
      </c>
      <c r="D745">
        <f t="shared" si="74"/>
        <v>10</v>
      </c>
      <c r="E745">
        <f t="shared" si="75"/>
        <v>9</v>
      </c>
      <c r="F745">
        <f>3*DesarrolloPartidos[[#This Row],[Partidos_3]]</f>
        <v>0</v>
      </c>
      <c r="G745">
        <f>IF(DesarrolloPartidos[[#This Row],[Partidos_3]]=0,0,ROUNDUP(DesarrolloPartidos[[#This Row],[Orden]]/DesarrolloPartidos[[#This Row],[JugEnPart3]]*DesarrolloPartidos[[#This Row],[Partidos_3]],0))</f>
        <v>0</v>
      </c>
      <c r="H745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3</v>
      </c>
      <c r="I745" t="str">
        <f>IF(AND(DesarrolloPartidos[[#This Row],[PartidosSolo3]]&lt;=DesarrolloPartidos[[#This Row],[Partidos_3]],DesarrolloPartidos[[#This Row],[PartidosSolo3]]&lt;&gt;0),DesarrolloPartidos[[#This Row],[PartidosSolo3]],"")</f>
        <v/>
      </c>
      <c r="J745">
        <f>+IF(DesarrolloPartidos[[#This Row],[Partidos3]]="",DesarrolloPartidos[[#This Row],[Partidos4]],DesarrolloPartidos[[#This Row],[Partidos3]])</f>
        <v>3</v>
      </c>
      <c r="K745" t="str">
        <f>+DesarrolloPartidos[[#This Row],[Jugadores]]&amp;":"&amp;DesarrolloPartidos[[#This Row],[Orden]]</f>
        <v>40:9</v>
      </c>
    </row>
    <row r="746" spans="1:11">
      <c r="A746">
        <f t="shared" si="72"/>
        <v>40</v>
      </c>
      <c r="B746">
        <f t="shared" si="71"/>
        <v>10</v>
      </c>
      <c r="C746">
        <f t="shared" si="73"/>
        <v>0</v>
      </c>
      <c r="D746">
        <f t="shared" si="74"/>
        <v>10</v>
      </c>
      <c r="E746">
        <f t="shared" si="75"/>
        <v>10</v>
      </c>
      <c r="F746">
        <f>3*DesarrolloPartidos[[#This Row],[Partidos_3]]</f>
        <v>0</v>
      </c>
      <c r="G746">
        <f>IF(DesarrolloPartidos[[#This Row],[Partidos_3]]=0,0,ROUNDUP(DesarrolloPartidos[[#This Row],[Orden]]/DesarrolloPartidos[[#This Row],[JugEnPart3]]*DesarrolloPartidos[[#This Row],[Partidos_3]],0))</f>
        <v>0</v>
      </c>
      <c r="H746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3</v>
      </c>
      <c r="I746" t="str">
        <f>IF(AND(DesarrolloPartidos[[#This Row],[PartidosSolo3]]&lt;=DesarrolloPartidos[[#This Row],[Partidos_3]],DesarrolloPartidos[[#This Row],[PartidosSolo3]]&lt;&gt;0),DesarrolloPartidos[[#This Row],[PartidosSolo3]],"")</f>
        <v/>
      </c>
      <c r="J746">
        <f>+IF(DesarrolloPartidos[[#This Row],[Partidos3]]="",DesarrolloPartidos[[#This Row],[Partidos4]],DesarrolloPartidos[[#This Row],[Partidos3]])</f>
        <v>3</v>
      </c>
      <c r="K746" t="str">
        <f>+DesarrolloPartidos[[#This Row],[Jugadores]]&amp;":"&amp;DesarrolloPartidos[[#This Row],[Orden]]</f>
        <v>40:10</v>
      </c>
    </row>
    <row r="747" spans="1:11">
      <c r="A747">
        <f t="shared" si="72"/>
        <v>40</v>
      </c>
      <c r="B747">
        <f t="shared" si="71"/>
        <v>10</v>
      </c>
      <c r="C747">
        <f t="shared" si="73"/>
        <v>0</v>
      </c>
      <c r="D747">
        <f t="shared" si="74"/>
        <v>10</v>
      </c>
      <c r="E747">
        <f t="shared" si="75"/>
        <v>11</v>
      </c>
      <c r="F747">
        <f>3*DesarrolloPartidos[[#This Row],[Partidos_3]]</f>
        <v>0</v>
      </c>
      <c r="G747">
        <f>IF(DesarrolloPartidos[[#This Row],[Partidos_3]]=0,0,ROUNDUP(DesarrolloPartidos[[#This Row],[Orden]]/DesarrolloPartidos[[#This Row],[JugEnPart3]]*DesarrolloPartidos[[#This Row],[Partidos_3]],0))</f>
        <v>0</v>
      </c>
      <c r="H747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3</v>
      </c>
      <c r="I747" t="str">
        <f>IF(AND(DesarrolloPartidos[[#This Row],[PartidosSolo3]]&lt;=DesarrolloPartidos[[#This Row],[Partidos_3]],DesarrolloPartidos[[#This Row],[PartidosSolo3]]&lt;&gt;0),DesarrolloPartidos[[#This Row],[PartidosSolo3]],"")</f>
        <v/>
      </c>
      <c r="J747">
        <f>+IF(DesarrolloPartidos[[#This Row],[Partidos3]]="",DesarrolloPartidos[[#This Row],[Partidos4]],DesarrolloPartidos[[#This Row],[Partidos3]])</f>
        <v>3</v>
      </c>
      <c r="K747" t="str">
        <f>+DesarrolloPartidos[[#This Row],[Jugadores]]&amp;":"&amp;DesarrolloPartidos[[#This Row],[Orden]]</f>
        <v>40:11</v>
      </c>
    </row>
    <row r="748" spans="1:11">
      <c r="A748">
        <f t="shared" si="72"/>
        <v>40</v>
      </c>
      <c r="B748">
        <f t="shared" si="71"/>
        <v>10</v>
      </c>
      <c r="C748">
        <f t="shared" si="73"/>
        <v>0</v>
      </c>
      <c r="D748">
        <f t="shared" si="74"/>
        <v>10</v>
      </c>
      <c r="E748">
        <f t="shared" si="75"/>
        <v>12</v>
      </c>
      <c r="F748">
        <f>3*DesarrolloPartidos[[#This Row],[Partidos_3]]</f>
        <v>0</v>
      </c>
      <c r="G748">
        <f>IF(DesarrolloPartidos[[#This Row],[Partidos_3]]=0,0,ROUNDUP(DesarrolloPartidos[[#This Row],[Orden]]/DesarrolloPartidos[[#This Row],[JugEnPart3]]*DesarrolloPartidos[[#This Row],[Partidos_3]],0))</f>
        <v>0</v>
      </c>
      <c r="H748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3</v>
      </c>
      <c r="I748" t="str">
        <f>IF(AND(DesarrolloPartidos[[#This Row],[PartidosSolo3]]&lt;=DesarrolloPartidos[[#This Row],[Partidos_3]],DesarrolloPartidos[[#This Row],[PartidosSolo3]]&lt;&gt;0),DesarrolloPartidos[[#This Row],[PartidosSolo3]],"")</f>
        <v/>
      </c>
      <c r="J748">
        <f>+IF(DesarrolloPartidos[[#This Row],[Partidos3]]="",DesarrolloPartidos[[#This Row],[Partidos4]],DesarrolloPartidos[[#This Row],[Partidos3]])</f>
        <v>3</v>
      </c>
      <c r="K748" t="str">
        <f>+DesarrolloPartidos[[#This Row],[Jugadores]]&amp;":"&amp;DesarrolloPartidos[[#This Row],[Orden]]</f>
        <v>40:12</v>
      </c>
    </row>
    <row r="749" spans="1:11">
      <c r="A749">
        <f t="shared" si="72"/>
        <v>40</v>
      </c>
      <c r="B749">
        <f t="shared" si="71"/>
        <v>10</v>
      </c>
      <c r="C749">
        <f t="shared" si="73"/>
        <v>0</v>
      </c>
      <c r="D749">
        <f t="shared" si="74"/>
        <v>10</v>
      </c>
      <c r="E749">
        <f t="shared" si="75"/>
        <v>13</v>
      </c>
      <c r="F749">
        <f>3*DesarrolloPartidos[[#This Row],[Partidos_3]]</f>
        <v>0</v>
      </c>
      <c r="G749">
        <f>IF(DesarrolloPartidos[[#This Row],[Partidos_3]]=0,0,ROUNDUP(DesarrolloPartidos[[#This Row],[Orden]]/DesarrolloPartidos[[#This Row],[JugEnPart3]]*DesarrolloPartidos[[#This Row],[Partidos_3]],0))</f>
        <v>0</v>
      </c>
      <c r="H749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749" t="str">
        <f>IF(AND(DesarrolloPartidos[[#This Row],[PartidosSolo3]]&lt;=DesarrolloPartidos[[#This Row],[Partidos_3]],DesarrolloPartidos[[#This Row],[PartidosSolo3]]&lt;&gt;0),DesarrolloPartidos[[#This Row],[PartidosSolo3]],"")</f>
        <v/>
      </c>
      <c r="J749">
        <f>+IF(DesarrolloPartidos[[#This Row],[Partidos3]]="",DesarrolloPartidos[[#This Row],[Partidos4]],DesarrolloPartidos[[#This Row],[Partidos3]])</f>
        <v>4</v>
      </c>
      <c r="K749" t="str">
        <f>+DesarrolloPartidos[[#This Row],[Jugadores]]&amp;":"&amp;DesarrolloPartidos[[#This Row],[Orden]]</f>
        <v>40:13</v>
      </c>
    </row>
    <row r="750" spans="1:11">
      <c r="A750">
        <f t="shared" si="72"/>
        <v>40</v>
      </c>
      <c r="B750">
        <f t="shared" si="71"/>
        <v>10</v>
      </c>
      <c r="C750">
        <f t="shared" si="73"/>
        <v>0</v>
      </c>
      <c r="D750">
        <f t="shared" si="74"/>
        <v>10</v>
      </c>
      <c r="E750">
        <f t="shared" si="75"/>
        <v>14</v>
      </c>
      <c r="F750">
        <f>3*DesarrolloPartidos[[#This Row],[Partidos_3]]</f>
        <v>0</v>
      </c>
      <c r="G750">
        <f>IF(DesarrolloPartidos[[#This Row],[Partidos_3]]=0,0,ROUNDUP(DesarrolloPartidos[[#This Row],[Orden]]/DesarrolloPartidos[[#This Row],[JugEnPart3]]*DesarrolloPartidos[[#This Row],[Partidos_3]],0))</f>
        <v>0</v>
      </c>
      <c r="H750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750" t="str">
        <f>IF(AND(DesarrolloPartidos[[#This Row],[PartidosSolo3]]&lt;=DesarrolloPartidos[[#This Row],[Partidos_3]],DesarrolloPartidos[[#This Row],[PartidosSolo3]]&lt;&gt;0),DesarrolloPartidos[[#This Row],[PartidosSolo3]],"")</f>
        <v/>
      </c>
      <c r="J750">
        <f>+IF(DesarrolloPartidos[[#This Row],[Partidos3]]="",DesarrolloPartidos[[#This Row],[Partidos4]],DesarrolloPartidos[[#This Row],[Partidos3]])</f>
        <v>4</v>
      </c>
      <c r="K750" t="str">
        <f>+DesarrolloPartidos[[#This Row],[Jugadores]]&amp;":"&amp;DesarrolloPartidos[[#This Row],[Orden]]</f>
        <v>40:14</v>
      </c>
    </row>
    <row r="751" spans="1:11">
      <c r="A751">
        <f t="shared" si="72"/>
        <v>40</v>
      </c>
      <c r="B751">
        <f t="shared" si="71"/>
        <v>10</v>
      </c>
      <c r="C751">
        <f t="shared" si="73"/>
        <v>0</v>
      </c>
      <c r="D751">
        <f t="shared" si="74"/>
        <v>10</v>
      </c>
      <c r="E751">
        <f t="shared" si="75"/>
        <v>15</v>
      </c>
      <c r="F751">
        <f>3*DesarrolloPartidos[[#This Row],[Partidos_3]]</f>
        <v>0</v>
      </c>
      <c r="G751">
        <f>IF(DesarrolloPartidos[[#This Row],[Partidos_3]]=0,0,ROUNDUP(DesarrolloPartidos[[#This Row],[Orden]]/DesarrolloPartidos[[#This Row],[JugEnPart3]]*DesarrolloPartidos[[#This Row],[Partidos_3]],0))</f>
        <v>0</v>
      </c>
      <c r="H751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751" t="str">
        <f>IF(AND(DesarrolloPartidos[[#This Row],[PartidosSolo3]]&lt;=DesarrolloPartidos[[#This Row],[Partidos_3]],DesarrolloPartidos[[#This Row],[PartidosSolo3]]&lt;&gt;0),DesarrolloPartidos[[#This Row],[PartidosSolo3]],"")</f>
        <v/>
      </c>
      <c r="J751">
        <f>+IF(DesarrolloPartidos[[#This Row],[Partidos3]]="",DesarrolloPartidos[[#This Row],[Partidos4]],DesarrolloPartidos[[#This Row],[Partidos3]])</f>
        <v>4</v>
      </c>
      <c r="K751" t="str">
        <f>+DesarrolloPartidos[[#This Row],[Jugadores]]&amp;":"&amp;DesarrolloPartidos[[#This Row],[Orden]]</f>
        <v>40:15</v>
      </c>
    </row>
    <row r="752" spans="1:11">
      <c r="A752">
        <f t="shared" si="72"/>
        <v>40</v>
      </c>
      <c r="B752">
        <f t="shared" si="71"/>
        <v>10</v>
      </c>
      <c r="C752">
        <f t="shared" si="73"/>
        <v>0</v>
      </c>
      <c r="D752">
        <f t="shared" si="74"/>
        <v>10</v>
      </c>
      <c r="E752">
        <f t="shared" si="75"/>
        <v>16</v>
      </c>
      <c r="F752">
        <f>3*DesarrolloPartidos[[#This Row],[Partidos_3]]</f>
        <v>0</v>
      </c>
      <c r="G752">
        <f>IF(DesarrolloPartidos[[#This Row],[Partidos_3]]=0,0,ROUNDUP(DesarrolloPartidos[[#This Row],[Orden]]/DesarrolloPartidos[[#This Row],[JugEnPart3]]*DesarrolloPartidos[[#This Row],[Partidos_3]],0))</f>
        <v>0</v>
      </c>
      <c r="H752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752" t="str">
        <f>IF(AND(DesarrolloPartidos[[#This Row],[PartidosSolo3]]&lt;=DesarrolloPartidos[[#This Row],[Partidos_3]],DesarrolloPartidos[[#This Row],[PartidosSolo3]]&lt;&gt;0),DesarrolloPartidos[[#This Row],[PartidosSolo3]],"")</f>
        <v/>
      </c>
      <c r="J752">
        <f>+IF(DesarrolloPartidos[[#This Row],[Partidos3]]="",DesarrolloPartidos[[#This Row],[Partidos4]],DesarrolloPartidos[[#This Row],[Partidos3]])</f>
        <v>4</v>
      </c>
      <c r="K752" t="str">
        <f>+DesarrolloPartidos[[#This Row],[Jugadores]]&amp;":"&amp;DesarrolloPartidos[[#This Row],[Orden]]</f>
        <v>40:16</v>
      </c>
    </row>
    <row r="753" spans="1:11">
      <c r="A753">
        <f t="shared" si="72"/>
        <v>40</v>
      </c>
      <c r="B753">
        <f t="shared" si="71"/>
        <v>10</v>
      </c>
      <c r="C753">
        <f t="shared" si="73"/>
        <v>0</v>
      </c>
      <c r="D753">
        <f t="shared" si="74"/>
        <v>10</v>
      </c>
      <c r="E753">
        <f t="shared" si="75"/>
        <v>17</v>
      </c>
      <c r="F753">
        <f>3*DesarrolloPartidos[[#This Row],[Partidos_3]]</f>
        <v>0</v>
      </c>
      <c r="G753">
        <f>IF(DesarrolloPartidos[[#This Row],[Partidos_3]]=0,0,ROUNDUP(DesarrolloPartidos[[#This Row],[Orden]]/DesarrolloPartidos[[#This Row],[JugEnPart3]]*DesarrolloPartidos[[#This Row],[Partidos_3]],0))</f>
        <v>0</v>
      </c>
      <c r="H753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5</v>
      </c>
      <c r="I753" t="str">
        <f>IF(AND(DesarrolloPartidos[[#This Row],[PartidosSolo3]]&lt;=DesarrolloPartidos[[#This Row],[Partidos_3]],DesarrolloPartidos[[#This Row],[PartidosSolo3]]&lt;&gt;0),DesarrolloPartidos[[#This Row],[PartidosSolo3]],"")</f>
        <v/>
      </c>
      <c r="J753">
        <f>+IF(DesarrolloPartidos[[#This Row],[Partidos3]]="",DesarrolloPartidos[[#This Row],[Partidos4]],DesarrolloPartidos[[#This Row],[Partidos3]])</f>
        <v>5</v>
      </c>
      <c r="K753" t="str">
        <f>+DesarrolloPartidos[[#This Row],[Jugadores]]&amp;":"&amp;DesarrolloPartidos[[#This Row],[Orden]]</f>
        <v>40:17</v>
      </c>
    </row>
    <row r="754" spans="1:11">
      <c r="A754">
        <f t="shared" si="72"/>
        <v>40</v>
      </c>
      <c r="B754">
        <f t="shared" si="71"/>
        <v>10</v>
      </c>
      <c r="C754">
        <f t="shared" si="73"/>
        <v>0</v>
      </c>
      <c r="D754">
        <f t="shared" si="74"/>
        <v>10</v>
      </c>
      <c r="E754">
        <f t="shared" si="75"/>
        <v>18</v>
      </c>
      <c r="F754">
        <f>3*DesarrolloPartidos[[#This Row],[Partidos_3]]</f>
        <v>0</v>
      </c>
      <c r="G754">
        <f>IF(DesarrolloPartidos[[#This Row],[Partidos_3]]=0,0,ROUNDUP(DesarrolloPartidos[[#This Row],[Orden]]/DesarrolloPartidos[[#This Row],[JugEnPart3]]*DesarrolloPartidos[[#This Row],[Partidos_3]],0))</f>
        <v>0</v>
      </c>
      <c r="H754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5</v>
      </c>
      <c r="I754" t="str">
        <f>IF(AND(DesarrolloPartidos[[#This Row],[PartidosSolo3]]&lt;=DesarrolloPartidos[[#This Row],[Partidos_3]],DesarrolloPartidos[[#This Row],[PartidosSolo3]]&lt;&gt;0),DesarrolloPartidos[[#This Row],[PartidosSolo3]],"")</f>
        <v/>
      </c>
      <c r="J754">
        <f>+IF(DesarrolloPartidos[[#This Row],[Partidos3]]="",DesarrolloPartidos[[#This Row],[Partidos4]],DesarrolloPartidos[[#This Row],[Partidos3]])</f>
        <v>5</v>
      </c>
      <c r="K754" t="str">
        <f>+DesarrolloPartidos[[#This Row],[Jugadores]]&amp;":"&amp;DesarrolloPartidos[[#This Row],[Orden]]</f>
        <v>40:18</v>
      </c>
    </row>
    <row r="755" spans="1:11">
      <c r="A755">
        <f t="shared" si="72"/>
        <v>40</v>
      </c>
      <c r="B755">
        <f t="shared" si="71"/>
        <v>10</v>
      </c>
      <c r="C755">
        <f t="shared" si="73"/>
        <v>0</v>
      </c>
      <c r="D755">
        <f t="shared" si="74"/>
        <v>10</v>
      </c>
      <c r="E755">
        <f t="shared" si="75"/>
        <v>19</v>
      </c>
      <c r="F755">
        <f>3*DesarrolloPartidos[[#This Row],[Partidos_3]]</f>
        <v>0</v>
      </c>
      <c r="G755">
        <f>IF(DesarrolloPartidos[[#This Row],[Partidos_3]]=0,0,ROUNDUP(DesarrolloPartidos[[#This Row],[Orden]]/DesarrolloPartidos[[#This Row],[JugEnPart3]]*DesarrolloPartidos[[#This Row],[Partidos_3]],0))</f>
        <v>0</v>
      </c>
      <c r="H755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5</v>
      </c>
      <c r="I755" t="str">
        <f>IF(AND(DesarrolloPartidos[[#This Row],[PartidosSolo3]]&lt;=DesarrolloPartidos[[#This Row],[Partidos_3]],DesarrolloPartidos[[#This Row],[PartidosSolo3]]&lt;&gt;0),DesarrolloPartidos[[#This Row],[PartidosSolo3]],"")</f>
        <v/>
      </c>
      <c r="J755">
        <f>+IF(DesarrolloPartidos[[#This Row],[Partidos3]]="",DesarrolloPartidos[[#This Row],[Partidos4]],DesarrolloPartidos[[#This Row],[Partidos3]])</f>
        <v>5</v>
      </c>
      <c r="K755" t="str">
        <f>+DesarrolloPartidos[[#This Row],[Jugadores]]&amp;":"&amp;DesarrolloPartidos[[#This Row],[Orden]]</f>
        <v>40:19</v>
      </c>
    </row>
    <row r="756" spans="1:11">
      <c r="A756">
        <f t="shared" si="72"/>
        <v>40</v>
      </c>
      <c r="B756">
        <f t="shared" si="71"/>
        <v>10</v>
      </c>
      <c r="C756">
        <f t="shared" si="73"/>
        <v>0</v>
      </c>
      <c r="D756">
        <f t="shared" si="74"/>
        <v>10</v>
      </c>
      <c r="E756">
        <f t="shared" si="75"/>
        <v>20</v>
      </c>
      <c r="F756">
        <f>3*DesarrolloPartidos[[#This Row],[Partidos_3]]</f>
        <v>0</v>
      </c>
      <c r="G756">
        <f>IF(DesarrolloPartidos[[#This Row],[Partidos_3]]=0,0,ROUNDUP(DesarrolloPartidos[[#This Row],[Orden]]/DesarrolloPartidos[[#This Row],[JugEnPart3]]*DesarrolloPartidos[[#This Row],[Partidos_3]],0))</f>
        <v>0</v>
      </c>
      <c r="H756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5</v>
      </c>
      <c r="I756" t="str">
        <f>IF(AND(DesarrolloPartidos[[#This Row],[PartidosSolo3]]&lt;=DesarrolloPartidos[[#This Row],[Partidos_3]],DesarrolloPartidos[[#This Row],[PartidosSolo3]]&lt;&gt;0),DesarrolloPartidos[[#This Row],[PartidosSolo3]],"")</f>
        <v/>
      </c>
      <c r="J756">
        <f>+IF(DesarrolloPartidos[[#This Row],[Partidos3]]="",DesarrolloPartidos[[#This Row],[Partidos4]],DesarrolloPartidos[[#This Row],[Partidos3]])</f>
        <v>5</v>
      </c>
      <c r="K756" t="str">
        <f>+DesarrolloPartidos[[#This Row],[Jugadores]]&amp;":"&amp;DesarrolloPartidos[[#This Row],[Orden]]</f>
        <v>40:20</v>
      </c>
    </row>
    <row r="757" spans="1:11">
      <c r="A757">
        <f t="shared" si="72"/>
        <v>40</v>
      </c>
      <c r="B757">
        <f t="shared" si="71"/>
        <v>10</v>
      </c>
      <c r="C757">
        <f t="shared" si="73"/>
        <v>0</v>
      </c>
      <c r="D757">
        <f t="shared" si="74"/>
        <v>10</v>
      </c>
      <c r="E757">
        <f t="shared" si="75"/>
        <v>21</v>
      </c>
      <c r="F757">
        <f>3*DesarrolloPartidos[[#This Row],[Partidos_3]]</f>
        <v>0</v>
      </c>
      <c r="G757">
        <f>IF(DesarrolloPartidos[[#This Row],[Partidos_3]]=0,0,ROUNDUP(DesarrolloPartidos[[#This Row],[Orden]]/DesarrolloPartidos[[#This Row],[JugEnPart3]]*DesarrolloPartidos[[#This Row],[Partidos_3]],0))</f>
        <v>0</v>
      </c>
      <c r="H757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6</v>
      </c>
      <c r="I757" t="str">
        <f>IF(AND(DesarrolloPartidos[[#This Row],[PartidosSolo3]]&lt;=DesarrolloPartidos[[#This Row],[Partidos_3]],DesarrolloPartidos[[#This Row],[PartidosSolo3]]&lt;&gt;0),DesarrolloPartidos[[#This Row],[PartidosSolo3]],"")</f>
        <v/>
      </c>
      <c r="J757">
        <f>+IF(DesarrolloPartidos[[#This Row],[Partidos3]]="",DesarrolloPartidos[[#This Row],[Partidos4]],DesarrolloPartidos[[#This Row],[Partidos3]])</f>
        <v>6</v>
      </c>
      <c r="K757" t="str">
        <f>+DesarrolloPartidos[[#This Row],[Jugadores]]&amp;":"&amp;DesarrolloPartidos[[#This Row],[Orden]]</f>
        <v>40:21</v>
      </c>
    </row>
    <row r="758" spans="1:11">
      <c r="A758">
        <f t="shared" si="72"/>
        <v>40</v>
      </c>
      <c r="B758">
        <f t="shared" si="71"/>
        <v>10</v>
      </c>
      <c r="C758">
        <f t="shared" si="73"/>
        <v>0</v>
      </c>
      <c r="D758">
        <f t="shared" si="74"/>
        <v>10</v>
      </c>
      <c r="E758">
        <f t="shared" si="75"/>
        <v>22</v>
      </c>
      <c r="F758">
        <f>3*DesarrolloPartidos[[#This Row],[Partidos_3]]</f>
        <v>0</v>
      </c>
      <c r="G758">
        <f>IF(DesarrolloPartidos[[#This Row],[Partidos_3]]=0,0,ROUNDUP(DesarrolloPartidos[[#This Row],[Orden]]/DesarrolloPartidos[[#This Row],[JugEnPart3]]*DesarrolloPartidos[[#This Row],[Partidos_3]],0))</f>
        <v>0</v>
      </c>
      <c r="H758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6</v>
      </c>
      <c r="I758" t="str">
        <f>IF(AND(DesarrolloPartidos[[#This Row],[PartidosSolo3]]&lt;=DesarrolloPartidos[[#This Row],[Partidos_3]],DesarrolloPartidos[[#This Row],[PartidosSolo3]]&lt;&gt;0),DesarrolloPartidos[[#This Row],[PartidosSolo3]],"")</f>
        <v/>
      </c>
      <c r="J758">
        <f>+IF(DesarrolloPartidos[[#This Row],[Partidos3]]="",DesarrolloPartidos[[#This Row],[Partidos4]],DesarrolloPartidos[[#This Row],[Partidos3]])</f>
        <v>6</v>
      </c>
      <c r="K758" t="str">
        <f>+DesarrolloPartidos[[#This Row],[Jugadores]]&amp;":"&amp;DesarrolloPartidos[[#This Row],[Orden]]</f>
        <v>40:22</v>
      </c>
    </row>
    <row r="759" spans="1:11">
      <c r="A759">
        <f t="shared" si="72"/>
        <v>40</v>
      </c>
      <c r="B759">
        <f t="shared" si="71"/>
        <v>10</v>
      </c>
      <c r="C759">
        <f t="shared" si="73"/>
        <v>0</v>
      </c>
      <c r="D759">
        <f t="shared" si="74"/>
        <v>10</v>
      </c>
      <c r="E759">
        <f t="shared" si="75"/>
        <v>23</v>
      </c>
      <c r="F759">
        <f>3*DesarrolloPartidos[[#This Row],[Partidos_3]]</f>
        <v>0</v>
      </c>
      <c r="G759">
        <f>IF(DesarrolloPartidos[[#This Row],[Partidos_3]]=0,0,ROUNDUP(DesarrolloPartidos[[#This Row],[Orden]]/DesarrolloPartidos[[#This Row],[JugEnPart3]]*DesarrolloPartidos[[#This Row],[Partidos_3]],0))</f>
        <v>0</v>
      </c>
      <c r="H759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6</v>
      </c>
      <c r="I759" t="str">
        <f>IF(AND(DesarrolloPartidos[[#This Row],[PartidosSolo3]]&lt;=DesarrolloPartidos[[#This Row],[Partidos_3]],DesarrolloPartidos[[#This Row],[PartidosSolo3]]&lt;&gt;0),DesarrolloPartidos[[#This Row],[PartidosSolo3]],"")</f>
        <v/>
      </c>
      <c r="J759">
        <f>+IF(DesarrolloPartidos[[#This Row],[Partidos3]]="",DesarrolloPartidos[[#This Row],[Partidos4]],DesarrolloPartidos[[#This Row],[Partidos3]])</f>
        <v>6</v>
      </c>
      <c r="K759" t="str">
        <f>+DesarrolloPartidos[[#This Row],[Jugadores]]&amp;":"&amp;DesarrolloPartidos[[#This Row],[Orden]]</f>
        <v>40:23</v>
      </c>
    </row>
    <row r="760" spans="1:11">
      <c r="A760">
        <f t="shared" si="72"/>
        <v>40</v>
      </c>
      <c r="B760">
        <f t="shared" si="71"/>
        <v>10</v>
      </c>
      <c r="C760">
        <f t="shared" si="73"/>
        <v>0</v>
      </c>
      <c r="D760">
        <f t="shared" si="74"/>
        <v>10</v>
      </c>
      <c r="E760">
        <f t="shared" si="75"/>
        <v>24</v>
      </c>
      <c r="F760">
        <f>3*DesarrolloPartidos[[#This Row],[Partidos_3]]</f>
        <v>0</v>
      </c>
      <c r="G760">
        <f>IF(DesarrolloPartidos[[#This Row],[Partidos_3]]=0,0,ROUNDUP(DesarrolloPartidos[[#This Row],[Orden]]/DesarrolloPartidos[[#This Row],[JugEnPart3]]*DesarrolloPartidos[[#This Row],[Partidos_3]],0))</f>
        <v>0</v>
      </c>
      <c r="H760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6</v>
      </c>
      <c r="I760" t="str">
        <f>IF(AND(DesarrolloPartidos[[#This Row],[PartidosSolo3]]&lt;=DesarrolloPartidos[[#This Row],[Partidos_3]],DesarrolloPartidos[[#This Row],[PartidosSolo3]]&lt;&gt;0),DesarrolloPartidos[[#This Row],[PartidosSolo3]],"")</f>
        <v/>
      </c>
      <c r="J760">
        <f>+IF(DesarrolloPartidos[[#This Row],[Partidos3]]="",DesarrolloPartidos[[#This Row],[Partidos4]],DesarrolloPartidos[[#This Row],[Partidos3]])</f>
        <v>6</v>
      </c>
      <c r="K760" t="str">
        <f>+DesarrolloPartidos[[#This Row],[Jugadores]]&amp;":"&amp;DesarrolloPartidos[[#This Row],[Orden]]</f>
        <v>40:24</v>
      </c>
    </row>
    <row r="761" spans="1:11">
      <c r="A761">
        <f t="shared" si="72"/>
        <v>40</v>
      </c>
      <c r="B761">
        <f t="shared" si="71"/>
        <v>10</v>
      </c>
      <c r="C761">
        <f t="shared" si="73"/>
        <v>0</v>
      </c>
      <c r="D761">
        <f t="shared" si="74"/>
        <v>10</v>
      </c>
      <c r="E761">
        <f t="shared" si="75"/>
        <v>25</v>
      </c>
      <c r="F761">
        <f>3*DesarrolloPartidos[[#This Row],[Partidos_3]]</f>
        <v>0</v>
      </c>
      <c r="G761">
        <f>IF(DesarrolloPartidos[[#This Row],[Partidos_3]]=0,0,ROUNDUP(DesarrolloPartidos[[#This Row],[Orden]]/DesarrolloPartidos[[#This Row],[JugEnPart3]]*DesarrolloPartidos[[#This Row],[Partidos_3]],0))</f>
        <v>0</v>
      </c>
      <c r="H761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7</v>
      </c>
      <c r="I761" t="str">
        <f>IF(AND(DesarrolloPartidos[[#This Row],[PartidosSolo3]]&lt;=DesarrolloPartidos[[#This Row],[Partidos_3]],DesarrolloPartidos[[#This Row],[PartidosSolo3]]&lt;&gt;0),DesarrolloPartidos[[#This Row],[PartidosSolo3]],"")</f>
        <v/>
      </c>
      <c r="J761">
        <f>+IF(DesarrolloPartidos[[#This Row],[Partidos3]]="",DesarrolloPartidos[[#This Row],[Partidos4]],DesarrolloPartidos[[#This Row],[Partidos3]])</f>
        <v>7</v>
      </c>
      <c r="K761" t="str">
        <f>+DesarrolloPartidos[[#This Row],[Jugadores]]&amp;":"&amp;DesarrolloPartidos[[#This Row],[Orden]]</f>
        <v>40:25</v>
      </c>
    </row>
    <row r="762" spans="1:11">
      <c r="A762">
        <f t="shared" si="72"/>
        <v>40</v>
      </c>
      <c r="B762">
        <f t="shared" si="71"/>
        <v>10</v>
      </c>
      <c r="C762">
        <f t="shared" si="73"/>
        <v>0</v>
      </c>
      <c r="D762">
        <f t="shared" si="74"/>
        <v>10</v>
      </c>
      <c r="E762">
        <f t="shared" si="75"/>
        <v>26</v>
      </c>
      <c r="F762">
        <f>3*DesarrolloPartidos[[#This Row],[Partidos_3]]</f>
        <v>0</v>
      </c>
      <c r="G762">
        <f>IF(DesarrolloPartidos[[#This Row],[Partidos_3]]=0,0,ROUNDUP(DesarrolloPartidos[[#This Row],[Orden]]/DesarrolloPartidos[[#This Row],[JugEnPart3]]*DesarrolloPartidos[[#This Row],[Partidos_3]],0))</f>
        <v>0</v>
      </c>
      <c r="H762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7</v>
      </c>
      <c r="I762" t="str">
        <f>IF(AND(DesarrolloPartidos[[#This Row],[PartidosSolo3]]&lt;=DesarrolloPartidos[[#This Row],[Partidos_3]],DesarrolloPartidos[[#This Row],[PartidosSolo3]]&lt;&gt;0),DesarrolloPartidos[[#This Row],[PartidosSolo3]],"")</f>
        <v/>
      </c>
      <c r="J762">
        <f>+IF(DesarrolloPartidos[[#This Row],[Partidos3]]="",DesarrolloPartidos[[#This Row],[Partidos4]],DesarrolloPartidos[[#This Row],[Partidos3]])</f>
        <v>7</v>
      </c>
      <c r="K762" t="str">
        <f>+DesarrolloPartidos[[#This Row],[Jugadores]]&amp;":"&amp;DesarrolloPartidos[[#This Row],[Orden]]</f>
        <v>40:26</v>
      </c>
    </row>
    <row r="763" spans="1:11">
      <c r="A763">
        <f t="shared" si="72"/>
        <v>40</v>
      </c>
      <c r="B763">
        <f t="shared" si="71"/>
        <v>10</v>
      </c>
      <c r="C763">
        <f t="shared" si="73"/>
        <v>0</v>
      </c>
      <c r="D763">
        <f t="shared" si="74"/>
        <v>10</v>
      </c>
      <c r="E763">
        <f t="shared" si="75"/>
        <v>27</v>
      </c>
      <c r="F763">
        <f>3*DesarrolloPartidos[[#This Row],[Partidos_3]]</f>
        <v>0</v>
      </c>
      <c r="G763">
        <f>IF(DesarrolloPartidos[[#This Row],[Partidos_3]]=0,0,ROUNDUP(DesarrolloPartidos[[#This Row],[Orden]]/DesarrolloPartidos[[#This Row],[JugEnPart3]]*DesarrolloPartidos[[#This Row],[Partidos_3]],0))</f>
        <v>0</v>
      </c>
      <c r="H763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7</v>
      </c>
      <c r="I763" t="str">
        <f>IF(AND(DesarrolloPartidos[[#This Row],[PartidosSolo3]]&lt;=DesarrolloPartidos[[#This Row],[Partidos_3]],DesarrolloPartidos[[#This Row],[PartidosSolo3]]&lt;&gt;0),DesarrolloPartidos[[#This Row],[PartidosSolo3]],"")</f>
        <v/>
      </c>
      <c r="J763">
        <f>+IF(DesarrolloPartidos[[#This Row],[Partidos3]]="",DesarrolloPartidos[[#This Row],[Partidos4]],DesarrolloPartidos[[#This Row],[Partidos3]])</f>
        <v>7</v>
      </c>
      <c r="K763" t="str">
        <f>+DesarrolloPartidos[[#This Row],[Jugadores]]&amp;":"&amp;DesarrolloPartidos[[#This Row],[Orden]]</f>
        <v>40:27</v>
      </c>
    </row>
    <row r="764" spans="1:11">
      <c r="A764">
        <f t="shared" si="72"/>
        <v>40</v>
      </c>
      <c r="B764">
        <f t="shared" si="71"/>
        <v>10</v>
      </c>
      <c r="C764">
        <f t="shared" si="73"/>
        <v>0</v>
      </c>
      <c r="D764">
        <f t="shared" si="74"/>
        <v>10</v>
      </c>
      <c r="E764">
        <f t="shared" si="75"/>
        <v>28</v>
      </c>
      <c r="F764">
        <f>3*DesarrolloPartidos[[#This Row],[Partidos_3]]</f>
        <v>0</v>
      </c>
      <c r="G764">
        <f>IF(DesarrolloPartidos[[#This Row],[Partidos_3]]=0,0,ROUNDUP(DesarrolloPartidos[[#This Row],[Orden]]/DesarrolloPartidos[[#This Row],[JugEnPart3]]*DesarrolloPartidos[[#This Row],[Partidos_3]],0))</f>
        <v>0</v>
      </c>
      <c r="H764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7</v>
      </c>
      <c r="I764" t="str">
        <f>IF(AND(DesarrolloPartidos[[#This Row],[PartidosSolo3]]&lt;=DesarrolloPartidos[[#This Row],[Partidos_3]],DesarrolloPartidos[[#This Row],[PartidosSolo3]]&lt;&gt;0),DesarrolloPartidos[[#This Row],[PartidosSolo3]],"")</f>
        <v/>
      </c>
      <c r="J764">
        <f>+IF(DesarrolloPartidos[[#This Row],[Partidos3]]="",DesarrolloPartidos[[#This Row],[Partidos4]],DesarrolloPartidos[[#This Row],[Partidos3]])</f>
        <v>7</v>
      </c>
      <c r="K764" t="str">
        <f>+DesarrolloPartidos[[#This Row],[Jugadores]]&amp;":"&amp;DesarrolloPartidos[[#This Row],[Orden]]</f>
        <v>40:28</v>
      </c>
    </row>
    <row r="765" spans="1:11">
      <c r="A765">
        <f t="shared" si="72"/>
        <v>40</v>
      </c>
      <c r="B765">
        <f t="shared" si="71"/>
        <v>10</v>
      </c>
      <c r="C765">
        <f t="shared" si="73"/>
        <v>0</v>
      </c>
      <c r="D765">
        <f t="shared" si="74"/>
        <v>10</v>
      </c>
      <c r="E765">
        <f t="shared" si="75"/>
        <v>29</v>
      </c>
      <c r="F765">
        <f>3*DesarrolloPartidos[[#This Row],[Partidos_3]]</f>
        <v>0</v>
      </c>
      <c r="G765">
        <f>IF(DesarrolloPartidos[[#This Row],[Partidos_3]]=0,0,ROUNDUP(DesarrolloPartidos[[#This Row],[Orden]]/DesarrolloPartidos[[#This Row],[JugEnPart3]]*DesarrolloPartidos[[#This Row],[Partidos_3]],0))</f>
        <v>0</v>
      </c>
      <c r="H765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8</v>
      </c>
      <c r="I765" t="str">
        <f>IF(AND(DesarrolloPartidos[[#This Row],[PartidosSolo3]]&lt;=DesarrolloPartidos[[#This Row],[Partidos_3]],DesarrolloPartidos[[#This Row],[PartidosSolo3]]&lt;&gt;0),DesarrolloPartidos[[#This Row],[PartidosSolo3]],"")</f>
        <v/>
      </c>
      <c r="J765">
        <f>+IF(DesarrolloPartidos[[#This Row],[Partidos3]]="",DesarrolloPartidos[[#This Row],[Partidos4]],DesarrolloPartidos[[#This Row],[Partidos3]])</f>
        <v>8</v>
      </c>
      <c r="K765" t="str">
        <f>+DesarrolloPartidos[[#This Row],[Jugadores]]&amp;":"&amp;DesarrolloPartidos[[#This Row],[Orden]]</f>
        <v>40:29</v>
      </c>
    </row>
    <row r="766" spans="1:11">
      <c r="A766">
        <f t="shared" si="72"/>
        <v>40</v>
      </c>
      <c r="B766">
        <f t="shared" si="71"/>
        <v>10</v>
      </c>
      <c r="C766">
        <f t="shared" si="73"/>
        <v>0</v>
      </c>
      <c r="D766">
        <f t="shared" si="74"/>
        <v>10</v>
      </c>
      <c r="E766">
        <f t="shared" si="75"/>
        <v>30</v>
      </c>
      <c r="F766">
        <f>3*DesarrolloPartidos[[#This Row],[Partidos_3]]</f>
        <v>0</v>
      </c>
      <c r="G766">
        <f>IF(DesarrolloPartidos[[#This Row],[Partidos_3]]=0,0,ROUNDUP(DesarrolloPartidos[[#This Row],[Orden]]/DesarrolloPartidos[[#This Row],[JugEnPart3]]*DesarrolloPartidos[[#This Row],[Partidos_3]],0))</f>
        <v>0</v>
      </c>
      <c r="H766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8</v>
      </c>
      <c r="I766" t="str">
        <f>IF(AND(DesarrolloPartidos[[#This Row],[PartidosSolo3]]&lt;=DesarrolloPartidos[[#This Row],[Partidos_3]],DesarrolloPartidos[[#This Row],[PartidosSolo3]]&lt;&gt;0),DesarrolloPartidos[[#This Row],[PartidosSolo3]],"")</f>
        <v/>
      </c>
      <c r="J766">
        <f>+IF(DesarrolloPartidos[[#This Row],[Partidos3]]="",DesarrolloPartidos[[#This Row],[Partidos4]],DesarrolloPartidos[[#This Row],[Partidos3]])</f>
        <v>8</v>
      </c>
      <c r="K766" t="str">
        <f>+DesarrolloPartidos[[#This Row],[Jugadores]]&amp;":"&amp;DesarrolloPartidos[[#This Row],[Orden]]</f>
        <v>40:30</v>
      </c>
    </row>
    <row r="767" spans="1:11">
      <c r="A767">
        <f t="shared" si="72"/>
        <v>40</v>
      </c>
      <c r="B767">
        <f t="shared" si="71"/>
        <v>10</v>
      </c>
      <c r="C767">
        <f t="shared" si="73"/>
        <v>0</v>
      </c>
      <c r="D767">
        <f t="shared" si="74"/>
        <v>10</v>
      </c>
      <c r="E767">
        <f t="shared" si="75"/>
        <v>31</v>
      </c>
      <c r="F767">
        <f>3*DesarrolloPartidos[[#This Row],[Partidos_3]]</f>
        <v>0</v>
      </c>
      <c r="G767">
        <f>IF(DesarrolloPartidos[[#This Row],[Partidos_3]]=0,0,ROUNDUP(DesarrolloPartidos[[#This Row],[Orden]]/DesarrolloPartidos[[#This Row],[JugEnPart3]]*DesarrolloPartidos[[#This Row],[Partidos_3]],0))</f>
        <v>0</v>
      </c>
      <c r="H767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8</v>
      </c>
      <c r="I767" t="str">
        <f>IF(AND(DesarrolloPartidos[[#This Row],[PartidosSolo3]]&lt;=DesarrolloPartidos[[#This Row],[Partidos_3]],DesarrolloPartidos[[#This Row],[PartidosSolo3]]&lt;&gt;0),DesarrolloPartidos[[#This Row],[PartidosSolo3]],"")</f>
        <v/>
      </c>
      <c r="J767">
        <f>+IF(DesarrolloPartidos[[#This Row],[Partidos3]]="",DesarrolloPartidos[[#This Row],[Partidos4]],DesarrolloPartidos[[#This Row],[Partidos3]])</f>
        <v>8</v>
      </c>
      <c r="K767" t="str">
        <f>+DesarrolloPartidos[[#This Row],[Jugadores]]&amp;":"&amp;DesarrolloPartidos[[#This Row],[Orden]]</f>
        <v>40:31</v>
      </c>
    </row>
    <row r="768" spans="1:11">
      <c r="A768">
        <f t="shared" si="72"/>
        <v>40</v>
      </c>
      <c r="B768">
        <f t="shared" si="71"/>
        <v>10</v>
      </c>
      <c r="C768">
        <f t="shared" si="73"/>
        <v>0</v>
      </c>
      <c r="D768">
        <f t="shared" si="74"/>
        <v>10</v>
      </c>
      <c r="E768">
        <f t="shared" si="75"/>
        <v>32</v>
      </c>
      <c r="F768">
        <f>3*DesarrolloPartidos[[#This Row],[Partidos_3]]</f>
        <v>0</v>
      </c>
      <c r="G768">
        <f>IF(DesarrolloPartidos[[#This Row],[Partidos_3]]=0,0,ROUNDUP(DesarrolloPartidos[[#This Row],[Orden]]/DesarrolloPartidos[[#This Row],[JugEnPart3]]*DesarrolloPartidos[[#This Row],[Partidos_3]],0))</f>
        <v>0</v>
      </c>
      <c r="H768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8</v>
      </c>
      <c r="I768" t="str">
        <f>IF(AND(DesarrolloPartidos[[#This Row],[PartidosSolo3]]&lt;=DesarrolloPartidos[[#This Row],[Partidos_3]],DesarrolloPartidos[[#This Row],[PartidosSolo3]]&lt;&gt;0),DesarrolloPartidos[[#This Row],[PartidosSolo3]],"")</f>
        <v/>
      </c>
      <c r="J768">
        <f>+IF(DesarrolloPartidos[[#This Row],[Partidos3]]="",DesarrolloPartidos[[#This Row],[Partidos4]],DesarrolloPartidos[[#This Row],[Partidos3]])</f>
        <v>8</v>
      </c>
      <c r="K768" t="str">
        <f>+DesarrolloPartidos[[#This Row],[Jugadores]]&amp;":"&amp;DesarrolloPartidos[[#This Row],[Orden]]</f>
        <v>40:32</v>
      </c>
    </row>
    <row r="769" spans="1:11">
      <c r="A769">
        <f t="shared" si="72"/>
        <v>40</v>
      </c>
      <c r="B769">
        <f t="shared" si="71"/>
        <v>10</v>
      </c>
      <c r="C769">
        <f t="shared" si="73"/>
        <v>0</v>
      </c>
      <c r="D769">
        <f t="shared" si="74"/>
        <v>10</v>
      </c>
      <c r="E769">
        <f t="shared" si="75"/>
        <v>33</v>
      </c>
      <c r="F769">
        <f>3*DesarrolloPartidos[[#This Row],[Partidos_3]]</f>
        <v>0</v>
      </c>
      <c r="G769">
        <f>IF(DesarrolloPartidos[[#This Row],[Partidos_3]]=0,0,ROUNDUP(DesarrolloPartidos[[#This Row],[Orden]]/DesarrolloPartidos[[#This Row],[JugEnPart3]]*DesarrolloPartidos[[#This Row],[Partidos_3]],0))</f>
        <v>0</v>
      </c>
      <c r="H769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9</v>
      </c>
      <c r="I769" t="str">
        <f>IF(AND(DesarrolloPartidos[[#This Row],[PartidosSolo3]]&lt;=DesarrolloPartidos[[#This Row],[Partidos_3]],DesarrolloPartidos[[#This Row],[PartidosSolo3]]&lt;&gt;0),DesarrolloPartidos[[#This Row],[PartidosSolo3]],"")</f>
        <v/>
      </c>
      <c r="J769">
        <f>+IF(DesarrolloPartidos[[#This Row],[Partidos3]]="",DesarrolloPartidos[[#This Row],[Partidos4]],DesarrolloPartidos[[#This Row],[Partidos3]])</f>
        <v>9</v>
      </c>
      <c r="K769" t="str">
        <f>+DesarrolloPartidos[[#This Row],[Jugadores]]&amp;":"&amp;DesarrolloPartidos[[#This Row],[Orden]]</f>
        <v>40:33</v>
      </c>
    </row>
    <row r="770" spans="1:11">
      <c r="A770">
        <f t="shared" si="72"/>
        <v>40</v>
      </c>
      <c r="B770">
        <f t="shared" si="71"/>
        <v>10</v>
      </c>
      <c r="C770">
        <f t="shared" si="73"/>
        <v>0</v>
      </c>
      <c r="D770">
        <f t="shared" si="74"/>
        <v>10</v>
      </c>
      <c r="E770">
        <f t="shared" si="75"/>
        <v>34</v>
      </c>
      <c r="F770">
        <f>3*DesarrolloPartidos[[#This Row],[Partidos_3]]</f>
        <v>0</v>
      </c>
      <c r="G770">
        <f>IF(DesarrolloPartidos[[#This Row],[Partidos_3]]=0,0,ROUNDUP(DesarrolloPartidos[[#This Row],[Orden]]/DesarrolloPartidos[[#This Row],[JugEnPart3]]*DesarrolloPartidos[[#This Row],[Partidos_3]],0))</f>
        <v>0</v>
      </c>
      <c r="H770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9</v>
      </c>
      <c r="I770" t="str">
        <f>IF(AND(DesarrolloPartidos[[#This Row],[PartidosSolo3]]&lt;=DesarrolloPartidos[[#This Row],[Partidos_3]],DesarrolloPartidos[[#This Row],[PartidosSolo3]]&lt;&gt;0),DesarrolloPartidos[[#This Row],[PartidosSolo3]],"")</f>
        <v/>
      </c>
      <c r="J770">
        <f>+IF(DesarrolloPartidos[[#This Row],[Partidos3]]="",DesarrolloPartidos[[#This Row],[Partidos4]],DesarrolloPartidos[[#This Row],[Partidos3]])</f>
        <v>9</v>
      </c>
      <c r="K770" t="str">
        <f>+DesarrolloPartidos[[#This Row],[Jugadores]]&amp;":"&amp;DesarrolloPartidos[[#This Row],[Orden]]</f>
        <v>40:34</v>
      </c>
    </row>
    <row r="771" spans="1:11">
      <c r="A771">
        <f t="shared" si="72"/>
        <v>40</v>
      </c>
      <c r="B771">
        <f t="shared" ref="B771:B776" si="76">+ROUNDUP(A771/4,0)</f>
        <v>10</v>
      </c>
      <c r="C771">
        <f t="shared" si="73"/>
        <v>0</v>
      </c>
      <c r="D771">
        <f t="shared" si="74"/>
        <v>10</v>
      </c>
      <c r="E771">
        <f t="shared" si="75"/>
        <v>35</v>
      </c>
      <c r="F771">
        <f>3*DesarrolloPartidos[[#This Row],[Partidos_3]]</f>
        <v>0</v>
      </c>
      <c r="G771">
        <f>IF(DesarrolloPartidos[[#This Row],[Partidos_3]]=0,0,ROUNDUP(DesarrolloPartidos[[#This Row],[Orden]]/DesarrolloPartidos[[#This Row],[JugEnPart3]]*DesarrolloPartidos[[#This Row],[Partidos_3]],0))</f>
        <v>0</v>
      </c>
      <c r="H771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9</v>
      </c>
      <c r="I771" t="str">
        <f>IF(AND(DesarrolloPartidos[[#This Row],[PartidosSolo3]]&lt;=DesarrolloPartidos[[#This Row],[Partidos_3]],DesarrolloPartidos[[#This Row],[PartidosSolo3]]&lt;&gt;0),DesarrolloPartidos[[#This Row],[PartidosSolo3]],"")</f>
        <v/>
      </c>
      <c r="J771">
        <f>+IF(DesarrolloPartidos[[#This Row],[Partidos3]]="",DesarrolloPartidos[[#This Row],[Partidos4]],DesarrolloPartidos[[#This Row],[Partidos3]])</f>
        <v>9</v>
      </c>
      <c r="K771" t="str">
        <f>+DesarrolloPartidos[[#This Row],[Jugadores]]&amp;":"&amp;DesarrolloPartidos[[#This Row],[Orden]]</f>
        <v>40:35</v>
      </c>
    </row>
    <row r="772" spans="1:11">
      <c r="A772">
        <f t="shared" si="72"/>
        <v>40</v>
      </c>
      <c r="B772">
        <f t="shared" si="76"/>
        <v>10</v>
      </c>
      <c r="C772">
        <f t="shared" si="73"/>
        <v>0</v>
      </c>
      <c r="D772">
        <f t="shared" si="74"/>
        <v>10</v>
      </c>
      <c r="E772">
        <f t="shared" si="75"/>
        <v>36</v>
      </c>
      <c r="F772">
        <f>3*DesarrolloPartidos[[#This Row],[Partidos_3]]</f>
        <v>0</v>
      </c>
      <c r="G772">
        <f>IF(DesarrolloPartidos[[#This Row],[Partidos_3]]=0,0,ROUNDUP(DesarrolloPartidos[[#This Row],[Orden]]/DesarrolloPartidos[[#This Row],[JugEnPart3]]*DesarrolloPartidos[[#This Row],[Partidos_3]],0))</f>
        <v>0</v>
      </c>
      <c r="H772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9</v>
      </c>
      <c r="I772" t="str">
        <f>IF(AND(DesarrolloPartidos[[#This Row],[PartidosSolo3]]&lt;=DesarrolloPartidos[[#This Row],[Partidos_3]],DesarrolloPartidos[[#This Row],[PartidosSolo3]]&lt;&gt;0),DesarrolloPartidos[[#This Row],[PartidosSolo3]],"")</f>
        <v/>
      </c>
      <c r="J772">
        <f>+IF(DesarrolloPartidos[[#This Row],[Partidos3]]="",DesarrolloPartidos[[#This Row],[Partidos4]],DesarrolloPartidos[[#This Row],[Partidos3]])</f>
        <v>9</v>
      </c>
      <c r="K772" t="str">
        <f>+DesarrolloPartidos[[#This Row],[Jugadores]]&amp;":"&amp;DesarrolloPartidos[[#This Row],[Orden]]</f>
        <v>40:36</v>
      </c>
    </row>
    <row r="773" spans="1:11">
      <c r="A773">
        <f t="shared" si="72"/>
        <v>40</v>
      </c>
      <c r="B773">
        <f t="shared" si="76"/>
        <v>10</v>
      </c>
      <c r="C773">
        <f t="shared" si="73"/>
        <v>0</v>
      </c>
      <c r="D773">
        <f t="shared" si="74"/>
        <v>10</v>
      </c>
      <c r="E773">
        <f t="shared" si="75"/>
        <v>37</v>
      </c>
      <c r="F773">
        <f>3*DesarrolloPartidos[[#This Row],[Partidos_3]]</f>
        <v>0</v>
      </c>
      <c r="G773">
        <f>IF(DesarrolloPartidos[[#This Row],[Partidos_3]]=0,0,ROUNDUP(DesarrolloPartidos[[#This Row],[Orden]]/DesarrolloPartidos[[#This Row],[JugEnPart3]]*DesarrolloPartidos[[#This Row],[Partidos_3]],0))</f>
        <v>0</v>
      </c>
      <c r="H773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10</v>
      </c>
      <c r="I773" t="str">
        <f>IF(AND(DesarrolloPartidos[[#This Row],[PartidosSolo3]]&lt;=DesarrolloPartidos[[#This Row],[Partidos_3]],DesarrolloPartidos[[#This Row],[PartidosSolo3]]&lt;&gt;0),DesarrolloPartidos[[#This Row],[PartidosSolo3]],"")</f>
        <v/>
      </c>
      <c r="J773">
        <f>+IF(DesarrolloPartidos[[#This Row],[Partidos3]]="",DesarrolloPartidos[[#This Row],[Partidos4]],DesarrolloPartidos[[#This Row],[Partidos3]])</f>
        <v>10</v>
      </c>
      <c r="K773" t="str">
        <f>+DesarrolloPartidos[[#This Row],[Jugadores]]&amp;":"&amp;DesarrolloPartidos[[#This Row],[Orden]]</f>
        <v>40:37</v>
      </c>
    </row>
    <row r="774" spans="1:11">
      <c r="A774">
        <f t="shared" si="72"/>
        <v>40</v>
      </c>
      <c r="B774">
        <f t="shared" si="76"/>
        <v>10</v>
      </c>
      <c r="C774">
        <f t="shared" si="73"/>
        <v>0</v>
      </c>
      <c r="D774">
        <f t="shared" si="74"/>
        <v>10</v>
      </c>
      <c r="E774">
        <f t="shared" si="75"/>
        <v>38</v>
      </c>
      <c r="F774">
        <f>3*DesarrolloPartidos[[#This Row],[Partidos_3]]</f>
        <v>0</v>
      </c>
      <c r="G774">
        <f>IF(DesarrolloPartidos[[#This Row],[Partidos_3]]=0,0,ROUNDUP(DesarrolloPartidos[[#This Row],[Orden]]/DesarrolloPartidos[[#This Row],[JugEnPart3]]*DesarrolloPartidos[[#This Row],[Partidos_3]],0))</f>
        <v>0</v>
      </c>
      <c r="H774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10</v>
      </c>
      <c r="I774" t="str">
        <f>IF(AND(DesarrolloPartidos[[#This Row],[PartidosSolo3]]&lt;=DesarrolloPartidos[[#This Row],[Partidos_3]],DesarrolloPartidos[[#This Row],[PartidosSolo3]]&lt;&gt;0),DesarrolloPartidos[[#This Row],[PartidosSolo3]],"")</f>
        <v/>
      </c>
      <c r="J774">
        <f>+IF(DesarrolloPartidos[[#This Row],[Partidos3]]="",DesarrolloPartidos[[#This Row],[Partidos4]],DesarrolloPartidos[[#This Row],[Partidos3]])</f>
        <v>10</v>
      </c>
      <c r="K774" t="str">
        <f>+DesarrolloPartidos[[#This Row],[Jugadores]]&amp;":"&amp;DesarrolloPartidos[[#This Row],[Orden]]</f>
        <v>40:38</v>
      </c>
    </row>
    <row r="775" spans="1:11">
      <c r="A775">
        <f t="shared" si="72"/>
        <v>40</v>
      </c>
      <c r="B775">
        <f t="shared" si="76"/>
        <v>10</v>
      </c>
      <c r="C775">
        <f t="shared" si="73"/>
        <v>0</v>
      </c>
      <c r="D775">
        <f t="shared" si="74"/>
        <v>10</v>
      </c>
      <c r="E775">
        <f t="shared" si="75"/>
        <v>39</v>
      </c>
      <c r="F775">
        <f>3*DesarrolloPartidos[[#This Row],[Partidos_3]]</f>
        <v>0</v>
      </c>
      <c r="G775">
        <f>IF(DesarrolloPartidos[[#This Row],[Partidos_3]]=0,0,ROUNDUP(DesarrolloPartidos[[#This Row],[Orden]]/DesarrolloPartidos[[#This Row],[JugEnPart3]]*DesarrolloPartidos[[#This Row],[Partidos_3]],0))</f>
        <v>0</v>
      </c>
      <c r="H775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10</v>
      </c>
      <c r="I775" t="str">
        <f>IF(AND(DesarrolloPartidos[[#This Row],[PartidosSolo3]]&lt;=DesarrolloPartidos[[#This Row],[Partidos_3]],DesarrolloPartidos[[#This Row],[PartidosSolo3]]&lt;&gt;0),DesarrolloPartidos[[#This Row],[PartidosSolo3]],"")</f>
        <v/>
      </c>
      <c r="J775">
        <f>+IF(DesarrolloPartidos[[#This Row],[Partidos3]]="",DesarrolloPartidos[[#This Row],[Partidos4]],DesarrolloPartidos[[#This Row],[Partidos3]])</f>
        <v>10</v>
      </c>
      <c r="K775" t="str">
        <f>+DesarrolloPartidos[[#This Row],[Jugadores]]&amp;":"&amp;DesarrolloPartidos[[#This Row],[Orden]]</f>
        <v>40:39</v>
      </c>
    </row>
    <row r="776" spans="1:11">
      <c r="A776">
        <f t="shared" si="72"/>
        <v>40</v>
      </c>
      <c r="B776">
        <f t="shared" si="76"/>
        <v>10</v>
      </c>
      <c r="C776">
        <f t="shared" si="73"/>
        <v>0</v>
      </c>
      <c r="D776">
        <f t="shared" si="74"/>
        <v>10</v>
      </c>
      <c r="E776">
        <f t="shared" si="75"/>
        <v>40</v>
      </c>
      <c r="F776">
        <f>3*DesarrolloPartidos[[#This Row],[Partidos_3]]</f>
        <v>0</v>
      </c>
      <c r="G776">
        <f>IF(DesarrolloPartidos[[#This Row],[Partidos_3]]=0,0,ROUNDUP(DesarrolloPartidos[[#This Row],[Orden]]/DesarrolloPartidos[[#This Row],[JugEnPart3]]*DesarrolloPartidos[[#This Row],[Partidos_3]],0))</f>
        <v>0</v>
      </c>
      <c r="H776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10</v>
      </c>
      <c r="I776" t="str">
        <f>IF(AND(DesarrolloPartidos[[#This Row],[PartidosSolo3]]&lt;=DesarrolloPartidos[[#This Row],[Partidos_3]],DesarrolloPartidos[[#This Row],[PartidosSolo3]]&lt;&gt;0),DesarrolloPartidos[[#This Row],[PartidosSolo3]],"")</f>
        <v/>
      </c>
      <c r="J776">
        <f>+IF(DesarrolloPartidos[[#This Row],[Partidos3]]="",DesarrolloPartidos[[#This Row],[Partidos4]],DesarrolloPartidos[[#This Row],[Partidos3]])</f>
        <v>10</v>
      </c>
      <c r="K776" t="str">
        <f>+DesarrolloPartidos[[#This Row],[Jugadores]]&amp;":"&amp;DesarrolloPartidos[[#This Row],[Orden]]</f>
        <v>40:40</v>
      </c>
    </row>
  </sheetData>
  <phoneticPr fontId="25" type="noConversion"/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16A2D-CFAD-4A65-9258-9B8D42538F02}">
  <sheetPr>
    <tabColor theme="1" tint="4.9989318521683403E-2"/>
  </sheetPr>
  <dimension ref="A1:L31"/>
  <sheetViews>
    <sheetView zoomScaleNormal="100" zoomScaleSheetLayoutView="100" workbookViewId="0">
      <selection activeCell="N27" sqref="N27"/>
    </sheetView>
  </sheetViews>
  <sheetFormatPr baseColWidth="10" defaultColWidth="8.5" defaultRowHeight="15"/>
  <cols>
    <col min="1" max="1" width="3.25" style="34" customWidth="1"/>
    <col min="2" max="7" width="3.125" style="34" customWidth="1"/>
    <col min="8" max="16384" width="8.5" style="34"/>
  </cols>
  <sheetData>
    <row r="1" spans="1:12">
      <c r="A1" s="34" t="s">
        <v>258</v>
      </c>
      <c r="B1" s="34">
        <v>1</v>
      </c>
      <c r="C1" s="34">
        <v>2</v>
      </c>
      <c r="D1" s="34">
        <v>3</v>
      </c>
      <c r="E1" s="34">
        <v>4</v>
      </c>
      <c r="F1" s="34">
        <v>5</v>
      </c>
      <c r="G1" s="34">
        <v>6</v>
      </c>
      <c r="I1" s="34" t="s">
        <v>257</v>
      </c>
      <c r="J1" s="34" t="s">
        <v>256</v>
      </c>
      <c r="K1" s="34" t="s">
        <v>255</v>
      </c>
    </row>
    <row r="2" spans="1:12">
      <c r="A2" s="34">
        <v>3</v>
      </c>
      <c r="B2" s="34">
        <v>3</v>
      </c>
      <c r="H2" s="34">
        <f t="shared" ref="H2:H20" si="0">+A2/4</f>
        <v>0.75</v>
      </c>
      <c r="I2" s="34">
        <f t="shared" ref="I2:I20" si="1">ROUNDUP(H2,0)</f>
        <v>1</v>
      </c>
      <c r="J2" s="34">
        <f t="shared" ref="J2" si="2">(+I2-H2)/0.25</f>
        <v>1</v>
      </c>
      <c r="K2" s="34">
        <f t="shared" ref="K2" si="3">I2-J2</f>
        <v>0</v>
      </c>
      <c r="L2" s="34">
        <f>J2*3+K2*4-A2</f>
        <v>0</v>
      </c>
    </row>
    <row r="3" spans="1:12">
      <c r="A3" s="34">
        <f t="shared" ref="A3:A31" si="4">+A2+1</f>
        <v>4</v>
      </c>
      <c r="B3" s="34">
        <v>4</v>
      </c>
      <c r="H3" s="34">
        <f t="shared" si="0"/>
        <v>1</v>
      </c>
      <c r="I3" s="34">
        <f t="shared" si="1"/>
        <v>1</v>
      </c>
      <c r="J3" s="34">
        <f t="shared" ref="J3" si="5">(+I3-H3)/0.25</f>
        <v>0</v>
      </c>
      <c r="K3" s="34">
        <f t="shared" ref="K3" si="6">I3-J3</f>
        <v>1</v>
      </c>
      <c r="L3" s="34">
        <f t="shared" ref="L3:L31" si="7">J3*3+K3*4-A3</f>
        <v>0</v>
      </c>
    </row>
    <row r="4" spans="1:12">
      <c r="A4" s="34">
        <f t="shared" si="4"/>
        <v>5</v>
      </c>
      <c r="B4" s="34">
        <v>2</v>
      </c>
      <c r="C4" s="34">
        <v>3</v>
      </c>
      <c r="H4" s="34">
        <f t="shared" si="0"/>
        <v>1.25</v>
      </c>
      <c r="I4" s="34">
        <f t="shared" si="1"/>
        <v>2</v>
      </c>
      <c r="J4" s="34">
        <f t="shared" ref="J4" si="8">(+I4-H4)/0.25</f>
        <v>3</v>
      </c>
      <c r="K4" s="34">
        <f t="shared" ref="K4" si="9">I4-J4</f>
        <v>-1</v>
      </c>
      <c r="L4" s="34">
        <f t="shared" si="7"/>
        <v>0</v>
      </c>
    </row>
    <row r="5" spans="1:12">
      <c r="A5" s="34">
        <f t="shared" si="4"/>
        <v>6</v>
      </c>
      <c r="B5" s="34">
        <v>3</v>
      </c>
      <c r="C5" s="34">
        <v>3</v>
      </c>
      <c r="H5" s="34">
        <f t="shared" si="0"/>
        <v>1.5</v>
      </c>
      <c r="I5" s="34">
        <f t="shared" si="1"/>
        <v>2</v>
      </c>
      <c r="J5" s="34">
        <f t="shared" ref="J5:J20" si="10">(+I5-H5)/0.25</f>
        <v>2</v>
      </c>
      <c r="K5" s="34">
        <f t="shared" ref="K5:K20" si="11">I5-J5</f>
        <v>0</v>
      </c>
      <c r="L5" s="34">
        <f t="shared" si="7"/>
        <v>0</v>
      </c>
    </row>
    <row r="6" spans="1:12">
      <c r="A6" s="34">
        <f t="shared" si="4"/>
        <v>7</v>
      </c>
      <c r="B6" s="34">
        <v>3</v>
      </c>
      <c r="C6" s="34">
        <v>4</v>
      </c>
      <c r="H6" s="34">
        <f t="shared" si="0"/>
        <v>1.75</v>
      </c>
      <c r="I6" s="34">
        <f t="shared" si="1"/>
        <v>2</v>
      </c>
      <c r="J6" s="34">
        <f t="shared" si="10"/>
        <v>1</v>
      </c>
      <c r="K6" s="34">
        <f t="shared" si="11"/>
        <v>1</v>
      </c>
      <c r="L6" s="34">
        <f t="shared" si="7"/>
        <v>0</v>
      </c>
    </row>
    <row r="7" spans="1:12">
      <c r="A7" s="34">
        <f t="shared" si="4"/>
        <v>8</v>
      </c>
      <c r="B7" s="34">
        <v>4</v>
      </c>
      <c r="C7" s="34">
        <v>4</v>
      </c>
      <c r="H7" s="34">
        <f t="shared" si="0"/>
        <v>2</v>
      </c>
      <c r="I7" s="34">
        <f t="shared" si="1"/>
        <v>2</v>
      </c>
      <c r="J7" s="34">
        <f t="shared" si="10"/>
        <v>0</v>
      </c>
      <c r="K7" s="34">
        <f t="shared" si="11"/>
        <v>2</v>
      </c>
      <c r="L7" s="34">
        <f t="shared" si="7"/>
        <v>0</v>
      </c>
    </row>
    <row r="8" spans="1:12">
      <c r="A8" s="34">
        <f t="shared" si="4"/>
        <v>9</v>
      </c>
      <c r="B8" s="34">
        <v>3</v>
      </c>
      <c r="C8" s="34">
        <v>3</v>
      </c>
      <c r="D8" s="34">
        <v>3</v>
      </c>
      <c r="H8" s="34">
        <f t="shared" si="0"/>
        <v>2.25</v>
      </c>
      <c r="I8" s="34">
        <f t="shared" si="1"/>
        <v>3</v>
      </c>
      <c r="J8" s="34">
        <f t="shared" si="10"/>
        <v>3</v>
      </c>
      <c r="K8" s="34">
        <f t="shared" si="11"/>
        <v>0</v>
      </c>
      <c r="L8" s="34">
        <f t="shared" si="7"/>
        <v>0</v>
      </c>
    </row>
    <row r="9" spans="1:12">
      <c r="A9" s="34">
        <f t="shared" si="4"/>
        <v>10</v>
      </c>
      <c r="B9" s="34">
        <v>3</v>
      </c>
      <c r="C9" s="34">
        <v>3</v>
      </c>
      <c r="D9" s="34">
        <v>4</v>
      </c>
      <c r="H9" s="34">
        <f t="shared" si="0"/>
        <v>2.5</v>
      </c>
      <c r="I9" s="34">
        <f t="shared" si="1"/>
        <v>3</v>
      </c>
      <c r="J9" s="34">
        <f t="shared" si="10"/>
        <v>2</v>
      </c>
      <c r="K9" s="34">
        <f t="shared" si="11"/>
        <v>1</v>
      </c>
      <c r="L9" s="34">
        <f t="shared" si="7"/>
        <v>0</v>
      </c>
    </row>
    <row r="10" spans="1:12">
      <c r="A10" s="34">
        <f t="shared" si="4"/>
        <v>11</v>
      </c>
      <c r="B10" s="34">
        <v>3</v>
      </c>
      <c r="C10" s="34">
        <v>4</v>
      </c>
      <c r="D10" s="34">
        <v>4</v>
      </c>
      <c r="H10" s="34">
        <f t="shared" si="0"/>
        <v>2.75</v>
      </c>
      <c r="I10" s="34">
        <f t="shared" si="1"/>
        <v>3</v>
      </c>
      <c r="J10" s="34">
        <f t="shared" si="10"/>
        <v>1</v>
      </c>
      <c r="K10" s="34">
        <f t="shared" si="11"/>
        <v>2</v>
      </c>
      <c r="L10" s="34">
        <f t="shared" si="7"/>
        <v>0</v>
      </c>
    </row>
    <row r="11" spans="1:12">
      <c r="A11" s="34">
        <f t="shared" si="4"/>
        <v>12</v>
      </c>
      <c r="B11" s="34">
        <v>4</v>
      </c>
      <c r="C11" s="34">
        <v>4</v>
      </c>
      <c r="D11" s="34">
        <v>4</v>
      </c>
      <c r="H11" s="34">
        <f t="shared" si="0"/>
        <v>3</v>
      </c>
      <c r="I11" s="34">
        <f t="shared" si="1"/>
        <v>3</v>
      </c>
      <c r="J11" s="34">
        <f t="shared" si="10"/>
        <v>0</v>
      </c>
      <c r="K11" s="34">
        <f t="shared" si="11"/>
        <v>3</v>
      </c>
      <c r="L11" s="34">
        <f>J11*3+K11*4-A11</f>
        <v>0</v>
      </c>
    </row>
    <row r="12" spans="1:12">
      <c r="A12" s="34">
        <f t="shared" si="4"/>
        <v>13</v>
      </c>
      <c r="B12" s="34">
        <v>3</v>
      </c>
      <c r="C12" s="34">
        <v>3</v>
      </c>
      <c r="D12" s="34">
        <v>3</v>
      </c>
      <c r="E12" s="34">
        <v>4</v>
      </c>
      <c r="H12" s="34">
        <f t="shared" si="0"/>
        <v>3.25</v>
      </c>
      <c r="I12" s="34">
        <f t="shared" si="1"/>
        <v>4</v>
      </c>
      <c r="J12" s="34">
        <f t="shared" si="10"/>
        <v>3</v>
      </c>
      <c r="K12" s="34">
        <f t="shared" si="11"/>
        <v>1</v>
      </c>
      <c r="L12" s="34">
        <f t="shared" si="7"/>
        <v>0</v>
      </c>
    </row>
    <row r="13" spans="1:12">
      <c r="A13" s="34">
        <f t="shared" si="4"/>
        <v>14</v>
      </c>
      <c r="B13" s="34">
        <v>3</v>
      </c>
      <c r="C13" s="34">
        <v>3</v>
      </c>
      <c r="D13" s="34">
        <v>4</v>
      </c>
      <c r="E13" s="34">
        <v>4</v>
      </c>
      <c r="H13" s="34">
        <f t="shared" si="0"/>
        <v>3.5</v>
      </c>
      <c r="I13" s="34">
        <f t="shared" si="1"/>
        <v>4</v>
      </c>
      <c r="J13" s="34">
        <f t="shared" si="10"/>
        <v>2</v>
      </c>
      <c r="K13" s="34">
        <f>I13-J13</f>
        <v>2</v>
      </c>
      <c r="L13" s="34">
        <f t="shared" si="7"/>
        <v>0</v>
      </c>
    </row>
    <row r="14" spans="1:12">
      <c r="A14" s="34">
        <f t="shared" si="4"/>
        <v>15</v>
      </c>
      <c r="H14" s="34">
        <f t="shared" si="0"/>
        <v>3.75</v>
      </c>
      <c r="I14" s="34">
        <f t="shared" si="1"/>
        <v>4</v>
      </c>
      <c r="J14" s="34">
        <f t="shared" si="10"/>
        <v>1</v>
      </c>
      <c r="K14" s="34">
        <f t="shared" si="11"/>
        <v>3</v>
      </c>
      <c r="L14" s="34">
        <f t="shared" si="7"/>
        <v>0</v>
      </c>
    </row>
    <row r="15" spans="1:12">
      <c r="A15" s="34">
        <f t="shared" si="4"/>
        <v>16</v>
      </c>
      <c r="H15" s="34">
        <f t="shared" si="0"/>
        <v>4</v>
      </c>
      <c r="I15" s="34">
        <f t="shared" si="1"/>
        <v>4</v>
      </c>
      <c r="J15" s="34">
        <f t="shared" si="10"/>
        <v>0</v>
      </c>
      <c r="K15" s="34">
        <f t="shared" si="11"/>
        <v>4</v>
      </c>
      <c r="L15" s="34">
        <f t="shared" si="7"/>
        <v>0</v>
      </c>
    </row>
    <row r="16" spans="1:12">
      <c r="A16" s="34">
        <f t="shared" si="4"/>
        <v>17</v>
      </c>
      <c r="B16" s="34">
        <v>3</v>
      </c>
      <c r="C16" s="34">
        <v>3</v>
      </c>
      <c r="D16" s="34">
        <v>3</v>
      </c>
      <c r="E16" s="34">
        <v>4</v>
      </c>
      <c r="F16" s="34">
        <v>4</v>
      </c>
      <c r="H16" s="34">
        <f t="shared" si="0"/>
        <v>4.25</v>
      </c>
      <c r="I16" s="34">
        <f t="shared" si="1"/>
        <v>5</v>
      </c>
      <c r="J16" s="34">
        <f t="shared" si="10"/>
        <v>3</v>
      </c>
      <c r="K16" s="34">
        <f t="shared" si="11"/>
        <v>2</v>
      </c>
      <c r="L16" s="34">
        <f t="shared" si="7"/>
        <v>0</v>
      </c>
    </row>
    <row r="17" spans="1:12">
      <c r="A17" s="34">
        <f t="shared" si="4"/>
        <v>18</v>
      </c>
      <c r="H17" s="34">
        <f t="shared" si="0"/>
        <v>4.5</v>
      </c>
      <c r="I17" s="34">
        <f t="shared" si="1"/>
        <v>5</v>
      </c>
      <c r="J17" s="34">
        <f t="shared" si="10"/>
        <v>2</v>
      </c>
      <c r="K17" s="34">
        <f t="shared" si="11"/>
        <v>3</v>
      </c>
      <c r="L17" s="34">
        <f t="shared" si="7"/>
        <v>0</v>
      </c>
    </row>
    <row r="18" spans="1:12">
      <c r="A18" s="34">
        <f t="shared" si="4"/>
        <v>19</v>
      </c>
      <c r="H18" s="34">
        <f t="shared" si="0"/>
        <v>4.75</v>
      </c>
      <c r="I18" s="34">
        <f t="shared" si="1"/>
        <v>5</v>
      </c>
      <c r="J18" s="34">
        <f t="shared" si="10"/>
        <v>1</v>
      </c>
      <c r="K18" s="34">
        <f t="shared" si="11"/>
        <v>4</v>
      </c>
      <c r="L18" s="34">
        <f t="shared" si="7"/>
        <v>0</v>
      </c>
    </row>
    <row r="19" spans="1:12">
      <c r="A19" s="34">
        <f t="shared" si="4"/>
        <v>20</v>
      </c>
      <c r="H19" s="34">
        <f t="shared" si="0"/>
        <v>5</v>
      </c>
      <c r="I19" s="34">
        <f t="shared" si="1"/>
        <v>5</v>
      </c>
      <c r="J19" s="34">
        <f t="shared" si="10"/>
        <v>0</v>
      </c>
      <c r="K19" s="34">
        <f t="shared" si="11"/>
        <v>5</v>
      </c>
      <c r="L19" s="34">
        <f t="shared" si="7"/>
        <v>0</v>
      </c>
    </row>
    <row r="20" spans="1:12">
      <c r="A20" s="34">
        <f t="shared" si="4"/>
        <v>21</v>
      </c>
      <c r="H20" s="34">
        <f t="shared" si="0"/>
        <v>5.25</v>
      </c>
      <c r="I20" s="34">
        <f t="shared" si="1"/>
        <v>6</v>
      </c>
      <c r="J20" s="34">
        <f t="shared" si="10"/>
        <v>3</v>
      </c>
      <c r="K20" s="34">
        <f t="shared" si="11"/>
        <v>3</v>
      </c>
      <c r="L20" s="34">
        <f t="shared" si="7"/>
        <v>0</v>
      </c>
    </row>
    <row r="21" spans="1:12">
      <c r="A21" s="34">
        <f t="shared" si="4"/>
        <v>22</v>
      </c>
      <c r="H21" s="34">
        <f t="shared" ref="H21:H27" si="12">+A21/4</f>
        <v>5.5</v>
      </c>
      <c r="I21" s="34">
        <f t="shared" ref="I21:I27" si="13">ROUNDUP(H21,0)</f>
        <v>6</v>
      </c>
      <c r="J21" s="34">
        <f t="shared" ref="J21:J27" si="14">(+I21-H21)/0.25</f>
        <v>2</v>
      </c>
      <c r="K21" s="34">
        <f t="shared" ref="K21:K27" si="15">I21-J21</f>
        <v>4</v>
      </c>
      <c r="L21" s="34">
        <f t="shared" si="7"/>
        <v>0</v>
      </c>
    </row>
    <row r="22" spans="1:12">
      <c r="A22" s="34">
        <f t="shared" si="4"/>
        <v>23</v>
      </c>
      <c r="H22" s="34">
        <f t="shared" si="12"/>
        <v>5.75</v>
      </c>
      <c r="I22" s="34">
        <f t="shared" si="13"/>
        <v>6</v>
      </c>
      <c r="J22" s="34">
        <f t="shared" si="14"/>
        <v>1</v>
      </c>
      <c r="K22" s="34">
        <f t="shared" si="15"/>
        <v>5</v>
      </c>
      <c r="L22" s="34">
        <f t="shared" si="7"/>
        <v>0</v>
      </c>
    </row>
    <row r="23" spans="1:12">
      <c r="A23" s="34">
        <f t="shared" si="4"/>
        <v>24</v>
      </c>
      <c r="H23" s="34">
        <f t="shared" si="12"/>
        <v>6</v>
      </c>
      <c r="I23" s="34">
        <f t="shared" si="13"/>
        <v>6</v>
      </c>
      <c r="J23" s="34">
        <f t="shared" si="14"/>
        <v>0</v>
      </c>
      <c r="K23" s="34">
        <f t="shared" si="15"/>
        <v>6</v>
      </c>
      <c r="L23" s="34">
        <f t="shared" si="7"/>
        <v>0</v>
      </c>
    </row>
    <row r="24" spans="1:12">
      <c r="A24" s="34">
        <f t="shared" si="4"/>
        <v>25</v>
      </c>
      <c r="H24" s="34">
        <f t="shared" si="12"/>
        <v>6.25</v>
      </c>
      <c r="I24" s="34">
        <f t="shared" si="13"/>
        <v>7</v>
      </c>
      <c r="J24" s="34">
        <f t="shared" si="14"/>
        <v>3</v>
      </c>
      <c r="K24" s="34">
        <f t="shared" si="15"/>
        <v>4</v>
      </c>
      <c r="L24" s="34">
        <f t="shared" si="7"/>
        <v>0</v>
      </c>
    </row>
    <row r="25" spans="1:12">
      <c r="A25" s="34">
        <f t="shared" si="4"/>
        <v>26</v>
      </c>
      <c r="H25" s="34">
        <f t="shared" si="12"/>
        <v>6.5</v>
      </c>
      <c r="I25" s="34">
        <f t="shared" si="13"/>
        <v>7</v>
      </c>
      <c r="J25" s="34">
        <f t="shared" si="14"/>
        <v>2</v>
      </c>
      <c r="K25" s="34">
        <f t="shared" si="15"/>
        <v>5</v>
      </c>
      <c r="L25" s="34">
        <f t="shared" si="7"/>
        <v>0</v>
      </c>
    </row>
    <row r="26" spans="1:12">
      <c r="A26" s="34">
        <f t="shared" si="4"/>
        <v>27</v>
      </c>
      <c r="H26" s="34">
        <f t="shared" si="12"/>
        <v>6.75</v>
      </c>
      <c r="I26" s="34">
        <f t="shared" si="13"/>
        <v>7</v>
      </c>
      <c r="J26" s="34">
        <f t="shared" si="14"/>
        <v>1</v>
      </c>
      <c r="K26" s="34">
        <f t="shared" si="15"/>
        <v>6</v>
      </c>
      <c r="L26" s="34">
        <f t="shared" si="7"/>
        <v>0</v>
      </c>
    </row>
    <row r="27" spans="1:12">
      <c r="A27" s="34">
        <f t="shared" si="4"/>
        <v>28</v>
      </c>
      <c r="H27" s="34">
        <f t="shared" si="12"/>
        <v>7</v>
      </c>
      <c r="I27" s="34">
        <f t="shared" si="13"/>
        <v>7</v>
      </c>
      <c r="J27" s="34">
        <f t="shared" si="14"/>
        <v>0</v>
      </c>
      <c r="K27" s="34">
        <f t="shared" si="15"/>
        <v>7</v>
      </c>
      <c r="L27" s="34">
        <f t="shared" si="7"/>
        <v>0</v>
      </c>
    </row>
    <row r="28" spans="1:12">
      <c r="A28" s="34">
        <f t="shared" si="4"/>
        <v>29</v>
      </c>
      <c r="H28" s="34">
        <f t="shared" ref="H28" si="16">+A28/4</f>
        <v>7.25</v>
      </c>
      <c r="I28" s="34">
        <f t="shared" ref="I28" si="17">ROUNDUP(H28,0)</f>
        <v>8</v>
      </c>
      <c r="J28" s="34">
        <f t="shared" ref="J28" si="18">(+I28-H28)/0.25</f>
        <v>3</v>
      </c>
      <c r="K28" s="34">
        <f t="shared" ref="K28" si="19">I28-J28</f>
        <v>5</v>
      </c>
      <c r="L28" s="34">
        <f t="shared" si="7"/>
        <v>0</v>
      </c>
    </row>
    <row r="29" spans="1:12">
      <c r="A29" s="34">
        <f t="shared" si="4"/>
        <v>30</v>
      </c>
      <c r="H29" s="34">
        <f t="shared" ref="H29" si="20">+A29/4</f>
        <v>7.5</v>
      </c>
      <c r="I29" s="34">
        <f t="shared" ref="I29" si="21">ROUNDUP(H29,0)</f>
        <v>8</v>
      </c>
      <c r="J29" s="34">
        <f t="shared" ref="J29" si="22">(+I29-H29)/0.25</f>
        <v>2</v>
      </c>
      <c r="K29" s="34">
        <f t="shared" ref="K29" si="23">I29-J29</f>
        <v>6</v>
      </c>
      <c r="L29" s="34">
        <f t="shared" si="7"/>
        <v>0</v>
      </c>
    </row>
    <row r="30" spans="1:12">
      <c r="A30" s="34">
        <f t="shared" si="4"/>
        <v>31</v>
      </c>
      <c r="H30" s="34">
        <f t="shared" ref="H30:H31" si="24">+A30/4</f>
        <v>7.75</v>
      </c>
      <c r="I30" s="34">
        <f t="shared" ref="I30:I31" si="25">ROUNDUP(H30,0)</f>
        <v>8</v>
      </c>
      <c r="J30" s="34">
        <f t="shared" ref="J30:J31" si="26">(+I30-H30)/0.25</f>
        <v>1</v>
      </c>
      <c r="K30" s="34">
        <f t="shared" ref="K30:K31" si="27">I30-J30</f>
        <v>7</v>
      </c>
      <c r="L30" s="34">
        <f t="shared" si="7"/>
        <v>0</v>
      </c>
    </row>
    <row r="31" spans="1:12">
      <c r="A31" s="34">
        <f t="shared" si="4"/>
        <v>32</v>
      </c>
      <c r="H31" s="34">
        <f t="shared" si="24"/>
        <v>8</v>
      </c>
      <c r="I31" s="34">
        <f t="shared" si="25"/>
        <v>8</v>
      </c>
      <c r="J31" s="34">
        <f t="shared" si="26"/>
        <v>0</v>
      </c>
      <c r="K31" s="34">
        <f t="shared" si="27"/>
        <v>8</v>
      </c>
      <c r="L31" s="34">
        <f t="shared" si="7"/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19D01-22DE-4B87-82AC-5A8235325F28}">
  <sheetPr>
    <tabColor theme="4" tint="0.59999389629810485"/>
  </sheetPr>
  <dimension ref="A1:M13"/>
  <sheetViews>
    <sheetView workbookViewId="0">
      <selection activeCell="M2" sqref="M2"/>
    </sheetView>
  </sheetViews>
  <sheetFormatPr baseColWidth="10" defaultColWidth="11.25" defaultRowHeight="15"/>
  <cols>
    <col min="1" max="1" width="7.125" style="55" bestFit="1" customWidth="1"/>
    <col min="2" max="2" width="19.375" style="55" bestFit="1" customWidth="1"/>
    <col min="3" max="3" width="11.25" style="55"/>
    <col min="4" max="4" width="18.25" style="55" bestFit="1" customWidth="1"/>
    <col min="5" max="5" width="11.25" style="55"/>
    <col min="6" max="6" width="19.75" style="55" bestFit="1" customWidth="1"/>
    <col min="7" max="9" width="11.25" style="55"/>
    <col min="10" max="10" width="75.25" style="55" bestFit="1" customWidth="1"/>
    <col min="11" max="16384" width="11.25" style="55"/>
  </cols>
  <sheetData>
    <row r="1" spans="1:13">
      <c r="A1" s="55" t="s">
        <v>303</v>
      </c>
      <c r="B1" s="55" t="s">
        <v>304</v>
      </c>
      <c r="C1" s="55" t="s">
        <v>305</v>
      </c>
      <c r="D1" s="55" t="s">
        <v>306</v>
      </c>
    </row>
    <row r="2" spans="1:13">
      <c r="A2" s="55">
        <v>1</v>
      </c>
      <c r="B2" s="55" t="s">
        <v>309</v>
      </c>
      <c r="D2" s="55" t="s">
        <v>310</v>
      </c>
      <c r="F2" s="55" t="str">
        <f>"_"&amp;SUBSTITUTE(dKPI[[#This Row],[KPI]]," ","")&amp;","</f>
        <v>_Asistentes,</v>
      </c>
      <c r="H2" s="55" t="s">
        <v>307</v>
      </c>
      <c r="I2" s="55" t="s">
        <v>308</v>
      </c>
      <c r="J2" s="55" t="str">
        <f>"VAR    _"&amp;SUBSTITUTE(dKPI[[#This Row],[KPI]]," ","")&amp;" = ADDCOLUMNS(_Tabla,"&amp;H2&amp;dKPI[[#This Row],[IdKPI]]&amp;I2&amp;dKPI[[#This Row],[Medida]]&amp;")"</f>
        <v>VAR    _Asistentes = ADDCOLUMNS(_Tabla,"IdKPI" ,1,"Valor", [Asistentes])</v>
      </c>
    </row>
    <row r="3" spans="1:13">
      <c r="A3" s="55">
        <f>+A2+1</f>
        <v>2</v>
      </c>
      <c r="B3" s="55" t="s">
        <v>178</v>
      </c>
      <c r="D3" s="55" t="s">
        <v>311</v>
      </c>
      <c r="F3" s="55" t="str">
        <f>"_"&amp;SUBSTITUTE(dKPI[[#This Row],[KPI]]," ","")&amp;","</f>
        <v>_Golpes,</v>
      </c>
      <c r="H3" s="55" t="s">
        <v>307</v>
      </c>
      <c r="I3" s="55" t="s">
        <v>308</v>
      </c>
      <c r="J3" s="55" t="str">
        <f>"VAR    _"&amp;SUBSTITUTE(dKPI[[#This Row],[KPI]]," ","")&amp;" = ADDCOLUMNS(_Tabla,"&amp;H3&amp;dKPI[[#This Row],[IdKPI]]&amp;I3&amp;dKPI[[#This Row],[Medida]]&amp;")"</f>
        <v>VAR    _Golpes = ADDCOLUMNS(_Tabla,"IdKPI" ,2,"Valor", [Golpes])</v>
      </c>
    </row>
    <row r="4" spans="1:13">
      <c r="A4" s="55">
        <f t="shared" ref="A4:A10" si="0">+A3+1</f>
        <v>3</v>
      </c>
      <c r="B4" s="55" t="s">
        <v>312</v>
      </c>
      <c r="D4" s="55" t="s">
        <v>313</v>
      </c>
      <c r="F4" s="55" t="str">
        <f>"_"&amp;SUBSTITUTE(dKPI[[#This Row],[KPI]]," ","")&amp;","</f>
        <v>_Hoyos,</v>
      </c>
      <c r="H4" s="55" t="s">
        <v>307</v>
      </c>
      <c r="I4" s="55" t="s">
        <v>308</v>
      </c>
      <c r="J4" s="55" t="str">
        <f>"VAR    _"&amp;SUBSTITUTE(dKPI[[#This Row],[KPI]]," ","")&amp;" = ADDCOLUMNS(_Tabla,"&amp;H4&amp;dKPI[[#This Row],[IdKPI]]&amp;I4&amp;dKPI[[#This Row],[Medida]]&amp;")"</f>
        <v>VAR    _Hoyos = ADDCOLUMNS(_Tabla,"IdKPI" ,3,"Valor", [Hoyos])</v>
      </c>
      <c r="M4" s="56"/>
    </row>
    <row r="5" spans="1:13">
      <c r="A5" s="55">
        <f t="shared" si="0"/>
        <v>4</v>
      </c>
      <c r="B5" s="55" t="s">
        <v>314</v>
      </c>
      <c r="D5" s="55" t="s">
        <v>315</v>
      </c>
      <c r="F5" s="55" t="str">
        <f>"_"&amp;SUBSTITUTE(dKPI[[#This Row],[KPI]]," ","")&amp;","</f>
        <v>_Eagle,</v>
      </c>
      <c r="H5" s="55" t="s">
        <v>307</v>
      </c>
      <c r="I5" s="55" t="s">
        <v>308</v>
      </c>
      <c r="J5" s="55" t="str">
        <f>"VAR    _"&amp;SUBSTITUTE(dKPI[[#This Row],[KPI]]," ","")&amp;" = ADDCOLUMNS(_Tabla,"&amp;H5&amp;dKPI[[#This Row],[IdKPI]]&amp;I5&amp;dKPI[[#This Row],[Medida]]&amp;")"</f>
        <v>VAR    _Eagle = ADDCOLUMNS(_Tabla,"IdKPI" ,4,"Valor", [Eagle])</v>
      </c>
      <c r="M5" s="57"/>
    </row>
    <row r="6" spans="1:13">
      <c r="A6" s="55">
        <f t="shared" si="0"/>
        <v>5</v>
      </c>
      <c r="B6" s="55" t="s">
        <v>316</v>
      </c>
      <c r="D6" s="55" t="str">
        <f>+"["&amp;dKPI[[#This Row],[KPI]]&amp;"]"</f>
        <v>[Birdie]</v>
      </c>
      <c r="F6" s="55" t="str">
        <f>"_"&amp;SUBSTITUTE(dKPI[[#This Row],[KPI]]," ","")&amp;","</f>
        <v>_Birdie,</v>
      </c>
      <c r="H6" s="55" t="s">
        <v>307</v>
      </c>
      <c r="I6" s="55" t="s">
        <v>308</v>
      </c>
      <c r="J6" s="55" t="str">
        <f>"VAR    _"&amp;SUBSTITUTE(dKPI[[#This Row],[KPI]]," ","")&amp;" = ADDCOLUMNS(_Tabla,"&amp;H6&amp;dKPI[[#This Row],[IdKPI]]&amp;I6&amp;dKPI[[#This Row],[Medida]]&amp;")"</f>
        <v>VAR    _Birdie = ADDCOLUMNS(_Tabla,"IdKPI" ,5,"Valor", [Birdie])</v>
      </c>
      <c r="M6" s="57"/>
    </row>
    <row r="7" spans="1:13">
      <c r="A7" s="55">
        <f t="shared" si="0"/>
        <v>6</v>
      </c>
      <c r="B7" s="55" t="s">
        <v>317</v>
      </c>
      <c r="D7" s="55" t="str">
        <f>+"["&amp;dKPI[[#This Row],[KPI]]&amp;"]"</f>
        <v>[Par]</v>
      </c>
      <c r="F7" s="55" t="str">
        <f>"_"&amp;SUBSTITUTE(dKPI[[#This Row],[KPI]]," ","")&amp;","</f>
        <v>_Par,</v>
      </c>
      <c r="H7" s="55" t="s">
        <v>307</v>
      </c>
      <c r="I7" s="55" t="s">
        <v>308</v>
      </c>
      <c r="J7" s="55" t="str">
        <f>"VAR    _"&amp;SUBSTITUTE(dKPI[[#This Row],[KPI]]," ","")&amp;" = ADDCOLUMNS(_Tabla,"&amp;H7&amp;dKPI[[#This Row],[IdKPI]]&amp;I7&amp;dKPI[[#This Row],[Medida]]&amp;")"</f>
        <v>VAR    _Par = ADDCOLUMNS(_Tabla,"IdKPI" ,6,"Valor", [Par])</v>
      </c>
      <c r="M7" s="57"/>
    </row>
    <row r="8" spans="1:13">
      <c r="A8" s="55">
        <f t="shared" si="0"/>
        <v>7</v>
      </c>
      <c r="B8" s="55" t="s">
        <v>318</v>
      </c>
      <c r="D8" s="55" t="str">
        <f>+"["&amp;dKPI[[#This Row],[KPI]]&amp;"]"</f>
        <v>[Boguey]</v>
      </c>
      <c r="F8" s="55" t="str">
        <f>"_"&amp;SUBSTITUTE(dKPI[[#This Row],[KPI]]," ","")&amp;","</f>
        <v>_Boguey,</v>
      </c>
      <c r="H8" s="55" t="s">
        <v>307</v>
      </c>
      <c r="I8" s="55" t="s">
        <v>308</v>
      </c>
      <c r="J8" s="55" t="str">
        <f>"VAR    _"&amp;SUBSTITUTE(dKPI[[#This Row],[KPI]]," ","")&amp;" = ADDCOLUMNS(_Tabla,"&amp;H8&amp;dKPI[[#This Row],[IdKPI]]&amp;I8&amp;dKPI[[#This Row],[Medida]]&amp;")"</f>
        <v>VAR    _Boguey = ADDCOLUMNS(_Tabla,"IdKPI" ,7,"Valor", [Boguey])</v>
      </c>
      <c r="M8" s="57"/>
    </row>
    <row r="9" spans="1:13">
      <c r="A9" s="55">
        <f t="shared" si="0"/>
        <v>8</v>
      </c>
      <c r="B9" s="55" t="s">
        <v>319</v>
      </c>
      <c r="D9" s="55" t="str">
        <f>+"["&amp;dKPI[[#This Row],[KPI]]&amp;"]"</f>
        <v>[DBoguey]</v>
      </c>
      <c r="F9" s="55" t="str">
        <f>"_"&amp;SUBSTITUTE(dKPI[[#This Row],[KPI]]," ","")&amp;","</f>
        <v>_DBoguey,</v>
      </c>
      <c r="H9" s="55" t="s">
        <v>307</v>
      </c>
      <c r="I9" s="55" t="s">
        <v>308</v>
      </c>
      <c r="J9" s="55" t="str">
        <f>"VAR    _"&amp;SUBSTITUTE(dKPI[[#This Row],[KPI]]," ","")&amp;" = ADDCOLUMNS(_Tabla,"&amp;H9&amp;dKPI[[#This Row],[IdKPI]]&amp;I9&amp;dKPI[[#This Row],[Medida]]&amp;")"</f>
        <v>VAR    _DBoguey = ADDCOLUMNS(_Tabla,"IdKPI" ,8,"Valor", [DBoguey])</v>
      </c>
      <c r="M9" s="57"/>
    </row>
    <row r="10" spans="1:13">
      <c r="A10" s="55">
        <f t="shared" si="0"/>
        <v>9</v>
      </c>
      <c r="B10" s="55" t="s">
        <v>320</v>
      </c>
      <c r="D10" s="55" t="str">
        <f>+"["&amp;dKPI[[#This Row],[KPI]]&amp;"]"</f>
        <v>[Peor DB]</v>
      </c>
      <c r="F10" s="55" t="str">
        <f>"_"&amp;SUBSTITUTE(dKPI[[#This Row],[KPI]]," ","")&amp;","</f>
        <v>_PeorDB,</v>
      </c>
      <c r="H10" s="55" t="s">
        <v>307</v>
      </c>
      <c r="I10" s="55" t="s">
        <v>308</v>
      </c>
      <c r="J10" s="55" t="str">
        <f>"VAR    _"&amp;SUBSTITUTE(dKPI[[#This Row],[KPI]]," ","")&amp;" = ADDCOLUMNS(_Tabla,"&amp;H10&amp;dKPI[[#This Row],[IdKPI]]&amp;I10&amp;dKPI[[#This Row],[Medida]]&amp;")"</f>
        <v>VAR    _PeorDB = ADDCOLUMNS(_Tabla,"IdKPI" ,9,"Valor", [Peor DB])</v>
      </c>
      <c r="M10" s="57"/>
    </row>
    <row r="11" spans="1:13">
      <c r="M11" s="57"/>
    </row>
    <row r="12" spans="1:13">
      <c r="M12" s="57"/>
    </row>
    <row r="13" spans="1:13">
      <c r="M13" s="57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66D49-6E06-4457-85B9-AC1FB7602E7A}">
  <sheetPr>
    <tabColor theme="7" tint="0.39997558519241921"/>
  </sheetPr>
  <dimension ref="A1:K33"/>
  <sheetViews>
    <sheetView zoomScaleNormal="100" zoomScaleSheetLayoutView="100" workbookViewId="0">
      <selection activeCell="G2" sqref="G2"/>
    </sheetView>
  </sheetViews>
  <sheetFormatPr baseColWidth="10" defaultColWidth="8.75" defaultRowHeight="15.75" outlineLevelCol="1"/>
  <cols>
    <col min="1" max="1" width="10.5" bestFit="1" customWidth="1"/>
    <col min="2" max="2" width="27" bestFit="1" customWidth="1"/>
    <col min="3" max="3" width="7.625" bestFit="1" customWidth="1"/>
    <col min="4" max="4" width="7.625" hidden="1" customWidth="1" outlineLevel="1"/>
    <col min="5" max="5" width="11" hidden="1" customWidth="1" outlineLevel="1"/>
    <col min="6" max="6" width="10.625" hidden="1" customWidth="1" outlineLevel="1" collapsed="1"/>
    <col min="7" max="7" width="11.125" bestFit="1" customWidth="1" collapsed="1"/>
  </cols>
  <sheetData>
    <row r="1" spans="1:11">
      <c r="A1" t="s">
        <v>69</v>
      </c>
      <c r="B1" t="s">
        <v>181</v>
      </c>
      <c r="C1" t="s">
        <v>242</v>
      </c>
      <c r="D1" t="s">
        <v>345</v>
      </c>
      <c r="E1" t="s">
        <v>344</v>
      </c>
      <c r="F1" t="s">
        <v>346</v>
      </c>
      <c r="G1" t="s">
        <v>347</v>
      </c>
      <c r="H1" t="s">
        <v>348</v>
      </c>
      <c r="I1" t="s">
        <v>309</v>
      </c>
      <c r="J1" t="s">
        <v>349</v>
      </c>
      <c r="K1" t="s">
        <v>350</v>
      </c>
    </row>
    <row r="2" spans="1:11">
      <c r="A2" s="70">
        <v>44942</v>
      </c>
      <c r="B2" s="76" t="s">
        <v>291</v>
      </c>
      <c r="C2" s="71">
        <v>1.5</v>
      </c>
      <c r="D2" s="25">
        <v>1</v>
      </c>
      <c r="E2" s="25">
        <v>1</v>
      </c>
      <c r="F2" s="72">
        <f>+Tabla17[[#This Row],[Hdcp]]-AVERAGE(Tabla17[Hdcp])</f>
        <v>-12.648275862068965</v>
      </c>
      <c r="G2" s="25">
        <v>1</v>
      </c>
      <c r="I2">
        <v>1</v>
      </c>
      <c r="J2">
        <v>50</v>
      </c>
      <c r="K2">
        <v>85</v>
      </c>
    </row>
    <row r="3" spans="1:11">
      <c r="A3" s="70">
        <v>44942</v>
      </c>
      <c r="B3" s="76" t="s">
        <v>259</v>
      </c>
      <c r="C3" s="71">
        <v>3.5</v>
      </c>
      <c r="D3" s="25">
        <v>1</v>
      </c>
      <c r="E3" s="25">
        <v>1</v>
      </c>
      <c r="F3" s="72">
        <f>+Tabla17[[#This Row],[Hdcp]]-AVERAGE(Tabla17[Hdcp])</f>
        <v>-10.648275862068965</v>
      </c>
      <c r="G3" s="25">
        <v>1</v>
      </c>
      <c r="J3">
        <v>50</v>
      </c>
      <c r="K3">
        <v>85</v>
      </c>
    </row>
    <row r="4" spans="1:11">
      <c r="A4" s="70">
        <v>44942</v>
      </c>
      <c r="B4" s="25" t="s">
        <v>15</v>
      </c>
      <c r="C4" s="71">
        <v>6.1</v>
      </c>
      <c r="D4" s="25">
        <v>2</v>
      </c>
      <c r="E4" s="25">
        <v>1</v>
      </c>
      <c r="F4" s="72">
        <f>+Tabla17[[#This Row],[Hdcp]]-AVERAGE(Tabla17[Hdcp])</f>
        <v>-8.0482758620689658</v>
      </c>
      <c r="G4" s="25">
        <v>1</v>
      </c>
      <c r="I4">
        <v>1</v>
      </c>
      <c r="J4">
        <v>50</v>
      </c>
      <c r="K4">
        <v>85</v>
      </c>
    </row>
    <row r="5" spans="1:11">
      <c r="A5" s="70">
        <v>44942</v>
      </c>
      <c r="B5" s="25" t="s">
        <v>3</v>
      </c>
      <c r="C5" s="71">
        <v>6.7</v>
      </c>
      <c r="D5" s="25">
        <v>2</v>
      </c>
      <c r="E5" s="25">
        <v>1</v>
      </c>
      <c r="F5" s="72">
        <f>+Tabla17[[#This Row],[Hdcp]]-AVERAGE(Tabla17[Hdcp])</f>
        <v>-7.4482758620689653</v>
      </c>
      <c r="G5" s="25">
        <v>1</v>
      </c>
      <c r="I5">
        <v>1</v>
      </c>
      <c r="J5">
        <v>50</v>
      </c>
      <c r="K5">
        <v>85</v>
      </c>
    </row>
    <row r="6" spans="1:11">
      <c r="A6" s="70">
        <v>44942</v>
      </c>
      <c r="B6" s="25" t="s">
        <v>33</v>
      </c>
      <c r="C6" s="71">
        <v>7.2</v>
      </c>
      <c r="D6" s="25">
        <v>2</v>
      </c>
      <c r="E6" s="25">
        <v>1</v>
      </c>
      <c r="F6" s="72">
        <f>+Tabla17[[#This Row],[Hdcp]]-AVERAGE(Tabla17[Hdcp])</f>
        <v>-6.9482758620689653</v>
      </c>
      <c r="G6" s="25">
        <v>1</v>
      </c>
      <c r="I6">
        <v>1</v>
      </c>
      <c r="J6">
        <v>50</v>
      </c>
      <c r="K6">
        <v>85</v>
      </c>
    </row>
    <row r="7" spans="1:11">
      <c r="A7" s="70">
        <v>44942</v>
      </c>
      <c r="B7" s="25" t="s">
        <v>18</v>
      </c>
      <c r="C7" s="71">
        <v>7.3</v>
      </c>
      <c r="D7" s="25">
        <v>2</v>
      </c>
      <c r="E7" s="25">
        <v>1</v>
      </c>
      <c r="F7" s="72">
        <f>+Tabla17[[#This Row],[Hdcp]]-AVERAGE(Tabla17[Hdcp])</f>
        <v>-6.8482758620689657</v>
      </c>
      <c r="G7" s="25">
        <v>1</v>
      </c>
      <c r="I7">
        <v>1</v>
      </c>
      <c r="J7">
        <v>50</v>
      </c>
      <c r="K7">
        <v>85</v>
      </c>
    </row>
    <row r="8" spans="1:11">
      <c r="A8" s="70">
        <v>44942</v>
      </c>
      <c r="B8" s="25" t="s">
        <v>205</v>
      </c>
      <c r="C8" s="71">
        <v>7.4</v>
      </c>
      <c r="D8" s="25">
        <v>2</v>
      </c>
      <c r="E8" s="25">
        <v>1</v>
      </c>
      <c r="F8" s="72">
        <f>+Tabla17[[#This Row],[Hdcp]]-AVERAGE(Tabla17[Hdcp])</f>
        <v>-6.7482758620689651</v>
      </c>
      <c r="G8" s="25">
        <v>1</v>
      </c>
      <c r="I8">
        <v>1</v>
      </c>
      <c r="J8">
        <v>50</v>
      </c>
      <c r="K8">
        <v>85</v>
      </c>
    </row>
    <row r="9" spans="1:11">
      <c r="A9" s="70">
        <v>44942</v>
      </c>
      <c r="B9" s="25" t="s">
        <v>6</v>
      </c>
      <c r="C9" s="71">
        <v>8.6999999999999993</v>
      </c>
      <c r="D9" s="25">
        <v>2</v>
      </c>
      <c r="E9" s="25">
        <v>1</v>
      </c>
      <c r="F9" s="72">
        <f>+Tabla17[[#This Row],[Hdcp]]-AVERAGE(Tabla17[Hdcp])</f>
        <v>-5.4482758620689662</v>
      </c>
      <c r="G9" s="25">
        <v>1</v>
      </c>
      <c r="J9">
        <v>50</v>
      </c>
      <c r="K9">
        <v>85</v>
      </c>
    </row>
    <row r="10" spans="1:11">
      <c r="A10" s="70">
        <v>44942</v>
      </c>
      <c r="B10" s="25" t="s">
        <v>201</v>
      </c>
      <c r="C10" s="71">
        <v>9.4</v>
      </c>
      <c r="D10" s="25">
        <v>2</v>
      </c>
      <c r="E10" s="25">
        <v>1</v>
      </c>
      <c r="F10" s="72">
        <f>+Tabla17[[#This Row],[Hdcp]]-AVERAGE(Tabla17[Hdcp])</f>
        <v>-4.7482758620689651</v>
      </c>
      <c r="G10" s="25">
        <v>1</v>
      </c>
      <c r="I10">
        <v>1</v>
      </c>
      <c r="J10">
        <v>50</v>
      </c>
      <c r="K10">
        <v>85</v>
      </c>
    </row>
    <row r="11" spans="1:11">
      <c r="A11" s="70">
        <v>44942</v>
      </c>
      <c r="B11" s="25" t="s">
        <v>9</v>
      </c>
      <c r="C11" s="71">
        <v>9.9</v>
      </c>
      <c r="D11" s="25">
        <v>2</v>
      </c>
      <c r="E11" s="25">
        <v>1</v>
      </c>
      <c r="F11" s="72">
        <f>+Tabla17[[#This Row],[Hdcp]]-AVERAGE(Tabla17[Hdcp])</f>
        <v>-4.2482758620689651</v>
      </c>
      <c r="G11" s="25">
        <v>1</v>
      </c>
      <c r="I11">
        <v>1</v>
      </c>
      <c r="J11">
        <v>50</v>
      </c>
      <c r="K11">
        <v>85</v>
      </c>
    </row>
    <row r="12" spans="1:11">
      <c r="A12" s="70">
        <v>44942</v>
      </c>
      <c r="B12" s="25" t="s">
        <v>30</v>
      </c>
      <c r="C12" s="71">
        <v>10.4</v>
      </c>
      <c r="D12" s="25">
        <v>2</v>
      </c>
      <c r="E12" s="25">
        <v>1</v>
      </c>
      <c r="F12" s="72">
        <f>+Tabla17[[#This Row],[Hdcp]]-AVERAGE(Tabla17[Hdcp])</f>
        <v>-3.7482758620689651</v>
      </c>
      <c r="G12" s="25">
        <v>1</v>
      </c>
      <c r="I12">
        <v>1</v>
      </c>
      <c r="J12">
        <v>50</v>
      </c>
      <c r="K12">
        <v>85</v>
      </c>
    </row>
    <row r="13" spans="1:11">
      <c r="A13" s="70">
        <v>44942</v>
      </c>
      <c r="B13" s="76" t="s">
        <v>328</v>
      </c>
      <c r="C13" s="71">
        <v>10.8</v>
      </c>
      <c r="D13" s="25">
        <v>2</v>
      </c>
      <c r="E13" s="25">
        <v>1</v>
      </c>
      <c r="F13" s="72">
        <f>+Tabla17[[#This Row],[Hdcp]]-AVERAGE(Tabla17[Hdcp])</f>
        <v>-3.3482758620689648</v>
      </c>
      <c r="G13" s="25">
        <v>1</v>
      </c>
      <c r="J13">
        <v>50</v>
      </c>
      <c r="K13">
        <v>85</v>
      </c>
    </row>
    <row r="14" spans="1:11">
      <c r="A14" s="70">
        <v>44942</v>
      </c>
      <c r="B14" s="25" t="s">
        <v>225</v>
      </c>
      <c r="C14" s="71">
        <v>11</v>
      </c>
      <c r="D14" s="25">
        <v>2</v>
      </c>
      <c r="E14" s="25">
        <v>1</v>
      </c>
      <c r="F14" s="72">
        <f>+Tabla17[[#This Row],[Hdcp]]-AVERAGE(Tabla17[Hdcp])</f>
        <v>-3.1482758620689655</v>
      </c>
      <c r="G14" s="25">
        <v>1</v>
      </c>
      <c r="I14">
        <v>1</v>
      </c>
      <c r="J14">
        <v>50</v>
      </c>
      <c r="K14">
        <v>85</v>
      </c>
    </row>
    <row r="15" spans="1:11">
      <c r="A15" s="70">
        <v>44942</v>
      </c>
      <c r="B15" s="25" t="s">
        <v>49</v>
      </c>
      <c r="C15" s="71">
        <v>11.9</v>
      </c>
      <c r="D15" s="25">
        <v>3</v>
      </c>
      <c r="E15" s="25">
        <v>1</v>
      </c>
      <c r="F15" s="72">
        <f>+Tabla17[[#This Row],[Hdcp]]-AVERAGE(Tabla17[Hdcp])</f>
        <v>-2.2482758620689651</v>
      </c>
      <c r="G15" s="25">
        <v>1</v>
      </c>
      <c r="I15">
        <v>1</v>
      </c>
      <c r="J15">
        <v>50</v>
      </c>
      <c r="K15">
        <v>85</v>
      </c>
    </row>
    <row r="16" spans="1:11">
      <c r="A16" s="75">
        <v>44942</v>
      </c>
      <c r="B16" s="69" t="s">
        <v>248</v>
      </c>
      <c r="C16" s="73">
        <v>12.7</v>
      </c>
      <c r="D16" s="69">
        <v>3</v>
      </c>
      <c r="E16" s="69">
        <v>1</v>
      </c>
      <c r="F16" s="74">
        <f>+Tabla17[[#This Row],[Hdcp]]-AVERAGE(Tabla17[Hdcp])</f>
        <v>-1.4482758620689662</v>
      </c>
      <c r="G16" s="69">
        <v>2</v>
      </c>
      <c r="H16" t="s">
        <v>16</v>
      </c>
      <c r="J16">
        <v>50</v>
      </c>
      <c r="K16">
        <v>85</v>
      </c>
    </row>
    <row r="17" spans="1:11">
      <c r="A17" s="75">
        <v>44942</v>
      </c>
      <c r="B17" s="69" t="s">
        <v>207</v>
      </c>
      <c r="C17" s="73">
        <v>14.5</v>
      </c>
      <c r="D17" s="69">
        <v>3</v>
      </c>
      <c r="E17" s="69">
        <v>1</v>
      </c>
      <c r="F17" s="74">
        <f>+Tabla17[[#This Row],[Hdcp]]-AVERAGE(Tabla17[Hdcp])</f>
        <v>0.35172413793103452</v>
      </c>
      <c r="G17" s="69">
        <v>2</v>
      </c>
      <c r="J17">
        <v>50</v>
      </c>
      <c r="K17">
        <v>85</v>
      </c>
    </row>
    <row r="18" spans="1:11">
      <c r="A18" s="75">
        <v>44942</v>
      </c>
      <c r="B18" s="69" t="s">
        <v>12</v>
      </c>
      <c r="C18" s="73">
        <v>14.7</v>
      </c>
      <c r="D18" s="69">
        <v>3</v>
      </c>
      <c r="E18" s="69">
        <v>1</v>
      </c>
      <c r="F18" s="74">
        <f>+Tabla17[[#This Row],[Hdcp]]-AVERAGE(Tabla17[Hdcp])</f>
        <v>0.55172413793103381</v>
      </c>
      <c r="G18" s="69">
        <v>2</v>
      </c>
      <c r="J18">
        <v>50</v>
      </c>
      <c r="K18">
        <v>85</v>
      </c>
    </row>
    <row r="19" spans="1:11">
      <c r="A19" s="75">
        <v>44942</v>
      </c>
      <c r="B19" s="69" t="s">
        <v>20</v>
      </c>
      <c r="C19" s="73">
        <v>16.600000000000001</v>
      </c>
      <c r="D19" s="69">
        <v>3</v>
      </c>
      <c r="E19" s="69">
        <v>1</v>
      </c>
      <c r="F19" s="74">
        <f>+Tabla17[[#This Row],[Hdcp]]-AVERAGE(Tabla17[Hdcp])</f>
        <v>2.4517241379310359</v>
      </c>
      <c r="G19" s="69">
        <v>2</v>
      </c>
      <c r="I19">
        <v>1</v>
      </c>
      <c r="J19">
        <v>50</v>
      </c>
      <c r="K19">
        <v>85</v>
      </c>
    </row>
    <row r="20" spans="1:11">
      <c r="A20" s="75">
        <v>44942</v>
      </c>
      <c r="B20" s="69" t="s">
        <v>46</v>
      </c>
      <c r="C20" s="73">
        <v>16.899999999999999</v>
      </c>
      <c r="D20" s="69">
        <v>3</v>
      </c>
      <c r="E20" s="69">
        <v>1</v>
      </c>
      <c r="F20" s="74">
        <f>+Tabla17[[#This Row],[Hdcp]]-AVERAGE(Tabla17[Hdcp])</f>
        <v>2.7517241379310331</v>
      </c>
      <c r="G20" s="69">
        <v>2</v>
      </c>
      <c r="J20">
        <v>50</v>
      </c>
      <c r="K20">
        <v>85</v>
      </c>
    </row>
    <row r="21" spans="1:11">
      <c r="A21" s="75">
        <v>44942</v>
      </c>
      <c r="B21" s="69" t="s">
        <v>23</v>
      </c>
      <c r="C21" s="73">
        <v>17.5</v>
      </c>
      <c r="D21" s="69">
        <v>3</v>
      </c>
      <c r="E21" s="69">
        <v>1</v>
      </c>
      <c r="F21" s="74">
        <f>+Tabla17[[#This Row],[Hdcp]]-AVERAGE(Tabla17[Hdcp])</f>
        <v>3.3517241379310345</v>
      </c>
      <c r="G21" s="69">
        <v>2</v>
      </c>
      <c r="I21">
        <v>1</v>
      </c>
      <c r="J21">
        <v>50</v>
      </c>
      <c r="K21">
        <v>85</v>
      </c>
    </row>
    <row r="22" spans="1:11">
      <c r="A22" s="75">
        <v>44942</v>
      </c>
      <c r="B22" s="69" t="s">
        <v>35</v>
      </c>
      <c r="C22" s="73">
        <v>18</v>
      </c>
      <c r="D22" s="69">
        <v>3</v>
      </c>
      <c r="E22" s="69">
        <v>1</v>
      </c>
      <c r="F22" s="74">
        <f>+Tabla17[[#This Row],[Hdcp]]-AVERAGE(Tabla17[Hdcp])</f>
        <v>3.8517241379310345</v>
      </c>
      <c r="G22" s="69">
        <v>2</v>
      </c>
      <c r="I22">
        <v>1</v>
      </c>
      <c r="J22">
        <v>50</v>
      </c>
      <c r="K22">
        <v>85</v>
      </c>
    </row>
    <row r="23" spans="1:11">
      <c r="A23" s="75">
        <v>44942</v>
      </c>
      <c r="B23" s="69" t="s">
        <v>203</v>
      </c>
      <c r="C23" s="73">
        <v>18.3</v>
      </c>
      <c r="D23" s="69">
        <v>3</v>
      </c>
      <c r="E23" s="69">
        <v>1</v>
      </c>
      <c r="F23" s="74">
        <f>+Tabla17[[#This Row],[Hdcp]]-AVERAGE(Tabla17[Hdcp])</f>
        <v>4.1517241379310352</v>
      </c>
      <c r="G23" s="69">
        <v>2</v>
      </c>
      <c r="J23">
        <v>50</v>
      </c>
      <c r="K23">
        <v>85</v>
      </c>
    </row>
    <row r="24" spans="1:11">
      <c r="A24" s="75">
        <v>44942</v>
      </c>
      <c r="B24" s="76" t="s">
        <v>264</v>
      </c>
      <c r="C24" s="73">
        <v>18.899999999999999</v>
      </c>
      <c r="D24" s="69">
        <v>4</v>
      </c>
      <c r="E24" s="69">
        <v>1</v>
      </c>
      <c r="F24" s="74">
        <f>+Tabla17[[#This Row],[Hdcp]]-AVERAGE(Tabla17[Hdcp])</f>
        <v>4.7517241379310331</v>
      </c>
      <c r="G24" s="69">
        <v>2</v>
      </c>
      <c r="J24">
        <v>50</v>
      </c>
      <c r="K24">
        <v>85</v>
      </c>
    </row>
    <row r="25" spans="1:11">
      <c r="A25" s="75">
        <v>44942</v>
      </c>
      <c r="B25" s="69" t="s">
        <v>217</v>
      </c>
      <c r="C25" s="73">
        <v>21.1</v>
      </c>
      <c r="D25" s="69">
        <v>4</v>
      </c>
      <c r="E25" s="69">
        <v>1</v>
      </c>
      <c r="F25" s="74">
        <f>+Tabla17[[#This Row],[Hdcp]]-AVERAGE(Tabla17[Hdcp])</f>
        <v>6.9517241379310359</v>
      </c>
      <c r="G25" s="69">
        <v>2</v>
      </c>
      <c r="I25">
        <v>1</v>
      </c>
      <c r="J25">
        <v>50</v>
      </c>
      <c r="K25">
        <v>85</v>
      </c>
    </row>
    <row r="26" spans="1:11">
      <c r="A26" s="75">
        <v>44942</v>
      </c>
      <c r="B26" s="76" t="s">
        <v>293</v>
      </c>
      <c r="C26" s="73">
        <v>21.1</v>
      </c>
      <c r="D26" s="69">
        <v>4</v>
      </c>
      <c r="E26" s="69">
        <v>1</v>
      </c>
      <c r="F26" s="74">
        <f>+Tabla17[[#This Row],[Hdcp]]-AVERAGE(Tabla17[Hdcp])</f>
        <v>6.9517241379310359</v>
      </c>
      <c r="G26" s="69">
        <v>2</v>
      </c>
      <c r="I26">
        <v>1</v>
      </c>
      <c r="J26">
        <v>50</v>
      </c>
      <c r="K26">
        <v>85</v>
      </c>
    </row>
    <row r="27" spans="1:11">
      <c r="A27" s="75">
        <v>44942</v>
      </c>
      <c r="B27" s="76" t="s">
        <v>297</v>
      </c>
      <c r="C27" s="73">
        <v>23.5</v>
      </c>
      <c r="D27" s="69">
        <v>4</v>
      </c>
      <c r="E27" s="69">
        <v>1</v>
      </c>
      <c r="F27" s="74">
        <f>+Tabla17[[#This Row],[Hdcp]]-AVERAGE(Tabla17[Hdcp])</f>
        <v>9.3517241379310345</v>
      </c>
      <c r="G27" s="69">
        <v>2</v>
      </c>
      <c r="J27">
        <v>50</v>
      </c>
      <c r="K27">
        <v>85</v>
      </c>
    </row>
    <row r="28" spans="1:11">
      <c r="A28" s="75">
        <v>44942</v>
      </c>
      <c r="B28" s="69" t="s">
        <v>135</v>
      </c>
      <c r="C28" s="73">
        <v>23.9</v>
      </c>
      <c r="D28" s="69">
        <v>4</v>
      </c>
      <c r="E28" s="69">
        <v>1</v>
      </c>
      <c r="F28" s="74">
        <f>+Tabla17[[#This Row],[Hdcp]]-AVERAGE(Tabla17[Hdcp])</f>
        <v>9.7517241379310331</v>
      </c>
      <c r="G28" s="69">
        <v>2</v>
      </c>
      <c r="I28">
        <v>1</v>
      </c>
      <c r="J28">
        <v>50</v>
      </c>
      <c r="K28">
        <v>85</v>
      </c>
    </row>
    <row r="29" spans="1:11">
      <c r="A29" s="75">
        <v>44942</v>
      </c>
      <c r="B29" s="69" t="s">
        <v>41</v>
      </c>
      <c r="C29" s="73">
        <v>24.8</v>
      </c>
      <c r="D29" s="69">
        <v>4</v>
      </c>
      <c r="E29" s="69">
        <v>1</v>
      </c>
      <c r="F29" s="74">
        <f>+Tabla17[[#This Row],[Hdcp]]-AVERAGE(Tabla17[Hdcp])</f>
        <v>10.651724137931035</v>
      </c>
      <c r="G29" s="69">
        <v>2</v>
      </c>
      <c r="J29">
        <v>50</v>
      </c>
      <c r="K29">
        <v>85</v>
      </c>
    </row>
    <row r="30" spans="1:11">
      <c r="A30" s="75">
        <v>44942</v>
      </c>
      <c r="B30" s="76" t="s">
        <v>326</v>
      </c>
      <c r="C30" s="73">
        <v>36</v>
      </c>
      <c r="D30" s="69">
        <v>5</v>
      </c>
      <c r="E30" s="69">
        <v>1</v>
      </c>
      <c r="F30" s="74">
        <f>+Tabla17[[#This Row],[Hdcp]]-AVERAGE(Tabla17[Hdcp])</f>
        <v>21.851724137931036</v>
      </c>
      <c r="G30" s="69">
        <v>2</v>
      </c>
      <c r="I30">
        <v>1</v>
      </c>
      <c r="J30">
        <v>50</v>
      </c>
      <c r="K30">
        <v>85</v>
      </c>
    </row>
    <row r="33" spans="9:11">
      <c r="I33">
        <f>+SUM(I1:I32)</f>
        <v>18</v>
      </c>
      <c r="J33">
        <f>+SUM(J1:J32)</f>
        <v>1450</v>
      </c>
      <c r="K33">
        <f>+SUM(K1:K32)</f>
        <v>2465</v>
      </c>
    </row>
  </sheetData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26E5E-1BC7-464F-8AC9-72B65FA48BD2}">
  <sheetPr>
    <tabColor theme="7" tint="0.39997558519241921"/>
  </sheetPr>
  <dimension ref="A1:D32"/>
  <sheetViews>
    <sheetView zoomScaleNormal="100" zoomScaleSheetLayoutView="100" workbookViewId="0">
      <selection activeCell="B2" sqref="B2:D32"/>
    </sheetView>
  </sheetViews>
  <sheetFormatPr baseColWidth="10" defaultColWidth="8.75" defaultRowHeight="15.75"/>
  <cols>
    <col min="1" max="1" width="3.25" bestFit="1" customWidth="1"/>
    <col min="2" max="2" width="7.125" bestFit="1" customWidth="1"/>
    <col min="3" max="3" width="6.375" bestFit="1" customWidth="1"/>
    <col min="4" max="4" width="8.5" bestFit="1" customWidth="1"/>
  </cols>
  <sheetData>
    <row r="1" spans="1:4">
      <c r="A1" t="s">
        <v>84</v>
      </c>
      <c r="B1" t="s">
        <v>80</v>
      </c>
      <c r="C1" t="s">
        <v>81</v>
      </c>
      <c r="D1" t="s">
        <v>233</v>
      </c>
    </row>
    <row r="2" spans="1:4">
      <c r="A2">
        <v>1</v>
      </c>
      <c r="B2">
        <v>500</v>
      </c>
      <c r="C2">
        <v>600</v>
      </c>
      <c r="D2">
        <f>+Tabla18[[#This Row],[Major]]*3</f>
        <v>1800</v>
      </c>
    </row>
    <row r="3" spans="1:4">
      <c r="A3">
        <v>2</v>
      </c>
      <c r="B3">
        <v>300</v>
      </c>
      <c r="C3">
        <v>330</v>
      </c>
      <c r="D3">
        <f>+Tabla18[[#This Row],[Major]]*3</f>
        <v>990</v>
      </c>
    </row>
    <row r="4" spans="1:4">
      <c r="A4">
        <v>3</v>
      </c>
      <c r="B4">
        <v>190</v>
      </c>
      <c r="C4">
        <v>210</v>
      </c>
      <c r="D4">
        <f>+Tabla18[[#This Row],[Major]]*3</f>
        <v>630</v>
      </c>
    </row>
    <row r="5" spans="1:4">
      <c r="A5">
        <v>4</v>
      </c>
      <c r="B5">
        <v>135</v>
      </c>
      <c r="C5">
        <v>150</v>
      </c>
      <c r="D5">
        <f>+Tabla18[[#This Row],[Major]]*3</f>
        <v>450</v>
      </c>
    </row>
    <row r="6" spans="1:4">
      <c r="A6">
        <v>5</v>
      </c>
      <c r="B6">
        <v>110</v>
      </c>
      <c r="C6">
        <v>120</v>
      </c>
      <c r="D6">
        <f>+Tabla18[[#This Row],[Major]]*3</f>
        <v>360</v>
      </c>
    </row>
    <row r="7" spans="1:4">
      <c r="A7">
        <v>6</v>
      </c>
      <c r="B7">
        <v>100</v>
      </c>
      <c r="C7">
        <v>110</v>
      </c>
      <c r="D7">
        <f>+Tabla18[[#This Row],[Major]]*3</f>
        <v>330</v>
      </c>
    </row>
    <row r="8" spans="1:4">
      <c r="A8">
        <v>7</v>
      </c>
      <c r="B8">
        <v>90</v>
      </c>
      <c r="C8">
        <v>100</v>
      </c>
      <c r="D8">
        <f>+Tabla18[[#This Row],[Major]]*3</f>
        <v>300</v>
      </c>
    </row>
    <row r="9" spans="1:4">
      <c r="A9">
        <v>8</v>
      </c>
      <c r="B9">
        <v>85</v>
      </c>
      <c r="C9">
        <v>94</v>
      </c>
      <c r="D9">
        <f>+Tabla18[[#This Row],[Major]]*3</f>
        <v>282</v>
      </c>
    </row>
    <row r="10" spans="1:4">
      <c r="A10">
        <v>9</v>
      </c>
      <c r="B10">
        <v>80</v>
      </c>
      <c r="C10">
        <v>88</v>
      </c>
      <c r="D10">
        <f>+Tabla18[[#This Row],[Major]]*3</f>
        <v>264</v>
      </c>
    </row>
    <row r="11" spans="1:4">
      <c r="A11">
        <v>10</v>
      </c>
      <c r="B11">
        <v>75</v>
      </c>
      <c r="C11">
        <v>82</v>
      </c>
      <c r="D11">
        <f>+Tabla18[[#This Row],[Major]]*3</f>
        <v>246</v>
      </c>
    </row>
    <row r="12" spans="1:4">
      <c r="A12">
        <v>11</v>
      </c>
      <c r="B12">
        <v>70</v>
      </c>
      <c r="C12">
        <v>77</v>
      </c>
      <c r="D12">
        <f>+Tabla18[[#This Row],[Major]]*3</f>
        <v>231</v>
      </c>
    </row>
    <row r="13" spans="1:4">
      <c r="A13">
        <v>12</v>
      </c>
      <c r="B13">
        <v>65</v>
      </c>
      <c r="C13">
        <v>72</v>
      </c>
      <c r="D13">
        <f>+Tabla18[[#This Row],[Major]]*3</f>
        <v>216</v>
      </c>
    </row>
    <row r="14" spans="1:4">
      <c r="A14">
        <v>13</v>
      </c>
      <c r="B14">
        <v>60</v>
      </c>
      <c r="C14">
        <v>68</v>
      </c>
      <c r="D14">
        <f>+Tabla18[[#This Row],[Major]]*3</f>
        <v>204</v>
      </c>
    </row>
    <row r="15" spans="1:4">
      <c r="A15">
        <v>14</v>
      </c>
      <c r="B15">
        <v>57</v>
      </c>
      <c r="C15">
        <v>64</v>
      </c>
      <c r="D15">
        <f>+Tabla18[[#This Row],[Major]]*3</f>
        <v>192</v>
      </c>
    </row>
    <row r="16" spans="1:4">
      <c r="A16">
        <v>15</v>
      </c>
      <c r="B16">
        <v>55</v>
      </c>
      <c r="C16">
        <v>61</v>
      </c>
      <c r="D16">
        <f>+Tabla18[[#This Row],[Major]]*3</f>
        <v>183</v>
      </c>
    </row>
    <row r="17" spans="1:4">
      <c r="A17">
        <v>16</v>
      </c>
      <c r="B17">
        <v>53</v>
      </c>
      <c r="C17">
        <v>59</v>
      </c>
      <c r="D17">
        <f>+Tabla18[[#This Row],[Major]]*3</f>
        <v>177</v>
      </c>
    </row>
    <row r="18" spans="1:4">
      <c r="A18">
        <v>17</v>
      </c>
      <c r="B18">
        <v>51</v>
      </c>
      <c r="C18">
        <v>57</v>
      </c>
      <c r="D18">
        <f>+Tabla18[[#This Row],[Major]]*3</f>
        <v>171</v>
      </c>
    </row>
    <row r="19" spans="1:4">
      <c r="A19">
        <v>18</v>
      </c>
      <c r="B19">
        <v>49</v>
      </c>
      <c r="C19">
        <v>55</v>
      </c>
      <c r="D19">
        <f>+Tabla18[[#This Row],[Major]]*3</f>
        <v>165</v>
      </c>
    </row>
    <row r="20" spans="1:4">
      <c r="A20">
        <v>19</v>
      </c>
      <c r="B20">
        <v>47</v>
      </c>
      <c r="C20">
        <v>53</v>
      </c>
      <c r="D20">
        <f>+Tabla18[[#This Row],[Major]]*3</f>
        <v>159</v>
      </c>
    </row>
    <row r="21" spans="1:4">
      <c r="A21">
        <v>20</v>
      </c>
      <c r="B21">
        <v>45</v>
      </c>
      <c r="C21">
        <v>51</v>
      </c>
      <c r="D21">
        <f>+Tabla18[[#This Row],[Major]]*3</f>
        <v>153</v>
      </c>
    </row>
    <row r="22" spans="1:4">
      <c r="A22">
        <v>21</v>
      </c>
      <c r="B22">
        <v>44</v>
      </c>
      <c r="C22">
        <v>50</v>
      </c>
      <c r="D22">
        <f>+Tabla18[[#This Row],[Major]]*3</f>
        <v>150</v>
      </c>
    </row>
    <row r="23" spans="1:4">
      <c r="A23">
        <v>22</v>
      </c>
      <c r="B23">
        <v>43</v>
      </c>
      <c r="C23">
        <v>49</v>
      </c>
      <c r="D23">
        <f>+Tabla18[[#This Row],[Major]]*3</f>
        <v>147</v>
      </c>
    </row>
    <row r="24" spans="1:4">
      <c r="A24">
        <v>23</v>
      </c>
      <c r="B24">
        <v>42</v>
      </c>
      <c r="C24">
        <v>48</v>
      </c>
      <c r="D24">
        <f>+Tabla18[[#This Row],[Major]]*3</f>
        <v>144</v>
      </c>
    </row>
    <row r="25" spans="1:4">
      <c r="A25">
        <v>24</v>
      </c>
      <c r="B25">
        <v>41</v>
      </c>
      <c r="C25">
        <v>47</v>
      </c>
      <c r="D25">
        <f>+Tabla18[[#This Row],[Major]]*3</f>
        <v>141</v>
      </c>
    </row>
    <row r="26" spans="1:4">
      <c r="A26">
        <v>25</v>
      </c>
      <c r="B26">
        <v>40</v>
      </c>
      <c r="C26">
        <v>46</v>
      </c>
      <c r="D26">
        <f>+Tabla18[[#This Row],[Major]]*3</f>
        <v>138</v>
      </c>
    </row>
    <row r="27" spans="1:4">
      <c r="A27">
        <f>+A26+1</f>
        <v>26</v>
      </c>
      <c r="B27">
        <f>B26-1</f>
        <v>39</v>
      </c>
      <c r="C27">
        <f>C26-1</f>
        <v>45</v>
      </c>
      <c r="D27">
        <f>+Tabla18[[#This Row],[Major]]*3</f>
        <v>135</v>
      </c>
    </row>
    <row r="28" spans="1:4">
      <c r="A28">
        <f t="shared" ref="A28:A32" si="0">+A27+1</f>
        <v>27</v>
      </c>
      <c r="B28">
        <f t="shared" ref="B28:B32" si="1">B27-1</f>
        <v>38</v>
      </c>
      <c r="C28">
        <f t="shared" ref="C28:C32" si="2">C27-1</f>
        <v>44</v>
      </c>
      <c r="D28">
        <f>+Tabla18[[#This Row],[Major]]*3</f>
        <v>132</v>
      </c>
    </row>
    <row r="29" spans="1:4">
      <c r="A29">
        <f t="shared" si="0"/>
        <v>28</v>
      </c>
      <c r="B29">
        <f t="shared" si="1"/>
        <v>37</v>
      </c>
      <c r="C29">
        <f t="shared" si="2"/>
        <v>43</v>
      </c>
      <c r="D29">
        <f>+Tabla18[[#This Row],[Major]]*3</f>
        <v>129</v>
      </c>
    </row>
    <row r="30" spans="1:4">
      <c r="A30">
        <f t="shared" si="0"/>
        <v>29</v>
      </c>
      <c r="B30">
        <f t="shared" si="1"/>
        <v>36</v>
      </c>
      <c r="C30">
        <f t="shared" si="2"/>
        <v>42</v>
      </c>
      <c r="D30">
        <f>+Tabla18[[#This Row],[Major]]*3</f>
        <v>126</v>
      </c>
    </row>
    <row r="31" spans="1:4">
      <c r="A31">
        <f t="shared" si="0"/>
        <v>30</v>
      </c>
      <c r="B31">
        <f t="shared" si="1"/>
        <v>35</v>
      </c>
      <c r="C31">
        <f t="shared" si="2"/>
        <v>41</v>
      </c>
      <c r="D31">
        <f>+Tabla18[[#This Row],[Major]]*3</f>
        <v>123</v>
      </c>
    </row>
    <row r="32" spans="1:4">
      <c r="A32">
        <f t="shared" si="0"/>
        <v>31</v>
      </c>
      <c r="B32">
        <f t="shared" si="1"/>
        <v>34</v>
      </c>
      <c r="C32">
        <f t="shared" si="2"/>
        <v>40</v>
      </c>
      <c r="D32">
        <f>+Tabla18[[#This Row],[Major]]*3</f>
        <v>120</v>
      </c>
    </row>
  </sheetData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ED306-E150-4B82-BBE8-C7ED92D69B6A}">
  <sheetPr>
    <tabColor theme="1" tint="4.9989318521683403E-2"/>
  </sheetPr>
  <dimension ref="A3:D30"/>
  <sheetViews>
    <sheetView workbookViewId="0">
      <selection activeCell="G30" sqref="G30"/>
    </sheetView>
  </sheetViews>
  <sheetFormatPr baseColWidth="10" defaultColWidth="10.75" defaultRowHeight="15.75"/>
  <cols>
    <col min="2" max="2" width="20.5" bestFit="1" customWidth="1"/>
    <col min="4" max="4" width="7.375" bestFit="1" customWidth="1"/>
  </cols>
  <sheetData>
    <row r="3" spans="1:4">
      <c r="C3" s="17" t="s">
        <v>281</v>
      </c>
    </row>
    <row r="4" spans="1:4">
      <c r="A4" s="17" t="s">
        <v>276</v>
      </c>
      <c r="B4" s="17" t="s">
        <v>181</v>
      </c>
      <c r="C4" t="s">
        <v>283</v>
      </c>
      <c r="D4" t="s">
        <v>282</v>
      </c>
    </row>
    <row r="5" spans="1:4">
      <c r="A5">
        <v>1</v>
      </c>
      <c r="B5" t="s">
        <v>3</v>
      </c>
      <c r="C5" s="44">
        <v>6.4</v>
      </c>
      <c r="D5" s="45">
        <v>1</v>
      </c>
    </row>
    <row r="6" spans="1:4">
      <c r="B6" t="s">
        <v>9</v>
      </c>
      <c r="C6" s="44">
        <v>10.4</v>
      </c>
      <c r="D6" s="45">
        <v>8</v>
      </c>
    </row>
    <row r="7" spans="1:4">
      <c r="B7" t="s">
        <v>30</v>
      </c>
      <c r="C7" s="44">
        <v>10.6</v>
      </c>
      <c r="D7" s="45">
        <v>9</v>
      </c>
    </row>
    <row r="8" spans="1:4">
      <c r="B8" t="s">
        <v>23</v>
      </c>
      <c r="C8" s="44">
        <v>17.3</v>
      </c>
      <c r="D8" s="45">
        <v>16</v>
      </c>
    </row>
    <row r="9" spans="1:4">
      <c r="B9" t="s">
        <v>46</v>
      </c>
      <c r="C9" s="44">
        <v>17.3</v>
      </c>
      <c r="D9" s="45">
        <v>16</v>
      </c>
    </row>
    <row r="10" spans="1:4">
      <c r="A10" t="s">
        <v>277</v>
      </c>
      <c r="C10" s="44">
        <v>12.399999999999999</v>
      </c>
      <c r="D10" s="45">
        <v>10</v>
      </c>
    </row>
    <row r="11" spans="1:4">
      <c r="A11">
        <v>2</v>
      </c>
      <c r="B11" t="s">
        <v>205</v>
      </c>
      <c r="C11" s="44">
        <v>7</v>
      </c>
      <c r="D11" s="45">
        <v>2</v>
      </c>
    </row>
    <row r="12" spans="1:4">
      <c r="B12" t="s">
        <v>225</v>
      </c>
      <c r="C12" s="44">
        <v>10.1</v>
      </c>
      <c r="D12" s="45">
        <v>7</v>
      </c>
    </row>
    <row r="13" spans="1:4">
      <c r="B13" t="s">
        <v>49</v>
      </c>
      <c r="C13" s="44">
        <v>12.1</v>
      </c>
      <c r="D13" s="45">
        <v>10</v>
      </c>
    </row>
    <row r="14" spans="1:4">
      <c r="B14" t="s">
        <v>20</v>
      </c>
      <c r="C14" s="44">
        <v>16.3</v>
      </c>
      <c r="D14" s="45">
        <v>15</v>
      </c>
    </row>
    <row r="15" spans="1:4">
      <c r="B15" t="s">
        <v>203</v>
      </c>
      <c r="C15" s="44">
        <v>17.600000000000001</v>
      </c>
      <c r="D15" s="45">
        <v>18</v>
      </c>
    </row>
    <row r="16" spans="1:4">
      <c r="A16" t="s">
        <v>278</v>
      </c>
      <c r="C16" s="44">
        <v>12.620000000000001</v>
      </c>
      <c r="D16" s="45">
        <v>10.4</v>
      </c>
    </row>
    <row r="17" spans="1:4">
      <c r="A17">
        <v>3</v>
      </c>
      <c r="B17" t="s">
        <v>15</v>
      </c>
      <c r="C17" s="44">
        <v>7.1</v>
      </c>
      <c r="D17" s="45">
        <v>3</v>
      </c>
    </row>
    <row r="18" spans="1:4">
      <c r="B18" t="s">
        <v>6</v>
      </c>
      <c r="C18" s="44">
        <v>8</v>
      </c>
      <c r="D18" s="45">
        <v>6</v>
      </c>
    </row>
    <row r="19" spans="1:4">
      <c r="B19" t="s">
        <v>25</v>
      </c>
      <c r="C19" s="44">
        <v>12.4</v>
      </c>
      <c r="D19" s="45">
        <v>11</v>
      </c>
    </row>
    <row r="20" spans="1:4">
      <c r="B20" t="s">
        <v>12</v>
      </c>
      <c r="C20" s="44">
        <v>15</v>
      </c>
      <c r="D20" s="45">
        <v>14</v>
      </c>
    </row>
    <row r="21" spans="1:4">
      <c r="B21" t="s">
        <v>35</v>
      </c>
      <c r="C21" s="44">
        <v>17.8</v>
      </c>
      <c r="D21" s="45">
        <v>19</v>
      </c>
    </row>
    <row r="22" spans="1:4">
      <c r="B22" t="s">
        <v>41</v>
      </c>
      <c r="C22" s="44">
        <v>25.3</v>
      </c>
      <c r="D22" s="45">
        <v>22</v>
      </c>
    </row>
    <row r="23" spans="1:4">
      <c r="A23" t="s">
        <v>279</v>
      </c>
      <c r="C23" s="44">
        <v>14.266666666666666</v>
      </c>
      <c r="D23" s="45">
        <v>12.5</v>
      </c>
    </row>
    <row r="24" spans="1:4">
      <c r="A24">
        <v>4</v>
      </c>
      <c r="B24" t="s">
        <v>33</v>
      </c>
      <c r="C24" s="44">
        <v>7.2</v>
      </c>
      <c r="D24" s="45">
        <v>4</v>
      </c>
    </row>
    <row r="25" spans="1:4">
      <c r="B25" t="s">
        <v>201</v>
      </c>
      <c r="C25" s="44">
        <v>7.7</v>
      </c>
      <c r="D25" s="45">
        <v>5</v>
      </c>
    </row>
    <row r="26" spans="1:4">
      <c r="B26" t="s">
        <v>248</v>
      </c>
      <c r="C26" s="44">
        <v>14</v>
      </c>
      <c r="D26" s="45">
        <v>12</v>
      </c>
    </row>
    <row r="27" spans="1:4">
      <c r="B27" t="s">
        <v>207</v>
      </c>
      <c r="C27" s="44">
        <v>14.4</v>
      </c>
      <c r="D27" s="45">
        <v>13</v>
      </c>
    </row>
    <row r="28" spans="1:4">
      <c r="B28" t="s">
        <v>217</v>
      </c>
      <c r="C28" s="44">
        <v>22.3</v>
      </c>
      <c r="D28" s="45">
        <v>20</v>
      </c>
    </row>
    <row r="29" spans="1:4">
      <c r="B29" t="s">
        <v>135</v>
      </c>
      <c r="C29" s="44">
        <v>23.6</v>
      </c>
      <c r="D29" s="45">
        <v>21</v>
      </c>
    </row>
    <row r="30" spans="1:4">
      <c r="A30" t="s">
        <v>280</v>
      </c>
      <c r="C30" s="44">
        <v>14.866666666666665</v>
      </c>
      <c r="D30" s="45">
        <v>12.5</v>
      </c>
    </row>
  </sheetData>
  <pageMargins left="0.7" right="0.7" top="0.75" bottom="0.75" header="0.3" footer="0.3"/>
  <pageSetup paperSize="9" orientation="portrait" horizontalDpi="1200" verticalDpi="1200"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FDF90-4363-4749-856A-29FAC8BB8485}">
  <sheetPr>
    <tabColor theme="1" tint="4.9989318521683403E-2"/>
  </sheetPr>
  <dimension ref="A1:H31"/>
  <sheetViews>
    <sheetView workbookViewId="0">
      <selection activeCell="C10" sqref="C10"/>
    </sheetView>
  </sheetViews>
  <sheetFormatPr baseColWidth="10" defaultColWidth="10.75" defaultRowHeight="15.75"/>
  <cols>
    <col min="2" max="2" width="20.5" bestFit="1" customWidth="1"/>
  </cols>
  <sheetData>
    <row r="1" spans="1:8">
      <c r="A1" t="s">
        <v>69</v>
      </c>
      <c r="B1" t="s">
        <v>181</v>
      </c>
      <c r="C1" t="s">
        <v>242</v>
      </c>
      <c r="D1" t="s">
        <v>272</v>
      </c>
      <c r="E1" t="s">
        <v>273</v>
      </c>
      <c r="F1" t="s">
        <v>274</v>
      </c>
      <c r="G1" t="s">
        <v>276</v>
      </c>
      <c r="H1" t="s">
        <v>284</v>
      </c>
    </row>
    <row r="2" spans="1:8">
      <c r="A2" s="40">
        <v>44763</v>
      </c>
      <c r="B2" s="13" t="s">
        <v>3</v>
      </c>
      <c r="C2" s="42">
        <v>6.4</v>
      </c>
      <c r="D2" t="str">
        <f>+VLOOKUP(Tabla13[[#This Row],[Jugador]],dJugador[[Nombre]:[Nombre y Apellidos]],7,FALSE)</f>
        <v>Ignacio González Salvador</v>
      </c>
      <c r="E2">
        <v>1</v>
      </c>
      <c r="F2">
        <v>1</v>
      </c>
      <c r="G2">
        <v>1</v>
      </c>
      <c r="H2">
        <v>1</v>
      </c>
    </row>
    <row r="3" spans="1:8">
      <c r="A3" s="40">
        <v>44763</v>
      </c>
      <c r="B3" s="13" t="s">
        <v>205</v>
      </c>
      <c r="C3" s="42">
        <v>7</v>
      </c>
      <c r="D3" t="str">
        <f>+VLOOKUP(Tabla13[[#This Row],[Jugador]],dJugador[[Nombre]:[Nombre y Apellidos]],7,FALSE)</f>
        <v>Ignacio Casas Martín</v>
      </c>
      <c r="E3">
        <v>1</v>
      </c>
      <c r="F3">
        <v>2</v>
      </c>
      <c r="G3">
        <v>2</v>
      </c>
      <c r="H3">
        <v>2</v>
      </c>
    </row>
    <row r="4" spans="1:8">
      <c r="A4" s="40">
        <v>44763</v>
      </c>
      <c r="B4" s="13" t="s">
        <v>15</v>
      </c>
      <c r="C4" s="42">
        <v>7.1</v>
      </c>
      <c r="D4" t="str">
        <f>+VLOOKUP(Tabla13[[#This Row],[Jugador]],dJugador[[Nombre]:[Nombre y Apellidos]],7,FALSE)</f>
        <v>Alvaro Aguirre Rodriguez</v>
      </c>
      <c r="E4">
        <v>1</v>
      </c>
      <c r="F4">
        <v>3</v>
      </c>
      <c r="G4">
        <v>3</v>
      </c>
      <c r="H4">
        <v>3</v>
      </c>
    </row>
    <row r="5" spans="1:8">
      <c r="A5" s="40">
        <v>44763</v>
      </c>
      <c r="B5" s="13" t="s">
        <v>33</v>
      </c>
      <c r="C5" s="42">
        <v>7.2</v>
      </c>
      <c r="D5" t="str">
        <f>+VLOOKUP(Tabla13[[#This Row],[Jugador]],dJugador[[Nombre]:[Nombre y Apellidos]],7,FALSE)</f>
        <v>Angel Hernandez Rilova</v>
      </c>
      <c r="E5">
        <v>1</v>
      </c>
      <c r="F5">
        <v>4</v>
      </c>
      <c r="G5">
        <v>4</v>
      </c>
      <c r="H5">
        <v>4</v>
      </c>
    </row>
    <row r="6" spans="1:8">
      <c r="A6" s="40">
        <v>44763</v>
      </c>
      <c r="B6" s="13" t="s">
        <v>201</v>
      </c>
      <c r="C6" s="42">
        <v>7.7</v>
      </c>
      <c r="D6" t="str">
        <f>+VLOOKUP(Tabla13[[#This Row],[Jugador]],dJugador[[Nombre]:[Nombre y Apellidos]],7,FALSE)</f>
        <v>Alvaro Montoya Soler</v>
      </c>
      <c r="E6">
        <v>1</v>
      </c>
      <c r="F6">
        <v>5</v>
      </c>
      <c r="G6">
        <v>4</v>
      </c>
      <c r="H6">
        <v>1</v>
      </c>
    </row>
    <row r="7" spans="1:8">
      <c r="A7" s="40">
        <v>44763</v>
      </c>
      <c r="B7" s="13" t="s">
        <v>6</v>
      </c>
      <c r="C7" s="42">
        <v>8</v>
      </c>
      <c r="D7" t="str">
        <f>+VLOOKUP(Tabla13[[#This Row],[Jugador]],dJugador[[Nombre]:[Nombre y Apellidos]],7,FALSE)</f>
        <v>Ignacio Cadarso Amador</v>
      </c>
      <c r="E7">
        <v>1</v>
      </c>
      <c r="F7">
        <v>6</v>
      </c>
      <c r="G7">
        <v>3</v>
      </c>
      <c r="H7">
        <v>2</v>
      </c>
    </row>
    <row r="8" spans="1:8">
      <c r="A8" s="40">
        <v>44763</v>
      </c>
      <c r="B8" s="13" t="s">
        <v>225</v>
      </c>
      <c r="C8" s="42">
        <v>10.1</v>
      </c>
      <c r="D8" t="str">
        <f>+VLOOKUP(Tabla13[[#This Row],[Jugador]],dJugador[[Nombre]:[Nombre y Apellidos]],7,FALSE)</f>
        <v>Javier Chiralt Perez</v>
      </c>
      <c r="E8">
        <v>1</v>
      </c>
      <c r="F8">
        <v>7</v>
      </c>
      <c r="G8">
        <v>2</v>
      </c>
      <c r="H8">
        <v>3</v>
      </c>
    </row>
    <row r="9" spans="1:8">
      <c r="A9" s="40">
        <v>44763</v>
      </c>
      <c r="B9" s="13" t="s">
        <v>9</v>
      </c>
      <c r="C9" s="42">
        <v>10.4</v>
      </c>
      <c r="D9" t="str">
        <f>+VLOOKUP(Tabla13[[#This Row],[Jugador]],dJugador[[Nombre]:[Nombre y Apellidos]],7,FALSE)</f>
        <v>Alfonso Hidalgo Lopez de Ayala</v>
      </c>
      <c r="E9">
        <v>1</v>
      </c>
      <c r="F9">
        <v>8</v>
      </c>
      <c r="G9">
        <v>1</v>
      </c>
      <c r="H9">
        <v>4</v>
      </c>
    </row>
    <row r="10" spans="1:8">
      <c r="A10" s="40">
        <v>44763</v>
      </c>
      <c r="B10" s="13" t="s">
        <v>30</v>
      </c>
      <c r="C10" s="42">
        <v>10.6</v>
      </c>
      <c r="D10" t="str">
        <f>+VLOOKUP(Tabla13[[#This Row],[Jugador]],dJugador[[Nombre]:[Nombre y Apellidos]],7,FALSE)</f>
        <v>David Sequera Merino</v>
      </c>
      <c r="E10">
        <v>1</v>
      </c>
      <c r="F10">
        <v>9</v>
      </c>
      <c r="G10">
        <v>1</v>
      </c>
      <c r="H10">
        <v>1</v>
      </c>
    </row>
    <row r="11" spans="1:8">
      <c r="A11" s="40">
        <v>44763</v>
      </c>
      <c r="B11" s="13" t="s">
        <v>49</v>
      </c>
      <c r="C11" s="42">
        <v>12.1</v>
      </c>
      <c r="D11" t="str">
        <f>+VLOOKUP(Tabla13[[#This Row],[Jugador]],dJugador[[Nombre]:[Nombre y Apellidos]],7,FALSE)</f>
        <v>Francisco Hidalgo Lopez de Ayala</v>
      </c>
      <c r="E11">
        <v>1</v>
      </c>
      <c r="F11">
        <v>10</v>
      </c>
      <c r="G11">
        <v>2</v>
      </c>
      <c r="H11">
        <v>2</v>
      </c>
    </row>
    <row r="12" spans="1:8">
      <c r="A12" s="40">
        <v>44763</v>
      </c>
      <c r="B12" s="13" t="s">
        <v>25</v>
      </c>
      <c r="C12" s="42">
        <v>12.4</v>
      </c>
      <c r="D12" t="str">
        <f>+VLOOKUP(Tabla13[[#This Row],[Jugador]],dJugador[[Nombre]:[Nombre y Apellidos]],7,FALSE)</f>
        <v>Alvaro Nieto Esteban</v>
      </c>
      <c r="E12">
        <v>1</v>
      </c>
      <c r="F12">
        <v>11</v>
      </c>
      <c r="G12">
        <v>3</v>
      </c>
      <c r="H12">
        <v>3</v>
      </c>
    </row>
    <row r="13" spans="1:8">
      <c r="A13" s="40">
        <v>44763</v>
      </c>
      <c r="B13" s="13" t="s">
        <v>248</v>
      </c>
      <c r="C13" s="42">
        <v>14</v>
      </c>
      <c r="D13" t="str">
        <f>+VLOOKUP(Tabla13[[#This Row],[Jugador]],dJugador[[Nombre]:[Nombre y Apellidos]],7,FALSE)</f>
        <v>Pablo Enrique Gonzalez Ramirez</v>
      </c>
      <c r="E13">
        <v>1</v>
      </c>
      <c r="F13">
        <v>12</v>
      </c>
      <c r="G13">
        <v>4</v>
      </c>
      <c r="H13">
        <v>4</v>
      </c>
    </row>
    <row r="14" spans="1:8">
      <c r="A14" s="40">
        <v>44763</v>
      </c>
      <c r="B14" s="13" t="s">
        <v>207</v>
      </c>
      <c r="C14" s="42">
        <v>14.4</v>
      </c>
      <c r="D14" t="str">
        <f>+VLOOKUP(Tabla13[[#This Row],[Jugador]],dJugador[[Nombre]:[Nombre y Apellidos]],7,FALSE)</f>
        <v>Franck Benouniche Founier</v>
      </c>
      <c r="E14">
        <v>1</v>
      </c>
      <c r="F14">
        <v>13</v>
      </c>
      <c r="G14">
        <v>4</v>
      </c>
      <c r="H14">
        <v>1</v>
      </c>
    </row>
    <row r="15" spans="1:8">
      <c r="A15" s="40">
        <v>44763</v>
      </c>
      <c r="B15" s="13" t="s">
        <v>12</v>
      </c>
      <c r="C15" s="42">
        <v>15</v>
      </c>
      <c r="D15" t="str">
        <f>+VLOOKUP(Tabla13[[#This Row],[Jugador]],dJugador[[Nombre]:[Nombre y Apellidos]],7,FALSE)</f>
        <v>Francisco Alvarez Oliva</v>
      </c>
      <c r="E15">
        <v>1</v>
      </c>
      <c r="F15">
        <v>14</v>
      </c>
      <c r="G15">
        <v>3</v>
      </c>
      <c r="H15">
        <v>2</v>
      </c>
    </row>
    <row r="16" spans="1:8">
      <c r="A16" s="40">
        <v>44763</v>
      </c>
      <c r="B16" s="13" t="s">
        <v>20</v>
      </c>
      <c r="C16" s="42">
        <v>16.3</v>
      </c>
      <c r="D16" t="str">
        <f>+VLOOKUP(Tabla13[[#This Row],[Jugador]],dJugador[[Nombre]:[Nombre y Apellidos]],7,FALSE)</f>
        <v>Francisco Javier Gonzalez Salvador</v>
      </c>
      <c r="E16">
        <v>1</v>
      </c>
      <c r="F16">
        <v>15</v>
      </c>
      <c r="G16">
        <v>2</v>
      </c>
      <c r="H16">
        <v>3</v>
      </c>
    </row>
    <row r="17" spans="1:8">
      <c r="A17" s="40">
        <v>44763</v>
      </c>
      <c r="B17" s="13" t="s">
        <v>46</v>
      </c>
      <c r="C17" s="42">
        <v>17.3</v>
      </c>
      <c r="D17" t="str">
        <f>+VLOOKUP(Tabla13[[#This Row],[Jugador]],dJugador[[Nombre]:[Nombre y Apellidos]],7,FALSE)</f>
        <v>Javier Cervera Rodriguez</v>
      </c>
      <c r="E17">
        <v>1</v>
      </c>
      <c r="F17">
        <v>16</v>
      </c>
      <c r="G17">
        <v>1</v>
      </c>
      <c r="H17">
        <v>4</v>
      </c>
    </row>
    <row r="18" spans="1:8">
      <c r="A18" s="40">
        <v>44763</v>
      </c>
      <c r="B18" s="13" t="s">
        <v>23</v>
      </c>
      <c r="C18" s="42">
        <v>17.3</v>
      </c>
      <c r="D18" t="str">
        <f>+VLOOKUP(Tabla13[[#This Row],[Jugador]],dJugador[[Nombre]:[Nombre y Apellidos]],7,FALSE)</f>
        <v>Julio Enrique Gonzalez Salvador</v>
      </c>
      <c r="E18">
        <v>1</v>
      </c>
      <c r="F18">
        <v>16</v>
      </c>
      <c r="G18">
        <v>1</v>
      </c>
      <c r="H18">
        <v>1</v>
      </c>
    </row>
    <row r="19" spans="1:8">
      <c r="A19" s="40">
        <v>44763</v>
      </c>
      <c r="B19" s="13" t="s">
        <v>203</v>
      </c>
      <c r="C19" s="42">
        <v>17.600000000000001</v>
      </c>
      <c r="D19" t="str">
        <f>+VLOOKUP(Tabla13[[#This Row],[Jugador]],dJugador[[Nombre]:[Nombre y Apellidos]],7,FALSE)</f>
        <v>Ruslan Kochman</v>
      </c>
      <c r="E19">
        <v>1</v>
      </c>
      <c r="F19">
        <v>18</v>
      </c>
      <c r="G19">
        <v>2</v>
      </c>
      <c r="H19">
        <v>2</v>
      </c>
    </row>
    <row r="20" spans="1:8">
      <c r="A20" s="40">
        <v>44763</v>
      </c>
      <c r="B20" s="13" t="s">
        <v>35</v>
      </c>
      <c r="C20" s="42">
        <v>17.8</v>
      </c>
      <c r="D20" t="str">
        <f>+VLOOKUP(Tabla13[[#This Row],[Jugador]],dJugador[[Nombre]:[Nombre y Apellidos]],7,FALSE)</f>
        <v>Juan José Gonzalez Salvador</v>
      </c>
      <c r="E20">
        <v>1</v>
      </c>
      <c r="F20">
        <v>19</v>
      </c>
      <c r="G20">
        <v>3</v>
      </c>
      <c r="H20">
        <v>3</v>
      </c>
    </row>
    <row r="21" spans="1:8">
      <c r="A21" s="40">
        <v>44763</v>
      </c>
      <c r="B21" s="13" t="s">
        <v>217</v>
      </c>
      <c r="C21" s="42">
        <v>22.3</v>
      </c>
      <c r="D21" t="str">
        <f>+VLOOKUP(Tabla13[[#This Row],[Jugador]],dJugador[[Nombre]:[Nombre y Apellidos]],7,FALSE)</f>
        <v>Francisco Javier Lopez Gullón</v>
      </c>
      <c r="E21">
        <v>1</v>
      </c>
      <c r="F21">
        <v>20</v>
      </c>
      <c r="G21">
        <v>4</v>
      </c>
      <c r="H21">
        <v>4</v>
      </c>
    </row>
    <row r="22" spans="1:8">
      <c r="A22" s="40">
        <v>44763</v>
      </c>
      <c r="B22" s="13" t="s">
        <v>135</v>
      </c>
      <c r="C22" s="42">
        <v>23.6</v>
      </c>
      <c r="D22" t="str">
        <f>+VLOOKUP(Tabla13[[#This Row],[Jugador]],dJugador[[Nombre]:[Nombre y Apellidos]],7,FALSE)</f>
        <v>Vicente Lopez Calderón</v>
      </c>
      <c r="E22">
        <v>1</v>
      </c>
      <c r="F22">
        <v>21</v>
      </c>
      <c r="G22">
        <v>4</v>
      </c>
      <c r="H22">
        <v>1</v>
      </c>
    </row>
    <row r="23" spans="1:8">
      <c r="A23" s="40">
        <v>44763</v>
      </c>
      <c r="B23" s="13" t="s">
        <v>41</v>
      </c>
      <c r="C23" s="42">
        <v>25.3</v>
      </c>
      <c r="D23" t="str">
        <f>+VLOOKUP(Tabla13[[#This Row],[Jugador]],dJugador[[Nombre]:[Nombre y Apellidos]],7,FALSE)</f>
        <v>Jesus Rodriguez Touceda</v>
      </c>
      <c r="E23">
        <v>1</v>
      </c>
      <c r="F23">
        <v>22</v>
      </c>
      <c r="G23">
        <v>3</v>
      </c>
      <c r="H23">
        <v>2</v>
      </c>
    </row>
    <row r="24" spans="1:8">
      <c r="A24" s="40">
        <v>44763</v>
      </c>
      <c r="B24" s="13" t="s">
        <v>51</v>
      </c>
      <c r="C24" s="42">
        <v>1.3</v>
      </c>
      <c r="D24" t="str">
        <f>+VLOOKUP(Tabla13[[#This Row],[Jugador]],dJugador[[Nombre]:[Nombre y Apellidos]],7,FALSE)</f>
        <v>Miguel Diaz del Moral Berdun</v>
      </c>
      <c r="E24">
        <v>0</v>
      </c>
      <c r="F24" t="s">
        <v>275</v>
      </c>
      <c r="G24" t="s">
        <v>275</v>
      </c>
    </row>
    <row r="25" spans="1:8">
      <c r="A25" s="40">
        <v>44763</v>
      </c>
      <c r="B25" s="13" t="s">
        <v>259</v>
      </c>
      <c r="C25" s="42">
        <v>3.5</v>
      </c>
      <c r="D25" t="str">
        <f>+VLOOKUP(Tabla13[[#This Row],[Jugador]],dJugador[[Nombre]:[Nombre y Apellidos]],7,FALSE)</f>
        <v>Alejandro Arcos Campillo</v>
      </c>
      <c r="E25">
        <v>0</v>
      </c>
      <c r="F25" t="s">
        <v>275</v>
      </c>
      <c r="G25" t="s">
        <v>275</v>
      </c>
    </row>
    <row r="26" spans="1:8">
      <c r="A26" s="40">
        <v>44763</v>
      </c>
      <c r="B26" s="13" t="s">
        <v>18</v>
      </c>
      <c r="C26" s="42">
        <v>7.3</v>
      </c>
      <c r="D26" t="str">
        <f>+VLOOKUP(Tabla13[[#This Row],[Jugador]],dJugador[[Nombre]:[Nombre y Apellidos]],7,FALSE)</f>
        <v>José Pablo Guil Salvador</v>
      </c>
      <c r="E26">
        <v>0</v>
      </c>
      <c r="F26" t="s">
        <v>275</v>
      </c>
      <c r="G26" t="s">
        <v>275</v>
      </c>
    </row>
    <row r="27" spans="1:8">
      <c r="A27" s="40">
        <v>44763</v>
      </c>
      <c r="B27" s="13" t="s">
        <v>229</v>
      </c>
      <c r="C27" s="42">
        <v>13.6</v>
      </c>
      <c r="D27" t="str">
        <f>+VLOOKUP(Tabla13[[#This Row],[Jugador]],dJugador[[Nombre]:[Nombre y Apellidos]],7,FALSE)</f>
        <v>Alfonso Zorrilla</v>
      </c>
      <c r="E27">
        <v>0</v>
      </c>
      <c r="F27" t="s">
        <v>275</v>
      </c>
      <c r="G27" t="s">
        <v>275</v>
      </c>
    </row>
    <row r="28" spans="1:8">
      <c r="A28" s="40">
        <v>44763</v>
      </c>
      <c r="B28" s="13" t="s">
        <v>28</v>
      </c>
      <c r="C28" s="42">
        <v>13.7</v>
      </c>
      <c r="D28" t="str">
        <f>+VLOOKUP(Tabla13[[#This Row],[Jugador]],dJugador[[Nombre]:[Nombre y Apellidos]],7,FALSE)</f>
        <v>Pablo Munitiz San Martin</v>
      </c>
      <c r="E28">
        <v>0</v>
      </c>
      <c r="F28" t="s">
        <v>275</v>
      </c>
      <c r="G28" t="s">
        <v>275</v>
      </c>
    </row>
    <row r="29" spans="1:8">
      <c r="A29" s="40">
        <v>44763</v>
      </c>
      <c r="B29" s="13" t="s">
        <v>271</v>
      </c>
      <c r="C29" s="42">
        <v>16.399999999999999</v>
      </c>
      <c r="D29" t="str">
        <f>+VLOOKUP(Tabla13[[#This Row],[Jugador]],dJugador[[Nombre]:[Nombre y Apellidos]],7,FALSE)</f>
        <v>Santiago Diaz Dominguez</v>
      </c>
      <c r="E29">
        <v>0</v>
      </c>
      <c r="F29" t="s">
        <v>275</v>
      </c>
      <c r="G29" t="s">
        <v>275</v>
      </c>
    </row>
    <row r="30" spans="1:8">
      <c r="A30" s="41">
        <v>44763</v>
      </c>
      <c r="B30" s="19" t="s">
        <v>43</v>
      </c>
      <c r="C30" s="43">
        <v>18.5</v>
      </c>
      <c r="D30" t="str">
        <f>+VLOOKUP(Tabla13[[#This Row],[Jugador]],dJugador[[Nombre]:[Nombre y Apellidos]],7,FALSE)</f>
        <v>Luis Manuel Escudero Mas</v>
      </c>
      <c r="E30">
        <v>0</v>
      </c>
      <c r="F30" t="s">
        <v>275</v>
      </c>
      <c r="G30" t="s">
        <v>275</v>
      </c>
    </row>
    <row r="31" spans="1:8">
      <c r="A31" s="41">
        <v>44763</v>
      </c>
      <c r="B31" s="19" t="s">
        <v>264</v>
      </c>
      <c r="C31" s="43">
        <v>19.100000000000001</v>
      </c>
      <c r="D31" t="str">
        <f>+VLOOKUP(Tabla13[[#This Row],[Jugador]],dJugador[[Nombre]:[Nombre y Apellidos]],7,FALSE)</f>
        <v>Antonio Carmona Quesada</v>
      </c>
      <c r="E31">
        <v>0</v>
      </c>
      <c r="F31" t="s">
        <v>275</v>
      </c>
      <c r="G31" t="s">
        <v>275</v>
      </c>
    </row>
  </sheetData>
  <pageMargins left="0.7" right="0.7" top="0.75" bottom="0.75" header="0.3" footer="0.3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96E4D-A877-42DD-B650-FD1639C2ADA0}">
  <sheetPr>
    <tabColor theme="1" tint="4.9989318521683403E-2"/>
  </sheetPr>
  <dimension ref="A1:E18"/>
  <sheetViews>
    <sheetView workbookViewId="0">
      <selection activeCell="B1" sqref="B1"/>
    </sheetView>
  </sheetViews>
  <sheetFormatPr baseColWidth="10" defaultColWidth="10.75" defaultRowHeight="15.75"/>
  <cols>
    <col min="1" max="1" width="20.75" bestFit="1" customWidth="1"/>
    <col min="2" max="2" width="11.25" customWidth="1"/>
    <col min="3" max="3" width="9.125" customWidth="1"/>
    <col min="4" max="4" width="8.75" bestFit="1" customWidth="1"/>
    <col min="5" max="5" width="11" customWidth="1"/>
    <col min="6" max="6" width="5.75" bestFit="1" customWidth="1"/>
  </cols>
  <sheetData>
    <row r="1" spans="1:5">
      <c r="A1" s="17" t="s">
        <v>158</v>
      </c>
      <c r="B1" t="s">
        <v>167</v>
      </c>
    </row>
    <row r="3" spans="1:5">
      <c r="A3" s="17" t="s">
        <v>168</v>
      </c>
      <c r="B3" s="17" t="s">
        <v>163</v>
      </c>
    </row>
    <row r="4" spans="1:5">
      <c r="A4" s="17" t="s">
        <v>0</v>
      </c>
      <c r="B4">
        <v>1</v>
      </c>
      <c r="C4">
        <v>2</v>
      </c>
      <c r="D4">
        <v>3</v>
      </c>
      <c r="E4" t="s">
        <v>164</v>
      </c>
    </row>
    <row r="5" spans="1:5">
      <c r="A5" t="s">
        <v>20</v>
      </c>
      <c r="D5">
        <v>22.5</v>
      </c>
      <c r="E5">
        <v>22.5</v>
      </c>
    </row>
    <row r="6" spans="1:5">
      <c r="A6" t="s">
        <v>30</v>
      </c>
      <c r="D6">
        <v>22.5</v>
      </c>
      <c r="E6">
        <v>22.5</v>
      </c>
    </row>
    <row r="7" spans="1:5">
      <c r="A7" t="s">
        <v>15</v>
      </c>
      <c r="D7">
        <v>22.5</v>
      </c>
      <c r="E7">
        <v>22.5</v>
      </c>
    </row>
    <row r="8" spans="1:5">
      <c r="A8" t="s">
        <v>49</v>
      </c>
      <c r="D8">
        <v>22.5</v>
      </c>
      <c r="E8">
        <v>22.5</v>
      </c>
    </row>
    <row r="9" spans="1:5">
      <c r="A9" t="s">
        <v>18</v>
      </c>
      <c r="B9">
        <v>4.5</v>
      </c>
      <c r="D9">
        <v>22.5</v>
      </c>
      <c r="E9">
        <v>13.5</v>
      </c>
    </row>
    <row r="10" spans="1:5">
      <c r="A10" t="s">
        <v>3</v>
      </c>
      <c r="B10">
        <v>4.5</v>
      </c>
      <c r="E10">
        <v>4.5</v>
      </c>
    </row>
    <row r="11" spans="1:5">
      <c r="A11" t="s">
        <v>9</v>
      </c>
      <c r="B11">
        <v>4.5</v>
      </c>
      <c r="E11">
        <v>4.5</v>
      </c>
    </row>
    <row r="12" spans="1:5">
      <c r="A12" t="s">
        <v>46</v>
      </c>
      <c r="B12">
        <v>4.5</v>
      </c>
      <c r="C12">
        <v>0</v>
      </c>
      <c r="E12">
        <v>2.25</v>
      </c>
    </row>
    <row r="13" spans="1:5">
      <c r="A13" t="s">
        <v>35</v>
      </c>
      <c r="B13">
        <v>4.5</v>
      </c>
      <c r="C13">
        <v>0</v>
      </c>
      <c r="E13">
        <v>2.25</v>
      </c>
    </row>
    <row r="14" spans="1:5">
      <c r="A14" t="s">
        <v>23</v>
      </c>
      <c r="C14">
        <v>0</v>
      </c>
      <c r="E14">
        <v>0</v>
      </c>
    </row>
    <row r="15" spans="1:5">
      <c r="A15" t="s">
        <v>25</v>
      </c>
    </row>
    <row r="16" spans="1:5">
      <c r="A16" t="s">
        <v>41</v>
      </c>
      <c r="C16">
        <v>0</v>
      </c>
      <c r="E16">
        <v>0</v>
      </c>
    </row>
    <row r="17" spans="1:5">
      <c r="A17" t="s">
        <v>6</v>
      </c>
      <c r="C17">
        <v>0</v>
      </c>
      <c r="E17">
        <v>0</v>
      </c>
    </row>
    <row r="18" spans="1:5">
      <c r="A18" t="s">
        <v>164</v>
      </c>
      <c r="B18">
        <v>4.5</v>
      </c>
      <c r="C18">
        <v>0</v>
      </c>
      <c r="D18">
        <v>22.5</v>
      </c>
      <c r="E18">
        <v>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12E64-A6FD-4DC9-8DE8-B57054FDAF4A}">
  <sheetPr>
    <tabColor theme="1" tint="4.9989318521683403E-2"/>
  </sheetPr>
  <dimension ref="A1:J106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F90" sqref="F90"/>
    </sheetView>
  </sheetViews>
  <sheetFormatPr baseColWidth="10" defaultColWidth="10.75" defaultRowHeight="15.75"/>
  <cols>
    <col min="1" max="1" width="20.75" bestFit="1" customWidth="1"/>
    <col min="3" max="3" width="11.125" style="2" customWidth="1"/>
    <col min="5" max="5" width="9" bestFit="1" customWidth="1"/>
  </cols>
  <sheetData>
    <row r="1" spans="1:10">
      <c r="A1" s="12" t="s">
        <v>0</v>
      </c>
      <c r="B1" s="12" t="s">
        <v>1</v>
      </c>
      <c r="C1" s="2" t="s">
        <v>145</v>
      </c>
      <c r="D1" t="s">
        <v>78</v>
      </c>
      <c r="E1" t="s">
        <v>163</v>
      </c>
      <c r="F1" t="s">
        <v>73</v>
      </c>
      <c r="G1" t="s">
        <v>152</v>
      </c>
      <c r="H1" t="s">
        <v>153</v>
      </c>
      <c r="I1" t="s">
        <v>158</v>
      </c>
      <c r="J1" t="s">
        <v>166</v>
      </c>
    </row>
    <row r="2" spans="1:10">
      <c r="A2" s="13" t="s">
        <v>9</v>
      </c>
      <c r="B2" s="13" t="s">
        <v>10</v>
      </c>
      <c r="C2" s="2">
        <v>44085</v>
      </c>
      <c r="D2" t="s">
        <v>146</v>
      </c>
      <c r="E2">
        <v>1</v>
      </c>
      <c r="F2" t="s">
        <v>149</v>
      </c>
      <c r="G2">
        <v>31</v>
      </c>
      <c r="I2" t="s">
        <v>159</v>
      </c>
    </row>
    <row r="3" spans="1:10">
      <c r="A3" s="13" t="s">
        <v>15</v>
      </c>
      <c r="B3" s="13" t="s">
        <v>16</v>
      </c>
      <c r="C3" s="2">
        <v>44085</v>
      </c>
      <c r="D3" t="s">
        <v>146</v>
      </c>
      <c r="E3">
        <v>1</v>
      </c>
      <c r="F3" t="s">
        <v>149</v>
      </c>
      <c r="G3">
        <v>34</v>
      </c>
      <c r="I3" t="s">
        <v>159</v>
      </c>
    </row>
    <row r="4" spans="1:10">
      <c r="A4" s="13" t="s">
        <v>25</v>
      </c>
      <c r="B4" s="13" t="s">
        <v>26</v>
      </c>
      <c r="C4" s="2">
        <v>44085</v>
      </c>
      <c r="D4" t="s">
        <v>146</v>
      </c>
      <c r="E4">
        <v>1</v>
      </c>
      <c r="F4" t="s">
        <v>149</v>
      </c>
      <c r="G4">
        <v>22</v>
      </c>
      <c r="I4" t="s">
        <v>159</v>
      </c>
    </row>
    <row r="5" spans="1:10">
      <c r="A5" s="13" t="s">
        <v>33</v>
      </c>
      <c r="B5" s="13" t="s">
        <v>34</v>
      </c>
    </row>
    <row r="6" spans="1:10">
      <c r="A6" s="13" t="s">
        <v>30</v>
      </c>
      <c r="B6" s="13" t="s">
        <v>31</v>
      </c>
      <c r="C6" s="2">
        <v>44085</v>
      </c>
      <c r="D6" t="s">
        <v>146</v>
      </c>
      <c r="E6">
        <v>1</v>
      </c>
      <c r="F6" t="s">
        <v>149</v>
      </c>
      <c r="G6">
        <v>20</v>
      </c>
      <c r="I6" t="s">
        <v>159</v>
      </c>
    </row>
    <row r="7" spans="1:10">
      <c r="A7" s="13" t="s">
        <v>12</v>
      </c>
      <c r="B7" s="13" t="s">
        <v>13</v>
      </c>
    </row>
    <row r="8" spans="1:10">
      <c r="A8" s="13" t="s">
        <v>49</v>
      </c>
      <c r="B8" s="13" t="s">
        <v>50</v>
      </c>
    </row>
    <row r="9" spans="1:10">
      <c r="A9" s="13" t="s">
        <v>6</v>
      </c>
      <c r="B9" s="13" t="s">
        <v>7</v>
      </c>
    </row>
    <row r="10" spans="1:10">
      <c r="A10" s="13" t="s">
        <v>3</v>
      </c>
      <c r="B10" s="13" t="s">
        <v>4</v>
      </c>
      <c r="C10" s="2">
        <v>44085</v>
      </c>
      <c r="D10" t="s">
        <v>146</v>
      </c>
      <c r="E10">
        <v>1</v>
      </c>
      <c r="F10" t="s">
        <v>149</v>
      </c>
      <c r="G10">
        <v>40</v>
      </c>
      <c r="I10" t="s">
        <v>159</v>
      </c>
    </row>
    <row r="11" spans="1:10">
      <c r="A11" s="13" t="s">
        <v>46</v>
      </c>
      <c r="B11" s="13" t="s">
        <v>47</v>
      </c>
    </row>
    <row r="12" spans="1:10">
      <c r="A12" s="13" t="s">
        <v>20</v>
      </c>
      <c r="B12" s="13" t="s">
        <v>21</v>
      </c>
    </row>
    <row r="13" spans="1:10">
      <c r="A13" s="13" t="s">
        <v>41</v>
      </c>
      <c r="B13" s="13" t="s">
        <v>42</v>
      </c>
    </row>
    <row r="14" spans="1:10">
      <c r="A14" s="13" t="s">
        <v>18</v>
      </c>
      <c r="B14" s="13" t="s">
        <v>19</v>
      </c>
      <c r="C14" s="2">
        <v>44085</v>
      </c>
      <c r="D14" t="s">
        <v>146</v>
      </c>
      <c r="E14">
        <v>1</v>
      </c>
      <c r="F14" t="s">
        <v>149</v>
      </c>
      <c r="G14">
        <v>28</v>
      </c>
      <c r="I14" t="s">
        <v>159</v>
      </c>
    </row>
    <row r="15" spans="1:10">
      <c r="A15" s="13" t="s">
        <v>35</v>
      </c>
      <c r="B15" s="13" t="s">
        <v>36</v>
      </c>
    </row>
    <row r="16" spans="1:10">
      <c r="A16" s="13" t="s">
        <v>23</v>
      </c>
      <c r="B16" s="13" t="s">
        <v>24</v>
      </c>
    </row>
    <row r="17" spans="1:9">
      <c r="A17" s="13" t="s">
        <v>43</v>
      </c>
      <c r="B17" s="13" t="s">
        <v>44</v>
      </c>
    </row>
    <row r="18" spans="1:9">
      <c r="A18" s="13" t="s">
        <v>51</v>
      </c>
      <c r="B18" s="13" t="s">
        <v>52</v>
      </c>
    </row>
    <row r="19" spans="1:9">
      <c r="A19" s="13" t="s">
        <v>28</v>
      </c>
      <c r="B19" s="13" t="s">
        <v>29</v>
      </c>
    </row>
    <row r="20" spans="1:9">
      <c r="A20" s="13" t="s">
        <v>37</v>
      </c>
      <c r="B20" s="13" t="s">
        <v>38</v>
      </c>
    </row>
    <row r="21" spans="1:9">
      <c r="A21" s="13" t="s">
        <v>39</v>
      </c>
      <c r="B21" s="13" t="s">
        <v>40</v>
      </c>
    </row>
    <row r="22" spans="1:9">
      <c r="A22" s="14" t="s">
        <v>135</v>
      </c>
      <c r="B22" s="14" t="s">
        <v>123</v>
      </c>
      <c r="D22" s="15"/>
      <c r="E22" s="15"/>
      <c r="F22" s="15"/>
      <c r="G22" s="15"/>
      <c r="H22" s="15"/>
      <c r="I22" s="15"/>
    </row>
    <row r="23" spans="1:9">
      <c r="A23" s="13" t="s">
        <v>9</v>
      </c>
      <c r="B23" s="13" t="s">
        <v>10</v>
      </c>
      <c r="C23" s="2">
        <v>43890</v>
      </c>
      <c r="D23" t="s">
        <v>147</v>
      </c>
      <c r="E23">
        <v>1</v>
      </c>
      <c r="F23" t="s">
        <v>150</v>
      </c>
      <c r="G23">
        <v>1</v>
      </c>
      <c r="H23" s="13" t="s">
        <v>154</v>
      </c>
      <c r="I23" t="s">
        <v>160</v>
      </c>
    </row>
    <row r="24" spans="1:9">
      <c r="A24" s="13" t="s">
        <v>15</v>
      </c>
      <c r="B24" s="13" t="s">
        <v>16</v>
      </c>
      <c r="C24" s="2">
        <v>43890</v>
      </c>
      <c r="D24" t="s">
        <v>147</v>
      </c>
      <c r="E24">
        <v>1</v>
      </c>
      <c r="F24" t="s">
        <v>151</v>
      </c>
      <c r="G24">
        <v>0</v>
      </c>
      <c r="H24" s="18" t="s">
        <v>155</v>
      </c>
      <c r="I24" t="s">
        <v>160</v>
      </c>
    </row>
    <row r="25" spans="1:9">
      <c r="A25" s="13" t="s">
        <v>25</v>
      </c>
      <c r="B25" s="13" t="s">
        <v>26</v>
      </c>
      <c r="C25" s="2">
        <v>43890</v>
      </c>
      <c r="D25" t="s">
        <v>147</v>
      </c>
      <c r="E25">
        <v>1</v>
      </c>
      <c r="F25" t="s">
        <v>150</v>
      </c>
      <c r="G25">
        <v>1</v>
      </c>
      <c r="H25" s="13" t="s">
        <v>156</v>
      </c>
      <c r="I25" t="s">
        <v>160</v>
      </c>
    </row>
    <row r="26" spans="1:9">
      <c r="A26" s="13" t="s">
        <v>33</v>
      </c>
      <c r="B26" s="13" t="s">
        <v>34</v>
      </c>
      <c r="H26" s="18"/>
    </row>
    <row r="27" spans="1:9">
      <c r="A27" s="13" t="s">
        <v>30</v>
      </c>
      <c r="B27" s="13" t="s">
        <v>31</v>
      </c>
      <c r="C27" s="2">
        <v>43890</v>
      </c>
      <c r="D27" t="s">
        <v>147</v>
      </c>
      <c r="E27">
        <v>1</v>
      </c>
      <c r="F27" t="s">
        <v>150</v>
      </c>
      <c r="G27">
        <v>1</v>
      </c>
      <c r="H27" s="13" t="s">
        <v>157</v>
      </c>
      <c r="I27" t="s">
        <v>160</v>
      </c>
    </row>
    <row r="28" spans="1:9">
      <c r="A28" s="13" t="s">
        <v>12</v>
      </c>
      <c r="B28" s="13" t="s">
        <v>13</v>
      </c>
      <c r="H28" s="18"/>
    </row>
    <row r="29" spans="1:9">
      <c r="A29" s="13" t="s">
        <v>49</v>
      </c>
      <c r="B29" s="13" t="s">
        <v>50</v>
      </c>
      <c r="C29" s="2">
        <v>43890</v>
      </c>
      <c r="D29" t="s">
        <v>147</v>
      </c>
      <c r="E29">
        <v>1</v>
      </c>
      <c r="F29" t="s">
        <v>150</v>
      </c>
      <c r="G29">
        <v>1</v>
      </c>
      <c r="H29" s="13" t="s">
        <v>154</v>
      </c>
      <c r="I29" t="s">
        <v>160</v>
      </c>
    </row>
    <row r="30" spans="1:9">
      <c r="A30" s="13" t="s">
        <v>6</v>
      </c>
      <c r="B30" s="13" t="s">
        <v>7</v>
      </c>
      <c r="C30" s="2">
        <v>43890</v>
      </c>
      <c r="D30" t="s">
        <v>147</v>
      </c>
      <c r="E30">
        <v>1</v>
      </c>
      <c r="F30" t="s">
        <v>150</v>
      </c>
      <c r="G30">
        <v>1</v>
      </c>
      <c r="H30" s="18" t="s">
        <v>157</v>
      </c>
      <c r="I30" t="s">
        <v>160</v>
      </c>
    </row>
    <row r="31" spans="1:9">
      <c r="A31" s="13" t="s">
        <v>3</v>
      </c>
      <c r="B31" s="13" t="s">
        <v>4</v>
      </c>
      <c r="C31" s="2">
        <v>43890</v>
      </c>
      <c r="D31" t="s">
        <v>147</v>
      </c>
      <c r="E31">
        <v>1</v>
      </c>
      <c r="F31" t="s">
        <v>150</v>
      </c>
      <c r="G31">
        <v>1</v>
      </c>
      <c r="H31" s="13" t="s">
        <v>156</v>
      </c>
      <c r="I31" t="s">
        <v>160</v>
      </c>
    </row>
    <row r="32" spans="1:9">
      <c r="A32" s="13" t="s">
        <v>46</v>
      </c>
      <c r="B32" s="13" t="s">
        <v>47</v>
      </c>
      <c r="H32" s="18"/>
    </row>
    <row r="33" spans="1:10">
      <c r="A33" s="13" t="s">
        <v>20</v>
      </c>
      <c r="B33" s="13" t="s">
        <v>21</v>
      </c>
      <c r="H33" s="13"/>
    </row>
    <row r="34" spans="1:10">
      <c r="A34" s="13" t="s">
        <v>41</v>
      </c>
      <c r="B34" s="13" t="s">
        <v>42</v>
      </c>
      <c r="H34" s="18"/>
    </row>
    <row r="35" spans="1:10">
      <c r="A35" s="13" t="s">
        <v>18</v>
      </c>
      <c r="B35" s="13" t="s">
        <v>19</v>
      </c>
      <c r="C35" s="2">
        <v>43890</v>
      </c>
      <c r="D35" t="s">
        <v>147</v>
      </c>
      <c r="E35">
        <v>1</v>
      </c>
      <c r="F35" t="s">
        <v>151</v>
      </c>
      <c r="G35">
        <v>1</v>
      </c>
      <c r="H35" s="13" t="s">
        <v>157</v>
      </c>
      <c r="I35" t="s">
        <v>160</v>
      </c>
    </row>
    <row r="36" spans="1:10">
      <c r="A36" s="13" t="s">
        <v>35</v>
      </c>
      <c r="B36" s="13" t="s">
        <v>36</v>
      </c>
    </row>
    <row r="37" spans="1:10">
      <c r="A37" s="13" t="s">
        <v>23</v>
      </c>
      <c r="B37" s="13" t="s">
        <v>24</v>
      </c>
    </row>
    <row r="38" spans="1:10">
      <c r="A38" s="13" t="s">
        <v>43</v>
      </c>
      <c r="B38" s="13" t="s">
        <v>44</v>
      </c>
    </row>
    <row r="39" spans="1:10">
      <c r="A39" s="13" t="s">
        <v>51</v>
      </c>
      <c r="B39" s="13" t="s">
        <v>52</v>
      </c>
    </row>
    <row r="40" spans="1:10">
      <c r="A40" s="13" t="s">
        <v>28</v>
      </c>
      <c r="B40" s="13" t="s">
        <v>29</v>
      </c>
    </row>
    <row r="41" spans="1:10">
      <c r="A41" s="13" t="s">
        <v>37</v>
      </c>
      <c r="B41" s="13" t="s">
        <v>38</v>
      </c>
    </row>
    <row r="42" spans="1:10">
      <c r="A42" s="13" t="s">
        <v>39</v>
      </c>
      <c r="B42" s="13" t="s">
        <v>40</v>
      </c>
    </row>
    <row r="43" spans="1:10">
      <c r="A43" s="14" t="s">
        <v>135</v>
      </c>
      <c r="B43" s="14" t="s">
        <v>123</v>
      </c>
      <c r="D43" s="15"/>
      <c r="E43" s="15"/>
      <c r="F43" s="15"/>
      <c r="G43" s="15"/>
      <c r="H43" s="15"/>
      <c r="I43" s="15"/>
    </row>
    <row r="44" spans="1:10">
      <c r="A44" s="13" t="s">
        <v>9</v>
      </c>
      <c r="B44" s="13" t="s">
        <v>10</v>
      </c>
      <c r="C44" s="2">
        <v>44451</v>
      </c>
      <c r="D44" t="s">
        <v>148</v>
      </c>
      <c r="E44">
        <v>1</v>
      </c>
      <c r="F44" t="s">
        <v>149</v>
      </c>
      <c r="G44">
        <v>34</v>
      </c>
      <c r="I44" t="s">
        <v>161</v>
      </c>
      <c r="J44">
        <v>4.5</v>
      </c>
    </row>
    <row r="45" spans="1:10">
      <c r="A45" s="13" t="s">
        <v>15</v>
      </c>
      <c r="B45" s="13" t="s">
        <v>16</v>
      </c>
    </row>
    <row r="46" spans="1:10">
      <c r="A46" s="13" t="s">
        <v>25</v>
      </c>
      <c r="B46" s="13" t="s">
        <v>26</v>
      </c>
    </row>
    <row r="47" spans="1:10">
      <c r="A47" s="13" t="s">
        <v>33</v>
      </c>
      <c r="B47" s="13" t="s">
        <v>34</v>
      </c>
    </row>
    <row r="48" spans="1:10">
      <c r="A48" s="13" t="s">
        <v>30</v>
      </c>
      <c r="B48" s="13" t="s">
        <v>31</v>
      </c>
    </row>
    <row r="49" spans="1:10">
      <c r="A49" s="13" t="s">
        <v>12</v>
      </c>
      <c r="B49" s="13" t="s">
        <v>13</v>
      </c>
    </row>
    <row r="50" spans="1:10">
      <c r="A50" s="13" t="s">
        <v>49</v>
      </c>
      <c r="B50" s="13" t="s">
        <v>50</v>
      </c>
    </row>
    <row r="51" spans="1:10">
      <c r="A51" s="13" t="s">
        <v>6</v>
      </c>
      <c r="B51" s="13" t="s">
        <v>7</v>
      </c>
    </row>
    <row r="52" spans="1:10">
      <c r="A52" s="13" t="s">
        <v>3</v>
      </c>
      <c r="B52" s="13" t="s">
        <v>4</v>
      </c>
      <c r="C52" s="2">
        <v>44451</v>
      </c>
      <c r="D52" t="s">
        <v>148</v>
      </c>
      <c r="E52">
        <v>1</v>
      </c>
      <c r="F52" t="s">
        <v>149</v>
      </c>
      <c r="G52">
        <v>36</v>
      </c>
      <c r="I52" t="s">
        <v>161</v>
      </c>
      <c r="J52">
        <v>4.5</v>
      </c>
    </row>
    <row r="53" spans="1:10">
      <c r="A53" s="13" t="s">
        <v>46</v>
      </c>
      <c r="B53" s="13" t="s">
        <v>47</v>
      </c>
      <c r="C53" s="2">
        <v>44451</v>
      </c>
      <c r="D53" t="s">
        <v>148</v>
      </c>
      <c r="E53">
        <v>1</v>
      </c>
      <c r="F53" t="s">
        <v>149</v>
      </c>
      <c r="G53">
        <v>33</v>
      </c>
      <c r="I53" t="s">
        <v>161</v>
      </c>
      <c r="J53">
        <v>4.5</v>
      </c>
    </row>
    <row r="54" spans="1:10">
      <c r="A54" s="13" t="s">
        <v>20</v>
      </c>
      <c r="B54" s="13" t="s">
        <v>21</v>
      </c>
    </row>
    <row r="55" spans="1:10">
      <c r="A55" s="13" t="s">
        <v>41</v>
      </c>
      <c r="B55" s="13" t="s">
        <v>42</v>
      </c>
    </row>
    <row r="56" spans="1:10">
      <c r="A56" s="13" t="s">
        <v>18</v>
      </c>
      <c r="B56" s="13" t="s">
        <v>19</v>
      </c>
      <c r="C56" s="2">
        <v>44451</v>
      </c>
      <c r="D56" t="s">
        <v>148</v>
      </c>
      <c r="E56">
        <v>1</v>
      </c>
      <c r="F56" t="s">
        <v>149</v>
      </c>
      <c r="G56">
        <v>37</v>
      </c>
      <c r="I56" t="s">
        <v>161</v>
      </c>
      <c r="J56">
        <v>4.5</v>
      </c>
    </row>
    <row r="57" spans="1:10">
      <c r="A57" s="13" t="s">
        <v>35</v>
      </c>
      <c r="B57" s="13" t="s">
        <v>36</v>
      </c>
      <c r="C57" s="2">
        <v>44451</v>
      </c>
      <c r="D57" t="s">
        <v>148</v>
      </c>
      <c r="E57">
        <v>1</v>
      </c>
      <c r="F57" t="s">
        <v>149</v>
      </c>
      <c r="G57">
        <v>27</v>
      </c>
      <c r="I57" t="s">
        <v>161</v>
      </c>
      <c r="J57">
        <v>4.5</v>
      </c>
    </row>
    <row r="58" spans="1:10">
      <c r="A58" s="13" t="s">
        <v>23</v>
      </c>
      <c r="B58" s="13" t="s">
        <v>24</v>
      </c>
    </row>
    <row r="59" spans="1:10">
      <c r="A59" s="13" t="s">
        <v>43</v>
      </c>
      <c r="B59" s="13" t="s">
        <v>44</v>
      </c>
    </row>
    <row r="60" spans="1:10">
      <c r="A60" s="13" t="s">
        <v>51</v>
      </c>
      <c r="B60" s="13" t="s">
        <v>52</v>
      </c>
    </row>
    <row r="61" spans="1:10">
      <c r="A61" s="13" t="s">
        <v>28</v>
      </c>
      <c r="B61" s="13" t="s">
        <v>29</v>
      </c>
    </row>
    <row r="62" spans="1:10">
      <c r="A62" s="13" t="s">
        <v>37</v>
      </c>
      <c r="B62" s="13" t="s">
        <v>38</v>
      </c>
    </row>
    <row r="63" spans="1:10">
      <c r="A63" s="13" t="s">
        <v>39</v>
      </c>
      <c r="B63" s="13" t="s">
        <v>40</v>
      </c>
    </row>
    <row r="64" spans="1:10">
      <c r="A64" s="14" t="s">
        <v>135</v>
      </c>
      <c r="B64" s="14" t="s">
        <v>123</v>
      </c>
      <c r="D64" s="15"/>
      <c r="E64" s="15"/>
      <c r="F64" s="15"/>
      <c r="G64" s="15"/>
      <c r="H64" s="15"/>
      <c r="I64" s="15"/>
    </row>
    <row r="65" spans="1:10">
      <c r="A65" s="13" t="s">
        <v>9</v>
      </c>
      <c r="B65" s="13" t="s">
        <v>10</v>
      </c>
    </row>
    <row r="66" spans="1:10">
      <c r="A66" s="13" t="s">
        <v>15</v>
      </c>
      <c r="B66" s="13" t="s">
        <v>16</v>
      </c>
    </row>
    <row r="67" spans="1:10">
      <c r="A67" s="13" t="s">
        <v>25</v>
      </c>
      <c r="B67" s="13" t="s">
        <v>26</v>
      </c>
    </row>
    <row r="68" spans="1:10">
      <c r="A68" s="13" t="s">
        <v>33</v>
      </c>
      <c r="B68" s="13" t="s">
        <v>34</v>
      </c>
    </row>
    <row r="69" spans="1:10">
      <c r="A69" s="13" t="s">
        <v>30</v>
      </c>
      <c r="B69" s="13" t="s">
        <v>31</v>
      </c>
    </row>
    <row r="70" spans="1:10">
      <c r="A70" s="13" t="s">
        <v>12</v>
      </c>
      <c r="B70" s="13" t="s">
        <v>13</v>
      </c>
    </row>
    <row r="71" spans="1:10">
      <c r="A71" s="13" t="s">
        <v>49</v>
      </c>
      <c r="B71" s="13" t="s">
        <v>50</v>
      </c>
    </row>
    <row r="72" spans="1:10">
      <c r="A72" s="13" t="s">
        <v>6</v>
      </c>
      <c r="B72" s="13" t="s">
        <v>7</v>
      </c>
      <c r="C72" s="2">
        <v>44492</v>
      </c>
      <c r="D72" t="s">
        <v>162</v>
      </c>
      <c r="E72">
        <v>2</v>
      </c>
      <c r="F72" t="s">
        <v>149</v>
      </c>
      <c r="G72">
        <v>29</v>
      </c>
      <c r="I72" t="s">
        <v>161</v>
      </c>
      <c r="J72">
        <v>0</v>
      </c>
    </row>
    <row r="73" spans="1:10">
      <c r="A73" s="13" t="s">
        <v>3</v>
      </c>
      <c r="B73" s="13" t="s">
        <v>4</v>
      </c>
    </row>
    <row r="74" spans="1:10">
      <c r="A74" s="13" t="s">
        <v>46</v>
      </c>
      <c r="B74" s="13" t="s">
        <v>47</v>
      </c>
      <c r="C74" s="2">
        <v>44492</v>
      </c>
      <c r="D74" t="s">
        <v>162</v>
      </c>
      <c r="E74">
        <v>2</v>
      </c>
      <c r="F74" t="s">
        <v>149</v>
      </c>
      <c r="G74">
        <v>30</v>
      </c>
      <c r="I74" t="s">
        <v>161</v>
      </c>
      <c r="J74">
        <v>0</v>
      </c>
    </row>
    <row r="75" spans="1:10">
      <c r="A75" s="13" t="s">
        <v>20</v>
      </c>
      <c r="B75" s="13" t="s">
        <v>21</v>
      </c>
    </row>
    <row r="76" spans="1:10">
      <c r="A76" s="13" t="s">
        <v>41</v>
      </c>
      <c r="B76" s="13" t="s">
        <v>42</v>
      </c>
      <c r="C76" s="2">
        <v>44492</v>
      </c>
      <c r="D76" t="s">
        <v>162</v>
      </c>
      <c r="E76">
        <v>2</v>
      </c>
      <c r="F76" t="s">
        <v>149</v>
      </c>
      <c r="G76">
        <v>24</v>
      </c>
      <c r="I76" t="s">
        <v>161</v>
      </c>
      <c r="J76">
        <v>0</v>
      </c>
    </row>
    <row r="77" spans="1:10">
      <c r="A77" s="13" t="s">
        <v>18</v>
      </c>
      <c r="B77" s="13" t="s">
        <v>19</v>
      </c>
    </row>
    <row r="78" spans="1:10">
      <c r="A78" s="13" t="s">
        <v>35</v>
      </c>
      <c r="B78" s="13" t="s">
        <v>36</v>
      </c>
      <c r="C78" s="2">
        <v>44492</v>
      </c>
      <c r="D78" t="s">
        <v>162</v>
      </c>
      <c r="E78">
        <v>2</v>
      </c>
      <c r="F78" t="s">
        <v>149</v>
      </c>
      <c r="G78">
        <v>18</v>
      </c>
      <c r="I78" t="s">
        <v>161</v>
      </c>
      <c r="J78">
        <v>0</v>
      </c>
    </row>
    <row r="79" spans="1:10">
      <c r="A79" s="13" t="s">
        <v>23</v>
      </c>
      <c r="B79" s="13" t="s">
        <v>24</v>
      </c>
      <c r="C79" s="2">
        <v>44492</v>
      </c>
      <c r="D79" t="s">
        <v>162</v>
      </c>
      <c r="E79">
        <v>2</v>
      </c>
      <c r="F79" t="s">
        <v>149</v>
      </c>
      <c r="G79">
        <v>30</v>
      </c>
      <c r="I79" t="s">
        <v>161</v>
      </c>
      <c r="J79">
        <v>0</v>
      </c>
    </row>
    <row r="80" spans="1:10">
      <c r="A80" s="13" t="s">
        <v>43</v>
      </c>
      <c r="B80" s="13" t="s">
        <v>44</v>
      </c>
    </row>
    <row r="81" spans="1:10">
      <c r="A81" s="13" t="s">
        <v>51</v>
      </c>
      <c r="B81" s="13" t="s">
        <v>52</v>
      </c>
    </row>
    <row r="82" spans="1:10">
      <c r="A82" s="13" t="s">
        <v>28</v>
      </c>
      <c r="B82" s="13" t="s">
        <v>29</v>
      </c>
    </row>
    <row r="83" spans="1:10">
      <c r="A83" s="13" t="s">
        <v>37</v>
      </c>
      <c r="B83" s="13" t="s">
        <v>38</v>
      </c>
    </row>
    <row r="84" spans="1:10">
      <c r="A84" s="13" t="s">
        <v>39</v>
      </c>
      <c r="B84" s="13" t="s">
        <v>40</v>
      </c>
    </row>
    <row r="85" spans="1:10">
      <c r="A85" s="14" t="s">
        <v>135</v>
      </c>
      <c r="B85" s="14" t="s">
        <v>123</v>
      </c>
      <c r="C85" s="16"/>
      <c r="D85" s="15"/>
      <c r="E85" s="15"/>
      <c r="F85" s="15"/>
      <c r="G85" s="15"/>
      <c r="H85" s="15"/>
      <c r="I85" s="15"/>
    </row>
    <row r="86" spans="1:10">
      <c r="A86" s="13" t="s">
        <v>9</v>
      </c>
      <c r="B86" s="13" t="s">
        <v>10</v>
      </c>
    </row>
    <row r="87" spans="1:10">
      <c r="A87" s="13" t="s">
        <v>15</v>
      </c>
      <c r="B87" s="13" t="s">
        <v>16</v>
      </c>
      <c r="C87" s="2">
        <v>44506</v>
      </c>
      <c r="D87" t="s">
        <v>165</v>
      </c>
      <c r="E87">
        <v>3</v>
      </c>
      <c r="F87" t="s">
        <v>149</v>
      </c>
      <c r="G87">
        <v>34</v>
      </c>
      <c r="I87" t="s">
        <v>161</v>
      </c>
      <c r="J87">
        <v>22.5</v>
      </c>
    </row>
    <row r="88" spans="1:10">
      <c r="A88" s="13" t="s">
        <v>25</v>
      </c>
      <c r="B88" s="13" t="s">
        <v>26</v>
      </c>
    </row>
    <row r="89" spans="1:10">
      <c r="A89" s="13" t="s">
        <v>33</v>
      </c>
      <c r="B89" s="13" t="s">
        <v>34</v>
      </c>
    </row>
    <row r="90" spans="1:10">
      <c r="A90" s="13" t="s">
        <v>30</v>
      </c>
      <c r="B90" s="13" t="s">
        <v>31</v>
      </c>
      <c r="C90" s="2">
        <v>44506</v>
      </c>
      <c r="D90" t="s">
        <v>165</v>
      </c>
      <c r="E90">
        <v>3</v>
      </c>
      <c r="F90" t="s">
        <v>149</v>
      </c>
      <c r="G90">
        <v>33</v>
      </c>
      <c r="I90" t="s">
        <v>161</v>
      </c>
      <c r="J90">
        <v>22.5</v>
      </c>
    </row>
    <row r="91" spans="1:10">
      <c r="A91" s="13" t="s">
        <v>12</v>
      </c>
      <c r="B91" s="13" t="s">
        <v>13</v>
      </c>
    </row>
    <row r="92" spans="1:10">
      <c r="A92" s="13" t="s">
        <v>49</v>
      </c>
      <c r="B92" s="13" t="s">
        <v>50</v>
      </c>
      <c r="C92" s="2">
        <v>44506</v>
      </c>
      <c r="D92" t="s">
        <v>165</v>
      </c>
      <c r="E92">
        <v>3</v>
      </c>
      <c r="F92" t="s">
        <v>149</v>
      </c>
      <c r="G92">
        <v>28</v>
      </c>
      <c r="I92" t="s">
        <v>161</v>
      </c>
      <c r="J92">
        <v>22.5</v>
      </c>
    </row>
    <row r="93" spans="1:10">
      <c r="A93" s="13" t="s">
        <v>6</v>
      </c>
      <c r="B93" s="13" t="s">
        <v>7</v>
      </c>
    </row>
    <row r="94" spans="1:10">
      <c r="A94" s="13" t="s">
        <v>3</v>
      </c>
      <c r="B94" s="13" t="s">
        <v>4</v>
      </c>
    </row>
    <row r="95" spans="1:10">
      <c r="A95" s="13" t="s">
        <v>46</v>
      </c>
      <c r="B95" s="13" t="s">
        <v>47</v>
      </c>
    </row>
    <row r="96" spans="1:10">
      <c r="A96" s="13" t="s">
        <v>20</v>
      </c>
      <c r="B96" s="13" t="s">
        <v>21</v>
      </c>
      <c r="C96" s="2">
        <v>44506</v>
      </c>
      <c r="D96" t="s">
        <v>165</v>
      </c>
      <c r="E96">
        <v>3</v>
      </c>
      <c r="F96" t="s">
        <v>149</v>
      </c>
      <c r="G96">
        <v>39</v>
      </c>
      <c r="I96" t="s">
        <v>161</v>
      </c>
      <c r="J96">
        <v>22.5</v>
      </c>
    </row>
    <row r="97" spans="1:10">
      <c r="A97" s="13" t="s">
        <v>41</v>
      </c>
      <c r="B97" s="13" t="s">
        <v>42</v>
      </c>
    </row>
    <row r="98" spans="1:10">
      <c r="A98" s="13" t="s">
        <v>18</v>
      </c>
      <c r="B98" s="13" t="s">
        <v>19</v>
      </c>
      <c r="C98" s="2">
        <v>44506</v>
      </c>
      <c r="D98" t="s">
        <v>165</v>
      </c>
      <c r="E98">
        <v>3</v>
      </c>
      <c r="F98" t="s">
        <v>149</v>
      </c>
      <c r="G98">
        <v>25</v>
      </c>
      <c r="I98" t="s">
        <v>161</v>
      </c>
      <c r="J98">
        <v>22.5</v>
      </c>
    </row>
    <row r="99" spans="1:10">
      <c r="A99" s="13" t="s">
        <v>35</v>
      </c>
      <c r="B99" s="13" t="s">
        <v>36</v>
      </c>
    </row>
    <row r="100" spans="1:10">
      <c r="A100" s="13" t="s">
        <v>23</v>
      </c>
      <c r="B100" s="13" t="s">
        <v>24</v>
      </c>
    </row>
    <row r="101" spans="1:10">
      <c r="A101" s="13" t="s">
        <v>43</v>
      </c>
      <c r="B101" s="13" t="s">
        <v>44</v>
      </c>
    </row>
    <row r="102" spans="1:10">
      <c r="A102" s="13" t="s">
        <v>51</v>
      </c>
      <c r="B102" s="13" t="s">
        <v>52</v>
      </c>
    </row>
    <row r="103" spans="1:10">
      <c r="A103" s="13" t="s">
        <v>28</v>
      </c>
      <c r="B103" s="13" t="s">
        <v>29</v>
      </c>
    </row>
    <row r="104" spans="1:10">
      <c r="A104" s="13" t="s">
        <v>37</v>
      </c>
      <c r="B104" s="13" t="s">
        <v>38</v>
      </c>
    </row>
    <row r="105" spans="1:10">
      <c r="A105" s="13" t="s">
        <v>39</v>
      </c>
      <c r="B105" s="13" t="s">
        <v>40</v>
      </c>
    </row>
    <row r="106" spans="1:10">
      <c r="A106" s="19" t="s">
        <v>135</v>
      </c>
      <c r="B106" s="19" t="s">
        <v>123</v>
      </c>
    </row>
  </sheetData>
  <pageMargins left="0.7" right="0.7" top="0.75" bottom="0.75" header="0.3" footer="0.3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2759B-0C90-FC43-A109-337E80DD7F2D}">
  <sheetPr>
    <tabColor theme="1" tint="4.9989318521683403E-2"/>
  </sheetPr>
  <dimension ref="A1:E7"/>
  <sheetViews>
    <sheetView workbookViewId="0">
      <selection activeCell="B5" sqref="B5"/>
    </sheetView>
  </sheetViews>
  <sheetFormatPr baseColWidth="10" defaultColWidth="10.75" defaultRowHeight="15.75"/>
  <sheetData>
    <row r="1" spans="1:5">
      <c r="A1" s="3" t="s">
        <v>72</v>
      </c>
      <c r="B1" s="3" t="s">
        <v>76</v>
      </c>
      <c r="C1" s="3" t="s">
        <v>77</v>
      </c>
    </row>
    <row r="2" spans="1:5">
      <c r="A2" s="3">
        <v>1</v>
      </c>
      <c r="B2" s="3">
        <v>-5</v>
      </c>
      <c r="C2" s="3">
        <v>4.4000000000000004</v>
      </c>
      <c r="E2">
        <f>+dCat_Handic[[#This Row],[Cat]]</f>
        <v>1</v>
      </c>
    </row>
    <row r="3" spans="1:5">
      <c r="A3" s="3">
        <f>A2+1</f>
        <v>2</v>
      </c>
      <c r="B3" s="3">
        <f>C2+0.1</f>
        <v>4.5</v>
      </c>
      <c r="C3" s="3">
        <v>11.4</v>
      </c>
      <c r="E3">
        <f>+dCat_Handic[[#This Row],[Cat]]</f>
        <v>2</v>
      </c>
    </row>
    <row r="4" spans="1:5">
      <c r="A4" s="3">
        <f>A3+1</f>
        <v>3</v>
      </c>
      <c r="B4" s="3">
        <f>C3+0.1</f>
        <v>11.5</v>
      </c>
      <c r="C4" s="3">
        <v>18.399999999999999</v>
      </c>
      <c r="E4">
        <f>+dCat_Handic[[#This Row],[Cat]]</f>
        <v>3</v>
      </c>
    </row>
    <row r="5" spans="1:5">
      <c r="A5" s="3">
        <f>A4+1</f>
        <v>4</v>
      </c>
      <c r="B5" s="3">
        <f>C4+0.1</f>
        <v>18.5</v>
      </c>
      <c r="C5" s="3">
        <v>26.4</v>
      </c>
      <c r="E5">
        <f>+dCat_Handic[[#This Row],[Cat]]</f>
        <v>4</v>
      </c>
    </row>
    <row r="6" spans="1:5">
      <c r="A6" s="3">
        <f>A5+1</f>
        <v>5</v>
      </c>
      <c r="B6" s="3">
        <f>C5+0.1</f>
        <v>26.5</v>
      </c>
      <c r="C6" s="3">
        <v>36.4</v>
      </c>
      <c r="E6">
        <f>+dCat_Handic[[#This Row],[Cat]]</f>
        <v>5</v>
      </c>
    </row>
    <row r="7" spans="1:5">
      <c r="A7" s="3">
        <f>A6+1</f>
        <v>6</v>
      </c>
      <c r="B7" s="3">
        <f>C6+0.1</f>
        <v>36.5</v>
      </c>
      <c r="C7" s="3">
        <v>48</v>
      </c>
      <c r="E7">
        <f>+dCat_Handic[[#This Row],[Cat]]</f>
        <v>6</v>
      </c>
    </row>
  </sheetData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046AB-3298-449A-935E-963AAE9F8AD1}">
  <sheetPr>
    <tabColor theme="1" tint="4.9989318521683403E-2"/>
  </sheetPr>
  <dimension ref="A1:C8"/>
  <sheetViews>
    <sheetView zoomScaleNormal="100" zoomScaleSheetLayoutView="100" workbookViewId="0"/>
  </sheetViews>
  <sheetFormatPr baseColWidth="10" defaultColWidth="8.75" defaultRowHeight="15.75"/>
  <cols>
    <col min="1" max="1" width="8.625" bestFit="1" customWidth="1"/>
    <col min="2" max="2" width="11" bestFit="1" customWidth="1"/>
    <col min="3" max="3" width="12" bestFit="1" customWidth="1"/>
  </cols>
  <sheetData>
    <row r="1" spans="1:3">
      <c r="A1" t="s">
        <v>69</v>
      </c>
      <c r="B1" t="s">
        <v>78</v>
      </c>
      <c r="C1" t="s">
        <v>351</v>
      </c>
    </row>
    <row r="2" spans="1:3">
      <c r="A2" s="2">
        <v>45004</v>
      </c>
      <c r="B2" t="s">
        <v>353</v>
      </c>
      <c r="C2" t="s">
        <v>86</v>
      </c>
    </row>
    <row r="3" spans="1:3">
      <c r="A3" s="2">
        <v>45039</v>
      </c>
      <c r="B3" t="s">
        <v>147</v>
      </c>
      <c r="C3" t="s">
        <v>86</v>
      </c>
    </row>
    <row r="4" spans="1:3">
      <c r="A4" s="2">
        <v>45066</v>
      </c>
      <c r="B4" t="s">
        <v>162</v>
      </c>
      <c r="C4" t="s">
        <v>86</v>
      </c>
    </row>
    <row r="5" spans="1:3">
      <c r="A5" s="2">
        <v>45101</v>
      </c>
      <c r="B5" t="s">
        <v>354</v>
      </c>
      <c r="C5" t="s">
        <v>86</v>
      </c>
    </row>
    <row r="6" spans="1:3">
      <c r="A6" s="2">
        <v>45116</v>
      </c>
      <c r="B6" t="s">
        <v>355</v>
      </c>
      <c r="C6" t="s">
        <v>86</v>
      </c>
    </row>
    <row r="7" spans="1:3">
      <c r="A7" s="2">
        <v>45001</v>
      </c>
      <c r="B7" t="s">
        <v>356</v>
      </c>
      <c r="C7" t="s">
        <v>86</v>
      </c>
    </row>
    <row r="8" spans="1:3">
      <c r="A8" s="2">
        <v>45227</v>
      </c>
      <c r="B8" t="s">
        <v>357</v>
      </c>
      <c r="C8" t="s">
        <v>352</v>
      </c>
    </row>
  </sheetData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9A7B8-AA9C-4E13-A95B-46DE2928860A}">
  <sheetPr>
    <tabColor theme="1" tint="4.9989318521683403E-2"/>
  </sheetPr>
  <dimension ref="A1:N33"/>
  <sheetViews>
    <sheetView topLeftCell="A3" zoomScale="90" zoomScaleNormal="90" workbookViewId="0">
      <selection activeCell="K6" sqref="K6"/>
    </sheetView>
  </sheetViews>
  <sheetFormatPr baseColWidth="10" defaultColWidth="10.75" defaultRowHeight="15.75" outlineLevelCol="1"/>
  <cols>
    <col min="1" max="1" width="3.75" bestFit="1" customWidth="1"/>
    <col min="2" max="2" width="27.5" bestFit="1" customWidth="1"/>
    <col min="3" max="8" width="11" hidden="1" customWidth="1" outlineLevel="1"/>
    <col min="9" max="9" width="5.625" bestFit="1" customWidth="1" collapsed="1"/>
    <col min="10" max="10" width="3.75" bestFit="1" customWidth="1"/>
  </cols>
  <sheetData>
    <row r="1" spans="1:14">
      <c r="L1" s="54">
        <v>0.39583333333333331</v>
      </c>
      <c r="M1">
        <v>11</v>
      </c>
      <c r="N1">
        <v>4</v>
      </c>
    </row>
    <row r="2" spans="1:14">
      <c r="L2" s="54">
        <v>0.39583333333333331</v>
      </c>
      <c r="M2">
        <v>12</v>
      </c>
      <c r="N2">
        <v>4</v>
      </c>
    </row>
    <row r="3" spans="1:14">
      <c r="L3" s="54">
        <v>0.40277777777777773</v>
      </c>
      <c r="M3">
        <v>12</v>
      </c>
      <c r="N3">
        <v>4</v>
      </c>
    </row>
    <row r="4" spans="1:14">
      <c r="A4" s="17" t="s">
        <v>239</v>
      </c>
      <c r="B4" s="17" t="s">
        <v>0</v>
      </c>
      <c r="I4" s="50" t="s">
        <v>301</v>
      </c>
      <c r="J4" s="50" t="s">
        <v>302</v>
      </c>
      <c r="L4" s="54">
        <v>0.39583333333333331</v>
      </c>
      <c r="M4">
        <v>13</v>
      </c>
      <c r="N4">
        <v>4</v>
      </c>
    </row>
    <row r="5" spans="1:14">
      <c r="I5" s="54">
        <v>0.39583333333333331</v>
      </c>
      <c r="J5">
        <v>14</v>
      </c>
      <c r="L5" s="54">
        <v>0.39583333333333331</v>
      </c>
      <c r="M5">
        <v>14</v>
      </c>
      <c r="N5">
        <v>4</v>
      </c>
    </row>
    <row r="6" spans="1:14">
      <c r="I6" s="54">
        <v>0.39583333333333331</v>
      </c>
      <c r="J6">
        <v>14</v>
      </c>
      <c r="L6" s="54">
        <v>0.40277777777777773</v>
      </c>
      <c r="M6">
        <v>14</v>
      </c>
      <c r="N6">
        <v>4</v>
      </c>
    </row>
    <row r="7" spans="1:14">
      <c r="I7" s="54">
        <v>0.39583333333333331</v>
      </c>
      <c r="J7">
        <v>14</v>
      </c>
    </row>
    <row r="8" spans="1:14">
      <c r="I8" s="46"/>
      <c r="J8" s="46"/>
    </row>
    <row r="9" spans="1:14">
      <c r="I9" s="54">
        <v>0.40277777777777773</v>
      </c>
      <c r="J9">
        <v>14</v>
      </c>
    </row>
    <row r="10" spans="1:14">
      <c r="I10" s="54">
        <v>0.40277777777777773</v>
      </c>
      <c r="J10">
        <v>14</v>
      </c>
    </row>
    <row r="11" spans="1:14">
      <c r="I11" s="54">
        <v>0.40277777777777773</v>
      </c>
      <c r="J11">
        <v>14</v>
      </c>
    </row>
    <row r="12" spans="1:14">
      <c r="I12" s="54">
        <v>0.40277777777777773</v>
      </c>
      <c r="J12">
        <v>14</v>
      </c>
    </row>
    <row r="13" spans="1:14">
      <c r="I13" s="46"/>
      <c r="J13" s="46"/>
    </row>
    <row r="14" spans="1:14">
      <c r="I14" s="54">
        <v>0.39583333333333331</v>
      </c>
      <c r="J14">
        <v>13</v>
      </c>
    </row>
    <row r="15" spans="1:14">
      <c r="I15" s="54">
        <v>0.39583333333333331</v>
      </c>
      <c r="J15">
        <v>13</v>
      </c>
    </row>
    <row r="16" spans="1:14">
      <c r="I16" s="54">
        <v>0.39583333333333331</v>
      </c>
      <c r="J16">
        <v>13</v>
      </c>
    </row>
    <row r="17" spans="9:10">
      <c r="I17" s="54">
        <v>0.39583333333333331</v>
      </c>
      <c r="J17">
        <v>13</v>
      </c>
    </row>
    <row r="18" spans="9:10">
      <c r="I18" s="46"/>
      <c r="J18" s="46"/>
    </row>
    <row r="19" spans="9:10">
      <c r="I19" s="54">
        <v>0.40277777777777773</v>
      </c>
      <c r="J19">
        <v>12</v>
      </c>
    </row>
    <row r="20" spans="9:10">
      <c r="I20" s="54">
        <v>0.40277777777777773</v>
      </c>
      <c r="J20">
        <v>12</v>
      </c>
    </row>
    <row r="21" spans="9:10">
      <c r="I21" s="54">
        <v>0.40277777777777773</v>
      </c>
      <c r="J21">
        <v>12</v>
      </c>
    </row>
    <row r="22" spans="9:10">
      <c r="I22" s="54">
        <v>0.40277777777777773</v>
      </c>
      <c r="J22">
        <v>12</v>
      </c>
    </row>
    <row r="23" spans="9:10">
      <c r="I23" s="46"/>
      <c r="J23" s="46"/>
    </row>
    <row r="24" spans="9:10">
      <c r="I24" s="54">
        <v>0.39583333333333331</v>
      </c>
      <c r="J24">
        <v>12</v>
      </c>
    </row>
    <row r="25" spans="9:10">
      <c r="I25" s="54">
        <v>0.39583333333333331</v>
      </c>
      <c r="J25">
        <v>12</v>
      </c>
    </row>
    <row r="26" spans="9:10">
      <c r="I26" s="54">
        <v>0.39583333333333331</v>
      </c>
      <c r="J26">
        <v>12</v>
      </c>
    </row>
    <row r="27" spans="9:10">
      <c r="I27" s="54">
        <v>0.39583333333333331</v>
      </c>
      <c r="J27">
        <v>12</v>
      </c>
    </row>
    <row r="28" spans="9:10">
      <c r="I28" s="46"/>
      <c r="J28" s="46"/>
    </row>
    <row r="29" spans="9:10">
      <c r="I29" s="54">
        <v>0.39583333333333331</v>
      </c>
      <c r="J29">
        <v>11</v>
      </c>
    </row>
    <row r="30" spans="9:10">
      <c r="I30" s="54">
        <v>0.39583333333333331</v>
      </c>
      <c r="J30">
        <v>11</v>
      </c>
    </row>
    <row r="31" spans="9:10">
      <c r="I31" s="54">
        <v>0.39583333333333331</v>
      </c>
      <c r="J31">
        <v>11</v>
      </c>
    </row>
    <row r="32" spans="9:10">
      <c r="I32" s="54">
        <v>0.39583333333333331</v>
      </c>
      <c r="J32">
        <v>11</v>
      </c>
    </row>
    <row r="33" spans="9:10">
      <c r="I33" s="46"/>
      <c r="J33" s="46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B7983-1815-4BCA-8292-306FED281038}">
  <sheetPr>
    <tabColor theme="1" tint="4.9989318521683403E-2"/>
  </sheetPr>
  <dimension ref="A1:V21"/>
  <sheetViews>
    <sheetView topLeftCell="C1" workbookViewId="0">
      <selection activeCell="G25" sqref="G25"/>
    </sheetView>
  </sheetViews>
  <sheetFormatPr baseColWidth="10" defaultColWidth="10.75" defaultRowHeight="15.75"/>
  <cols>
    <col min="1" max="1" width="13.125" bestFit="1" customWidth="1"/>
    <col min="2" max="2" width="13.125" customWidth="1"/>
    <col min="3" max="3" width="6.375" bestFit="1" customWidth="1"/>
    <col min="4" max="4" width="8.625" bestFit="1" customWidth="1"/>
    <col min="5" max="5" width="11.25" hidden="1" customWidth="1"/>
    <col min="6" max="6" width="7.125" bestFit="1" customWidth="1"/>
    <col min="7" max="7" width="10" bestFit="1" customWidth="1"/>
    <col min="8" max="9" width="11.5" hidden="1" customWidth="1"/>
    <col min="10" max="13" width="3.75" bestFit="1" customWidth="1"/>
    <col min="14" max="16" width="11.5" customWidth="1"/>
    <col min="18" max="19" width="2.75" bestFit="1" customWidth="1"/>
    <col min="21" max="21" width="5.625" bestFit="1" customWidth="1"/>
  </cols>
  <sheetData>
    <row r="1" spans="1:22">
      <c r="C1" t="s">
        <v>177</v>
      </c>
      <c r="D1" t="s">
        <v>178</v>
      </c>
      <c r="E1" t="s">
        <v>180</v>
      </c>
      <c r="F1" t="s">
        <v>179</v>
      </c>
      <c r="G1" t="s">
        <v>181</v>
      </c>
      <c r="H1" t="s">
        <v>200</v>
      </c>
      <c r="I1" t="s">
        <v>199</v>
      </c>
      <c r="J1" s="24" t="s">
        <v>89</v>
      </c>
      <c r="K1" s="24" t="s">
        <v>90</v>
      </c>
      <c r="L1" s="24" t="s">
        <v>91</v>
      </c>
      <c r="M1" s="24" t="s">
        <v>92</v>
      </c>
      <c r="S1" s="21" t="s">
        <v>84</v>
      </c>
      <c r="T1" s="21" t="s">
        <v>181</v>
      </c>
      <c r="U1" s="21" t="s">
        <v>164</v>
      </c>
      <c r="V1" s="23" t="s">
        <v>197</v>
      </c>
    </row>
    <row r="2" spans="1:22">
      <c r="A2" s="20" t="s">
        <v>169</v>
      </c>
      <c r="B2" s="20"/>
      <c r="C2" s="20">
        <v>1</v>
      </c>
      <c r="D2">
        <v>-10</v>
      </c>
      <c r="E2">
        <v>12</v>
      </c>
      <c r="F2">
        <f>+IF(C2&gt;E2,"",D2-VLOOKUP(E2,$C$2:$D$21,2,FALSE))</f>
        <v>-7</v>
      </c>
      <c r="G2" t="str">
        <f>+IFERROR(VLOOKUP(PuntosUltimoTorneo[[#This Row],[Pos]],$R$2:$V$16,3,FALSE),"")</f>
        <v>David 🐗</v>
      </c>
      <c r="H2">
        <v>4</v>
      </c>
      <c r="I2">
        <v>3</v>
      </c>
      <c r="J2" s="25">
        <v>2</v>
      </c>
      <c r="K2" s="25">
        <v>2</v>
      </c>
      <c r="L2" s="25">
        <v>1</v>
      </c>
      <c r="M2" s="25">
        <v>2</v>
      </c>
      <c r="R2">
        <f>+COUNTIF(V$1:V2,"x")</f>
        <v>1</v>
      </c>
      <c r="S2" s="22">
        <v>1</v>
      </c>
      <c r="T2" t="s">
        <v>182</v>
      </c>
      <c r="U2">
        <v>1810</v>
      </c>
      <c r="V2" t="s">
        <v>198</v>
      </c>
    </row>
    <row r="3" spans="1:22">
      <c r="A3" s="20" t="s">
        <v>170</v>
      </c>
      <c r="B3" s="20"/>
      <c r="C3" s="20">
        <v>2</v>
      </c>
      <c r="D3">
        <v>-8</v>
      </c>
      <c r="E3">
        <f>+E2</f>
        <v>12</v>
      </c>
      <c r="F3">
        <f t="shared" ref="F3:F21" si="0">+IF(C3&gt;E3,"",D3-VLOOKUP(E3,$C$2:$D$21,2,FALSE))</f>
        <v>-5</v>
      </c>
      <c r="G3" t="str">
        <f>+IFERROR(VLOOKUP(PuntosUltimoTorneo[[#This Row],[Pos]],$R$2:$V$16,3,FALSE),"")</f>
        <v>Paco 🎸</v>
      </c>
      <c r="H3">
        <v>4</v>
      </c>
      <c r="I3">
        <v>3</v>
      </c>
      <c r="J3">
        <v>2</v>
      </c>
      <c r="K3">
        <v>2</v>
      </c>
      <c r="L3">
        <v>1</v>
      </c>
      <c r="R3">
        <f>+COUNTIF(V$1:V3,"x")</f>
        <v>2</v>
      </c>
      <c r="S3" s="22">
        <v>2</v>
      </c>
      <c r="T3" t="s">
        <v>183</v>
      </c>
      <c r="U3">
        <v>1665</v>
      </c>
      <c r="V3" t="s">
        <v>198</v>
      </c>
    </row>
    <row r="4" spans="1:22">
      <c r="A4" s="20" t="s">
        <v>171</v>
      </c>
      <c r="B4" s="20"/>
      <c r="C4" s="20">
        <v>3</v>
      </c>
      <c r="D4">
        <v>-7</v>
      </c>
      <c r="E4">
        <f t="shared" ref="E4:E21" si="1">+E3</f>
        <v>12</v>
      </c>
      <c r="F4">
        <f t="shared" si="0"/>
        <v>-4</v>
      </c>
      <c r="G4" t="str">
        <f>+IFERROR(VLOOKUP(PuntosUltimoTorneo[[#This Row],[Pos]],$R$2:$V$16,3,FALSE),"")</f>
        <v>Gifu 🤓</v>
      </c>
      <c r="H4">
        <v>4</v>
      </c>
      <c r="I4">
        <v>3</v>
      </c>
      <c r="J4" s="25">
        <v>2</v>
      </c>
      <c r="K4" s="25">
        <v>2</v>
      </c>
      <c r="L4" s="25"/>
      <c r="M4" s="25"/>
      <c r="R4">
        <f>+COUNTIF(V$1:V4,"x")</f>
        <v>3</v>
      </c>
      <c r="S4" s="22">
        <v>3</v>
      </c>
      <c r="T4" t="s">
        <v>184</v>
      </c>
      <c r="U4">
        <v>1524</v>
      </c>
      <c r="V4" t="s">
        <v>198</v>
      </c>
    </row>
    <row r="5" spans="1:22">
      <c r="A5" s="20" t="s">
        <v>172</v>
      </c>
      <c r="B5" s="20"/>
      <c r="C5" s="20">
        <v>4</v>
      </c>
      <c r="D5">
        <v>-6</v>
      </c>
      <c r="E5">
        <f t="shared" si="1"/>
        <v>12</v>
      </c>
      <c r="F5">
        <f t="shared" si="0"/>
        <v>-3</v>
      </c>
      <c r="G5" t="str">
        <f>+IFERROR(VLOOKUP(PuntosUltimoTorneo[[#This Row],[Pos]],$R$2:$V$16,3,FALSE),"")</f>
        <v>Fran ⚓️</v>
      </c>
      <c r="H5">
        <v>3</v>
      </c>
      <c r="I5">
        <v>3</v>
      </c>
      <c r="J5">
        <v>2</v>
      </c>
      <c r="K5">
        <v>1</v>
      </c>
      <c r="R5">
        <f>+COUNTIF(V$1:V5,"x")</f>
        <v>4</v>
      </c>
      <c r="S5" s="22">
        <v>4</v>
      </c>
      <c r="T5" t="s">
        <v>185</v>
      </c>
      <c r="U5">
        <v>1475</v>
      </c>
      <c r="V5" t="s">
        <v>198</v>
      </c>
    </row>
    <row r="6" spans="1:22">
      <c r="A6" s="20" t="s">
        <v>173</v>
      </c>
      <c r="B6" s="20"/>
      <c r="C6" s="20">
        <v>5</v>
      </c>
      <c r="D6">
        <v>-5</v>
      </c>
      <c r="E6">
        <f t="shared" si="1"/>
        <v>12</v>
      </c>
      <c r="F6">
        <f t="shared" si="0"/>
        <v>-2</v>
      </c>
      <c r="G6" t="str">
        <f>+IFERROR(VLOOKUP(PuntosUltimoTorneo[[#This Row],[Pos]],$R$2:$V$16,3,FALSE),"")</f>
        <v>Nacho 🖐🏻</v>
      </c>
      <c r="H6">
        <v>3</v>
      </c>
      <c r="I6">
        <v>2</v>
      </c>
      <c r="J6" s="25">
        <v>1</v>
      </c>
      <c r="K6" s="25"/>
      <c r="L6" s="25"/>
      <c r="M6" s="25"/>
      <c r="R6">
        <f>+COUNTIF(V$1:V6,"x")</f>
        <v>5</v>
      </c>
      <c r="S6" s="22">
        <v>5</v>
      </c>
      <c r="T6" t="s">
        <v>186</v>
      </c>
      <c r="U6">
        <v>1454</v>
      </c>
      <c r="V6" t="s">
        <v>198</v>
      </c>
    </row>
    <row r="7" spans="1:22">
      <c r="A7" s="20" t="s">
        <v>174</v>
      </c>
      <c r="B7" s="20"/>
      <c r="C7" s="20">
        <v>6</v>
      </c>
      <c r="D7">
        <v>-4</v>
      </c>
      <c r="E7">
        <f t="shared" si="1"/>
        <v>12</v>
      </c>
      <c r="F7">
        <f t="shared" si="0"/>
        <v>-1</v>
      </c>
      <c r="G7" t="str">
        <f>+IFERROR(VLOOKUP(PuntosUltimoTorneo[[#This Row],[Pos]],$R$2:$V$16,3,FALSE),"")</f>
        <v>Javi 🐍</v>
      </c>
      <c r="H7">
        <v>3</v>
      </c>
      <c r="I7">
        <v>2</v>
      </c>
      <c r="J7">
        <v>1</v>
      </c>
      <c r="R7">
        <f>+COUNTIF(V$1:V7,"x")</f>
        <v>6</v>
      </c>
      <c r="S7" s="22">
        <v>6</v>
      </c>
      <c r="T7" t="s">
        <v>187</v>
      </c>
      <c r="U7">
        <v>1435</v>
      </c>
      <c r="V7" t="s">
        <v>198</v>
      </c>
    </row>
    <row r="8" spans="1:22">
      <c r="A8" s="20" t="s">
        <v>175</v>
      </c>
      <c r="B8" s="20"/>
      <c r="C8" s="20">
        <v>7</v>
      </c>
      <c r="D8">
        <v>-4</v>
      </c>
      <c r="E8">
        <f t="shared" si="1"/>
        <v>12</v>
      </c>
      <c r="F8">
        <f t="shared" si="0"/>
        <v>-1</v>
      </c>
      <c r="G8" t="str">
        <f>+IFERROR(VLOOKUP(PuntosUltimoTorneo[[#This Row],[Pos]],$R$2:$V$16,3,FALSE),"")</f>
        <v>Kike 💀</v>
      </c>
      <c r="H8">
        <v>2</v>
      </c>
      <c r="I8">
        <v>2</v>
      </c>
      <c r="J8" s="25">
        <v>1</v>
      </c>
      <c r="K8" s="25"/>
      <c r="L8" s="25"/>
      <c r="M8" s="25"/>
      <c r="R8">
        <f>+COUNTIF(V$1:V8,"x")</f>
        <v>7</v>
      </c>
      <c r="S8" s="22">
        <v>7</v>
      </c>
      <c r="T8" t="s">
        <v>188</v>
      </c>
      <c r="U8">
        <v>1345</v>
      </c>
      <c r="V8" t="s">
        <v>198</v>
      </c>
    </row>
    <row r="9" spans="1:22">
      <c r="A9" s="20" t="s">
        <v>176</v>
      </c>
      <c r="B9" s="20"/>
      <c r="C9" s="20">
        <v>8</v>
      </c>
      <c r="D9">
        <v>-4</v>
      </c>
      <c r="E9">
        <f t="shared" si="1"/>
        <v>12</v>
      </c>
      <c r="F9">
        <f t="shared" si="0"/>
        <v>-1</v>
      </c>
      <c r="G9" t="s">
        <v>189</v>
      </c>
      <c r="H9">
        <v>2</v>
      </c>
      <c r="I9">
        <v>2</v>
      </c>
      <c r="J9">
        <v>1</v>
      </c>
      <c r="R9">
        <f>+COUNTIF(V$1:V9,"x")</f>
        <v>7</v>
      </c>
      <c r="S9" s="22">
        <v>8</v>
      </c>
      <c r="T9" t="s">
        <v>189</v>
      </c>
      <c r="U9">
        <v>787</v>
      </c>
    </row>
    <row r="10" spans="1:22">
      <c r="C10" s="20">
        <v>9</v>
      </c>
      <c r="D10">
        <v>-4</v>
      </c>
      <c r="E10">
        <f t="shared" si="1"/>
        <v>12</v>
      </c>
      <c r="F10">
        <f t="shared" si="0"/>
        <v>-1</v>
      </c>
      <c r="G10" t="str">
        <f>+IFERROR(VLOOKUP(PuntosUltimoTorneo[[#This Row],[Pos]],$R$2:$V$16,3,FALSE),"")</f>
        <v>Alfonso 🏌️‍♂️</v>
      </c>
      <c r="H10">
        <v>2</v>
      </c>
      <c r="I10">
        <v>1</v>
      </c>
      <c r="J10" s="25">
        <v>1</v>
      </c>
      <c r="K10" s="25"/>
      <c r="L10" s="25"/>
      <c r="M10" s="25"/>
      <c r="R10">
        <f>+COUNTIF(V$1:V10,"x")</f>
        <v>8</v>
      </c>
      <c r="S10" s="22">
        <v>9</v>
      </c>
      <c r="T10" t="s">
        <v>190</v>
      </c>
      <c r="U10">
        <v>569</v>
      </c>
      <c r="V10" t="s">
        <v>198</v>
      </c>
    </row>
    <row r="11" spans="1:22">
      <c r="C11" s="20">
        <v>10</v>
      </c>
      <c r="D11">
        <v>-4</v>
      </c>
      <c r="E11">
        <f t="shared" si="1"/>
        <v>12</v>
      </c>
      <c r="F11">
        <f t="shared" si="0"/>
        <v>-1</v>
      </c>
      <c r="G11" t="str">
        <f>+IFERROR(VLOOKUP(PuntosUltimoTorneo[[#This Row],[Pos]],$R$2:$V$16,3,FALSE),"")</f>
        <v>Jesús 🍄</v>
      </c>
      <c r="H11">
        <v>1</v>
      </c>
      <c r="I11">
        <v>1</v>
      </c>
      <c r="J11">
        <v>1</v>
      </c>
      <c r="R11">
        <f>+COUNTIF(V$1:V11,"x")</f>
        <v>8</v>
      </c>
      <c r="S11" s="22">
        <v>10</v>
      </c>
      <c r="T11" t="s">
        <v>191</v>
      </c>
      <c r="U11">
        <v>568</v>
      </c>
    </row>
    <row r="12" spans="1:22">
      <c r="C12" s="20">
        <v>11</v>
      </c>
      <c r="D12">
        <v>-3</v>
      </c>
      <c r="E12">
        <f t="shared" si="1"/>
        <v>12</v>
      </c>
      <c r="F12">
        <f t="shared" si="0"/>
        <v>0</v>
      </c>
      <c r="G12" t="str">
        <f>+IFERROR(VLOOKUP(PuntosUltimoTorneo[[#This Row],[Pos]],$R$2:$V$16,3,FALSE),"")</f>
        <v>Virus 🦠</v>
      </c>
      <c r="H12">
        <v>1</v>
      </c>
      <c r="I12">
        <v>1</v>
      </c>
      <c r="J12" s="25"/>
      <c r="K12" s="25"/>
      <c r="L12" s="25"/>
      <c r="M12" s="25"/>
      <c r="R12">
        <f>+COUNTIF(V$1:V12,"x")</f>
        <v>9</v>
      </c>
      <c r="S12" s="22">
        <v>11</v>
      </c>
      <c r="T12" t="s">
        <v>192</v>
      </c>
      <c r="U12">
        <v>530</v>
      </c>
      <c r="V12" t="s">
        <v>198</v>
      </c>
    </row>
    <row r="13" spans="1:22">
      <c r="C13" s="20">
        <v>12</v>
      </c>
      <c r="D13">
        <v>-3</v>
      </c>
      <c r="E13">
        <f t="shared" si="1"/>
        <v>12</v>
      </c>
      <c r="F13">
        <f t="shared" si="0"/>
        <v>0</v>
      </c>
      <c r="G13" t="str">
        <f>+IFERROR(VLOOKUP(PuntosUltimoTorneo[[#This Row],[Pos]],$R$2:$V$16,3,FALSE),"")</f>
        <v>Miche 🐲</v>
      </c>
      <c r="H13">
        <v>1</v>
      </c>
      <c r="I13">
        <v>1</v>
      </c>
      <c r="R13">
        <f>+COUNTIF(V$1:V13,"x")</f>
        <v>10</v>
      </c>
      <c r="S13" s="22">
        <v>12</v>
      </c>
      <c r="T13" t="s">
        <v>193</v>
      </c>
      <c r="U13">
        <v>514</v>
      </c>
      <c r="V13" t="s">
        <v>198</v>
      </c>
    </row>
    <row r="14" spans="1:22">
      <c r="C14" s="20">
        <v>13</v>
      </c>
      <c r="D14">
        <v>-3</v>
      </c>
      <c r="E14">
        <f t="shared" si="1"/>
        <v>12</v>
      </c>
      <c r="F14" t="str">
        <f t="shared" si="0"/>
        <v/>
      </c>
      <c r="G14" t="str">
        <f>+IFERROR(VLOOKUP(PuntosUltimoTorneo[[#This Row],[Pos]],$R$2:$V$16,3,FALSE),"")</f>
        <v/>
      </c>
      <c r="J14" s="25"/>
      <c r="K14" s="25"/>
      <c r="L14" s="25"/>
      <c r="M14" s="25"/>
      <c r="R14">
        <f>+COUNTIF(V$1:V14,"x")</f>
        <v>11</v>
      </c>
      <c r="S14" s="22">
        <v>13</v>
      </c>
      <c r="T14" t="s">
        <v>194</v>
      </c>
      <c r="U14">
        <v>360</v>
      </c>
      <c r="V14" t="s">
        <v>198</v>
      </c>
    </row>
    <row r="15" spans="1:22">
      <c r="C15" s="20">
        <v>14</v>
      </c>
      <c r="D15">
        <v>-3</v>
      </c>
      <c r="E15">
        <f t="shared" si="1"/>
        <v>12</v>
      </c>
      <c r="F15" t="str">
        <f t="shared" si="0"/>
        <v/>
      </c>
      <c r="G15" t="str">
        <f>+IFERROR(VLOOKUP(PuntosUltimoTorneo[[#This Row],[Pos]],$R$2:$V$16,3,FALSE),"")</f>
        <v/>
      </c>
      <c r="R15">
        <f>+COUNTIF(V$1:V15,"x")</f>
        <v>11</v>
      </c>
      <c r="S15" s="22">
        <v>14</v>
      </c>
      <c r="T15" t="s">
        <v>195</v>
      </c>
      <c r="U15">
        <v>355</v>
      </c>
    </row>
    <row r="16" spans="1:22">
      <c r="C16" s="20">
        <v>15</v>
      </c>
      <c r="D16">
        <v>-3</v>
      </c>
      <c r="E16">
        <f t="shared" si="1"/>
        <v>12</v>
      </c>
      <c r="F16" t="str">
        <f t="shared" si="0"/>
        <v/>
      </c>
      <c r="G16" t="str">
        <f>+IFERROR(VLOOKUP(PuntosUltimoTorneo[[#This Row],[Pos]],$R$2:$V$16,3,FALSE),"")</f>
        <v/>
      </c>
      <c r="J16" s="25"/>
      <c r="K16" s="25"/>
      <c r="L16" s="25"/>
      <c r="M16" s="25"/>
      <c r="R16">
        <f>+COUNTIF(V$1:V16,"x")</f>
        <v>12</v>
      </c>
      <c r="S16" s="22">
        <v>15</v>
      </c>
      <c r="T16" t="s">
        <v>196</v>
      </c>
      <c r="U16">
        <v>351</v>
      </c>
      <c r="V16" t="s">
        <v>198</v>
      </c>
    </row>
    <row r="17" spans="3:13">
      <c r="C17" s="20">
        <v>16</v>
      </c>
      <c r="D17">
        <v>-2</v>
      </c>
      <c r="E17">
        <f t="shared" si="1"/>
        <v>12</v>
      </c>
      <c r="F17" t="str">
        <f t="shared" si="0"/>
        <v/>
      </c>
      <c r="G17" t="str">
        <f>+IFERROR(VLOOKUP(PuntosUltimoTorneo[[#This Row],[Pos]],$R$2:$V$16,3,FALSE),"")</f>
        <v/>
      </c>
    </row>
    <row r="18" spans="3:13">
      <c r="C18" s="20">
        <v>17</v>
      </c>
      <c r="D18">
        <v>-2</v>
      </c>
      <c r="E18">
        <f t="shared" si="1"/>
        <v>12</v>
      </c>
      <c r="F18" t="str">
        <f t="shared" si="0"/>
        <v/>
      </c>
      <c r="G18" t="str">
        <f>+IFERROR(VLOOKUP(PuntosUltimoTorneo[[#This Row],[Pos]],$R$2:$V$16,3,FALSE),"")</f>
        <v/>
      </c>
      <c r="J18" s="25"/>
      <c r="K18" s="25"/>
      <c r="L18" s="25"/>
      <c r="M18" s="25"/>
    </row>
    <row r="19" spans="3:13">
      <c r="C19" s="20">
        <v>18</v>
      </c>
      <c r="D19">
        <v>-2</v>
      </c>
      <c r="E19">
        <f t="shared" si="1"/>
        <v>12</v>
      </c>
      <c r="F19" t="str">
        <f t="shared" si="0"/>
        <v/>
      </c>
      <c r="G19" t="str">
        <f>+IFERROR(VLOOKUP(PuntosUltimoTorneo[[#This Row],[Pos]],$R$2:$V$16,3,FALSE),"")</f>
        <v/>
      </c>
    </row>
    <row r="20" spans="3:13">
      <c r="C20" s="20">
        <v>19</v>
      </c>
      <c r="D20">
        <v>-2</v>
      </c>
      <c r="E20">
        <f t="shared" si="1"/>
        <v>12</v>
      </c>
      <c r="F20" t="str">
        <f t="shared" si="0"/>
        <v/>
      </c>
      <c r="G20" t="str">
        <f>+IFERROR(VLOOKUP(PuntosUltimoTorneo[[#This Row],[Pos]],$R$2:$V$16,3,FALSE),"")</f>
        <v/>
      </c>
      <c r="J20" s="25"/>
      <c r="K20" s="25"/>
      <c r="L20" s="25"/>
      <c r="M20" s="25"/>
    </row>
    <row r="21" spans="3:13">
      <c r="C21" s="20">
        <v>20</v>
      </c>
      <c r="D21">
        <v>-2</v>
      </c>
      <c r="E21">
        <f t="shared" si="1"/>
        <v>12</v>
      </c>
      <c r="F21" t="str">
        <f t="shared" si="0"/>
        <v/>
      </c>
      <c r="G21" t="str">
        <f>+IFERROR(VLOOKUP(PuntosUltimoTorneo[[#This Row],[Pos]],$R$2:$V$16,3,FALSE),"")</f>
        <v/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00E6E-4739-4BFF-AD05-3B404596E9A0}">
  <dimension ref="A1:T32"/>
  <sheetViews>
    <sheetView workbookViewId="0">
      <selection activeCell="F2" sqref="F2"/>
    </sheetView>
  </sheetViews>
  <sheetFormatPr baseColWidth="10" defaultColWidth="10.75" defaultRowHeight="15.75"/>
  <cols>
    <col min="1" max="1" width="3.75" bestFit="1" customWidth="1"/>
    <col min="2" max="2" width="9.75" bestFit="1" customWidth="1"/>
    <col min="3" max="3" width="4.125" bestFit="1" customWidth="1"/>
    <col min="4" max="4" width="5.625" bestFit="1" customWidth="1"/>
    <col min="5" max="5" width="6.875" customWidth="1"/>
    <col min="6" max="6" width="3.75" bestFit="1" customWidth="1"/>
    <col min="7" max="7" width="8" bestFit="1" customWidth="1"/>
    <col min="8" max="8" width="10" bestFit="1" customWidth="1"/>
    <col min="9" max="9" width="5.625" bestFit="1" customWidth="1"/>
    <col min="10" max="10" width="6.875" bestFit="1" customWidth="1"/>
    <col min="12" max="12" width="7.125" bestFit="1" customWidth="1"/>
    <col min="13" max="13" width="7.625" bestFit="1" customWidth="1"/>
    <col min="14" max="14" width="10" bestFit="1" customWidth="1"/>
    <col min="15" max="15" width="8" bestFit="1" customWidth="1"/>
    <col min="16" max="16" width="9" bestFit="1" customWidth="1"/>
    <col min="17" max="17" width="5.25" bestFit="1" customWidth="1"/>
    <col min="18" max="19" width="3.75" customWidth="1"/>
    <col min="20" max="20" width="34.375" customWidth="1"/>
  </cols>
  <sheetData>
    <row r="1" spans="1:20">
      <c r="A1" t="s">
        <v>177</v>
      </c>
      <c r="B1" t="s">
        <v>442</v>
      </c>
      <c r="C1" t="s">
        <v>451</v>
      </c>
      <c r="G1" t="s">
        <v>443</v>
      </c>
      <c r="H1" t="s">
        <v>444</v>
      </c>
      <c r="L1" t="s">
        <v>445</v>
      </c>
      <c r="M1" t="s">
        <v>447</v>
      </c>
      <c r="N1" t="s">
        <v>446</v>
      </c>
      <c r="O1" t="s">
        <v>448</v>
      </c>
      <c r="P1" t="s">
        <v>449</v>
      </c>
      <c r="Q1" t="s">
        <v>450</v>
      </c>
      <c r="T1" t="s">
        <v>452</v>
      </c>
    </row>
    <row r="2" spans="1:20">
      <c r="A2">
        <v>1</v>
      </c>
      <c r="B2" s="86">
        <v>1000</v>
      </c>
      <c r="C2" s="86"/>
      <c r="D2" s="86"/>
      <c r="E2" s="86"/>
      <c r="F2">
        <v>3.9</v>
      </c>
      <c r="G2">
        <v>1</v>
      </c>
      <c r="H2" s="86">
        <f>+B2*F2</f>
        <v>3900</v>
      </c>
      <c r="I2" s="86"/>
      <c r="L2">
        <v>1</v>
      </c>
      <c r="M2" s="86">
        <f>+VLOOKUP(L2,$A$2:$B$32,2,FALSE)</f>
        <v>1000</v>
      </c>
      <c r="N2" s="86">
        <v>4</v>
      </c>
      <c r="O2" s="86">
        <f>IFERROR(+VLOOKUP(N2,$G$2:$H$32,2,FALSE),0)</f>
        <v>3522.5806451612898</v>
      </c>
      <c r="P2" s="86">
        <f>+O2+M2</f>
        <v>4522.5806451612898</v>
      </c>
      <c r="Q2" s="86">
        <f>+_xlfn.RANK.EQ(P2,$P$2:$P$11,0)</f>
        <v>3</v>
      </c>
      <c r="T2" s="127" t="s">
        <v>453</v>
      </c>
    </row>
    <row r="3" spans="1:20">
      <c r="A3">
        <f>1+A2</f>
        <v>2</v>
      </c>
      <c r="B3" s="87">
        <f>+B2-$B$2/MAX(A:A)</f>
        <v>967.74193548387098</v>
      </c>
      <c r="C3" s="87">
        <f>+B2-B3</f>
        <v>32.258064516129025</v>
      </c>
      <c r="D3" s="87">
        <f>+$B$2-B3</f>
        <v>32.258064516129025</v>
      </c>
      <c r="E3" s="87"/>
      <c r="G3">
        <f>1+G2</f>
        <v>2</v>
      </c>
      <c r="H3" s="87">
        <f>+H2-$H$2/MAX(G:G)</f>
        <v>3774.1935483870966</v>
      </c>
      <c r="I3" s="87">
        <f>+H2-H3</f>
        <v>125.8064516129034</v>
      </c>
      <c r="J3" s="87">
        <f>+$B$2-H3</f>
        <v>-2774.1935483870966</v>
      </c>
      <c r="L3">
        <v>2</v>
      </c>
      <c r="M3" s="86">
        <f t="shared" ref="M3:M11" si="0">+VLOOKUP(L3,$A$2:$B$32,2,FALSE)</f>
        <v>967.74193548387098</v>
      </c>
      <c r="N3" s="86">
        <v>2</v>
      </c>
      <c r="O3" s="86">
        <f t="shared" ref="O3:O11" si="1">IFERROR(+VLOOKUP(N3,$G$2:$H$32,2,FALSE),0)</f>
        <v>3774.1935483870966</v>
      </c>
      <c r="P3" s="86">
        <f t="shared" ref="P3:P6" si="2">+O3+M3</f>
        <v>4741.9354838709678</v>
      </c>
      <c r="Q3" s="86">
        <f t="shared" ref="Q3:Q11" si="3">+_xlfn.RANK.EQ(P3,$P$2:$P$11,0)</f>
        <v>2</v>
      </c>
      <c r="T3" s="127"/>
    </row>
    <row r="4" spans="1:20">
      <c r="A4">
        <f t="shared" ref="A4:A32" si="4">1+A3</f>
        <v>3</v>
      </c>
      <c r="B4" s="87">
        <f t="shared" ref="B4:B32" si="5">+B3-$B$2/MAX(A:A)</f>
        <v>935.48387096774195</v>
      </c>
      <c r="C4" s="87">
        <f t="shared" ref="C4:C32" si="6">+B3-B4</f>
        <v>32.258064516129025</v>
      </c>
      <c r="D4" s="87">
        <f t="shared" ref="D4:D32" si="7">+$B$2-B4</f>
        <v>64.51612903225805</v>
      </c>
      <c r="E4" s="87"/>
      <c r="G4">
        <f t="shared" ref="G4:G32" si="8">1+G3</f>
        <v>3</v>
      </c>
      <c r="H4" s="87">
        <f t="shared" ref="H4:H32" si="9">+H3-$H$2/MAX(G:G)</f>
        <v>3648.3870967741932</v>
      </c>
      <c r="I4" s="87">
        <f t="shared" ref="I4:I32" si="10">+H3-H4</f>
        <v>125.8064516129034</v>
      </c>
      <c r="J4" s="87">
        <f t="shared" ref="J4:J32" si="11">+$B$2-H4</f>
        <v>-2648.3870967741932</v>
      </c>
      <c r="L4">
        <v>3</v>
      </c>
      <c r="M4" s="86">
        <f t="shared" si="0"/>
        <v>935.48387096774195</v>
      </c>
      <c r="N4" s="86"/>
      <c r="O4" s="86">
        <f t="shared" si="1"/>
        <v>0</v>
      </c>
      <c r="P4" s="86">
        <f t="shared" si="2"/>
        <v>935.48387096774195</v>
      </c>
      <c r="Q4" s="86">
        <f t="shared" si="3"/>
        <v>4</v>
      </c>
      <c r="T4" s="127"/>
    </row>
    <row r="5" spans="1:20">
      <c r="A5">
        <f t="shared" si="4"/>
        <v>4</v>
      </c>
      <c r="B5" s="87">
        <f t="shared" si="5"/>
        <v>903.22580645161293</v>
      </c>
      <c r="C5" s="87">
        <f t="shared" si="6"/>
        <v>32.258064516129025</v>
      </c>
      <c r="D5" s="87">
        <f t="shared" si="7"/>
        <v>96.774193548387075</v>
      </c>
      <c r="E5" s="87"/>
      <c r="G5">
        <f t="shared" si="8"/>
        <v>4</v>
      </c>
      <c r="H5" s="87">
        <f t="shared" si="9"/>
        <v>3522.5806451612898</v>
      </c>
      <c r="I5" s="87">
        <f t="shared" si="10"/>
        <v>125.8064516129034</v>
      </c>
      <c r="J5" s="87">
        <f t="shared" si="11"/>
        <v>-2522.5806451612898</v>
      </c>
      <c r="L5" s="89">
        <v>4</v>
      </c>
      <c r="M5" s="90">
        <f t="shared" si="0"/>
        <v>903.22580645161293</v>
      </c>
      <c r="N5" s="90">
        <v>1</v>
      </c>
      <c r="O5" s="90">
        <f t="shared" si="1"/>
        <v>3900</v>
      </c>
      <c r="P5" s="90">
        <f t="shared" si="2"/>
        <v>4803.2258064516127</v>
      </c>
      <c r="Q5" s="90">
        <f t="shared" si="3"/>
        <v>1</v>
      </c>
      <c r="T5" s="127"/>
    </row>
    <row r="6" spans="1:20">
      <c r="A6">
        <f t="shared" si="4"/>
        <v>5</v>
      </c>
      <c r="B6" s="87">
        <f t="shared" si="5"/>
        <v>870.9677419354839</v>
      </c>
      <c r="C6" s="87">
        <f t="shared" si="6"/>
        <v>32.258064516129025</v>
      </c>
      <c r="D6" s="88">
        <f t="shared" si="7"/>
        <v>129.0322580645161</v>
      </c>
      <c r="E6" s="88"/>
      <c r="G6">
        <f t="shared" si="8"/>
        <v>5</v>
      </c>
      <c r="H6" s="87">
        <f t="shared" si="9"/>
        <v>3396.7741935483864</v>
      </c>
      <c r="I6" s="87">
        <f t="shared" si="10"/>
        <v>125.8064516129034</v>
      </c>
      <c r="J6" s="88">
        <f t="shared" si="11"/>
        <v>-2396.7741935483864</v>
      </c>
      <c r="L6">
        <v>5</v>
      </c>
      <c r="M6" s="86">
        <f t="shared" si="0"/>
        <v>870.9677419354839</v>
      </c>
      <c r="N6" s="86"/>
      <c r="O6" s="86">
        <f t="shared" si="1"/>
        <v>0</v>
      </c>
      <c r="P6" s="86">
        <f t="shared" si="2"/>
        <v>870.9677419354839</v>
      </c>
      <c r="Q6" s="86">
        <f t="shared" si="3"/>
        <v>5</v>
      </c>
      <c r="T6" s="127"/>
    </row>
    <row r="7" spans="1:20">
      <c r="A7">
        <f t="shared" si="4"/>
        <v>6</v>
      </c>
      <c r="B7" s="87">
        <f t="shared" si="5"/>
        <v>838.70967741935488</v>
      </c>
      <c r="C7" s="87">
        <f t="shared" si="6"/>
        <v>32.258064516129025</v>
      </c>
      <c r="D7" s="87">
        <f t="shared" si="7"/>
        <v>161.29032258064512</v>
      </c>
      <c r="E7" s="87"/>
      <c r="G7">
        <f t="shared" si="8"/>
        <v>6</v>
      </c>
      <c r="H7" s="87">
        <f t="shared" si="9"/>
        <v>3270.967741935483</v>
      </c>
      <c r="I7" s="87">
        <f t="shared" si="10"/>
        <v>125.8064516129034</v>
      </c>
      <c r="J7" s="87">
        <f t="shared" si="11"/>
        <v>-2270.967741935483</v>
      </c>
      <c r="L7">
        <v>6</v>
      </c>
      <c r="M7" s="86">
        <f t="shared" si="0"/>
        <v>838.70967741935488</v>
      </c>
      <c r="N7" s="86"/>
      <c r="O7" s="86">
        <f t="shared" si="1"/>
        <v>0</v>
      </c>
      <c r="P7" s="86">
        <f t="shared" ref="P7:P10" si="12">+O7+M7</f>
        <v>838.70967741935488</v>
      </c>
      <c r="Q7" s="86">
        <f t="shared" si="3"/>
        <v>6</v>
      </c>
      <c r="T7" s="127"/>
    </row>
    <row r="8" spans="1:20">
      <c r="A8">
        <f t="shared" si="4"/>
        <v>7</v>
      </c>
      <c r="B8" s="87">
        <f t="shared" si="5"/>
        <v>806.45161290322585</v>
      </c>
      <c r="C8" s="87">
        <f t="shared" si="6"/>
        <v>32.258064516129025</v>
      </c>
      <c r="D8" s="87">
        <f t="shared" si="7"/>
        <v>193.54838709677415</v>
      </c>
      <c r="E8" s="87"/>
      <c r="G8">
        <f t="shared" si="8"/>
        <v>7</v>
      </c>
      <c r="H8" s="87">
        <f t="shared" si="9"/>
        <v>3145.1612903225796</v>
      </c>
      <c r="I8" s="87">
        <f t="shared" si="10"/>
        <v>125.8064516129034</v>
      </c>
      <c r="J8" s="87">
        <f t="shared" si="11"/>
        <v>-2145.1612903225796</v>
      </c>
      <c r="L8">
        <v>7</v>
      </c>
      <c r="M8" s="86">
        <f t="shared" si="0"/>
        <v>806.45161290322585</v>
      </c>
      <c r="O8" s="86">
        <f t="shared" si="1"/>
        <v>0</v>
      </c>
      <c r="P8" s="86">
        <f t="shared" si="12"/>
        <v>806.45161290322585</v>
      </c>
      <c r="Q8" s="86">
        <f t="shared" si="3"/>
        <v>7</v>
      </c>
      <c r="T8" s="127"/>
    </row>
    <row r="9" spans="1:20">
      <c r="A9">
        <f t="shared" si="4"/>
        <v>8</v>
      </c>
      <c r="B9" s="87">
        <f t="shared" si="5"/>
        <v>774.19354838709683</v>
      </c>
      <c r="C9" s="87">
        <f t="shared" si="6"/>
        <v>32.258064516129025</v>
      </c>
      <c r="D9" s="87">
        <f t="shared" si="7"/>
        <v>225.80645161290317</v>
      </c>
      <c r="E9" s="87"/>
      <c r="G9">
        <f t="shared" si="8"/>
        <v>8</v>
      </c>
      <c r="H9" s="87">
        <f t="shared" si="9"/>
        <v>3019.3548387096762</v>
      </c>
      <c r="I9" s="87">
        <f t="shared" si="10"/>
        <v>125.8064516129034</v>
      </c>
      <c r="J9" s="87">
        <f t="shared" si="11"/>
        <v>-2019.3548387096762</v>
      </c>
      <c r="L9">
        <v>8</v>
      </c>
      <c r="M9" s="86">
        <f t="shared" si="0"/>
        <v>774.19354838709683</v>
      </c>
      <c r="O9" s="86">
        <f t="shared" si="1"/>
        <v>0</v>
      </c>
      <c r="P9" s="86">
        <f t="shared" si="12"/>
        <v>774.19354838709683</v>
      </c>
      <c r="Q9" s="86">
        <f t="shared" si="3"/>
        <v>8</v>
      </c>
      <c r="T9" s="127"/>
    </row>
    <row r="10" spans="1:20">
      <c r="A10">
        <f t="shared" si="4"/>
        <v>9</v>
      </c>
      <c r="B10" s="87">
        <f t="shared" si="5"/>
        <v>741.9354838709678</v>
      </c>
      <c r="C10" s="87">
        <f t="shared" si="6"/>
        <v>32.258064516129025</v>
      </c>
      <c r="D10" s="87">
        <f t="shared" si="7"/>
        <v>258.0645161290322</v>
      </c>
      <c r="E10" s="87"/>
      <c r="G10">
        <f t="shared" si="8"/>
        <v>9</v>
      </c>
      <c r="H10" s="87">
        <f t="shared" si="9"/>
        <v>2893.5483870967728</v>
      </c>
      <c r="I10" s="87">
        <f t="shared" si="10"/>
        <v>125.8064516129034</v>
      </c>
      <c r="J10" s="87">
        <f t="shared" si="11"/>
        <v>-1893.5483870967728</v>
      </c>
      <c r="L10">
        <v>9</v>
      </c>
      <c r="M10" s="86">
        <f t="shared" si="0"/>
        <v>741.9354838709678</v>
      </c>
      <c r="O10" s="86">
        <f t="shared" si="1"/>
        <v>0</v>
      </c>
      <c r="P10" s="86">
        <f t="shared" si="12"/>
        <v>741.9354838709678</v>
      </c>
      <c r="Q10" s="86">
        <f t="shared" si="3"/>
        <v>9</v>
      </c>
      <c r="T10" s="127"/>
    </row>
    <row r="11" spans="1:20">
      <c r="A11">
        <f t="shared" si="4"/>
        <v>10</v>
      </c>
      <c r="B11" s="87">
        <f t="shared" si="5"/>
        <v>709.67741935483878</v>
      </c>
      <c r="C11" s="87">
        <f t="shared" si="6"/>
        <v>32.258064516129025</v>
      </c>
      <c r="D11" s="87">
        <f t="shared" si="7"/>
        <v>290.32258064516122</v>
      </c>
      <c r="E11" s="87"/>
      <c r="G11">
        <f t="shared" si="8"/>
        <v>10</v>
      </c>
      <c r="H11" s="87">
        <f t="shared" si="9"/>
        <v>2767.7419354838694</v>
      </c>
      <c r="I11" s="87">
        <f t="shared" si="10"/>
        <v>125.8064516129034</v>
      </c>
      <c r="J11" s="87">
        <f t="shared" si="11"/>
        <v>-1767.7419354838694</v>
      </c>
      <c r="L11">
        <v>10</v>
      </c>
      <c r="M11" s="86">
        <f t="shared" si="0"/>
        <v>709.67741935483878</v>
      </c>
      <c r="O11" s="86">
        <f t="shared" si="1"/>
        <v>0</v>
      </c>
      <c r="P11" s="86">
        <f t="shared" ref="P11" si="13">+O11+M11</f>
        <v>709.67741935483878</v>
      </c>
      <c r="Q11" s="86">
        <f t="shared" si="3"/>
        <v>10</v>
      </c>
    </row>
    <row r="12" spans="1:20">
      <c r="A12">
        <f t="shared" si="4"/>
        <v>11</v>
      </c>
      <c r="B12" s="87">
        <f t="shared" si="5"/>
        <v>677.41935483870975</v>
      </c>
      <c r="C12" s="87">
        <f t="shared" si="6"/>
        <v>32.258064516129025</v>
      </c>
      <c r="D12" s="87">
        <f t="shared" si="7"/>
        <v>322.58064516129025</v>
      </c>
      <c r="E12" s="87"/>
      <c r="G12">
        <f t="shared" si="8"/>
        <v>11</v>
      </c>
      <c r="H12" s="87">
        <f t="shared" si="9"/>
        <v>2641.935483870966</v>
      </c>
      <c r="I12" s="87">
        <f t="shared" si="10"/>
        <v>125.8064516129034</v>
      </c>
      <c r="J12" s="87">
        <f t="shared" si="11"/>
        <v>-1641.935483870966</v>
      </c>
    </row>
    <row r="13" spans="1:20">
      <c r="A13">
        <f t="shared" si="4"/>
        <v>12</v>
      </c>
      <c r="B13" s="87">
        <f t="shared" si="5"/>
        <v>645.16129032258073</v>
      </c>
      <c r="C13" s="87">
        <f t="shared" si="6"/>
        <v>32.258064516129025</v>
      </c>
      <c r="D13" s="87">
        <f t="shared" si="7"/>
        <v>354.83870967741927</v>
      </c>
      <c r="E13" s="87"/>
      <c r="G13">
        <f t="shared" si="8"/>
        <v>12</v>
      </c>
      <c r="H13" s="87">
        <f t="shared" si="9"/>
        <v>2516.1290322580626</v>
      </c>
      <c r="I13" s="87">
        <f t="shared" si="10"/>
        <v>125.8064516129034</v>
      </c>
      <c r="J13" s="87">
        <f t="shared" si="11"/>
        <v>-1516.1290322580626</v>
      </c>
    </row>
    <row r="14" spans="1:20">
      <c r="A14">
        <f t="shared" si="4"/>
        <v>13</v>
      </c>
      <c r="B14" s="87">
        <f t="shared" si="5"/>
        <v>612.9032258064517</v>
      </c>
      <c r="C14" s="87">
        <f t="shared" si="6"/>
        <v>32.258064516129025</v>
      </c>
      <c r="D14" s="87">
        <f t="shared" si="7"/>
        <v>387.0967741935483</v>
      </c>
      <c r="E14" s="87"/>
      <c r="G14">
        <f t="shared" si="8"/>
        <v>13</v>
      </c>
      <c r="H14" s="87">
        <f t="shared" si="9"/>
        <v>2390.3225806451592</v>
      </c>
      <c r="I14" s="87">
        <f t="shared" si="10"/>
        <v>125.8064516129034</v>
      </c>
      <c r="J14" s="87">
        <f t="shared" si="11"/>
        <v>-1390.3225806451592</v>
      </c>
    </row>
    <row r="15" spans="1:20">
      <c r="A15">
        <f t="shared" si="4"/>
        <v>14</v>
      </c>
      <c r="B15" s="87">
        <f t="shared" si="5"/>
        <v>580.64516129032268</v>
      </c>
      <c r="C15" s="87">
        <f t="shared" si="6"/>
        <v>32.258064516129025</v>
      </c>
      <c r="D15" s="87">
        <f t="shared" si="7"/>
        <v>419.35483870967732</v>
      </c>
      <c r="E15" s="87"/>
      <c r="G15">
        <f t="shared" si="8"/>
        <v>14</v>
      </c>
      <c r="H15" s="87">
        <f t="shared" si="9"/>
        <v>2264.5161290322558</v>
      </c>
      <c r="I15" s="87">
        <f t="shared" si="10"/>
        <v>125.8064516129034</v>
      </c>
      <c r="J15" s="87">
        <f t="shared" si="11"/>
        <v>-1264.5161290322558</v>
      </c>
    </row>
    <row r="16" spans="1:20">
      <c r="A16">
        <f t="shared" si="4"/>
        <v>15</v>
      </c>
      <c r="B16" s="87">
        <f t="shared" si="5"/>
        <v>548.38709677419365</v>
      </c>
      <c r="C16" s="87">
        <f t="shared" si="6"/>
        <v>32.258064516129025</v>
      </c>
      <c r="D16" s="87">
        <f t="shared" si="7"/>
        <v>451.61290322580635</v>
      </c>
      <c r="E16" s="87"/>
      <c r="G16">
        <f t="shared" si="8"/>
        <v>15</v>
      </c>
      <c r="H16" s="87">
        <f t="shared" si="9"/>
        <v>2138.7096774193524</v>
      </c>
      <c r="I16" s="87">
        <f t="shared" si="10"/>
        <v>125.8064516129034</v>
      </c>
      <c r="J16" s="87">
        <f t="shared" si="11"/>
        <v>-1138.7096774193524</v>
      </c>
    </row>
    <row r="17" spans="1:10">
      <c r="A17">
        <f t="shared" si="4"/>
        <v>16</v>
      </c>
      <c r="B17" s="87">
        <f t="shared" si="5"/>
        <v>516.12903225806463</v>
      </c>
      <c r="C17" s="87">
        <f t="shared" si="6"/>
        <v>32.258064516129025</v>
      </c>
      <c r="D17" s="87">
        <f t="shared" si="7"/>
        <v>483.87096774193537</v>
      </c>
      <c r="E17" s="87"/>
      <c r="G17">
        <f t="shared" si="8"/>
        <v>16</v>
      </c>
      <c r="H17" s="87">
        <f t="shared" si="9"/>
        <v>2012.9032258064492</v>
      </c>
      <c r="I17" s="87">
        <f t="shared" si="10"/>
        <v>125.80645161290317</v>
      </c>
      <c r="J17" s="87">
        <f t="shared" si="11"/>
        <v>-1012.9032258064492</v>
      </c>
    </row>
    <row r="18" spans="1:10">
      <c r="A18">
        <f t="shared" si="4"/>
        <v>17</v>
      </c>
      <c r="B18" s="87">
        <f t="shared" si="5"/>
        <v>483.8709677419356</v>
      </c>
      <c r="C18" s="87">
        <f t="shared" si="6"/>
        <v>32.258064516129025</v>
      </c>
      <c r="D18" s="87">
        <f t="shared" si="7"/>
        <v>516.1290322580644</v>
      </c>
      <c r="E18" s="87"/>
      <c r="G18">
        <f t="shared" si="8"/>
        <v>17</v>
      </c>
      <c r="H18" s="87">
        <f t="shared" si="9"/>
        <v>1887.096774193546</v>
      </c>
      <c r="I18" s="87">
        <f t="shared" si="10"/>
        <v>125.80645161290317</v>
      </c>
      <c r="J18" s="87">
        <f t="shared" si="11"/>
        <v>-887.09677419354603</v>
      </c>
    </row>
    <row r="19" spans="1:10">
      <c r="A19">
        <f t="shared" si="4"/>
        <v>18</v>
      </c>
      <c r="B19" s="87">
        <f t="shared" si="5"/>
        <v>451.61290322580658</v>
      </c>
      <c r="C19" s="87">
        <f t="shared" si="6"/>
        <v>32.258064516129025</v>
      </c>
      <c r="D19" s="87">
        <f t="shared" si="7"/>
        <v>548.38709677419342</v>
      </c>
      <c r="E19" s="87"/>
      <c r="G19">
        <f t="shared" si="8"/>
        <v>18</v>
      </c>
      <c r="H19" s="87">
        <f t="shared" si="9"/>
        <v>1761.2903225806429</v>
      </c>
      <c r="I19" s="87">
        <f t="shared" si="10"/>
        <v>125.80645161290317</v>
      </c>
      <c r="J19" s="87">
        <f t="shared" si="11"/>
        <v>-761.29032258064285</v>
      </c>
    </row>
    <row r="20" spans="1:10">
      <c r="A20">
        <f t="shared" si="4"/>
        <v>19</v>
      </c>
      <c r="B20" s="87">
        <f t="shared" si="5"/>
        <v>419.35483870967755</v>
      </c>
      <c r="C20" s="87">
        <f t="shared" si="6"/>
        <v>32.258064516129025</v>
      </c>
      <c r="D20" s="87">
        <f t="shared" si="7"/>
        <v>580.64516129032245</v>
      </c>
      <c r="E20" s="87"/>
      <c r="G20">
        <f t="shared" si="8"/>
        <v>19</v>
      </c>
      <c r="H20" s="87">
        <f t="shared" si="9"/>
        <v>1635.4838709677397</v>
      </c>
      <c r="I20" s="87">
        <f t="shared" si="10"/>
        <v>125.80645161290317</v>
      </c>
      <c r="J20" s="87">
        <f t="shared" si="11"/>
        <v>-635.48387096773968</v>
      </c>
    </row>
    <row r="21" spans="1:10">
      <c r="A21">
        <f t="shared" si="4"/>
        <v>20</v>
      </c>
      <c r="B21" s="87">
        <f t="shared" si="5"/>
        <v>387.09677419354853</v>
      </c>
      <c r="C21" s="87">
        <f t="shared" si="6"/>
        <v>32.258064516129025</v>
      </c>
      <c r="D21" s="87">
        <f t="shared" si="7"/>
        <v>612.90322580645147</v>
      </c>
      <c r="E21" s="87"/>
      <c r="G21">
        <f t="shared" si="8"/>
        <v>20</v>
      </c>
      <c r="H21" s="87">
        <f t="shared" si="9"/>
        <v>1509.6774193548365</v>
      </c>
      <c r="I21" s="87">
        <f t="shared" si="10"/>
        <v>125.80645161290317</v>
      </c>
      <c r="J21" s="87">
        <f t="shared" si="11"/>
        <v>-509.6774193548365</v>
      </c>
    </row>
    <row r="22" spans="1:10">
      <c r="A22">
        <f>1+A21</f>
        <v>21</v>
      </c>
      <c r="B22" s="87">
        <f t="shared" si="5"/>
        <v>354.8387096774195</v>
      </c>
      <c r="C22" s="87">
        <f t="shared" si="6"/>
        <v>32.258064516129025</v>
      </c>
      <c r="D22" s="87">
        <f t="shared" si="7"/>
        <v>645.1612903225805</v>
      </c>
      <c r="E22" s="87"/>
      <c r="G22">
        <f>1+G21</f>
        <v>21</v>
      </c>
      <c r="H22" s="87">
        <f t="shared" si="9"/>
        <v>1383.8709677419333</v>
      </c>
      <c r="I22" s="87">
        <f t="shared" si="10"/>
        <v>125.80645161290317</v>
      </c>
      <c r="J22" s="87">
        <f t="shared" si="11"/>
        <v>-383.87096774193333</v>
      </c>
    </row>
    <row r="23" spans="1:10">
      <c r="A23">
        <f t="shared" si="4"/>
        <v>22</v>
      </c>
      <c r="B23" s="87">
        <f t="shared" si="5"/>
        <v>322.58064516129048</v>
      </c>
      <c r="C23" s="87">
        <f t="shared" si="6"/>
        <v>32.258064516129025</v>
      </c>
      <c r="D23" s="87">
        <f t="shared" si="7"/>
        <v>677.41935483870952</v>
      </c>
      <c r="E23" s="87"/>
      <c r="G23">
        <f t="shared" si="8"/>
        <v>22</v>
      </c>
      <c r="H23" s="87">
        <f t="shared" si="9"/>
        <v>1258.0645161290302</v>
      </c>
      <c r="I23" s="87">
        <f t="shared" si="10"/>
        <v>125.80645161290317</v>
      </c>
      <c r="J23" s="87">
        <f t="shared" si="11"/>
        <v>-258.06451612903015</v>
      </c>
    </row>
    <row r="24" spans="1:10">
      <c r="A24">
        <f t="shared" si="4"/>
        <v>23</v>
      </c>
      <c r="B24" s="87">
        <f t="shared" si="5"/>
        <v>290.32258064516145</v>
      </c>
      <c r="C24" s="87">
        <f t="shared" si="6"/>
        <v>32.258064516129025</v>
      </c>
      <c r="D24" s="87">
        <f t="shared" si="7"/>
        <v>709.67741935483855</v>
      </c>
      <c r="E24" s="87"/>
      <c r="G24">
        <f t="shared" si="8"/>
        <v>23</v>
      </c>
      <c r="H24" s="87">
        <f t="shared" si="9"/>
        <v>1132.258064516127</v>
      </c>
      <c r="I24" s="87">
        <f t="shared" si="10"/>
        <v>125.80645161290317</v>
      </c>
      <c r="J24" s="87">
        <f t="shared" si="11"/>
        <v>-132.25806451612698</v>
      </c>
    </row>
    <row r="25" spans="1:10">
      <c r="A25">
        <f t="shared" si="4"/>
        <v>24</v>
      </c>
      <c r="B25" s="87">
        <f t="shared" si="5"/>
        <v>258.06451612903243</v>
      </c>
      <c r="C25" s="87">
        <f t="shared" si="6"/>
        <v>32.258064516129025</v>
      </c>
      <c r="D25" s="87">
        <f t="shared" si="7"/>
        <v>741.93548387096757</v>
      </c>
      <c r="E25" s="87"/>
      <c r="G25">
        <f t="shared" si="8"/>
        <v>24</v>
      </c>
      <c r="H25" s="87">
        <f t="shared" si="9"/>
        <v>1006.4516129032238</v>
      </c>
      <c r="I25" s="87">
        <f t="shared" si="10"/>
        <v>125.80645161290317</v>
      </c>
      <c r="J25" s="87">
        <f t="shared" si="11"/>
        <v>-6.4516129032238041</v>
      </c>
    </row>
    <row r="26" spans="1:10">
      <c r="A26">
        <f t="shared" si="4"/>
        <v>25</v>
      </c>
      <c r="B26" s="87">
        <f t="shared" si="5"/>
        <v>225.8064516129034</v>
      </c>
      <c r="C26" s="87">
        <f t="shared" si="6"/>
        <v>32.258064516129025</v>
      </c>
      <c r="D26" s="87">
        <f t="shared" si="7"/>
        <v>774.1935483870966</v>
      </c>
      <c r="E26" s="87"/>
      <c r="G26">
        <f t="shared" si="8"/>
        <v>25</v>
      </c>
      <c r="H26" s="87">
        <f t="shared" si="9"/>
        <v>880.64516129032063</v>
      </c>
      <c r="I26" s="87">
        <f t="shared" si="10"/>
        <v>125.80645161290317</v>
      </c>
      <c r="J26" s="87">
        <f t="shared" si="11"/>
        <v>119.35483870967937</v>
      </c>
    </row>
    <row r="27" spans="1:10">
      <c r="A27">
        <f t="shared" si="4"/>
        <v>26</v>
      </c>
      <c r="B27" s="87">
        <f t="shared" si="5"/>
        <v>193.54838709677438</v>
      </c>
      <c r="C27" s="87">
        <f t="shared" si="6"/>
        <v>32.258064516129025</v>
      </c>
      <c r="D27" s="87">
        <f t="shared" si="7"/>
        <v>806.45161290322562</v>
      </c>
      <c r="E27" s="87"/>
      <c r="G27">
        <f t="shared" si="8"/>
        <v>26</v>
      </c>
      <c r="H27" s="87">
        <f t="shared" si="9"/>
        <v>754.83870967741746</v>
      </c>
      <c r="I27" s="87">
        <f t="shared" si="10"/>
        <v>125.80645161290317</v>
      </c>
      <c r="J27" s="87">
        <f t="shared" si="11"/>
        <v>245.16129032258254</v>
      </c>
    </row>
    <row r="28" spans="1:10">
      <c r="A28">
        <f t="shared" si="4"/>
        <v>27</v>
      </c>
      <c r="B28" s="87">
        <f t="shared" si="5"/>
        <v>161.29032258064535</v>
      </c>
      <c r="C28" s="87">
        <f t="shared" si="6"/>
        <v>32.258064516129025</v>
      </c>
      <c r="D28" s="87">
        <f t="shared" si="7"/>
        <v>838.70967741935465</v>
      </c>
      <c r="E28" s="87"/>
      <c r="G28">
        <f t="shared" si="8"/>
        <v>27</v>
      </c>
      <c r="H28" s="87">
        <f t="shared" si="9"/>
        <v>629.03225806451428</v>
      </c>
      <c r="I28" s="87">
        <f t="shared" si="10"/>
        <v>125.80645161290317</v>
      </c>
      <c r="J28" s="87">
        <f t="shared" si="11"/>
        <v>370.96774193548572</v>
      </c>
    </row>
    <row r="29" spans="1:10">
      <c r="A29">
        <f t="shared" si="4"/>
        <v>28</v>
      </c>
      <c r="B29" s="87">
        <f t="shared" si="5"/>
        <v>129.03225806451633</v>
      </c>
      <c r="C29" s="87">
        <f t="shared" si="6"/>
        <v>32.258064516129025</v>
      </c>
      <c r="D29" s="87">
        <f t="shared" si="7"/>
        <v>870.96774193548367</v>
      </c>
      <c r="E29" s="87"/>
      <c r="G29">
        <f t="shared" si="8"/>
        <v>28</v>
      </c>
      <c r="H29" s="87">
        <f t="shared" si="9"/>
        <v>503.22580645161105</v>
      </c>
      <c r="I29" s="87">
        <f t="shared" si="10"/>
        <v>125.80645161290323</v>
      </c>
      <c r="J29" s="87">
        <f t="shared" si="11"/>
        <v>496.77419354838895</v>
      </c>
    </row>
    <row r="30" spans="1:10">
      <c r="A30">
        <f t="shared" si="4"/>
        <v>29</v>
      </c>
      <c r="B30" s="87">
        <f t="shared" si="5"/>
        <v>96.774193548387302</v>
      </c>
      <c r="C30" s="87">
        <f t="shared" si="6"/>
        <v>32.258064516129025</v>
      </c>
      <c r="D30" s="87">
        <f t="shared" si="7"/>
        <v>903.2258064516127</v>
      </c>
      <c r="E30" s="87"/>
      <c r="G30">
        <f t="shared" si="8"/>
        <v>29</v>
      </c>
      <c r="H30" s="87">
        <f t="shared" si="9"/>
        <v>377.41935483870782</v>
      </c>
      <c r="I30" s="87">
        <f t="shared" si="10"/>
        <v>125.80645161290323</v>
      </c>
      <c r="J30" s="87">
        <f t="shared" si="11"/>
        <v>622.58064516129218</v>
      </c>
    </row>
    <row r="31" spans="1:10">
      <c r="A31">
        <f t="shared" si="4"/>
        <v>30</v>
      </c>
      <c r="B31" s="87">
        <f t="shared" si="5"/>
        <v>64.516129032258277</v>
      </c>
      <c r="C31" s="87">
        <f t="shared" si="6"/>
        <v>32.258064516129025</v>
      </c>
      <c r="D31" s="87">
        <f t="shared" si="7"/>
        <v>935.48387096774172</v>
      </c>
      <c r="E31" s="87"/>
      <c r="G31">
        <f t="shared" si="8"/>
        <v>30</v>
      </c>
      <c r="H31" s="87">
        <f t="shared" si="9"/>
        <v>251.61290322580459</v>
      </c>
      <c r="I31" s="87">
        <f t="shared" si="10"/>
        <v>125.80645161290323</v>
      </c>
      <c r="J31" s="87">
        <f t="shared" si="11"/>
        <v>748.38709677419547</v>
      </c>
    </row>
    <row r="32" spans="1:10">
      <c r="A32">
        <f t="shared" si="4"/>
        <v>31</v>
      </c>
      <c r="B32" s="87">
        <f t="shared" si="5"/>
        <v>32.258064516129245</v>
      </c>
      <c r="C32" s="87">
        <f t="shared" si="6"/>
        <v>32.258064516129032</v>
      </c>
      <c r="D32" s="87">
        <f t="shared" si="7"/>
        <v>967.74193548387075</v>
      </c>
      <c r="E32" s="87"/>
      <c r="G32">
        <f t="shared" si="8"/>
        <v>31</v>
      </c>
      <c r="H32" s="87">
        <f t="shared" si="9"/>
        <v>125.80645161290136</v>
      </c>
      <c r="I32" s="87">
        <f t="shared" si="10"/>
        <v>125.80645161290323</v>
      </c>
      <c r="J32" s="87">
        <f t="shared" si="11"/>
        <v>874.19354838709864</v>
      </c>
    </row>
  </sheetData>
  <mergeCells count="1">
    <mergeCell ref="T2:T10"/>
  </mergeCells>
  <conditionalFormatting sqref="L2:Q11">
    <cfRule type="expression" dxfId="2" priority="1">
      <formula>$Q2=3</formula>
    </cfRule>
    <cfRule type="expression" dxfId="1" priority="2">
      <formula>$Q2=2</formula>
    </cfRule>
    <cfRule type="expression" dxfId="0" priority="3">
      <formula>$Q2=1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3179CA5-D596-42BB-B2C1-60B93663CE9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33</vt:i4>
      </vt:variant>
    </vt:vector>
  </HeadingPairs>
  <TitlesOfParts>
    <vt:vector size="33" baseType="lpstr">
      <vt:lpstr>Jugadores</vt:lpstr>
      <vt:lpstr>Calendario</vt:lpstr>
      <vt:lpstr>Puntos Equipos</vt:lpstr>
      <vt:lpstr>dTipoCalculo</vt:lpstr>
      <vt:lpstr>Descalificados</vt:lpstr>
      <vt:lpstr>dHandicapActual</vt:lpstr>
      <vt:lpstr>Handicaps</vt:lpstr>
      <vt:lpstr>Equipos LIV-Tillos</vt:lpstr>
      <vt:lpstr>Jugadores por EquipoAño</vt:lpstr>
      <vt:lpstr>Jugadores por Liga CSC</vt:lpstr>
      <vt:lpstr>Ligas CSC</vt:lpstr>
      <vt:lpstr>Transferibles 2025</vt:lpstr>
      <vt:lpstr>Tipo Torneos</vt:lpstr>
      <vt:lpstr>Puntos Torneo</vt:lpstr>
      <vt:lpstr>Hoyos Vuelta</vt:lpstr>
      <vt:lpstr>Puntos Acumulados</vt:lpstr>
      <vt:lpstr>Hoja2</vt:lpstr>
      <vt:lpstr>Asistentes Torneos</vt:lpstr>
      <vt:lpstr>Invitados Torneos</vt:lpstr>
      <vt:lpstr>DetallePartidos</vt:lpstr>
      <vt:lpstr>Partidos por Jugadores</vt:lpstr>
      <vt:lpstr>dKPI</vt:lpstr>
      <vt:lpstr>Inscritos 2023 - Categorías</vt:lpstr>
      <vt:lpstr>Nuevos Puntos</vt:lpstr>
      <vt:lpstr>Grupos MP2022</vt:lpstr>
      <vt:lpstr>MatchPlay2022</vt:lpstr>
      <vt:lpstr>Participaciones CSC</vt:lpstr>
      <vt:lpstr>Clubes Sin Campo</vt:lpstr>
      <vt:lpstr>Categoría Hdcap</vt:lpstr>
      <vt:lpstr>Calendario CSC 2023</vt:lpstr>
      <vt:lpstr>TD Partidos</vt:lpstr>
      <vt:lpstr>Hoja1</vt:lpstr>
      <vt:lpstr>Puntos Reseteo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Microsoft Office</dc:creator>
  <cp:lastModifiedBy>Alvaro Aguirre</cp:lastModifiedBy>
  <dcterms:created xsi:type="dcterms:W3CDTF">2020-06-06T16:21:40Z</dcterms:created>
  <dcterms:modified xsi:type="dcterms:W3CDTF">2026-04-27T05:36:39Z</dcterms:modified>
</cp:coreProperties>
</file>